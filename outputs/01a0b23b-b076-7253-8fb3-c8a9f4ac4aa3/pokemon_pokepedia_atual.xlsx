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ac30d4b30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ing" sheetId="1" r:id="Ra476a3a431934a52"/>
    <x:sheet xmlns:r="http://schemas.openxmlformats.org/officeDocument/2006/relationships" name="Pokémon" sheetId="2" r:id="Rbf8990c789a741a9"/>
    <x:sheet xmlns:r="http://schemas.openxmlformats.org/officeDocument/2006/relationships" name="Habilidades" sheetId="3" r:id="Re27638492d684189"/>
    <x:sheet xmlns:r="http://schemas.openxmlformats.org/officeDocument/2006/relationships" name="Efetividade" sheetId="4" r:id="R4927af253a6942b8"/>
    <x:sheet xmlns:r="http://schemas.openxmlformats.org/officeDocument/2006/relationships" name="Drops" sheetId="5" r:id="Rc6da10421a734254"/>
    <x:sheet xmlns:r="http://schemas.openxmlformats.org/officeDocument/2006/relationships" name="RankingPokes" sheetId="6" r:id="Rb1bdbb76ba93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0.00%"/>
  </x:numFmts>
  <x:fonts count="6">
    <x:font>
      <x:sz val="11"/>
      <x:name val="Carlito"/>
    </x:font>
    <x:font>
      <x:sz val="10"/>
      <x:color rgb="FF17212B"/>
      <x:name val="Arial"/>
    </x:font>
    <x:font>
      <x:b/>
      <x:sz val="16"/>
      <x:color rgb="FF17212B"/>
      <x:name val="Arial"/>
    </x:font>
    <x:font>
      <x:i/>
      <x:sz val="9"/>
      <x:color rgb="FF52616B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3"/>
      </x:patternFill>
    </x:fill>
    <x:fill>
      <x:patternFill patternType="solid">
        <x:fgColor rgb="FF263B53"/>
      </x:patternFill>
    </x:fill>
  </x:fills>
  <x:borders count="4">
    <x:border/>
    <x:border>
      <x:bottom style="thin">
        <x:color rgb="FFA9B8C7"/>
      </x:bottom>
    </x:border>
    <x:border>
      <x:left style="thin">
        <x:color rgb="FFD0D7DE"/>
      </x:left>
    </x:border>
    <x:border>
      <x:bottom style="thin">
        <x:color rgb="FFD9E2EA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right"/>
    </x:xf>
    <x:xf numFmtId="200" fontId="1" fillId="0" borderId="3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/>
    <x:xf numFmtId="200" fontId="1" fillId="0" borderId="3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c61b05b1a4c8d" /><Relationship Type="http://schemas.openxmlformats.org/officeDocument/2006/relationships/theme" Target="/xl/theme/theme1.xml" Id="R0c88d621ce294bd6" /><Relationship Type="http://schemas.openxmlformats.org/officeDocument/2006/relationships/sharedStrings" Target="/xl/sharedStrings.xml" Id="R4c62e690aaae467a" /><Relationship Type="http://schemas.openxmlformats.org/officeDocument/2006/relationships/worksheet" Target="/xl/worksheets/sheet1.xml" Id="Ra476a3a431934a52" /><Relationship Type="http://schemas.openxmlformats.org/officeDocument/2006/relationships/worksheet" Target="/xl/worksheets/sheet2.xml" Id="Rbf8990c789a741a9" /><Relationship Type="http://schemas.openxmlformats.org/officeDocument/2006/relationships/worksheet" Target="/xl/worksheets/sheet3.xml" Id="Re27638492d684189" /><Relationship Type="http://schemas.openxmlformats.org/officeDocument/2006/relationships/worksheet" Target="/xl/worksheets/sheet4.xml" Id="R4927af253a6942b8" /><Relationship Type="http://schemas.openxmlformats.org/officeDocument/2006/relationships/worksheet" Target="/xl/worksheets/sheet5.xml" Id="Rc6da10421a734254" /><Relationship Type="http://schemas.openxmlformats.org/officeDocument/2006/relationships/worksheet" Target="/xl/worksheets/sheet6.xml" Id="Rb1bdbb76ba934b0f" /></Relationships>
</file>

<file path=xl/tables/table1.xml><?xml version="1.0" encoding="utf-8"?>
<x:table xmlns:x="http://schemas.openxmlformats.org/spreadsheetml/2006/main" id="4" name="PokemonRanking" displayName="PokemonRanking" ref="A4:S413" headerRowCount="1" totalsRowCount="0" totalsRowShown="0">
  <x:tableColumns count="19">
    <x:tableColumn id="1" name="Posição"/>
    <x:tableColumn id="2" name="Nº"/>
    <x:tableColumn id="3" name="Pokémon"/>
    <x:tableColumn id="4" name="Tipo 1"/>
    <x:tableColumn id="5" name="Tipo 2"/>
    <x:tableColumn id="6" name="Ataque"/>
    <x:tableColumn id="7" name="Ataque especial"/>
    <x:tableColumn id="8" name="Maior ofensiva"/>
    <x:tableColumn id="9" name="Atributo principal"/>
    <x:tableColumn id="10" name="Melhor habilidade"/>
    <x:tableColumn id="11" name="Tipo do golpe"/>
    <x:tableColumn id="12" name="Classe"/>
    <x:tableColumn id="13" name="Poder"/>
    <x:tableColumn id="14" name="Força estimada"/>
    <x:tableColumn id="15" name="2ª habilidade"/>
    <x:tableColumn id="16" name="3ª habilidade"/>
    <x:tableColumn id="17" name="4ª habilidade"/>
    <x:tableColumn id="18" name="5ª habilidade"/>
    <x:tableColumn id="19" name="Fo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okemonDados" displayName="PokemonDados" ref="A4:T413" headerRowCount="1" totalsRowCount="0" totalsRowShown="0">
  <x:tableColumns count="20">
    <x:tableColumn id="1" name="Nº"/>
    <x:tableColumn id="2" name="Pokémon"/>
    <x:tableColumn id="3" name="Tipo 1"/>
    <x:tableColumn id="4" name="Tipo 2"/>
    <x:tableColumn id="5" name="Raridade"/>
    <x:tableColumn id="6" name="PS base"/>
    <x:tableColumn id="7" name="Ataque"/>
    <x:tableColumn id="8" name="Defesa"/>
    <x:tableColumn id="9" name="Ataque especial"/>
    <x:tableColumn id="10" name="Defesa especial"/>
    <x:tableColumn id="11" name="Velocidade"/>
    <x:tableColumn id="12" name="Total base"/>
    <x:tableColumn id="13" name="Principal ofensivo"/>
    <x:tableColumn id="14" name="Nível de caça"/>
    <x:tableColumn id="15" name="XP por abate"/>
    <x:tableColumn id="16" name="Preço NPC"/>
    <x:tableColumn id="17" name="Valor de venda"/>
    <x:tableColumn id="18" name="Evolui para"/>
    <x:tableColumn id="19" name="Nível da evolução"/>
    <x:tableColumn id="20" name="Fo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kemonHabilidades" displayName="PokemonHabilidades" ref="A4:M3795" headerRowCount="1" totalsRowCount="0" totalsRowShown="0">
  <x:tableColumns count="13">
    <x:tableColumn id="1" name="Nº"/>
    <x:tableColumn id="2" name="Pokémon"/>
    <x:tableColumn id="3" name="Ordem na ficha"/>
    <x:tableColumn id="4" name="Habilidade"/>
    <x:tableColumn id="5" name="Tipo do golpe"/>
    <x:tableColumn id="6" name="Classe"/>
    <x:tableColumn id="7" name="Poder"/>
    <x:tableColumn id="8" name="Atributo base usado"/>
    <x:tableColumn id="9" name="Força estimada"/>
    <x:tableColumn id="10" name="Aprende no nível"/>
    <x:tableColumn id="11" name="Recarga (s)"/>
    <x:tableColumn id="12" name="MT"/>
    <x:tableColumn id="13" name="Fo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PokemonEfetividade" displayName="PokemonEfetividade" ref="A4:I413" headerRowCount="1" totalsRowCount="0" totalsRowShown="0">
  <x:tableColumns count="9">
    <x:tableColumn id="1" name="Nº"/>
    <x:tableColumn id="2" name="Pokémon"/>
    <x:tableColumn id="3" name="Tipo 1"/>
    <x:tableColumn id="4" name="Tipo 2"/>
    <x:tableColumn id="5" name="Fraquezas"/>
    <x:tableColumn id="6" name="Resistências"/>
    <x:tableColumn id="7" name="Imunidades"/>
    <x:tableColumn id="8" name="Vantagens ofensivas de tipo"/>
    <x:tableColumn id="9" name="Fo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kemonDrops" displayName="PokemonDrops" ref="A4:G1952" headerRowCount="1" totalsRowCount="0" totalsRowShown="0">
  <x:tableColumns count="7">
    <x:tableColumn id="1" name="Nº"/>
    <x:tableColumn id="2" name="Pokémon"/>
    <x:tableColumn id="3" name="Item"/>
    <x:tableColumn id="4" name="Quantidade mínima"/>
    <x:tableColumn id="5" name="Quantidade máxima"/>
    <x:tableColumn id="6" name="Chance"/>
    <x:tableColumn id="7" name="Fo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5415f2f9ee44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e6a4e79ff243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51d956db6849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7e29abe8eb4f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3ab3296da0c454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2" hidden="0" customWidth="1"/>
    <x:col min="4" max="4" width="14" hidden="0" customWidth="1"/>
    <x:col min="5" max="5" width="14" hidden="0" customWidth="1"/>
    <x:col min="6" max="6" width="17" hidden="0" customWidth="1"/>
    <x:col min="7" max="7" width="17" hidden="0" customWidth="1"/>
    <x:col min="8" max="8" width="17" hidden="0" customWidth="1"/>
    <x:col min="9" max="9" width="20" hidden="0" customWidth="1"/>
    <x:col min="10" max="10" width="27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68" hidden="0" customWidth="1"/>
  </x:cols>
  <x:sheetData>
    <x:row r="1">
      <x:c r="A1" s="2" t="str">
        <x:v>Ranking ofensivo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>
      <x:c r="A2" s="3" t="str">
        <x:v>409 Pokémon; 403 com golpes ofensivos • força estimada = poder + atributo base da classe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30" customHeight="1">
      <x:c r="A4" s="8" t="str">
        <x:v>Posição</x:v>
      </x:c>
      <x:c r="B4" s="8" t="str">
        <x:v>Nº</x:v>
      </x:c>
      <x:c r="C4" s="8" t="str">
        <x:v>Pokémon</x:v>
      </x:c>
      <x:c r="D4" s="8" t="str">
        <x:v>Tipo 1</x:v>
      </x:c>
      <x:c r="E4" s="8" t="str">
        <x:v>Tipo 2</x:v>
      </x:c>
      <x:c r="F4" s="8" t="str">
        <x:v>Ataque</x:v>
      </x:c>
      <x:c r="G4" s="8" t="str">
        <x:v>Ataque especial</x:v>
      </x:c>
      <x:c r="H4" s="8" t="str">
        <x:v>Maior ofensiva</x:v>
      </x:c>
      <x:c r="I4" s="8" t="str">
        <x:v>Atributo principal</x:v>
      </x:c>
      <x:c r="J4" s="8" t="str">
        <x:v>Melhor habilidade</x:v>
      </x:c>
      <x:c r="K4" s="8" t="str">
        <x:v>Tipo do golpe</x:v>
      </x:c>
      <x:c r="L4" s="8" t="str">
        <x:v>Classe</x:v>
      </x:c>
      <x:c r="M4" s="8" t="str">
        <x:v>Poder</x:v>
      </x:c>
      <x:c r="N4" s="8" t="str">
        <x:v>Força estimada</x:v>
      </x:c>
      <x:c r="O4" s="8" t="str">
        <x:v>2ª habilidade</x:v>
      </x:c>
      <x:c r="P4" s="8" t="str">
        <x:v>3ª habilidade</x:v>
      </x:c>
      <x:c r="Q4" s="8" t="str">
        <x:v>4ª habilidade</x:v>
      </x:c>
      <x:c r="R4" s="8" t="str">
        <x:v>5ª habilidade</x:v>
      </x:c>
      <x:c r="S4" s="8" t="str">
        <x:v>Fonte</x:v>
      </x:c>
    </x:row>
    <x:row r="5" ht="22" customHeight="1">
      <x:c r="A5" s="1" t="n">
        <x:v>1</x:v>
      </x:c>
      <x:c r="B5" s="1" t="n">
        <x:v>150</x:v>
      </x:c>
      <x:c r="C5" s="1" t="str">
        <x:v>Mewtwo</x:v>
      </x:c>
      <x:c r="D5" s="1" t="str">
        <x:v>Psíquico</x:v>
      </x:c>
      <x:c r="E5" s="1" t="str"/>
      <x:c r="F5" s="10" t="n">
        <x:v>110</x:v>
      </x:c>
      <x:c r="G5" s="10" t="n">
        <x:v>154</x:v>
      </x:c>
      <x:c r="H5" s="10" t="n">
        <x:f>MAX(F5:G5)</x:f>
        <x:v>154</x:v>
      </x:c>
      <x:c r="I5" s="1" t="str">
        <x:f>'Pokémon'!M154</x:f>
        <x:v>Especial</x:v>
      </x:c>
      <x:c r="J5" s="1" t="str">
        <x:f>'Habilidades'!D1443</x:f>
        <x:v>Mental Singularity</x:v>
      </x:c>
      <x:c r="K5" s="1" t="str">
        <x:f>'Habilidades'!E1443</x:f>
        <x:v>Psíquico</x:v>
      </x:c>
      <x:c r="L5" s="1" t="str">
        <x:f>'Habilidades'!F1443</x:f>
        <x:v>Especial</x:v>
      </x:c>
      <x:c r="M5" s="10" t="n">
        <x:f>'Habilidades'!G1443</x:f>
        <x:v>300</x:v>
      </x:c>
      <x:c r="N5" s="10" t="n">
        <x:f>'Habilidades'!I1443</x:f>
        <x:v>454</x:v>
      </x:c>
      <x:c r="O5" s="1" t="str">
        <x:f>'Habilidades'!D1444&amp;" ("&amp;'Habilidades'!I1444&amp;")"</x:f>
        <x:v>Future Sight (274)</x:v>
      </x:c>
      <x:c r="P5" s="1" t="str">
        <x:f>'Habilidades'!D1445&amp;" ("&amp;'Habilidades'!I1445&amp;")"</x:f>
        <x:v>Psystrike (254)</x:v>
      </x:c>
      <x:c r="Q5" s="1" t="str">
        <x:f>'Habilidades'!D1446&amp;" ("&amp;'Habilidades'!I1446&amp;")"</x:f>
        <x:v>Psychic (244)</x:v>
      </x:c>
      <x:c r="R5" s="1" t="str">
        <x:f>'Habilidades'!D1447&amp;" ("&amp;'Habilidades'!I1447&amp;")"</x:f>
        <x:v>Aura Sphere (234)</x:v>
      </x:c>
      <x:c r="S5" s="9" t="str">
        <x:v>https://poke.idleworld.online/pokepedia/pokemon/mewtwo</x:v>
      </x:c>
    </x:row>
    <x:row r="6" ht="22" customHeight="1">
      <x:c r="A6" s="1" t="n">
        <x:v>2</x:v>
      </x:c>
      <x:c r="B6" s="1" t="n">
        <x:v>65</x:v>
      </x:c>
      <x:c r="C6" s="1" t="str">
        <x:v>Alakazam</x:v>
      </x:c>
      <x:c r="D6" s="1" t="str">
        <x:v>Psíquico</x:v>
      </x:c>
      <x:c r="E6" s="1" t="str"/>
      <x:c r="F6" s="10" t="n">
        <x:v>50</x:v>
      </x:c>
      <x:c r="G6" s="10" t="n">
        <x:v>135</x:v>
      </x:c>
      <x:c r="H6" s="10" t="n">
        <x:f>MAX(F6:G6)</x:f>
        <x:v>135</x:v>
      </x:c>
      <x:c r="I6" s="1" t="str">
        <x:f>'Pokémon'!M69</x:f>
        <x:v>Especial</x:v>
      </x:c>
      <x:c r="J6" s="1" t="str">
        <x:f>'Habilidades'!D568</x:f>
        <x:v>Mental Singularity</x:v>
      </x:c>
      <x:c r="K6" s="1" t="str">
        <x:f>'Habilidades'!E568</x:f>
        <x:v>Psíquico</x:v>
      </x:c>
      <x:c r="L6" s="1" t="str">
        <x:f>'Habilidades'!F568</x:f>
        <x:v>Especial</x:v>
      </x:c>
      <x:c r="M6" s="10" t="n">
        <x:f>'Habilidades'!G568</x:f>
        <x:v>300</x:v>
      </x:c>
      <x:c r="N6" s="10" t="n">
        <x:f>'Habilidades'!I568</x:f>
        <x:v>435</x:v>
      </x:c>
      <x:c r="O6" s="1" t="str">
        <x:f>'Habilidades'!D569&amp;" ("&amp;'Habilidades'!I569&amp;")"</x:f>
        <x:v>Future Sight (255)</x:v>
      </x:c>
      <x:c r="P6" s="1" t="str">
        <x:f>'Habilidades'!D570&amp;" ("&amp;'Habilidades'!I570&amp;")"</x:f>
        <x:v>Psychic (225)</x:v>
      </x:c>
      <x:c r="Q6" s="1" t="str">
        <x:f>'Habilidades'!D571&amp;" ("&amp;'Habilidades'!I571&amp;")"</x:f>
        <x:v>Psybeam (200)</x:v>
      </x:c>
      <x:c r="R6" s="1" t="str">
        <x:f>'Habilidades'!D572&amp;" ("&amp;'Habilidades'!I572&amp;")"</x:f>
        <x:v>Confusion (185)</x:v>
      </x:c>
      <x:c r="S6" s="9" t="str">
        <x:v>https://poke.idleworld.online/pokepedia/pokemon/alakazam</x:v>
      </x:c>
    </x:row>
    <x:row r="7" ht="22" customHeight="1">
      <x:c r="A7" s="1" t="n">
        <x:v>3</x:v>
      </x:c>
      <x:c r="B7" s="1" t="n">
        <x:v>149</x:v>
      </x:c>
      <x:c r="C7" s="1" t="str">
        <x:v>Dragonite</x:v>
      </x:c>
      <x:c r="D7" s="1" t="str">
        <x:v>Dragão</x:v>
      </x:c>
      <x:c r="E7" s="1" t="str">
        <x:v>Voador</x:v>
      </x:c>
      <x:c r="F7" s="10" t="n">
        <x:v>134</x:v>
      </x:c>
      <x:c r="G7" s="10" t="n">
        <x:v>100</x:v>
      </x:c>
      <x:c r="H7" s="10" t="n">
        <x:f>MAX(F7:G7)</x:f>
        <x:v>134</x:v>
      </x:c>
      <x:c r="I7" s="1" t="str">
        <x:f>'Pokémon'!M153</x:f>
        <x:v>Física</x:v>
      </x:c>
      <x:c r="J7" s="1" t="str">
        <x:f>'Habilidades'!D1429</x:f>
        <x:v>Massive Hurricane</x:v>
      </x:c>
      <x:c r="K7" s="1" t="str">
        <x:f>'Habilidades'!E1429</x:f>
        <x:v>Voador</x:v>
      </x:c>
      <x:c r="L7" s="1" t="str">
        <x:f>'Habilidades'!F1429</x:f>
        <x:v>Física</x:v>
      </x:c>
      <x:c r="M7" s="10" t="n">
        <x:f>'Habilidades'!G1429</x:f>
        <x:v>300</x:v>
      </x:c>
      <x:c r="N7" s="10" t="n">
        <x:f>'Habilidades'!I1429</x:f>
        <x:v>434</x:v>
      </x:c>
      <x:c r="O7" s="1" t="str">
        <x:f>'Habilidades'!D1430&amp;" ("&amp;'Habilidades'!I1430&amp;")"</x:f>
        <x:v>Draconic Soul (400)</x:v>
      </x:c>
      <x:c r="P7" s="1" t="str">
        <x:f>'Habilidades'!D1431&amp;" ("&amp;'Habilidades'!I1431&amp;")"</x:f>
        <x:v>Outrage (254)</x:v>
      </x:c>
      <x:c r="Q7" s="1" t="str">
        <x:f>'Habilidades'!D1432&amp;" ("&amp;'Habilidades'!I1432&amp;")"</x:f>
        <x:v>Hyper Beam (250)</x:v>
      </x:c>
      <x:c r="R7" s="1" t="str">
        <x:f>'Habilidades'!D1433&amp;" ("&amp;'Habilidades'!I1433&amp;")"</x:f>
        <x:v>Dragon Rush (234)</x:v>
      </x:c>
      <x:c r="S7" s="9" t="str">
        <x:v>https://poke.idleworld.online/pokepedia/pokemon/dragonite</x:v>
      </x:c>
    </x:row>
    <x:row r="8" ht="22" customHeight="1">
      <x:c r="A8" s="1" t="n">
        <x:v>3</x:v>
      </x:c>
      <x:c r="B8" s="1" t="n">
        <x:v>248</x:v>
      </x:c>
      <x:c r="C8" s="1" t="str">
        <x:v>Tyranitar</x:v>
      </x:c>
      <x:c r="D8" s="1" t="str">
        <x:v>Pedra</x:v>
      </x:c>
      <x:c r="E8" s="1" t="str">
        <x:v>Sombrio</x:v>
      </x:c>
      <x:c r="F8" s="10" t="n">
        <x:v>134</x:v>
      </x:c>
      <x:c r="G8" s="10" t="n">
        <x:v>95</x:v>
      </x:c>
      <x:c r="H8" s="10" t="n">
        <x:f>MAX(F8:G8)</x:f>
        <x:v>134</x:v>
      </x:c>
      <x:c r="I8" s="1" t="str">
        <x:f>'Pokémon'!M251</x:f>
        <x:v>Física</x:v>
      </x:c>
      <x:c r="J8" s="1" t="str">
        <x:f>'Habilidades'!D2308</x:f>
        <x:v>Crumbling Rain</x:v>
      </x:c>
      <x:c r="K8" s="1" t="str">
        <x:f>'Habilidades'!E2308</x:f>
        <x:v>Pedra</x:v>
      </x:c>
      <x:c r="L8" s="1" t="str">
        <x:f>'Habilidades'!F2308</x:f>
        <x:v>Física</x:v>
      </x:c>
      <x:c r="M8" s="10" t="n">
        <x:f>'Habilidades'!G2308</x:f>
        <x:v>300</x:v>
      </x:c>
      <x:c r="N8" s="10" t="n">
        <x:f>'Habilidades'!I2308</x:f>
        <x:v>434</x:v>
      </x:c>
      <x:c r="O8" s="1" t="str">
        <x:f>'Habilidades'!D2309&amp;" ("&amp;'Habilidades'!I2309&amp;")"</x:f>
        <x:v>Giga Impact (284)</x:v>
      </x:c>
      <x:c r="P8" s="1" t="str">
        <x:f>'Habilidades'!D2310&amp;" ("&amp;'Habilidades'!I2310&amp;")"</x:f>
        <x:v>Thrash (254)</x:v>
      </x:c>
      <x:c r="Q8" s="1" t="str">
        <x:f>'Habilidades'!D2311&amp;" ("&amp;'Habilidades'!I2311&amp;")"</x:f>
        <x:v>Hyper Beam (245)</x:v>
      </x:c>
      <x:c r="R8" s="1" t="str">
        <x:f>'Habilidades'!D2312&amp;" ("&amp;'Habilidades'!I2312&amp;")"</x:f>
        <x:v>Earthquake (234)</x:v>
      </x:c>
      <x:c r="S8" s="9" t="str">
        <x:v>https://poke.idleworld.online/pokepedia/pokemon/tyranitar</x:v>
      </x:c>
    </x:row>
    <x:row r="9" ht="22" customHeight="1">
      <x:c r="A9" s="1" t="n">
        <x:v>5</x:v>
      </x:c>
      <x:c r="B9" s="1" t="n">
        <x:v>68</x:v>
      </x:c>
      <x:c r="C9" s="1" t="str">
        <x:v>Machamp</x:v>
      </x:c>
      <x:c r="D9" s="1" t="str">
        <x:v>Lutador</x:v>
      </x:c>
      <x:c r="E9" s="1" t="str"/>
      <x:c r="F9" s="10" t="n">
        <x:v>130</x:v>
      </x:c>
      <x:c r="G9" s="10" t="n">
        <x:v>65</x:v>
      </x:c>
      <x:c r="H9" s="10" t="n">
        <x:f>MAX(F9:G9)</x:f>
        <x:v>130</x:v>
      </x:c>
      <x:c r="I9" s="1" t="str">
        <x:f>'Pokémon'!M72</x:f>
        <x:v>Física</x:v>
      </x:c>
      <x:c r="J9" s="1" t="str">
        <x:f>'Habilidades'!D596</x:f>
        <x:v>Meteor Fists</x:v>
      </x:c>
      <x:c r="K9" s="1" t="str">
        <x:f>'Habilidades'!E596</x:f>
        <x:v>Lutador</x:v>
      </x:c>
      <x:c r="L9" s="1" t="str">
        <x:f>'Habilidades'!F596</x:f>
        <x:v>Física</x:v>
      </x:c>
      <x:c r="M9" s="10" t="n">
        <x:f>'Habilidades'!G596</x:f>
        <x:v>300</x:v>
      </x:c>
      <x:c r="N9" s="10" t="n">
        <x:f>'Habilidades'!I596</x:f>
        <x:v>430</x:v>
      </x:c>
      <x:c r="O9" s="1" t="str">
        <x:f>'Habilidades'!D597&amp;" ("&amp;'Habilidades'!I597&amp;")"</x:f>
        <x:v>Cross Chop (230)</x:v>
      </x:c>
      <x:c r="P9" s="1" t="str">
        <x:f>'Habilidades'!D598&amp;" ("&amp;'Habilidades'!I598&amp;")"</x:f>
        <x:v>Dynamic Punch (230)</x:v>
      </x:c>
      <x:c r="Q9" s="1" t="str">
        <x:f>'Habilidades'!D599&amp;" ("&amp;'Habilidades'!I599&amp;")"</x:f>
        <x:v>Low Kick (210)</x:v>
      </x:c>
      <x:c r="R9" s="1" t="str">
        <x:f>'Habilidades'!D600&amp;" ("&amp;'Habilidades'!I600&amp;")"</x:f>
        <x:v>Submission (210)</x:v>
      </x:c>
      <x:c r="S9" s="9" t="str">
        <x:v>https://poke.idleworld.online/pokepedia/pokemon/machamp</x:v>
      </x:c>
    </x:row>
    <x:row r="10" ht="22" customHeight="1">
      <x:c r="A10" s="1" t="n">
        <x:v>5</x:v>
      </x:c>
      <x:c r="B10" s="1" t="n">
        <x:v>94</x:v>
      </x:c>
      <x:c r="C10" s="1" t="str">
        <x:v>Gengar</x:v>
      </x:c>
      <x:c r="D10" s="1" t="str">
        <x:v>Fantasma</x:v>
      </x:c>
      <x:c r="E10" s="1" t="str">
        <x:v>Venenoso</x:v>
      </x:c>
      <x:c r="F10" s="10" t="n">
        <x:v>65</x:v>
      </x:c>
      <x:c r="G10" s="10" t="n">
        <x:v>130</x:v>
      </x:c>
      <x:c r="H10" s="10" t="n">
        <x:f>MAX(F10:G10)</x:f>
        <x:v>130</x:v>
      </x:c>
      <x:c r="I10" s="1" t="str">
        <x:f>'Pokémon'!M98</x:f>
        <x:v>Especial</x:v>
      </x:c>
      <x:c r="J10" s="1" t="str">
        <x:f>'Habilidades'!D871</x:f>
        <x:v>Untold Nightmare</x:v>
      </x:c>
      <x:c r="K10" s="1" t="str">
        <x:f>'Habilidades'!E871</x:f>
        <x:v>Fantasma</x:v>
      </x:c>
      <x:c r="L10" s="1" t="str">
        <x:f>'Habilidades'!F871</x:f>
        <x:v>Especial</x:v>
      </x:c>
      <x:c r="M10" s="10" t="n">
        <x:f>'Habilidades'!G871</x:f>
        <x:v>300</x:v>
      </x:c>
      <x:c r="N10" s="10" t="n">
        <x:f>'Habilidades'!I871</x:f>
        <x:v>430</x:v>
      </x:c>
      <x:c r="O10" s="1" t="str">
        <x:f>'Habilidades'!D872&amp;" ("&amp;'Habilidades'!I872&amp;")"</x:f>
        <x:v>Dream Eater (230)</x:v>
      </x:c>
      <x:c r="P10" s="1" t="str">
        <x:f>'Habilidades'!D873&amp;" ("&amp;'Habilidades'!I873&amp;")"</x:f>
        <x:v>Shadow Ball (210)</x:v>
      </x:c>
      <x:c r="Q10" s="1" t="str">
        <x:f>'Habilidades'!D874&amp;" ("&amp;'Habilidades'!I874&amp;")"</x:f>
        <x:v>Dark Pulse (210)</x:v>
      </x:c>
      <x:c r="R10" s="1" t="str">
        <x:f>'Habilidades'!D875&amp;" ("&amp;'Habilidades'!I875&amp;")"</x:f>
        <x:v>Hex (195)</x:v>
      </x:c>
      <x:c r="S10" s="9" t="str">
        <x:v>https://poke.idleworld.online/pokepedia/pokemon/gengar</x:v>
      </x:c>
    </x:row>
    <x:row r="11" ht="22" customHeight="1">
      <x:c r="A11" s="1" t="n">
        <x:v>5</x:v>
      </x:c>
      <x:c r="B11" s="1" t="n">
        <x:v>112</x:v>
      </x:c>
      <x:c r="C11" s="1" t="str">
        <x:v>Rhydon</x:v>
      </x:c>
      <x:c r="D11" s="1" t="str">
        <x:v>Terrestre</x:v>
      </x:c>
      <x:c r="E11" s="1" t="str">
        <x:v>Pedra</x:v>
      </x:c>
      <x:c r="F11" s="10" t="n">
        <x:v>130</x:v>
      </x:c>
      <x:c r="G11" s="10" t="n">
        <x:v>45</x:v>
      </x:c>
      <x:c r="H11" s="10" t="n">
        <x:f>MAX(F11:G11)</x:f>
        <x:v>130</x:v>
      </x:c>
      <x:c r="I11" s="1" t="str">
        <x:f>'Pokémon'!M116</x:f>
        <x:v>Física</x:v>
      </x:c>
      <x:c r="J11" s="1" t="str">
        <x:f>'Habilidades'!D1060</x:f>
        <x:v>Crossing Fissure</x:v>
      </x:c>
      <x:c r="K11" s="1" t="str">
        <x:f>'Habilidades'!E1060</x:f>
        <x:v>Terrestre</x:v>
      </x:c>
      <x:c r="L11" s="1" t="str">
        <x:f>'Habilidades'!F1060</x:f>
        <x:v>Física</x:v>
      </x:c>
      <x:c r="M11" s="10" t="n">
        <x:f>'Habilidades'!G1060</x:f>
        <x:v>300</x:v>
      </x:c>
      <x:c r="N11" s="10" t="n">
        <x:f>'Habilidades'!I1060</x:f>
        <x:v>430</x:v>
      </x:c>
      <x:c r="O11" s="1" t="str">
        <x:f>'Habilidades'!D1061&amp;" ("&amp;'Habilidades'!I1061&amp;")"</x:f>
        <x:v>Megahorn (250)</x:v>
      </x:c>
      <x:c r="P11" s="1" t="str">
        <x:f>'Habilidades'!D1062&amp;" ("&amp;'Habilidades'!I1062&amp;")"</x:f>
        <x:v>Stone Edge (230)</x:v>
      </x:c>
      <x:c r="Q11" s="1" t="str">
        <x:f>'Habilidades'!D1063&amp;" ("&amp;'Habilidades'!I1063&amp;")"</x:f>
        <x:v>Hammer Arm (230)</x:v>
      </x:c>
      <x:c r="R11" s="1" t="str">
        <x:f>'Habilidades'!D1064&amp;" ("&amp;'Habilidades'!I1064&amp;")"</x:f>
        <x:v>Earthquake (230)</x:v>
      </x:c>
      <x:c r="S11" s="9" t="str">
        <x:v>https://poke.idleworld.online/pokepedia/pokemon/rhydon</x:v>
      </x:c>
    </x:row>
    <x:row r="12" ht="22" customHeight="1">
      <x:c r="A12" s="1" t="n">
        <x:v>5</x:v>
      </x:c>
      <x:c r="B12" s="1" t="n">
        <x:v>196</x:v>
      </x:c>
      <x:c r="C12" s="1" t="str">
        <x:v>Espeon</x:v>
      </x:c>
      <x:c r="D12" s="1" t="str">
        <x:v>Psíquico</x:v>
      </x:c>
      <x:c r="E12" s="1" t="str"/>
      <x:c r="F12" s="10" t="n">
        <x:v>65</x:v>
      </x:c>
      <x:c r="G12" s="10" t="n">
        <x:v>130</x:v>
      </x:c>
      <x:c r="H12" s="10" t="n">
        <x:f>MAX(F12:G12)</x:f>
        <x:v>130</x:v>
      </x:c>
      <x:c r="I12" s="1" t="str">
        <x:f>'Pokémon'!M200</x:f>
        <x:v>Especial</x:v>
      </x:c>
      <x:c r="J12" s="1" t="str">
        <x:f>'Habilidades'!D1833</x:f>
        <x:v>Mental Singularity</x:v>
      </x:c>
      <x:c r="K12" s="1" t="str">
        <x:f>'Habilidades'!E1833</x:f>
        <x:v>Psíquico</x:v>
      </x:c>
      <x:c r="L12" s="1" t="str">
        <x:f>'Habilidades'!F1833</x:f>
        <x:v>Especial</x:v>
      </x:c>
      <x:c r="M12" s="10" t="n">
        <x:f>'Habilidades'!G1833</x:f>
        <x:v>300</x:v>
      </x:c>
      <x:c r="N12" s="10" t="n">
        <x:f>'Habilidades'!I1833</x:f>
        <x:v>430</x:v>
      </x:c>
      <x:c r="O12" s="1" t="str">
        <x:f>'Habilidades'!D1834&amp;" ("&amp;'Habilidades'!I1834&amp;")"</x:f>
        <x:v>Future Sight (250)</x:v>
      </x:c>
      <x:c r="P12" s="1" t="str">
        <x:f>'Habilidades'!D1835&amp;" ("&amp;'Habilidades'!I1835&amp;")"</x:f>
        <x:v>Psychic (220)</x:v>
      </x:c>
      <x:c r="Q12" s="1" t="str">
        <x:f>'Habilidades'!D1836&amp;" ("&amp;'Habilidades'!I1836&amp;")"</x:f>
        <x:v>Last Resort (205)</x:v>
      </x:c>
      <x:c r="R12" s="1" t="str">
        <x:f>'Habilidades'!D1837&amp;" ("&amp;'Habilidades'!I1837&amp;")"</x:f>
        <x:v>Psybeam (195)</x:v>
      </x:c>
      <x:c r="S12" s="9" t="str">
        <x:v>https://poke.idleworld.online/pokepedia/pokemon/espeon</x:v>
      </x:c>
    </x:row>
    <x:row r="13" ht="22" customHeight="1">
      <x:c r="A13" s="1" t="n">
        <x:v>5</x:v>
      </x:c>
      <x:c r="B13" s="1" t="n">
        <x:v>212</x:v>
      </x:c>
      <x:c r="C13" s="1" t="str">
        <x:v>Scizor</x:v>
      </x:c>
      <x:c r="D13" s="1" t="str">
        <x:v>Inseto</x:v>
      </x:c>
      <x:c r="E13" s="1" t="str">
        <x:v>Aço</x:v>
      </x:c>
      <x:c r="F13" s="10" t="n">
        <x:v>130</x:v>
      </x:c>
      <x:c r="G13" s="10" t="n">
        <x:v>55</x:v>
      </x:c>
      <x:c r="H13" s="10" t="n">
        <x:f>MAX(F13:G13)</x:f>
        <x:v>130</x:v>
      </x:c>
      <x:c r="I13" s="1" t="str">
        <x:f>'Pokémon'!M215</x:f>
        <x:v>Física</x:v>
      </x:c>
      <x:c r="J13" s="1" t="str">
        <x:f>'Habilidades'!D1976</x:f>
        <x:v>Hive Crush</x:v>
      </x:c>
      <x:c r="K13" s="1" t="str">
        <x:f>'Habilidades'!E1976</x:f>
        <x:v>Inseto</x:v>
      </x:c>
      <x:c r="L13" s="1" t="str">
        <x:f>'Habilidades'!F1976</x:f>
        <x:v>Física</x:v>
      </x:c>
      <x:c r="M13" s="10" t="n">
        <x:f>'Habilidades'!G1976</x:f>
        <x:v>300</x:v>
      </x:c>
      <x:c r="N13" s="10" t="n">
        <x:f>'Habilidades'!I1976</x:f>
        <x:v>430</x:v>
      </x:c>
      <x:c r="O13" s="1" t="str">
        <x:f>'Habilidades'!D1977&amp;" ("&amp;'Habilidades'!I1977&amp;")"</x:f>
        <x:v>X-Scissor (210)</x:v>
      </x:c>
      <x:c r="P13" s="1" t="str">
        <x:f>'Habilidades'!D1978&amp;" ("&amp;'Habilidades'!I1978&amp;")"</x:f>
        <x:v>Iron Head (210)</x:v>
      </x:c>
      <x:c r="Q13" s="1" t="str">
        <x:f>'Habilidades'!D1979&amp;" ("&amp;'Habilidades'!I1979&amp;")"</x:f>
        <x:v>Slash (200)</x:v>
      </x:c>
      <x:c r="R13" s="1" t="str">
        <x:f>'Habilidades'!D1980&amp;" ("&amp;'Habilidades'!I1980&amp;")"</x:f>
        <x:v>Night Slash (200)</x:v>
      </x:c>
      <x:c r="S13" s="9" t="str">
        <x:v>https://poke.idleworld.online/pokepedia/pokemon/scizor</x:v>
      </x:c>
    </x:row>
    <x:row r="14" ht="22" customHeight="1">
      <x:c r="A14" s="1" t="n">
        <x:v>5</x:v>
      </x:c>
      <x:c r="B14" s="1" t="n">
        <x:v>250</x:v>
      </x:c>
      <x:c r="C14" s="1" t="str">
        <x:v>Ho-oh</x:v>
      </x:c>
      <x:c r="D14" s="1" t="str">
        <x:v>Fogo</x:v>
      </x:c>
      <x:c r="E14" s="1" t="str">
        <x:v>Voador</x:v>
      </x:c>
      <x:c r="F14" s="10" t="n">
        <x:v>130</x:v>
      </x:c>
      <x:c r="G14" s="10" t="n">
        <x:v>110</x:v>
      </x:c>
      <x:c r="H14" s="10" t="n">
        <x:f>MAX(F14:G14)</x:f>
        <x:v>130</x:v>
      </x:c>
      <x:c r="I14" s="1" t="str">
        <x:f>'Pokémon'!M253</x:f>
        <x:v>Física</x:v>
      </x:c>
      <x:c r="J14" s="1" t="str">
        <x:f>'Habilidades'!D2334</x:f>
        <x:v>Massive Hurricane</x:v>
      </x:c>
      <x:c r="K14" s="1" t="str">
        <x:f>'Habilidades'!E2334</x:f>
        <x:v>Voador</x:v>
      </x:c>
      <x:c r="L14" s="1" t="str">
        <x:f>'Habilidades'!F2334</x:f>
        <x:v>Física</x:v>
      </x:c>
      <x:c r="M14" s="10" t="n">
        <x:f>'Habilidades'!G2334</x:f>
        <x:v>300</x:v>
      </x:c>
      <x:c r="N14" s="10" t="n">
        <x:f>'Habilidades'!I2334</x:f>
        <x:v>430</x:v>
      </x:c>
      <x:c r="O14" s="1" t="str">
        <x:f>'Habilidades'!D2335&amp;" ("&amp;'Habilidades'!I2335&amp;")"</x:f>
        <x:v>Ignition Point (410)</x:v>
      </x:c>
      <x:c r="P14" s="1" t="str">
        <x:f>'Habilidades'!D2336&amp;" ("&amp;'Habilidades'!I2336&amp;")"</x:f>
        <x:v>Sky Attack (270)</x:v>
      </x:c>
      <x:c r="Q14" s="1" t="str">
        <x:f>'Habilidades'!D2337&amp;" ("&amp;'Habilidades'!I2337&amp;")"</x:f>
        <x:v>Brave Bird (250)</x:v>
      </x:c>
      <x:c r="R14" s="1" t="str">
        <x:f>'Habilidades'!D2338&amp;" ("&amp;'Habilidades'!I2338&amp;")"</x:f>
        <x:v>Future Sight (230)</x:v>
      </x:c>
      <x:c r="S14" s="9" t="str">
        <x:v>https://poke.idleworld.online/pokepedia/pokemon/hooh</x:v>
      </x:c>
    </x:row>
    <x:row r="15" ht="22" customHeight="1">
      <x:c r="A15" s="1" t="n">
        <x:v>5</x:v>
      </x:c>
      <x:c r="B15" s="1" t="n">
        <x:v>471</x:v>
      </x:c>
      <x:c r="C15" s="1" t="str">
        <x:v>Glaceon</x:v>
      </x:c>
      <x:c r="D15" s="1" t="str">
        <x:v>Gelo</x:v>
      </x:c>
      <x:c r="E15" s="1" t="str"/>
      <x:c r="F15" s="10" t="n">
        <x:v>60</x:v>
      </x:c>
      <x:c r="G15" s="10" t="n">
        <x:v>130</x:v>
      </x:c>
      <x:c r="H15" s="10" t="n">
        <x:f>MAX(F15:G15)</x:f>
        <x:v>130</x:v>
      </x:c>
      <x:c r="I15" s="1" t="str">
        <x:f>'Pokémon'!M362</x:f>
        <x:v>Especial</x:v>
      </x:c>
      <x:c r="J15" s="1" t="str">
        <x:f>'Habilidades'!D3351</x:f>
        <x:v>Ice Time</x:v>
      </x:c>
      <x:c r="K15" s="1" t="str">
        <x:f>'Habilidades'!E3351</x:f>
        <x:v>Gelo</x:v>
      </x:c>
      <x:c r="L15" s="1" t="str">
        <x:f>'Habilidades'!F3351</x:f>
        <x:v>Especial</x:v>
      </x:c>
      <x:c r="M15" s="10" t="n">
        <x:f>'Habilidades'!G3351</x:f>
        <x:v>300</x:v>
      </x:c>
      <x:c r="N15" s="10" t="n">
        <x:f>'Habilidades'!I3351</x:f>
        <x:v>430</x:v>
      </x:c>
      <x:c r="O15" s="1" t="str">
        <x:f>'Habilidades'!D3352&amp;" ("&amp;'Habilidades'!I3352&amp;")"</x:f>
        <x:v>Blizzard (240)</x:v>
      </x:c>
      <x:c r="P15" s="1" t="str">
        <x:f>'Habilidades'!D3353&amp;" ("&amp;'Habilidades'!I3353&amp;")"</x:f>
        <x:v>Last Resort (200)</x:v>
      </x:c>
      <x:c r="Q15" s="1" t="str">
        <x:f>'Habilidades'!D3354&amp;" ("&amp;'Habilidades'!I3354&amp;")"</x:f>
        <x:v>Icy Wind (185)</x:v>
      </x:c>
      <x:c r="R15" s="1" t="str">
        <x:f>'Habilidades'!D3355&amp;" ("&amp;'Habilidades'!I3355&amp;")"</x:f>
        <x:v>Ice Fang (125)</x:v>
      </x:c>
      <x:c r="S15" s="9" t="str">
        <x:v>https://poke.idleworld.online/pokepedia/pokemon/glaceon</x:v>
      </x:c>
    </x:row>
    <x:row r="16" ht="22" customHeight="1">
      <x:c r="A16" s="1" t="n">
        <x:v>12</x:v>
      </x:c>
      <x:c r="B16" s="1" t="n">
        <x:v>103</x:v>
      </x:c>
      <x:c r="C16" s="1" t="str">
        <x:v>Exeggutor</x:v>
      </x:c>
      <x:c r="D16" s="1" t="str">
        <x:v>Planta</x:v>
      </x:c>
      <x:c r="E16" s="1" t="str">
        <x:v>Psíquico</x:v>
      </x:c>
      <x:c r="F16" s="10" t="n">
        <x:v>95</x:v>
      </x:c>
      <x:c r="G16" s="10" t="n">
        <x:v>125</x:v>
      </x:c>
      <x:c r="H16" s="10" t="n">
        <x:f>MAX(F16:G16)</x:f>
        <x:v>125</x:v>
      </x:c>
      <x:c r="I16" s="1" t="str">
        <x:f>'Pokémon'!M107</x:f>
        <x:v>Especial</x:v>
      </x:c>
      <x:c r="J16" s="1" t="str">
        <x:f>'Habilidades'!D964</x:f>
        <x:v>Petal Bloom</x:v>
      </x:c>
      <x:c r="K16" s="1" t="str">
        <x:f>'Habilidades'!E964</x:f>
        <x:v>Planta</x:v>
      </x:c>
      <x:c r="L16" s="1" t="str">
        <x:f>'Habilidades'!F964</x:f>
        <x:v>Especial</x:v>
      </x:c>
      <x:c r="M16" s="10" t="n">
        <x:f>'Habilidades'!G964</x:f>
        <x:v>300</x:v>
      </x:c>
      <x:c r="N16" s="10" t="n">
        <x:f>'Habilidades'!I964</x:f>
        <x:v>425</x:v>
      </x:c>
      <x:c r="O16" s="1" t="str">
        <x:f>'Habilidades'!D965&amp;" ("&amp;'Habilidades'!I965&amp;")"</x:f>
        <x:v>Leaf Storm (255)</x:v>
      </x:c>
      <x:c r="P16" s="1" t="str">
        <x:f>'Habilidades'!D966&amp;" ("&amp;'Habilidades'!I966&amp;")"</x:f>
        <x:v>Wood Hammer (215)</x:v>
      </x:c>
      <x:c r="Q16" s="1" t="str">
        <x:f>'Habilidades'!D967&amp;" ("&amp;'Habilidades'!I967&amp;")"</x:f>
        <x:v>Psyshock (205)</x:v>
      </x:c>
      <x:c r="R16" s="1" t="str">
        <x:f>'Habilidades'!D968&amp;" ("&amp;'Habilidades'!I968&amp;")"</x:f>
        <x:v>Egg Bomb (195)</x:v>
      </x:c>
      <x:c r="S16" s="9" t="str">
        <x:v>https://poke.idleworld.online/pokepedia/pokemon/exeggutor</x:v>
      </x:c>
    </x:row>
    <x:row r="17" ht="22" customHeight="1">
      <x:c r="A17" s="1" t="n">
        <x:v>12</x:v>
      </x:c>
      <x:c r="B17" s="1" t="n">
        <x:v>127</x:v>
      </x:c>
      <x:c r="C17" s="1" t="str">
        <x:v>Pinsir</x:v>
      </x:c>
      <x:c r="D17" s="1" t="str">
        <x:v>Inseto</x:v>
      </x:c>
      <x:c r="E17" s="1" t="str"/>
      <x:c r="F17" s="10" t="n">
        <x:v>125</x:v>
      </x:c>
      <x:c r="G17" s="10" t="n">
        <x:v>55</x:v>
      </x:c>
      <x:c r="H17" s="10" t="n">
        <x:f>MAX(F17:G17)</x:f>
        <x:v>125</x:v>
      </x:c>
      <x:c r="I17" s="1" t="str">
        <x:f>'Pokémon'!M131</x:f>
        <x:v>Física</x:v>
      </x:c>
      <x:c r="J17" s="1" t="str">
        <x:f>'Habilidades'!D1220</x:f>
        <x:v>Hive Crush</x:v>
      </x:c>
      <x:c r="K17" s="1" t="str">
        <x:f>'Habilidades'!E1220</x:f>
        <x:v>Inseto</x:v>
      </x:c>
      <x:c r="L17" s="1" t="str">
        <x:f>'Habilidades'!F1220</x:f>
        <x:v>Física</x:v>
      </x:c>
      <x:c r="M17" s="10" t="n">
        <x:f>'Habilidades'!G1220</x:f>
        <x:v>300</x:v>
      </x:c>
      <x:c r="N17" s="10" t="n">
        <x:f>'Habilidades'!I1220</x:f>
        <x:v>425</x:v>
      </x:c>
      <x:c r="O17" s="1" t="str">
        <x:f>'Habilidades'!D1221&amp;" ("&amp;'Habilidades'!I1221&amp;")"</x:f>
        <x:v>Thrash (245)</x:v>
      </x:c>
      <x:c r="P17" s="1" t="str">
        <x:f>'Habilidades'!D1222&amp;" ("&amp;'Habilidades'!I1222&amp;")"</x:f>
        <x:v>Superpower (245)</x:v>
      </x:c>
      <x:c r="Q17" s="1" t="str">
        <x:f>'Habilidades'!D1223&amp;" ("&amp;'Habilidades'!I1223&amp;")"</x:f>
        <x:v>Submission (205)</x:v>
      </x:c>
      <x:c r="R17" s="1" t="str">
        <x:f>'Habilidades'!D1224&amp;" ("&amp;'Habilidades'!I1224&amp;")"</x:f>
        <x:v>X-Scissor (205)</x:v>
      </x:c>
      <x:c r="S17" s="9" t="str">
        <x:v>https://poke.idleworld.online/pokepedia/pokemon/pinsir</x:v>
      </x:c>
    </x:row>
    <x:row r="18" ht="22" customHeight="1">
      <x:c r="A18" s="1" t="n">
        <x:v>12</x:v>
      </x:c>
      <x:c r="B18" s="1" t="n">
        <x:v>130</x:v>
      </x:c>
      <x:c r="C18" s="1" t="str">
        <x:v>Gyarados</x:v>
      </x:c>
      <x:c r="D18" s="1" t="str">
        <x:v>Água</x:v>
      </x:c>
      <x:c r="E18" s="1" t="str">
        <x:v>Voador</x:v>
      </x:c>
      <x:c r="F18" s="10" t="n">
        <x:v>125</x:v>
      </x:c>
      <x:c r="G18" s="10" t="n">
        <x:v>60</x:v>
      </x:c>
      <x:c r="H18" s="10" t="n">
        <x:f>MAX(F18:G18)</x:f>
        <x:v>125</x:v>
      </x:c>
      <x:c r="I18" s="1" t="str">
        <x:f>'Pokémon'!M134</x:f>
        <x:v>Física</x:v>
      </x:c>
      <x:c r="J18" s="1" t="str">
        <x:f>'Habilidades'!D1248</x:f>
        <x:v>Massive Hurricane</x:v>
      </x:c>
      <x:c r="K18" s="1" t="str">
        <x:f>'Habilidades'!E1248</x:f>
        <x:v>Voador</x:v>
      </x:c>
      <x:c r="L18" s="1" t="str">
        <x:f>'Habilidades'!F1248</x:f>
        <x:v>Física</x:v>
      </x:c>
      <x:c r="M18" s="10" t="n">
        <x:f>'Habilidades'!G1248</x:f>
        <x:v>300</x:v>
      </x:c>
      <x:c r="N18" s="10" t="n">
        <x:f>'Habilidades'!I1248</x:f>
        <x:v>425</x:v>
      </x:c>
      <x:c r="O18" s="1" t="str">
        <x:f>'Habilidades'!D1249&amp;" ("&amp;'Habilidades'!I1249&amp;")"</x:f>
        <x:v>Cyclonic Tide (360)</x:v>
      </x:c>
      <x:c r="P18" s="1" t="str">
        <x:f>'Habilidades'!D1250&amp;" ("&amp;'Habilidades'!I1250&amp;")"</x:f>
        <x:v>Thrash (245)</x:v>
      </x:c>
      <x:c r="Q18" s="1" t="str">
        <x:f>'Habilidades'!D1251&amp;" ("&amp;'Habilidades'!I1251&amp;")"</x:f>
        <x:v>Aqua Tail (215)</x:v>
      </x:c>
      <x:c r="R18" s="1" t="str">
        <x:f>'Habilidades'!D1252&amp;" ("&amp;'Habilidades'!I1252&amp;")"</x:f>
        <x:v>Hyper Beam (210)</x:v>
      </x:c>
      <x:c r="S18" s="9" t="str">
        <x:v>https://poke.idleworld.online/pokepedia/pokemon/gyarados</x:v>
      </x:c>
    </x:row>
    <x:row r="19" ht="22" customHeight="1">
      <x:c r="A19" s="1" t="n">
        <x:v>12</x:v>
      </x:c>
      <x:c r="B19" s="1" t="n">
        <x:v>145</x:v>
      </x:c>
      <x:c r="C19" s="1" t="str">
        <x:v>Zapdos</x:v>
      </x:c>
      <x:c r="D19" s="1" t="str">
        <x:v>Elétrico</x:v>
      </x:c>
      <x:c r="E19" s="1" t="str">
        <x:v>Voador</x:v>
      </x:c>
      <x:c r="F19" s="10" t="n">
        <x:v>90</x:v>
      </x:c>
      <x:c r="G19" s="10" t="n">
        <x:v>125</x:v>
      </x:c>
      <x:c r="H19" s="10" t="n">
        <x:f>MAX(F19:G19)</x:f>
        <x:v>125</x:v>
      </x:c>
      <x:c r="I19" s="1" t="str">
        <x:f>'Pokémon'!M149</x:f>
        <x:v>Especial</x:v>
      </x:c>
      <x:c r="J19" s="1" t="str">
        <x:f>'Habilidades'!D1388</x:f>
        <x:v>Static Overload</x:v>
      </x:c>
      <x:c r="K19" s="1" t="str">
        <x:f>'Habilidades'!E1388</x:f>
        <x:v>Elétrico</x:v>
      </x:c>
      <x:c r="L19" s="1" t="str">
        <x:f>'Habilidades'!F1388</x:f>
        <x:v>Especial</x:v>
      </x:c>
      <x:c r="M19" s="10" t="n">
        <x:f>'Habilidades'!G1388</x:f>
        <x:v>300</x:v>
      </x:c>
      <x:c r="N19" s="10" t="n">
        <x:f>'Habilidades'!I1388</x:f>
        <x:v>425</x:v>
      </x:c>
      <x:c r="O19" s="1" t="str">
        <x:f>'Habilidades'!D1389&amp;" ("&amp;'Habilidades'!I1389&amp;")"</x:f>
        <x:v>Massive Hurricane (390)</x:v>
      </x:c>
      <x:c r="P19" s="1" t="str">
        <x:f>'Habilidades'!D1390&amp;" ("&amp;'Habilidades'!I1390&amp;")"</x:f>
        <x:v>Zap Cannon (245)</x:v>
      </x:c>
      <x:c r="Q19" s="1" t="str">
        <x:f>'Habilidades'!D1391&amp;" ("&amp;'Habilidades'!I1391&amp;")"</x:f>
        <x:v>Thunder (235)</x:v>
      </x:c>
      <x:c r="R19" s="1" t="str">
        <x:f>'Habilidades'!D1392&amp;" ("&amp;'Habilidades'!I1392&amp;")"</x:f>
        <x:v>Discharge (205)</x:v>
      </x:c>
      <x:c r="S19" s="9" t="str">
        <x:v>https://poke.idleworld.online/pokepedia/pokemon/zapdos</x:v>
      </x:c>
    </x:row>
    <x:row r="20" ht="22" customHeight="1">
      <x:c r="A20" s="1" t="n">
        <x:v>12</x:v>
      </x:c>
      <x:c r="B20" s="1" t="n">
        <x:v>146</x:v>
      </x:c>
      <x:c r="C20" s="1" t="str">
        <x:v>Moltres</x:v>
      </x:c>
      <x:c r="D20" s="1" t="str">
        <x:v>Fogo</x:v>
      </x:c>
      <x:c r="E20" s="1" t="str">
        <x:v>Voador</x:v>
      </x:c>
      <x:c r="F20" s="10" t="n">
        <x:v>100</x:v>
      </x:c>
      <x:c r="G20" s="10" t="n">
        <x:v>125</x:v>
      </x:c>
      <x:c r="H20" s="10" t="n">
        <x:f>MAX(F20:G20)</x:f>
        <x:v>125</x:v>
      </x:c>
      <x:c r="I20" s="1" t="str">
        <x:f>'Pokémon'!M150</x:f>
        <x:v>Especial</x:v>
      </x:c>
      <x:c r="J20" s="1" t="str">
        <x:f>'Habilidades'!D1399</x:f>
        <x:v>Ignition Point</x:v>
      </x:c>
      <x:c r="K20" s="1" t="str">
        <x:f>'Habilidades'!E1399</x:f>
        <x:v>Fogo</x:v>
      </x:c>
      <x:c r="L20" s="1" t="str">
        <x:f>'Habilidades'!F1399</x:f>
        <x:v>Especial</x:v>
      </x:c>
      <x:c r="M20" s="10" t="n">
        <x:f>'Habilidades'!G1399</x:f>
        <x:v>300</x:v>
      </x:c>
      <x:c r="N20" s="10" t="n">
        <x:f>'Habilidades'!I1399</x:f>
        <x:v>425</x:v>
      </x:c>
      <x:c r="O20" s="1" t="str">
        <x:f>'Habilidades'!D1400&amp;" ("&amp;'Habilidades'!I1400&amp;")"</x:f>
        <x:v>Massive Hurricane (400)</x:v>
      </x:c>
      <x:c r="P20" s="1" t="str">
        <x:f>'Habilidades'!D1401&amp;" ("&amp;'Habilidades'!I1401&amp;")"</x:f>
        <x:v>Solar Beam (245)</x:v>
      </x:c>
      <x:c r="Q20" s="1" t="str">
        <x:f>'Habilidades'!D1402&amp;" ("&amp;'Habilidades'!I1402&amp;")"</x:f>
        <x:v>Sky Attack (240)</x:v>
      </x:c>
      <x:c r="R20" s="1" t="str">
        <x:f>'Habilidades'!D1403&amp;" ("&amp;'Habilidades'!I1403&amp;")"</x:f>
        <x:v>Hurricane (235)</x:v>
      </x:c>
      <x:c r="S20" s="9" t="str">
        <x:v>https://poke.idleworld.online/pokepedia/pokemon/moltres</x:v>
      </x:c>
    </x:row>
    <x:row r="21" ht="22" customHeight="1">
      <x:c r="A21" s="1" t="n">
        <x:v>12</x:v>
      </x:c>
      <x:c r="B21" s="1" t="n">
        <x:v>214</x:v>
      </x:c>
      <x:c r="C21" s="1" t="str">
        <x:v>Heracross</x:v>
      </x:c>
      <x:c r="D21" s="1" t="str">
        <x:v>Inseto</x:v>
      </x:c>
      <x:c r="E21" s="1" t="str">
        <x:v>Lutador</x:v>
      </x:c>
      <x:c r="F21" s="10" t="n">
        <x:v>125</x:v>
      </x:c>
      <x:c r="G21" s="10" t="n">
        <x:v>40</x:v>
      </x:c>
      <x:c r="H21" s="10" t="n">
        <x:f>MAX(F21:G21)</x:f>
        <x:v>125</x:v>
      </x:c>
      <x:c r="I21" s="1" t="str">
        <x:f>'Pokémon'!M217</x:f>
        <x:v>Física</x:v>
      </x:c>
      <x:c r="J21" s="1" t="str">
        <x:f>'Habilidades'!D1999</x:f>
        <x:v>Hive Crush</x:v>
      </x:c>
      <x:c r="K21" s="1" t="str">
        <x:f>'Habilidades'!E1999</x:f>
        <x:v>Inseto</x:v>
      </x:c>
      <x:c r="L21" s="1" t="str">
        <x:f>'Habilidades'!F1999</x:f>
        <x:v>Física</x:v>
      </x:c>
      <x:c r="M21" s="10" t="n">
        <x:f>'Habilidades'!G1999</x:f>
        <x:v>300</x:v>
      </x:c>
      <x:c r="N21" s="10" t="n">
        <x:f>'Habilidades'!I1999</x:f>
        <x:v>425</x:v>
      </x:c>
      <x:c r="O21" s="1" t="str">
        <x:f>'Habilidades'!D2000&amp;" ("&amp;'Habilidades'!I2000&amp;")"</x:f>
        <x:v>Megahorn (245)</x:v>
      </x:c>
      <x:c r="P21" s="1" t="str">
        <x:f>'Habilidades'!D2001&amp;" ("&amp;'Habilidades'!I2001&amp;")"</x:f>
        <x:v>Close Combat (245)</x:v>
      </x:c>
      <x:c r="Q21" s="1" t="str">
        <x:f>'Habilidades'!D2002&amp;" ("&amp;'Habilidades'!I2002&amp;")"</x:f>
        <x:v>Take Down (215)</x:v>
      </x:c>
      <x:c r="R21" s="1" t="str">
        <x:f>'Habilidades'!D2003&amp;" ("&amp;'Habilidades'!I2003&amp;")"</x:f>
        <x:v>Brick Break (200)</x:v>
      </x:c>
      <x:c r="S21" s="9" t="str">
        <x:v>https://poke.idleworld.online/pokepedia/pokemon/heracross</x:v>
      </x:c>
    </x:row>
    <x:row r="22" ht="22" customHeight="1">
      <x:c r="A22" s="1" t="n">
        <x:v>18</x:v>
      </x:c>
      <x:c r="B22" s="1" t="n">
        <x:v>76</x:v>
      </x:c>
      <x:c r="C22" s="1" t="str">
        <x:v>Golem</x:v>
      </x:c>
      <x:c r="D22" s="1" t="str">
        <x:v>Pedra</x:v>
      </x:c>
      <x:c r="E22" s="1" t="str">
        <x:v>Terrestre</x:v>
      </x:c>
      <x:c r="F22" s="10" t="n">
        <x:v>120</x:v>
      </x:c>
      <x:c r="G22" s="10" t="n">
        <x:v>55</x:v>
      </x:c>
      <x:c r="H22" s="10" t="n">
        <x:f>MAX(F22:G22)</x:f>
        <x:v>120</x:v>
      </x:c>
      <x:c r="I22" s="1" t="str">
        <x:f>'Pokémon'!M80</x:f>
        <x:v>Física</x:v>
      </x:c>
      <x:c r="J22" s="1" t="str">
        <x:f>'Habilidades'!D676</x:f>
        <x:v>Crumbling Rain</x:v>
      </x:c>
      <x:c r="K22" s="1" t="str">
        <x:f>'Habilidades'!E676</x:f>
        <x:v>Pedra</x:v>
      </x:c>
      <x:c r="L22" s="1" t="str">
        <x:f>'Habilidades'!F676</x:f>
        <x:v>Física</x:v>
      </x:c>
      <x:c r="M22" s="10" t="n">
        <x:f>'Habilidades'!G676</x:f>
        <x:v>300</x:v>
      </x:c>
      <x:c r="N22" s="10" t="n">
        <x:f>'Habilidades'!I676</x:f>
        <x:v>420</x:v>
      </x:c>
      <x:c r="O22" s="1" t="str">
        <x:f>'Habilidades'!D677&amp;" ("&amp;'Habilidades'!I677&amp;")"</x:f>
        <x:v>Double-Edge (240)</x:v>
      </x:c>
      <x:c r="P22" s="1" t="str">
        <x:f>'Habilidades'!D678&amp;" ("&amp;'Habilidades'!I678&amp;")"</x:f>
        <x:v>Earthquake (220)</x:v>
      </x:c>
      <x:c r="Q22" s="1" t="str">
        <x:f>'Habilidades'!D679&amp;" ("&amp;'Habilidades'!I679&amp;")"</x:f>
        <x:v>Stone Edge (220)</x:v>
      </x:c>
      <x:c r="R22" s="1" t="str">
        <x:f>'Habilidades'!D680&amp;" ("&amp;'Habilidades'!I680&amp;")"</x:f>
        <x:v>Steamroller (185)</x:v>
      </x:c>
      <x:c r="S22" s="9" t="str">
        <x:v>https://poke.idleworld.online/pokepedia/pokemon/golem</x:v>
      </x:c>
    </x:row>
    <x:row r="23" ht="22" customHeight="1">
      <x:c r="A23" s="1" t="n">
        <x:v>18</x:v>
      </x:c>
      <x:c r="B23" s="1" t="n">
        <x:v>82</x:v>
      </x:c>
      <x:c r="C23" s="1" t="str">
        <x:v>Magneton</x:v>
      </x:c>
      <x:c r="D23" s="1" t="str">
        <x:v>Elétrico</x:v>
      </x:c>
      <x:c r="E23" s="1" t="str">
        <x:v>Aço</x:v>
      </x:c>
      <x:c r="F23" s="10" t="n">
        <x:v>60</x:v>
      </x:c>
      <x:c r="G23" s="10" t="n">
        <x:v>120</x:v>
      </x:c>
      <x:c r="H23" s="10" t="n">
        <x:f>MAX(F23:G23)</x:f>
        <x:v>120</x:v>
      </x:c>
      <x:c r="I23" s="1" t="str">
        <x:f>'Pokémon'!M86</x:f>
        <x:v>Especial</x:v>
      </x:c>
      <x:c r="J23" s="1" t="str">
        <x:f>'Habilidades'!D740</x:f>
        <x:v>Static Overload</x:v>
      </x:c>
      <x:c r="K23" s="1" t="str">
        <x:f>'Habilidades'!E740</x:f>
        <x:v>Elétrico</x:v>
      </x:c>
      <x:c r="L23" s="1" t="str">
        <x:f>'Habilidades'!F740</x:f>
        <x:v>Especial</x:v>
      </x:c>
      <x:c r="M23" s="10" t="n">
        <x:f>'Habilidades'!G740</x:f>
        <x:v>300</x:v>
      </x:c>
      <x:c r="N23" s="10" t="n">
        <x:f>'Habilidades'!I740</x:f>
        <x:v>420</x:v>
      </x:c>
      <x:c r="O23" s="1" t="str">
        <x:f>'Habilidades'!D741&amp;" ("&amp;'Habilidades'!I741&amp;")"</x:f>
        <x:v>Zap Cannon (240)</x:v>
      </x:c>
      <x:c r="P23" s="1" t="str">
        <x:f>'Habilidades'!D742&amp;" ("&amp;'Habilidades'!I742&amp;")"</x:f>
        <x:v>Tri-Attack (200)</x:v>
      </x:c>
      <x:c r="Q23" s="1" t="str">
        <x:f>'Habilidades'!D743&amp;" ("&amp;'Habilidades'!I743&amp;")"</x:f>
        <x:v>Flash Cannon (200)</x:v>
      </x:c>
      <x:c r="R23" s="1" t="str">
        <x:f>'Habilidades'!D744&amp;" ("&amp;'Habilidades'!I744&amp;")"</x:f>
        <x:v>Discharge (200)</x:v>
      </x:c>
      <x:c r="S23" s="9" t="str">
        <x:v>https://poke.idleworld.online/pokepedia/pokemon/magneton</x:v>
      </x:c>
    </x:row>
    <x:row r="24" ht="22" customHeight="1">
      <x:c r="A24" s="1" t="n">
        <x:v>18</x:v>
      </x:c>
      <x:c r="B24" s="1" t="n">
        <x:v>106</x:v>
      </x:c>
      <x:c r="C24" s="1" t="str">
        <x:v>Hitmonlee</x:v>
      </x:c>
      <x:c r="D24" s="1" t="str">
        <x:v>Lutador</x:v>
      </x:c>
      <x:c r="E24" s="1" t="str"/>
      <x:c r="F24" s="10" t="n">
        <x:v>120</x:v>
      </x:c>
      <x:c r="G24" s="10" t="n">
        <x:v>35</x:v>
      </x:c>
      <x:c r="H24" s="10" t="n">
        <x:f>MAX(F24:G24)</x:f>
        <x:v>120</x:v>
      </x:c>
      <x:c r="I24" s="1" t="str">
        <x:f>'Pokémon'!M110</x:f>
        <x:v>Física</x:v>
      </x:c>
      <x:c r="J24" s="1" t="str">
        <x:f>'Habilidades'!D993</x:f>
        <x:v>Meteor Fists</x:v>
      </x:c>
      <x:c r="K24" s="1" t="str">
        <x:f>'Habilidades'!E993</x:f>
        <x:v>Lutador</x:v>
      </x:c>
      <x:c r="L24" s="1" t="str">
        <x:f>'Habilidades'!F993</x:f>
        <x:v>Física</x:v>
      </x:c>
      <x:c r="M24" s="10" t="n">
        <x:f>'Habilidades'!G993</x:f>
        <x:v>300</x:v>
      </x:c>
      <x:c r="N24" s="10" t="n">
        <x:f>'Habilidades'!I993</x:f>
        <x:v>420</x:v>
      </x:c>
      <x:c r="O24" s="1" t="str">
        <x:f>'Habilidades'!D994&amp;" ("&amp;'Habilidades'!I994&amp;")"</x:f>
        <x:v>Hi Jump Kick (250)</x:v>
      </x:c>
      <x:c r="P24" s="1" t="str">
        <x:f>'Habilidades'!D995&amp;" ("&amp;'Habilidades'!I995&amp;")"</x:f>
        <x:v>Mega Kick (240)</x:v>
      </x:c>
      <x:c r="Q24" s="1" t="str">
        <x:f>'Habilidades'!D996&amp;" ("&amp;'Habilidades'!I996&amp;")"</x:f>
        <x:v>Close Combat (240)</x:v>
      </x:c>
      <x:c r="R24" s="1" t="str">
        <x:f>'Habilidades'!D997&amp;" ("&amp;'Habilidades'!I997&amp;")"</x:f>
        <x:v>Jump Kick (220)</x:v>
      </x:c>
      <x:c r="S24" s="9" t="str">
        <x:v>https://poke.idleworld.online/pokepedia/pokemon/hitmonlee</x:v>
      </x:c>
    </x:row>
    <x:row r="25" ht="22" customHeight="1">
      <x:c r="A25" s="1" t="n">
        <x:v>18</x:v>
      </x:c>
      <x:c r="B25" s="1" t="n">
        <x:v>232</x:v>
      </x:c>
      <x:c r="C25" s="1" t="str">
        <x:v>Donphan</x:v>
      </x:c>
      <x:c r="D25" s="1" t="str">
        <x:v>Terrestre</x:v>
      </x:c>
      <x:c r="E25" s="1" t="str"/>
      <x:c r="F25" s="10" t="n">
        <x:v>120</x:v>
      </x:c>
      <x:c r="G25" s="10" t="n">
        <x:v>60</x:v>
      </x:c>
      <x:c r="H25" s="10" t="n">
        <x:f>MAX(F25:G25)</x:f>
        <x:v>120</x:v>
      </x:c>
      <x:c r="I25" s="1" t="str">
        <x:f>'Pokémon'!M235</x:f>
        <x:v>Física</x:v>
      </x:c>
      <x:c r="J25" s="1" t="str">
        <x:f>'Habilidades'!D2183</x:f>
        <x:v>Crossing Fissure</x:v>
      </x:c>
      <x:c r="K25" s="1" t="str">
        <x:f>'Habilidades'!E2183</x:f>
        <x:v>Terrestre</x:v>
      </x:c>
      <x:c r="L25" s="1" t="str">
        <x:f>'Habilidades'!F2183</x:f>
        <x:v>Física</x:v>
      </x:c>
      <x:c r="M25" s="10" t="n">
        <x:f>'Habilidades'!G2183</x:f>
        <x:v>300</x:v>
      </x:c>
      <x:c r="N25" s="10" t="n">
        <x:f>'Habilidades'!I2183</x:f>
        <x:v>420</x:v>
      </x:c>
      <x:c r="O25" s="1" t="str">
        <x:f>'Habilidades'!D2184&amp;" ("&amp;'Habilidades'!I2184&amp;")"</x:f>
        <x:v>Giga Impact (270)</x:v>
      </x:c>
      <x:c r="P25" s="1" t="str">
        <x:f>'Habilidades'!D2185&amp;" ("&amp;'Habilidades'!I2185&amp;")"</x:f>
        <x:v>Earthquake (220)</x:v>
      </x:c>
      <x:c r="Q25" s="1" t="str">
        <x:f>'Habilidades'!D2186&amp;" ("&amp;'Habilidades'!I2186&amp;")"</x:f>
        <x:v>Slam (200)</x:v>
      </x:c>
      <x:c r="R25" s="1" t="str">
        <x:f>'Habilidades'!D2187&amp;" ("&amp;'Habilidades'!I2187&amp;")"</x:f>
        <x:v>Horn Attack (185)</x:v>
      </x:c>
      <x:c r="S25" s="9" t="str">
        <x:v>https://poke.idleworld.online/pokepedia/pokemon/donphan</x:v>
      </x:c>
    </x:row>
    <x:row r="26" ht="22" customHeight="1">
      <x:c r="A26" s="1" t="n">
        <x:v>22</x:v>
      </x:c>
      <x:c r="B26" s="1" t="n">
        <x:v>124</x:v>
      </x:c>
      <x:c r="C26" s="1" t="str">
        <x:v>Jynx</x:v>
      </x:c>
      <x:c r="D26" s="1" t="str">
        <x:v>Gelo</x:v>
      </x:c>
      <x:c r="E26" s="1" t="str">
        <x:v>Psíquico</x:v>
      </x:c>
      <x:c r="F26" s="10" t="n">
        <x:v>50</x:v>
      </x:c>
      <x:c r="G26" s="10" t="n">
        <x:v>115</x:v>
      </x:c>
      <x:c r="H26" s="10" t="n">
        <x:f>MAX(F26:G26)</x:f>
        <x:v>115</x:v>
      </x:c>
      <x:c r="I26" s="1" t="str">
        <x:f>'Pokémon'!M128</x:f>
        <x:v>Especial</x:v>
      </x:c>
      <x:c r="J26" s="1" t="str">
        <x:f>'Habilidades'!D1185</x:f>
        <x:v>Ice Time</x:v>
      </x:c>
      <x:c r="K26" s="1" t="str">
        <x:f>'Habilidades'!E1185</x:f>
        <x:v>Gelo</x:v>
      </x:c>
      <x:c r="L26" s="1" t="str">
        <x:f>'Habilidades'!F1185</x:f>
        <x:v>Especial</x:v>
      </x:c>
      <x:c r="M26" s="10" t="n">
        <x:f>'Habilidades'!G1185</x:f>
        <x:v>300</x:v>
      </x:c>
      <x:c r="N26" s="10" t="n">
        <x:f>'Habilidades'!I1185</x:f>
        <x:v>415</x:v>
      </x:c>
      <x:c r="O26" s="1" t="str">
        <x:f>'Habilidades'!D1186&amp;" ("&amp;'Habilidades'!I1186&amp;")"</x:f>
        <x:v>Blizzard (225)</x:v>
      </x:c>
      <x:c r="P26" s="1" t="str">
        <x:f>'Habilidades'!D1187&amp;" ("&amp;'Habilidades'!I1187&amp;")"</x:f>
        <x:v>Draining Kiss (165)</x:v>
      </x:c>
      <x:c r="Q26" s="1" t="str">
        <x:f>'Habilidades'!D1188&amp;" ("&amp;'Habilidades'!I1188&amp;")"</x:f>
        <x:v>Powder Snow (155)</x:v>
      </x:c>
      <x:c r="R26" s="1" t="str">
        <x:f>'Habilidades'!D1189&amp;" ("&amp;'Habilidades'!I1189&amp;")"</x:f>
        <x:v>Body Slam (135)</x:v>
      </x:c>
      <x:c r="S26" s="9" t="str">
        <x:v>https://poke.idleworld.online/pokepedia/pokemon/jynx</x:v>
      </x:c>
    </x:row>
    <x:row r="27" ht="22" customHeight="1">
      <x:c r="A27" s="1" t="n">
        <x:v>22</x:v>
      </x:c>
      <x:c r="B27" s="1" t="n">
        <x:v>141</x:v>
      </x:c>
      <x:c r="C27" s="1" t="str">
        <x:v>Kabutops</x:v>
      </x:c>
      <x:c r="D27" s="1" t="str">
        <x:v>Pedra</x:v>
      </x:c>
      <x:c r="E27" s="1" t="str">
        <x:v>Água</x:v>
      </x:c>
      <x:c r="F27" s="10" t="n">
        <x:v>115</x:v>
      </x:c>
      <x:c r="G27" s="10" t="n">
        <x:v>65</x:v>
      </x:c>
      <x:c r="H27" s="10" t="n">
        <x:f>MAX(F27:G27)</x:f>
        <x:v>115</x:v>
      </x:c>
      <x:c r="I27" s="1" t="str">
        <x:f>'Pokémon'!M145</x:f>
        <x:v>Física</x:v>
      </x:c>
      <x:c r="J27" s="1" t="str">
        <x:f>'Habilidades'!D1342</x:f>
        <x:v>Crumbling Rain</x:v>
      </x:c>
      <x:c r="K27" s="1" t="str">
        <x:f>'Habilidades'!E1342</x:f>
        <x:v>Pedra</x:v>
      </x:c>
      <x:c r="L27" s="1" t="str">
        <x:f>'Habilidades'!F1342</x:f>
        <x:v>Física</x:v>
      </x:c>
      <x:c r="M27" s="10" t="n">
        <x:f>'Habilidades'!G1342</x:f>
        <x:v>300</x:v>
      </x:c>
      <x:c r="N27" s="10" t="n">
        <x:f>'Habilidades'!I1342</x:f>
        <x:v>415</x:v>
      </x:c>
      <x:c r="O27" s="1" t="str">
        <x:f>'Habilidades'!D1343&amp;" ("&amp;'Habilidades'!I1343&amp;")"</x:f>
        <x:v>Night Slash (185)</x:v>
      </x:c>
      <x:c r="P27" s="1" t="str">
        <x:f>'Habilidades'!D1344&amp;" ("&amp;'Habilidades'!I1344&amp;")"</x:f>
        <x:v>Slash (185)</x:v>
      </x:c>
      <x:c r="Q27" s="1" t="str">
        <x:f>'Habilidades'!D1345&amp;" ("&amp;'Habilidades'!I1345&amp;")"</x:f>
        <x:v>Scratch (155)</x:v>
      </x:c>
      <x:c r="R27" s="1" t="str">
        <x:f>'Habilidades'!D1346&amp;" ("&amp;'Habilidades'!I1346&amp;")"</x:f>
        <x:v>Aqua Jet (155)</x:v>
      </x:c>
      <x:c r="S27" s="9" t="str">
        <x:v>https://poke.idleworld.online/pokepedia/pokemon/kabutops</x:v>
      </x:c>
    </x:row>
    <x:row r="28" ht="22" customHeight="1">
      <x:c r="A28" s="1" t="n">
        <x:v>22</x:v>
      </x:c>
      <x:c r="B28" s="1" t="n">
        <x:v>181</x:v>
      </x:c>
      <x:c r="C28" s="1" t="str">
        <x:v>Ampharos</x:v>
      </x:c>
      <x:c r="D28" s="1" t="str">
        <x:v>Elétrico</x:v>
      </x:c>
      <x:c r="E28" s="1" t="str"/>
      <x:c r="F28" s="10" t="n">
        <x:v>75</x:v>
      </x:c>
      <x:c r="G28" s="10" t="n">
        <x:v>115</x:v>
      </x:c>
      <x:c r="H28" s="10" t="n">
        <x:f>MAX(F28:G28)</x:f>
        <x:v>115</x:v>
      </x:c>
      <x:c r="I28" s="1" t="str">
        <x:f>'Pokémon'!M185</x:f>
        <x:v>Especial</x:v>
      </x:c>
      <x:c r="J28" s="1" t="str">
        <x:f>'Habilidades'!D1703</x:f>
        <x:v>Static Overload</x:v>
      </x:c>
      <x:c r="K28" s="1" t="str">
        <x:f>'Habilidades'!E1703</x:f>
        <x:v>Elétrico</x:v>
      </x:c>
      <x:c r="L28" s="1" t="str">
        <x:f>'Habilidades'!F1703</x:f>
        <x:v>Especial</x:v>
      </x:c>
      <x:c r="M28" s="10" t="n">
        <x:f>'Habilidades'!G1703</x:f>
        <x:v>300</x:v>
      </x:c>
      <x:c r="N28" s="10" t="n">
        <x:f>'Habilidades'!I1703</x:f>
        <x:v>415</x:v>
      </x:c>
      <x:c r="O28" s="1" t="str">
        <x:f>'Habilidades'!D1704&amp;" ("&amp;'Habilidades'!I1704&amp;")"</x:f>
        <x:v>Zap Cannon (235)</x:v>
      </x:c>
      <x:c r="P28" s="1" t="str">
        <x:f>'Habilidades'!D1705&amp;" ("&amp;'Habilidades'!I1705&amp;")"</x:f>
        <x:v>Thunder (225)</x:v>
      </x:c>
      <x:c r="Q28" s="1" t="str">
        <x:f>'Habilidades'!D1706&amp;" ("&amp;'Habilidades'!I1706&amp;")"</x:f>
        <x:v>Dragon Pulse (200)</x:v>
      </x:c>
      <x:c r="R28" s="1" t="str">
        <x:f>'Habilidades'!D1707&amp;" ("&amp;'Habilidades'!I1707&amp;")"</x:f>
        <x:v>Power Gem (195)</x:v>
      </x:c>
      <x:c r="S28" s="9" t="str">
        <x:v>https://poke.idleworld.online/pokepedia/pokemon/ampharos</x:v>
      </x:c>
    </x:row>
    <x:row r="29" ht="22" customHeight="1">
      <x:c r="A29" s="1" t="n">
        <x:v>22</x:v>
      </x:c>
      <x:c r="B29" s="1" t="n">
        <x:v>243</x:v>
      </x:c>
      <x:c r="C29" s="1" t="str">
        <x:v>Raikou</x:v>
      </x:c>
      <x:c r="D29" s="1" t="str">
        <x:v>Elétrico</x:v>
      </x:c>
      <x:c r="E29" s="1" t="str"/>
      <x:c r="F29" s="10" t="n">
        <x:v>85</x:v>
      </x:c>
      <x:c r="G29" s="10" t="n">
        <x:v>115</x:v>
      </x:c>
      <x:c r="H29" s="10" t="n">
        <x:f>MAX(F29:G29)</x:f>
        <x:v>115</x:v>
      </x:c>
      <x:c r="I29" s="1" t="str">
        <x:f>'Pokémon'!M246</x:f>
        <x:v>Especial</x:v>
      </x:c>
      <x:c r="J29" s="1" t="str">
        <x:f>'Habilidades'!D2257</x:f>
        <x:v>Static Overload</x:v>
      </x:c>
      <x:c r="K29" s="1" t="str">
        <x:f>'Habilidades'!E2257</x:f>
        <x:v>Elétrico</x:v>
      </x:c>
      <x:c r="L29" s="1" t="str">
        <x:f>'Habilidades'!F2257</x:f>
        <x:v>Especial</x:v>
      </x:c>
      <x:c r="M29" s="10" t="n">
        <x:f>'Habilidades'!G2257</x:f>
        <x:v>300</x:v>
      </x:c>
      <x:c r="N29" s="10" t="n">
        <x:f>'Habilidades'!I2257</x:f>
        <x:v>415</x:v>
      </x:c>
      <x:c r="O29" s="1" t="str">
        <x:f>'Habilidades'!D2258&amp;" ("&amp;'Habilidades'!I2258&amp;")"</x:f>
        <x:v>Thunder (225)</x:v>
      </x:c>
      <x:c r="P29" s="1" t="str">
        <x:f>'Habilidades'!D2259&amp;" ("&amp;'Habilidades'!I2259&amp;")"</x:f>
        <x:v>Extrasensory (195)</x:v>
      </x:c>
      <x:c r="Q29" s="1" t="str">
        <x:f>'Habilidades'!D2260&amp;" ("&amp;'Habilidades'!I2260&amp;")"</x:f>
        <x:v>Discharge (195)</x:v>
      </x:c>
      <x:c r="R29" s="1" t="str">
        <x:f>'Habilidades'!D2261&amp;" ("&amp;'Habilidades'!I2261&amp;")"</x:f>
        <x:v>Crunch (165)</x:v>
      </x:c>
      <x:c r="S29" s="9" t="str">
        <x:v>https://poke.idleworld.online/pokepedia/pokemon/raikou</x:v>
      </x:c>
    </x:row>
    <x:row r="30" ht="22" customHeight="1">
      <x:c r="A30" s="1" t="n">
        <x:v>26</x:v>
      </x:c>
      <x:c r="B30" s="1" t="n">
        <x:v>45</x:v>
      </x:c>
      <x:c r="C30" s="1" t="str">
        <x:v>Vileplume</x:v>
      </x:c>
      <x:c r="D30" s="1" t="str">
        <x:v>Planta</x:v>
      </x:c>
      <x:c r="E30" s="1" t="str">
        <x:v>Venenoso</x:v>
      </x:c>
      <x:c r="F30" s="10" t="n">
        <x:v>80</x:v>
      </x:c>
      <x:c r="G30" s="10" t="n">
        <x:v>110</x:v>
      </x:c>
      <x:c r="H30" s="10" t="n">
        <x:f>MAX(F30:G30)</x:f>
        <x:v>110</x:v>
      </x:c>
      <x:c r="I30" s="1" t="str">
        <x:f>'Pokémon'!M49</x:f>
        <x:v>Especial</x:v>
      </x:c>
      <x:c r="J30" s="1" t="str">
        <x:f>'Habilidades'!D380</x:f>
        <x:v>Petal Bloom</x:v>
      </x:c>
      <x:c r="K30" s="1" t="str">
        <x:f>'Habilidades'!E380</x:f>
        <x:v>Planta</x:v>
      </x:c>
      <x:c r="L30" s="1" t="str">
        <x:f>'Habilidades'!F380</x:f>
        <x:v>Especial</x:v>
      </x:c>
      <x:c r="M30" s="10" t="n">
        <x:f>'Habilidades'!G380</x:f>
        <x:v>300</x:v>
      </x:c>
      <x:c r="N30" s="10" t="n">
        <x:f>'Habilidades'!I380</x:f>
        <x:v>410</x:v>
      </x:c>
      <x:c r="O30" s="1" t="str">
        <x:f>'Habilidades'!D381&amp;" ("&amp;'Habilidades'!I381&amp;")"</x:f>
        <x:v>Petal Dance (230)</x:v>
      </x:c>
      <x:c r="P30" s="1" t="str">
        <x:f>'Habilidades'!D382&amp;" ("&amp;'Habilidades'!I382&amp;")"</x:f>
        <x:v>Solar Beam (230)</x:v>
      </x:c>
      <x:c r="Q30" s="1" t="str">
        <x:f>'Habilidades'!D383&amp;" ("&amp;'Habilidades'!I383&amp;")"</x:f>
        <x:v>Petal Blizzard (170)</x:v>
      </x:c>
      <x:c r="R30" s="1" t="str">
        <x:f>'Habilidades'!D384&amp;" ("&amp;'Habilidades'!I384&amp;")"</x:f>
        <x:v>Mega Drain (150)</x:v>
      </x:c>
      <x:c r="S30" s="9" t="str">
        <x:v>https://poke.idleworld.online/pokepedia/pokemon/vileplume</x:v>
      </x:c>
    </x:row>
    <x:row r="31" ht="22" customHeight="1">
      <x:c r="A31" s="1" t="n">
        <x:v>26</x:v>
      </x:c>
      <x:c r="B31" s="1" t="n">
        <x:v>85</x:v>
      </x:c>
      <x:c r="C31" s="1" t="str">
        <x:v>Dodrio</x:v>
      </x:c>
      <x:c r="D31" s="1" t="str">
        <x:v>Normal</x:v>
      </x:c>
      <x:c r="E31" s="1" t="str">
        <x:v>Voador</x:v>
      </x:c>
      <x:c r="F31" s="10" t="n">
        <x:v>110</x:v>
      </x:c>
      <x:c r="G31" s="10" t="n">
        <x:v>60</x:v>
      </x:c>
      <x:c r="H31" s="10" t="n">
        <x:f>MAX(F31:G31)</x:f>
        <x:v>110</x:v>
      </x:c>
      <x:c r="I31" s="1" t="str">
        <x:f>'Pokémon'!M89</x:f>
        <x:v>Física</x:v>
      </x:c>
      <x:c r="J31" s="1" t="str">
        <x:f>'Habilidades'!D779</x:f>
        <x:v>Massive Hurricane</x:v>
      </x:c>
      <x:c r="K31" s="1" t="str">
        <x:f>'Habilidades'!E779</x:f>
        <x:v>Voador</x:v>
      </x:c>
      <x:c r="L31" s="1" t="str">
        <x:f>'Habilidades'!F779</x:f>
        <x:v>Física</x:v>
      </x:c>
      <x:c r="M31" s="10" t="n">
        <x:f>'Habilidades'!G779</x:f>
        <x:v>300</x:v>
      </x:c>
      <x:c r="N31" s="10" t="n">
        <x:f>'Habilidades'!I779</x:f>
        <x:v>410</x:v>
      </x:c>
      <x:c r="O31" s="1" t="str">
        <x:f>'Habilidades'!D780&amp;" ("&amp;'Habilidades'!I780&amp;")"</x:f>
        <x:v>Thrash (230)</x:v>
      </x:c>
      <x:c r="P31" s="1" t="str">
        <x:f>'Habilidades'!D781&amp;" ("&amp;'Habilidades'!I781&amp;")"</x:f>
        <x:v>Drill Peck (190)</x:v>
      </x:c>
      <x:c r="Q31" s="1" t="str">
        <x:f>'Habilidades'!D782&amp;" ("&amp;'Habilidades'!I782&amp;")"</x:f>
        <x:v>Pluck (170)</x:v>
      </x:c>
      <x:c r="R31" s="1" t="str">
        <x:f>'Habilidades'!D783&amp;" ("&amp;'Habilidades'!I783&amp;")"</x:f>
        <x:v>Uproar (150)</x:v>
      </x:c>
      <x:c r="S31" s="9" t="str">
        <x:v>https://poke.idleworld.online/pokepedia/pokemon/dodrio</x:v>
      </x:c>
    </x:row>
    <x:row r="32" ht="22" customHeight="1">
      <x:c r="A32" s="1" t="n">
        <x:v>26</x:v>
      </x:c>
      <x:c r="B32" s="1" t="n">
        <x:v>123</x:v>
      </x:c>
      <x:c r="C32" s="1" t="str">
        <x:v>Scyther</x:v>
      </x:c>
      <x:c r="D32" s="1" t="str">
        <x:v>Inseto</x:v>
      </x:c>
      <x:c r="E32" s="1" t="str">
        <x:v>Voador</x:v>
      </x:c>
      <x:c r="F32" s="10" t="n">
        <x:v>110</x:v>
      </x:c>
      <x:c r="G32" s="10" t="n">
        <x:v>55</x:v>
      </x:c>
      <x:c r="H32" s="10" t="n">
        <x:f>MAX(F32:G32)</x:f>
        <x:v>110</x:v>
      </x:c>
      <x:c r="I32" s="1" t="str">
        <x:f>'Pokémon'!M127</x:f>
        <x:v>Física</x:v>
      </x:c>
      <x:c r="J32" s="1" t="str">
        <x:f>'Habilidades'!D1169</x:f>
        <x:v>Hive Crush</x:v>
      </x:c>
      <x:c r="K32" s="1" t="str">
        <x:f>'Habilidades'!E1169</x:f>
        <x:v>Inseto</x:v>
      </x:c>
      <x:c r="L32" s="1" t="str">
        <x:f>'Habilidades'!F1169</x:f>
        <x:v>Física</x:v>
      </x:c>
      <x:c r="M32" s="10" t="n">
        <x:f>'Habilidades'!G1169</x:f>
        <x:v>300</x:v>
      </x:c>
      <x:c r="N32" s="10" t="n">
        <x:f>'Habilidades'!I1169</x:f>
        <x:v>410</x:v>
      </x:c>
      <x:c r="O32" s="1" t="str">
        <x:f>'Habilidades'!D1170&amp;" ("&amp;'Habilidades'!I1170&amp;")"</x:f>
        <x:v>X-Scissor (190)</x:v>
      </x:c>
      <x:c r="P32" s="1" t="str">
        <x:f>'Habilidades'!D1171&amp;" ("&amp;'Habilidades'!I1171&amp;")"</x:f>
        <x:v>Slash (180)</x:v>
      </x:c>
      <x:c r="Q32" s="1" t="str">
        <x:f>'Habilidades'!D1172&amp;" ("&amp;'Habilidades'!I1172&amp;")"</x:f>
        <x:v>Night Slash (180)</x:v>
      </x:c>
      <x:c r="R32" s="1" t="str">
        <x:f>'Habilidades'!D1173&amp;" ("&amp;'Habilidades'!I1173&amp;")"</x:f>
        <x:v>Wing Attack (170)</x:v>
      </x:c>
      <x:c r="S32" s="9" t="str">
        <x:v>https://poke.idleworld.online/pokepedia/pokemon/scyther</x:v>
      </x:c>
    </x:row>
    <x:row r="33" ht="22" customHeight="1">
      <x:c r="A33" s="1" t="n">
        <x:v>26</x:v>
      </x:c>
      <x:c r="B33" s="1" t="n">
        <x:v>134</x:v>
      </x:c>
      <x:c r="C33" s="1" t="str">
        <x:v>Vaporeon</x:v>
      </x:c>
      <x:c r="D33" s="1" t="str">
        <x:v>Água</x:v>
      </x:c>
      <x:c r="E33" s="1" t="str"/>
      <x:c r="F33" s="10" t="n">
        <x:v>65</x:v>
      </x:c>
      <x:c r="G33" s="10" t="n">
        <x:v>110</x:v>
      </x:c>
      <x:c r="H33" s="10" t="n">
        <x:f>MAX(F33:G33)</x:f>
        <x:v>110</x:v>
      </x:c>
      <x:c r="I33" s="1" t="str">
        <x:f>'Pokémon'!M138</x:f>
        <x:v>Especial</x:v>
      </x:c>
      <x:c r="J33" s="1" t="str">
        <x:f>'Habilidades'!D1276</x:f>
        <x:v>Cyclonic Tide</x:v>
      </x:c>
      <x:c r="K33" s="1" t="str">
        <x:f>'Habilidades'!E1276</x:f>
        <x:v>Água</x:v>
      </x:c>
      <x:c r="L33" s="1" t="str">
        <x:f>'Habilidades'!F1276</x:f>
        <x:v>Especial</x:v>
      </x:c>
      <x:c r="M33" s="10" t="n">
        <x:f>'Habilidades'!G1276</x:f>
        <x:v>300</x:v>
      </x:c>
      <x:c r="N33" s="10" t="n">
        <x:f>'Habilidades'!I1276</x:f>
        <x:v>410</x:v>
      </x:c>
      <x:c r="O33" s="1" t="str">
        <x:f>'Habilidades'!D1277&amp;" ("&amp;'Habilidades'!I1277&amp;")"</x:f>
        <x:v>Hydro Pump (220)</x:v>
      </x:c>
      <x:c r="P33" s="1" t="str">
        <x:f>'Habilidades'!D1278&amp;" ("&amp;'Habilidades'!I1278&amp;")"</x:f>
        <x:v>Last Resort (205)</x:v>
      </x:c>
      <x:c r="Q33" s="1" t="str">
        <x:f>'Habilidades'!D1279&amp;" ("&amp;'Habilidades'!I1279&amp;")"</x:f>
        <x:v>Muddy Water (200)</x:v>
      </x:c>
      <x:c r="R33" s="1" t="str">
        <x:f>'Habilidades'!D1280&amp;" ("&amp;'Habilidades'!I1280&amp;")"</x:f>
        <x:v>Aurora Beam (175)</x:v>
      </x:c>
      <x:c r="S33" s="9" t="str">
        <x:v>https://poke.idleworld.online/pokepedia/pokemon/vaporeon</x:v>
      </x:c>
    </x:row>
    <x:row r="34" ht="22" customHeight="1">
      <x:c r="A34" s="1" t="n">
        <x:v>26</x:v>
      </x:c>
      <x:c r="B34" s="1" t="n">
        <x:v>135</x:v>
      </x:c>
      <x:c r="C34" s="1" t="str">
        <x:v>Jolteon</x:v>
      </x:c>
      <x:c r="D34" s="1" t="str">
        <x:v>Elétrico</x:v>
      </x:c>
      <x:c r="E34" s="1" t="str"/>
      <x:c r="F34" s="10" t="n">
        <x:v>65</x:v>
      </x:c>
      <x:c r="G34" s="10" t="n">
        <x:v>110</x:v>
      </x:c>
      <x:c r="H34" s="10" t="n">
        <x:f>MAX(F34:G34)</x:f>
        <x:v>110</x:v>
      </x:c>
      <x:c r="I34" s="1" t="str">
        <x:f>'Pokémon'!M139</x:f>
        <x:v>Especial</x:v>
      </x:c>
      <x:c r="J34" s="1" t="str">
        <x:f>'Habilidades'!D1285</x:f>
        <x:v>Static Overload</x:v>
      </x:c>
      <x:c r="K34" s="1" t="str">
        <x:f>'Habilidades'!E1285</x:f>
        <x:v>Elétrico</x:v>
      </x:c>
      <x:c r="L34" s="1" t="str">
        <x:f>'Habilidades'!F1285</x:f>
        <x:v>Especial</x:v>
      </x:c>
      <x:c r="M34" s="10" t="n">
        <x:f>'Habilidades'!G1285</x:f>
        <x:v>300</x:v>
      </x:c>
      <x:c r="N34" s="10" t="n">
        <x:f>'Habilidades'!I1285</x:f>
        <x:v>410</x:v>
      </x:c>
      <x:c r="O34" s="1" t="str">
        <x:f>'Habilidades'!D1286&amp;" ("&amp;'Habilidades'!I1286&amp;")"</x:f>
        <x:v>Thunder (220)</x:v>
      </x:c>
      <x:c r="P34" s="1" t="str">
        <x:f>'Habilidades'!D1287&amp;" ("&amp;'Habilidades'!I1287&amp;")"</x:f>
        <x:v>Last Resort (205)</x:v>
      </x:c>
      <x:c r="Q34" s="1" t="str">
        <x:f>'Habilidades'!D1288&amp;" ("&amp;'Habilidades'!I1288&amp;")"</x:f>
        <x:v>Discharge (190)</x:v>
      </x:c>
      <x:c r="R34" s="1" t="str">
        <x:f>'Habilidades'!D1289&amp;" ("&amp;'Habilidades'!I1289&amp;")"</x:f>
        <x:v>Thunder Shock (150)</x:v>
      </x:c>
      <x:c r="S34" s="9" t="str">
        <x:v>https://poke.idleworld.online/pokepedia/pokemon/jolteon</x:v>
      </x:c>
    </x:row>
    <x:row r="35" ht="22" customHeight="1">
      <x:c r="A35" s="1" t="n">
        <x:v>31</x:v>
      </x:c>
      <x:c r="B35" s="1" t="n">
        <x:v>6</x:v>
      </x:c>
      <x:c r="C35" s="1" t="str">
        <x:v>Charizard</x:v>
      </x:c>
      <x:c r="D35" s="1" t="str">
        <x:v>Fogo</x:v>
      </x:c>
      <x:c r="E35" s="1" t="str">
        <x:v>Voador</x:v>
      </x:c>
      <x:c r="F35" s="10" t="n">
        <x:v>84</x:v>
      </x:c>
      <x:c r="G35" s="10" t="n">
        <x:v>109</x:v>
      </x:c>
      <x:c r="H35" s="10" t="n">
        <x:f>MAX(F35:G35)</x:f>
        <x:v>109</x:v>
      </x:c>
      <x:c r="I35" s="1" t="str">
        <x:f>'Pokémon'!M10</x:f>
        <x:v>Especial</x:v>
      </x:c>
      <x:c r="J35" s="1" t="str">
        <x:f>'Habilidades'!D51</x:f>
        <x:v>Ignition Point</x:v>
      </x:c>
      <x:c r="K35" s="1" t="str">
        <x:f>'Habilidades'!E51</x:f>
        <x:v>Fogo</x:v>
      </x:c>
      <x:c r="L35" s="1" t="str">
        <x:f>'Habilidades'!F51</x:f>
        <x:v>Especial</x:v>
      </x:c>
      <x:c r="M35" s="10" t="n">
        <x:f>'Habilidades'!G51</x:f>
        <x:v>300</x:v>
      </x:c>
      <x:c r="N35" s="10" t="n">
        <x:f>'Habilidades'!I51</x:f>
        <x:v>409</x:v>
      </x:c>
      <x:c r="O35" s="1" t="str">
        <x:f>'Habilidades'!D52&amp;" ("&amp;'Habilidades'!I52&amp;")"</x:f>
        <x:v>Massive Hurricane (384)</x:v>
      </x:c>
      <x:c r="P35" s="1" t="str">
        <x:f>'Habilidades'!D53&amp;" ("&amp;'Habilidades'!I53&amp;")"</x:f>
        <x:v>Inferno (209)</x:v>
      </x:c>
      <x:c r="Q35" s="1" t="str">
        <x:f>'Habilidades'!D54&amp;" ("&amp;'Habilidades'!I54&amp;")"</x:f>
        <x:v>Flare Blitz (204)</x:v>
      </x:c>
      <x:c r="R35" s="1" t="str">
        <x:f>'Habilidades'!D55&amp;" ("&amp;'Habilidades'!I55&amp;")"</x:f>
        <x:v>Heat Wave (204)</x:v>
      </x:c>
      <x:c r="S35" s="9" t="str">
        <x:v>https://poke.idleworld.online/pokepedia/pokemon/charizard</x:v>
      </x:c>
    </x:row>
    <x:row r="36" ht="22" customHeight="1">
      <x:c r="A36" s="1" t="n">
        <x:v>31</x:v>
      </x:c>
      <x:c r="B36" s="1" t="n">
        <x:v>157</x:v>
      </x:c>
      <x:c r="C36" s="1" t="str">
        <x:v>Typhlosion</x:v>
      </x:c>
      <x:c r="D36" s="1" t="str">
        <x:v>Fogo</x:v>
      </x:c>
      <x:c r="E36" s="1" t="str"/>
      <x:c r="F36" s="10" t="n">
        <x:v>84</x:v>
      </x:c>
      <x:c r="G36" s="10" t="n">
        <x:v>109</x:v>
      </x:c>
      <x:c r="H36" s="10" t="n">
        <x:f>MAX(F36:G36)</x:f>
        <x:v>109</x:v>
      </x:c>
      <x:c r="I36" s="1" t="str">
        <x:f>'Pokémon'!M161</x:f>
        <x:v>Especial</x:v>
      </x:c>
      <x:c r="J36" s="1" t="str">
        <x:f>'Habilidades'!D1509</x:f>
        <x:v>Ignition Point</x:v>
      </x:c>
      <x:c r="K36" s="1" t="str">
        <x:f>'Habilidades'!E1509</x:f>
        <x:v>Fogo</x:v>
      </x:c>
      <x:c r="L36" s="1" t="str">
        <x:f>'Habilidades'!F1509</x:f>
        <x:v>Especial</x:v>
      </x:c>
      <x:c r="M36" s="10" t="n">
        <x:f>'Habilidades'!G1509</x:f>
        <x:v>300</x:v>
      </x:c>
      <x:c r="N36" s="10" t="n">
        <x:f>'Habilidades'!I1509</x:f>
        <x:v>409</x:v>
      </x:c>
      <x:c r="O36" s="1" t="str">
        <x:f>'Habilidades'!D1510&amp;" ("&amp;'Habilidades'!I1510&amp;")"</x:f>
        <x:v>Eruption (259)</x:v>
      </x:c>
      <x:c r="P36" s="1" t="str">
        <x:f>'Habilidades'!D1511&amp;" ("&amp;'Habilidades'!I1511&amp;")"</x:f>
        <x:v>Inferno (209)</x:v>
      </x:c>
      <x:c r="Q36" s="1" t="str">
        <x:f>'Habilidades'!D1512&amp;" ("&amp;'Habilidades'!I1512&amp;")"</x:f>
        <x:v>Double-Edge (204)</x:v>
      </x:c>
      <x:c r="R36" s="1" t="str">
        <x:f>'Habilidades'!D1513&amp;" ("&amp;'Habilidades'!I1513&amp;")"</x:f>
        <x:v>Flamethrower (199)</x:v>
      </x:c>
      <x:c r="S36" s="9" t="str">
        <x:v>https://poke.idleworld.online/pokepedia/pokemon/typhlosion</x:v>
      </x:c>
    </x:row>
    <x:row r="37" ht="22" customHeight="1">
      <x:c r="A37" s="1" t="n">
        <x:v>33</x:v>
      </x:c>
      <x:c r="B37" s="1" t="n">
        <x:v>57</x:v>
      </x:c>
      <x:c r="C37" s="1" t="str">
        <x:v>Primeape</x:v>
      </x:c>
      <x:c r="D37" s="1" t="str">
        <x:v>Lutador</x:v>
      </x:c>
      <x:c r="E37" s="1" t="str"/>
      <x:c r="F37" s="10" t="n">
        <x:v>105</x:v>
      </x:c>
      <x:c r="G37" s="10" t="n">
        <x:v>60</x:v>
      </x:c>
      <x:c r="H37" s="10" t="n">
        <x:f>MAX(F37:G37)</x:f>
        <x:v>105</x:v>
      </x:c>
      <x:c r="I37" s="1" t="str">
        <x:f>'Pokémon'!M61</x:f>
        <x:v>Física</x:v>
      </x:c>
      <x:c r="J37" s="1" t="str">
        <x:f>'Habilidades'!D506</x:f>
        <x:v>Meteor Fists</x:v>
      </x:c>
      <x:c r="K37" s="1" t="str">
        <x:f>'Habilidades'!E506</x:f>
        <x:v>Lutador</x:v>
      </x:c>
      <x:c r="L37" s="1" t="str">
        <x:f>'Habilidades'!F506</x:f>
        <x:v>Física</x:v>
      </x:c>
      <x:c r="M37" s="10" t="n">
        <x:f>'Habilidades'!G506</x:f>
        <x:v>300</x:v>
      </x:c>
      <x:c r="N37" s="10" t="n">
        <x:f>'Habilidades'!I506</x:f>
        <x:v>405</x:v>
      </x:c>
      <x:c r="O37" s="1" t="str">
        <x:f>'Habilidades'!D507&amp;" ("&amp;'Habilidades'!I507&amp;")"</x:f>
        <x:v>Thrash (225)</x:v>
      </x:c>
      <x:c r="P37" s="1" t="str">
        <x:f>'Habilidades'!D508&amp;" ("&amp;'Habilidades'!I508&amp;")"</x:f>
        <x:v>Close Combat (225)</x:v>
      </x:c>
      <x:c r="Q37" s="1" t="str">
        <x:f>'Habilidades'!D509&amp;" ("&amp;'Habilidades'!I509&amp;")"</x:f>
        <x:v>Cross Chop (205)</x:v>
      </x:c>
      <x:c r="R37" s="1" t="str">
        <x:f>'Habilidades'!D510&amp;" ("&amp;'Habilidades'!I510&amp;")"</x:f>
        <x:v>Assurance (165)</x:v>
      </x:c>
      <x:c r="S37" s="9" t="str">
        <x:v>https://poke.idleworld.online/pokepedia/pokemon/primeape</x:v>
      </x:c>
    </x:row>
    <x:row r="38" ht="22" customHeight="1">
      <x:c r="A38" s="1" t="n">
        <x:v>33</x:v>
      </x:c>
      <x:c r="B38" s="1" t="n">
        <x:v>89</x:v>
      </x:c>
      <x:c r="C38" s="1" t="str">
        <x:v>Muk</x:v>
      </x:c>
      <x:c r="D38" s="1" t="str">
        <x:v>Venenoso</x:v>
      </x:c>
      <x:c r="E38" s="1" t="str"/>
      <x:c r="F38" s="10" t="n">
        <x:v>105</x:v>
      </x:c>
      <x:c r="G38" s="10" t="n">
        <x:v>65</x:v>
      </x:c>
      <x:c r="H38" s="10" t="n">
        <x:f>MAX(F38:G38)</x:f>
        <x:v>105</x:v>
      </x:c>
      <x:c r="I38" s="1" t="str">
        <x:f>'Pokémon'!M93</x:f>
        <x:v>Física</x:v>
      </x:c>
      <x:c r="J38" s="1" t="str">
        <x:f>'Habilidades'!D824</x:f>
        <x:v>Toxic Deluge</x:v>
      </x:c>
      <x:c r="K38" s="1" t="str">
        <x:f>'Habilidades'!E824</x:f>
        <x:v>Venenoso</x:v>
      </x:c>
      <x:c r="L38" s="1" t="str">
        <x:f>'Habilidades'!F824</x:f>
        <x:v>Física</x:v>
      </x:c>
      <x:c r="M38" s="10" t="n">
        <x:f>'Habilidades'!G824</x:f>
        <x:v>300</x:v>
      </x:c>
      <x:c r="N38" s="10" t="n">
        <x:f>'Habilidades'!I824</x:f>
        <x:v>405</x:v>
      </x:c>
      <x:c r="O38" s="1" t="str">
        <x:f>'Habilidades'!D825&amp;" ("&amp;'Habilidades'!I825&amp;")"</x:f>
        <x:v>Gunk Shot (225)</x:v>
      </x:c>
      <x:c r="P38" s="1" t="str">
        <x:f>'Habilidades'!D826&amp;" ("&amp;'Habilidades'!I826&amp;")"</x:f>
        <x:v>Belch (185)</x:v>
      </x:c>
      <x:c r="Q38" s="1" t="str">
        <x:f>'Habilidades'!D827&amp;" ("&amp;'Habilidades'!I827&amp;")"</x:f>
        <x:v>Sludge Wave (160)</x:v>
      </x:c>
      <x:c r="R38" s="1" t="str">
        <x:f>'Habilidades'!D828&amp;" ("&amp;'Habilidades'!I828&amp;")"</x:f>
        <x:v>Sludge Bomb (155)</x:v>
      </x:c>
      <x:c r="S38" s="9" t="str">
        <x:v>https://poke.idleworld.online/pokepedia/pokemon/muk</x:v>
      </x:c>
    </x:row>
    <x:row r="39" ht="22" customHeight="1">
      <x:c r="A39" s="1" t="n">
        <x:v>33</x:v>
      </x:c>
      <x:c r="B39" s="1" t="n">
        <x:v>107</x:v>
      </x:c>
      <x:c r="C39" s="1" t="str">
        <x:v>Hitmonchan</x:v>
      </x:c>
      <x:c r="D39" s="1" t="str">
        <x:v>Lutador</x:v>
      </x:c>
      <x:c r="E39" s="1" t="str"/>
      <x:c r="F39" s="10" t="n">
        <x:v>105</x:v>
      </x:c>
      <x:c r="G39" s="10" t="n">
        <x:v>35</x:v>
      </x:c>
      <x:c r="H39" s="10" t="n">
        <x:f>MAX(F39:G39)</x:f>
        <x:v>105</x:v>
      </x:c>
      <x:c r="I39" s="1" t="str">
        <x:f>'Pokémon'!M111</x:f>
        <x:v>Física</x:v>
      </x:c>
      <x:c r="J39" s="1" t="str">
        <x:f>'Habilidades'!D1004</x:f>
        <x:v>Meteor Fists</x:v>
      </x:c>
      <x:c r="K39" s="1" t="str">
        <x:f>'Habilidades'!E1004</x:f>
        <x:v>Lutador</x:v>
      </x:c>
      <x:c r="L39" s="1" t="str">
        <x:f>'Habilidades'!F1004</x:f>
        <x:v>Física</x:v>
      </x:c>
      <x:c r="M39" s="10" t="n">
        <x:f>'Habilidades'!G1004</x:f>
        <x:v>300</x:v>
      </x:c>
      <x:c r="N39" s="10" t="n">
        <x:f>'Habilidades'!I1004</x:f>
        <x:v>405</x:v>
      </x:c>
      <x:c r="O39" s="1" t="str">
        <x:f>'Habilidades'!D1005&amp;" ("&amp;'Habilidades'!I1005&amp;")"</x:f>
        <x:v>Focus Punch (255)</x:v>
      </x:c>
      <x:c r="P39" s="1" t="str">
        <x:f>'Habilidades'!D1006&amp;" ("&amp;'Habilidades'!I1006&amp;")"</x:f>
        <x:v>Close Combat (225)</x:v>
      </x:c>
      <x:c r="Q39" s="1" t="str">
        <x:f>'Habilidades'!D1007&amp;" ("&amp;'Habilidades'!I1007&amp;")"</x:f>
        <x:v>Sky Uppercut (190)</x:v>
      </x:c>
      <x:c r="R39" s="1" t="str">
        <x:f>'Habilidades'!D1008&amp;" ("&amp;'Habilidades'!I1008&amp;")"</x:f>
        <x:v>Mega Punch (185)</x:v>
      </x:c>
      <x:c r="S39" s="9" t="str">
        <x:v>https://poke.idleworld.online/pokepedia/pokemon/hitmonchan</x:v>
      </x:c>
    </x:row>
    <x:row r="40" ht="22" customHeight="1">
      <x:c r="A40" s="1" t="n">
        <x:v>33</x:v>
      </x:c>
      <x:c r="B40" s="1" t="n">
        <x:v>142</x:v>
      </x:c>
      <x:c r="C40" s="1" t="str">
        <x:v>Aerodactyl</x:v>
      </x:c>
      <x:c r="D40" s="1" t="str">
        <x:v>Pedra</x:v>
      </x:c>
      <x:c r="E40" s="1" t="str">
        <x:v>Voador</x:v>
      </x:c>
      <x:c r="F40" s="10" t="n">
        <x:v>105</x:v>
      </x:c>
      <x:c r="G40" s="10" t="n">
        <x:v>60</x:v>
      </x:c>
      <x:c r="H40" s="10" t="n">
        <x:f>MAX(F40:G40)</x:f>
        <x:v>105</x:v>
      </x:c>
      <x:c r="I40" s="1" t="str">
        <x:f>'Pokémon'!M146</x:f>
        <x:v>Física</x:v>
      </x:c>
      <x:c r="J40" s="1" t="str">
        <x:f>'Habilidades'!D1352</x:f>
        <x:v>Massive Hurricane</x:v>
      </x:c>
      <x:c r="K40" s="1" t="str">
        <x:f>'Habilidades'!E1352</x:f>
        <x:v>Voador</x:v>
      </x:c>
      <x:c r="L40" s="1" t="str">
        <x:f>'Habilidades'!F1352</x:f>
        <x:v>Física</x:v>
      </x:c>
      <x:c r="M40" s="10" t="n">
        <x:f>'Habilidades'!G1352</x:f>
        <x:v>300</x:v>
      </x:c>
      <x:c r="N40" s="10" t="n">
        <x:f>'Habilidades'!I1352</x:f>
        <x:v>405</x:v>
      </x:c>
      <x:c r="O40" s="1" t="str">
        <x:f>'Habilidades'!D1353&amp;" ("&amp;'Habilidades'!I1353&amp;")"</x:f>
        <x:v>Crumbling Rain (405)</x:v>
      </x:c>
      <x:c r="P40" s="1" t="str">
        <x:f>'Habilidades'!D1354&amp;" ("&amp;'Habilidades'!I1354&amp;")"</x:f>
        <x:v>Giga Impact (255)</x:v>
      </x:c>
      <x:c r="Q40" s="1" t="str">
        <x:f>'Habilidades'!D1355&amp;" ("&amp;'Habilidades'!I1355&amp;")"</x:f>
        <x:v>Hyper Beam (210)</x:v>
      </x:c>
      <x:c r="R40" s="1" t="str">
        <x:f>'Habilidades'!D1356&amp;" ("&amp;'Habilidades'!I1356&amp;")"</x:f>
        <x:v>Take Down (195)</x:v>
      </x:c>
      <x:c r="S40" s="9" t="str">
        <x:v>https://poke.idleworld.online/pokepedia/pokemon/aerodactyl</x:v>
      </x:c>
    </x:row>
    <x:row r="41" ht="22" customHeight="1">
      <x:c r="A41" s="1" t="n">
        <x:v>33</x:v>
      </x:c>
      <x:c r="B41" s="1" t="n">
        <x:v>192</x:v>
      </x:c>
      <x:c r="C41" s="1" t="str">
        <x:v>Sunflora</x:v>
      </x:c>
      <x:c r="D41" s="1" t="str">
        <x:v>Planta</x:v>
      </x:c>
      <x:c r="E41" s="1" t="str"/>
      <x:c r="F41" s="10" t="n">
        <x:v>75</x:v>
      </x:c>
      <x:c r="G41" s="10" t="n">
        <x:v>105</x:v>
      </x:c>
      <x:c r="H41" s="10" t="n">
        <x:f>MAX(F41:G41)</x:f>
        <x:v>105</x:v>
      </x:c>
      <x:c r="I41" s="1" t="str">
        <x:f>'Pokémon'!M196</x:f>
        <x:v>Especial</x:v>
      </x:c>
      <x:c r="J41" s="1" t="str">
        <x:f>'Habilidades'!D1797</x:f>
        <x:v>Petal Bloom</x:v>
      </x:c>
      <x:c r="K41" s="1" t="str">
        <x:f>'Habilidades'!E1797</x:f>
        <x:v>Planta</x:v>
      </x:c>
      <x:c r="L41" s="1" t="str">
        <x:f>'Habilidades'!F1797</x:f>
        <x:v>Especial</x:v>
      </x:c>
      <x:c r="M41" s="10" t="n">
        <x:f>'Habilidades'!G1797</x:f>
        <x:v>300</x:v>
      </x:c>
      <x:c r="N41" s="10" t="n">
        <x:f>'Habilidades'!I1797</x:f>
        <x:v>405</x:v>
      </x:c>
      <x:c r="O41" s="1" t="str">
        <x:f>'Habilidades'!D1798&amp;" ("&amp;'Habilidades'!I1798&amp;")"</x:f>
        <x:v>Leaf Storm (235)</x:v>
      </x:c>
      <x:c r="P41" s="1" t="str">
        <x:f>'Habilidades'!D1799&amp;" ("&amp;'Habilidades'!I1799&amp;")"</x:f>
        <x:v>Petal Dance (225)</x:v>
      </x:c>
      <x:c r="Q41" s="1" t="str">
        <x:f>'Habilidades'!D1800&amp;" ("&amp;'Habilidades'!I1800&amp;")"</x:f>
        <x:v>Solar Beam (225)</x:v>
      </x:c>
      <x:c r="R41" s="1" t="str">
        <x:f>'Habilidades'!D1801&amp;" ("&amp;'Habilidades'!I1801&amp;")"</x:f>
        <x:v>Double-Edge (195)</x:v>
      </x:c>
      <x:c r="S41" s="9" t="str">
        <x:v>https://poke.idleworld.online/pokepedia/pokemon/sunflora</x:v>
      </x:c>
    </x:row>
    <x:row r="42" ht="22" customHeight="1">
      <x:c r="A42" s="1" t="n">
        <x:v>33</x:v>
      </x:c>
      <x:c r="B42" s="1" t="n">
        <x:v>224</x:v>
      </x:c>
      <x:c r="C42" s="1" t="str">
        <x:v>Octillery</x:v>
      </x:c>
      <x:c r="D42" s="1" t="str">
        <x:v>Água</x:v>
      </x:c>
      <x:c r="E42" s="1" t="str"/>
      <x:c r="F42" s="10" t="n">
        <x:v>105</x:v>
      </x:c>
      <x:c r="G42" s="10" t="n">
        <x:v>105</x:v>
      </x:c>
      <x:c r="H42" s="10" t="n">
        <x:f>MAX(F42:G42)</x:f>
        <x:v>105</x:v>
      </x:c>
      <x:c r="I42" s="1" t="str">
        <x:f>'Pokémon'!M227</x:f>
        <x:v>Empate</x:v>
      </x:c>
      <x:c r="J42" s="1" t="str">
        <x:f>'Habilidades'!D2106</x:f>
        <x:v>Cyclonic Tide</x:v>
      </x:c>
      <x:c r="K42" s="1" t="str">
        <x:f>'Habilidades'!E2106</x:f>
        <x:v>Água</x:v>
      </x:c>
      <x:c r="L42" s="1" t="str">
        <x:f>'Habilidades'!F2106</x:f>
        <x:v>Especial</x:v>
      </x:c>
      <x:c r="M42" s="10" t="n">
        <x:f>'Habilidades'!G2106</x:f>
        <x:v>300</x:v>
      </x:c>
      <x:c r="N42" s="10" t="n">
        <x:f>'Habilidades'!I2106</x:f>
        <x:v>405</x:v>
      </x:c>
      <x:c r="O42" s="1" t="str">
        <x:f>'Habilidades'!D2107&amp;" ("&amp;'Habilidades'!I2107&amp;")"</x:f>
        <x:v>Hyper Beam (255)</x:v>
      </x:c>
      <x:c r="P42" s="1" t="str">
        <x:f>'Habilidades'!D2108&amp;" ("&amp;'Habilidades'!I2108&amp;")"</x:f>
        <x:v>Gunk Shot (225)</x:v>
      </x:c>
      <x:c r="Q42" s="1" t="str">
        <x:f>'Habilidades'!D2109&amp;" ("&amp;'Habilidades'!I2109&amp;")"</x:f>
        <x:v>Hydro Pump (215)</x:v>
      </x:c>
      <x:c r="R42" s="1" t="str">
        <x:f>'Habilidades'!D2110&amp;" ("&amp;'Habilidades'!I2110&amp;")"</x:f>
        <x:v>Ice Beam (195)</x:v>
      </x:c>
      <x:c r="S42" s="9" t="str">
        <x:v>https://poke.idleworld.online/pokepedia/pokemon/octillery</x:v>
      </x:c>
    </x:row>
    <x:row r="43" ht="22" customHeight="1">
      <x:c r="A43" s="1" t="n">
        <x:v>39</x:v>
      </x:c>
      <x:c r="B43" s="1" t="n">
        <x:v>34</x:v>
      </x:c>
      <x:c r="C43" s="1" t="str">
        <x:v>Nidoking</x:v>
      </x:c>
      <x:c r="D43" s="1" t="str">
        <x:v>Venenoso</x:v>
      </x:c>
      <x:c r="E43" s="1" t="str">
        <x:v>Terrestre</x:v>
      </x:c>
      <x:c r="F43" s="10" t="n">
        <x:v>102</x:v>
      </x:c>
      <x:c r="G43" s="10" t="n">
        <x:v>85</x:v>
      </x:c>
      <x:c r="H43" s="10" t="n">
        <x:f>MAX(F43:G43)</x:f>
        <x:v>102</x:v>
      </x:c>
      <x:c r="I43" s="1" t="str">
        <x:f>'Pokémon'!M38</x:f>
        <x:v>Física</x:v>
      </x:c>
      <x:c r="J43" s="1" t="str">
        <x:f>'Habilidades'!D287</x:f>
        <x:v>Toxic Deluge</x:v>
      </x:c>
      <x:c r="K43" s="1" t="str">
        <x:f>'Habilidades'!E287</x:f>
        <x:v>Venenoso</x:v>
      </x:c>
      <x:c r="L43" s="1" t="str">
        <x:f>'Habilidades'!F287</x:f>
        <x:v>Física</x:v>
      </x:c>
      <x:c r="M43" s="10" t="n">
        <x:f>'Habilidades'!G287</x:f>
        <x:v>300</x:v>
      </x:c>
      <x:c r="N43" s="10" t="n">
        <x:f>'Habilidades'!I287</x:f>
        <x:v>402</x:v>
      </x:c>
      <x:c r="O43" s="1" t="str">
        <x:f>'Habilidades'!D288&amp;" ("&amp;'Habilidades'!I288&amp;")"</x:f>
        <x:v>Crossing Fissure (402)</x:v>
      </x:c>
      <x:c r="P43" s="1" t="str">
        <x:f>'Habilidades'!D289&amp;" ("&amp;'Habilidades'!I289&amp;")"</x:f>
        <x:v>Megahorn (222)</x:v>
      </x:c>
      <x:c r="Q43" s="1" t="str">
        <x:f>'Habilidades'!D290&amp;" ("&amp;'Habilidades'!I290&amp;")"</x:f>
        <x:v>Thrash (222)</x:v>
      </x:c>
      <x:c r="R43" s="1" t="str">
        <x:f>'Habilidades'!D291&amp;" ("&amp;'Habilidades'!I291&amp;")"</x:f>
        <x:v>Earth Power (175)</x:v>
      </x:c>
      <x:c r="S43" s="9" t="str">
        <x:v>https://poke.idleworld.online/pokepedia/pokemon/nidoking</x:v>
      </x:c>
    </x:row>
    <x:row r="44" ht="22" customHeight="1">
      <x:c r="A44" s="1" t="n">
        <x:v>40</x:v>
      </x:c>
      <x:c r="B44" s="1" t="n">
        <x:v>59</x:v>
      </x:c>
      <x:c r="C44" s="1" t="str">
        <x:v>Arcanine</x:v>
      </x:c>
      <x:c r="D44" s="1" t="str">
        <x:v>Fogo</x:v>
      </x:c>
      <x:c r="E44" s="1" t="str"/>
      <x:c r="F44" s="10" t="n">
        <x:v>110</x:v>
      </x:c>
      <x:c r="G44" s="10" t="n">
        <x:v>100</x:v>
      </x:c>
      <x:c r="H44" s="10" t="n">
        <x:f>MAX(F44:G44)</x:f>
        <x:v>110</x:v>
      </x:c>
      <x:c r="I44" s="1" t="str">
        <x:f>'Pokémon'!M63</x:f>
        <x:v>Física</x:v>
      </x:c>
      <x:c r="J44" s="1" t="str">
        <x:f>'Habilidades'!D528</x:f>
        <x:v>Ignition Point</x:v>
      </x:c>
      <x:c r="K44" s="1" t="str">
        <x:f>'Habilidades'!E528</x:f>
        <x:v>Fogo</x:v>
      </x:c>
      <x:c r="L44" s="1" t="str">
        <x:f>'Habilidades'!F528</x:f>
        <x:v>Especial</x:v>
      </x:c>
      <x:c r="M44" s="10" t="n">
        <x:f>'Habilidades'!G528</x:f>
        <x:v>300</x:v>
      </x:c>
      <x:c r="N44" s="10" t="n">
        <x:f>'Habilidades'!I528</x:f>
        <x:v>400</x:v>
      </x:c>
      <x:c r="O44" s="1" t="str">
        <x:f>'Habilidades'!D529&amp;" ("&amp;'Habilidades'!I529&amp;")"</x:f>
        <x:v>Extreme Speed (190)</x:v>
      </x:c>
      <x:c r="P44" s="1" t="str">
        <x:f>'Habilidades'!D530&amp;" ("&amp;'Habilidades'!I530&amp;")"</x:f>
        <x:v>Fire Fang (175)</x:v>
      </x:c>
      <x:c r="Q44" s="1" t="str">
        <x:f>'Habilidades'!D531&amp;" ("&amp;'Habilidades'!I531&amp;")"</x:f>
        <x:v>Thunder Fang (175)</x:v>
      </x:c>
      <x:c r="R44" s="1" t="str">
        <x:f>'Habilidades'!D532&amp;" ("&amp;'Habilidades'!I532&amp;")"</x:f>
        <x:v>Bite (170)</x:v>
      </x:c>
      <x:c r="S44" s="9" t="str">
        <x:v>https://poke.idleworld.online/pokepedia/pokemon/arcanine</x:v>
      </x:c>
    </x:row>
    <x:row r="45" ht="22" customHeight="1">
      <x:c r="A45" s="1" t="n">
        <x:v>40</x:v>
      </x:c>
      <x:c r="B45" s="1" t="n">
        <x:v>71</x:v>
      </x:c>
      <x:c r="C45" s="1" t="str">
        <x:v>Victreebel</x:v>
      </x:c>
      <x:c r="D45" s="1" t="str">
        <x:v>Planta</x:v>
      </x:c>
      <x:c r="E45" s="1" t="str">
        <x:v>Venenoso</x:v>
      </x:c>
      <x:c r="F45" s="10" t="n">
        <x:v>105</x:v>
      </x:c>
      <x:c r="G45" s="10" t="n">
        <x:v>100</x:v>
      </x:c>
      <x:c r="H45" s="10" t="n">
        <x:f>MAX(F45:G45)</x:f>
        <x:v>105</x:v>
      </x:c>
      <x:c r="I45" s="1" t="str">
        <x:f>'Pokémon'!M75</x:f>
        <x:v>Física</x:v>
      </x:c>
      <x:c r="J45" s="1" t="str">
        <x:f>'Habilidades'!D624</x:f>
        <x:v>Petal Bloom</x:v>
      </x:c>
      <x:c r="K45" s="1" t="str">
        <x:f>'Habilidades'!E624</x:f>
        <x:v>Planta</x:v>
      </x:c>
      <x:c r="L45" s="1" t="str">
        <x:f>'Habilidades'!F624</x:f>
        <x:v>Especial</x:v>
      </x:c>
      <x:c r="M45" s="10" t="n">
        <x:f>'Habilidades'!G624</x:f>
        <x:v>300</x:v>
      </x:c>
      <x:c r="N45" s="10" t="n">
        <x:f>'Habilidades'!I624</x:f>
        <x:v>400</x:v>
      </x:c>
      <x:c r="O45" s="1" t="str">
        <x:f>'Habilidades'!D625&amp;" ("&amp;'Habilidades'!I625&amp;")"</x:f>
        <x:v>Leaf Storm (230)</x:v>
      </x:c>
      <x:c r="P45" s="1" t="str">
        <x:f>'Habilidades'!D626&amp;" ("&amp;'Habilidades'!I626&amp;")"</x:f>
        <x:v>Leaf Blade (195)</x:v>
      </x:c>
      <x:c r="Q45" s="1" t="str">
        <x:f>'Habilidades'!D627&amp;" ("&amp;'Habilidades'!I627&amp;")"</x:f>
        <x:v>Leaf Tornado (165)</x:v>
      </x:c>
      <x:c r="R45" s="1" t="str">
        <x:f>'Habilidades'!D628&amp;" ("&amp;'Habilidades'!I628&amp;")"</x:f>
        <x:v>Razor Leaf (160)</x:v>
      </x:c>
      <x:c r="S45" s="9" t="str">
        <x:v>https://poke.idleworld.online/pokepedia/pokemon/victreebel</x:v>
      </x:c>
    </x:row>
    <x:row r="46" ht="22" customHeight="1">
      <x:c r="A46" s="1" t="n">
        <x:v>40</x:v>
      </x:c>
      <x:c r="B46" s="1" t="n">
        <x:v>3</x:v>
      </x:c>
      <x:c r="C46" s="1" t="str">
        <x:v>Venusaur</x:v>
      </x:c>
      <x:c r="D46" s="1" t="str">
        <x:v>Planta</x:v>
      </x:c>
      <x:c r="E46" s="1" t="str">
        <x:v>Venenoso</x:v>
      </x:c>
      <x:c r="F46" s="10" t="n">
        <x:v>82</x:v>
      </x:c>
      <x:c r="G46" s="10" t="n">
        <x:v>100</x:v>
      </x:c>
      <x:c r="H46" s="10" t="n">
        <x:f>MAX(F46:G46)</x:f>
        <x:v>100</x:v>
      </x:c>
      <x:c r="I46" s="1" t="str">
        <x:f>'Pokémon'!M7</x:f>
        <x:v>Especial</x:v>
      </x:c>
      <x:c r="J46" s="1" t="str">
        <x:f>'Habilidades'!D23</x:f>
        <x:v>Petal Bloom</x:v>
      </x:c>
      <x:c r="K46" s="1" t="str">
        <x:f>'Habilidades'!E23</x:f>
        <x:v>Planta</x:v>
      </x:c>
      <x:c r="L46" s="1" t="str">
        <x:f>'Habilidades'!F23</x:f>
        <x:v>Especial</x:v>
      </x:c>
      <x:c r="M46" s="10" t="n">
        <x:f>'Habilidades'!G23</x:f>
        <x:v>300</x:v>
      </x:c>
      <x:c r="N46" s="10" t="n">
        <x:f>'Habilidades'!I23</x:f>
        <x:v>400</x:v>
      </x:c>
      <x:c r="O46" s="1" t="str">
        <x:f>'Habilidades'!D24&amp;" ("&amp;'Habilidades'!I24&amp;")"</x:f>
        <x:v>Petal Dance (220)</x:v>
      </x:c>
      <x:c r="P46" s="1" t="str">
        <x:f>'Habilidades'!D25&amp;" ("&amp;'Habilidades'!I25&amp;")"</x:f>
        <x:v>Solar Beam (220)</x:v>
      </x:c>
      <x:c r="Q46" s="1" t="str">
        <x:f>'Habilidades'!D26&amp;" ("&amp;'Habilidades'!I26&amp;")"</x:f>
        <x:v>Double-Edge (202)</x:v>
      </x:c>
      <x:c r="R46" s="1" t="str">
        <x:f>'Habilidades'!D27&amp;" ("&amp;'Habilidades'!I27&amp;")"</x:f>
        <x:v>Take Down (172)</x:v>
      </x:c>
      <x:c r="S46" s="9" t="str">
        <x:v>https://poke.idleworld.online/pokepedia/pokemon/venusaur</x:v>
      </x:c>
    </x:row>
    <x:row r="47" ht="22" customHeight="1">
      <x:c r="A47" s="1" t="n">
        <x:v>40</x:v>
      </x:c>
      <x:c r="B47" s="1" t="n">
        <x:v>28</x:v>
      </x:c>
      <x:c r="C47" s="1" t="str">
        <x:v>Sandslash</x:v>
      </x:c>
      <x:c r="D47" s="1" t="str">
        <x:v>Terrestre</x:v>
      </x:c>
      <x:c r="E47" s="1" t="str"/>
      <x:c r="F47" s="10" t="n">
        <x:v>100</x:v>
      </x:c>
      <x:c r="G47" s="10" t="n">
        <x:v>45</x:v>
      </x:c>
      <x:c r="H47" s="10" t="n">
        <x:f>MAX(F47:G47)</x:f>
        <x:v>100</x:v>
      </x:c>
      <x:c r="I47" s="1" t="str">
        <x:f>'Pokémon'!M32</x:f>
        <x:v>Física</x:v>
      </x:c>
      <x:c r="J47" s="1" t="str">
        <x:f>'Habilidades'!D237</x:f>
        <x:v>Crossing Fissure</x:v>
      </x:c>
      <x:c r="K47" s="1" t="str">
        <x:f>'Habilidades'!E237</x:f>
        <x:v>Terrestre</x:v>
      </x:c>
      <x:c r="L47" s="1" t="str">
        <x:f>'Habilidades'!F237</x:f>
        <x:v>Física</x:v>
      </x:c>
      <x:c r="M47" s="10" t="n">
        <x:f>'Habilidades'!G237</x:f>
        <x:v>300</x:v>
      </x:c>
      <x:c r="N47" s="10" t="n">
        <x:f>'Habilidades'!I237</x:f>
        <x:v>400</x:v>
      </x:c>
      <x:c r="O47" s="1" t="str">
        <x:f>'Habilidades'!D238&amp;" ("&amp;'Habilidades'!I238&amp;")"</x:f>
        <x:v>Earthquake (200)</x:v>
      </x:c>
      <x:c r="P47" s="1" t="str">
        <x:f>'Habilidades'!D239&amp;" ("&amp;'Habilidades'!I239&amp;")"</x:f>
        <x:v>Dig (180)</x:v>
      </x:c>
      <x:c r="Q47" s="1" t="str">
        <x:f>'Habilidades'!D240&amp;" ("&amp;'Habilidades'!I240&amp;")"</x:f>
        <x:v>Crush Claw (175)</x:v>
      </x:c>
      <x:c r="R47" s="1" t="str">
        <x:f>'Habilidades'!D241&amp;" ("&amp;'Habilidades'!I241&amp;")"</x:f>
        <x:v>Slash (170)</x:v>
      </x:c>
      <x:c r="S47" s="9" t="str">
        <x:v>https://poke.idleworld.online/pokepedia/pokemon/sandslash</x:v>
      </x:c>
    </x:row>
    <x:row r="48" ht="22" customHeight="1">
      <x:c r="A48" s="1" t="n">
        <x:v>40</x:v>
      </x:c>
      <x:c r="B48" s="1" t="n">
        <x:v>80</x:v>
      </x:c>
      <x:c r="C48" s="1" t="str">
        <x:v>Slowbro</x:v>
      </x:c>
      <x:c r="D48" s="1" t="str">
        <x:v>Água</x:v>
      </x:c>
      <x:c r="E48" s="1" t="str">
        <x:v>Psíquico</x:v>
      </x:c>
      <x:c r="F48" s="10" t="n">
        <x:v>75</x:v>
      </x:c>
      <x:c r="G48" s="10" t="n">
        <x:v>100</x:v>
      </x:c>
      <x:c r="H48" s="10" t="n">
        <x:f>MAX(F48:G48)</x:f>
        <x:v>100</x:v>
      </x:c>
      <x:c r="I48" s="1" t="str">
        <x:f>'Pokémon'!M84</x:f>
        <x:v>Especial</x:v>
      </x:c>
      <x:c r="J48" s="1" t="str">
        <x:f>'Habilidades'!D720</x:f>
        <x:v>Cyclonic Tide</x:v>
      </x:c>
      <x:c r="K48" s="1" t="str">
        <x:f>'Habilidades'!E720</x:f>
        <x:v>Água</x:v>
      </x:c>
      <x:c r="L48" s="1" t="str">
        <x:f>'Habilidades'!F720</x:f>
        <x:v>Especial</x:v>
      </x:c>
      <x:c r="M48" s="10" t="n">
        <x:f>'Habilidades'!G720</x:f>
        <x:v>300</x:v>
      </x:c>
      <x:c r="N48" s="10" t="n">
        <x:f>'Habilidades'!I720</x:f>
        <x:v>400</x:v>
      </x:c>
      <x:c r="O48" s="1" t="str">
        <x:f>'Habilidades'!D721&amp;" ("&amp;'Habilidades'!I721&amp;")"</x:f>
        <x:v>Psychic (190)</x:v>
      </x:c>
      <x:c r="P48" s="1" t="str">
        <x:f>'Habilidades'!D722&amp;" ("&amp;'Habilidades'!I722&amp;")"</x:f>
        <x:v>Water Pulse (160)</x:v>
      </x:c>
      <x:c r="Q48" s="1" t="str">
        <x:f>'Habilidades'!D723&amp;" ("&amp;'Habilidades'!I723&amp;")"</x:f>
        <x:v>Zen Headbutt (155)</x:v>
      </x:c>
      <x:c r="R48" s="1" t="str">
        <x:f>'Habilidades'!D724&amp;" ("&amp;'Habilidades'!I724&amp;")"</x:f>
        <x:v>Confusion (150)</x:v>
      </x:c>
      <x:c r="S48" s="9" t="str">
        <x:v>https://poke.idleworld.online/pokepedia/pokemon/slowbro</x:v>
      </x:c>
    </x:row>
    <x:row r="49" ht="22" customHeight="1">
      <x:c r="A49" s="1" t="n">
        <x:v>40</x:v>
      </x:c>
      <x:c r="B49" s="1" t="n">
        <x:v>114</x:v>
      </x:c>
      <x:c r="C49" s="1" t="str">
        <x:v>Tangela</x:v>
      </x:c>
      <x:c r="D49" s="1" t="str">
        <x:v>Planta</x:v>
      </x:c>
      <x:c r="E49" s="1" t="str"/>
      <x:c r="F49" s="10" t="n">
        <x:v>55</x:v>
      </x:c>
      <x:c r="G49" s="10" t="n">
        <x:v>100</x:v>
      </x:c>
      <x:c r="H49" s="10" t="n">
        <x:f>MAX(F49:G49)</x:f>
        <x:v>100</x:v>
      </x:c>
      <x:c r="I49" s="1" t="str">
        <x:f>'Pokémon'!M118</x:f>
        <x:v>Especial</x:v>
      </x:c>
      <x:c r="J49" s="1" t="str">
        <x:f>'Habilidades'!D1082</x:f>
        <x:v>Petal Bloom</x:v>
      </x:c>
      <x:c r="K49" s="1" t="str">
        <x:f>'Habilidades'!E1082</x:f>
        <x:v>Planta</x:v>
      </x:c>
      <x:c r="L49" s="1" t="str">
        <x:f>'Habilidades'!F1082</x:f>
        <x:v>Especial</x:v>
      </x:c>
      <x:c r="M49" s="10" t="n">
        <x:f>'Habilidades'!G1082</x:f>
        <x:v>300</x:v>
      </x:c>
      <x:c r="N49" s="10" t="n">
        <x:f>'Habilidades'!I1082</x:f>
        <x:v>400</x:v>
      </x:c>
      <x:c r="O49" s="1" t="str">
        <x:f>'Habilidades'!D1083&amp;" ("&amp;'Habilidades'!I1083&amp;")"</x:f>
        <x:v>Power Whip (175)</x:v>
      </x:c>
      <x:c r="P49" s="1" t="str">
        <x:f>'Habilidades'!D1084&amp;" ("&amp;'Habilidades'!I1084&amp;")"</x:f>
        <x:v>Giga Drain (175)</x:v>
      </x:c>
      <x:c r="Q49" s="1" t="str">
        <x:f>'Habilidades'!D1085&amp;" ("&amp;'Habilidades'!I1085&amp;")"</x:f>
        <x:v>Ancient Power (160)</x:v>
      </x:c>
      <x:c r="R49" s="1" t="str">
        <x:f>'Habilidades'!D1086&amp;" ("&amp;'Habilidades'!I1086&amp;")"</x:f>
        <x:v>Mega Drain (140)</x:v>
      </x:c>
      <x:c r="S49" s="9" t="str">
        <x:v>https://poke.idleworld.online/pokepedia/pokemon/tangela</x:v>
      </x:c>
    </x:row>
    <x:row r="50" ht="22" customHeight="1">
      <x:c r="A50" s="1" t="n">
        <x:v>40</x:v>
      </x:c>
      <x:c r="B50" s="1" t="n">
        <x:v>121</x:v>
      </x:c>
      <x:c r="C50" s="1" t="str">
        <x:v>Starmie</x:v>
      </x:c>
      <x:c r="D50" s="1" t="str">
        <x:v>Água</x:v>
      </x:c>
      <x:c r="E50" s="1" t="str">
        <x:v>Psíquico</x:v>
      </x:c>
      <x:c r="F50" s="10" t="n">
        <x:v>75</x:v>
      </x:c>
      <x:c r="G50" s="10" t="n">
        <x:v>100</x:v>
      </x:c>
      <x:c r="H50" s="10" t="n">
        <x:f>MAX(F50:G50)</x:f>
        <x:v>100</x:v>
      </x:c>
      <x:c r="I50" s="1" t="str">
        <x:f>'Pokémon'!M125</x:f>
        <x:v>Especial</x:v>
      </x:c>
      <x:c r="J50" s="1" t="str">
        <x:f>'Habilidades'!D1151</x:f>
        <x:v>Cyclonic Tide</x:v>
      </x:c>
      <x:c r="K50" s="1" t="str">
        <x:f>'Habilidades'!E1151</x:f>
        <x:v>Água</x:v>
      </x:c>
      <x:c r="L50" s="1" t="str">
        <x:f>'Habilidades'!F1151</x:f>
        <x:v>Especial</x:v>
      </x:c>
      <x:c r="M50" s="10" t="n">
        <x:f>'Habilidades'!G1151</x:f>
        <x:v>300</x:v>
      </x:c>
      <x:c r="N50" s="10" t="n">
        <x:f>'Habilidades'!I1151</x:f>
        <x:v>400</x:v>
      </x:c>
      <x:c r="O50" s="1" t="str">
        <x:f>'Habilidades'!D1152&amp;" ("&amp;'Habilidades'!I1152&amp;")"</x:f>
        <x:v>Hydro Pump (210)</x:v>
      </x:c>
      <x:c r="P50" s="1" t="str">
        <x:f>'Habilidades'!D1153&amp;" ("&amp;'Habilidades'!I1153&amp;")"</x:f>
        <x:v>Swift (160)</x:v>
      </x:c>
      <x:c r="Q50" s="1" t="str">
        <x:f>'Habilidades'!D1154&amp;" ("&amp;'Habilidades'!I1154&amp;")"</x:f>
        <x:v>Water Gun (140)</x:v>
      </x:c>
      <x:c r="R50" s="1" t="str">
        <x:f>'Habilidades'!D1155&amp;" ("&amp;'Habilidades'!I1155&amp;")"</x:f>
        <x:v>Rapid Spin (95)</x:v>
      </x:c>
      <x:c r="S50" s="9" t="str">
        <x:v>https://poke.idleworld.online/pokepedia/pokemon/starmie</x:v>
      </x:c>
    </x:row>
    <x:row r="51" ht="22" customHeight="1">
      <x:c r="A51" s="1" t="n">
        <x:v>40</x:v>
      </x:c>
      <x:c r="B51" s="1" t="n">
        <x:v>122</x:v>
      </x:c>
      <x:c r="C51" s="1" t="str">
        <x:v>Mr. Mime</x:v>
      </x:c>
      <x:c r="D51" s="1" t="str">
        <x:v>Psíquico</x:v>
      </x:c>
      <x:c r="E51" s="1" t="str">
        <x:v>Fada</x:v>
      </x:c>
      <x:c r="F51" s="10" t="n">
        <x:v>45</x:v>
      </x:c>
      <x:c r="G51" s="10" t="n">
        <x:v>100</x:v>
      </x:c>
      <x:c r="H51" s="10" t="n">
        <x:f>MAX(F51:G51)</x:f>
        <x:v>100</x:v>
      </x:c>
      <x:c r="I51" s="1" t="str">
        <x:f>'Pokémon'!M126</x:f>
        <x:v>Especial</x:v>
      </x:c>
      <x:c r="J51" s="1" t="str">
        <x:f>'Habilidades'!D1157</x:f>
        <x:v>Mental Singularity</x:v>
      </x:c>
      <x:c r="K51" s="1" t="str">
        <x:f>'Habilidades'!E1157</x:f>
        <x:v>Psíquico</x:v>
      </x:c>
      <x:c r="L51" s="1" t="str">
        <x:f>'Habilidades'!F1157</x:f>
        <x:v>Especial</x:v>
      </x:c>
      <x:c r="M51" s="10" t="n">
        <x:f>'Habilidades'!G1157</x:f>
        <x:v>300</x:v>
      </x:c>
      <x:c r="N51" s="10" t="n">
        <x:f>'Habilidades'!I1157</x:f>
        <x:v>400</x:v>
      </x:c>
      <x:c r="O51" s="1" t="str">
        <x:f>'Habilidades'!D1158&amp;" ("&amp;'Habilidades'!I1158&amp;")"</x:f>
        <x:v>Psychic (190)</x:v>
      </x:c>
      <x:c r="P51" s="1" t="str">
        <x:f>'Habilidades'!D1159&amp;" ("&amp;'Habilidades'!I1159&amp;")"</x:f>
        <x:v>Psybeam (165)</x:v>
      </x:c>
      <x:c r="Q51" s="1" t="str">
        <x:f>'Habilidades'!D1160&amp;" ("&amp;'Habilidades'!I1160&amp;")"</x:f>
        <x:v>Magical Leaf (160)</x:v>
      </x:c>
      <x:c r="R51" s="1" t="str">
        <x:f>'Habilidades'!D1161&amp;" ("&amp;'Habilidades'!I1161&amp;")"</x:f>
        <x:v>Psywave (156)</x:v>
      </x:c>
      <x:c r="S51" s="9" t="str">
        <x:v>https://poke.idleworld.online/pokepedia/pokemon/mrmime</x:v>
      </x:c>
    </x:row>
    <x:row r="52" ht="22" customHeight="1">
      <x:c r="A52" s="1" t="n">
        <x:v>40</x:v>
      </x:c>
      <x:c r="B52" s="1" t="n">
        <x:v>126</x:v>
      </x:c>
      <x:c r="C52" s="1" t="str">
        <x:v>Magmar</x:v>
      </x:c>
      <x:c r="D52" s="1" t="str">
        <x:v>Fogo</x:v>
      </x:c>
      <x:c r="E52" s="1" t="str"/>
      <x:c r="F52" s="10" t="n">
        <x:v>95</x:v>
      </x:c>
      <x:c r="G52" s="10" t="n">
        <x:v>100</x:v>
      </x:c>
      <x:c r="H52" s="10" t="n">
        <x:f>MAX(F52:G52)</x:f>
        <x:v>100</x:v>
      </x:c>
      <x:c r="I52" s="1" t="str">
        <x:f>'Pokémon'!M130</x:f>
        <x:v>Especial</x:v>
      </x:c>
      <x:c r="J52" s="1" t="str">
        <x:f>'Habilidades'!D1208</x:f>
        <x:v>Ignition Point</x:v>
      </x:c>
      <x:c r="K52" s="1" t="str">
        <x:f>'Habilidades'!E1208</x:f>
        <x:v>Fogo</x:v>
      </x:c>
      <x:c r="L52" s="1" t="str">
        <x:f>'Habilidades'!F1208</x:f>
        <x:v>Especial</x:v>
      </x:c>
      <x:c r="M52" s="10" t="n">
        <x:f>'Habilidades'!G1208</x:f>
        <x:v>300</x:v>
      </x:c>
      <x:c r="N52" s="10" t="n">
        <x:f>'Habilidades'!I1208</x:f>
        <x:v>400</x:v>
      </x:c>
      <x:c r="O52" s="1" t="str">
        <x:f>'Habilidades'!D1209&amp;" ("&amp;'Habilidades'!I1209&amp;")"</x:f>
        <x:v>Fire Blast (210)</x:v>
      </x:c>
      <x:c r="P52" s="1" t="str">
        <x:f>'Habilidades'!D1210&amp;" ("&amp;'Habilidades'!I1210&amp;")"</x:f>
        <x:v>Flamethrower (190)</x:v>
      </x:c>
      <x:c r="Q52" s="1" t="str">
        <x:f>'Habilidades'!D1211&amp;" ("&amp;'Habilidades'!I1211&amp;")"</x:f>
        <x:v>Lava Plume (180)</x:v>
      </x:c>
      <x:c r="R52" s="1" t="str">
        <x:f>'Habilidades'!D1212&amp;" ("&amp;'Habilidades'!I1212&amp;")"</x:f>
        <x:v>Fire Punch (170)</x:v>
      </x:c>
      <x:c r="S52" s="9" t="str">
        <x:v>https://poke.idleworld.online/pokepedia/pokemon/magmar</x:v>
      </x:c>
    </x:row>
    <x:row r="53" ht="22" customHeight="1">
      <x:c r="A53" s="1" t="n">
        <x:v>40</x:v>
      </x:c>
      <x:c r="B53" s="1" t="n">
        <x:v>151</x:v>
      </x:c>
      <x:c r="C53" s="1" t="str">
        <x:v>Mew</x:v>
      </x:c>
      <x:c r="D53" s="1" t="str">
        <x:v>Psíquico</x:v>
      </x:c>
      <x:c r="E53" s="1" t="str"/>
      <x:c r="F53" s="10" t="n">
        <x:v>100</x:v>
      </x:c>
      <x:c r="G53" s="10" t="n">
        <x:v>100</x:v>
      </x:c>
      <x:c r="H53" s="10" t="n">
        <x:f>MAX(F53:G53)</x:f>
        <x:v>100</x:v>
      </x:c>
      <x:c r="I53" s="1" t="str">
        <x:f>'Pokémon'!M155</x:f>
        <x:v>Empate</x:v>
      </x:c>
      <x:c r="J53" s="1" t="str">
        <x:f>'Habilidades'!D1456</x:f>
        <x:v>Mental Singularity</x:v>
      </x:c>
      <x:c r="K53" s="1" t="str">
        <x:f>'Habilidades'!E1456</x:f>
        <x:v>Psíquico</x:v>
      </x:c>
      <x:c r="L53" s="1" t="str">
        <x:f>'Habilidades'!F1456</x:f>
        <x:v>Especial</x:v>
      </x:c>
      <x:c r="M53" s="10" t="n">
        <x:f>'Habilidades'!G1456</x:f>
        <x:v>300</x:v>
      </x:c>
      <x:c r="N53" s="10" t="n">
        <x:f>'Habilidades'!I1456</x:f>
        <x:v>400</x:v>
      </x:c>
      <x:c r="O53" s="1" t="str">
        <x:f>'Habilidades'!D1457&amp;" ("&amp;'Habilidades'!I1457&amp;")"</x:f>
        <x:v>Psychic (190)</x:v>
      </x:c>
      <x:c r="P53" s="1" t="str">
        <x:f>'Habilidades'!D1458&amp;" ("&amp;'Habilidades'!I1458&amp;")"</x:f>
        <x:v>Mega Punch (180)</x:v>
      </x:c>
      <x:c r="Q53" s="1" t="str">
        <x:f>'Habilidades'!D1459&amp;" ("&amp;'Habilidades'!I1459&amp;")"</x:f>
        <x:v>Aura Sphere (180)</x:v>
      </x:c>
      <x:c r="R53" s="1" t="str">
        <x:f>'Habilidades'!D1460&amp;" ("&amp;'Habilidades'!I1460&amp;")"</x:f>
        <x:v>Ancient Power (160)</x:v>
      </x:c>
      <x:c r="S53" s="9" t="str">
        <x:v>https://poke.idleworld.online/pokepedia/pokemon/mew</x:v>
      </x:c>
    </x:row>
    <x:row r="54" ht="22" customHeight="1">
      <x:c r="A54" s="1" t="n">
        <x:v>40</x:v>
      </x:c>
      <x:c r="B54" s="1" t="n">
        <x:v>185</x:v>
      </x:c>
      <x:c r="C54" s="1" t="str">
        <x:v>Sudowoodo</x:v>
      </x:c>
      <x:c r="D54" s="1" t="str">
        <x:v>Pedra</x:v>
      </x:c>
      <x:c r="E54" s="1" t="str"/>
      <x:c r="F54" s="10" t="n">
        <x:v>100</x:v>
      </x:c>
      <x:c r="G54" s="10" t="n">
        <x:v>30</x:v>
      </x:c>
      <x:c r="H54" s="10" t="n">
        <x:f>MAX(F54:G54)</x:f>
        <x:v>100</x:v>
      </x:c>
      <x:c r="I54" s="1" t="str">
        <x:f>'Pokémon'!M189</x:f>
        <x:v>Física</x:v>
      </x:c>
      <x:c r="J54" s="1" t="str">
        <x:f>'Habilidades'!D1742</x:f>
        <x:v>Crumbling Rain</x:v>
      </x:c>
      <x:c r="K54" s="1" t="str">
        <x:f>'Habilidades'!E1742</x:f>
        <x:v>Pedra</x:v>
      </x:c>
      <x:c r="L54" s="1" t="str">
        <x:f>'Habilidades'!F1742</x:f>
        <x:v>Física</x:v>
      </x:c>
      <x:c r="M54" s="10" t="n">
        <x:f>'Habilidades'!G1742</x:f>
        <x:v>300</x:v>
      </x:c>
      <x:c r="N54" s="10" t="n">
        <x:f>'Habilidades'!I1742</x:f>
        <x:v>400</x:v>
      </x:c>
      <x:c r="O54" s="1" t="str">
        <x:f>'Habilidades'!D1743&amp;" ("&amp;'Habilidades'!I1743&amp;")"</x:f>
        <x:v>Wood Hammer (220)</x:v>
      </x:c>
      <x:c r="P54" s="1" t="str">
        <x:f>'Habilidades'!D1744&amp;" ("&amp;'Habilidades'!I1744&amp;")"</x:f>
        <x:v>Double-Edge (220)</x:v>
      </x:c>
      <x:c r="Q54" s="1" t="str">
        <x:f>'Habilidades'!D1745&amp;" ("&amp;'Habilidades'!I1745&amp;")"</x:f>
        <x:v>Stone Edge (200)</x:v>
      </x:c>
      <x:c r="R54" s="1" t="str">
        <x:f>'Habilidades'!D1746&amp;" ("&amp;'Habilidades'!I1746&amp;")"</x:f>
        <x:v>Hammer Arm (200)</x:v>
      </x:c>
      <x:c r="S54" s="9" t="str">
        <x:v>https://poke.idleworld.online/pokepedia/pokemon/sudowoodo</x:v>
      </x:c>
    </x:row>
    <x:row r="55" ht="22" customHeight="1">
      <x:c r="A55" s="1" t="n">
        <x:v>40</x:v>
      </x:c>
      <x:c r="B55" s="1" t="n">
        <x:v>199</x:v>
      </x:c>
      <x:c r="C55" s="1" t="str">
        <x:v>Slowking</x:v>
      </x:c>
      <x:c r="D55" s="1" t="str">
        <x:v>Água</x:v>
      </x:c>
      <x:c r="E55" s="1" t="str">
        <x:v>Psíquico</x:v>
      </x:c>
      <x:c r="F55" s="10" t="n">
        <x:v>75</x:v>
      </x:c>
      <x:c r="G55" s="10" t="n">
        <x:v>100</x:v>
      </x:c>
      <x:c r="H55" s="10" t="n">
        <x:f>MAX(F55:G55)</x:f>
        <x:v>100</x:v>
      </x:c>
      <x:c r="I55" s="1" t="str">
        <x:f>'Pokémon'!M203</x:f>
        <x:v>Especial</x:v>
      </x:c>
      <x:c r="J55" s="1" t="str">
        <x:f>'Habilidades'!D1859</x:f>
        <x:v>Cyclonic Tide</x:v>
      </x:c>
      <x:c r="K55" s="1" t="str">
        <x:f>'Habilidades'!E1859</x:f>
        <x:v>Água</x:v>
      </x:c>
      <x:c r="L55" s="1" t="str">
        <x:f>'Habilidades'!F1859</x:f>
        <x:v>Especial</x:v>
      </x:c>
      <x:c r="M55" s="10" t="n">
        <x:f>'Habilidades'!G1859</x:f>
        <x:v>300</x:v>
      </x:c>
      <x:c r="N55" s="10" t="n">
        <x:f>'Habilidades'!I1859</x:f>
        <x:v>400</x:v>
      </x:c>
      <x:c r="O55" s="1" t="str">
        <x:f>'Habilidades'!D1860&amp;" ("&amp;'Habilidades'!I1860&amp;")"</x:f>
        <x:v>Psychic (190)</x:v>
      </x:c>
      <x:c r="P55" s="1" t="str">
        <x:f>'Habilidades'!D1861&amp;" ("&amp;'Habilidades'!I1861&amp;")"</x:f>
        <x:v>Power Gem (180)</x:v>
      </x:c>
      <x:c r="Q55" s="1" t="str">
        <x:f>'Habilidades'!D1862&amp;" ("&amp;'Habilidades'!I1862&amp;")"</x:f>
        <x:v>Hidden Power (160)</x:v>
      </x:c>
      <x:c r="R55" s="1" t="str">
        <x:f>'Habilidades'!D1863&amp;" ("&amp;'Habilidades'!I1863&amp;")"</x:f>
        <x:v>Water Pulse (160)</x:v>
      </x:c>
      <x:c r="S55" s="9" t="str">
        <x:v>https://poke.idleworld.online/pokepedia/pokemon/slowking</x:v>
      </x:c>
    </x:row>
    <x:row r="56" ht="22" customHeight="1">
      <x:c r="A56" s="1" t="n">
        <x:v>40</x:v>
      </x:c>
      <x:c r="B56" s="1" t="n">
        <x:v>251</x:v>
      </x:c>
      <x:c r="C56" s="1" t="str">
        <x:v>Celebi</x:v>
      </x:c>
      <x:c r="D56" s="1" t="str">
        <x:v>Psíquico</x:v>
      </x:c>
      <x:c r="E56" s="1" t="str">
        <x:v>Planta</x:v>
      </x:c>
      <x:c r="F56" s="10" t="n">
        <x:v>100</x:v>
      </x:c>
      <x:c r="G56" s="10" t="n">
        <x:v>100</x:v>
      </x:c>
      <x:c r="H56" s="10" t="n">
        <x:f>MAX(F56:G56)</x:f>
        <x:v>100</x:v>
      </x:c>
      <x:c r="I56" s="1" t="str">
        <x:f>'Pokémon'!M254</x:f>
        <x:v>Empate</x:v>
      </x:c>
      <x:c r="J56" s="1" t="str">
        <x:f>'Habilidades'!D2345</x:f>
        <x:v>Mental Singularity</x:v>
      </x:c>
      <x:c r="K56" s="1" t="str">
        <x:f>'Habilidades'!E2345</x:f>
        <x:v>Psíquico</x:v>
      </x:c>
      <x:c r="L56" s="1" t="str">
        <x:f>'Habilidades'!F2345</x:f>
        <x:v>Especial</x:v>
      </x:c>
      <x:c r="M56" s="10" t="n">
        <x:f>'Habilidades'!G2345</x:f>
        <x:v>300</x:v>
      </x:c>
      <x:c r="N56" s="10" t="n">
        <x:f>'Habilidades'!I2345</x:f>
        <x:v>400</x:v>
      </x:c>
      <x:c r="O56" s="1" t="str">
        <x:f>'Habilidades'!D2346&amp;" ("&amp;'Habilidades'!I2346&amp;")"</x:f>
        <x:v>Leaf Storm (230)</x:v>
      </x:c>
      <x:c r="P56" s="1" t="str">
        <x:f>'Habilidades'!D2347&amp;" ("&amp;'Habilidades'!I2347&amp;")"</x:f>
        <x:v>Future Sight (220)</x:v>
      </x:c>
      <x:c r="Q56" s="1" t="str">
        <x:f>'Habilidades'!D2348&amp;" ("&amp;'Habilidades'!I2348&amp;")"</x:f>
        <x:v>Magical Leaf (160)</x:v>
      </x:c>
      <x:c r="R56" s="1" t="str">
        <x:f>'Habilidades'!D2349&amp;" ("&amp;'Habilidades'!I2349&amp;")"</x:f>
        <x:v>Ancient Power (160)</x:v>
      </x:c>
      <x:c r="S56" s="9" t="str">
        <x:v>https://poke.idleworld.online/pokepedia/pokemon/celebi</x:v>
      </x:c>
    </x:row>
    <x:row r="57" ht="22" customHeight="1">
      <x:c r="A57" s="1" t="n">
        <x:v>53</x:v>
      </x:c>
      <x:c r="B57" s="1" t="n">
        <x:v>136</x:v>
      </x:c>
      <x:c r="C57" s="1" t="str">
        <x:v>Flareon</x:v>
      </x:c>
      <x:c r="D57" s="1" t="str">
        <x:v>Fogo</x:v>
      </x:c>
      <x:c r="E57" s="1" t="str"/>
      <x:c r="F57" s="10" t="n">
        <x:v>130</x:v>
      </x:c>
      <x:c r="G57" s="10" t="n">
        <x:v>95</x:v>
      </x:c>
      <x:c r="H57" s="10" t="n">
        <x:f>MAX(F57:G57)</x:f>
        <x:v>130</x:v>
      </x:c>
      <x:c r="I57" s="1" t="str">
        <x:f>'Pokémon'!M140</x:f>
        <x:v>Física</x:v>
      </x:c>
      <x:c r="J57" s="1" t="str">
        <x:f>'Habilidades'!D1296</x:f>
        <x:v>Ignition Point</x:v>
      </x:c>
      <x:c r="K57" s="1" t="str">
        <x:f>'Habilidades'!E1296</x:f>
        <x:v>Fogo</x:v>
      </x:c>
      <x:c r="L57" s="1" t="str">
        <x:f>'Habilidades'!F1296</x:f>
        <x:v>Especial</x:v>
      </x:c>
      <x:c r="M57" s="10" t="n">
        <x:f>'Habilidades'!G1296</x:f>
        <x:v>300</x:v>
      </x:c>
      <x:c r="N57" s="10" t="n">
        <x:f>'Habilidades'!I1296</x:f>
        <x:v>395</x:v>
      </x:c>
      <x:c r="O57" s="1" t="str">
        <x:f>'Habilidades'!D1297&amp;" ("&amp;'Habilidades'!I1297&amp;")"</x:f>
        <x:v>Last Resort (270)</x:v>
      </x:c>
      <x:c r="P57" s="1" t="str">
        <x:f>'Habilidades'!D1298&amp;" ("&amp;'Habilidades'!I1298&amp;")"</x:f>
        <x:v>Flare Blitz (250)</x:v>
      </x:c>
      <x:c r="Q57" s="1" t="str">
        <x:f>'Habilidades'!D1299&amp;" ("&amp;'Habilidades'!I1299&amp;")"</x:f>
        <x:v>Fire Fang (195)</x:v>
      </x:c>
      <x:c r="R57" s="1" t="str">
        <x:f>'Habilidades'!D1300&amp;" ("&amp;'Habilidades'!I1300&amp;")"</x:f>
        <x:v>Bite (190)</x:v>
      </x:c>
      <x:c r="S57" s="9" t="str">
        <x:v>https://poke.idleworld.online/pokepedia/pokemon/flareon</x:v>
      </x:c>
    </x:row>
    <x:row r="58" ht="22" customHeight="1">
      <x:c r="A58" s="1" t="n">
        <x:v>53</x:v>
      </x:c>
      <x:c r="B58" s="1" t="n">
        <x:v>47</x:v>
      </x:c>
      <x:c r="C58" s="1" t="str">
        <x:v>Parasect</x:v>
      </x:c>
      <x:c r="D58" s="1" t="str">
        <x:v>Inseto</x:v>
      </x:c>
      <x:c r="E58" s="1" t="str">
        <x:v>Planta</x:v>
      </x:c>
      <x:c r="F58" s="10" t="n">
        <x:v>95</x:v>
      </x:c>
      <x:c r="G58" s="10" t="n">
        <x:v>60</x:v>
      </x:c>
      <x:c r="H58" s="10" t="n">
        <x:f>MAX(F58:G58)</x:f>
        <x:v>95</x:v>
      </x:c>
      <x:c r="I58" s="1" t="str">
        <x:f>'Pokémon'!M51</x:f>
        <x:v>Física</x:v>
      </x:c>
      <x:c r="J58" s="1" t="str">
        <x:f>'Habilidades'!D395</x:f>
        <x:v>Hive Crush</x:v>
      </x:c>
      <x:c r="K58" s="1" t="str">
        <x:f>'Habilidades'!E395</x:f>
        <x:v>Inseto</x:v>
      </x:c>
      <x:c r="L58" s="1" t="str">
        <x:f>'Habilidades'!F395</x:f>
        <x:v>Física</x:v>
      </x:c>
      <x:c r="M58" s="10" t="n">
        <x:f>'Habilidades'!G395</x:f>
        <x:v>300</x:v>
      </x:c>
      <x:c r="N58" s="10" t="n">
        <x:f>'Habilidades'!I395</x:f>
        <x:v>395</x:v>
      </x:c>
      <x:c r="O58" s="1" t="str">
        <x:f>'Habilidades'!D396&amp;" ("&amp;'Habilidades'!I396&amp;")"</x:f>
        <x:v>X-Scissor (175)</x:v>
      </x:c>
      <x:c r="P58" s="1" t="str">
        <x:f>'Habilidades'!D397&amp;" ("&amp;'Habilidades'!I397&amp;")"</x:f>
        <x:v>Cross Poison (165)</x:v>
      </x:c>
      <x:c r="Q58" s="1" t="str">
        <x:f>'Habilidades'!D398&amp;" ("&amp;'Habilidades'!I398&amp;")"</x:f>
        <x:v>Slash (165)</x:v>
      </x:c>
      <x:c r="R58" s="1" t="str">
        <x:f>'Habilidades'!D399&amp;" ("&amp;'Habilidades'!I399&amp;")"</x:f>
        <x:v>Giga Drain (135)</x:v>
      </x:c>
      <x:c r="S58" s="9" t="str">
        <x:v>https://poke.idleworld.online/pokepedia/pokemon/parasect</x:v>
      </x:c>
    </x:row>
    <x:row r="59" ht="22" customHeight="1">
      <x:c r="A59" s="1" t="n">
        <x:v>53</x:v>
      </x:c>
      <x:c r="B59" s="1" t="n">
        <x:v>55</x:v>
      </x:c>
      <x:c r="C59" s="1" t="str">
        <x:v>Golduck</x:v>
      </x:c>
      <x:c r="D59" s="1" t="str">
        <x:v>Água</x:v>
      </x:c>
      <x:c r="E59" s="1" t="str"/>
      <x:c r="F59" s="10" t="n">
        <x:v>82</x:v>
      </x:c>
      <x:c r="G59" s="10" t="n">
        <x:v>95</x:v>
      </x:c>
      <x:c r="H59" s="10" t="n">
        <x:f>MAX(F59:G59)</x:f>
        <x:v>95</x:v>
      </x:c>
      <x:c r="I59" s="1" t="str">
        <x:f>'Pokémon'!M59</x:f>
        <x:v>Especial</x:v>
      </x:c>
      <x:c r="J59" s="1" t="str">
        <x:f>'Habilidades'!D488</x:f>
        <x:v>Cyclonic Tide</x:v>
      </x:c>
      <x:c r="K59" s="1" t="str">
        <x:f>'Habilidades'!E488</x:f>
        <x:v>Água</x:v>
      </x:c>
      <x:c r="L59" s="1" t="str">
        <x:f>'Habilidades'!F488</x:f>
        <x:v>Especial</x:v>
      </x:c>
      <x:c r="M59" s="10" t="n">
        <x:f>'Habilidades'!G488</x:f>
        <x:v>300</x:v>
      </x:c>
      <x:c r="N59" s="10" t="n">
        <x:f>'Habilidades'!I488</x:f>
        <x:v>395</x:v>
      </x:c>
      <x:c r="O59" s="1" t="str">
        <x:f>'Habilidades'!D489&amp;" ("&amp;'Habilidades'!I489&amp;")"</x:f>
        <x:v>Hydro Pump (205)</x:v>
      </x:c>
      <x:c r="P59" s="1" t="str">
        <x:f>'Habilidades'!D490&amp;" ("&amp;'Habilidades'!I490&amp;")"</x:f>
        <x:v>Aqua Tail (172)</x:v>
      </x:c>
      <x:c r="Q59" s="1" t="str">
        <x:f>'Habilidades'!D491&amp;" ("&amp;'Habilidades'!I491&amp;")"</x:f>
        <x:v>Zen Headbutt (162)</x:v>
      </x:c>
      <x:c r="R59" s="1" t="str">
        <x:f>'Habilidades'!D492&amp;" ("&amp;'Habilidades'!I492&amp;")"</x:f>
        <x:v>Water Pulse (155)</x:v>
      </x:c>
      <x:c r="S59" s="9" t="str">
        <x:v>https://poke.idleworld.online/pokepedia/pokemon/golduck</x:v>
      </x:c>
    </x:row>
    <x:row r="60" ht="22" customHeight="1">
      <x:c r="A60" s="1" t="n">
        <x:v>53</x:v>
      </x:c>
      <x:c r="B60" s="1" t="n">
        <x:v>125</x:v>
      </x:c>
      <x:c r="C60" s="1" t="str">
        <x:v>Electabuzz</x:v>
      </x:c>
      <x:c r="D60" s="1" t="str">
        <x:v>Elétrico</x:v>
      </x:c>
      <x:c r="E60" s="1" t="str"/>
      <x:c r="F60" s="10" t="n">
        <x:v>83</x:v>
      </x:c>
      <x:c r="G60" s="10" t="n">
        <x:v>95</x:v>
      </x:c>
      <x:c r="H60" s="10" t="n">
        <x:f>MAX(F60:G60)</x:f>
        <x:v>95</x:v>
      </x:c>
      <x:c r="I60" s="1" t="str">
        <x:f>'Pokémon'!M129</x:f>
        <x:v>Especial</x:v>
      </x:c>
      <x:c r="J60" s="1" t="str">
        <x:f>'Habilidades'!D1199</x:f>
        <x:v>Static Overload</x:v>
      </x:c>
      <x:c r="K60" s="1" t="str">
        <x:f>'Habilidades'!E1199</x:f>
        <x:v>Elétrico</x:v>
      </x:c>
      <x:c r="L60" s="1" t="str">
        <x:f>'Habilidades'!F1199</x:f>
        <x:v>Especial</x:v>
      </x:c>
      <x:c r="M60" s="10" t="n">
        <x:f>'Habilidades'!G1199</x:f>
        <x:v>300</x:v>
      </x:c>
      <x:c r="N60" s="10" t="n">
        <x:f>'Habilidades'!I1199</x:f>
        <x:v>395</x:v>
      </x:c>
      <x:c r="O60" s="1" t="str">
        <x:f>'Habilidades'!D1200&amp;" ("&amp;'Habilidades'!I1200&amp;")"</x:f>
        <x:v>Thunder (205)</x:v>
      </x:c>
      <x:c r="P60" s="1" t="str">
        <x:f>'Habilidades'!D1201&amp;" ("&amp;'Habilidades'!I1201&amp;")"</x:f>
        <x:v>Thunderbolt (185)</x:v>
      </x:c>
      <x:c r="Q60" s="1" t="str">
        <x:f>'Habilidades'!D1202&amp;" ("&amp;'Habilidades'!I1202&amp;")"</x:f>
        <x:v>Discharge (175)</x:v>
      </x:c>
      <x:c r="R60" s="1" t="str">
        <x:f>'Habilidades'!D1203&amp;" ("&amp;'Habilidades'!I1203&amp;")"</x:f>
        <x:v>Thunder Punch (158)</x:v>
      </x:c>
      <x:c r="S60" s="9" t="str">
        <x:v>https://poke.idleworld.online/pokepedia/pokemon/electabuzz</x:v>
      </x:c>
    </x:row>
    <x:row r="61" ht="22" customHeight="1">
      <x:c r="A61" s="1" t="n">
        <x:v>53</x:v>
      </x:c>
      <x:c r="B61" s="1" t="n">
        <x:v>144</x:v>
      </x:c>
      <x:c r="C61" s="1" t="str">
        <x:v>Articuno</x:v>
      </x:c>
      <x:c r="D61" s="1" t="str">
        <x:v>Gelo</x:v>
      </x:c>
      <x:c r="E61" s="1" t="str">
        <x:v>Voador</x:v>
      </x:c>
      <x:c r="F61" s="10" t="n">
        <x:v>85</x:v>
      </x:c>
      <x:c r="G61" s="10" t="n">
        <x:v>95</x:v>
      </x:c>
      <x:c r="H61" s="10" t="n">
        <x:f>MAX(F61:G61)</x:f>
        <x:v>95</x:v>
      </x:c>
      <x:c r="I61" s="1" t="str">
        <x:f>'Pokémon'!M148</x:f>
        <x:v>Especial</x:v>
      </x:c>
      <x:c r="J61" s="1" t="str">
        <x:f>'Habilidades'!D1378</x:f>
        <x:v>Ice Time</x:v>
      </x:c>
      <x:c r="K61" s="1" t="str">
        <x:f>'Habilidades'!E1378</x:f>
        <x:v>Gelo</x:v>
      </x:c>
      <x:c r="L61" s="1" t="str">
        <x:f>'Habilidades'!F1378</x:f>
        <x:v>Especial</x:v>
      </x:c>
      <x:c r="M61" s="10" t="n">
        <x:f>'Habilidades'!G1378</x:f>
        <x:v>300</x:v>
      </x:c>
      <x:c r="N61" s="10" t="n">
        <x:f>'Habilidades'!I1378</x:f>
        <x:v>395</x:v>
      </x:c>
      <x:c r="O61" s="1" t="str">
        <x:f>'Habilidades'!D1379&amp;" ("&amp;'Habilidades'!I1379&amp;")"</x:f>
        <x:v>Massive Hurricane (385)</x:v>
      </x:c>
      <x:c r="P61" s="1" t="str">
        <x:f>'Habilidades'!D1380&amp;" ("&amp;'Habilidades'!I1380&amp;")"</x:f>
        <x:v>Hurricane (205)</x:v>
      </x:c>
      <x:c r="Q61" s="1" t="str">
        <x:f>'Habilidades'!D1381&amp;" ("&amp;'Habilidades'!I1381&amp;")"</x:f>
        <x:v>Blizzard (205)</x:v>
      </x:c>
      <x:c r="R61" s="1" t="str">
        <x:f>'Habilidades'!D1382&amp;" ("&amp;'Habilidades'!I1382&amp;")"</x:f>
        <x:v>Ice Beam (185)</x:v>
      </x:c>
      <x:c r="S61" s="9" t="str">
        <x:v>https://poke.idleworld.online/pokepedia/pokemon/articuno</x:v>
      </x:c>
    </x:row>
    <x:row r="62" ht="22" customHeight="1">
      <x:c r="A62" s="1" t="n">
        <x:v>53</x:v>
      </x:c>
      <x:c r="B62" s="1" t="n">
        <x:v>178</x:v>
      </x:c>
      <x:c r="C62" s="1" t="str">
        <x:v>Xatu</x:v>
      </x:c>
      <x:c r="D62" s="1" t="str">
        <x:v>Psíquico</x:v>
      </x:c>
      <x:c r="E62" s="1" t="str">
        <x:v>Voador</x:v>
      </x:c>
      <x:c r="F62" s="10" t="n">
        <x:v>75</x:v>
      </x:c>
      <x:c r="G62" s="10" t="n">
        <x:v>95</x:v>
      </x:c>
      <x:c r="H62" s="10" t="n">
        <x:f>MAX(F62:G62)</x:f>
        <x:v>95</x:v>
      </x:c>
      <x:c r="I62" s="1" t="str">
        <x:f>'Pokémon'!M182</x:f>
        <x:v>Especial</x:v>
      </x:c>
      <x:c r="J62" s="1" t="str">
        <x:f>'Habilidades'!D1681</x:f>
        <x:v>Mental Singularity</x:v>
      </x:c>
      <x:c r="K62" s="1" t="str">
        <x:f>'Habilidades'!E1681</x:f>
        <x:v>Psíquico</x:v>
      </x:c>
      <x:c r="L62" s="1" t="str">
        <x:f>'Habilidades'!F1681</x:f>
        <x:v>Especial</x:v>
      </x:c>
      <x:c r="M62" s="10" t="n">
        <x:f>'Habilidades'!G1681</x:f>
        <x:v>300</x:v>
      </x:c>
      <x:c r="N62" s="10" t="n">
        <x:f>'Habilidades'!I1681</x:f>
        <x:v>395</x:v>
      </x:c>
      <x:c r="O62" s="1" t="str">
        <x:f>'Habilidades'!D1682&amp;" ("&amp;'Habilidades'!I1682&amp;")"</x:f>
        <x:v>Massive Hurricane (375)</x:v>
      </x:c>
      <x:c r="P62" s="1" t="str">
        <x:f>'Habilidades'!D1683&amp;" ("&amp;'Habilidades'!I1683&amp;")"</x:f>
        <x:v>Future Sight (215)</x:v>
      </x:c>
      <x:c r="Q62" s="1" t="str">
        <x:f>'Habilidades'!D1684&amp;" ("&amp;'Habilidades'!I1684&amp;")"</x:f>
        <x:v>Psychic (185)</x:v>
      </x:c>
      <x:c r="R62" s="1" t="str">
        <x:f>'Habilidades'!D1685&amp;" ("&amp;'Habilidades'!I1685&amp;")"</x:f>
        <x:v>Air Slash (170)</x:v>
      </x:c>
      <x:c r="S62" s="9" t="str">
        <x:v>https://poke.idleworld.online/pokepedia/pokemon/xatu</x:v>
      </x:c>
    </x:row>
    <x:row r="63" ht="22" customHeight="1">
      <x:c r="A63" s="1" t="n">
        <x:v>53</x:v>
      </x:c>
      <x:c r="B63" s="1" t="n">
        <x:v>230</x:v>
      </x:c>
      <x:c r="C63" s="1" t="str">
        <x:v>Kingdra</x:v>
      </x:c>
      <x:c r="D63" s="1" t="str">
        <x:v>Água</x:v>
      </x:c>
      <x:c r="E63" s="1" t="str">
        <x:v>Dragão</x:v>
      </x:c>
      <x:c r="F63" s="10" t="n">
        <x:v>95</x:v>
      </x:c>
      <x:c r="G63" s="10" t="n">
        <x:v>95</x:v>
      </x:c>
      <x:c r="H63" s="10" t="n">
        <x:f>MAX(F63:G63)</x:f>
        <x:v>95</x:v>
      </x:c>
      <x:c r="I63" s="1" t="str">
        <x:f>'Pokémon'!M233</x:f>
        <x:v>Empate</x:v>
      </x:c>
      <x:c r="J63" s="1" t="str">
        <x:f>'Habilidades'!D2168</x:f>
        <x:v>Cyclonic Tide</x:v>
      </x:c>
      <x:c r="K63" s="1" t="str">
        <x:f>'Habilidades'!E2168</x:f>
        <x:v>Água</x:v>
      </x:c>
      <x:c r="L63" s="1" t="str">
        <x:f>'Habilidades'!F2168</x:f>
        <x:v>Especial</x:v>
      </x:c>
      <x:c r="M63" s="10" t="n">
        <x:f>'Habilidades'!G2168</x:f>
        <x:v>300</x:v>
      </x:c>
      <x:c r="N63" s="10" t="n">
        <x:f>'Habilidades'!I2168</x:f>
        <x:v>395</x:v>
      </x:c>
      <x:c r="O63" s="1" t="str">
        <x:f>'Habilidades'!D2169&amp;" ("&amp;'Habilidades'!I2169&amp;")"</x:f>
        <x:v>Draconic Soul (395)</x:v>
      </x:c>
      <x:c r="P63" s="1" t="str">
        <x:f>'Habilidades'!D2170&amp;" ("&amp;'Habilidades'!I2170&amp;")"</x:f>
        <x:v>Hydro Pump (205)</x:v>
      </x:c>
      <x:c r="Q63" s="1" t="str">
        <x:f>'Habilidades'!D2171&amp;" ("&amp;'Habilidades'!I2171&amp;")"</x:f>
        <x:v>Dragon Pulse (180)</x:v>
      </x:c>
      <x:c r="R63" s="1" t="str">
        <x:f>'Habilidades'!D2172&amp;" ("&amp;'Habilidades'!I2172&amp;")"</x:f>
        <x:v>Bubble Beam (160)</x:v>
      </x:c>
      <x:c r="S63" s="9" t="str">
        <x:v>https://poke.idleworld.online/pokepedia/pokemon/kingdra</x:v>
      </x:c>
    </x:row>
    <x:row r="64" ht="22" customHeight="1">
      <x:c r="A64" s="1" t="n">
        <x:v>53</x:v>
      </x:c>
      <x:c r="B64" s="1" t="n">
        <x:v>237</x:v>
      </x:c>
      <x:c r="C64" s="1" t="str">
        <x:v>Hitmontop</x:v>
      </x:c>
      <x:c r="D64" s="1" t="str">
        <x:v>Lutador</x:v>
      </x:c>
      <x:c r="E64" s="1" t="str"/>
      <x:c r="F64" s="10" t="n">
        <x:v>95</x:v>
      </x:c>
      <x:c r="G64" s="10" t="n">
        <x:v>35</x:v>
      </x:c>
      <x:c r="H64" s="10" t="n">
        <x:f>MAX(F64:G64)</x:f>
        <x:v>95</x:v>
      </x:c>
      <x:c r="I64" s="1" t="str">
        <x:f>'Pokémon'!M240</x:f>
        <x:v>Física</x:v>
      </x:c>
      <x:c r="J64" s="1" t="str">
        <x:f>'Habilidades'!D2211</x:f>
        <x:v>Meteor Fists</x:v>
      </x:c>
      <x:c r="K64" s="1" t="str">
        <x:f>'Habilidades'!E2211</x:f>
        <x:v>Lutador</x:v>
      </x:c>
      <x:c r="L64" s="1" t="str">
        <x:f>'Habilidades'!F2211</x:f>
        <x:v>Física</x:v>
      </x:c>
      <x:c r="M64" s="10" t="n">
        <x:f>'Habilidades'!G2211</x:f>
        <x:v>300</x:v>
      </x:c>
      <x:c r="N64" s="10" t="n">
        <x:f>'Habilidades'!I2211</x:f>
        <x:v>395</x:v>
      </x:c>
      <x:c r="O64" s="1" t="str">
        <x:f>'Habilidades'!D2212&amp;" ("&amp;'Habilidades'!I2212&amp;")"</x:f>
        <x:v>Close Combat (215)</x:v>
      </x:c>
      <x:c r="P64" s="1" t="str">
        <x:f>'Habilidades'!D2213&amp;" ("&amp;'Habilidades'!I2213&amp;")"</x:f>
        <x:v>Rolling Kick (155)</x:v>
      </x:c>
      <x:c r="Q64" s="1" t="str">
        <x:f>'Habilidades'!D2214&amp;" ("&amp;'Habilidades'!I2214&amp;")"</x:f>
        <x:v>Revenge (155)</x:v>
      </x:c>
      <x:c r="R64" s="1" t="str">
        <x:f>'Habilidades'!D2215&amp;" ("&amp;'Habilidades'!I2215&amp;")"</x:f>
        <x:v>Pursuit (135)</x:v>
      </x:c>
      <x:c r="S64" s="9" t="str">
        <x:v>https://poke.idleworld.online/pokepedia/pokemon/hitmontop</x:v>
      </x:c>
    </x:row>
    <x:row r="65" ht="22" customHeight="1">
      <x:c r="A65" s="1" t="n">
        <x:v>61</x:v>
      </x:c>
      <x:c r="B65" s="1" t="n">
        <x:v>31</x:v>
      </x:c>
      <x:c r="C65" s="1" t="str">
        <x:v>Nidoqueen</x:v>
      </x:c>
      <x:c r="D65" s="1" t="str">
        <x:v>Venenoso</x:v>
      </x:c>
      <x:c r="E65" s="1" t="str">
        <x:v>Terrestre</x:v>
      </x:c>
      <x:c r="F65" s="10" t="n">
        <x:v>92</x:v>
      </x:c>
      <x:c r="G65" s="10" t="n">
        <x:v>75</x:v>
      </x:c>
      <x:c r="H65" s="10" t="n">
        <x:f>MAX(F65:G65)</x:f>
        <x:v>92</x:v>
      </x:c>
      <x:c r="I65" s="1" t="str">
        <x:f>'Pokémon'!M35</x:f>
        <x:v>Física</x:v>
      </x:c>
      <x:c r="J65" s="1" t="str">
        <x:f>'Habilidades'!D265</x:f>
        <x:v>Toxic Deluge</x:v>
      </x:c>
      <x:c r="K65" s="1" t="str">
        <x:f>'Habilidades'!E265</x:f>
        <x:v>Venenoso</x:v>
      </x:c>
      <x:c r="L65" s="1" t="str">
        <x:f>'Habilidades'!F265</x:f>
        <x:v>Física</x:v>
      </x:c>
      <x:c r="M65" s="10" t="n">
        <x:f>'Habilidades'!G265</x:f>
        <x:v>300</x:v>
      </x:c>
      <x:c r="N65" s="10" t="n">
        <x:f>'Habilidades'!I265</x:f>
        <x:v>392</x:v>
      </x:c>
      <x:c r="O65" s="1" t="str">
        <x:f>'Habilidades'!D266&amp;" ("&amp;'Habilidades'!I266&amp;")"</x:f>
        <x:v>Crossing Fissure (392)</x:v>
      </x:c>
      <x:c r="P65" s="1" t="str">
        <x:f>'Habilidades'!D267&amp;" ("&amp;'Habilidades'!I267&amp;")"</x:f>
        <x:v>Superpower (212)</x:v>
      </x:c>
      <x:c r="Q65" s="1" t="str">
        <x:f>'Habilidades'!D268&amp;" ("&amp;'Habilidades'!I268&amp;")"</x:f>
        <x:v>Body Slam (177)</x:v>
      </x:c>
      <x:c r="R65" s="1" t="str">
        <x:f>'Habilidades'!D269&amp;" ("&amp;'Habilidades'!I269&amp;")"</x:f>
        <x:v>Earth Power (165)</x:v>
      </x:c>
      <x:c r="S65" s="9" t="str">
        <x:v>https://poke.idleworld.online/pokepedia/pokemon/nidoqueen</x:v>
      </x:c>
    </x:row>
    <x:row r="66" ht="22" customHeight="1">
      <x:c r="A66" s="1" t="n">
        <x:v>62</x:v>
      </x:c>
      <x:c r="B66" s="1" t="n">
        <x:v>244</x:v>
      </x:c>
      <x:c r="C66" s="1" t="str">
        <x:v>Entei</x:v>
      </x:c>
      <x:c r="D66" s="1" t="str">
        <x:v>Fogo</x:v>
      </x:c>
      <x:c r="E66" s="1" t="str"/>
      <x:c r="F66" s="10" t="n">
        <x:v>115</x:v>
      </x:c>
      <x:c r="G66" s="10" t="n">
        <x:v>90</x:v>
      </x:c>
      <x:c r="H66" s="10" t="n">
        <x:f>MAX(F66:G66)</x:f>
        <x:v>115</x:v>
      </x:c>
      <x:c r="I66" s="1" t="str">
        <x:f>'Pokémon'!M247</x:f>
        <x:v>Física</x:v>
      </x:c>
      <x:c r="J66" s="1" t="str">
        <x:f>'Habilidades'!D2267</x:f>
        <x:v>Ignition Point</x:v>
      </x:c>
      <x:c r="K66" s="1" t="str">
        <x:f>'Habilidades'!E2267</x:f>
        <x:v>Fogo</x:v>
      </x:c>
      <x:c r="L66" s="1" t="str">
        <x:f>'Habilidades'!F2267</x:f>
        <x:v>Especial</x:v>
      </x:c>
      <x:c r="M66" s="10" t="n">
        <x:f>'Habilidades'!G2267</x:f>
        <x:v>300</x:v>
      </x:c>
      <x:c r="N66" s="10" t="n">
        <x:f>'Habilidades'!I2267</x:f>
        <x:v>390</x:v>
      </x:c>
      <x:c r="O66" s="1" t="str">
        <x:f>'Habilidades'!D2268&amp;" ("&amp;'Habilidades'!I2268&amp;")"</x:f>
        <x:v>Eruption (240)</x:v>
      </x:c>
      <x:c r="P66" s="1" t="str">
        <x:f>'Habilidades'!D2269&amp;" ("&amp;'Habilidades'!I2269&amp;")"</x:f>
        <x:v>Sacred Fire (215)</x:v>
      </x:c>
      <x:c r="Q66" s="1" t="str">
        <x:f>'Habilidades'!D2270&amp;" ("&amp;'Habilidades'!I2270&amp;")"</x:f>
        <x:v>Fire Blast (200)</x:v>
      </x:c>
      <x:c r="R66" s="1" t="str">
        <x:f>'Habilidades'!D2271&amp;" ("&amp;'Habilidades'!I2271&amp;")"</x:f>
        <x:v>Flamethrower (180)</x:v>
      </x:c>
      <x:c r="S66" s="9" t="str">
        <x:v>https://poke.idleworld.online/pokepedia/pokemon/entei</x:v>
      </x:c>
    </x:row>
    <x:row r="67" ht="22" customHeight="1">
      <x:c r="A67" s="1" t="n">
        <x:v>62</x:v>
      </x:c>
      <x:c r="B67" s="1" t="n">
        <x:v>229</x:v>
      </x:c>
      <x:c r="C67" s="1" t="str">
        <x:v>Houndoom</x:v>
      </x:c>
      <x:c r="D67" s="1" t="str">
        <x:v>Sombrio</x:v>
      </x:c>
      <x:c r="E67" s="1" t="str">
        <x:v>Fogo</x:v>
      </x:c>
      <x:c r="F67" s="10" t="n">
        <x:v>90</x:v>
      </x:c>
      <x:c r="G67" s="10" t="n">
        <x:v>110</x:v>
      </x:c>
      <x:c r="H67" s="10" t="n">
        <x:f>MAX(F67:G67)</x:f>
        <x:v>110</x:v>
      </x:c>
      <x:c r="I67" s="1" t="str">
        <x:f>'Pokémon'!M232</x:f>
        <x:v>Especial</x:v>
      </x:c>
      <x:c r="J67" s="1" t="str">
        <x:f>'Habilidades'!D2157</x:f>
        <x:v>Endless Hollow</x:v>
      </x:c>
      <x:c r="K67" s="1" t="str">
        <x:f>'Habilidades'!E2157</x:f>
        <x:v>Sombrio</x:v>
      </x:c>
      <x:c r="L67" s="1" t="str">
        <x:f>'Habilidades'!F2157</x:f>
        <x:v>Física</x:v>
      </x:c>
      <x:c r="M67" s="10" t="n">
        <x:f>'Habilidades'!G2157</x:f>
        <x:v>300</x:v>
      </x:c>
      <x:c r="N67" s="10" t="n">
        <x:f>'Habilidades'!I2157</x:f>
        <x:v>390</x:v>
      </x:c>
      <x:c r="O67" s="1" t="str">
        <x:f>'Habilidades'!D2158&amp;" ("&amp;'Habilidades'!I2158&amp;")"</x:f>
        <x:v>Inferno (210)</x:v>
      </x:c>
      <x:c r="P67" s="1" t="str">
        <x:f>'Habilidades'!D2159&amp;" ("&amp;'Habilidades'!I2159&amp;")"</x:f>
        <x:v>Flamethrower (200)</x:v>
      </x:c>
      <x:c r="Q67" s="1" t="str">
        <x:f>'Habilidades'!D2160&amp;" ("&amp;'Habilidades'!I2160&amp;")"</x:f>
        <x:v>Foul Play (185)</x:v>
      </x:c>
      <x:c r="R67" s="1" t="str">
        <x:f>'Habilidades'!D2161&amp;" ("&amp;'Habilidades'!I2161&amp;")"</x:f>
        <x:v>Crunch (170)</x:v>
      </x:c>
      <x:c r="S67" s="9" t="str">
        <x:v>https://poke.idleworld.online/pokepedia/pokemon/houndoom</x:v>
      </x:c>
    </x:row>
    <x:row r="68" ht="22" customHeight="1">
      <x:c r="A68" s="1" t="n">
        <x:v>62</x:v>
      </x:c>
      <x:c r="B68" s="1" t="n">
        <x:v>15</x:v>
      </x:c>
      <x:c r="C68" s="1" t="str">
        <x:v>Beedrill</x:v>
      </x:c>
      <x:c r="D68" s="1" t="str">
        <x:v>Inseto</x:v>
      </x:c>
      <x:c r="E68" s="1" t="str">
        <x:v>Venenoso</x:v>
      </x:c>
      <x:c r="F68" s="10" t="n">
        <x:v>90</x:v>
      </x:c>
      <x:c r="G68" s="10" t="n">
        <x:v>45</x:v>
      </x:c>
      <x:c r="H68" s="10" t="n">
        <x:f>MAX(F68:G68)</x:f>
        <x:v>90</x:v>
      </x:c>
      <x:c r="I68" s="1" t="str">
        <x:f>'Pokémon'!M19</x:f>
        <x:v>Física</x:v>
      </x:c>
      <x:c r="J68" s="1" t="str">
        <x:f>'Habilidades'!D115</x:f>
        <x:v>Hive Crush</x:v>
      </x:c>
      <x:c r="K68" s="1" t="str">
        <x:f>'Habilidades'!E115</x:f>
        <x:v>Inseto</x:v>
      </x:c>
      <x:c r="L68" s="1" t="str">
        <x:f>'Habilidades'!F115</x:f>
        <x:v>Física</x:v>
      </x:c>
      <x:c r="M68" s="10" t="n">
        <x:f>'Habilidades'!G115</x:f>
        <x:v>300</x:v>
      </x:c>
      <x:c r="N68" s="10" t="n">
        <x:f>'Habilidades'!I115</x:f>
        <x:v>390</x:v>
      </x:c>
      <x:c r="O68" s="1" t="str">
        <x:f>'Habilidades'!D116&amp;" ("&amp;'Habilidades'!I116&amp;")"</x:f>
        <x:v>Poison Jab (170)</x:v>
      </x:c>
      <x:c r="P68" s="1" t="str">
        <x:f>'Habilidades'!D117&amp;" ("&amp;'Habilidades'!I117&amp;")"</x:f>
        <x:v>Assurance (150)</x:v>
      </x:c>
      <x:c r="Q68" s="1" t="str">
        <x:f>'Habilidades'!D118&amp;" ("&amp;'Habilidades'!I118&amp;")"</x:f>
        <x:v>Pursuit (130)</x:v>
      </x:c>
      <x:c r="R68" s="1" t="str">
        <x:f>'Habilidades'!D119&amp;" ("&amp;'Habilidades'!I119&amp;")"</x:f>
        <x:v>Fell Stinger (120)</x:v>
      </x:c>
      <x:c r="S68" s="9" t="str">
        <x:v>https://poke.idleworld.online/pokepedia/pokemon/beedrill</x:v>
      </x:c>
    </x:row>
    <x:row r="69" ht="22" customHeight="1">
      <x:c r="A69" s="1" t="n">
        <x:v>62</x:v>
      </x:c>
      <x:c r="B69" s="1" t="n">
        <x:v>22</x:v>
      </x:c>
      <x:c r="C69" s="1" t="str">
        <x:v>Fearow</x:v>
      </x:c>
      <x:c r="D69" s="1" t="str">
        <x:v>Normal</x:v>
      </x:c>
      <x:c r="E69" s="1" t="str">
        <x:v>Voador</x:v>
      </x:c>
      <x:c r="F69" s="10" t="n">
        <x:v>90</x:v>
      </x:c>
      <x:c r="G69" s="10" t="n">
        <x:v>61</x:v>
      </x:c>
      <x:c r="H69" s="10" t="n">
        <x:f>MAX(F69:G69)</x:f>
        <x:v>90</x:v>
      </x:c>
      <x:c r="I69" s="1" t="str">
        <x:f>'Pokémon'!M26</x:f>
        <x:v>Física</x:v>
      </x:c>
      <x:c r="J69" s="1" t="str">
        <x:f>'Habilidades'!D180</x:f>
        <x:v>Massive Hurricane</x:v>
      </x:c>
      <x:c r="K69" s="1" t="str">
        <x:f>'Habilidades'!E180</x:f>
        <x:v>Voador</x:v>
      </x:c>
      <x:c r="L69" s="1" t="str">
        <x:f>'Habilidades'!F180</x:f>
        <x:v>Física</x:v>
      </x:c>
      <x:c r="M69" s="10" t="n">
        <x:f>'Habilidades'!G180</x:f>
        <x:v>300</x:v>
      </x:c>
      <x:c r="N69" s="10" t="n">
        <x:f>'Habilidades'!I180</x:f>
        <x:v>390</x:v>
      </x:c>
      <x:c r="O69" s="1" t="str">
        <x:f>'Habilidades'!D181&amp;" ("&amp;'Habilidades'!I181&amp;")"</x:f>
        <x:v>Drill Run (170)</x:v>
      </x:c>
      <x:c r="P69" s="1" t="str">
        <x:f>'Habilidades'!D182&amp;" ("&amp;'Habilidades'!I182&amp;")"</x:f>
        <x:v>Drill Peck (170)</x:v>
      </x:c>
      <x:c r="Q69" s="1" t="str">
        <x:f>'Habilidades'!D183&amp;" ("&amp;'Habilidades'!I183&amp;")"</x:f>
        <x:v>Pluck (150)</x:v>
      </x:c>
      <x:c r="R69" s="1" t="str">
        <x:f>'Habilidades'!D184&amp;" ("&amp;'Habilidades'!I184&amp;")"</x:f>
        <x:v>Aerial Ace (150)</x:v>
      </x:c>
      <x:c r="S69" s="9" t="str">
        <x:v>https://poke.idleworld.online/pokepedia/pokemon/fearow</x:v>
      </x:c>
    </x:row>
    <x:row r="70" ht="22" customHeight="1">
      <x:c r="A70" s="1" t="n">
        <x:v>62</x:v>
      </x:c>
      <x:c r="B70" s="1" t="n">
        <x:v>26</x:v>
      </x:c>
      <x:c r="C70" s="1" t="str">
        <x:v>Raichu</x:v>
      </x:c>
      <x:c r="D70" s="1" t="str">
        <x:v>Elétrico</x:v>
      </x:c>
      <x:c r="E70" s="1" t="str"/>
      <x:c r="F70" s="10" t="n">
        <x:v>90</x:v>
      </x:c>
      <x:c r="G70" s="10" t="n">
        <x:v>90</x:v>
      </x:c>
      <x:c r="H70" s="10" t="n">
        <x:f>MAX(F70:G70)</x:f>
        <x:v>90</x:v>
      </x:c>
      <x:c r="I70" s="1" t="str">
        <x:f>'Pokémon'!M30</x:f>
        <x:v>Empate</x:v>
      </x:c>
      <x:c r="J70" s="1" t="str">
        <x:f>'Habilidades'!D221</x:f>
        <x:v>Static Overload</x:v>
      </x:c>
      <x:c r="K70" s="1" t="str">
        <x:f>'Habilidades'!E221</x:f>
        <x:v>Elétrico</x:v>
      </x:c>
      <x:c r="L70" s="1" t="str">
        <x:f>'Habilidades'!F221</x:f>
        <x:v>Especial</x:v>
      </x:c>
      <x:c r="M70" s="10" t="n">
        <x:f>'Habilidades'!G221</x:f>
        <x:v>300</x:v>
      </x:c>
      <x:c r="N70" s="10" t="n">
        <x:f>'Habilidades'!I221</x:f>
        <x:v>390</x:v>
      </x:c>
      <x:c r="O70" s="1" t="str">
        <x:f>'Habilidades'!D222&amp;" ("&amp;'Habilidades'!I222&amp;")"</x:f>
        <x:v>Thunderbolt (180)</x:v>
      </x:c>
      <x:c r="P70" s="1" t="str">
        <x:f>'Habilidades'!D223&amp;" ("&amp;'Habilidades'!I223&amp;")"</x:f>
        <x:v>Thunder Shock (130)</x:v>
      </x:c>
      <x:c r="Q70" s="1" t="str">
        <x:f>'Habilidades'!D224&amp;" ("&amp;'Habilidades'!I224&amp;")"</x:f>
        <x:v>Quick Attack (130)</x:v>
      </x:c>
      <x:c r="R70" s="1" t="str">
        <x:f>""</x:f>
      </x:c>
      <x:c r="S70" s="9" t="str">
        <x:v>https://poke.idleworld.online/pokepedia/pokemon/raichu</x:v>
      </x:c>
    </x:row>
    <x:row r="71" ht="22" customHeight="1">
      <x:c r="A71" s="1" t="n">
        <x:v>62</x:v>
      </x:c>
      <x:c r="B71" s="1" t="n">
        <x:v>110</x:v>
      </x:c>
      <x:c r="C71" s="1" t="str">
        <x:v>Weezing</x:v>
      </x:c>
      <x:c r="D71" s="1" t="str">
        <x:v>Venenoso</x:v>
      </x:c>
      <x:c r="E71" s="1" t="str"/>
      <x:c r="F71" s="10" t="n">
        <x:v>90</x:v>
      </x:c>
      <x:c r="G71" s="10" t="n">
        <x:v>85</x:v>
      </x:c>
      <x:c r="H71" s="10" t="n">
        <x:f>MAX(F71:G71)</x:f>
        <x:v>90</x:v>
      </x:c>
      <x:c r="I71" s="1" t="str">
        <x:f>'Pokémon'!M114</x:f>
        <x:v>Física</x:v>
      </x:c>
      <x:c r="J71" s="1" t="str">
        <x:f>'Habilidades'!D1038</x:f>
        <x:v>Toxic Deluge</x:v>
      </x:c>
      <x:c r="K71" s="1" t="str">
        <x:f>'Habilidades'!E1038</x:f>
        <x:v>Venenoso</x:v>
      </x:c>
      <x:c r="L71" s="1" t="str">
        <x:f>'Habilidades'!F1038</x:f>
        <x:v>Física</x:v>
      </x:c>
      <x:c r="M71" s="10" t="n">
        <x:f>'Habilidades'!G1038</x:f>
        <x:v>300</x:v>
      </x:c>
      <x:c r="N71" s="10" t="n">
        <x:f>'Habilidades'!I1038</x:f>
        <x:v>390</x:v>
      </x:c>
      <x:c r="O71" s="1" t="str">
        <x:f>'Habilidades'!D1039&amp;" ("&amp;'Habilidades'!I1039&amp;")"</x:f>
        <x:v>Belch (205)</x:v>
      </x:c>
      <x:c r="P71" s="1" t="str">
        <x:f>'Habilidades'!D1040&amp;" ("&amp;'Habilidades'!I1040&amp;")"</x:f>
        <x:v>Sludge Bomb (175)</x:v>
      </x:c>
      <x:c r="Q71" s="1" t="str">
        <x:f>'Habilidades'!D1041&amp;" ("&amp;'Habilidades'!I1041&amp;")"</x:f>
        <x:v>Sludge (150)</x:v>
      </x:c>
      <x:c r="R71" s="1" t="str">
        <x:f>'Habilidades'!D1042&amp;" ("&amp;'Habilidades'!I1042&amp;")"</x:f>
        <x:v>Assurance (150)</x:v>
      </x:c>
      <x:c r="S71" s="9" t="str">
        <x:v>https://poke.idleworld.online/pokepedia/pokemon/weezing</x:v>
      </x:c>
    </x:row>
    <x:row r="72" ht="22" customHeight="1">
      <x:c r="A72" s="1" t="n">
        <x:v>62</x:v>
      </x:c>
      <x:c r="B72" s="1" t="n">
        <x:v>168</x:v>
      </x:c>
      <x:c r="C72" s="1" t="str">
        <x:v>Ariados</x:v>
      </x:c>
      <x:c r="D72" s="1" t="str">
        <x:v>Inseto</x:v>
      </x:c>
      <x:c r="E72" s="1" t="str">
        <x:v>Venenoso</x:v>
      </x:c>
      <x:c r="F72" s="10" t="n">
        <x:v>90</x:v>
      </x:c>
      <x:c r="G72" s="10" t="n">
        <x:v>60</x:v>
      </x:c>
      <x:c r="H72" s="10" t="n">
        <x:f>MAX(F72:G72)</x:f>
        <x:v>90</x:v>
      </x:c>
      <x:c r="I72" s="1" t="str">
        <x:f>'Pokémon'!M172</x:f>
        <x:v>Física</x:v>
      </x:c>
      <x:c r="J72" s="1" t="str">
        <x:f>'Habilidades'!D1621</x:f>
        <x:v>Hive Crush</x:v>
      </x:c>
      <x:c r="K72" s="1" t="str">
        <x:f>'Habilidades'!E1621</x:f>
        <x:v>Inseto</x:v>
      </x:c>
      <x:c r="L72" s="1" t="str">
        <x:f>'Habilidades'!F1621</x:f>
        <x:v>Física</x:v>
      </x:c>
      <x:c r="M72" s="10" t="n">
        <x:f>'Habilidades'!G1621</x:f>
        <x:v>300</x:v>
      </x:c>
      <x:c r="N72" s="10" t="n">
        <x:f>'Habilidades'!I1621</x:f>
        <x:v>390</x:v>
      </x:c>
      <x:c r="O72" s="1" t="str">
        <x:f>'Habilidades'!D1622&amp;" ("&amp;'Habilidades'!I1622&amp;")"</x:f>
        <x:v>Sucker Punch (170)</x:v>
      </x:c>
      <x:c r="P72" s="1" t="str">
        <x:f>'Habilidades'!D1623&amp;" ("&amp;'Habilidades'!I1623&amp;")"</x:f>
        <x:v>Poison Jab (170)</x:v>
      </x:c>
      <x:c r="Q72" s="1" t="str">
        <x:f>'Habilidades'!D1624&amp;" ("&amp;'Habilidades'!I1624&amp;")"</x:f>
        <x:v>Cross Poison (160)</x:v>
      </x:c>
      <x:c r="R72" s="1" t="str">
        <x:f>'Habilidades'!D1625&amp;" ("&amp;'Habilidades'!I1625&amp;")"</x:f>
        <x:v>Psychic (150)</x:v>
      </x:c>
      <x:c r="S72" s="9" t="str">
        <x:v>https://poke.idleworld.online/pokepedia/pokemon/ariados</x:v>
      </x:c>
    </x:row>
    <x:row r="73" ht="22" customHeight="1">
      <x:c r="A73" s="1" t="n">
        <x:v>62</x:v>
      </x:c>
      <x:c r="B73" s="1" t="n">
        <x:v>169</x:v>
      </x:c>
      <x:c r="C73" s="1" t="str">
        <x:v>Crobat</x:v>
      </x:c>
      <x:c r="D73" s="1" t="str">
        <x:v>Venenoso</x:v>
      </x:c>
      <x:c r="E73" s="1" t="str">
        <x:v>Voador</x:v>
      </x:c>
      <x:c r="F73" s="10" t="n">
        <x:v>90</x:v>
      </x:c>
      <x:c r="G73" s="10" t="n">
        <x:v>70</x:v>
      </x:c>
      <x:c r="H73" s="10" t="n">
        <x:f>MAX(F73:G73)</x:f>
        <x:v>90</x:v>
      </x:c>
      <x:c r="I73" s="1" t="str">
        <x:f>'Pokémon'!M173</x:f>
        <x:v>Física</x:v>
      </x:c>
      <x:c r="J73" s="1" t="str">
        <x:f>'Habilidades'!D1634</x:f>
        <x:v>Toxic Deluge</x:v>
      </x:c>
      <x:c r="K73" s="1" t="str">
        <x:f>'Habilidades'!E1634</x:f>
        <x:v>Venenoso</x:v>
      </x:c>
      <x:c r="L73" s="1" t="str">
        <x:f>'Habilidades'!F1634</x:f>
        <x:v>Física</x:v>
      </x:c>
      <x:c r="M73" s="10" t="n">
        <x:f>'Habilidades'!G1634</x:f>
        <x:v>300</x:v>
      </x:c>
      <x:c r="N73" s="10" t="n">
        <x:f>'Habilidades'!I1634</x:f>
        <x:v>390</x:v>
      </x:c>
      <x:c r="O73" s="1" t="str">
        <x:f>'Habilidades'!D1635&amp;" ("&amp;'Habilidades'!I1635&amp;")"</x:f>
        <x:v>Massive Hurricane (390)</x:v>
      </x:c>
      <x:c r="P73" s="1" t="str">
        <x:f>'Habilidades'!D1636&amp;" ("&amp;'Habilidades'!I1636&amp;")"</x:f>
        <x:v>Cross Poison (160)</x:v>
      </x:c>
      <x:c r="Q73" s="1" t="str">
        <x:f>'Habilidades'!D1637&amp;" ("&amp;'Habilidades'!I1637&amp;")"</x:f>
        <x:v>Bite (150)</x:v>
      </x:c>
      <x:c r="R73" s="1" t="str">
        <x:f>'Habilidades'!D1638&amp;" ("&amp;'Habilidades'!I1638&amp;")"</x:f>
        <x:v>Wing Attack (150)</x:v>
      </x:c>
      <x:c r="S73" s="9" t="str">
        <x:v>https://poke.idleworld.online/pokepedia/pokemon/crobat</x:v>
      </x:c>
    </x:row>
    <x:row r="74" ht="22" customHeight="1">
      <x:c r="A74" s="1" t="n">
        <x:v>62</x:v>
      </x:c>
      <x:c r="B74" s="1" t="n">
        <x:v>182</x:v>
      </x:c>
      <x:c r="C74" s="1" t="str">
        <x:v>Bellossom</x:v>
      </x:c>
      <x:c r="D74" s="1" t="str">
        <x:v>Planta</x:v>
      </x:c>
      <x:c r="E74" s="1" t="str"/>
      <x:c r="F74" s="10" t="n">
        <x:v>80</x:v>
      </x:c>
      <x:c r="G74" s="10" t="n">
        <x:v>90</x:v>
      </x:c>
      <x:c r="H74" s="10" t="n">
        <x:f>MAX(F74:G74)</x:f>
        <x:v>90</x:v>
      </x:c>
      <x:c r="I74" s="1" t="str">
        <x:f>'Pokémon'!M186</x:f>
        <x:v>Especial</x:v>
      </x:c>
      <x:c r="J74" s="1" t="str">
        <x:f>'Habilidades'!D1715</x:f>
        <x:v>Petal Bloom</x:v>
      </x:c>
      <x:c r="K74" s="1" t="str">
        <x:f>'Habilidades'!E1715</x:f>
        <x:v>Planta</x:v>
      </x:c>
      <x:c r="L74" s="1" t="str">
        <x:f>'Habilidades'!F1715</x:f>
        <x:v>Especial</x:v>
      </x:c>
      <x:c r="M74" s="10" t="n">
        <x:f>'Habilidades'!G1715</x:f>
        <x:v>300</x:v>
      </x:c>
      <x:c r="N74" s="10" t="n">
        <x:f>'Habilidades'!I1715</x:f>
        <x:v>390</x:v>
      </x:c>
      <x:c r="O74" s="1" t="str">
        <x:f>'Habilidades'!D1716&amp;" ("&amp;'Habilidades'!I1716&amp;")"</x:f>
        <x:v>Leaf Storm (220)</x:v>
      </x:c>
      <x:c r="P74" s="1" t="str">
        <x:f>'Habilidades'!D1717&amp;" ("&amp;'Habilidades'!I1717&amp;")"</x:f>
        <x:v>Leaf Blade (170)</x:v>
      </x:c>
      <x:c r="Q74" s="1" t="str">
        <x:f>'Habilidades'!D1718&amp;" ("&amp;'Habilidades'!I1718&amp;")"</x:f>
        <x:v>Petal Blizzard (170)</x:v>
      </x:c>
      <x:c r="R74" s="1" t="str">
        <x:f>'Habilidades'!D1719&amp;" ("&amp;'Habilidades'!I1719&amp;")"</x:f>
        <x:v>Magical Leaf (150)</x:v>
      </x:c>
      <x:c r="S74" s="9" t="str">
        <x:v>https://poke.idleworld.online/pokepedia/pokemon/bellossom</x:v>
      </x:c>
    </x:row>
    <x:row r="75" ht="22" customHeight="1">
      <x:c r="A75" s="1" t="n">
        <x:v>62</x:v>
      </x:c>
      <x:c r="B75" s="1" t="n">
        <x:v>186</x:v>
      </x:c>
      <x:c r="C75" s="1" t="str">
        <x:v>Politoed</x:v>
      </x:c>
      <x:c r="D75" s="1" t="str">
        <x:v>Água</x:v>
      </x:c>
      <x:c r="E75" s="1" t="str"/>
      <x:c r="F75" s="10" t="n">
        <x:v>75</x:v>
      </x:c>
      <x:c r="G75" s="10" t="n">
        <x:v>90</x:v>
      </x:c>
      <x:c r="H75" s="10" t="n">
        <x:f>MAX(F75:G75)</x:f>
        <x:v>90</x:v>
      </x:c>
      <x:c r="I75" s="1" t="str">
        <x:f>'Pokémon'!M190</x:f>
        <x:v>Especial</x:v>
      </x:c>
      <x:c r="J75" s="1" t="str">
        <x:f>'Habilidades'!D1753</x:f>
        <x:v>Cyclonic Tide</x:v>
      </x:c>
      <x:c r="K75" s="1" t="str">
        <x:f>'Habilidades'!E1753</x:f>
        <x:v>Água</x:v>
      </x:c>
      <x:c r="L75" s="1" t="str">
        <x:f>'Habilidades'!F1753</x:f>
        <x:v>Especial</x:v>
      </x:c>
      <x:c r="M75" s="10" t="n">
        <x:f>'Habilidades'!G1753</x:f>
        <x:v>300</x:v>
      </x:c>
      <x:c r="N75" s="10" t="n">
        <x:f>'Habilidades'!I1753</x:f>
        <x:v>390</x:v>
      </x:c>
      <x:c r="O75" s="1" t="str">
        <x:f>'Habilidades'!D1754&amp;" ("&amp;'Habilidades'!I1754&amp;")"</x:f>
        <x:v>Hyper Voice (180)</x:v>
      </x:c>
      <x:c r="P75" s="1" t="str">
        <x:f>'Habilidades'!D1755&amp;" ("&amp;'Habilidades'!I1755&amp;")"</x:f>
        <x:v>Bounce (160)</x:v>
      </x:c>
      <x:c r="Q75" s="1" t="str">
        <x:f>'Habilidades'!D1756&amp;" ("&amp;'Habilidades'!I1756&amp;")"</x:f>
        <x:v>Bubble Beam (155)</x:v>
      </x:c>
      <x:c r="R75" s="1" t="str">
        <x:f>'Habilidades'!D1757&amp;" ("&amp;'Habilidades'!I1757&amp;")"</x:f>
        <x:v>Double Slap (90)</x:v>
      </x:c>
      <x:c r="S75" s="9" t="str">
        <x:v>https://poke.idleworld.online/pokepedia/pokemon/politoed</x:v>
      </x:c>
    </x:row>
    <x:row r="76" ht="22" customHeight="1">
      <x:c r="A76" s="1" t="n">
        <x:v>62</x:v>
      </x:c>
      <x:c r="B76" s="1" t="n">
        <x:v>205</x:v>
      </x:c>
      <x:c r="C76" s="1" t="str">
        <x:v>Forretress</x:v>
      </x:c>
      <x:c r="D76" s="1" t="str">
        <x:v>Inseto</x:v>
      </x:c>
      <x:c r="E76" s="1" t="str">
        <x:v>Aço</x:v>
      </x:c>
      <x:c r="F76" s="10" t="n">
        <x:v>90</x:v>
      </x:c>
      <x:c r="G76" s="10" t="n">
        <x:v>60</x:v>
      </x:c>
      <x:c r="H76" s="10" t="n">
        <x:f>MAX(F76:G76)</x:f>
        <x:v>90</x:v>
      </x:c>
      <x:c r="I76" s="1" t="str">
        <x:f>'Pokémon'!M208</x:f>
        <x:v>Física</x:v>
      </x:c>
      <x:c r="J76" s="1" t="str">
        <x:f>'Habilidades'!D1892</x:f>
        <x:v>Hive Crush</x:v>
      </x:c>
      <x:c r="K76" s="1" t="str">
        <x:f>'Habilidades'!E1892</x:f>
        <x:v>Inseto</x:v>
      </x:c>
      <x:c r="L76" s="1" t="str">
        <x:f>'Habilidades'!F1892</x:f>
        <x:v>Física</x:v>
      </x:c>
      <x:c r="M76" s="10" t="n">
        <x:f>'Habilidades'!G1892</x:f>
        <x:v>300</x:v>
      </x:c>
      <x:c r="N76" s="10" t="n">
        <x:f>'Habilidades'!I1892</x:f>
        <x:v>390</x:v>
      </x:c>
      <x:c r="O76" s="1" t="str">
        <x:f>'Habilidades'!D1893&amp;" ("&amp;'Habilidades'!I1893&amp;")"</x:f>
        <x:v>Double-Edge (210)</x:v>
      </x:c>
      <x:c r="P76" s="1" t="str">
        <x:f>'Habilidades'!D1894&amp;" ("&amp;'Habilidades'!I1894&amp;")"</x:f>
        <x:v>Zap Cannon (180)</x:v>
      </x:c>
      <x:c r="Q76" s="1" t="str">
        <x:f>'Habilidades'!D1895&amp;" ("&amp;'Habilidades'!I1895&amp;")"</x:f>
        <x:v>Take Down (180)</x:v>
      </x:c>
      <x:c r="R76" s="1" t="str">
        <x:f>'Habilidades'!D1896&amp;" ("&amp;'Habilidades'!I1896&amp;")"</x:f>
        <x:v>Bug Bite (150)</x:v>
      </x:c>
      <x:c r="S76" s="9" t="str">
        <x:v>https://poke.idleworld.online/pokepedia/pokemon/forretress</x:v>
      </x:c>
    </x:row>
    <x:row r="77" ht="22" customHeight="1">
      <x:c r="A77" s="1" t="n">
        <x:v>62</x:v>
      </x:c>
      <x:c r="B77" s="1" t="n">
        <x:v>245</x:v>
      </x:c>
      <x:c r="C77" s="1" t="str">
        <x:v>Suicune</x:v>
      </x:c>
      <x:c r="D77" s="1" t="str">
        <x:v>Água</x:v>
      </x:c>
      <x:c r="E77" s="1" t="str"/>
      <x:c r="F77" s="10" t="n">
        <x:v>75</x:v>
      </x:c>
      <x:c r="G77" s="10" t="n">
        <x:v>90</x:v>
      </x:c>
      <x:c r="H77" s="10" t="n">
        <x:f>MAX(F77:G77)</x:f>
        <x:v>90</x:v>
      </x:c>
      <x:c r="I77" s="1" t="str">
        <x:f>'Pokémon'!M248</x:f>
        <x:v>Especial</x:v>
      </x:c>
      <x:c r="J77" s="1" t="str">
        <x:f>'Habilidades'!D2279</x:f>
        <x:v>Cyclonic Tide</x:v>
      </x:c>
      <x:c r="K77" s="1" t="str">
        <x:f>'Habilidades'!E2279</x:f>
        <x:v>Água</x:v>
      </x:c>
      <x:c r="L77" s="1" t="str">
        <x:f>'Habilidades'!F2279</x:f>
        <x:v>Especial</x:v>
      </x:c>
      <x:c r="M77" s="10" t="n">
        <x:f>'Habilidades'!G2279</x:f>
        <x:v>300</x:v>
      </x:c>
      <x:c r="N77" s="10" t="n">
        <x:f>'Habilidades'!I2279</x:f>
        <x:v>390</x:v>
      </x:c>
      <x:c r="O77" s="1" t="str">
        <x:f>'Habilidades'!D2280&amp;" ("&amp;'Habilidades'!I2280&amp;")"</x:f>
        <x:v>Hydro Pump (200)</x:v>
      </x:c>
      <x:c r="P77" s="1" t="str">
        <x:f>'Habilidades'!D2281&amp;" ("&amp;'Habilidades'!I2281&amp;")"</x:f>
        <x:v>Blizzard (200)</x:v>
      </x:c>
      <x:c r="Q77" s="1" t="str">
        <x:f>'Habilidades'!D2282&amp;" ("&amp;'Habilidades'!I2282&amp;")"</x:f>
        <x:v>Extrasensory (170)</x:v>
      </x:c>
      <x:c r="R77" s="1" t="str">
        <x:f>'Habilidades'!D2283&amp;" ("&amp;'Habilidades'!I2283&amp;")"</x:f>
        <x:v>Bubble Beam (155)</x:v>
      </x:c>
      <x:c r="S77" s="9" t="str">
        <x:v>https://poke.idleworld.online/pokepedia/pokemon/suicune</x:v>
      </x:c>
    </x:row>
    <x:row r="78" ht="22" customHeight="1">
      <x:c r="A78" s="1" t="n">
        <x:v>62</x:v>
      </x:c>
      <x:c r="B78" s="1" t="n">
        <x:v>249</x:v>
      </x:c>
      <x:c r="C78" s="1" t="str">
        <x:v>Lugia</x:v>
      </x:c>
      <x:c r="D78" s="1" t="str">
        <x:v>Psíquico</x:v>
      </x:c>
      <x:c r="E78" s="1" t="str">
        <x:v>Voador</x:v>
      </x:c>
      <x:c r="F78" s="10" t="n">
        <x:v>90</x:v>
      </x:c>
      <x:c r="G78" s="10" t="n">
        <x:v>90</x:v>
      </x:c>
      <x:c r="H78" s="10" t="n">
        <x:f>MAX(F78:G78)</x:f>
        <x:v>90</x:v>
      </x:c>
      <x:c r="I78" s="1" t="str">
        <x:f>'Pokémon'!M252</x:f>
        <x:v>Empate</x:v>
      </x:c>
      <x:c r="J78" s="1" t="str">
        <x:f>'Habilidades'!D2323</x:f>
        <x:v>Massive Hurricane</x:v>
      </x:c>
      <x:c r="K78" s="1" t="str">
        <x:f>'Habilidades'!E2323</x:f>
        <x:v>Voador</x:v>
      </x:c>
      <x:c r="L78" s="1" t="str">
        <x:f>'Habilidades'!F2323</x:f>
        <x:v>Física</x:v>
      </x:c>
      <x:c r="M78" s="10" t="n">
        <x:f>'Habilidades'!G2323</x:f>
        <x:v>300</x:v>
      </x:c>
      <x:c r="N78" s="10" t="n">
        <x:f>'Habilidades'!I2323</x:f>
        <x:v>390</x:v>
      </x:c>
      <x:c r="O78" s="1" t="str">
        <x:f>'Habilidades'!D2324&amp;" ("&amp;'Habilidades'!I2324&amp;")"</x:f>
        <x:v>Mental Singularity (390)</x:v>
      </x:c>
      <x:c r="P78" s="1" t="str">
        <x:f>'Habilidades'!D2325&amp;" ("&amp;'Habilidades'!I2325&amp;")"</x:f>
        <x:v>Sky Attack (230)</x:v>
      </x:c>
      <x:c r="Q78" s="1" t="str">
        <x:f>'Habilidades'!D2326&amp;" ("&amp;'Habilidades'!I2326&amp;")"</x:f>
        <x:v>Future Sight (210)</x:v>
      </x:c>
      <x:c r="R78" s="1" t="str">
        <x:f>'Habilidades'!D2327&amp;" ("&amp;'Habilidades'!I2327&amp;")"</x:f>
        <x:v>Hydro Pump (200)</x:v>
      </x:c>
      <x:c r="S78" s="9" t="str">
        <x:v>https://poke.idleworld.online/pokepedia/pokemon/lugia</x:v>
      </x:c>
    </x:row>
    <x:row r="79" ht="22" customHeight="1">
      <x:c r="A79" s="1" t="n">
        <x:v>75</x:v>
      </x:c>
      <x:c r="B79" s="1" t="n">
        <x:v>91</x:v>
      </x:c>
      <x:c r="C79" s="1" t="str">
        <x:v>Cloyster</x:v>
      </x:c>
      <x:c r="D79" s="1" t="str">
        <x:v>Água</x:v>
      </x:c>
      <x:c r="E79" s="1" t="str">
        <x:v>Gelo</x:v>
      </x:c>
      <x:c r="F79" s="10" t="n">
        <x:v>95</x:v>
      </x:c>
      <x:c r="G79" s="10" t="n">
        <x:v>85</x:v>
      </x:c>
      <x:c r="H79" s="10" t="n">
        <x:f>MAX(F79:G79)</x:f>
        <x:v>95</x:v>
      </x:c>
      <x:c r="I79" s="1" t="str">
        <x:f>'Pokémon'!M95</x:f>
        <x:v>Física</x:v>
      </x:c>
      <x:c r="J79" s="1" t="str">
        <x:f>'Habilidades'!D845</x:f>
        <x:v>Cyclonic Tide</x:v>
      </x:c>
      <x:c r="K79" s="1" t="str">
        <x:f>'Habilidades'!E845</x:f>
        <x:v>Água</x:v>
      </x:c>
      <x:c r="L79" s="1" t="str">
        <x:f>'Habilidades'!F845</x:f>
        <x:v>Especial</x:v>
      </x:c>
      <x:c r="M79" s="10" t="n">
        <x:f>'Habilidades'!G845</x:f>
        <x:v>300</x:v>
      </x:c>
      <x:c r="N79" s="10" t="n">
        <x:f>'Habilidades'!I845</x:f>
        <x:v>385</x:v>
      </x:c>
      <x:c r="O79" s="1" t="str">
        <x:f>'Habilidades'!D846&amp;" ("&amp;'Habilidades'!I846&amp;")"</x:f>
        <x:v>Hydro Pump (195)</x:v>
      </x:c>
      <x:c r="P79" s="1" t="str">
        <x:f>'Habilidades'!D847&amp;" ("&amp;'Habilidades'!I847&amp;")"</x:f>
        <x:v>Icicle Crash (180)</x:v>
      </x:c>
      <x:c r="Q79" s="1" t="str">
        <x:f>'Habilidades'!D848&amp;" ("&amp;'Habilidades'!I848&amp;")"</x:f>
        <x:v>Aurora Beam (150)</x:v>
      </x:c>
      <x:c r="R79" s="1" t="str">
        <x:f>'Habilidades'!D849&amp;" ("&amp;'Habilidades'!I849&amp;")"</x:f>
        <x:v>Spike Cannon (115)</x:v>
      </x:c>
      <x:c r="S79" s="9" t="str">
        <x:v>https://poke.idleworld.online/pokepedia/pokemon/cloyster</x:v>
      </x:c>
    </x:row>
    <x:row r="80" ht="22" customHeight="1">
      <x:c r="A80" s="1" t="n">
        <x:v>75</x:v>
      </x:c>
      <x:c r="B80" s="1" t="n">
        <x:v>9</x:v>
      </x:c>
      <x:c r="C80" s="1" t="str">
        <x:v>Blastoise</x:v>
      </x:c>
      <x:c r="D80" s="1" t="str">
        <x:v>Água</x:v>
      </x:c>
      <x:c r="E80" s="1" t="str"/>
      <x:c r="F80" s="10" t="n">
        <x:v>83</x:v>
      </x:c>
      <x:c r="G80" s="10" t="n">
        <x:v>85</x:v>
      </x:c>
      <x:c r="H80" s="10" t="n">
        <x:f>MAX(F80:G80)</x:f>
        <x:v>85</x:v>
      </x:c>
      <x:c r="I80" s="1" t="str">
        <x:f>'Pokémon'!M13</x:f>
        <x:v>Especial</x:v>
      </x:c>
      <x:c r="J80" s="1" t="str">
        <x:f>'Habilidades'!D85</x:f>
        <x:v>Cyclonic Tide</x:v>
      </x:c>
      <x:c r="K80" s="1" t="str">
        <x:f>'Habilidades'!E85</x:f>
        <x:v>Água</x:v>
      </x:c>
      <x:c r="L80" s="1" t="str">
        <x:f>'Habilidades'!F85</x:f>
        <x:v>Especial</x:v>
      </x:c>
      <x:c r="M80" s="10" t="n">
        <x:f>'Habilidades'!G85</x:f>
        <x:v>300</x:v>
      </x:c>
      <x:c r="N80" s="10" t="n">
        <x:f>'Habilidades'!I85</x:f>
        <x:v>385</x:v>
      </x:c>
      <x:c r="O80" s="1" t="str">
        <x:f>'Habilidades'!D86&amp;" ("&amp;'Habilidades'!I86&amp;")"</x:f>
        <x:v>Skull Bash (213)</x:v>
      </x:c>
      <x:c r="P80" s="1" t="str">
        <x:f>'Habilidades'!D87&amp;" ("&amp;'Habilidades'!I87&amp;")"</x:f>
        <x:v>Hydro Pump (195)</x:v>
      </x:c>
      <x:c r="Q80" s="1" t="str">
        <x:f>'Habilidades'!D88&amp;" ("&amp;'Habilidades'!I88&amp;")"</x:f>
        <x:v>Aqua Tail (173)</x:v>
      </x:c>
      <x:c r="R80" s="1" t="str">
        <x:f>'Habilidades'!D89&amp;" ("&amp;'Habilidades'!I89&amp;")"</x:f>
        <x:v>Flash Cannon (165)</x:v>
      </x:c>
      <x:c r="S80" s="9" t="str">
        <x:v>https://poke.idleworld.online/pokepedia/pokemon/blastoise</x:v>
      </x:c>
    </x:row>
    <x:row r="81" ht="22" customHeight="1">
      <x:c r="A81" s="1" t="n">
        <x:v>75</x:v>
      </x:c>
      <x:c r="B81" s="1" t="n">
        <x:v>24</x:v>
      </x:c>
      <x:c r="C81" s="1" t="str">
        <x:v>Arbok</x:v>
      </x:c>
      <x:c r="D81" s="1" t="str">
        <x:v>Venenoso</x:v>
      </x:c>
      <x:c r="E81" s="1" t="str"/>
      <x:c r="F81" s="10" t="n">
        <x:v>85</x:v>
      </x:c>
      <x:c r="G81" s="10" t="n">
        <x:v>65</x:v>
      </x:c>
      <x:c r="H81" s="10" t="n">
        <x:f>MAX(F81:G81)</x:f>
        <x:v>85</x:v>
      </x:c>
      <x:c r="I81" s="1" t="str">
        <x:f>'Pokémon'!M28</x:f>
        <x:v>Física</x:v>
      </x:c>
      <x:c r="J81" s="1" t="str">
        <x:f>'Habilidades'!D197</x:f>
        <x:v>Toxic Deluge</x:v>
      </x:c>
      <x:c r="K81" s="1" t="str">
        <x:f>'Habilidades'!E197</x:f>
        <x:v>Venenoso</x:v>
      </x:c>
      <x:c r="L81" s="1" t="str">
        <x:f>'Habilidades'!F197</x:f>
        <x:v>Física</x:v>
      </x:c>
      <x:c r="M81" s="10" t="n">
        <x:f>'Habilidades'!G197</x:f>
        <x:v>300</x:v>
      </x:c>
      <x:c r="N81" s="10" t="n">
        <x:f>'Habilidades'!I197</x:f>
        <x:v>385</x:v>
      </x:c>
      <x:c r="O81" s="1" t="str">
        <x:f>'Habilidades'!D198&amp;" ("&amp;'Habilidades'!I198&amp;")"</x:f>
        <x:v>Gunk Shot (205)</x:v>
      </x:c>
      <x:c r="P81" s="1" t="str">
        <x:f>'Habilidades'!D199&amp;" ("&amp;'Habilidades'!I199&amp;")"</x:f>
        <x:v>Belch (185)</x:v>
      </x:c>
      <x:c r="Q81" s="1" t="str">
        <x:f>'Habilidades'!D200&amp;" ("&amp;'Habilidades'!I200&amp;")"</x:f>
        <x:v>Crunch (165)</x:v>
      </x:c>
      <x:c r="R81" s="1" t="str">
        <x:f>'Habilidades'!D201&amp;" ("&amp;'Habilidades'!I201&amp;")"</x:f>
        <x:v>Thunder Fang (150)</x:v>
      </x:c>
      <x:c r="S81" s="9" t="str">
        <x:v>https://poke.idleworld.online/pokepedia/pokemon/arbok</x:v>
      </x:c>
    </x:row>
    <x:row r="82" ht="22" customHeight="1">
      <x:c r="A82" s="1" t="n">
        <x:v>75</x:v>
      </x:c>
      <x:c r="B82" s="1" t="n">
        <x:v>131</x:v>
      </x:c>
      <x:c r="C82" s="1" t="str">
        <x:v>Lapras</x:v>
      </x:c>
      <x:c r="D82" s="1" t="str">
        <x:v>Água</x:v>
      </x:c>
      <x:c r="E82" s="1" t="str">
        <x:v>Gelo</x:v>
      </x:c>
      <x:c r="F82" s="10" t="n">
        <x:v>85</x:v>
      </x:c>
      <x:c r="G82" s="10" t="n">
        <x:v>85</x:v>
      </x:c>
      <x:c r="H82" s="10" t="n">
        <x:f>MAX(F82:G82)</x:f>
        <x:v>85</x:v>
      </x:c>
      <x:c r="I82" s="1" t="str">
        <x:f>'Pokémon'!M135</x:f>
        <x:v>Empate</x:v>
      </x:c>
      <x:c r="J82" s="1" t="str">
        <x:f>'Habilidades'!D1258</x:f>
        <x:v>Cyclonic Tide</x:v>
      </x:c>
      <x:c r="K82" s="1" t="str">
        <x:f>'Habilidades'!E1258</x:f>
        <x:v>Água</x:v>
      </x:c>
      <x:c r="L82" s="1" t="str">
        <x:f>'Habilidades'!F1258</x:f>
        <x:v>Especial</x:v>
      </x:c>
      <x:c r="M82" s="10" t="n">
        <x:f>'Habilidades'!G1258</x:f>
        <x:v>300</x:v>
      </x:c>
      <x:c r="N82" s="10" t="n">
        <x:f>'Habilidades'!I1258</x:f>
        <x:v>385</x:v>
      </x:c>
      <x:c r="O82" s="1" t="str">
        <x:f>'Habilidades'!D1259&amp;" ("&amp;'Habilidades'!I1259&amp;")"</x:f>
        <x:v>Hydro Pump (195)</x:v>
      </x:c>
      <x:c r="P82" s="1" t="str">
        <x:f>'Habilidades'!D1260&amp;" ("&amp;'Habilidades'!I1260&amp;")"</x:f>
        <x:v>Ice Beam (175)</x:v>
      </x:c>
      <x:c r="Q82" s="1" t="str">
        <x:f>'Habilidades'!D1261&amp;" ("&amp;'Habilidades'!I1261&amp;")"</x:f>
        <x:v>Body Slam (170)</x:v>
      </x:c>
      <x:c r="R82" s="1" t="str">
        <x:f>'Habilidades'!D1262&amp;" ("&amp;'Habilidades'!I1262&amp;")"</x:f>
        <x:v>Brine (150)</x:v>
      </x:c>
      <x:c r="S82" s="9" t="str">
        <x:v>https://poke.idleworld.online/pokepedia/pokemon/lapras</x:v>
      </x:c>
    </x:row>
    <x:row r="83" ht="22" customHeight="1">
      <x:c r="A83" s="1" t="n">
        <x:v>75</x:v>
      </x:c>
      <x:c r="B83" s="1" t="n">
        <x:v>198</x:v>
      </x:c>
      <x:c r="C83" s="1" t="str">
        <x:v>Murkrow</x:v>
      </x:c>
      <x:c r="D83" s="1" t="str">
        <x:v>Sombrio</x:v>
      </x:c>
      <x:c r="E83" s="1" t="str">
        <x:v>Voador</x:v>
      </x:c>
      <x:c r="F83" s="10" t="n">
        <x:v>85</x:v>
      </x:c>
      <x:c r="G83" s="10" t="n">
        <x:v>85</x:v>
      </x:c>
      <x:c r="H83" s="10" t="n">
        <x:f>MAX(F83:G83)</x:f>
        <x:v>85</x:v>
      </x:c>
      <x:c r="I83" s="1" t="str">
        <x:f>'Pokémon'!M202</x:f>
        <x:v>Empate</x:v>
      </x:c>
      <x:c r="J83" s="1" t="str">
        <x:f>'Habilidades'!D1849</x:f>
        <x:v>Massive Hurricane</x:v>
      </x:c>
      <x:c r="K83" s="1" t="str">
        <x:f>'Habilidades'!E1849</x:f>
        <x:v>Voador</x:v>
      </x:c>
      <x:c r="L83" s="1" t="str">
        <x:f>'Habilidades'!F1849</x:f>
        <x:v>Física</x:v>
      </x:c>
      <x:c r="M83" s="10" t="n">
        <x:f>'Habilidades'!G1849</x:f>
        <x:v>300</x:v>
      </x:c>
      <x:c r="N83" s="10" t="n">
        <x:f>'Habilidades'!I1849</x:f>
        <x:v>385</x:v>
      </x:c>
      <x:c r="O83" s="1" t="str">
        <x:f>'Habilidades'!D1850&amp;" ("&amp;'Habilidades'!I1850&amp;")"</x:f>
        <x:v>Endless Hollow (385)</x:v>
      </x:c>
      <x:c r="P83" s="1" t="str">
        <x:f>'Habilidades'!D1851&amp;" ("&amp;'Habilidades'!I1851&amp;")"</x:f>
        <x:v>Foul Play (180)</x:v>
      </x:c>
      <x:c r="Q83" s="1" t="str">
        <x:f>'Habilidades'!D1852&amp;" ("&amp;'Habilidades'!I1852&amp;")"</x:f>
        <x:v>Sucker Punch (165)</x:v>
      </x:c>
      <x:c r="R83" s="1" t="str">
        <x:f>'Habilidades'!D1853&amp;" ("&amp;'Habilidades'!I1853&amp;")"</x:f>
        <x:v>Wing Attack (145)</x:v>
      </x:c>
      <x:c r="S83" s="9" t="str">
        <x:v>https://poke.idleworld.online/pokepedia/pokemon/murkrow</x:v>
      </x:c>
    </x:row>
    <x:row r="84" ht="22" customHeight="1">
      <x:c r="A84" s="1" t="n">
        <x:v>75</x:v>
      </x:c>
      <x:c r="B84" s="1" t="n">
        <x:v>208</x:v>
      </x:c>
      <x:c r="C84" s="1" t="str">
        <x:v>Steelix</x:v>
      </x:c>
      <x:c r="D84" s="1" t="str">
        <x:v>Aço</x:v>
      </x:c>
      <x:c r="E84" s="1" t="str">
        <x:v>Terrestre</x:v>
      </x:c>
      <x:c r="F84" s="10" t="n">
        <x:v>85</x:v>
      </x:c>
      <x:c r="G84" s="10" t="n">
        <x:v>55</x:v>
      </x:c>
      <x:c r="H84" s="10" t="n">
        <x:f>MAX(F84:G84)</x:f>
        <x:v>85</x:v>
      </x:c>
      <x:c r="I84" s="1" t="str">
        <x:f>'Pokémon'!M211</x:f>
        <x:v>Física</x:v>
      </x:c>
      <x:c r="J84" s="1" t="str">
        <x:f>'Habilidades'!D1921</x:f>
        <x:v>Crossing Fissure</x:v>
      </x:c>
      <x:c r="K84" s="1" t="str">
        <x:f>'Habilidades'!E1921</x:f>
        <x:v>Terrestre</x:v>
      </x:c>
      <x:c r="L84" s="1" t="str">
        <x:f>'Habilidades'!F1921</x:f>
        <x:v>Física</x:v>
      </x:c>
      <x:c r="M84" s="10" t="n">
        <x:f>'Habilidades'!G1921</x:f>
        <x:v>300</x:v>
      </x:c>
      <x:c r="N84" s="10" t="n">
        <x:f>'Habilidades'!I1921</x:f>
        <x:v>385</x:v>
      </x:c>
      <x:c r="O84" s="1" t="str">
        <x:f>'Habilidades'!D1922&amp;" ("&amp;'Habilidades'!I1922&amp;")"</x:f>
        <x:v>Double-Edge (205)</x:v>
      </x:c>
      <x:c r="P84" s="1" t="str">
        <x:f>'Habilidades'!D1923&amp;" ("&amp;'Habilidades'!I1923&amp;")"</x:f>
        <x:v>Iron Tail (185)</x:v>
      </x:c>
      <x:c r="Q84" s="1" t="str">
        <x:f>'Habilidades'!D1924&amp;" ("&amp;'Habilidades'!I1924&amp;")"</x:f>
        <x:v>Stone Edge (185)</x:v>
      </x:c>
      <x:c r="R84" s="1" t="str">
        <x:f>'Habilidades'!D1925&amp;" ("&amp;'Habilidades'!I1925&amp;")"</x:f>
        <x:v>Slam (165)</x:v>
      </x:c>
      <x:c r="S84" s="9" t="str">
        <x:v>https://poke.idleworld.online/pokepedia/pokemon/steelix</x:v>
      </x:c>
    </x:row>
    <x:row r="85" ht="22" customHeight="1">
      <x:c r="A85" s="1" t="n">
        <x:v>81</x:v>
      </x:c>
      <x:c r="B85" s="1" t="n">
        <x:v>154</x:v>
      </x:c>
      <x:c r="C85" s="1" t="str">
        <x:v>Meganium</x:v>
      </x:c>
      <x:c r="D85" s="1" t="str">
        <x:v>Planta</x:v>
      </x:c>
      <x:c r="E85" s="1" t="str"/>
      <x:c r="F85" s="10" t="n">
        <x:v>82</x:v>
      </x:c>
      <x:c r="G85" s="10" t="n">
        <x:v>83</x:v>
      </x:c>
      <x:c r="H85" s="10" t="n">
        <x:f>MAX(F85:G85)</x:f>
        <x:v>83</x:v>
      </x:c>
      <x:c r="I85" s="1" t="str">
        <x:f>'Pokémon'!M158</x:f>
        <x:v>Especial</x:v>
      </x:c>
      <x:c r="J85" s="1" t="str">
        <x:f>'Habilidades'!D1477</x:f>
        <x:v>Petal Bloom</x:v>
      </x:c>
      <x:c r="K85" s="1" t="str">
        <x:f>'Habilidades'!E1477</x:f>
        <x:v>Planta</x:v>
      </x:c>
      <x:c r="L85" s="1" t="str">
        <x:f>'Habilidades'!F1477</x:f>
        <x:v>Especial</x:v>
      </x:c>
      <x:c r="M85" s="10" t="n">
        <x:f>'Habilidades'!G1477</x:f>
        <x:v>300</x:v>
      </x:c>
      <x:c r="N85" s="10" t="n">
        <x:f>'Habilidades'!I1477</x:f>
        <x:v>383</x:v>
      </x:c>
      <x:c r="O85" s="1" t="str">
        <x:f>'Habilidades'!D1478&amp;" ("&amp;'Habilidades'!I1478&amp;")"</x:f>
        <x:v>Petal Dance (203)</x:v>
      </x:c>
      <x:c r="P85" s="1" t="str">
        <x:f>'Habilidades'!D1479&amp;" ("&amp;'Habilidades'!I1479&amp;")"</x:f>
        <x:v>Solar Beam (203)</x:v>
      </x:c>
      <x:c r="Q85" s="1" t="str">
        <x:f>'Habilidades'!D1480&amp;" ("&amp;'Habilidades'!I1480&amp;")"</x:f>
        <x:v>Petal Blizzard (172)</x:v>
      </x:c>
      <x:c r="R85" s="1" t="str">
        <x:f>'Habilidades'!D1481&amp;" ("&amp;'Habilidades'!I1481&amp;")"</x:f>
        <x:v>Body Slam (167)</x:v>
      </x:c>
      <x:c r="S85" s="9" t="str">
        <x:v>https://poke.idleworld.online/pokepedia/pokemon/meganium</x:v>
      </x:c>
    </x:row>
    <x:row r="86" ht="22" customHeight="1">
      <x:c r="A86" s="1" t="n">
        <x:v>82</x:v>
      </x:c>
      <x:c r="B86" s="1" t="n">
        <x:v>38</x:v>
      </x:c>
      <x:c r="C86" s="1" t="str">
        <x:v>Ninetales</x:v>
      </x:c>
      <x:c r="D86" s="1" t="str">
        <x:v>Fogo</x:v>
      </x:c>
      <x:c r="E86" s="1" t="str"/>
      <x:c r="F86" s="10" t="n">
        <x:v>76</x:v>
      </x:c>
      <x:c r="G86" s="10" t="n">
        <x:v>81</x:v>
      </x:c>
      <x:c r="H86" s="10" t="n">
        <x:f>MAX(F86:G86)</x:f>
        <x:v>81</x:v>
      </x:c>
      <x:c r="I86" s="1" t="str">
        <x:f>'Pokémon'!M42</x:f>
        <x:v>Especial</x:v>
      </x:c>
      <x:c r="J86" s="1" t="str">
        <x:f>'Habilidades'!D321</x:f>
        <x:v>Ignition Point</x:v>
      </x:c>
      <x:c r="K86" s="1" t="str">
        <x:f>'Habilidades'!E321</x:f>
        <x:v>Fogo</x:v>
      </x:c>
      <x:c r="L86" s="1" t="str">
        <x:f>'Habilidades'!F321</x:f>
        <x:v>Especial</x:v>
      </x:c>
      <x:c r="M86" s="10" t="n">
        <x:f>'Habilidades'!G321</x:f>
        <x:v>300</x:v>
      </x:c>
      <x:c r="N86" s="10" t="n">
        <x:f>'Habilidades'!I321</x:f>
        <x:v>381</x:v>
      </x:c>
      <x:c r="O86" s="1" t="str">
        <x:f>'Habilidades'!D322&amp;" ("&amp;'Habilidades'!I322&amp;")"</x:f>
        <x:v>Flamethrower (171)</x:v>
      </x:c>
      <x:c r="P86" s="1" t="str">
        <x:f>'Habilidades'!D323&amp;" ("&amp;'Habilidades'!I323&amp;")"</x:f>
        <x:v>Quick Attack (116)</x:v>
      </x:c>
      <x:c r="Q86" s="1" t="str">
        <x:f>""</x:f>
      </x:c>
      <x:c r="R86" s="1" t="str">
        <x:f>""</x:f>
      </x:c>
      <x:c r="S86" s="9" t="str">
        <x:v>https://poke.idleworld.online/pokepedia/pokemon/ninetales</x:v>
      </x:c>
    </x:row>
    <x:row r="87" ht="22" customHeight="1">
      <x:c r="A87" s="1" t="n">
        <x:v>83</x:v>
      </x:c>
      <x:c r="B87" s="1" t="n">
        <x:v>78</x:v>
      </x:c>
      <x:c r="C87" s="1" t="str">
        <x:v>Rapidash</x:v>
      </x:c>
      <x:c r="D87" s="1" t="str">
        <x:v>Fogo</x:v>
      </x:c>
      <x:c r="E87" s="1" t="str"/>
      <x:c r="F87" s="10" t="n">
        <x:v>100</x:v>
      </x:c>
      <x:c r="G87" s="10" t="n">
        <x:v>80</x:v>
      </x:c>
      <x:c r="H87" s="10" t="n">
        <x:f>MAX(F87:G87)</x:f>
        <x:v>100</x:v>
      </x:c>
      <x:c r="I87" s="1" t="str">
        <x:f>'Pokémon'!M82</x:f>
        <x:v>Física</x:v>
      </x:c>
      <x:c r="J87" s="1" t="str">
        <x:f>'Habilidades'!D697</x:f>
        <x:v>Ignition Point</x:v>
      </x:c>
      <x:c r="K87" s="1" t="str">
        <x:f>'Habilidades'!E697</x:f>
        <x:v>Fogo</x:v>
      </x:c>
      <x:c r="L87" s="1" t="str">
        <x:f>'Habilidades'!F697</x:f>
        <x:v>Especial</x:v>
      </x:c>
      <x:c r="M87" s="10" t="n">
        <x:f>'Habilidades'!G697</x:f>
        <x:v>300</x:v>
      </x:c>
      <x:c r="N87" s="10" t="n">
        <x:f>'Habilidades'!I697</x:f>
        <x:v>380</x:v>
      </x:c>
      <x:c r="O87" s="1" t="str">
        <x:f>'Habilidades'!D698&amp;" ("&amp;'Habilidades'!I698&amp;")"</x:f>
        <x:v>Megahorn (220)</x:v>
      </x:c>
      <x:c r="P87" s="1" t="str">
        <x:f>'Habilidades'!D699&amp;" ("&amp;'Habilidades'!I699&amp;")"</x:f>
        <x:v>Flare Blitz (220)</x:v>
      </x:c>
      <x:c r="Q87" s="1" t="str">
        <x:f>'Habilidades'!D700&amp;" ("&amp;'Habilidades'!I700&amp;")"</x:f>
        <x:v>Fire Blast (190)</x:v>
      </x:c>
      <x:c r="R87" s="1" t="str">
        <x:f>'Habilidades'!D701&amp;" ("&amp;'Habilidades'!I701&amp;")"</x:f>
        <x:v>Take Down (190)</x:v>
      </x:c>
      <x:c r="S87" s="9" t="str">
        <x:v>https://poke.idleworld.online/pokepedia/pokemon/rapidash</x:v>
      </x:c>
    </x:row>
    <x:row r="88" ht="22" customHeight="1">
      <x:c r="A88" s="1" t="n">
        <x:v>83</x:v>
      </x:c>
      <x:c r="B88" s="1" t="n">
        <x:v>330</x:v>
      </x:c>
      <x:c r="C88" s="1" t="str">
        <x:v>Flygon</x:v>
      </x:c>
      <x:c r="D88" s="1" t="str">
        <x:v>Terrestre</x:v>
      </x:c>
      <x:c r="E88" s="1" t="str">
        <x:v>Dragão</x:v>
      </x:c>
      <x:c r="F88" s="10" t="n">
        <x:v>100</x:v>
      </x:c>
      <x:c r="G88" s="10" t="n">
        <x:v>80</x:v>
      </x:c>
      <x:c r="H88" s="10" t="n">
        <x:f>MAX(F88:G88)</x:f>
        <x:v>100</x:v>
      </x:c>
      <x:c r="I88" s="1" t="str">
        <x:f>'Pokémon'!M304</x:f>
        <x:v>Física</x:v>
      </x:c>
      <x:c r="J88" s="1" t="str">
        <x:f>'Habilidades'!D2808</x:f>
        <x:v>Draconic Soul</x:v>
      </x:c>
      <x:c r="K88" s="1" t="str">
        <x:f>'Habilidades'!E2808</x:f>
        <x:v>Dragão</x:v>
      </x:c>
      <x:c r="L88" s="1" t="str">
        <x:f>'Habilidades'!F2808</x:f>
        <x:v>Especial</x:v>
      </x:c>
      <x:c r="M88" s="10" t="n">
        <x:f>'Habilidades'!G2808</x:f>
        <x:v>300</x:v>
      </x:c>
      <x:c r="N88" s="10" t="n">
        <x:f>'Habilidades'!I2808</x:f>
        <x:v>380</x:v>
      </x:c>
      <x:c r="O88" s="1" t="str">
        <x:f>'Habilidades'!D2809&amp;" ("&amp;'Habilidades'!I2809&amp;")"</x:f>
        <x:v>Hyper Beam (230)</x:v>
      </x:c>
      <x:c r="P88" s="1" t="str">
        <x:f>'Habilidades'!D2810&amp;" ("&amp;'Habilidades'!I2810&amp;")"</x:f>
        <x:v>Earthquake (200)</x:v>
      </x:c>
      <x:c r="Q88" s="1" t="str">
        <x:f>'Habilidades'!D2811&amp;" ("&amp;'Habilidades'!I2811&amp;")"</x:f>
        <x:v>Dragon Rush (200)</x:v>
      </x:c>
      <x:c r="R88" s="1" t="str">
        <x:f>'Habilidades'!D2812&amp;" ("&amp;'Habilidades'!I2812&amp;")"</x:f>
        <x:v>Dragon Claw (180)</x:v>
      </x:c>
      <x:c r="S88" s="9" t="str">
        <x:v>https://poke.idleworld.online/pokepedia/pokemon/flygon</x:v>
      </x:c>
    </x:row>
    <x:row r="89" ht="22" customHeight="1">
      <x:c r="A89" s="1" t="n">
        <x:v>83</x:v>
      </x:c>
      <x:c r="B89" s="1" t="n">
        <x:v>18</x:v>
      </x:c>
      <x:c r="C89" s="1" t="str">
        <x:v>Pidgeot</x:v>
      </x:c>
      <x:c r="D89" s="1" t="str">
        <x:v>Normal</x:v>
      </x:c>
      <x:c r="E89" s="1" t="str">
        <x:v>Voador</x:v>
      </x:c>
      <x:c r="F89" s="10" t="n">
        <x:v>80</x:v>
      </x:c>
      <x:c r="G89" s="10" t="n">
        <x:v>70</x:v>
      </x:c>
      <x:c r="H89" s="10" t="n">
        <x:f>MAX(F89:G89)</x:f>
        <x:v>80</x:v>
      </x:c>
      <x:c r="I89" s="1" t="str">
        <x:f>'Pokémon'!M22</x:f>
        <x:v>Física</x:v>
      </x:c>
      <x:c r="J89" s="1" t="str">
        <x:f>'Habilidades'!D141</x:f>
        <x:v>Massive Hurricane</x:v>
      </x:c>
      <x:c r="K89" s="1" t="str">
        <x:f>'Habilidades'!E141</x:f>
        <x:v>Voador</x:v>
      </x:c>
      <x:c r="L89" s="1" t="str">
        <x:f>'Habilidades'!F141</x:f>
        <x:v>Física</x:v>
      </x:c>
      <x:c r="M89" s="10" t="n">
        <x:f>'Habilidades'!G141</x:f>
        <x:v>300</x:v>
      </x:c>
      <x:c r="N89" s="10" t="n">
        <x:f>'Habilidades'!I141</x:f>
        <x:v>380</x:v>
      </x:c>
      <x:c r="O89" s="1" t="str">
        <x:f>'Habilidades'!D142&amp;" ("&amp;'Habilidades'!I142&amp;")"</x:f>
        <x:v>Hurricane (180)</x:v>
      </x:c>
      <x:c r="P89" s="1" t="str">
        <x:f>'Habilidades'!D143&amp;" ("&amp;'Habilidades'!I143&amp;")"</x:f>
        <x:v>Air Slash (145)</x:v>
      </x:c>
      <x:c r="Q89" s="1" t="str">
        <x:f>'Habilidades'!D144&amp;" ("&amp;'Habilidades'!I144&amp;")"</x:f>
        <x:v>Wing Attack (140)</x:v>
      </x:c>
      <x:c r="R89" s="1" t="str">
        <x:f>'Habilidades'!D145&amp;" ("&amp;'Habilidades'!I145&amp;")"</x:f>
        <x:v>Tackle (130)</x:v>
      </x:c>
      <x:c r="S89" s="9" t="str">
        <x:v>https://poke.idleworld.online/pokepedia/pokemon/pidgeot</x:v>
      </x:c>
    </x:row>
    <x:row r="90" ht="22" customHeight="1">
      <x:c r="A90" s="1" t="n">
        <x:v>83</x:v>
      </x:c>
      <x:c r="B90" s="1" t="n">
        <x:v>51</x:v>
      </x:c>
      <x:c r="C90" s="1" t="str">
        <x:v>Dugtrio</x:v>
      </x:c>
      <x:c r="D90" s="1" t="str">
        <x:v>Terrestre</x:v>
      </x:c>
      <x:c r="E90" s="1" t="str"/>
      <x:c r="F90" s="10" t="n">
        <x:v>80</x:v>
      </x:c>
      <x:c r="G90" s="10" t="n">
        <x:v>50</x:v>
      </x:c>
      <x:c r="H90" s="10" t="n">
        <x:f>MAX(F90:G90)</x:f>
        <x:v>80</x:v>
      </x:c>
      <x:c r="I90" s="1" t="str">
        <x:f>'Pokémon'!M55</x:f>
        <x:v>Física</x:v>
      </x:c>
      <x:c r="J90" s="1" t="str">
        <x:f>'Habilidades'!D443</x:f>
        <x:v>Crossing Fissure</x:v>
      </x:c>
      <x:c r="K90" s="1" t="str">
        <x:f>'Habilidades'!E443</x:f>
        <x:v>Terrestre</x:v>
      </x:c>
      <x:c r="L90" s="1" t="str">
        <x:f>'Habilidades'!F443</x:f>
        <x:v>Física</x:v>
      </x:c>
      <x:c r="M90" s="10" t="n">
        <x:f>'Habilidades'!G443</x:f>
        <x:v>300</x:v>
      </x:c>
      <x:c r="N90" s="10" t="n">
        <x:f>'Habilidades'!I443</x:f>
        <x:v>380</x:v>
      </x:c>
      <x:c r="O90" s="1" t="str">
        <x:f>'Habilidades'!D444&amp;" ("&amp;'Habilidades'!I444&amp;")"</x:f>
        <x:v>Earthquake (180)</x:v>
      </x:c>
      <x:c r="P90" s="1" t="str">
        <x:f>'Habilidades'!D445&amp;" ("&amp;'Habilidades'!I445&amp;")"</x:f>
        <x:v>Sucker Punch (160)</x:v>
      </x:c>
      <x:c r="Q90" s="1" t="str">
        <x:f>'Habilidades'!D446&amp;" ("&amp;'Habilidades'!I446&amp;")"</x:f>
        <x:v>Dig (160)</x:v>
      </x:c>
      <x:c r="R90" s="1" t="str">
        <x:f>'Habilidades'!D447&amp;" ("&amp;'Habilidades'!I447&amp;")"</x:f>
        <x:v>Night Slash (150)</x:v>
      </x:c>
      <x:c r="S90" s="9" t="str">
        <x:v>https://poke.idleworld.online/pokepedia/pokemon/dugtrio</x:v>
      </x:c>
    </x:row>
    <x:row r="91" ht="22" customHeight="1">
      <x:c r="A91" s="1" t="n">
        <x:v>83</x:v>
      </x:c>
      <x:c r="B91" s="1" t="n">
        <x:v>73</x:v>
      </x:c>
      <x:c r="C91" s="1" t="str">
        <x:v>Tentacruel</x:v>
      </x:c>
      <x:c r="D91" s="1" t="str">
        <x:v>Água</x:v>
      </x:c>
      <x:c r="E91" s="1" t="str">
        <x:v>Venenoso</x:v>
      </x:c>
      <x:c r="F91" s="10" t="n">
        <x:v>70</x:v>
      </x:c>
      <x:c r="G91" s="10" t="n">
        <x:v>80</x:v>
      </x:c>
      <x:c r="H91" s="10" t="n">
        <x:f>MAX(F91:G91)</x:f>
        <x:v>80</x:v>
      </x:c>
      <x:c r="I91" s="1" t="str">
        <x:f>'Pokémon'!M77</x:f>
        <x:v>Especial</x:v>
      </x:c>
      <x:c r="J91" s="1" t="str">
        <x:f>'Habilidades'!D644</x:f>
        <x:v>Cyclonic Tide</x:v>
      </x:c>
      <x:c r="K91" s="1" t="str">
        <x:f>'Habilidades'!E644</x:f>
        <x:v>Água</x:v>
      </x:c>
      <x:c r="L91" s="1" t="str">
        <x:f>'Habilidades'!F644</x:f>
        <x:v>Especial</x:v>
      </x:c>
      <x:c r="M91" s="10" t="n">
        <x:f>'Habilidades'!G644</x:f>
        <x:v>300</x:v>
      </x:c>
      <x:c r="N91" s="10" t="n">
        <x:f>'Habilidades'!I644</x:f>
        <x:v>380</x:v>
      </x:c>
      <x:c r="O91" s="1" t="str">
        <x:f>'Habilidades'!D645&amp;" ("&amp;'Habilidades'!I645&amp;")"</x:f>
        <x:v>Hydro Pump (190)</x:v>
      </x:c>
      <x:c r="P91" s="1" t="str">
        <x:f>'Habilidades'!D646&amp;" ("&amp;'Habilidades'!I646&amp;")"</x:f>
        <x:v>Sludge Wave (175)</x:v>
      </x:c>
      <x:c r="Q91" s="1" t="str">
        <x:f>'Habilidades'!D647&amp;" ("&amp;'Habilidades'!I647&amp;")"</x:f>
        <x:v>Poison Jab (150)</x:v>
      </x:c>
      <x:c r="R91" s="1" t="str">
        <x:f>'Habilidades'!D648&amp;" ("&amp;'Habilidades'!I648&amp;")"</x:f>
        <x:v>Bubble Beam (145)</x:v>
      </x:c>
      <x:c r="S91" s="9" t="str">
        <x:v>https://poke.idleworld.online/pokepedia/pokemon/tentacruel</x:v>
      </x:c>
    </x:row>
    <x:row r="92" ht="22" customHeight="1">
      <x:c r="A92" s="1" t="n">
        <x:v>83</x:v>
      </x:c>
      <x:c r="B92" s="1" t="n">
        <x:v>101</x:v>
      </x:c>
      <x:c r="C92" s="1" t="str">
        <x:v>Electrode</x:v>
      </x:c>
      <x:c r="D92" s="1" t="str">
        <x:v>Elétrico</x:v>
      </x:c>
      <x:c r="E92" s="1" t="str"/>
      <x:c r="F92" s="10" t="n">
        <x:v>50</x:v>
      </x:c>
      <x:c r="G92" s="10" t="n">
        <x:v>80</x:v>
      </x:c>
      <x:c r="H92" s="10" t="n">
        <x:f>MAX(F92:G92)</x:f>
        <x:v>80</x:v>
      </x:c>
      <x:c r="I92" s="1" t="str">
        <x:f>'Pokémon'!M105</x:f>
        <x:v>Especial</x:v>
      </x:c>
      <x:c r="J92" s="1" t="str">
        <x:f>'Habilidades'!D949</x:f>
        <x:v>Static Overload</x:v>
      </x:c>
      <x:c r="K92" s="1" t="str">
        <x:f>'Habilidades'!E949</x:f>
        <x:v>Elétrico</x:v>
      </x:c>
      <x:c r="L92" s="1" t="str">
        <x:f>'Habilidades'!F949</x:f>
        <x:v>Especial</x:v>
      </x:c>
      <x:c r="M92" s="10" t="n">
        <x:f>'Habilidades'!G949</x:f>
        <x:v>300</x:v>
      </x:c>
      <x:c r="N92" s="10" t="n">
        <x:f>'Habilidades'!I949</x:f>
        <x:v>380</x:v>
      </x:c>
      <x:c r="O92" s="1" t="str">
        <x:f>'Habilidades'!D950&amp;" ("&amp;'Habilidades'!I950&amp;")"</x:f>
        <x:v>Discharge (160)</x:v>
      </x:c>
      <x:c r="P92" s="1" t="str">
        <x:f>'Habilidades'!D951&amp;" ("&amp;'Habilidades'!I951&amp;")"</x:f>
        <x:v>Swift (140)</x:v>
      </x:c>
      <x:c r="Q92" s="1" t="str">
        <x:f>'Habilidades'!D952&amp;" ("&amp;'Habilidades'!I952&amp;")"</x:f>
        <x:v>Charge Beam (130)</x:v>
      </x:c>
      <x:c r="R92" s="1" t="str">
        <x:f>'Habilidades'!D953&amp;" ("&amp;'Habilidades'!I953&amp;")"</x:f>
        <x:v>Spark (115)</x:v>
      </x:c>
      <x:c r="S92" s="9" t="str">
        <x:v>https://poke.idleworld.online/pokepedia/pokemon/electrode</x:v>
      </x:c>
    </x:row>
    <x:row r="93" ht="22" customHeight="1">
      <x:c r="A93" s="1" t="n">
        <x:v>83</x:v>
      </x:c>
      <x:c r="B93" s="1" t="n">
        <x:v>105</x:v>
      </x:c>
      <x:c r="C93" s="1" t="str">
        <x:v>Marowak</x:v>
      </x:c>
      <x:c r="D93" s="1" t="str">
        <x:v>Terrestre</x:v>
      </x:c>
      <x:c r="E93" s="1" t="str"/>
      <x:c r="F93" s="10" t="n">
        <x:v>80</x:v>
      </x:c>
      <x:c r="G93" s="10" t="n">
        <x:v>50</x:v>
      </x:c>
      <x:c r="H93" s="10" t="n">
        <x:f>MAX(F93:G93)</x:f>
        <x:v>80</x:v>
      </x:c>
      <x:c r="I93" s="1" t="str">
        <x:f>'Pokémon'!M109</x:f>
        <x:v>Física</x:v>
      </x:c>
      <x:c r="J93" s="1" t="str">
        <x:f>'Habilidades'!D983</x:f>
        <x:v>Crossing Fissure</x:v>
      </x:c>
      <x:c r="K93" s="1" t="str">
        <x:f>'Habilidades'!E983</x:f>
        <x:v>Terrestre</x:v>
      </x:c>
      <x:c r="L93" s="1" t="str">
        <x:f>'Habilidades'!F983</x:f>
        <x:v>Física</x:v>
      </x:c>
      <x:c r="M93" s="10" t="n">
        <x:f>'Habilidades'!G983</x:f>
        <x:v>300</x:v>
      </x:c>
      <x:c r="N93" s="10" t="n">
        <x:f>'Habilidades'!I983</x:f>
        <x:v>380</x:v>
      </x:c>
      <x:c r="O93" s="1" t="str">
        <x:f>'Habilidades'!D984&amp;" ("&amp;'Habilidades'!I984&amp;")"</x:f>
        <x:v>Thrash (200)</x:v>
      </x:c>
      <x:c r="P93" s="1" t="str">
        <x:f>'Habilidades'!D985&amp;" ("&amp;'Habilidades'!I985&amp;")"</x:f>
        <x:v>Double-Edge (200)</x:v>
      </x:c>
      <x:c r="Q93" s="1" t="str">
        <x:f>'Habilidades'!D986&amp;" ("&amp;'Habilidades'!I986&amp;")"</x:f>
        <x:v>Headbutt (150)</x:v>
      </x:c>
      <x:c r="R93" s="1" t="str">
        <x:f>'Habilidades'!D987&amp;" ("&amp;'Habilidades'!I987&amp;")"</x:f>
        <x:v>Retaliate (150)</x:v>
      </x:c>
      <x:c r="S93" s="9" t="str">
        <x:v>https://poke.idleworld.online/pokepedia/pokemon/marowak</x:v>
      </x:c>
    </x:row>
    <x:row r="94" ht="22" customHeight="1">
      <x:c r="A94" s="1" t="n">
        <x:v>83</x:v>
      </x:c>
      <x:c r="B94" s="1" t="n">
        <x:v>219</x:v>
      </x:c>
      <x:c r="C94" s="1" t="str">
        <x:v>Magcargo</x:v>
      </x:c>
      <x:c r="D94" s="1" t="str">
        <x:v>Fogo</x:v>
      </x:c>
      <x:c r="E94" s="1" t="str">
        <x:v>Pedra</x:v>
      </x:c>
      <x:c r="F94" s="10" t="n">
        <x:v>50</x:v>
      </x:c>
      <x:c r="G94" s="10" t="n">
        <x:v>80</x:v>
      </x:c>
      <x:c r="H94" s="10" t="n">
        <x:f>MAX(F94:G94)</x:f>
        <x:v>80</x:v>
      </x:c>
      <x:c r="I94" s="1" t="str">
        <x:f>'Pokémon'!M222</x:f>
        <x:v>Especial</x:v>
      </x:c>
      <x:c r="J94" s="1" t="str">
        <x:f>'Habilidades'!D2051</x:f>
        <x:v>Ignition Point</x:v>
      </x:c>
      <x:c r="K94" s="1" t="str">
        <x:f>'Habilidades'!E2051</x:f>
        <x:v>Fogo</x:v>
      </x:c>
      <x:c r="L94" s="1" t="str">
        <x:f>'Habilidades'!F2051</x:f>
        <x:v>Especial</x:v>
      </x:c>
      <x:c r="M94" s="10" t="n">
        <x:f>'Habilidades'!G2051</x:f>
        <x:v>300</x:v>
      </x:c>
      <x:c r="N94" s="10" t="n">
        <x:f>'Habilidades'!I2051</x:f>
        <x:v>380</x:v>
      </x:c>
      <x:c r="O94" s="1" t="str">
        <x:f>'Habilidades'!D2052&amp;" ("&amp;'Habilidades'!I2052&amp;")"</x:f>
        <x:v>Earth Power (170)</x:v>
      </x:c>
      <x:c r="P94" s="1" t="str">
        <x:f>'Habilidades'!D2053&amp;" ("&amp;'Habilidades'!I2053&amp;")"</x:f>
        <x:v>Flamethrower (170)</x:v>
      </x:c>
      <x:c r="Q94" s="1" t="str">
        <x:f>'Habilidades'!D2054&amp;" ("&amp;'Habilidades'!I2054&amp;")"</x:f>
        <x:v>Lava Plume (160)</x:v>
      </x:c>
      <x:c r="R94" s="1" t="str">
        <x:f>'Habilidades'!D2055&amp;" ("&amp;'Habilidades'!I2055&amp;")"</x:f>
        <x:v>Flame Burst (150)</x:v>
      </x:c>
      <x:c r="S94" s="9" t="str">
        <x:v>https://poke.idleworld.online/pokepedia/pokemon/magcargo</x:v>
      </x:c>
    </x:row>
    <x:row r="95" ht="22" customHeight="1">
      <x:c r="A95" s="1" t="n">
        <x:v>83</x:v>
      </x:c>
      <x:c r="B95" s="1" t="n">
        <x:v>226</x:v>
      </x:c>
      <x:c r="C95" s="1" t="str">
        <x:v>Mantine</x:v>
      </x:c>
      <x:c r="D95" s="1" t="str">
        <x:v>Água</x:v>
      </x:c>
      <x:c r="E95" s="1" t="str">
        <x:v>Voador</x:v>
      </x:c>
      <x:c r="F95" s="10" t="n">
        <x:v>40</x:v>
      </x:c>
      <x:c r="G95" s="10" t="n">
        <x:v>80</x:v>
      </x:c>
      <x:c r="H95" s="10" t="n">
        <x:f>MAX(F95:G95)</x:f>
        <x:v>80</x:v>
      </x:c>
      <x:c r="I95" s="1" t="str">
        <x:f>'Pokémon'!M229</x:f>
        <x:v>Especial</x:v>
      </x:c>
      <x:c r="J95" s="1" t="str">
        <x:f>'Habilidades'!D2122</x:f>
        <x:v>Cyclonic Tide</x:v>
      </x:c>
      <x:c r="K95" s="1" t="str">
        <x:f>'Habilidades'!E2122</x:f>
        <x:v>Água</x:v>
      </x:c>
      <x:c r="L95" s="1" t="str">
        <x:f>'Habilidades'!F2122</x:f>
        <x:v>Especial</x:v>
      </x:c>
      <x:c r="M95" s="10" t="n">
        <x:f>'Habilidades'!G2122</x:f>
        <x:v>300</x:v>
      </x:c>
      <x:c r="N95" s="10" t="n">
        <x:f>'Habilidades'!I2122</x:f>
        <x:v>380</x:v>
      </x:c>
      <x:c r="O95" s="1" t="str">
        <x:f>'Habilidades'!D2123&amp;" ("&amp;'Habilidades'!I2123&amp;")"</x:f>
        <x:v>Massive Hurricane (340)</x:v>
      </x:c>
      <x:c r="P95" s="1" t="str">
        <x:f>'Habilidades'!D2124&amp;" ("&amp;'Habilidades'!I2124&amp;")"</x:f>
        <x:v>Hydro Pump (190)</x:v>
      </x:c>
      <x:c r="Q95" s="1" t="str">
        <x:f>'Habilidades'!D2125&amp;" ("&amp;'Habilidades'!I2125&amp;")"</x:f>
        <x:v>Signal Beam (155)</x:v>
      </x:c>
      <x:c r="R95" s="1" t="str">
        <x:f>'Habilidades'!D2126&amp;" ("&amp;'Habilidades'!I2126&amp;")"</x:f>
        <x:v>Air Slash (155)</x:v>
      </x:c>
      <x:c r="S95" s="9" t="str">
        <x:v>https://poke.idleworld.online/pokepedia/pokemon/mantine</x:v>
      </x:c>
    </x:row>
    <x:row r="96" ht="22" customHeight="1">
      <x:c r="A96" s="1" t="n">
        <x:v>83</x:v>
      </x:c>
      <x:c r="B96" s="1" t="n">
        <x:v>227</x:v>
      </x:c>
      <x:c r="C96" s="1" t="str">
        <x:v>Skarmory</x:v>
      </x:c>
      <x:c r="D96" s="1" t="str">
        <x:v>Aço</x:v>
      </x:c>
      <x:c r="E96" s="1" t="str">
        <x:v>Voador</x:v>
      </x:c>
      <x:c r="F96" s="10" t="n">
        <x:v>80</x:v>
      </x:c>
      <x:c r="G96" s="10" t="n">
        <x:v>40</x:v>
      </x:c>
      <x:c r="H96" s="10" t="n">
        <x:f>MAX(F96:G96)</x:f>
        <x:v>80</x:v>
      </x:c>
      <x:c r="I96" s="1" t="str">
        <x:f>'Pokémon'!M230</x:f>
        <x:v>Física</x:v>
      </x:c>
      <x:c r="J96" s="1" t="str">
        <x:f>'Habilidades'!D2137</x:f>
        <x:v>Massive Hurricane</x:v>
      </x:c>
      <x:c r="K96" s="1" t="str">
        <x:f>'Habilidades'!E2137</x:f>
        <x:v>Voador</x:v>
      </x:c>
      <x:c r="L96" s="1" t="str">
        <x:f>'Habilidades'!F2137</x:f>
        <x:v>Física</x:v>
      </x:c>
      <x:c r="M96" s="10" t="n">
        <x:f>'Habilidades'!G2137</x:f>
        <x:v>300</x:v>
      </x:c>
      <x:c r="N96" s="10" t="n">
        <x:f>'Habilidades'!I2137</x:f>
        <x:v>380</x:v>
      </x:c>
      <x:c r="O96" s="1" t="str">
        <x:f>'Habilidades'!D2138&amp;" ("&amp;'Habilidades'!I2138&amp;")"</x:f>
        <x:v>Steel Wing (150)</x:v>
      </x:c>
      <x:c r="P96" s="1" t="str">
        <x:f>'Habilidades'!D2139&amp;" ("&amp;'Habilidades'!I2139&amp;")"</x:f>
        <x:v>Slash (150)</x:v>
      </x:c>
      <x:c r="Q96" s="1" t="str">
        <x:f>'Habilidades'!D2140&amp;" ("&amp;'Habilidades'!I2140&amp;")"</x:f>
        <x:v>Night Slash (150)</x:v>
      </x:c>
      <x:c r="R96" s="1" t="str">
        <x:f>'Habilidades'!D2141&amp;" ("&amp;'Habilidades'!I2141&amp;")"</x:f>
        <x:v>Metal Claw (130)</x:v>
      </x:c>
      <x:c r="S96" s="9" t="str">
        <x:v>https://poke.idleworld.online/pokepedia/pokemon/skarmory</x:v>
      </x:c>
    </x:row>
    <x:row r="97" ht="22" customHeight="1">
      <x:c r="A97" s="1" t="n">
        <x:v>83</x:v>
      </x:c>
      <x:c r="B97" s="1" t="n">
        <x:v>362</x:v>
      </x:c>
      <x:c r="C97" s="1" t="str">
        <x:v>Glalie</x:v>
      </x:c>
      <x:c r="D97" s="1" t="str">
        <x:v>Gelo</x:v>
      </x:c>
      <x:c r="E97" s="1" t="str"/>
      <x:c r="F97" s="10" t="n">
        <x:v>80</x:v>
      </x:c>
      <x:c r="G97" s="10" t="n">
        <x:v>80</x:v>
      </x:c>
      <x:c r="H97" s="10" t="n">
        <x:f>MAX(F97:G97)</x:f>
        <x:v>80</x:v>
      </x:c>
      <x:c r="I97" s="1" t="str">
        <x:f>'Pokémon'!M327</x:f>
        <x:v>Empate</x:v>
      </x:c>
      <x:c r="J97" s="1" t="str">
        <x:f>'Habilidades'!D3037</x:f>
        <x:v>Ice Time</x:v>
      </x:c>
      <x:c r="K97" s="1" t="str">
        <x:f>'Habilidades'!E3037</x:f>
        <x:v>Gelo</x:v>
      </x:c>
      <x:c r="L97" s="1" t="str">
        <x:f>'Habilidades'!F3037</x:f>
        <x:v>Especial</x:v>
      </x:c>
      <x:c r="M97" s="10" t="n">
        <x:f>'Habilidades'!G3037</x:f>
        <x:v>300</x:v>
      </x:c>
      <x:c r="N97" s="10" t="n">
        <x:f>'Habilidades'!I3037</x:f>
        <x:v>380</x:v>
      </x:c>
      <x:c r="O97" s="1" t="str">
        <x:f>'Habilidades'!D3038&amp;" ("&amp;'Habilidades'!I3038&amp;")"</x:f>
        <x:v>Blizzard (190)</x:v>
      </x:c>
      <x:c r="P97" s="1" t="str">
        <x:f>'Habilidades'!D3039&amp;" ("&amp;'Habilidades'!I3039&amp;")"</x:f>
        <x:v>Crunch (160)</x:v>
      </x:c>
      <x:c r="Q97" s="1" t="str">
        <x:f>'Habilidades'!D3040&amp;" ("&amp;'Habilidades'!I3040&amp;")"</x:f>
        <x:v>Headbutt (150)</x:v>
      </x:c>
      <x:c r="R97" s="1" t="str">
        <x:f>'Habilidades'!D3041&amp;" ("&amp;'Habilidades'!I3041&amp;")"</x:f>
        <x:v>Freeze-Dry (150)</x:v>
      </x:c>
      <x:c r="S97" s="9" t="str">
        <x:v>https://poke.idleworld.online/pokepedia/pokemon/glalie</x:v>
      </x:c>
    </x:row>
    <x:row r="98" ht="22" customHeight="1">
      <x:c r="A98" s="1" t="n">
        <x:v>94</x:v>
      </x:c>
      <x:c r="B98" s="1" t="n">
        <x:v>160</x:v>
      </x:c>
      <x:c r="C98" s="1" t="str">
        <x:v>Feraligatr</x:v>
      </x:c>
      <x:c r="D98" s="1" t="str">
        <x:v>Água</x:v>
      </x:c>
      <x:c r="E98" s="1" t="str"/>
      <x:c r="F98" s="10" t="n">
        <x:v>105</x:v>
      </x:c>
      <x:c r="G98" s="10" t="n">
        <x:v>79</x:v>
      </x:c>
      <x:c r="H98" s="10" t="n">
        <x:f>MAX(F98:G98)</x:f>
        <x:v>105</x:v>
      </x:c>
      <x:c r="I98" s="1" t="str">
        <x:f>'Pokémon'!M164</x:f>
        <x:v>Física</x:v>
      </x:c>
      <x:c r="J98" s="1" t="str">
        <x:f>'Habilidades'!D1546</x:f>
        <x:v>Cyclonic Tide</x:v>
      </x:c>
      <x:c r="K98" s="1" t="str">
        <x:f>'Habilidades'!E1546</x:f>
        <x:v>Água</x:v>
      </x:c>
      <x:c r="L98" s="1" t="str">
        <x:f>'Habilidades'!F1546</x:f>
        <x:v>Especial</x:v>
      </x:c>
      <x:c r="M98" s="10" t="n">
        <x:f>'Habilidades'!G1546</x:f>
        <x:v>300</x:v>
      </x:c>
      <x:c r="N98" s="10" t="n">
        <x:f>'Habilidades'!I1546</x:f>
        <x:v>379</x:v>
      </x:c>
      <x:c r="O98" s="1" t="str">
        <x:f>'Habilidades'!D1547&amp;" ("&amp;'Habilidades'!I1547&amp;")"</x:f>
        <x:v>Thrash (225)</x:v>
      </x:c>
      <x:c r="P98" s="1" t="str">
        <x:f>'Habilidades'!D1548&amp;" ("&amp;'Habilidades'!I1548&amp;")"</x:f>
        <x:v>Superpower (225)</x:v>
      </x:c>
      <x:c r="Q98" s="1" t="str">
        <x:f>'Habilidades'!D1549&amp;" ("&amp;'Habilidades'!I1549&amp;")"</x:f>
        <x:v>Aqua Tail (195)</x:v>
      </x:c>
      <x:c r="R98" s="1" t="str">
        <x:f>'Habilidades'!D1550&amp;" ("&amp;'Habilidades'!I1550&amp;")"</x:f>
        <x:v>Hydro Pump (189)</x:v>
      </x:c>
      <x:c r="S98" s="9" t="str">
        <x:v>https://poke.idleworld.online/pokepedia/pokemon/feraligatr</x:v>
      </x:c>
    </x:row>
    <x:row r="99" ht="22" customHeight="1">
      <x:c r="A99" s="1" t="n">
        <x:v>95</x:v>
      </x:c>
      <x:c r="B99" s="1" t="n">
        <x:v>171</x:v>
      </x:c>
      <x:c r="C99" s="1" t="str">
        <x:v>Lanturn</x:v>
      </x:c>
      <x:c r="D99" s="1" t="str">
        <x:v>Água</x:v>
      </x:c>
      <x:c r="E99" s="1" t="str">
        <x:v>Elétrico</x:v>
      </x:c>
      <x:c r="F99" s="10" t="n">
        <x:v>58</x:v>
      </x:c>
      <x:c r="G99" s="10" t="n">
        <x:v>76</x:v>
      </x:c>
      <x:c r="H99" s="10" t="n">
        <x:f>MAX(F99:G99)</x:f>
        <x:v>76</x:v>
      </x:c>
      <x:c r="I99" s="1" t="str">
        <x:f>'Pokémon'!M175</x:f>
        <x:v>Especial</x:v>
      </x:c>
      <x:c r="J99" s="1" t="str">
        <x:f>'Habilidades'!D1655</x:f>
        <x:v>Cyclonic Tide</x:v>
      </x:c>
      <x:c r="K99" s="1" t="str">
        <x:f>'Habilidades'!E1655</x:f>
        <x:v>Água</x:v>
      </x:c>
      <x:c r="L99" s="1" t="str">
        <x:f>'Habilidades'!F1655</x:f>
        <x:v>Especial</x:v>
      </x:c>
      <x:c r="M99" s="10" t="n">
        <x:f>'Habilidades'!G1655</x:f>
        <x:v>300</x:v>
      </x:c>
      <x:c r="N99" s="10" t="n">
        <x:f>'Habilidades'!I1655</x:f>
        <x:v>376</x:v>
      </x:c>
      <x:c r="O99" s="1" t="str">
        <x:f>'Habilidades'!D1656&amp;" ("&amp;'Habilidades'!I1656&amp;")"</x:f>
        <x:v>Hydro Pump (186)</x:v>
      </x:c>
      <x:c r="P99" s="1" t="str">
        <x:f>'Habilidades'!D1657&amp;" ("&amp;'Habilidades'!I1657&amp;")"</x:f>
        <x:v>Discharge (156)</x:v>
      </x:c>
      <x:c r="Q99" s="1" t="str">
        <x:f>'Habilidades'!D1658&amp;" ("&amp;'Habilidades'!I1658&amp;")"</x:f>
        <x:v>Signal Beam (151)</x:v>
      </x:c>
      <x:c r="R99" s="1" t="str">
        <x:f>'Habilidades'!D1659&amp;" ("&amp;'Habilidades'!I1659&amp;")"</x:f>
        <x:v>Take Down (148)</x:v>
      </x:c>
      <x:c r="S99" s="9" t="str">
        <x:v>https://poke.idleworld.online/pokepedia/pokemon/lanturn</x:v>
      </x:c>
    </x:row>
    <x:row r="100" ht="22" customHeight="1">
      <x:c r="A100" s="1" t="n">
        <x:v>96</x:v>
      </x:c>
      <x:c r="B100" s="1" t="n">
        <x:v>207</x:v>
      </x:c>
      <x:c r="C100" s="1" t="str">
        <x:v>Gligar</x:v>
      </x:c>
      <x:c r="D100" s="1" t="str">
        <x:v>Terrestre</x:v>
      </x:c>
      <x:c r="E100" s="1" t="str">
        <x:v>Voador</x:v>
      </x:c>
      <x:c r="F100" s="10" t="n">
        <x:v>75</x:v>
      </x:c>
      <x:c r="G100" s="10" t="n">
        <x:v>35</x:v>
      </x:c>
      <x:c r="H100" s="10" t="n">
        <x:f>MAX(F100:G100)</x:f>
        <x:v>75</x:v>
      </x:c>
      <x:c r="I100" s="1" t="str">
        <x:f>'Pokémon'!M210</x:f>
        <x:v>Física</x:v>
      </x:c>
      <x:c r="J100" s="1" t="str">
        <x:f>'Habilidades'!D1909</x:f>
        <x:v>Massive Hurricane</x:v>
      </x:c>
      <x:c r="K100" s="1" t="str">
        <x:f>'Habilidades'!E1909</x:f>
        <x:v>Voador</x:v>
      </x:c>
      <x:c r="L100" s="1" t="str">
        <x:f>'Habilidades'!F1909</x:f>
        <x:v>Física</x:v>
      </x:c>
      <x:c r="M100" s="10" t="n">
        <x:f>'Habilidades'!G1909</x:f>
        <x:v>300</x:v>
      </x:c>
      <x:c r="N100" s="10" t="n">
        <x:f>'Habilidades'!I1909</x:f>
        <x:v>375</x:v>
      </x:c>
      <x:c r="O100" s="1" t="str">
        <x:f>'Habilidades'!D1910&amp;" ("&amp;'Habilidades'!I1910&amp;")"</x:f>
        <x:v>Crossing Fissure (375)</x:v>
      </x:c>
      <x:c r="P100" s="1" t="str">
        <x:f>'Habilidades'!D1911&amp;" ("&amp;'Habilidades'!I1911&amp;")"</x:f>
        <x:v>Sky Uppercut (160)</x:v>
      </x:c>
      <x:c r="Q100" s="1" t="str">
        <x:f>'Habilidades'!D1912&amp;" ("&amp;'Habilidades'!I1912&amp;")"</x:f>
        <x:v>X-Scissor (155)</x:v>
      </x:c>
      <x:c r="R100" s="1" t="str">
        <x:f>'Habilidades'!D1913&amp;" ("&amp;'Habilidades'!I1913&amp;")"</x:f>
        <x:v>Slash (145)</x:v>
      </x:c>
      <x:c r="S100" s="9" t="str">
        <x:v>https://poke.idleworld.online/pokepedia/pokemon/gligar</x:v>
      </x:c>
    </x:row>
    <x:row r="101" ht="22" customHeight="1">
      <x:c r="A101" s="1" t="n">
        <x:v>96</x:v>
      </x:c>
      <x:c r="B101" s="1" t="n">
        <x:v>302</x:v>
      </x:c>
      <x:c r="C101" s="1" t="str">
        <x:v>Sableye</x:v>
      </x:c>
      <x:c r="D101" s="1" t="str">
        <x:v>Sombrio</x:v>
      </x:c>
      <x:c r="E101" s="1" t="str">
        <x:v>Fantasma</x:v>
      </x:c>
      <x:c r="F101" s="10" t="n">
        <x:v>75</x:v>
      </x:c>
      <x:c r="G101" s="10" t="n">
        <x:v>65</x:v>
      </x:c>
      <x:c r="H101" s="10" t="n">
        <x:f>MAX(F101:G101)</x:f>
        <x:v>75</x:v>
      </x:c>
      <x:c r="I101" s="1" t="str">
        <x:f>'Pokémon'!M286</x:f>
        <x:v>Física</x:v>
      </x:c>
      <x:c r="J101" s="1" t="str">
        <x:f>'Habilidades'!D2616</x:f>
        <x:v>Endless Hollow</x:v>
      </x:c>
      <x:c r="K101" s="1" t="str">
        <x:f>'Habilidades'!E2616</x:f>
        <x:v>Sombrio</x:v>
      </x:c>
      <x:c r="L101" s="1" t="str">
        <x:f>'Habilidades'!F2616</x:f>
        <x:v>Física</x:v>
      </x:c>
      <x:c r="M101" s="10" t="n">
        <x:f>'Habilidades'!G2616</x:f>
        <x:v>300</x:v>
      </x:c>
      <x:c r="N101" s="10" t="n">
        <x:f>'Habilidades'!I2616</x:f>
        <x:v>375</x:v>
      </x:c>
      <x:c r="O101" s="1" t="str">
        <x:f>'Habilidades'!D2617&amp;" ("&amp;'Habilidades'!I2617&amp;")"</x:f>
        <x:v>Foul Play (170)</x:v>
      </x:c>
      <x:c r="P101" s="1" t="str">
        <x:f>'Habilidades'!D2618&amp;" ("&amp;'Habilidades'!I2618&amp;")"</x:f>
        <x:v>Zen Headbutt (155)</x:v>
      </x:c>
      <x:c r="Q101" s="1" t="str">
        <x:f>'Habilidades'!D2619&amp;" ("&amp;'Habilidades'!I2619&amp;")"</x:f>
        <x:v>Power Gem (145)</x:v>
      </x:c>
      <x:c r="R101" s="1" t="str">
        <x:f>'Habilidades'!D2620&amp;" ("&amp;'Habilidades'!I2620&amp;")"</x:f>
        <x:v>Shadow Ball (145)</x:v>
      </x:c>
      <x:c r="S101" s="9" t="str">
        <x:v>https://poke.idleworld.online/pokepedia/pokemon/sableye</x:v>
      </x:c>
    </x:row>
    <x:row r="102" ht="22" customHeight="1">
      <x:c r="A102" s="1" t="n">
        <x:v>98</x:v>
      </x:c>
      <x:c r="B102" s="1" t="n">
        <x:v>97</x:v>
      </x:c>
      <x:c r="C102" s="1" t="str">
        <x:v>Hypno</x:v>
      </x:c>
      <x:c r="D102" s="1" t="str">
        <x:v>Psíquico</x:v>
      </x:c>
      <x:c r="E102" s="1" t="str"/>
      <x:c r="F102" s="10" t="n">
        <x:v>73</x:v>
      </x:c>
      <x:c r="G102" s="10" t="n">
        <x:v>73</x:v>
      </x:c>
      <x:c r="H102" s="10" t="n">
        <x:f>MAX(F102:G102)</x:f>
        <x:v>73</x:v>
      </x:c>
      <x:c r="I102" s="1" t="str">
        <x:f>'Pokémon'!M101</x:f>
        <x:v>Empate</x:v>
      </x:c>
      <x:c r="J102" s="1" t="str">
        <x:f>'Habilidades'!D909</x:f>
        <x:v>Mental Singularity</x:v>
      </x:c>
      <x:c r="K102" s="1" t="str">
        <x:f>'Habilidades'!E909</x:f>
        <x:v>Psíquico</x:v>
      </x:c>
      <x:c r="L102" s="1" t="str">
        <x:f>'Habilidades'!F909</x:f>
        <x:v>Especial</x:v>
      </x:c>
      <x:c r="M102" s="10" t="n">
        <x:f>'Habilidades'!G909</x:f>
        <x:v>300</x:v>
      </x:c>
      <x:c r="N102" s="10" t="n">
        <x:f>'Habilidades'!I909</x:f>
        <x:v>373</x:v>
      </x:c>
      <x:c r="O102" s="1" t="str">
        <x:f>'Habilidades'!D910&amp;" ("&amp;'Habilidades'!I910&amp;")"</x:f>
        <x:v>Future Sight (193)</x:v>
      </x:c>
      <x:c r="P102" s="1" t="str">
        <x:f>'Habilidades'!D911&amp;" ("&amp;'Habilidades'!I911&amp;")"</x:f>
        <x:v>Synchronoise (193)</x:v>
      </x:c>
      <x:c r="Q102" s="1" t="str">
        <x:f>'Habilidades'!D912&amp;" ("&amp;'Habilidades'!I912&amp;")"</x:f>
        <x:v>Psychic (163)</x:v>
      </x:c>
      <x:c r="R102" s="1" t="str">
        <x:f>'Habilidades'!D913&amp;" ("&amp;'Habilidades'!I913&amp;")"</x:f>
        <x:v>Zen Headbutt (153)</x:v>
      </x:c>
      <x:c r="S102" s="9" t="str">
        <x:v>https://poke.idleworld.online/pokepedia/pokemon/hypno</x:v>
      </x:c>
    </x:row>
    <x:row r="103" ht="22" customHeight="1">
      <x:c r="A103" s="1" t="n">
        <x:v>99</x:v>
      </x:c>
      <x:c r="B103" s="1" t="n">
        <x:v>62</x:v>
      </x:c>
      <x:c r="C103" s="1" t="str">
        <x:v>Poliwrath</x:v>
      </x:c>
      <x:c r="D103" s="1" t="str">
        <x:v>Água</x:v>
      </x:c>
      <x:c r="E103" s="1" t="str">
        <x:v>Lutador</x:v>
      </x:c>
      <x:c r="F103" s="10" t="n">
        <x:v>95</x:v>
      </x:c>
      <x:c r="G103" s="10" t="n">
        <x:v>70</x:v>
      </x:c>
      <x:c r="H103" s="10" t="n">
        <x:f>MAX(F103:G103)</x:f>
        <x:v>95</x:v>
      </x:c>
      <x:c r="I103" s="1" t="str">
        <x:f>'Pokémon'!M66</x:f>
        <x:v>Física</x:v>
      </x:c>
      <x:c r="J103" s="1" t="str">
        <x:f>'Habilidades'!D553</x:f>
        <x:v>Cyclonic Tide</x:v>
      </x:c>
      <x:c r="K103" s="1" t="str">
        <x:f>'Habilidades'!E553</x:f>
        <x:v>Água</x:v>
      </x:c>
      <x:c r="L103" s="1" t="str">
        <x:f>'Habilidades'!F553</x:f>
        <x:v>Especial</x:v>
      </x:c>
      <x:c r="M103" s="10" t="n">
        <x:f>'Habilidades'!G553</x:f>
        <x:v>300</x:v>
      </x:c>
      <x:c r="N103" s="10" t="n">
        <x:f>'Habilidades'!I553</x:f>
        <x:v>370</x:v>
      </x:c>
      <x:c r="O103" s="1" t="str">
        <x:f>'Habilidades'!D554&amp;" ("&amp;'Habilidades'!I554&amp;")"</x:f>
        <x:v>Dynamic Punch (195)</x:v>
      </x:c>
      <x:c r="P103" s="1" t="str">
        <x:f>'Habilidades'!D555&amp;" ("&amp;'Habilidades'!I555&amp;")"</x:f>
        <x:v>Submission (175)</x:v>
      </x:c>
      <x:c r="Q103" s="1" t="str">
        <x:f>'Habilidades'!D556&amp;" ("&amp;'Habilidades'!I556&amp;")"</x:f>
        <x:v>Circle Throw (155)</x:v>
      </x:c>
      <x:c r="R103" s="1" t="str">
        <x:f>'Habilidades'!D557&amp;" ("&amp;'Habilidades'!I557&amp;")"</x:f>
        <x:v>Bubble Beam (135)</x:v>
      </x:c>
      <x:c r="S103" s="9" t="str">
        <x:v>https://poke.idleworld.online/pokepedia/pokemon/poliwrath</x:v>
      </x:c>
    </x:row>
    <x:row r="104" ht="22" customHeight="1">
      <x:c r="A104" s="1" t="n">
        <x:v>99</x:v>
      </x:c>
      <x:c r="B104" s="1" t="n">
        <x:v>87</x:v>
      </x:c>
      <x:c r="C104" s="1" t="str">
        <x:v>Dewgong</x:v>
      </x:c>
      <x:c r="D104" s="1" t="str">
        <x:v>Água</x:v>
      </x:c>
      <x:c r="E104" s="1" t="str">
        <x:v>Gelo</x:v>
      </x:c>
      <x:c r="F104" s="10" t="n">
        <x:v>70</x:v>
      </x:c>
      <x:c r="G104" s="10" t="n">
        <x:v>70</x:v>
      </x:c>
      <x:c r="H104" s="10" t="n">
        <x:f>MAX(F104:G104)</x:f>
        <x:v>70</x:v>
      </x:c>
      <x:c r="I104" s="1" t="str">
        <x:f>'Pokémon'!M91</x:f>
        <x:v>Empate</x:v>
      </x:c>
      <x:c r="J104" s="1" t="str">
        <x:f>'Habilidades'!D801</x:f>
        <x:v>Cyclonic Tide</x:v>
      </x:c>
      <x:c r="K104" s="1" t="str">
        <x:f>'Habilidades'!E801</x:f>
        <x:v>Água</x:v>
      </x:c>
      <x:c r="L104" s="1" t="str">
        <x:f>'Habilidades'!F801</x:f>
        <x:v>Especial</x:v>
      </x:c>
      <x:c r="M104" s="10" t="n">
        <x:f>'Habilidades'!G801</x:f>
        <x:v>300</x:v>
      </x:c>
      <x:c r="N104" s="10" t="n">
        <x:f>'Habilidades'!I801</x:f>
        <x:v>370</x:v>
      </x:c>
      <x:c r="O104" s="1" t="str">
        <x:f>'Habilidades'!D802&amp;" ("&amp;'Habilidades'!I802&amp;")"</x:f>
        <x:v>Take Down (160)</x:v>
      </x:c>
      <x:c r="P104" s="1" t="str">
        <x:f>'Habilidades'!D803&amp;" ("&amp;'Habilidades'!I803&amp;")"</x:f>
        <x:v>Aqua Tail (160)</x:v>
      </x:c>
      <x:c r="Q104" s="1" t="str">
        <x:f>'Habilidades'!D804&amp;" ("&amp;'Habilidades'!I804&amp;")"</x:f>
        <x:v>Ice Beam (160)</x:v>
      </x:c>
      <x:c r="R104" s="1" t="str">
        <x:f>'Habilidades'!D805&amp;" ("&amp;'Habilidades'!I805&amp;")"</x:f>
        <x:v>Dive (150)</x:v>
      </x:c>
      <x:c r="S104" s="9" t="str">
        <x:v>https://poke.idleworld.online/pokepedia/pokemon/dewgong</x:v>
      </x:c>
    </x:row>
    <x:row r="105" ht="22" customHeight="1">
      <x:c r="A105" s="1" t="n">
        <x:v>101</x:v>
      </x:c>
      <x:c r="B105" s="1" t="n">
        <x:v>119</x:v>
      </x:c>
      <x:c r="C105" s="1" t="str">
        <x:v>Seaking</x:v>
      </x:c>
      <x:c r="D105" s="1" t="str">
        <x:v>Água</x:v>
      </x:c>
      <x:c r="E105" s="1" t="str"/>
      <x:c r="F105" s="10" t="n">
        <x:v>92</x:v>
      </x:c>
      <x:c r="G105" s="10" t="n">
        <x:v>65</x:v>
      </x:c>
      <x:c r="H105" s="10" t="n">
        <x:f>MAX(F105:G105)</x:f>
        <x:v>92</x:v>
      </x:c>
      <x:c r="I105" s="1" t="str">
        <x:f>'Pokémon'!M123</x:f>
        <x:v>Física</x:v>
      </x:c>
      <x:c r="J105" s="1" t="str">
        <x:f>'Habilidades'!D1129</x:f>
        <x:v>Cyclonic Tide</x:v>
      </x:c>
      <x:c r="K105" s="1" t="str">
        <x:f>'Habilidades'!E1129</x:f>
        <x:v>Água</x:v>
      </x:c>
      <x:c r="L105" s="1" t="str">
        <x:f>'Habilidades'!F1129</x:f>
        <x:v>Especial</x:v>
      </x:c>
      <x:c r="M105" s="10" t="n">
        <x:f>'Habilidades'!G1129</x:f>
        <x:v>300</x:v>
      </x:c>
      <x:c r="N105" s="10" t="n">
        <x:f>'Habilidades'!I1129</x:f>
        <x:v>365</x:v>
      </x:c>
      <x:c r="O105" s="1" t="str">
        <x:f>'Habilidades'!D1130&amp;" ("&amp;'Habilidades'!I1130&amp;")"</x:f>
        <x:v>Megahorn (212)</x:v>
      </x:c>
      <x:c r="P105" s="1" t="str">
        <x:f>'Habilidades'!D1131&amp;" ("&amp;'Habilidades'!I1131&amp;")"</x:f>
        <x:v>Horn Drill (188)</x:v>
      </x:c>
      <x:c r="Q105" s="1" t="str">
        <x:f>'Habilidades'!D1132&amp;" ("&amp;'Habilidades'!I1132&amp;")"</x:f>
        <x:v>Poison Jab (172)</x:v>
      </x:c>
      <x:c r="R105" s="1" t="str">
        <x:f>'Habilidades'!D1133&amp;" ("&amp;'Habilidades'!I1133&amp;")"</x:f>
        <x:v>Waterfall (172)</x:v>
      </x:c>
      <x:c r="S105" s="9" t="str">
        <x:v>https://poke.idleworld.online/pokepedia/pokemon/seaking</x:v>
      </x:c>
    </x:row>
    <x:row r="106" ht="22" customHeight="1">
      <x:c r="A106" s="1" t="n">
        <x:v>101</x:v>
      </x:c>
      <x:c r="B106" s="1" t="n">
        <x:v>49</x:v>
      </x:c>
      <x:c r="C106" s="1" t="str">
        <x:v>Venomoth</x:v>
      </x:c>
      <x:c r="D106" s="1" t="str">
        <x:v>Inseto</x:v>
      </x:c>
      <x:c r="E106" s="1" t="str">
        <x:v>Venenoso</x:v>
      </x:c>
      <x:c r="F106" s="10" t="n">
        <x:v>65</x:v>
      </x:c>
      <x:c r="G106" s="10" t="n">
        <x:v>90</x:v>
      </x:c>
      <x:c r="H106" s="10" t="n">
        <x:f>MAX(F106:G106)</x:f>
        <x:v>90</x:v>
      </x:c>
      <x:c r="I106" s="1" t="str">
        <x:f>'Pokémon'!M53</x:f>
        <x:v>Especial</x:v>
      </x:c>
      <x:c r="J106" s="1" t="str">
        <x:f>'Habilidades'!D417</x:f>
        <x:v>Hive Crush</x:v>
      </x:c>
      <x:c r="K106" s="1" t="str">
        <x:f>'Habilidades'!E417</x:f>
        <x:v>Inseto</x:v>
      </x:c>
      <x:c r="L106" s="1" t="str">
        <x:f>'Habilidades'!F417</x:f>
        <x:v>Física</x:v>
      </x:c>
      <x:c r="M106" s="10" t="n">
        <x:f>'Habilidades'!G417</x:f>
        <x:v>300</x:v>
      </x:c>
      <x:c r="N106" s="10" t="n">
        <x:f>'Habilidades'!I417</x:f>
        <x:v>365</x:v>
      </x:c>
      <x:c r="O106" s="1" t="str">
        <x:f>'Habilidades'!D418&amp;" ("&amp;'Habilidades'!I418&amp;")"</x:f>
        <x:v>Bug Buzz (180)</x:v>
      </x:c>
      <x:c r="P106" s="1" t="str">
        <x:f>'Habilidades'!D419&amp;" ("&amp;'Habilidades'!I419&amp;")"</x:f>
        <x:v>Psychic (180)</x:v>
      </x:c>
      <x:c r="Q106" s="1" t="str">
        <x:f>'Habilidades'!D420&amp;" ("&amp;'Habilidades'!I420&amp;")"</x:f>
        <x:v>Signal Beam (165)</x:v>
      </x:c>
      <x:c r="R106" s="1" t="str">
        <x:f>'Habilidades'!D421&amp;" ("&amp;'Habilidades'!I421&amp;")"</x:f>
        <x:v>Psybeam (155)</x:v>
      </x:c>
      <x:c r="S106" s="9" t="str">
        <x:v>https://poke.idleworld.online/pokepedia/pokemon/venomoth</x:v>
      </x:c>
    </x:row>
    <x:row r="107" ht="22" customHeight="1">
      <x:c r="A107" s="1" t="n">
        <x:v>101</x:v>
      </x:c>
      <x:c r="B107" s="1" t="n">
        <x:v>195</x:v>
      </x:c>
      <x:c r="C107" s="1" t="str">
        <x:v>Quagsire</x:v>
      </x:c>
      <x:c r="D107" s="1" t="str">
        <x:v>Água</x:v>
      </x:c>
      <x:c r="E107" s="1" t="str">
        <x:v>Terrestre</x:v>
      </x:c>
      <x:c r="F107" s="10" t="n">
        <x:v>85</x:v>
      </x:c>
      <x:c r="G107" s="10" t="n">
        <x:v>65</x:v>
      </x:c>
      <x:c r="H107" s="10" t="n">
        <x:f>MAX(F107:G107)</x:f>
        <x:v>85</x:v>
      </x:c>
      <x:c r="I107" s="1" t="str">
        <x:f>'Pokémon'!M199</x:f>
        <x:v>Física</x:v>
      </x:c>
      <x:c r="J107" s="1" t="str">
        <x:f>'Habilidades'!D1826</x:f>
        <x:v>Cyclonic Tide</x:v>
      </x:c>
      <x:c r="K107" s="1" t="str">
        <x:f>'Habilidades'!E1826</x:f>
        <x:v>Água</x:v>
      </x:c>
      <x:c r="L107" s="1" t="str">
        <x:f>'Habilidades'!F1826</x:f>
        <x:v>Especial</x:v>
      </x:c>
      <x:c r="M107" s="10" t="n">
        <x:f>'Habilidades'!G1826</x:f>
        <x:v>300</x:v>
      </x:c>
      <x:c r="N107" s="10" t="n">
        <x:f>'Habilidades'!I1826</x:f>
        <x:v>365</x:v>
      </x:c>
      <x:c r="O107" s="1" t="str">
        <x:f>'Habilidades'!D1827&amp;" ("&amp;'Habilidades'!I1827&amp;")"</x:f>
        <x:v>Earthquake (185)</x:v>
      </x:c>
      <x:c r="P107" s="1" t="str">
        <x:f>'Habilidades'!D1828&amp;" ("&amp;'Habilidades'!I1828&amp;")"</x:f>
        <x:v>Slam (165)</x:v>
      </x:c>
      <x:c r="Q107" s="1" t="str">
        <x:f>'Habilidades'!D1829&amp;" ("&amp;'Habilidades'!I1829&amp;")"</x:f>
        <x:v>Muddy Water (155)</x:v>
      </x:c>
      <x:c r="R107" s="1" t="str">
        <x:f>'Habilidades'!D1830&amp;" ("&amp;'Habilidades'!I1830&amp;")"</x:f>
        <x:v>Mud Bomb (130)</x:v>
      </x:c>
      <x:c r="S107" s="9" t="str">
        <x:v>https://poke.idleworld.online/pokepedia/pokemon/quagsire</x:v>
      </x:c>
    </x:row>
    <x:row r="108" ht="22" customHeight="1">
      <x:c r="A108" s="1" t="n">
        <x:v>101</x:v>
      </x:c>
      <x:c r="B108" s="1" t="n">
        <x:v>193</x:v>
      </x:c>
      <x:c r="C108" s="1" t="str">
        <x:v>Yanma</x:v>
      </x:c>
      <x:c r="D108" s="1" t="str">
        <x:v>Inseto</x:v>
      </x:c>
      <x:c r="E108" s="1" t="str">
        <x:v>Voador</x:v>
      </x:c>
      <x:c r="F108" s="10" t="n">
        <x:v>65</x:v>
      </x:c>
      <x:c r="G108" s="10" t="n">
        <x:v>75</x:v>
      </x:c>
      <x:c r="H108" s="10" t="n">
        <x:f>MAX(F108:G108)</x:f>
        <x:v>75</x:v>
      </x:c>
      <x:c r="I108" s="1" t="str">
        <x:f>'Pokémon'!M197</x:f>
        <x:v>Especial</x:v>
      </x:c>
      <x:c r="J108" s="1" t="str">
        <x:f>'Habilidades'!D1809</x:f>
        <x:v>Massive Hurricane</x:v>
      </x:c>
      <x:c r="K108" s="1" t="str">
        <x:f>'Habilidades'!E1809</x:f>
        <x:v>Voador</x:v>
      </x:c>
      <x:c r="L108" s="1" t="str">
        <x:f>'Habilidades'!F1809</x:f>
        <x:v>Física</x:v>
      </x:c>
      <x:c r="M108" s="10" t="n">
        <x:f>'Habilidades'!G1809</x:f>
        <x:v>300</x:v>
      </x:c>
      <x:c r="N108" s="10" t="n">
        <x:f>'Habilidades'!I1809</x:f>
        <x:v>365</x:v>
      </x:c>
      <x:c r="O108" s="1" t="str">
        <x:f>'Habilidades'!D1810&amp;" ("&amp;'Habilidades'!I1810&amp;")"</x:f>
        <x:v>Hive Crush (365)</x:v>
      </x:c>
      <x:c r="P108" s="1" t="str">
        <x:f>'Habilidades'!D1811&amp;" ("&amp;'Habilidades'!I1811&amp;")"</x:f>
        <x:v>Uproar (165)</x:v>
      </x:c>
      <x:c r="Q108" s="1" t="str">
        <x:f>'Habilidades'!D1812&amp;" ("&amp;'Habilidades'!I1812&amp;")"</x:f>
        <x:v>Bug Buzz (165)</x:v>
      </x:c>
      <x:c r="R108" s="1" t="str">
        <x:f>'Habilidades'!D1813&amp;" ("&amp;'Habilidades'!I1813&amp;")"</x:f>
        <x:v>Air Slash (150)</x:v>
      </x:c>
      <x:c r="S108" s="9" t="str">
        <x:v>https://poke.idleworld.online/pokepedia/pokemon/yanma</x:v>
      </x:c>
    </x:row>
    <x:row r="109" ht="22" customHeight="1">
      <x:c r="A109" s="1" t="n">
        <x:v>101</x:v>
      </x:c>
      <x:c r="B109" s="1" t="n">
        <x:v>83</x:v>
      </x:c>
      <x:c r="C109" s="1" t="str">
        <x:v>Farfetchd</x:v>
      </x:c>
      <x:c r="D109" s="1" t="str">
        <x:v>Normal</x:v>
      </x:c>
      <x:c r="E109" s="1" t="str">
        <x:v>Voador</x:v>
      </x:c>
      <x:c r="F109" s="10" t="n">
        <x:v>65</x:v>
      </x:c>
      <x:c r="G109" s="10" t="n">
        <x:v>58</x:v>
      </x:c>
      <x:c r="H109" s="10" t="n">
        <x:f>MAX(F109:G109)</x:f>
        <x:v>65</x:v>
      </x:c>
      <x:c r="I109" s="1" t="str">
        <x:f>'Pokémon'!M87</x:f>
        <x:v>Física</x:v>
      </x:c>
      <x:c r="J109" s="1" t="str">
        <x:f>'Habilidades'!D750</x:f>
        <x:v>Massive Hurricane</x:v>
      </x:c>
      <x:c r="K109" s="1" t="str">
        <x:f>'Habilidades'!E750</x:f>
        <x:v>Voador</x:v>
      </x:c>
      <x:c r="L109" s="1" t="str">
        <x:f>'Habilidades'!F750</x:f>
        <x:v>Física</x:v>
      </x:c>
      <x:c r="M109" s="10" t="n">
        <x:f>'Habilidades'!G750</x:f>
        <x:v>300</x:v>
      </x:c>
      <x:c r="N109" s="10" t="n">
        <x:f>'Habilidades'!I750</x:f>
        <x:v>365</x:v>
      </x:c>
      <x:c r="O109" s="1" t="str">
        <x:f>'Habilidades'!D751&amp;" ("&amp;'Habilidades'!I751&amp;")"</x:f>
        <x:v>Brave Bird (185)</x:v>
      </x:c>
      <x:c r="P109" s="1" t="str">
        <x:f>'Habilidades'!D752&amp;" ("&amp;'Habilidades'!I752&amp;")"</x:f>
        <x:v>Poison Jab (145)</x:v>
      </x:c>
      <x:c r="Q109" s="1" t="str">
        <x:f>'Habilidades'!D753&amp;" ("&amp;'Habilidades'!I753&amp;")"</x:f>
        <x:v>Slash (135)</x:v>
      </x:c>
      <x:c r="R109" s="1" t="str">
        <x:f>'Habilidades'!D754&amp;" ("&amp;'Habilidades'!I754&amp;")"</x:f>
        <x:v>Night Slash (135)</x:v>
      </x:c>
      <x:c r="S109" s="9" t="str">
        <x:v>https://poke.idleworld.online/pokepedia/pokemon/farfetchd</x:v>
      </x:c>
    </x:row>
    <x:row r="110" ht="22" customHeight="1">
      <x:c r="A110" s="1" t="n">
        <x:v>101</x:v>
      </x:c>
      <x:c r="B110" s="1" t="n">
        <x:v>197</x:v>
      </x:c>
      <x:c r="C110" s="1" t="str">
        <x:v>Umbreon</x:v>
      </x:c>
      <x:c r="D110" s="1" t="str">
        <x:v>Sombrio</x:v>
      </x:c>
      <x:c r="E110" s="1" t="str"/>
      <x:c r="F110" s="10" t="n">
        <x:v>65</x:v>
      </x:c>
      <x:c r="G110" s="10" t="n">
        <x:v>60</x:v>
      </x:c>
      <x:c r="H110" s="10" t="n">
        <x:f>MAX(F110:G110)</x:f>
        <x:v>65</x:v>
      </x:c>
      <x:c r="I110" s="1" t="str">
        <x:f>'Pokémon'!M201</x:f>
        <x:v>Física</x:v>
      </x:c>
      <x:c r="J110" s="1" t="str">
        <x:f>'Habilidades'!D1842</x:f>
        <x:v>Endless Hollow</x:v>
      </x:c>
      <x:c r="K110" s="1" t="str">
        <x:f>'Habilidades'!E1842</x:f>
        <x:v>Sombrio</x:v>
      </x:c>
      <x:c r="L110" s="1" t="str">
        <x:f>'Habilidades'!F1842</x:f>
        <x:v>Física</x:v>
      </x:c>
      <x:c r="M110" s="10" t="n">
        <x:f>'Habilidades'!G1842</x:f>
        <x:v>300</x:v>
      </x:c>
      <x:c r="N110" s="10" t="n">
        <x:f>'Habilidades'!I1842</x:f>
        <x:v>365</x:v>
      </x:c>
      <x:c r="O110" s="1" t="str">
        <x:f>'Habilidades'!D1843&amp;" ("&amp;'Habilidades'!I1843&amp;")"</x:f>
        <x:v>Last Resort (205)</x:v>
      </x:c>
      <x:c r="P110" s="1" t="str">
        <x:f>'Habilidades'!D1844&amp;" ("&amp;'Habilidades'!I1844&amp;")"</x:f>
        <x:v>Feint Attack (125)</x:v>
      </x:c>
      <x:c r="Q110" s="1" t="str">
        <x:f>'Habilidades'!D1845&amp;" ("&amp;'Habilidades'!I1845&amp;")"</x:f>
        <x:v>Assurance (125)</x:v>
      </x:c>
      <x:c r="R110" s="1" t="str">
        <x:f>'Habilidades'!D1846&amp;" ("&amp;'Habilidades'!I1846&amp;")"</x:f>
        <x:v>Tackle (115)</x:v>
      </x:c>
      <x:c r="S110" s="9" t="str">
        <x:v>https://poke.idleworld.online/pokepedia/pokemon/umbreon</x:v>
      </x:c>
    </x:row>
    <x:row r="111" ht="22" customHeight="1">
      <x:c r="A111" s="1" t="n">
        <x:v>101</x:v>
      </x:c>
      <x:c r="B111" s="1" t="n">
        <x:v>222</x:v>
      </x:c>
      <x:c r="C111" s="1" t="str">
        <x:v>Corsola</x:v>
      </x:c>
      <x:c r="D111" s="1" t="str">
        <x:v>Água</x:v>
      </x:c>
      <x:c r="E111" s="1" t="str">
        <x:v>Pedra</x:v>
      </x:c>
      <x:c r="F111" s="10" t="n">
        <x:v>55</x:v>
      </x:c>
      <x:c r="G111" s="10" t="n">
        <x:v>65</x:v>
      </x:c>
      <x:c r="H111" s="10" t="n">
        <x:f>MAX(F111:G111)</x:f>
        <x:v>65</x:v>
      </x:c>
      <x:c r="I111" s="1" t="str">
        <x:f>'Pokémon'!M225</x:f>
        <x:v>Especial</x:v>
      </x:c>
      <x:c r="J111" s="1" t="str">
        <x:f>'Habilidades'!D2086</x:f>
        <x:v>Cyclonic Tide</x:v>
      </x:c>
      <x:c r="K111" s="1" t="str">
        <x:f>'Habilidades'!E2086</x:f>
        <x:v>Água</x:v>
      </x:c>
      <x:c r="L111" s="1" t="str">
        <x:f>'Habilidades'!F2086</x:f>
        <x:v>Especial</x:v>
      </x:c>
      <x:c r="M111" s="10" t="n">
        <x:f>'Habilidades'!G2086</x:f>
        <x:v>300</x:v>
      </x:c>
      <x:c r="N111" s="10" t="n">
        <x:f>'Habilidades'!I2086</x:f>
        <x:v>365</x:v>
      </x:c>
      <x:c r="O111" s="1" t="str">
        <x:f>'Habilidades'!D2087&amp;" ("&amp;'Habilidades'!I2087&amp;")"</x:f>
        <x:v>Earth Power (155)</x:v>
      </x:c>
      <x:c r="P111" s="1" t="str">
        <x:f>'Habilidades'!D2088&amp;" ("&amp;'Habilidades'!I2088&amp;")"</x:f>
        <x:v>Power Gem (145)</x:v>
      </x:c>
      <x:c r="Q111" s="1" t="str">
        <x:f>'Habilidades'!D2089&amp;" ("&amp;'Habilidades'!I2089&amp;")"</x:f>
        <x:v>Bubble Beam (130)</x:v>
      </x:c>
      <x:c r="R111" s="1" t="str">
        <x:f>'Habilidades'!D2090&amp;" ("&amp;'Habilidades'!I2090&amp;")"</x:f>
        <x:v>Brine (130)</x:v>
      </x:c>
      <x:c r="S111" s="9" t="str">
        <x:v>https://poke.idleworld.online/pokepedia/pokemon/corsola</x:v>
      </x:c>
    </x:row>
    <x:row r="112" ht="22" customHeight="1">
      <x:c r="A112" s="1" t="n">
        <x:v>101</x:v>
      </x:c>
      <x:c r="B112" s="1" t="n">
        <x:v>225</x:v>
      </x:c>
      <x:c r="C112" s="1" t="str">
        <x:v>Delibird</x:v>
      </x:c>
      <x:c r="D112" s="1" t="str">
        <x:v>Gelo</x:v>
      </x:c>
      <x:c r="E112" s="1" t="str">
        <x:v>Voador</x:v>
      </x:c>
      <x:c r="F112" s="10" t="n">
        <x:v>55</x:v>
      </x:c>
      <x:c r="G112" s="10" t="n">
        <x:v>65</x:v>
      </x:c>
      <x:c r="H112" s="10" t="n">
        <x:f>MAX(F112:G112)</x:f>
        <x:v>65</x:v>
      </x:c>
      <x:c r="I112" s="1" t="str">
        <x:f>'Pokémon'!M228</x:f>
        <x:v>Especial</x:v>
      </x:c>
      <x:c r="J112" s="1" t="str">
        <x:f>'Habilidades'!D2120</x:f>
        <x:v>Ice Time</x:v>
      </x:c>
      <x:c r="K112" s="1" t="str">
        <x:f>'Habilidades'!E2120</x:f>
        <x:v>Gelo</x:v>
      </x:c>
      <x:c r="L112" s="1" t="str">
        <x:f>'Habilidades'!F2120</x:f>
        <x:v>Especial</x:v>
      </x:c>
      <x:c r="M112" s="10" t="n">
        <x:f>'Habilidades'!G2120</x:f>
        <x:v>300</x:v>
      </x:c>
      <x:c r="N112" s="10" t="n">
        <x:f>'Habilidades'!I2120</x:f>
        <x:v>365</x:v>
      </x:c>
      <x:c r="O112" s="1" t="str">
        <x:f>'Habilidades'!D2121&amp;" ("&amp;'Habilidades'!I2121&amp;")"</x:f>
        <x:v>Massive Hurricane (355)</x:v>
      </x:c>
      <x:c r="P112" s="1" t="str">
        <x:f>""</x:f>
      </x:c>
      <x:c r="Q112" s="1" t="str">
        <x:f>""</x:f>
      </x:c>
      <x:c r="R112" s="1" t="str">
        <x:f>""</x:f>
      </x:c>
      <x:c r="S112" s="9" t="str">
        <x:v>https://poke.idleworld.online/pokepedia/pokemon/delibird</x:v>
      </x:c>
    </x:row>
    <x:row r="113" ht="22" customHeight="1">
      <x:c r="A113" s="1" t="n">
        <x:v>109</x:v>
      </x:c>
      <x:c r="B113" s="1" t="n">
        <x:v>139</x:v>
      </x:c>
      <x:c r="C113" s="1" t="str">
        <x:v>Omastar</x:v>
      </x:c>
      <x:c r="D113" s="1" t="str">
        <x:v>Pedra</x:v>
      </x:c>
      <x:c r="E113" s="1" t="str">
        <x:v>Água</x:v>
      </x:c>
      <x:c r="F113" s="10" t="n">
        <x:v>60</x:v>
      </x:c>
      <x:c r="G113" s="10" t="n">
        <x:v>115</x:v>
      </x:c>
      <x:c r="H113" s="10" t="n">
        <x:f>MAX(F113:G113)</x:f>
        <x:v>115</x:v>
      </x:c>
      <x:c r="I113" s="1" t="str">
        <x:f>'Pokémon'!M143</x:f>
        <x:v>Especial</x:v>
      </x:c>
      <x:c r="J113" s="1" t="str">
        <x:f>'Habilidades'!D1324</x:f>
        <x:v>Crumbling Rain</x:v>
      </x:c>
      <x:c r="K113" s="1" t="str">
        <x:f>'Habilidades'!E1324</x:f>
        <x:v>Pedra</x:v>
      </x:c>
      <x:c r="L113" s="1" t="str">
        <x:f>'Habilidades'!F1324</x:f>
        <x:v>Física</x:v>
      </x:c>
      <x:c r="M113" s="10" t="n">
        <x:f>'Habilidades'!G1324</x:f>
        <x:v>300</x:v>
      </x:c>
      <x:c r="N113" s="10" t="n">
        <x:f>'Habilidades'!I1324</x:f>
        <x:v>360</x:v>
      </x:c>
      <x:c r="O113" s="1" t="str">
        <x:f>'Habilidades'!D1325&amp;" ("&amp;'Habilidades'!I1325&amp;")"</x:f>
        <x:v>Hydro Pump (225)</x:v>
      </x:c>
      <x:c r="P113" s="1" t="str">
        <x:f>'Habilidades'!D1326&amp;" ("&amp;'Habilidades'!I1326&amp;")"</x:f>
        <x:v>Brine (180)</x:v>
      </x:c>
      <x:c r="Q113" s="1" t="str">
        <x:f>'Habilidades'!D1327&amp;" ("&amp;'Habilidades'!I1327&amp;")"</x:f>
        <x:v>Ancient Power (175)</x:v>
      </x:c>
      <x:c r="R113" s="1" t="str">
        <x:f>'Habilidades'!D1328&amp;" ("&amp;'Habilidades'!I1328&amp;")"</x:f>
        <x:v>Mud Shot (170)</x:v>
      </x:c>
      <x:c r="S113" s="9" t="str">
        <x:v>https://poke.idleworld.online/pokepedia/pokemon/omastar</x:v>
      </x:c>
    </x:row>
    <x:row r="114" ht="22" customHeight="1">
      <x:c r="A114" s="1" t="n">
        <x:v>109</x:v>
      </x:c>
      <x:c r="B114" s="1" t="n">
        <x:v>470</x:v>
      </x:c>
      <x:c r="C114" s="1" t="str">
        <x:v>Leafeon</x:v>
      </x:c>
      <x:c r="D114" s="1" t="str">
        <x:v>Planta</x:v>
      </x:c>
      <x:c r="E114" s="1" t="str"/>
      <x:c r="F114" s="10" t="n">
        <x:v>110</x:v>
      </x:c>
      <x:c r="G114" s="10" t="n">
        <x:v>60</x:v>
      </x:c>
      <x:c r="H114" s="10" t="n">
        <x:f>MAX(F114:G114)</x:f>
        <x:v>110</x:v>
      </x:c>
      <x:c r="I114" s="1" t="str">
        <x:f>'Pokémon'!M361</x:f>
        <x:v>Física</x:v>
      </x:c>
      <x:c r="J114" s="1" t="str">
        <x:f>'Habilidades'!D3343</x:f>
        <x:v>Petal Bloom</x:v>
      </x:c>
      <x:c r="K114" s="1" t="str">
        <x:f>'Habilidades'!E3343</x:f>
        <x:v>Planta</x:v>
      </x:c>
      <x:c r="L114" s="1" t="str">
        <x:f>'Habilidades'!F3343</x:f>
        <x:v>Especial</x:v>
      </x:c>
      <x:c r="M114" s="10" t="n">
        <x:f>'Habilidades'!G3343</x:f>
        <x:v>300</x:v>
      </x:c>
      <x:c r="N114" s="10" t="n">
        <x:f>'Habilidades'!I3343</x:f>
        <x:v>360</x:v>
      </x:c>
      <x:c r="O114" s="1" t="str">
        <x:f>'Habilidades'!D3344&amp;" ("&amp;'Habilidades'!I3344&amp;")"</x:f>
        <x:v>Last Resort (250)</x:v>
      </x:c>
      <x:c r="P114" s="1" t="str">
        <x:f>'Habilidades'!D3345&amp;" ("&amp;'Habilidades'!I3345&amp;")"</x:f>
        <x:v>Leaf Blade (200)</x:v>
      </x:c>
      <x:c r="Q114" s="1" t="str">
        <x:f>'Habilidades'!D3346&amp;" ("&amp;'Habilidades'!I3346&amp;")"</x:f>
        <x:v>Razor Leaf (165)</x:v>
      </x:c>
      <x:c r="R114" s="1" t="str">
        <x:f>'Habilidades'!D3347&amp;" ("&amp;'Habilidades'!I3347&amp;")"</x:f>
        <x:v>Tackle (160)</x:v>
      </x:c>
      <x:c r="S114" s="9" t="str">
        <x:v>https://poke.idleworld.online/pokepedia/pokemon/leafeon</x:v>
      </x:c>
    </x:row>
    <x:row r="115" ht="22" customHeight="1">
      <x:c r="A115" s="1" t="n">
        <x:v>109</x:v>
      </x:c>
      <x:c r="B115" s="1" t="n">
        <x:v>221</x:v>
      </x:c>
      <x:c r="C115" s="1" t="str">
        <x:v>Piloswine</x:v>
      </x:c>
      <x:c r="D115" s="1" t="str">
        <x:v>Gelo</x:v>
      </x:c>
      <x:c r="E115" s="1" t="str">
        <x:v>Terrestre</x:v>
      </x:c>
      <x:c r="F115" s="10" t="n">
        <x:v>100</x:v>
      </x:c>
      <x:c r="G115" s="10" t="n">
        <x:v>60</x:v>
      </x:c>
      <x:c r="H115" s="10" t="n">
        <x:f>MAX(F115:G115)</x:f>
        <x:v>100</x:v>
      </x:c>
      <x:c r="I115" s="1" t="str">
        <x:f>'Pokémon'!M224</x:f>
        <x:v>Física</x:v>
      </x:c>
      <x:c r="J115" s="1" t="str">
        <x:f>'Habilidades'!D2073</x:f>
        <x:v>Ice Time</x:v>
      </x:c>
      <x:c r="K115" s="1" t="str">
        <x:f>'Habilidades'!E2073</x:f>
        <x:v>Gelo</x:v>
      </x:c>
      <x:c r="L115" s="1" t="str">
        <x:f>'Habilidades'!F2073</x:f>
        <x:v>Especial</x:v>
      </x:c>
      <x:c r="M115" s="10" t="n">
        <x:f>'Habilidades'!G2073</x:f>
        <x:v>300</x:v>
      </x:c>
      <x:c r="N115" s="10" t="n">
        <x:f>'Habilidades'!I2073</x:f>
        <x:v>360</x:v>
      </x:c>
      <x:c r="O115" s="1" t="str">
        <x:f>'Habilidades'!D2074&amp;" ("&amp;'Habilidades'!I2074&amp;")"</x:f>
        <x:v>Thrash (220)</x:v>
      </x:c>
      <x:c r="P115" s="1" t="str">
        <x:f>'Habilidades'!D2075&amp;" ("&amp;'Habilidades'!I2075&amp;")"</x:f>
        <x:v>Earthquake (200)</x:v>
      </x:c>
      <x:c r="Q115" s="1" t="str">
        <x:f>'Habilidades'!D2076&amp;" ("&amp;'Habilidades'!I2076&amp;")"</x:f>
        <x:v>Take Down (190)</x:v>
      </x:c>
      <x:c r="R115" s="1" t="str">
        <x:f>'Habilidades'!D2077&amp;" ("&amp;'Habilidades'!I2077&amp;")"</x:f>
        <x:v>Blizzard (170)</x:v>
      </x:c>
      <x:c r="S115" s="9" t="str">
        <x:v>https://poke.idleworld.online/pokepedia/pokemon/piloswine</x:v>
      </x:c>
    </x:row>
    <x:row r="116" ht="22" customHeight="1">
      <x:c r="A116" s="1" t="n">
        <x:v>109</x:v>
      </x:c>
      <x:c r="B116" s="1" t="n">
        <x:v>372</x:v>
      </x:c>
      <x:c r="C116" s="1" t="str">
        <x:v>Shelgon</x:v>
      </x:c>
      <x:c r="D116" s="1" t="str">
        <x:v>Dragão</x:v>
      </x:c>
      <x:c r="E116" s="1" t="str"/>
      <x:c r="F116" s="10" t="n">
        <x:v>95</x:v>
      </x:c>
      <x:c r="G116" s="10" t="n">
        <x:v>60</x:v>
      </x:c>
      <x:c r="H116" s="10" t="n">
        <x:f>MAX(F116:G116)</x:f>
        <x:v>95</x:v>
      </x:c>
      <x:c r="I116" s="1" t="str">
        <x:f>'Pokémon'!M332</x:f>
        <x:v>Física</x:v>
      </x:c>
      <x:c r="J116" s="1" t="str">
        <x:f>'Habilidades'!D3094</x:f>
        <x:v>Draconic Soul</x:v>
      </x:c>
      <x:c r="K116" s="1" t="str">
        <x:f>'Habilidades'!E3094</x:f>
        <x:v>Dragão</x:v>
      </x:c>
      <x:c r="L116" s="1" t="str">
        <x:f>'Habilidades'!F3094</x:f>
        <x:v>Especial</x:v>
      </x:c>
      <x:c r="M116" s="10" t="n">
        <x:f>'Habilidades'!G3094</x:f>
        <x:v>300</x:v>
      </x:c>
      <x:c r="N116" s="10" t="n">
        <x:f>'Habilidades'!I3094</x:f>
        <x:v>360</x:v>
      </x:c>
      <x:c r="O116" s="1" t="str">
        <x:f>'Habilidades'!D3095&amp;" ("&amp;'Habilidades'!I3095&amp;")"</x:f>
        <x:v>Double-Edge (215)</x:v>
      </x:c>
      <x:c r="P116" s="1" t="str">
        <x:f>'Habilidades'!D3096&amp;" ("&amp;'Habilidades'!I3096&amp;")"</x:f>
        <x:v>Crunch (175)</x:v>
      </x:c>
      <x:c r="Q116" s="1" t="str">
        <x:f>'Habilidades'!D3097&amp;" ("&amp;'Habilidades'!I3097&amp;")"</x:f>
        <x:v>Dragon Claw (175)</x:v>
      </x:c>
      <x:c r="R116" s="1" t="str">
        <x:f>'Habilidades'!D3098&amp;" ("&amp;'Habilidades'!I3098&amp;")"</x:f>
        <x:v>Zen Headbutt (175)</x:v>
      </x:c>
      <x:c r="S116" s="9" t="str">
        <x:v>https://poke.idleworld.online/pokepedia/pokemon/shelgon</x:v>
      </x:c>
    </x:row>
    <x:row r="117" ht="22" customHeight="1">
      <x:c r="A117" s="1" t="n">
        <x:v>109</x:v>
      </x:c>
      <x:c r="B117" s="1" t="n">
        <x:v>184</x:v>
      </x:c>
      <x:c r="C117" s="1" t="str">
        <x:v>Azumarill</x:v>
      </x:c>
      <x:c r="D117" s="1" t="str">
        <x:v>Água</x:v>
      </x:c>
      <x:c r="E117" s="1" t="str">
        <x:v>Fada</x:v>
      </x:c>
      <x:c r="F117" s="10" t="n">
        <x:v>50</x:v>
      </x:c>
      <x:c r="G117" s="10" t="n">
        <x:v>60</x:v>
      </x:c>
      <x:c r="H117" s="10" t="n">
        <x:f>MAX(F117:G117)</x:f>
        <x:v>60</x:v>
      </x:c>
      <x:c r="I117" s="1" t="str">
        <x:f>'Pokémon'!M188</x:f>
        <x:v>Especial</x:v>
      </x:c>
      <x:c r="J117" s="1" t="str">
        <x:f>'Habilidades'!D1731</x:f>
        <x:v>Cyclonic Tide</x:v>
      </x:c>
      <x:c r="K117" s="1" t="str">
        <x:f>'Habilidades'!E1731</x:f>
        <x:v>Água</x:v>
      </x:c>
      <x:c r="L117" s="1" t="str">
        <x:f>'Habilidades'!F1731</x:f>
        <x:v>Especial</x:v>
      </x:c>
      <x:c r="M117" s="10" t="n">
        <x:f>'Habilidades'!G1731</x:f>
        <x:v>300</x:v>
      </x:c>
      <x:c r="N117" s="10" t="n">
        <x:f>'Habilidades'!I1731</x:f>
        <x:v>360</x:v>
      </x:c>
      <x:c r="O117" s="1" t="str">
        <x:f>'Habilidades'!D1732&amp;" ("&amp;'Habilidades'!I1732&amp;")"</x:f>
        <x:v>Double-Edge (170)</x:v>
      </x:c>
      <x:c r="P117" s="1" t="str">
        <x:f>'Habilidades'!D1733&amp;" ("&amp;'Habilidades'!I1733&amp;")"</x:f>
        <x:v>Superpower (170)</x:v>
      </x:c>
      <x:c r="Q117" s="1" t="str">
        <x:f>'Habilidades'!D1734&amp;" ("&amp;'Habilidades'!I1734&amp;")"</x:f>
        <x:v>Hydro Pump (170)</x:v>
      </x:c>
      <x:c r="R117" s="1" t="str">
        <x:f>'Habilidades'!D1735&amp;" ("&amp;'Habilidades'!I1735&amp;")"</x:f>
        <x:v>Aqua Tail (140)</x:v>
      </x:c>
      <x:c r="S117" s="9" t="str">
        <x:v>https://poke.idleworld.online/pokepedia/pokemon/azumarill</x:v>
      </x:c>
    </x:row>
    <x:row r="118" ht="22" customHeight="1">
      <x:c r="A118" s="1" t="n">
        <x:v>114</x:v>
      </x:c>
      <x:c r="B118" s="1" t="n">
        <x:v>211</x:v>
      </x:c>
      <x:c r="C118" s="1" t="str">
        <x:v>Qwilfish</x:v>
      </x:c>
      <x:c r="D118" s="1" t="str">
        <x:v>Água</x:v>
      </x:c>
      <x:c r="E118" s="1" t="str">
        <x:v>Venenoso</x:v>
      </x:c>
      <x:c r="F118" s="10" t="n">
        <x:v>95</x:v>
      </x:c>
      <x:c r="G118" s="10" t="n">
        <x:v>55</x:v>
      </x:c>
      <x:c r="H118" s="10" t="n">
        <x:f>MAX(F118:G118)</x:f>
        <x:v>95</x:v>
      </x:c>
      <x:c r="I118" s="1" t="str">
        <x:f>'Pokémon'!M214</x:f>
        <x:v>Física</x:v>
      </x:c>
      <x:c r="J118" s="1" t="str">
        <x:f>'Habilidades'!D1962</x:f>
        <x:v>Cyclonic Tide</x:v>
      </x:c>
      <x:c r="K118" s="1" t="str">
        <x:f>'Habilidades'!E1962</x:f>
        <x:v>Água</x:v>
      </x:c>
      <x:c r="L118" s="1" t="str">
        <x:f>'Habilidades'!F1962</x:f>
        <x:v>Especial</x:v>
      </x:c>
      <x:c r="M118" s="10" t="n">
        <x:f>'Habilidades'!G1962</x:f>
        <x:v>300</x:v>
      </x:c>
      <x:c r="N118" s="10" t="n">
        <x:f>'Habilidades'!I1962</x:f>
        <x:v>355</x:v>
      </x:c>
      <x:c r="O118" s="1" t="str">
        <x:f>'Habilidades'!D1963&amp;" ("&amp;'Habilidades'!I1963&amp;")"</x:f>
        <x:v>Take Down (185)</x:v>
      </x:c>
      <x:c r="P118" s="1" t="str">
        <x:f>'Habilidades'!D1964&amp;" ("&amp;'Habilidades'!I1964&amp;")"</x:f>
        <x:v>Aqua Tail (185)</x:v>
      </x:c>
      <x:c r="Q118" s="1" t="str">
        <x:f>'Habilidades'!D1965&amp;" ("&amp;'Habilidades'!I1965&amp;")"</x:f>
        <x:v>Poison Jab (175)</x:v>
      </x:c>
      <x:c r="R118" s="1" t="str">
        <x:f>'Habilidades'!D1966&amp;" ("&amp;'Habilidades'!I1966&amp;")"</x:f>
        <x:v>Hydro Pump (165)</x:v>
      </x:c>
      <x:c r="S118" s="9" t="str">
        <x:v>https://poke.idleworld.online/pokepedia/pokemon/qwilfish</x:v>
      </x:c>
    </x:row>
    <x:row r="119" ht="22" customHeight="1">
      <x:c r="A119" s="1" t="n">
        <x:v>114</x:v>
      </x:c>
      <x:c r="B119" s="1" t="n">
        <x:v>189</x:v>
      </x:c>
      <x:c r="C119" s="1" t="str">
        <x:v>Jumpluff</x:v>
      </x:c>
      <x:c r="D119" s="1" t="str">
        <x:v>Planta</x:v>
      </x:c>
      <x:c r="E119" s="1" t="str">
        <x:v>Voador</x:v>
      </x:c>
      <x:c r="F119" s="10" t="n">
        <x:v>55</x:v>
      </x:c>
      <x:c r="G119" s="10" t="n">
        <x:v>55</x:v>
      </x:c>
      <x:c r="H119" s="10" t="n">
        <x:f>MAX(F119:G119)</x:f>
        <x:v>55</x:v>
      </x:c>
      <x:c r="I119" s="1" t="str">
        <x:f>'Pokémon'!M193</x:f>
        <x:v>Empate</x:v>
      </x:c>
      <x:c r="J119" s="1" t="str">
        <x:f>'Habilidades'!D1774</x:f>
        <x:v>Petal Bloom</x:v>
      </x:c>
      <x:c r="K119" s="1" t="str">
        <x:f>'Habilidades'!E1774</x:f>
        <x:v>Planta</x:v>
      </x:c>
      <x:c r="L119" s="1" t="str">
        <x:f>'Habilidades'!F1774</x:f>
        <x:v>Especial</x:v>
      </x:c>
      <x:c r="M119" s="10" t="n">
        <x:f>'Habilidades'!G1774</x:f>
        <x:v>300</x:v>
      </x:c>
      <x:c r="N119" s="10" t="n">
        <x:f>'Habilidades'!I1774</x:f>
        <x:v>355</x:v>
      </x:c>
      <x:c r="O119" s="1" t="str">
        <x:f>'Habilidades'!D1775&amp;" ("&amp;'Habilidades'!I1775&amp;")"</x:f>
        <x:v>Massive Hurricane (355)</x:v>
      </x:c>
      <x:c r="P119" s="1" t="str">
        <x:f>'Habilidades'!D1776&amp;" ("&amp;'Habilidades'!I1776&amp;")"</x:f>
        <x:v>Bounce (140)</x:v>
      </x:c>
      <x:c r="Q119" s="1" t="str">
        <x:f>'Habilidades'!D1777&amp;" ("&amp;'Habilidades'!I1777&amp;")"</x:f>
        <x:v>Giga Drain (130)</x:v>
      </x:c>
      <x:c r="R119" s="1" t="str">
        <x:f>'Habilidades'!D1778&amp;" ("&amp;'Habilidades'!I1778&amp;")"</x:f>
        <x:v>U-turn (125)</x:v>
      </x:c>
      <x:c r="S119" s="9" t="str">
        <x:v>https://poke.idleworld.online/pokepedia/pokemon/jumpluff</x:v>
      </x:c>
    </x:row>
    <x:row r="120" ht="22" customHeight="1">
      <x:c r="A120" s="1" t="n">
        <x:v>116</x:v>
      </x:c>
      <x:c r="B120" s="1" t="n">
        <x:v>99</x:v>
      </x:c>
      <x:c r="C120" s="1" t="str">
        <x:v>Kingler</x:v>
      </x:c>
      <x:c r="D120" s="1" t="str">
        <x:v>Água</x:v>
      </x:c>
      <x:c r="E120" s="1" t="str"/>
      <x:c r="F120" s="10" t="n">
        <x:v>130</x:v>
      </x:c>
      <x:c r="G120" s="10" t="n">
        <x:v>50</x:v>
      </x:c>
      <x:c r="H120" s="10" t="n">
        <x:f>MAX(F120:G120)</x:f>
        <x:v>130</x:v>
      </x:c>
      <x:c r="I120" s="1" t="str">
        <x:f>'Pokémon'!M103</x:f>
        <x:v>Física</x:v>
      </x:c>
      <x:c r="J120" s="1" t="str">
        <x:f>'Habilidades'!D931</x:f>
        <x:v>Cyclonic Tide</x:v>
      </x:c>
      <x:c r="K120" s="1" t="str">
        <x:f>'Habilidades'!E931</x:f>
        <x:v>Água</x:v>
      </x:c>
      <x:c r="L120" s="1" t="str">
        <x:f>'Habilidades'!F931</x:f>
        <x:v>Especial</x:v>
      </x:c>
      <x:c r="M120" s="10" t="n">
        <x:f>'Habilidades'!G931</x:f>
        <x:v>300</x:v>
      </x:c>
      <x:c r="N120" s="10" t="n">
        <x:f>'Habilidades'!I931</x:f>
        <x:v>350</x:v>
      </x:c>
      <x:c r="O120" s="1" t="str">
        <x:f>'Habilidades'!D932&amp;" ("&amp;'Habilidades'!I932&amp;")"</x:f>
        <x:v>Crabhammer (230)</x:v>
      </x:c>
      <x:c r="P120" s="1" t="str">
        <x:f>'Habilidades'!D933&amp;" ("&amp;'Habilidades'!I933&amp;")"</x:f>
        <x:v>Slam (210)</x:v>
      </x:c>
      <x:c r="Q120" s="1" t="str">
        <x:f>'Habilidades'!D934&amp;" ("&amp;'Habilidades'!I934&amp;")"</x:f>
        <x:v>Stomp (195)</x:v>
      </x:c>
      <x:c r="R120" s="1" t="str">
        <x:f>'Habilidades'!D935&amp;" ("&amp;'Habilidades'!I935&amp;")"</x:f>
        <x:v>Guillotine (186)</x:v>
      </x:c>
      <x:c r="S120" s="9" t="str">
        <x:v>https://poke.idleworld.online/pokepedia/pokemon/kingler</x:v>
      </x:c>
    </x:row>
    <x:row r="121" ht="22" customHeight="1">
      <x:c r="A121" s="1" t="n">
        <x:v>116</x:v>
      </x:c>
      <x:c r="B121" s="1" t="n">
        <x:v>164</x:v>
      </x:c>
      <x:c r="C121" s="1" t="str">
        <x:v>Noctowl</x:v>
      </x:c>
      <x:c r="D121" s="1" t="str">
        <x:v>Normal</x:v>
      </x:c>
      <x:c r="E121" s="1" t="str">
        <x:v>Voador</x:v>
      </x:c>
      <x:c r="F121" s="10" t="n">
        <x:v>50</x:v>
      </x:c>
      <x:c r="G121" s="10" t="n">
        <x:v>76</x:v>
      </x:c>
      <x:c r="H121" s="10" t="n">
        <x:f>MAX(F121:G121)</x:f>
        <x:v>76</x:v>
      </x:c>
      <x:c r="I121" s="1" t="str">
        <x:f>'Pokémon'!M168</x:f>
        <x:v>Especial</x:v>
      </x:c>
      <x:c r="J121" s="1" t="str">
        <x:f>'Habilidades'!D1582</x:f>
        <x:v>Massive Hurricane</x:v>
      </x:c>
      <x:c r="K121" s="1" t="str">
        <x:f>'Habilidades'!E1582</x:f>
        <x:v>Voador</x:v>
      </x:c>
      <x:c r="L121" s="1" t="str">
        <x:f>'Habilidades'!F1582</x:f>
        <x:v>Física</x:v>
      </x:c>
      <x:c r="M121" s="10" t="n">
        <x:f>'Habilidades'!G1582</x:f>
        <x:v>300</x:v>
      </x:c>
      <x:c r="N121" s="10" t="n">
        <x:f>'Habilidades'!I1582</x:f>
        <x:v>350</x:v>
      </x:c>
      <x:c r="O121" s="1" t="str">
        <x:f>'Habilidades'!D1583&amp;" ("&amp;'Habilidades'!I1583&amp;")"</x:f>
        <x:v>Synchronoise (196)</x:v>
      </x:c>
      <x:c r="P121" s="1" t="str">
        <x:f>'Habilidades'!D1584&amp;" ("&amp;'Habilidades'!I1584&amp;")"</x:f>
        <x:v>Sky Attack (190)</x:v>
      </x:c>
      <x:c r="Q121" s="1" t="str">
        <x:f>'Habilidades'!D1585&amp;" ("&amp;'Habilidades'!I1585&amp;")"</x:f>
        <x:v>Dream Eater (176)</x:v>
      </x:c>
      <x:c r="R121" s="1" t="str">
        <x:f>'Habilidades'!D1586&amp;" ("&amp;'Habilidades'!I1586&amp;")"</x:f>
        <x:v>Uproar (166)</x:v>
      </x:c>
      <x:c r="S121" s="9" t="str">
        <x:v>https://poke.idleworld.online/pokepedia/pokemon/noctowl</x:v>
      </x:c>
    </x:row>
    <x:row r="122" ht="22" customHeight="1">
      <x:c r="A122" s="1" t="n">
        <x:v>118</x:v>
      </x:c>
      <x:c r="B122" s="1" t="n">
        <x:v>12</x:v>
      </x:c>
      <x:c r="C122" s="1" t="str">
        <x:v>Butterfree</x:v>
      </x:c>
      <x:c r="D122" s="1" t="str">
        <x:v>Inseto</x:v>
      </x:c>
      <x:c r="E122" s="1" t="str">
        <x:v>Voador</x:v>
      </x:c>
      <x:c r="F122" s="10" t="n">
        <x:v>45</x:v>
      </x:c>
      <x:c r="G122" s="10" t="n">
        <x:v>90</x:v>
      </x:c>
      <x:c r="H122" s="10" t="n">
        <x:f>MAX(F122:G122)</x:f>
        <x:v>90</x:v>
      </x:c>
      <x:c r="I122" s="1" t="str">
        <x:f>'Pokémon'!M16</x:f>
        <x:v>Especial</x:v>
      </x:c>
      <x:c r="J122" s="1" t="str">
        <x:f>'Habilidades'!D100</x:f>
        <x:v>Massive Hurricane</x:v>
      </x:c>
      <x:c r="K122" s="1" t="str">
        <x:f>'Habilidades'!E100</x:f>
        <x:v>Voador</x:v>
      </x:c>
      <x:c r="L122" s="1" t="str">
        <x:f>'Habilidades'!F100</x:f>
        <x:v>Física</x:v>
      </x:c>
      <x:c r="M122" s="10" t="n">
        <x:f>'Habilidades'!G100</x:f>
        <x:v>300</x:v>
      </x:c>
      <x:c r="N122" s="10" t="n">
        <x:f>'Habilidades'!I100</x:f>
        <x:v>345</x:v>
      </x:c>
      <x:c r="O122" s="1" t="str">
        <x:f>'Habilidades'!D101&amp;" ("&amp;'Habilidades'!I101&amp;")"</x:f>
        <x:v>Hive Crush (345)</x:v>
      </x:c>
      <x:c r="P122" s="1" t="str">
        <x:f>'Habilidades'!D102&amp;" ("&amp;'Habilidades'!I102&amp;")"</x:f>
        <x:v>Bug Buzz (180)</x:v>
      </x:c>
      <x:c r="Q122" s="1" t="str">
        <x:f>'Habilidades'!D103&amp;" ("&amp;'Habilidades'!I103&amp;")"</x:f>
        <x:v>Psybeam (155)</x:v>
      </x:c>
      <x:c r="R122" s="1" t="str">
        <x:f>'Habilidades'!D104&amp;" ("&amp;'Habilidades'!I104&amp;")"</x:f>
        <x:v>Silver Wind (150)</x:v>
      </x:c>
      <x:c r="S122" s="9" t="str">
        <x:v>https://poke.idleworld.online/pokepedia/pokemon/butterfree</x:v>
      </x:c>
    </x:row>
    <x:row r="123" ht="22" customHeight="1">
      <x:c r="A123" s="1" t="n">
        <x:v>119</x:v>
      </x:c>
      <x:c r="B123" s="1" t="n">
        <x:v>166</x:v>
      </x:c>
      <x:c r="C123" s="1" t="str">
        <x:v>Ledian</x:v>
      </x:c>
      <x:c r="D123" s="1" t="str">
        <x:v>Inseto</x:v>
      </x:c>
      <x:c r="E123" s="1" t="str">
        <x:v>Voador</x:v>
      </x:c>
      <x:c r="F123" s="10" t="n">
        <x:v>35</x:v>
      </x:c>
      <x:c r="G123" s="10" t="n">
        <x:v>55</x:v>
      </x:c>
      <x:c r="H123" s="10" t="n">
        <x:f>MAX(F123:G123)</x:f>
        <x:v>55</x:v>
      </x:c>
      <x:c r="I123" s="1" t="str">
        <x:f>'Pokémon'!M170</x:f>
        <x:v>Especial</x:v>
      </x:c>
      <x:c r="J123" s="1" t="str">
        <x:f>'Habilidades'!D1602</x:f>
        <x:v>Massive Hurricane</x:v>
      </x:c>
      <x:c r="K123" s="1" t="str">
        <x:f>'Habilidades'!E1602</x:f>
        <x:v>Voador</x:v>
      </x:c>
      <x:c r="L123" s="1" t="str">
        <x:f>'Habilidades'!F1602</x:f>
        <x:v>Física</x:v>
      </x:c>
      <x:c r="M123" s="10" t="n">
        <x:f>'Habilidades'!G1602</x:f>
        <x:v>300</x:v>
      </x:c>
      <x:c r="N123" s="10" t="n">
        <x:f>'Habilidades'!I1602</x:f>
        <x:v>335</x:v>
      </x:c>
      <x:c r="O123" s="1" t="str">
        <x:f>'Habilidades'!D1603&amp;" ("&amp;'Habilidades'!I1603&amp;")"</x:f>
        <x:v>Hive Crush (335)</x:v>
      </x:c>
      <x:c r="P123" s="1" t="str">
        <x:f>'Habilidades'!D1604&amp;" ("&amp;'Habilidades'!I1604&amp;")"</x:f>
        <x:v>Double-Edge (155)</x:v>
      </x:c>
      <x:c r="Q123" s="1" t="str">
        <x:f>'Habilidades'!D1605&amp;" ("&amp;'Habilidades'!I1605&amp;")"</x:f>
        <x:v>Bug Buzz (145)</x:v>
      </x:c>
      <x:c r="R123" s="1" t="str">
        <x:f>'Habilidades'!D1606&amp;" ("&amp;'Habilidades'!I1606&amp;")"</x:f>
        <x:v>Silver Wind (115)</x:v>
      </x:c>
      <x:c r="S123" s="9" t="str">
        <x:v>https://poke.idleworld.online/pokepedia/pokemon/ledian</x:v>
      </x:c>
    </x:row>
    <x:row r="124" ht="22" customHeight="1">
      <x:c r="A124" s="1" t="n">
        <x:v>120</x:v>
      </x:c>
      <x:c r="B124" s="1" t="n">
        <x:v>202</x:v>
      </x:c>
      <x:c r="C124" s="1" t="str">
        <x:v>Wobbuffet</x:v>
      </x:c>
      <x:c r="D124" s="1" t="str">
        <x:v>Psíquico</x:v>
      </x:c>
      <x:c r="E124" s="1" t="str"/>
      <x:c r="F124" s="10" t="n">
        <x:v>33</x:v>
      </x:c>
      <x:c r="G124" s="10" t="n">
        <x:v>33</x:v>
      </x:c>
      <x:c r="H124" s="10" t="n">
        <x:f>MAX(F124:G124)</x:f>
        <x:v>33</x:v>
      </x:c>
      <x:c r="I124" s="1" t="str">
        <x:f>'Pokémon'!M205</x:f>
        <x:v>Empate</x:v>
      </x:c>
      <x:c r="J124" s="1" t="str">
        <x:f>'Habilidades'!D1875</x:f>
        <x:v>Mental Singularity</x:v>
      </x:c>
      <x:c r="K124" s="1" t="str">
        <x:f>'Habilidades'!E1875</x:f>
        <x:v>Psíquico</x:v>
      </x:c>
      <x:c r="L124" s="1" t="str">
        <x:f>'Habilidades'!F1875</x:f>
        <x:v>Especial</x:v>
      </x:c>
      <x:c r="M124" s="10" t="n">
        <x:f>'Habilidades'!G1875</x:f>
        <x:v>300</x:v>
      </x:c>
      <x:c r="N124" s="10" t="n">
        <x:f>'Habilidades'!I1875</x:f>
        <x:v>333</x:v>
      </x:c>
      <x:c r="O124" s="1" t="str">
        <x:f>""</x:f>
      </x:c>
      <x:c r="P124" s="1" t="str">
        <x:f>""</x:f>
      </x:c>
      <x:c r="Q124" s="1" t="str">
        <x:f>""</x:f>
      </x:c>
      <x:c r="R124" s="1" t="str">
        <x:f>""</x:f>
      </x:c>
      <x:c r="S124" s="9" t="str">
        <x:v>https://poke.idleworld.online/pokepedia/pokemon/wobbuffet</x:v>
      </x:c>
    </x:row>
    <x:row r="125" ht="22" customHeight="1">
      <x:c r="A125" s="1" t="n">
        <x:v>121</x:v>
      </x:c>
      <x:c r="B125" s="1" t="n">
        <x:v>409</x:v>
      </x:c>
      <x:c r="C125" s="1" t="str">
        <x:v>Rampardos</x:v>
      </x:c>
      <x:c r="D125" s="1" t="str">
        <x:v>Pedra</x:v>
      </x:c>
      <x:c r="E125" s="1" t="str"/>
      <x:c r="F125" s="10" t="n">
        <x:v>165</x:v>
      </x:c>
      <x:c r="G125" s="10" t="n">
        <x:v>65</x:v>
      </x:c>
      <x:c r="H125" s="10" t="n">
        <x:f>MAX(F125:G125)</x:f>
        <x:v>165</x:v>
      </x:c>
      <x:c r="I125" s="1" t="str">
        <x:f>'Pokémon'!M340</x:f>
        <x:v>Física</x:v>
      </x:c>
      <x:c r="J125" s="1" t="str">
        <x:f>'Habilidades'!D3167</x:f>
        <x:v>Head Smash</x:v>
      </x:c>
      <x:c r="K125" s="1" t="str">
        <x:f>'Habilidades'!E3167</x:f>
        <x:v>Pedra</x:v>
      </x:c>
      <x:c r="L125" s="1" t="str">
        <x:f>'Habilidades'!F3167</x:f>
        <x:v>Física</x:v>
      </x:c>
      <x:c r="M125" s="10" t="n">
        <x:f>'Habilidades'!G3167</x:f>
        <x:v>150</x:v>
      </x:c>
      <x:c r="N125" s="10" t="n">
        <x:f>'Habilidades'!I3167</x:f>
        <x:v>315</x:v>
      </x:c>
      <x:c r="O125" s="1" t="str">
        <x:f>'Habilidades'!D3168&amp;" ("&amp;'Habilidades'!I3168&amp;")"</x:f>
        <x:v>Take Down (255)</x:v>
      </x:c>
      <x:c r="P125" s="1" t="str">
        <x:f>'Habilidades'!D3169&amp;" ("&amp;'Habilidades'!I3169&amp;")"</x:f>
        <x:v>Zen Headbutt (245)</x:v>
      </x:c>
      <x:c r="Q125" s="1" t="str">
        <x:f>'Habilidades'!D3170&amp;" ("&amp;'Habilidades'!I3170&amp;")"</x:f>
        <x:v>Headbutt (235)</x:v>
      </x:c>
      <x:c r="R125" s="1" t="str">
        <x:f>'Habilidades'!D3171&amp;" ("&amp;'Habilidades'!I3171&amp;")"</x:f>
        <x:v>Chip Away (235)</x:v>
      </x:c>
      <x:c r="S125" s="9" t="str">
        <x:v>https://poke.idleworld.online/pokepedia/pokemon/rampardos</x:v>
      </x:c>
    </x:row>
    <x:row r="126" ht="22" customHeight="1">
      <x:c r="A126" s="1" t="n">
        <x:v>122</x:v>
      </x:c>
      <x:c r="B126" s="1" t="n">
        <x:v>213</x:v>
      </x:c>
      <x:c r="C126" s="1" t="str">
        <x:v>Shuckle</x:v>
      </x:c>
      <x:c r="D126" s="1" t="str">
        <x:v>Inseto</x:v>
      </x:c>
      <x:c r="E126" s="1" t="str">
        <x:v>Pedra</x:v>
      </x:c>
      <x:c r="F126" s="10" t="n">
        <x:v>10</x:v>
      </x:c>
      <x:c r="G126" s="10" t="n">
        <x:v>10</x:v>
      </x:c>
      <x:c r="H126" s="10" t="n">
        <x:f>MAX(F126:G126)</x:f>
        <x:v>10</x:v>
      </x:c>
      <x:c r="I126" s="1" t="str">
        <x:f>'Pokémon'!M216</x:f>
        <x:v>Empate</x:v>
      </x:c>
      <x:c r="J126" s="1" t="str">
        <x:f>'Habilidades'!D1990</x:f>
        <x:v>Hive Crush</x:v>
      </x:c>
      <x:c r="K126" s="1" t="str">
        <x:f>'Habilidades'!E1990</x:f>
        <x:v>Inseto</x:v>
      </x:c>
      <x:c r="L126" s="1" t="str">
        <x:f>'Habilidades'!F1990</x:f>
        <x:v>Física</x:v>
      </x:c>
      <x:c r="M126" s="10" t="n">
        <x:f>'Habilidades'!G1990</x:f>
        <x:v>300</x:v>
      </x:c>
      <x:c r="N126" s="10" t="n">
        <x:f>'Habilidades'!I1990</x:f>
        <x:v>310</x:v>
      </x:c>
      <x:c r="O126" s="1" t="str">
        <x:f>'Habilidades'!D1991&amp;" ("&amp;'Habilidades'!I1991&amp;")"</x:f>
        <x:v>Stone Edge (110)</x:v>
      </x:c>
      <x:c r="P126" s="1" t="str">
        <x:f>'Habilidades'!D1992&amp;" ("&amp;'Habilidades'!I1992&amp;")"</x:f>
        <x:v>Rock Slide (85)</x:v>
      </x:c>
      <x:c r="Q126" s="1" t="str">
        <x:f>'Habilidades'!D1993&amp;" ("&amp;'Habilidades'!I1993&amp;")"</x:f>
        <x:v>Bug Bite (70)</x:v>
      </x:c>
      <x:c r="R126" s="1" t="str">
        <x:f>'Habilidades'!D1994&amp;" ("&amp;'Habilidades'!I1994&amp;")"</x:f>
        <x:v>Struggle Bug (60)</x:v>
      </x:c>
      <x:c r="S126" s="9" t="str">
        <x:v>https://poke.idleworld.online/pokepedia/pokemon/shuckle</x:v>
      </x:c>
    </x:row>
    <x:row r="127" ht="22" customHeight="1">
      <x:c r="A127" s="1" t="n">
        <x:v>123</x:v>
      </x:c>
      <x:c r="B127" s="1" t="n">
        <x:v>464</x:v>
      </x:c>
      <x:c r="C127" s="1" t="str">
        <x:v>Rhyperior</x:v>
      </x:c>
      <x:c r="D127" s="1" t="str">
        <x:v>Terrestre</x:v>
      </x:c>
      <x:c r="E127" s="1" t="str">
        <x:v>Pedra</x:v>
      </x:c>
      <x:c r="F127" s="10" t="n">
        <x:v>140</x:v>
      </x:c>
      <x:c r="G127" s="10" t="n">
        <x:v>55</x:v>
      </x:c>
      <x:c r="H127" s="10" t="n">
        <x:f>MAX(F127:G127)</x:f>
        <x:v>140</x:v>
      </x:c>
      <x:c r="I127" s="1" t="str">
        <x:f>'Pokémon'!M356</x:f>
        <x:v>Física</x:v>
      </x:c>
      <x:c r="J127" s="1" t="str">
        <x:f>'Habilidades'!D3291</x:f>
        <x:v>Rock Wrecker</x:v>
      </x:c>
      <x:c r="K127" s="1" t="str">
        <x:f>'Habilidades'!E3291</x:f>
        <x:v>Pedra</x:v>
      </x:c>
      <x:c r="L127" s="1" t="str">
        <x:f>'Habilidades'!F3291</x:f>
        <x:v>Física</x:v>
      </x:c>
      <x:c r="M127" s="10" t="n">
        <x:f>'Habilidades'!G3291</x:f>
        <x:v>150</x:v>
      </x:c>
      <x:c r="N127" s="10" t="n">
        <x:f>'Habilidades'!I3291</x:f>
        <x:v>290</x:v>
      </x:c>
      <x:c r="O127" s="1" t="str">
        <x:f>'Habilidades'!D3292&amp;" ("&amp;'Habilidades'!I3292&amp;")"</x:f>
        <x:v>Megahorn (260)</x:v>
      </x:c>
      <x:c r="P127" s="1" t="str">
        <x:f>'Habilidades'!D3293&amp;" ("&amp;'Habilidades'!I3293&amp;")"</x:f>
        <x:v>Stone Edge (240)</x:v>
      </x:c>
      <x:c r="Q127" s="1" t="str">
        <x:f>'Habilidades'!D3294&amp;" ("&amp;'Habilidades'!I3294&amp;")"</x:f>
        <x:v>Hammer Arm (240)</x:v>
      </x:c>
      <x:c r="R127" s="1" t="str">
        <x:f>'Habilidades'!D3295&amp;" ("&amp;'Habilidades'!I3295&amp;")"</x:f>
        <x:v>Earthquake (240)</x:v>
      </x:c>
      <x:c r="S127" s="9" t="str">
        <x:v>https://poke.idleworld.online/pokepedia/pokemon/rhyperior</x:v>
      </x:c>
    </x:row>
    <x:row r="128" ht="22" customHeight="1">
      <x:c r="A128" s="1" t="n">
        <x:v>124</x:v>
      </x:c>
      <x:c r="B128" s="1" t="n">
        <x:v>408</x:v>
      </x:c>
      <x:c r="C128" s="1" t="str">
        <x:v>Cranidos</x:v>
      </x:c>
      <x:c r="D128" s="1" t="str">
        <x:v>Pedra</x:v>
      </x:c>
      <x:c r="E128" s="1" t="str"/>
      <x:c r="F128" s="10" t="n">
        <x:v>125</x:v>
      </x:c>
      <x:c r="G128" s="10" t="n">
        <x:v>30</x:v>
      </x:c>
      <x:c r="H128" s="10" t="n">
        <x:f>MAX(F128:G128)</x:f>
        <x:v>125</x:v>
      </x:c>
      <x:c r="I128" s="1" t="str">
        <x:f>'Pokémon'!M339</x:f>
        <x:v>Física</x:v>
      </x:c>
      <x:c r="J128" s="1" t="str">
        <x:f>'Habilidades'!D3159</x:f>
        <x:v>Head Smash</x:v>
      </x:c>
      <x:c r="K128" s="1" t="str">
        <x:f>'Habilidades'!E3159</x:f>
        <x:v>Pedra</x:v>
      </x:c>
      <x:c r="L128" s="1" t="str">
        <x:f>'Habilidades'!F3159</x:f>
        <x:v>Física</x:v>
      </x:c>
      <x:c r="M128" s="10" t="n">
        <x:f>'Habilidades'!G3159</x:f>
        <x:v>150</x:v>
      </x:c>
      <x:c r="N128" s="10" t="n">
        <x:f>'Habilidades'!I3159</x:f>
        <x:v>275</x:v>
      </x:c>
      <x:c r="O128" s="1" t="str">
        <x:f>'Habilidades'!D3160&amp;" ("&amp;'Habilidades'!I3160&amp;")"</x:f>
        <x:v>Take Down (215)</x:v>
      </x:c>
      <x:c r="P128" s="1" t="str">
        <x:f>'Habilidades'!D3161&amp;" ("&amp;'Habilidades'!I3161&amp;")"</x:f>
        <x:v>Zen Headbutt (205)</x:v>
      </x:c>
      <x:c r="Q128" s="1" t="str">
        <x:f>'Habilidades'!D3162&amp;" ("&amp;'Habilidades'!I3162&amp;")"</x:f>
        <x:v>Headbutt (195)</x:v>
      </x:c>
      <x:c r="R128" s="1" t="str">
        <x:f>'Habilidades'!D3163&amp;" ("&amp;'Habilidades'!I3163&amp;")"</x:f>
        <x:v>Chip Away (195)</x:v>
      </x:c>
      <x:c r="S128" s="9" t="str">
        <x:v>https://poke.idleworld.online/pokepedia/pokemon/cranidos</x:v>
      </x:c>
    </x:row>
    <x:row r="129" ht="22" customHeight="1">
      <x:c r="A129" s="1" t="n">
        <x:v>124</x:v>
      </x:c>
      <x:c r="B129" s="1" t="n">
        <x:v>467</x:v>
      </x:c>
      <x:c r="C129" s="1" t="str">
        <x:v>Magmortar</x:v>
      </x:c>
      <x:c r="D129" s="1" t="str">
        <x:v>Fogo</x:v>
      </x:c>
      <x:c r="E129" s="1" t="str"/>
      <x:c r="F129" s="10" t="n">
        <x:v>95</x:v>
      </x:c>
      <x:c r="G129" s="10" t="n">
        <x:v>125</x:v>
      </x:c>
      <x:c r="H129" s="10" t="n">
        <x:f>MAX(F129:G129)</x:f>
        <x:v>125</x:v>
      </x:c>
      <x:c r="I129" s="1" t="str">
        <x:f>'Pokémon'!M359</x:f>
        <x:v>Especial</x:v>
      </x:c>
      <x:c r="J129" s="1" t="str">
        <x:f>'Habilidades'!D3327</x:f>
        <x:v>Hyper Beam</x:v>
      </x:c>
      <x:c r="K129" s="1" t="str">
        <x:f>'Habilidades'!E3327</x:f>
        <x:v>Normal</x:v>
      </x:c>
      <x:c r="L129" s="1" t="str">
        <x:f>'Habilidades'!F3327</x:f>
        <x:v>Especial</x:v>
      </x:c>
      <x:c r="M129" s="10" t="n">
        <x:f>'Habilidades'!G3327</x:f>
        <x:v>150</x:v>
      </x:c>
      <x:c r="N129" s="10" t="n">
        <x:f>'Habilidades'!I3327</x:f>
        <x:v>275</x:v>
      </x:c>
      <x:c r="O129" s="1" t="str">
        <x:f>'Habilidades'!D3328&amp;" ("&amp;'Habilidades'!I3328&amp;")"</x:f>
        <x:v>Fire Blast (235)</x:v>
      </x:c>
      <x:c r="P129" s="1" t="str">
        <x:f>'Habilidades'!D3329&amp;" ("&amp;'Habilidades'!I3329&amp;")"</x:f>
        <x:v>Flamethrower (215)</x:v>
      </x:c>
      <x:c r="Q129" s="1" t="str">
        <x:f>'Habilidades'!D3330&amp;" ("&amp;'Habilidades'!I3330&amp;")"</x:f>
        <x:v>Lava Plume (205)</x:v>
      </x:c>
      <x:c r="R129" s="1" t="str">
        <x:f>'Habilidades'!D3331&amp;" ("&amp;'Habilidades'!I3331&amp;")"</x:f>
        <x:v>Flame Burst (195)</x:v>
      </x:c>
      <x:c r="S129" s="9" t="str">
        <x:v>https://poke.idleworld.online/pokepedia/pokemon/magmortar</x:v>
      </x:c>
    </x:row>
    <x:row r="130" ht="22" customHeight="1">
      <x:c r="A130" s="1" t="n">
        <x:v>126</x:v>
      </x:c>
      <x:c r="B130" s="1" t="n">
        <x:v>466</x:v>
      </x:c>
      <x:c r="C130" s="1" t="str">
        <x:v>Electivire</x:v>
      </x:c>
      <x:c r="D130" s="1" t="str">
        <x:v>Elétrico</x:v>
      </x:c>
      <x:c r="E130" s="1" t="str"/>
      <x:c r="F130" s="10" t="n">
        <x:v>123</x:v>
      </x:c>
      <x:c r="G130" s="10" t="n">
        <x:v>95</x:v>
      </x:c>
      <x:c r="H130" s="10" t="n">
        <x:f>MAX(F130:G130)</x:f>
        <x:v>123</x:v>
      </x:c>
      <x:c r="I130" s="1" t="str">
        <x:f>'Pokémon'!M358</x:f>
        <x:v>Física</x:v>
      </x:c>
      <x:c r="J130" s="1" t="str">
        <x:f>'Habilidades'!D3316</x:f>
        <x:v>Giga Impact</x:v>
      </x:c>
      <x:c r="K130" s="1" t="str">
        <x:f>'Habilidades'!E3316</x:f>
        <x:v>Normal</x:v>
      </x:c>
      <x:c r="L130" s="1" t="str">
        <x:f>'Habilidades'!F3316</x:f>
        <x:v>Física</x:v>
      </x:c>
      <x:c r="M130" s="10" t="n">
        <x:f>'Habilidades'!G3316</x:f>
        <x:v>150</x:v>
      </x:c>
      <x:c r="N130" s="10" t="n">
        <x:f>'Habilidades'!I3316</x:f>
        <x:v>273</x:v>
      </x:c>
      <x:c r="O130" s="1" t="str">
        <x:f>'Habilidades'!D3317&amp;" ("&amp;'Habilidades'!I3317&amp;")"</x:f>
        <x:v>Thunder (205)</x:v>
      </x:c>
      <x:c r="P130" s="1" t="str">
        <x:f>'Habilidades'!D3318&amp;" ("&amp;'Habilidades'!I3318&amp;")"</x:f>
        <x:v>Fire Punch (198)</x:v>
      </x:c>
      <x:c r="Q130" s="1" t="str">
        <x:f>'Habilidades'!D3319&amp;" ("&amp;'Habilidades'!I3319&amp;")"</x:f>
        <x:v>Thunder Punch (198)</x:v>
      </x:c>
      <x:c r="R130" s="1" t="str">
        <x:f>'Habilidades'!D3320&amp;" ("&amp;'Habilidades'!I3320&amp;")"</x:f>
        <x:v>Low Kick (195)</x:v>
      </x:c>
      <x:c r="S130" s="9" t="str">
        <x:v>https://poke.idleworld.online/pokepedia/pokemon/electivire</x:v>
      </x:c>
    </x:row>
    <x:row r="131" ht="22" customHeight="1">
      <x:c r="A131" s="1" t="n">
        <x:v>127</x:v>
      </x:c>
      <x:c r="B131" s="1" t="n">
        <x:v>289</x:v>
      </x:c>
      <x:c r="C131" s="1" t="str">
        <x:v>Slaking</x:v>
      </x:c>
      <x:c r="D131" s="1" t="str">
        <x:v>Normal</x:v>
      </x:c>
      <x:c r="E131" s="1" t="str"/>
      <x:c r="F131" s="10" t="n">
        <x:v>160</x:v>
      </x:c>
      <x:c r="G131" s="10" t="n">
        <x:v>95</x:v>
      </x:c>
      <x:c r="H131" s="10" t="n">
        <x:f>MAX(F131:G131)</x:f>
        <x:v>160</x:v>
      </x:c>
      <x:c r="I131" s="1" t="str">
        <x:f>'Pokémon'!M281</x:f>
        <x:v>Física</x:v>
      </x:c>
      <x:c r="J131" s="1" t="str">
        <x:f>'Habilidades'!D2571</x:f>
        <x:v>Hammer Arm</x:v>
      </x:c>
      <x:c r="K131" s="1" t="str">
        <x:f>'Habilidades'!E2571</x:f>
        <x:v>Lutador</x:v>
      </x:c>
      <x:c r="L131" s="1" t="str">
        <x:f>'Habilidades'!F2571</x:f>
        <x:v>Física</x:v>
      </x:c>
      <x:c r="M131" s="10" t="n">
        <x:f>'Habilidades'!G2571</x:f>
        <x:v>100</x:v>
      </x:c>
      <x:c r="N131" s="10" t="n">
        <x:f>'Habilidades'!I2571</x:f>
        <x:v>260</x:v>
      </x:c>
      <x:c r="O131" s="1" t="str">
        <x:f>'Habilidades'!D2572&amp;" ("&amp;'Habilidades'!I2572&amp;")"</x:f>
        <x:v>Chip Away (230)</x:v>
      </x:c>
      <x:c r="P131" s="1" t="str">
        <x:f>'Habilidades'!D2573&amp;" ("&amp;'Habilidades'!I2573&amp;")"</x:f>
        <x:v>Feint Attack (220)</x:v>
      </x:c>
      <x:c r="Q131" s="1" t="str">
        <x:f>'Habilidades'!D2574&amp;" ("&amp;'Habilidades'!I2574&amp;")"</x:f>
        <x:v>Covet (220)</x:v>
      </x:c>
      <x:c r="R131" s="1" t="str">
        <x:f>'Habilidades'!D2575&amp;" ("&amp;'Habilidades'!I2575&amp;")"</x:f>
        <x:v>Scratch (200)</x:v>
      </x:c>
      <x:c r="S131" s="9" t="str">
        <x:v>https://poke.idleworld.online/pokepedia/pokemon/slaking</x:v>
      </x:c>
    </x:row>
    <x:row r="132" ht="22" customHeight="1">
      <x:c r="A132" s="1" t="n">
        <x:v>127</x:v>
      </x:c>
      <x:c r="B132" s="1" t="n">
        <x:v>567</x:v>
      </x:c>
      <x:c r="C132" s="1" t="str">
        <x:v>Archeops</x:v>
      </x:c>
      <x:c r="D132" s="1" t="str">
        <x:v>Pedra</x:v>
      </x:c>
      <x:c r="E132" s="1" t="str">
        <x:v>Voador</x:v>
      </x:c>
      <x:c r="F132" s="10" t="n">
        <x:v>140</x:v>
      </x:c>
      <x:c r="G132" s="10" t="n">
        <x:v>112</x:v>
      </x:c>
      <x:c r="H132" s="10" t="n">
        <x:f>MAX(F132:G132)</x:f>
        <x:v>140</x:v>
      </x:c>
      <x:c r="I132" s="1" t="str">
        <x:f>'Pokémon'!M376</x:f>
        <x:v>Física</x:v>
      </x:c>
      <x:c r="J132" s="1" t="str">
        <x:f>'Habilidades'!D3476</x:f>
        <x:v>Thrash</x:v>
      </x:c>
      <x:c r="K132" s="1" t="str">
        <x:f>'Habilidades'!E3476</x:f>
        <x:v>Normal</x:v>
      </x:c>
      <x:c r="L132" s="1" t="str">
        <x:f>'Habilidades'!F3476</x:f>
        <x:v>Física</x:v>
      </x:c>
      <x:c r="M132" s="10" t="n">
        <x:f>'Habilidades'!G3476</x:f>
        <x:v>120</x:v>
      </x:c>
      <x:c r="N132" s="10" t="n">
        <x:f>'Habilidades'!I3476</x:f>
        <x:v>260</x:v>
      </x:c>
      <x:c r="O132" s="1" t="str">
        <x:f>'Habilidades'!D3477&amp;" ("&amp;'Habilidades'!I3477&amp;")"</x:f>
        <x:v>Crunch (220)</x:v>
      </x:c>
      <x:c r="P132" s="1" t="str">
        <x:f>'Habilidades'!D3478&amp;" ("&amp;'Habilidades'!I3478&amp;")"</x:f>
        <x:v>Dragon Claw (220)</x:v>
      </x:c>
      <x:c r="Q132" s="1" t="str">
        <x:f>'Habilidades'!D3479&amp;" ("&amp;'Habilidades'!I3479&amp;")"</x:f>
        <x:v>Rock Slide (215)</x:v>
      </x:c>
      <x:c r="R132" s="1" t="str">
        <x:f>'Habilidades'!D3480&amp;" ("&amp;'Habilidades'!I3480&amp;")"</x:f>
        <x:v>U-turn (210)</x:v>
      </x:c>
      <x:c r="S132" s="9" t="str">
        <x:v>https://poke.idleworld.online/pokepedia/pokemon/archeops</x:v>
      </x:c>
    </x:row>
    <x:row r="133" ht="22" customHeight="1">
      <x:c r="A133" s="1" t="n">
        <x:v>127</x:v>
      </x:c>
      <x:c r="B133" s="1" t="n">
        <x:v>143</x:v>
      </x:c>
      <x:c r="C133" s="1" t="str">
        <x:v>Snorlax</x:v>
      </x:c>
      <x:c r="D133" s="1" t="str">
        <x:v>Normal</x:v>
      </x:c>
      <x:c r="E133" s="1" t="str"/>
      <x:c r="F133" s="10" t="n">
        <x:v>110</x:v>
      </x:c>
      <x:c r="G133" s="10" t="n">
        <x:v>65</x:v>
      </x:c>
      <x:c r="H133" s="10" t="n">
        <x:f>MAX(F133:G133)</x:f>
        <x:v>110</x:v>
      </x:c>
      <x:c r="I133" s="1" t="str">
        <x:f>'Pokémon'!M147</x:f>
        <x:v>Física</x:v>
      </x:c>
      <x:c r="J133" s="1" t="str">
        <x:f>'Habilidades'!D1369</x:f>
        <x:v>Giga Impact</x:v>
      </x:c>
      <x:c r="K133" s="1" t="str">
        <x:f>'Habilidades'!E1369</x:f>
        <x:v>Normal</x:v>
      </x:c>
      <x:c r="L133" s="1" t="str">
        <x:f>'Habilidades'!F1369</x:f>
        <x:v>Física</x:v>
      </x:c>
      <x:c r="M133" s="10" t="n">
        <x:f>'Habilidades'!G1369</x:f>
        <x:v>150</x:v>
      </x:c>
      <x:c r="N133" s="10" t="n">
        <x:f>'Habilidades'!I1369</x:f>
        <x:v>260</x:v>
      </x:c>
      <x:c r="O133" s="1" t="str">
        <x:f>'Habilidades'!D1370&amp;" ("&amp;'Habilidades'!I1370&amp;")"</x:f>
        <x:v>Body Slam (195)</x:v>
      </x:c>
      <x:c r="P133" s="1" t="str">
        <x:f>'Habilidades'!D1371&amp;" ("&amp;'Habilidades'!I1371&amp;")"</x:f>
        <x:v>Crunch (190)</x:v>
      </x:c>
      <x:c r="Q133" s="1" t="str">
        <x:f>'Habilidades'!D1372&amp;" ("&amp;'Habilidades'!I1372&amp;")"</x:f>
        <x:v>Chip Away (180)</x:v>
      </x:c>
      <x:c r="R133" s="1" t="str">
        <x:f>'Habilidades'!D1373&amp;" ("&amp;'Habilidades'!I1373&amp;")"</x:f>
        <x:v>Tackle (160)</x:v>
      </x:c>
      <x:c r="S133" s="9" t="str">
        <x:v>https://poke.idleworld.online/pokepedia/pokemon/snorlax</x:v>
      </x:c>
    </x:row>
    <x:row r="134" ht="22" customHeight="1">
      <x:c r="A134" s="1" t="n">
        <x:v>130</x:v>
      </x:c>
      <x:c r="B134" s="1" t="n">
        <x:v>373</x:v>
      </x:c>
      <x:c r="C134" s="1" t="str">
        <x:v>Salamence</x:v>
      </x:c>
      <x:c r="D134" s="1" t="str">
        <x:v>Dragão</x:v>
      </x:c>
      <x:c r="E134" s="1" t="str">
        <x:v>Voador</x:v>
      </x:c>
      <x:c r="F134" s="10" t="n">
        <x:v>135</x:v>
      </x:c>
      <x:c r="G134" s="10" t="n">
        <x:v>110</x:v>
      </x:c>
      <x:c r="H134" s="10" t="n">
        <x:f>MAX(F134:G134)</x:f>
        <x:v>135</x:v>
      </x:c>
      <x:c r="I134" s="1" t="str">
        <x:f>'Pokémon'!M333</x:f>
        <x:v>Física</x:v>
      </x:c>
      <x:c r="J134" s="1" t="str">
        <x:f>'Habilidades'!D3108</x:f>
        <x:v>Double-Edge</x:v>
      </x:c>
      <x:c r="K134" s="1" t="str">
        <x:f>'Habilidades'!E3108</x:f>
        <x:v>Normal</x:v>
      </x:c>
      <x:c r="L134" s="1" t="str">
        <x:f>'Habilidades'!F3108</x:f>
        <x:v>Física</x:v>
      </x:c>
      <x:c r="M134" s="10" t="n">
        <x:f>'Habilidades'!G3108</x:f>
        <x:v>120</x:v>
      </x:c>
      <x:c r="N134" s="10" t="n">
        <x:f>'Habilidades'!I3108</x:f>
        <x:v>255</x:v>
      </x:c>
      <x:c r="O134" s="1" t="str">
        <x:f>'Habilidades'!D3109&amp;" ("&amp;'Habilidades'!I3109&amp;")"</x:f>
        <x:v>Fly (225)</x:v>
      </x:c>
      <x:c r="P134" s="1" t="str">
        <x:f>'Habilidades'!D3110&amp;" ("&amp;'Habilidades'!I3110&amp;")"</x:f>
        <x:v>Crunch (215)</x:v>
      </x:c>
      <x:c r="Q134" s="1" t="str">
        <x:f>'Habilidades'!D3111&amp;" ("&amp;'Habilidades'!I3111&amp;")"</x:f>
        <x:v>Dragon Claw (215)</x:v>
      </x:c>
      <x:c r="R134" s="1" t="str">
        <x:f>'Habilidades'!D3112&amp;" ("&amp;'Habilidades'!I3112&amp;")"</x:f>
        <x:v>Zen Headbutt (215)</x:v>
      </x:c>
      <x:c r="S134" s="9" t="str">
        <x:v>https://poke.idleworld.online/pokepedia/pokemon/salamence</x:v>
      </x:c>
    </x:row>
    <x:row r="135" ht="22" customHeight="1">
      <x:c r="A135" s="1" t="n">
        <x:v>130</x:v>
      </x:c>
      <x:c r="B135" s="1" t="n">
        <x:v>865</x:v>
      </x:c>
      <x:c r="C135" s="1" t="str">
        <x:v>Sirfetch'd</x:v>
      </x:c>
      <x:c r="D135" s="1" t="str">
        <x:v>Lutador</x:v>
      </x:c>
      <x:c r="E135" s="1" t="str"/>
      <x:c r="F135" s="10" t="n">
        <x:v>135</x:v>
      </x:c>
      <x:c r="G135" s="10" t="n">
        <x:v>68</x:v>
      </x:c>
      <x:c r="H135" s="10" t="n">
        <x:f>MAX(F135:G135)</x:f>
        <x:v>135</x:v>
      </x:c>
      <x:c r="I135" s="1" t="str">
        <x:f>'Pokémon'!M413</x:f>
        <x:v>Física</x:v>
      </x:c>
      <x:c r="J135" s="1" t="str">
        <x:f>'Habilidades'!D3793</x:f>
        <x:v>Superpower</x:v>
      </x:c>
      <x:c r="K135" s="1" t="str">
        <x:f>'Habilidades'!E3793</x:f>
        <x:v>Lutador</x:v>
      </x:c>
      <x:c r="L135" s="1" t="str">
        <x:f>'Habilidades'!F3793</x:f>
        <x:v>Física</x:v>
      </x:c>
      <x:c r="M135" s="10" t="n">
        <x:f>'Habilidades'!G3793</x:f>
        <x:v>120</x:v>
      </x:c>
      <x:c r="N135" s="10" t="n">
        <x:f>'Habilidades'!I3793</x:f>
        <x:v>255</x:v>
      </x:c>
      <x:c r="O135" s="1" t="str">
        <x:f>'Habilidades'!D3794&amp;" ("&amp;'Habilidades'!I3794&amp;")"</x:f>
        <x:v>Karate Chop (185)</x:v>
      </x:c>
      <x:c r="P135" s="1" t="str">
        <x:f>'Habilidades'!D3795&amp;" ("&amp;'Habilidades'!I3795&amp;")"</x:f>
        <x:v>Peck (170)</x:v>
      </x:c>
      <x:c r="Q135" s="1" t="str">
        <x:f>""</x:f>
      </x:c>
      <x:c r="R135" s="1" t="str">
        <x:f>""</x:f>
      </x:c>
      <x:c r="S135" s="9" t="str">
        <x:v>https://poke.idleworld.online/pokepedia/pokemon/sirfetchd</x:v>
      </x:c>
    </x:row>
    <x:row r="136" ht="22" customHeight="1">
      <x:c r="A136" s="1" t="n">
        <x:v>130</x:v>
      </x:c>
      <x:c r="B136" s="1" t="n">
        <x:v>233</x:v>
      </x:c>
      <x:c r="C136" s="1" t="str">
        <x:v>Porygon2</x:v>
      </x:c>
      <x:c r="D136" s="1" t="str">
        <x:v>Normal</x:v>
      </x:c>
      <x:c r="E136" s="1" t="str"/>
      <x:c r="F136" s="10" t="n">
        <x:v>80</x:v>
      </x:c>
      <x:c r="G136" s="10" t="n">
        <x:v>105</x:v>
      </x:c>
      <x:c r="H136" s="10" t="n">
        <x:f>MAX(F136:G136)</x:f>
        <x:v>105</x:v>
      </x:c>
      <x:c r="I136" s="1" t="str">
        <x:f>'Pokémon'!M236</x:f>
        <x:v>Especial</x:v>
      </x:c>
      <x:c r="J136" s="1" t="str">
        <x:f>'Habilidades'!D2196</x:f>
        <x:v>Hyper Beam</x:v>
      </x:c>
      <x:c r="K136" s="1" t="str">
        <x:f>'Habilidades'!E2196</x:f>
        <x:v>Normal</x:v>
      </x:c>
      <x:c r="L136" s="1" t="str">
        <x:f>'Habilidades'!F2196</x:f>
        <x:v>Especial</x:v>
      </x:c>
      <x:c r="M136" s="10" t="n">
        <x:f>'Habilidades'!G2196</x:f>
        <x:v>150</x:v>
      </x:c>
      <x:c r="N136" s="10" t="n">
        <x:f>'Habilidades'!I2196</x:f>
        <x:v>255</x:v>
      </x:c>
      <x:c r="O136" s="1" t="str">
        <x:f>'Habilidades'!D2197&amp;" ("&amp;'Habilidades'!I2197&amp;")"</x:f>
        <x:v>Zap Cannon (225)</x:v>
      </x:c>
      <x:c r="P136" s="1" t="str">
        <x:f>'Habilidades'!D2198&amp;" ("&amp;'Habilidades'!I2198&amp;")"</x:f>
        <x:v>Discharge (185)</x:v>
      </x:c>
      <x:c r="Q136" s="1" t="str">
        <x:f>'Habilidades'!D2199&amp;" ("&amp;'Habilidades'!I2199&amp;")"</x:f>
        <x:v>Tri Attack (185)</x:v>
      </x:c>
      <x:c r="R136" s="1" t="str">
        <x:f>'Habilidades'!D2200&amp;" ("&amp;'Habilidades'!I2200&amp;")"</x:f>
        <x:v>Signal Beam (180)</x:v>
      </x:c>
      <x:c r="S136" s="9" t="str">
        <x:v>https://poke.idleworld.online/pokepedia/pokemon/porygon2</x:v>
      </x:c>
    </x:row>
    <x:row r="137" ht="22" customHeight="1">
      <x:c r="A137" s="1" t="n">
        <x:v>130</x:v>
      </x:c>
      <x:c r="B137" s="1" t="n">
        <x:v>323</x:v>
      </x:c>
      <x:c r="C137" s="1" t="str">
        <x:v>Camerupt</x:v>
      </x:c>
      <x:c r="D137" s="1" t="str">
        <x:v>Fogo</x:v>
      </x:c>
      <x:c r="E137" s="1" t="str">
        <x:v>Terrestre</x:v>
      </x:c>
      <x:c r="F137" s="10" t="n">
        <x:v>100</x:v>
      </x:c>
      <x:c r="G137" s="10" t="n">
        <x:v>105</x:v>
      </x:c>
      <x:c r="H137" s="10" t="n">
        <x:f>MAX(F137:G137)</x:f>
        <x:v>105</x:v>
      </x:c>
      <x:c r="I137" s="1" t="str">
        <x:f>'Pokémon'!M298</x:f>
        <x:v>Especial</x:v>
      </x:c>
      <x:c r="J137" s="1" t="str">
        <x:f>'Habilidades'!D2738</x:f>
        <x:v>Eruption</x:v>
      </x:c>
      <x:c r="K137" s="1" t="str">
        <x:f>'Habilidades'!E2738</x:f>
        <x:v>Fogo</x:v>
      </x:c>
      <x:c r="L137" s="1" t="str">
        <x:f>'Habilidades'!F2738</x:f>
        <x:v>Especial</x:v>
      </x:c>
      <x:c r="M137" s="10" t="n">
        <x:f>'Habilidades'!G2738</x:f>
        <x:v>150</x:v>
      </x:c>
      <x:c r="N137" s="10" t="n">
        <x:f>'Habilidades'!I2738</x:f>
        <x:v>255</x:v>
      </x:c>
      <x:c r="O137" s="1" t="str">
        <x:f>'Habilidades'!D2739&amp;" ("&amp;'Habilidades'!I2739&amp;")"</x:f>
        <x:v>Earthquake (200)</x:v>
      </x:c>
      <x:c r="P137" s="1" t="str">
        <x:f>'Habilidades'!D2740&amp;" ("&amp;'Habilidades'!I2740&amp;")"</x:f>
        <x:v>Earth Power (195)</x:v>
      </x:c>
      <x:c r="Q137" s="1" t="str">
        <x:f>'Habilidades'!D2741&amp;" ("&amp;'Habilidades'!I2741&amp;")"</x:f>
        <x:v>Take Down (190)</x:v>
      </x:c>
      <x:c r="R137" s="1" t="str">
        <x:f>'Habilidades'!D2742&amp;" ("&amp;'Habilidades'!I2742&amp;")"</x:f>
        <x:v>Lava Plume (185)</x:v>
      </x:c>
      <x:c r="S137" s="9" t="str">
        <x:v>https://poke.idleworld.online/pokepedia/pokemon/camerupt</x:v>
      </x:c>
    </x:row>
    <x:row r="138" ht="22" customHeight="1">
      <x:c r="A138" s="1" t="n">
        <x:v>134</x:v>
      </x:c>
      <x:c r="B138" s="1" t="n">
        <x:v>217</x:v>
      </x:c>
      <x:c r="C138" s="1" t="str">
        <x:v>Ursaring</x:v>
      </x:c>
      <x:c r="D138" s="1" t="str">
        <x:v>Normal</x:v>
      </x:c>
      <x:c r="E138" s="1" t="str"/>
      <x:c r="F138" s="10" t="n">
        <x:v>130</x:v>
      </x:c>
      <x:c r="G138" s="10" t="n">
        <x:v>75</x:v>
      </x:c>
      <x:c r="H138" s="10" t="n">
        <x:f>MAX(F138:G138)</x:f>
        <x:v>130</x:v>
      </x:c>
      <x:c r="I138" s="1" t="str">
        <x:f>'Pokémon'!M220</x:f>
        <x:v>Física</x:v>
      </x:c>
      <x:c r="J138" s="1" t="str">
        <x:f>'Habilidades'!D2030</x:f>
        <x:v>Thrash</x:v>
      </x:c>
      <x:c r="K138" s="1" t="str">
        <x:f>'Habilidades'!E2030</x:f>
        <x:v>Normal</x:v>
      </x:c>
      <x:c r="L138" s="1" t="str">
        <x:f>'Habilidades'!F2030</x:f>
        <x:v>Física</x:v>
      </x:c>
      <x:c r="M138" s="10" t="n">
        <x:f>'Habilidades'!G2030</x:f>
        <x:v>120</x:v>
      </x:c>
      <x:c r="N138" s="10" t="n">
        <x:f>'Habilidades'!I2030</x:f>
        <x:v>250</x:v>
      </x:c>
      <x:c r="O138" s="1" t="str">
        <x:f>'Habilidades'!D2031&amp;" ("&amp;'Habilidades'!I2031&amp;")"</x:f>
        <x:v>Hammer Arm (230)</x:v>
      </x:c>
      <x:c r="P138" s="1" t="str">
        <x:f>'Habilidades'!D2032&amp;" ("&amp;'Habilidades'!I2032&amp;")"</x:f>
        <x:v>Slash (200)</x:v>
      </x:c>
      <x:c r="Q138" s="1" t="str">
        <x:f>'Habilidades'!D2033&amp;" ("&amp;'Habilidades'!I2033&amp;")"</x:f>
        <x:v>Covet (190)</x:v>
      </x:c>
      <x:c r="R138" s="1" t="str">
        <x:f>'Habilidades'!D2034&amp;" ("&amp;'Habilidades'!I2034&amp;")"</x:f>
        <x:v>Feint Attack (190)</x:v>
      </x:c>
      <x:c r="S138" s="9" t="str">
        <x:v>https://poke.idleworld.online/pokepedia/pokemon/ursaring</x:v>
      </x:c>
    </x:row>
    <x:row r="139" ht="22" customHeight="1">
      <x:c r="A139" s="1" t="n">
        <x:v>134</x:v>
      </x:c>
      <x:c r="B139" s="1" t="n">
        <x:v>462</x:v>
      </x:c>
      <x:c r="C139" s="1" t="str">
        <x:v>Magnezone</x:v>
      </x:c>
      <x:c r="D139" s="1" t="str">
        <x:v>Elétrico</x:v>
      </x:c>
      <x:c r="E139" s="1" t="str">
        <x:v>Aço</x:v>
      </x:c>
      <x:c r="F139" s="10" t="n">
        <x:v>70</x:v>
      </x:c>
      <x:c r="G139" s="10" t="n">
        <x:v>130</x:v>
      </x:c>
      <x:c r="H139" s="10" t="n">
        <x:f>MAX(F139:G139)</x:f>
        <x:v>130</x:v>
      </x:c>
      <x:c r="I139" s="1" t="str">
        <x:f>'Pokémon'!M355</x:f>
        <x:v>Especial</x:v>
      </x:c>
      <x:c r="J139" s="1" t="str">
        <x:f>'Habilidades'!D3282</x:f>
        <x:v>Zap Cannon</x:v>
      </x:c>
      <x:c r="K139" s="1" t="str">
        <x:f>'Habilidades'!E3282</x:f>
        <x:v>Elétrico</x:v>
      </x:c>
      <x:c r="L139" s="1" t="str">
        <x:f>'Habilidades'!F3282</x:f>
        <x:v>Especial</x:v>
      </x:c>
      <x:c r="M139" s="10" t="n">
        <x:f>'Habilidades'!G3282</x:f>
        <x:v>120</x:v>
      </x:c>
      <x:c r="N139" s="10" t="n">
        <x:f>'Habilidades'!I3282</x:f>
        <x:v>250</x:v>
      </x:c>
      <x:c r="O139" s="1" t="str">
        <x:f>'Habilidades'!D3283&amp;" ("&amp;'Habilidades'!I3283&amp;")"</x:f>
        <x:v>Flash Cannon (210)</x:v>
      </x:c>
      <x:c r="P139" s="1" t="str">
        <x:f>'Habilidades'!D3284&amp;" ("&amp;'Habilidades'!I3284&amp;")"</x:f>
        <x:v>Discharge (210)</x:v>
      </x:c>
      <x:c r="Q139" s="1" t="str">
        <x:f>'Habilidades'!D3285&amp;" ("&amp;'Habilidades'!I3285&amp;")"</x:f>
        <x:v>Mirror Shot (195)</x:v>
      </x:c>
      <x:c r="R139" s="1" t="str">
        <x:f>'Habilidades'!D3286&amp;" ("&amp;'Habilidades'!I3286&amp;")"</x:f>
        <x:v>Thunder Shock (170)</x:v>
      </x:c>
      <x:c r="S139" s="9" t="str">
        <x:v>https://poke.idleworld.online/pokepedia/pokemon/magnezone</x:v>
      </x:c>
    </x:row>
    <x:row r="140" ht="22" customHeight="1">
      <x:c r="A140" s="1" t="n">
        <x:v>134</x:v>
      </x:c>
      <x:c r="B140" s="1" t="n">
        <x:v>257</x:v>
      </x:c>
      <x:c r="C140" s="1" t="str">
        <x:v>Blaziken</x:v>
      </x:c>
      <x:c r="D140" s="1" t="str">
        <x:v>Fogo</x:v>
      </x:c>
      <x:c r="E140" s="1" t="str">
        <x:v>Lutador</x:v>
      </x:c>
      <x:c r="F140" s="10" t="n">
        <x:v>120</x:v>
      </x:c>
      <x:c r="G140" s="10" t="n">
        <x:v>110</x:v>
      </x:c>
      <x:c r="H140" s="10" t="n">
        <x:f>MAX(F140:G140)</x:f>
        <x:v>120</x:v>
      </x:c>
      <x:c r="I140" s="1" t="str">
        <x:f>'Pokémon'!M260</x:f>
        <x:v>Física</x:v>
      </x:c>
      <x:c r="J140" s="1" t="str">
        <x:f>'Habilidades'!D2403</x:f>
        <x:v>High Jump Kick</x:v>
      </x:c>
      <x:c r="K140" s="1" t="str">
        <x:f>'Habilidades'!E2403</x:f>
        <x:v>Lutador</x:v>
      </x:c>
      <x:c r="L140" s="1" t="str">
        <x:f>'Habilidades'!F2403</x:f>
        <x:v>Física</x:v>
      </x:c>
      <x:c r="M140" s="10" t="n">
        <x:f>'Habilidades'!G2403</x:f>
        <x:v>130</x:v>
      </x:c>
      <x:c r="N140" s="10" t="n">
        <x:f>'Habilidades'!I2403</x:f>
        <x:v>250</x:v>
      </x:c>
      <x:c r="O140" s="1" t="str">
        <x:f>'Habilidades'!D2404&amp;" ("&amp;'Habilidades'!I2404&amp;")"</x:f>
        <x:v>Flare Blitz (240)</x:v>
      </x:c>
      <x:c r="P140" s="1" t="str">
        <x:f>'Habilidades'!D2405&amp;" ("&amp;'Habilidades'!I2405&amp;")"</x:f>
        <x:v>Brave Bird (240)</x:v>
      </x:c>
      <x:c r="Q140" s="1" t="str">
        <x:f>'Habilidades'!D2406&amp;" ("&amp;'Habilidades'!I2406&amp;")"</x:f>
        <x:v>Blaze Kick (205)</x:v>
      </x:c>
      <x:c r="R140" s="1" t="str">
        <x:f>'Habilidades'!D2407&amp;" ("&amp;'Habilidades'!I2407&amp;")"</x:f>
        <x:v>Sky Uppercut (205)</x:v>
      </x:c>
      <x:c r="S140" s="9" t="str">
        <x:v>https://poke.idleworld.online/pokepedia/pokemon/blaziken</x:v>
      </x:c>
    </x:row>
    <x:row r="141" ht="22" customHeight="1">
      <x:c r="A141" s="1" t="n">
        <x:v>134</x:v>
      </x:c>
      <x:c r="B141" s="1" t="n">
        <x:v>319</x:v>
      </x:c>
      <x:c r="C141" s="1" t="str">
        <x:v>Sharpedo</x:v>
      </x:c>
      <x:c r="D141" s="1" t="str">
        <x:v>Água</x:v>
      </x:c>
      <x:c r="E141" s="1" t="str">
        <x:v>Sombrio</x:v>
      </x:c>
      <x:c r="F141" s="10" t="n">
        <x:v>120</x:v>
      </x:c>
      <x:c r="G141" s="10" t="n">
        <x:v>95</x:v>
      </x:c>
      <x:c r="H141" s="10" t="n">
        <x:f>MAX(F141:G141)</x:f>
        <x:v>120</x:v>
      </x:c>
      <x:c r="I141" s="1" t="str">
        <x:f>'Pokémon'!M296</x:f>
        <x:v>Física</x:v>
      </x:c>
      <x:c r="J141" s="1" t="str">
        <x:f>'Habilidades'!D2718</x:f>
        <x:v>Skull Bash</x:v>
      </x:c>
      <x:c r="K141" s="1" t="str">
        <x:f>'Habilidades'!E2718</x:f>
        <x:v>Normal</x:v>
      </x:c>
      <x:c r="L141" s="1" t="str">
        <x:f>'Habilidades'!F2718</x:f>
        <x:v>Física</x:v>
      </x:c>
      <x:c r="M141" s="10" t="n">
        <x:f>'Habilidades'!G2718</x:f>
        <x:v>130</x:v>
      </x:c>
      <x:c r="N141" s="10" t="n">
        <x:f>'Habilidades'!I2718</x:f>
        <x:v>250</x:v>
      </x:c>
      <x:c r="O141" s="1" t="str">
        <x:f>'Habilidades'!D2719&amp;" ("&amp;'Habilidades'!I2719&amp;")"</x:f>
        <x:v>Crunch (200)</x:v>
      </x:c>
      <x:c r="P141" s="1" t="str">
        <x:f>'Habilidades'!D2720&amp;" ("&amp;'Habilidades'!I2720&amp;")"</x:f>
        <x:v>Night Slash (190)</x:v>
      </x:c>
      <x:c r="Q141" s="1" t="str">
        <x:f>'Habilidades'!D2721&amp;" ("&amp;'Habilidades'!I2721&amp;")"</x:f>
        <x:v>Slash (190)</x:v>
      </x:c>
      <x:c r="R141" s="1" t="str">
        <x:f>'Habilidades'!D2722&amp;" ("&amp;'Habilidades'!I2722&amp;")"</x:f>
        <x:v>Ice Fang (185)</x:v>
      </x:c>
      <x:c r="S141" s="9" t="str">
        <x:v>https://poke.idleworld.online/pokepedia/pokemon/sharpedo</x:v>
      </x:c>
    </x:row>
    <x:row r="142" ht="22" customHeight="1">
      <x:c r="A142" s="1" t="n">
        <x:v>134</x:v>
      </x:c>
      <x:c r="B142" s="1" t="n">
        <x:v>128</x:v>
      </x:c>
      <x:c r="C142" s="1" t="str">
        <x:v>Tauros</x:v>
      </x:c>
      <x:c r="D142" s="1" t="str">
        <x:v>Normal</x:v>
      </x:c>
      <x:c r="E142" s="1" t="str"/>
      <x:c r="F142" s="10" t="n">
        <x:v>100</x:v>
      </x:c>
      <x:c r="G142" s="10" t="n">
        <x:v>40</x:v>
      </x:c>
      <x:c r="H142" s="10" t="n">
        <x:f>MAX(F142:G142)</x:f>
        <x:v>100</x:v>
      </x:c>
      <x:c r="I142" s="1" t="str">
        <x:f>'Pokémon'!M132</x:f>
        <x:v>Física</x:v>
      </x:c>
      <x:c r="J142" s="1" t="str">
        <x:f>'Habilidades'!D1235</x:f>
        <x:v>Giga Impact</x:v>
      </x:c>
      <x:c r="K142" s="1" t="str">
        <x:f>'Habilidades'!E1235</x:f>
        <x:v>Normal</x:v>
      </x:c>
      <x:c r="L142" s="1" t="str">
        <x:f>'Habilidades'!F1235</x:f>
        <x:v>Física</x:v>
      </x:c>
      <x:c r="M142" s="10" t="n">
        <x:f>'Habilidades'!G1235</x:f>
        <x:v>150</x:v>
      </x:c>
      <x:c r="N142" s="10" t="n">
        <x:f>'Habilidades'!I1235</x:f>
        <x:v>250</x:v>
      </x:c>
      <x:c r="O142" s="1" t="str">
        <x:f>'Habilidades'!D1236&amp;" ("&amp;'Habilidades'!I1236&amp;")"</x:f>
        <x:v>Thrash (220)</x:v>
      </x:c>
      <x:c r="P142" s="1" t="str">
        <x:f>'Habilidades'!D1237&amp;" ("&amp;'Habilidades'!I1237&amp;")"</x:f>
        <x:v>Take Down (190)</x:v>
      </x:c>
      <x:c r="Q142" s="1" t="str">
        <x:f>'Habilidades'!D1238&amp;" ("&amp;'Habilidades'!I1238&amp;")"</x:f>
        <x:v>Zen Headbutt (180)</x:v>
      </x:c>
      <x:c r="R142" s="1" t="str">
        <x:f>'Habilidades'!D1239&amp;" ("&amp;'Habilidades'!I1239&amp;")"</x:f>
        <x:v>Horn Attack (165)</x:v>
      </x:c>
      <x:c r="S142" s="9" t="str">
        <x:v>https://poke.idleworld.online/pokepedia/pokemon/tauros</x:v>
      </x:c>
    </x:row>
    <x:row r="143" ht="22" customHeight="1">
      <x:c r="A143" s="1" t="n">
        <x:v>139</x:v>
      </x:c>
      <x:c r="B143" s="1" t="n">
        <x:v>376</x:v>
      </x:c>
      <x:c r="C143" s="1" t="str">
        <x:v>Metagross</x:v>
      </x:c>
      <x:c r="D143" s="1" t="str">
        <x:v>Aço</x:v>
      </x:c>
      <x:c r="E143" s="1" t="str">
        <x:v>Psíquico</x:v>
      </x:c>
      <x:c r="F143" s="10" t="n">
        <x:v>135</x:v>
      </x:c>
      <x:c r="G143" s="10" t="n">
        <x:v>95</x:v>
      </x:c>
      <x:c r="H143" s="10" t="n">
        <x:f>MAX(F143:G143)</x:f>
        <x:v>135</x:v>
      </x:c>
      <x:c r="I143" s="1" t="str">
        <x:f>'Pokémon'!M336</x:f>
        <x:v>Física</x:v>
      </x:c>
      <x:c r="J143" s="1" t="str">
        <x:f>'Habilidades'!D3132</x:f>
        <x:v>Hyper Beam</x:v>
      </x:c>
      <x:c r="K143" s="1" t="str">
        <x:f>'Habilidades'!E3132</x:f>
        <x:v>Normal</x:v>
      </x:c>
      <x:c r="L143" s="1" t="str">
        <x:f>'Habilidades'!F3132</x:f>
        <x:v>Especial</x:v>
      </x:c>
      <x:c r="M143" s="10" t="n">
        <x:f>'Habilidades'!G3132</x:f>
        <x:v>150</x:v>
      </x:c>
      <x:c r="N143" s="10" t="n">
        <x:f>'Habilidades'!I3132</x:f>
        <x:v>245</x:v>
      </x:c>
      <x:c r="O143" s="1" t="str">
        <x:f>'Habilidades'!D3133&amp;" ("&amp;'Habilidades'!I3133&amp;")"</x:f>
        <x:v>Hammer Arm (235)</x:v>
      </x:c>
      <x:c r="P143" s="1" t="str">
        <x:f>'Habilidades'!D3134&amp;" ("&amp;'Habilidades'!I3134&amp;")"</x:f>
        <x:v>Take Down (225)</x:v>
      </x:c>
      <x:c r="Q143" s="1" t="str">
        <x:f>'Habilidades'!D3135&amp;" ("&amp;'Habilidades'!I3135&amp;")"</x:f>
        <x:v>Meteor Mash (225)</x:v>
      </x:c>
      <x:c r="R143" s="1" t="str">
        <x:f>'Habilidades'!D3136&amp;" ("&amp;'Habilidades'!I3136&amp;")"</x:f>
        <x:v>Zen Headbutt (215)</x:v>
      </x:c>
      <x:c r="S143" s="9" t="str">
        <x:v>https://poke.idleworld.online/pokepedia/pokemon/metagross</x:v>
      </x:c>
    </x:row>
    <x:row r="144" ht="22" customHeight="1">
      <x:c r="A144" s="1" t="n">
        <x:v>139</x:v>
      </x:c>
      <x:c r="B144" s="1" t="n">
        <x:v>637</x:v>
      </x:c>
      <x:c r="C144" s="1" t="str">
        <x:v>Volcarona</x:v>
      </x:c>
      <x:c r="D144" s="1" t="str">
        <x:v>Inseto</x:v>
      </x:c>
      <x:c r="E144" s="1" t="str">
        <x:v>Fogo</x:v>
      </x:c>
      <x:c r="F144" s="10" t="n">
        <x:v>60</x:v>
      </x:c>
      <x:c r="G144" s="10" t="n">
        <x:v>135</x:v>
      </x:c>
      <x:c r="H144" s="10" t="n">
        <x:f>MAX(F144:G144)</x:f>
        <x:v>135</x:v>
      </x:c>
      <x:c r="I144" s="1" t="str">
        <x:f>'Pokémon'!M390</x:f>
        <x:v>Especial</x:v>
      </x:c>
      <x:c r="J144" s="1" t="str">
        <x:f>'Habilidades'!D3604</x:f>
        <x:v>Hurricane</x:v>
      </x:c>
      <x:c r="K144" s="1" t="str">
        <x:f>'Habilidades'!E3604</x:f>
        <x:v>Voador</x:v>
      </x:c>
      <x:c r="L144" s="1" t="str">
        <x:f>'Habilidades'!F3604</x:f>
        <x:v>Especial</x:v>
      </x:c>
      <x:c r="M144" s="10" t="n">
        <x:f>'Habilidades'!G3604</x:f>
        <x:v>110</x:v>
      </x:c>
      <x:c r="N144" s="10" t="n">
        <x:f>'Habilidades'!I3604</x:f>
        <x:v>245</x:v>
      </x:c>
      <x:c r="O144" s="1" t="str">
        <x:f>'Habilidades'!D3605&amp;" ("&amp;'Habilidades'!I3605&amp;")"</x:f>
        <x:v>Heat Wave (230)</x:v>
      </x:c>
      <x:c r="P144" s="1" t="str">
        <x:f>'Habilidades'!D3606&amp;" ("&amp;'Habilidades'!I3606&amp;")"</x:f>
        <x:v>Bug Buzz (225)</x:v>
      </x:c>
      <x:c r="Q144" s="1" t="str">
        <x:f>'Habilidades'!D3607&amp;" ("&amp;'Habilidades'!I3607&amp;")"</x:f>
        <x:v>Fiery Dance (215)</x:v>
      </x:c>
      <x:c r="R144" s="1" t="str">
        <x:f>'Habilidades'!D3608&amp;" ("&amp;'Habilidades'!I3608&amp;")"</x:f>
        <x:v>Silver Wind (195)</x:v>
      </x:c>
      <x:c r="S144" s="9" t="str">
        <x:v>https://poke.idleworld.online/pokepedia/pokemon/volcarona</x:v>
      </x:c>
    </x:row>
    <x:row r="145" ht="22" customHeight="1">
      <x:c r="A145" s="1" t="n">
        <x:v>139</x:v>
      </x:c>
      <x:c r="B145" s="1" t="n">
        <x:v>282</x:v>
      </x:c>
      <x:c r="C145" s="1" t="str">
        <x:v>Gardevoir</x:v>
      </x:c>
      <x:c r="D145" s="1" t="str">
        <x:v>Psíquico</x:v>
      </x:c>
      <x:c r="E145" s="1" t="str">
        <x:v>Fada</x:v>
      </x:c>
      <x:c r="F145" s="10" t="n">
        <x:v>65</x:v>
      </x:c>
      <x:c r="G145" s="10" t="n">
        <x:v>125</x:v>
      </x:c>
      <x:c r="H145" s="10" t="n">
        <x:f>MAX(F145:G145)</x:f>
        <x:v>125</x:v>
      </x:c>
      <x:c r="I145" s="1" t="str">
        <x:f>'Pokémon'!M278</x:f>
        <x:v>Especial</x:v>
      </x:c>
      <x:c r="J145" s="1" t="str">
        <x:f>'Habilidades'!D2546</x:f>
        <x:v>Future Sight</x:v>
      </x:c>
      <x:c r="K145" s="1" t="str">
        <x:f>'Habilidades'!E2546</x:f>
        <x:v>Psíquico</x:v>
      </x:c>
      <x:c r="L145" s="1" t="str">
        <x:f>'Habilidades'!F2546</x:f>
        <x:v>Especial</x:v>
      </x:c>
      <x:c r="M145" s="10" t="n">
        <x:f>'Habilidades'!G2546</x:f>
        <x:v>120</x:v>
      </x:c>
      <x:c r="N145" s="10" t="n">
        <x:f>'Habilidades'!I2546</x:f>
        <x:v>245</x:v>
      </x:c>
      <x:c r="O145" s="1" t="str">
        <x:f>'Habilidades'!D2547&amp;" ("&amp;'Habilidades'!I2547&amp;")"</x:f>
        <x:v>Dream Eater (225)</x:v>
      </x:c>
      <x:c r="P145" s="1" t="str">
        <x:f>'Habilidades'!D2548&amp;" ("&amp;'Habilidades'!I2548&amp;")"</x:f>
        <x:v>Moonblast (220)</x:v>
      </x:c>
      <x:c r="Q145" s="1" t="str">
        <x:f>'Habilidades'!D2549&amp;" ("&amp;'Habilidades'!I2549&amp;")"</x:f>
        <x:v>Psychic (215)</x:v>
      </x:c>
      <x:c r="R145" s="1" t="str">
        <x:f>'Habilidades'!D2550&amp;" ("&amp;'Habilidades'!I2550&amp;")"</x:f>
        <x:v>Magical Leaf (185)</x:v>
      </x:c>
      <x:c r="S145" s="9" t="str">
        <x:v>https://poke.idleworld.online/pokepedia/pokemon/gardevoir</x:v>
      </x:c>
    </x:row>
    <x:row r="146" ht="22" customHeight="1">
      <x:c r="A146" s="1" t="n">
        <x:v>139</x:v>
      </x:c>
      <x:c r="B146" s="1" t="n">
        <x:v>475</x:v>
      </x:c>
      <x:c r="C146" s="1" t="str">
        <x:v>Gallade</x:v>
      </x:c>
      <x:c r="D146" s="1" t="str">
        <x:v>Psíquico</x:v>
      </x:c>
      <x:c r="E146" s="1" t="str">
        <x:v>Lutador</x:v>
      </x:c>
      <x:c r="F146" s="10" t="n">
        <x:v>125</x:v>
      </x:c>
      <x:c r="G146" s="10" t="n">
        <x:v>65</x:v>
      </x:c>
      <x:c r="H146" s="10" t="n">
        <x:f>MAX(F146:G146)</x:f>
        <x:v>125</x:v>
      </x:c>
      <x:c r="I146" s="1" t="str">
        <x:f>'Pokémon'!M364</x:f>
        <x:v>Física</x:v>
      </x:c>
      <x:c r="J146" s="1" t="str">
        <x:f>'Habilidades'!D3374</x:f>
        <x:v>Close Combat</x:v>
      </x:c>
      <x:c r="K146" s="1" t="str">
        <x:f>'Habilidades'!E3374</x:f>
        <x:v>Lutador</x:v>
      </x:c>
      <x:c r="L146" s="1" t="str">
        <x:f>'Habilidades'!F3374</x:f>
        <x:v>Física</x:v>
      </x:c>
      <x:c r="M146" s="10" t="n">
        <x:f>'Habilidades'!G3374</x:f>
        <x:v>120</x:v>
      </x:c>
      <x:c r="N146" s="10" t="n">
        <x:f>'Habilidades'!I3374</x:f>
        <x:v>245</x:v>
      </x:c>
      <x:c r="O146" s="1" t="str">
        <x:f>'Habilidades'!D3375&amp;" ("&amp;'Habilidades'!I3375&amp;")"</x:f>
        <x:v>Leaf Blade (215)</x:v>
      </x:c>
      <x:c r="P146" s="1" t="str">
        <x:f>'Habilidades'!D3376&amp;" ("&amp;'Habilidades'!I3376&amp;")"</x:f>
        <x:v>Night Slash (195)</x:v>
      </x:c>
      <x:c r="Q146" s="1" t="str">
        <x:f>'Habilidades'!D3377&amp;" ("&amp;'Habilidades'!I3377&amp;")"</x:f>
        <x:v>Slash (195)</x:v>
      </x:c>
      <x:c r="R146" s="1" t="str">
        <x:f>'Habilidades'!D3378&amp;" ("&amp;'Habilidades'!I3378&amp;")"</x:f>
        <x:v>Psycho Cut (195)</x:v>
      </x:c>
      <x:c r="S146" s="9" t="str">
        <x:v>https://poke.idleworld.online/pokepedia/pokemon/gallade</x:v>
      </x:c>
    </x:row>
    <x:row r="147" ht="22" customHeight="1">
      <x:c r="A147" s="1" t="n">
        <x:v>139</x:v>
      </x:c>
      <x:c r="B147" s="1" t="n">
        <x:v>539</x:v>
      </x:c>
      <x:c r="C147" s="1" t="str">
        <x:v>Sawk</x:v>
      </x:c>
      <x:c r="D147" s="1" t="str">
        <x:v>Lutador</x:v>
      </x:c>
      <x:c r="E147" s="1" t="str"/>
      <x:c r="F147" s="10" t="n">
        <x:v>125</x:v>
      </x:c>
      <x:c r="G147" s="10" t="n">
        <x:v>30</x:v>
      </x:c>
      <x:c r="H147" s="10" t="n">
        <x:f>MAX(F147:G147)</x:f>
        <x:v>125</x:v>
      </x:c>
      <x:c r="I147" s="1" t="str">
        <x:f>'Pokémon'!M368</x:f>
        <x:v>Física</x:v>
      </x:c>
      <x:c r="J147" s="1" t="str">
        <x:f>'Habilidades'!D3406</x:f>
        <x:v>Close Combat</x:v>
      </x:c>
      <x:c r="K147" s="1" t="str">
        <x:f>'Habilidades'!E3406</x:f>
        <x:v>Lutador</x:v>
      </x:c>
      <x:c r="L147" s="1" t="str">
        <x:f>'Habilidades'!F3406</x:f>
        <x:v>Física</x:v>
      </x:c>
      <x:c r="M147" s="10" t="n">
        <x:f>'Habilidades'!G3406</x:f>
        <x:v>120</x:v>
      </x:c>
      <x:c r="N147" s="10" t="n">
        <x:f>'Habilidades'!I3406</x:f>
        <x:v>245</x:v>
      </x:c>
      <x:c r="O147" s="1" t="str">
        <x:f>'Habilidades'!D3407&amp;" ("&amp;'Habilidades'!I3407&amp;")"</x:f>
        <x:v>Brick Break (200)</x:v>
      </x:c>
      <x:c r="P147" s="1" t="str">
        <x:f>'Habilidades'!D3408&amp;" ("&amp;'Habilidades'!I3408&amp;")"</x:f>
        <x:v>Retaliate (195)</x:v>
      </x:c>
      <x:c r="Q147" s="1" t="str">
        <x:f>'Habilidades'!D3409&amp;" ("&amp;'Habilidades'!I3409&amp;")"</x:f>
        <x:v>Low Sweep (190)</x:v>
      </x:c>
      <x:c r="R147" s="1" t="str">
        <x:f>'Habilidades'!D3410&amp;" ("&amp;'Habilidades'!I3410&amp;")"</x:f>
        <x:v>Karate Chop (175)</x:v>
      </x:c>
      <x:c r="S147" s="9" t="str">
        <x:v>https://poke.idleworld.online/pokepedia/pokemon/sawk</x:v>
      </x:c>
    </x:row>
    <x:row r="148" ht="22" customHeight="1">
      <x:c r="A148" s="1" t="n">
        <x:v>144</x:v>
      </x:c>
      <x:c r="B148" s="1" t="n">
        <x:v>628</x:v>
      </x:c>
      <x:c r="C148" s="1" t="str">
        <x:v>Braviary</x:v>
      </x:c>
      <x:c r="D148" s="1" t="str">
        <x:v>Normal</x:v>
      </x:c>
      <x:c r="E148" s="1" t="str">
        <x:v>Voador</x:v>
      </x:c>
      <x:c r="F148" s="10" t="n">
        <x:v>123</x:v>
      </x:c>
      <x:c r="G148" s="10" t="n">
        <x:v>57</x:v>
      </x:c>
      <x:c r="H148" s="10" t="n">
        <x:f>MAX(F148:G148)</x:f>
        <x:v>123</x:v>
      </x:c>
      <x:c r="I148" s="1" t="str">
        <x:f>'Pokémon'!M388</x:f>
        <x:v>Física</x:v>
      </x:c>
      <x:c r="J148" s="1" t="str">
        <x:f>'Habilidades'!D3582</x:f>
        <x:v>Thrash</x:v>
      </x:c>
      <x:c r="K148" s="1" t="str">
        <x:f>'Habilidades'!E3582</x:f>
        <x:v>Normal</x:v>
      </x:c>
      <x:c r="L148" s="1" t="str">
        <x:f>'Habilidades'!F3582</x:f>
        <x:v>Física</x:v>
      </x:c>
      <x:c r="M148" s="10" t="n">
        <x:f>'Habilidades'!G3582</x:f>
        <x:v>120</x:v>
      </x:c>
      <x:c r="N148" s="10" t="n">
        <x:f>'Habilidades'!I3582</x:f>
        <x:v>243</x:v>
      </x:c>
      <x:c r="O148" s="1" t="str">
        <x:f>'Habilidades'!D3583&amp;" ("&amp;'Habilidades'!I3583&amp;")"</x:f>
        <x:v>Superpower (243)</x:v>
      </x:c>
      <x:c r="P148" s="1" t="str">
        <x:f>'Habilidades'!D3584&amp;" ("&amp;'Habilidades'!I3584&amp;")"</x:f>
        <x:v>Brave Bird (243)</x:v>
      </x:c>
      <x:c r="Q148" s="1" t="str">
        <x:f>'Habilidades'!D3585&amp;" ("&amp;'Habilidades'!I3585&amp;")"</x:f>
        <x:v>Crush Claw (198)</x:v>
      </x:c>
      <x:c r="R148" s="1" t="str">
        <x:f>'Habilidades'!D3586&amp;" ("&amp;'Habilidades'!I3586&amp;")"</x:f>
        <x:v>Slash (193)</x:v>
      </x:c>
      <x:c r="S148" s="9" t="str">
        <x:v>https://poke.idleworld.online/pokepedia/pokemon/braviary</x:v>
      </x:c>
    </x:row>
    <x:row r="149" ht="22" customHeight="1">
      <x:c r="A149" s="1" t="n">
        <x:v>145</x:v>
      </x:c>
      <x:c r="B149" s="1" t="n">
        <x:v>295</x:v>
      </x:c>
      <x:c r="C149" s="1" t="str">
        <x:v>Exploud</x:v>
      </x:c>
      <x:c r="D149" s="1" t="str">
        <x:v>Normal</x:v>
      </x:c>
      <x:c r="E149" s="1" t="str"/>
      <x:c r="F149" s="10" t="n">
        <x:v>91</x:v>
      </x:c>
      <x:c r="G149" s="10" t="n">
        <x:v>91</x:v>
      </x:c>
      <x:c r="H149" s="10" t="n">
        <x:f>MAX(F149:G149)</x:f>
        <x:v>91</x:v>
      </x:c>
      <x:c r="I149" s="1" t="str">
        <x:f>'Pokémon'!M284</x:f>
        <x:v>Empate</x:v>
      </x:c>
      <x:c r="J149" s="1" t="str">
        <x:f>'Habilidades'!D2593</x:f>
        <x:v>Hyper Beam</x:v>
      </x:c>
      <x:c r="K149" s="1" t="str">
        <x:f>'Habilidades'!E2593</x:f>
        <x:v>Normal</x:v>
      </x:c>
      <x:c r="L149" s="1" t="str">
        <x:f>'Habilidades'!F2593</x:f>
        <x:v>Especial</x:v>
      </x:c>
      <x:c r="M149" s="10" t="n">
        <x:f>'Habilidades'!G2593</x:f>
        <x:v>150</x:v>
      </x:c>
      <x:c r="N149" s="10" t="n">
        <x:f>'Habilidades'!I2593</x:f>
        <x:v>241</x:v>
      </x:c>
      <x:c r="O149" s="1" t="str">
        <x:f>'Habilidades'!D2594&amp;" ("&amp;'Habilidades'!I2594&amp;")"</x:f>
        <x:v>Boomburst (231)</x:v>
      </x:c>
      <x:c r="P149" s="1" t="str">
        <x:f>'Habilidades'!D2595&amp;" ("&amp;'Habilidades'!I2595&amp;")"</x:f>
        <x:v>Synchronoise (211)</x:v>
      </x:c>
      <x:c r="Q149" s="1" t="str">
        <x:f>'Habilidades'!D2596&amp;" ("&amp;'Habilidades'!I2596&amp;")"</x:f>
        <x:v>Uproar (181)</x:v>
      </x:c>
      <x:c r="R149" s="1" t="str">
        <x:f>'Habilidades'!D2597&amp;" ("&amp;'Habilidades'!I2597&amp;")"</x:f>
        <x:v>Hyper Voice (181)</x:v>
      </x:c>
      <x:c r="S149" s="9" t="str">
        <x:v>https://poke.idleworld.online/pokepedia/pokemon/exploud</x:v>
      </x:c>
    </x:row>
    <x:row r="150" ht="22" customHeight="1">
      <x:c r="A150" s="1" t="n">
        <x:v>146</x:v>
      </x:c>
      <x:c r="B150" s="1" t="n">
        <x:v>64</x:v>
      </x:c>
      <x:c r="C150" s="1" t="str">
        <x:v>Kadabra</x:v>
      </x:c>
      <x:c r="D150" s="1" t="str">
        <x:v>Psíquico</x:v>
      </x:c>
      <x:c r="E150" s="1" t="str"/>
      <x:c r="F150" s="10" t="n">
        <x:v>35</x:v>
      </x:c>
      <x:c r="G150" s="10" t="n">
        <x:v>120</x:v>
      </x:c>
      <x:c r="H150" s="10" t="n">
        <x:f>MAX(F150:G150)</x:f>
        <x:v>120</x:v>
      </x:c>
      <x:c r="I150" s="1" t="str">
        <x:f>'Pokémon'!M68</x:f>
        <x:v>Especial</x:v>
      </x:c>
      <x:c r="J150" s="1" t="str">
        <x:f>'Habilidades'!D560</x:f>
        <x:v>Future Sight</x:v>
      </x:c>
      <x:c r="K150" s="1" t="str">
        <x:f>'Habilidades'!E560</x:f>
        <x:v>Psíquico</x:v>
      </x:c>
      <x:c r="L150" s="1" t="str">
        <x:f>'Habilidades'!F560</x:f>
        <x:v>Especial</x:v>
      </x:c>
      <x:c r="M150" s="10" t="n">
        <x:f>'Habilidades'!G560</x:f>
        <x:v>120</x:v>
      </x:c>
      <x:c r="N150" s="10" t="n">
        <x:f>'Habilidades'!I560</x:f>
        <x:v>240</x:v>
      </x:c>
      <x:c r="O150" s="1" t="str">
        <x:f>'Habilidades'!D561&amp;" ("&amp;'Habilidades'!I561&amp;")"</x:f>
        <x:v>Psychic (210)</x:v>
      </x:c>
      <x:c r="P150" s="1" t="str">
        <x:f>'Habilidades'!D562&amp;" ("&amp;'Habilidades'!I562&amp;")"</x:f>
        <x:v>Psybeam (185)</x:v>
      </x:c>
      <x:c r="Q150" s="1" t="str">
        <x:f>'Habilidades'!D563&amp;" ("&amp;'Habilidades'!I563&amp;")"</x:f>
        <x:v>Confusion (170)</x:v>
      </x:c>
      <x:c r="R150" s="1" t="str">
        <x:f>'Habilidades'!D564&amp;" ("&amp;'Habilidades'!I564&amp;")"</x:f>
        <x:v>Psycho Cut (105)</x:v>
      </x:c>
      <x:c r="S150" s="9" t="str">
        <x:v>https://poke.idleworld.online/pokepedia/pokemon/kadabra</x:v>
      </x:c>
    </x:row>
    <x:row r="151" ht="22" customHeight="1">
      <x:c r="A151" s="1" t="n">
        <x:v>146</x:v>
      </x:c>
      <x:c r="B151" s="1" t="n">
        <x:v>210</x:v>
      </x:c>
      <x:c r="C151" s="1" t="str">
        <x:v>Granbull</x:v>
      </x:c>
      <x:c r="D151" s="1" t="str">
        <x:v>Fada</x:v>
      </x:c>
      <x:c r="E151" s="1" t="str"/>
      <x:c r="F151" s="10" t="n">
        <x:v>120</x:v>
      </x:c>
      <x:c r="G151" s="10" t="n">
        <x:v>60</x:v>
      </x:c>
      <x:c r="H151" s="10" t="n">
        <x:f>MAX(F151:G151)</x:f>
        <x:v>120</x:v>
      </x:c>
      <x:c r="I151" s="1" t="str">
        <x:f>'Pokémon'!M213</x:f>
        <x:v>Física</x:v>
      </x:c>
      <x:c r="J151" s="1" t="str">
        <x:f>'Habilidades'!D1950</x:f>
        <x:v>Outrage</x:v>
      </x:c>
      <x:c r="K151" s="1" t="str">
        <x:f>'Habilidades'!E1950</x:f>
        <x:v>Dragão</x:v>
      </x:c>
      <x:c r="L151" s="1" t="str">
        <x:f>'Habilidades'!F1950</x:f>
        <x:v>Física</x:v>
      </x:c>
      <x:c r="M151" s="10" t="n">
        <x:f>'Habilidades'!G1950</x:f>
        <x:v>120</x:v>
      </x:c>
      <x:c r="N151" s="10" t="n">
        <x:f>'Habilidades'!I1950</x:f>
        <x:v>240</x:v>
      </x:c>
      <x:c r="O151" s="1" t="str">
        <x:f>'Habilidades'!D1951&amp;" ("&amp;'Habilidades'!I1951&amp;")"</x:f>
        <x:v>Play Rough (210)</x:v>
      </x:c>
      <x:c r="P151" s="1" t="str">
        <x:f>'Habilidades'!D1952&amp;" ("&amp;'Habilidades'!I1952&amp;")"</x:f>
        <x:v>Crunch (200)</x:v>
      </x:c>
      <x:c r="Q151" s="1" t="str">
        <x:f>'Habilidades'!D1953&amp;" ("&amp;'Habilidades'!I1953&amp;")"</x:f>
        <x:v>Headbutt (190)</x:v>
      </x:c>
      <x:c r="R151" s="1" t="str">
        <x:f>'Habilidades'!D1954&amp;" ("&amp;'Habilidades'!I1954&amp;")"</x:f>
        <x:v>Thunder Fang (185)</x:v>
      </x:c>
      <x:c r="S151" s="9" t="str">
        <x:v>https://poke.idleworld.online/pokepedia/pokemon/granbull</x:v>
      </x:c>
    </x:row>
    <x:row r="152" ht="22" customHeight="1">
      <x:c r="A152" s="1" t="n">
        <x:v>148</x:v>
      </x:c>
      <x:c r="B152" s="1" t="n">
        <x:v>335</x:v>
      </x:c>
      <x:c r="C152" s="1" t="str">
        <x:v>Zangoose</x:v>
      </x:c>
      <x:c r="D152" s="1" t="str">
        <x:v>Normal</x:v>
      </x:c>
      <x:c r="E152" s="1" t="str"/>
      <x:c r="F152" s="10" t="n">
        <x:v>115</x:v>
      </x:c>
      <x:c r="G152" s="10" t="n">
        <x:v>60</x:v>
      </x:c>
      <x:c r="H152" s="10" t="n">
        <x:f>MAX(F152:G152)</x:f>
        <x:v>115</x:v>
      </x:c>
      <x:c r="I152" s="1" t="str">
        <x:f>'Pokémon'!M308</x:f>
        <x:v>Física</x:v>
      </x:c>
      <x:c r="J152" s="1" t="str">
        <x:f>'Habilidades'!D2858</x:f>
        <x:v>Close Combat</x:v>
      </x:c>
      <x:c r="K152" s="1" t="str">
        <x:f>'Habilidades'!E2858</x:f>
        <x:v>Lutador</x:v>
      </x:c>
      <x:c r="L152" s="1" t="str">
        <x:f>'Habilidades'!F2858</x:f>
        <x:v>Física</x:v>
      </x:c>
      <x:c r="M152" s="10" t="n">
        <x:f>'Habilidades'!G2858</x:f>
        <x:v>120</x:v>
      </x:c>
      <x:c r="N152" s="10" t="n">
        <x:f>'Habilidades'!I2858</x:f>
        <x:v>235</x:v>
      </x:c>
      <x:c r="O152" s="1" t="str">
        <x:f>'Habilidades'!D2859&amp;" ("&amp;'Habilidades'!I2859&amp;")"</x:f>
        <x:v>X-Scissor (195)</x:v>
      </x:c>
      <x:c r="P152" s="1" t="str">
        <x:f>'Habilidades'!D2860&amp;" ("&amp;'Habilidades'!I2860&amp;")"</x:f>
        <x:v>Crush Claw (190)</x:v>
      </x:c>
      <x:c r="Q152" s="1" t="str">
        <x:f>'Habilidades'!D2861&amp;" ("&amp;'Habilidades'!I2861&amp;")"</x:f>
        <x:v>Slash (185)</x:v>
      </x:c>
      <x:c r="R152" s="1" t="str">
        <x:f>'Habilidades'!D2862&amp;" ("&amp;'Habilidades'!I2862&amp;")"</x:f>
        <x:v>Revenge (175)</x:v>
      </x:c>
      <x:c r="S152" s="9" t="str">
        <x:v>https://poke.idleworld.online/pokepedia/pokemon/zangoose</x:v>
      </x:c>
    </x:row>
    <x:row r="153" ht="22" customHeight="1">
      <x:c r="A153" s="1" t="n">
        <x:v>148</x:v>
      </x:c>
      <x:c r="B153" s="1" t="n">
        <x:v>604</x:v>
      </x:c>
      <x:c r="C153" s="1" t="str">
        <x:v>Eelektross</x:v>
      </x:c>
      <x:c r="D153" s="1" t="str">
        <x:v>Elétrico</x:v>
      </x:c>
      <x:c r="E153" s="1" t="str"/>
      <x:c r="F153" s="10" t="n">
        <x:v>115</x:v>
      </x:c>
      <x:c r="G153" s="10" t="n">
        <x:v>105</x:v>
      </x:c>
      <x:c r="H153" s="10" t="n">
        <x:f>MAX(F153:G153)</x:f>
        <x:v>115</x:v>
      </x:c>
      <x:c r="I153" s="1" t="str">
        <x:f>'Pokémon'!M383</x:f>
        <x:v>Física</x:v>
      </x:c>
      <x:c r="J153" s="1" t="str">
        <x:f>'Habilidades'!D3541</x:f>
        <x:v>Thrash</x:v>
      </x:c>
      <x:c r="K153" s="1" t="str">
        <x:f>'Habilidades'!E3541</x:f>
        <x:v>Normal</x:v>
      </x:c>
      <x:c r="L153" s="1" t="str">
        <x:f>'Habilidades'!F3541</x:f>
        <x:v>Física</x:v>
      </x:c>
      <x:c r="M153" s="10" t="n">
        <x:f>'Habilidades'!G3541</x:f>
        <x:v>120</x:v>
      </x:c>
      <x:c r="N153" s="10" t="n">
        <x:f>'Habilidades'!I3541</x:f>
        <x:v>235</x:v>
      </x:c>
      <x:c r="O153" s="1" t="str">
        <x:f>'Habilidades'!D3542&amp;" ("&amp;'Habilidades'!I3542&amp;")"</x:f>
        <x:v>Zap Cannon (225)</x:v>
      </x:c>
      <x:c r="P153" s="1" t="str">
        <x:f>'Habilidades'!D3543&amp;" ("&amp;'Habilidades'!I3543&amp;")"</x:f>
        <x:v>Crunch (195)</x:v>
      </x:c>
      <x:c r="Q153" s="1" t="str">
        <x:f>'Habilidades'!D3544&amp;" ("&amp;'Habilidades'!I3544&amp;")"</x:f>
        <x:v>Crush Claw (190)</x:v>
      </x:c>
      <x:c r="R153" s="1" t="str">
        <x:f>'Habilidades'!D3545&amp;" ("&amp;'Habilidades'!I3545&amp;")"</x:f>
        <x:v>Discharge (185)</x:v>
      </x:c>
      <x:c r="S153" s="9" t="str">
        <x:v>https://poke.idleworld.online/pokepedia/pokemon/eelektross</x:v>
      </x:c>
    </x:row>
    <x:row r="154" ht="22" customHeight="1">
      <x:c r="A154" s="1" t="n">
        <x:v>148</x:v>
      </x:c>
      <x:c r="B154" s="1" t="n">
        <x:v>254</x:v>
      </x:c>
      <x:c r="C154" s="1" t="str">
        <x:v>Sceptile</x:v>
      </x:c>
      <x:c r="D154" s="1" t="str">
        <x:v>Planta</x:v>
      </x:c>
      <x:c r="E154" s="1" t="str"/>
      <x:c r="F154" s="10" t="n">
        <x:v>85</x:v>
      </x:c>
      <x:c r="G154" s="10" t="n">
        <x:v>105</x:v>
      </x:c>
      <x:c r="H154" s="10" t="n">
        <x:f>MAX(F154:G154)</x:f>
        <x:v>105</x:v>
      </x:c>
      <x:c r="I154" s="1" t="str">
        <x:f>'Pokémon'!M257</x:f>
        <x:v>Especial</x:v>
      </x:c>
      <x:c r="J154" s="1" t="str">
        <x:f>'Habilidades'!D2372</x:f>
        <x:v>Leaf Storm</x:v>
      </x:c>
      <x:c r="K154" s="1" t="str">
        <x:f>'Habilidades'!E2372</x:f>
        <x:v>Planta</x:v>
      </x:c>
      <x:c r="L154" s="1" t="str">
        <x:f>'Habilidades'!F2372</x:f>
        <x:v>Especial</x:v>
      </x:c>
      <x:c r="M154" s="10" t="n">
        <x:f>'Habilidades'!G2372</x:f>
        <x:v>130</x:v>
      </x:c>
      <x:c r="N154" s="10" t="n">
        <x:f>'Habilidades'!I2372</x:f>
        <x:v>235</x:v>
      </x:c>
      <x:c r="O154" s="1" t="str">
        <x:f>'Habilidades'!D2373&amp;" ("&amp;'Habilidades'!I2373&amp;")"</x:f>
        <x:v>Leaf Blade (175)</x:v>
      </x:c>
      <x:c r="P154" s="1" t="str">
        <x:f>'Habilidades'!D2374&amp;" ("&amp;'Habilidades'!I2374&amp;")"</x:f>
        <x:v>Slam (165)</x:v>
      </x:c>
      <x:c r="Q154" s="1" t="str">
        <x:f>'Habilidades'!D2375&amp;" ("&amp;'Habilidades'!I2375&amp;")"</x:f>
        <x:v>X-Scissor (165)</x:v>
      </x:c>
      <x:c r="R154" s="1" t="str">
        <x:f>'Habilidades'!D2376&amp;" ("&amp;'Habilidades'!I2376&amp;")"</x:f>
        <x:v>Night Slash (155)</x:v>
      </x:c>
      <x:c r="S154" s="9" t="str">
        <x:v>https://poke.idleworld.online/pokepedia/pokemon/sceptile</x:v>
      </x:c>
    </x:row>
    <x:row r="155" ht="22" customHeight="1">
      <x:c r="A155" s="1" t="n">
        <x:v>151</x:v>
      </x:c>
      <x:c r="B155" s="1" t="n">
        <x:v>566</x:v>
      </x:c>
      <x:c r="C155" s="1" t="str">
        <x:v>Archen</x:v>
      </x:c>
      <x:c r="D155" s="1" t="str">
        <x:v>Pedra</x:v>
      </x:c>
      <x:c r="E155" s="1" t="str">
        <x:v>Voador</x:v>
      </x:c>
      <x:c r="F155" s="10" t="n">
        <x:v>112</x:v>
      </x:c>
      <x:c r="G155" s="10" t="n">
        <x:v>74</x:v>
      </x:c>
      <x:c r="H155" s="10" t="n">
        <x:f>MAX(F155:G155)</x:f>
        <x:v>112</x:v>
      </x:c>
      <x:c r="I155" s="1" t="str">
        <x:f>'Pokémon'!M375</x:f>
        <x:v>Física</x:v>
      </x:c>
      <x:c r="J155" s="1" t="str">
        <x:f>'Habilidades'!D3464</x:f>
        <x:v>Thrash</x:v>
      </x:c>
      <x:c r="K155" s="1" t="str">
        <x:f>'Habilidades'!E3464</x:f>
        <x:v>Normal</x:v>
      </x:c>
      <x:c r="L155" s="1" t="str">
        <x:f>'Habilidades'!F3464</x:f>
        <x:v>Física</x:v>
      </x:c>
      <x:c r="M155" s="10" t="n">
        <x:f>'Habilidades'!G3464</x:f>
        <x:v>120</x:v>
      </x:c>
      <x:c r="N155" s="10" t="n">
        <x:f>'Habilidades'!I3464</x:f>
        <x:v>232</x:v>
      </x:c>
      <x:c r="O155" s="1" t="str">
        <x:f>'Habilidades'!D3465&amp;" ("&amp;'Habilidades'!I3465&amp;")"</x:f>
        <x:v>Crunch (192)</x:v>
      </x:c>
      <x:c r="P155" s="1" t="str">
        <x:f>'Habilidades'!D3466&amp;" ("&amp;'Habilidades'!I3466&amp;")"</x:f>
        <x:v>Dragon Claw (192)</x:v>
      </x:c>
      <x:c r="Q155" s="1" t="str">
        <x:f>'Habilidades'!D3467&amp;" ("&amp;'Habilidades'!I3467&amp;")"</x:f>
        <x:v>Rock Slide (187)</x:v>
      </x:c>
      <x:c r="R155" s="1" t="str">
        <x:f>'Habilidades'!D3468&amp;" ("&amp;'Habilidades'!I3468&amp;")"</x:f>
        <x:v>U-turn (182)</x:v>
      </x:c>
      <x:c r="S155" s="9" t="str">
        <x:v>https://poke.idleworld.online/pokepedia/pokemon/archen</x:v>
      </x:c>
    </x:row>
    <x:row r="156" ht="22" customHeight="1">
      <x:c r="A156" s="1" t="n">
        <x:v>151</x:v>
      </x:c>
      <x:c r="B156" s="1" t="n">
        <x:v>671</x:v>
      </x:c>
      <x:c r="C156" s="1" t="str">
        <x:v>Florges</x:v>
      </x:c>
      <x:c r="D156" s="1" t="str">
        <x:v>Fada</x:v>
      </x:c>
      <x:c r="E156" s="1" t="str"/>
      <x:c r="F156" s="10" t="n">
        <x:v>65</x:v>
      </x:c>
      <x:c r="G156" s="10" t="n">
        <x:v>112</x:v>
      </x:c>
      <x:c r="H156" s="10" t="n">
        <x:f>MAX(F156:G156)</x:f>
        <x:v>112</x:v>
      </x:c>
      <x:c r="I156" s="1" t="str">
        <x:f>'Pokémon'!M394</x:f>
        <x:v>Especial</x:v>
      </x:c>
      <x:c r="J156" s="1" t="str">
        <x:f>'Habilidades'!D3645</x:f>
        <x:v>Petal Dance</x:v>
      </x:c>
      <x:c r="K156" s="1" t="str">
        <x:f>'Habilidades'!E3645</x:f>
        <x:v>Planta</x:v>
      </x:c>
      <x:c r="L156" s="1" t="str">
        <x:f>'Habilidades'!F3645</x:f>
        <x:v>Especial</x:v>
      </x:c>
      <x:c r="M156" s="10" t="n">
        <x:f>'Habilidades'!G3645</x:f>
        <x:v>120</x:v>
      </x:c>
      <x:c r="N156" s="10" t="n">
        <x:f>'Habilidades'!I3645</x:f>
        <x:v>232</x:v>
      </x:c>
      <x:c r="O156" s="1" t="str">
        <x:f>'Habilidades'!D3646&amp;" ("&amp;'Habilidades'!I3646&amp;")"</x:f>
        <x:v>Moonblast (207)</x:v>
      </x:c>
      <x:c r="P156" s="1" t="str">
        <x:f>'Habilidades'!D3647&amp;" ("&amp;'Habilidades'!I3647&amp;")"</x:f>
        <x:v>Magical Leaf (172)</x:v>
      </x:c>
      <x:c r="Q156" s="1" t="str">
        <x:f>'Habilidades'!D3648&amp;" ("&amp;'Habilidades'!I3648&amp;")"</x:f>
        <x:v>Petal Blizzard (155)</x:v>
      </x:c>
      <x:c r="R156" s="1" t="str">
        <x:f>'Habilidades'!D3649&amp;" ("&amp;'Habilidades'!I3649&amp;")"</x:f>
        <x:v>Disarming Voice (152)</x:v>
      </x:c>
      <x:c r="S156" s="9" t="str">
        <x:v>https://poke.idleworld.online/pokepedia/pokemon/florges</x:v>
      </x:c>
    </x:row>
    <x:row r="157" ht="22" customHeight="1">
      <x:c r="A157" s="1" t="n">
        <x:v>153</x:v>
      </x:c>
      <x:c r="B157" s="1" t="n">
        <x:v>445</x:v>
      </x:c>
      <x:c r="C157" s="1" t="str">
        <x:v>Garchomp</x:v>
      </x:c>
      <x:c r="D157" s="1" t="str">
        <x:v>Dragão</x:v>
      </x:c>
      <x:c r="E157" s="1" t="str">
        <x:v>Terrestre</x:v>
      </x:c>
      <x:c r="F157" s="10" t="n">
        <x:v>130</x:v>
      </x:c>
      <x:c r="G157" s="10" t="n">
        <x:v>80</x:v>
      </x:c>
      <x:c r="H157" s="10" t="n">
        <x:f>MAX(F157:G157)</x:f>
        <x:v>130</x:v>
      </x:c>
      <x:c r="I157" s="1" t="str">
        <x:f>'Pokémon'!M349</x:f>
        <x:v>Física</x:v>
      </x:c>
      <x:c r="J157" s="1" t="str">
        <x:f>'Habilidades'!D3231</x:f>
        <x:v>Dragon Rush</x:v>
      </x:c>
      <x:c r="K157" s="1" t="str">
        <x:f>'Habilidades'!E3231</x:f>
        <x:v>Dragão</x:v>
      </x:c>
      <x:c r="L157" s="1" t="str">
        <x:f>'Habilidades'!F3231</x:f>
        <x:v>Física</x:v>
      </x:c>
      <x:c r="M157" s="10" t="n">
        <x:f>'Habilidades'!G3231</x:f>
        <x:v>100</x:v>
      </x:c>
      <x:c r="N157" s="10" t="n">
        <x:f>'Habilidades'!I3231</x:f>
        <x:v>230</x:v>
      </x:c>
      <x:c r="O157" s="1" t="str">
        <x:f>'Habilidades'!D3232&amp;" ("&amp;'Habilidades'!I3232&amp;")"</x:f>
        <x:v>Take Down (220)</x:v>
      </x:c>
      <x:c r="P157" s="1" t="str">
        <x:f>'Habilidades'!D3233&amp;" ("&amp;'Habilidades'!I3233&amp;")"</x:f>
        <x:v>Dragon Claw (210)</x:v>
      </x:c>
      <x:c r="Q157" s="1" t="str">
        <x:f>'Habilidades'!D3234&amp;" ("&amp;'Habilidades'!I3234&amp;")"</x:f>
        <x:v>Dig (210)</x:v>
      </x:c>
      <x:c r="R157" s="1" t="str">
        <x:f>'Habilidades'!D3235&amp;" ("&amp;'Habilidades'!I3235&amp;")"</x:f>
        <x:v>Crunch (210)</x:v>
      </x:c>
      <x:c r="S157" s="9" t="str">
        <x:v>https://poke.idleworld.online/pokepedia/pokemon/garchomp</x:v>
      </x:c>
    </x:row>
    <x:row r="158" ht="22" customHeight="1">
      <x:c r="A158" s="1" t="n">
        <x:v>153</x:v>
      </x:c>
      <x:c r="B158" s="1" t="n">
        <x:v>448</x:v>
      </x:c>
      <x:c r="C158" s="1" t="str">
        <x:v>Lucario</x:v>
      </x:c>
      <x:c r="D158" s="1" t="str">
        <x:v>Lutador</x:v>
      </x:c>
      <x:c r="E158" s="1" t="str">
        <x:v>Aço</x:v>
      </x:c>
      <x:c r="F158" s="10" t="n">
        <x:v>110</x:v>
      </x:c>
      <x:c r="G158" s="10" t="n">
        <x:v>115</x:v>
      </x:c>
      <x:c r="H158" s="10" t="n">
        <x:f>MAX(F158:G158)</x:f>
        <x:v>115</x:v>
      </x:c>
      <x:c r="I158" s="1" t="str">
        <x:f>'Pokémon'!M351</x:f>
        <x:v>Especial</x:v>
      </x:c>
      <x:c r="J158" s="1" t="str">
        <x:f>'Habilidades'!D3244</x:f>
        <x:v>Close Combat</x:v>
      </x:c>
      <x:c r="K158" s="1" t="str">
        <x:f>'Habilidades'!E3244</x:f>
        <x:v>Lutador</x:v>
      </x:c>
      <x:c r="L158" s="1" t="str">
        <x:f>'Habilidades'!F3244</x:f>
        <x:v>Física</x:v>
      </x:c>
      <x:c r="M158" s="10" t="n">
        <x:f>'Habilidades'!G3244</x:f>
        <x:v>120</x:v>
      </x:c>
      <x:c r="N158" s="10" t="n">
        <x:f>'Habilidades'!I3244</x:f>
        <x:v>230</x:v>
      </x:c>
      <x:c r="O158" s="1" t="str">
        <x:f>'Habilidades'!D3245&amp;" ("&amp;'Habilidades'!I3245&amp;")"</x:f>
        <x:v>Dragon Pulse (200)</x:v>
      </x:c>
      <x:c r="P158" s="1" t="str">
        <x:f>'Habilidades'!D3246&amp;" ("&amp;'Habilidades'!I3246&amp;")"</x:f>
        <x:v>Aura Sphere (195)</x:v>
      </x:c>
      <x:c r="Q158" s="1" t="str">
        <x:f>'Habilidades'!D3247&amp;" ("&amp;'Habilidades'!I3247&amp;")"</x:f>
        <x:v>Extreme Speed (190)</x:v>
      </x:c>
      <x:c r="R158" s="1" t="str">
        <x:f>'Habilidades'!D3248&amp;" ("&amp;'Habilidades'!I3248&amp;")"</x:f>
        <x:v>Metal Claw (160)</x:v>
      </x:c>
      <x:c r="S158" s="9" t="str">
        <x:v>https://poke.idleworld.online/pokepedia/pokemon/lucario</x:v>
      </x:c>
    </x:row>
    <x:row r="159" ht="22" customHeight="1">
      <x:c r="A159" s="1" t="n">
        <x:v>153</x:v>
      </x:c>
      <x:c r="B159" s="1" t="n">
        <x:v>306</x:v>
      </x:c>
      <x:c r="C159" s="1" t="str">
        <x:v>Aggron</x:v>
      </x:c>
      <x:c r="D159" s="1" t="str">
        <x:v>Aço</x:v>
      </x:c>
      <x:c r="E159" s="1" t="str">
        <x:v>Pedra</x:v>
      </x:c>
      <x:c r="F159" s="10" t="n">
        <x:v>110</x:v>
      </x:c>
      <x:c r="G159" s="10" t="n">
        <x:v>60</x:v>
      </x:c>
      <x:c r="H159" s="10" t="n">
        <x:f>MAX(F159:G159)</x:f>
        <x:v>110</x:v>
      </x:c>
      <x:c r="I159" s="1" t="str">
        <x:f>'Pokémon'!M290</x:f>
        <x:v>Física</x:v>
      </x:c>
      <x:c r="J159" s="1" t="str">
        <x:f>'Habilidades'!D2664</x:f>
        <x:v>Double-Edge</x:v>
      </x:c>
      <x:c r="K159" s="1" t="str">
        <x:f>'Habilidades'!E2664</x:f>
        <x:v>Normal</x:v>
      </x:c>
      <x:c r="L159" s="1" t="str">
        <x:f>'Habilidades'!F2664</x:f>
        <x:v>Física</x:v>
      </x:c>
      <x:c r="M159" s="10" t="n">
        <x:f>'Habilidades'!G2664</x:f>
        <x:v>120</x:v>
      </x:c>
      <x:c r="N159" s="10" t="n">
        <x:f>'Habilidades'!I2664</x:f>
        <x:v>230</x:v>
      </x:c>
      <x:c r="O159" s="1" t="str">
        <x:f>'Habilidades'!D2665&amp;" ("&amp;'Habilidades'!I2665&amp;")"</x:f>
        <x:v>Metal Burst (230)</x:v>
      </x:c>
      <x:c r="P159" s="1" t="str">
        <x:f>'Habilidades'!D2666&amp;" ("&amp;'Habilidades'!I2666&amp;")"</x:f>
        <x:v>Iron Tail (210)</x:v>
      </x:c>
      <x:c r="Q159" s="1" t="str">
        <x:f>'Habilidades'!D2667&amp;" ("&amp;'Habilidades'!I2667&amp;")"</x:f>
        <x:v>Take Down (200)</x:v>
      </x:c>
      <x:c r="R159" s="1" t="str">
        <x:f>'Habilidades'!D2668&amp;" ("&amp;'Habilidades'!I2668&amp;")"</x:f>
        <x:v>Iron Head (190)</x:v>
      </x:c>
      <x:c r="S159" s="9" t="str">
        <x:v>https://poke.idleworld.online/pokepedia/pokemon/aggron</x:v>
      </x:c>
    </x:row>
    <x:row r="160" ht="22" customHeight="1">
      <x:c r="A160" s="1" t="n">
        <x:v>153</x:v>
      </x:c>
      <x:c r="B160" s="1" t="n">
        <x:v>549</x:v>
      </x:c>
      <x:c r="C160" s="1" t="str">
        <x:v>Lilligant</x:v>
      </x:c>
      <x:c r="D160" s="1" t="str">
        <x:v>Planta</x:v>
      </x:c>
      <x:c r="E160" s="1" t="str"/>
      <x:c r="F160" s="10" t="n">
        <x:v>60</x:v>
      </x:c>
      <x:c r="G160" s="10" t="n">
        <x:v>110</x:v>
      </x:c>
      <x:c r="H160" s="10" t="n">
        <x:f>MAX(F160:G160)</x:f>
        <x:v>110</x:v>
      </x:c>
      <x:c r="I160" s="1" t="str">
        <x:f>'Pokémon'!M372</x:f>
        <x:v>Especial</x:v>
      </x:c>
      <x:c r="J160" s="1" t="str">
        <x:f>'Habilidades'!D3438</x:f>
        <x:v>Petal Dance</x:v>
      </x:c>
      <x:c r="K160" s="1" t="str">
        <x:f>'Habilidades'!E3438</x:f>
        <x:v>Planta</x:v>
      </x:c>
      <x:c r="L160" s="1" t="str">
        <x:f>'Habilidades'!F3438</x:f>
        <x:v>Especial</x:v>
      </x:c>
      <x:c r="M160" s="10" t="n">
        <x:f>'Habilidades'!G3438</x:f>
        <x:v>120</x:v>
      </x:c>
      <x:c r="N160" s="10" t="n">
        <x:f>'Habilidades'!I3438</x:f>
        <x:v>230</x:v>
      </x:c>
      <x:c r="O160" s="1" t="str">
        <x:f>'Habilidades'!D3439&amp;" ("&amp;'Habilidades'!I3439&amp;")"</x:f>
        <x:v>Petal Blizzard (150)</x:v>
      </x:c>
      <x:c r="P160" s="1" t="str">
        <x:f>'Habilidades'!D3440&amp;" ("&amp;'Habilidades'!I3440&amp;")"</x:f>
        <x:v>Mega Drain (150)</x:v>
      </x:c>
      <x:c r="Q160" s="1" t="str">
        <x:f>""</x:f>
      </x:c>
      <x:c r="R160" s="1" t="str">
        <x:f>""</x:f>
      </x:c>
      <x:c r="S160" s="9" t="str">
        <x:v>https://poke.idleworld.online/pokepedia/pokemon/lilligant</x:v>
      </x:c>
    </x:row>
    <x:row r="161" ht="22" customHeight="1">
      <x:c r="A161" s="1" t="n">
        <x:v>153</x:v>
      </x:c>
      <x:c r="B161" s="1" t="n">
        <x:v>156</x:v>
      </x:c>
      <x:c r="C161" s="1" t="str">
        <x:v>Quilava</x:v>
      </x:c>
      <x:c r="D161" s="1" t="str">
        <x:v>Fogo</x:v>
      </x:c>
      <x:c r="E161" s="1" t="str"/>
      <x:c r="F161" s="10" t="n">
        <x:v>64</x:v>
      </x:c>
      <x:c r="G161" s="10" t="n">
        <x:v>80</x:v>
      </x:c>
      <x:c r="H161" s="10" t="n">
        <x:f>MAX(F161:G161)</x:f>
        <x:v>80</x:v>
      </x:c>
      <x:c r="I161" s="1" t="str">
        <x:f>'Pokémon'!M160</x:f>
        <x:v>Especial</x:v>
      </x:c>
      <x:c r="J161" s="1" t="str">
        <x:f>'Habilidades'!D1497</x:f>
        <x:v>Eruption</x:v>
      </x:c>
      <x:c r="K161" s="1" t="str">
        <x:f>'Habilidades'!E1497</x:f>
        <x:v>Fogo</x:v>
      </x:c>
      <x:c r="L161" s="1" t="str">
        <x:f>'Habilidades'!F1497</x:f>
        <x:v>Especial</x:v>
      </x:c>
      <x:c r="M161" s="10" t="n">
        <x:f>'Habilidades'!G1497</x:f>
        <x:v>150</x:v>
      </x:c>
      <x:c r="N161" s="10" t="n">
        <x:f>'Habilidades'!I1497</x:f>
        <x:v>230</x:v>
      </x:c>
      <x:c r="O161" s="1" t="str">
        <x:f>'Habilidades'!D1498&amp;" ("&amp;'Habilidades'!I1498&amp;")"</x:f>
        <x:v>Double-Edge (184)</x:v>
      </x:c>
      <x:c r="P161" s="1" t="str">
        <x:f>'Habilidades'!D1499&amp;" ("&amp;'Habilidades'!I1499&amp;")"</x:f>
        <x:v>Inferno (180)</x:v>
      </x:c>
      <x:c r="Q161" s="1" t="str">
        <x:f>'Habilidades'!D1500&amp;" ("&amp;'Habilidades'!I1500&amp;")"</x:f>
        <x:v>Flamethrower (170)</x:v>
      </x:c>
      <x:c r="R161" s="1" t="str">
        <x:f>'Habilidades'!D1501&amp;" ("&amp;'Habilidades'!I1501&amp;")"</x:f>
        <x:v>Lava Plume (160)</x:v>
      </x:c>
      <x:c r="S161" s="9" t="str">
        <x:v>https://poke.idleworld.online/pokepedia/pokemon/quilava</x:v>
      </x:c>
    </x:row>
    <x:row r="162" ht="22" customHeight="1">
      <x:c r="A162" s="1" t="n">
        <x:v>153</x:v>
      </x:c>
      <x:c r="B162" s="1" t="n">
        <x:v>288</x:v>
      </x:c>
      <x:c r="C162" s="1" t="str">
        <x:v>Vigoroth</x:v>
      </x:c>
      <x:c r="D162" s="1" t="str">
        <x:v>Normal</x:v>
      </x:c>
      <x:c r="E162" s="1" t="str"/>
      <x:c r="F162" s="10" t="n">
        <x:v>80</x:v>
      </x:c>
      <x:c r="G162" s="10" t="n">
        <x:v>55</x:v>
      </x:c>
      <x:c r="H162" s="10" t="n">
        <x:f>MAX(F162:G162)</x:f>
        <x:v>80</x:v>
      </x:c>
      <x:c r="I162" s="1" t="str">
        <x:f>'Pokémon'!M280</x:f>
        <x:v>Física</x:v>
      </x:c>
      <x:c r="J162" s="1" t="str">
        <x:f>'Habilidades'!D2563</x:f>
        <x:v>Focus Punch</x:v>
      </x:c>
      <x:c r="K162" s="1" t="str">
        <x:f>'Habilidades'!E2563</x:f>
        <x:v>Lutador</x:v>
      </x:c>
      <x:c r="L162" s="1" t="str">
        <x:f>'Habilidades'!F2563</x:f>
        <x:v>Física</x:v>
      </x:c>
      <x:c r="M162" s="10" t="n">
        <x:f>'Habilidades'!G2563</x:f>
        <x:v>150</x:v>
      </x:c>
      <x:c r="N162" s="10" t="n">
        <x:f>'Habilidades'!I2563</x:f>
        <x:v>230</x:v>
      </x:c>
      <x:c r="O162" s="1" t="str">
        <x:f>'Habilidades'!D2564&amp;" ("&amp;'Habilidades'!I2564&amp;")"</x:f>
        <x:v>Reversal (180)</x:v>
      </x:c>
      <x:c r="P162" s="1" t="str">
        <x:f>'Habilidades'!D2565&amp;" ("&amp;'Habilidades'!I2565&amp;")"</x:f>
        <x:v>Slash (150)</x:v>
      </x:c>
      <x:c r="Q162" s="1" t="str">
        <x:f>'Habilidades'!D2566&amp;" ("&amp;'Habilidades'!I2566&amp;")"</x:f>
        <x:v>Chip Away (150)</x:v>
      </x:c>
      <x:c r="R162" s="1" t="str">
        <x:f>'Habilidades'!D2567&amp;" ("&amp;'Habilidades'!I2567&amp;")"</x:f>
        <x:v>Uproar (145)</x:v>
      </x:c>
      <x:c r="S162" s="9" t="str">
        <x:v>https://poke.idleworld.online/pokepedia/pokemon/vigoroth</x:v>
      </x:c>
    </x:row>
    <x:row r="163" ht="22" customHeight="1">
      <x:c r="A163" s="1" t="n">
        <x:v>159</x:v>
      </x:c>
      <x:c r="B163" s="1" t="n">
        <x:v>780</x:v>
      </x:c>
      <x:c r="C163" s="1" t="str">
        <x:v>Drampa</x:v>
      </x:c>
      <x:c r="D163" s="1" t="str">
        <x:v>Normal</x:v>
      </x:c>
      <x:c r="E163" s="1" t="str">
        <x:v>Dragão</x:v>
      </x:c>
      <x:c r="F163" s="10" t="n">
        <x:v>60</x:v>
      </x:c>
      <x:c r="G163" s="10" t="n">
        <x:v>135</x:v>
      </x:c>
      <x:c r="H163" s="10" t="n">
        <x:f>MAX(F163:G163)</x:f>
        <x:v>135</x:v>
      </x:c>
      <x:c r="I163" s="1" t="str">
        <x:f>'Pokémon'!M409</x:f>
        <x:v>Especial</x:v>
      </x:c>
      <x:c r="J163" s="1" t="str">
        <x:f>'Habilidades'!D3775</x:f>
        <x:v>Hyper Voice</x:v>
      </x:c>
      <x:c r="K163" s="1" t="str">
        <x:f>'Habilidades'!E3775</x:f>
        <x:v>Normal</x:v>
      </x:c>
      <x:c r="L163" s="1" t="str">
        <x:f>'Habilidades'!F3775</x:f>
        <x:v>Especial</x:v>
      </x:c>
      <x:c r="M163" s="10" t="n">
        <x:f>'Habilidades'!G3775</x:f>
        <x:v>90</x:v>
      </x:c>
      <x:c r="N163" s="10" t="n">
        <x:f>'Habilidades'!I3775</x:f>
        <x:v>225</x:v>
      </x:c>
      <x:c r="O163" s="1" t="str">
        <x:f>'Habilidades'!D3776&amp;" ("&amp;'Habilidades'!I3776&amp;")"</x:f>
        <x:v>Dragon Pulse (220)</x:v>
      </x:c>
      <x:c r="P163" s="1" t="str">
        <x:f>'Habilidades'!D3777&amp;" ("&amp;'Habilidades'!I3777&amp;")"</x:f>
        <x:v>Round (195)</x:v>
      </x:c>
      <x:c r="Q163" s="1" t="str">
        <x:f>'Habilidades'!D3778&amp;" ("&amp;'Habilidades'!I3778&amp;")"</x:f>
        <x:v>Dragon Breath (195)</x:v>
      </x:c>
      <x:c r="R163" s="1" t="str">
        <x:f>'Habilidades'!D3779&amp;" ("&amp;'Habilidades'!I3779&amp;")"</x:f>
        <x:v>Icy Wind (190)</x:v>
      </x:c>
      <x:c r="S163" s="9" t="str">
        <x:v>https://poke.idleworld.online/pokepedia/pokemon/drampa</x:v>
      </x:c>
    </x:row>
    <x:row r="164" ht="22" customHeight="1">
      <x:c r="A164" s="1" t="n">
        <x:v>159</x:v>
      </x:c>
      <x:c r="B164" s="1" t="n">
        <x:v>608</x:v>
      </x:c>
      <x:c r="C164" s="1" t="str">
        <x:v>Lampent</x:v>
      </x:c>
      <x:c r="D164" s="1" t="str">
        <x:v>Fantasma</x:v>
      </x:c>
      <x:c r="E164" s="1" t="str">
        <x:v>Fogo</x:v>
      </x:c>
      <x:c r="F164" s="10" t="n">
        <x:v>40</x:v>
      </x:c>
      <x:c r="G164" s="10" t="n">
        <x:v>95</x:v>
      </x:c>
      <x:c r="H164" s="10" t="n">
        <x:f>MAX(F164:G164)</x:f>
        <x:v>95</x:v>
      </x:c>
      <x:c r="I164" s="1" t="str">
        <x:f>'Pokémon'!M385</x:f>
        <x:v>Especial</x:v>
      </x:c>
      <x:c r="J164" s="1" t="str">
        <x:f>'Habilidades'!D3559</x:f>
        <x:v>Overheat</x:v>
      </x:c>
      <x:c r="K164" s="1" t="str">
        <x:f>'Habilidades'!E3559</x:f>
        <x:v>Fogo</x:v>
      </x:c>
      <x:c r="L164" s="1" t="str">
        <x:f>'Habilidades'!F3559</x:f>
        <x:v>Especial</x:v>
      </x:c>
      <x:c r="M164" s="10" t="n">
        <x:f>'Habilidades'!G3559</x:f>
        <x:v>130</x:v>
      </x:c>
      <x:c r="N164" s="10" t="n">
        <x:f>'Habilidades'!I3559</x:f>
        <x:v>225</x:v>
      </x:c>
      <x:c r="O164" s="1" t="str">
        <x:f>'Habilidades'!D3560&amp;" ("&amp;'Habilidades'!I3560&amp;")"</x:f>
        <x:v>Inferno (195)</x:v>
      </x:c>
      <x:c r="P164" s="1" t="str">
        <x:f>'Habilidades'!D3561&amp;" ("&amp;'Habilidades'!I3561&amp;")"</x:f>
        <x:v>Shadow Ball (175)</x:v>
      </x:c>
      <x:c r="Q164" s="1" t="str">
        <x:f>'Habilidades'!D3562&amp;" ("&amp;'Habilidades'!I3562&amp;")"</x:f>
        <x:v>Flame Burst (165)</x:v>
      </x:c>
      <x:c r="R164" s="1" t="str">
        <x:f>'Habilidades'!D3563&amp;" ("&amp;'Habilidades'!I3563&amp;")"</x:f>
        <x:v>Hex (160)</x:v>
      </x:c>
      <x:c r="S164" s="9" t="str">
        <x:v>https://poke.idleworld.online/pokepedia/pokemon/lampent</x:v>
      </x:c>
    </x:row>
    <x:row r="165" ht="22" customHeight="1">
      <x:c r="A165" s="1" t="n">
        <x:v>161</x:v>
      </x:c>
      <x:c r="B165" s="1" t="n">
        <x:v>675</x:v>
      </x:c>
      <x:c r="C165" s="1" t="str">
        <x:v>Pangoro</x:v>
      </x:c>
      <x:c r="D165" s="1" t="str">
        <x:v>Lutador</x:v>
      </x:c>
      <x:c r="E165" s="1" t="str">
        <x:v>Sombrio</x:v>
      </x:c>
      <x:c r="F165" s="10" t="n">
        <x:v>124</x:v>
      </x:c>
      <x:c r="G165" s="10" t="n">
        <x:v>69</x:v>
      </x:c>
      <x:c r="H165" s="10" t="n">
        <x:f>MAX(F165:G165)</x:f>
        <x:v>124</x:v>
      </x:c>
      <x:c r="I165" s="1" t="str">
        <x:f>'Pokémon'!M398</x:f>
        <x:v>Física</x:v>
      </x:c>
      <x:c r="J165" s="1" t="str">
        <x:f>'Habilidades'!D3680</x:f>
        <x:v>Hammer Arm</x:v>
      </x:c>
      <x:c r="K165" s="1" t="str">
        <x:f>'Habilidades'!E3680</x:f>
        <x:v>Lutador</x:v>
      </x:c>
      <x:c r="L165" s="1" t="str">
        <x:f>'Habilidades'!F3680</x:f>
        <x:v>Física</x:v>
      </x:c>
      <x:c r="M165" s="10" t="n">
        <x:f>'Habilidades'!G3680</x:f>
        <x:v>100</x:v>
      </x:c>
      <x:c r="N165" s="10" t="n">
        <x:f>'Habilidades'!I3680</x:f>
        <x:v>224</x:v>
      </x:c>
      <x:c r="O165" s="1" t="str">
        <x:f>'Habilidades'!D3681&amp;" ("&amp;'Habilidades'!I3681&amp;")"</x:f>
        <x:v>Body Slam (209)</x:v>
      </x:c>
      <x:c r="P165" s="1" t="str">
        <x:f>'Habilidades'!D3682&amp;" ("&amp;'Habilidades'!I3682&amp;")"</x:f>
        <x:v>Sky Uppercut (209)</x:v>
      </x:c>
      <x:c r="Q165" s="1" t="str">
        <x:f>'Habilidades'!D3683&amp;" ("&amp;'Habilidades'!I3683&amp;")"</x:f>
        <x:v>Crunch (204)</x:v>
      </x:c>
      <x:c r="R165" s="1" t="str">
        <x:f>'Habilidades'!D3684&amp;" ("&amp;'Habilidades'!I3684&amp;")"</x:f>
        <x:v>Slash (194)</x:v>
      </x:c>
      <x:c r="S165" s="9" t="str">
        <x:v>https://poke.idleworld.online/pokepedia/pokemon/pangoro</x:v>
      </x:c>
    </x:row>
    <x:row r="166" ht="22" customHeight="1">
      <x:c r="A166" s="1" t="n">
        <x:v>161</x:v>
      </x:c>
      <x:c r="B166" s="1" t="n">
        <x:v>392</x:v>
      </x:c>
      <x:c r="C166" s="1" t="str">
        <x:v>Infernape</x:v>
      </x:c>
      <x:c r="D166" s="1" t="str">
        <x:v>Fogo</x:v>
      </x:c>
      <x:c r="E166" s="1" t="str">
        <x:v>Lutador</x:v>
      </x:c>
      <x:c r="F166" s="10" t="n">
        <x:v>104</x:v>
      </x:c>
      <x:c r="G166" s="10" t="n">
        <x:v>104</x:v>
      </x:c>
      <x:c r="H166" s="10" t="n">
        <x:f>MAX(F166:G166)</x:f>
        <x:v>104</x:v>
      </x:c>
      <x:c r="I166" s="1" t="str">
        <x:f>'Pokémon'!M337</x:f>
        <x:v>Empate</x:v>
      </x:c>
      <x:c r="J166" s="1" t="str">
        <x:f>'Habilidades'!D3142</x:f>
        <x:v>Flare Blitz</x:v>
      </x:c>
      <x:c r="K166" s="1" t="str">
        <x:f>'Habilidades'!E3142</x:f>
        <x:v>Fogo</x:v>
      </x:c>
      <x:c r="L166" s="1" t="str">
        <x:f>'Habilidades'!F3142</x:f>
        <x:v>Física</x:v>
      </x:c>
      <x:c r="M166" s="10" t="n">
        <x:f>'Habilidades'!G3142</x:f>
        <x:v>120</x:v>
      </x:c>
      <x:c r="N166" s="10" t="n">
        <x:f>'Habilidades'!I3142</x:f>
        <x:v>224</x:v>
      </x:c>
      <x:c r="O166" s="1" t="str">
        <x:f>'Habilidades'!D3143&amp;" ("&amp;'Habilidades'!I3143&amp;")"</x:f>
        <x:v>Close Combat (224)</x:v>
      </x:c>
      <x:c r="P166" s="1" t="str">
        <x:f>'Habilidades'!D3144&amp;" ("&amp;'Habilidades'!I3144&amp;")"</x:f>
        <x:v>Flame Wheel (164)</x:v>
      </x:c>
      <x:c r="Q166" s="1" t="str">
        <x:f>'Habilidades'!D3145&amp;" ("&amp;'Habilidades'!I3145&amp;")"</x:f>
        <x:v>Acrobatics (159)</x:v>
      </x:c>
      <x:c r="R166" s="1" t="str">
        <x:f>'Habilidades'!D3146&amp;" ("&amp;'Habilidades'!I3146&amp;")"</x:f>
        <x:v>Ember (144)</x:v>
      </x:c>
      <x:c r="S166" s="9" t="str">
        <x:v>https://poke.idleworld.online/pokepedia/pokemon/infernape</x:v>
      </x:c>
    </x:row>
    <x:row r="167" ht="22" customHeight="1">
      <x:c r="A167" s="1" t="n">
        <x:v>163</x:v>
      </x:c>
      <x:c r="B167" s="1" t="n">
        <x:v>776</x:v>
      </x:c>
      <x:c r="C167" s="1" t="str">
        <x:v>Turtonator</x:v>
      </x:c>
      <x:c r="D167" s="1" t="str">
        <x:v>Fogo</x:v>
      </x:c>
      <x:c r="E167" s="1" t="str">
        <x:v>Dragão</x:v>
      </x:c>
      <x:c r="F167" s="10" t="n">
        <x:v>78</x:v>
      </x:c>
      <x:c r="G167" s="10" t="n">
        <x:v>91</x:v>
      </x:c>
      <x:c r="H167" s="10" t="n">
        <x:f>MAX(F167:G167)</x:f>
        <x:v>91</x:v>
      </x:c>
      <x:c r="I167" s="1" t="str">
        <x:f>'Pokémon'!M408</x:f>
        <x:v>Especial</x:v>
      </x:c>
      <x:c r="J167" s="1" t="str">
        <x:f>'Habilidades'!D3770</x:f>
        <x:v>Overheat</x:v>
      </x:c>
      <x:c r="K167" s="1" t="str">
        <x:f>'Habilidades'!E3770</x:f>
        <x:v>Fogo</x:v>
      </x:c>
      <x:c r="L167" s="1" t="str">
        <x:f>'Habilidades'!F3770</x:f>
        <x:v>Especial</x:v>
      </x:c>
      <x:c r="M167" s="10" t="n">
        <x:f>'Habilidades'!G3770</x:f>
        <x:v>130</x:v>
      </x:c>
      <x:c r="N167" s="10" t="n">
        <x:f>'Habilidades'!I3770</x:f>
        <x:v>221</x:v>
      </x:c>
      <x:c r="O167" s="1" t="str">
        <x:f>'Habilidades'!D3771&amp;" ("&amp;'Habilidades'!I3771&amp;")"</x:f>
        <x:v>Flamethrower (181)</x:v>
      </x:c>
      <x:c r="P167" s="1" t="str">
        <x:f>'Habilidades'!D3772&amp;" ("&amp;'Habilidades'!I3772&amp;")"</x:f>
        <x:v>Incinerate (151)</x:v>
      </x:c>
      <x:c r="Q167" s="1" t="str">
        <x:f>'Habilidades'!D3773&amp;" ("&amp;'Habilidades'!I3773&amp;")"</x:f>
        <x:v>Ember (131)</x:v>
      </x:c>
      <x:c r="R167" s="1" t="str">
        <x:f>'Habilidades'!D3774&amp;" ("&amp;'Habilidades'!I3774&amp;")"</x:f>
        <x:v>Fire Spin (126)</x:v>
      </x:c>
      <x:c r="S167" s="9" t="str">
        <x:v>https://poke.idleworld.online/pokepedia/pokemon/turtonator</x:v>
      </x:c>
    </x:row>
    <x:row r="168" ht="22" customHeight="1">
      <x:c r="A168" s="1" t="n">
        <x:v>164</x:v>
      </x:c>
      <x:c r="B168" s="1" t="n">
        <x:v>342</x:v>
      </x:c>
      <x:c r="C168" s="1" t="str">
        <x:v>Crawdaunt</x:v>
      </x:c>
      <x:c r="D168" s="1" t="str">
        <x:v>Água</x:v>
      </x:c>
      <x:c r="E168" s="1" t="str">
        <x:v>Sombrio</x:v>
      </x:c>
      <x:c r="F168" s="10" t="n">
        <x:v>120</x:v>
      </x:c>
      <x:c r="G168" s="10" t="n">
        <x:v>90</x:v>
      </x:c>
      <x:c r="H168" s="10" t="n">
        <x:f>MAX(F168:G168)</x:f>
        <x:v>120</x:v>
      </x:c>
      <x:c r="I168" s="1" t="str">
        <x:f>'Pokémon'!M315</x:f>
        <x:v>Física</x:v>
      </x:c>
      <x:c r="J168" s="1" t="str">
        <x:f>'Habilidades'!D2927</x:f>
        <x:v>Crabhammer</x:v>
      </x:c>
      <x:c r="K168" s="1" t="str">
        <x:f>'Habilidades'!E2927</x:f>
        <x:v>Água</x:v>
      </x:c>
      <x:c r="L168" s="1" t="str">
        <x:f>'Habilidades'!F2927</x:f>
        <x:v>Física</x:v>
      </x:c>
      <x:c r="M168" s="10" t="n">
        <x:f>'Habilidades'!G2927</x:f>
        <x:v>100</x:v>
      </x:c>
      <x:c r="N168" s="10" t="n">
        <x:f>'Habilidades'!I2927</x:f>
        <x:v>220</x:v>
      </x:c>
      <x:c r="O168" s="1" t="str">
        <x:f>'Habilidades'!D2928&amp;" ("&amp;'Habilidades'!I2928&amp;")"</x:f>
        <x:v>Crunch (200)</x:v>
      </x:c>
      <x:c r="P168" s="1" t="str">
        <x:f>'Habilidades'!D2929&amp;" ("&amp;'Habilidades'!I2929&amp;")"</x:f>
        <x:v>Razor Shell (195)</x:v>
      </x:c>
      <x:c r="Q168" s="1" t="str">
        <x:f>'Habilidades'!D2930&amp;" ("&amp;'Habilidades'!I2930&amp;")"</x:f>
        <x:v>Night Slash (190)</x:v>
      </x:c>
      <x:c r="R168" s="1" t="str">
        <x:f>'Habilidades'!D2931&amp;" ("&amp;'Habilidades'!I2931&amp;")"</x:f>
        <x:v>Knock Off (185)</x:v>
      </x:c>
      <x:c r="S168" s="9" t="str">
        <x:v>https://poke.idleworld.online/pokepedia/pokemon/crawdaunt</x:v>
      </x:c>
    </x:row>
    <x:row r="169" ht="22" customHeight="1">
      <x:c r="A169" s="1" t="n">
        <x:v>164</x:v>
      </x:c>
      <x:c r="B169" s="1" t="n">
        <x:v>465</x:v>
      </x:c>
      <x:c r="C169" s="1" t="str">
        <x:v>Tangrowth</x:v>
      </x:c>
      <x:c r="D169" s="1" t="str">
        <x:v>Planta</x:v>
      </x:c>
      <x:c r="E169" s="1" t="str"/>
      <x:c r="F169" s="10" t="n">
        <x:v>100</x:v>
      </x:c>
      <x:c r="G169" s="10" t="n">
        <x:v>110</x:v>
      </x:c>
      <x:c r="H169" s="10" t="n">
        <x:f>MAX(F169:G169)</x:f>
        <x:v>110</x:v>
      </x:c>
      <x:c r="I169" s="1" t="str">
        <x:f>'Pokémon'!M357</x:f>
        <x:v>Especial</x:v>
      </x:c>
      <x:c r="J169" s="1" t="str">
        <x:f>'Habilidades'!D3306</x:f>
        <x:v>Power Whip</x:v>
      </x:c>
      <x:c r="K169" s="1" t="str">
        <x:f>'Habilidades'!E3306</x:f>
        <x:v>Planta</x:v>
      </x:c>
      <x:c r="L169" s="1" t="str">
        <x:f>'Habilidades'!F3306</x:f>
        <x:v>Física</x:v>
      </x:c>
      <x:c r="M169" s="10" t="n">
        <x:f>'Habilidades'!G3306</x:f>
        <x:v>120</x:v>
      </x:c>
      <x:c r="N169" s="10" t="n">
        <x:f>'Habilidades'!I3306</x:f>
        <x:v>220</x:v>
      </x:c>
      <x:c r="O169" s="1" t="str">
        <x:f>'Habilidades'!D3307&amp;" ("&amp;'Habilidades'!I3307&amp;")"</x:f>
        <x:v>Giga Drain (185)</x:v>
      </x:c>
      <x:c r="P169" s="1" t="str">
        <x:f>'Habilidades'!D3308&amp;" ("&amp;'Habilidades'!I3308&amp;")"</x:f>
        <x:v>Slam (180)</x:v>
      </x:c>
      <x:c r="Q169" s="1" t="str">
        <x:f>'Habilidades'!D3309&amp;" ("&amp;'Habilidades'!I3309&amp;")"</x:f>
        <x:v>Ancient Power (170)</x:v>
      </x:c>
      <x:c r="R169" s="1" t="str">
        <x:f>'Habilidades'!D3310&amp;" ("&amp;'Habilidades'!I3310&amp;")"</x:f>
        <x:v>Knock Off (165)</x:v>
      </x:c>
      <x:c r="S169" s="9" t="str">
        <x:v>https://poke.idleworld.online/pokepedia/pokemon/tangrowth</x:v>
      </x:c>
    </x:row>
    <x:row r="170" ht="22" customHeight="1">
      <x:c r="A170" s="1" t="n">
        <x:v>164</x:v>
      </x:c>
      <x:c r="B170" s="1" t="n">
        <x:v>706</x:v>
      </x:c>
      <x:c r="C170" s="1" t="str">
        <x:v>Goodra</x:v>
      </x:c>
      <x:c r="D170" s="1" t="str">
        <x:v>Dragão</x:v>
      </x:c>
      <x:c r="E170" s="1" t="str"/>
      <x:c r="F170" s="10" t="n">
        <x:v>100</x:v>
      </x:c>
      <x:c r="G170" s="10" t="n">
        <x:v>110</x:v>
      </x:c>
      <x:c r="H170" s="10" t="n">
        <x:f>MAX(F170:G170)</x:f>
        <x:v>110</x:v>
      </x:c>
      <x:c r="I170" s="1" t="str">
        <x:f>'Pokémon'!M406</x:f>
        <x:v>Especial</x:v>
      </x:c>
      <x:c r="J170" s="1" t="str">
        <x:f>'Habilidades'!D3754</x:f>
        <x:v>Outrage</x:v>
      </x:c>
      <x:c r="K170" s="1" t="str">
        <x:f>'Habilidades'!E3754</x:f>
        <x:v>Dragão</x:v>
      </x:c>
      <x:c r="L170" s="1" t="str">
        <x:f>'Habilidades'!F3754</x:f>
        <x:v>Física</x:v>
      </x:c>
      <x:c r="M170" s="10" t="n">
        <x:f>'Habilidades'!G3754</x:f>
        <x:v>120</x:v>
      </x:c>
      <x:c r="N170" s="10" t="n">
        <x:f>'Habilidades'!I3754</x:f>
        <x:v>220</x:v>
      </x:c>
      <x:c r="O170" s="1" t="str">
        <x:f>'Habilidades'!D3755&amp;" ("&amp;'Habilidades'!I3755&amp;")"</x:f>
        <x:v>Power Whip (220)</x:v>
      </x:c>
      <x:c r="P170" s="1" t="str">
        <x:f>'Habilidades'!D3756&amp;" ("&amp;'Habilidades'!I3756&amp;")"</x:f>
        <x:v>Muddy Water (200)</x:v>
      </x:c>
      <x:c r="Q170" s="1" t="str">
        <x:f>'Habilidades'!D3757&amp;" ("&amp;'Habilidades'!I3757&amp;")"</x:f>
        <x:v>Dragon Pulse (195)</x:v>
      </x:c>
      <x:c r="R170" s="1" t="str">
        <x:f>'Habilidades'!D3758&amp;" ("&amp;'Habilidades'!I3758&amp;")"</x:f>
        <x:v>Aqua Tail (190)</x:v>
      </x:c>
      <x:c r="S170" s="9" t="str">
        <x:v>https://poke.idleworld.online/pokepedia/pokemon/goodra</x:v>
      </x:c>
    </x:row>
    <x:row r="171" ht="22" customHeight="1">
      <x:c r="A171" s="1" t="n">
        <x:v>164</x:v>
      </x:c>
      <x:c r="B171" s="1" t="n">
        <x:v>275</x:v>
      </x:c>
      <x:c r="C171" s="1" t="str">
        <x:v>Shiftry</x:v>
      </x:c>
      <x:c r="D171" s="1" t="str">
        <x:v>Planta</x:v>
      </x:c>
      <x:c r="E171" s="1" t="str">
        <x:v>Sombrio</x:v>
      </x:c>
      <x:c r="F171" s="10" t="n">
        <x:v>100</x:v>
      </x:c>
      <x:c r="G171" s="10" t="n">
        <x:v>90</x:v>
      </x:c>
      <x:c r="H171" s="10" t="n">
        <x:f>MAX(F171:G171)</x:f>
        <x:v>100</x:v>
      </x:c>
      <x:c r="I171" s="1" t="str">
        <x:f>'Pokémon'!M271</x:f>
        <x:v>Física</x:v>
      </x:c>
      <x:c r="J171" s="1" t="str">
        <x:f>'Habilidades'!D2489</x:f>
        <x:v>Leaf Storm</x:v>
      </x:c>
      <x:c r="K171" s="1" t="str">
        <x:f>'Habilidades'!E2489</x:f>
        <x:v>Planta</x:v>
      </x:c>
      <x:c r="L171" s="1" t="str">
        <x:f>'Habilidades'!F2489</x:f>
        <x:v>Especial</x:v>
      </x:c>
      <x:c r="M171" s="10" t="n">
        <x:f>'Habilidades'!G2489</x:f>
        <x:v>130</x:v>
      </x:c>
      <x:c r="N171" s="10" t="n">
        <x:f>'Habilidades'!I2489</x:f>
        <x:v>220</x:v>
      </x:c>
      <x:c r="O171" s="1" t="str">
        <x:f>'Habilidades'!D2490&amp;" ("&amp;'Habilidades'!I2490&amp;")"</x:f>
        <x:v>Hurricane (200)</x:v>
      </x:c>
      <x:c r="P171" s="1" t="str">
        <x:f>'Habilidades'!D2491&amp;" ("&amp;'Habilidades'!I2491&amp;")"</x:f>
        <x:v>Feint Attack (160)</x:v>
      </x:c>
      <x:c r="Q171" s="1" t="str">
        <x:f>'Habilidades'!D2492&amp;" ("&amp;'Habilidades'!I2492&amp;")"</x:f>
        <x:v>Leaf Tornado (155)</x:v>
      </x:c>
      <x:c r="R171" s="1" t="str">
        <x:f>'Habilidades'!D2493&amp;" ("&amp;'Habilidades'!I2493&amp;")"</x:f>
        <x:v>Razor Leaf (155)</x:v>
      </x:c>
      <x:c r="S171" s="9" t="str">
        <x:v>https://poke.idleworld.online/pokepedia/pokemon/shiftry</x:v>
      </x:c>
    </x:row>
    <x:row r="172" ht="22" customHeight="1">
      <x:c r="A172" s="1" t="n">
        <x:v>164</x:v>
      </x:c>
      <x:c r="B172" s="1" t="n">
        <x:v>328</x:v>
      </x:c>
      <x:c r="C172" s="1" t="str">
        <x:v>Trapinch</x:v>
      </x:c>
      <x:c r="D172" s="1" t="str">
        <x:v>Terrestre</x:v>
      </x:c>
      <x:c r="E172" s="1" t="str"/>
      <x:c r="F172" s="10" t="n">
        <x:v>100</x:v>
      </x:c>
      <x:c r="G172" s="10" t="n">
        <x:v>45</x:v>
      </x:c>
      <x:c r="H172" s="10" t="n">
        <x:f>MAX(F172:G172)</x:f>
        <x:v>100</x:v>
      </x:c>
      <x:c r="I172" s="1" t="str">
        <x:f>'Pokémon'!M302</x:f>
        <x:v>Física</x:v>
      </x:c>
      <x:c r="J172" s="1" t="str">
        <x:f>'Habilidades'!D2780</x:f>
        <x:v>Superpower</x:v>
      </x:c>
      <x:c r="K172" s="1" t="str">
        <x:f>'Habilidades'!E2780</x:f>
        <x:v>Lutador</x:v>
      </x:c>
      <x:c r="L172" s="1" t="str">
        <x:f>'Habilidades'!F2780</x:f>
        <x:v>Física</x:v>
      </x:c>
      <x:c r="M172" s="10" t="n">
        <x:f>'Habilidades'!G2780</x:f>
        <x:v>120</x:v>
      </x:c>
      <x:c r="N172" s="10" t="n">
        <x:f>'Habilidades'!I2780</x:f>
        <x:v>220</x:v>
      </x:c>
      <x:c r="O172" s="1" t="str">
        <x:f>'Habilidades'!D2781&amp;" ("&amp;'Habilidades'!I2781&amp;")"</x:f>
        <x:v>Earthquake (200)</x:v>
      </x:c>
      <x:c r="P172" s="1" t="str">
        <x:f>'Habilidades'!D2782&amp;" ("&amp;'Habilidades'!I2782&amp;")"</x:f>
        <x:v>Hyper Beam (195)</x:v>
      </x:c>
      <x:c r="Q172" s="1" t="str">
        <x:f>'Habilidades'!D2783&amp;" ("&amp;'Habilidades'!I2783&amp;")"</x:f>
        <x:v>Dig (180)</x:v>
      </x:c>
      <x:c r="R172" s="1" t="str">
        <x:f>'Habilidades'!D2784&amp;" ("&amp;'Habilidades'!I2784&amp;")"</x:f>
        <x:v>Crunch (180)</x:v>
      </x:c>
      <x:c r="S172" s="9" t="str">
        <x:v>https://poke.idleworld.online/pokepedia/pokemon/trapinch</x:v>
      </x:c>
    </x:row>
    <x:row r="173" ht="22" customHeight="1">
      <x:c r="A173" s="1" t="n">
        <x:v>164</x:v>
      </x:c>
      <x:c r="B173" s="1" t="n">
        <x:v>336</x:v>
      </x:c>
      <x:c r="C173" s="1" t="str">
        <x:v>Seviper</x:v>
      </x:c>
      <x:c r="D173" s="1" t="str">
        <x:v>Venenoso</x:v>
      </x:c>
      <x:c r="E173" s="1" t="str"/>
      <x:c r="F173" s="10" t="n">
        <x:v>100</x:v>
      </x:c>
      <x:c r="G173" s="10" t="n">
        <x:v>100</x:v>
      </x:c>
      <x:c r="H173" s="10" t="n">
        <x:f>MAX(F173:G173)</x:f>
        <x:v>100</x:v>
      </x:c>
      <x:c r="I173" s="1" t="str">
        <x:f>'Pokémon'!M309</x:f>
        <x:v>Empate</x:v>
      </x:c>
      <x:c r="J173" s="1" t="str">
        <x:f>'Habilidades'!D2870</x:f>
        <x:v>Belch</x:v>
      </x:c>
      <x:c r="K173" s="1" t="str">
        <x:f>'Habilidades'!E2870</x:f>
        <x:v>Venenoso</x:v>
      </x:c>
      <x:c r="L173" s="1" t="str">
        <x:f>'Habilidades'!F2870</x:f>
        <x:v>Especial</x:v>
      </x:c>
      <x:c r="M173" s="10" t="n">
        <x:f>'Habilidades'!G2870</x:f>
        <x:v>120</x:v>
      </x:c>
      <x:c r="N173" s="10" t="n">
        <x:f>'Habilidades'!I2870</x:f>
        <x:v>220</x:v>
      </x:c>
      <x:c r="O173" s="1" t="str">
        <x:f>'Habilidades'!D2871&amp;" ("&amp;'Habilidades'!I2871&amp;")"</x:f>
        <x:v>Poison Jab (180)</x:v>
      </x:c>
      <x:c r="P173" s="1" t="str">
        <x:f>'Habilidades'!D2872&amp;" ("&amp;'Habilidades'!I2872&amp;")"</x:f>
        <x:v>Crunch (180)</x:v>
      </x:c>
      <x:c r="Q173" s="1" t="str">
        <x:f>'Habilidades'!D2873&amp;" ("&amp;'Habilidades'!I2873&amp;")"</x:f>
        <x:v>Night Slash (170)</x:v>
      </x:c>
      <x:c r="R173" s="1" t="str">
        <x:f>'Habilidades'!D2874&amp;" ("&amp;'Habilidades'!I2874&amp;")"</x:f>
        <x:v>Venoshock (165)</x:v>
      </x:c>
      <x:c r="S173" s="9" t="str">
        <x:v>https://poke.idleworld.online/pokepedia/pokemon/seviper</x:v>
      </x:c>
    </x:row>
    <x:row r="174" ht="22" customHeight="1">
      <x:c r="A174" s="1" t="n">
        <x:v>164</x:v>
      </x:c>
      <x:c r="B174" s="1" t="n">
        <x:v>538</x:v>
      </x:c>
      <x:c r="C174" s="1" t="str">
        <x:v>Throh</x:v>
      </x:c>
      <x:c r="D174" s="1" t="str">
        <x:v>Lutador</x:v>
      </x:c>
      <x:c r="E174" s="1" t="str"/>
      <x:c r="F174" s="10" t="n">
        <x:v>100</x:v>
      </x:c>
      <x:c r="G174" s="10" t="n">
        <x:v>30</x:v>
      </x:c>
      <x:c r="H174" s="10" t="n">
        <x:f>MAX(F174:G174)</x:f>
        <x:v>100</x:v>
      </x:c>
      <x:c r="I174" s="1" t="str">
        <x:f>'Pokémon'!M367</x:f>
        <x:v>Física</x:v>
      </x:c>
      <x:c r="J174" s="1" t="str">
        <x:f>'Habilidades'!D3399</x:f>
        <x:v>Superpower</x:v>
      </x:c>
      <x:c r="K174" s="1" t="str">
        <x:f>'Habilidades'!E3399</x:f>
        <x:v>Lutador</x:v>
      </x:c>
      <x:c r="L174" s="1" t="str">
        <x:f>'Habilidades'!F3399</x:f>
        <x:v>Física</x:v>
      </x:c>
      <x:c r="M174" s="10" t="n">
        <x:f>'Habilidades'!G3399</x:f>
        <x:v>120</x:v>
      </x:c>
      <x:c r="N174" s="10" t="n">
        <x:f>'Habilidades'!I3399</x:f>
        <x:v>220</x:v>
      </x:c>
      <x:c r="O174" s="1" t="str">
        <x:f>'Habilidades'!D3400&amp;" ("&amp;'Habilidades'!I3400&amp;")"</x:f>
        <x:v>Body Slam (185)</x:v>
      </x:c>
      <x:c r="P174" s="1" t="str">
        <x:f>'Habilidades'!D3401&amp;" ("&amp;'Habilidades'!I3401&amp;")"</x:f>
        <x:v>Vital Throw (170)</x:v>
      </x:c>
      <x:c r="Q174" s="1" t="str">
        <x:f>'Habilidades'!D3402&amp;" ("&amp;'Habilidades'!I3402&amp;")"</x:f>
        <x:v>Revenge (160)</x:v>
      </x:c>
      <x:c r="R174" s="1" t="str">
        <x:f>'Habilidades'!D3403&amp;" ("&amp;'Habilidades'!I3403&amp;")"</x:f>
        <x:v>Storm Throw (160)</x:v>
      </x:c>
      <x:c r="S174" s="9" t="str">
        <x:v>https://poke.idleworld.online/pokepedia/pokemon/throh</x:v>
      </x:c>
    </x:row>
    <x:row r="175" ht="22" customHeight="1">
      <x:c r="A175" s="1" t="n">
        <x:v>164</x:v>
      </x:c>
      <x:c r="B175" s="1" t="n">
        <x:v>545</x:v>
      </x:c>
      <x:c r="C175" s="1" t="str">
        <x:v>Scolipede</x:v>
      </x:c>
      <x:c r="D175" s="1" t="str">
        <x:v>Inseto</x:v>
      </x:c>
      <x:c r="E175" s="1" t="str">
        <x:v>Venenoso</x:v>
      </x:c>
      <x:c r="F175" s="10" t="n">
        <x:v>100</x:v>
      </x:c>
      <x:c r="G175" s="10" t="n">
        <x:v>55</x:v>
      </x:c>
      <x:c r="H175" s="10" t="n">
        <x:f>MAX(F175:G175)</x:f>
        <x:v>100</x:v>
      </x:c>
      <x:c r="I175" s="1" t="str">
        <x:f>'Pokémon'!M370</x:f>
        <x:v>Física</x:v>
      </x:c>
      <x:c r="J175" s="1" t="str">
        <x:f>'Habilidades'!D3422</x:f>
        <x:v>Megahorn</x:v>
      </x:c>
      <x:c r="K175" s="1" t="str">
        <x:f>'Habilidades'!E3422</x:f>
        <x:v>Inseto</x:v>
      </x:c>
      <x:c r="L175" s="1" t="str">
        <x:f>'Habilidades'!F3422</x:f>
        <x:v>Física</x:v>
      </x:c>
      <x:c r="M175" s="10" t="n">
        <x:f>'Habilidades'!G3422</x:f>
        <x:v>120</x:v>
      </x:c>
      <x:c r="N175" s="10" t="n">
        <x:f>'Habilidades'!I3422</x:f>
        <x:v>220</x:v>
      </x:c>
      <x:c r="O175" s="1" t="str">
        <x:f>'Habilidades'!D3423&amp;" ("&amp;'Habilidades'!I3423&amp;")"</x:f>
        <x:v>Double-Edge (220)</x:v>
      </x:c>
      <x:c r="P175" s="1" t="str">
        <x:f>'Habilidades'!D3424&amp;" ("&amp;'Habilidades'!I3424&amp;")"</x:f>
        <x:v>Rock Climb (190)</x:v>
      </x:c>
      <x:c r="Q175" s="1" t="str">
        <x:f>'Habilidades'!D3425&amp;" ("&amp;'Habilidades'!I3425&amp;")"</x:f>
        <x:v>Steamroller (165)</x:v>
      </x:c>
      <x:c r="R175" s="1" t="str">
        <x:f>'Habilidades'!D3426&amp;" ("&amp;'Habilidades'!I3426&amp;")"</x:f>
        <x:v>Bug Bite (160)</x:v>
      </x:c>
      <x:c r="S175" s="9" t="str">
        <x:v>https://poke.idleworld.online/pokepedia/pokemon/scolipede</x:v>
      </x:c>
    </x:row>
    <x:row r="176" ht="22" customHeight="1">
      <x:c r="A176" s="1" t="n">
        <x:v>164</x:v>
      </x:c>
      <x:c r="B176" s="1" t="n">
        <x:v>601</x:v>
      </x:c>
      <x:c r="C176" s="1" t="str">
        <x:v>Klinklang</x:v>
      </x:c>
      <x:c r="D176" s="1" t="str">
        <x:v>Aço</x:v>
      </x:c>
      <x:c r="E176" s="1" t="str"/>
      <x:c r="F176" s="10" t="n">
        <x:v>100</x:v>
      </x:c>
      <x:c r="G176" s="10" t="n">
        <x:v>70</x:v>
      </x:c>
      <x:c r="H176" s="10" t="n">
        <x:f>MAX(F176:G176)</x:f>
        <x:v>100</x:v>
      </x:c>
      <x:c r="I176" s="1" t="str">
        <x:f>'Pokémon'!M380</x:f>
        <x:v>Física</x:v>
      </x:c>
      <x:c r="J176" s="1" t="str">
        <x:f>'Habilidades'!D3514</x:f>
        <x:v>Hyper Beam</x:v>
      </x:c>
      <x:c r="K176" s="1" t="str">
        <x:f>'Habilidades'!E3514</x:f>
        <x:v>Normal</x:v>
      </x:c>
      <x:c r="L176" s="1" t="str">
        <x:f>'Habilidades'!F3514</x:f>
        <x:v>Especial</x:v>
      </x:c>
      <x:c r="M176" s="10" t="n">
        <x:f>'Habilidades'!G3514</x:f>
        <x:v>150</x:v>
      </x:c>
      <x:c r="N176" s="10" t="n">
        <x:f>'Habilidades'!I3514</x:f>
        <x:v>220</x:v>
      </x:c>
      <x:c r="O176" s="1" t="str">
        <x:f>'Habilidades'!D3515&amp;" ("&amp;'Habilidades'!I3515&amp;")"</x:f>
        <x:v>Zap Cannon (190)</x:v>
      </x:c>
      <x:c r="P176" s="1" t="str">
        <x:f>'Habilidades'!D3516&amp;" ("&amp;'Habilidades'!I3516&amp;")"</x:f>
        <x:v>Vise Grip (155)</x:v>
      </x:c>
      <x:c r="Q176" s="1" t="str">
        <x:f>'Habilidades'!D3517&amp;" ("&amp;'Habilidades'!I3517&amp;")"</x:f>
        <x:v>Discharge (150)</x:v>
      </x:c>
      <x:c r="R176" s="1" t="str">
        <x:f>'Habilidades'!D3518&amp;" ("&amp;'Habilidades'!I3518&amp;")"</x:f>
        <x:v>Gear Grind (150)</x:v>
      </x:c>
      <x:c r="S176" s="9" t="str">
        <x:v>https://poke.idleworld.online/pokepedia/pokemon/klinklang</x:v>
      </x:c>
    </x:row>
    <x:row r="177" ht="22" customHeight="1">
      <x:c r="A177" s="1" t="n">
        <x:v>164</x:v>
      </x:c>
      <x:c r="B177" s="1" t="n">
        <x:v>673</x:v>
      </x:c>
      <x:c r="C177" s="1" t="str">
        <x:v>Gogoat</x:v>
      </x:c>
      <x:c r="D177" s="1" t="str">
        <x:v>Planta</x:v>
      </x:c>
      <x:c r="E177" s="1" t="str"/>
      <x:c r="F177" s="10" t="n">
        <x:v>100</x:v>
      </x:c>
      <x:c r="G177" s="10" t="n">
        <x:v>97</x:v>
      </x:c>
      <x:c r="H177" s="10" t="n">
        <x:f>MAX(F177:G177)</x:f>
        <x:v>100</x:v>
      </x:c>
      <x:c r="I177" s="1" t="str">
        <x:f>'Pokémon'!M396</x:f>
        <x:v>Física</x:v>
      </x:c>
      <x:c r="J177" s="1" t="str">
        <x:f>'Habilidades'!D3659</x:f>
        <x:v>Double-Edge</x:v>
      </x:c>
      <x:c r="K177" s="1" t="str">
        <x:f>'Habilidades'!E3659</x:f>
        <x:v>Normal</x:v>
      </x:c>
      <x:c r="L177" s="1" t="str">
        <x:f>'Habilidades'!F3659</x:f>
        <x:v>Física</x:v>
      </x:c>
      <x:c r="M177" s="10" t="n">
        <x:f>'Habilidades'!G3659</x:f>
        <x:v>120</x:v>
      </x:c>
      <x:c r="N177" s="10" t="n">
        <x:f>'Habilidades'!I3659</x:f>
        <x:v>220</x:v>
      </x:c>
      <x:c r="O177" s="1" t="str">
        <x:f>'Habilidades'!D3660&amp;" ("&amp;'Habilidades'!I3660&amp;")"</x:f>
        <x:v>Earthquake (200)</x:v>
      </x:c>
      <x:c r="P177" s="1" t="str">
        <x:f>'Habilidades'!D3661&amp;" ("&amp;'Habilidades'!I3661&amp;")"</x:f>
        <x:v>Take Down (190)</x:v>
      </x:c>
      <x:c r="Q177" s="1" t="str">
        <x:f>'Habilidades'!D3662&amp;" ("&amp;'Habilidades'!I3662&amp;")"</x:f>
        <x:v>Leaf Blade (190)</x:v>
      </x:c>
      <x:c r="R177" s="1" t="str">
        <x:f>'Habilidades'!D3663&amp;" ("&amp;'Habilidades'!I3663&amp;")"</x:f>
        <x:v>Seed Bomb (180)</x:v>
      </x:c>
      <x:c r="S177" s="9" t="str">
        <x:v>https://poke.idleworld.online/pokepedia/pokemon/gogoat</x:v>
      </x:c>
    </x:row>
    <x:row r="178" ht="22" customHeight="1">
      <x:c r="A178" s="1" t="n">
        <x:v>164</x:v>
      </x:c>
      <x:c r="B178" s="1" t="n">
        <x:v>148</x:v>
      </x:c>
      <x:c r="C178" s="1" t="str">
        <x:v>Dragonair</x:v>
      </x:c>
      <x:c r="D178" s="1" t="str">
        <x:v>Dragão</x:v>
      </x:c>
      <x:c r="E178" s="1" t="str"/>
      <x:c r="F178" s="10" t="n">
        <x:v>84</x:v>
      </x:c>
      <x:c r="G178" s="10" t="n">
        <x:v>70</x:v>
      </x:c>
      <x:c r="H178" s="10" t="n">
        <x:f>MAX(F178:G178)</x:f>
        <x:v>84</x:v>
      </x:c>
      <x:c r="I178" s="1" t="str">
        <x:f>'Pokémon'!M152</x:f>
        <x:v>Física</x:v>
      </x:c>
      <x:c r="J178" s="1" t="str">
        <x:f>'Habilidades'!D1420</x:f>
        <x:v>Hyper Beam</x:v>
      </x:c>
      <x:c r="K178" s="1" t="str">
        <x:f>'Habilidades'!E1420</x:f>
        <x:v>Normal</x:v>
      </x:c>
      <x:c r="L178" s="1" t="str">
        <x:f>'Habilidades'!F1420</x:f>
        <x:v>Especial</x:v>
      </x:c>
      <x:c r="M178" s="10" t="n">
        <x:f>'Habilidades'!G1420</x:f>
        <x:v>150</x:v>
      </x:c>
      <x:c r="N178" s="10" t="n">
        <x:f>'Habilidades'!I1420</x:f>
        <x:v>220</x:v>
      </x:c>
      <x:c r="O178" s="1" t="str">
        <x:f>'Habilidades'!D1421&amp;" ("&amp;'Habilidades'!I1421&amp;")"</x:f>
        <x:v>Outrage (204)</x:v>
      </x:c>
      <x:c r="P178" s="1" t="str">
        <x:f>'Habilidades'!D1422&amp;" ("&amp;'Habilidades'!I1422&amp;")"</x:f>
        <x:v>Dragon Rush (184)</x:v>
      </x:c>
      <x:c r="Q178" s="1" t="str">
        <x:f>'Habilidades'!D1423&amp;" ("&amp;'Habilidades'!I1423&amp;")"</x:f>
        <x:v>Aqua Tail (174)</x:v>
      </x:c>
      <x:c r="R178" s="1" t="str">
        <x:f>'Habilidades'!D1424&amp;" ("&amp;'Habilidades'!I1424&amp;")"</x:f>
        <x:v>Slam (164)</x:v>
      </x:c>
      <x:c r="S178" s="9" t="str">
        <x:v>https://poke.idleworld.online/pokepedia/pokemon/dragonair</x:v>
      </x:c>
    </x:row>
    <x:row r="179" ht="22" customHeight="1">
      <x:c r="A179" s="1" t="n">
        <x:v>164</x:v>
      </x:c>
      <x:c r="B179" s="1" t="n">
        <x:v>600</x:v>
      </x:c>
      <x:c r="C179" s="1" t="str">
        <x:v>Klang</x:v>
      </x:c>
      <x:c r="D179" s="1" t="str">
        <x:v>Aço</x:v>
      </x:c>
      <x:c r="E179" s="1" t="str"/>
      <x:c r="F179" s="10" t="n">
        <x:v>80</x:v>
      </x:c>
      <x:c r="G179" s="10" t="n">
        <x:v>70</x:v>
      </x:c>
      <x:c r="H179" s="10" t="n">
        <x:f>MAX(F179:G179)</x:f>
        <x:v>80</x:v>
      </x:c>
      <x:c r="I179" s="1" t="str">
        <x:f>'Pokémon'!M379</x:f>
        <x:v>Física</x:v>
      </x:c>
      <x:c r="J179" s="1" t="str">
        <x:f>'Habilidades'!D3505</x:f>
        <x:v>Hyper Beam</x:v>
      </x:c>
      <x:c r="K179" s="1" t="str">
        <x:f>'Habilidades'!E3505</x:f>
        <x:v>Normal</x:v>
      </x:c>
      <x:c r="L179" s="1" t="str">
        <x:f>'Habilidades'!F3505</x:f>
        <x:v>Especial</x:v>
      </x:c>
      <x:c r="M179" s="10" t="n">
        <x:f>'Habilidades'!G3505</x:f>
        <x:v>150</x:v>
      </x:c>
      <x:c r="N179" s="10" t="n">
        <x:f>'Habilidades'!I3505</x:f>
        <x:v>220</x:v>
      </x:c>
      <x:c r="O179" s="1" t="str">
        <x:f>'Habilidades'!D3506&amp;" ("&amp;'Habilidades'!I3506&amp;")"</x:f>
        <x:v>Zap Cannon (190)</x:v>
      </x:c>
      <x:c r="P179" s="1" t="str">
        <x:f>'Habilidades'!D3507&amp;" ("&amp;'Habilidades'!I3507&amp;")"</x:f>
        <x:v>Discharge (150)</x:v>
      </x:c>
      <x:c r="Q179" s="1" t="str">
        <x:f>'Habilidades'!D3508&amp;" ("&amp;'Habilidades'!I3508&amp;")"</x:f>
        <x:v>Mirror Shot (135)</x:v>
      </x:c>
      <x:c r="R179" s="1" t="str">
        <x:f>'Habilidades'!D3509&amp;" ("&amp;'Habilidades'!I3509&amp;")"</x:f>
        <x:v>Vise Grip (135)</x:v>
      </x:c>
      <x:c r="S179" s="9" t="str">
        <x:v>https://poke.idleworld.online/pokepedia/pokemon/klang</x:v>
      </x:c>
    </x:row>
    <x:row r="180" ht="22" customHeight="1">
      <x:c r="A180" s="1" t="n">
        <x:v>164</x:v>
      </x:c>
      <x:c r="B180" s="1" t="n">
        <x:v>344</x:v>
      </x:c>
      <x:c r="C180" s="1" t="str">
        <x:v>Claydol</x:v>
      </x:c>
      <x:c r="D180" s="1" t="str">
        <x:v>Terrestre</x:v>
      </x:c>
      <x:c r="E180" s="1" t="str">
        <x:v>Psíquico</x:v>
      </x:c>
      <x:c r="F180" s="10" t="n">
        <x:v>70</x:v>
      </x:c>
      <x:c r="G180" s="10" t="n">
        <x:v>70</x:v>
      </x:c>
      <x:c r="H180" s="10" t="n">
        <x:f>MAX(F180:G180)</x:f>
        <x:v>70</x:v>
      </x:c>
      <x:c r="I180" s="1" t="str">
        <x:f>'Pokémon'!M317</x:f>
        <x:v>Empate</x:v>
      </x:c>
      <x:c r="J180" s="1" t="str">
        <x:f>'Habilidades'!D2947</x:f>
        <x:v>Hyper Beam</x:v>
      </x:c>
      <x:c r="K180" s="1" t="str">
        <x:f>'Habilidades'!E2947</x:f>
        <x:v>Normal</x:v>
      </x:c>
      <x:c r="L180" s="1" t="str">
        <x:f>'Habilidades'!F2947</x:f>
        <x:v>Especial</x:v>
      </x:c>
      <x:c r="M180" s="10" t="n">
        <x:f>'Habilidades'!G2947</x:f>
        <x:v>150</x:v>
      </x:c>
      <x:c r="N180" s="10" t="n">
        <x:f>'Habilidades'!I2947</x:f>
        <x:v>220</x:v>
      </x:c>
      <x:c r="O180" s="1" t="str">
        <x:f>'Habilidades'!D2948&amp;" ("&amp;'Habilidades'!I2948&amp;")"</x:f>
        <x:v>Earth Power (160)</x:v>
      </x:c>
      <x:c r="P180" s="1" t="str">
        <x:f>'Habilidades'!D2949&amp;" ("&amp;'Habilidades'!I2949&amp;")"</x:f>
        <x:v>Extrasensory (150)</x:v>
      </x:c>
      <x:c r="Q180" s="1" t="str">
        <x:f>'Habilidades'!D2950&amp;" ("&amp;'Habilidades'!I2950&amp;")"</x:f>
        <x:v>Psybeam (135)</x:v>
      </x:c>
      <x:c r="R180" s="1" t="str">
        <x:f>'Habilidades'!D2951&amp;" ("&amp;'Habilidades'!I2951&amp;")"</x:f>
        <x:v>Rock Tomb (130)</x:v>
      </x:c>
      <x:c r="S180" s="9" t="str">
        <x:v>https://poke.idleworld.online/pokepedia/pokemon/claydol</x:v>
      </x:c>
    </x:row>
    <x:row r="181" ht="22" customHeight="1">
      <x:c r="A181" s="1" t="n">
        <x:v>177</x:v>
      </x:c>
      <x:c r="B181" s="1" t="n">
        <x:v>609</x:v>
      </x:c>
      <x:c r="C181" s="1" t="str">
        <x:v>Chandelure</x:v>
      </x:c>
      <x:c r="D181" s="1" t="str">
        <x:v>Fantasma</x:v>
      </x:c>
      <x:c r="E181" s="1" t="str">
        <x:v>Fogo</x:v>
      </x:c>
      <x:c r="F181" s="10" t="n">
        <x:v>55</x:v>
      </x:c>
      <x:c r="G181" s="10" t="n">
        <x:v>145</x:v>
      </x:c>
      <x:c r="H181" s="10" t="n">
        <x:f>MAX(F181:G181)</x:f>
        <x:v>145</x:v>
      </x:c>
      <x:c r="I181" s="1" t="str">
        <x:f>'Pokémon'!M386</x:f>
        <x:v>Especial</x:v>
      </x:c>
      <x:c r="J181" s="1" t="str">
        <x:f>'Habilidades'!D3568</x:f>
        <x:v>Flame Burst</x:v>
      </x:c>
      <x:c r="K181" s="1" t="str">
        <x:f>'Habilidades'!E3568</x:f>
        <x:v>Fogo</x:v>
      </x:c>
      <x:c r="L181" s="1" t="str">
        <x:f>'Habilidades'!F3568</x:f>
        <x:v>Especial</x:v>
      </x:c>
      <x:c r="M181" s="10" t="n">
        <x:f>'Habilidades'!G3568</x:f>
        <x:v>70</x:v>
      </x:c>
      <x:c r="N181" s="10" t="n">
        <x:f>'Habilidades'!I3568</x:f>
        <x:v>215</x:v>
      </x:c>
      <x:c r="O181" s="1" t="str">
        <x:f>'Habilidades'!D3569&amp;" ("&amp;'Habilidades'!I3569&amp;")"</x:f>
        <x:v>Hex (210)</x:v>
      </x:c>
      <x:c r="P181" s="1" t="str">
        <x:f>'Habilidades'!D3570&amp;" ("&amp;'Habilidades'!I3570&amp;")"</x:f>
        <x:v>Smog (175)</x:v>
      </x:c>
      <x:c r="Q181" s="1" t="str">
        <x:f>""</x:f>
      </x:c>
      <x:c r="R181" s="1" t="str">
        <x:f>""</x:f>
      </x:c>
      <x:c r="S181" s="9" t="str">
        <x:v>https://poke.idleworld.online/pokepedia/pokemon/chandelure</x:v>
      </x:c>
    </x:row>
    <x:row r="182" ht="22" customHeight="1">
      <x:c r="A182" s="1" t="n">
        <x:v>177</x:v>
      </x:c>
      <x:c r="B182" s="1" t="n">
        <x:v>93</x:v>
      </x:c>
      <x:c r="C182" s="1" t="str">
        <x:v>Haunter</x:v>
      </x:c>
      <x:c r="D182" s="1" t="str">
        <x:v>Fantasma</x:v>
      </x:c>
      <x:c r="E182" s="1" t="str">
        <x:v>Venenoso</x:v>
      </x:c>
      <x:c r="F182" s="10" t="n">
        <x:v>50</x:v>
      </x:c>
      <x:c r="G182" s="10" t="n">
        <x:v>115</x:v>
      </x:c>
      <x:c r="H182" s="10" t="n">
        <x:f>MAX(F182:G182)</x:f>
        <x:v>115</x:v>
      </x:c>
      <x:c r="I182" s="1" t="str">
        <x:f>'Pokémon'!M97</x:f>
        <x:v>Especial</x:v>
      </x:c>
      <x:c r="J182" s="1" t="str">
        <x:f>'Habilidades'!D860</x:f>
        <x:v>Dream Eater</x:v>
      </x:c>
      <x:c r="K182" s="1" t="str">
        <x:f>'Habilidades'!E860</x:f>
        <x:v>Psíquico</x:v>
      </x:c>
      <x:c r="L182" s="1" t="str">
        <x:f>'Habilidades'!F860</x:f>
        <x:v>Especial</x:v>
      </x:c>
      <x:c r="M182" s="10" t="n">
        <x:f>'Habilidades'!G860</x:f>
        <x:v>100</x:v>
      </x:c>
      <x:c r="N182" s="10" t="n">
        <x:f>'Habilidades'!I860</x:f>
        <x:v>215</x:v>
      </x:c>
      <x:c r="O182" s="1" t="str">
        <x:f>'Habilidades'!D861&amp;" ("&amp;'Habilidades'!I861&amp;")"</x:f>
        <x:v>Shadow Ball (195)</x:v>
      </x:c>
      <x:c r="P182" s="1" t="str">
        <x:f>'Habilidades'!D862&amp;" ("&amp;'Habilidades'!I862&amp;")"</x:f>
        <x:v>Dark Pulse (195)</x:v>
      </x:c>
      <x:c r="Q182" s="1" t="str">
        <x:f>'Habilidades'!D863&amp;" ("&amp;'Habilidades'!I863&amp;")"</x:f>
        <x:v>Hex (180)</x:v>
      </x:c>
      <x:c r="R182" s="1" t="str">
        <x:f>'Habilidades'!D864&amp;" ("&amp;'Habilidades'!I864&amp;")"</x:f>
        <x:v>Night Shade (171)</x:v>
      </x:c>
      <x:c r="S182" s="9" t="str">
        <x:v>https://poke.idleworld.online/pokepedia/pokemon/haunter</x:v>
      </x:c>
    </x:row>
    <x:row r="183" ht="22" customHeight="1">
      <x:c r="A183" s="1" t="n">
        <x:v>177</x:v>
      </x:c>
      <x:c r="B183" s="1" t="n">
        <x:v>310</x:v>
      </x:c>
      <x:c r="C183" s="1" t="str">
        <x:v>Manectric</x:v>
      </x:c>
      <x:c r="D183" s="1" t="str">
        <x:v>Elétrico</x:v>
      </x:c>
      <x:c r="E183" s="1" t="str"/>
      <x:c r="F183" s="10" t="n">
        <x:v>75</x:v>
      </x:c>
      <x:c r="G183" s="10" t="n">
        <x:v>105</x:v>
      </x:c>
      <x:c r="H183" s="10" t="n">
        <x:f>MAX(F183:G183)</x:f>
        <x:v>105</x:v>
      </x:c>
      <x:c r="I183" s="1" t="str">
        <x:f>'Pokémon'!M294</x:f>
        <x:v>Especial</x:v>
      </x:c>
      <x:c r="J183" s="1" t="str">
        <x:f>'Habilidades'!D2701</x:f>
        <x:v>Thunder</x:v>
      </x:c>
      <x:c r="K183" s="1" t="str">
        <x:f>'Habilidades'!E2701</x:f>
        <x:v>Elétrico</x:v>
      </x:c>
      <x:c r="L183" s="1" t="str">
        <x:f>'Habilidades'!F2701</x:f>
        <x:v>Especial</x:v>
      </x:c>
      <x:c r="M183" s="10" t="n">
        <x:f>'Habilidades'!G2701</x:f>
        <x:v>110</x:v>
      </x:c>
      <x:c r="N183" s="10" t="n">
        <x:f>'Habilidades'!I2701</x:f>
        <x:v>215</x:v>
      </x:c>
      <x:c r="O183" s="1" t="str">
        <x:f>'Habilidades'!D2702&amp;" ("&amp;'Habilidades'!I2702&amp;")"</x:f>
        <x:v>Discharge (185)</x:v>
      </x:c>
      <x:c r="P183" s="1" t="str">
        <x:f>'Habilidades'!D2703&amp;" ("&amp;'Habilidades'!I2703&amp;")"</x:f>
        <x:v>Wild Charge (165)</x:v>
      </x:c>
      <x:c r="Q183" s="1" t="str">
        <x:f>'Habilidades'!D2704&amp;" ("&amp;'Habilidades'!I2704&amp;")"</x:f>
        <x:v>Fire Fang (140)</x:v>
      </x:c>
      <x:c r="R183" s="1" t="str">
        <x:f>'Habilidades'!D2705&amp;" ("&amp;'Habilidades'!I2705&amp;")"</x:f>
        <x:v>Spark (140)</x:v>
      </x:c>
      <x:c r="S183" s="9" t="str">
        <x:v>https://poke.idleworld.online/pokepedia/pokemon/manectric</x:v>
      </x:c>
    </x:row>
    <x:row r="184" ht="22" customHeight="1">
      <x:c r="A184" s="1" t="n">
        <x:v>177</x:v>
      </x:c>
      <x:c r="B184" s="1" t="n">
        <x:v>75</x:v>
      </x:c>
      <x:c r="C184" s="1" t="str">
        <x:v>Graveler</x:v>
      </x:c>
      <x:c r="D184" s="1" t="str">
        <x:v>Pedra</x:v>
      </x:c>
      <x:c r="E184" s="1" t="str">
        <x:v>Terrestre</x:v>
      </x:c>
      <x:c r="F184" s="10" t="n">
        <x:v>95</x:v>
      </x:c>
      <x:c r="G184" s="10" t="n">
        <x:v>45</x:v>
      </x:c>
      <x:c r="H184" s="10" t="n">
        <x:f>MAX(F184:G184)</x:f>
        <x:v>95</x:v>
      </x:c>
      <x:c r="I184" s="1" t="str">
        <x:f>'Pokémon'!M79</x:f>
        <x:v>Física</x:v>
      </x:c>
      <x:c r="J184" s="1" t="str">
        <x:f>'Habilidades'!D667</x:f>
        <x:v>Double-Edge</x:v>
      </x:c>
      <x:c r="K184" s="1" t="str">
        <x:f>'Habilidades'!E667</x:f>
        <x:v>Normal</x:v>
      </x:c>
      <x:c r="L184" s="1" t="str">
        <x:f>'Habilidades'!F667</x:f>
        <x:v>Física</x:v>
      </x:c>
      <x:c r="M184" s="10" t="n">
        <x:f>'Habilidades'!G667</x:f>
        <x:v>120</x:v>
      </x:c>
      <x:c r="N184" s="10" t="n">
        <x:f>'Habilidades'!I667</x:f>
        <x:v>215</x:v>
      </x:c>
      <x:c r="O184" s="1" t="str">
        <x:f>'Habilidades'!D668&amp;" ("&amp;'Habilidades'!I668&amp;")"</x:f>
        <x:v>Earthquake (195)</x:v>
      </x:c>
      <x:c r="P184" s="1" t="str">
        <x:f>'Habilidades'!D669&amp;" ("&amp;'Habilidades'!I669&amp;")"</x:f>
        <x:v>Stone Edge (195)</x:v>
      </x:c>
      <x:c r="Q184" s="1" t="str">
        <x:f>'Habilidades'!D670&amp;" ("&amp;'Habilidades'!I670&amp;")"</x:f>
        <x:v>Bulldoze (155)</x:v>
      </x:c>
      <x:c r="R184" s="1" t="str">
        <x:f>'Habilidades'!D671&amp;" ("&amp;'Habilidades'!I671&amp;")"</x:f>
        <x:v>Tackle (145)</x:v>
      </x:c>
      <x:c r="S184" s="9" t="str">
        <x:v>https://poke.idleworld.online/pokepedia/pokemon/graveler</x:v>
      </x:c>
    </x:row>
    <x:row r="185" ht="22" customHeight="1">
      <x:c r="A185" s="1" t="n">
        <x:v>177</x:v>
      </x:c>
      <x:c r="B185" s="1" t="n">
        <x:v>81</x:v>
      </x:c>
      <x:c r="C185" s="1" t="str">
        <x:v>Magnemite</x:v>
      </x:c>
      <x:c r="D185" s="1" t="str">
        <x:v>Elétrico</x:v>
      </x:c>
      <x:c r="E185" s="1" t="str">
        <x:v>Aço</x:v>
      </x:c>
      <x:c r="F185" s="10" t="n">
        <x:v>35</x:v>
      </x:c>
      <x:c r="G185" s="10" t="n">
        <x:v>95</x:v>
      </x:c>
      <x:c r="H185" s="10" t="n">
        <x:f>MAX(F185:G185)</x:f>
        <x:v>95</x:v>
      </x:c>
      <x:c r="I185" s="1" t="str">
        <x:f>'Pokémon'!M85</x:f>
        <x:v>Especial</x:v>
      </x:c>
      <x:c r="J185" s="1" t="str">
        <x:f>'Habilidades'!D729</x:f>
        <x:v>Zap Cannon</x:v>
      </x:c>
      <x:c r="K185" s="1" t="str">
        <x:f>'Habilidades'!E729</x:f>
        <x:v>Elétrico</x:v>
      </x:c>
      <x:c r="L185" s="1" t="str">
        <x:f>'Habilidades'!F729</x:f>
        <x:v>Especial</x:v>
      </x:c>
      <x:c r="M185" s="10" t="n">
        <x:f>'Habilidades'!G729</x:f>
        <x:v>120</x:v>
      </x:c>
      <x:c r="N185" s="10" t="n">
        <x:f>'Habilidades'!I729</x:f>
        <x:v>215</x:v>
      </x:c>
      <x:c r="O185" s="1" t="str">
        <x:f>'Habilidades'!D730&amp;" ("&amp;'Habilidades'!I730&amp;")"</x:f>
        <x:v>Flash Cannon (175)</x:v>
      </x:c>
      <x:c r="P185" s="1" t="str">
        <x:f>'Habilidades'!D731&amp;" ("&amp;'Habilidades'!I731&amp;")"</x:f>
        <x:v>Discharge (175)</x:v>
      </x:c>
      <x:c r="Q185" s="1" t="str">
        <x:f>'Habilidades'!D732&amp;" ("&amp;'Habilidades'!I732&amp;")"</x:f>
        <x:v>Mirror Shot (160)</x:v>
      </x:c>
      <x:c r="R185" s="1" t="str">
        <x:f>'Habilidades'!D733&amp;" ("&amp;'Habilidades'!I733&amp;")"</x:f>
        <x:v>Sonicboom (151)</x:v>
      </x:c>
      <x:c r="S185" s="9" t="str">
        <x:v>https://poke.idleworld.online/pokepedia/pokemon/magnemite</x:v>
      </x:c>
    </x:row>
    <x:row r="186" ht="22" customHeight="1">
      <x:c r="A186" s="1" t="n">
        <x:v>177</x:v>
      </x:c>
      <x:c r="B186" s="1" t="n">
        <x:v>115</x:v>
      </x:c>
      <x:c r="C186" s="1" t="str">
        <x:v>Kangaskhan</x:v>
      </x:c>
      <x:c r="D186" s="1" t="str">
        <x:v>Normal</x:v>
      </x:c>
      <x:c r="E186" s="1" t="str"/>
      <x:c r="F186" s="10" t="n">
        <x:v>95</x:v>
      </x:c>
      <x:c r="G186" s="10" t="n">
        <x:v>40</x:v>
      </x:c>
      <x:c r="H186" s="10" t="n">
        <x:f>MAX(F186:G186)</x:f>
        <x:v>95</x:v>
      </x:c>
      <x:c r="I186" s="1" t="str">
        <x:f>'Pokémon'!M119</x:f>
        <x:v>Física</x:v>
      </x:c>
      <x:c r="J186" s="1" t="str">
        <x:f>'Habilidades'!D1096</x:f>
        <x:v>Outrage</x:v>
      </x:c>
      <x:c r="K186" s="1" t="str">
        <x:f>'Habilidades'!E1096</x:f>
        <x:v>Dragão</x:v>
      </x:c>
      <x:c r="L186" s="1" t="str">
        <x:f>'Habilidades'!F1096</x:f>
        <x:v>Física</x:v>
      </x:c>
      <x:c r="M186" s="10" t="n">
        <x:f>'Habilidades'!G1096</x:f>
        <x:v>120</x:v>
      </x:c>
      <x:c r="N186" s="10" t="n">
        <x:f>'Habilidades'!I1096</x:f>
        <x:v>215</x:v>
      </x:c>
      <x:c r="O186" s="1" t="str">
        <x:f>'Habilidades'!D1097&amp;" ("&amp;'Habilidades'!I1097&amp;")"</x:f>
        <x:v>Mega Punch (175)</x:v>
      </x:c>
      <x:c r="P186" s="1" t="str">
        <x:f>'Habilidades'!D1098&amp;" ("&amp;'Habilidades'!I1098&amp;")"</x:f>
        <x:v>Crunch (175)</x:v>
      </x:c>
      <x:c r="Q186" s="1" t="str">
        <x:f>'Habilidades'!D1099&amp;" ("&amp;'Habilidades'!I1099&amp;")"</x:f>
        <x:v>Sucker Punch (175)</x:v>
      </x:c>
      <x:c r="R186" s="1" t="str">
        <x:f>'Habilidades'!D1100&amp;" ("&amp;'Habilidades'!I1100&amp;")"</x:f>
        <x:v>Chip Away (165)</x:v>
      </x:c>
      <x:c r="S186" s="9" t="str">
        <x:v>https://poke.idleworld.online/pokepedia/pokemon/kangaskhan</x:v>
      </x:c>
    </x:row>
    <x:row r="187" ht="22" customHeight="1">
      <x:c r="A187" s="1" t="n">
        <x:v>177</x:v>
      </x:c>
      <x:c r="B187" s="1" t="n">
        <x:v>337</x:v>
      </x:c>
      <x:c r="C187" s="1" t="str">
        <x:v>Lunatone</x:v>
      </x:c>
      <x:c r="D187" s="1" t="str">
        <x:v>Pedra</x:v>
      </x:c>
      <x:c r="E187" s="1" t="str">
        <x:v>Psíquico</x:v>
      </x:c>
      <x:c r="F187" s="10" t="n">
        <x:v>55</x:v>
      </x:c>
      <x:c r="G187" s="10" t="n">
        <x:v>95</x:v>
      </x:c>
      <x:c r="H187" s="10" t="n">
        <x:f>MAX(F187:G187)</x:f>
        <x:v>95</x:v>
      </x:c>
      <x:c r="I187" s="1" t="str">
        <x:f>'Pokémon'!M310</x:f>
        <x:v>Especial</x:v>
      </x:c>
      <x:c r="J187" s="1" t="str">
        <x:f>'Habilidades'!D2880</x:f>
        <x:v>Future Sight</x:v>
      </x:c>
      <x:c r="K187" s="1" t="str">
        <x:f>'Habilidades'!E2880</x:f>
        <x:v>Psíquico</x:v>
      </x:c>
      <x:c r="L187" s="1" t="str">
        <x:f>'Habilidades'!F2880</x:f>
        <x:v>Especial</x:v>
      </x:c>
      <x:c r="M187" s="10" t="n">
        <x:f>'Habilidades'!G2880</x:f>
        <x:v>120</x:v>
      </x:c>
      <x:c r="N187" s="10" t="n">
        <x:f>'Habilidades'!I2880</x:f>
        <x:v>215</x:v>
      </x:c>
      <x:c r="O187" s="1" t="str">
        <x:f>'Habilidades'!D2881&amp;" ("&amp;'Habilidades'!I2881&amp;")"</x:f>
        <x:v>Moonblast (190)</x:v>
      </x:c>
      <x:c r="P187" s="1" t="str">
        <x:f>'Habilidades'!D2882&amp;" ("&amp;'Habilidades'!I2882&amp;")"</x:f>
        <x:v>Psychic (185)</x:v>
      </x:c>
      <x:c r="Q187" s="1" t="str">
        <x:f>'Habilidades'!D2883&amp;" ("&amp;'Habilidades'!I2883&amp;")"</x:f>
        <x:v>Stone Edge (155)</x:v>
      </x:c>
      <x:c r="R187" s="1" t="str">
        <x:f>'Habilidades'!D2884&amp;" ("&amp;'Habilidades'!I2884&amp;")"</x:f>
        <x:v>Confusion (145)</x:v>
      </x:c>
      <x:c r="S187" s="9" t="str">
        <x:v>https://poke.idleworld.online/pokepedia/pokemon/lunatone</x:v>
      </x:c>
    </x:row>
    <x:row r="188" ht="22" customHeight="1">
      <x:c r="A188" s="1" t="n">
        <x:v>177</x:v>
      </x:c>
      <x:c r="B188" s="1" t="n">
        <x:v>472</x:v>
      </x:c>
      <x:c r="C188" s="1" t="str">
        <x:v>Gliscor</x:v>
      </x:c>
      <x:c r="D188" s="1" t="str">
        <x:v>Terrestre</x:v>
      </x:c>
      <x:c r="E188" s="1" t="str">
        <x:v>Voador</x:v>
      </x:c>
      <x:c r="F188" s="10" t="n">
        <x:v>95</x:v>
      </x:c>
      <x:c r="G188" s="10" t="n">
        <x:v>45</x:v>
      </x:c>
      <x:c r="H188" s="10" t="n">
        <x:f>MAX(F188:G188)</x:f>
        <x:v>95</x:v>
      </x:c>
      <x:c r="I188" s="1" t="str">
        <x:f>'Pokémon'!M363</x:f>
        <x:v>Física</x:v>
      </x:c>
      <x:c r="J188" s="1" t="str">
        <x:f>'Habilidades'!D3360</x:f>
        <x:v>Guillotine</x:v>
      </x:c>
      <x:c r="K188" s="1" t="str">
        <x:f>'Habilidades'!E3360</x:f>
        <x:v>Normal</x:v>
      </x:c>
      <x:c r="L188" s="1" t="str">
        <x:f>'Habilidades'!F3360</x:f>
        <x:v>Física</x:v>
      </x:c>
      <x:c r="M188" s="10" t="n">
        <x:f>'Habilidades'!G3360</x:f>
        <x:v>120</x:v>
      </x:c>
      <x:c r="N188" s="10" t="n">
        <x:f>'Habilidades'!I3360</x:f>
        <x:v>215</x:v>
      </x:c>
      <x:c r="O188" s="1" t="str">
        <x:f>'Habilidades'!D3361&amp;" ("&amp;'Habilidades'!I3361&amp;")"</x:f>
        <x:v>Sky Uppercut (180)</x:v>
      </x:c>
      <x:c r="P188" s="1" t="str">
        <x:f>'Habilidades'!D3362&amp;" ("&amp;'Habilidades'!I3362&amp;")"</x:f>
        <x:v>Poison Jab (175)</x:v>
      </x:c>
      <x:c r="Q188" s="1" t="str">
        <x:f>'Habilidades'!D3363&amp;" ("&amp;'Habilidades'!I3363&amp;")"</x:f>
        <x:v>X-Scissor (175)</x:v>
      </x:c>
      <x:c r="R188" s="1" t="str">
        <x:f>'Habilidades'!D3364&amp;" ("&amp;'Habilidades'!I3364&amp;")"</x:f>
        <x:v>Night Slash (165)</x:v>
      </x:c>
      <x:c r="S188" s="9" t="str">
        <x:v>https://poke.idleworld.online/pokepedia/pokemon/gliscor</x:v>
      </x:c>
    </x:row>
    <x:row r="189" ht="22" customHeight="1">
      <x:c r="A189" s="1" t="n">
        <x:v>177</x:v>
      </x:c>
      <x:c r="B189" s="1" t="n">
        <x:v>253</x:v>
      </x:c>
      <x:c r="C189" s="1" t="str">
        <x:v>Grovyle</x:v>
      </x:c>
      <x:c r="D189" s="1" t="str">
        <x:v>Planta</x:v>
      </x:c>
      <x:c r="E189" s="1" t="str"/>
      <x:c r="F189" s="10" t="n">
        <x:v>65</x:v>
      </x:c>
      <x:c r="G189" s="10" t="n">
        <x:v>85</x:v>
      </x:c>
      <x:c r="H189" s="10" t="n">
        <x:f>MAX(F189:G189)</x:f>
        <x:v>85</x:v>
      </x:c>
      <x:c r="I189" s="1" t="str">
        <x:f>'Pokémon'!M256</x:f>
        <x:v>Especial</x:v>
      </x:c>
      <x:c r="J189" s="1" t="str">
        <x:f>'Habilidades'!D2360</x:f>
        <x:v>Leaf Storm</x:v>
      </x:c>
      <x:c r="K189" s="1" t="str">
        <x:f>'Habilidades'!E2360</x:f>
        <x:v>Planta</x:v>
      </x:c>
      <x:c r="L189" s="1" t="str">
        <x:f>'Habilidades'!F2360</x:f>
        <x:v>Especial</x:v>
      </x:c>
      <x:c r="M189" s="10" t="n">
        <x:f>'Habilidades'!G2360</x:f>
        <x:v>130</x:v>
      </x:c>
      <x:c r="N189" s="10" t="n">
        <x:f>'Habilidades'!I2360</x:f>
        <x:v>215</x:v>
      </x:c>
      <x:c r="O189" s="1" t="str">
        <x:f>'Habilidades'!D2361&amp;" ("&amp;'Habilidades'!I2361&amp;")"</x:f>
        <x:v>Leaf Blade (155)</x:v>
      </x:c>
      <x:c r="P189" s="1" t="str">
        <x:f>'Habilidades'!D2362&amp;" ("&amp;'Habilidades'!I2362&amp;")"</x:f>
        <x:v>Slam (145)</x:v>
      </x:c>
      <x:c r="Q189" s="1" t="str">
        <x:f>'Habilidades'!D2363&amp;" ("&amp;'Habilidades'!I2363&amp;")"</x:f>
        <x:v>X-Scissor (145)</x:v>
      </x:c>
      <x:c r="R189" s="1" t="str">
        <x:f>'Habilidades'!D2364&amp;" ("&amp;'Habilidades'!I2364&amp;")"</x:f>
        <x:v>Mega Drain (125)</x:v>
      </x:c>
      <x:c r="S189" s="9" t="str">
        <x:v>https://poke.idleworld.online/pokepedia/pokemon/grovyle</x:v>
      </x:c>
    </x:row>
    <x:row r="190" ht="22" customHeight="1">
      <x:c r="A190" s="1" t="n">
        <x:v>177</x:v>
      </x:c>
      <x:c r="B190" s="1" t="n">
        <x:v>247</x:v>
      </x:c>
      <x:c r="C190" s="1" t="str">
        <x:v>Pupitar</x:v>
      </x:c>
      <x:c r="D190" s="1" t="str">
        <x:v>Pedra</x:v>
      </x:c>
      <x:c r="E190" s="1" t="str">
        <x:v>Terrestre</x:v>
      </x:c>
      <x:c r="F190" s="10" t="n">
        <x:v>84</x:v>
      </x:c>
      <x:c r="G190" s="10" t="n">
        <x:v>65</x:v>
      </x:c>
      <x:c r="H190" s="10" t="n">
        <x:f>MAX(F190:G190)</x:f>
        <x:v>84</x:v>
      </x:c>
      <x:c r="I190" s="1" t="str">
        <x:f>'Pokémon'!M250</x:f>
        <x:v>Física</x:v>
      </x:c>
      <x:c r="J190" s="1" t="str">
        <x:f>'Habilidades'!D2298</x:f>
        <x:v>Hyper Beam</x:v>
      </x:c>
      <x:c r="K190" s="1" t="str">
        <x:f>'Habilidades'!E2298</x:f>
        <x:v>Normal</x:v>
      </x:c>
      <x:c r="L190" s="1" t="str">
        <x:f>'Habilidades'!F2298</x:f>
        <x:v>Especial</x:v>
      </x:c>
      <x:c r="M190" s="10" t="n">
        <x:f>'Habilidades'!G2298</x:f>
        <x:v>150</x:v>
      </x:c>
      <x:c r="N190" s="10" t="n">
        <x:f>'Habilidades'!I2298</x:f>
        <x:v>215</x:v>
      </x:c>
      <x:c r="O190" s="1" t="str">
        <x:f>'Habilidades'!D2299&amp;" ("&amp;'Habilidades'!I2299&amp;")"</x:f>
        <x:v>Thrash (204)</x:v>
      </x:c>
      <x:c r="P190" s="1" t="str">
        <x:f>'Habilidades'!D2300&amp;" ("&amp;'Habilidades'!I2300&amp;")"</x:f>
        <x:v>Earthquake (184)</x:v>
      </x:c>
      <x:c r="Q190" s="1" t="str">
        <x:f>'Habilidades'!D2301&amp;" ("&amp;'Habilidades'!I2301&amp;")"</x:f>
        <x:v>Stone Edge (184)</x:v>
      </x:c>
      <x:c r="R190" s="1" t="str">
        <x:f>'Habilidades'!D2302&amp;" ("&amp;'Habilidades'!I2302&amp;")"</x:f>
        <x:v>Crunch (164)</x:v>
      </x:c>
      <x:c r="S190" s="9" t="str">
        <x:v>https://poke.idleworld.online/pokepedia/pokemon/pupitar</x:v>
      </x:c>
    </x:row>
    <x:row r="191" ht="22" customHeight="1">
      <x:c r="A191" s="1" t="n">
        <x:v>177</x:v>
      </x:c>
      <x:c r="B191" s="1" t="n">
        <x:v>223</x:v>
      </x:c>
      <x:c r="C191" s="1" t="str">
        <x:v>Remoraid</x:v>
      </x:c>
      <x:c r="D191" s="1" t="str">
        <x:v>Água</x:v>
      </x:c>
      <x:c r="E191" s="1" t="str"/>
      <x:c r="F191" s="10" t="n">
        <x:v>65</x:v>
      </x:c>
      <x:c r="G191" s="10" t="n">
        <x:v>65</x:v>
      </x:c>
      <x:c r="H191" s="10" t="n">
        <x:f>MAX(F191:G191)</x:f>
        <x:v>65</x:v>
      </x:c>
      <x:c r="I191" s="1" t="str">
        <x:f>'Pokémon'!M226</x:f>
        <x:v>Empate</x:v>
      </x:c>
      <x:c r="J191" s="1" t="str">
        <x:f>'Habilidades'!D2096</x:f>
        <x:v>Hyper Beam</x:v>
      </x:c>
      <x:c r="K191" s="1" t="str">
        <x:f>'Habilidades'!E2096</x:f>
        <x:v>Normal</x:v>
      </x:c>
      <x:c r="L191" s="1" t="str">
        <x:f>'Habilidades'!F2096</x:f>
        <x:v>Especial</x:v>
      </x:c>
      <x:c r="M191" s="10" t="n">
        <x:f>'Habilidades'!G2096</x:f>
        <x:v>150</x:v>
      </x:c>
      <x:c r="N191" s="10" t="n">
        <x:f>'Habilidades'!I2096</x:f>
        <x:v>215</x:v>
      </x:c>
      <x:c r="O191" s="1" t="str">
        <x:f>'Habilidades'!D2097&amp;" ("&amp;'Habilidades'!I2097&amp;")"</x:f>
        <x:v>Hydro Pump (175)</x:v>
      </x:c>
      <x:c r="P191" s="1" t="str">
        <x:f>'Habilidades'!D2098&amp;" ("&amp;'Habilidades'!I2098&amp;")"</x:f>
        <x:v>Ice Beam (155)</x:v>
      </x:c>
      <x:c r="Q191" s="1" t="str">
        <x:f>'Habilidades'!D2099&amp;" ("&amp;'Habilidades'!I2099&amp;")"</x:f>
        <x:v>Signal Beam (140)</x:v>
      </x:c>
      <x:c r="R191" s="1" t="str">
        <x:f>'Habilidades'!D2100&amp;" ("&amp;'Habilidades'!I2100&amp;")"</x:f>
        <x:v>Psybeam (130)</x:v>
      </x:c>
      <x:c r="S191" s="9" t="str">
        <x:v>https://poke.idleworld.online/pokepedia/pokemon/remoraid</x:v>
      </x:c>
    </x:row>
    <x:row r="192" ht="22" customHeight="1">
      <x:c r="A192" s="1" t="n">
        <x:v>188</x:v>
      </x:c>
      <x:c r="B192" s="1" t="n">
        <x:v>460</x:v>
      </x:c>
      <x:c r="C192" s="1" t="str">
        <x:v>Abomasnow</x:v>
      </x:c>
      <x:c r="D192" s="1" t="str">
        <x:v>Planta</x:v>
      </x:c>
      <x:c r="E192" s="1" t="str">
        <x:v>Gelo</x:v>
      </x:c>
      <x:c r="F192" s="10" t="n">
        <x:v>92</x:v>
      </x:c>
      <x:c r="G192" s="10" t="n">
        <x:v>92</x:v>
      </x:c>
      <x:c r="H192" s="10" t="n">
        <x:f>MAX(F192:G192)</x:f>
        <x:v>92</x:v>
      </x:c>
      <x:c r="I192" s="1" t="str">
        <x:f>'Pokémon'!M353</x:f>
        <x:v>Empate</x:v>
      </x:c>
      <x:c r="J192" s="1" t="str">
        <x:f>'Habilidades'!D3265</x:f>
        <x:v>Wood Hammer</x:v>
      </x:c>
      <x:c r="K192" s="1" t="str">
        <x:f>'Habilidades'!E3265</x:f>
        <x:v>Planta</x:v>
      </x:c>
      <x:c r="L192" s="1" t="str">
        <x:f>'Habilidades'!F3265</x:f>
        <x:v>Física</x:v>
      </x:c>
      <x:c r="M192" s="10" t="n">
        <x:f>'Habilidades'!G3265</x:f>
        <x:v>120</x:v>
      </x:c>
      <x:c r="N192" s="10" t="n">
        <x:f>'Habilidades'!I3265</x:f>
        <x:v>212</x:v>
      </x:c>
      <x:c r="O192" s="1" t="str">
        <x:f>'Habilidades'!D3266&amp;" ("&amp;'Habilidades'!I3266&amp;")"</x:f>
        <x:v>Blizzard (202)</x:v>
      </x:c>
      <x:c r="P192" s="1" t="str">
        <x:f>'Habilidades'!D3267&amp;" ("&amp;'Habilidades'!I3267&amp;")"</x:f>
        <x:v>Ice Punch (167)</x:v>
      </x:c>
      <x:c r="Q192" s="1" t="str">
        <x:f>'Habilidades'!D3268&amp;" ("&amp;'Habilidades'!I3268&amp;")"</x:f>
        <x:v>Razor Leaf (147)</x:v>
      </x:c>
      <x:c r="R192" s="1" t="str">
        <x:f>'Habilidades'!D3269&amp;" ("&amp;'Habilidades'!I3269&amp;")"</x:f>
        <x:v>Icy Wind (147)</x:v>
      </x:c>
      <x:c r="S192" s="9" t="str">
        <x:v>https://poke.idleworld.online/pokepedia/pokemon/abomasnow</x:v>
      </x:c>
    </x:row>
    <x:row r="193" ht="22" customHeight="1">
      <x:c r="A193" s="1" t="n">
        <x:v>189</x:v>
      </x:c>
      <x:c r="B193" s="1" t="n">
        <x:v>359</x:v>
      </x:c>
      <x:c r="C193" s="1" t="str">
        <x:v>Absol</x:v>
      </x:c>
      <x:c r="D193" s="1" t="str">
        <x:v>Sombrio</x:v>
      </x:c>
      <x:c r="E193" s="1" t="str"/>
      <x:c r="F193" s="10" t="n">
        <x:v>130</x:v>
      </x:c>
      <x:c r="G193" s="10" t="n">
        <x:v>75</x:v>
      </x:c>
      <x:c r="H193" s="10" t="n">
        <x:f>MAX(F193:G193)</x:f>
        <x:v>130</x:v>
      </x:c>
      <x:c r="I193" s="1" t="str">
        <x:f>'Pokémon'!M325</x:f>
        <x:v>Física</x:v>
      </x:c>
      <x:c r="J193" s="1" t="str">
        <x:f>'Habilidades'!D3015</x:f>
        <x:v>Sucker Punch</x:v>
      </x:c>
      <x:c r="K193" s="1" t="str">
        <x:f>'Habilidades'!E3015</x:f>
        <x:v>Sombrio</x:v>
      </x:c>
      <x:c r="L193" s="1" t="str">
        <x:f>'Habilidades'!F3015</x:f>
        <x:v>Física</x:v>
      </x:c>
      <x:c r="M193" s="10" t="n">
        <x:f>'Habilidades'!G3015</x:f>
        <x:v>80</x:v>
      </x:c>
      <x:c r="N193" s="10" t="n">
        <x:f>'Habilidades'!I3015</x:f>
        <x:v>210</x:v>
      </x:c>
      <x:c r="O193" s="1" t="str">
        <x:f>'Habilidades'!D3016&amp;" ("&amp;'Habilidades'!I3016&amp;")"</x:f>
        <x:v>Slash (200)</x:v>
      </x:c>
      <x:c r="P193" s="1" t="str">
        <x:f>'Habilidades'!D3017&amp;" ("&amp;'Habilidades'!I3017&amp;")"</x:f>
        <x:v>Night Slash (200)</x:v>
      </x:c>
      <x:c r="Q193" s="1" t="str">
        <x:f>'Habilidades'!D3018&amp;" ("&amp;'Habilidades'!I3018&amp;")"</x:f>
        <x:v>Psycho Cut (200)</x:v>
      </x:c>
      <x:c r="R193" s="1" t="str">
        <x:f>'Habilidades'!D3019&amp;" ("&amp;'Habilidades'!I3019&amp;")"</x:f>
        <x:v>Future Sight (195)</x:v>
      </x:c>
      <x:c r="S193" s="9" t="str">
        <x:v>https://poke.idleworld.online/pokepedia/pokemon/absol</x:v>
      </x:c>
    </x:row>
    <x:row r="194" ht="22" customHeight="1">
      <x:c r="A194" s="1" t="n">
        <x:v>189</x:v>
      </x:c>
      <x:c r="B194" s="1" t="n">
        <x:v>405</x:v>
      </x:c>
      <x:c r="C194" s="1" t="str">
        <x:v>Luxray</x:v>
      </x:c>
      <x:c r="D194" s="1" t="str">
        <x:v>Elétrico</x:v>
      </x:c>
      <x:c r="E194" s="1" t="str"/>
      <x:c r="F194" s="10" t="n">
        <x:v>120</x:v>
      </x:c>
      <x:c r="G194" s="10" t="n">
        <x:v>95</x:v>
      </x:c>
      <x:c r="H194" s="10" t="n">
        <x:f>MAX(F194:G194)</x:f>
        <x:v>120</x:v>
      </x:c>
      <x:c r="I194" s="1" t="str">
        <x:f>'Pokémon'!M338</x:f>
        <x:v>Física</x:v>
      </x:c>
      <x:c r="J194" s="1" t="str">
        <x:f>'Habilidades'!D3152</x:f>
        <x:v>Wild Charge</x:v>
      </x:c>
      <x:c r="K194" s="1" t="str">
        <x:f>'Habilidades'!E3152</x:f>
        <x:v>Elétrico</x:v>
      </x:c>
      <x:c r="L194" s="1" t="str">
        <x:f>'Habilidades'!F3152</x:f>
        <x:v>Física</x:v>
      </x:c>
      <x:c r="M194" s="10" t="n">
        <x:f>'Habilidades'!G3152</x:f>
        <x:v>90</x:v>
      </x:c>
      <x:c r="N194" s="10" t="n">
        <x:f>'Habilidades'!I3152</x:f>
        <x:v>210</x:v>
      </x:c>
      <x:c r="O194" s="1" t="str">
        <x:f>'Habilidades'!D3153&amp;" ("&amp;'Habilidades'!I3153&amp;")"</x:f>
        <x:v>Crunch (200)</x:v>
      </x:c>
      <x:c r="P194" s="1" t="str">
        <x:f>'Habilidades'!D3154&amp;" ("&amp;'Habilidades'!I3154&amp;")"</x:f>
        <x:v>Spark (185)</x:v>
      </x:c>
      <x:c r="Q194" s="1" t="str">
        <x:f>'Habilidades'!D3155&amp;" ("&amp;'Habilidades'!I3155&amp;")"</x:f>
        <x:v>Thunder Fang (185)</x:v>
      </x:c>
      <x:c r="R194" s="1" t="str">
        <x:f>'Habilidades'!D3156&amp;" ("&amp;'Habilidades'!I3156&amp;")"</x:f>
        <x:v>Bite (180)</x:v>
      </x:c>
      <x:c r="S194" s="9" t="str">
        <x:v>https://poke.idleworld.online/pokepedia/pokemon/luxray</x:v>
      </x:c>
    </x:row>
    <x:row r="195" ht="22" customHeight="1">
      <x:c r="A195" s="1" t="n">
        <x:v>189</x:v>
      </x:c>
      <x:c r="B195" s="1" t="n">
        <x:v>260</x:v>
      </x:c>
      <x:c r="C195" s="1" t="str">
        <x:v>Swampert</x:v>
      </x:c>
      <x:c r="D195" s="1" t="str">
        <x:v>Água</x:v>
      </x:c>
      <x:c r="E195" s="1" t="str">
        <x:v>Terrestre</x:v>
      </x:c>
      <x:c r="F195" s="10" t="n">
        <x:v>110</x:v>
      </x:c>
      <x:c r="G195" s="10" t="n">
        <x:v>85</x:v>
      </x:c>
      <x:c r="H195" s="10" t="n">
        <x:f>MAX(F195:G195)</x:f>
        <x:v>110</x:v>
      </x:c>
      <x:c r="I195" s="1" t="str">
        <x:f>'Pokémon'!M263</x:f>
        <x:v>Física</x:v>
      </x:c>
      <x:c r="J195" s="1" t="str">
        <x:f>'Habilidades'!D2434</x:f>
        <x:v>Hammer Arm</x:v>
      </x:c>
      <x:c r="K195" s="1" t="str">
        <x:f>'Habilidades'!E2434</x:f>
        <x:v>Lutador</x:v>
      </x:c>
      <x:c r="L195" s="1" t="str">
        <x:f>'Habilidades'!F2434</x:f>
        <x:v>Física</x:v>
      </x:c>
      <x:c r="M195" s="10" t="n">
        <x:f>'Habilidades'!G2434</x:f>
        <x:v>100</x:v>
      </x:c>
      <x:c r="N195" s="10" t="n">
        <x:f>'Habilidades'!I2434</x:f>
        <x:v>210</x:v>
      </x:c>
      <x:c r="O195" s="1" t="str">
        <x:f>'Habilidades'!D2435&amp;" ("&amp;'Habilidades'!I2435&amp;")"</x:f>
        <x:v>Earthquake (210)</x:v>
      </x:c>
      <x:c r="P195" s="1" t="str">
        <x:f>'Habilidades'!D2436&amp;" ("&amp;'Habilidades'!I2436&amp;")"</x:f>
        <x:v>Take Down (200)</x:v>
      </x:c>
      <x:c r="Q195" s="1" t="str">
        <x:f>'Habilidades'!D2437&amp;" ("&amp;'Habilidades'!I2437&amp;")"</x:f>
        <x:v>Rock Slide (185)</x:v>
      </x:c>
      <x:c r="R195" s="1" t="str">
        <x:f>'Habilidades'!D2438&amp;" ("&amp;'Habilidades'!I2438&amp;")"</x:f>
        <x:v>Muddy Water (175)</x:v>
      </x:c>
      <x:c r="S195" s="9" t="str">
        <x:v>https://poke.idleworld.online/pokepedia/pokemon/swampert</x:v>
      </x:c>
    </x:row>
    <x:row r="196" ht="22" customHeight="1">
      <x:c r="A196" s="1" t="n">
        <x:v>189</x:v>
      </x:c>
      <x:c r="B196" s="1" t="n">
        <x:v>350</x:v>
      </x:c>
      <x:c r="C196" s="1" t="str">
        <x:v>Milotic</x:v>
      </x:c>
      <x:c r="D196" s="1" t="str">
        <x:v>Água</x:v>
      </x:c>
      <x:c r="E196" s="1" t="str"/>
      <x:c r="F196" s="10" t="n">
        <x:v>60</x:v>
      </x:c>
      <x:c r="G196" s="10" t="n">
        <x:v>100</x:v>
      </x:c>
      <x:c r="H196" s="10" t="n">
        <x:f>MAX(F196:G196)</x:f>
        <x:v>100</x:v>
      </x:c>
      <x:c r="I196" s="1" t="str">
        <x:f>'Pokémon'!M319</x:f>
        <x:v>Especial</x:v>
      </x:c>
      <x:c r="J196" s="1" t="str">
        <x:f>'Habilidades'!D2960</x:f>
        <x:v>Hydro Pump</x:v>
      </x:c>
      <x:c r="K196" s="1" t="str">
        <x:f>'Habilidades'!E2960</x:f>
        <x:v>Água</x:v>
      </x:c>
      <x:c r="L196" s="1" t="str">
        <x:f>'Habilidades'!F2960</x:f>
        <x:v>Especial</x:v>
      </x:c>
      <x:c r="M196" s="10" t="n">
        <x:f>'Habilidades'!G2960</x:f>
        <x:v>110</x:v>
      </x:c>
      <x:c r="N196" s="10" t="n">
        <x:f>'Habilidades'!I2960</x:f>
        <x:v>210</x:v>
      </x:c>
      <x:c r="O196" s="1" t="str">
        <x:f>'Habilidades'!D2961&amp;" ("&amp;'Habilidades'!I2961&amp;")"</x:f>
        <x:v>Water Pulse (160)</x:v>
      </x:c>
      <x:c r="P196" s="1" t="str">
        <x:f>'Habilidades'!D2962&amp;" ("&amp;'Habilidades'!I2962&amp;")"</x:f>
        <x:v>Aqua Tail (150)</x:v>
      </x:c>
      <x:c r="Q196" s="1" t="str">
        <x:f>'Habilidades'!D2963&amp;" ("&amp;'Habilidades'!I2963&amp;")"</x:f>
        <x:v>Water Gun (140)</x:v>
      </x:c>
      <x:c r="R196" s="1" t="str">
        <x:f>'Habilidades'!D2964&amp;" ("&amp;'Habilidades'!I2964&amp;")"</x:f>
        <x:v>Disarming Voice (140)</x:v>
      </x:c>
      <x:c r="S196" s="9" t="str">
        <x:v>https://poke.idleworld.online/pokepedia/pokemon/milotic</x:v>
      </x:c>
    </x:row>
    <x:row r="197" ht="22" customHeight="1">
      <x:c r="A197" s="1" t="n">
        <x:v>189</x:v>
      </x:c>
      <x:c r="B197" s="1" t="n">
        <x:v>305</x:v>
      </x:c>
      <x:c r="C197" s="1" t="str">
        <x:v>Lairon</x:v>
      </x:c>
      <x:c r="D197" s="1" t="str">
        <x:v>Aço</x:v>
      </x:c>
      <x:c r="E197" s="1" t="str">
        <x:v>Pedra</x:v>
      </x:c>
      <x:c r="F197" s="10" t="n">
        <x:v>90</x:v>
      </x:c>
      <x:c r="G197" s="10" t="n">
        <x:v>50</x:v>
      </x:c>
      <x:c r="H197" s="10" t="n">
        <x:f>MAX(F197:G197)</x:f>
        <x:v>90</x:v>
      </x:c>
      <x:c r="I197" s="1" t="str">
        <x:f>'Pokémon'!M289</x:f>
        <x:v>Física</x:v>
      </x:c>
      <x:c r="J197" s="1" t="str">
        <x:f>'Habilidades'!D2652</x:f>
        <x:v>Double-Edge</x:v>
      </x:c>
      <x:c r="K197" s="1" t="str">
        <x:f>'Habilidades'!E2652</x:f>
        <x:v>Normal</x:v>
      </x:c>
      <x:c r="L197" s="1" t="str">
        <x:f>'Habilidades'!F2652</x:f>
        <x:v>Física</x:v>
      </x:c>
      <x:c r="M197" s="10" t="n">
        <x:f>'Habilidades'!G2652</x:f>
        <x:v>120</x:v>
      </x:c>
      <x:c r="N197" s="10" t="n">
        <x:f>'Habilidades'!I2652</x:f>
        <x:v>210</x:v>
      </x:c>
      <x:c r="O197" s="1" t="str">
        <x:f>'Habilidades'!D2653&amp;" ("&amp;'Habilidades'!I2653&amp;")"</x:f>
        <x:v>Metal Burst (210)</x:v>
      </x:c>
      <x:c r="P197" s="1" t="str">
        <x:f>'Habilidades'!D2654&amp;" ("&amp;'Habilidades'!I2654&amp;")"</x:f>
        <x:v>Iron Tail (190)</x:v>
      </x:c>
      <x:c r="Q197" s="1" t="str">
        <x:f>'Habilidades'!D2655&amp;" ("&amp;'Habilidades'!I2655&amp;")"</x:f>
        <x:v>Take Down (180)</x:v>
      </x:c>
      <x:c r="R197" s="1" t="str">
        <x:f>'Habilidades'!D2656&amp;" ("&amp;'Habilidades'!I2656&amp;")"</x:f>
        <x:v>Iron Head (170)</x:v>
      </x:c>
      <x:c r="S197" s="9" t="str">
        <x:v>https://poke.idleworld.online/pokepedia/pokemon/lairon</x:v>
      </x:c>
    </x:row>
    <x:row r="198" ht="22" customHeight="1">
      <x:c r="A198" s="1" t="n">
        <x:v>189</x:v>
      </x:c>
      <x:c r="B198" s="1" t="n">
        <x:v>190</x:v>
      </x:c>
      <x:c r="C198" s="1" t="str">
        <x:v>Aipom</x:v>
      </x:c>
      <x:c r="D198" s="1" t="str">
        <x:v>Normal</x:v>
      </x:c>
      <x:c r="E198" s="1" t="str"/>
      <x:c r="F198" s="10" t="n">
        <x:v>70</x:v>
      </x:c>
      <x:c r="G198" s="10" t="n">
        <x:v>40</x:v>
      </x:c>
      <x:c r="H198" s="10" t="n">
        <x:f>MAX(F198:G198)</x:f>
        <x:v>70</x:v>
      </x:c>
      <x:c r="I198" s="1" t="str">
        <x:f>'Pokémon'!M194</x:f>
        <x:v>Física</x:v>
      </x:c>
      <x:c r="J198" s="1" t="str">
        <x:f>'Habilidades'!D1784</x:f>
        <x:v>Last Resort</x:v>
      </x:c>
      <x:c r="K198" s="1" t="str">
        <x:f>'Habilidades'!E1784</x:f>
        <x:v>Normal</x:v>
      </x:c>
      <x:c r="L198" s="1" t="str">
        <x:f>'Habilidades'!F1784</x:f>
        <x:v>Física</x:v>
      </x:c>
      <x:c r="M198" s="10" t="n">
        <x:f>'Habilidades'!G1784</x:f>
        <x:v>140</x:v>
      </x:c>
      <x:c r="N198" s="10" t="n">
        <x:f>'Habilidades'!I1784</x:f>
        <x:v>210</x:v>
      </x:c>
      <x:c r="O198" s="1" t="str">
        <x:f>'Habilidades'!D1785&amp;" ("&amp;'Habilidades'!I1785&amp;")"</x:f>
        <x:v>Scratch (110)</x:v>
      </x:c>
      <x:c r="P198" s="1" t="str">
        <x:f>'Habilidades'!D1786&amp;" ("&amp;'Habilidades'!I1786&amp;")"</x:f>
        <x:v>Double Hit (105)</x:v>
      </x:c>
      <x:c r="Q198" s="1" t="str">
        <x:f>'Habilidades'!D1787&amp;" ("&amp;'Habilidades'!I1787&amp;")"</x:f>
        <x:v>Swift (100)</x:v>
      </x:c>
      <x:c r="R198" s="1" t="str">
        <x:f>'Habilidades'!D1788&amp;" ("&amp;'Habilidades'!I1788&amp;")"</x:f>
        <x:v>Astonish (100)</x:v>
      </x:c>
      <x:c r="S198" s="9" t="str">
        <x:v>https://poke.idleworld.online/pokepedia/pokemon/aipom</x:v>
      </x:c>
    </x:row>
    <x:row r="199" ht="22" customHeight="1">
      <x:c r="A199" s="1" t="n">
        <x:v>189</x:v>
      </x:c>
      <x:c r="B199" s="1" t="n">
        <x:v>334</x:v>
      </x:c>
      <x:c r="C199" s="1" t="str">
        <x:v>Altaria</x:v>
      </x:c>
      <x:c r="D199" s="1" t="str">
        <x:v>Dragão</x:v>
      </x:c>
      <x:c r="E199" s="1" t="str">
        <x:v>Voador</x:v>
      </x:c>
      <x:c r="F199" s="10" t="n">
        <x:v>70</x:v>
      </x:c>
      <x:c r="G199" s="10" t="n">
        <x:v>70</x:v>
      </x:c>
      <x:c r="H199" s="10" t="n">
        <x:f>MAX(F199:G199)</x:f>
        <x:v>70</x:v>
      </x:c>
      <x:c r="I199" s="1" t="str">
        <x:f>'Pokémon'!M307</x:f>
        <x:v>Empate</x:v>
      </x:c>
      <x:c r="J199" s="1" t="str">
        <x:f>'Habilidades'!D2846</x:f>
        <x:v>Sky Attack</x:v>
      </x:c>
      <x:c r="K199" s="1" t="str">
        <x:f>'Habilidades'!E2846</x:f>
        <x:v>Voador</x:v>
      </x:c>
      <x:c r="L199" s="1" t="str">
        <x:f>'Habilidades'!F2846</x:f>
        <x:v>Física</x:v>
      </x:c>
      <x:c r="M199" s="10" t="n">
        <x:f>'Habilidades'!G2846</x:f>
        <x:v>140</x:v>
      </x:c>
      <x:c r="N199" s="10" t="n">
        <x:f>'Habilidades'!I2846</x:f>
        <x:v>210</x:v>
      </x:c>
      <x:c r="O199" s="1" t="str">
        <x:f>'Habilidades'!D2847&amp;" ("&amp;'Habilidades'!I2847&amp;")"</x:f>
        <x:v>Moonblast (165)</x:v>
      </x:c>
      <x:c r="P199" s="1" t="str">
        <x:f>'Habilidades'!D2848&amp;" ("&amp;'Habilidades'!I2848&amp;")"</x:f>
        <x:v>Take Down (160)</x:v>
      </x:c>
      <x:c r="Q199" s="1" t="str">
        <x:f>'Habilidades'!D2849&amp;" ("&amp;'Habilidades'!I2849&amp;")"</x:f>
        <x:v>Dragon Pulse (155)</x:v>
      </x:c>
      <x:c r="R199" s="1" t="str">
        <x:f>'Habilidades'!D2850&amp;" ("&amp;'Habilidades'!I2850&amp;")"</x:f>
        <x:v>Pluck (130)</x:v>
      </x:c>
      <x:c r="S199" s="9" t="str">
        <x:v>https://poke.idleworld.online/pokepedia/pokemon/altaria</x:v>
      </x:c>
    </x:row>
    <x:row r="200" ht="22" customHeight="1">
      <x:c r="A200" s="1" t="n">
        <x:v>189</x:v>
      </x:c>
      <x:c r="B200" s="1" t="n">
        <x:v>155</x:v>
      </x:c>
      <x:c r="C200" s="1" t="str">
        <x:v>Cyndaquil</x:v>
      </x:c>
      <x:c r="D200" s="1" t="str">
        <x:v>Fogo</x:v>
      </x:c>
      <x:c r="E200" s="1" t="str"/>
      <x:c r="F200" s="10" t="n">
        <x:v>52</x:v>
      </x:c>
      <x:c r="G200" s="10" t="n">
        <x:v>60</x:v>
      </x:c>
      <x:c r="H200" s="10" t="n">
        <x:f>MAX(F200:G200)</x:f>
        <x:v>60</x:v>
      </x:c>
      <x:c r="I200" s="1" t="str">
        <x:f>'Pokémon'!M159</x:f>
        <x:v>Especial</x:v>
      </x:c>
      <x:c r="J200" s="1" t="str">
        <x:f>'Habilidades'!D1485</x:f>
        <x:v>Eruption</x:v>
      </x:c>
      <x:c r="K200" s="1" t="str">
        <x:f>'Habilidades'!E1485</x:f>
        <x:v>Fogo</x:v>
      </x:c>
      <x:c r="L200" s="1" t="str">
        <x:f>'Habilidades'!F1485</x:f>
        <x:v>Especial</x:v>
      </x:c>
      <x:c r="M200" s="10" t="n">
        <x:f>'Habilidades'!G1485</x:f>
        <x:v>150</x:v>
      </x:c>
      <x:c r="N200" s="10" t="n">
        <x:f>'Habilidades'!I1485</x:f>
        <x:v>210</x:v>
      </x:c>
      <x:c r="O200" s="1" t="str">
        <x:f>'Habilidades'!D1486&amp;" ("&amp;'Habilidades'!I1486&amp;")"</x:f>
        <x:v>Double-Edge (172)</x:v>
      </x:c>
      <x:c r="P200" s="1" t="str">
        <x:f>'Habilidades'!D1487&amp;" ("&amp;'Habilidades'!I1487&amp;")"</x:f>
        <x:v>Inferno (160)</x:v>
      </x:c>
      <x:c r="Q200" s="1" t="str">
        <x:f>'Habilidades'!D1488&amp;" ("&amp;'Habilidades'!I1488&amp;")"</x:f>
        <x:v>Flamethrower (150)</x:v>
      </x:c>
      <x:c r="R200" s="1" t="str">
        <x:f>'Habilidades'!D1489&amp;" ("&amp;'Habilidades'!I1489&amp;")"</x:f>
        <x:v>Lava Plume (140)</x:v>
      </x:c>
      <x:c r="S200" s="9" t="str">
        <x:v>https://poke.idleworld.online/pokepedia/pokemon/cyndaquil</x:v>
      </x:c>
    </x:row>
    <x:row r="201" ht="22" customHeight="1">
      <x:c r="A201" s="1" t="n">
        <x:v>197</x:v>
      </x:c>
      <x:c r="B201" s="1" t="n">
        <x:v>413</x:v>
      </x:c>
      <x:c r="C201" s="1" t="str">
        <x:v>Wormadam</x:v>
      </x:c>
      <x:c r="D201" s="1" t="str">
        <x:v>Inseto</x:v>
      </x:c>
      <x:c r="E201" s="1" t="str">
        <x:v>Planta</x:v>
      </x:c>
      <x:c r="F201" s="10" t="n">
        <x:v>59</x:v>
      </x:c>
      <x:c r="G201" s="10" t="n">
        <x:v>79</x:v>
      </x:c>
      <x:c r="H201" s="10" t="n">
        <x:f>MAX(F201:G201)</x:f>
        <x:v>79</x:v>
      </x:c>
      <x:c r="I201" s="1" t="str">
        <x:f>'Pokémon'!M343</x:f>
        <x:v>Especial</x:v>
      </x:c>
      <x:c r="J201" s="1" t="str">
        <x:f>'Habilidades'!D3184</x:f>
        <x:v>Leaf Storm</x:v>
      </x:c>
      <x:c r="K201" s="1" t="str">
        <x:f>'Habilidades'!E3184</x:f>
        <x:v>Planta</x:v>
      </x:c>
      <x:c r="L201" s="1" t="str">
        <x:f>'Habilidades'!F3184</x:f>
        <x:v>Especial</x:v>
      </x:c>
      <x:c r="M201" s="10" t="n">
        <x:f>'Habilidades'!G3184</x:f>
        <x:v>130</x:v>
      </x:c>
      <x:c r="N201" s="10" t="n">
        <x:f>'Habilidades'!I3184</x:f>
        <x:v>209</x:v>
      </x:c>
      <x:c r="O201" s="1" t="str">
        <x:f>'Habilidades'!D3185&amp;" ("&amp;'Habilidades'!I3185&amp;")"</x:f>
        <x:v>Psychic (169)</x:v>
      </x:c>
      <x:c r="P201" s="1" t="str">
        <x:f>'Habilidades'!D3186&amp;" ("&amp;'Habilidades'!I3186&amp;")"</x:f>
        <x:v>Psybeam (144)</x:v>
      </x:c>
      <x:c r="Q201" s="1" t="str">
        <x:f>'Habilidades'!D3187&amp;" ("&amp;'Habilidades'!I3187&amp;")"</x:f>
        <x:v>Hidden Power (139)</x:v>
      </x:c>
      <x:c r="R201" s="1" t="str">
        <x:f>'Habilidades'!D3188&amp;" ("&amp;'Habilidades'!I3188&amp;")"</x:f>
        <x:v>Confusion (129)</x:v>
      </x:c>
      <x:c r="S201" s="9" t="str">
        <x:v>https://poke.idleworld.online/pokepedia/pokemon/wormadam</x:v>
      </x:c>
    </x:row>
    <x:row r="202" ht="22" customHeight="1">
      <x:c r="A202" s="1" t="n">
        <x:v>198</x:v>
      </x:c>
      <x:c r="B202" s="1" t="n">
        <x:v>691</x:v>
      </x:c>
      <x:c r="C202" s="1" t="str">
        <x:v>Dragalge</x:v>
      </x:c>
      <x:c r="D202" s="1" t="str">
        <x:v>Venenoso</x:v>
      </x:c>
      <x:c r="E202" s="1" t="str">
        <x:v>Dragão</x:v>
      </x:c>
      <x:c r="F202" s="10" t="n">
        <x:v>75</x:v>
      </x:c>
      <x:c r="G202" s="10" t="n">
        <x:v>97</x:v>
      </x:c>
      <x:c r="H202" s="10" t="n">
        <x:f>MAX(F202:G202)</x:f>
        <x:v>97</x:v>
      </x:c>
      <x:c r="I202" s="1" t="str">
        <x:f>'Pokémon'!M402</x:f>
        <x:v>Especial</x:v>
      </x:c>
      <x:c r="J202" s="1" t="str">
        <x:f>'Habilidades'!D3719</x:f>
        <x:v>Hydro Pump</x:v>
      </x:c>
      <x:c r="K202" s="1" t="str">
        <x:f>'Habilidades'!E3719</x:f>
        <x:v>Água</x:v>
      </x:c>
      <x:c r="L202" s="1" t="str">
        <x:f>'Habilidades'!F3719</x:f>
        <x:v>Especial</x:v>
      </x:c>
      <x:c r="M202" s="10" t="n">
        <x:f>'Habilidades'!G3719</x:f>
        <x:v>110</x:v>
      </x:c>
      <x:c r="N202" s="10" t="n">
        <x:f>'Habilidades'!I3719</x:f>
        <x:v>207</x:v>
      </x:c>
      <x:c r="O202" s="1" t="str">
        <x:f>'Habilidades'!D3720&amp;" ("&amp;'Habilidades'!I3720&amp;")"</x:f>
        <x:v>Sludge Bomb (187)</x:v>
      </x:c>
      <x:c r="P202" s="1" t="str">
        <x:f>'Habilidades'!D3721&amp;" ("&amp;'Habilidades'!I3721&amp;")"</x:f>
        <x:v>Dragon Pulse (182)</x:v>
      </x:c>
      <x:c r="Q202" s="1" t="str">
        <x:f>'Habilidades'!D3722&amp;" ("&amp;'Habilidades'!I3722&amp;")"</x:f>
        <x:v>Aqua Tail (165)</x:v>
      </x:c>
      <x:c r="R202" s="1" t="str">
        <x:f>'Habilidades'!D3723&amp;" ("&amp;'Habilidades'!I3723&amp;")"</x:f>
        <x:v>Water Pulse (157)</x:v>
      </x:c>
      <x:c r="S202" s="9" t="str">
        <x:v>https://poke.idleworld.online/pokepedia/pokemon/dragalge</x:v>
      </x:c>
    </x:row>
    <x:row r="203" ht="22" customHeight="1">
      <x:c r="A203" s="1" t="n">
        <x:v>199</x:v>
      </x:c>
      <x:c r="B203" s="1" t="n">
        <x:v>428</x:v>
      </x:c>
      <x:c r="C203" s="1" t="str">
        <x:v>Lopunny</x:v>
      </x:c>
      <x:c r="D203" s="1" t="str">
        <x:v>Normal</x:v>
      </x:c>
      <x:c r="E203" s="1" t="str"/>
      <x:c r="F203" s="10" t="n">
        <x:v>76</x:v>
      </x:c>
      <x:c r="G203" s="10" t="n">
        <x:v>54</x:v>
      </x:c>
      <x:c r="H203" s="10" t="n">
        <x:f>MAX(F203:G203)</x:f>
        <x:v>76</x:v>
      </x:c>
      <x:c r="I203" s="1" t="str">
        <x:f>'Pokémon'!M346</x:f>
        <x:v>Física</x:v>
      </x:c>
      <x:c r="J203" s="1" t="str">
        <x:f>'Habilidades'!D3210</x:f>
        <x:v>High Jump Kick</x:v>
      </x:c>
      <x:c r="K203" s="1" t="str">
        <x:f>'Habilidades'!E3210</x:f>
        <x:v>Lutador</x:v>
      </x:c>
      <x:c r="L203" s="1" t="str">
        <x:f>'Habilidades'!F3210</x:f>
        <x:v>Física</x:v>
      </x:c>
      <x:c r="M203" s="10" t="n">
        <x:f>'Habilidades'!G3210</x:f>
        <x:v>130</x:v>
      </x:c>
      <x:c r="N203" s="10" t="n">
        <x:f>'Habilidades'!I3210</x:f>
        <x:v>206</x:v>
      </x:c>
      <x:c r="O203" s="1" t="str">
        <x:f>'Habilidades'!D3211&amp;" ("&amp;'Habilidades'!I3211&amp;")"</x:f>
        <x:v>Jump Kick (176)</x:v>
      </x:c>
      <x:c r="P203" s="1" t="str">
        <x:f>'Habilidades'!D3212&amp;" ("&amp;'Habilidades'!I3212&amp;")"</x:f>
        <x:v>Bounce (161)</x:v>
      </x:c>
      <x:c r="Q203" s="1" t="str">
        <x:f>'Habilidades'!D3213&amp;" ("&amp;'Habilidades'!I3213&amp;")"</x:f>
        <x:v>Dizzy Punch (146)</x:v>
      </x:c>
      <x:c r="R203" s="1" t="str">
        <x:f>'Habilidades'!D3214&amp;" ("&amp;'Habilidades'!I3214&amp;")"</x:f>
        <x:v>Pound (116)</x:v>
      </x:c>
      <x:c r="S203" s="9" t="str">
        <x:v>https://poke.idleworld.online/pokepedia/pokemon/lopunny</x:v>
      </x:c>
    </x:row>
    <x:row r="204" ht="22" customHeight="1">
      <x:c r="A204" s="1" t="n">
        <x:v>200</x:v>
      </x:c>
      <x:c r="B204" s="1" t="n">
        <x:v>571</x:v>
      </x:c>
      <x:c r="C204" s="1" t="str">
        <x:v>Zoroark</x:v>
      </x:c>
      <x:c r="D204" s="1" t="str">
        <x:v>Sombrio</x:v>
      </x:c>
      <x:c r="E204" s="1" t="str"/>
      <x:c r="F204" s="10" t="n">
        <x:v>105</x:v>
      </x:c>
      <x:c r="G204" s="10" t="n">
        <x:v>120</x:v>
      </x:c>
      <x:c r="H204" s="10" t="n">
        <x:f>MAX(F204:G204)</x:f>
        <x:v>120</x:v>
      </x:c>
      <x:c r="I204" s="1" t="str">
        <x:f>'Pokémon'!M377</x:f>
        <x:v>Especial</x:v>
      </x:c>
      <x:c r="J204" s="1" t="str">
        <x:f>'Habilidades'!D3488</x:f>
        <x:v>Night Daze</x:v>
      </x:c>
      <x:c r="K204" s="1" t="str">
        <x:f>'Habilidades'!E3488</x:f>
        <x:v>Sombrio</x:v>
      </x:c>
      <x:c r="L204" s="1" t="str">
        <x:f>'Habilidades'!F3488</x:f>
        <x:v>Especial</x:v>
      </x:c>
      <x:c r="M204" s="10" t="n">
        <x:f>'Habilidades'!G3488</x:f>
        <x:v>85</x:v>
      </x:c>
      <x:c r="N204" s="10" t="n">
        <x:f>'Habilidades'!I3488</x:f>
        <x:v>205</x:v>
      </x:c>
      <x:c r="O204" s="1" t="str">
        <x:f>'Habilidades'!D3489&amp;" ("&amp;'Habilidades'!I3489&amp;")"</x:f>
        <x:v>Foul Play (200)</x:v>
      </x:c>
      <x:c r="P204" s="1" t="str">
        <x:f>'Habilidades'!D3490&amp;" ("&amp;'Habilidades'!I3490&amp;")"</x:f>
        <x:v>U-turn (175)</x:v>
      </x:c>
      <x:c r="Q204" s="1" t="str">
        <x:f>'Habilidades'!D3491&amp;" ("&amp;'Habilidades'!I3491&amp;")"</x:f>
        <x:v>Night Slash (175)</x:v>
      </x:c>
      <x:c r="R204" s="1" t="str">
        <x:f>'Habilidades'!D3492&amp;" ("&amp;'Habilidades'!I3492&amp;")"</x:f>
        <x:v>Feint Attack (165)</x:v>
      </x:c>
      <x:c r="S204" s="9" t="str">
        <x:v>https://poke.idleworld.online/pokepedia/pokemon/zoroark</x:v>
      </x:c>
    </x:row>
    <x:row r="205" ht="22" customHeight="1">
      <x:c r="A205" s="1" t="n">
        <x:v>200</x:v>
      </x:c>
      <x:c r="B205" s="1" t="n">
        <x:v>332</x:v>
      </x:c>
      <x:c r="C205" s="1" t="str">
        <x:v>Cacturne</x:v>
      </x:c>
      <x:c r="D205" s="1" t="str">
        <x:v>Planta</x:v>
      </x:c>
      <x:c r="E205" s="1" t="str">
        <x:v>Sombrio</x:v>
      </x:c>
      <x:c r="F205" s="10" t="n">
        <x:v>115</x:v>
      </x:c>
      <x:c r="G205" s="10" t="n">
        <x:v>115</x:v>
      </x:c>
      <x:c r="H205" s="10" t="n">
        <x:f>MAX(F205:G205)</x:f>
        <x:v>115</x:v>
      </x:c>
      <x:c r="I205" s="1" t="str">
        <x:f>'Pokémon'!M305</x:f>
        <x:v>Empate</x:v>
      </x:c>
      <x:c r="J205" s="1" t="str">
        <x:f>'Habilidades'!D2826</x:f>
        <x:v>Energy Ball</x:v>
      </x:c>
      <x:c r="K205" s="1" t="str">
        <x:f>'Habilidades'!E2826</x:f>
        <x:v>Planta</x:v>
      </x:c>
      <x:c r="L205" s="1" t="str">
        <x:f>'Habilidades'!F2826</x:f>
        <x:v>Especial</x:v>
      </x:c>
      <x:c r="M205" s="10" t="n">
        <x:f>'Habilidades'!G2826</x:f>
        <x:v>90</x:v>
      </x:c>
      <x:c r="N205" s="10" t="n">
        <x:f>'Habilidades'!I2826</x:f>
        <x:v>205</x:v>
      </x:c>
      <x:c r="O205" s="1" t="str">
        <x:f>'Habilidades'!D2827&amp;" ("&amp;'Habilidades'!I2827&amp;")"</x:f>
        <x:v>Sucker Punch (195)</x:v>
      </x:c>
      <x:c r="P205" s="1" t="str">
        <x:f>'Habilidades'!D2828&amp;" ("&amp;'Habilidades'!I2828&amp;")"</x:f>
        <x:v>Revenge (175)</x:v>
      </x:c>
      <x:c r="Q205" s="1" t="str">
        <x:f>'Habilidades'!D2829&amp;" ("&amp;'Habilidades'!I2829&amp;")"</x:f>
        <x:v>Needle Arm (175)</x:v>
      </x:c>
      <x:c r="R205" s="1" t="str">
        <x:f>'Habilidades'!D2830&amp;" ("&amp;'Habilidades'!I2830&amp;")"</x:f>
        <x:v>Feint Attack (175)</x:v>
      </x:c>
      <x:c r="S205" s="9" t="str">
        <x:v>https://poke.idleworld.online/pokepedia/pokemon/cacturne</x:v>
      </x:c>
    </x:row>
    <x:row r="206" ht="22" customHeight="1">
      <x:c r="A206" s="1" t="n">
        <x:v>200</x:v>
      </x:c>
      <x:c r="B206" s="1" t="n">
        <x:v>354</x:v>
      </x:c>
      <x:c r="C206" s="1" t="str">
        <x:v>Banette</x:v>
      </x:c>
      <x:c r="D206" s="1" t="str">
        <x:v>Fantasma</x:v>
      </x:c>
      <x:c r="E206" s="1" t="str"/>
      <x:c r="F206" s="10" t="n">
        <x:v>115</x:v>
      </x:c>
      <x:c r="G206" s="10" t="n">
        <x:v>83</x:v>
      </x:c>
      <x:c r="H206" s="10" t="n">
        <x:f>MAX(F206:G206)</x:f>
        <x:v>115</x:v>
      </x:c>
      <x:c r="I206" s="1" t="str">
        <x:f>'Pokémon'!M321</x:f>
        <x:v>Física</x:v>
      </x:c>
      <x:c r="J206" s="1" t="str">
        <x:f>'Habilidades'!D2976</x:f>
        <x:v>Phantom Force</x:v>
      </x:c>
      <x:c r="K206" s="1" t="str">
        <x:f>'Habilidades'!E2976</x:f>
        <x:v>Fantasma</x:v>
      </x:c>
      <x:c r="L206" s="1" t="str">
        <x:f>'Habilidades'!F2976</x:f>
        <x:v>Física</x:v>
      </x:c>
      <x:c r="M206" s="10" t="n">
        <x:f>'Habilidades'!G2976</x:f>
        <x:v>90</x:v>
      </x:c>
      <x:c r="N206" s="10" t="n">
        <x:f>'Habilidades'!I2976</x:f>
        <x:v>205</x:v>
      </x:c>
      <x:c r="O206" s="1" t="str">
        <x:f>'Habilidades'!D2977&amp;" ("&amp;'Habilidades'!I2977&amp;")"</x:f>
        <x:v>Sucker Punch (195)</x:v>
      </x:c>
      <x:c r="P206" s="1" t="str">
        <x:f>'Habilidades'!D2978&amp;" ("&amp;'Habilidades'!I2978&amp;")"</x:f>
        <x:v>Knock Off (180)</x:v>
      </x:c>
      <x:c r="Q206" s="1" t="str">
        <x:f>'Habilidades'!D2979&amp;" ("&amp;'Habilidades'!I2979&amp;")"</x:f>
        <x:v>Feint Attack (175)</x:v>
      </x:c>
      <x:c r="R206" s="1" t="str">
        <x:f>'Habilidades'!D2980&amp;" ("&amp;'Habilidades'!I2980&amp;")"</x:f>
        <x:v>Shadow Ball (163)</x:v>
      </x:c>
      <x:c r="S206" s="9" t="str">
        <x:v>https://poke.idleworld.online/pokepedia/pokemon/banette</x:v>
      </x:c>
    </x:row>
    <x:row r="207" ht="22" customHeight="1">
      <x:c r="A207" s="1" t="n">
        <x:v>200</x:v>
      </x:c>
      <x:c r="B207" s="1" t="n">
        <x:v>700</x:v>
      </x:c>
      <x:c r="C207" s="1" t="str">
        <x:v>Sylveon</x:v>
      </x:c>
      <x:c r="D207" s="1" t="str">
        <x:v>Fada</x:v>
      </x:c>
      <x:c r="E207" s="1" t="str"/>
      <x:c r="F207" s="10" t="n">
        <x:v>65</x:v>
      </x:c>
      <x:c r="G207" s="10" t="n">
        <x:v>110</x:v>
      </x:c>
      <x:c r="H207" s="10" t="n">
        <x:f>MAX(F207:G207)</x:f>
        <x:v>110</x:v>
      </x:c>
      <x:c r="I207" s="1" t="str">
        <x:f>'Pokémon'!M403</x:f>
        <x:v>Especial</x:v>
      </x:c>
      <x:c r="J207" s="1" t="str">
        <x:f>'Habilidades'!D3732</x:f>
        <x:v>Last Resort</x:v>
      </x:c>
      <x:c r="K207" s="1" t="str">
        <x:f>'Habilidades'!E3732</x:f>
        <x:v>Normal</x:v>
      </x:c>
      <x:c r="L207" s="1" t="str">
        <x:f>'Habilidades'!F3732</x:f>
        <x:v>Física</x:v>
      </x:c>
      <x:c r="M207" s="10" t="n">
        <x:f>'Habilidades'!G3732</x:f>
        <x:v>140</x:v>
      </x:c>
      <x:c r="N207" s="10" t="n">
        <x:f>'Habilidades'!I3732</x:f>
        <x:v>205</x:v>
      </x:c>
      <x:c r="O207" s="1" t="str">
        <x:f>'Habilidades'!D3733&amp;" ("&amp;'Habilidades'!I3733&amp;")"</x:f>
        <x:v>Moonblast (205)</x:v>
      </x:c>
      <x:c r="P207" s="1" t="str">
        <x:f>'Habilidades'!D3734&amp;" ("&amp;'Habilidades'!I3734&amp;")"</x:f>
        <x:v>Swift (170)</x:v>
      </x:c>
      <x:c r="Q207" s="1" t="str">
        <x:f>'Habilidades'!D3735&amp;" ("&amp;'Habilidades'!I3735&amp;")"</x:f>
        <x:v>Draining Kiss (160)</x:v>
      </x:c>
      <x:c r="R207" s="1" t="str">
        <x:f>'Habilidades'!D3736&amp;" ("&amp;'Habilidades'!I3736&amp;")"</x:f>
        <x:v>Disarming Voice (150)</x:v>
      </x:c>
      <x:c r="S207" s="9" t="str">
        <x:v>https://poke.idleworld.online/pokepedia/pokemon/sylveon</x:v>
      </x:c>
    </x:row>
    <x:row r="208" ht="22" customHeight="1">
      <x:c r="A208" s="1" t="n">
        <x:v>200</x:v>
      </x:c>
      <x:c r="B208" s="1" t="n">
        <x:v>98</x:v>
      </x:c>
      <x:c r="C208" s="1" t="str">
        <x:v>Krabby</x:v>
      </x:c>
      <x:c r="D208" s="1" t="str">
        <x:v>Água</x:v>
      </x:c>
      <x:c r="E208" s="1" t="str"/>
      <x:c r="F208" s="10" t="n">
        <x:v>105</x:v>
      </x:c>
      <x:c r="G208" s="10" t="n">
        <x:v>25</x:v>
      </x:c>
      <x:c r="H208" s="10" t="n">
        <x:f>MAX(F208:G208)</x:f>
        <x:v>105</x:v>
      </x:c>
      <x:c r="I208" s="1" t="str">
        <x:f>'Pokémon'!M102</x:f>
        <x:v>Física</x:v>
      </x:c>
      <x:c r="J208" s="1" t="str">
        <x:f>'Habilidades'!D921</x:f>
        <x:v>Crabhammer</x:v>
      </x:c>
      <x:c r="K208" s="1" t="str">
        <x:f>'Habilidades'!E921</x:f>
        <x:v>Água</x:v>
      </x:c>
      <x:c r="L208" s="1" t="str">
        <x:f>'Habilidades'!F921</x:f>
        <x:v>Física</x:v>
      </x:c>
      <x:c r="M208" s="10" t="n">
        <x:f>'Habilidades'!G921</x:f>
        <x:v>100</x:v>
      </x:c>
      <x:c r="N208" s="10" t="n">
        <x:f>'Habilidades'!I921</x:f>
        <x:v>205</x:v>
      </x:c>
      <x:c r="O208" s="1" t="str">
        <x:f>'Habilidades'!D922&amp;" ("&amp;'Habilidades'!I922&amp;")"</x:f>
        <x:v>Slam (185)</x:v>
      </x:c>
      <x:c r="P208" s="1" t="str">
        <x:f>'Habilidades'!D923&amp;" ("&amp;'Habilidades'!I923&amp;")"</x:f>
        <x:v>Stomp (170)</x:v>
      </x:c>
      <x:c r="Q208" s="1" t="str">
        <x:f>'Habilidades'!D924&amp;" ("&amp;'Habilidades'!I924&amp;")"</x:f>
        <x:v>Vise Grip (160)</x:v>
      </x:c>
      <x:c r="R208" s="1" t="str">
        <x:f>'Habilidades'!D925&amp;" ("&amp;'Habilidades'!I925&amp;")"</x:f>
        <x:v>Metal Claw (155)</x:v>
      </x:c>
      <x:c r="S208" s="9" t="str">
        <x:v>https://poke.idleworld.online/pokepedia/pokemon/krabby</x:v>
      </x:c>
    </x:row>
    <x:row r="209" ht="22" customHeight="1">
      <x:c r="A209" s="1" t="n">
        <x:v>200</x:v>
      </x:c>
      <x:c r="B209" s="1" t="n">
        <x:v>117</x:v>
      </x:c>
      <x:c r="C209" s="1" t="str">
        <x:v>Seadra</x:v>
      </x:c>
      <x:c r="D209" s="1" t="str">
        <x:v>Água</x:v>
      </x:c>
      <x:c r="E209" s="1" t="str"/>
      <x:c r="F209" s="10" t="n">
        <x:v>65</x:v>
      </x:c>
      <x:c r="G209" s="10" t="n">
        <x:v>95</x:v>
      </x:c>
      <x:c r="H209" s="10" t="n">
        <x:f>MAX(F209:G209)</x:f>
        <x:v>95</x:v>
      </x:c>
      <x:c r="I209" s="1" t="str">
        <x:f>'Pokémon'!M121</x:f>
        <x:v>Especial</x:v>
      </x:c>
      <x:c r="J209" s="1" t="str">
        <x:f>'Habilidades'!D1114</x:f>
        <x:v>Hydro Pump</x:v>
      </x:c>
      <x:c r="K209" s="1" t="str">
        <x:f>'Habilidades'!E1114</x:f>
        <x:v>Água</x:v>
      </x:c>
      <x:c r="L209" s="1" t="str">
        <x:f>'Habilidades'!F1114</x:f>
        <x:v>Especial</x:v>
      </x:c>
      <x:c r="M209" s="10" t="n">
        <x:f>'Habilidades'!G1114</x:f>
        <x:v>110</x:v>
      </x:c>
      <x:c r="N209" s="10" t="n">
        <x:f>'Habilidades'!I1114</x:f>
        <x:v>205</x:v>
      </x:c>
      <x:c r="O209" s="1" t="str">
        <x:f>'Habilidades'!D1115&amp;" ("&amp;'Habilidades'!I1115&amp;")"</x:f>
        <x:v>Dragon Pulse (180)</x:v>
      </x:c>
      <x:c r="P209" s="1" t="str">
        <x:f>'Habilidades'!D1116&amp;" ("&amp;'Habilidades'!I1116&amp;")"</x:f>
        <x:v>Bubble Beam (160)</x:v>
      </x:c>
      <x:c r="Q209" s="1" t="str">
        <x:f>'Habilidades'!D1117&amp;" ("&amp;'Habilidades'!I1117&amp;")"</x:f>
        <x:v>Brine (160)</x:v>
      </x:c>
      <x:c r="R209" s="1" t="str">
        <x:f>'Habilidades'!D1118&amp;" ("&amp;'Habilidades'!I1118&amp;")"</x:f>
        <x:v>Water Gun (135)</x:v>
      </x:c>
      <x:c r="S209" s="9" t="str">
        <x:v>https://poke.idleworld.online/pokepedia/pokemon/seadra</x:v>
      </x:c>
    </x:row>
    <x:row r="210" ht="22" customHeight="1">
      <x:c r="A210" s="1" t="n">
        <x:v>200</x:v>
      </x:c>
      <x:c r="B210" s="1" t="n">
        <x:v>365</x:v>
      </x:c>
      <x:c r="C210" s="1" t="str">
        <x:v>Walrein</x:v>
      </x:c>
      <x:c r="D210" s="1" t="str">
        <x:v>Gelo</x:v>
      </x:c>
      <x:c r="E210" s="1" t="str">
        <x:v>Água</x:v>
      </x:c>
      <x:c r="F210" s="10" t="n">
        <x:v>80</x:v>
      </x:c>
      <x:c r="G210" s="10" t="n">
        <x:v>95</x:v>
      </x:c>
      <x:c r="H210" s="10" t="n">
        <x:f>MAX(F210:G210)</x:f>
        <x:v>95</x:v>
      </x:c>
      <x:c r="I210" s="1" t="str">
        <x:f>'Pokémon'!M330</x:f>
        <x:v>Especial</x:v>
      </x:c>
      <x:c r="J210" s="1" t="str">
        <x:f>'Habilidades'!D3070</x:f>
        <x:v>Blizzard</x:v>
      </x:c>
      <x:c r="K210" s="1" t="str">
        <x:f>'Habilidades'!E3070</x:f>
        <x:v>Gelo</x:v>
      </x:c>
      <x:c r="L210" s="1" t="str">
        <x:f>'Habilidades'!F3070</x:f>
        <x:v>Especial</x:v>
      </x:c>
      <x:c r="M210" s="10" t="n">
        <x:f>'Habilidades'!G3070</x:f>
        <x:v>110</x:v>
      </x:c>
      <x:c r="N210" s="10" t="n">
        <x:f>'Habilidades'!I3070</x:f>
        <x:v>205</x:v>
      </x:c>
      <x:c r="O210" s="1" t="str">
        <x:f>'Habilidades'!D3071&amp;" ("&amp;'Habilidades'!I3071&amp;")"</x:f>
        <x:v>Body Slam (165)</x:v>
      </x:c>
      <x:c r="P210" s="1" t="str">
        <x:f>'Habilidades'!D3072&amp;" ("&amp;'Habilidades'!I3072&amp;")"</x:f>
        <x:v>Crunch (160)</x:v>
      </x:c>
      <x:c r="Q210" s="1" t="str">
        <x:f>'Habilidades'!D3073&amp;" ("&amp;'Habilidades'!I3073&amp;")"</x:f>
        <x:v>Aurora Beam (160)</x:v>
      </x:c>
      <x:c r="R210" s="1" t="str">
        <x:f>'Habilidades'!D3074&amp;" ("&amp;'Habilidades'!I3074&amp;")"</x:f>
        <x:v>Brine (160)</x:v>
      </x:c>
      <x:c r="S210" s="9" t="str">
        <x:v>https://poke.idleworld.online/pokepedia/pokemon/walrein</x:v>
      </x:c>
    </x:row>
    <x:row r="211" ht="22" customHeight="1">
      <x:c r="A211" s="1" t="n">
        <x:v>200</x:v>
      </x:c>
      <x:c r="B211" s="1" t="n">
        <x:v>44</x:v>
      </x:c>
      <x:c r="C211" s="1" t="str">
        <x:v>Gloom</x:v>
      </x:c>
      <x:c r="D211" s="1" t="str">
        <x:v>Planta</x:v>
      </x:c>
      <x:c r="E211" s="1" t="str">
        <x:v>Venenoso</x:v>
      </x:c>
      <x:c r="F211" s="10" t="n">
        <x:v>65</x:v>
      </x:c>
      <x:c r="G211" s="10" t="n">
        <x:v>85</x:v>
      </x:c>
      <x:c r="H211" s="10" t="n">
        <x:f>MAX(F211:G211)</x:f>
        <x:v>85</x:v>
      </x:c>
      <x:c r="I211" s="1" t="str">
        <x:f>'Pokémon'!M48</x:f>
        <x:v>Especial</x:v>
      </x:c>
      <x:c r="J211" s="1" t="str">
        <x:f>'Habilidades'!D371</x:f>
        <x:v>Petal Dance</x:v>
      </x:c>
      <x:c r="K211" s="1" t="str">
        <x:f>'Habilidades'!E371</x:f>
        <x:v>Planta</x:v>
      </x:c>
      <x:c r="L211" s="1" t="str">
        <x:f>'Habilidades'!F371</x:f>
        <x:v>Especial</x:v>
      </x:c>
      <x:c r="M211" s="10" t="n">
        <x:f>'Habilidades'!G371</x:f>
        <x:v>120</x:v>
      </x:c>
      <x:c r="N211" s="10" t="n">
        <x:f>'Habilidades'!I371</x:f>
        <x:v>205</x:v>
      </x:c>
      <x:c r="O211" s="1" t="str">
        <x:f>'Habilidades'!D372&amp;" ("&amp;'Habilidades'!I372&amp;")"</x:f>
        <x:v>Giga Drain (160)</x:v>
      </x:c>
      <x:c r="P211" s="1" t="str">
        <x:f>'Habilidades'!D373&amp;" ("&amp;'Habilidades'!I373&amp;")"</x:f>
        <x:v>Petal Blizzard (155)</x:v>
      </x:c>
      <x:c r="Q211" s="1" t="str">
        <x:f>'Habilidades'!D374&amp;" ("&amp;'Habilidades'!I374&amp;")"</x:f>
        <x:v>Acid (125)</x:v>
      </x:c>
      <x:c r="R211" s="1" t="str">
        <x:f>'Habilidades'!D375&amp;" ("&amp;'Habilidades'!I375&amp;")"</x:f>
        <x:v>Mega Drain (125)</x:v>
      </x:c>
      <x:c r="S211" s="9" t="str">
        <x:v>https://poke.idleworld.online/pokepedia/pokemon/gloom</x:v>
      </x:c>
    </x:row>
    <x:row r="212" ht="22" customHeight="1">
      <x:c r="A212" s="1" t="n">
        <x:v>200</x:v>
      </x:c>
      <x:c r="B212" s="1" t="n">
        <x:v>77</x:v>
      </x:c>
      <x:c r="C212" s="1" t="str">
        <x:v>Ponyta</x:v>
      </x:c>
      <x:c r="D212" s="1" t="str">
        <x:v>Fogo</x:v>
      </x:c>
      <x:c r="E212" s="1" t="str"/>
      <x:c r="F212" s="10" t="n">
        <x:v>85</x:v>
      </x:c>
      <x:c r="G212" s="10" t="n">
        <x:v>65</x:v>
      </x:c>
      <x:c r="H212" s="10" t="n">
        <x:f>MAX(F212:G212)</x:f>
        <x:v>85</x:v>
      </x:c>
      <x:c r="I212" s="1" t="str">
        <x:f>'Pokémon'!M81</x:f>
        <x:v>Física</x:v>
      </x:c>
      <x:c r="J212" s="1" t="str">
        <x:f>'Habilidades'!D686</x:f>
        <x:v>Flare Blitz</x:v>
      </x:c>
      <x:c r="K212" s="1" t="str">
        <x:f>'Habilidades'!E686</x:f>
        <x:v>Fogo</x:v>
      </x:c>
      <x:c r="L212" s="1" t="str">
        <x:f>'Habilidades'!F686</x:f>
        <x:v>Física</x:v>
      </x:c>
      <x:c r="M212" s="10" t="n">
        <x:f>'Habilidades'!G686</x:f>
        <x:v>120</x:v>
      </x:c>
      <x:c r="N212" s="10" t="n">
        <x:f>'Habilidades'!I686</x:f>
        <x:v>205</x:v>
      </x:c>
      <x:c r="O212" s="1" t="str">
        <x:f>'Habilidades'!D687&amp;" ("&amp;'Habilidades'!I687&amp;")"</x:f>
        <x:v>Fire Blast (175)</x:v>
      </x:c>
      <x:c r="P212" s="1" t="str">
        <x:f>'Habilidades'!D688&amp;" ("&amp;'Habilidades'!I688&amp;")"</x:f>
        <x:v>Take Down (175)</x:v>
      </x:c>
      <x:c r="Q212" s="1" t="str">
        <x:f>'Habilidades'!D689&amp;" ("&amp;'Habilidades'!I689&amp;")"</x:f>
        <x:v>Bounce (170)</x:v>
      </x:c>
      <x:c r="R212" s="1" t="str">
        <x:f>'Habilidades'!D690&amp;" ("&amp;'Habilidades'!I690&amp;")"</x:f>
        <x:v>Inferno (165)</x:v>
      </x:c>
      <x:c r="S212" s="9" t="str">
        <x:v>https://poke.idleworld.online/pokepedia/pokemon/ponyta</x:v>
      </x:c>
    </x:row>
    <x:row r="213" ht="22" customHeight="1">
      <x:c r="A213" s="1" t="n">
        <x:v>200</x:v>
      </x:c>
      <x:c r="B213" s="1" t="n">
        <x:v>84</x:v>
      </x:c>
      <x:c r="C213" s="1" t="str">
        <x:v>Doduo</x:v>
      </x:c>
      <x:c r="D213" s="1" t="str">
        <x:v>Normal</x:v>
      </x:c>
      <x:c r="E213" s="1" t="str">
        <x:v>Voador</x:v>
      </x:c>
      <x:c r="F213" s="10" t="n">
        <x:v>85</x:v>
      </x:c>
      <x:c r="G213" s="10" t="n">
        <x:v>35</x:v>
      </x:c>
      <x:c r="H213" s="10" t="n">
        <x:f>MAX(F213:G213)</x:f>
        <x:v>85</x:v>
      </x:c>
      <x:c r="I213" s="1" t="str">
        <x:f>'Pokémon'!M88</x:f>
        <x:v>Física</x:v>
      </x:c>
      <x:c r="J213" s="1" t="str">
        <x:f>'Habilidades'!D768</x:f>
        <x:v>Thrash</x:v>
      </x:c>
      <x:c r="K213" s="1" t="str">
        <x:f>'Habilidades'!E768</x:f>
        <x:v>Normal</x:v>
      </x:c>
      <x:c r="L213" s="1" t="str">
        <x:f>'Habilidades'!F768</x:f>
        <x:v>Física</x:v>
      </x:c>
      <x:c r="M213" s="10" t="n">
        <x:f>'Habilidades'!G768</x:f>
        <x:v>120</x:v>
      </x:c>
      <x:c r="N213" s="10" t="n">
        <x:f>'Habilidades'!I768</x:f>
        <x:v>205</x:v>
      </x:c>
      <x:c r="O213" s="1" t="str">
        <x:f>'Habilidades'!D769&amp;" ("&amp;'Habilidades'!I769&amp;")"</x:f>
        <x:v>Drill Peck (165)</x:v>
      </x:c>
      <x:c r="P213" s="1" t="str">
        <x:f>'Habilidades'!D770&amp;" ("&amp;'Habilidades'!I770&amp;")"</x:f>
        <x:v>Pluck (145)</x:v>
      </x:c>
      <x:c r="Q213" s="1" t="str">
        <x:f>'Habilidades'!D771&amp;" ("&amp;'Habilidades'!I771&amp;")"</x:f>
        <x:v>Uproar (125)</x:v>
      </x:c>
      <x:c r="R213" s="1" t="str">
        <x:f>'Habilidades'!D772&amp;" ("&amp;'Habilidades'!I772&amp;")"</x:f>
        <x:v>Quick Attack (125)</x:v>
      </x:c>
      <x:c r="S213" s="9" t="str">
        <x:v>https://poke.idleworld.online/pokepedia/pokemon/doduo</x:v>
      </x:c>
    </x:row>
    <x:row r="214" ht="22" customHeight="1">
      <x:c r="A214" s="1" t="n">
        <x:v>200</x:v>
      </x:c>
      <x:c r="B214" s="1" t="n">
        <x:v>111</x:v>
      </x:c>
      <x:c r="C214" s="1" t="str">
        <x:v>Rhyhorn</x:v>
      </x:c>
      <x:c r="D214" s="1" t="str">
        <x:v>Terrestre</x:v>
      </x:c>
      <x:c r="E214" s="1" t="str">
        <x:v>Pedra</x:v>
      </x:c>
      <x:c r="F214" s="10" t="n">
        <x:v>85</x:v>
      </x:c>
      <x:c r="G214" s="10" t="n">
        <x:v>30</x:v>
      </x:c>
      <x:c r="H214" s="10" t="n">
        <x:f>MAX(F214:G214)</x:f>
        <x:v>85</x:v>
      </x:c>
      <x:c r="I214" s="1" t="str">
        <x:f>'Pokémon'!M115</x:f>
        <x:v>Física</x:v>
      </x:c>
      <x:c r="J214" s="1" t="str">
        <x:f>'Habilidades'!D1048</x:f>
        <x:v>Megahorn</x:v>
      </x:c>
      <x:c r="K214" s="1" t="str">
        <x:f>'Habilidades'!E1048</x:f>
        <x:v>Inseto</x:v>
      </x:c>
      <x:c r="L214" s="1" t="str">
        <x:f>'Habilidades'!F1048</x:f>
        <x:v>Física</x:v>
      </x:c>
      <x:c r="M214" s="10" t="n">
        <x:f>'Habilidades'!G1048</x:f>
        <x:v>120</x:v>
      </x:c>
      <x:c r="N214" s="10" t="n">
        <x:f>'Habilidades'!I1048</x:f>
        <x:v>205</x:v>
      </x:c>
      <x:c r="O214" s="1" t="str">
        <x:f>'Habilidades'!D1049&amp;" ("&amp;'Habilidades'!I1049&amp;")"</x:f>
        <x:v>Stone Edge (185)</x:v>
      </x:c>
      <x:c r="P214" s="1" t="str">
        <x:f>'Habilidades'!D1050&amp;" ("&amp;'Habilidades'!I1050&amp;")"</x:f>
        <x:v>Earthquake (185)</x:v>
      </x:c>
      <x:c r="Q214" s="1" t="str">
        <x:f>'Habilidades'!D1051&amp;" ("&amp;'Habilidades'!I1051&amp;")"</x:f>
        <x:v>Take Down (175)</x:v>
      </x:c>
      <x:c r="R214" s="1" t="str">
        <x:f>'Habilidades'!D1052&amp;" ("&amp;'Habilidades'!I1052&amp;")"</x:f>
        <x:v>Drill Run (165)</x:v>
      </x:c>
      <x:c r="S214" s="9" t="str">
        <x:v>https://poke.idleworld.online/pokepedia/pokemon/rhyhorn</x:v>
      </x:c>
    </x:row>
    <x:row r="215" ht="22" customHeight="1">
      <x:c r="A215" s="1" t="n">
        <x:v>200</x:v>
      </x:c>
      <x:c r="B215" s="1" t="n">
        <x:v>137</x:v>
      </x:c>
      <x:c r="C215" s="1" t="str">
        <x:v>Porygon</x:v>
      </x:c>
      <x:c r="D215" s="1" t="str">
        <x:v>Normal</x:v>
      </x:c>
      <x:c r="E215" s="1" t="str"/>
      <x:c r="F215" s="10" t="n">
        <x:v>60</x:v>
      </x:c>
      <x:c r="G215" s="10" t="n">
        <x:v>85</x:v>
      </x:c>
      <x:c r="H215" s="10" t="n">
        <x:f>MAX(F215:G215)</x:f>
        <x:v>85</x:v>
      </x:c>
      <x:c r="I215" s="1" t="str">
        <x:f>'Pokémon'!M141</x:f>
        <x:v>Especial</x:v>
      </x:c>
      <x:c r="J215" s="1" t="str">
        <x:f>'Habilidades'!D1307</x:f>
        <x:v>Zap Cannon</x:v>
      </x:c>
      <x:c r="K215" s="1" t="str">
        <x:f>'Habilidades'!E1307</x:f>
        <x:v>Elétrico</x:v>
      </x:c>
      <x:c r="L215" s="1" t="str">
        <x:f>'Habilidades'!F1307</x:f>
        <x:v>Especial</x:v>
      </x:c>
      <x:c r="M215" s="10" t="n">
        <x:f>'Habilidades'!G1307</x:f>
        <x:v>120</x:v>
      </x:c>
      <x:c r="N215" s="10" t="n">
        <x:f>'Habilidades'!I1307</x:f>
        <x:v>205</x:v>
      </x:c>
      <x:c r="O215" s="1" t="str">
        <x:f>'Habilidades'!D1308&amp;" ("&amp;'Habilidades'!I1308&amp;")"</x:f>
        <x:v>Discharge (165)</x:v>
      </x:c>
      <x:c r="P215" s="1" t="str">
        <x:f>'Habilidades'!D1309&amp;" ("&amp;'Habilidades'!I1309&amp;")"</x:f>
        <x:v>Tri Attack (165)</x:v>
      </x:c>
      <x:c r="Q215" s="1" t="str">
        <x:f>'Habilidades'!D1310&amp;" ("&amp;'Habilidades'!I1310&amp;")"</x:f>
        <x:v>Signal Beam (160)</x:v>
      </x:c>
      <x:c r="R215" s="1" t="str">
        <x:f>'Habilidades'!D1311&amp;" ("&amp;'Habilidades'!I1311&amp;")"</x:f>
        <x:v>Psybeam (150)</x:v>
      </x:c>
      <x:c r="S215" s="9" t="str">
        <x:v>https://poke.idleworld.online/pokepedia/pokemon/porygon</x:v>
      </x:c>
    </x:row>
    <x:row r="216" ht="22" customHeight="1">
      <x:c r="A216" s="1" t="n">
        <x:v>200</x:v>
      </x:c>
      <x:c r="B216" s="1" t="n">
        <x:v>256</x:v>
      </x:c>
      <x:c r="C216" s="1" t="str">
        <x:v>Combusken</x:v>
      </x:c>
      <x:c r="D216" s="1" t="str">
        <x:v>Fogo</x:v>
      </x:c>
      <x:c r="E216" s="1" t="str">
        <x:v>Lutador</x:v>
      </x:c>
      <x:c r="F216" s="10" t="n">
        <x:v>85</x:v>
      </x:c>
      <x:c r="G216" s="10" t="n">
        <x:v>85</x:v>
      </x:c>
      <x:c r="H216" s="10" t="n">
        <x:f>MAX(F216:G216)</x:f>
        <x:v>85</x:v>
      </x:c>
      <x:c r="I216" s="1" t="str">
        <x:f>'Pokémon'!M259</x:f>
        <x:v>Empate</x:v>
      </x:c>
      <x:c r="J216" s="1" t="str">
        <x:f>'Habilidades'!D2393</x:f>
        <x:v>Flare Blitz</x:v>
      </x:c>
      <x:c r="K216" s="1" t="str">
        <x:f>'Habilidades'!E2393</x:f>
        <x:v>Fogo</x:v>
      </x:c>
      <x:c r="L216" s="1" t="str">
        <x:f>'Habilidades'!F2393</x:f>
        <x:v>Física</x:v>
      </x:c>
      <x:c r="M216" s="10" t="n">
        <x:f>'Habilidades'!G2393</x:f>
        <x:v>120</x:v>
      </x:c>
      <x:c r="N216" s="10" t="n">
        <x:f>'Habilidades'!I2393</x:f>
        <x:v>205</x:v>
      </x:c>
      <x:c r="O216" s="1" t="str">
        <x:f>'Habilidades'!D2394&amp;" ("&amp;'Habilidades'!I2394&amp;")"</x:f>
        <x:v>Sky Uppercut (170)</x:v>
      </x:c>
      <x:c r="P216" s="1" t="str">
        <x:f>'Habilidades'!D2395&amp;" ("&amp;'Habilidades'!I2395&amp;")"</x:f>
        <x:v>Slash (155)</x:v>
      </x:c>
      <x:c r="Q216" s="1" t="str">
        <x:f>'Habilidades'!D2396&amp;" ("&amp;'Habilidades'!I2396&amp;")"</x:f>
        <x:v>Flame Charge (135)</x:v>
      </x:c>
      <x:c r="R216" s="1" t="str">
        <x:f>'Habilidades'!D2397&amp;" ("&amp;'Habilidades'!I2397&amp;")"</x:f>
        <x:v>Ember (125)</x:v>
      </x:c>
      <x:c r="S216" s="9" t="str">
        <x:v>https://poke.idleworld.online/pokepedia/pokemon/combusken</x:v>
      </x:c>
    </x:row>
    <x:row r="217" ht="22" customHeight="1">
      <x:c r="A217" s="1" t="n">
        <x:v>200</x:v>
      </x:c>
      <x:c r="B217" s="1" t="n">
        <x:v>277</x:v>
      </x:c>
      <x:c r="C217" s="1" t="str">
        <x:v>Swellow</x:v>
      </x:c>
      <x:c r="D217" s="1" t="str">
        <x:v>Normal</x:v>
      </x:c>
      <x:c r="E217" s="1" t="str">
        <x:v>Voador</x:v>
      </x:c>
      <x:c r="F217" s="10" t="n">
        <x:v>85</x:v>
      </x:c>
      <x:c r="G217" s="10" t="n">
        <x:v>50</x:v>
      </x:c>
      <x:c r="H217" s="10" t="n">
        <x:f>MAX(F217:G217)</x:f>
        <x:v>85</x:v>
      </x:c>
      <x:c r="I217" s="1" t="str">
        <x:f>'Pokémon'!M273</x:f>
        <x:v>Física</x:v>
      </x:c>
      <x:c r="J217" s="1" t="str">
        <x:f>'Habilidades'!D2500</x:f>
        <x:v>Brave Bird</x:v>
      </x:c>
      <x:c r="K217" s="1" t="str">
        <x:f>'Habilidades'!E2500</x:f>
        <x:v>Voador</x:v>
      </x:c>
      <x:c r="L217" s="1" t="str">
        <x:f>'Habilidades'!F2500</x:f>
        <x:v>Física</x:v>
      </x:c>
      <x:c r="M217" s="10" t="n">
        <x:f>'Habilidades'!G2500</x:f>
        <x:v>120</x:v>
      </x:c>
      <x:c r="N217" s="10" t="n">
        <x:f>'Habilidades'!I2500</x:f>
        <x:v>205</x:v>
      </x:c>
      <x:c r="O217" s="1" t="str">
        <x:f>'Habilidades'!D2501&amp;" ("&amp;'Habilidades'!I2501&amp;")"</x:f>
        <x:v>Pluck (145)</x:v>
      </x:c>
      <x:c r="P217" s="1" t="str">
        <x:f>'Habilidades'!D2502&amp;" ("&amp;'Habilidades'!I2502&amp;")"</x:f>
        <x:v>Wing Attack (145)</x:v>
      </x:c>
      <x:c r="Q217" s="1" t="str">
        <x:f>'Habilidades'!D2503&amp;" ("&amp;'Habilidades'!I2503&amp;")"</x:f>
        <x:v>Aerial Ace (145)</x:v>
      </x:c>
      <x:c r="R217" s="1" t="str">
        <x:f>'Habilidades'!D2504&amp;" ("&amp;'Habilidades'!I2504&amp;")"</x:f>
        <x:v>Air Slash (125)</x:v>
      </x:c>
      <x:c r="S217" s="9" t="str">
        <x:v>https://poke.idleworld.online/pokepedia/pokemon/swellow</x:v>
      </x:c>
    </x:row>
    <x:row r="218" ht="22" customHeight="1">
      <x:c r="A218" s="1" t="n">
        <x:v>200</x:v>
      </x:c>
      <x:c r="B218" s="1" t="n">
        <x:v>603</x:v>
      </x:c>
      <x:c r="C218" s="1" t="str">
        <x:v>Eelektrik</x:v>
      </x:c>
      <x:c r="D218" s="1" t="str">
        <x:v>Elétrico</x:v>
      </x:c>
      <x:c r="E218" s="1" t="str"/>
      <x:c r="F218" s="10" t="n">
        <x:v>85</x:v>
      </x:c>
      <x:c r="G218" s="10" t="n">
        <x:v>75</x:v>
      </x:c>
      <x:c r="H218" s="10" t="n">
        <x:f>MAX(F218:G218)</x:f>
        <x:v>85</x:v>
      </x:c>
      <x:c r="I218" s="1" t="str">
        <x:f>'Pokémon'!M382</x:f>
        <x:v>Física</x:v>
      </x:c>
      <x:c r="J218" s="1" t="str">
        <x:f>'Habilidades'!D3528</x:f>
        <x:v>Thrash</x:v>
      </x:c>
      <x:c r="K218" s="1" t="str">
        <x:f>'Habilidades'!E3528</x:f>
        <x:v>Normal</x:v>
      </x:c>
      <x:c r="L218" s="1" t="str">
        <x:f>'Habilidades'!F3528</x:f>
        <x:v>Física</x:v>
      </x:c>
      <x:c r="M218" s="10" t="n">
        <x:f>'Habilidades'!G3528</x:f>
        <x:v>120</x:v>
      </x:c>
      <x:c r="N218" s="10" t="n">
        <x:f>'Habilidades'!I3528</x:f>
        <x:v>205</x:v>
      </x:c>
      <x:c r="O218" s="1" t="str">
        <x:f>'Habilidades'!D3529&amp;" ("&amp;'Habilidades'!I3529&amp;")"</x:f>
        <x:v>Zap Cannon (195)</x:v>
      </x:c>
      <x:c r="P218" s="1" t="str">
        <x:f>'Habilidades'!D3530&amp;" ("&amp;'Habilidades'!I3530&amp;")"</x:f>
        <x:v>Wild Charge (175)</x:v>
      </x:c>
      <x:c r="Q218" s="1" t="str">
        <x:f>'Habilidades'!D3531&amp;" ("&amp;'Habilidades'!I3531&amp;")"</x:f>
        <x:v>Thunderbolt (165)</x:v>
      </x:c>
      <x:c r="R218" s="1" t="str">
        <x:f>'Habilidades'!D3532&amp;" ("&amp;'Habilidades'!I3532&amp;")"</x:f>
        <x:v>Crunch (165)</x:v>
      </x:c>
      <x:c r="S218" s="9" t="str">
        <x:v>https://poke.idleworld.online/pokepedia/pokemon/eelektrik</x:v>
      </x:c>
    </x:row>
    <x:row r="219" ht="22" customHeight="1">
      <x:c r="A219" s="1" t="n">
        <x:v>200</x:v>
      </x:c>
      <x:c r="B219" s="1" t="n">
        <x:v>636</x:v>
      </x:c>
      <x:c r="C219" s="1" t="str">
        <x:v>Larvesta</x:v>
      </x:c>
      <x:c r="D219" s="1" t="str">
        <x:v>Inseto</x:v>
      </x:c>
      <x:c r="E219" s="1" t="str">
        <x:v>Fogo</x:v>
      </x:c>
      <x:c r="F219" s="10" t="n">
        <x:v>85</x:v>
      </x:c>
      <x:c r="G219" s="10" t="n">
        <x:v>50</x:v>
      </x:c>
      <x:c r="H219" s="10" t="n">
        <x:f>MAX(F219:G219)</x:f>
        <x:v>85</x:v>
      </x:c>
      <x:c r="I219" s="1" t="str">
        <x:f>'Pokémon'!M389</x:f>
        <x:v>Física</x:v>
      </x:c>
      <x:c r="J219" s="1" t="str">
        <x:f>'Habilidades'!D3594</x:f>
        <x:v>Double-Edge</x:v>
      </x:c>
      <x:c r="K219" s="1" t="str">
        <x:f>'Habilidades'!E3594</x:f>
        <x:v>Normal</x:v>
      </x:c>
      <x:c r="L219" s="1" t="str">
        <x:f>'Habilidades'!F3594</x:f>
        <x:v>Física</x:v>
      </x:c>
      <x:c r="M219" s="10" t="n">
        <x:f>'Habilidades'!G3594</x:f>
        <x:v>120</x:v>
      </x:c>
      <x:c r="N219" s="10" t="n">
        <x:f>'Habilidades'!I3594</x:f>
        <x:v>205</x:v>
      </x:c>
      <x:c r="O219" s="1" t="str">
        <x:f>'Habilidades'!D3595&amp;" ("&amp;'Habilidades'!I3595&amp;")"</x:f>
        <x:v>Thrash (205)</x:v>
      </x:c>
      <x:c r="P219" s="1" t="str">
        <x:f>'Habilidades'!D3596&amp;" ("&amp;'Habilidades'!I3596&amp;")"</x:f>
        <x:v>Flare Blitz (205)</x:v>
      </x:c>
      <x:c r="Q219" s="1" t="str">
        <x:f>'Habilidades'!D3597&amp;" ("&amp;'Habilidades'!I3597&amp;")"</x:f>
        <x:v>Take Down (175)</x:v>
      </x:c>
      <x:c r="R219" s="1" t="str">
        <x:f>'Habilidades'!D3598&amp;" ("&amp;'Habilidades'!I3598&amp;")"</x:f>
        <x:v>Bug Bite (145)</x:v>
      </x:c>
      <x:c r="S219" s="9" t="str">
        <x:v>https://poke.idleworld.online/pokepedia/pokemon/larvesta</x:v>
      </x:c>
    </x:row>
    <x:row r="220" ht="22" customHeight="1">
      <x:c r="A220" s="1" t="n">
        <x:v>200</x:v>
      </x:c>
      <x:c r="B220" s="1" t="n">
        <x:v>375</x:v>
      </x:c>
      <x:c r="C220" s="1" t="str">
        <x:v>Metang</x:v>
      </x:c>
      <x:c r="D220" s="1" t="str">
        <x:v>Aço</x:v>
      </x:c>
      <x:c r="E220" s="1" t="str">
        <x:v>Psíquico</x:v>
      </x:c>
      <x:c r="F220" s="10" t="n">
        <x:v>75</x:v>
      </x:c>
      <x:c r="G220" s="10" t="n">
        <x:v>55</x:v>
      </x:c>
      <x:c r="H220" s="10" t="n">
        <x:f>MAX(F220:G220)</x:f>
        <x:v>75</x:v>
      </x:c>
      <x:c r="I220" s="1" t="str">
        <x:f>'Pokémon'!M335</x:f>
        <x:v>Física</x:v>
      </x:c>
      <x:c r="J220" s="1" t="str">
        <x:f>'Habilidades'!D3123</x:f>
        <x:v>Hyper Beam</x:v>
      </x:c>
      <x:c r="K220" s="1" t="str">
        <x:f>'Habilidades'!E3123</x:f>
        <x:v>Normal</x:v>
      </x:c>
      <x:c r="L220" s="1" t="str">
        <x:f>'Habilidades'!F3123</x:f>
        <x:v>Especial</x:v>
      </x:c>
      <x:c r="M220" s="10" t="n">
        <x:f>'Habilidades'!G3123</x:f>
        <x:v>150</x:v>
      </x:c>
      <x:c r="N220" s="10" t="n">
        <x:f>'Habilidades'!I3123</x:f>
        <x:v>205</x:v>
      </x:c>
      <x:c r="O220" s="1" t="str">
        <x:f>'Habilidades'!D3124&amp;" ("&amp;'Habilidades'!I3124&amp;")"</x:f>
        <x:v>Take Down (165)</x:v>
      </x:c>
      <x:c r="P220" s="1" t="str">
        <x:f>'Habilidades'!D3125&amp;" ("&amp;'Habilidades'!I3125&amp;")"</x:f>
        <x:v>Meteor Mash (165)</x:v>
      </x:c>
      <x:c r="Q220" s="1" t="str">
        <x:f>'Habilidades'!D3126&amp;" ("&amp;'Habilidades'!I3126&amp;")"</x:f>
        <x:v>Zen Headbutt (155)</x:v>
      </x:c>
      <x:c r="R220" s="1" t="str">
        <x:f>'Habilidades'!D3127&amp;" ("&amp;'Habilidades'!I3127&amp;")"</x:f>
        <x:v>Psychic (145)</x:v>
      </x:c>
      <x:c r="S220" s="9" t="str">
        <x:v>https://poke.idleworld.online/pokepedia/pokemon/metang</x:v>
      </x:c>
    </x:row>
    <x:row r="221" ht="22" customHeight="1">
      <x:c r="A221" s="1" t="n">
        <x:v>217</x:v>
      </x:c>
      <x:c r="B221" s="1" t="n">
        <x:v>627</x:v>
      </x:c>
      <x:c r="C221" s="1" t="str">
        <x:v>Rufflet</x:v>
      </x:c>
      <x:c r="D221" s="1" t="str">
        <x:v>Normal</x:v>
      </x:c>
      <x:c r="E221" s="1" t="str">
        <x:v>Voador</x:v>
      </x:c>
      <x:c r="F221" s="10" t="n">
        <x:v>83</x:v>
      </x:c>
      <x:c r="G221" s="10" t="n">
        <x:v>37</x:v>
      </x:c>
      <x:c r="H221" s="10" t="n">
        <x:f>MAX(F221:G221)</x:f>
        <x:v>83</x:v>
      </x:c>
      <x:c r="I221" s="1" t="str">
        <x:f>'Pokémon'!M387</x:f>
        <x:v>Física</x:v>
      </x:c>
      <x:c r="J221" s="1" t="str">
        <x:f>'Habilidades'!D3571</x:f>
        <x:v>Brave Bird</x:v>
      </x:c>
      <x:c r="K221" s="1" t="str">
        <x:f>'Habilidades'!E3571</x:f>
        <x:v>Voador</x:v>
      </x:c>
      <x:c r="L221" s="1" t="str">
        <x:f>'Habilidades'!F3571</x:f>
        <x:v>Física</x:v>
      </x:c>
      <x:c r="M221" s="10" t="n">
        <x:f>'Habilidades'!G3571</x:f>
        <x:v>120</x:v>
      </x:c>
      <x:c r="N221" s="10" t="n">
        <x:f>'Habilidades'!I3571</x:f>
        <x:v>203</x:v>
      </x:c>
      <x:c r="O221" s="1" t="str">
        <x:f>'Habilidades'!D3572&amp;" ("&amp;'Habilidades'!I3572&amp;")"</x:f>
        <x:v>Thrash (203)</x:v>
      </x:c>
      <x:c r="P221" s="1" t="str">
        <x:f>'Habilidades'!D3573&amp;" ("&amp;'Habilidades'!I3573&amp;")"</x:f>
        <x:v>Crush Claw (158)</x:v>
      </x:c>
      <x:c r="Q221" s="1" t="str">
        <x:f>'Habilidades'!D3574&amp;" ("&amp;'Habilidades'!I3574&amp;")"</x:f>
        <x:v>Slash (153)</x:v>
      </x:c>
      <x:c r="R221" s="1" t="str">
        <x:f>'Habilidades'!D3575&amp;" ("&amp;'Habilidades'!I3575&amp;")"</x:f>
        <x:v>Wing Attack (143)</x:v>
      </x:c>
      <x:c r="S221" s="9" t="str">
        <x:v>https://poke.idleworld.online/pokepedia/pokemon/rufflet</x:v>
      </x:c>
    </x:row>
    <x:row r="222" ht="22" customHeight="1">
      <x:c r="A222" s="1" t="n">
        <x:v>217</x:v>
      </x:c>
      <x:c r="B222" s="1" t="n">
        <x:v>353</x:v>
      </x:c>
      <x:c r="C222" s="1" t="str">
        <x:v>Shuppet</x:v>
      </x:c>
      <x:c r="D222" s="1" t="str">
        <x:v>Fantasma</x:v>
      </x:c>
      <x:c r="E222" s="1" t="str"/>
      <x:c r="F222" s="10" t="n">
        <x:v>75</x:v>
      </x:c>
      <x:c r="G222" s="10" t="n">
        <x:v>63</x:v>
      </x:c>
      <x:c r="H222" s="10" t="n">
        <x:f>MAX(F222:G222)</x:f>
        <x:v>75</x:v>
      </x:c>
      <x:c r="I222" s="1" t="str">
        <x:f>'Pokémon'!M320</x:f>
        <x:v>Física</x:v>
      </x:c>
      <x:c r="J222" s="1" t="str">
        <x:f>'Habilidades'!D2968</x:f>
        <x:v>Night Shade</x:v>
      </x:c>
      <x:c r="K222" s="1" t="str">
        <x:f>'Habilidades'!E2968</x:f>
        <x:v>Fantasma</x:v>
      </x:c>
      <x:c r="L222" s="1" t="str">
        <x:f>'Habilidades'!F2968</x:f>
        <x:v>Especial</x:v>
      </x:c>
      <x:c r="M222" s="10" t="n">
        <x:f>'Habilidades'!G2968</x:f>
        <x:v>140</x:v>
      </x:c>
      <x:c r="N222" s="10" t="n">
        <x:f>'Habilidades'!I2968</x:f>
        <x:v>203</x:v>
      </x:c>
      <x:c r="O222" s="1" t="str">
        <x:f>'Habilidades'!D2969&amp;" ("&amp;'Habilidades'!I2969&amp;")"</x:f>
        <x:v>Phantom Force (165)</x:v>
      </x:c>
      <x:c r="P222" s="1" t="str">
        <x:f>'Habilidades'!D2970&amp;" ("&amp;'Habilidades'!I2970&amp;")"</x:f>
        <x:v>Sucker Punch (155)</x:v>
      </x:c>
      <x:c r="Q222" s="1" t="str">
        <x:f>'Habilidades'!D2971&amp;" ("&amp;'Habilidades'!I2971&amp;")"</x:f>
        <x:v>Shadow Ball (143)</x:v>
      </x:c>
      <x:c r="R222" s="1" t="str">
        <x:f>'Habilidades'!D2972&amp;" ("&amp;'Habilidades'!I2972&amp;")"</x:f>
        <x:v>Knock Off (140)</x:v>
      </x:c>
      <x:c r="S222" s="9" t="str">
        <x:v>https://poke.idleworld.online/pokepedia/pokemon/shuppet</x:v>
      </x:c>
    </x:row>
    <x:row r="223" ht="22" customHeight="1">
      <x:c r="A223" s="1" t="n">
        <x:v>217</x:v>
      </x:c>
      <x:c r="B223" s="1" t="n">
        <x:v>667</x:v>
      </x:c>
      <x:c r="C223" s="1" t="str">
        <x:v>Litleo</x:v>
      </x:c>
      <x:c r="D223" s="1" t="str">
        <x:v>Fogo</x:v>
      </x:c>
      <x:c r="E223" s="1" t="str">
        <x:v>Normal</x:v>
      </x:c>
      <x:c r="F223" s="10" t="n">
        <x:v>50</x:v>
      </x:c>
      <x:c r="G223" s="10" t="n">
        <x:v>73</x:v>
      </x:c>
      <x:c r="H223" s="10" t="n">
        <x:f>MAX(F223:G223)</x:f>
        <x:v>73</x:v>
      </x:c>
      <x:c r="I223" s="1" t="str">
        <x:f>'Pokémon'!M391</x:f>
        <x:v>Especial</x:v>
      </x:c>
      <x:c r="J223" s="1" t="str">
        <x:f>'Habilidades'!D3616</x:f>
        <x:v>Overheat</x:v>
      </x:c>
      <x:c r="K223" s="1" t="str">
        <x:f>'Habilidades'!E3616</x:f>
        <x:v>Fogo</x:v>
      </x:c>
      <x:c r="L223" s="1" t="str">
        <x:f>'Habilidades'!F3616</x:f>
        <x:v>Especial</x:v>
      </x:c>
      <x:c r="M223" s="10" t="n">
        <x:f>'Habilidades'!G3616</x:f>
        <x:v>130</x:v>
      </x:c>
      <x:c r="N223" s="10" t="n">
        <x:f>'Habilidades'!I3616</x:f>
        <x:v>203</x:v>
      </x:c>
      <x:c r="O223" s="1" t="str">
        <x:f>'Habilidades'!D3617&amp;" ("&amp;'Habilidades'!I3617&amp;")"</x:f>
        <x:v>Flamethrower (163)</x:v>
      </x:c>
      <x:c r="P223" s="1" t="str">
        <x:f>'Habilidades'!D3618&amp;" ("&amp;'Habilidades'!I3618&amp;")"</x:f>
        <x:v>Hyper Voice (163)</x:v>
      </x:c>
      <x:c r="Q223" s="1" t="str">
        <x:f>'Habilidades'!D3619&amp;" ("&amp;'Habilidades'!I3619&amp;")"</x:f>
        <x:v>Take Down (140)</x:v>
      </x:c>
      <x:c r="R223" s="1" t="str">
        <x:f>'Habilidades'!D3620&amp;" ("&amp;'Habilidades'!I3620&amp;")"</x:f>
        <x:v>Incinerate (133)</x:v>
      </x:c>
      <x:c r="S223" s="9" t="str">
        <x:v>https://poke.idleworld.online/pokepedia/pokemon/litleo</x:v>
      </x:c>
    </x:row>
    <x:row r="224" ht="22" customHeight="1">
      <x:c r="A224" s="1" t="n">
        <x:v>220</x:v>
      </x:c>
      <x:c r="B224" s="1" t="n">
        <x:v>357</x:v>
      </x:c>
      <x:c r="C224" s="1" t="str">
        <x:v>Tropius</x:v>
      </x:c>
      <x:c r="D224" s="1" t="str">
        <x:v>Planta</x:v>
      </x:c>
      <x:c r="E224" s="1" t="str">
        <x:v>Voador</x:v>
      </x:c>
      <x:c r="F224" s="10" t="n">
        <x:v>68</x:v>
      </x:c>
      <x:c r="G224" s="10" t="n">
        <x:v>72</x:v>
      </x:c>
      <x:c r="H224" s="10" t="n">
        <x:f>MAX(F224:G224)</x:f>
        <x:v>72</x:v>
      </x:c>
      <x:c r="I224" s="1" t="str">
        <x:f>'Pokémon'!M324</x:f>
        <x:v>Especial</x:v>
      </x:c>
      <x:c r="J224" s="1" t="str">
        <x:f>'Habilidades'!D3005</x:f>
        <x:v>Leaf Storm</x:v>
      </x:c>
      <x:c r="K224" s="1" t="str">
        <x:f>'Habilidades'!E3005</x:f>
        <x:v>Planta</x:v>
      </x:c>
      <x:c r="L224" s="1" t="str">
        <x:f>'Habilidades'!F3005</x:f>
        <x:v>Especial</x:v>
      </x:c>
      <x:c r="M224" s="10" t="n">
        <x:f>'Habilidades'!G3005</x:f>
        <x:v>130</x:v>
      </x:c>
      <x:c r="N224" s="10" t="n">
        <x:f>'Habilidades'!I3005</x:f>
        <x:v>202</x:v>
      </x:c>
      <x:c r="O224" s="1" t="str">
        <x:f>'Habilidades'!D3006&amp;" ("&amp;'Habilidades'!I3006&amp;")"</x:f>
        <x:v>Solar Beam (192)</x:v>
      </x:c>
      <x:c r="P224" s="1" t="str">
        <x:f>'Habilidades'!D3007&amp;" ("&amp;'Habilidades'!I3007&amp;")"</x:f>
        <x:v>Body Slam (153)</x:v>
      </x:c>
      <x:c r="Q224" s="1" t="str">
        <x:f>'Habilidades'!D3008&amp;" ("&amp;'Habilidades'!I3008&amp;")"</x:f>
        <x:v>Air Slash (147)</x:v>
      </x:c>
      <x:c r="R224" s="1" t="str">
        <x:f>'Habilidades'!D3009&amp;" ("&amp;'Habilidades'!I3009&amp;")"</x:f>
        <x:v>Leaf Tornado (137)</x:v>
      </x:c>
      <x:c r="S224" s="9" t="str">
        <x:v>https://poke.idleworld.online/pokepedia/pokemon/tropius</x:v>
      </x:c>
    </x:row>
    <x:row r="225" ht="22" customHeight="1">
      <x:c r="A225" s="1" t="n">
        <x:v>221</x:v>
      </x:c>
      <x:c r="B225" s="1" t="n">
        <x:v>20</x:v>
      </x:c>
      <x:c r="C225" s="1" t="str">
        <x:v>Raticate</x:v>
      </x:c>
      <x:c r="D225" s="1" t="str">
        <x:v>Normal</x:v>
      </x:c>
      <x:c r="E225" s="1" t="str"/>
      <x:c r="F225" s="10" t="n">
        <x:v>81</x:v>
      </x:c>
      <x:c r="G225" s="10" t="n">
        <x:v>50</x:v>
      </x:c>
      <x:c r="H225" s="10" t="n">
        <x:f>MAX(F225:G225)</x:f>
        <x:v>81</x:v>
      </x:c>
      <x:c r="I225" s="1" t="str">
        <x:f>'Pokémon'!M24</x:f>
        <x:v>Física</x:v>
      </x:c>
      <x:c r="J225" s="1" t="str">
        <x:f>'Habilidades'!D162</x:f>
        <x:v>Double-Edge</x:v>
      </x:c>
      <x:c r="K225" s="1" t="str">
        <x:f>'Habilidades'!E162</x:f>
        <x:v>Normal</x:v>
      </x:c>
      <x:c r="L225" s="1" t="str">
        <x:f>'Habilidades'!F162</x:f>
        <x:v>Física</x:v>
      </x:c>
      <x:c r="M225" s="10" t="n">
        <x:f>'Habilidades'!G162</x:f>
        <x:v>120</x:v>
      </x:c>
      <x:c r="N225" s="10" t="n">
        <x:f>'Habilidades'!I162</x:f>
        <x:v>201</x:v>
      </x:c>
      <x:c r="O225" s="1" t="str">
        <x:f>'Habilidades'!D163&amp;" ("&amp;'Habilidades'!I163&amp;")"</x:f>
        <x:v>Hyper Fang (161)</x:v>
      </x:c>
      <x:c r="P225" s="1" t="str">
        <x:f>'Habilidades'!D164&amp;" ("&amp;'Habilidades'!I164&amp;")"</x:f>
        <x:v>Sucker Punch (161)</x:v>
      </x:c>
      <x:c r="Q225" s="1" t="str">
        <x:f>'Habilidades'!D165&amp;" ("&amp;'Habilidades'!I165&amp;")"</x:f>
        <x:v>Crunch (161)</x:v>
      </x:c>
      <x:c r="R225" s="1" t="str">
        <x:f>'Habilidades'!D166&amp;" ("&amp;'Habilidades'!I166&amp;")"</x:f>
        <x:v>Bite (141)</x:v>
      </x:c>
      <x:c r="S225" s="9" t="str">
        <x:v>https://poke.idleworld.online/pokepedia/pokemon/raticate</x:v>
      </x:c>
    </x:row>
    <x:row r="226" ht="22" customHeight="1">
      <x:c r="A226" s="1" t="n">
        <x:v>222</x:v>
      </x:c>
      <x:c r="B226" s="1" t="n">
        <x:v>468</x:v>
      </x:c>
      <x:c r="C226" s="1" t="str">
        <x:v>Togekiss</x:v>
      </x:c>
      <x:c r="D226" s="1" t="str">
        <x:v>Fada</x:v>
      </x:c>
      <x:c r="E226" s="1" t="str">
        <x:v>Voador</x:v>
      </x:c>
      <x:c r="F226" s="10" t="n">
        <x:v>50</x:v>
      </x:c>
      <x:c r="G226" s="10" t="n">
        <x:v>120</x:v>
      </x:c>
      <x:c r="H226" s="10" t="n">
        <x:f>MAX(F226:G226)</x:f>
        <x:v>120</x:v>
      </x:c>
      <x:c r="I226" s="1" t="str">
        <x:f>'Pokémon'!M360</x:f>
        <x:v>Especial</x:v>
      </x:c>
      <x:c r="J226" s="1" t="str">
        <x:f>'Habilidades'!D3339</x:f>
        <x:v>Aura Sphere</x:v>
      </x:c>
      <x:c r="K226" s="1" t="str">
        <x:f>'Habilidades'!E3339</x:f>
        <x:v>Lutador</x:v>
      </x:c>
      <x:c r="L226" s="1" t="str">
        <x:f>'Habilidades'!F3339</x:f>
        <x:v>Especial</x:v>
      </x:c>
      <x:c r="M226" s="10" t="n">
        <x:f>'Habilidades'!G3339</x:f>
        <x:v>80</x:v>
      </x:c>
      <x:c r="N226" s="10" t="n">
        <x:f>'Habilidades'!I3339</x:f>
        <x:v>200</x:v>
      </x:c>
      <x:c r="O226" s="1" t="str">
        <x:f>'Habilidades'!D3340&amp;" ("&amp;'Habilidades'!I3340&amp;")"</x:f>
        <x:v>Air Slash (195)</x:v>
      </x:c>
      <x:c r="P226" s="1" t="str">
        <x:f>'Habilidades'!D3341&amp;" ("&amp;'Habilidades'!I3341&amp;")"</x:f>
        <x:v>Sky Attack (190)</x:v>
      </x:c>
      <x:c r="Q226" s="1" t="str">
        <x:f>'Habilidades'!D3342&amp;" ("&amp;'Habilidades'!I3342&amp;")"</x:f>
        <x:v>Extreme Speed (130)</x:v>
      </x:c>
      <x:c r="R226" s="1" t="str">
        <x:f>""</x:f>
      </x:c>
      <x:c r="S226" s="9" t="str">
        <x:v>https://poke.idleworld.online/pokepedia/pokemon/togekiss</x:v>
      </x:c>
    </x:row>
    <x:row r="227" ht="22" customHeight="1">
      <x:c r="A227" s="1" t="n">
        <x:v>222</x:v>
      </x:c>
      <x:c r="B227" s="1" t="n">
        <x:v>67</x:v>
      </x:c>
      <x:c r="C227" s="1" t="str">
        <x:v>Machoke</x:v>
      </x:c>
      <x:c r="D227" s="1" t="str">
        <x:v>Lutador</x:v>
      </x:c>
      <x:c r="E227" s="1" t="str"/>
      <x:c r="F227" s="10" t="n">
        <x:v>100</x:v>
      </x:c>
      <x:c r="G227" s="10" t="n">
        <x:v>50</x:v>
      </x:c>
      <x:c r="H227" s="10" t="n">
        <x:f>MAX(F227:G227)</x:f>
        <x:v>100</x:v>
      </x:c>
      <x:c r="I227" s="1" t="str">
        <x:f>'Pokémon'!M71</x:f>
        <x:v>Física</x:v>
      </x:c>
      <x:c r="J227" s="1" t="str">
        <x:f>'Habilidades'!D586</x:f>
        <x:v>Cross Chop</x:v>
      </x:c>
      <x:c r="K227" s="1" t="str">
        <x:f>'Habilidades'!E586</x:f>
        <x:v>Lutador</x:v>
      </x:c>
      <x:c r="L227" s="1" t="str">
        <x:f>'Habilidades'!F586</x:f>
        <x:v>Física</x:v>
      </x:c>
      <x:c r="M227" s="10" t="n">
        <x:f>'Habilidades'!G586</x:f>
        <x:v>100</x:v>
      </x:c>
      <x:c r="N227" s="10" t="n">
        <x:f>'Habilidades'!I586</x:f>
        <x:v>200</x:v>
      </x:c>
      <x:c r="O227" s="1" t="str">
        <x:f>'Habilidades'!D587&amp;" ("&amp;'Habilidades'!I587&amp;")"</x:f>
        <x:v>Dynamic Punch (200)</x:v>
      </x:c>
      <x:c r="P227" s="1" t="str">
        <x:f>'Habilidades'!D588&amp;" ("&amp;'Habilidades'!I588&amp;")"</x:f>
        <x:v>Submission (180)</x:v>
      </x:c>
      <x:c r="Q227" s="1" t="str">
        <x:f>'Habilidades'!D589&amp;" ("&amp;'Habilidades'!I589&amp;")"</x:f>
        <x:v>Vital Throw (170)</x:v>
      </x:c>
      <x:c r="R227" s="1" t="str">
        <x:f>'Habilidades'!D590&amp;" ("&amp;'Habilidades'!I590&amp;")"</x:f>
        <x:v>Wake-Up Slap (170)</x:v>
      </x:c>
      <x:c r="S227" s="9" t="str">
        <x:v>https://poke.idleworld.online/pokepedia/pokemon/machoke</x:v>
      </x:c>
    </x:row>
    <x:row r="228" ht="22" customHeight="1">
      <x:c r="A228" s="1" t="n">
        <x:v>222</x:v>
      </x:c>
      <x:c r="B228" s="1" t="n">
        <x:v>92</x:v>
      </x:c>
      <x:c r="C228" s="1" t="str">
        <x:v>Gastly</x:v>
      </x:c>
      <x:c r="D228" s="1" t="str">
        <x:v>Fantasma</x:v>
      </x:c>
      <x:c r="E228" s="1" t="str">
        <x:v>Venenoso</x:v>
      </x:c>
      <x:c r="F228" s="10" t="n">
        <x:v>35</x:v>
      </x:c>
      <x:c r="G228" s="10" t="n">
        <x:v>100</x:v>
      </x:c>
      <x:c r="H228" s="10" t="n">
        <x:f>MAX(F228:G228)</x:f>
        <x:v>100</x:v>
      </x:c>
      <x:c r="I228" s="1" t="str">
        <x:f>'Pokémon'!M96</x:f>
        <x:v>Especial</x:v>
      </x:c>
      <x:c r="J228" s="1" t="str">
        <x:f>'Habilidades'!D851</x:f>
        <x:v>Dream Eater</x:v>
      </x:c>
      <x:c r="K228" s="1" t="str">
        <x:f>'Habilidades'!E851</x:f>
        <x:v>Psíquico</x:v>
      </x:c>
      <x:c r="L228" s="1" t="str">
        <x:f>'Habilidades'!F851</x:f>
        <x:v>Especial</x:v>
      </x:c>
      <x:c r="M228" s="10" t="n">
        <x:f>'Habilidades'!G851</x:f>
        <x:v>100</x:v>
      </x:c>
      <x:c r="N228" s="10" t="n">
        <x:f>'Habilidades'!I851</x:f>
        <x:v>200</x:v>
      </x:c>
      <x:c r="O228" s="1" t="str">
        <x:f>'Habilidades'!D852&amp;" ("&amp;'Habilidades'!I852&amp;")"</x:f>
        <x:v>Shadow Ball (180)</x:v>
      </x:c>
      <x:c r="P228" s="1" t="str">
        <x:f>'Habilidades'!D853&amp;" ("&amp;'Habilidades'!I853&amp;")"</x:f>
        <x:v>Dark Pulse (180)</x:v>
      </x:c>
      <x:c r="Q228" s="1" t="str">
        <x:f>'Habilidades'!D854&amp;" ("&amp;'Habilidades'!I854&amp;")"</x:f>
        <x:v>Hex (165)</x:v>
      </x:c>
      <x:c r="R228" s="1" t="str">
        <x:f>'Habilidades'!D855&amp;" ("&amp;'Habilidades'!I855&amp;")"</x:f>
        <x:v>Night Shade (156)</x:v>
      </x:c>
      <x:c r="S228" s="9" t="str">
        <x:v>https://poke.idleworld.online/pokepedia/pokemon/gastly</x:v>
      </x:c>
    </x:row>
    <x:row r="229" ht="22" customHeight="1">
      <x:c r="A229" s="1" t="n">
        <x:v>222</x:v>
      </x:c>
      <x:c r="B229" s="1" t="n">
        <x:v>138</x:v>
      </x:c>
      <x:c r="C229" s="1" t="str">
        <x:v>Omanyte</x:v>
      </x:c>
      <x:c r="D229" s="1" t="str">
        <x:v>Pedra</x:v>
      </x:c>
      <x:c r="E229" s="1" t="str">
        <x:v>Água</x:v>
      </x:c>
      <x:c r="F229" s="10" t="n">
        <x:v>40</x:v>
      </x:c>
      <x:c r="G229" s="10" t="n">
        <x:v>90</x:v>
      </x:c>
      <x:c r="H229" s="10" t="n">
        <x:f>MAX(F229:G229)</x:f>
        <x:v>90</x:v>
      </x:c>
      <x:c r="I229" s="1" t="str">
        <x:f>'Pokémon'!M142</x:f>
        <x:v>Especial</x:v>
      </x:c>
      <x:c r="J229" s="1" t="str">
        <x:f>'Habilidades'!D1315</x:f>
        <x:v>Hydro Pump</x:v>
      </x:c>
      <x:c r="K229" s="1" t="str">
        <x:f>'Habilidades'!E1315</x:f>
        <x:v>Água</x:v>
      </x:c>
      <x:c r="L229" s="1" t="str">
        <x:f>'Habilidades'!F1315</x:f>
        <x:v>Especial</x:v>
      </x:c>
      <x:c r="M229" s="10" t="n">
        <x:f>'Habilidades'!G1315</x:f>
        <x:v>110</x:v>
      </x:c>
      <x:c r="N229" s="10" t="n">
        <x:f>'Habilidades'!I1315</x:f>
        <x:v>200</x:v>
      </x:c>
      <x:c r="O229" s="1" t="str">
        <x:f>'Habilidades'!D1316&amp;" ("&amp;'Habilidades'!I1316&amp;")"</x:f>
        <x:v>Brine (155)</x:v>
      </x:c>
      <x:c r="P229" s="1" t="str">
        <x:f>'Habilidades'!D1317&amp;" ("&amp;'Habilidades'!I1317&amp;")"</x:f>
        <x:v>Ancient Power (150)</x:v>
      </x:c>
      <x:c r="Q229" s="1" t="str">
        <x:f>'Habilidades'!D1318&amp;" ("&amp;'Habilidades'!I1318&amp;")"</x:f>
        <x:v>Mud Shot (145)</x:v>
      </x:c>
      <x:c r="R229" s="1" t="str">
        <x:f>'Habilidades'!D1319&amp;" ("&amp;'Habilidades'!I1319&amp;")"</x:f>
        <x:v>Water Gun (130)</x:v>
      </x:c>
      <x:c r="S229" s="9" t="str">
        <x:v>https://poke.idleworld.online/pokepedia/pokemon/omanyte</x:v>
      </x:c>
    </x:row>
    <x:row r="230" ht="22" customHeight="1">
      <x:c r="A230" s="1" t="n">
        <x:v>222</x:v>
      </x:c>
      <x:c r="B230" s="1" t="n">
        <x:v>2</x:v>
      </x:c>
      <x:c r="C230" s="1" t="str">
        <x:v>Ivysaur</x:v>
      </x:c>
      <x:c r="D230" s="1" t="str">
        <x:v>Planta</x:v>
      </x:c>
      <x:c r="E230" s="1" t="str">
        <x:v>Venenoso</x:v>
      </x:c>
      <x:c r="F230" s="10" t="n">
        <x:v>62</x:v>
      </x:c>
      <x:c r="G230" s="10" t="n">
        <x:v>80</x:v>
      </x:c>
      <x:c r="H230" s="10" t="n">
        <x:f>MAX(F230:G230)</x:f>
        <x:v>80</x:v>
      </x:c>
      <x:c r="I230" s="1" t="str">
        <x:f>'Pokémon'!M6</x:f>
        <x:v>Especial</x:v>
      </x:c>
      <x:c r="J230" s="1" t="str">
        <x:f>'Habilidades'!D14</x:f>
        <x:v>Solar Beam</x:v>
      </x:c>
      <x:c r="K230" s="1" t="str">
        <x:f>'Habilidades'!E14</x:f>
        <x:v>Planta</x:v>
      </x:c>
      <x:c r="L230" s="1" t="str">
        <x:f>'Habilidades'!F14</x:f>
        <x:v>Especial</x:v>
      </x:c>
      <x:c r="M230" s="10" t="n">
        <x:f>'Habilidades'!G14</x:f>
        <x:v>120</x:v>
      </x:c>
      <x:c r="N230" s="10" t="n">
        <x:f>'Habilidades'!I14</x:f>
        <x:v>200</x:v>
      </x:c>
      <x:c r="O230" s="1" t="str">
        <x:f>'Habilidades'!D15&amp;" ("&amp;'Habilidades'!I15&amp;")"</x:f>
        <x:v>Double-Edge (182)</x:v>
      </x:c>
      <x:c r="P230" s="1" t="str">
        <x:f>'Habilidades'!D16&amp;" ("&amp;'Habilidades'!I16&amp;")"</x:f>
        <x:v>Take Down (152)</x:v>
      </x:c>
      <x:c r="Q230" s="1" t="str">
        <x:f>'Habilidades'!D17&amp;" ("&amp;'Habilidades'!I17&amp;")"</x:f>
        <x:v>Razor Leaf (117)</x:v>
      </x:c>
      <x:c r="R230" s="1" t="str">
        <x:f>'Habilidades'!D18&amp;" ("&amp;'Habilidades'!I18&amp;")"</x:f>
        <x:v>Tackle (112)</x:v>
      </x:c>
      <x:c r="S230" s="9" t="str">
        <x:v>https://poke.idleworld.online/pokepedia/pokemon/ivysaur</x:v>
      </x:c>
    </x:row>
    <x:row r="231" ht="22" customHeight="1">
      <x:c r="A231" s="1" t="n">
        <x:v>222</x:v>
      </x:c>
      <x:c r="B231" s="1" t="n">
        <x:v>56</x:v>
      </x:c>
      <x:c r="C231" s="1" t="str">
        <x:v>Mankey</x:v>
      </x:c>
      <x:c r="D231" s="1" t="str">
        <x:v>Lutador</x:v>
      </x:c>
      <x:c r="E231" s="1" t="str"/>
      <x:c r="F231" s="10" t="n">
        <x:v>80</x:v>
      </x:c>
      <x:c r="G231" s="10" t="n">
        <x:v>35</x:v>
      </x:c>
      <x:c r="H231" s="10" t="n">
        <x:f>MAX(F231:G231)</x:f>
        <x:v>80</x:v>
      </x:c>
      <x:c r="I231" s="1" t="str">
        <x:f>'Pokémon'!M60</x:f>
        <x:v>Física</x:v>
      </x:c>
      <x:c r="J231" s="1" t="str">
        <x:f>'Habilidades'!D498</x:f>
        <x:v>Thrash</x:v>
      </x:c>
      <x:c r="K231" s="1" t="str">
        <x:f>'Habilidades'!E498</x:f>
        <x:v>Normal</x:v>
      </x:c>
      <x:c r="L231" s="1" t="str">
        <x:f>'Habilidades'!F498</x:f>
        <x:v>Física</x:v>
      </x:c>
      <x:c r="M231" s="10" t="n">
        <x:f>'Habilidades'!G498</x:f>
        <x:v>120</x:v>
      </x:c>
      <x:c r="N231" s="10" t="n">
        <x:f>'Habilidades'!I498</x:f>
        <x:v>200</x:v>
      </x:c>
      <x:c r="O231" s="1" t="str">
        <x:f>'Habilidades'!D499&amp;" ("&amp;'Habilidades'!I499&amp;")"</x:f>
        <x:v>Close Combat (200)</x:v>
      </x:c>
      <x:c r="P231" s="1" t="str">
        <x:f>'Habilidades'!D500&amp;" ("&amp;'Habilidades'!I500&amp;")"</x:f>
        <x:v>Cross Chop (180)</x:v>
      </x:c>
      <x:c r="Q231" s="1" t="str">
        <x:f>'Habilidades'!D501&amp;" ("&amp;'Habilidades'!I501&amp;")"</x:f>
        <x:v>Covet (140)</x:v>
      </x:c>
      <x:c r="R231" s="1" t="str">
        <x:f>'Habilidades'!D502&amp;" ("&amp;'Habilidades'!I502&amp;")"</x:f>
        <x:v>Assurance (140)</x:v>
      </x:c>
      <x:c r="S231" s="9" t="str">
        <x:v>https://poke.idleworld.online/pokepedia/pokemon/mankey</x:v>
      </x:c>
    </x:row>
    <x:row r="232" ht="22" customHeight="1">
      <x:c r="A232" s="1" t="n">
        <x:v>222</x:v>
      </x:c>
      <x:c r="B232" s="1" t="n">
        <x:v>74</x:v>
      </x:c>
      <x:c r="C232" s="1" t="str">
        <x:v>Geodude</x:v>
      </x:c>
      <x:c r="D232" s="1" t="str">
        <x:v>Pedra</x:v>
      </x:c>
      <x:c r="E232" s="1" t="str">
        <x:v>Terrestre</x:v>
      </x:c>
      <x:c r="F232" s="10" t="n">
        <x:v>80</x:v>
      </x:c>
      <x:c r="G232" s="10" t="n">
        <x:v>30</x:v>
      </x:c>
      <x:c r="H232" s="10" t="n">
        <x:f>MAX(F232:G232)</x:f>
        <x:v>80</x:v>
      </x:c>
      <x:c r="I232" s="1" t="str">
        <x:f>'Pokémon'!M78</x:f>
        <x:v>Física</x:v>
      </x:c>
      <x:c r="J232" s="1" t="str">
        <x:f>'Habilidades'!D658</x:f>
        <x:v>Double-Edge</x:v>
      </x:c>
      <x:c r="K232" s="1" t="str">
        <x:f>'Habilidades'!E658</x:f>
        <x:v>Normal</x:v>
      </x:c>
      <x:c r="L232" s="1" t="str">
        <x:f>'Habilidades'!F658</x:f>
        <x:v>Física</x:v>
      </x:c>
      <x:c r="M232" s="10" t="n">
        <x:f>'Habilidades'!G658</x:f>
        <x:v>120</x:v>
      </x:c>
      <x:c r="N232" s="10" t="n">
        <x:f>'Habilidades'!I658</x:f>
        <x:v>200</x:v>
      </x:c>
      <x:c r="O232" s="1" t="str">
        <x:f>'Habilidades'!D659&amp;" ("&amp;'Habilidades'!I659&amp;")"</x:f>
        <x:v>Earthquake (180)</x:v>
      </x:c>
      <x:c r="P232" s="1" t="str">
        <x:f>'Habilidades'!D660&amp;" ("&amp;'Habilidades'!I660&amp;")"</x:f>
        <x:v>Stone Edge (180)</x:v>
      </x:c>
      <x:c r="Q232" s="1" t="str">
        <x:f>'Habilidades'!D661&amp;" ("&amp;'Habilidades'!I661&amp;")"</x:f>
        <x:v>Bulldoze (140)</x:v>
      </x:c>
      <x:c r="R232" s="1" t="str">
        <x:f>'Habilidades'!D662&amp;" ("&amp;'Habilidades'!I662&amp;")"</x:f>
        <x:v>Tackle (130)</x:v>
      </x:c>
      <x:c r="S232" s="9" t="str">
        <x:v>https://poke.idleworld.online/pokepedia/pokemon/geodude</x:v>
      </x:c>
    </x:row>
    <x:row r="233" ht="22" customHeight="1">
      <x:c r="A233" s="1" t="n">
        <x:v>222</x:v>
      </x:c>
      <x:c r="B233" s="1" t="n">
        <x:v>88</x:v>
      </x:c>
      <x:c r="C233" s="1" t="str">
        <x:v>Grimer</x:v>
      </x:c>
      <x:c r="D233" s="1" t="str">
        <x:v>Venenoso</x:v>
      </x:c>
      <x:c r="E233" s="1" t="str"/>
      <x:c r="F233" s="10" t="n">
        <x:v>80</x:v>
      </x:c>
      <x:c r="G233" s="10" t="n">
        <x:v>40</x:v>
      </x:c>
      <x:c r="H233" s="10" t="n">
        <x:f>MAX(F233:G233)</x:f>
        <x:v>80</x:v>
      </x:c>
      <x:c r="I233" s="1" t="str">
        <x:f>'Pokémon'!M92</x:f>
        <x:v>Física</x:v>
      </x:c>
      <x:c r="J233" s="1" t="str">
        <x:f>'Habilidades'!D815</x:f>
        <x:v>Gunk Shot</x:v>
      </x:c>
      <x:c r="K233" s="1" t="str">
        <x:f>'Habilidades'!E815</x:f>
        <x:v>Venenoso</x:v>
      </x:c>
      <x:c r="L233" s="1" t="str">
        <x:f>'Habilidades'!F815</x:f>
        <x:v>Física</x:v>
      </x:c>
      <x:c r="M233" s="10" t="n">
        <x:f>'Habilidades'!G815</x:f>
        <x:v>120</x:v>
      </x:c>
      <x:c r="N233" s="10" t="n">
        <x:f>'Habilidades'!I815</x:f>
        <x:v>200</x:v>
      </x:c>
      <x:c r="O233" s="1" t="str">
        <x:f>'Habilidades'!D816&amp;" ("&amp;'Habilidades'!I816&amp;")"</x:f>
        <x:v>Belch (160)</x:v>
      </x:c>
      <x:c r="P233" s="1" t="str">
        <x:f>'Habilidades'!D817&amp;" ("&amp;'Habilidades'!I817&amp;")"</x:f>
        <x:v>Sludge Wave (135)</x:v>
      </x:c>
      <x:c r="Q233" s="1" t="str">
        <x:f>'Habilidades'!D818&amp;" ("&amp;'Habilidades'!I818&amp;")"</x:f>
        <x:v>Sludge Bomb (130)</x:v>
      </x:c>
      <x:c r="R233" s="1" t="str">
        <x:f>'Habilidades'!D819&amp;" ("&amp;'Habilidades'!I819&amp;")"</x:f>
        <x:v>Pound (120)</x:v>
      </x:c>
      <x:c r="S233" s="9" t="str">
        <x:v>https://poke.idleworld.online/pokepedia/pokemon/grimer</x:v>
      </x:c>
    </x:row>
    <x:row r="234" ht="22" customHeight="1">
      <x:c r="A234" s="1" t="n">
        <x:v>222</x:v>
      </x:c>
      <x:c r="B234" s="1" t="n">
        <x:v>159</x:v>
      </x:c>
      <x:c r="C234" s="1" t="str">
        <x:v>Croconaw</x:v>
      </x:c>
      <x:c r="D234" s="1" t="str">
        <x:v>Água</x:v>
      </x:c>
      <x:c r="E234" s="1" t="str"/>
      <x:c r="F234" s="10" t="n">
        <x:v>80</x:v>
      </x:c>
      <x:c r="G234" s="10" t="n">
        <x:v>59</x:v>
      </x:c>
      <x:c r="H234" s="10" t="n">
        <x:f>MAX(F234:G234)</x:f>
        <x:v>80</x:v>
      </x:c>
      <x:c r="I234" s="1" t="str">
        <x:f>'Pokémon'!M163</x:f>
        <x:v>Física</x:v>
      </x:c>
      <x:c r="J234" s="1" t="str">
        <x:f>'Habilidades'!D1534</x:f>
        <x:v>Thrash</x:v>
      </x:c>
      <x:c r="K234" s="1" t="str">
        <x:f>'Habilidades'!E1534</x:f>
        <x:v>Normal</x:v>
      </x:c>
      <x:c r="L234" s="1" t="str">
        <x:f>'Habilidades'!F1534</x:f>
        <x:v>Física</x:v>
      </x:c>
      <x:c r="M234" s="10" t="n">
        <x:f>'Habilidades'!G1534</x:f>
        <x:v>120</x:v>
      </x:c>
      <x:c r="N234" s="10" t="n">
        <x:f>'Habilidades'!I1534</x:f>
        <x:v>200</x:v>
      </x:c>
      <x:c r="O234" s="1" t="str">
        <x:f>'Habilidades'!D1535&amp;" ("&amp;'Habilidades'!I1535&amp;")"</x:f>
        <x:v>Superpower (200)</x:v>
      </x:c>
      <x:c r="P234" s="1" t="str">
        <x:f>'Habilidades'!D1536&amp;" ("&amp;'Habilidades'!I1536&amp;")"</x:f>
        <x:v>Aqua Tail (170)</x:v>
      </x:c>
      <x:c r="Q234" s="1" t="str">
        <x:f>'Habilidades'!D1537&amp;" ("&amp;'Habilidades'!I1537&amp;")"</x:f>
        <x:v>Hydro Pump (169)</x:v>
      </x:c>
      <x:c r="R234" s="1" t="str">
        <x:f>'Habilidades'!D1538&amp;" ("&amp;'Habilidades'!I1538&amp;")"</x:f>
        <x:v>Crunch (160)</x:v>
      </x:c>
      <x:c r="S234" s="9" t="str">
        <x:v>https://poke.idleworld.online/pokepedia/pokemon/croconaw</x:v>
      </x:c>
    </x:row>
    <x:row r="235" ht="22" customHeight="1">
      <x:c r="A235" s="1" t="n">
        <x:v>222</x:v>
      </x:c>
      <x:c r="B235" s="1" t="n">
        <x:v>216</x:v>
      </x:c>
      <x:c r="C235" s="1" t="str">
        <x:v>Teddiursa</x:v>
      </x:c>
      <x:c r="D235" s="1" t="str">
        <x:v>Normal</x:v>
      </x:c>
      <x:c r="E235" s="1" t="str"/>
      <x:c r="F235" s="10" t="n">
        <x:v>80</x:v>
      </x:c>
      <x:c r="G235" s="10" t="n">
        <x:v>50</x:v>
      </x:c>
      <x:c r="H235" s="10" t="n">
        <x:f>MAX(F235:G235)</x:f>
        <x:v>80</x:v>
      </x:c>
      <x:c r="I235" s="1" t="str">
        <x:f>'Pokémon'!M219</x:f>
        <x:v>Física</x:v>
      </x:c>
      <x:c r="J235" s="1" t="str">
        <x:f>'Habilidades'!D2022</x:f>
        <x:v>Thrash</x:v>
      </x:c>
      <x:c r="K235" s="1" t="str">
        <x:f>'Habilidades'!E2022</x:f>
        <x:v>Normal</x:v>
      </x:c>
      <x:c r="L235" s="1" t="str">
        <x:f>'Habilidades'!F2022</x:f>
        <x:v>Física</x:v>
      </x:c>
      <x:c r="M235" s="10" t="n">
        <x:f>'Habilidades'!G2022</x:f>
        <x:v>120</x:v>
      </x:c>
      <x:c r="N235" s="10" t="n">
        <x:f>'Habilidades'!I2022</x:f>
        <x:v>200</x:v>
      </x:c>
      <x:c r="O235" s="1" t="str">
        <x:f>'Habilidades'!D2023&amp;" ("&amp;'Habilidades'!I2023&amp;")"</x:f>
        <x:v>Slash (150)</x:v>
      </x:c>
      <x:c r="P235" s="1" t="str">
        <x:f>'Habilidades'!D2024&amp;" ("&amp;'Habilidades'!I2024&amp;")"</x:f>
        <x:v>Covet (140)</x:v>
      </x:c>
      <x:c r="Q235" s="1" t="str">
        <x:f>'Habilidades'!D2025&amp;" ("&amp;'Habilidades'!I2025&amp;")"</x:f>
        <x:v>Feint Attack (140)</x:v>
      </x:c>
      <x:c r="R235" s="1" t="str">
        <x:f>'Habilidades'!D2026&amp;" ("&amp;'Habilidades'!I2026&amp;")"</x:f>
        <x:v>Scratch (120)</x:v>
      </x:c>
      <x:c r="S235" s="9" t="str">
        <x:v>https://poke.idleworld.online/pokepedia/pokemon/teddiursa</x:v>
      </x:c>
    </x:row>
    <x:row r="236" ht="22" customHeight="1">
      <x:c r="A236" s="1" t="n">
        <x:v>222</x:v>
      </x:c>
      <x:c r="B236" s="1" t="n">
        <x:v>329</x:v>
      </x:c>
      <x:c r="C236" s="1" t="str">
        <x:v>Vibrava</x:v>
      </x:c>
      <x:c r="D236" s="1" t="str">
        <x:v>Terrestre</x:v>
      </x:c>
      <x:c r="E236" s="1" t="str">
        <x:v>Dragão</x:v>
      </x:c>
      <x:c r="F236" s="10" t="n">
        <x:v>70</x:v>
      </x:c>
      <x:c r="G236" s="10" t="n">
        <x:v>50</x:v>
      </x:c>
      <x:c r="H236" s="10" t="n">
        <x:f>MAX(F236:G236)</x:f>
        <x:v>70</x:v>
      </x:c>
      <x:c r="I236" s="1" t="str">
        <x:f>'Pokémon'!M303</x:f>
        <x:v>Física</x:v>
      </x:c>
      <x:c r="J236" s="1" t="str">
        <x:f>'Habilidades'!D2794</x:f>
        <x:v>Hyper Beam</x:v>
      </x:c>
      <x:c r="K236" s="1" t="str">
        <x:f>'Habilidades'!E2794</x:f>
        <x:v>Normal</x:v>
      </x:c>
      <x:c r="L236" s="1" t="str">
        <x:f>'Habilidades'!F2794</x:f>
        <x:v>Especial</x:v>
      </x:c>
      <x:c r="M236" s="10" t="n">
        <x:f>'Habilidades'!G2794</x:f>
        <x:v>150</x:v>
      </x:c>
      <x:c r="N236" s="10" t="n">
        <x:f>'Habilidades'!I2794</x:f>
        <x:v>200</x:v>
      </x:c>
      <x:c r="O236" s="1" t="str">
        <x:f>'Habilidades'!D2795&amp;" ("&amp;'Habilidades'!I2795&amp;")"</x:f>
        <x:v>Boomburst (190)</x:v>
      </x:c>
      <x:c r="P236" s="1" t="str">
        <x:f>'Habilidades'!D2796&amp;" ("&amp;'Habilidades'!I2796&amp;")"</x:f>
        <x:v>Earthquake (170)</x:v>
      </x:c>
      <x:c r="Q236" s="1" t="str">
        <x:f>'Habilidades'!D2797&amp;" ("&amp;'Habilidades'!I2797&amp;")"</x:f>
        <x:v>Rock Slide (145)</x:v>
      </x:c>
      <x:c r="R236" s="1" t="str">
        <x:f>'Habilidades'!D2798&amp;" ("&amp;'Habilidades'!I2798&amp;")"</x:f>
        <x:v>Earth Power (140)</x:v>
      </x:c>
      <x:c r="S236" s="9" t="str">
        <x:v>https://poke.idleworld.online/pokepedia/pokemon/vibrava</x:v>
      </x:c>
    </x:row>
    <x:row r="237" ht="22" customHeight="1">
      <x:c r="A237" s="1" t="n">
        <x:v>222</x:v>
      </x:c>
      <x:c r="B237" s="1" t="n">
        <x:v>548</x:v>
      </x:c>
      <x:c r="C237" s="1" t="str">
        <x:v>Petilil</x:v>
      </x:c>
      <x:c r="D237" s="1" t="str">
        <x:v>Planta</x:v>
      </x:c>
      <x:c r="E237" s="1" t="str"/>
      <x:c r="F237" s="10" t="n">
        <x:v>35</x:v>
      </x:c>
      <x:c r="G237" s="10" t="n">
        <x:v>70</x:v>
      </x:c>
      <x:c r="H237" s="10" t="n">
        <x:f>MAX(F237:G237)</x:f>
        <x:v>70</x:v>
      </x:c>
      <x:c r="I237" s="1" t="str">
        <x:f>'Pokémon'!M371</x:f>
        <x:v>Especial</x:v>
      </x:c>
      <x:c r="J237" s="1" t="str">
        <x:f>'Habilidades'!D3432</x:f>
        <x:v>Leaf Storm</x:v>
      </x:c>
      <x:c r="K237" s="1" t="str">
        <x:f>'Habilidades'!E3432</x:f>
        <x:v>Planta</x:v>
      </x:c>
      <x:c r="L237" s="1" t="str">
        <x:f>'Habilidades'!F3432</x:f>
        <x:v>Especial</x:v>
      </x:c>
      <x:c r="M237" s="10" t="n">
        <x:f>'Habilidades'!G3432</x:f>
        <x:v>130</x:v>
      </x:c>
      <x:c r="N237" s="10" t="n">
        <x:f>'Habilidades'!I3432</x:f>
        <x:v>200</x:v>
      </x:c>
      <x:c r="O237" s="1" t="str">
        <x:f>'Habilidades'!D3433&amp;" ("&amp;'Habilidades'!I3433&amp;")"</x:f>
        <x:v>Energy Ball (160)</x:v>
      </x:c>
      <x:c r="P237" s="1" t="str">
        <x:f>'Habilidades'!D3434&amp;" ("&amp;'Habilidades'!I3434&amp;")"</x:f>
        <x:v>Giga Drain (145)</x:v>
      </x:c>
      <x:c r="Q237" s="1" t="str">
        <x:f>'Habilidades'!D3435&amp;" ("&amp;'Habilidades'!I3435&amp;")"</x:f>
        <x:v>Magical Leaf (130)</x:v>
      </x:c>
      <x:c r="R237" s="1" t="str">
        <x:f>'Habilidades'!D3436&amp;" ("&amp;'Habilidades'!I3436&amp;")"</x:f>
        <x:v>Mega Drain (110)</x:v>
      </x:c>
      <x:c r="S237" s="9" t="str">
        <x:v>https://poke.idleworld.online/pokepedia/pokemon/petilil</x:v>
      </x:c>
    </x:row>
    <x:row r="238" ht="22" customHeight="1">
      <x:c r="A238" s="1" t="n">
        <x:v>222</x:v>
      </x:c>
      <x:c r="B238" s="1" t="n">
        <x:v>147</x:v>
      </x:c>
      <x:c r="C238" s="1" t="str">
        <x:v>Dratini</x:v>
      </x:c>
      <x:c r="D238" s="1" t="str">
        <x:v>Dragão</x:v>
      </x:c>
      <x:c r="E238" s="1" t="str"/>
      <x:c r="F238" s="10" t="n">
        <x:v>64</x:v>
      </x:c>
      <x:c r="G238" s="10" t="n">
        <x:v>50</x:v>
      </x:c>
      <x:c r="H238" s="10" t="n">
        <x:f>MAX(F238:G238)</x:f>
        <x:v>64</x:v>
      </x:c>
      <x:c r="I238" s="1" t="str">
        <x:f>'Pokémon'!M151</x:f>
        <x:v>Física</x:v>
      </x:c>
      <x:c r="J238" s="1" t="str">
        <x:f>'Habilidades'!D1411</x:f>
        <x:v>Hyper Beam</x:v>
      </x:c>
      <x:c r="K238" s="1" t="str">
        <x:f>'Habilidades'!E1411</x:f>
        <x:v>Normal</x:v>
      </x:c>
      <x:c r="L238" s="1" t="str">
        <x:f>'Habilidades'!F1411</x:f>
        <x:v>Especial</x:v>
      </x:c>
      <x:c r="M238" s="10" t="n">
        <x:f>'Habilidades'!G1411</x:f>
        <x:v>150</x:v>
      </x:c>
      <x:c r="N238" s="10" t="n">
        <x:f>'Habilidades'!I1411</x:f>
        <x:v>200</x:v>
      </x:c>
      <x:c r="O238" s="1" t="str">
        <x:f>'Habilidades'!D1412&amp;" ("&amp;'Habilidades'!I1412&amp;")"</x:f>
        <x:v>Outrage (184)</x:v>
      </x:c>
      <x:c r="P238" s="1" t="str">
        <x:f>'Habilidades'!D1413&amp;" ("&amp;'Habilidades'!I1413&amp;")"</x:f>
        <x:v>Dragon Rush (164)</x:v>
      </x:c>
      <x:c r="Q238" s="1" t="str">
        <x:f>'Habilidades'!D1414&amp;" ("&amp;'Habilidades'!I1414&amp;")"</x:f>
        <x:v>Aqua Tail (154)</x:v>
      </x:c>
      <x:c r="R238" s="1" t="str">
        <x:f>'Habilidades'!D1415&amp;" ("&amp;'Habilidades'!I1415&amp;")"</x:f>
        <x:v>Slam (144)</x:v>
      </x:c>
      <x:c r="S238" s="9" t="str">
        <x:v>https://poke.idleworld.online/pokepedia/pokemon/dratini</x:v>
      </x:c>
    </x:row>
    <x:row r="239" ht="22" customHeight="1">
      <x:c r="A239" s="1" t="n">
        <x:v>222</x:v>
      </x:c>
      <x:c r="B239" s="1" t="n">
        <x:v>231</x:v>
      </x:c>
      <x:c r="C239" s="1" t="str">
        <x:v>Phanpy</x:v>
      </x:c>
      <x:c r="D239" s="1" t="str">
        <x:v>Terrestre</x:v>
      </x:c>
      <x:c r="E239" s="1" t="str"/>
      <x:c r="F239" s="10" t="n">
        <x:v>60</x:v>
      </x:c>
      <x:c r="G239" s="10" t="n">
        <x:v>40</x:v>
      </x:c>
      <x:c r="H239" s="10" t="n">
        <x:f>MAX(F239:G239)</x:f>
        <x:v>60</x:v>
      </x:c>
      <x:c r="I239" s="1" t="str">
        <x:f>'Pokémon'!M234</x:f>
        <x:v>Física</x:v>
      </x:c>
      <x:c r="J239" s="1" t="str">
        <x:f>'Habilidades'!D2177</x:f>
        <x:v>Last Resort</x:v>
      </x:c>
      <x:c r="K239" s="1" t="str">
        <x:f>'Habilidades'!E2177</x:f>
        <x:v>Normal</x:v>
      </x:c>
      <x:c r="L239" s="1" t="str">
        <x:f>'Habilidades'!F2177</x:f>
        <x:v>Física</x:v>
      </x:c>
      <x:c r="M239" s="10" t="n">
        <x:f>'Habilidades'!G2177</x:f>
        <x:v>140</x:v>
      </x:c>
      <x:c r="N239" s="10" t="n">
        <x:f>'Habilidades'!I2177</x:f>
        <x:v>200</x:v>
      </x:c>
      <x:c r="O239" s="1" t="str">
        <x:f>'Habilidades'!D2178&amp;" ("&amp;'Habilidades'!I2178&amp;")"</x:f>
        <x:v>Double-Edge (180)</x:v>
      </x:c>
      <x:c r="P239" s="1" t="str">
        <x:f>'Habilidades'!D2179&amp;" ("&amp;'Habilidades'!I2179&amp;")"</x:f>
        <x:v>Take Down (150)</x:v>
      </x:c>
      <x:c r="Q239" s="1" t="str">
        <x:f>'Habilidades'!D2180&amp;" ("&amp;'Habilidades'!I2180&amp;")"</x:f>
        <x:v>Slam (140)</x:v>
      </x:c>
      <x:c r="R239" s="1" t="str">
        <x:f>'Habilidades'!D2181&amp;" ("&amp;'Habilidades'!I2181&amp;")"</x:f>
        <x:v>Tackle (110)</x:v>
      </x:c>
      <x:c r="S239" s="9" t="str">
        <x:v>https://poke.idleworld.online/pokepedia/pokemon/phanpy</x:v>
      </x:c>
    </x:row>
    <x:row r="240" ht="22" customHeight="1">
      <x:c r="A240" s="1" t="n">
        <x:v>222</x:v>
      </x:c>
      <x:c r="B240" s="1" t="n">
        <x:v>681</x:v>
      </x:c>
      <x:c r="C240" s="1" t="str">
        <x:v>Aegislash</x:v>
      </x:c>
      <x:c r="D240" s="1" t="str">
        <x:v>Aço</x:v>
      </x:c>
      <x:c r="E240" s="1" t="str">
        <x:v>Fantasma</x:v>
      </x:c>
      <x:c r="F240" s="10" t="n">
        <x:v>50</x:v>
      </x:c>
      <x:c r="G240" s="10" t="n">
        <x:v>50</x:v>
      </x:c>
      <x:c r="H240" s="10" t="n">
        <x:f>MAX(F240:G240)</x:f>
        <x:v>50</x:v>
      </x:c>
      <x:c r="I240" s="1" t="str">
        <x:f>'Pokémon'!M400</x:f>
        <x:v>Empate</x:v>
      </x:c>
      <x:c r="J240" s="1" t="str">
        <x:f>'Habilidades'!D3699</x:f>
        <x:v>Head Smash</x:v>
      </x:c>
      <x:c r="K240" s="1" t="str">
        <x:f>'Habilidades'!E3699</x:f>
        <x:v>Pedra</x:v>
      </x:c>
      <x:c r="L240" s="1" t="str">
        <x:f>'Habilidades'!F3699</x:f>
        <x:v>Física</x:v>
      </x:c>
      <x:c r="M240" s="10" t="n">
        <x:f>'Habilidades'!G3699</x:f>
        <x:v>150</x:v>
      </x:c>
      <x:c r="N240" s="10" t="n">
        <x:f>'Habilidades'!I3699</x:f>
        <x:v>200</x:v>
      </x:c>
      <x:c r="O240" s="1" t="str">
        <x:f>'Habilidades'!D3700&amp;" ("&amp;'Habilidades'!I3700&amp;")"</x:f>
        <x:v>Sacred Sword (140)</x:v>
      </x:c>
      <x:c r="P240" s="1" t="str">
        <x:f>'Habilidades'!D3701&amp;" ("&amp;'Habilidades'!I3701&amp;")"</x:f>
        <x:v>Iron Head (130)</x:v>
      </x:c>
      <x:c r="Q240" s="1" t="str">
        <x:f>'Habilidades'!D3702&amp;" ("&amp;'Habilidades'!I3702&amp;")"</x:f>
        <x:v>Slash (120)</x:v>
      </x:c>
      <x:c r="R240" s="1" t="str">
        <x:f>'Habilidades'!D3703&amp;" ("&amp;'Habilidades'!I3703&amp;")"</x:f>
        <x:v>Night Slash (120)</x:v>
      </x:c>
      <x:c r="S240" s="9" t="str">
        <x:v>https://poke.idleworld.online/pokepedia/pokemon/aegislash</x:v>
      </x:c>
    </x:row>
    <x:row r="241" ht="22" customHeight="1">
      <x:c r="A241" s="1" t="n">
        <x:v>237</x:v>
      </x:c>
      <x:c r="B241" s="1" t="n">
        <x:v>565</x:v>
      </x:c>
      <x:c r="C241" s="1" t="str">
        <x:v>Carracosta</x:v>
      </x:c>
      <x:c r="D241" s="1" t="str">
        <x:v>Água</x:v>
      </x:c>
      <x:c r="E241" s="1" t="str">
        <x:v>Pedra</x:v>
      </x:c>
      <x:c r="F241" s="10" t="n">
        <x:v>108</x:v>
      </x:c>
      <x:c r="G241" s="10" t="n">
        <x:v>83</x:v>
      </x:c>
      <x:c r="H241" s="10" t="n">
        <x:f>MAX(F241:G241)</x:f>
        <x:v>108</x:v>
      </x:c>
      <x:c r="I241" s="1" t="str">
        <x:f>'Pokémon'!M374</x:f>
        <x:v>Física</x:v>
      </x:c>
      <x:c r="J241" s="1" t="str">
        <x:f>'Habilidades'!D3453</x:f>
        <x:v>Aqua Tail</x:v>
      </x:c>
      <x:c r="K241" s="1" t="str">
        <x:f>'Habilidades'!E3453</x:f>
        <x:v>Água</x:v>
      </x:c>
      <x:c r="L241" s="1" t="str">
        <x:f>'Habilidades'!F3453</x:f>
        <x:v>Física</x:v>
      </x:c>
      <x:c r="M241" s="10" t="n">
        <x:f>'Habilidades'!G3453</x:f>
        <x:v>90</x:v>
      </x:c>
      <x:c r="N241" s="10" t="n">
        <x:f>'Habilidades'!I3453</x:f>
        <x:v>198</x:v>
      </x:c>
      <x:c r="O241" s="1" t="str">
        <x:f>'Habilidades'!D3454&amp;" ("&amp;'Habilidades'!I3454&amp;")"</x:f>
        <x:v>Hydro Pump (193)</x:v>
      </x:c>
      <x:c r="P241" s="1" t="str">
        <x:f>'Habilidades'!D3455&amp;" ("&amp;'Habilidades'!I3455&amp;")"</x:f>
        <x:v>Crunch (188)</x:v>
      </x:c>
      <x:c r="Q241" s="1" t="str">
        <x:f>'Habilidades'!D3456&amp;" ("&amp;'Habilidades'!I3456&amp;")"</x:f>
        <x:v>Rock Slide (183)</x:v>
      </x:c>
      <x:c r="R241" s="1" t="str">
        <x:f>'Habilidades'!D3457&amp;" ("&amp;'Habilidades'!I3457&amp;")"</x:f>
        <x:v>Bite (168)</x:v>
      </x:c>
      <x:c r="S241" s="9" t="str">
        <x:v>https://poke.idleworld.online/pokepedia/pokemon/carracosta</x:v>
      </x:c>
    </x:row>
    <x:row r="242" ht="22" customHeight="1">
      <x:c r="A242" s="1" t="n">
        <x:v>238</x:v>
      </x:c>
      <x:c r="B242" s="1" t="n">
        <x:v>842</x:v>
      </x:c>
      <x:c r="C242" s="1" t="str">
        <x:v>Appletun</x:v>
      </x:c>
      <x:c r="D242" s="1" t="str">
        <x:v>Planta</x:v>
      </x:c>
      <x:c r="E242" s="1" t="str">
        <x:v>Dragão</x:v>
      </x:c>
      <x:c r="F242" s="10" t="n">
        <x:v>85</x:v>
      </x:c>
      <x:c r="G242" s="10" t="n">
        <x:v>100</x:v>
      </x:c>
      <x:c r="H242" s="10" t="n">
        <x:f>MAX(F242:G242)</x:f>
        <x:v>100</x:v>
      </x:c>
      <x:c r="I242" s="1" t="str">
        <x:f>'Pokémon'!M410</x:f>
        <x:v>Especial</x:v>
      </x:c>
      <x:c r="J242" s="1" t="str">
        <x:f>'Habilidades'!D3781</x:f>
        <x:v>Grass Knot</x:v>
      </x:c>
      <x:c r="K242" s="1" t="str">
        <x:f>'Habilidades'!E3781</x:f>
        <x:v>Planta</x:v>
      </x:c>
      <x:c r="L242" s="1" t="str">
        <x:f>'Habilidades'!F3781</x:f>
        <x:v>Especial</x:v>
      </x:c>
      <x:c r="M242" s="10" t="n">
        <x:f>'Habilidades'!G3781</x:f>
        <x:v>96</x:v>
      </x:c>
      <x:c r="N242" s="10" t="n">
        <x:f>'Habilidades'!I3781</x:f>
        <x:v>196</x:v>
      </x:c>
      <x:c r="O242" s="1" t="str">
        <x:f>'Habilidades'!D3782&amp;" ("&amp;'Habilidades'!I3782&amp;")"</x:f>
        <x:v>Body Slam (170)</x:v>
      </x:c>
      <x:c r="P242" s="1" t="str">
        <x:f>'Habilidades'!D3783&amp;" ("&amp;'Habilidades'!I3783&amp;")"</x:f>
        <x:v>Magical Leaf (160)</x:v>
      </x:c>
      <x:c r="Q242" s="1" t="str">
        <x:f>'Habilidades'!D3784&amp;" ("&amp;'Habilidades'!I3784&amp;")"</x:f>
        <x:v>Bullet Seed (110)</x:v>
      </x:c>
      <x:c r="R242" s="1" t="str">
        <x:f>""</x:f>
      </x:c>
      <x:c r="S242" s="9" t="str">
        <x:v>https://poke.idleworld.online/pokepedia/pokemon/appletun</x:v>
      </x:c>
    </x:row>
    <x:row r="243" ht="22" customHeight="1">
      <x:c r="A243" s="1" t="n">
        <x:v>238</x:v>
      </x:c>
      <x:c r="B243" s="1" t="n">
        <x:v>340</x:v>
      </x:c>
      <x:c r="C243" s="1" t="str">
        <x:v>Whiscash</x:v>
      </x:c>
      <x:c r="D243" s="1" t="str">
        <x:v>Água</x:v>
      </x:c>
      <x:c r="E243" s="1" t="str">
        <x:v>Terrestre</x:v>
      </x:c>
      <x:c r="F243" s="10" t="n">
        <x:v>78</x:v>
      </x:c>
      <x:c r="G243" s="10" t="n">
        <x:v>76</x:v>
      </x:c>
      <x:c r="H243" s="10" t="n">
        <x:f>MAX(F243:G243)</x:f>
        <x:v>78</x:v>
      </x:c>
      <x:c r="I243" s="1" t="str">
        <x:f>'Pokémon'!M313</x:f>
        <x:v>Física</x:v>
      </x:c>
      <x:c r="J243" s="1" t="str">
        <x:f>'Habilidades'!D2906</x:f>
        <x:v>Future Sight</x:v>
      </x:c>
      <x:c r="K243" s="1" t="str">
        <x:f>'Habilidades'!E2906</x:f>
        <x:v>Psíquico</x:v>
      </x:c>
      <x:c r="L243" s="1" t="str">
        <x:f>'Habilidades'!F2906</x:f>
        <x:v>Especial</x:v>
      </x:c>
      <x:c r="M243" s="10" t="n">
        <x:f>'Habilidades'!G2906</x:f>
        <x:v>120</x:v>
      </x:c>
      <x:c r="N243" s="10" t="n">
        <x:f>'Habilidades'!I2906</x:f>
        <x:v>196</x:v>
      </x:c>
      <x:c r="O243" s="1" t="str">
        <x:f>'Habilidades'!D2907&amp;" ("&amp;'Habilidades'!I2907&amp;")"</x:f>
        <x:v>Earthquake (178)</x:v>
      </x:c>
      <x:c r="P243" s="1" t="str">
        <x:f>'Habilidades'!D2908&amp;" ("&amp;'Habilidades'!I2908&amp;")"</x:f>
        <x:v>Aqua Tail (168)</x:v>
      </x:c>
      <x:c r="Q243" s="1" t="str">
        <x:f>'Habilidades'!D2909&amp;" ("&amp;'Habilidades'!I2909&amp;")"</x:f>
        <x:v>Muddy Water (166)</x:v>
      </x:c>
      <x:c r="R243" s="1" t="str">
        <x:f>'Habilidades'!D2910&amp;" ("&amp;'Habilidades'!I2910&amp;")"</x:f>
        <x:v>Zen Headbutt (158)</x:v>
      </x:c>
      <x:c r="S243" s="9" t="str">
        <x:v>https://poke.idleworld.online/pokepedia/pokemon/whiscash</x:v>
      </x:c>
    </x:row>
    <x:row r="244" ht="22" customHeight="1">
      <x:c r="A244" s="1" t="n">
        <x:v>240</x:v>
      </x:c>
      <x:c r="B244" s="1" t="n">
        <x:v>234</x:v>
      </x:c>
      <x:c r="C244" s="1" t="str">
        <x:v>Stantler</x:v>
      </x:c>
      <x:c r="D244" s="1" t="str">
        <x:v>Normal</x:v>
      </x:c>
      <x:c r="E244" s="1" t="str"/>
      <x:c r="F244" s="10" t="n">
        <x:v>95</x:v>
      </x:c>
      <x:c r="G244" s="10" t="n">
        <x:v>85</x:v>
      </x:c>
      <x:c r="H244" s="10" t="n">
        <x:f>MAX(F244:G244)</x:f>
        <x:v>95</x:v>
      </x:c>
      <x:c r="I244" s="1" t="str">
        <x:f>'Pokémon'!M237</x:f>
        <x:v>Física</x:v>
      </x:c>
      <x:c r="J244" s="1" t="str">
        <x:f>'Habilidades'!D2203</x:f>
        <x:v>Jump Kick</x:v>
      </x:c>
      <x:c r="K244" s="1" t="str">
        <x:f>'Habilidades'!E2203</x:f>
        <x:v>Lutador</x:v>
      </x:c>
      <x:c r="L244" s="1" t="str">
        <x:f>'Habilidades'!F2203</x:f>
        <x:v>Física</x:v>
      </x:c>
      <x:c r="M244" s="10" t="n">
        <x:f>'Habilidades'!G2203</x:f>
        <x:v>100</x:v>
      </x:c>
      <x:c r="N244" s="10" t="n">
        <x:f>'Habilidades'!I2203</x:f>
        <x:v>195</x:v>
      </x:c>
      <x:c r="O244" s="1" t="str">
        <x:f>'Habilidades'!D2204&amp;" ("&amp;'Habilidades'!I2204&amp;")"</x:f>
        <x:v>Take Down (185)</x:v>
      </x:c>
      <x:c r="P244" s="1" t="str">
        <x:f>'Habilidades'!D2205&amp;" ("&amp;'Habilidades'!I2205&amp;")"</x:f>
        <x:v>Zen Headbutt (175)</x:v>
      </x:c>
      <x:c r="Q244" s="1" t="str">
        <x:f>'Habilidades'!D2206&amp;" ("&amp;'Habilidades'!I2206&amp;")"</x:f>
        <x:v>Stomp (160)</x:v>
      </x:c>
      <x:c r="R244" s="1" t="str">
        <x:f>'Habilidades'!D2207&amp;" ("&amp;'Habilidades'!I2207&amp;")"</x:f>
        <x:v>Tackle (145)</x:v>
      </x:c>
      <x:c r="S244" s="9" t="str">
        <x:v>https://poke.idleworld.online/pokepedia/pokemon/stantler</x:v>
      </x:c>
    </x:row>
    <x:row r="245" ht="22" customHeight="1">
      <x:c r="A245" s="1" t="n">
        <x:v>240</x:v>
      </x:c>
      <x:c r="B245" s="1" t="n">
        <x:v>338</x:v>
      </x:c>
      <x:c r="C245" s="1" t="str">
        <x:v>Solrock</x:v>
      </x:c>
      <x:c r="D245" s="1" t="str">
        <x:v>Pedra</x:v>
      </x:c>
      <x:c r="E245" s="1" t="str">
        <x:v>Psíquico</x:v>
      </x:c>
      <x:c r="F245" s="10" t="n">
        <x:v>95</x:v>
      </x:c>
      <x:c r="G245" s="10" t="n">
        <x:v>55</x:v>
      </x:c>
      <x:c r="H245" s="10" t="n">
        <x:f>MAX(F245:G245)</x:f>
        <x:v>95</x:v>
      </x:c>
      <x:c r="I245" s="1" t="str">
        <x:f>'Pokémon'!M311</x:f>
        <x:v>Física</x:v>
      </x:c>
      <x:c r="J245" s="1" t="str">
        <x:f>'Habilidades'!D2889</x:f>
        <x:v>Stone Edge</x:v>
      </x:c>
      <x:c r="K245" s="1" t="str">
        <x:f>'Habilidades'!E2889</x:f>
        <x:v>Pedra</x:v>
      </x:c>
      <x:c r="L245" s="1" t="str">
        <x:f>'Habilidades'!F2889</x:f>
        <x:v>Física</x:v>
      </x:c>
      <x:c r="M245" s="10" t="n">
        <x:f>'Habilidades'!G2889</x:f>
        <x:v>100</x:v>
      </x:c>
      <x:c r="N245" s="10" t="n">
        <x:f>'Habilidades'!I2889</x:f>
        <x:v>195</x:v>
      </x:c>
      <x:c r="O245" s="1" t="str">
        <x:f>'Habilidades'!D2890&amp;" ("&amp;'Habilidades'!I2890&amp;")"</x:f>
        <x:v>Solar Beam (175)</x:v>
      </x:c>
      <x:c r="P245" s="1" t="str">
        <x:f>'Habilidades'!D2891&amp;" ("&amp;'Habilidades'!I2891&amp;")"</x:f>
        <x:v>Rock Slide (170)</x:v>
      </x:c>
      <x:c r="Q245" s="1" t="str">
        <x:f>'Habilidades'!D2892&amp;" ("&amp;'Habilidades'!I2892&amp;")"</x:f>
        <x:v>Psychic (145)</x:v>
      </x:c>
      <x:c r="R245" s="1" t="str">
        <x:f>'Habilidades'!D2893&amp;" ("&amp;'Habilidades'!I2893&amp;")"</x:f>
        <x:v>Rock Throw (145)</x:v>
      </x:c>
      <x:c r="S245" s="9" t="str">
        <x:v>https://poke.idleworld.online/pokepedia/pokemon/solrock</x:v>
      </x:c>
    </x:row>
    <x:row r="246" ht="22" customHeight="1">
      <x:c r="A246" s="1" t="n">
        <x:v>240</x:v>
      </x:c>
      <x:c r="B246" s="1" t="n">
        <x:v>238</x:v>
      </x:c>
      <x:c r="C246" s="1" t="str">
        <x:v>Smoochum</x:v>
      </x:c>
      <x:c r="D246" s="1" t="str">
        <x:v>Gelo</x:v>
      </x:c>
      <x:c r="E246" s="1" t="str">
        <x:v>Psíquico</x:v>
      </x:c>
      <x:c r="F246" s="10" t="n">
        <x:v>30</x:v>
      </x:c>
      <x:c r="G246" s="10" t="n">
        <x:v>85</x:v>
      </x:c>
      <x:c r="H246" s="10" t="n">
        <x:f>MAX(F246:G246)</x:f>
        <x:v>85</x:v>
      </x:c>
      <x:c r="I246" s="1" t="str">
        <x:f>'Pokémon'!M241</x:f>
        <x:v>Especial</x:v>
      </x:c>
      <x:c r="J246" s="1" t="str">
        <x:f>'Habilidades'!D2220</x:f>
        <x:v>Blizzard</x:v>
      </x:c>
      <x:c r="K246" s="1" t="str">
        <x:f>'Habilidades'!E2220</x:f>
        <x:v>Gelo</x:v>
      </x:c>
      <x:c r="L246" s="1" t="str">
        <x:f>'Habilidades'!F2220</x:f>
        <x:v>Especial</x:v>
      </x:c>
      <x:c r="M246" s="10" t="n">
        <x:f>'Habilidades'!G2220</x:f>
        <x:v>110</x:v>
      </x:c>
      <x:c r="N246" s="10" t="n">
        <x:f>'Habilidades'!I2220</x:f>
        <x:v>195</x:v>
      </x:c>
      <x:c r="O246" s="1" t="str">
        <x:f>'Habilidades'!D2221&amp;" ("&amp;'Habilidades'!I2221&amp;")"</x:f>
        <x:v>Psychic (175)</x:v>
      </x:c>
      <x:c r="P246" s="1" t="str">
        <x:f>'Habilidades'!D2222&amp;" ("&amp;'Habilidades'!I2222&amp;")"</x:f>
        <x:v>Confusion (135)</x:v>
      </x:c>
      <x:c r="Q246" s="1" t="str">
        <x:f>'Habilidades'!D2223&amp;" ("&amp;'Habilidades'!I2223&amp;")"</x:f>
        <x:v>Powder Snow (125)</x:v>
      </x:c>
      <x:c r="R246" s="1" t="str">
        <x:f>'Habilidades'!D2224&amp;" ("&amp;'Habilidades'!I2224&amp;")"</x:f>
        <x:v>Heart Stamp (90)</x:v>
      </x:c>
      <x:c r="S246" s="9" t="str">
        <x:v>https://poke.idleworld.online/pokepedia/pokemon/smoochum</x:v>
      </x:c>
    </x:row>
    <x:row r="247" ht="22" customHeight="1">
      <x:c r="A247" s="1" t="n">
        <x:v>240</x:v>
      </x:c>
      <x:c r="B247" s="1" t="n">
        <x:v>279</x:v>
      </x:c>
      <x:c r="C247" s="1" t="str">
        <x:v>Pelipper</x:v>
      </x:c>
      <x:c r="D247" s="1" t="str">
        <x:v>Água</x:v>
      </x:c>
      <x:c r="E247" s="1" t="str">
        <x:v>Voador</x:v>
      </x:c>
      <x:c r="F247" s="10" t="n">
        <x:v>50</x:v>
      </x:c>
      <x:c r="G247" s="10" t="n">
        <x:v>85</x:v>
      </x:c>
      <x:c r="H247" s="10" t="n">
        <x:f>MAX(F247:G247)</x:f>
        <x:v>85</x:v>
      </x:c>
      <x:c r="I247" s="1" t="str">
        <x:f>'Pokémon'!M275</x:f>
        <x:v>Especial</x:v>
      </x:c>
      <x:c r="J247" s="1" t="str">
        <x:f>'Habilidades'!D2518</x:f>
        <x:v>Hurricane</x:v>
      </x:c>
      <x:c r="K247" s="1" t="str">
        <x:f>'Habilidades'!E2518</x:f>
        <x:v>Voador</x:v>
      </x:c>
      <x:c r="L247" s="1" t="str">
        <x:f>'Habilidades'!F2518</x:f>
        <x:v>Especial</x:v>
      </x:c>
      <x:c r="M247" s="10" t="n">
        <x:f>'Habilidades'!G2518</x:f>
        <x:v>110</x:v>
      </x:c>
      <x:c r="N247" s="10" t="n">
        <x:f>'Habilidades'!I2518</x:f>
        <x:v>195</x:v>
      </x:c>
      <x:c r="O247" s="1" t="str">
        <x:f>'Habilidades'!D2519&amp;" ("&amp;'Habilidades'!I2519&amp;")"</x:f>
        <x:v>Hydro Pump (195)</x:v>
      </x:c>
      <x:c r="P247" s="1" t="str">
        <x:f>'Habilidades'!D2520&amp;" ("&amp;'Habilidades'!I2520&amp;")"</x:f>
        <x:v>Brine (150)</x:v>
      </x:c>
      <x:c r="Q247" s="1" t="str">
        <x:f>'Habilidades'!D2521&amp;" ("&amp;'Habilidades'!I2521&amp;")"</x:f>
        <x:v>Water Pulse (145)</x:v>
      </x:c>
      <x:c r="R247" s="1" t="str">
        <x:f>'Habilidades'!D2522&amp;" ("&amp;'Habilidades'!I2522&amp;")"</x:f>
        <x:v>Water Gun (125)</x:v>
      </x:c>
      <x:c r="S247" s="9" t="str">
        <x:v>https://poke.idleworld.online/pokepedia/pokemon/pelipper</x:v>
      </x:c>
    </x:row>
    <x:row r="248" ht="22" customHeight="1">
      <x:c r="A248" s="1" t="n">
        <x:v>240</x:v>
      </x:c>
      <x:c r="B248" s="1" t="n">
        <x:v>43</x:v>
      </x:c>
      <x:c r="C248" s="1" t="str">
        <x:v>Oddish</x:v>
      </x:c>
      <x:c r="D248" s="1" t="str">
        <x:v>Planta</x:v>
      </x:c>
      <x:c r="E248" s="1" t="str">
        <x:v>Venenoso</x:v>
      </x:c>
      <x:c r="F248" s="10" t="n">
        <x:v>50</x:v>
      </x:c>
      <x:c r="G248" s="10" t="n">
        <x:v>75</x:v>
      </x:c>
      <x:c r="H248" s="10" t="n">
        <x:f>MAX(F248:G248)</x:f>
        <x:v>75</x:v>
      </x:c>
      <x:c r="I248" s="1" t="str">
        <x:f>'Pokémon'!M47</x:f>
        <x:v>Especial</x:v>
      </x:c>
      <x:c r="J248" s="1" t="str">
        <x:f>'Habilidades'!D362</x:f>
        <x:v>Petal Dance</x:v>
      </x:c>
      <x:c r="K248" s="1" t="str">
        <x:f>'Habilidades'!E362</x:f>
        <x:v>Planta</x:v>
      </x:c>
      <x:c r="L248" s="1" t="str">
        <x:f>'Habilidades'!F362</x:f>
        <x:v>Especial</x:v>
      </x:c>
      <x:c r="M248" s="10" t="n">
        <x:f>'Habilidades'!G362</x:f>
        <x:v>120</x:v>
      </x:c>
      <x:c r="N248" s="10" t="n">
        <x:f>'Habilidades'!I362</x:f>
        <x:v>195</x:v>
      </x:c>
      <x:c r="O248" s="1" t="str">
        <x:f>'Habilidades'!D363&amp;" ("&amp;'Habilidades'!I363&amp;")"</x:f>
        <x:v>Moonblast (170)</x:v>
      </x:c>
      <x:c r="P248" s="1" t="str">
        <x:f>'Habilidades'!D364&amp;" ("&amp;'Habilidades'!I364&amp;")"</x:f>
        <x:v>Giga Drain (150)</x:v>
      </x:c>
      <x:c r="Q248" s="1" t="str">
        <x:f>'Habilidades'!D365&amp;" ("&amp;'Habilidades'!I365&amp;")"</x:f>
        <x:v>Acid (115)</x:v>
      </x:c>
      <x:c r="R248" s="1" t="str">
        <x:f>'Habilidades'!D366&amp;" ("&amp;'Habilidades'!I366&amp;")"</x:f>
        <x:v>Mega Drain (115)</x:v>
      </x:c>
      <x:c r="S248" s="9" t="str">
        <x:v>https://poke.idleworld.online/pokepedia/pokemon/oddish</x:v>
      </x:c>
    </x:row>
    <x:row r="249" ht="22" customHeight="1">
      <x:c r="A249" s="1" t="n">
        <x:v>240</x:v>
      </x:c>
      <x:c r="B249" s="1" t="n">
        <x:v>371</x:v>
      </x:c>
      <x:c r="C249" s="1" t="str">
        <x:v>Bagon</x:v>
      </x:c>
      <x:c r="D249" s="1" t="str">
        <x:v>Dragão</x:v>
      </x:c>
      <x:c r="E249" s="1" t="str"/>
      <x:c r="F249" s="10" t="n">
        <x:v>75</x:v>
      </x:c>
      <x:c r="G249" s="10" t="n">
        <x:v>40</x:v>
      </x:c>
      <x:c r="H249" s="10" t="n">
        <x:f>MAX(F249:G249)</x:f>
        <x:v>75</x:v>
      </x:c>
      <x:c r="I249" s="1" t="str">
        <x:f>'Pokémon'!M331</x:f>
        <x:v>Física</x:v>
      </x:c>
      <x:c r="J249" s="1" t="str">
        <x:f>'Habilidades'!D3083</x:f>
        <x:v>Double-Edge</x:v>
      </x:c>
      <x:c r="K249" s="1" t="str">
        <x:f>'Habilidades'!E3083</x:f>
        <x:v>Normal</x:v>
      </x:c>
      <x:c r="L249" s="1" t="str">
        <x:f>'Habilidades'!F3083</x:f>
        <x:v>Física</x:v>
      </x:c>
      <x:c r="M249" s="10" t="n">
        <x:f>'Habilidades'!G3083</x:f>
        <x:v>120</x:v>
      </x:c>
      <x:c r="N249" s="10" t="n">
        <x:f>'Habilidades'!I3083</x:f>
        <x:v>195</x:v>
      </x:c>
      <x:c r="O249" s="1" t="str">
        <x:f>'Habilidades'!D3084&amp;" ("&amp;'Habilidades'!I3084&amp;")"</x:f>
        <x:v>Crunch (155)</x:v>
      </x:c>
      <x:c r="P249" s="1" t="str">
        <x:f>'Habilidades'!D3085&amp;" ("&amp;'Habilidades'!I3085&amp;")"</x:f>
        <x:v>Dragon Claw (155)</x:v>
      </x:c>
      <x:c r="Q249" s="1" t="str">
        <x:f>'Habilidades'!D3086&amp;" ("&amp;'Habilidades'!I3086&amp;")"</x:f>
        <x:v>Zen Headbutt (155)</x:v>
      </x:c>
      <x:c r="R249" s="1" t="str">
        <x:f>'Habilidades'!D3087&amp;" ("&amp;'Habilidades'!I3087&amp;")"</x:f>
        <x:v>Headbutt (145)</x:v>
      </x:c>
      <x:c r="S249" s="9" t="str">
        <x:v>https://poke.idleworld.online/pokepedia/pokemon/bagon</x:v>
      </x:c>
    </x:row>
    <x:row r="250" ht="22" customHeight="1">
      <x:c r="A250" s="1" t="n">
        <x:v>240</x:v>
      </x:c>
      <x:c r="B250" s="1" t="n">
        <x:v>670</x:v>
      </x:c>
      <x:c r="C250" s="1" t="str">
        <x:v>Floette</x:v>
      </x:c>
      <x:c r="D250" s="1" t="str">
        <x:v>Fada</x:v>
      </x:c>
      <x:c r="E250" s="1" t="str"/>
      <x:c r="F250" s="10" t="n">
        <x:v>45</x:v>
      </x:c>
      <x:c r="G250" s="10" t="n">
        <x:v>75</x:v>
      </x:c>
      <x:c r="H250" s="10" t="n">
        <x:f>MAX(F250:G250)</x:f>
        <x:v>75</x:v>
      </x:c>
      <x:c r="I250" s="1" t="str">
        <x:f>'Pokémon'!M393</x:f>
        <x:v>Especial</x:v>
      </x:c>
      <x:c r="J250" s="1" t="str">
        <x:f>'Habilidades'!D3636</x:f>
        <x:v>Petal Dance</x:v>
      </x:c>
      <x:c r="K250" s="1" t="str">
        <x:f>'Habilidades'!E3636</x:f>
        <x:v>Planta</x:v>
      </x:c>
      <x:c r="L250" s="1" t="str">
        <x:f>'Habilidades'!F3636</x:f>
        <x:v>Especial</x:v>
      </x:c>
      <x:c r="M250" s="10" t="n">
        <x:f>'Habilidades'!G3636</x:f>
        <x:v>120</x:v>
      </x:c>
      <x:c r="N250" s="10" t="n">
        <x:f>'Habilidades'!I3636</x:f>
        <x:v>195</x:v>
      </x:c>
      <x:c r="O250" s="1" t="str">
        <x:f>'Habilidades'!D3637&amp;" ("&amp;'Habilidades'!I3637&amp;")"</x:f>
        <x:v>Solar Beam (195)</x:v>
      </x:c>
      <x:c r="P250" s="1" t="str">
        <x:f>'Habilidades'!D3638&amp;" ("&amp;'Habilidades'!I3638&amp;")"</x:f>
        <x:v>Moonblast (170)</x:v>
      </x:c>
      <x:c r="Q250" s="1" t="str">
        <x:f>'Habilidades'!D3639&amp;" ("&amp;'Habilidades'!I3639&amp;")"</x:f>
        <x:v>Petal Blizzard (135)</x:v>
      </x:c>
      <x:c r="R250" s="1" t="str">
        <x:f>'Habilidades'!D3640&amp;" ("&amp;'Habilidades'!I3640&amp;")"</x:f>
        <x:v>Magical Leaf (135)</x:v>
      </x:c>
      <x:c r="S250" s="9" t="str">
        <x:v>https://poke.idleworld.online/pokepedia/pokemon/floette</x:v>
      </x:c>
    </x:row>
    <x:row r="251" ht="22" customHeight="1">
      <x:c r="A251" s="1" t="n">
        <x:v>240</x:v>
      </x:c>
      <x:c r="B251" s="1" t="n">
        <x:v>607</x:v>
      </x:c>
      <x:c r="C251" s="1" t="str">
        <x:v>Litwick</x:v>
      </x:c>
      <x:c r="D251" s="1" t="str">
        <x:v>Fantasma</x:v>
      </x:c>
      <x:c r="E251" s="1" t="str">
        <x:v>Fogo</x:v>
      </x:c>
      <x:c r="F251" s="10" t="n">
        <x:v>30</x:v>
      </x:c>
      <x:c r="G251" s="10" t="n">
        <x:v>65</x:v>
      </x:c>
      <x:c r="H251" s="10" t="n">
        <x:f>MAX(F251:G251)</x:f>
        <x:v>65</x:v>
      </x:c>
      <x:c r="I251" s="1" t="str">
        <x:f>'Pokémon'!M384</x:f>
        <x:v>Especial</x:v>
      </x:c>
      <x:c r="J251" s="1" t="str">
        <x:f>'Habilidades'!D3549</x:f>
        <x:v>Overheat</x:v>
      </x:c>
      <x:c r="K251" s="1" t="str">
        <x:f>'Habilidades'!E3549</x:f>
        <x:v>Fogo</x:v>
      </x:c>
      <x:c r="L251" s="1" t="str">
        <x:f>'Habilidades'!F3549</x:f>
        <x:v>Especial</x:v>
      </x:c>
      <x:c r="M251" s="10" t="n">
        <x:f>'Habilidades'!G3549</x:f>
        <x:v>130</x:v>
      </x:c>
      <x:c r="N251" s="10" t="n">
        <x:f>'Habilidades'!I3549</x:f>
        <x:v>195</x:v>
      </x:c>
      <x:c r="O251" s="1" t="str">
        <x:f>'Habilidades'!D3550&amp;" ("&amp;'Habilidades'!I3550&amp;")"</x:f>
        <x:v>Inferno (165)</x:v>
      </x:c>
      <x:c r="P251" s="1" t="str">
        <x:f>'Habilidades'!D3551&amp;" ("&amp;'Habilidades'!I3551&amp;")"</x:f>
        <x:v>Shadow Ball (145)</x:v>
      </x:c>
      <x:c r="Q251" s="1" t="str">
        <x:f>'Habilidades'!D3552&amp;" ("&amp;'Habilidades'!I3552&amp;")"</x:f>
        <x:v>Flame Burst (135)</x:v>
      </x:c>
      <x:c r="R251" s="1" t="str">
        <x:f>'Habilidades'!D3553&amp;" ("&amp;'Habilidades'!I3553&amp;")"</x:f>
        <x:v>Hex (130)</x:v>
      </x:c>
      <x:c r="S251" s="9" t="str">
        <x:v>https://poke.idleworld.online/pokepedia/pokemon/litwick</x:v>
      </x:c>
    </x:row>
    <x:row r="252" ht="22" customHeight="1">
      <x:c r="A252" s="1" t="n">
        <x:v>240</x:v>
      </x:c>
      <x:c r="B252" s="1" t="n">
        <x:v>246</x:v>
      </x:c>
      <x:c r="C252" s="1" t="str">
        <x:v>Larvitar</x:v>
      </x:c>
      <x:c r="D252" s="1" t="str">
        <x:v>Pedra</x:v>
      </x:c>
      <x:c r="E252" s="1" t="str">
        <x:v>Terrestre</x:v>
      </x:c>
      <x:c r="F252" s="10" t="n">
        <x:v>64</x:v>
      </x:c>
      <x:c r="G252" s="10" t="n">
        <x:v>45</x:v>
      </x:c>
      <x:c r="H252" s="10" t="n">
        <x:f>MAX(F252:G252)</x:f>
        <x:v>64</x:v>
      </x:c>
      <x:c r="I252" s="1" t="str">
        <x:f>'Pokémon'!M249</x:f>
        <x:v>Física</x:v>
      </x:c>
      <x:c r="J252" s="1" t="str">
        <x:f>'Habilidades'!D2288</x:f>
        <x:v>Hyper Beam</x:v>
      </x:c>
      <x:c r="K252" s="1" t="str">
        <x:f>'Habilidades'!E2288</x:f>
        <x:v>Normal</x:v>
      </x:c>
      <x:c r="L252" s="1" t="str">
        <x:f>'Habilidades'!F2288</x:f>
        <x:v>Especial</x:v>
      </x:c>
      <x:c r="M252" s="10" t="n">
        <x:f>'Habilidades'!G2288</x:f>
        <x:v>150</x:v>
      </x:c>
      <x:c r="N252" s="10" t="n">
        <x:f>'Habilidades'!I2288</x:f>
        <x:v>195</x:v>
      </x:c>
      <x:c r="O252" s="1" t="str">
        <x:f>'Habilidades'!D2289&amp;" ("&amp;'Habilidades'!I2289&amp;")"</x:f>
        <x:v>Thrash (184)</x:v>
      </x:c>
      <x:c r="P252" s="1" t="str">
        <x:f>'Habilidades'!D2290&amp;" ("&amp;'Habilidades'!I2290&amp;")"</x:f>
        <x:v>Earthquake (164)</x:v>
      </x:c>
      <x:c r="Q252" s="1" t="str">
        <x:f>'Habilidades'!D2291&amp;" ("&amp;'Habilidades'!I2291&amp;")"</x:f>
        <x:v>Stone Edge (164)</x:v>
      </x:c>
      <x:c r="R252" s="1" t="str">
        <x:f>'Habilidades'!D2292&amp;" ("&amp;'Habilidades'!I2292&amp;")"</x:f>
        <x:v>Crunch (144)</x:v>
      </x:c>
      <x:c r="S252" s="9" t="str">
        <x:v>https://poke.idleworld.online/pokepedia/pokemon/larvitar</x:v>
      </x:c>
    </x:row>
    <x:row r="253" ht="22" customHeight="1">
      <x:c r="A253" s="1" t="n">
        <x:v>240</x:v>
      </x:c>
      <x:c r="B253" s="1" t="n">
        <x:v>133</x:v>
      </x:c>
      <x:c r="C253" s="1" t="str">
        <x:v>Eevee</x:v>
      </x:c>
      <x:c r="D253" s="1" t="str">
        <x:v>Normal</x:v>
      </x:c>
      <x:c r="E253" s="1" t="str"/>
      <x:c r="F253" s="10" t="n">
        <x:v>55</x:v>
      </x:c>
      <x:c r="G253" s="10" t="n">
        <x:v>45</x:v>
      </x:c>
      <x:c r="H253" s="10" t="n">
        <x:f>MAX(F253:G253)</x:f>
        <x:v>55</x:v>
      </x:c>
      <x:c r="I253" s="1" t="str">
        <x:f>'Pokémon'!M137</x:f>
        <x:v>Física</x:v>
      </x:c>
      <x:c r="J253" s="1" t="str">
        <x:f>'Habilidades'!D1267</x:f>
        <x:v>Last Resort</x:v>
      </x:c>
      <x:c r="K253" s="1" t="str">
        <x:f>'Habilidades'!E1267</x:f>
        <x:v>Normal</x:v>
      </x:c>
      <x:c r="L253" s="1" t="str">
        <x:f>'Habilidades'!F1267</x:f>
        <x:v>Física</x:v>
      </x:c>
      <x:c r="M253" s="10" t="n">
        <x:f>'Habilidades'!G1267</x:f>
        <x:v>140</x:v>
      </x:c>
      <x:c r="N253" s="10" t="n">
        <x:f>'Habilidades'!I1267</x:f>
        <x:v>195</x:v>
      </x:c>
      <x:c r="O253" s="1" t="str">
        <x:f>'Habilidades'!D1268&amp;" ("&amp;'Habilidades'!I1268&amp;")"</x:f>
        <x:v>Double-Edge (175)</x:v>
      </x:c>
      <x:c r="P253" s="1" t="str">
        <x:f>'Habilidades'!D1269&amp;" ("&amp;'Habilidades'!I1269&amp;")"</x:f>
        <x:v>Take Down (145)</x:v>
      </x:c>
      <x:c r="Q253" s="1" t="str">
        <x:f>'Habilidades'!D1270&amp;" ("&amp;'Habilidades'!I1270&amp;")"</x:f>
        <x:v>Bite (115)</x:v>
      </x:c>
      <x:c r="R253" s="1" t="str">
        <x:f>'Habilidades'!D1271&amp;" ("&amp;'Habilidades'!I1271&amp;")"</x:f>
        <x:v>Covet (115)</x:v>
      </x:c>
      <x:c r="S253" s="9" t="str">
        <x:v>https://poke.idleworld.online/pokepedia/pokemon/eevee</x:v>
      </x:c>
    </x:row>
    <x:row r="254" ht="22" customHeight="1">
      <x:c r="A254" s="1" t="n">
        <x:v>240</x:v>
      </x:c>
      <x:c r="B254" s="1" t="n">
        <x:v>599</x:v>
      </x:c>
      <x:c r="C254" s="1" t="str">
        <x:v>Klink</x:v>
      </x:c>
      <x:c r="D254" s="1" t="str">
        <x:v>Aço</x:v>
      </x:c>
      <x:c r="E254" s="1" t="str"/>
      <x:c r="F254" s="10" t="n">
        <x:v>55</x:v>
      </x:c>
      <x:c r="G254" s="10" t="n">
        <x:v>45</x:v>
      </x:c>
      <x:c r="H254" s="10" t="n">
        <x:f>MAX(F254:G254)</x:f>
        <x:v>55</x:v>
      </x:c>
      <x:c r="I254" s="1" t="str">
        <x:f>'Pokémon'!M378</x:f>
        <x:v>Física</x:v>
      </x:c>
      <x:c r="J254" s="1" t="str">
        <x:f>'Habilidades'!D3496</x:f>
        <x:v>Hyper Beam</x:v>
      </x:c>
      <x:c r="K254" s="1" t="str">
        <x:f>'Habilidades'!E3496</x:f>
        <x:v>Normal</x:v>
      </x:c>
      <x:c r="L254" s="1" t="str">
        <x:f>'Habilidades'!F3496</x:f>
        <x:v>Especial</x:v>
      </x:c>
      <x:c r="M254" s="10" t="n">
        <x:f>'Habilidades'!G3496</x:f>
        <x:v>150</x:v>
      </x:c>
      <x:c r="N254" s="10" t="n">
        <x:f>'Habilidades'!I3496</x:f>
        <x:v>195</x:v>
      </x:c>
      <x:c r="O254" s="1" t="str">
        <x:f>'Habilidades'!D3497&amp;" ("&amp;'Habilidades'!I3497&amp;")"</x:f>
        <x:v>Zap Cannon (165)</x:v>
      </x:c>
      <x:c r="P254" s="1" t="str">
        <x:f>'Habilidades'!D3498&amp;" ("&amp;'Habilidades'!I3498&amp;")"</x:f>
        <x:v>Discharge (125)</x:v>
      </x:c>
      <x:c r="Q254" s="1" t="str">
        <x:f>'Habilidades'!D3499&amp;" ("&amp;'Habilidades'!I3499&amp;")"</x:f>
        <x:v>Mirror Shot (110)</x:v>
      </x:c>
      <x:c r="R254" s="1" t="str">
        <x:f>'Habilidades'!D3500&amp;" ("&amp;'Habilidades'!I3500&amp;")"</x:f>
        <x:v>Vise Grip (110)</x:v>
      </x:c>
      <x:c r="S254" s="9" t="str">
        <x:v>https://poke.idleworld.online/pokepedia/pokemon/klink</x:v>
      </x:c>
    </x:row>
    <x:row r="255" ht="22" customHeight="1">
      <x:c r="A255" s="1" t="n">
        <x:v>251</x:v>
      </x:c>
      <x:c r="B255" s="1" t="n">
        <x:v>8</x:v>
      </x:c>
      <x:c r="C255" s="1" t="str">
        <x:v>Wartortle</x:v>
      </x:c>
      <x:c r="D255" s="1" t="str">
        <x:v>Água</x:v>
      </x:c>
      <x:c r="E255" s="1" t="str"/>
      <x:c r="F255" s="10" t="n">
        <x:v>63</x:v>
      </x:c>
      <x:c r="G255" s="10" t="n">
        <x:v>65</x:v>
      </x:c>
      <x:c r="H255" s="10" t="n">
        <x:f>MAX(F255:G255)</x:f>
        <x:v>65</x:v>
      </x:c>
      <x:c r="I255" s="1" t="str">
        <x:f>'Pokémon'!M12</x:f>
        <x:v>Especial</x:v>
      </x:c>
      <x:c r="J255" s="1" t="str">
        <x:f>'Habilidades'!D76</x:f>
        <x:v>Skull Bash</x:v>
      </x:c>
      <x:c r="K255" s="1" t="str">
        <x:f>'Habilidades'!E76</x:f>
        <x:v>Normal</x:v>
      </x:c>
      <x:c r="L255" s="1" t="str">
        <x:f>'Habilidades'!F76</x:f>
        <x:v>Física</x:v>
      </x:c>
      <x:c r="M255" s="10" t="n">
        <x:f>'Habilidades'!G76</x:f>
        <x:v>130</x:v>
      </x:c>
      <x:c r="N255" s="10" t="n">
        <x:f>'Habilidades'!I76</x:f>
        <x:v>193</x:v>
      </x:c>
      <x:c r="O255" s="1" t="str">
        <x:f>'Habilidades'!D77&amp;" ("&amp;'Habilidades'!I77&amp;")"</x:f>
        <x:v>Hydro Pump (175)</x:v>
      </x:c>
      <x:c r="P255" s="1" t="str">
        <x:f>'Habilidades'!D78&amp;" ("&amp;'Habilidades'!I78&amp;")"</x:f>
        <x:v>Aqua Tail (153)</x:v>
      </x:c>
      <x:c r="Q255" s="1" t="str">
        <x:f>'Habilidades'!D79&amp;" ("&amp;'Habilidades'!I79&amp;")"</x:f>
        <x:v>Water Pulse (125)</x:v>
      </x:c>
      <x:c r="R255" s="1" t="str">
        <x:f>'Habilidades'!D80&amp;" ("&amp;'Habilidades'!I80&amp;")"</x:f>
        <x:v>Bite (123)</x:v>
      </x:c>
      <x:c r="S255" s="9" t="str">
        <x:v>https://poke.idleworld.online/pokepedia/pokemon/wartortle</x:v>
      </x:c>
    </x:row>
    <x:row r="256" ht="22" customHeight="1">
      <x:c r="A256" s="1" t="n">
        <x:v>252</x:v>
      </x:c>
      <x:c r="B256" s="1" t="n">
        <x:v>294</x:v>
      </x:c>
      <x:c r="C256" s="1" t="str">
        <x:v>Loudred</x:v>
      </x:c>
      <x:c r="D256" s="1" t="str">
        <x:v>Normal</x:v>
      </x:c>
      <x:c r="E256" s="1" t="str"/>
      <x:c r="F256" s="10" t="n">
        <x:v>71</x:v>
      </x:c>
      <x:c r="G256" s="10" t="n">
        <x:v>71</x:v>
      </x:c>
      <x:c r="H256" s="10" t="n">
        <x:f>MAX(F256:G256)</x:f>
        <x:v>71</x:v>
      </x:c>
      <x:c r="I256" s="1" t="str">
        <x:f>'Pokémon'!M283</x:f>
        <x:v>Empate</x:v>
      </x:c>
      <x:c r="J256" s="1" t="str">
        <x:f>'Habilidades'!D2584</x:f>
        <x:v>Synchronoise</x:v>
      </x:c>
      <x:c r="K256" s="1" t="str">
        <x:f>'Habilidades'!E2584</x:f>
        <x:v>Psíquico</x:v>
      </x:c>
      <x:c r="L256" s="1" t="str">
        <x:f>'Habilidades'!F2584</x:f>
        <x:v>Especial</x:v>
      </x:c>
      <x:c r="M256" s="10" t="n">
        <x:f>'Habilidades'!G2584</x:f>
        <x:v>120</x:v>
      </x:c>
      <x:c r="N256" s="10" t="n">
        <x:f>'Habilidades'!I2584</x:f>
        <x:v>191</x:v>
      </x:c>
      <x:c r="O256" s="1" t="str">
        <x:f>'Habilidades'!D2585&amp;" ("&amp;'Habilidades'!I2585&amp;")"</x:f>
        <x:v>Uproar (161)</x:v>
      </x:c>
      <x:c r="P256" s="1" t="str">
        <x:f>'Habilidades'!D2586&amp;" ("&amp;'Habilidades'!I2586&amp;")"</x:f>
        <x:v>Hyper Voice (161)</x:v>
      </x:c>
      <x:c r="Q256" s="1" t="str">
        <x:f>'Habilidades'!D2587&amp;" ("&amp;'Habilidades'!I2587&amp;")"</x:f>
        <x:v>Stomp (136)</x:v>
      </x:c>
      <x:c r="R256" s="1" t="str">
        <x:f>'Habilidades'!D2588&amp;" ("&amp;'Habilidades'!I2588&amp;")"</x:f>
        <x:v>Bite (131)</x:v>
      </x:c>
      <x:c r="S256" s="9" t="str">
        <x:v>https://poke.idleworld.online/pokepedia/pokemon/loudred</x:v>
      </x:c>
    </x:row>
    <x:row r="257" ht="22" customHeight="1">
      <x:c r="A257" s="1" t="n">
        <x:v>253</x:v>
      </x:c>
      <x:c r="B257" s="1" t="n">
        <x:v>461</x:v>
      </x:c>
      <x:c r="C257" s="1" t="str">
        <x:v>Weavile</x:v>
      </x:c>
      <x:c r="D257" s="1" t="str">
        <x:v>Sombrio</x:v>
      </x:c>
      <x:c r="E257" s="1" t="str">
        <x:v>Gelo</x:v>
      </x:c>
      <x:c r="F257" s="10" t="n">
        <x:v>120</x:v>
      </x:c>
      <x:c r="G257" s="10" t="n">
        <x:v>45</x:v>
      </x:c>
      <x:c r="H257" s="10" t="n">
        <x:f>MAX(F257:G257)</x:f>
        <x:v>120</x:v>
      </x:c>
      <x:c r="I257" s="1" t="str">
        <x:f>'Pokémon'!M354</x:f>
        <x:v>Física</x:v>
      </x:c>
      <x:c r="J257" s="1" t="str">
        <x:f>'Habilidades'!D3272</x:f>
        <x:v>Night Slash</x:v>
      </x:c>
      <x:c r="K257" s="1" t="str">
        <x:f>'Habilidades'!E3272</x:f>
        <x:v>Sombrio</x:v>
      </x:c>
      <x:c r="L257" s="1" t="str">
        <x:f>'Habilidades'!F3272</x:f>
        <x:v>Física</x:v>
      </x:c>
      <x:c r="M257" s="10" t="n">
        <x:f>'Habilidades'!G3272</x:f>
        <x:v>70</x:v>
      </x:c>
      <x:c r="N257" s="10" t="n">
        <x:f>'Habilidades'!I3272</x:f>
        <x:v>190</x:v>
      </x:c>
      <x:c r="O257" s="1" t="str">
        <x:f>'Habilidades'!D3273&amp;" ("&amp;'Habilidades'!I3273&amp;")"</x:f>
        <x:v>Revenge (180)</x:v>
      </x:c>
      <x:c r="P257" s="1" t="str">
        <x:f>'Habilidades'!D3274&amp;" ("&amp;'Habilidades'!I3274&amp;")"</x:f>
        <x:v>Assurance (180)</x:v>
      </x:c>
      <x:c r="Q257" s="1" t="str">
        <x:f>'Habilidades'!D3275&amp;" ("&amp;'Habilidades'!I3275&amp;")"</x:f>
        <x:v>Feint Attack (180)</x:v>
      </x:c>
      <x:c r="R257" s="1" t="str">
        <x:f>'Habilidades'!D3276&amp;" ("&amp;'Habilidades'!I3276&amp;")"</x:f>
        <x:v>Metal Claw (170)</x:v>
      </x:c>
      <x:c r="S257" s="9" t="str">
        <x:v>https://poke.idleworld.online/pokepedia/pokemon/weavile</x:v>
      </x:c>
    </x:row>
    <x:row r="258" ht="22" customHeight="1">
      <x:c r="A258" s="1" t="n">
        <x:v>253</x:v>
      </x:c>
      <x:c r="B258" s="1" t="n">
        <x:v>444</x:v>
      </x:c>
      <x:c r="C258" s="1" t="str">
        <x:v>Gabite</x:v>
      </x:c>
      <x:c r="D258" s="1" t="str">
        <x:v>Dragão</x:v>
      </x:c>
      <x:c r="E258" s="1" t="str">
        <x:v>Terrestre</x:v>
      </x:c>
      <x:c r="F258" s="10" t="n">
        <x:v>90</x:v>
      </x:c>
      <x:c r="G258" s="10" t="n">
        <x:v>50</x:v>
      </x:c>
      <x:c r="H258" s="10" t="n">
        <x:f>MAX(F258:G258)</x:f>
        <x:v>90</x:v>
      </x:c>
      <x:c r="I258" s="1" t="str">
        <x:f>'Pokémon'!M348</x:f>
        <x:v>Física</x:v>
      </x:c>
      <x:c r="J258" s="1" t="str">
        <x:f>'Habilidades'!D3223</x:f>
        <x:v>Dragon Rush</x:v>
      </x:c>
      <x:c r="K258" s="1" t="str">
        <x:f>'Habilidades'!E3223</x:f>
        <x:v>Dragão</x:v>
      </x:c>
      <x:c r="L258" s="1" t="str">
        <x:f>'Habilidades'!F3223</x:f>
        <x:v>Física</x:v>
      </x:c>
      <x:c r="M258" s="10" t="n">
        <x:f>'Habilidades'!G3223</x:f>
        <x:v>100</x:v>
      </x:c>
      <x:c r="N258" s="10" t="n">
        <x:f>'Habilidades'!I3223</x:f>
        <x:v>190</x:v>
      </x:c>
      <x:c r="O258" s="1" t="str">
        <x:f>'Habilidades'!D3224&amp;" ("&amp;'Habilidades'!I3224&amp;")"</x:f>
        <x:v>Take Down (180)</x:v>
      </x:c>
      <x:c r="P258" s="1" t="str">
        <x:f>'Habilidades'!D3225&amp;" ("&amp;'Habilidades'!I3225&amp;")"</x:f>
        <x:v>Dragon Claw (170)</x:v>
      </x:c>
      <x:c r="Q258" s="1" t="str">
        <x:f>'Habilidades'!D3226&amp;" ("&amp;'Habilidades'!I3226&amp;")"</x:f>
        <x:v>Dig (170)</x:v>
      </x:c>
      <x:c r="R258" s="1" t="str">
        <x:f>'Habilidades'!D3227&amp;" ("&amp;'Habilidades'!I3227&amp;")"</x:f>
        <x:v>Slash (160)</x:v>
      </x:c>
      <x:c r="S258" s="9" t="str">
        <x:v>https://poke.idleworld.online/pokepedia/pokemon/gabite</x:v>
      </x:c>
    </x:row>
    <x:row r="259" ht="22" customHeight="1">
      <x:c r="A259" s="1" t="n">
        <x:v>253</x:v>
      </x:c>
      <x:c r="B259" s="1" t="n">
        <x:v>40</x:v>
      </x:c>
      <x:c r="C259" s="1" t="str">
        <x:v>Wigglytuff</x:v>
      </x:c>
      <x:c r="D259" s="1" t="str">
        <x:v>Normal</x:v>
      </x:c>
      <x:c r="E259" s="1" t="str">
        <x:v>Fada</x:v>
      </x:c>
      <x:c r="F259" s="10" t="n">
        <x:v>70</x:v>
      </x:c>
      <x:c r="G259" s="10" t="n">
        <x:v>85</x:v>
      </x:c>
      <x:c r="H259" s="10" t="n">
        <x:f>MAX(F259:G259)</x:f>
        <x:v>85</x:v>
      </x:c>
      <x:c r="I259" s="1" t="str">
        <x:f>'Pokémon'!M44</x:f>
        <x:v>Especial</x:v>
      </x:c>
      <x:c r="J259" s="1" t="str">
        <x:f>'Habilidades'!D335</x:f>
        <x:v>Double-Edge</x:v>
      </x:c>
      <x:c r="K259" s="1" t="str">
        <x:f>'Habilidades'!E335</x:f>
        <x:v>Normal</x:v>
      </x:c>
      <x:c r="L259" s="1" t="str">
        <x:f>'Habilidades'!F335</x:f>
        <x:v>Física</x:v>
      </x:c>
      <x:c r="M259" s="10" t="n">
        <x:f>'Habilidades'!G335</x:f>
        <x:v>120</x:v>
      </x:c>
      <x:c r="N259" s="10" t="n">
        <x:f>'Habilidades'!I335</x:f>
        <x:v>190</x:v>
      </x:c>
      <x:c r="O259" s="1" t="str">
        <x:f>'Habilidades'!D336&amp;" ("&amp;'Habilidades'!I336&amp;")"</x:f>
        <x:v>Play Rough (160)</x:v>
      </x:c>
      <x:c r="P259" s="1" t="str">
        <x:f>'Habilidades'!D337&amp;" ("&amp;'Habilidades'!I337&amp;")"</x:f>
        <x:v>Double Slap (85)</x:v>
      </x:c>
      <x:c r="Q259" s="1" t="str">
        <x:f>""</x:f>
      </x:c>
      <x:c r="R259" s="1" t="str">
        <x:f>""</x:f>
      </x:c>
      <x:c r="S259" s="9" t="str">
        <x:v>https://poke.idleworld.online/pokepedia/pokemon/wigglytuff</x:v>
      </x:c>
    </x:row>
    <x:row r="260" ht="22" customHeight="1">
      <x:c r="A260" s="1" t="n">
        <x:v>253</x:v>
      </x:c>
      <x:c r="B260" s="1" t="n">
        <x:v>180</x:v>
      </x:c>
      <x:c r="C260" s="1" t="str">
        <x:v>Flaaffy</x:v>
      </x:c>
      <x:c r="D260" s="1" t="str">
        <x:v>Elétrico</x:v>
      </x:c>
      <x:c r="E260" s="1" t="str"/>
      <x:c r="F260" s="10" t="n">
        <x:v>55</x:v>
      </x:c>
      <x:c r="G260" s="10" t="n">
        <x:v>80</x:v>
      </x:c>
      <x:c r="H260" s="10" t="n">
        <x:f>MAX(F260:G260)</x:f>
        <x:v>80</x:v>
      </x:c>
      <x:c r="I260" s="1" t="str">
        <x:f>'Pokémon'!M184</x:f>
        <x:v>Especial</x:v>
      </x:c>
      <x:c r="J260" s="1" t="str">
        <x:f>'Habilidades'!D1696</x:f>
        <x:v>Thunder</x:v>
      </x:c>
      <x:c r="K260" s="1" t="str">
        <x:f>'Habilidades'!E1696</x:f>
        <x:v>Elétrico</x:v>
      </x:c>
      <x:c r="L260" s="1" t="str">
        <x:f>'Habilidades'!F1696</x:f>
        <x:v>Especial</x:v>
      </x:c>
      <x:c r="M260" s="10" t="n">
        <x:f>'Habilidades'!G1696</x:f>
        <x:v>110</x:v>
      </x:c>
      <x:c r="N260" s="10" t="n">
        <x:f>'Habilidades'!I1696</x:f>
        <x:v>190</x:v>
      </x:c>
      <x:c r="O260" s="1" t="str">
        <x:f>'Habilidades'!D1697&amp;" ("&amp;'Habilidades'!I1697&amp;")"</x:f>
        <x:v>Power Gem (160)</x:v>
      </x:c>
      <x:c r="P260" s="1" t="str">
        <x:f>'Habilidades'!D1698&amp;" ("&amp;'Habilidades'!I1698&amp;")"</x:f>
        <x:v>Discharge (160)</x:v>
      </x:c>
      <x:c r="Q260" s="1" t="str">
        <x:f>'Habilidades'!D1699&amp;" ("&amp;'Habilidades'!I1699&amp;")"</x:f>
        <x:v>Signal Beam (155)</x:v>
      </x:c>
      <x:c r="R260" s="1" t="str">
        <x:f>'Habilidades'!D1700&amp;" ("&amp;'Habilidades'!I1700&amp;")"</x:f>
        <x:v>Take Down (145)</x:v>
      </x:c>
      <x:c r="S260" s="9" t="str">
        <x:v>https://poke.idleworld.online/pokepedia/pokemon/flaaffy</x:v>
      </x:c>
    </x:row>
    <x:row r="261" ht="22" customHeight="1">
      <x:c r="A261" s="1" t="n">
        <x:v>253</x:v>
      </x:c>
      <x:c r="B261" s="1" t="n">
        <x:v>58</x:v>
      </x:c>
      <x:c r="C261" s="1" t="str">
        <x:v>Growlithe</x:v>
      </x:c>
      <x:c r="D261" s="1" t="str">
        <x:v>Fogo</x:v>
      </x:c>
      <x:c r="E261" s="1" t="str"/>
      <x:c r="F261" s="10" t="n">
        <x:v>70</x:v>
      </x:c>
      <x:c r="G261" s="10" t="n">
        <x:v>70</x:v>
      </x:c>
      <x:c r="H261" s="10" t="n">
        <x:f>MAX(F261:G261)</x:f>
        <x:v>70</x:v>
      </x:c>
      <x:c r="I261" s="1" t="str">
        <x:f>'Pokémon'!M62</x:f>
        <x:v>Empate</x:v>
      </x:c>
      <x:c r="J261" s="1" t="str">
        <x:f>'Habilidades'!D515</x:f>
        <x:v>Outrage</x:v>
      </x:c>
      <x:c r="K261" s="1" t="str">
        <x:f>'Habilidades'!E515</x:f>
        <x:v>Dragão</x:v>
      </x:c>
      <x:c r="L261" s="1" t="str">
        <x:f>'Habilidades'!F515</x:f>
        <x:v>Física</x:v>
      </x:c>
      <x:c r="M261" s="10" t="n">
        <x:f>'Habilidades'!G515</x:f>
        <x:v>120</x:v>
      </x:c>
      <x:c r="N261" s="10" t="n">
        <x:f>'Habilidades'!I515</x:f>
        <x:v>190</x:v>
      </x:c>
      <x:c r="O261" s="1" t="str">
        <x:f>'Habilidades'!D516&amp;" ("&amp;'Habilidades'!I516&amp;")"</x:f>
        <x:v>Flare Blitz (190)</x:v>
      </x:c>
      <x:c r="P261" s="1" t="str">
        <x:f>'Habilidades'!D517&amp;" ("&amp;'Habilidades'!I517&amp;")"</x:f>
        <x:v>Heat Wave (165)</x:v>
      </x:c>
      <x:c r="Q261" s="1" t="str">
        <x:f>'Habilidades'!D518&amp;" ("&amp;'Habilidades'!I518&amp;")"</x:f>
        <x:v>Take Down (160)</x:v>
      </x:c>
      <x:c r="R261" s="1" t="str">
        <x:f>'Habilidades'!D519&amp;" ("&amp;'Habilidades'!I519&amp;")"</x:f>
        <x:v>Flamethrower (160)</x:v>
      </x:c>
      <x:c r="S261" s="9" t="str">
        <x:v>https://poke.idleworld.online/pokepedia/pokemon/growlithe</x:v>
      </x:c>
    </x:row>
    <x:row r="262" ht="22" customHeight="1">
      <x:c r="A262" s="1" t="n">
        <x:v>253</x:v>
      </x:c>
      <x:c r="B262" s="1" t="n">
        <x:v>177</x:v>
      </x:c>
      <x:c r="C262" s="1" t="str">
        <x:v>Natu</x:v>
      </x:c>
      <x:c r="D262" s="1" t="str">
        <x:v>Psíquico</x:v>
      </x:c>
      <x:c r="E262" s="1" t="str">
        <x:v>Voador</x:v>
      </x:c>
      <x:c r="F262" s="10" t="n">
        <x:v>50</x:v>
      </x:c>
      <x:c r="G262" s="10" t="n">
        <x:v>70</x:v>
      </x:c>
      <x:c r="H262" s="10" t="n">
        <x:f>MAX(F262:G262)</x:f>
        <x:v>70</x:v>
      </x:c>
      <x:c r="I262" s="1" t="str">
        <x:f>'Pokémon'!M181</x:f>
        <x:v>Especial</x:v>
      </x:c>
      <x:c r="J262" s="1" t="str">
        <x:f>'Habilidades'!D1676</x:f>
        <x:v>Future Sight</x:v>
      </x:c>
      <x:c r="K262" s="1" t="str">
        <x:f>'Habilidades'!E1676</x:f>
        <x:v>Psíquico</x:v>
      </x:c>
      <x:c r="L262" s="1" t="str">
        <x:f>'Habilidades'!F1676</x:f>
        <x:v>Especial</x:v>
      </x:c>
      <x:c r="M262" s="10" t="n">
        <x:f>'Habilidades'!G1676</x:f>
        <x:v>120</x:v>
      </x:c>
      <x:c r="N262" s="10" t="n">
        <x:f>'Habilidades'!I1676</x:f>
        <x:v>190</x:v>
      </x:c>
      <x:c r="O262" s="1" t="str">
        <x:f>'Habilidades'!D1677&amp;" ("&amp;'Habilidades'!I1677&amp;")"</x:f>
        <x:v>Psychic (160)</x:v>
      </x:c>
      <x:c r="P262" s="1" t="str">
        <x:f>'Habilidades'!D1678&amp;" ("&amp;'Habilidades'!I1678&amp;")"</x:f>
        <x:v>Ominous Wind (130)</x:v>
      </x:c>
      <x:c r="Q262" s="1" t="str">
        <x:f>'Habilidades'!D1679&amp;" ("&amp;'Habilidades'!I1679&amp;")"</x:f>
        <x:v>Stored Power (90)</x:v>
      </x:c>
      <x:c r="R262" s="1" t="str">
        <x:f>'Habilidades'!D1680&amp;" ("&amp;'Habilidades'!I1680&amp;")"</x:f>
        <x:v>Peck (85)</x:v>
      </x:c>
      <x:c r="S262" s="9" t="str">
        <x:v>https://poke.idleworld.online/pokepedia/pokemon/natu</x:v>
      </x:c>
    </x:row>
    <x:row r="263" ht="22" customHeight="1">
      <x:c r="A263" s="1" t="n">
        <x:v>253</x:v>
      </x:c>
      <x:c r="B263" s="1" t="n">
        <x:v>206</x:v>
      </x:c>
      <x:c r="C263" s="1" t="str">
        <x:v>Dunsparce</x:v>
      </x:c>
      <x:c r="D263" s="1" t="str">
        <x:v>Normal</x:v>
      </x:c>
      <x:c r="E263" s="1" t="str"/>
      <x:c r="F263" s="10" t="n">
        <x:v>70</x:v>
      </x:c>
      <x:c r="G263" s="10" t="n">
        <x:v>65</x:v>
      </x:c>
      <x:c r="H263" s="10" t="n">
        <x:f>MAX(F263:G263)</x:f>
        <x:v>70</x:v>
      </x:c>
      <x:c r="I263" s="1" t="str">
        <x:f>'Pokémon'!M209</x:f>
        <x:v>Física</x:v>
      </x:c>
      <x:c r="J263" s="1" t="str">
        <x:f>'Habilidades'!D1901</x:f>
        <x:v>Double-Edge</x:v>
      </x:c>
      <x:c r="K263" s="1" t="str">
        <x:f>'Habilidades'!E1901</x:f>
        <x:v>Normal</x:v>
      </x:c>
      <x:c r="L263" s="1" t="str">
        <x:f>'Habilidades'!F1901</x:f>
        <x:v>Física</x:v>
      </x:c>
      <x:c r="M263" s="10" t="n">
        <x:f>'Habilidades'!G1901</x:f>
        <x:v>120</x:v>
      </x:c>
      <x:c r="N263" s="10" t="n">
        <x:f>'Habilidades'!I1901</x:f>
        <x:v>190</x:v>
      </x:c>
      <x:c r="O263" s="1" t="str">
        <x:f>'Habilidades'!D1902&amp;" ("&amp;'Habilidades'!I1902&amp;")"</x:f>
        <x:v>Take Down (160)</x:v>
      </x:c>
      <x:c r="P263" s="1" t="str">
        <x:f>'Habilidades'!D1903&amp;" ("&amp;'Habilidades'!I1903&amp;")"</x:f>
        <x:v>Dig (150)</x:v>
      </x:c>
      <x:c r="Q263" s="1" t="str">
        <x:f>'Habilidades'!D1904&amp;" ("&amp;'Habilidades'!I1904&amp;")"</x:f>
        <x:v>Drill Run (150)</x:v>
      </x:c>
      <x:c r="R263" s="1" t="str">
        <x:f>'Habilidades'!D1905&amp;" ("&amp;'Habilidades'!I1905&amp;")"</x:f>
        <x:v>Ancient Power (125)</x:v>
      </x:c>
      <x:c r="S263" s="9" t="str">
        <x:v>https://poke.idleworld.online/pokepedia/pokemon/dunsparce</x:v>
      </x:c>
    </x:row>
    <x:row r="264" ht="22" customHeight="1">
      <x:c r="A264" s="1" t="n">
        <x:v>253</x:v>
      </x:c>
      <x:c r="B264" s="1" t="n">
        <x:v>304</x:v>
      </x:c>
      <x:c r="C264" s="1" t="str">
        <x:v>Aron</x:v>
      </x:c>
      <x:c r="D264" s="1" t="str">
        <x:v>Aço</x:v>
      </x:c>
      <x:c r="E264" s="1" t="str">
        <x:v>Pedra</x:v>
      </x:c>
      <x:c r="F264" s="10" t="n">
        <x:v>70</x:v>
      </x:c>
      <x:c r="G264" s="10" t="n">
        <x:v>40</x:v>
      </x:c>
      <x:c r="H264" s="10" t="n">
        <x:f>MAX(F264:G264)</x:f>
        <x:v>70</x:v>
      </x:c>
      <x:c r="I264" s="1" t="str">
        <x:f>'Pokémon'!M288</x:f>
        <x:v>Física</x:v>
      </x:c>
      <x:c r="J264" s="1" t="str">
        <x:f>'Habilidades'!D2640</x:f>
        <x:v>Double-Edge</x:v>
      </x:c>
      <x:c r="K264" s="1" t="str">
        <x:f>'Habilidades'!E2640</x:f>
        <x:v>Normal</x:v>
      </x:c>
      <x:c r="L264" s="1" t="str">
        <x:f>'Habilidades'!F2640</x:f>
        <x:v>Física</x:v>
      </x:c>
      <x:c r="M264" s="10" t="n">
        <x:f>'Habilidades'!G2640</x:f>
        <x:v>120</x:v>
      </x:c>
      <x:c r="N264" s="10" t="n">
        <x:f>'Habilidades'!I2640</x:f>
        <x:v>190</x:v>
      </x:c>
      <x:c r="O264" s="1" t="str">
        <x:f>'Habilidades'!D2641&amp;" ("&amp;'Habilidades'!I2641&amp;")"</x:f>
        <x:v>Metal Burst (190)</x:v>
      </x:c>
      <x:c r="P264" s="1" t="str">
        <x:f>'Habilidades'!D2642&amp;" ("&amp;'Habilidades'!I2642&amp;")"</x:f>
        <x:v>Iron Tail (170)</x:v>
      </x:c>
      <x:c r="Q264" s="1" t="str">
        <x:f>'Habilidades'!D2643&amp;" ("&amp;'Habilidades'!I2643&amp;")"</x:f>
        <x:v>Take Down (160)</x:v>
      </x:c>
      <x:c r="R264" s="1" t="str">
        <x:f>'Habilidades'!D2644&amp;" ("&amp;'Habilidades'!I2644&amp;")"</x:f>
        <x:v>Iron Head (150)</x:v>
      </x:c>
      <x:c r="S264" s="9" t="str">
        <x:v>https://poke.idleworld.online/pokepedia/pokemon/aron</x:v>
      </x:c>
    </x:row>
    <x:row r="265" ht="22" customHeight="1">
      <x:c r="A265" s="1" t="n">
        <x:v>253</x:v>
      </x:c>
      <x:c r="B265" s="1" t="n">
        <x:v>308</x:v>
      </x:c>
      <x:c r="C265" s="1" t="str">
        <x:v>Medicham</x:v>
      </x:c>
      <x:c r="D265" s="1" t="str">
        <x:v>Lutador</x:v>
      </x:c>
      <x:c r="E265" s="1" t="str">
        <x:v>Psíquico</x:v>
      </x:c>
      <x:c r="F265" s="10" t="n">
        <x:v>60</x:v>
      </x:c>
      <x:c r="G265" s="10" t="n">
        <x:v>60</x:v>
      </x:c>
      <x:c r="H265" s="10" t="n">
        <x:f>MAX(F265:G265)</x:f>
        <x:v>60</x:v>
      </x:c>
      <x:c r="I265" s="1" t="str">
        <x:f>'Pokémon'!M292</x:f>
        <x:v>Empate</x:v>
      </x:c>
      <x:c r="J265" s="1" t="str">
        <x:f>'Habilidades'!D2681</x:f>
        <x:v>High Jump Kick</x:v>
      </x:c>
      <x:c r="K265" s="1" t="str">
        <x:f>'Habilidades'!E2681</x:f>
        <x:v>Lutador</x:v>
      </x:c>
      <x:c r="L265" s="1" t="str">
        <x:f>'Habilidades'!F2681</x:f>
        <x:v>Física</x:v>
      </x:c>
      <x:c r="M265" s="10" t="n">
        <x:f>'Habilidades'!G2681</x:f>
        <x:v>130</x:v>
      </x:c>
      <x:c r="N265" s="10" t="n">
        <x:f>'Habilidades'!I2681</x:f>
        <x:v>190</x:v>
      </x:c>
      <x:c r="O265" s="1" t="str">
        <x:f>'Habilidades'!D2682&amp;" ("&amp;'Habilidades'!I2682&amp;")"</x:f>
        <x:v>Zen Headbutt (140)</x:v>
      </x:c>
      <x:c r="P265" s="1" t="str">
        <x:f>'Habilidades'!D2683&amp;" ("&amp;'Habilidades'!I2683&amp;")"</x:f>
        <x:v>Thunder Punch (135)</x:v>
      </x:c>
      <x:c r="Q265" s="1" t="str">
        <x:f>'Habilidades'!D2684&amp;" ("&amp;'Habilidades'!I2684&amp;")"</x:f>
        <x:v>Fire Punch (135)</x:v>
      </x:c>
      <x:c r="R265" s="1" t="str">
        <x:f>'Habilidades'!D2685&amp;" ("&amp;'Habilidades'!I2685&amp;")"</x:f>
        <x:v>Ice Punch (135)</x:v>
      </x:c>
      <x:c r="S265" s="9" t="str">
        <x:v>https://poke.idleworld.online/pokepedia/pokemon/medicham</x:v>
      </x:c>
    </x:row>
    <x:row r="266" ht="22" customHeight="1">
      <x:c r="A266" s="1" t="n">
        <x:v>262</x:v>
      </x:c>
      <x:c r="B266" s="1" t="n">
        <x:v>844</x:v>
      </x:c>
      <x:c r="C266" s="1" t="str">
        <x:v>Sandaconda</x:v>
      </x:c>
      <x:c r="D266" s="1" t="str">
        <x:v>Terrestre</x:v>
      </x:c>
      <x:c r="E266" s="1" t="str"/>
      <x:c r="F266" s="10" t="n">
        <x:v>107</x:v>
      </x:c>
      <x:c r="G266" s="10" t="n">
        <x:v>65</x:v>
      </x:c>
      <x:c r="H266" s="10" t="n">
        <x:f>MAX(F266:G266)</x:f>
        <x:v>107</x:v>
      </x:c>
      <x:c r="I266" s="1" t="str">
        <x:f>'Pokémon'!M412</x:f>
        <x:v>Física</x:v>
      </x:c>
      <x:c r="J266" s="1" t="str">
        <x:f>'Habilidades'!D3789</x:f>
        <x:v>Iron Head</x:v>
      </x:c>
      <x:c r="K266" s="1" t="str">
        <x:f>'Habilidades'!E3789</x:f>
        <x:v>Aço</x:v>
      </x:c>
      <x:c r="L266" s="1" t="str">
        <x:f>'Habilidades'!F3789</x:f>
        <x:v>Física</x:v>
      </x:c>
      <x:c r="M266" s="10" t="n">
        <x:f>'Habilidades'!G3789</x:f>
        <x:v>80</x:v>
      </x:c>
      <x:c r="N266" s="10" t="n">
        <x:f>'Habilidades'!I3789</x:f>
        <x:v>187</x:v>
      </x:c>
      <x:c r="O266" s="1" t="str">
        <x:f>'Habilidades'!D3790&amp;" ("&amp;'Habilidades'!I3790&amp;")"</x:f>
        <x:v>Headbutt (177)</x:v>
      </x:c>
      <x:c r="P266" s="1" t="str">
        <x:f>'Habilidades'!D3791&amp;" ("&amp;'Habilidades'!I3791&amp;")"</x:f>
        <x:v>Earth Power (155)</x:v>
      </x:c>
      <x:c r="Q266" s="1" t="str">
        <x:f>""</x:f>
      </x:c>
      <x:c r="R266" s="1" t="str">
        <x:f>""</x:f>
      </x:c>
      <x:c r="S266" s="9" t="str">
        <x:v>https://poke.idleworld.online/pokepedia/pokemon/sandaconda</x:v>
      </x:c>
    </x:row>
    <x:row r="267" ht="22" customHeight="1">
      <x:c r="A267" s="1" t="n">
        <x:v>262</x:v>
      </x:c>
      <x:c r="B267" s="1" t="n">
        <x:v>118</x:v>
      </x:c>
      <x:c r="C267" s="1" t="str">
        <x:v>Goldeen</x:v>
      </x:c>
      <x:c r="D267" s="1" t="str">
        <x:v>Água</x:v>
      </x:c>
      <x:c r="E267" s="1" t="str"/>
      <x:c r="F267" s="10" t="n">
        <x:v>67</x:v>
      </x:c>
      <x:c r="G267" s="10" t="n">
        <x:v>35</x:v>
      </x:c>
      <x:c r="H267" s="10" t="n">
        <x:f>MAX(F267:G267)</x:f>
        <x:v>67</x:v>
      </x:c>
      <x:c r="I267" s="1" t="str">
        <x:f>'Pokémon'!M122</x:f>
        <x:v>Física</x:v>
      </x:c>
      <x:c r="J267" s="1" t="str">
        <x:f>'Habilidades'!D1122</x:f>
        <x:v>Megahorn</x:v>
      </x:c>
      <x:c r="K267" s="1" t="str">
        <x:f>'Habilidades'!E1122</x:f>
        <x:v>Inseto</x:v>
      </x:c>
      <x:c r="L267" s="1" t="str">
        <x:f>'Habilidades'!F1122</x:f>
        <x:v>Física</x:v>
      </x:c>
      <x:c r="M267" s="10" t="n">
        <x:f>'Habilidades'!G1122</x:f>
        <x:v>120</x:v>
      </x:c>
      <x:c r="N267" s="10" t="n">
        <x:f>'Habilidades'!I1122</x:f>
        <x:v>187</x:v>
      </x:c>
      <x:c r="O267" s="1" t="str">
        <x:f>'Habilidades'!D1123&amp;" ("&amp;'Habilidades'!I1123&amp;")"</x:f>
        <x:v>Waterfall (147)</x:v>
      </x:c>
      <x:c r="P267" s="1" t="str">
        <x:f>'Habilidades'!D1124&amp;" ("&amp;'Habilidades'!I1124&amp;")"</x:f>
        <x:v>Horn Attack (132)</x:v>
      </x:c>
      <x:c r="Q267" s="1" t="str">
        <x:f>'Habilidades'!D1125&amp;" ("&amp;'Habilidades'!I1125&amp;")"</x:f>
        <x:v>Peck (102)</x:v>
      </x:c>
      <x:c r="R267" s="1" t="str">
        <x:f>'Habilidades'!D1126&amp;" ("&amp;'Habilidades'!I1126&amp;")"</x:f>
        <x:v>Water Pulse (95)</x:v>
      </x:c>
      <x:c r="S267" s="9" t="str">
        <x:v>https://poke.idleworld.online/pokepedia/pokemon/goldeen</x:v>
      </x:c>
    </x:row>
    <x:row r="268" ht="22" customHeight="1">
      <x:c r="A268" s="1" t="n">
        <x:v>264</x:v>
      </x:c>
      <x:c r="B268" s="1" t="n">
        <x:v>477</x:v>
      </x:c>
      <x:c r="C268" s="1" t="str">
        <x:v>Dusknoir</x:v>
      </x:c>
      <x:c r="D268" s="1" t="str">
        <x:v>Fantasma</x:v>
      </x:c>
      <x:c r="E268" s="1" t="str"/>
      <x:c r="F268" s="10" t="n">
        <x:v>100</x:v>
      </x:c>
      <x:c r="G268" s="10" t="n">
        <x:v>65</x:v>
      </x:c>
      <x:c r="H268" s="10" t="n">
        <x:f>MAX(F268:G268)</x:f>
        <x:v>100</x:v>
      </x:c>
      <x:c r="I268" s="1" t="str">
        <x:f>'Pokémon'!M365</x:f>
        <x:v>Física</x:v>
      </x:c>
      <x:c r="J268" s="1" t="str">
        <x:f>'Habilidades'!D3384</x:f>
        <x:v>Future Sight</x:v>
      </x:c>
      <x:c r="K268" s="1" t="str">
        <x:f>'Habilidades'!E3384</x:f>
        <x:v>Psíquico</x:v>
      </x:c>
      <x:c r="L268" s="1" t="str">
        <x:f>'Habilidades'!F3384</x:f>
        <x:v>Especial</x:v>
      </x:c>
      <x:c r="M268" s="10" t="n">
        <x:f>'Habilidades'!G3384</x:f>
        <x:v>120</x:v>
      </x:c>
      <x:c r="N268" s="10" t="n">
        <x:f>'Habilidades'!I3384</x:f>
        <x:v>185</x:v>
      </x:c>
      <x:c r="O268" s="1" t="str">
        <x:f>'Habilidades'!D3385&amp;" ("&amp;'Habilidades'!I3385&amp;")"</x:f>
        <x:v>Fire Punch (175)</x:v>
      </x:c>
      <x:c r="P268" s="1" t="str">
        <x:f>'Habilidades'!D3386&amp;" ("&amp;'Habilidades'!I3386&amp;")"</x:f>
        <x:v>Ice Punch (175)</x:v>
      </x:c>
      <x:c r="Q268" s="1" t="str">
        <x:f>'Habilidades'!D3387&amp;" ("&amp;'Habilidades'!I3387&amp;")"</x:f>
        <x:v>Thunder Punch (175)</x:v>
      </x:c>
      <x:c r="R268" s="1" t="str">
        <x:f>'Habilidades'!D3388&amp;" ("&amp;'Habilidades'!I3388&amp;")"</x:f>
        <x:v>Shadow Punch (160)</x:v>
      </x:c>
      <x:c r="S268" s="9" t="str">
        <x:v>https://poke.idleworld.online/pokepedia/pokemon/dusknoir</x:v>
      </x:c>
    </x:row>
    <x:row r="269" ht="22" customHeight="1">
      <x:c r="A269" s="1" t="n">
        <x:v>264</x:v>
      </x:c>
      <x:c r="B269" s="1" t="n">
        <x:v>259</x:v>
      </x:c>
      <x:c r="C269" s="1" t="str">
        <x:v>Marshtomp</x:v>
      </x:c>
      <x:c r="D269" s="1" t="str">
        <x:v>Água</x:v>
      </x:c>
      <x:c r="E269" s="1" t="str">
        <x:v>Terrestre</x:v>
      </x:c>
      <x:c r="F269" s="10" t="n">
        <x:v>85</x:v>
      </x:c>
      <x:c r="G269" s="10" t="n">
        <x:v>60</x:v>
      </x:c>
      <x:c r="H269" s="10" t="n">
        <x:f>MAX(F269:G269)</x:f>
        <x:v>85</x:v>
      </x:c>
      <x:c r="I269" s="1" t="str">
        <x:f>'Pokémon'!M262</x:f>
        <x:v>Física</x:v>
      </x:c>
      <x:c r="J269" s="1" t="str">
        <x:f>'Habilidades'!D2424</x:f>
        <x:v>Earthquake</x:v>
      </x:c>
      <x:c r="K269" s="1" t="str">
        <x:f>'Habilidades'!E2424</x:f>
        <x:v>Terrestre</x:v>
      </x:c>
      <x:c r="L269" s="1" t="str">
        <x:f>'Habilidades'!F2424</x:f>
        <x:v>Física</x:v>
      </x:c>
      <x:c r="M269" s="10" t="n">
        <x:f>'Habilidades'!G2424</x:f>
        <x:v>100</x:v>
      </x:c>
      <x:c r="N269" s="10" t="n">
        <x:f>'Habilidades'!I2424</x:f>
        <x:v>185</x:v>
      </x:c>
      <x:c r="O269" s="1" t="str">
        <x:f>'Habilidades'!D2425&amp;" ("&amp;'Habilidades'!I2425&amp;")"</x:f>
        <x:v>Take Down (175)</x:v>
      </x:c>
      <x:c r="P269" s="1" t="str">
        <x:f>'Habilidades'!D2426&amp;" ("&amp;'Habilidades'!I2426&amp;")"</x:f>
        <x:v>Rock Slide (160)</x:v>
      </x:c>
      <x:c r="Q269" s="1" t="str">
        <x:f>'Habilidades'!D2427&amp;" ("&amp;'Habilidades'!I2427&amp;")"</x:f>
        <x:v>Muddy Water (150)</x:v>
      </x:c>
      <x:c r="R269" s="1" t="str">
        <x:f>'Habilidades'!D2428&amp;" ("&amp;'Habilidades'!I2428&amp;")"</x:f>
        <x:v>Tackle (135)</x:v>
      </x:c>
      <x:c r="S269" s="9" t="str">
        <x:v>https://poke.idleworld.online/pokepedia/pokemon/marshtomp</x:v>
      </x:c>
    </x:row>
    <x:row r="270" ht="22" customHeight="1">
      <x:c r="A270" s="1" t="n">
        <x:v>264</x:v>
      </x:c>
      <x:c r="B270" s="1" t="n">
        <x:v>324</x:v>
      </x:c>
      <x:c r="C270" s="1" t="str">
        <x:v>Torkoal</x:v>
      </x:c>
      <x:c r="D270" s="1" t="str">
        <x:v>Fogo</x:v>
      </x:c>
      <x:c r="E270" s="1" t="str"/>
      <x:c r="F270" s="10" t="n">
        <x:v>85</x:v>
      </x:c>
      <x:c r="G270" s="10" t="n">
        <x:v>85</x:v>
      </x:c>
      <x:c r="H270" s="10" t="n">
        <x:f>MAX(F270:G270)</x:f>
        <x:v>85</x:v>
      </x:c>
      <x:c r="I270" s="1" t="str">
        <x:f>'Pokémon'!M299</x:f>
        <x:v>Empate</x:v>
      </x:c>
      <x:c r="J270" s="1" t="str">
        <x:f>'Habilidades'!D2747</x:f>
        <x:v>Inferno</x:v>
      </x:c>
      <x:c r="K270" s="1" t="str">
        <x:f>'Habilidades'!E2747</x:f>
        <x:v>Fogo</x:v>
      </x:c>
      <x:c r="L270" s="1" t="str">
        <x:f>'Habilidades'!F2747</x:f>
        <x:v>Especial</x:v>
      </x:c>
      <x:c r="M270" s="10" t="n">
        <x:f>'Habilidades'!G2747</x:f>
        <x:v>100</x:v>
      </x:c>
      <x:c r="N270" s="10" t="n">
        <x:f>'Habilidades'!I2747</x:f>
        <x:v>185</x:v>
      </x:c>
      <x:c r="O270" s="1" t="str">
        <x:f>'Habilidades'!D2748&amp;" ("&amp;'Habilidades'!I2748&amp;")"</x:f>
        <x:v>Heat Wave (180)</x:v>
      </x:c>
      <x:c r="P270" s="1" t="str">
        <x:f>'Habilidades'!D2749&amp;" ("&amp;'Habilidades'!I2749&amp;")"</x:f>
        <x:v>Flamethrower (175)</x:v>
      </x:c>
      <x:c r="Q270" s="1" t="str">
        <x:f>'Habilidades'!D2750&amp;" ("&amp;'Habilidades'!I2750&amp;")"</x:f>
        <x:v>Body Slam (170)</x:v>
      </x:c>
      <x:c r="R270" s="1" t="str">
        <x:f>'Habilidades'!D2751&amp;" ("&amp;'Habilidades'!I2751&amp;")"</x:f>
        <x:v>Lava Plume (165)</x:v>
      </x:c>
      <x:c r="S270" s="9" t="str">
        <x:v>https://poke.idleworld.online/pokepedia/pokemon/torkoal</x:v>
      </x:c>
    </x:row>
    <x:row r="271" ht="22" customHeight="1">
      <x:c r="A271" s="1" t="n">
        <x:v>264</x:v>
      </x:c>
      <x:c r="B271" s="1" t="n">
        <x:v>364</x:v>
      </x:c>
      <x:c r="C271" s="1" t="str">
        <x:v>Sealeo</x:v>
      </x:c>
      <x:c r="D271" s="1" t="str">
        <x:v>Gelo</x:v>
      </x:c>
      <x:c r="E271" s="1" t="str">
        <x:v>Água</x:v>
      </x:c>
      <x:c r="F271" s="10" t="n">
        <x:v>60</x:v>
      </x:c>
      <x:c r="G271" s="10" t="n">
        <x:v>75</x:v>
      </x:c>
      <x:c r="H271" s="10" t="n">
        <x:f>MAX(F271:G271)</x:f>
        <x:v>75</x:v>
      </x:c>
      <x:c r="I271" s="1" t="str">
        <x:f>'Pokémon'!M329</x:f>
        <x:v>Especial</x:v>
      </x:c>
      <x:c r="J271" s="1" t="str">
        <x:f>'Habilidades'!D3059</x:f>
        <x:v>Blizzard</x:v>
      </x:c>
      <x:c r="K271" s="1" t="str">
        <x:f>'Habilidades'!E3059</x:f>
        <x:v>Gelo</x:v>
      </x:c>
      <x:c r="L271" s="1" t="str">
        <x:f>'Habilidades'!F3059</x:f>
        <x:v>Especial</x:v>
      </x:c>
      <x:c r="M271" s="10" t="n">
        <x:f>'Habilidades'!G3059</x:f>
        <x:v>110</x:v>
      </x:c>
      <x:c r="N271" s="10" t="n">
        <x:f>'Habilidades'!I3059</x:f>
        <x:v>185</x:v>
      </x:c>
      <x:c r="O271" s="1" t="str">
        <x:f>'Habilidades'!D3060&amp;" ("&amp;'Habilidades'!I3060&amp;")"</x:f>
        <x:v>Body Slam (145)</x:v>
      </x:c>
      <x:c r="P271" s="1" t="str">
        <x:f>'Habilidades'!D3061&amp;" ("&amp;'Habilidades'!I3061&amp;")"</x:f>
        <x:v>Brine (140)</x:v>
      </x:c>
      <x:c r="Q271" s="1" t="str">
        <x:f>'Habilidades'!D3062&amp;" ("&amp;'Habilidades'!I3062&amp;")"</x:f>
        <x:v>Aurora Beam (140)</x:v>
      </x:c>
      <x:c r="R271" s="1" t="str">
        <x:f>'Habilidades'!D3063&amp;" ("&amp;'Habilidades'!I3063&amp;")"</x:f>
        <x:v>Snore (125)</x:v>
      </x:c>
      <x:c r="S271" s="9" t="str">
        <x:v>https://poke.idleworld.online/pokepedia/pokemon/sealeo</x:v>
      </x:c>
    </x:row>
    <x:row r="272" ht="22" customHeight="1">
      <x:c r="A272" s="1" t="n">
        <x:v>264</x:v>
      </x:c>
      <x:c r="B272" s="1" t="n">
        <x:v>158</x:v>
      </x:c>
      <x:c r="C272" s="1" t="str">
        <x:v>Totodile</x:v>
      </x:c>
      <x:c r="D272" s="1" t="str">
        <x:v>Água</x:v>
      </x:c>
      <x:c r="E272" s="1" t="str"/>
      <x:c r="F272" s="10" t="n">
        <x:v>65</x:v>
      </x:c>
      <x:c r="G272" s="10" t="n">
        <x:v>44</x:v>
      </x:c>
      <x:c r="H272" s="10" t="n">
        <x:f>MAX(F272:G272)</x:f>
        <x:v>65</x:v>
      </x:c>
      <x:c r="I272" s="1" t="str">
        <x:f>'Pokémon'!M162</x:f>
        <x:v>Física</x:v>
      </x:c>
      <x:c r="J272" s="1" t="str">
        <x:f>'Habilidades'!D1522</x:f>
        <x:v>Thrash</x:v>
      </x:c>
      <x:c r="K272" s="1" t="str">
        <x:f>'Habilidades'!E1522</x:f>
        <x:v>Normal</x:v>
      </x:c>
      <x:c r="L272" s="1" t="str">
        <x:f>'Habilidades'!F1522</x:f>
        <x:v>Física</x:v>
      </x:c>
      <x:c r="M272" s="10" t="n">
        <x:f>'Habilidades'!G1522</x:f>
        <x:v>120</x:v>
      </x:c>
      <x:c r="N272" s="10" t="n">
        <x:f>'Habilidades'!I1522</x:f>
        <x:v>185</x:v>
      </x:c>
      <x:c r="O272" s="1" t="str">
        <x:f>'Habilidades'!D1523&amp;" ("&amp;'Habilidades'!I1523&amp;")"</x:f>
        <x:v>Superpower (185)</x:v>
      </x:c>
      <x:c r="P272" s="1" t="str">
        <x:f>'Habilidades'!D1524&amp;" ("&amp;'Habilidades'!I1524&amp;")"</x:f>
        <x:v>Aqua Tail (155)</x:v>
      </x:c>
      <x:c r="Q272" s="1" t="str">
        <x:f>'Habilidades'!D1525&amp;" ("&amp;'Habilidades'!I1525&amp;")"</x:f>
        <x:v>Hydro Pump (154)</x:v>
      </x:c>
      <x:c r="R272" s="1" t="str">
        <x:f>'Habilidades'!D1526&amp;" ("&amp;'Habilidades'!I1526&amp;")"</x:f>
        <x:v>Crunch (145)</x:v>
      </x:c>
      <x:c r="S272" s="9" t="str">
        <x:v>https://poke.idleworld.online/pokepedia/pokemon/totodile</x:v>
      </x:c>
    </x:row>
    <x:row r="273" ht="22" customHeight="1">
      <x:c r="A273" s="1" t="n">
        <x:v>264</x:v>
      </x:c>
      <x:c r="B273" s="1" t="n">
        <x:v>204</x:v>
      </x:c>
      <x:c r="C273" s="1" t="str">
        <x:v>Pineco</x:v>
      </x:c>
      <x:c r="D273" s="1" t="str">
        <x:v>Inseto</x:v>
      </x:c>
      <x:c r="E273" s="1" t="str"/>
      <x:c r="F273" s="10" t="n">
        <x:v>65</x:v>
      </x:c>
      <x:c r="G273" s="10" t="n">
        <x:v>35</x:v>
      </x:c>
      <x:c r="H273" s="10" t="n">
        <x:f>MAX(F273:G273)</x:f>
        <x:v>65</x:v>
      </x:c>
      <x:c r="I273" s="1" t="str">
        <x:f>'Pokémon'!M207</x:f>
        <x:v>Física</x:v>
      </x:c>
      <x:c r="J273" s="1" t="str">
        <x:f>'Habilidades'!D1886</x:f>
        <x:v>Double-Edge</x:v>
      </x:c>
      <x:c r="K273" s="1" t="str">
        <x:f>'Habilidades'!E1886</x:f>
        <x:v>Normal</x:v>
      </x:c>
      <x:c r="L273" s="1" t="str">
        <x:f>'Habilidades'!F1886</x:f>
        <x:v>Física</x:v>
      </x:c>
      <x:c r="M273" s="10" t="n">
        <x:f>'Habilidades'!G1886</x:f>
        <x:v>120</x:v>
      </x:c>
      <x:c r="N273" s="10" t="n">
        <x:f>'Habilidades'!I1886</x:f>
        <x:v>185</x:v>
      </x:c>
      <x:c r="O273" s="1" t="str">
        <x:f>'Habilidades'!D1887&amp;" ("&amp;'Habilidades'!I1887&amp;")"</x:f>
        <x:v>Take Down (155)</x:v>
      </x:c>
      <x:c r="P273" s="1" t="str">
        <x:f>'Habilidades'!D1888&amp;" ("&amp;'Habilidades'!I1888&amp;")"</x:f>
        <x:v>Bug Bite (125)</x:v>
      </x:c>
      <x:c r="Q273" s="1" t="str">
        <x:f>'Habilidades'!D1889&amp;" ("&amp;'Habilidades'!I1889&amp;")"</x:f>
        <x:v>Tackle (115)</x:v>
      </x:c>
      <x:c r="R273" s="1" t="str">
        <x:f>'Habilidades'!D1890&amp;" ("&amp;'Habilidades'!I1890&amp;")"</x:f>
        <x:v>Payback (115)</x:v>
      </x:c>
      <x:c r="S273" s="9" t="str">
        <x:v>https://poke.idleworld.online/pokepedia/pokemon/pineco</x:v>
      </x:c>
    </x:row>
    <x:row r="274" ht="22" customHeight="1">
      <x:c r="A274" s="1" t="n">
        <x:v>264</x:v>
      </x:c>
      <x:c r="B274" s="1" t="n">
        <x:v>281</x:v>
      </x:c>
      <x:c r="C274" s="1" t="str">
        <x:v>Kirlia</x:v>
      </x:c>
      <x:c r="D274" s="1" t="str">
        <x:v>Psíquico</x:v>
      </x:c>
      <x:c r="E274" s="1" t="str">
        <x:v>Fada</x:v>
      </x:c>
      <x:c r="F274" s="10" t="n">
        <x:v>35</x:v>
      </x:c>
      <x:c r="G274" s="10" t="n">
        <x:v>65</x:v>
      </x:c>
      <x:c r="H274" s="10" t="n">
        <x:f>MAX(F274:G274)</x:f>
        <x:v>65</x:v>
      </x:c>
      <x:c r="I274" s="1" t="str">
        <x:f>'Pokémon'!M277</x:f>
        <x:v>Especial</x:v>
      </x:c>
      <x:c r="J274" s="1" t="str">
        <x:f>'Habilidades'!D2537</x:f>
        <x:v>Future Sight</x:v>
      </x:c>
      <x:c r="K274" s="1" t="str">
        <x:f>'Habilidades'!E2537</x:f>
        <x:v>Psíquico</x:v>
      </x:c>
      <x:c r="L274" s="1" t="str">
        <x:f>'Habilidades'!F2537</x:f>
        <x:v>Especial</x:v>
      </x:c>
      <x:c r="M274" s="10" t="n">
        <x:f>'Habilidades'!G2537</x:f>
        <x:v>120</x:v>
      </x:c>
      <x:c r="N274" s="10" t="n">
        <x:f>'Habilidades'!I2537</x:f>
        <x:v>185</x:v>
      </x:c>
      <x:c r="O274" s="1" t="str">
        <x:f>'Habilidades'!D2538&amp;" ("&amp;'Habilidades'!I2538&amp;")"</x:f>
        <x:v>Dream Eater (165)</x:v>
      </x:c>
      <x:c r="P274" s="1" t="str">
        <x:f>'Habilidades'!D2539&amp;" ("&amp;'Habilidades'!I2539&amp;")"</x:f>
        <x:v>Psychic (155)</x:v>
      </x:c>
      <x:c r="Q274" s="1" t="str">
        <x:f>'Habilidades'!D2540&amp;" ("&amp;'Habilidades'!I2540&amp;")"</x:f>
        <x:v>Magical Leaf (125)</x:v>
      </x:c>
      <x:c r="R274" s="1" t="str">
        <x:f>'Habilidades'!D2541&amp;" ("&amp;'Habilidades'!I2541&amp;")"</x:f>
        <x:v>Confusion (115)</x:v>
      </x:c>
      <x:c r="S274" s="9" t="str">
        <x:v>https://poke.idleworld.online/pokepedia/pokemon/kirlia</x:v>
      </x:c>
    </x:row>
    <x:row r="275" ht="22" customHeight="1">
      <x:c r="A275" s="1" t="n">
        <x:v>264</x:v>
      </x:c>
      <x:c r="B275" s="1" t="n">
        <x:v>672</x:v>
      </x:c>
      <x:c r="C275" s="1" t="str">
        <x:v>Skiddo</x:v>
      </x:c>
      <x:c r="D275" s="1" t="str">
        <x:v>Planta</x:v>
      </x:c>
      <x:c r="E275" s="1" t="str"/>
      <x:c r="F275" s="10" t="n">
        <x:v>65</x:v>
      </x:c>
      <x:c r="G275" s="10" t="n">
        <x:v>62</x:v>
      </x:c>
      <x:c r="H275" s="10" t="n">
        <x:f>MAX(F275:G275)</x:f>
        <x:v>65</x:v>
      </x:c>
      <x:c r="I275" s="1" t="str">
        <x:f>'Pokémon'!M395</x:f>
        <x:v>Física</x:v>
      </x:c>
      <x:c r="J275" s="1" t="str">
        <x:f>'Habilidades'!D3650</x:f>
        <x:v>Double-Edge</x:v>
      </x:c>
      <x:c r="K275" s="1" t="str">
        <x:f>'Habilidades'!E3650</x:f>
        <x:v>Normal</x:v>
      </x:c>
      <x:c r="L275" s="1" t="str">
        <x:f>'Habilidades'!F3650</x:f>
        <x:v>Física</x:v>
      </x:c>
      <x:c r="M275" s="10" t="n">
        <x:f>'Habilidades'!G3650</x:f>
        <x:v>120</x:v>
      </x:c>
      <x:c r="N275" s="10" t="n">
        <x:f>'Habilidades'!I3650</x:f>
        <x:v>185</x:v>
      </x:c>
      <x:c r="O275" s="1" t="str">
        <x:f>'Habilidades'!D3651&amp;" ("&amp;'Habilidades'!I3651&amp;")"</x:f>
        <x:v>Take Down (155)</x:v>
      </x:c>
      <x:c r="P275" s="1" t="str">
        <x:f>'Habilidades'!D3652&amp;" ("&amp;'Habilidades'!I3652&amp;")"</x:f>
        <x:v>Leaf Blade (155)</x:v>
      </x:c>
      <x:c r="Q275" s="1" t="str">
        <x:f>'Habilidades'!D3653&amp;" ("&amp;'Habilidades'!I3653&amp;")"</x:f>
        <x:v>Seed Bomb (145)</x:v>
      </x:c>
      <x:c r="R275" s="1" t="str">
        <x:f>'Habilidades'!D3654&amp;" ("&amp;'Habilidades'!I3654&amp;")"</x:f>
        <x:v>Horn Leech (140)</x:v>
      </x:c>
      <x:c r="S275" s="9" t="str">
        <x:v>https://poke.idleworld.online/pokepedia/pokemon/skiddo</x:v>
      </x:c>
    </x:row>
    <x:row r="276" ht="22" customHeight="1">
      <x:c r="A276" s="1" t="n">
        <x:v>264</x:v>
      </x:c>
      <x:c r="B276" s="1" t="n">
        <x:v>417</x:v>
      </x:c>
      <x:c r="C276" s="1" t="str">
        <x:v>Pachirisu</x:v>
      </x:c>
      <x:c r="D276" s="1" t="str">
        <x:v>Elétrico</x:v>
      </x:c>
      <x:c r="E276" s="1" t="str"/>
      <x:c r="F276" s="10" t="n">
        <x:v>45</x:v>
      </x:c>
      <x:c r="G276" s="10" t="n">
        <x:v>45</x:v>
      </x:c>
      <x:c r="H276" s="10" t="n">
        <x:f>MAX(F276:G276)</x:f>
        <x:v>45</x:v>
      </x:c>
      <x:c r="I276" s="1" t="str">
        <x:f>'Pokémon'!M345</x:f>
        <x:v>Empate</x:v>
      </x:c>
      <x:c r="J276" s="1" t="str">
        <x:f>'Habilidades'!D3202</x:f>
        <x:v>Last Resort</x:v>
      </x:c>
      <x:c r="K276" s="1" t="str">
        <x:f>'Habilidades'!E3202</x:f>
        <x:v>Normal</x:v>
      </x:c>
      <x:c r="L276" s="1" t="str">
        <x:f>'Habilidades'!F3202</x:f>
        <x:v>Física</x:v>
      </x:c>
      <x:c r="M276" s="10" t="n">
        <x:f>'Habilidades'!G3202</x:f>
        <x:v>140</x:v>
      </x:c>
      <x:c r="N276" s="10" t="n">
        <x:f>'Habilidades'!I3202</x:f>
        <x:v>185</x:v>
      </x:c>
      <x:c r="O276" s="1" t="str">
        <x:f>'Habilidades'!D3203&amp;" ("&amp;'Habilidades'!I3203&amp;")"</x:f>
        <x:v>Super Fang (141)</x:v>
      </x:c>
      <x:c r="P276" s="1" t="str">
        <x:f>'Habilidades'!D3204&amp;" ("&amp;'Habilidades'!I3204&amp;")"</x:f>
        <x:v>Discharge (125)</x:v>
      </x:c>
      <x:c r="Q276" s="1" t="str">
        <x:f>'Habilidades'!D3205&amp;" ("&amp;'Habilidades'!I3205&amp;")"</x:f>
        <x:v>Hyper Fang (125)</x:v>
      </x:c>
      <x:c r="R276" s="1" t="str">
        <x:f>'Habilidades'!D3206&amp;" ("&amp;'Habilidades'!I3206&amp;")"</x:f>
        <x:v>Spark (110)</x:v>
      </x:c>
      <x:c r="S276" s="9" t="str">
        <x:v>https://poke.idleworld.online/pokepedia/pokemon/pachirisu</x:v>
      </x:c>
    </x:row>
    <x:row r="277" ht="22" customHeight="1">
      <x:c r="A277" s="1" t="n">
        <x:v>273</x:v>
      </x:c>
      <x:c r="B277" s="1" t="n">
        <x:v>153</x:v>
      </x:c>
      <x:c r="C277" s="1" t="str">
        <x:v>Bayleef</x:v>
      </x:c>
      <x:c r="D277" s="1" t="str">
        <x:v>Planta</x:v>
      </x:c>
      <x:c r="E277" s="1" t="str"/>
      <x:c r="F277" s="10" t="n">
        <x:v>62</x:v>
      </x:c>
      <x:c r="G277" s="10" t="n">
        <x:v>63</x:v>
      </x:c>
      <x:c r="H277" s="10" t="n">
        <x:f>MAX(F277:G277)</x:f>
        <x:v>63</x:v>
      </x:c>
      <x:c r="I277" s="1" t="str">
        <x:f>'Pokémon'!M157</x:f>
        <x:v>Especial</x:v>
      </x:c>
      <x:c r="J277" s="1" t="str">
        <x:f>'Habilidades'!D1472</x:f>
        <x:v>Solar Beam</x:v>
      </x:c>
      <x:c r="K277" s="1" t="str">
        <x:f>'Habilidades'!E1472</x:f>
        <x:v>Planta</x:v>
      </x:c>
      <x:c r="L277" s="1" t="str">
        <x:f>'Habilidades'!F1472</x:f>
        <x:v>Especial</x:v>
      </x:c>
      <x:c r="M277" s="10" t="n">
        <x:f>'Habilidades'!G1472</x:f>
        <x:v>120</x:v>
      </x:c>
      <x:c r="N277" s="10" t="n">
        <x:f>'Habilidades'!I1472</x:f>
        <x:v>183</x:v>
      </x:c>
      <x:c r="O277" s="1" t="str">
        <x:f>'Habilidades'!D1473&amp;" ("&amp;'Habilidades'!I1473&amp;")"</x:f>
        <x:v>Body Slam (147)</x:v>
      </x:c>
      <x:c r="P277" s="1" t="str">
        <x:f>'Habilidades'!D1474&amp;" ("&amp;'Habilidades'!I1474&amp;")"</x:f>
        <x:v>Magical Leaf (123)</x:v>
      </x:c>
      <x:c r="Q277" s="1" t="str">
        <x:f>'Habilidades'!D1475&amp;" ("&amp;'Habilidades'!I1475&amp;")"</x:f>
        <x:v>Razor Leaf (117)</x:v>
      </x:c>
      <x:c r="R277" s="1" t="str">
        <x:f>'Habilidades'!D1476&amp;" ("&amp;'Habilidades'!I1476&amp;")"</x:f>
        <x:v>Tackle (112)</x:v>
      </x:c>
      <x:c r="S277" s="9" t="str">
        <x:v>https://poke.idleworld.online/pokepedia/pokemon/bayleef</x:v>
      </x:c>
    </x:row>
    <x:row r="278" ht="22" customHeight="1">
      <x:c r="A278" s="1" t="n">
        <x:v>274</x:v>
      </x:c>
      <x:c r="B278" s="1" t="n">
        <x:v>669</x:v>
      </x:c>
      <x:c r="C278" s="1" t="str">
        <x:v>Flabebe</x:v>
      </x:c>
      <x:c r="D278" s="1" t="str">
        <x:v>Fada</x:v>
      </x:c>
      <x:c r="E278" s="1" t="str"/>
      <x:c r="F278" s="10" t="n">
        <x:v>38</x:v>
      </x:c>
      <x:c r="G278" s="10" t="n">
        <x:v>61</x:v>
      </x:c>
      <x:c r="H278" s="10" t="n">
        <x:f>MAX(F278:G278)</x:f>
        <x:v>61</x:v>
      </x:c>
      <x:c r="I278" s="1" t="str">
        <x:f>'Pokémon'!M392</x:f>
        <x:v>Especial</x:v>
      </x:c>
      <x:c r="J278" s="1" t="str">
        <x:f>'Habilidades'!D3627</x:f>
        <x:v>Petal Dance</x:v>
      </x:c>
      <x:c r="K278" s="1" t="str">
        <x:f>'Habilidades'!E3627</x:f>
        <x:v>Planta</x:v>
      </x:c>
      <x:c r="L278" s="1" t="str">
        <x:f>'Habilidades'!F3627</x:f>
        <x:v>Especial</x:v>
      </x:c>
      <x:c r="M278" s="10" t="n">
        <x:f>'Habilidades'!G3627</x:f>
        <x:v>120</x:v>
      </x:c>
      <x:c r="N278" s="10" t="n">
        <x:f>'Habilidades'!I3627</x:f>
        <x:v>181</x:v>
      </x:c>
      <x:c r="O278" s="1" t="str">
        <x:f>'Habilidades'!D3628&amp;" ("&amp;'Habilidades'!I3628&amp;")"</x:f>
        <x:v>Solar Beam (181)</x:v>
      </x:c>
      <x:c r="P278" s="1" t="str">
        <x:f>'Habilidades'!D3629&amp;" ("&amp;'Habilidades'!I3629&amp;")"</x:f>
        <x:v>Moonblast (156)</x:v>
      </x:c>
      <x:c r="Q278" s="1" t="str">
        <x:f>'Habilidades'!D3630&amp;" ("&amp;'Habilidades'!I3630&amp;")"</x:f>
        <x:v>Petal Blizzard (128)</x:v>
      </x:c>
      <x:c r="R278" s="1" t="str">
        <x:f>'Habilidades'!D3631&amp;" ("&amp;'Habilidades'!I3631&amp;")"</x:f>
        <x:v>Magical Leaf (121)</x:v>
      </x:c>
      <x:c r="S278" s="9" t="str">
        <x:v>https://poke.idleworld.online/pokepedia/pokemon/flabebe</x:v>
      </x:c>
    </x:row>
    <x:row r="279" ht="22" customHeight="1">
      <x:c r="A279" s="1" t="n">
        <x:v>275</x:v>
      </x:c>
      <x:c r="B279" s="1" t="n">
        <x:v>203</x:v>
      </x:c>
      <x:c r="C279" s="1" t="str">
        <x:v>Girafarig</x:v>
      </x:c>
      <x:c r="D279" s="1" t="str">
        <x:v>Normal</x:v>
      </x:c>
      <x:c r="E279" s="1" t="str">
        <x:v>Psíquico</x:v>
      </x:c>
      <x:c r="F279" s="10" t="n">
        <x:v>80</x:v>
      </x:c>
      <x:c r="G279" s="10" t="n">
        <x:v>90</x:v>
      </x:c>
      <x:c r="H279" s="10" t="n">
        <x:f>MAX(F279:G279)</x:f>
        <x:v>90</x:v>
      </x:c>
      <x:c r="I279" s="1" t="str">
        <x:f>'Pokémon'!M206</x:f>
        <x:v>Especial</x:v>
      </x:c>
      <x:c r="J279" s="1" t="str">
        <x:f>'Habilidades'!D1876</x:f>
        <x:v>Psychic</x:v>
      </x:c>
      <x:c r="K279" s="1" t="str">
        <x:f>'Habilidades'!E1876</x:f>
        <x:v>Psíquico</x:v>
      </x:c>
      <x:c r="L279" s="1" t="str">
        <x:f>'Habilidades'!F1876</x:f>
        <x:v>Especial</x:v>
      </x:c>
      <x:c r="M279" s="10" t="n">
        <x:f>'Habilidades'!G1876</x:f>
        <x:v>90</x:v>
      </x:c>
      <x:c r="N279" s="10" t="n">
        <x:f>'Habilidades'!I1876</x:f>
        <x:v>180</x:v>
      </x:c>
      <x:c r="O279" s="1" t="str">
        <x:f>'Habilidades'!D1877&amp;" ("&amp;'Habilidades'!I1877&amp;")"</x:f>
        <x:v>Zen Headbutt (160)</x:v>
      </x:c>
      <x:c r="P279" s="1" t="str">
        <x:f>'Habilidades'!D1878&amp;" ("&amp;'Habilidades'!I1878&amp;")"</x:f>
        <x:v>Crunch (160)</x:v>
      </x:c>
      <x:c r="Q279" s="1" t="str">
        <x:f>'Habilidades'!D1879&amp;" ("&amp;'Habilidades'!I1879&amp;")"</x:f>
        <x:v>Psybeam (155)</x:v>
      </x:c>
      <x:c r="R279" s="1" t="str">
        <x:f>'Habilidades'!D1880&amp;" ("&amp;'Habilidades'!I1880&amp;")"</x:f>
        <x:v>Stomp (145)</x:v>
      </x:c>
      <x:c r="S279" s="9" t="str">
        <x:v>https://poke.idleworld.online/pokepedia/pokemon/girafarig</x:v>
      </x:c>
    </x:row>
    <x:row r="280" ht="22" customHeight="1">
      <x:c r="A280" s="1" t="n">
        <x:v>275</x:v>
      </x:c>
      <x:c r="B280" s="1" t="n">
        <x:v>262</x:v>
      </x:c>
      <x:c r="C280" s="1" t="str">
        <x:v>Mightyena</x:v>
      </x:c>
      <x:c r="D280" s="1" t="str">
        <x:v>Sombrio</x:v>
      </x:c>
      <x:c r="E280" s="1" t="str"/>
      <x:c r="F280" s="10" t="n">
        <x:v>90</x:v>
      </x:c>
      <x:c r="G280" s="10" t="n">
        <x:v>60</x:v>
      </x:c>
      <x:c r="H280" s="10" t="n">
        <x:f>MAX(F280:G280)</x:f>
        <x:v>90</x:v>
      </x:c>
      <x:c r="I280" s="1" t="str">
        <x:f>'Pokémon'!M265</x:f>
        <x:v>Física</x:v>
      </x:c>
      <x:c r="J280" s="1" t="str">
        <x:f>'Habilidades'!D2452</x:f>
        <x:v>Take Down</x:v>
      </x:c>
      <x:c r="K280" s="1" t="str">
        <x:f>'Habilidades'!E2452</x:f>
        <x:v>Normal</x:v>
      </x:c>
      <x:c r="L280" s="1" t="str">
        <x:f>'Habilidades'!F2452</x:f>
        <x:v>Física</x:v>
      </x:c>
      <x:c r="M280" s="10" t="n">
        <x:f>'Habilidades'!G2452</x:f>
        <x:v>90</x:v>
      </x:c>
      <x:c r="N280" s="10" t="n">
        <x:f>'Habilidades'!I2452</x:f>
        <x:v>180</x:v>
      </x:c>
      <x:c r="O280" s="1" t="str">
        <x:f>'Habilidades'!D2453&amp;" ("&amp;'Habilidades'!I2453&amp;")"</x:f>
        <x:v>Crunch (170)</x:v>
      </x:c>
      <x:c r="P280" s="1" t="str">
        <x:f>'Habilidades'!D2454&amp;" ("&amp;'Habilidades'!I2454&amp;")"</x:f>
        <x:v>Sucker Punch (170)</x:v>
      </x:c>
      <x:c r="Q280" s="1" t="str">
        <x:f>'Habilidades'!D2455&amp;" ("&amp;'Habilidades'!I2455&amp;")"</x:f>
        <x:v>Bite (150)</x:v>
      </x:c>
      <x:c r="R280" s="1" t="str">
        <x:f>'Habilidades'!D2456&amp;" ("&amp;'Habilidades'!I2456&amp;")"</x:f>
        <x:v>Thief (150)</x:v>
      </x:c>
      <x:c r="S280" s="9" t="str">
        <x:v>https://poke.idleworld.online/pokepedia/pokemon/mightyena</x:v>
      </x:c>
    </x:row>
    <x:row r="281" ht="22" customHeight="1">
      <x:c r="A281" s="1" t="n">
        <x:v>275</x:v>
      </x:c>
      <x:c r="B281" s="1" t="n">
        <x:v>318</x:v>
      </x:c>
      <x:c r="C281" s="1" t="str">
        <x:v>Carvanha</x:v>
      </x:c>
      <x:c r="D281" s="1" t="str">
        <x:v>Água</x:v>
      </x:c>
      <x:c r="E281" s="1" t="str">
        <x:v>Sombrio</x:v>
      </x:c>
      <x:c r="F281" s="10" t="n">
        <x:v>90</x:v>
      </x:c>
      <x:c r="G281" s="10" t="n">
        <x:v>65</x:v>
      </x:c>
      <x:c r="H281" s="10" t="n">
        <x:f>MAX(F281:G281)</x:f>
        <x:v>90</x:v>
      </x:c>
      <x:c r="I281" s="1" t="str">
        <x:f>'Pokémon'!M295</x:f>
        <x:v>Física</x:v>
      </x:c>
      <x:c r="J281" s="1" t="str">
        <x:f>'Habilidades'!D2710</x:f>
        <x:v>Take Down</x:v>
      </x:c>
      <x:c r="K281" s="1" t="str">
        <x:f>'Habilidades'!E2710</x:f>
        <x:v>Normal</x:v>
      </x:c>
      <x:c r="L281" s="1" t="str">
        <x:f>'Habilidades'!F2710</x:f>
        <x:v>Física</x:v>
      </x:c>
      <x:c r="M281" s="10" t="n">
        <x:f>'Habilidades'!G2710</x:f>
        <x:v>90</x:v>
      </x:c>
      <x:c r="N281" s="10" t="n">
        <x:f>'Habilidades'!I2710</x:f>
        <x:v>180</x:v>
      </x:c>
      <x:c r="O281" s="1" t="str">
        <x:f>'Habilidades'!D2711&amp;" ("&amp;'Habilidades'!I2711&amp;")"</x:f>
        <x:v>Crunch (170)</x:v>
      </x:c>
      <x:c r="P281" s="1" t="str">
        <x:f>'Habilidades'!D2712&amp;" ("&amp;'Habilidades'!I2712&amp;")"</x:f>
        <x:v>Ice Fang (155)</x:v>
      </x:c>
      <x:c r="Q281" s="1" t="str">
        <x:f>'Habilidades'!D2713&amp;" ("&amp;'Habilidades'!I2713&amp;")"</x:f>
        <x:v>Bite (150)</x:v>
      </x:c>
      <x:c r="R281" s="1" t="str">
        <x:f>'Habilidades'!D2714&amp;" ("&amp;'Habilidades'!I2714&amp;")"</x:f>
        <x:v>Assurance (150)</x:v>
      </x:c>
      <x:c r="S281" s="9" t="str">
        <x:v>https://poke.idleworld.online/pokepedia/pokemon/carvanha</x:v>
      </x:c>
    </x:row>
    <x:row r="282" ht="22" customHeight="1">
      <x:c r="A282" s="1" t="n">
        <x:v>275</x:v>
      </x:c>
      <x:c r="B282" s="1" t="n">
        <x:v>326</x:v>
      </x:c>
      <x:c r="C282" s="1" t="str">
        <x:v>Grumpig</x:v>
      </x:c>
      <x:c r="D282" s="1" t="str">
        <x:v>Psíquico</x:v>
      </x:c>
      <x:c r="E282" s="1" t="str"/>
      <x:c r="F282" s="10" t="n">
        <x:v>45</x:v>
      </x:c>
      <x:c r="G282" s="10" t="n">
        <x:v>90</x:v>
      </x:c>
      <x:c r="H282" s="10" t="n">
        <x:f>MAX(F282:G282)</x:f>
        <x:v>90</x:v>
      </x:c>
      <x:c r="I282" s="1" t="str">
        <x:f>'Pokémon'!M301</x:f>
        <x:v>Especial</x:v>
      </x:c>
      <x:c r="J282" s="1" t="str">
        <x:f>'Habilidades'!D2770</x:f>
        <x:v>Psychic</x:v>
      </x:c>
      <x:c r="K282" s="1" t="str">
        <x:f>'Habilidades'!E2770</x:f>
        <x:v>Psíquico</x:v>
      </x:c>
      <x:c r="L282" s="1" t="str">
        <x:f>'Habilidades'!F2770</x:f>
        <x:v>Especial</x:v>
      </x:c>
      <x:c r="M282" s="10" t="n">
        <x:f>'Habilidades'!G2770</x:f>
        <x:v>90</x:v>
      </x:c>
      <x:c r="N282" s="10" t="n">
        <x:f>'Habilidades'!I2770</x:f>
        <x:v>180</x:v>
      </x:c>
      <x:c r="O282" s="1" t="str">
        <x:f>'Habilidades'!D2771&amp;" ("&amp;'Habilidades'!I2771&amp;")"</x:f>
        <x:v>Power Gem (170)</x:v>
      </x:c>
      <x:c r="P282" s="1" t="str">
        <x:f>'Habilidades'!D2772&amp;" ("&amp;'Habilidades'!I2772&amp;")"</x:f>
        <x:v>Psyshock (170)</x:v>
      </x:c>
      <x:c r="Q282" s="1" t="str">
        <x:f>'Habilidades'!D2773&amp;" ("&amp;'Habilidades'!I2773&amp;")"</x:f>
        <x:v>Psybeam (155)</x:v>
      </x:c>
      <x:c r="R282" s="1" t="str">
        <x:f>'Habilidades'!D2774&amp;" ("&amp;'Habilidades'!I2774&amp;")"</x:f>
        <x:v>Snore (140)</x:v>
      </x:c>
      <x:c r="S282" s="9" t="str">
        <x:v>https://poke.idleworld.online/pokepedia/pokemon/grumpig</x:v>
      </x:c>
    </x:row>
    <x:row r="283" ht="22" customHeight="1">
      <x:c r="A283" s="1" t="n">
        <x:v>275</x:v>
      </x:c>
      <x:c r="B283" s="1" t="n">
        <x:v>5</x:v>
      </x:c>
      <x:c r="C283" s="1" t="str">
        <x:v>Charmeleon</x:v>
      </x:c>
      <x:c r="D283" s="1" t="str">
        <x:v>Fogo</x:v>
      </x:c>
      <x:c r="E283" s="1" t="str"/>
      <x:c r="F283" s="10" t="n">
        <x:v>64</x:v>
      </x:c>
      <x:c r="G283" s="10" t="n">
        <x:v>80</x:v>
      </x:c>
      <x:c r="H283" s="10" t="n">
        <x:f>MAX(F283:G283)</x:f>
        <x:v>80</x:v>
      </x:c>
      <x:c r="I283" s="1" t="str">
        <x:f>'Pokémon'!M9</x:f>
        <x:v>Especial</x:v>
      </x:c>
      <x:c r="J283" s="1" t="str">
        <x:f>'Habilidades'!D43</x:f>
        <x:v>Inferno</x:v>
      </x:c>
      <x:c r="K283" s="1" t="str">
        <x:f>'Habilidades'!E43</x:f>
        <x:v>Fogo</x:v>
      </x:c>
      <x:c r="L283" s="1" t="str">
        <x:f>'Habilidades'!F43</x:f>
        <x:v>Especial</x:v>
      </x:c>
      <x:c r="M283" s="10" t="n">
        <x:f>'Habilidades'!G43</x:f>
        <x:v>100</x:v>
      </x:c>
      <x:c r="N283" s="10" t="n">
        <x:f>'Habilidades'!I43</x:f>
        <x:v>180</x:v>
      </x:c>
      <x:c r="O283" s="1" t="str">
        <x:f>'Habilidades'!D44&amp;" ("&amp;'Habilidades'!I44&amp;")"</x:f>
        <x:v>Flamethrower (170)</x:v>
      </x:c>
      <x:c r="P283" s="1" t="str">
        <x:f>'Habilidades'!D45&amp;" ("&amp;'Habilidades'!I45&amp;")"</x:f>
        <x:v>Flame Burst (150)</x:v>
      </x:c>
      <x:c r="Q283" s="1" t="str">
        <x:f>'Habilidades'!D46&amp;" ("&amp;'Habilidades'!I46&amp;")"</x:f>
        <x:v>Slash (134)</x:v>
      </x:c>
      <x:c r="R283" s="1" t="str">
        <x:f>'Habilidades'!D47&amp;" ("&amp;'Habilidades'!I47&amp;")"</x:f>
        <x:v>Fire Fang (129)</x:v>
      </x:c>
      <x:c r="S283" s="9" t="str">
        <x:v>https://poke.idleworld.online/pokepedia/pokemon/charmeleon</x:v>
      </x:c>
    </x:row>
    <x:row r="284" ht="22" customHeight="1">
      <x:c r="A284" s="1" t="n">
        <x:v>275</x:v>
      </x:c>
      <x:c r="B284" s="1" t="n">
        <x:v>66</x:v>
      </x:c>
      <x:c r="C284" s="1" t="str">
        <x:v>Machop</x:v>
      </x:c>
      <x:c r="D284" s="1" t="str">
        <x:v>Lutador</x:v>
      </x:c>
      <x:c r="E284" s="1" t="str"/>
      <x:c r="F284" s="10" t="n">
        <x:v>80</x:v>
      </x:c>
      <x:c r="G284" s="10" t="n">
        <x:v>35</x:v>
      </x:c>
      <x:c r="H284" s="10" t="n">
        <x:f>MAX(F284:G284)</x:f>
        <x:v>80</x:v>
      </x:c>
      <x:c r="I284" s="1" t="str">
        <x:f>'Pokémon'!M70</x:f>
        <x:v>Física</x:v>
      </x:c>
      <x:c r="J284" s="1" t="str">
        <x:f>'Habilidades'!D576</x:f>
        <x:v>Cross Chop</x:v>
      </x:c>
      <x:c r="K284" s="1" t="str">
        <x:f>'Habilidades'!E576</x:f>
        <x:v>Lutador</x:v>
      </x:c>
      <x:c r="L284" s="1" t="str">
        <x:f>'Habilidades'!F576</x:f>
        <x:v>Física</x:v>
      </x:c>
      <x:c r="M284" s="10" t="n">
        <x:f>'Habilidades'!G576</x:f>
        <x:v>100</x:v>
      </x:c>
      <x:c r="N284" s="10" t="n">
        <x:f>'Habilidades'!I576</x:f>
        <x:v>180</x:v>
      </x:c>
      <x:c r="O284" s="1" t="str">
        <x:f>'Habilidades'!D577&amp;" ("&amp;'Habilidades'!I577&amp;")"</x:f>
        <x:v>Dynamic Punch (180)</x:v>
      </x:c>
      <x:c r="P284" s="1" t="str">
        <x:f>'Habilidades'!D578&amp;" ("&amp;'Habilidades'!I578&amp;")"</x:f>
        <x:v>Submission (160)</x:v>
      </x:c>
      <x:c r="Q284" s="1" t="str">
        <x:f>'Habilidades'!D579&amp;" ("&amp;'Habilidades'!I579&amp;")"</x:f>
        <x:v>Vital Throw (150)</x:v>
      </x:c>
      <x:c r="R284" s="1" t="str">
        <x:f>'Habilidades'!D580&amp;" ("&amp;'Habilidades'!I580&amp;")"</x:f>
        <x:v>Wake-Up Slap (150)</x:v>
      </x:c>
      <x:c r="S284" s="9" t="str">
        <x:v>https://poke.idleworld.online/pokepedia/pokemon/machop</x:v>
      </x:c>
    </x:row>
    <x:row r="285" ht="22" customHeight="1">
      <x:c r="A285" s="1" t="n">
        <x:v>275</x:v>
      </x:c>
      <x:c r="B285" s="1" t="n">
        <x:v>176</x:v>
      </x:c>
      <x:c r="C285" s="1" t="str">
        <x:v>Togetic</x:v>
      </x:c>
      <x:c r="D285" s="1" t="str">
        <x:v>Fada</x:v>
      </x:c>
      <x:c r="E285" s="1" t="str">
        <x:v>Voador</x:v>
      </x:c>
      <x:c r="F285" s="10" t="n">
        <x:v>40</x:v>
      </x:c>
      <x:c r="G285" s="10" t="n">
        <x:v>80</x:v>
      </x:c>
      <x:c r="H285" s="10" t="n">
        <x:f>MAX(F285:G285)</x:f>
        <x:v>80</x:v>
      </x:c>
      <x:c r="I285" s="1" t="str">
        <x:f>'Pokémon'!M180</x:f>
        <x:v>Especial</x:v>
      </x:c>
      <x:c r="J285" s="1" t="str">
        <x:f>'Habilidades'!D1671</x:f>
        <x:v>Last Resort</x:v>
      </x:c>
      <x:c r="K285" s="1" t="str">
        <x:f>'Habilidades'!E1671</x:f>
        <x:v>Normal</x:v>
      </x:c>
      <x:c r="L285" s="1" t="str">
        <x:f>'Habilidades'!F1671</x:f>
        <x:v>Física</x:v>
      </x:c>
      <x:c r="M285" s="10" t="n">
        <x:f>'Habilidades'!G1671</x:f>
        <x:v>140</x:v>
      </x:c>
      <x:c r="N285" s="10" t="n">
        <x:f>'Habilidades'!I1671</x:f>
        <x:v>180</x:v>
      </x:c>
      <x:c r="O285" s="1" t="str">
        <x:f>'Habilidades'!D1672&amp;" ("&amp;'Habilidades'!I1672&amp;")"</x:f>
        <x:v>Double-Edge (160)</x:v>
      </x:c>
      <x:c r="P285" s="1" t="str">
        <x:f>'Habilidades'!D1673&amp;" ("&amp;'Habilidades'!I1673&amp;")"</x:f>
        <x:v>Magical Leaf (140)</x:v>
      </x:c>
      <x:c r="Q285" s="1" t="str">
        <x:f>'Habilidades'!D1674&amp;" ("&amp;'Habilidades'!I1674&amp;")"</x:f>
        <x:v>Ancient Power (140)</x:v>
      </x:c>
      <x:c r="R285" s="1" t="str">
        <x:f>'Habilidades'!D1675&amp;" ("&amp;'Habilidades'!I1675&amp;")"</x:f>
        <x:v>Fairy Wind (120)</x:v>
      </x:c>
      <x:c r="S285" s="9" t="str">
        <x:v>https://poke.idleworld.online/pokepedia/pokemon/togetic</x:v>
      </x:c>
    </x:row>
    <x:row r="286" ht="22" customHeight="1">
      <x:c r="A286" s="1" t="n">
        <x:v>275</x:v>
      </x:c>
      <x:c r="B286" s="1" t="n">
        <x:v>228</x:v>
      </x:c>
      <x:c r="C286" s="1" t="str">
        <x:v>Houndour</x:v>
      </x:c>
      <x:c r="D286" s="1" t="str">
        <x:v>Sombrio</x:v>
      </x:c>
      <x:c r="E286" s="1" t="str">
        <x:v>Fogo</x:v>
      </x:c>
      <x:c r="F286" s="10" t="n">
        <x:v>60</x:v>
      </x:c>
      <x:c r="G286" s="10" t="n">
        <x:v>80</x:v>
      </x:c>
      <x:c r="H286" s="10" t="n">
        <x:f>MAX(F286:G286)</x:f>
        <x:v>80</x:v>
      </x:c>
      <x:c r="I286" s="1" t="str">
        <x:f>'Pokémon'!M231</x:f>
        <x:v>Especial</x:v>
      </x:c>
      <x:c r="J286" s="1" t="str">
        <x:f>'Habilidades'!D2148</x:f>
        <x:v>Inferno</x:v>
      </x:c>
      <x:c r="K286" s="1" t="str">
        <x:f>'Habilidades'!E2148</x:f>
        <x:v>Fogo</x:v>
      </x:c>
      <x:c r="L286" s="1" t="str">
        <x:f>'Habilidades'!F2148</x:f>
        <x:v>Especial</x:v>
      </x:c>
      <x:c r="M286" s="10" t="n">
        <x:f>'Habilidades'!G2148</x:f>
        <x:v>100</x:v>
      </x:c>
      <x:c r="N286" s="10" t="n">
        <x:f>'Habilidades'!I2148</x:f>
        <x:v>180</x:v>
      </x:c>
      <x:c r="O286" s="1" t="str">
        <x:f>'Habilidades'!D2149&amp;" ("&amp;'Habilidades'!I2149&amp;")"</x:f>
        <x:v>Flamethrower (170)</x:v>
      </x:c>
      <x:c r="P286" s="1" t="str">
        <x:f>'Habilidades'!D2150&amp;" ("&amp;'Habilidades'!I2150&amp;")"</x:f>
        <x:v>Foul Play (155)</x:v>
      </x:c>
      <x:c r="Q286" s="1" t="str">
        <x:f>'Habilidades'!D2151&amp;" ("&amp;'Habilidades'!I2151&amp;")"</x:f>
        <x:v>Crunch (140)</x:v>
      </x:c>
      <x:c r="R286" s="1" t="str">
        <x:f>'Habilidades'!D2152&amp;" ("&amp;'Habilidades'!I2152&amp;")"</x:f>
        <x:v>Fire Fang (125)</x:v>
      </x:c>
      <x:c r="S286" s="9" t="str">
        <x:v>https://poke.idleworld.online/pokepedia/pokemon/houndour</x:v>
      </x:c>
    </x:row>
    <x:row r="287" ht="22" customHeight="1">
      <x:c r="A287" s="1" t="n">
        <x:v>275</x:v>
      </x:c>
      <x:c r="B287" s="1" t="n">
        <x:v>341</x:v>
      </x:c>
      <x:c r="C287" s="1" t="str">
        <x:v>Corphish</x:v>
      </x:c>
      <x:c r="D287" s="1" t="str">
        <x:v>Água</x:v>
      </x:c>
      <x:c r="E287" s="1" t="str"/>
      <x:c r="F287" s="10" t="n">
        <x:v>80</x:v>
      </x:c>
      <x:c r="G287" s="10" t="n">
        <x:v>50</x:v>
      </x:c>
      <x:c r="H287" s="10" t="n">
        <x:f>MAX(F287:G287)</x:f>
        <x:v>80</x:v>
      </x:c>
      <x:c r="I287" s="1" t="str">
        <x:f>'Pokémon'!M314</x:f>
        <x:v>Física</x:v>
      </x:c>
      <x:c r="J287" s="1" t="str">
        <x:f>'Habilidades'!D2916</x:f>
        <x:v>Crabhammer</x:v>
      </x:c>
      <x:c r="K287" s="1" t="str">
        <x:f>'Habilidades'!E2916</x:f>
        <x:v>Água</x:v>
      </x:c>
      <x:c r="L287" s="1" t="str">
        <x:f>'Habilidades'!F2916</x:f>
        <x:v>Física</x:v>
      </x:c>
      <x:c r="M287" s="10" t="n">
        <x:f>'Habilidades'!G2916</x:f>
        <x:v>100</x:v>
      </x:c>
      <x:c r="N287" s="10" t="n">
        <x:f>'Habilidades'!I2916</x:f>
        <x:v>180</x:v>
      </x:c>
      <x:c r="O287" s="1" t="str">
        <x:f>'Habilidades'!D2917&amp;" ("&amp;'Habilidades'!I2917&amp;")"</x:f>
        <x:v>Crunch (160)</x:v>
      </x:c>
      <x:c r="P287" s="1" t="str">
        <x:f>'Habilidades'!D2918&amp;" ("&amp;'Habilidades'!I2918&amp;")"</x:f>
        <x:v>Razor Shell (155)</x:v>
      </x:c>
      <x:c r="Q287" s="1" t="str">
        <x:f>'Habilidades'!D2919&amp;" ("&amp;'Habilidades'!I2919&amp;")"</x:f>
        <x:v>Night Slash (150)</x:v>
      </x:c>
      <x:c r="R287" s="1" t="str">
        <x:f>'Habilidades'!D2920&amp;" ("&amp;'Habilidades'!I2920&amp;")"</x:f>
        <x:v>Knock Off (145)</x:v>
      </x:c>
      <x:c r="S287" s="9" t="str">
        <x:v>https://poke.idleworld.online/pokepedia/pokemon/corphish</x:v>
      </x:c>
    </x:row>
    <x:row r="288" ht="22" customHeight="1">
      <x:c r="A288" s="1" t="n">
        <x:v>275</x:v>
      </x:c>
      <x:c r="B288" s="1" t="n">
        <x:v>240</x:v>
      </x:c>
      <x:c r="C288" s="1" t="str">
        <x:v>Magby</x:v>
      </x:c>
      <x:c r="D288" s="1" t="str">
        <x:v>Fogo</x:v>
      </x:c>
      <x:c r="E288" s="1" t="str"/>
      <x:c r="F288" s="10" t="n">
        <x:v>75</x:v>
      </x:c>
      <x:c r="G288" s="10" t="n">
        <x:v>70</x:v>
      </x:c>
      <x:c r="H288" s="10" t="n">
        <x:f>MAX(F288:G288)</x:f>
        <x:v>75</x:v>
      </x:c>
      <x:c r="I288" s="1" t="str">
        <x:f>'Pokémon'!M243</x:f>
        <x:v>Física</x:v>
      </x:c>
      <x:c r="J288" s="1" t="str">
        <x:f>'Habilidades'!D2236</x:f>
        <x:v>Fire Blast</x:v>
      </x:c>
      <x:c r="K288" s="1" t="str">
        <x:f>'Habilidades'!E2236</x:f>
        <x:v>Fogo</x:v>
      </x:c>
      <x:c r="L288" s="1" t="str">
        <x:f>'Habilidades'!F2236</x:f>
        <x:v>Especial</x:v>
      </x:c>
      <x:c r="M288" s="10" t="n">
        <x:f>'Habilidades'!G2236</x:f>
        <x:v>110</x:v>
      </x:c>
      <x:c r="N288" s="10" t="n">
        <x:f>'Habilidades'!I2236</x:f>
        <x:v>180</x:v>
      </x:c>
      <x:c r="O288" s="1" t="str">
        <x:f>'Habilidades'!D2237&amp;" ("&amp;'Habilidades'!I2237&amp;")"</x:f>
        <x:v>Flamethrower (160)</x:v>
      </x:c>
      <x:c r="P288" s="1" t="str">
        <x:f>'Habilidades'!D2238&amp;" ("&amp;'Habilidades'!I2238&amp;")"</x:f>
        <x:v>Lava Plume (150)</x:v>
      </x:c>
      <x:c r="Q288" s="1" t="str">
        <x:f>'Habilidades'!D2239&amp;" ("&amp;'Habilidades'!I2239&amp;")"</x:f>
        <x:v>Fire Punch (150)</x:v>
      </x:c>
      <x:c r="R288" s="1" t="str">
        <x:f>'Habilidades'!D2240&amp;" ("&amp;'Habilidades'!I2240&amp;")"</x:f>
        <x:v>Flame Burst (140)</x:v>
      </x:c>
      <x:c r="S288" s="9" t="str">
        <x:v>https://poke.idleworld.online/pokepedia/pokemon/magby</x:v>
      </x:c>
    </x:row>
    <x:row r="289" ht="22" customHeight="1">
      <x:c r="A289" s="1" t="n">
        <x:v>275</x:v>
      </x:c>
      <x:c r="B289" s="1" t="n">
        <x:v>116</x:v>
      </x:c>
      <x:c r="C289" s="1" t="str">
        <x:v>Horsea</x:v>
      </x:c>
      <x:c r="D289" s="1" t="str">
        <x:v>Água</x:v>
      </x:c>
      <x:c r="E289" s="1" t="str"/>
      <x:c r="F289" s="10" t="n">
        <x:v>40</x:v>
      </x:c>
      <x:c r="G289" s="10" t="n">
        <x:v>70</x:v>
      </x:c>
      <x:c r="H289" s="10" t="n">
        <x:f>MAX(F289:G289)</x:f>
        <x:v>70</x:v>
      </x:c>
      <x:c r="I289" s="1" t="str">
        <x:f>'Pokémon'!M120</x:f>
        <x:v>Especial</x:v>
      </x:c>
      <x:c r="J289" s="1" t="str">
        <x:f>'Habilidades'!D1107</x:f>
        <x:v>Hydro Pump</x:v>
      </x:c>
      <x:c r="K289" s="1" t="str">
        <x:f>'Habilidades'!E1107</x:f>
        <x:v>Água</x:v>
      </x:c>
      <x:c r="L289" s="1" t="str">
        <x:f>'Habilidades'!F1107</x:f>
        <x:v>Especial</x:v>
      </x:c>
      <x:c r="M289" s="10" t="n">
        <x:f>'Habilidades'!G1107</x:f>
        <x:v>110</x:v>
      </x:c>
      <x:c r="N289" s="10" t="n">
        <x:f>'Habilidades'!I1107</x:f>
        <x:v>180</x:v>
      </x:c>
      <x:c r="O289" s="1" t="str">
        <x:f>'Habilidades'!D1108&amp;" ("&amp;'Habilidades'!I1108&amp;")"</x:f>
        <x:v>Dragon Pulse (155)</x:v>
      </x:c>
      <x:c r="P289" s="1" t="str">
        <x:f>'Habilidades'!D1109&amp;" ("&amp;'Habilidades'!I1109&amp;")"</x:f>
        <x:v>Bubble Beam (135)</x:v>
      </x:c>
      <x:c r="Q289" s="1" t="str">
        <x:f>'Habilidades'!D1110&amp;" ("&amp;'Habilidades'!I1110&amp;")"</x:f>
        <x:v>Brine (135)</x:v>
      </x:c>
      <x:c r="R289" s="1" t="str">
        <x:f>'Habilidades'!D1111&amp;" ("&amp;'Habilidades'!I1111&amp;")"</x:f>
        <x:v>Bubble (110)</x:v>
      </x:c>
      <x:c r="S289" s="9" t="str">
        <x:v>https://poke.idleworld.online/pokepedia/pokemon/horsea</x:v>
      </x:c>
    </x:row>
    <x:row r="290" ht="22" customHeight="1">
      <x:c r="A290" s="1" t="n">
        <x:v>275</x:v>
      </x:c>
      <x:c r="B290" s="1" t="n">
        <x:v>120</x:v>
      </x:c>
      <x:c r="C290" s="1" t="str">
        <x:v>Staryu</x:v>
      </x:c>
      <x:c r="D290" s="1" t="str">
        <x:v>Água</x:v>
      </x:c>
      <x:c r="E290" s="1" t="str"/>
      <x:c r="F290" s="10" t="n">
        <x:v>45</x:v>
      </x:c>
      <x:c r="G290" s="10" t="n">
        <x:v>70</x:v>
      </x:c>
      <x:c r="H290" s="10" t="n">
        <x:f>MAX(F290:G290)</x:f>
        <x:v>70</x:v>
      </x:c>
      <x:c r="I290" s="1" t="str">
        <x:f>'Pokémon'!M124</x:f>
        <x:v>Especial</x:v>
      </x:c>
      <x:c r="J290" s="1" t="str">
        <x:f>'Habilidades'!D1140</x:f>
        <x:v>Hydro Pump</x:v>
      </x:c>
      <x:c r="K290" s="1" t="str">
        <x:f>'Habilidades'!E1140</x:f>
        <x:v>Água</x:v>
      </x:c>
      <x:c r="L290" s="1" t="str">
        <x:f>'Habilidades'!F1140</x:f>
        <x:v>Especial</x:v>
      </x:c>
      <x:c r="M290" s="10" t="n">
        <x:f>'Habilidades'!G1140</x:f>
        <x:v>110</x:v>
      </x:c>
      <x:c r="N290" s="10" t="n">
        <x:f>'Habilidades'!I1140</x:f>
        <x:v>180</x:v>
      </x:c>
      <x:c r="O290" s="1" t="str">
        <x:f>'Habilidades'!D1141&amp;" ("&amp;'Habilidades'!I1141&amp;")"</x:f>
        <x:v>Psychic (160)</x:v>
      </x:c>
      <x:c r="P290" s="1" t="str">
        <x:f>'Habilidades'!D1142&amp;" ("&amp;'Habilidades'!I1142&amp;")"</x:f>
        <x:v>Power Gem (150)</x:v>
      </x:c>
      <x:c r="Q290" s="1" t="str">
        <x:f>'Habilidades'!D1143&amp;" ("&amp;'Habilidades'!I1143&amp;")"</x:f>
        <x:v>Bubble Beam (135)</x:v>
      </x:c>
      <x:c r="R290" s="1" t="str">
        <x:f>'Habilidades'!D1144&amp;" ("&amp;'Habilidades'!I1144&amp;")"</x:f>
        <x:v>Brine (135)</x:v>
      </x:c>
      <x:c r="S290" s="9" t="str">
        <x:v>https://poke.idleworld.online/pokepedia/pokemon/staryu</x:v>
      </x:c>
    </x:row>
    <x:row r="291" ht="22" customHeight="1">
      <x:c r="A291" s="1" t="n">
        <x:v>275</x:v>
      </x:c>
      <x:c r="B291" s="1" t="n">
        <x:v>356</x:v>
      </x:c>
      <x:c r="C291" s="1" t="str">
        <x:v>Dusclops</x:v>
      </x:c>
      <x:c r="D291" s="1" t="str">
        <x:v>Fantasma</x:v>
      </x:c>
      <x:c r="E291" s="1" t="str"/>
      <x:c r="F291" s="10" t="n">
        <x:v>70</x:v>
      </x:c>
      <x:c r="G291" s="10" t="n">
        <x:v>60</x:v>
      </x:c>
      <x:c r="H291" s="10" t="n">
        <x:f>MAX(F291:G291)</x:f>
        <x:v>70</x:v>
      </x:c>
      <x:c r="I291" s="1" t="str">
        <x:f>'Pokémon'!M323</x:f>
        <x:v>Física</x:v>
      </x:c>
      <x:c r="J291" s="1" t="str">
        <x:f>'Habilidades'!D2992</x:f>
        <x:v>Future Sight</x:v>
      </x:c>
      <x:c r="K291" s="1" t="str">
        <x:f>'Habilidades'!E2992</x:f>
        <x:v>Psíquico</x:v>
      </x:c>
      <x:c r="L291" s="1" t="str">
        <x:f>'Habilidades'!F2992</x:f>
        <x:v>Especial</x:v>
      </x:c>
      <x:c r="M291" s="10" t="n">
        <x:f>'Habilidades'!G2992</x:f>
        <x:v>120</x:v>
      </x:c>
      <x:c r="N291" s="10" t="n">
        <x:f>'Habilidades'!I2992</x:f>
        <x:v>180</x:v>
      </x:c>
      <x:c r="O291" s="1" t="str">
        <x:f>'Habilidades'!D2993&amp;" ("&amp;'Habilidades'!I2993&amp;")"</x:f>
        <x:v>Fire Punch (145)</x:v>
      </x:c>
      <x:c r="P291" s="1" t="str">
        <x:f>'Habilidades'!D2994&amp;" ("&amp;'Habilidades'!I2994&amp;")"</x:f>
        <x:v>Ice Punch (145)</x:v>
      </x:c>
      <x:c r="Q291" s="1" t="str">
        <x:f>'Habilidades'!D2995&amp;" ("&amp;'Habilidades'!I2995&amp;")"</x:f>
        <x:v>Thunder Punch (145)</x:v>
      </x:c>
      <x:c r="R291" s="1" t="str">
        <x:f>'Habilidades'!D2996&amp;" ("&amp;'Habilidades'!I2996&amp;")"</x:f>
        <x:v>Shadow Ball (140)</x:v>
      </x:c>
      <x:c r="S291" s="9" t="str">
        <x:v>https://poke.idleworld.online/pokepedia/pokemon/dusclops</x:v>
      </x:c>
    </x:row>
    <x:row r="292" ht="22" customHeight="1">
      <x:c r="A292" s="1" t="n">
        <x:v>275</x:v>
      </x:c>
      <x:c r="B292" s="1" t="n">
        <x:v>109</x:v>
      </x:c>
      <x:c r="C292" s="1" t="str">
        <x:v>Koffing</x:v>
      </x:c>
      <x:c r="D292" s="1" t="str">
        <x:v>Venenoso</x:v>
      </x:c>
      <x:c r="E292" s="1" t="str"/>
      <x:c r="F292" s="10" t="n">
        <x:v>65</x:v>
      </x:c>
      <x:c r="G292" s="10" t="n">
        <x:v>60</x:v>
      </x:c>
      <x:c r="H292" s="10" t="n">
        <x:f>MAX(F292:G292)</x:f>
        <x:v>65</x:v>
      </x:c>
      <x:c r="I292" s="1" t="str">
        <x:f>'Pokémon'!M113</x:f>
        <x:v>Física</x:v>
      </x:c>
      <x:c r="J292" s="1" t="str">
        <x:f>'Habilidades'!D1030</x:f>
        <x:v>Belch</x:v>
      </x:c>
      <x:c r="K292" s="1" t="str">
        <x:f>'Habilidades'!E1030</x:f>
        <x:v>Venenoso</x:v>
      </x:c>
      <x:c r="L292" s="1" t="str">
        <x:f>'Habilidades'!F1030</x:f>
        <x:v>Especial</x:v>
      </x:c>
      <x:c r="M292" s="10" t="n">
        <x:f>'Habilidades'!G1030</x:f>
        <x:v>120</x:v>
      </x:c>
      <x:c r="N292" s="10" t="n">
        <x:f>'Habilidades'!I1030</x:f>
        <x:v>180</x:v>
      </x:c>
      <x:c r="O292" s="1" t="str">
        <x:f>'Habilidades'!D1031&amp;" ("&amp;'Habilidades'!I1031&amp;")"</x:f>
        <x:v>Sludge Bomb (150)</x:v>
      </x:c>
      <x:c r="P292" s="1" t="str">
        <x:f>'Habilidades'!D1032&amp;" ("&amp;'Habilidades'!I1032&amp;")"</x:f>
        <x:v>Sludge (125)</x:v>
      </x:c>
      <x:c r="Q292" s="1" t="str">
        <x:f>'Habilidades'!D1033&amp;" ("&amp;'Habilidades'!I1033&amp;")"</x:f>
        <x:v>Assurance (125)</x:v>
      </x:c>
      <x:c r="R292" s="1" t="str">
        <x:f>'Habilidades'!D1034&amp;" ("&amp;'Habilidades'!I1034&amp;")"</x:f>
        <x:v>Tackle (115)</x:v>
      </x:c>
      <x:c r="S292" s="9" t="str">
        <x:v>https://poke.idleworld.online/pokepedia/pokemon/koffing</x:v>
      </x:c>
    </x:row>
    <x:row r="293" ht="22" customHeight="1">
      <x:c r="A293" s="1" t="n">
        <x:v>275</x:v>
      </x:c>
      <x:c r="B293" s="1" t="n">
        <x:v>322</x:v>
      </x:c>
      <x:c r="C293" s="1" t="str">
        <x:v>Numel</x:v>
      </x:c>
      <x:c r="D293" s="1" t="str">
        <x:v>Fogo</x:v>
      </x:c>
      <x:c r="E293" s="1" t="str">
        <x:v>Terrestre</x:v>
      </x:c>
      <x:c r="F293" s="10" t="n">
        <x:v>60</x:v>
      </x:c>
      <x:c r="G293" s="10" t="n">
        <x:v>65</x:v>
      </x:c>
      <x:c r="H293" s="10" t="n">
        <x:f>MAX(F293:G293)</x:f>
        <x:v>65</x:v>
      </x:c>
      <x:c r="I293" s="1" t="str">
        <x:f>'Pokémon'!M297</x:f>
        <x:v>Especial</x:v>
      </x:c>
      <x:c r="J293" s="1" t="str">
        <x:f>'Habilidades'!D2729</x:f>
        <x:v>Double-Edge</x:v>
      </x:c>
      <x:c r="K293" s="1" t="str">
        <x:f>'Habilidades'!E2729</x:f>
        <x:v>Normal</x:v>
      </x:c>
      <x:c r="L293" s="1" t="str">
        <x:f>'Habilidades'!F2729</x:f>
        <x:v>Física</x:v>
      </x:c>
      <x:c r="M293" s="10" t="n">
        <x:f>'Habilidades'!G2729</x:f>
        <x:v>120</x:v>
      </x:c>
      <x:c r="N293" s="10" t="n">
        <x:f>'Habilidades'!I2729</x:f>
        <x:v>180</x:v>
      </x:c>
      <x:c r="O293" s="1" t="str">
        <x:f>'Habilidades'!D2730&amp;" ("&amp;'Habilidades'!I2730&amp;")"</x:f>
        <x:v>Earthquake (160)</x:v>
      </x:c>
      <x:c r="P293" s="1" t="str">
        <x:f>'Habilidades'!D2731&amp;" ("&amp;'Habilidades'!I2731&amp;")"</x:f>
        <x:v>Earth Power (155)</x:v>
      </x:c>
      <x:c r="Q293" s="1" t="str">
        <x:f>'Habilidades'!D2732&amp;" ("&amp;'Habilidades'!I2732&amp;")"</x:f>
        <x:v>Flamethrower (155)</x:v>
      </x:c>
      <x:c r="R293" s="1" t="str">
        <x:f>'Habilidades'!D2733&amp;" ("&amp;'Habilidades'!I2733&amp;")"</x:f>
        <x:v>Take Down (150)</x:v>
      </x:c>
      <x:c r="S293" s="9" t="str">
        <x:v>https://poke.idleworld.online/pokepedia/pokemon/numel</x:v>
      </x:c>
    </x:row>
    <x:row r="294" ht="22" customHeight="1">
      <x:c r="A294" s="1" t="n">
        <x:v>275</x:v>
      </x:c>
      <x:c r="B294" s="1" t="n">
        <x:v>23</x:v>
      </x:c>
      <x:c r="C294" s="1" t="str">
        <x:v>Ekans</x:v>
      </x:c>
      <x:c r="D294" s="1" t="str">
        <x:v>Venenoso</x:v>
      </x:c>
      <x:c r="E294" s="1" t="str"/>
      <x:c r="F294" s="10" t="n">
        <x:v>60</x:v>
      </x:c>
      <x:c r="G294" s="10" t="n">
        <x:v>40</x:v>
      </x:c>
      <x:c r="H294" s="10" t="n">
        <x:f>MAX(F294:G294)</x:f>
        <x:v>60</x:v>
      </x:c>
      <x:c r="I294" s="1" t="str">
        <x:f>'Pokémon'!M27</x:f>
        <x:v>Física</x:v>
      </x:c>
      <x:c r="J294" s="1" t="str">
        <x:f>'Habilidades'!D189</x:f>
        <x:v>Gunk Shot</x:v>
      </x:c>
      <x:c r="K294" s="1" t="str">
        <x:f>'Habilidades'!E189</x:f>
        <x:v>Venenoso</x:v>
      </x:c>
      <x:c r="L294" s="1" t="str">
        <x:f>'Habilidades'!F189</x:f>
        <x:v>Física</x:v>
      </x:c>
      <x:c r="M294" s="10" t="n">
        <x:f>'Habilidades'!G189</x:f>
        <x:v>120</x:v>
      </x:c>
      <x:c r="N294" s="10" t="n">
        <x:f>'Habilidades'!I189</x:f>
        <x:v>180</x:v>
      </x:c>
      <x:c r="O294" s="1" t="str">
        <x:f>'Habilidades'!D190&amp;" ("&amp;'Habilidades'!I190&amp;")"</x:f>
        <x:v>Belch (160)</x:v>
      </x:c>
      <x:c r="P294" s="1" t="str">
        <x:f>'Habilidades'!D191&amp;" ("&amp;'Habilidades'!I191&amp;")"</x:f>
        <x:v>Bite (120)</x:v>
      </x:c>
      <x:c r="Q294" s="1" t="str">
        <x:f>'Habilidades'!D192&amp;" ("&amp;'Habilidades'!I192&amp;")"</x:f>
        <x:v>Mud Bomb (105)</x:v>
      </x:c>
      <x:c r="R294" s="1" t="str">
        <x:f>'Habilidades'!D193&amp;" ("&amp;'Habilidades'!I193&amp;")"</x:f>
        <x:v>Acid (80)</x:v>
      </x:c>
      <x:c r="S294" s="9" t="str">
        <x:v>https://poke.idleworld.online/pokepedia/pokemon/ekans</x:v>
      </x:c>
    </x:row>
    <x:row r="295" ht="22" customHeight="1">
      <x:c r="A295" s="1" t="n">
        <x:v>275</x:v>
      </x:c>
      <x:c r="B295" s="1" t="n">
        <x:v>102</x:v>
      </x:c>
      <x:c r="C295" s="1" t="str">
        <x:v>Exeggcute</x:v>
      </x:c>
      <x:c r="D295" s="1" t="str">
        <x:v>Planta</x:v>
      </x:c>
      <x:c r="E295" s="1" t="str">
        <x:v>Psíquico</x:v>
      </x:c>
      <x:c r="F295" s="10" t="n">
        <x:v>40</x:v>
      </x:c>
      <x:c r="G295" s="10" t="n">
        <x:v>60</x:v>
      </x:c>
      <x:c r="H295" s="10" t="n">
        <x:f>MAX(F295:G295)</x:f>
        <x:v>60</x:v>
      </x:c>
      <x:c r="I295" s="1" t="str">
        <x:f>'Pokémon'!M106</x:f>
        <x:v>Especial</x:v>
      </x:c>
      <x:c r="J295" s="1" t="str">
        <x:f>'Habilidades'!D956</x:f>
        <x:v>Solar Beam</x:v>
      </x:c>
      <x:c r="K295" s="1" t="str">
        <x:f>'Habilidades'!E956</x:f>
        <x:v>Planta</x:v>
      </x:c>
      <x:c r="L295" s="1" t="str">
        <x:f>'Habilidades'!F956</x:f>
        <x:v>Especial</x:v>
      </x:c>
      <x:c r="M295" s="10" t="n">
        <x:f>'Habilidades'!G956</x:f>
        <x:v>120</x:v>
      </x:c>
      <x:c r="N295" s="10" t="n">
        <x:f>'Habilidades'!I956</x:f>
        <x:v>180</x:v>
      </x:c>
      <x:c r="O295" s="1" t="str">
        <x:f>'Habilidades'!D957&amp;" ("&amp;'Habilidades'!I957&amp;")"</x:f>
        <x:v>Uproar (150)</x:v>
      </x:c>
      <x:c r="P295" s="1" t="str">
        <x:f>'Habilidades'!D958&amp;" ("&amp;'Habilidades'!I958&amp;")"</x:f>
        <x:v>Extrasensory (140)</x:v>
      </x:c>
      <x:c r="Q295" s="1" t="str">
        <x:f>'Habilidades'!D959&amp;" ("&amp;'Habilidades'!I959&amp;")"</x:f>
        <x:v>Confusion (110)</x:v>
      </x:c>
      <x:c r="R295" s="1" t="str">
        <x:f>'Habilidades'!D960&amp;" ("&amp;'Habilidades'!I960&amp;")"</x:f>
        <x:v>Bullet Seed (65)</x:v>
      </x:c>
      <x:c r="S295" s="9" t="str">
        <x:v>https://poke.idleworld.online/pokepedia/pokemon/exeggcute</x:v>
      </x:c>
    </x:row>
    <x:row r="296" ht="22" customHeight="1">
      <x:c r="A296" s="1" t="n">
        <x:v>275</x:v>
      </x:c>
      <x:c r="B296" s="1" t="n">
        <x:v>296</x:v>
      </x:c>
      <x:c r="C296" s="1" t="str">
        <x:v>Makuhita</x:v>
      </x:c>
      <x:c r="D296" s="1" t="str">
        <x:v>Lutador</x:v>
      </x:c>
      <x:c r="E296" s="1" t="str"/>
      <x:c r="F296" s="10" t="n">
        <x:v>60</x:v>
      </x:c>
      <x:c r="G296" s="10" t="n">
        <x:v>20</x:v>
      </x:c>
      <x:c r="H296" s="10" t="n">
        <x:f>MAX(F296:G296)</x:f>
        <x:v>60</x:v>
      </x:c>
      <x:c r="I296" s="1" t="str">
        <x:f>'Pokémon'!M285</x:f>
        <x:v>Física</x:v>
      </x:c>
      <x:c r="J296" s="1" t="str">
        <x:f>'Habilidades'!D2607</x:f>
        <x:v>Close Combat</x:v>
      </x:c>
      <x:c r="K296" s="1" t="str">
        <x:f>'Habilidades'!E2607</x:f>
        <x:v>Lutador</x:v>
      </x:c>
      <x:c r="L296" s="1" t="str">
        <x:f>'Habilidades'!F2607</x:f>
        <x:v>Física</x:v>
      </x:c>
      <x:c r="M296" s="10" t="n">
        <x:f>'Habilidades'!G2607</x:f>
        <x:v>120</x:v>
      </x:c>
      <x:c r="N296" s="10" t="n">
        <x:f>'Habilidades'!I2607</x:f>
        <x:v>180</x:v>
      </x:c>
      <x:c r="O296" s="1" t="str">
        <x:f>'Habilidades'!D2608&amp;" ("&amp;'Habilidades'!I2608&amp;")"</x:f>
        <x:v>Vital Throw (130)</x:v>
      </x:c>
      <x:c r="P296" s="1" t="str">
        <x:f>'Habilidades'!D2609&amp;" ("&amp;'Habilidades'!I2609&amp;")"</x:f>
        <x:v>Smelling Salts (130)</x:v>
      </x:c>
      <x:c r="Q296" s="1" t="str">
        <x:f>'Habilidades'!D2610&amp;" ("&amp;'Habilidades'!I2610&amp;")"</x:f>
        <x:v>Wake-Up Slap (130)</x:v>
      </x:c>
      <x:c r="R296" s="1" t="str">
        <x:f>'Habilidades'!D2611&amp;" ("&amp;'Habilidades'!I2611&amp;")"</x:f>
        <x:v>Knock Off (125)</x:v>
      </x:c>
      <x:c r="S296" s="9" t="str">
        <x:v>https://poke.idleworld.online/pokepedia/pokemon/makuhita</x:v>
      </x:c>
    </x:row>
    <x:row r="297" ht="22" customHeight="1">
      <x:c r="A297" s="1" t="n">
        <x:v>293</x:v>
      </x:c>
      <x:c r="B297" s="1" t="n">
        <x:v>7</x:v>
      </x:c>
      <x:c r="C297" s="1" t="str">
        <x:v>Squirtle</x:v>
      </x:c>
      <x:c r="D297" s="1" t="str">
        <x:v>Água</x:v>
      </x:c>
      <x:c r="E297" s="1" t="str"/>
      <x:c r="F297" s="10" t="n">
        <x:v>48</x:v>
      </x:c>
      <x:c r="G297" s="10" t="n">
        <x:v>50</x:v>
      </x:c>
      <x:c r="H297" s="10" t="n">
        <x:f>MAX(F297:G297)</x:f>
        <x:v>50</x:v>
      </x:c>
      <x:c r="I297" s="1" t="str">
        <x:f>'Pokémon'!M11</x:f>
        <x:v>Especial</x:v>
      </x:c>
      <x:c r="J297" s="1" t="str">
        <x:f>'Habilidades'!D67</x:f>
        <x:v>Skull Bash</x:v>
      </x:c>
      <x:c r="K297" s="1" t="str">
        <x:f>'Habilidades'!E67</x:f>
        <x:v>Normal</x:v>
      </x:c>
      <x:c r="L297" s="1" t="str">
        <x:f>'Habilidades'!F67</x:f>
        <x:v>Física</x:v>
      </x:c>
      <x:c r="M297" s="10" t="n">
        <x:f>'Habilidades'!G67</x:f>
        <x:v>130</x:v>
      </x:c>
      <x:c r="N297" s="10" t="n">
        <x:f>'Habilidades'!I67</x:f>
        <x:v>178</x:v>
      </x:c>
      <x:c r="O297" s="1" t="str">
        <x:f>'Habilidades'!D68&amp;" ("&amp;'Habilidades'!I68&amp;")"</x:f>
        <x:v>Hydro Pump (160)</x:v>
      </x:c>
      <x:c r="P297" s="1" t="str">
        <x:f>'Habilidades'!D69&amp;" ("&amp;'Habilidades'!I69&amp;")"</x:f>
        <x:v>Aqua Tail (138)</x:v>
      </x:c>
      <x:c r="Q297" s="1" t="str">
        <x:f>'Habilidades'!D70&amp;" ("&amp;'Habilidades'!I70&amp;")"</x:f>
        <x:v>Water Pulse (110)</x:v>
      </x:c>
      <x:c r="R297" s="1" t="str">
        <x:f>'Habilidades'!D71&amp;" ("&amp;'Habilidades'!I71&amp;")"</x:f>
        <x:v>Bite (108)</x:v>
      </x:c>
      <x:c r="S297" s="9" t="str">
        <x:v>https://poke.idleworld.online/pokepedia/pokemon/squirtle</x:v>
      </x:c>
    </x:row>
    <x:row r="298" ht="22" customHeight="1">
      <x:c r="A298" s="1" t="n">
        <x:v>294</x:v>
      </x:c>
      <x:c r="B298" s="1" t="n">
        <x:v>19</x:v>
      </x:c>
      <x:c r="C298" s="1" t="str">
        <x:v>Rattata</x:v>
      </x:c>
      <x:c r="D298" s="1" t="str">
        <x:v>Normal</x:v>
      </x:c>
      <x:c r="E298" s="1" t="str"/>
      <x:c r="F298" s="10" t="n">
        <x:v>56</x:v>
      </x:c>
      <x:c r="G298" s="10" t="n">
        <x:v>25</x:v>
      </x:c>
      <x:c r="H298" s="10" t="n">
        <x:f>MAX(F298:G298)</x:f>
        <x:v>56</x:v>
      </x:c>
      <x:c r="I298" s="1" t="str">
        <x:f>'Pokémon'!M23</x:f>
        <x:v>Física</x:v>
      </x:c>
      <x:c r="J298" s="1" t="str">
        <x:f>'Habilidades'!D152</x:f>
        <x:v>Double-Edge</x:v>
      </x:c>
      <x:c r="K298" s="1" t="str">
        <x:f>'Habilidades'!E152</x:f>
        <x:v>Normal</x:v>
      </x:c>
      <x:c r="L298" s="1" t="str">
        <x:f>'Habilidades'!F152</x:f>
        <x:v>Física</x:v>
      </x:c>
      <x:c r="M298" s="10" t="n">
        <x:f>'Habilidades'!G152</x:f>
        <x:v>120</x:v>
      </x:c>
      <x:c r="N298" s="10" t="n">
        <x:f>'Habilidades'!I152</x:f>
        <x:v>176</x:v>
      </x:c>
      <x:c r="O298" s="1" t="str">
        <x:f>'Habilidades'!D153&amp;" ("&amp;'Habilidades'!I153&amp;")"</x:f>
        <x:v>Hyper Fang (136)</x:v>
      </x:c>
      <x:c r="P298" s="1" t="str">
        <x:f>'Habilidades'!D154&amp;" ("&amp;'Habilidades'!I154&amp;")"</x:f>
        <x:v>Sucker Punch (136)</x:v>
      </x:c>
      <x:c r="Q298" s="1" t="str">
        <x:f>'Habilidades'!D155&amp;" ("&amp;'Habilidades'!I155&amp;")"</x:f>
        <x:v>Crunch (136)</x:v>
      </x:c>
      <x:c r="R298" s="1" t="str">
        <x:f>'Habilidades'!D156&amp;" ("&amp;'Habilidades'!I156&amp;")"</x:f>
        <x:v>Bite (116)</x:v>
      </x:c>
      <x:c r="S298" s="9" t="str">
        <x:v>https://poke.idleworld.online/pokepedia/pokemon/rattata</x:v>
      </x:c>
    </x:row>
    <x:row r="299" ht="22" customHeight="1">
      <x:c r="A299" s="1" t="n">
        <x:v>295</x:v>
      </x:c>
      <x:c r="B299" s="1" t="n">
        <x:v>303</x:v>
      </x:c>
      <x:c r="C299" s="1" t="str">
        <x:v>Mawile</x:v>
      </x:c>
      <x:c r="D299" s="1" t="str">
        <x:v>Aço</x:v>
      </x:c>
      <x:c r="E299" s="1" t="str">
        <x:v>Fada</x:v>
      </x:c>
      <x:c r="F299" s="10" t="n">
        <x:v>85</x:v>
      </x:c>
      <x:c r="G299" s="10" t="n">
        <x:v>55</x:v>
      </x:c>
      <x:c r="H299" s="10" t="n">
        <x:f>MAX(F299:G299)</x:f>
        <x:v>85</x:v>
      </x:c>
      <x:c r="I299" s="1" t="str">
        <x:f>'Pokémon'!M287</x:f>
        <x:v>Física</x:v>
      </x:c>
      <x:c r="J299" s="1" t="str">
        <x:f>'Habilidades'!D2630</x:f>
        <x:v>Play Rough</x:v>
      </x:c>
      <x:c r="K299" s="1" t="str">
        <x:f>'Habilidades'!E2630</x:f>
        <x:v>Fada</x:v>
      </x:c>
      <x:c r="L299" s="1" t="str">
        <x:f>'Habilidades'!F2630</x:f>
        <x:v>Física</x:v>
      </x:c>
      <x:c r="M299" s="10" t="n">
        <x:f>'Habilidades'!G2630</x:f>
        <x:v>90</x:v>
      </x:c>
      <x:c r="N299" s="10" t="n">
        <x:f>'Habilidades'!I2630</x:f>
        <x:v>175</x:v>
      </x:c>
      <x:c r="O299" s="1" t="str">
        <x:f>'Habilidades'!D2631&amp;" ("&amp;'Habilidades'!I2631&amp;")"</x:f>
        <x:v>Iron Head (165)</x:v>
      </x:c>
      <x:c r="P299" s="1" t="str">
        <x:f>'Habilidades'!D2632&amp;" ("&amp;'Habilidades'!I2632&amp;")"</x:f>
        <x:v>Crunch (165)</x:v>
      </x:c>
      <x:c r="Q299" s="1" t="str">
        <x:f>'Habilidades'!D2633&amp;" ("&amp;'Habilidades'!I2633&amp;")"</x:f>
        <x:v>Sucker Punch (165)</x:v>
      </x:c>
      <x:c r="R299" s="1" t="str">
        <x:f>'Habilidades'!D2634&amp;" ("&amp;'Habilidades'!I2634&amp;")"</x:f>
        <x:v>Bite (145)</x:v>
      </x:c>
      <x:c r="S299" s="9" t="str">
        <x:v>https://poke.idleworld.online/pokepedia/pokemon/mawile</x:v>
      </x:c>
    </x:row>
    <x:row r="300" ht="22" customHeight="1">
      <x:c r="A300" s="1" t="n">
        <x:v>295</x:v>
      </x:c>
      <x:c r="B300" s="1" t="n">
        <x:v>27</x:v>
      </x:c>
      <x:c r="C300" s="1" t="str">
        <x:v>Sandshrew</x:v>
      </x:c>
      <x:c r="D300" s="1" t="str">
        <x:v>Terrestre</x:v>
      </x:c>
      <x:c r="E300" s="1" t="str"/>
      <x:c r="F300" s="10" t="n">
        <x:v>75</x:v>
      </x:c>
      <x:c r="G300" s="10" t="n">
        <x:v>20</x:v>
      </x:c>
      <x:c r="H300" s="10" t="n">
        <x:f>MAX(F300:G300)</x:f>
        <x:v>75</x:v>
      </x:c>
      <x:c r="I300" s="1" t="str">
        <x:f>'Pokémon'!M31</x:f>
        <x:v>Física</x:v>
      </x:c>
      <x:c r="J300" s="1" t="str">
        <x:f>'Habilidades'!D225</x:f>
        <x:v>Earthquake</x:v>
      </x:c>
      <x:c r="K300" s="1" t="str">
        <x:f>'Habilidades'!E225</x:f>
        <x:v>Terrestre</x:v>
      </x:c>
      <x:c r="L300" s="1" t="str">
        <x:f>'Habilidades'!F225</x:f>
        <x:v>Física</x:v>
      </x:c>
      <x:c r="M300" s="10" t="n">
        <x:f>'Habilidades'!G225</x:f>
        <x:v>100</x:v>
      </x:c>
      <x:c r="N300" s="10" t="n">
        <x:f>'Habilidades'!I225</x:f>
        <x:v>175</x:v>
      </x:c>
      <x:c r="O300" s="1" t="str">
        <x:f>'Habilidades'!D226&amp;" ("&amp;'Habilidades'!I226&amp;")"</x:f>
        <x:v>Dig (155)</x:v>
      </x:c>
      <x:c r="P300" s="1" t="str">
        <x:f>'Habilidades'!D227&amp;" ("&amp;'Habilidades'!I227&amp;")"</x:f>
        <x:v>Slash (145)</x:v>
      </x:c>
      <x:c r="Q300" s="1" t="str">
        <x:f>'Habilidades'!D228&amp;" ("&amp;'Habilidades'!I228&amp;")"</x:f>
        <x:v>Scratch (115)</x:v>
      </x:c>
      <x:c r="R300" s="1" t="str">
        <x:f>'Habilidades'!D229&amp;" ("&amp;'Habilidades'!I229&amp;")"</x:f>
        <x:v>Fury Cutter (115)</x:v>
      </x:c>
      <x:c r="S300" s="9" t="str">
        <x:v>https://poke.idleworld.online/pokepedia/pokemon/sandshrew</x:v>
      </x:c>
    </x:row>
    <x:row r="301" ht="22" customHeight="1">
      <x:c r="A301" s="1" t="n">
        <x:v>295</x:v>
      </x:c>
      <x:c r="B301" s="1" t="n">
        <x:v>54</x:v>
      </x:c>
      <x:c r="C301" s="1" t="str">
        <x:v>Psyduck</x:v>
      </x:c>
      <x:c r="D301" s="1" t="str">
        <x:v>Água</x:v>
      </x:c>
      <x:c r="E301" s="1" t="str"/>
      <x:c r="F301" s="10" t="n">
        <x:v>52</x:v>
      </x:c>
      <x:c r="G301" s="10" t="n">
        <x:v>65</x:v>
      </x:c>
      <x:c r="H301" s="10" t="n">
        <x:f>MAX(F301:G301)</x:f>
        <x:v>65</x:v>
      </x:c>
      <x:c r="I301" s="1" t="str">
        <x:f>'Pokémon'!M58</x:f>
        <x:v>Especial</x:v>
      </x:c>
      <x:c r="J301" s="1" t="str">
        <x:f>'Habilidades'!D480</x:f>
        <x:v>Hydro Pump</x:v>
      </x:c>
      <x:c r="K301" s="1" t="str">
        <x:f>'Habilidades'!E480</x:f>
        <x:v>Água</x:v>
      </x:c>
      <x:c r="L301" s="1" t="str">
        <x:f>'Habilidades'!F480</x:f>
        <x:v>Especial</x:v>
      </x:c>
      <x:c r="M301" s="10" t="n">
        <x:f>'Habilidades'!G480</x:f>
        <x:v>110</x:v>
      </x:c>
      <x:c r="N301" s="10" t="n">
        <x:f>'Habilidades'!I480</x:f>
        <x:v>175</x:v>
      </x:c>
      <x:c r="O301" s="1" t="str">
        <x:f>'Habilidades'!D481&amp;" ("&amp;'Habilidades'!I481&amp;")"</x:f>
        <x:v>Aqua Tail (142)</x:v>
      </x:c>
      <x:c r="P301" s="1" t="str">
        <x:f>'Habilidades'!D482&amp;" ("&amp;'Habilidades'!I482&amp;")"</x:f>
        <x:v>Zen Headbutt (132)</x:v>
      </x:c>
      <x:c r="Q301" s="1" t="str">
        <x:f>'Habilidades'!D483&amp;" ("&amp;'Habilidades'!I483&amp;")"</x:f>
        <x:v>Water Pulse (125)</x:v>
      </x:c>
      <x:c r="R301" s="1" t="str">
        <x:f>'Habilidades'!D484&amp;" ("&amp;'Habilidades'!I484&amp;")"</x:f>
        <x:v>Confusion (115)</x:v>
      </x:c>
      <x:c r="S301" s="9" t="str">
        <x:v>https://poke.idleworld.online/pokepedia/pokemon/psyduck</x:v>
      </x:c>
    </x:row>
    <x:row r="302" ht="22" customHeight="1">
      <x:c r="A302" s="1" t="n">
        <x:v>295</x:v>
      </x:c>
      <x:c r="B302" s="1" t="n">
        <x:v>179</x:v>
      </x:c>
      <x:c r="C302" s="1" t="str">
        <x:v>Mareep</x:v>
      </x:c>
      <x:c r="D302" s="1" t="str">
        <x:v>Elétrico</x:v>
      </x:c>
      <x:c r="E302" s="1" t="str"/>
      <x:c r="F302" s="10" t="n">
        <x:v>40</x:v>
      </x:c>
      <x:c r="G302" s="10" t="n">
        <x:v>65</x:v>
      </x:c>
      <x:c r="H302" s="10" t="n">
        <x:f>MAX(F302:G302)</x:f>
        <x:v>65</x:v>
      </x:c>
      <x:c r="I302" s="1" t="str">
        <x:f>'Pokémon'!M183</x:f>
        <x:v>Especial</x:v>
      </x:c>
      <x:c r="J302" s="1" t="str">
        <x:f>'Habilidades'!D1689</x:f>
        <x:v>Thunder</x:v>
      </x:c>
      <x:c r="K302" s="1" t="str">
        <x:f>'Habilidades'!E1689</x:f>
        <x:v>Elétrico</x:v>
      </x:c>
      <x:c r="L302" s="1" t="str">
        <x:f>'Habilidades'!F1689</x:f>
        <x:v>Especial</x:v>
      </x:c>
      <x:c r="M302" s="10" t="n">
        <x:f>'Habilidades'!G1689</x:f>
        <x:v>110</x:v>
      </x:c>
      <x:c r="N302" s="10" t="n">
        <x:f>'Habilidades'!I1689</x:f>
        <x:v>175</x:v>
      </x:c>
      <x:c r="O302" s="1" t="str">
        <x:f>'Habilidades'!D1690&amp;" ("&amp;'Habilidades'!I1690&amp;")"</x:f>
        <x:v>Power Gem (145)</x:v>
      </x:c>
      <x:c r="P302" s="1" t="str">
        <x:f>'Habilidades'!D1691&amp;" ("&amp;'Habilidades'!I1691&amp;")"</x:f>
        <x:v>Discharge (145)</x:v>
      </x:c>
      <x:c r="Q302" s="1" t="str">
        <x:f>'Habilidades'!D1692&amp;" ("&amp;'Habilidades'!I1692&amp;")"</x:f>
        <x:v>Signal Beam (140)</x:v>
      </x:c>
      <x:c r="R302" s="1" t="str">
        <x:f>'Habilidades'!D1693&amp;" ("&amp;'Habilidades'!I1693&amp;")"</x:f>
        <x:v>Take Down (130)</x:v>
      </x:c>
      <x:c r="S302" s="9" t="str">
        <x:v>https://poke.idleworld.online/pokepedia/pokemon/mareep</x:v>
      </x:c>
    </x:row>
    <x:row r="303" ht="22" customHeight="1">
      <x:c r="A303" s="1" t="n">
        <x:v>295</x:v>
      </x:c>
      <x:c r="B303" s="1" t="n">
        <x:v>239</x:v>
      </x:c>
      <x:c r="C303" s="1" t="str">
        <x:v>Elekid</x:v>
      </x:c>
      <x:c r="D303" s="1" t="str">
        <x:v>Elétrico</x:v>
      </x:c>
      <x:c r="E303" s="1" t="str"/>
      <x:c r="F303" s="10" t="n">
        <x:v>63</x:v>
      </x:c>
      <x:c r="G303" s="10" t="n">
        <x:v>65</x:v>
      </x:c>
      <x:c r="H303" s="10" t="n">
        <x:f>MAX(F303:G303)</x:f>
        <x:v>65</x:v>
      </x:c>
      <x:c r="I303" s="1" t="str">
        <x:f>'Pokémon'!M242</x:f>
        <x:v>Especial</x:v>
      </x:c>
      <x:c r="J303" s="1" t="str">
        <x:f>'Habilidades'!D2228</x:f>
        <x:v>Thunder</x:v>
      </x:c>
      <x:c r="K303" s="1" t="str">
        <x:f>'Habilidades'!E2228</x:f>
        <x:v>Elétrico</x:v>
      </x:c>
      <x:c r="L303" s="1" t="str">
        <x:f>'Habilidades'!F2228</x:f>
        <x:v>Especial</x:v>
      </x:c>
      <x:c r="M303" s="10" t="n">
        <x:f>'Habilidades'!G2228</x:f>
        <x:v>110</x:v>
      </x:c>
      <x:c r="N303" s="10" t="n">
        <x:f>'Habilidades'!I2228</x:f>
        <x:v>175</x:v>
      </x:c>
      <x:c r="O303" s="1" t="str">
        <x:f>'Habilidades'!D2229&amp;" ("&amp;'Habilidades'!I2229&amp;")"</x:f>
        <x:v>Thunderbolt (155)</x:v>
      </x:c>
      <x:c r="P303" s="1" t="str">
        <x:f>'Habilidades'!D2230&amp;" ("&amp;'Habilidades'!I2230&amp;")"</x:f>
        <x:v>Discharge (145)</x:v>
      </x:c>
      <x:c r="Q303" s="1" t="str">
        <x:f>'Habilidades'!D2231&amp;" ("&amp;'Habilidades'!I2231&amp;")"</x:f>
        <x:v>Thunder Punch (138)</x:v>
      </x:c>
      <x:c r="R303" s="1" t="str">
        <x:f>'Habilidades'!D2232&amp;" ("&amp;'Habilidades'!I2232&amp;")"</x:f>
        <x:v>Swift (125)</x:v>
      </x:c>
      <x:c r="S303" s="9" t="str">
        <x:v>https://poke.idleworld.online/pokepedia/pokemon/elekid</x:v>
      </x:c>
    </x:row>
    <x:row r="304" ht="22" customHeight="1">
      <x:c r="A304" s="1" t="n">
        <x:v>295</x:v>
      </x:c>
      <x:c r="B304" s="1" t="n">
        <x:v>309</x:v>
      </x:c>
      <x:c r="C304" s="1" t="str">
        <x:v>Electrike</x:v>
      </x:c>
      <x:c r="D304" s="1" t="str">
        <x:v>Elétrico</x:v>
      </x:c>
      <x:c r="E304" s="1" t="str"/>
      <x:c r="F304" s="10" t="n">
        <x:v>45</x:v>
      </x:c>
      <x:c r="G304" s="10" t="n">
        <x:v>65</x:v>
      </x:c>
      <x:c r="H304" s="10" t="n">
        <x:f>MAX(F304:G304)</x:f>
        <x:v>65</x:v>
      </x:c>
      <x:c r="I304" s="1" t="str">
        <x:f>'Pokémon'!M293</x:f>
        <x:v>Especial</x:v>
      </x:c>
      <x:c r="J304" s="1" t="str">
        <x:f>'Habilidades'!D2691</x:f>
        <x:v>Thunder</x:v>
      </x:c>
      <x:c r="K304" s="1" t="str">
        <x:f>'Habilidades'!E2691</x:f>
        <x:v>Elétrico</x:v>
      </x:c>
      <x:c r="L304" s="1" t="str">
        <x:f>'Habilidades'!F2691</x:f>
        <x:v>Especial</x:v>
      </x:c>
      <x:c r="M304" s="10" t="n">
        <x:f>'Habilidades'!G2691</x:f>
        <x:v>110</x:v>
      </x:c>
      <x:c r="N304" s="10" t="n">
        <x:f>'Habilidades'!I2691</x:f>
        <x:v>175</x:v>
      </x:c>
      <x:c r="O304" s="1" t="str">
        <x:f>'Habilidades'!D2692&amp;" ("&amp;'Habilidades'!I2692&amp;")"</x:f>
        <x:v>Discharge (145)</x:v>
      </x:c>
      <x:c r="P304" s="1" t="str">
        <x:f>'Habilidades'!D2693&amp;" ("&amp;'Habilidades'!I2693&amp;")"</x:f>
        <x:v>Wild Charge (135)</x:v>
      </x:c>
      <x:c r="Q304" s="1" t="str">
        <x:f>'Habilidades'!D2694&amp;" ("&amp;'Habilidades'!I2694&amp;")"</x:f>
        <x:v>Spark (110)</x:v>
      </x:c>
      <x:c r="R304" s="1" t="str">
        <x:f>'Habilidades'!D2695&amp;" ("&amp;'Habilidades'!I2695&amp;")"</x:f>
        <x:v>Thunder Fang (110)</x:v>
      </x:c>
      <x:c r="S304" s="9" t="str">
        <x:v>https://poke.idleworld.online/pokepedia/pokemon/electrike</x:v>
      </x:c>
    </x:row>
    <x:row r="305" ht="22" customHeight="1">
      <x:c r="A305" s="1" t="n">
        <x:v>295</x:v>
      </x:c>
      <x:c r="B305" s="1" t="n">
        <x:v>108</x:v>
      </x:c>
      <x:c r="C305" s="1" t="str">
        <x:v>Lickitung</x:v>
      </x:c>
      <x:c r="D305" s="1" t="str">
        <x:v>Normal</x:v>
      </x:c>
      <x:c r="E305" s="1" t="str"/>
      <x:c r="F305" s="10" t="n">
        <x:v>55</x:v>
      </x:c>
      <x:c r="G305" s="10" t="n">
        <x:v>60</x:v>
      </x:c>
      <x:c r="H305" s="10" t="n">
        <x:f>MAX(F305:G305)</x:f>
        <x:v>60</x:v>
      </x:c>
      <x:c r="I305" s="1" t="str">
        <x:f>'Pokémon'!M112</x:f>
        <x:v>Especial</x:v>
      </x:c>
      <x:c r="J305" s="1" t="str">
        <x:f>'Habilidades'!D1020</x:f>
        <x:v>Power Whip</x:v>
      </x:c>
      <x:c r="K305" s="1" t="str">
        <x:f>'Habilidades'!E1020</x:f>
        <x:v>Planta</x:v>
      </x:c>
      <x:c r="L305" s="1" t="str">
        <x:f>'Habilidades'!F1020</x:f>
        <x:v>Física</x:v>
      </x:c>
      <x:c r="M305" s="10" t="n">
        <x:f>'Habilidades'!G1020</x:f>
        <x:v>120</x:v>
      </x:c>
      <x:c r="N305" s="10" t="n">
        <x:f>'Habilidades'!I1020</x:f>
        <x:v>175</x:v>
      </x:c>
      <x:c r="O305" s="1" t="str">
        <x:f>'Habilidades'!D1021&amp;" ("&amp;'Habilidades'!I1021&amp;")"</x:f>
        <x:v>Slam (135)</x:v>
      </x:c>
      <x:c r="P305" s="1" t="str">
        <x:f>'Habilidades'!D1022&amp;" ("&amp;'Habilidades'!I1022&amp;")"</x:f>
        <x:v>Chip Away (125)</x:v>
      </x:c>
      <x:c r="Q305" s="1" t="str">
        <x:f>'Habilidades'!D1023&amp;" ("&amp;'Habilidades'!I1023&amp;")"</x:f>
        <x:v>Knock Off (120)</x:v>
      </x:c>
      <x:c r="R305" s="1" t="str">
        <x:f>'Habilidades'!D1024&amp;" ("&amp;'Habilidades'!I1024&amp;")"</x:f>
        <x:v>Stomp (120)</x:v>
      </x:c>
      <x:c r="S305" s="9" t="str">
        <x:v>https://poke.idleworld.online/pokepedia/pokemon/lickitung</x:v>
      </x:c>
    </x:row>
    <x:row r="306" ht="22" customHeight="1">
      <x:c r="A306" s="1" t="n">
        <x:v>295</x:v>
      </x:c>
      <x:c r="B306" s="1" t="n">
        <x:v>276</x:v>
      </x:c>
      <x:c r="C306" s="1" t="str">
        <x:v>Taillow</x:v>
      </x:c>
      <x:c r="D306" s="1" t="str">
        <x:v>Normal</x:v>
      </x:c>
      <x:c r="E306" s="1" t="str">
        <x:v>Voador</x:v>
      </x:c>
      <x:c r="F306" s="10" t="n">
        <x:v>55</x:v>
      </x:c>
      <x:c r="G306" s="10" t="n">
        <x:v>30</x:v>
      </x:c>
      <x:c r="H306" s="10" t="n">
        <x:f>MAX(F306:G306)</x:f>
        <x:v>55</x:v>
      </x:c>
      <x:c r="I306" s="1" t="str">
        <x:f>'Pokémon'!M272</x:f>
        <x:v>Física</x:v>
      </x:c>
      <x:c r="J306" s="1" t="str">
        <x:f>'Habilidades'!D2494</x:f>
        <x:v>Brave Bird</x:v>
      </x:c>
      <x:c r="K306" s="1" t="str">
        <x:f>'Habilidades'!E2494</x:f>
        <x:v>Voador</x:v>
      </x:c>
      <x:c r="L306" s="1" t="str">
        <x:f>'Habilidades'!F2494</x:f>
        <x:v>Física</x:v>
      </x:c>
      <x:c r="M306" s="10" t="n">
        <x:f>'Habilidades'!G2494</x:f>
        <x:v>120</x:v>
      </x:c>
      <x:c r="N306" s="10" t="n">
        <x:f>'Habilidades'!I2494</x:f>
        <x:v>175</x:v>
      </x:c>
      <x:c r="O306" s="1" t="str">
        <x:f>'Habilidades'!D2495&amp;" ("&amp;'Habilidades'!I2495&amp;")"</x:f>
        <x:v>Wing Attack (115)</x:v>
      </x:c>
      <x:c r="P306" s="1" t="str">
        <x:f>'Habilidades'!D2496&amp;" ("&amp;'Habilidades'!I2496&amp;")"</x:f>
        <x:v>Aerial Ace (115)</x:v>
      </x:c>
      <x:c r="Q306" s="1" t="str">
        <x:f>'Habilidades'!D2497&amp;" ("&amp;'Habilidades'!I2497&amp;")"</x:f>
        <x:v>Air Slash (105)</x:v>
      </x:c>
      <x:c r="R306" s="1" t="str">
        <x:f>'Habilidades'!D2498&amp;" ("&amp;'Habilidades'!I2498&amp;")"</x:f>
        <x:v>Quick Attack (95)</x:v>
      </x:c>
      <x:c r="S306" s="9" t="str">
        <x:v>https://poke.idleworld.online/pokepedia/pokemon/taillow</x:v>
      </x:c>
    </x:row>
    <x:row r="307" ht="22" customHeight="1">
      <x:c r="A307" s="1" t="n">
        <x:v>303</x:v>
      </x:c>
      <x:c r="B307" s="1" t="n">
        <x:v>705</x:v>
      </x:c>
      <x:c r="C307" s="1" t="str">
        <x:v>Sliggoo</x:v>
      </x:c>
      <x:c r="D307" s="1" t="str">
        <x:v>Dragão</x:v>
      </x:c>
      <x:c r="E307" s="1" t="str"/>
      <x:c r="F307" s="10" t="n">
        <x:v>75</x:v>
      </x:c>
      <x:c r="G307" s="10" t="n">
        <x:v>83</x:v>
      </x:c>
      <x:c r="H307" s="10" t="n">
        <x:f>MAX(F307:G307)</x:f>
        <x:v>83</x:v>
      </x:c>
      <x:c r="I307" s="1" t="str">
        <x:f>'Pokémon'!M405</x:f>
        <x:v>Especial</x:v>
      </x:c>
      <x:c r="J307" s="1" t="str">
        <x:f>'Habilidades'!D3747</x:f>
        <x:v>Muddy Water</x:v>
      </x:c>
      <x:c r="K307" s="1" t="str">
        <x:f>'Habilidades'!E3747</x:f>
        <x:v>Água</x:v>
      </x:c>
      <x:c r="L307" s="1" t="str">
        <x:f>'Habilidades'!F3747</x:f>
        <x:v>Especial</x:v>
      </x:c>
      <x:c r="M307" s="10" t="n">
        <x:f>'Habilidades'!G3747</x:f>
        <x:v>90</x:v>
      </x:c>
      <x:c r="N307" s="10" t="n">
        <x:f>'Habilidades'!I3747</x:f>
        <x:v>173</x:v>
      </x:c>
      <x:c r="O307" s="1" t="str">
        <x:f>'Habilidades'!D3748&amp;" ("&amp;'Habilidades'!I3748&amp;")"</x:f>
        <x:v>Dragon Pulse (168)</x:v>
      </x:c>
      <x:c r="P307" s="1" t="str">
        <x:f>'Habilidades'!D3749&amp;" ("&amp;'Habilidades'!I3749&amp;")"</x:f>
        <x:v>Body Slam (160)</x:v>
      </x:c>
      <x:c r="Q307" s="1" t="str">
        <x:f>'Habilidades'!D3750&amp;" ("&amp;'Habilidades'!I3750&amp;")"</x:f>
        <x:v>Dragon Breath (143)</x:v>
      </x:c>
      <x:c r="R307" s="1" t="str">
        <x:f>'Habilidades'!D3751&amp;" ("&amp;'Habilidades'!I3751&amp;")"</x:f>
        <x:v>Tackle (125)</x:v>
      </x:c>
      <x:c r="S307" s="9" t="str">
        <x:v>https://poke.idleworld.online/pokepedia/pokemon/sliggoo</x:v>
      </x:c>
    </x:row>
    <x:row r="308" ht="22" customHeight="1">
      <x:c r="A308" s="1" t="n">
        <x:v>304</x:v>
      </x:c>
      <x:c r="B308" s="1" t="n">
        <x:v>293</x:v>
      </x:c>
      <x:c r="C308" s="1" t="str">
        <x:v>Whismur</x:v>
      </x:c>
      <x:c r="D308" s="1" t="str">
        <x:v>Normal</x:v>
      </x:c>
      <x:c r="E308" s="1" t="str"/>
      <x:c r="F308" s="10" t="n">
        <x:v>51</x:v>
      </x:c>
      <x:c r="G308" s="10" t="n">
        <x:v>51</x:v>
      </x:c>
      <x:c r="H308" s="10" t="n">
        <x:f>MAX(F308:G308)</x:f>
        <x:v>51</x:v>
      </x:c>
      <x:c r="I308" s="1" t="str">
        <x:f>'Pokémon'!M282</x:f>
        <x:v>Empate</x:v>
      </x:c>
      <x:c r="J308" s="1" t="str">
        <x:f>'Habilidades'!D2576</x:f>
        <x:v>Synchronoise</x:v>
      </x:c>
      <x:c r="K308" s="1" t="str">
        <x:f>'Habilidades'!E2576</x:f>
        <x:v>Psíquico</x:v>
      </x:c>
      <x:c r="L308" s="1" t="str">
        <x:f>'Habilidades'!F2576</x:f>
        <x:v>Especial</x:v>
      </x:c>
      <x:c r="M308" s="10" t="n">
        <x:f>'Habilidades'!G2576</x:f>
        <x:v>120</x:v>
      </x:c>
      <x:c r="N308" s="10" t="n">
        <x:f>'Habilidades'!I2576</x:f>
        <x:v>171</x:v>
      </x:c>
      <x:c r="O308" s="1" t="str">
        <x:f>'Habilidades'!D2577&amp;" ("&amp;'Habilidades'!I2577&amp;")"</x:f>
        <x:v>Uproar (141)</x:v>
      </x:c>
      <x:c r="P308" s="1" t="str">
        <x:f>'Habilidades'!D2578&amp;" ("&amp;'Habilidades'!I2578&amp;")"</x:f>
        <x:v>Hyper Voice (141)</x:v>
      </x:c>
      <x:c r="Q308" s="1" t="str">
        <x:f>'Habilidades'!D2579&amp;" ("&amp;'Habilidades'!I2579&amp;")"</x:f>
        <x:v>Stomp (116)</x:v>
      </x:c>
      <x:c r="R308" s="1" t="str">
        <x:f>'Habilidades'!D2580&amp;" ("&amp;'Habilidades'!I2580&amp;")"</x:f>
        <x:v>Pound (91)</x:v>
      </x:c>
      <x:c r="S308" s="9" t="str">
        <x:v>https://poke.idleworld.online/pokepedia/pokemon/whismur</x:v>
      </x:c>
    </x:row>
    <x:row r="309" ht="22" customHeight="1">
      <x:c r="A309" s="1" t="n">
        <x:v>305</x:v>
      </x:c>
      <x:c r="B309" s="1" t="n">
        <x:v>70</x:v>
      </x:c>
      <x:c r="C309" s="1" t="str">
        <x:v>Weepinbell</x:v>
      </x:c>
      <x:c r="D309" s="1" t="str">
        <x:v>Planta</x:v>
      </x:c>
      <x:c r="E309" s="1" t="str">
        <x:v>Venenoso</x:v>
      </x:c>
      <x:c r="F309" s="10" t="n">
        <x:v>90</x:v>
      </x:c>
      <x:c r="G309" s="10" t="n">
        <x:v>85</x:v>
      </x:c>
      <x:c r="H309" s="10" t="n">
        <x:f>MAX(F309:G309)</x:f>
        <x:v>90</x:v>
      </x:c>
      <x:c r="I309" s="1" t="str">
        <x:f>'Pokémon'!M74</x:f>
        <x:v>Física</x:v>
      </x:c>
      <x:c r="J309" s="1" t="str">
        <x:f>'Habilidades'!D614</x:f>
        <x:v>Slam</x:v>
      </x:c>
      <x:c r="K309" s="1" t="str">
        <x:f>'Habilidades'!E614</x:f>
        <x:v>Normal</x:v>
      </x:c>
      <x:c r="L309" s="1" t="str">
        <x:f>'Habilidades'!F614</x:f>
        <x:v>Física</x:v>
      </x:c>
      <x:c r="M309" s="10" t="n">
        <x:f>'Habilidades'!G614</x:f>
        <x:v>80</x:v>
      </x:c>
      <x:c r="N309" s="10" t="n">
        <x:f>'Habilidades'!I614</x:f>
        <x:v>170</x:v>
      </x:c>
      <x:c r="O309" s="1" t="str">
        <x:f>'Habilidades'!D615&amp;" ("&amp;'Habilidades'!I615&amp;")"</x:f>
        <x:v>Knock Off (155)</x:v>
      </x:c>
      <x:c r="P309" s="1" t="str">
        <x:f>'Habilidades'!D616&amp;" ("&amp;'Habilidades'!I616&amp;")"</x:f>
        <x:v>Razor Leaf (145)</x:v>
      </x:c>
      <x:c r="Q309" s="1" t="str">
        <x:f>'Habilidades'!D617&amp;" ("&amp;'Habilidades'!I617&amp;")"</x:f>
        <x:v>Vine Whip (135)</x:v>
      </x:c>
      <x:c r="R309" s="1" t="str">
        <x:f>'Habilidades'!D618&amp;" ("&amp;'Habilidades'!I618&amp;")"</x:f>
        <x:v>Acid (125)</x:v>
      </x:c>
      <x:c r="S309" s="9" t="str">
        <x:v>https://poke.idleworld.online/pokepedia/pokemon/weepinbell</x:v>
      </x:c>
    </x:row>
    <x:row r="310" ht="22" customHeight="1">
      <x:c r="A310" s="1" t="n">
        <x:v>305</x:v>
      </x:c>
      <x:c r="B310" s="1" t="n">
        <x:v>209</x:v>
      </x:c>
      <x:c r="C310" s="1" t="str">
        <x:v>Snubbull</x:v>
      </x:c>
      <x:c r="D310" s="1" t="str">
        <x:v>Fada</x:v>
      </x:c>
      <x:c r="E310" s="1" t="str"/>
      <x:c r="F310" s="10" t="n">
        <x:v>80</x:v>
      </x:c>
      <x:c r="G310" s="10" t="n">
        <x:v>40</x:v>
      </x:c>
      <x:c r="H310" s="10" t="n">
        <x:f>MAX(F310:G310)</x:f>
        <x:v>80</x:v>
      </x:c>
      <x:c r="I310" s="1" t="str">
        <x:f>'Pokémon'!M212</x:f>
        <x:v>Física</x:v>
      </x:c>
      <x:c r="J310" s="1" t="str">
        <x:f>'Habilidades'!D1939</x:f>
        <x:v>Play Rough</x:v>
      </x:c>
      <x:c r="K310" s="1" t="str">
        <x:f>'Habilidades'!E1939</x:f>
        <x:v>Fada</x:v>
      </x:c>
      <x:c r="L310" s="1" t="str">
        <x:f>'Habilidades'!F1939</x:f>
        <x:v>Física</x:v>
      </x:c>
      <x:c r="M310" s="10" t="n">
        <x:f>'Habilidades'!G1939</x:f>
        <x:v>90</x:v>
      </x:c>
      <x:c r="N310" s="10" t="n">
        <x:f>'Habilidades'!I1939</x:f>
        <x:v>170</x:v>
      </x:c>
      <x:c r="O310" s="1" t="str">
        <x:f>'Habilidades'!D1940&amp;" ("&amp;'Habilidades'!I1940&amp;")"</x:f>
        <x:v>Crunch (160)</x:v>
      </x:c>
      <x:c r="P310" s="1" t="str">
        <x:f>'Habilidades'!D1941&amp;" ("&amp;'Habilidades'!I1941&amp;")"</x:f>
        <x:v>Headbutt (150)</x:v>
      </x:c>
      <x:c r="Q310" s="1" t="str">
        <x:f>'Habilidades'!D1942&amp;" ("&amp;'Habilidades'!I1942&amp;")"</x:f>
        <x:v>Thunder Fang (145)</x:v>
      </x:c>
      <x:c r="R310" s="1" t="str">
        <x:f>'Habilidades'!D1943&amp;" ("&amp;'Habilidades'!I1943&amp;")"</x:f>
        <x:v>Ice Fang (145)</x:v>
      </x:c>
      <x:c r="S310" s="9" t="str">
        <x:v>https://poke.idleworld.online/pokepedia/pokemon/snubbull</x:v>
      </x:c>
    </x:row>
    <x:row r="311" ht="22" customHeight="1">
      <x:c r="A311" s="1" t="n">
        <x:v>305</x:v>
      </x:c>
      <x:c r="B311" s="1" t="n">
        <x:v>416</x:v>
      </x:c>
      <x:c r="C311" s="1" t="str">
        <x:v>Vespiquen</x:v>
      </x:c>
      <x:c r="D311" s="1" t="str">
        <x:v>Inseto</x:v>
      </x:c>
      <x:c r="E311" s="1" t="str">
        <x:v>Voador</x:v>
      </x:c>
      <x:c r="F311" s="10" t="n">
        <x:v>80</x:v>
      </x:c>
      <x:c r="G311" s="10" t="n">
        <x:v>80</x:v>
      </x:c>
      <x:c r="H311" s="10" t="n">
        <x:f>MAX(F311:G311)</x:f>
        <x:v>80</x:v>
      </x:c>
      <x:c r="I311" s="1" t="str">
        <x:f>'Pokémon'!M344</x:f>
        <x:v>Empate</x:v>
      </x:c>
      <x:c r="J311" s="1" t="str">
        <x:f>'Habilidades'!D3192</x:f>
        <x:v>Attack Order</x:v>
      </x:c>
      <x:c r="K311" s="1" t="str">
        <x:f>'Habilidades'!E3192</x:f>
        <x:v>Inseto</x:v>
      </x:c>
      <x:c r="L311" s="1" t="str">
        <x:f>'Habilidades'!F3192</x:f>
        <x:v>Física</x:v>
      </x:c>
      <x:c r="M311" s="10" t="n">
        <x:f>'Habilidades'!G3192</x:f>
        <x:v>90</x:v>
      </x:c>
      <x:c r="N311" s="10" t="n">
        <x:f>'Habilidades'!I3192</x:f>
        <x:v>170</x:v>
      </x:c>
      <x:c r="O311" s="1" t="str">
        <x:f>'Habilidades'!D3193&amp;" ("&amp;'Habilidades'!I3193&amp;")"</x:f>
        <x:v>Power Gem (160)</x:v>
      </x:c>
      <x:c r="P311" s="1" t="str">
        <x:f>'Habilidades'!D3194&amp;" ("&amp;'Habilidades'!I3194&amp;")"</x:f>
        <x:v>Air Slash (155)</x:v>
      </x:c>
      <x:c r="Q311" s="1" t="str">
        <x:f>'Habilidades'!D3195&amp;" ("&amp;'Habilidades'!I3195&amp;")"</x:f>
        <x:v>Slash (150)</x:v>
      </x:c>
      <x:c r="R311" s="1" t="str">
        <x:f>'Habilidades'!D3196&amp;" ("&amp;'Habilidades'!I3196&amp;")"</x:f>
        <x:v>Gust (120)</x:v>
      </x:c>
      <x:c r="S311" s="9" t="str">
        <x:v>https://poke.idleworld.online/pokepedia/pokemon/vespiquen</x:v>
      </x:c>
    </x:row>
    <x:row r="312" ht="22" customHeight="1">
      <x:c r="A312" s="1" t="n">
        <x:v>305</x:v>
      </x:c>
      <x:c r="B312" s="1" t="n">
        <x:v>443</x:v>
      </x:c>
      <x:c r="C312" s="1" t="str">
        <x:v>Gible</x:v>
      </x:c>
      <x:c r="D312" s="1" t="str">
        <x:v>Dragão</x:v>
      </x:c>
      <x:c r="E312" s="1" t="str">
        <x:v>Terrestre</x:v>
      </x:c>
      <x:c r="F312" s="10" t="n">
        <x:v>70</x:v>
      </x:c>
      <x:c r="G312" s="10" t="n">
        <x:v>40</x:v>
      </x:c>
      <x:c r="H312" s="10" t="n">
        <x:f>MAX(F312:G312)</x:f>
        <x:v>70</x:v>
      </x:c>
      <x:c r="I312" s="1" t="str">
        <x:f>'Pokémon'!M347</x:f>
        <x:v>Física</x:v>
      </x:c>
      <x:c r="J312" s="1" t="str">
        <x:f>'Habilidades'!D3216</x:f>
        <x:v>Dragon Rush</x:v>
      </x:c>
      <x:c r="K312" s="1" t="str">
        <x:f>'Habilidades'!E3216</x:f>
        <x:v>Dragão</x:v>
      </x:c>
      <x:c r="L312" s="1" t="str">
        <x:f>'Habilidades'!F3216</x:f>
        <x:v>Física</x:v>
      </x:c>
      <x:c r="M312" s="10" t="n">
        <x:f>'Habilidades'!G3216</x:f>
        <x:v>100</x:v>
      </x:c>
      <x:c r="N312" s="10" t="n">
        <x:f>'Habilidades'!I3216</x:f>
        <x:v>170</x:v>
      </x:c>
      <x:c r="O312" s="1" t="str">
        <x:f>'Habilidades'!D3217&amp;" ("&amp;'Habilidades'!I3217&amp;")"</x:f>
        <x:v>Take Down (160)</x:v>
      </x:c>
      <x:c r="P312" s="1" t="str">
        <x:f>'Habilidades'!D3218&amp;" ("&amp;'Habilidades'!I3218&amp;")"</x:f>
        <x:v>Dragon Claw (150)</x:v>
      </x:c>
      <x:c r="Q312" s="1" t="str">
        <x:f>'Habilidades'!D3219&amp;" ("&amp;'Habilidades'!I3219&amp;")"</x:f>
        <x:v>Dig (150)</x:v>
      </x:c>
      <x:c r="R312" s="1" t="str">
        <x:f>'Habilidades'!D3220&amp;" ("&amp;'Habilidades'!I3220&amp;")"</x:f>
        <x:v>Slash (140)</x:v>
      </x:c>
      <x:c r="S312" s="9" t="str">
        <x:v>https://poke.idleworld.online/pokepedia/pokemon/gible</x:v>
      </x:c>
    </x:row>
    <x:row r="313" ht="22" customHeight="1">
      <x:c r="A313" s="1" t="n">
        <x:v>305</x:v>
      </x:c>
      <x:c r="B313" s="1" t="n">
        <x:v>271</x:v>
      </x:c>
      <x:c r="C313" s="1" t="str">
        <x:v>Lombre</x:v>
      </x:c>
      <x:c r="D313" s="1" t="str">
        <x:v>Água</x:v>
      </x:c>
      <x:c r="E313" s="1" t="str">
        <x:v>Planta</x:v>
      </x:c>
      <x:c r="F313" s="10" t="n">
        <x:v>50</x:v>
      </x:c>
      <x:c r="G313" s="10" t="n">
        <x:v>60</x:v>
      </x:c>
      <x:c r="H313" s="10" t="n">
        <x:f>MAX(F313:G313)</x:f>
        <x:v>60</x:v>
      </x:c>
      <x:c r="I313" s="1" t="str">
        <x:f>'Pokémon'!M267</x:f>
        <x:v>Especial</x:v>
      </x:c>
      <x:c r="J313" s="1" t="str">
        <x:f>'Habilidades'!D2470</x:f>
        <x:v>Hydro Pump</x:v>
      </x:c>
      <x:c r="K313" s="1" t="str">
        <x:f>'Habilidades'!E2470</x:f>
        <x:v>Água</x:v>
      </x:c>
      <x:c r="L313" s="1" t="str">
        <x:f>'Habilidades'!F2470</x:f>
        <x:v>Especial</x:v>
      </x:c>
      <x:c r="M313" s="10" t="n">
        <x:f>'Habilidades'!G2470</x:f>
        <x:v>110</x:v>
      </x:c>
      <x:c r="N313" s="10" t="n">
        <x:f>'Habilidades'!I2470</x:f>
        <x:v>170</x:v>
      </x:c>
      <x:c r="O313" s="1" t="str">
        <x:f>'Habilidades'!D2471&amp;" ("&amp;'Habilidades'!I2471&amp;")"</x:f>
        <x:v>Uproar (150)</x:v>
      </x:c>
      <x:c r="P313" s="1" t="str">
        <x:f>'Habilidades'!D2472&amp;" ("&amp;'Habilidades'!I2472&amp;")"</x:f>
        <x:v>Zen Headbutt (130)</x:v>
      </x:c>
      <x:c r="Q313" s="1" t="str">
        <x:f>'Habilidades'!D2473&amp;" ("&amp;'Habilidades'!I2473&amp;")"</x:f>
        <x:v>Bubble Beam (125)</x:v>
      </x:c>
      <x:c r="R313" s="1" t="str">
        <x:f>'Habilidades'!D2474&amp;" ("&amp;'Habilidades'!I2474&amp;")"</x:f>
        <x:v>Knock Off (115)</x:v>
      </x:c>
      <x:c r="S313" s="9" t="str">
        <x:v>https://poke.idleworld.online/pokepedia/pokemon/lombre</x:v>
      </x:c>
    </x:row>
    <x:row r="314" ht="22" customHeight="1">
      <x:c r="A314" s="1" t="n">
        <x:v>305</x:v>
      </x:c>
      <x:c r="B314" s="1" t="n">
        <x:v>458</x:v>
      </x:c>
      <x:c r="C314" s="1" t="str">
        <x:v>Mantyke</x:v>
      </x:c>
      <x:c r="D314" s="1" t="str">
        <x:v>Água</x:v>
      </x:c>
      <x:c r="E314" s="1" t="str">
        <x:v>Voador</x:v>
      </x:c>
      <x:c r="F314" s="10" t="n">
        <x:v>20</x:v>
      </x:c>
      <x:c r="G314" s="10" t="n">
        <x:v>60</x:v>
      </x:c>
      <x:c r="H314" s="10" t="n">
        <x:f>MAX(F314:G314)</x:f>
        <x:v>60</x:v>
      </x:c>
      <x:c r="I314" s="1" t="str">
        <x:f>'Pokémon'!M352</x:f>
        <x:v>Especial</x:v>
      </x:c>
      <x:c r="J314" s="1" t="str">
        <x:f>'Habilidades'!D3255</x:f>
        <x:v>Hydro Pump</x:v>
      </x:c>
      <x:c r="K314" s="1" t="str">
        <x:f>'Habilidades'!E3255</x:f>
        <x:v>Água</x:v>
      </x:c>
      <x:c r="L314" s="1" t="str">
        <x:f>'Habilidades'!F3255</x:f>
        <x:v>Especial</x:v>
      </x:c>
      <x:c r="M314" s="10" t="n">
        <x:f>'Habilidades'!G3255</x:f>
        <x:v>110</x:v>
      </x:c>
      <x:c r="N314" s="10" t="n">
        <x:f>'Habilidades'!I3255</x:f>
        <x:v>170</x:v>
      </x:c>
      <x:c r="O314" s="1" t="str">
        <x:f>'Habilidades'!D3256&amp;" ("&amp;'Habilidades'!I3256&amp;")"</x:f>
        <x:v>Air Slash (135)</x:v>
      </x:c>
      <x:c r="P314" s="1" t="str">
        <x:f>'Habilidades'!D3257&amp;" ("&amp;'Habilidades'!I3257&amp;")"</x:f>
        <x:v>Bubble Beam (125)</x:v>
      </x:c>
      <x:c r="Q314" s="1" t="str">
        <x:f>'Habilidades'!D3258&amp;" ("&amp;'Habilidades'!I3258&amp;")"</x:f>
        <x:v>Water Pulse (120)</x:v>
      </x:c>
      <x:c r="R314" s="1" t="str">
        <x:f>'Habilidades'!D3259&amp;" ("&amp;'Habilidades'!I3259&amp;")"</x:f>
        <x:v>Take Down (110)</x:v>
      </x:c>
      <x:c r="S314" s="9" t="str">
        <x:v>https://poke.idleworld.online/pokepedia/pokemon/mantyke</x:v>
      </x:c>
    </x:row>
    <x:row r="315" ht="22" customHeight="1">
      <x:c r="A315" s="1" t="n">
        <x:v>305</x:v>
      </x:c>
      <x:c r="B315" s="1" t="n">
        <x:v>690</x:v>
      </x:c>
      <x:c r="C315" s="1" t="str">
        <x:v>Skrelp</x:v>
      </x:c>
      <x:c r="D315" s="1" t="str">
        <x:v>Venenoso</x:v>
      </x:c>
      <x:c r="E315" s="1" t="str">
        <x:v>Água</x:v>
      </x:c>
      <x:c r="F315" s="10" t="n">
        <x:v>60</x:v>
      </x:c>
      <x:c r="G315" s="10" t="n">
        <x:v>60</x:v>
      </x:c>
      <x:c r="H315" s="10" t="n">
        <x:f>MAX(F315:G315)</x:f>
        <x:v>60</x:v>
      </x:c>
      <x:c r="I315" s="1" t="str">
        <x:f>'Pokémon'!M401</x:f>
        <x:v>Empate</x:v>
      </x:c>
      <x:c r="J315" s="1" t="str">
        <x:f>'Habilidades'!D3708</x:f>
        <x:v>Hydro Pump</x:v>
      </x:c>
      <x:c r="K315" s="1" t="str">
        <x:f>'Habilidades'!E3708</x:f>
        <x:v>Água</x:v>
      </x:c>
      <x:c r="L315" s="1" t="str">
        <x:f>'Habilidades'!F3708</x:f>
        <x:v>Especial</x:v>
      </x:c>
      <x:c r="M315" s="10" t="n">
        <x:f>'Habilidades'!G3708</x:f>
        <x:v>110</x:v>
      </x:c>
      <x:c r="N315" s="10" t="n">
        <x:f>'Habilidades'!I3708</x:f>
        <x:v>170</x:v>
      </x:c>
      <x:c r="O315" s="1" t="str">
        <x:f>'Habilidades'!D3709&amp;" ("&amp;'Habilidades'!I3709&amp;")"</x:f>
        <x:v>Aqua Tail (150)</x:v>
      </x:c>
      <x:c r="P315" s="1" t="str">
        <x:f>'Habilidades'!D3710&amp;" ("&amp;'Habilidades'!I3710&amp;")"</x:f>
        <x:v>Sludge Bomb (150)</x:v>
      </x:c>
      <x:c r="Q315" s="1" t="str">
        <x:f>'Habilidades'!D3711&amp;" ("&amp;'Habilidades'!I3711&amp;")"</x:f>
        <x:v>Dragon Pulse (145)</x:v>
      </x:c>
      <x:c r="R315" s="1" t="str">
        <x:f>'Habilidades'!D3712&amp;" ("&amp;'Habilidades'!I3712&amp;")"</x:f>
        <x:v>Feint Attack (120)</x:v>
      </x:c>
      <x:c r="S315" s="9" t="str">
        <x:v>https://poke.idleworld.online/pokepedia/pokemon/skrelp</x:v>
      </x:c>
    </x:row>
    <x:row r="316" ht="22" customHeight="1">
      <x:c r="A316" s="1" t="n">
        <x:v>305</x:v>
      </x:c>
      <x:c r="B316" s="1" t="n">
        <x:v>104</x:v>
      </x:c>
      <x:c r="C316" s="1" t="str">
        <x:v>Cubone</x:v>
      </x:c>
      <x:c r="D316" s="1" t="str">
        <x:v>Terrestre</x:v>
      </x:c>
      <x:c r="E316" s="1" t="str"/>
      <x:c r="F316" s="10" t="n">
        <x:v>50</x:v>
      </x:c>
      <x:c r="G316" s="10" t="n">
        <x:v>40</x:v>
      </x:c>
      <x:c r="H316" s="10" t="n">
        <x:f>MAX(F316:G316)</x:f>
        <x:v>50</x:v>
      </x:c>
      <x:c r="I316" s="1" t="str">
        <x:f>'Pokémon'!M108</x:f>
        <x:v>Física</x:v>
      </x:c>
      <x:c r="J316" s="1" t="str">
        <x:f>'Habilidades'!D974</x:f>
        <x:v>Thrash</x:v>
      </x:c>
      <x:c r="K316" s="1" t="str">
        <x:f>'Habilidades'!E974</x:f>
        <x:v>Normal</x:v>
      </x:c>
      <x:c r="L316" s="1" t="str">
        <x:f>'Habilidades'!F974</x:f>
        <x:v>Física</x:v>
      </x:c>
      <x:c r="M316" s="10" t="n">
        <x:f>'Habilidades'!G974</x:f>
        <x:v>120</x:v>
      </x:c>
      <x:c r="N316" s="10" t="n">
        <x:f>'Habilidades'!I974</x:f>
        <x:v>170</x:v>
      </x:c>
      <x:c r="O316" s="1" t="str">
        <x:f>'Habilidades'!D975&amp;" ("&amp;'Habilidades'!I975&amp;")"</x:f>
        <x:v>Double-Edge (170)</x:v>
      </x:c>
      <x:c r="P316" s="1" t="str">
        <x:f>'Habilidades'!D976&amp;" ("&amp;'Habilidades'!I976&amp;")"</x:f>
        <x:v>Headbutt (120)</x:v>
      </x:c>
      <x:c r="Q316" s="1" t="str">
        <x:f>'Habilidades'!D977&amp;" ("&amp;'Habilidades'!I977&amp;")"</x:f>
        <x:v>Retaliate (120)</x:v>
      </x:c>
      <x:c r="R316" s="1" t="str">
        <x:f>'Habilidades'!D978&amp;" ("&amp;'Habilidades'!I978&amp;")"</x:f>
        <x:v>Bone club (115)</x:v>
      </x:c>
      <x:c r="S316" s="9" t="str">
        <x:v>https://poke.idleworld.online/pokepedia/pokemon/cubone</x:v>
      </x:c>
    </x:row>
    <x:row r="317" ht="22" customHeight="1">
      <x:c r="A317" s="1" t="n">
        <x:v>305</x:v>
      </x:c>
      <x:c r="B317" s="1" t="n">
        <x:v>307</x:v>
      </x:c>
      <x:c r="C317" s="1" t="str">
        <x:v>Meditite</x:v>
      </x:c>
      <x:c r="D317" s="1" t="str">
        <x:v>Lutador</x:v>
      </x:c>
      <x:c r="E317" s="1" t="str">
        <x:v>Psíquico</x:v>
      </x:c>
      <x:c r="F317" s="10" t="n">
        <x:v>40</x:v>
      </x:c>
      <x:c r="G317" s="10" t="n">
        <x:v>40</x:v>
      </x:c>
      <x:c r="H317" s="10" t="n">
        <x:f>MAX(F317:G317)</x:f>
        <x:v>40</x:v>
      </x:c>
      <x:c r="I317" s="1" t="str">
        <x:f>'Pokémon'!M291</x:f>
        <x:v>Empate</x:v>
      </x:c>
      <x:c r="J317" s="1" t="str">
        <x:f>'Habilidades'!D2676</x:f>
        <x:v>High Jump Kick</x:v>
      </x:c>
      <x:c r="K317" s="1" t="str">
        <x:f>'Habilidades'!E2676</x:f>
        <x:v>Lutador</x:v>
      </x:c>
      <x:c r="L317" s="1" t="str">
        <x:f>'Habilidades'!F2676</x:f>
        <x:v>Física</x:v>
      </x:c>
      <x:c r="M317" s="10" t="n">
        <x:f>'Habilidades'!G2676</x:f>
        <x:v>130</x:v>
      </x:c>
      <x:c r="N317" s="10" t="n">
        <x:f>'Habilidades'!I2676</x:f>
        <x:v>170</x:v>
      </x:c>
      <x:c r="O317" s="1" t="str">
        <x:f>'Habilidades'!D2677&amp;" ("&amp;'Habilidades'!I2677&amp;")"</x:f>
        <x:v>Force Palm (100)</x:v>
      </x:c>
      <x:c r="P317" s="1" t="str">
        <x:f>'Habilidades'!D2678&amp;" ("&amp;'Habilidades'!I2678&amp;")"</x:f>
        <x:v>Hidden Power (100)</x:v>
      </x:c>
      <x:c r="Q317" s="1" t="str">
        <x:f>'Habilidades'!D2679&amp;" ("&amp;'Habilidades'!I2679&amp;")"</x:f>
        <x:v>Confusion (90)</x:v>
      </x:c>
      <x:c r="R317" s="1" t="str">
        <x:f>'Habilidades'!D2680&amp;" ("&amp;'Habilidades'!I2680&amp;")"</x:f>
        <x:v>Feint (70)</x:v>
      </x:c>
      <x:c r="S317" s="9" t="str">
        <x:v>https://poke.idleworld.online/pokepedia/pokemon/meditite</x:v>
      </x:c>
    </x:row>
    <x:row r="318" ht="22" customHeight="1">
      <x:c r="A318" s="1" t="n">
        <x:v>314</x:v>
      </x:c>
      <x:c r="B318" s="1" t="n">
        <x:v>1</x:v>
      </x:c>
      <x:c r="C318" s="1" t="str">
        <x:v>Bulbasaur</x:v>
      </x:c>
      <x:c r="D318" s="1" t="str">
        <x:v>Planta</x:v>
      </x:c>
      <x:c r="E318" s="1" t="str">
        <x:v>Venenoso</x:v>
      </x:c>
      <x:c r="F318" s="10" t="n">
        <x:v>49</x:v>
      </x:c>
      <x:c r="G318" s="10" t="n">
        <x:v>65</x:v>
      </x:c>
      <x:c r="H318" s="10" t="n">
        <x:f>MAX(F318:G318)</x:f>
        <x:v>65</x:v>
      </x:c>
      <x:c r="I318" s="1" t="str">
        <x:f>'Pokémon'!M5</x:f>
        <x:v>Especial</x:v>
      </x:c>
      <x:c r="J318" s="1" t="str">
        <x:f>'Habilidades'!D5</x:f>
        <x:v>Double-Edge</x:v>
      </x:c>
      <x:c r="K318" s="1" t="str">
        <x:f>'Habilidades'!E5</x:f>
        <x:v>Normal</x:v>
      </x:c>
      <x:c r="L318" s="1" t="str">
        <x:f>'Habilidades'!F5</x:f>
        <x:v>Física</x:v>
      </x:c>
      <x:c r="M318" s="10" t="n">
        <x:f>'Habilidades'!G5</x:f>
        <x:v>120</x:v>
      </x:c>
      <x:c r="N318" s="10" t="n">
        <x:f>'Habilidades'!I5</x:f>
        <x:v>169</x:v>
      </x:c>
      <x:c r="O318" s="1" t="str">
        <x:f>'Habilidades'!D6&amp;" ("&amp;'Habilidades'!I6&amp;")"</x:f>
        <x:v>Take Down (139)</x:v>
      </x:c>
      <x:c r="P318" s="1" t="str">
        <x:f>'Habilidades'!D7&amp;" ("&amp;'Habilidades'!I7&amp;")"</x:f>
        <x:v>Seed Bomb (129)</x:v>
      </x:c>
      <x:c r="Q318" s="1" t="str">
        <x:f>'Habilidades'!D8&amp;" ("&amp;'Habilidades'!I8&amp;")"</x:f>
        <x:v>Razor Leaf (104)</x:v>
      </x:c>
      <x:c r="R318" s="1" t="str">
        <x:f>'Habilidades'!D9&amp;" ("&amp;'Habilidades'!I9&amp;")"</x:f>
        <x:v>Tackle (99)</x:v>
      </x:c>
      <x:c r="S318" s="9" t="str">
        <x:v>https://poke.idleworld.online/pokepedia/pokemon/bulbasaur</x:v>
      </x:c>
    </x:row>
    <x:row r="319" ht="22" customHeight="1">
      <x:c r="A319" s="1" t="n">
        <x:v>314</x:v>
      </x:c>
      <x:c r="B319" s="1" t="n">
        <x:v>152</x:v>
      </x:c>
      <x:c r="C319" s="1" t="str">
        <x:v>Chikorita</x:v>
      </x:c>
      <x:c r="D319" s="1" t="str">
        <x:v>Planta</x:v>
      </x:c>
      <x:c r="E319" s="1" t="str"/>
      <x:c r="F319" s="10" t="n">
        <x:v>49</x:v>
      </x:c>
      <x:c r="G319" s="10" t="n">
        <x:v>49</x:v>
      </x:c>
      <x:c r="H319" s="10" t="n">
        <x:f>MAX(F319:G319)</x:f>
        <x:v>49</x:v>
      </x:c>
      <x:c r="I319" s="1" t="str">
        <x:f>'Pokémon'!M156</x:f>
        <x:v>Empate</x:v>
      </x:c>
      <x:c r="J319" s="1" t="str">
        <x:f>'Habilidades'!D1467</x:f>
        <x:v>Solar Beam</x:v>
      </x:c>
      <x:c r="K319" s="1" t="str">
        <x:f>'Habilidades'!E1467</x:f>
        <x:v>Planta</x:v>
      </x:c>
      <x:c r="L319" s="1" t="str">
        <x:f>'Habilidades'!F1467</x:f>
        <x:v>Especial</x:v>
      </x:c>
      <x:c r="M319" s="10" t="n">
        <x:f>'Habilidades'!G1467</x:f>
        <x:v>120</x:v>
      </x:c>
      <x:c r="N319" s="10" t="n">
        <x:f>'Habilidades'!I1467</x:f>
        <x:v>169</x:v>
      </x:c>
      <x:c r="O319" s="1" t="str">
        <x:f>'Habilidades'!D1468&amp;" ("&amp;'Habilidades'!I1468&amp;")"</x:f>
        <x:v>Body Slam (134)</x:v>
      </x:c>
      <x:c r="P319" s="1" t="str">
        <x:f>'Habilidades'!D1469&amp;" ("&amp;'Habilidades'!I1469&amp;")"</x:f>
        <x:v>Magical Leaf (109)</x:v>
      </x:c>
      <x:c r="Q319" s="1" t="str">
        <x:f>'Habilidades'!D1470&amp;" ("&amp;'Habilidades'!I1470&amp;")"</x:f>
        <x:v>Razor Leaf (104)</x:v>
      </x:c>
      <x:c r="R319" s="1" t="str">
        <x:f>'Habilidades'!D1471&amp;" ("&amp;'Habilidades'!I1471&amp;")"</x:f>
        <x:v>Tackle (99)</x:v>
      </x:c>
      <x:c r="S319" s="9" t="str">
        <x:v>https://poke.idleworld.online/pokepedia/pokemon/chikorita</x:v>
      </x:c>
    </x:row>
    <x:row r="320" ht="22" customHeight="1">
      <x:c r="A320" s="1" t="n">
        <x:v>316</x:v>
      </x:c>
      <x:c r="B320" s="1" t="n">
        <x:v>514</x:v>
      </x:c>
      <x:c r="C320" s="1" t="str">
        <x:v>Simisear</x:v>
      </x:c>
      <x:c r="D320" s="1" t="str">
        <x:v>Fogo</x:v>
      </x:c>
      <x:c r="E320" s="1" t="str"/>
      <x:c r="F320" s="10" t="n">
        <x:v>98</x:v>
      </x:c>
      <x:c r="G320" s="10" t="n">
        <x:v>98</x:v>
      </x:c>
      <x:c r="H320" s="10" t="n">
        <x:f>MAX(F320:G320)</x:f>
        <x:v>98</x:v>
      </x:c>
      <x:c r="I320" s="1" t="str">
        <x:f>'Pokémon'!M366</x:f>
        <x:v>Empate</x:v>
      </x:c>
      <x:c r="J320" s="1" t="str">
        <x:f>'Habilidades'!D3396</x:f>
        <x:v>Flame Burst</x:v>
      </x:c>
      <x:c r="K320" s="1" t="str">
        <x:f>'Habilidades'!E3396</x:f>
        <x:v>Fogo</x:v>
      </x:c>
      <x:c r="L320" s="1" t="str">
        <x:f>'Habilidades'!F3396</x:f>
        <x:v>Especial</x:v>
      </x:c>
      <x:c r="M320" s="10" t="n">
        <x:f>'Habilidades'!G3396</x:f>
        <x:v>70</x:v>
      </x:c>
      <x:c r="N320" s="10" t="n">
        <x:f>'Habilidades'!I3396</x:f>
        <x:v>168</x:v>
      </x:c>
      <x:c r="O320" s="1" t="str">
        <x:f>'Habilidades'!D3397&amp;" ("&amp;'Habilidades'!I3397&amp;")"</x:f>
        <x:v>Lick (128)</x:v>
      </x:c>
      <x:c r="P320" s="1" t="str">
        <x:f>'Habilidades'!D3398&amp;" ("&amp;'Habilidades'!I3398&amp;")"</x:f>
        <x:v>Fury Swipes (116)</x:v>
      </x:c>
      <x:c r="Q320" s="1" t="str">
        <x:f>""</x:f>
      </x:c>
      <x:c r="R320" s="1" t="str">
        <x:f>""</x:f>
      </x:c>
      <x:c r="S320" s="9" t="str">
        <x:v>https://poke.idleworld.online/pokepedia/pokemon/simisear</x:v>
      </x:c>
    </x:row>
    <x:row r="321" ht="22" customHeight="1">
      <x:c r="A321" s="1" t="n">
        <x:v>316</x:v>
      </x:c>
      <x:c r="B321" s="1" t="n">
        <x:v>564</x:v>
      </x:c>
      <x:c r="C321" s="1" t="str">
        <x:v>Tirtouga</x:v>
      </x:c>
      <x:c r="D321" s="1" t="str">
        <x:v>Água</x:v>
      </x:c>
      <x:c r="E321" s="1" t="str">
        <x:v>Pedra</x:v>
      </x:c>
      <x:c r="F321" s="10" t="n">
        <x:v>78</x:v>
      </x:c>
      <x:c r="G321" s="10" t="n">
        <x:v>53</x:v>
      </x:c>
      <x:c r="H321" s="10" t="n">
        <x:f>MAX(F321:G321)</x:f>
        <x:v>78</x:v>
      </x:c>
      <x:c r="I321" s="1" t="str">
        <x:f>'Pokémon'!M373</x:f>
        <x:v>Física</x:v>
      </x:c>
      <x:c r="J321" s="1" t="str">
        <x:f>'Habilidades'!D3442</x:f>
        <x:v>Aqua Tail</x:v>
      </x:c>
      <x:c r="K321" s="1" t="str">
        <x:f>'Habilidades'!E3442</x:f>
        <x:v>Água</x:v>
      </x:c>
      <x:c r="L321" s="1" t="str">
        <x:f>'Habilidades'!F3442</x:f>
        <x:v>Física</x:v>
      </x:c>
      <x:c r="M321" s="10" t="n">
        <x:f>'Habilidades'!G3442</x:f>
        <x:v>90</x:v>
      </x:c>
      <x:c r="N321" s="10" t="n">
        <x:f>'Habilidades'!I3442</x:f>
        <x:v>168</x:v>
      </x:c>
      <x:c r="O321" s="1" t="str">
        <x:f>'Habilidades'!D3443&amp;" ("&amp;'Habilidades'!I3443&amp;")"</x:f>
        <x:v>Hydro Pump (163)</x:v>
      </x:c>
      <x:c r="P321" s="1" t="str">
        <x:f>'Habilidades'!D3444&amp;" ("&amp;'Habilidades'!I3444&amp;")"</x:f>
        <x:v>Crunch (158)</x:v>
      </x:c>
      <x:c r="Q321" s="1" t="str">
        <x:f>'Habilidades'!D3445&amp;" ("&amp;'Habilidades'!I3445&amp;")"</x:f>
        <x:v>Rock Slide (153)</x:v>
      </x:c>
      <x:c r="R321" s="1" t="str">
        <x:f>'Habilidades'!D3446&amp;" ("&amp;'Habilidades'!I3446&amp;")"</x:f>
        <x:v>Bite (138)</x:v>
      </x:c>
      <x:c r="S321" s="9" t="str">
        <x:v>https://poke.idleworld.online/pokepedia/pokemon/tirtouga</x:v>
      </x:c>
    </x:row>
    <x:row r="322" ht="22" customHeight="1">
      <x:c r="A322" s="1" t="n">
        <x:v>318</x:v>
      </x:c>
      <x:c r="B322" s="1" t="n">
        <x:v>674</x:v>
      </x:c>
      <x:c r="C322" s="1" t="str">
        <x:v>Pancham</x:v>
      </x:c>
      <x:c r="D322" s="1" t="str">
        <x:v>Lutador</x:v>
      </x:c>
      <x:c r="E322" s="1" t="str"/>
      <x:c r="F322" s="10" t="n">
        <x:v>82</x:v>
      </x:c>
      <x:c r="G322" s="10" t="n">
        <x:v>46</x:v>
      </x:c>
      <x:c r="H322" s="10" t="n">
        <x:f>MAX(F322:G322)</x:f>
        <x:v>82</x:v>
      </x:c>
      <x:c r="I322" s="1" t="str">
        <x:f>'Pokémon'!M397</x:f>
        <x:v>Física</x:v>
      </x:c>
      <x:c r="J322" s="1" t="str">
        <x:f>'Habilidades'!D3670</x:f>
        <x:v>Body Slam</x:v>
      </x:c>
      <x:c r="K322" s="1" t="str">
        <x:f>'Habilidades'!E3670</x:f>
        <x:v>Normal</x:v>
      </x:c>
      <x:c r="L322" s="1" t="str">
        <x:f>'Habilidades'!F3670</x:f>
        <x:v>Física</x:v>
      </x:c>
      <x:c r="M322" s="10" t="n">
        <x:f>'Habilidades'!G3670</x:f>
        <x:v>85</x:v>
      </x:c>
      <x:c r="N322" s="10" t="n">
        <x:f>'Habilidades'!I3670</x:f>
        <x:v>167</x:v>
      </x:c>
      <x:c r="O322" s="1" t="str">
        <x:f>'Habilidades'!D3671&amp;" ("&amp;'Habilidades'!I3671&amp;")"</x:f>
        <x:v>Sky Uppercut (167)</x:v>
      </x:c>
      <x:c r="P322" s="1" t="str">
        <x:f>'Habilidades'!D3672&amp;" ("&amp;'Habilidades'!I3672&amp;")"</x:f>
        <x:v>Crunch (162)</x:v>
      </x:c>
      <x:c r="Q322" s="1" t="str">
        <x:f>'Habilidades'!D3673&amp;" ("&amp;'Habilidades'!I3673&amp;")"</x:f>
        <x:v>Slash (152)</x:v>
      </x:c>
      <x:c r="R322" s="1" t="str">
        <x:f>'Habilidades'!D3674&amp;" ("&amp;'Habilidades'!I3674&amp;")"</x:f>
        <x:v>Vital Throw (152)</x:v>
      </x:c>
      <x:c r="S322" s="9" t="str">
        <x:v>https://poke.idleworld.online/pokepedia/pokemon/pancham</x:v>
      </x:c>
    </x:row>
    <x:row r="323" ht="22" customHeight="1">
      <x:c r="A323" s="1" t="n">
        <x:v>319</x:v>
      </x:c>
      <x:c r="B323" s="1" t="n">
        <x:v>170</x:v>
      </x:c>
      <x:c r="C323" s="1" t="str">
        <x:v>Chinchou</x:v>
      </x:c>
      <x:c r="D323" s="1" t="str">
        <x:v>Água</x:v>
      </x:c>
      <x:c r="E323" s="1" t="str">
        <x:v>Elétrico</x:v>
      </x:c>
      <x:c r="F323" s="10" t="n">
        <x:v>38</x:v>
      </x:c>
      <x:c r="G323" s="10" t="n">
        <x:v>56</x:v>
      </x:c>
      <x:c r="H323" s="10" t="n">
        <x:f>MAX(F323:G323)</x:f>
        <x:v>56</x:v>
      </x:c>
      <x:c r="I323" s="1" t="str">
        <x:f>'Pokémon'!M174</x:f>
        <x:v>Especial</x:v>
      </x:c>
      <x:c r="J323" s="1" t="str">
        <x:f>'Habilidades'!D1647</x:f>
        <x:v>Hydro Pump</x:v>
      </x:c>
      <x:c r="K323" s="1" t="str">
        <x:f>'Habilidades'!E1647</x:f>
        <x:v>Água</x:v>
      </x:c>
      <x:c r="L323" s="1" t="str">
        <x:f>'Habilidades'!F1647</x:f>
        <x:v>Especial</x:v>
      </x:c>
      <x:c r="M323" s="10" t="n">
        <x:f>'Habilidades'!G1647</x:f>
        <x:v>110</x:v>
      </x:c>
      <x:c r="N323" s="10" t="n">
        <x:f>'Habilidades'!I1647</x:f>
        <x:v>166</x:v>
      </x:c>
      <x:c r="O323" s="1" t="str">
        <x:f>'Habilidades'!D1648&amp;" ("&amp;'Habilidades'!I1648&amp;")"</x:f>
        <x:v>Discharge (136)</x:v>
      </x:c>
      <x:c r="P323" s="1" t="str">
        <x:f>'Habilidades'!D1649&amp;" ("&amp;'Habilidades'!I1649&amp;")"</x:f>
        <x:v>Signal Beam (131)</x:v>
      </x:c>
      <x:c r="Q323" s="1" t="str">
        <x:f>'Habilidades'!D1650&amp;" ("&amp;'Habilidades'!I1650&amp;")"</x:f>
        <x:v>Take Down (128)</x:v>
      </x:c>
      <x:c r="R323" s="1" t="str">
        <x:f>'Habilidades'!D1651&amp;" ("&amp;'Habilidades'!I1651&amp;")"</x:f>
        <x:v>Bubble Beam (121)</x:v>
      </x:c>
      <x:c r="S323" s="9" t="str">
        <x:v>https://poke.idleworld.online/pokepedia/pokemon/chinchou</x:v>
      </x:c>
    </x:row>
    <x:row r="324" ht="22" customHeight="1">
      <x:c r="A324" s="1" t="n">
        <x:v>319</x:v>
      </x:c>
      <x:c r="B324" s="1" t="n">
        <x:v>339</x:v>
      </x:c>
      <x:c r="C324" s="1" t="str">
        <x:v>Barboach</x:v>
      </x:c>
      <x:c r="D324" s="1" t="str">
        <x:v>Água</x:v>
      </x:c>
      <x:c r="E324" s="1" t="str">
        <x:v>Terrestre</x:v>
      </x:c>
      <x:c r="F324" s="10" t="n">
        <x:v>48</x:v>
      </x:c>
      <x:c r="G324" s="10" t="n">
        <x:v>46</x:v>
      </x:c>
      <x:c r="H324" s="10" t="n">
        <x:f>MAX(F324:G324)</x:f>
        <x:v>48</x:v>
      </x:c>
      <x:c r="I324" s="1" t="str">
        <x:f>'Pokémon'!M312</x:f>
        <x:v>Física</x:v>
      </x:c>
      <x:c r="J324" s="1" t="str">
        <x:f>'Habilidades'!D2897</x:f>
        <x:v>Future Sight</x:v>
      </x:c>
      <x:c r="K324" s="1" t="str">
        <x:f>'Habilidades'!E2897</x:f>
        <x:v>Psíquico</x:v>
      </x:c>
      <x:c r="L324" s="1" t="str">
        <x:f>'Habilidades'!F2897</x:f>
        <x:v>Especial</x:v>
      </x:c>
      <x:c r="M324" s="10" t="n">
        <x:f>'Habilidades'!G2897</x:f>
        <x:v>120</x:v>
      </x:c>
      <x:c r="N324" s="10" t="n">
        <x:f>'Habilidades'!I2897</x:f>
        <x:v>166</x:v>
      </x:c>
      <x:c r="O324" s="1" t="str">
        <x:f>'Habilidades'!D2898&amp;" ("&amp;'Habilidades'!I2898&amp;")"</x:f>
        <x:v>Earthquake (148)</x:v>
      </x:c>
      <x:c r="P324" s="1" t="str">
        <x:f>'Habilidades'!D2899&amp;" ("&amp;'Habilidades'!I2899&amp;")"</x:f>
        <x:v>Aqua Tail (138)</x:v>
      </x:c>
      <x:c r="Q324" s="1" t="str">
        <x:f>'Habilidades'!D2900&amp;" ("&amp;'Habilidades'!I2900&amp;")"</x:f>
        <x:v>Muddy Water (136)</x:v>
      </x:c>
      <x:c r="R324" s="1" t="str">
        <x:f>'Habilidades'!D2901&amp;" ("&amp;'Habilidades'!I2901&amp;")"</x:f>
        <x:v>Mud Bomb (111)</x:v>
      </x:c>
      <x:c r="S324" s="9" t="str">
        <x:v>https://poke.idleworld.online/pokepedia/pokemon/barboach</x:v>
      </x:c>
    </x:row>
    <x:row r="325" ht="22" customHeight="1">
      <x:c r="A325" s="1" t="n">
        <x:v>321</x:v>
      </x:c>
      <x:c r="B325" s="1" t="n">
        <x:v>215</x:v>
      </x:c>
      <x:c r="C325" s="1" t="str">
        <x:v>Sneasel</x:v>
      </x:c>
      <x:c r="D325" s="1" t="str">
        <x:v>Sombrio</x:v>
      </x:c>
      <x:c r="E325" s="1" t="str">
        <x:v>Gelo</x:v>
      </x:c>
      <x:c r="F325" s="10" t="n">
        <x:v>95</x:v>
      </x:c>
      <x:c r="G325" s="10" t="n">
        <x:v>35</x:v>
      </x:c>
      <x:c r="H325" s="10" t="n">
        <x:f>MAX(F325:G325)</x:f>
        <x:v>95</x:v>
      </x:c>
      <x:c r="I325" s="1" t="str">
        <x:f>'Pokémon'!M218</x:f>
        <x:v>Física</x:v>
      </x:c>
      <x:c r="J325" s="1" t="str">
        <x:f>'Habilidades'!D2014</x:f>
        <x:v>Slash</x:v>
      </x:c>
      <x:c r="K325" s="1" t="str">
        <x:f>'Habilidades'!E2014</x:f>
        <x:v>Normal</x:v>
      </x:c>
      <x:c r="L325" s="1" t="str">
        <x:f>'Habilidades'!F2014</x:f>
        <x:v>Física</x:v>
      </x:c>
      <x:c r="M325" s="10" t="n">
        <x:f>'Habilidades'!G2014</x:f>
        <x:v>70</x:v>
      </x:c>
      <x:c r="N325" s="10" t="n">
        <x:f>'Habilidades'!I2014</x:f>
        <x:v>165</x:v>
      </x:c>
      <x:c r="O325" s="1" t="str">
        <x:f>'Habilidades'!D2015&amp;" ("&amp;'Habilidades'!I2015&amp;")"</x:f>
        <x:v>Feint Attack (155)</x:v>
      </x:c>
      <x:c r="P325" s="1" t="str">
        <x:f>'Habilidades'!D2016&amp;" ("&amp;'Habilidades'!I2016&amp;")"</x:f>
        <x:v>Metal Claw (145)</x:v>
      </x:c>
      <x:c r="Q325" s="1" t="str">
        <x:f>'Habilidades'!D2017&amp;" ("&amp;'Habilidades'!I2017&amp;")"</x:f>
        <x:v>Scratch (135)</x:v>
      </x:c>
      <x:c r="R325" s="1" t="str">
        <x:f>'Habilidades'!D2018&amp;" ("&amp;'Habilidades'!I2018&amp;")"</x:f>
        <x:v>Quick Attack (135)</x:v>
      </x:c>
      <x:c r="S325" s="9" t="str">
        <x:v>https://poke.idleworld.online/pokepedia/pokemon/sneasel</x:v>
      </x:c>
    </x:row>
    <x:row r="326" ht="22" customHeight="1">
      <x:c r="A326" s="1" t="n">
        <x:v>321</x:v>
      </x:c>
      <x:c r="B326" s="1" t="n">
        <x:v>200</x:v>
      </x:c>
      <x:c r="C326" s="1" t="str">
        <x:v>Misdreavus</x:v>
      </x:c>
      <x:c r="D326" s="1" t="str">
        <x:v>Fantasma</x:v>
      </x:c>
      <x:c r="E326" s="1" t="str"/>
      <x:c r="F326" s="10" t="n">
        <x:v>60</x:v>
      </x:c>
      <x:c r="G326" s="10" t="n">
        <x:v>85</x:v>
      </x:c>
      <x:c r="H326" s="10" t="n">
        <x:f>MAX(F326:G326)</x:f>
        <x:v>85</x:v>
      </x:c>
      <x:c r="I326" s="1" t="str">
        <x:f>'Pokémon'!M204</x:f>
        <x:v>Especial</x:v>
      </x:c>
      <x:c r="J326" s="1" t="str">
        <x:f>'Habilidades'!D1869</x:f>
        <x:v>Shadow Ball</x:v>
      </x:c>
      <x:c r="K326" s="1" t="str">
        <x:f>'Habilidades'!E1869</x:f>
        <x:v>Fantasma</x:v>
      </x:c>
      <x:c r="L326" s="1" t="str">
        <x:f>'Habilidades'!F1869</x:f>
        <x:v>Especial</x:v>
      </x:c>
      <x:c r="M326" s="10" t="n">
        <x:f>'Habilidades'!G1869</x:f>
        <x:v>80</x:v>
      </x:c>
      <x:c r="N326" s="10" t="n">
        <x:f>'Habilidades'!I1869</x:f>
        <x:v>165</x:v>
      </x:c>
      <x:c r="O326" s="1" t="str">
        <x:f>'Habilidades'!D1870&amp;" ("&amp;'Habilidades'!I1870&amp;")"</x:f>
        <x:v>Power Gem (165)</x:v>
      </x:c>
      <x:c r="P326" s="1" t="str">
        <x:f>'Habilidades'!D1871&amp;" ("&amp;'Habilidades'!I1871&amp;")"</x:f>
        <x:v>Hex (150)</x:v>
      </x:c>
      <x:c r="Q326" s="1" t="str">
        <x:f>'Habilidades'!D1872&amp;" ("&amp;'Habilidades'!I1872&amp;")"</x:f>
        <x:v>Psybeam (150)</x:v>
      </x:c>
      <x:c r="R326" s="1" t="str">
        <x:f>'Habilidades'!D1873&amp;" ("&amp;'Habilidades'!I1873&amp;")"</x:f>
        <x:v>Payback (110)</x:v>
      </x:c>
      <x:c r="S326" s="9" t="str">
        <x:v>https://poke.idleworld.online/pokepedia/pokemon/misdreavus</x:v>
      </x:c>
    </x:row>
    <x:row r="327" ht="22" customHeight="1">
      <x:c r="A327" s="1" t="n">
        <x:v>321</x:v>
      </x:c>
      <x:c r="B327" s="1" t="n">
        <x:v>241</x:v>
      </x:c>
      <x:c r="C327" s="1" t="str">
        <x:v>Miltank</x:v>
      </x:c>
      <x:c r="D327" s="1" t="str">
        <x:v>Normal</x:v>
      </x:c>
      <x:c r="E327" s="1" t="str"/>
      <x:c r="F327" s="10" t="n">
        <x:v>80</x:v>
      </x:c>
      <x:c r="G327" s="10" t="n">
        <x:v>40</x:v>
      </x:c>
      <x:c r="H327" s="10" t="n">
        <x:f>MAX(F327:G327)</x:f>
        <x:v>80</x:v>
      </x:c>
      <x:c r="I327" s="1" t="str">
        <x:f>'Pokémon'!M244</x:f>
        <x:v>Física</x:v>
      </x:c>
      <x:c r="J327" s="1" t="str">
        <x:f>'Habilidades'!D2246</x:f>
        <x:v>Body Slam</x:v>
      </x:c>
      <x:c r="K327" s="1" t="str">
        <x:f>'Habilidades'!E2246</x:f>
        <x:v>Normal</x:v>
      </x:c>
      <x:c r="L327" s="1" t="str">
        <x:f>'Habilidades'!F2246</x:f>
        <x:v>Física</x:v>
      </x:c>
      <x:c r="M327" s="10" t="n">
        <x:f>'Habilidades'!G2246</x:f>
        <x:v>85</x:v>
      </x:c>
      <x:c r="N327" s="10" t="n">
        <x:f>'Habilidades'!I2246</x:f>
        <x:v>165</x:v>
      </x:c>
      <x:c r="O327" s="1" t="str">
        <x:f>'Habilidades'!D2247&amp;" ("&amp;'Habilidades'!I2247&amp;")"</x:f>
        <x:v>Zen Headbutt (160)</x:v>
      </x:c>
      <x:c r="P327" s="1" t="str">
        <x:f>'Habilidades'!D2248&amp;" ("&amp;'Habilidades'!I2248&amp;")"</x:f>
        <x:v>Wake-Up Slap (150)</x:v>
      </x:c>
      <x:c r="Q327" s="1" t="str">
        <x:f>'Habilidades'!D2249&amp;" ("&amp;'Habilidades'!I2249&amp;")"</x:f>
        <x:v>Stomp (145)</x:v>
      </x:c>
      <x:c r="R327" s="1" t="str">
        <x:f>'Habilidades'!D2250&amp;" ("&amp;'Habilidades'!I2250&amp;")"</x:f>
        <x:v>Tackle (130)</x:v>
      </x:c>
      <x:c r="S327" s="9" t="str">
        <x:v>https://poke.idleworld.online/pokepedia/pokemon/miltank</x:v>
      </x:c>
    </x:row>
    <x:row r="328" ht="22" customHeight="1">
      <x:c r="A328" s="1" t="n">
        <x:v>321</x:v>
      </x:c>
      <x:c r="B328" s="1" t="n">
        <x:v>744</x:v>
      </x:c>
      <x:c r="C328" s="1" t="str">
        <x:v>Rockruff</x:v>
      </x:c>
      <x:c r="D328" s="1" t="str">
        <x:v>Pedra</x:v>
      </x:c>
      <x:c r="E328" s="1" t="str"/>
      <x:c r="F328" s="10" t="n">
        <x:v>65</x:v>
      </x:c>
      <x:c r="G328" s="10" t="n">
        <x:v>30</x:v>
      </x:c>
      <x:c r="H328" s="10" t="n">
        <x:f>MAX(F328:G328)</x:f>
        <x:v>65</x:v>
      </x:c>
      <x:c r="I328" s="1" t="str">
        <x:f>'Pokémon'!M407</x:f>
        <x:v>Física</x:v>
      </x:c>
      <x:c r="J328" s="1" t="str">
        <x:f>'Habilidades'!D3765</x:f>
        <x:v>Stone Edge</x:v>
      </x:c>
      <x:c r="K328" s="1" t="str">
        <x:f>'Habilidades'!E3765</x:f>
        <x:v>Pedra</x:v>
      </x:c>
      <x:c r="L328" s="1" t="str">
        <x:f>'Habilidades'!F3765</x:f>
        <x:v>Física</x:v>
      </x:c>
      <x:c r="M328" s="10" t="n">
        <x:f>'Habilidades'!G3765</x:f>
        <x:v>100</x:v>
      </x:c>
      <x:c r="N328" s="10" t="n">
        <x:f>'Habilidades'!I3765</x:f>
        <x:v>165</x:v>
      </x:c>
      <x:c r="O328" s="1" t="str">
        <x:f>'Habilidades'!D3766&amp;" ("&amp;'Habilidades'!I3766&amp;")"</x:f>
        <x:v>Crunch (145)</x:v>
      </x:c>
      <x:c r="P328" s="1" t="str">
        <x:f>'Habilidades'!D3767&amp;" ("&amp;'Habilidades'!I3767&amp;")"</x:f>
        <x:v>Rock Slide (140)</x:v>
      </x:c>
      <x:c r="Q328" s="1" t="str">
        <x:f>'Habilidades'!D3768&amp;" ("&amp;'Habilidades'!I3768&amp;")"</x:f>
        <x:v>Rock Tomb (125)</x:v>
      </x:c>
      <x:c r="R328" s="1" t="str">
        <x:f>'Habilidades'!D3769&amp;" ("&amp;'Habilidades'!I3769&amp;")"</x:f>
        <x:v>Rock Throw (115)</x:v>
      </x:c>
      <x:c r="S328" s="9" t="str">
        <x:v>https://poke.idleworld.online/pokepedia/pokemon/rockruff</x:v>
      </x:c>
    </x:row>
    <x:row r="329" ht="22" customHeight="1">
      <x:c r="A329" s="1" t="n">
        <x:v>321</x:v>
      </x:c>
      <x:c r="B329" s="1" t="n">
        <x:v>278</x:v>
      </x:c>
      <x:c r="C329" s="1" t="str">
        <x:v>Wingull</x:v>
      </x:c>
      <x:c r="D329" s="1" t="str">
        <x:v>Água</x:v>
      </x:c>
      <x:c r="E329" s="1" t="str">
        <x:v>Voador</x:v>
      </x:c>
      <x:c r="F329" s="10" t="n">
        <x:v>30</x:v>
      </x:c>
      <x:c r="G329" s="10" t="n">
        <x:v>55</x:v>
      </x:c>
      <x:c r="H329" s="10" t="n">
        <x:f>MAX(F329:G329)</x:f>
        <x:v>55</x:v>
      </x:c>
      <x:c r="I329" s="1" t="str">
        <x:f>'Pokémon'!M274</x:f>
        <x:v>Especial</x:v>
      </x:c>
      <x:c r="J329" s="1" t="str">
        <x:f>'Habilidades'!D2508</x:f>
        <x:v>Hurricane</x:v>
      </x:c>
      <x:c r="K329" s="1" t="str">
        <x:f>'Habilidades'!E2508</x:f>
        <x:v>Voador</x:v>
      </x:c>
      <x:c r="L329" s="1" t="str">
        <x:f>'Habilidades'!F2508</x:f>
        <x:v>Especial</x:v>
      </x:c>
      <x:c r="M329" s="10" t="n">
        <x:f>'Habilidades'!G2508</x:f>
        <x:v>110</x:v>
      </x:c>
      <x:c r="N329" s="10" t="n">
        <x:f>'Habilidades'!I2508</x:f>
        <x:v>165</x:v>
      </x:c>
      <x:c r="O329" s="1" t="str">
        <x:f>'Habilidades'!D2509&amp;" ("&amp;'Habilidades'!I2509&amp;")"</x:f>
        <x:v>Air Slash (130)</x:v>
      </x:c>
      <x:c r="P329" s="1" t="str">
        <x:f>'Habilidades'!D2510&amp;" ("&amp;'Habilidades'!I2510&amp;")"</x:f>
        <x:v>Water Pulse (115)</x:v>
      </x:c>
      <x:c r="Q329" s="1" t="str">
        <x:f>'Habilidades'!D2511&amp;" ("&amp;'Habilidades'!I2511&amp;")"</x:f>
        <x:v>Air Cutter (115)</x:v>
      </x:c>
      <x:c r="R329" s="1" t="str">
        <x:f>'Habilidades'!D2512&amp;" ("&amp;'Habilidades'!I2512&amp;")"</x:f>
        <x:v>Water Gun (95)</x:v>
      </x:c>
      <x:c r="S329" s="9" t="str">
        <x:v>https://poke.idleworld.online/pokepedia/pokemon/wingull</x:v>
      </x:c>
    </x:row>
    <x:row r="330" ht="22" customHeight="1">
      <x:c r="A330" s="1" t="n">
        <x:v>321</x:v>
      </x:c>
      <x:c r="B330" s="1" t="n">
        <x:v>363</x:v>
      </x:c>
      <x:c r="C330" s="1" t="str">
        <x:v>Spheal</x:v>
      </x:c>
      <x:c r="D330" s="1" t="str">
        <x:v>Gelo</x:v>
      </x:c>
      <x:c r="E330" s="1" t="str">
        <x:v>Água</x:v>
      </x:c>
      <x:c r="F330" s="10" t="n">
        <x:v>40</x:v>
      </x:c>
      <x:c r="G330" s="10" t="n">
        <x:v>55</x:v>
      </x:c>
      <x:c r="H330" s="10" t="n">
        <x:f>MAX(F330:G330)</x:f>
        <x:v>55</x:v>
      </x:c>
      <x:c r="I330" s="1" t="str">
        <x:f>'Pokémon'!M328</x:f>
        <x:v>Especial</x:v>
      </x:c>
      <x:c r="J330" s="1" t="str">
        <x:f>'Habilidades'!D3049</x:f>
        <x:v>Blizzard</x:v>
      </x:c>
      <x:c r="K330" s="1" t="str">
        <x:f>'Habilidades'!E3049</x:f>
        <x:v>Gelo</x:v>
      </x:c>
      <x:c r="L330" s="1" t="str">
        <x:f>'Habilidades'!F3049</x:f>
        <x:v>Especial</x:v>
      </x:c>
      <x:c r="M330" s="10" t="n">
        <x:f>'Habilidades'!G3049</x:f>
        <x:v>110</x:v>
      </x:c>
      <x:c r="N330" s="10" t="n">
        <x:f>'Habilidades'!I3049</x:f>
        <x:v>165</x:v>
      </x:c>
      <x:c r="O330" s="1" t="str">
        <x:f>'Habilidades'!D3050&amp;" ("&amp;'Habilidades'!I3050&amp;")"</x:f>
        <x:v>Body Slam (125)</x:v>
      </x:c>
      <x:c r="P330" s="1" t="str">
        <x:f>'Habilidades'!D3051&amp;" ("&amp;'Habilidades'!I3051&amp;")"</x:f>
        <x:v>Brine (120)</x:v>
      </x:c>
      <x:c r="Q330" s="1" t="str">
        <x:f>'Habilidades'!D3052&amp;" ("&amp;'Habilidades'!I3052&amp;")"</x:f>
        <x:v>Aurora Beam (120)</x:v>
      </x:c>
      <x:c r="R330" s="1" t="str">
        <x:f>'Habilidades'!D3053&amp;" ("&amp;'Habilidades'!I3053&amp;")"</x:f>
        <x:v>Snore (105)</x:v>
      </x:c>
      <x:c r="S330" s="9" t="str">
        <x:v>https://poke.idleworld.online/pokepedia/pokemon/spheal</x:v>
      </x:c>
    </x:row>
    <x:row r="331" ht="22" customHeight="1">
      <x:c r="A331" s="1" t="n">
        <x:v>321</x:v>
      </x:c>
      <x:c r="B331" s="1" t="n">
        <x:v>39</x:v>
      </x:c>
      <x:c r="C331" s="1" t="str">
        <x:v>Jigglypuff</x:v>
      </x:c>
      <x:c r="D331" s="1" t="str">
        <x:v>Normal</x:v>
      </x:c>
      <x:c r="E331" s="1" t="str">
        <x:v>Fada</x:v>
      </x:c>
      <x:c r="F331" s="10" t="n">
        <x:v>45</x:v>
      </x:c>
      <x:c r="G331" s="10" t="n">
        <x:v>45</x:v>
      </x:c>
      <x:c r="H331" s="10" t="n">
        <x:f>MAX(F331:G331)</x:f>
        <x:v>45</x:v>
      </x:c>
      <x:c r="I331" s="1" t="str">
        <x:f>'Pokémon'!M43</x:f>
        <x:v>Empate</x:v>
      </x:c>
      <x:c r="J331" s="1" t="str">
        <x:f>'Habilidades'!D325</x:f>
        <x:v>Double-Edge</x:v>
      </x:c>
      <x:c r="K331" s="1" t="str">
        <x:f>'Habilidades'!E325</x:f>
        <x:v>Normal</x:v>
      </x:c>
      <x:c r="L331" s="1" t="str">
        <x:f>'Habilidades'!F325</x:f>
        <x:v>Física</x:v>
      </x:c>
      <x:c r="M331" s="10" t="n">
        <x:f>'Habilidades'!G325</x:f>
        <x:v>120</x:v>
      </x:c>
      <x:c r="N331" s="10" t="n">
        <x:f>'Habilidades'!I325</x:f>
        <x:v>165</x:v>
      </x:c>
      <x:c r="O331" s="1" t="str">
        <x:f>'Habilidades'!D326&amp;" ("&amp;'Habilidades'!I326&amp;")"</x:f>
        <x:v>Hyper Voice (135)</x:v>
      </x:c>
      <x:c r="P331" s="1" t="str">
        <x:f>'Habilidades'!D327&amp;" ("&amp;'Habilidades'!I327&amp;")"</x:f>
        <x:v>Body Slam (130)</x:v>
      </x:c>
      <x:c r="Q331" s="1" t="str">
        <x:f>'Habilidades'!D328&amp;" ("&amp;'Habilidades'!I328&amp;")"</x:f>
        <x:v>Wake-Up Slap (115)</x:v>
      </x:c>
      <x:c r="R331" s="1" t="str">
        <x:f>'Habilidades'!D329&amp;" ("&amp;'Habilidades'!I329&amp;")"</x:f>
        <x:v>Round (105)</x:v>
      </x:c>
      <x:c r="S331" s="9" t="str">
        <x:v>https://poke.idleworld.online/pokepedia/pokemon/jigglypuff</x:v>
      </x:c>
    </x:row>
    <x:row r="332" ht="22" customHeight="1">
      <x:c r="A332" s="1" t="n">
        <x:v>321</x:v>
      </x:c>
      <x:c r="B332" s="1" t="n">
        <x:v>95</x:v>
      </x:c>
      <x:c r="C332" s="1" t="str">
        <x:v>Onix</x:v>
      </x:c>
      <x:c r="D332" s="1" t="str">
        <x:v>Pedra</x:v>
      </x:c>
      <x:c r="E332" s="1" t="str">
        <x:v>Terrestre</x:v>
      </x:c>
      <x:c r="F332" s="10" t="n">
        <x:v>45</x:v>
      </x:c>
      <x:c r="G332" s="10" t="n">
        <x:v>30</x:v>
      </x:c>
      <x:c r="H332" s="10" t="n">
        <x:f>MAX(F332:G332)</x:f>
        <x:v>45</x:v>
      </x:c>
      <x:c r="I332" s="1" t="str">
        <x:f>'Pokémon'!M99</x:f>
        <x:v>Física</x:v>
      </x:c>
      <x:c r="J332" s="1" t="str">
        <x:f>'Habilidades'!D882</x:f>
        <x:v>Double-Edge</x:v>
      </x:c>
      <x:c r="K332" s="1" t="str">
        <x:f>'Habilidades'!E882</x:f>
        <x:v>Normal</x:v>
      </x:c>
      <x:c r="L332" s="1" t="str">
        <x:f>'Habilidades'!F882</x:f>
        <x:v>Física</x:v>
      </x:c>
      <x:c r="M332" s="10" t="n">
        <x:f>'Habilidades'!G882</x:f>
        <x:v>120</x:v>
      </x:c>
      <x:c r="N332" s="10" t="n">
        <x:f>'Habilidades'!I882</x:f>
        <x:v>165</x:v>
      </x:c>
      <x:c r="O332" s="1" t="str">
        <x:f>'Habilidades'!D883&amp;" ("&amp;'Habilidades'!I883&amp;")"</x:f>
        <x:v>Iron Tail (145)</x:v>
      </x:c>
      <x:c r="P332" s="1" t="str">
        <x:f>'Habilidades'!D884&amp;" ("&amp;'Habilidades'!I884&amp;")"</x:f>
        <x:v>Stone Edge (145)</x:v>
      </x:c>
      <x:c r="Q332" s="1" t="str">
        <x:f>'Habilidades'!D885&amp;" ("&amp;'Habilidades'!I885&amp;")"</x:f>
        <x:v>Slam (125)</x:v>
      </x:c>
      <x:c r="R332" s="1" t="str">
        <x:f>'Habilidades'!D886&amp;" ("&amp;'Habilidades'!I886&amp;")"</x:f>
        <x:v>Dig (125)</x:v>
      </x:c>
      <x:c r="S332" s="9" t="str">
        <x:v>https://poke.idleworld.online/pokepedia/pokemon/onix</x:v>
      </x:c>
    </x:row>
    <x:row r="333" ht="22" customHeight="1">
      <x:c r="A333" s="1" t="n">
        <x:v>321</x:v>
      </x:c>
      <x:c r="B333" s="1" t="n">
        <x:v>280</x:v>
      </x:c>
      <x:c r="C333" s="1" t="str">
        <x:v>Ralts</x:v>
      </x:c>
      <x:c r="D333" s="1" t="str">
        <x:v>Psíquico</x:v>
      </x:c>
      <x:c r="E333" s="1" t="str">
        <x:v>Fada</x:v>
      </x:c>
      <x:c r="F333" s="10" t="n">
        <x:v>25</x:v>
      </x:c>
      <x:c r="G333" s="10" t="n">
        <x:v>45</x:v>
      </x:c>
      <x:c r="H333" s="10" t="n">
        <x:f>MAX(F333:G333)</x:f>
        <x:v>45</x:v>
      </x:c>
      <x:c r="I333" s="1" t="str">
        <x:f>'Pokémon'!M276</x:f>
        <x:v>Especial</x:v>
      </x:c>
      <x:c r="J333" s="1" t="str">
        <x:f>'Habilidades'!D2528</x:f>
        <x:v>Future Sight</x:v>
      </x:c>
      <x:c r="K333" s="1" t="str">
        <x:f>'Habilidades'!E2528</x:f>
        <x:v>Psíquico</x:v>
      </x:c>
      <x:c r="L333" s="1" t="str">
        <x:f>'Habilidades'!F2528</x:f>
        <x:v>Especial</x:v>
      </x:c>
      <x:c r="M333" s="10" t="n">
        <x:f>'Habilidades'!G2528</x:f>
        <x:v>120</x:v>
      </x:c>
      <x:c r="N333" s="10" t="n">
        <x:f>'Habilidades'!I2528</x:f>
        <x:v>165</x:v>
      </x:c>
      <x:c r="O333" s="1" t="str">
        <x:f>'Habilidades'!D2529&amp;" ("&amp;'Habilidades'!I2529&amp;")"</x:f>
        <x:v>Dream Eater (145)</x:v>
      </x:c>
      <x:c r="P333" s="1" t="str">
        <x:f>'Habilidades'!D2530&amp;" ("&amp;'Habilidades'!I2530&amp;")"</x:f>
        <x:v>Psychic (135)</x:v>
      </x:c>
      <x:c r="Q333" s="1" t="str">
        <x:f>'Habilidades'!D2531&amp;" ("&amp;'Habilidades'!I2531&amp;")"</x:f>
        <x:v>Magical Leaf (105)</x:v>
      </x:c>
      <x:c r="R333" s="1" t="str">
        <x:f>'Habilidades'!D2532&amp;" ("&amp;'Habilidades'!I2532&amp;")"</x:f>
        <x:v>Confusion (95)</x:v>
      </x:c>
      <x:c r="S333" s="9" t="str">
        <x:v>https://poke.idleworld.online/pokepedia/pokemon/ralts</x:v>
      </x:c>
    </x:row>
    <x:row r="334" ht="22" customHeight="1">
      <x:c r="A334" s="1" t="n">
        <x:v>321</x:v>
      </x:c>
      <x:c r="B334" s="1" t="n">
        <x:v>543</x:v>
      </x:c>
      <x:c r="C334" s="1" t="str">
        <x:v>Venipede</x:v>
      </x:c>
      <x:c r="D334" s="1" t="str">
        <x:v>Inseto</x:v>
      </x:c>
      <x:c r="E334" s="1" t="str">
        <x:v>Venenoso</x:v>
      </x:c>
      <x:c r="F334" s="10" t="n">
        <x:v>45</x:v>
      </x:c>
      <x:c r="G334" s="10" t="n">
        <x:v>30</x:v>
      </x:c>
      <x:c r="H334" s="10" t="n">
        <x:f>MAX(F334:G334)</x:f>
        <x:v>45</x:v>
      </x:c>
      <x:c r="I334" s="1" t="str">
        <x:f>'Pokémon'!M369</x:f>
        <x:v>Física</x:v>
      </x:c>
      <x:c r="J334" s="1" t="str">
        <x:f>'Habilidades'!D3413</x:f>
        <x:v>Double-Edge</x:v>
      </x:c>
      <x:c r="K334" s="1" t="str">
        <x:f>'Habilidades'!E3413</x:f>
        <x:v>Normal</x:v>
      </x:c>
      <x:c r="L334" s="1" t="str">
        <x:f>'Habilidades'!F3413</x:f>
        <x:v>Física</x:v>
      </x:c>
      <x:c r="M334" s="10" t="n">
        <x:f>'Habilidades'!G3413</x:f>
        <x:v>120</x:v>
      </x:c>
      <x:c r="N334" s="10" t="n">
        <x:f>'Habilidades'!I3413</x:f>
        <x:v>165</x:v>
      </x:c>
      <x:c r="O334" s="1" t="str">
        <x:f>'Habilidades'!D3414&amp;" ("&amp;'Habilidades'!I3414&amp;")"</x:f>
        <x:v>Rock Climb (135)</x:v>
      </x:c>
      <x:c r="P334" s="1" t="str">
        <x:f>'Habilidades'!D3415&amp;" ("&amp;'Habilidades'!I3415&amp;")"</x:f>
        <x:v>Steamroller (110)</x:v>
      </x:c>
      <x:c r="Q334" s="1" t="str">
        <x:f>'Habilidades'!D3416&amp;" ("&amp;'Habilidades'!I3416&amp;")"</x:f>
        <x:v>Bug Bite (105)</x:v>
      </x:c>
      <x:c r="R334" s="1" t="str">
        <x:f>'Habilidades'!D3417&amp;" ("&amp;'Habilidades'!I3417&amp;")"</x:f>
        <x:v>Venoshock (95)</x:v>
      </x:c>
      <x:c r="S334" s="9" t="str">
        <x:v>https://poke.idleworld.online/pokepedia/pokemon/venipede</x:v>
      </x:c>
    </x:row>
    <x:row r="335" ht="22" customHeight="1">
      <x:c r="A335" s="1" t="n">
        <x:v>331</x:v>
      </x:c>
      <x:c r="B335" s="1" t="n">
        <x:v>96</x:v>
      </x:c>
      <x:c r="C335" s="1" t="str">
        <x:v>Drowzee</x:v>
      </x:c>
      <x:c r="D335" s="1" t="str">
        <x:v>Psíquico</x:v>
      </x:c>
      <x:c r="E335" s="1" t="str"/>
      <x:c r="F335" s="10" t="n">
        <x:v>48</x:v>
      </x:c>
      <x:c r="G335" s="10" t="n">
        <x:v>43</x:v>
      </x:c>
      <x:c r="H335" s="10" t="n">
        <x:f>MAX(F335:G335)</x:f>
        <x:v>48</x:v>
      </x:c>
      <x:c r="I335" s="1" t="str">
        <x:f>'Pokémon'!M100</x:f>
        <x:v>Física</x:v>
      </x:c>
      <x:c r="J335" s="1" t="str">
        <x:f>'Habilidades'!D898</x:f>
        <x:v>Synchronoise</x:v>
      </x:c>
      <x:c r="K335" s="1" t="str">
        <x:f>'Habilidades'!E898</x:f>
        <x:v>Psíquico</x:v>
      </x:c>
      <x:c r="L335" s="1" t="str">
        <x:f>'Habilidades'!F898</x:f>
        <x:v>Especial</x:v>
      </x:c>
      <x:c r="M335" s="10" t="n">
        <x:f>'Habilidades'!G898</x:f>
        <x:v>120</x:v>
      </x:c>
      <x:c r="N335" s="10" t="n">
        <x:f>'Habilidades'!I898</x:f>
        <x:v>163</x:v>
      </x:c>
      <x:c r="O335" s="1" t="str">
        <x:f>'Habilidades'!D899&amp;" ("&amp;'Habilidades'!I899&amp;")"</x:f>
        <x:v>Future Sight (163)</x:v>
      </x:c>
      <x:c r="P335" s="1" t="str">
        <x:f>'Habilidades'!D900&amp;" ("&amp;'Habilidades'!I900&amp;")"</x:f>
        <x:v>Psychic (133)</x:v>
      </x:c>
      <x:c r="Q335" s="1" t="str">
        <x:f>'Habilidades'!D901&amp;" ("&amp;'Habilidades'!I901&amp;")"</x:f>
        <x:v>Zen Headbutt (128)</x:v>
      </x:c>
      <x:c r="R335" s="1" t="str">
        <x:f>'Habilidades'!D902&amp;" ("&amp;'Habilidades'!I902&amp;")"</x:f>
        <x:v>Psyshock (123)</x:v>
      </x:c>
      <x:c r="S335" s="9" t="str">
        <x:v>https://poke.idleworld.online/pokepedia/pokemon/drowzee</x:v>
      </x:c>
    </x:row>
    <x:row r="336" ht="22" customHeight="1">
      <x:c r="A336" s="1" t="n">
        <x:v>332</x:v>
      </x:c>
      <x:c r="B336" s="1" t="n">
        <x:v>410</x:v>
      </x:c>
      <x:c r="C336" s="1" t="str">
        <x:v>Shieldon</x:v>
      </x:c>
      <x:c r="D336" s="1" t="str">
        <x:v>Pedra</x:v>
      </x:c>
      <x:c r="E336" s="1" t="str">
        <x:v>Aço</x:v>
      </x:c>
      <x:c r="F336" s="10" t="n">
        <x:v>42</x:v>
      </x:c>
      <x:c r="G336" s="10" t="n">
        <x:v>42</x:v>
      </x:c>
      <x:c r="H336" s="10" t="n">
        <x:f>MAX(F336:G336)</x:f>
        <x:v>42</x:v>
      </x:c>
      <x:c r="I336" s="1" t="str">
        <x:f>'Pokémon'!M341</x:f>
        <x:v>Empate</x:v>
      </x:c>
      <x:c r="J336" s="1" t="str">
        <x:f>'Habilidades'!D3175</x:f>
        <x:v>Heavy Slam</x:v>
      </x:c>
      <x:c r="K336" s="1" t="str">
        <x:f>'Habilidades'!E3175</x:f>
        <x:v>Aço</x:v>
      </x:c>
      <x:c r="L336" s="1" t="str">
        <x:f>'Habilidades'!F3175</x:f>
        <x:v>Física</x:v>
      </x:c>
      <x:c r="M336" s="10" t="n">
        <x:f>'Habilidades'!G3175</x:f>
        <x:v>120</x:v>
      </x:c>
      <x:c r="N336" s="10" t="n">
        <x:f>'Habilidades'!I3175</x:f>
        <x:v>162</x:v>
      </x:c>
      <x:c r="O336" s="1" t="str">
        <x:f>'Habilidades'!D3176&amp;" ("&amp;'Habilidades'!I3176&amp;")"</x:f>
        <x:v>Take Down (132)</x:v>
      </x:c>
      <x:c r="P336" s="1" t="str">
        <x:f>'Habilidades'!D3177&amp;" ("&amp;'Habilidades'!I3177&amp;")"</x:f>
        <x:v>Iron Head (122)</x:v>
      </x:c>
      <x:c r="Q336" s="1" t="str">
        <x:f>'Habilidades'!D3178&amp;" ("&amp;'Habilidades'!I3178&amp;")"</x:f>
        <x:v>Ancient Power (102)</x:v>
      </x:c>
      <x:c r="R336" s="1" t="str">
        <x:f>'Habilidades'!D3179&amp;" ("&amp;'Habilidades'!I3179&amp;")"</x:f>
        <x:v>Tackle (92)</x:v>
      </x:c>
      <x:c r="S336" s="9" t="str">
        <x:v>https://poke.idleworld.online/pokepedia/pokemon/shieldon</x:v>
      </x:c>
    </x:row>
    <x:row r="337" ht="22" customHeight="1">
      <x:c r="A337" s="1" t="n">
        <x:v>333</x:v>
      </x:c>
      <x:c r="B337" s="1" t="n">
        <x:v>53</x:v>
      </x:c>
      <x:c r="C337" s="1" t="str">
        <x:v>Persian</x:v>
      </x:c>
      <x:c r="D337" s="1" t="str">
        <x:v>Normal</x:v>
      </x:c>
      <x:c r="E337" s="1" t="str"/>
      <x:c r="F337" s="10" t="n">
        <x:v>70</x:v>
      </x:c>
      <x:c r="G337" s="10" t="n">
        <x:v>65</x:v>
      </x:c>
      <x:c r="H337" s="10" t="n">
        <x:f>MAX(F337:G337)</x:f>
        <x:v>70</x:v>
      </x:c>
      <x:c r="I337" s="1" t="str">
        <x:f>'Pokémon'!M57</x:f>
        <x:v>Física</x:v>
      </x:c>
      <x:c r="J337" s="1" t="str">
        <x:f>'Habilidades'!D468</x:f>
        <x:v>Play Rough</x:v>
      </x:c>
      <x:c r="K337" s="1" t="str">
        <x:f>'Habilidades'!E468</x:f>
        <x:v>Fada</x:v>
      </x:c>
      <x:c r="L337" s="1" t="str">
        <x:f>'Habilidades'!F468</x:f>
        <x:v>Física</x:v>
      </x:c>
      <x:c r="M337" s="10" t="n">
        <x:f>'Habilidades'!G468</x:f>
        <x:v>90</x:v>
      </x:c>
      <x:c r="N337" s="10" t="n">
        <x:f>'Habilidades'!I468</x:f>
        <x:v>160</x:v>
      </x:c>
      <x:c r="O337" s="1" t="str">
        <x:f>'Habilidades'!D469&amp;" ("&amp;'Habilidades'!I469&amp;")"</x:f>
        <x:v>Power Gem (145)</x:v>
      </x:c>
      <x:c r="P337" s="1" t="str">
        <x:f>'Habilidades'!D470&amp;" ("&amp;'Habilidades'!I470&amp;")"</x:f>
        <x:v>Slash (140)</x:v>
      </x:c>
      <x:c r="Q337" s="1" t="str">
        <x:f>'Habilidades'!D471&amp;" ("&amp;'Habilidades'!I471&amp;")"</x:f>
        <x:v>Night Slash (140)</x:v>
      </x:c>
      <x:c r="R337" s="1" t="str">
        <x:f>'Habilidades'!D472&amp;" ("&amp;'Habilidades'!I472&amp;")"</x:f>
        <x:v>Bite (130)</x:v>
      </x:c>
      <x:c r="S337" s="9" t="str">
        <x:v>https://poke.idleworld.online/pokepedia/pokemon/persian</x:v>
      </x:c>
    </x:row>
    <x:row r="338" ht="22" customHeight="1">
      <x:c r="A338" s="1" t="n">
        <x:v>333</x:v>
      </x:c>
      <x:c r="B338" s="1" t="n">
        <x:v>218</x:v>
      </x:c>
      <x:c r="C338" s="1" t="str">
        <x:v>Slugma</x:v>
      </x:c>
      <x:c r="D338" s="1" t="str">
        <x:v>Fogo</x:v>
      </x:c>
      <x:c r="E338" s="1" t="str"/>
      <x:c r="F338" s="10" t="n">
        <x:v>40</x:v>
      </x:c>
      <x:c r="G338" s="10" t="n">
        <x:v>70</x:v>
      </x:c>
      <x:c r="H338" s="10" t="n">
        <x:f>MAX(F338:G338)</x:f>
        <x:v>70</x:v>
      </x:c>
      <x:c r="I338" s="1" t="str">
        <x:f>'Pokémon'!M221</x:f>
        <x:v>Especial</x:v>
      </x:c>
      <x:c r="J338" s="1" t="str">
        <x:f>'Habilidades'!D2039</x:f>
        <x:v>Flamethrower</x:v>
      </x:c>
      <x:c r="K338" s="1" t="str">
        <x:f>'Habilidades'!E2039</x:f>
        <x:v>Fogo</x:v>
      </x:c>
      <x:c r="L338" s="1" t="str">
        <x:f>'Habilidades'!F2039</x:f>
        <x:v>Especial</x:v>
      </x:c>
      <x:c r="M338" s="10" t="n">
        <x:f>'Habilidades'!G2039</x:f>
        <x:v>90</x:v>
      </x:c>
      <x:c r="N338" s="10" t="n">
        <x:f>'Habilidades'!I2039</x:f>
        <x:v>160</x:v>
      </x:c>
      <x:c r="O338" s="1" t="str">
        <x:f>'Habilidades'!D2040&amp;" ("&amp;'Habilidades'!I2040&amp;")"</x:f>
        <x:v>Earth Power (160)</x:v>
      </x:c>
      <x:c r="P338" s="1" t="str">
        <x:f>'Habilidades'!D2041&amp;" ("&amp;'Habilidades'!I2041&amp;")"</x:f>
        <x:v>Lava Plume (150)</x:v>
      </x:c>
      <x:c r="Q338" s="1" t="str">
        <x:f>'Habilidades'!D2042&amp;" ("&amp;'Habilidades'!I2042&amp;")"</x:f>
        <x:v>Flame Burst (140)</x:v>
      </x:c>
      <x:c r="R338" s="1" t="str">
        <x:f>'Habilidades'!D2043&amp;" ("&amp;'Habilidades'!I2043&amp;")"</x:f>
        <x:v>Incinerate (130)</x:v>
      </x:c>
      <x:c r="S338" s="9" t="str">
        <x:v>https://poke.idleworld.online/pokepedia/pokemon/slugma</x:v>
      </x:c>
    </x:row>
    <x:row r="339" ht="22" customHeight="1">
      <x:c r="A339" s="1" t="n">
        <x:v>333</x:v>
      </x:c>
      <x:c r="B339" s="1" t="n">
        <x:v>255</x:v>
      </x:c>
      <x:c r="C339" s="1" t="str">
        <x:v>Torchic</x:v>
      </x:c>
      <x:c r="D339" s="1" t="str">
        <x:v>Fogo</x:v>
      </x:c>
      <x:c r="E339" s="1" t="str"/>
      <x:c r="F339" s="10" t="n">
        <x:v>60</x:v>
      </x:c>
      <x:c r="G339" s="10" t="n">
        <x:v>70</x:v>
      </x:c>
      <x:c r="H339" s="10" t="n">
        <x:f>MAX(F339:G339)</x:f>
        <x:v>70</x:v>
      </x:c>
      <x:c r="I339" s="1" t="str">
        <x:f>'Pokémon'!M258</x:f>
        <x:v>Especial</x:v>
      </x:c>
      <x:c r="J339" s="1" t="str">
        <x:f>'Habilidades'!D2385</x:f>
        <x:v>Flamethrower</x:v>
      </x:c>
      <x:c r="K339" s="1" t="str">
        <x:f>'Habilidades'!E2385</x:f>
        <x:v>Fogo</x:v>
      </x:c>
      <x:c r="L339" s="1" t="str">
        <x:f>'Habilidades'!F2385</x:f>
        <x:v>Especial</x:v>
      </x:c>
      <x:c r="M339" s="10" t="n">
        <x:f>'Habilidades'!G2385</x:f>
        <x:v>90</x:v>
      </x:c>
      <x:c r="N339" s="10" t="n">
        <x:f>'Habilidades'!I2385</x:f>
        <x:v>160</x:v>
      </x:c>
      <x:c r="O339" s="1" t="str">
        <x:f>'Habilidades'!D2386&amp;" ("&amp;'Habilidades'!I2386&amp;")"</x:f>
        <x:v>Flame Burst (140)</x:v>
      </x:c>
      <x:c r="P339" s="1" t="str">
        <x:f>'Habilidades'!D2387&amp;" ("&amp;'Habilidades'!I2387&amp;")"</x:f>
        <x:v>Slash (130)</x:v>
      </x:c>
      <x:c r="Q339" s="1" t="str">
        <x:f>'Habilidades'!D2388&amp;" ("&amp;'Habilidades'!I2388&amp;")"</x:f>
        <x:v>Ember (110)</x:v>
      </x:c>
      <x:c r="R339" s="1" t="str">
        <x:f>'Habilidades'!D2389&amp;" ("&amp;'Habilidades'!I2389&amp;")"</x:f>
        <x:v>Fire Spin (105)</x:v>
      </x:c>
      <x:c r="S339" s="9" t="str">
        <x:v>https://poke.idleworld.online/pokepedia/pokemon/torchic</x:v>
      </x:c>
    </x:row>
    <x:row r="340" ht="22" customHeight="1">
      <x:c r="A340" s="1" t="n">
        <x:v>333</x:v>
      </x:c>
      <x:c r="B340" s="1" t="n">
        <x:v>258</x:v>
      </x:c>
      <x:c r="C340" s="1" t="str">
        <x:v>Mudkip</x:v>
      </x:c>
      <x:c r="D340" s="1" t="str">
        <x:v>Água</x:v>
      </x:c>
      <x:c r="E340" s="1" t="str"/>
      <x:c r="F340" s="10" t="n">
        <x:v>70</x:v>
      </x:c>
      <x:c r="G340" s="10" t="n">
        <x:v>50</x:v>
      </x:c>
      <x:c r="H340" s="10" t="n">
        <x:f>MAX(F340:G340)</x:f>
        <x:v>70</x:v>
      </x:c>
      <x:c r="I340" s="1" t="str">
        <x:f>'Pokémon'!M261</x:f>
        <x:v>Física</x:v>
      </x:c>
      <x:c r="J340" s="1" t="str">
        <x:f>'Habilidades'!D2417</x:f>
        <x:v>Hydro Pump</x:v>
      </x:c>
      <x:c r="K340" s="1" t="str">
        <x:f>'Habilidades'!E2417</x:f>
        <x:v>Água</x:v>
      </x:c>
      <x:c r="L340" s="1" t="str">
        <x:f>'Habilidades'!F2417</x:f>
        <x:v>Especial</x:v>
      </x:c>
      <x:c r="M340" s="10" t="n">
        <x:f>'Habilidades'!G2417</x:f>
        <x:v>110</x:v>
      </x:c>
      <x:c r="N340" s="10" t="n">
        <x:f>'Habilidades'!I2417</x:f>
        <x:v>160</x:v>
      </x:c>
      <x:c r="O340" s="1" t="str">
        <x:f>'Habilidades'!D2418&amp;" ("&amp;'Habilidades'!I2418&amp;")"</x:f>
        <x:v>Take Down (160)</x:v>
      </x:c>
      <x:c r="P340" s="1" t="str">
        <x:f>'Habilidades'!D2419&amp;" ("&amp;'Habilidades'!I2419&amp;")"</x:f>
        <x:v>Tackle (120)</x:v>
      </x:c>
      <x:c r="Q340" s="1" t="str">
        <x:f>'Habilidades'!D2420&amp;" ("&amp;'Habilidades'!I2420&amp;")"</x:f>
        <x:v>Rock Throw (120)</x:v>
      </x:c>
      <x:c r="R340" s="1" t="str">
        <x:f>'Habilidades'!D2421&amp;" ("&amp;'Habilidades'!I2421&amp;")"</x:f>
        <x:v>Water Gun (90)</x:v>
      </x:c>
      <x:c r="S340" s="9" t="str">
        <x:v>https://poke.idleworld.online/pokepedia/pokemon/mudkip</x:v>
      </x:c>
    </x:row>
    <x:row r="341" ht="22" customHeight="1">
      <x:c r="A341" s="1" t="n">
        <x:v>333</x:v>
      </x:c>
      <x:c r="B341" s="1" t="n">
        <x:v>274</x:v>
      </x:c>
      <x:c r="C341" s="1" t="str">
        <x:v>Nuzleaf</x:v>
      </x:c>
      <x:c r="D341" s="1" t="str">
        <x:v>Planta</x:v>
      </x:c>
      <x:c r="E341" s="1" t="str">
        <x:v>Sombrio</x:v>
      </x:c>
      <x:c r="F341" s="10" t="n">
        <x:v>70</x:v>
      </x:c>
      <x:c r="G341" s="10" t="n">
        <x:v>60</x:v>
      </x:c>
      <x:c r="H341" s="10" t="n">
        <x:f>MAX(F341:G341)</x:f>
        <x:v>70</x:v>
      </x:c>
      <x:c r="I341" s="1" t="str">
        <x:f>'Pokémon'!M270</x:f>
        <x:v>Física</x:v>
      </x:c>
      <x:c r="J341" s="1" t="str">
        <x:f>'Habilidades'!D2482</x:f>
        <x:v>Leaf Blade</x:v>
      </x:c>
      <x:c r="K341" s="1" t="str">
        <x:f>'Habilidades'!E2482</x:f>
        <x:v>Planta</x:v>
      </x:c>
      <x:c r="L341" s="1" t="str">
        <x:f>'Habilidades'!F2482</x:f>
        <x:v>Física</x:v>
      </x:c>
      <x:c r="M341" s="10" t="n">
        <x:f>'Habilidades'!G2482</x:f>
        <x:v>90</x:v>
      </x:c>
      <x:c r="N341" s="10" t="n">
        <x:f>'Habilidades'!I2482</x:f>
        <x:v>160</x:v>
      </x:c>
      <x:c r="O341" s="1" t="str">
        <x:f>'Habilidades'!D2483&amp;" ("&amp;'Habilidades'!I2483&amp;")"</x:f>
        <x:v>Razor Wind (140)</x:v>
      </x:c>
      <x:c r="P341" s="1" t="str">
        <x:f>'Habilidades'!D2484&amp;" ("&amp;'Habilidades'!I2484&amp;")"</x:f>
        <x:v>Extrasensory (140)</x:v>
      </x:c>
      <x:c r="Q341" s="1" t="str">
        <x:f>'Habilidades'!D2485&amp;" ("&amp;'Habilidades'!I2485&amp;")"</x:f>
        <x:v>Feint Attack (130)</x:v>
      </x:c>
      <x:c r="R341" s="1" t="str">
        <x:f>'Habilidades'!D2486&amp;" ("&amp;'Habilidades'!I2486&amp;")"</x:f>
        <x:v>Razor Leaf (125)</x:v>
      </x:c>
      <x:c r="S341" s="9" t="str">
        <x:v>https://poke.idleworld.online/pokepedia/pokemon/nuzleaf</x:v>
      </x:c>
    </x:row>
    <x:row r="342" ht="22" customHeight="1">
      <x:c r="A342" s="1" t="n">
        <x:v>333</x:v>
      </x:c>
      <x:c r="B342" s="1" t="n">
        <x:v>325</x:v>
      </x:c>
      <x:c r="C342" s="1" t="str">
        <x:v>Spoink</x:v>
      </x:c>
      <x:c r="D342" s="1" t="str">
        <x:v>Psíquico</x:v>
      </x:c>
      <x:c r="E342" s="1" t="str"/>
      <x:c r="F342" s="10" t="n">
        <x:v>25</x:v>
      </x:c>
      <x:c r="G342" s="10" t="n">
        <x:v>70</x:v>
      </x:c>
      <x:c r="H342" s="10" t="n">
        <x:f>MAX(F342:G342)</x:f>
        <x:v>70</x:v>
      </x:c>
      <x:c r="I342" s="1" t="str">
        <x:f>'Pokémon'!M300</x:f>
        <x:v>Especial</x:v>
      </x:c>
      <x:c r="J342" s="1" t="str">
        <x:f>'Habilidades'!D2759</x:f>
        <x:v>Psychic</x:v>
      </x:c>
      <x:c r="K342" s="1" t="str">
        <x:f>'Habilidades'!E2759</x:f>
        <x:v>Psíquico</x:v>
      </x:c>
      <x:c r="L342" s="1" t="str">
        <x:f>'Habilidades'!F2759</x:f>
        <x:v>Especial</x:v>
      </x:c>
      <x:c r="M342" s="10" t="n">
        <x:f>'Habilidades'!G2759</x:f>
        <x:v>90</x:v>
      </x:c>
      <x:c r="N342" s="10" t="n">
        <x:f>'Habilidades'!I2759</x:f>
        <x:v>160</x:v>
      </x:c>
      <x:c r="O342" s="1" t="str">
        <x:f>'Habilidades'!D2760&amp;" ("&amp;'Habilidades'!I2760&amp;")"</x:f>
        <x:v>Power Gem (150)</x:v>
      </x:c>
      <x:c r="P342" s="1" t="str">
        <x:f>'Habilidades'!D2761&amp;" ("&amp;'Habilidades'!I2761&amp;")"</x:f>
        <x:v>Psyshock (150)</x:v>
      </x:c>
      <x:c r="Q342" s="1" t="str">
        <x:f>'Habilidades'!D2762&amp;" ("&amp;'Habilidades'!I2762&amp;")"</x:f>
        <x:v>Psybeam (135)</x:v>
      </x:c>
      <x:c r="R342" s="1" t="str">
        <x:f>'Habilidades'!D2763&amp;" ("&amp;'Habilidades'!I2763&amp;")"</x:f>
        <x:v>Psywave (126)</x:v>
      </x:c>
      <x:c r="S342" s="9" t="str">
        <x:v>https://poke.idleworld.online/pokepedia/pokemon/spoink</x:v>
      </x:c>
    </x:row>
    <x:row r="343" ht="22" customHeight="1">
      <x:c r="A343" s="1" t="n">
        <x:v>333</x:v>
      </x:c>
      <x:c r="B343" s="1" t="n">
        <x:v>61</x:v>
      </x:c>
      <x:c r="C343" s="1" t="str">
        <x:v>Poliwhirl</x:v>
      </x:c>
      <x:c r="D343" s="1" t="str">
        <x:v>Água</x:v>
      </x:c>
      <x:c r="E343" s="1" t="str"/>
      <x:c r="F343" s="10" t="n">
        <x:v>65</x:v>
      </x:c>
      <x:c r="G343" s="10" t="n">
        <x:v>50</x:v>
      </x:c>
      <x:c r="H343" s="10" t="n">
        <x:f>MAX(F343:G343)</x:f>
        <x:v>65</x:v>
      </x:c>
      <x:c r="I343" s="1" t="str">
        <x:f>'Pokémon'!M65</x:f>
        <x:v>Física</x:v>
      </x:c>
      <x:c r="J343" s="1" t="str">
        <x:f>'Habilidades'!D543</x:f>
        <x:v>Hydro Pump</x:v>
      </x:c>
      <x:c r="K343" s="1" t="str">
        <x:f>'Habilidades'!E543</x:f>
        <x:v>Água</x:v>
      </x:c>
      <x:c r="L343" s="1" t="str">
        <x:f>'Habilidades'!F543</x:f>
        <x:v>Especial</x:v>
      </x:c>
      <x:c r="M343" s="10" t="n">
        <x:f>'Habilidades'!G543</x:f>
        <x:v>110</x:v>
      </x:c>
      <x:c r="N343" s="10" t="n">
        <x:f>'Habilidades'!I543</x:f>
        <x:v>160</x:v>
      </x:c>
      <x:c r="O343" s="1" t="str">
        <x:f>'Habilidades'!D544&amp;" ("&amp;'Habilidades'!I544&amp;")"</x:f>
        <x:v>Body Slam (150)</x:v>
      </x:c>
      <x:c r="P343" s="1" t="str">
        <x:f>'Habilidades'!D545&amp;" ("&amp;'Habilidades'!I545&amp;")"</x:f>
        <x:v>Wake-Up Slap (135)</x:v>
      </x:c>
      <x:c r="Q343" s="1" t="str">
        <x:f>'Habilidades'!D546&amp;" ("&amp;'Habilidades'!I546&amp;")"</x:f>
        <x:v>Bubble Beam (115)</x:v>
      </x:c>
      <x:c r="R343" s="1" t="str">
        <x:f>'Habilidades'!D547&amp;" ("&amp;'Habilidades'!I547&amp;")"</x:f>
        <x:v>Mud Bomb (115)</x:v>
      </x:c>
      <x:c r="S343" s="9" t="str">
        <x:v>https://poke.idleworld.online/pokepedia/pokemon/poliwhirl</x:v>
      </x:c>
    </x:row>
    <x:row r="344" ht="22" customHeight="1">
      <x:c r="A344" s="1" t="n">
        <x:v>333</x:v>
      </x:c>
      <x:c r="B344" s="1" t="n">
        <x:v>4</x:v>
      </x:c>
      <x:c r="C344" s="1" t="str">
        <x:v>Charmander</x:v>
      </x:c>
      <x:c r="D344" s="1" t="str">
        <x:v>Fogo</x:v>
      </x:c>
      <x:c r="E344" s="1" t="str"/>
      <x:c r="F344" s="10" t="n">
        <x:v>52</x:v>
      </x:c>
      <x:c r="G344" s="10" t="n">
        <x:v>60</x:v>
      </x:c>
      <x:c r="H344" s="10" t="n">
        <x:f>MAX(F344:G344)</x:f>
        <x:v>60</x:v>
      </x:c>
      <x:c r="I344" s="1" t="str">
        <x:f>'Pokémon'!M8</x:f>
        <x:v>Especial</x:v>
      </x:c>
      <x:c r="J344" s="1" t="str">
        <x:f>'Habilidades'!D35</x:f>
        <x:v>Inferno</x:v>
      </x:c>
      <x:c r="K344" s="1" t="str">
        <x:f>'Habilidades'!E35</x:f>
        <x:v>Fogo</x:v>
      </x:c>
      <x:c r="L344" s="1" t="str">
        <x:f>'Habilidades'!F35</x:f>
        <x:v>Especial</x:v>
      </x:c>
      <x:c r="M344" s="10" t="n">
        <x:f>'Habilidades'!G35</x:f>
        <x:v>100</x:v>
      </x:c>
      <x:c r="N344" s="10" t="n">
        <x:f>'Habilidades'!I35</x:f>
        <x:v>160</x:v>
      </x:c>
      <x:c r="O344" s="1" t="str">
        <x:f>'Habilidades'!D36&amp;" ("&amp;'Habilidades'!I36&amp;")"</x:f>
        <x:v>Flamethrower (150)</x:v>
      </x:c>
      <x:c r="P344" s="1" t="str">
        <x:f>'Habilidades'!D37&amp;" ("&amp;'Habilidades'!I37&amp;")"</x:f>
        <x:v>Flame Burst (130)</x:v>
      </x:c>
      <x:c r="Q344" s="1" t="str">
        <x:f>'Habilidades'!D38&amp;" ("&amp;'Habilidades'!I38&amp;")"</x:f>
        <x:v>Slash (122)</x:v>
      </x:c>
      <x:c r="R344" s="1" t="str">
        <x:f>'Habilidades'!D39&amp;" ("&amp;'Habilidades'!I39&amp;")"</x:f>
        <x:v>Fire Fang (117)</x:v>
      </x:c>
      <x:c r="S344" s="9" t="str">
        <x:v>https://poke.idleworld.online/pokepedia/pokemon/charmander</x:v>
      </x:c>
    </x:row>
    <x:row r="345" ht="22" customHeight="1">
      <x:c r="A345" s="1" t="n">
        <x:v>333</x:v>
      </x:c>
      <x:c r="B345" s="1" t="n">
        <x:v>17</x:v>
      </x:c>
      <x:c r="C345" s="1" t="str">
        <x:v>Pidgeotto</x:v>
      </x:c>
      <x:c r="D345" s="1" t="str">
        <x:v>Normal</x:v>
      </x:c>
      <x:c r="E345" s="1" t="str">
        <x:v>Voador</x:v>
      </x:c>
      <x:c r="F345" s="10" t="n">
        <x:v>60</x:v>
      </x:c>
      <x:c r="G345" s="10" t="n">
        <x:v>50</x:v>
      </x:c>
      <x:c r="H345" s="10" t="n">
        <x:f>MAX(F345:G345)</x:f>
        <x:v>60</x:v>
      </x:c>
      <x:c r="I345" s="1" t="str">
        <x:f>'Pokémon'!M21</x:f>
        <x:v>Física</x:v>
      </x:c>
      <x:c r="J345" s="1" t="str">
        <x:f>'Habilidades'!D133</x:f>
        <x:v>Hurricane</x:v>
      </x:c>
      <x:c r="K345" s="1" t="str">
        <x:f>'Habilidades'!E133</x:f>
        <x:v>Voador</x:v>
      </x:c>
      <x:c r="L345" s="1" t="str">
        <x:f>'Habilidades'!F133</x:f>
        <x:v>Especial</x:v>
      </x:c>
      <x:c r="M345" s="10" t="n">
        <x:f>'Habilidades'!G133</x:f>
        <x:v>110</x:v>
      </x:c>
      <x:c r="N345" s="10" t="n">
        <x:f>'Habilidades'!I133</x:f>
        <x:v>160</x:v>
      </x:c>
      <x:c r="O345" s="1" t="str">
        <x:f>'Habilidades'!D134&amp;" ("&amp;'Habilidades'!I134&amp;")"</x:f>
        <x:v>Air Slash (125)</x:v>
      </x:c>
      <x:c r="P345" s="1" t="str">
        <x:f>'Habilidades'!D135&amp;" ("&amp;'Habilidades'!I135&amp;")"</x:f>
        <x:v>Wing Attack (120)</x:v>
      </x:c>
      <x:c r="Q345" s="1" t="str">
        <x:f>'Habilidades'!D136&amp;" ("&amp;'Habilidades'!I136&amp;")"</x:f>
        <x:v>Tackle (110)</x:v>
      </x:c>
      <x:c r="R345" s="1" t="str">
        <x:f>'Habilidades'!D137&amp;" ("&amp;'Habilidades'!I137&amp;")"</x:f>
        <x:v>Quick Attack (100)</x:v>
      </x:c>
      <x:c r="S345" s="9" t="str">
        <x:v>https://poke.idleworld.online/pokepedia/pokemon/pidgeotto</x:v>
      </x:c>
    </x:row>
    <x:row r="346" ht="22" customHeight="1">
      <x:c r="A346" s="1" t="n">
        <x:v>333</x:v>
      </x:c>
      <x:c r="B346" s="1" t="n">
        <x:v>25</x:v>
      </x:c>
      <x:c r="C346" s="1" t="str">
        <x:v>Pikachu</x:v>
      </x:c>
      <x:c r="D346" s="1" t="str">
        <x:v>Elétrico</x:v>
      </x:c>
      <x:c r="E346" s="1" t="str"/>
      <x:c r="F346" s="10" t="n">
        <x:v>55</x:v>
      </x:c>
      <x:c r="G346" s="10" t="n">
        <x:v>50</x:v>
      </x:c>
      <x:c r="H346" s="10" t="n">
        <x:f>MAX(F346:G346)</x:f>
        <x:v>55</x:v>
      </x:c>
      <x:c r="I346" s="1" t="str">
        <x:f>'Pokémon'!M29</x:f>
        <x:v>Física</x:v>
      </x:c>
      <x:c r="J346" s="1" t="str">
        <x:f>'Habilidades'!D210</x:f>
        <x:v>Thunder</x:v>
      </x:c>
      <x:c r="K346" s="1" t="str">
        <x:f>'Habilidades'!E210</x:f>
        <x:v>Elétrico</x:v>
      </x:c>
      <x:c r="L346" s="1" t="str">
        <x:f>'Habilidades'!F210</x:f>
        <x:v>Especial</x:v>
      </x:c>
      <x:c r="M346" s="10" t="n">
        <x:f>'Habilidades'!G210</x:f>
        <x:v>110</x:v>
      </x:c>
      <x:c r="N346" s="10" t="n">
        <x:f>'Habilidades'!I210</x:f>
        <x:v>160</x:v>
      </x:c>
      <x:c r="O346" s="1" t="str">
        <x:f>'Habilidades'!D211&amp;" ("&amp;'Habilidades'!I211&amp;")"</x:f>
        <x:v>Wild Charge (145)</x:v>
      </x:c>
      <x:c r="P346" s="1" t="str">
        <x:f>'Habilidades'!D212&amp;" ("&amp;'Habilidades'!I212&amp;")"</x:f>
        <x:v>Thunderbolt (140)</x:v>
      </x:c>
      <x:c r="Q346" s="1" t="str">
        <x:f>'Habilidades'!D213&amp;" ("&amp;'Habilidades'!I213&amp;")"</x:f>
        <x:v>Slam (135)</x:v>
      </x:c>
      <x:c r="R346" s="1" t="str">
        <x:f>'Habilidades'!D214&amp;" ("&amp;'Habilidades'!I214&amp;")"</x:f>
        <x:v>Discharge (130)</x:v>
      </x:c>
      <x:c r="S346" s="9" t="str">
        <x:v>https://poke.idleworld.online/pokepedia/pokemon/pikachu</x:v>
      </x:c>
    </x:row>
    <x:row r="347" ht="22" customHeight="1">
      <x:c r="A347" s="1" t="n">
        <x:v>333</x:v>
      </x:c>
      <x:c r="B347" s="1" t="n">
        <x:v>37</x:v>
      </x:c>
      <x:c r="C347" s="1" t="str">
        <x:v>Vulpix</x:v>
      </x:c>
      <x:c r="D347" s="1" t="str">
        <x:v>Fogo</x:v>
      </x:c>
      <x:c r="E347" s="1" t="str"/>
      <x:c r="F347" s="10" t="n">
        <x:v>41</x:v>
      </x:c>
      <x:c r="G347" s="10" t="n">
        <x:v>50</x:v>
      </x:c>
      <x:c r="H347" s="10" t="n">
        <x:f>MAX(F347:G347)</x:f>
        <x:v>50</x:v>
      </x:c>
      <x:c r="I347" s="1" t="str">
        <x:f>'Pokémon'!M41</x:f>
        <x:v>Especial</x:v>
      </x:c>
      <x:c r="J347" s="1" t="str">
        <x:f>'Habilidades'!D310</x:f>
        <x:v>Fire Blast</x:v>
      </x:c>
      <x:c r="K347" s="1" t="str">
        <x:f>'Habilidades'!E310</x:f>
        <x:v>Fogo</x:v>
      </x:c>
      <x:c r="L347" s="1" t="str">
        <x:f>'Habilidades'!F310</x:f>
        <x:v>Especial</x:v>
      </x:c>
      <x:c r="M347" s="10" t="n">
        <x:f>'Habilidades'!G310</x:f>
        <x:v>110</x:v>
      </x:c>
      <x:c r="N347" s="10" t="n">
        <x:f>'Habilidades'!I310</x:f>
        <x:v>160</x:v>
      </x:c>
      <x:c r="O347" s="1" t="str">
        <x:f>'Habilidades'!D311&amp;" ("&amp;'Habilidades'!I311&amp;")"</x:f>
        <x:v>Inferno (150)</x:v>
      </x:c>
      <x:c r="P347" s="1" t="str">
        <x:f>'Habilidades'!D312&amp;" ("&amp;'Habilidades'!I312&amp;")"</x:f>
        <x:v>Flamethrower (140)</x:v>
      </x:c>
      <x:c r="Q347" s="1" t="str">
        <x:f>'Habilidades'!D313&amp;" ("&amp;'Habilidades'!I313&amp;")"</x:f>
        <x:v>Extrasensory (130)</x:v>
      </x:c>
      <x:c r="R347" s="1" t="str">
        <x:f>'Habilidades'!D314&amp;" ("&amp;'Habilidades'!I314&amp;")"</x:f>
        <x:v>Flame Burst (120)</x:v>
      </x:c>
      <x:c r="S347" s="9" t="str">
        <x:v>https://poke.idleworld.online/pokepedia/pokemon/vulpix</x:v>
      </x:c>
    </x:row>
    <x:row r="348" ht="22" customHeight="1">
      <x:c r="A348" s="1" t="n">
        <x:v>333</x:v>
      </x:c>
      <x:c r="B348" s="1" t="n">
        <x:v>72</x:v>
      </x:c>
      <x:c r="C348" s="1" t="str">
        <x:v>Tentacool</x:v>
      </x:c>
      <x:c r="D348" s="1" t="str">
        <x:v>Água</x:v>
      </x:c>
      <x:c r="E348" s="1" t="str">
        <x:v>Venenoso</x:v>
      </x:c>
      <x:c r="F348" s="10" t="n">
        <x:v>40</x:v>
      </x:c>
      <x:c r="G348" s="10" t="n">
        <x:v>50</x:v>
      </x:c>
      <x:c r="H348" s="10" t="n">
        <x:f>MAX(F348:G348)</x:f>
        <x:v>50</x:v>
      </x:c>
      <x:c r="I348" s="1" t="str">
        <x:f>'Pokémon'!M76</x:f>
        <x:v>Especial</x:v>
      </x:c>
      <x:c r="J348" s="1" t="str">
        <x:f>'Habilidades'!D631</x:f>
        <x:v>Hydro Pump</x:v>
      </x:c>
      <x:c r="K348" s="1" t="str">
        <x:f>'Habilidades'!E631</x:f>
        <x:v>Água</x:v>
      </x:c>
      <x:c r="L348" s="1" t="str">
        <x:f>'Habilidades'!F631</x:f>
        <x:v>Especial</x:v>
      </x:c>
      <x:c r="M348" s="10" t="n">
        <x:f>'Habilidades'!G631</x:f>
        <x:v>110</x:v>
      </x:c>
      <x:c r="N348" s="10" t="n">
        <x:f>'Habilidades'!I631</x:f>
        <x:v>160</x:v>
      </x:c>
      <x:c r="O348" s="1" t="str">
        <x:f>'Habilidades'!D632&amp;" ("&amp;'Habilidades'!I632&amp;")"</x:f>
        <x:v>Sludge Wave (145)</x:v>
      </x:c>
      <x:c r="P348" s="1" t="str">
        <x:f>'Habilidades'!D633&amp;" ("&amp;'Habilidades'!I633&amp;")"</x:f>
        <x:v>Poison Jab (120)</x:v>
      </x:c>
      <x:c r="Q348" s="1" t="str">
        <x:f>'Habilidades'!D634&amp;" ("&amp;'Habilidades'!I634&amp;")"</x:f>
        <x:v>Bubble Beam (115)</x:v>
      </x:c>
      <x:c r="R348" s="1" t="str">
        <x:f>'Habilidades'!D635&amp;" ("&amp;'Habilidades'!I635&amp;")"</x:f>
        <x:v>Brine (115)</x:v>
      </x:c>
      <x:c r="S348" s="9" t="str">
        <x:v>https://poke.idleworld.online/pokepedia/pokemon/tentacool</x:v>
      </x:c>
    </x:row>
    <x:row r="349" ht="22" customHeight="1">
      <x:c r="A349" s="1" t="n">
        <x:v>333</x:v>
      </x:c>
      <x:c r="B349" s="1" t="n">
        <x:v>361</x:v>
      </x:c>
      <x:c r="C349" s="1" t="str">
        <x:v>Snorunt</x:v>
      </x:c>
      <x:c r="D349" s="1" t="str">
        <x:v>Gelo</x:v>
      </x:c>
      <x:c r="E349" s="1" t="str"/>
      <x:c r="F349" s="10" t="n">
        <x:v>50</x:v>
      </x:c>
      <x:c r="G349" s="10" t="n">
        <x:v>50</x:v>
      </x:c>
      <x:c r="H349" s="10" t="n">
        <x:f>MAX(F349:G349)</x:f>
        <x:v>50</x:v>
      </x:c>
      <x:c r="I349" s="1" t="str">
        <x:f>'Pokémon'!M326</x:f>
        <x:v>Empate</x:v>
      </x:c>
      <x:c r="J349" s="1" t="str">
        <x:f>'Habilidades'!D3028</x:f>
        <x:v>Blizzard</x:v>
      </x:c>
      <x:c r="K349" s="1" t="str">
        <x:f>'Habilidades'!E3028</x:f>
        <x:v>Gelo</x:v>
      </x:c>
      <x:c r="L349" s="1" t="str">
        <x:f>'Habilidades'!F3028</x:f>
        <x:v>Especial</x:v>
      </x:c>
      <x:c r="M349" s="10" t="n">
        <x:f>'Habilidades'!G3028</x:f>
        <x:v>110</x:v>
      </x:c>
      <x:c r="N349" s="10" t="n">
        <x:f>'Habilidades'!I3028</x:f>
        <x:v>160</x:v>
      </x:c>
      <x:c r="O349" s="1" t="str">
        <x:f>'Habilidades'!D3029&amp;" ("&amp;'Habilidades'!I3029&amp;")"</x:f>
        <x:v>Crunch (130)</x:v>
      </x:c>
      <x:c r="P349" s="1" t="str">
        <x:f>'Habilidades'!D3030&amp;" ("&amp;'Habilidades'!I3030&amp;")"</x:f>
        <x:v>Headbutt (120)</x:v>
      </x:c>
      <x:c r="Q349" s="1" t="str">
        <x:f>'Habilidades'!D3031&amp;" ("&amp;'Habilidades'!I3031&amp;")"</x:f>
        <x:v>Ice Fang (115)</x:v>
      </x:c>
      <x:c r="R349" s="1" t="str">
        <x:f>'Habilidades'!D3032&amp;" ("&amp;'Habilidades'!I3032&amp;")"</x:f>
        <x:v>Bite (110)</x:v>
      </x:c>
      <x:c r="S349" s="9" t="str">
        <x:v>https://poke.idleworld.online/pokepedia/pokemon/snorunt</x:v>
      </x:c>
    </x:row>
    <x:row r="350" ht="22" customHeight="1">
      <x:c r="A350" s="1" t="n">
        <x:v>333</x:v>
      </x:c>
      <x:c r="B350" s="1" t="n">
        <x:v>175</x:v>
      </x:c>
      <x:c r="C350" s="1" t="str">
        <x:v>Togepi</x:v>
      </x:c>
      <x:c r="D350" s="1" t="str">
        <x:v>Fada</x:v>
      </x:c>
      <x:c r="E350" s="1" t="str"/>
      <x:c r="F350" s="10" t="n">
        <x:v>20</x:v>
      </x:c>
      <x:c r="G350" s="10" t="n">
        <x:v>40</x:v>
      </x:c>
      <x:c r="H350" s="10" t="n">
        <x:f>MAX(F350:G350)</x:f>
        <x:v>40</x:v>
      </x:c>
      <x:c r="I350" s="1" t="str">
        <x:f>'Pokémon'!M179</x:f>
        <x:v>Especial</x:v>
      </x:c>
      <x:c r="J350" s="1" t="str">
        <x:f>'Habilidades'!D1668</x:f>
        <x:v>Last Resort</x:v>
      </x:c>
      <x:c r="K350" s="1" t="str">
        <x:f>'Habilidades'!E1668</x:f>
        <x:v>Normal</x:v>
      </x:c>
      <x:c r="L350" s="1" t="str">
        <x:f>'Habilidades'!F1668</x:f>
        <x:v>Física</x:v>
      </x:c>
      <x:c r="M350" s="10" t="n">
        <x:f>'Habilidades'!G1668</x:f>
        <x:v>140</x:v>
      </x:c>
      <x:c r="N350" s="10" t="n">
        <x:f>'Habilidades'!I1668</x:f>
        <x:v>160</x:v>
      </x:c>
      <x:c r="O350" s="1" t="str">
        <x:f>'Habilidades'!D1669&amp;" ("&amp;'Habilidades'!I1669&amp;")"</x:f>
        <x:v>Double-Edge (140)</x:v>
      </x:c>
      <x:c r="P350" s="1" t="str">
        <x:f>'Habilidades'!D1670&amp;" ("&amp;'Habilidades'!I1670&amp;")"</x:f>
        <x:v>Ancient Power (100)</x:v>
      </x:c>
      <x:c r="Q350" s="1" t="str">
        <x:f>""</x:f>
      </x:c>
      <x:c r="R350" s="1" t="str">
        <x:f>""</x:f>
      </x:c>
      <x:c r="S350" s="9" t="str">
        <x:v>https://poke.idleworld.online/pokepedia/pokemon/togepi</x:v>
      </x:c>
    </x:row>
    <x:row r="351" ht="22" customHeight="1">
      <x:c r="A351" s="1" t="n">
        <x:v>347</x:v>
      </x:c>
      <x:c r="B351" s="1" t="n">
        <x:v>162</x:v>
      </x:c>
      <x:c r="C351" s="1" t="str">
        <x:v>Furret</x:v>
      </x:c>
      <x:c r="D351" s="1" t="str">
        <x:v>Normal</x:v>
      </x:c>
      <x:c r="E351" s="1" t="str"/>
      <x:c r="F351" s="10" t="n">
        <x:v>76</x:v>
      </x:c>
      <x:c r="G351" s="10" t="n">
        <x:v>45</x:v>
      </x:c>
      <x:c r="H351" s="10" t="n">
        <x:f>MAX(F351:G351)</x:f>
        <x:v>76</x:v>
      </x:c>
      <x:c r="I351" s="1" t="str">
        <x:f>'Pokémon'!M166</x:f>
        <x:v>Física</x:v>
      </x:c>
      <x:c r="J351" s="1" t="str">
        <x:f>'Habilidades'!D1565</x:f>
        <x:v>Slam</x:v>
      </x:c>
      <x:c r="K351" s="1" t="str">
        <x:f>'Habilidades'!E1565</x:f>
        <x:v>Normal</x:v>
      </x:c>
      <x:c r="L351" s="1" t="str">
        <x:f>'Habilidades'!F1565</x:f>
        <x:v>Física</x:v>
      </x:c>
      <x:c r="M351" s="10" t="n">
        <x:f>'Habilidades'!G1565</x:f>
        <x:v>80</x:v>
      </x:c>
      <x:c r="N351" s="10" t="n">
        <x:f>'Habilidades'!I1565</x:f>
        <x:v>156</x:v>
      </x:c>
      <x:c r="O351" s="1" t="str">
        <x:f>'Habilidades'!D1566&amp;" ("&amp;'Habilidades'!I1566&amp;")"</x:f>
        <x:v>Sucker Punch (156)</x:v>
      </x:c>
      <x:c r="P351" s="1" t="str">
        <x:f>'Habilidades'!D1567&amp;" ("&amp;'Habilidades'!I1567&amp;")"</x:f>
        <x:v>Hyper Voice (135)</x:v>
      </x:c>
      <x:c r="Q351" s="1" t="str">
        <x:f>'Habilidades'!D1568&amp;" ("&amp;'Habilidades'!I1568&amp;")"</x:f>
        <x:v>Scratch (116)</x:v>
      </x:c>
      <x:c r="R351" s="1" t="str">
        <x:f>'Habilidades'!D1569&amp;" ("&amp;'Habilidades'!I1569&amp;")"</x:f>
        <x:v>Quick Attack (116)</x:v>
      </x:c>
      <x:c r="S351" s="9" t="str">
        <x:v>https://poke.idleworld.online/pokepedia/pokemon/furret</x:v>
      </x:c>
    </x:row>
    <x:row r="352" ht="22" customHeight="1">
      <x:c r="A352" s="1" t="n">
        <x:v>347</x:v>
      </x:c>
      <x:c r="B352" s="1" t="n">
        <x:v>163</x:v>
      </x:c>
      <x:c r="C352" s="1" t="str">
        <x:v>Hoothoot</x:v>
      </x:c>
      <x:c r="D352" s="1" t="str">
        <x:v>Normal</x:v>
      </x:c>
      <x:c r="E352" s="1" t="str">
        <x:v>Voador</x:v>
      </x:c>
      <x:c r="F352" s="10" t="n">
        <x:v>30</x:v>
      </x:c>
      <x:c r="G352" s="10" t="n">
        <x:v>36</x:v>
      </x:c>
      <x:c r="H352" s="10" t="n">
        <x:f>MAX(F352:G352)</x:f>
        <x:v>36</x:v>
      </x:c>
      <x:c r="I352" s="1" t="str">
        <x:f>'Pokémon'!M167</x:f>
        <x:v>Especial</x:v>
      </x:c>
      <x:c r="J352" s="1" t="str">
        <x:f>'Habilidades'!D1571</x:f>
        <x:v>Synchronoise</x:v>
      </x:c>
      <x:c r="K352" s="1" t="str">
        <x:f>'Habilidades'!E1571</x:f>
        <x:v>Psíquico</x:v>
      </x:c>
      <x:c r="L352" s="1" t="str">
        <x:f>'Habilidades'!F1571</x:f>
        <x:v>Especial</x:v>
      </x:c>
      <x:c r="M352" s="10" t="n">
        <x:f>'Habilidades'!G1571</x:f>
        <x:v>120</x:v>
      </x:c>
      <x:c r="N352" s="10" t="n">
        <x:f>'Habilidades'!I1571</x:f>
        <x:v>156</x:v>
      </x:c>
      <x:c r="O352" s="1" t="str">
        <x:f>'Habilidades'!D1572&amp;" ("&amp;'Habilidades'!I1572&amp;")"</x:f>
        <x:v>Dream Eater (136)</x:v>
      </x:c>
      <x:c r="P352" s="1" t="str">
        <x:f>'Habilidades'!D1573&amp;" ("&amp;'Habilidades'!I1573&amp;")"</x:f>
        <x:v>Uproar (126)</x:v>
      </x:c>
      <x:c r="Q352" s="1" t="str">
        <x:f>'Habilidades'!D1574&amp;" ("&amp;'Habilidades'!I1574&amp;")"</x:f>
        <x:v>Take Down (120)</x:v>
      </x:c>
      <x:c r="R352" s="1" t="str">
        <x:f>'Habilidades'!D1575&amp;" ("&amp;'Habilidades'!I1575&amp;")"</x:f>
        <x:v>Extrasensory (116)</x:v>
      </x:c>
      <x:c r="S352" s="9" t="str">
        <x:v>https://poke.idleworld.online/pokepedia/pokemon/hoothoot</x:v>
      </x:c>
    </x:row>
    <x:row r="353" ht="22" customHeight="1">
      <x:c r="A353" s="1" t="n">
        <x:v>349</x:v>
      </x:c>
      <x:c r="B353" s="1" t="n">
        <x:v>69</x:v>
      </x:c>
      <x:c r="C353" s="1" t="str">
        <x:v>Bellsprout</x:v>
      </x:c>
      <x:c r="D353" s="1" t="str">
        <x:v>Planta</x:v>
      </x:c>
      <x:c r="E353" s="1" t="str">
        <x:v>Venenoso</x:v>
      </x:c>
      <x:c r="F353" s="10" t="n">
        <x:v>75</x:v>
      </x:c>
      <x:c r="G353" s="10" t="n">
        <x:v>70</x:v>
      </x:c>
      <x:c r="H353" s="10" t="n">
        <x:f>MAX(F353:G353)</x:f>
        <x:v>75</x:v>
      </x:c>
      <x:c r="I353" s="1" t="str">
        <x:f>'Pokémon'!M73</x:f>
        <x:v>Física</x:v>
      </x:c>
      <x:c r="J353" s="1" t="str">
        <x:f>'Habilidades'!D608</x:f>
        <x:v>Slam</x:v>
      </x:c>
      <x:c r="K353" s="1" t="str">
        <x:f>'Habilidades'!E608</x:f>
        <x:v>Normal</x:v>
      </x:c>
      <x:c r="L353" s="1" t="str">
        <x:f>'Habilidades'!F608</x:f>
        <x:v>Física</x:v>
      </x:c>
      <x:c r="M353" s="10" t="n">
        <x:f>'Habilidades'!G608</x:f>
        <x:v>80</x:v>
      </x:c>
      <x:c r="N353" s="10" t="n">
        <x:f>'Habilidades'!I608</x:f>
        <x:v>155</x:v>
      </x:c>
      <x:c r="O353" s="1" t="str">
        <x:f>'Habilidades'!D609&amp;" ("&amp;'Habilidades'!I609&amp;")"</x:f>
        <x:v>Knock Off (140)</x:v>
      </x:c>
      <x:c r="P353" s="1" t="str">
        <x:f>'Habilidades'!D610&amp;" ("&amp;'Habilidades'!I610&amp;")"</x:f>
        <x:v>Razor Leaf (130)</x:v>
      </x:c>
      <x:c r="Q353" s="1" t="str">
        <x:f>'Habilidades'!D611&amp;" ("&amp;'Habilidades'!I611&amp;")"</x:f>
        <x:v>Vine Whip (120)</x:v>
      </x:c>
      <x:c r="R353" s="1" t="str">
        <x:f>'Habilidades'!D612&amp;" ("&amp;'Habilidades'!I612&amp;")"</x:f>
        <x:v>Acid (110)</x:v>
      </x:c>
      <x:c r="S353" s="9" t="str">
        <x:v>https://poke.idleworld.online/pokepedia/pokemon/bellsprout</x:v>
      </x:c>
    </x:row>
    <x:row r="354" ht="22" customHeight="1">
      <x:c r="A354" s="1" t="n">
        <x:v>349</x:v>
      </x:c>
      <x:c r="B354" s="1" t="n">
        <x:v>90</x:v>
      </x:c>
      <x:c r="C354" s="1" t="str">
        <x:v>Shellder</x:v>
      </x:c>
      <x:c r="D354" s="1" t="str">
        <x:v>Água</x:v>
      </x:c>
      <x:c r="E354" s="1" t="str"/>
      <x:c r="F354" s="10" t="n">
        <x:v>65</x:v>
      </x:c>
      <x:c r="G354" s="10" t="n">
        <x:v>45</x:v>
      </x:c>
      <x:c r="H354" s="10" t="n">
        <x:f>MAX(F354:G354)</x:f>
        <x:v>65</x:v>
      </x:c>
      <x:c r="I354" s="1" t="str">
        <x:f>'Pokémon'!M94</x:f>
        <x:v>Física</x:v>
      </x:c>
      <x:c r="J354" s="1" t="str">
        <x:f>'Habilidades'!D834</x:f>
        <x:v>Hydro Pump</x:v>
      </x:c>
      <x:c r="K354" s="1" t="str">
        <x:f>'Habilidades'!E834</x:f>
        <x:v>Água</x:v>
      </x:c>
      <x:c r="L354" s="1" t="str">
        <x:f>'Habilidades'!F834</x:f>
        <x:v>Especial</x:v>
      </x:c>
      <x:c r="M354" s="10" t="n">
        <x:f>'Habilidades'!G834</x:f>
        <x:v>110</x:v>
      </x:c>
      <x:c r="N354" s="10" t="n">
        <x:f>'Habilidades'!I834</x:f>
        <x:v>155</x:v>
      </x:c>
      <x:c r="O354" s="1" t="str">
        <x:f>'Habilidades'!D835&amp;" ("&amp;'Habilidades'!I835&amp;")"</x:f>
        <x:v>Razor Shell (140)</x:v>
      </x:c>
      <x:c r="P354" s="1" t="str">
        <x:f>'Habilidades'!D836&amp;" ("&amp;'Habilidades'!I836&amp;")"</x:f>
        <x:v>Ice Beam (135)</x:v>
      </x:c>
      <x:c r="Q354" s="1" t="str">
        <x:f>'Habilidades'!D837&amp;" ("&amp;'Habilidades'!I837&amp;")"</x:f>
        <x:v>Tackle (115)</x:v>
      </x:c>
      <x:c r="R354" s="1" t="str">
        <x:f>'Habilidades'!D838&amp;" ("&amp;'Habilidades'!I838&amp;")"</x:f>
        <x:v>Aurora Beam (110)</x:v>
      </x:c>
      <x:c r="S354" s="9" t="str">
        <x:v>https://poke.idleworld.online/pokepedia/pokemon/shellder</x:v>
      </x:c>
    </x:row>
    <x:row r="355" ht="22" customHeight="1">
      <x:c r="A355" s="1" t="n">
        <x:v>349</x:v>
      </x:c>
      <x:c r="B355" s="1" t="n">
        <x:v>252</x:v>
      </x:c>
      <x:c r="C355" s="1" t="str">
        <x:v>Treecko</x:v>
      </x:c>
      <x:c r="D355" s="1" t="str">
        <x:v>Planta</x:v>
      </x:c>
      <x:c r="E355" s="1" t="str"/>
      <x:c r="F355" s="10" t="n">
        <x:v>45</x:v>
      </x:c>
      <x:c r="G355" s="10" t="n">
        <x:v>65</x:v>
      </x:c>
      <x:c r="H355" s="10" t="n">
        <x:f>MAX(F355:G355)</x:f>
        <x:v>65</x:v>
      </x:c>
      <x:c r="I355" s="1" t="str">
        <x:f>'Pokémon'!M255</x:f>
        <x:v>Especial</x:v>
      </x:c>
      <x:c r="J355" s="1" t="str">
        <x:f>'Habilidades'!D2351</x:f>
        <x:v>Energy Ball</x:v>
      </x:c>
      <x:c r="K355" s="1" t="str">
        <x:f>'Habilidades'!E2351</x:f>
        <x:v>Planta</x:v>
      </x:c>
      <x:c r="L355" s="1" t="str">
        <x:f>'Habilidades'!F2351</x:f>
        <x:v>Especial</x:v>
      </x:c>
      <x:c r="M355" s="10" t="n">
        <x:f>'Habilidades'!G2351</x:f>
        <x:v>90</x:v>
      </x:c>
      <x:c r="N355" s="10" t="n">
        <x:f>'Habilidades'!I2351</x:f>
        <x:v>155</x:v>
      </x:c>
      <x:c r="O355" s="1" t="str">
        <x:f>'Habilidades'!D2352&amp;" ("&amp;'Habilidades'!I2352&amp;")"</x:f>
        <x:v>Giga Drain (140)</x:v>
      </x:c>
      <x:c r="P355" s="1" t="str">
        <x:f>'Habilidades'!D2353&amp;" ("&amp;'Habilidades'!I2353&amp;")"</x:f>
        <x:v>Slam (125)</x:v>
      </x:c>
      <x:c r="Q355" s="1" t="str">
        <x:f>'Habilidades'!D2354&amp;" ("&amp;'Habilidades'!I2354&amp;")"</x:f>
        <x:v>Mega Drain (105)</x:v>
      </x:c>
      <x:c r="R355" s="1" t="str">
        <x:f>'Habilidades'!D2355&amp;" ("&amp;'Habilidades'!I2355&amp;")"</x:f>
        <x:v>Pound (85)</x:v>
      </x:c>
      <x:c r="S355" s="9" t="str">
        <x:v>https://poke.idleworld.online/pokepedia/pokemon/treecko</x:v>
      </x:c>
    </x:row>
    <x:row r="356" ht="22" customHeight="1">
      <x:c r="A356" s="1" t="n">
        <x:v>349</x:v>
      </x:c>
      <x:c r="B356" s="1" t="n">
        <x:v>35</x:v>
      </x:c>
      <x:c r="C356" s="1" t="str">
        <x:v>Clefairy</x:v>
      </x:c>
      <x:c r="D356" s="1" t="str">
        <x:v>Fada</x:v>
      </x:c>
      <x:c r="E356" s="1" t="str"/>
      <x:c r="F356" s="10" t="n">
        <x:v>45</x:v>
      </x:c>
      <x:c r="G356" s="10" t="n">
        <x:v>60</x:v>
      </x:c>
      <x:c r="H356" s="10" t="n">
        <x:f>MAX(F356:G356)</x:f>
        <x:v>60</x:v>
      </x:c>
      <x:c r="I356" s="1" t="str">
        <x:f>'Pokémon'!M39</x:f>
        <x:v>Especial</x:v>
      </x:c>
      <x:c r="J356" s="1" t="str">
        <x:f>'Habilidades'!D296</x:f>
        <x:v>Moonblast</x:v>
      </x:c>
      <x:c r="K356" s="1" t="str">
        <x:f>'Habilidades'!E296</x:f>
        <x:v>Fada</x:v>
      </x:c>
      <x:c r="L356" s="1" t="str">
        <x:f>'Habilidades'!F296</x:f>
        <x:v>Especial</x:v>
      </x:c>
      <x:c r="M356" s="10" t="n">
        <x:f>'Habilidades'!G296</x:f>
        <x:v>95</x:v>
      </x:c>
      <x:c r="N356" s="10" t="n">
        <x:f>'Habilidades'!I296</x:f>
        <x:v>155</x:v>
      </x:c>
      <x:c r="O356" s="1" t="str">
        <x:f>'Habilidades'!D297&amp;" ("&amp;'Habilidades'!I297&amp;")"</x:f>
        <x:v>Meteor Mash (135)</x:v>
      </x:c>
      <x:c r="P356" s="1" t="str">
        <x:f>'Habilidades'!D298&amp;" ("&amp;'Habilidades'!I298&amp;")"</x:f>
        <x:v>Body Slam (130)</x:v>
      </x:c>
      <x:c r="Q356" s="1" t="str">
        <x:f>'Habilidades'!D299&amp;" ("&amp;'Habilidades'!I299&amp;")"</x:f>
        <x:v>Wake-Up Slap (115)</x:v>
      </x:c>
      <x:c r="R356" s="1" t="str">
        <x:f>'Habilidades'!D300&amp;" ("&amp;'Habilidades'!I300&amp;")"</x:f>
        <x:v>Disarming Voice (100)</x:v>
      </x:c>
      <x:c r="S356" s="9" t="str">
        <x:v>https://poke.idleworld.online/pokepedia/pokemon/clefairy</x:v>
      </x:c>
    </x:row>
    <x:row r="357" ht="22" customHeight="1">
      <x:c r="A357" s="1" t="n">
        <x:v>349</x:v>
      </x:c>
      <x:c r="B357" s="1" t="n">
        <x:v>50</x:v>
      </x:c>
      <x:c r="C357" s="1" t="str">
        <x:v>Diglett</x:v>
      </x:c>
      <x:c r="D357" s="1" t="str">
        <x:v>Terrestre</x:v>
      </x:c>
      <x:c r="E357" s="1" t="str"/>
      <x:c r="F357" s="10" t="n">
        <x:v>55</x:v>
      </x:c>
      <x:c r="G357" s="10" t="n">
        <x:v>35</x:v>
      </x:c>
      <x:c r="H357" s="10" t="n">
        <x:f>MAX(F357:G357)</x:f>
        <x:v>55</x:v>
      </x:c>
      <x:c r="I357" s="1" t="str">
        <x:f>'Pokémon'!M54</x:f>
        <x:v>Física</x:v>
      </x:c>
      <x:c r="J357" s="1" t="str">
        <x:f>'Habilidades'!D432</x:f>
        <x:v>Earthquake</x:v>
      </x:c>
      <x:c r="K357" s="1" t="str">
        <x:f>'Habilidades'!E432</x:f>
        <x:v>Terrestre</x:v>
      </x:c>
      <x:c r="L357" s="1" t="str">
        <x:f>'Habilidades'!F432</x:f>
        <x:v>Física</x:v>
      </x:c>
      <x:c r="M357" s="10" t="n">
        <x:f>'Habilidades'!G432</x:f>
        <x:v>100</x:v>
      </x:c>
      <x:c r="N357" s="10" t="n">
        <x:f>'Habilidades'!I432</x:f>
        <x:v>155</x:v>
      </x:c>
      <x:c r="O357" s="1" t="str">
        <x:f>'Habilidades'!D433&amp;" ("&amp;'Habilidades'!I433&amp;")"</x:f>
        <x:v>Sucker Punch (135)</x:v>
      </x:c>
      <x:c r="P357" s="1" t="str">
        <x:f>'Habilidades'!D434&amp;" ("&amp;'Habilidades'!I434&amp;")"</x:f>
        <x:v>Dig (135)</x:v>
      </x:c>
      <x:c r="Q357" s="1" t="str">
        <x:f>'Habilidades'!D435&amp;" ("&amp;'Habilidades'!I435&amp;")"</x:f>
        <x:v>Earth Power (125)</x:v>
      </x:c>
      <x:c r="R357" s="1" t="str">
        <x:f>'Habilidades'!D436&amp;" ("&amp;'Habilidades'!I436&amp;")"</x:f>
        <x:v>Slash (125)</x:v>
      </x:c>
      <x:c r="S357" s="9" t="str">
        <x:v>https://poke.idleworld.online/pokepedia/pokemon/diglett</x:v>
      </x:c>
    </x:row>
    <x:row r="358" ht="22" customHeight="1">
      <x:c r="A358" s="1" t="n">
        <x:v>354</x:v>
      </x:c>
      <x:c r="B358" s="1" t="n">
        <x:v>33</x:v>
      </x:c>
      <x:c r="C358" s="1" t="str">
        <x:v>Nidorino</x:v>
      </x:c>
      <x:c r="D358" s="1" t="str">
        <x:v>Venenoso</x:v>
      </x:c>
      <x:c r="E358" s="1" t="str"/>
      <x:c r="F358" s="10" t="n">
        <x:v>72</x:v>
      </x:c>
      <x:c r="G358" s="10" t="n">
        <x:v>55</x:v>
      </x:c>
      <x:c r="H358" s="10" t="n">
        <x:f>MAX(F358:G358)</x:f>
        <x:v>72</x:v>
      </x:c>
      <x:c r="I358" s="1" t="str">
        <x:f>'Pokémon'!M37</x:f>
        <x:v>Física</x:v>
      </x:c>
      <x:c r="J358" s="1" t="str">
        <x:f>'Habilidades'!D280</x:f>
        <x:v>Poison Jab</x:v>
      </x:c>
      <x:c r="K358" s="1" t="str">
        <x:f>'Habilidades'!E280</x:f>
        <x:v>Venenoso</x:v>
      </x:c>
      <x:c r="L358" s="1" t="str">
        <x:f>'Habilidades'!F280</x:f>
        <x:v>Física</x:v>
      </x:c>
      <x:c r="M358" s="10" t="n">
        <x:f>'Habilidades'!G280</x:f>
        <x:v>80</x:v>
      </x:c>
      <x:c r="N358" s="10" t="n">
        <x:f>'Habilidades'!I280</x:f>
        <x:v>152</x:v>
      </x:c>
      <x:c r="O358" s="1" t="str">
        <x:f>'Habilidades'!D281&amp;" ("&amp;'Habilidades'!I281&amp;")"</x:f>
        <x:v>Horn Attack (137)</x:v>
      </x:c>
      <x:c r="P358" s="1" t="str">
        <x:f>'Habilidades'!D282&amp;" ("&amp;'Habilidades'!I282&amp;")"</x:f>
        <x:v>Peck (107)</x:v>
      </x:c>
      <x:c r="Q358" s="1" t="str">
        <x:f>'Habilidades'!D283&amp;" ("&amp;'Habilidades'!I283&amp;")"</x:f>
        <x:v>Double Kick (102)</x:v>
      </x:c>
      <x:c r="R358" s="1" t="str">
        <x:f>'Habilidades'!D284&amp;" ("&amp;'Habilidades'!I284&amp;")"</x:f>
        <x:v>Poison Sting (87)</x:v>
      </x:c>
      <x:c r="S358" s="9" t="str">
        <x:v>https://poke.idleworld.online/pokepedia/pokemon/nidorino</x:v>
      </x:c>
    </x:row>
    <x:row r="359" ht="22" customHeight="1">
      <x:c r="A359" s="1" t="n">
        <x:v>355</x:v>
      </x:c>
      <x:c r="B359" s="1" t="n">
        <x:v>46</x:v>
      </x:c>
      <x:c r="C359" s="1" t="str">
        <x:v>Paras</x:v>
      </x:c>
      <x:c r="D359" s="1" t="str">
        <x:v>Inseto</x:v>
      </x:c>
      <x:c r="E359" s="1" t="str">
        <x:v>Planta</x:v>
      </x:c>
      <x:c r="F359" s="10" t="n">
        <x:v>70</x:v>
      </x:c>
      <x:c r="G359" s="10" t="n">
        <x:v>45</x:v>
      </x:c>
      <x:c r="H359" s="10" t="n">
        <x:f>MAX(F359:G359)</x:f>
        <x:v>70</x:v>
      </x:c>
      <x:c r="I359" s="1" t="str">
        <x:f>'Pokémon'!M50</x:f>
        <x:v>Física</x:v>
      </x:c>
      <x:c r="J359" s="1" t="str">
        <x:f>'Habilidades'!D387</x:f>
        <x:v>X-Scissor</x:v>
      </x:c>
      <x:c r="K359" s="1" t="str">
        <x:f>'Habilidades'!E387</x:f>
        <x:v>Inseto</x:v>
      </x:c>
      <x:c r="L359" s="1" t="str">
        <x:f>'Habilidades'!F387</x:f>
        <x:v>Física</x:v>
      </x:c>
      <x:c r="M359" s="10" t="n">
        <x:f>'Habilidades'!G387</x:f>
        <x:v>80</x:v>
      </x:c>
      <x:c r="N359" s="10" t="n">
        <x:f>'Habilidades'!I387</x:f>
        <x:v>150</x:v>
      </x:c>
      <x:c r="O359" s="1" t="str">
        <x:f>'Habilidades'!D388&amp;" ("&amp;'Habilidades'!I388&amp;")"</x:f>
        <x:v>Slash (140)</x:v>
      </x:c>
      <x:c r="P359" s="1" t="str">
        <x:f>'Habilidades'!D389&amp;" ("&amp;'Habilidades'!I389&amp;")"</x:f>
        <x:v>Giga Drain (120)</x:v>
      </x:c>
      <x:c r="Q359" s="1" t="str">
        <x:f>'Habilidades'!D390&amp;" ("&amp;'Habilidades'!I390&amp;")"</x:f>
        <x:v>Scratch (110)</x:v>
      </x:c>
      <x:c r="R359" s="1" t="str">
        <x:f>'Habilidades'!D391&amp;" ("&amp;'Habilidades'!I391&amp;")"</x:f>
        <x:v>Fury Cutter (110)</x:v>
      </x:c>
      <x:c r="S359" s="9" t="str">
        <x:v>https://poke.idleworld.online/pokepedia/pokemon/paras</x:v>
      </x:c>
    </x:row>
    <x:row r="360" ht="22" customHeight="1">
      <x:c r="A360" s="1" t="n">
        <x:v>355</x:v>
      </x:c>
      <x:c r="B360" s="1" t="n">
        <x:v>287</x:v>
      </x:c>
      <x:c r="C360" s="1" t="str">
        <x:v>Slakoth</x:v>
      </x:c>
      <x:c r="D360" s="1" t="str">
        <x:v>Normal</x:v>
      </x:c>
      <x:c r="E360" s="1" t="str"/>
      <x:c r="F360" s="10" t="n">
        <x:v>60</x:v>
      </x:c>
      <x:c r="G360" s="10" t="n">
        <x:v>35</x:v>
      </x:c>
      <x:c r="H360" s="10" t="n">
        <x:f>MAX(F360:G360)</x:f>
        <x:v>60</x:v>
      </x:c>
      <x:c r="I360" s="1" t="str">
        <x:f>'Pokémon'!M279</x:f>
        <x:v>Física</x:v>
      </x:c>
      <x:c r="J360" s="1" t="str">
        <x:f>'Habilidades'!D2556</x:f>
        <x:v>Play Rough</x:v>
      </x:c>
      <x:c r="K360" s="1" t="str">
        <x:f>'Habilidades'!E2556</x:f>
        <x:v>Fada</x:v>
      </x:c>
      <x:c r="L360" s="1" t="str">
        <x:f>'Habilidades'!F2556</x:f>
        <x:v>Física</x:v>
      </x:c>
      <x:c r="M360" s="10" t="n">
        <x:f>'Habilidades'!G2556</x:f>
        <x:v>90</x:v>
      </x:c>
      <x:c r="N360" s="10" t="n">
        <x:f>'Habilidades'!I2556</x:f>
        <x:v>150</x:v>
      </x:c>
      <x:c r="O360" s="1" t="str">
        <x:f>'Habilidades'!D2557&amp;" ("&amp;'Habilidades'!I2557&amp;")"</x:f>
        <x:v>Chip Away (130)</x:v>
      </x:c>
      <x:c r="P360" s="1" t="str">
        <x:f>'Habilidades'!D2558&amp;" ("&amp;'Habilidades'!I2558&amp;")"</x:f>
        <x:v>Feint Attack (120)</x:v>
      </x:c>
      <x:c r="Q360" s="1" t="str">
        <x:f>'Habilidades'!D2559&amp;" ("&amp;'Habilidades'!I2559&amp;")"</x:f>
        <x:v>Covet (120)</x:v>
      </x:c>
      <x:c r="R360" s="1" t="str">
        <x:f>'Habilidades'!D2560&amp;" ("&amp;'Habilidades'!I2560&amp;")"</x:f>
        <x:v>Scratch (100)</x:v>
      </x:c>
      <x:c r="S360" s="9" t="str">
        <x:v>https://poke.idleworld.online/pokepedia/pokemon/slakoth</x:v>
      </x:c>
    </x:row>
    <x:row r="361" ht="22" customHeight="1">
      <x:c r="A361" s="1" t="n">
        <x:v>355</x:v>
      </x:c>
      <x:c r="B361" s="1" t="n">
        <x:v>60</x:v>
      </x:c>
      <x:c r="C361" s="1" t="str">
        <x:v>Poliwag</x:v>
      </x:c>
      <x:c r="D361" s="1" t="str">
        <x:v>Água</x:v>
      </x:c>
      <x:c r="E361" s="1" t="str"/>
      <x:c r="F361" s="10" t="n">
        <x:v>50</x:v>
      </x:c>
      <x:c r="G361" s="10" t="n">
        <x:v>40</x:v>
      </x:c>
      <x:c r="H361" s="10" t="n">
        <x:f>MAX(F361:G361)</x:f>
        <x:v>50</x:v>
      </x:c>
      <x:c r="I361" s="1" t="str">
        <x:f>'Pokémon'!M64</x:f>
        <x:v>Física</x:v>
      </x:c>
      <x:c r="J361" s="1" t="str">
        <x:f>'Habilidades'!D533</x:f>
        <x:v>Hydro Pump</x:v>
      </x:c>
      <x:c r="K361" s="1" t="str">
        <x:f>'Habilidades'!E533</x:f>
        <x:v>Água</x:v>
      </x:c>
      <x:c r="L361" s="1" t="str">
        <x:f>'Habilidades'!F533</x:f>
        <x:v>Especial</x:v>
      </x:c>
      <x:c r="M361" s="10" t="n">
        <x:f>'Habilidades'!G533</x:f>
        <x:v>110</x:v>
      </x:c>
      <x:c r="N361" s="10" t="n">
        <x:f>'Habilidades'!I533</x:f>
        <x:v>150</x:v>
      </x:c>
      <x:c r="O361" s="1" t="str">
        <x:f>'Habilidades'!D534&amp;" ("&amp;'Habilidades'!I534&amp;")"</x:f>
        <x:v>Body Slam (135)</x:v>
      </x:c>
      <x:c r="P361" s="1" t="str">
        <x:f>'Habilidades'!D535&amp;" ("&amp;'Habilidades'!I535&amp;")"</x:f>
        <x:v>Wake-Up Slap (120)</x:v>
      </x:c>
      <x:c r="Q361" s="1" t="str">
        <x:f>'Habilidades'!D536&amp;" ("&amp;'Habilidades'!I536&amp;")"</x:f>
        <x:v>Bubble Beam (105)</x:v>
      </x:c>
      <x:c r="R361" s="1" t="str">
        <x:f>'Habilidades'!D537&amp;" ("&amp;'Habilidades'!I537&amp;")"</x:f>
        <x:v>Mud Bomb (105)</x:v>
      </x:c>
      <x:c r="S361" s="9" t="str">
        <x:v>https://poke.idleworld.online/pokepedia/pokemon/poliwag</x:v>
      </x:c>
    </x:row>
    <x:row r="362" ht="22" customHeight="1">
      <x:c r="A362" s="1" t="n">
        <x:v>355</x:v>
      </x:c>
      <x:c r="B362" s="1" t="n">
        <x:v>220</x:v>
      </x:c>
      <x:c r="C362" s="1" t="str">
        <x:v>Swinub</x:v>
      </x:c>
      <x:c r="D362" s="1" t="str">
        <x:v>Gelo</x:v>
      </x:c>
      <x:c r="E362" s="1" t="str">
        <x:v>Terrestre</x:v>
      </x:c>
      <x:c r="F362" s="10" t="n">
        <x:v>50</x:v>
      </x:c>
      <x:c r="G362" s="10" t="n">
        <x:v>30</x:v>
      </x:c>
      <x:c r="H362" s="10" t="n">
        <x:f>MAX(F362:G362)</x:f>
        <x:v>50</x:v>
      </x:c>
      <x:c r="I362" s="1" t="str">
        <x:f>'Pokémon'!M223</x:f>
        <x:v>Física</x:v>
      </x:c>
      <x:c r="J362" s="1" t="str">
        <x:f>'Habilidades'!D2064</x:f>
        <x:v>Earthquake</x:v>
      </x:c>
      <x:c r="K362" s="1" t="str">
        <x:f>'Habilidades'!E2064</x:f>
        <x:v>Terrestre</x:v>
      </x:c>
      <x:c r="L362" s="1" t="str">
        <x:f>'Habilidades'!F2064</x:f>
        <x:v>Física</x:v>
      </x:c>
      <x:c r="M362" s="10" t="n">
        <x:f>'Habilidades'!G2064</x:f>
        <x:v>100</x:v>
      </x:c>
      <x:c r="N362" s="10" t="n">
        <x:f>'Habilidades'!I2064</x:f>
        <x:v>150</x:v>
      </x:c>
      <x:c r="O362" s="1" t="str">
        <x:f>'Habilidades'!D2065&amp;" ("&amp;'Habilidades'!I2065&amp;")"</x:f>
        <x:v>Blizzard (140)</x:v>
      </x:c>
      <x:c r="P362" s="1" t="str">
        <x:f>'Habilidades'!D2066&amp;" ("&amp;'Habilidades'!I2066&amp;")"</x:f>
        <x:v>Take Down (140)</x:v>
      </x:c>
      <x:c r="Q362" s="1" t="str">
        <x:f>'Habilidades'!D2067&amp;" ("&amp;'Habilidades'!I2067&amp;")"</x:f>
        <x:v>Tackle (100)</x:v>
      </x:c>
      <x:c r="R362" s="1" t="str">
        <x:f>'Habilidades'!D2068&amp;" ("&amp;'Habilidades'!I2068&amp;")"</x:f>
        <x:v>Mud Bomb (95)</x:v>
      </x:c>
      <x:c r="S362" s="9" t="str">
        <x:v>https://poke.idleworld.online/pokepedia/pokemon/swinub</x:v>
      </x:c>
    </x:row>
    <x:row r="363" ht="22" customHeight="1">
      <x:c r="A363" s="1" t="n">
        <x:v>355</x:v>
      </x:c>
      <x:c r="B363" s="1" t="n">
        <x:v>355</x:v>
      </x:c>
      <x:c r="C363" s="1" t="str">
        <x:v>Duskull</x:v>
      </x:c>
      <x:c r="D363" s="1" t="str">
        <x:v>Fantasma</x:v>
      </x:c>
      <x:c r="E363" s="1" t="str"/>
      <x:c r="F363" s="10" t="n">
        <x:v>40</x:v>
      </x:c>
      <x:c r="G363" s="10" t="n">
        <x:v>30</x:v>
      </x:c>
      <x:c r="H363" s="10" t="n">
        <x:f>MAX(F363:G363)</x:f>
        <x:v>40</x:v>
      </x:c>
      <x:c r="I363" s="1" t="str">
        <x:f>'Pokémon'!M322</x:f>
        <x:v>Física</x:v>
      </x:c>
      <x:c r="J363" s="1" t="str">
        <x:f>'Habilidades'!D2983</x:f>
        <x:v>Future Sight</x:v>
      </x:c>
      <x:c r="K363" s="1" t="str">
        <x:f>'Habilidades'!E2983</x:f>
        <x:v>Psíquico</x:v>
      </x:c>
      <x:c r="L363" s="1" t="str">
        <x:f>'Habilidades'!F2983</x:f>
        <x:v>Especial</x:v>
      </x:c>
      <x:c r="M363" s="10" t="n">
        <x:f>'Habilidades'!G2983</x:f>
        <x:v>120</x:v>
      </x:c>
      <x:c r="N363" s="10" t="n">
        <x:f>'Habilidades'!I2983</x:f>
        <x:v>150</x:v>
      </x:c>
      <x:c r="O363" s="1" t="str">
        <x:f>'Habilidades'!D2984&amp;" ("&amp;'Habilidades'!I2984&amp;")"</x:f>
        <x:v>Shadow Ball (110)</x:v>
      </x:c>
      <x:c r="P363" s="1" t="str">
        <x:f>'Habilidades'!D2985&amp;" ("&amp;'Habilidades'!I2985&amp;")"</x:f>
        <x:v>Hex (95)</x:v>
      </x:c>
      <x:c r="Q363" s="1" t="str">
        <x:f>'Habilidades'!D2986&amp;" ("&amp;'Habilidades'!I2986&amp;")"</x:f>
        <x:v>Payback (90)</x:v>
      </x:c>
      <x:c r="R363" s="1" t="str">
        <x:f>'Habilidades'!D2987&amp;" ("&amp;'Habilidades'!I2987&amp;")"</x:f>
        <x:v>Night Shade (86)</x:v>
      </x:c>
      <x:c r="S363" s="9" t="str">
        <x:v>https://poke.idleworld.online/pokepedia/pokemon/duskull</x:v>
      </x:c>
    </x:row>
    <x:row r="364" ht="22" customHeight="1">
      <x:c r="A364" s="1" t="n">
        <x:v>355</x:v>
      </x:c>
      <x:c r="B364" s="1" t="n">
        <x:v>191</x:v>
      </x:c>
      <x:c r="C364" s="1" t="str">
        <x:v>Sunkern</x:v>
      </x:c>
      <x:c r="D364" s="1" t="str">
        <x:v>Planta</x:v>
      </x:c>
      <x:c r="E364" s="1" t="str"/>
      <x:c r="F364" s="10" t="n">
        <x:v>30</x:v>
      </x:c>
      <x:c r="G364" s="10" t="n">
        <x:v>30</x:v>
      </x:c>
      <x:c r="H364" s="10" t="n">
        <x:f>MAX(F364:G364)</x:f>
        <x:v>30</x:v>
      </x:c>
      <x:c r="I364" s="1" t="str">
        <x:f>'Pokémon'!M195</x:f>
        <x:v>Empate</x:v>
      </x:c>
      <x:c r="J364" s="1" t="str">
        <x:f>'Habilidades'!D1790</x:f>
        <x:v>Solar Beam</x:v>
      </x:c>
      <x:c r="K364" s="1" t="str">
        <x:f>'Habilidades'!E1790</x:f>
        <x:v>Planta</x:v>
      </x:c>
      <x:c r="L364" s="1" t="str">
        <x:f>'Habilidades'!F1790</x:f>
        <x:v>Especial</x:v>
      </x:c>
      <x:c r="M364" s="10" t="n">
        <x:f>'Habilidades'!G1790</x:f>
        <x:v>120</x:v>
      </x:c>
      <x:c r="N364" s="10" t="n">
        <x:f>'Habilidades'!I1790</x:f>
        <x:v>150</x:v>
      </x:c>
      <x:c r="O364" s="1" t="str">
        <x:f>'Habilidades'!D1791&amp;" ("&amp;'Habilidades'!I1791&amp;")"</x:f>
        <x:v>Double-Edge (150)</x:v>
      </x:c>
      <x:c r="P364" s="1" t="str">
        <x:f>'Habilidades'!D1792&amp;" ("&amp;'Habilidades'!I1792&amp;")"</x:f>
        <x:v>Seed Bomb (110)</x:v>
      </x:c>
      <x:c r="Q364" s="1" t="str">
        <x:f>'Habilidades'!D1793&amp;" ("&amp;'Habilidades'!I1793&amp;")"</x:f>
        <x:v>Giga Drain (105)</x:v>
      </x:c>
      <x:c r="R364" s="1" t="str">
        <x:f>'Habilidades'!D1794&amp;" ("&amp;'Habilidades'!I1794&amp;")"</x:f>
        <x:v>Razor Leaf (85)</x:v>
      </x:c>
      <x:c r="S364" s="9" t="str">
        <x:v>https://poke.idleworld.online/pokepedia/pokemon/sunkern</x:v>
      </x:c>
    </x:row>
    <x:row r="365" ht="22" customHeight="1">
      <x:c r="A365" s="1" t="n">
        <x:v>361</x:v>
      </x:c>
      <x:c r="B365" s="1" t="n">
        <x:v>79</x:v>
      </x:c>
      <x:c r="C365" s="1" t="str">
        <x:v>Slowpoke</x:v>
      </x:c>
      <x:c r="D365" s="1" t="str">
        <x:v>Água</x:v>
      </x:c>
      <x:c r="E365" s="1" t="str">
        <x:v>Psíquico</x:v>
      </x:c>
      <x:c r="F365" s="10" t="n">
        <x:v>65</x:v>
      </x:c>
      <x:c r="G365" s="10" t="n">
        <x:v>40</x:v>
      </x:c>
      <x:c r="H365" s="10" t="n">
        <x:f>MAX(F365:G365)</x:f>
        <x:v>65</x:v>
      </x:c>
      <x:c r="I365" s="1" t="str">
        <x:f>'Pokémon'!M83</x:f>
        <x:v>Física</x:v>
      </x:c>
      <x:c r="J365" s="1" t="str">
        <x:f>'Habilidades'!D713</x:f>
        <x:v>Zen Headbutt</x:v>
      </x:c>
      <x:c r="K365" s="1" t="str">
        <x:f>'Habilidades'!E713</x:f>
        <x:v>Psíquico</x:v>
      </x:c>
      <x:c r="L365" s="1" t="str">
        <x:f>'Habilidades'!F713</x:f>
        <x:v>Física</x:v>
      </x:c>
      <x:c r="M365" s="10" t="n">
        <x:f>'Habilidades'!G713</x:f>
        <x:v>80</x:v>
      </x:c>
      <x:c r="N365" s="10" t="n">
        <x:f>'Habilidades'!I713</x:f>
        <x:v>145</x:v>
      </x:c>
      <x:c r="O365" s="1" t="str">
        <x:f>'Habilidades'!D714&amp;" ("&amp;'Habilidades'!I714&amp;")"</x:f>
        <x:v>Headbutt (135)</x:v>
      </x:c>
      <x:c r="P365" s="1" t="str">
        <x:f>'Habilidades'!D715&amp;" ("&amp;'Habilidades'!I715&amp;")"</x:f>
        <x:v>Psychic (130)</x:v>
      </x:c>
      <x:c r="Q365" s="1" t="str">
        <x:f>'Habilidades'!D716&amp;" ("&amp;'Habilidades'!I716&amp;")"</x:f>
        <x:v>Tackle (115)</x:v>
      </x:c>
      <x:c r="R365" s="1" t="str">
        <x:f>'Habilidades'!D717&amp;" ("&amp;'Habilidades'!I717&amp;")"</x:f>
        <x:v>Water Pulse (100)</x:v>
      </x:c>
      <x:c r="S365" s="9" t="str">
        <x:v>https://poke.idleworld.online/pokepedia/pokemon/slowpoke</x:v>
      </x:c>
    </x:row>
    <x:row r="366" ht="22" customHeight="1">
      <x:c r="A366" s="1" t="n">
        <x:v>361</x:v>
      </x:c>
      <x:c r="B366" s="1" t="n">
        <x:v>261</x:v>
      </x:c>
      <x:c r="C366" s="1" t="str">
        <x:v>Poochyena</x:v>
      </x:c>
      <x:c r="D366" s="1" t="str">
        <x:v>Sombrio</x:v>
      </x:c>
      <x:c r="E366" s="1" t="str"/>
      <x:c r="F366" s="10" t="n">
        <x:v>55</x:v>
      </x:c>
      <x:c r="G366" s="10" t="n">
        <x:v>30</x:v>
      </x:c>
      <x:c r="H366" s="10" t="n">
        <x:f>MAX(F366:G366)</x:f>
        <x:v>55</x:v>
      </x:c>
      <x:c r="I366" s="1" t="str">
        <x:f>'Pokémon'!M264</x:f>
        <x:v>Física</x:v>
      </x:c>
      <x:c r="J366" s="1" t="str">
        <x:f>'Habilidades'!D2445</x:f>
        <x:v>Take Down</x:v>
      </x:c>
      <x:c r="K366" s="1" t="str">
        <x:f>'Habilidades'!E2445</x:f>
        <x:v>Normal</x:v>
      </x:c>
      <x:c r="L366" s="1" t="str">
        <x:f>'Habilidades'!F2445</x:f>
        <x:v>Física</x:v>
      </x:c>
      <x:c r="M366" s="10" t="n">
        <x:f>'Habilidades'!G2445</x:f>
        <x:v>90</x:v>
      </x:c>
      <x:c r="N366" s="10" t="n">
        <x:f>'Habilidades'!I2445</x:f>
        <x:v>145</x:v>
      </x:c>
      <x:c r="O366" s="1" t="str">
        <x:f>'Habilidades'!D2446&amp;" ("&amp;'Habilidades'!I2446&amp;")"</x:f>
        <x:v>Crunch (135)</x:v>
      </x:c>
      <x:c r="P366" s="1" t="str">
        <x:f>'Habilidades'!D2447&amp;" ("&amp;'Habilidades'!I2447&amp;")"</x:f>
        <x:v>Sucker Punch (135)</x:v>
      </x:c>
      <x:c r="Q366" s="1" t="str">
        <x:f>'Habilidades'!D2448&amp;" ("&amp;'Habilidades'!I2448&amp;")"</x:f>
        <x:v>Bite (115)</x:v>
      </x:c>
      <x:c r="R366" s="1" t="str">
        <x:f>'Habilidades'!D2449&amp;" ("&amp;'Habilidades'!I2449&amp;")"</x:f>
        <x:v>Assurance (115)</x:v>
      </x:c>
      <x:c r="S366" s="9" t="str">
        <x:v>https://poke.idleworld.online/pokepedia/pokemon/poochyena</x:v>
      </x:c>
    </x:row>
    <x:row r="367" ht="22" customHeight="1">
      <x:c r="A367" s="1" t="n">
        <x:v>361</x:v>
      </x:c>
      <x:c r="B367" s="1" t="n">
        <x:v>374</x:v>
      </x:c>
      <x:c r="C367" s="1" t="str">
        <x:v>Beldum</x:v>
      </x:c>
      <x:c r="D367" s="1" t="str">
        <x:v>Aço</x:v>
      </x:c>
      <x:c r="E367" s="1" t="str">
        <x:v>Psíquico</x:v>
      </x:c>
      <x:c r="F367" s="10" t="n">
        <x:v>55</x:v>
      </x:c>
      <x:c r="G367" s="10" t="n">
        <x:v>35</x:v>
      </x:c>
      <x:c r="H367" s="10" t="n">
        <x:f>MAX(F367:G367)</x:f>
        <x:v>55</x:v>
      </x:c>
      <x:c r="I367" s="1" t="str">
        <x:f>'Pokémon'!M334</x:f>
        <x:v>Física</x:v>
      </x:c>
      <x:c r="J367" s="1" t="str">
        <x:f>'Habilidades'!D3122</x:f>
        <x:v>Take Down</x:v>
      </x:c>
      <x:c r="K367" s="1" t="str">
        <x:f>'Habilidades'!E3122</x:f>
        <x:v>Normal</x:v>
      </x:c>
      <x:c r="L367" s="1" t="str">
        <x:f>'Habilidades'!F3122</x:f>
        <x:v>Física</x:v>
      </x:c>
      <x:c r="M367" s="10" t="n">
        <x:f>'Habilidades'!G3122</x:f>
        <x:v>90</x:v>
      </x:c>
      <x:c r="N367" s="10" t="n">
        <x:f>'Habilidades'!I3122</x:f>
        <x:v>145</x:v>
      </x:c>
      <x:c r="O367" s="1" t="str">
        <x:f>""</x:f>
      </x:c>
      <x:c r="P367" s="1" t="str">
        <x:f>""</x:f>
      </x:c>
      <x:c r="Q367" s="1" t="str">
        <x:f>""</x:f>
      </x:c>
      <x:c r="R367" s="1" t="str">
        <x:f>""</x:f>
      </x:c>
      <x:c r="S367" s="9" t="str">
        <x:v>https://poke.idleworld.online/pokepedia/pokemon/beldum</x:v>
      </x:c>
    </x:row>
    <x:row r="368" ht="22" customHeight="1">
      <x:c r="A368" s="1" t="n">
        <x:v>361</x:v>
      </x:c>
      <x:c r="B368" s="1" t="n">
        <x:v>704</x:v>
      </x:c>
      <x:c r="C368" s="1" t="str">
        <x:v>Goomy</x:v>
      </x:c>
      <x:c r="D368" s="1" t="str">
        <x:v>Dragão</x:v>
      </x:c>
      <x:c r="E368" s="1" t="str"/>
      <x:c r="F368" s="10" t="n">
        <x:v>50</x:v>
      </x:c>
      <x:c r="G368" s="10" t="n">
        <x:v>55</x:v>
      </x:c>
      <x:c r="H368" s="10" t="n">
        <x:f>MAX(F368:G368)</x:f>
        <x:v>55</x:v>
      </x:c>
      <x:c r="I368" s="1" t="str">
        <x:f>'Pokémon'!M404</x:f>
        <x:v>Especial</x:v>
      </x:c>
      <x:c r="J368" s="1" t="str">
        <x:f>'Habilidades'!D3740</x:f>
        <x:v>Muddy Water</x:v>
      </x:c>
      <x:c r="K368" s="1" t="str">
        <x:f>'Habilidades'!E3740</x:f>
        <x:v>Água</x:v>
      </x:c>
      <x:c r="L368" s="1" t="str">
        <x:f>'Habilidades'!F3740</x:f>
        <x:v>Especial</x:v>
      </x:c>
      <x:c r="M368" s="10" t="n">
        <x:f>'Habilidades'!G3740</x:f>
        <x:v>90</x:v>
      </x:c>
      <x:c r="N368" s="10" t="n">
        <x:f>'Habilidades'!I3740</x:f>
        <x:v>145</x:v>
      </x:c>
      <x:c r="O368" s="1" t="str">
        <x:f>'Habilidades'!D3741&amp;" ("&amp;'Habilidades'!I3741&amp;")"</x:f>
        <x:v>Dragon Pulse (140)</x:v>
      </x:c>
      <x:c r="P368" s="1" t="str">
        <x:f>'Habilidades'!D3742&amp;" ("&amp;'Habilidades'!I3742&amp;")"</x:f>
        <x:v>Body Slam (135)</x:v>
      </x:c>
      <x:c r="Q368" s="1" t="str">
        <x:f>'Habilidades'!D3743&amp;" ("&amp;'Habilidades'!I3743&amp;")"</x:f>
        <x:v>Dragon Breath (115)</x:v>
      </x:c>
      <x:c r="R368" s="1" t="str">
        <x:f>'Habilidades'!D3744&amp;" ("&amp;'Habilidades'!I3744&amp;")"</x:f>
        <x:v>Tackle (100)</x:v>
      </x:c>
      <x:c r="S368" s="9" t="str">
        <x:v>https://poke.idleworld.online/pokepedia/pokemon/goomy</x:v>
      </x:c>
    </x:row>
    <x:row r="369" ht="22" customHeight="1">
      <x:c r="A369" s="1" t="n">
        <x:v>361</x:v>
      </x:c>
      <x:c r="B369" s="1" t="n">
        <x:v>16</x:v>
      </x:c>
      <x:c r="C369" s="1" t="str">
        <x:v>Pidgey</x:v>
      </x:c>
      <x:c r="D369" s="1" t="str">
        <x:v>Normal</x:v>
      </x:c>
      <x:c r="E369" s="1" t="str">
        <x:v>Voador</x:v>
      </x:c>
      <x:c r="F369" s="10" t="n">
        <x:v>45</x:v>
      </x:c>
      <x:c r="G369" s="10" t="n">
        <x:v>35</x:v>
      </x:c>
      <x:c r="H369" s="10" t="n">
        <x:f>MAX(F369:G369)</x:f>
        <x:v>45</x:v>
      </x:c>
      <x:c r="I369" s="1" t="str">
        <x:f>'Pokémon'!M20</x:f>
        <x:v>Física</x:v>
      </x:c>
      <x:c r="J369" s="1" t="str">
        <x:f>'Habilidades'!D125</x:f>
        <x:v>Hurricane</x:v>
      </x:c>
      <x:c r="K369" s="1" t="str">
        <x:f>'Habilidades'!E125</x:f>
        <x:v>Voador</x:v>
      </x:c>
      <x:c r="L369" s="1" t="str">
        <x:f>'Habilidades'!F125</x:f>
        <x:v>Especial</x:v>
      </x:c>
      <x:c r="M369" s="10" t="n">
        <x:f>'Habilidades'!G125</x:f>
        <x:v>110</x:v>
      </x:c>
      <x:c r="N369" s="10" t="n">
        <x:f>'Habilidades'!I125</x:f>
        <x:v>145</x:v>
      </x:c>
      <x:c r="O369" s="1" t="str">
        <x:f>'Habilidades'!D126&amp;" ("&amp;'Habilidades'!I126&amp;")"</x:f>
        <x:v>Air Slash (110)</x:v>
      </x:c>
      <x:c r="P369" s="1" t="str">
        <x:f>'Habilidades'!D127&amp;" ("&amp;'Habilidades'!I127&amp;")"</x:f>
        <x:v>Wing Attack (105)</x:v>
      </x:c>
      <x:c r="Q369" s="1" t="str">
        <x:f>'Habilidades'!D128&amp;" ("&amp;'Habilidades'!I128&amp;")"</x:f>
        <x:v>Tackle (95)</x:v>
      </x:c>
      <x:c r="R369" s="1" t="str">
        <x:f>'Habilidades'!D129&amp;" ("&amp;'Habilidades'!I129&amp;")"</x:f>
        <x:v>Quick Attack (85)</x:v>
      </x:c>
      <x:c r="S369" s="9" t="str">
        <x:v>https://poke.idleworld.online/pokepedia/pokemon/pidgey</x:v>
      </x:c>
    </x:row>
    <x:row r="370" ht="22" customHeight="1">
      <x:c r="A370" s="1" t="n">
        <x:v>361</x:v>
      </x:c>
      <x:c r="B370" s="1" t="n">
        <x:v>194</x:v>
      </x:c>
      <x:c r="C370" s="1" t="str">
        <x:v>Wooper</x:v>
      </x:c>
      <x:c r="D370" s="1" t="str">
        <x:v>Água</x:v>
      </x:c>
      <x:c r="E370" s="1" t="str">
        <x:v>Terrestre</x:v>
      </x:c>
      <x:c r="F370" s="10" t="n">
        <x:v>45</x:v>
      </x:c>
      <x:c r="G370" s="10" t="n">
        <x:v>25</x:v>
      </x:c>
      <x:c r="H370" s="10" t="n">
        <x:f>MAX(F370:G370)</x:f>
        <x:v>45</x:v>
      </x:c>
      <x:c r="I370" s="1" t="str">
        <x:f>'Pokémon'!M198</x:f>
        <x:v>Física</x:v>
      </x:c>
      <x:c r="J370" s="1" t="str">
        <x:f>'Habilidades'!D1820</x:f>
        <x:v>Earthquake</x:v>
      </x:c>
      <x:c r="K370" s="1" t="str">
        <x:f>'Habilidades'!E1820</x:f>
        <x:v>Terrestre</x:v>
      </x:c>
      <x:c r="L370" s="1" t="str">
        <x:f>'Habilidades'!F1820</x:f>
        <x:v>Física</x:v>
      </x:c>
      <x:c r="M370" s="10" t="n">
        <x:f>'Habilidades'!G1820</x:f>
        <x:v>100</x:v>
      </x:c>
      <x:c r="N370" s="10" t="n">
        <x:f>'Habilidades'!I1820</x:f>
        <x:v>145</x:v>
      </x:c>
      <x:c r="O370" s="1" t="str">
        <x:f>'Habilidades'!D1821&amp;" ("&amp;'Habilidades'!I1821&amp;")"</x:f>
        <x:v>Slam (125)</x:v>
      </x:c>
      <x:c r="P370" s="1" t="str">
        <x:f>'Habilidades'!D1822&amp;" ("&amp;'Habilidades'!I1822&amp;")"</x:f>
        <x:v>Muddy Water (115)</x:v>
      </x:c>
      <x:c r="Q370" s="1" t="str">
        <x:f>'Habilidades'!D1823&amp;" ("&amp;'Habilidades'!I1823&amp;")"</x:f>
        <x:v>Mud Bomb (90)</x:v>
      </x:c>
      <x:c r="R370" s="1" t="str">
        <x:f>'Habilidades'!D1824&amp;" ("&amp;'Habilidades'!I1824&amp;")"</x:f>
        <x:v>Mud Shot (80)</x:v>
      </x:c>
      <x:c r="S370" s="9" t="str">
        <x:v>https://poke.idleworld.online/pokepedia/pokemon/wooper</x:v>
      </x:c>
    </x:row>
    <x:row r="371" ht="22" customHeight="1">
      <x:c r="A371" s="1" t="n">
        <x:v>367</x:v>
      </x:c>
      <x:c r="B371" s="1" t="n">
        <x:v>677</x:v>
      </x:c>
      <x:c r="C371" s="1" t="str">
        <x:v>Espurr</x:v>
      </x:c>
      <x:c r="D371" s="1" t="str">
        <x:v>Psíquico</x:v>
      </x:c>
      <x:c r="E371" s="1" t="str"/>
      <x:c r="F371" s="10" t="n">
        <x:v>48</x:v>
      </x:c>
      <x:c r="G371" s="10" t="n">
        <x:v>63</x:v>
      </x:c>
      <x:c r="H371" s="10" t="n">
        <x:f>MAX(F371:G371)</x:f>
        <x:v>63</x:v>
      </x:c>
      <x:c r="I371" s="1" t="str">
        <x:f>'Pokémon'!M399</x:f>
        <x:v>Especial</x:v>
      </x:c>
      <x:c r="J371" s="1" t="str">
        <x:f>'Habilidades'!D3692</x:f>
        <x:v>Psyshock</x:v>
      </x:c>
      <x:c r="K371" s="1" t="str">
        <x:f>'Habilidades'!E3692</x:f>
        <x:v>Psíquico</x:v>
      </x:c>
      <x:c r="L371" s="1" t="str">
        <x:f>'Habilidades'!F3692</x:f>
        <x:v>Especial</x:v>
      </x:c>
      <x:c r="M371" s="10" t="n">
        <x:f>'Habilidades'!G3692</x:f>
        <x:v>80</x:v>
      </x:c>
      <x:c r="N371" s="10" t="n">
        <x:f>'Habilidades'!I3692</x:f>
        <x:v>143</x:v>
      </x:c>
      <x:c r="O371" s="1" t="str">
        <x:f>'Habilidades'!D3693&amp;" ("&amp;'Habilidades'!I3693&amp;")"</x:f>
        <x:v>Psybeam (128)</x:v>
      </x:c>
      <x:c r="P371" s="1" t="str">
        <x:f>'Habilidades'!D3694&amp;" ("&amp;'Habilidades'!I3694&amp;")"</x:f>
        <x:v>Confusion (113)</x:v>
      </x:c>
      <x:c r="Q371" s="1" t="str">
        <x:f>'Habilidades'!D3695&amp;" ("&amp;'Habilidades'!I3695&amp;")"</x:f>
        <x:v>Covet (108)</x:v>
      </x:c>
      <x:c r="R371" s="1" t="str">
        <x:f>'Habilidades'!D3696&amp;" ("&amp;'Habilidades'!I3696&amp;")"</x:f>
        <x:v>Disarming Voice (103)</x:v>
      </x:c>
      <x:c r="S371" s="9" t="str">
        <x:v>https://poke.idleworld.online/pokepedia/pokemon/espurr</x:v>
      </x:c>
    </x:row>
    <x:row r="372" ht="22" customHeight="1">
      <x:c r="A372" s="1" t="n">
        <x:v>368</x:v>
      </x:c>
      <x:c r="B372" s="1" t="n">
        <x:v>30</x:v>
      </x:c>
      <x:c r="C372" s="1" t="str">
        <x:v>Nidorina</x:v>
      </x:c>
      <x:c r="D372" s="1" t="str">
        <x:v>Venenoso</x:v>
      </x:c>
      <x:c r="E372" s="1" t="str"/>
      <x:c r="F372" s="10" t="n">
        <x:v>62</x:v>
      </x:c>
      <x:c r="G372" s="10" t="n">
        <x:v>55</x:v>
      </x:c>
      <x:c r="H372" s="10" t="n">
        <x:f>MAX(F372:G372)</x:f>
        <x:v>62</x:v>
      </x:c>
      <x:c r="I372" s="1" t="str">
        <x:f>'Pokémon'!M34</x:f>
        <x:v>Física</x:v>
      </x:c>
      <x:c r="J372" s="1" t="str">
        <x:f>'Habilidades'!D258</x:f>
        <x:v>Crunch</x:v>
      </x:c>
      <x:c r="K372" s="1" t="str">
        <x:f>'Habilidades'!E258</x:f>
        <x:v>Sombrio</x:v>
      </x:c>
      <x:c r="L372" s="1" t="str">
        <x:f>'Habilidades'!F258</x:f>
        <x:v>Física</x:v>
      </x:c>
      <x:c r="M372" s="10" t="n">
        <x:f>'Habilidades'!G258</x:f>
        <x:v>80</x:v>
      </x:c>
      <x:c r="N372" s="10" t="n">
        <x:f>'Habilidades'!I258</x:f>
        <x:v>142</x:v>
      </x:c>
      <x:c r="O372" s="1" t="str">
        <x:f>'Habilidades'!D259&amp;" ("&amp;'Habilidades'!I259&amp;")"</x:f>
        <x:v>Bite (122)</x:v>
      </x:c>
      <x:c r="P372" s="1" t="str">
        <x:f>'Habilidades'!D260&amp;" ("&amp;'Habilidades'!I260&amp;")"</x:f>
        <x:v>Poison Fang (112)</x:v>
      </x:c>
      <x:c r="Q372" s="1" t="str">
        <x:f>'Habilidades'!D261&amp;" ("&amp;'Habilidades'!I261&amp;")"</x:f>
        <x:v>Scratch (102)</x:v>
      </x:c>
      <x:c r="R372" s="1" t="str">
        <x:f>'Habilidades'!D262&amp;" ("&amp;'Habilidades'!I262&amp;")"</x:f>
        <x:v>Double Kick (92)</x:v>
      </x:c>
      <x:c r="S372" s="9" t="str">
        <x:v>https://poke.idleworld.online/pokepedia/pokemon/nidorina</x:v>
      </x:c>
    </x:row>
    <x:row r="373" ht="22" customHeight="1">
      <x:c r="A373" s="1" t="n">
        <x:v>368</x:v>
      </x:c>
      <x:c r="B373" s="1" t="n">
        <x:v>411</x:v>
      </x:c>
      <x:c r="C373" s="1" t="str">
        <x:v>Bastiodon</x:v>
      </x:c>
      <x:c r="D373" s="1" t="str">
        <x:v>Pedra</x:v>
      </x:c>
      <x:c r="E373" s="1" t="str">
        <x:v>Aço</x:v>
      </x:c>
      <x:c r="F373" s="10" t="n">
        <x:v>52</x:v>
      </x:c>
      <x:c r="G373" s="10" t="n">
        <x:v>47</x:v>
      </x:c>
      <x:c r="H373" s="10" t="n">
        <x:f>MAX(F373:G373)</x:f>
        <x:v>52</x:v>
      </x:c>
      <x:c r="I373" s="1" t="str">
        <x:f>'Pokémon'!M342</x:f>
        <x:v>Física</x:v>
      </x:c>
      <x:c r="J373" s="1" t="str">
        <x:f>'Habilidades'!D3180</x:f>
        <x:v>Take Down</x:v>
      </x:c>
      <x:c r="K373" s="1" t="str">
        <x:f>'Habilidades'!E3180</x:f>
        <x:v>Normal</x:v>
      </x:c>
      <x:c r="L373" s="1" t="str">
        <x:f>'Habilidades'!F3180</x:f>
        <x:v>Física</x:v>
      </x:c>
      <x:c r="M373" s="10" t="n">
        <x:f>'Habilidades'!G3180</x:f>
        <x:v>90</x:v>
      </x:c>
      <x:c r="N373" s="10" t="n">
        <x:f>'Habilidades'!I3180</x:f>
        <x:v>142</x:v>
      </x:c>
      <x:c r="O373" s="1" t="str">
        <x:f>'Habilidades'!D3181&amp;" ("&amp;'Habilidades'!I3181&amp;")"</x:f>
        <x:v>Iron Head (132)</x:v>
      </x:c>
      <x:c r="P373" s="1" t="str">
        <x:f>'Habilidades'!D3182&amp;" ("&amp;'Habilidades'!I3182&amp;")"</x:f>
        <x:v>Ancient Power (107)</x:v>
      </x:c>
      <x:c r="Q373" s="1" t="str">
        <x:f>'Habilidades'!D3183&amp;" ("&amp;'Habilidades'!I3183&amp;")"</x:f>
        <x:v>Tackle (102)</x:v>
      </x:c>
      <x:c r="R373" s="1" t="str">
        <x:f>""</x:f>
      </x:c>
      <x:c r="S373" s="9" t="str">
        <x:v>https://poke.idleworld.online/pokepedia/pokemon/bastiodon</x:v>
      </x:c>
    </x:row>
    <x:row r="374" ht="22" customHeight="1">
      <x:c r="A374" s="1" t="n">
        <x:v>370</x:v>
      </x:c>
      <x:c r="B374" s="1" t="n">
        <x:v>42</x:v>
      </x:c>
      <x:c r="C374" s="1" t="str">
        <x:v>Golbat</x:v>
      </x:c>
      <x:c r="D374" s="1" t="str">
        <x:v>Venenoso</x:v>
      </x:c>
      <x:c r="E374" s="1" t="str">
        <x:v>Voador</x:v>
      </x:c>
      <x:c r="F374" s="10" t="n">
        <x:v>80</x:v>
      </x:c>
      <x:c r="G374" s="10" t="n">
        <x:v>65</x:v>
      </x:c>
      <x:c r="H374" s="10" t="n">
        <x:f>MAX(F374:G374)</x:f>
        <x:v>80</x:v>
      </x:c>
      <x:c r="I374" s="1" t="str">
        <x:f>'Pokémon'!M46</x:f>
        <x:v>Física</x:v>
      </x:c>
      <x:c r="J374" s="1" t="str">
        <x:f>'Habilidades'!D351</x:f>
        <x:v>Air Slash</x:v>
      </x:c>
      <x:c r="K374" s="1" t="str">
        <x:f>'Habilidades'!E351</x:f>
        <x:v>Voador</x:v>
      </x:c>
      <x:c r="L374" s="1" t="str">
        <x:f>'Habilidades'!F351</x:f>
        <x:v>Especial</x:v>
      </x:c>
      <x:c r="M374" s="10" t="n">
        <x:f>'Habilidades'!G351</x:f>
        <x:v>75</x:v>
      </x:c>
      <x:c r="N374" s="10" t="n">
        <x:f>'Habilidades'!I351</x:f>
        <x:v>140</x:v>
      </x:c>
      <x:c r="O374" s="1" t="str">
        <x:f>'Habilidades'!D352&amp;" ("&amp;'Habilidades'!I352&amp;")"</x:f>
        <x:v>Bite (140)</x:v>
      </x:c>
      <x:c r="P374" s="1" t="str">
        <x:f>'Habilidades'!D353&amp;" ("&amp;'Habilidades'!I353&amp;")"</x:f>
        <x:v>Wing Attack (140)</x:v>
      </x:c>
      <x:c r="Q374" s="1" t="str">
        <x:f>'Habilidades'!D354&amp;" ("&amp;'Habilidades'!I354&amp;")"</x:f>
        <x:v>Acrobatics (135)</x:v>
      </x:c>
      <x:c r="R374" s="1" t="str">
        <x:f>'Habilidades'!D355&amp;" ("&amp;'Habilidades'!I355&amp;")"</x:f>
        <x:v>Venoshock (130)</x:v>
      </x:c>
      <x:c r="S374" s="9" t="str">
        <x:v>https://poke.idleworld.online/pokepedia/pokemon/golbat</x:v>
      </x:c>
    </x:row>
    <x:row r="375" ht="22" customHeight="1">
      <x:c r="A375" s="1" t="n">
        <x:v>370</x:v>
      </x:c>
      <x:c r="B375" s="1" t="n">
        <x:v>21</x:v>
      </x:c>
      <x:c r="C375" s="1" t="str">
        <x:v>Spearow</x:v>
      </x:c>
      <x:c r="D375" s="1" t="str">
        <x:v>Normal</x:v>
      </x:c>
      <x:c r="E375" s="1" t="str">
        <x:v>Voador</x:v>
      </x:c>
      <x:c r="F375" s="10" t="n">
        <x:v>60</x:v>
      </x:c>
      <x:c r="G375" s="10" t="n">
        <x:v>31</x:v>
      </x:c>
      <x:c r="H375" s="10" t="n">
        <x:f>MAX(F375:G375)</x:f>
        <x:v>60</x:v>
      </x:c>
      <x:c r="I375" s="1" t="str">
        <x:f>'Pokémon'!M25</x:f>
        <x:v>Física</x:v>
      </x:c>
      <x:c r="J375" s="1" t="str">
        <x:f>'Habilidades'!D173</x:f>
        <x:v>Drill Peck</x:v>
      </x:c>
      <x:c r="K375" s="1" t="str">
        <x:f>'Habilidades'!E173</x:f>
        <x:v>Voador</x:v>
      </x:c>
      <x:c r="L375" s="1" t="str">
        <x:f>'Habilidades'!F173</x:f>
        <x:v>Física</x:v>
      </x:c>
      <x:c r="M375" s="10" t="n">
        <x:f>'Habilidades'!G173</x:f>
        <x:v>80</x:v>
      </x:c>
      <x:c r="N375" s="10" t="n">
        <x:f>'Habilidades'!I173</x:f>
        <x:v>140</x:v>
      </x:c>
      <x:c r="O375" s="1" t="str">
        <x:f>'Habilidades'!D174&amp;" ("&amp;'Habilidades'!I174&amp;")"</x:f>
        <x:v>Aerial Ace (120)</x:v>
      </x:c>
      <x:c r="P375" s="1" t="str">
        <x:f>'Habilidades'!D175&amp;" ("&amp;'Habilidades'!I175&amp;")"</x:f>
        <x:v>Assurance (120)</x:v>
      </x:c>
      <x:c r="Q375" s="1" t="str">
        <x:f>'Habilidades'!D176&amp;" ("&amp;'Habilidades'!I176&amp;")"</x:f>
        <x:v>Pursuit (100)</x:v>
      </x:c>
      <x:c r="R375" s="1" t="str">
        <x:f>'Habilidades'!D177&amp;" ("&amp;'Habilidades'!I177&amp;")"</x:f>
        <x:v>Peck (95)</x:v>
      </x:c>
      <x:c r="S375" s="9" t="str">
        <x:v>https://poke.idleworld.online/pokepedia/pokemon/spearow</x:v>
      </x:c>
    </x:row>
    <x:row r="376" ht="22" customHeight="1">
      <x:c r="A376" s="1" t="n">
        <x:v>370</x:v>
      </x:c>
      <x:c r="B376" s="1" t="n">
        <x:v>167</x:v>
      </x:c>
      <x:c r="C376" s="1" t="str">
        <x:v>Spinarak</x:v>
      </x:c>
      <x:c r="D376" s="1" t="str">
        <x:v>Inseto</x:v>
      </x:c>
      <x:c r="E376" s="1" t="str">
        <x:v>Venenoso</x:v>
      </x:c>
      <x:c r="F376" s="10" t="n">
        <x:v>60</x:v>
      </x:c>
      <x:c r="G376" s="10" t="n">
        <x:v>40</x:v>
      </x:c>
      <x:c r="H376" s="10" t="n">
        <x:f>MAX(F376:G376)</x:f>
        <x:v>60</x:v>
      </x:c>
      <x:c r="I376" s="1" t="str">
        <x:f>'Pokémon'!M171</x:f>
        <x:v>Física</x:v>
      </x:c>
      <x:c r="J376" s="1" t="str">
        <x:f>'Habilidades'!D1611</x:f>
        <x:v>Sucker Punch</x:v>
      </x:c>
      <x:c r="K376" s="1" t="str">
        <x:f>'Habilidades'!E1611</x:f>
        <x:v>Sombrio</x:v>
      </x:c>
      <x:c r="L376" s="1" t="str">
        <x:f>'Habilidades'!F1611</x:f>
        <x:v>Física</x:v>
      </x:c>
      <x:c r="M376" s="10" t="n">
        <x:f>'Habilidades'!G1611</x:f>
        <x:v>80</x:v>
      </x:c>
      <x:c r="N376" s="10" t="n">
        <x:f>'Habilidades'!I1611</x:f>
        <x:v>140</x:v>
      </x:c>
      <x:c r="O376" s="1" t="str">
        <x:f>'Habilidades'!D1612&amp;" ("&amp;'Habilidades'!I1612&amp;")"</x:f>
        <x:v>Poison Jab (140)</x:v>
      </x:c>
      <x:c r="P376" s="1" t="str">
        <x:f>'Habilidades'!D1613&amp;" ("&amp;'Habilidades'!I1613&amp;")"</x:f>
        <x:v>Psychic (130)</x:v>
      </x:c>
      <x:c r="Q376" s="1" t="str">
        <x:f>'Habilidades'!D1614&amp;" ("&amp;'Habilidades'!I1614&amp;")"</x:f>
        <x:v>Cross Poison (130)</x:v>
      </x:c>
      <x:c r="R376" s="1" t="str">
        <x:f>'Habilidades'!D1615&amp;" ("&amp;'Habilidades'!I1615&amp;")"</x:f>
        <x:v>Shadow Sneak (100)</x:v>
      </x:c>
      <x:c r="S376" s="9" t="str">
        <x:v>https://poke.idleworld.online/pokepedia/pokemon/spinarak</x:v>
      </x:c>
    </x:row>
    <x:row r="377" ht="22" customHeight="1">
      <x:c r="A377" s="1" t="n">
        <x:v>370</x:v>
      </x:c>
      <x:c r="B377" s="1" t="n">
        <x:v>165</x:v>
      </x:c>
      <x:c r="C377" s="1" t="str">
        <x:v>Ledyba</x:v>
      </x:c>
      <x:c r="D377" s="1" t="str">
        <x:v>Inseto</x:v>
      </x:c>
      <x:c r="E377" s="1" t="str">
        <x:v>Voador</x:v>
      </x:c>
      <x:c r="F377" s="10" t="n">
        <x:v>20</x:v>
      </x:c>
      <x:c r="G377" s="10" t="n">
        <x:v>40</x:v>
      </x:c>
      <x:c r="H377" s="10" t="n">
        <x:f>MAX(F377:G377)</x:f>
        <x:v>40</x:v>
      </x:c>
      <x:c r="I377" s="1" t="str">
        <x:f>'Pokémon'!M169</x:f>
        <x:v>Especial</x:v>
      </x:c>
      <x:c r="J377" s="1" t="str">
        <x:f>'Habilidades'!D1595</x:f>
        <x:v>Double-Edge</x:v>
      </x:c>
      <x:c r="K377" s="1" t="str">
        <x:f>'Habilidades'!E1595</x:f>
        <x:v>Normal</x:v>
      </x:c>
      <x:c r="L377" s="1" t="str">
        <x:f>'Habilidades'!F1595</x:f>
        <x:v>Física</x:v>
      </x:c>
      <x:c r="M377" s="10" t="n">
        <x:f>'Habilidades'!G1595</x:f>
        <x:v>120</x:v>
      </x:c>
      <x:c r="N377" s="10" t="n">
        <x:f>'Habilidades'!I1595</x:f>
        <x:v>140</x:v>
      </x:c>
      <x:c r="O377" s="1" t="str">
        <x:f>'Habilidades'!D1596&amp;" ("&amp;'Habilidades'!I1596&amp;")"</x:f>
        <x:v>Bug Buzz (130)</x:v>
      </x:c>
      <x:c r="P377" s="1" t="str">
        <x:f>'Habilidades'!D1597&amp;" ("&amp;'Habilidades'!I1597&amp;")"</x:f>
        <x:v>Silver Wind (100)</x:v>
      </x:c>
      <x:c r="Q377" s="1" t="str">
        <x:f>'Habilidades'!D1598&amp;" ("&amp;'Habilidades'!I1598&amp;")"</x:f>
        <x:v>Swift (100)</x:v>
      </x:c>
      <x:c r="R377" s="1" t="str">
        <x:f>'Habilidades'!D1599&amp;" ("&amp;'Habilidades'!I1599&amp;")"</x:f>
        <x:v>Tackle (70)</x:v>
      </x:c>
      <x:c r="S377" s="9" t="str">
        <x:v>https://poke.idleworld.online/pokepedia/pokemon/ledyba</x:v>
      </x:c>
    </x:row>
    <x:row r="378" ht="22" customHeight="1">
      <x:c r="A378" s="1" t="n">
        <x:v>370</x:v>
      </x:c>
      <x:c r="B378" s="1" t="n">
        <x:v>183</x:v>
      </x:c>
      <x:c r="C378" s="1" t="str">
        <x:v>Marill</x:v>
      </x:c>
      <x:c r="D378" s="1" t="str">
        <x:v>Água</x:v>
      </x:c>
      <x:c r="E378" s="1" t="str">
        <x:v>Fada</x:v>
      </x:c>
      <x:c r="F378" s="10" t="n">
        <x:v>20</x:v>
      </x:c>
      <x:c r="G378" s="10" t="n">
        <x:v>20</x:v>
      </x:c>
      <x:c r="H378" s="10" t="n">
        <x:f>MAX(F378:G378)</x:f>
        <x:v>20</x:v>
      </x:c>
      <x:c r="I378" s="1" t="str">
        <x:f>'Pokémon'!M187</x:f>
        <x:v>Empate</x:v>
      </x:c>
      <x:c r="J378" s="1" t="str">
        <x:f>'Habilidades'!D1721</x:f>
        <x:v>Double-Edge</x:v>
      </x:c>
      <x:c r="K378" s="1" t="str">
        <x:f>'Habilidades'!E1721</x:f>
        <x:v>Normal</x:v>
      </x:c>
      <x:c r="L378" s="1" t="str">
        <x:f>'Habilidades'!F1721</x:f>
        <x:v>Física</x:v>
      </x:c>
      <x:c r="M378" s="10" t="n">
        <x:f>'Habilidades'!G1721</x:f>
        <x:v>120</x:v>
      </x:c>
      <x:c r="N378" s="10" t="n">
        <x:f>'Habilidades'!I1721</x:f>
        <x:v>140</x:v>
      </x:c>
      <x:c r="O378" s="1" t="str">
        <x:f>'Habilidades'!D1722&amp;" ("&amp;'Habilidades'!I1722&amp;")"</x:f>
        <x:v>Superpower (140)</x:v>
      </x:c>
      <x:c r="P378" s="1" t="str">
        <x:f>'Habilidades'!D1723&amp;" ("&amp;'Habilidades'!I1723&amp;")"</x:f>
        <x:v>Hydro Pump (130)</x:v>
      </x:c>
      <x:c r="Q378" s="1" t="str">
        <x:f>'Habilidades'!D1724&amp;" ("&amp;'Habilidades'!I1724&amp;")"</x:f>
        <x:v>Aqua Tail (110)</x:v>
      </x:c>
      <x:c r="R378" s="1" t="str">
        <x:f>'Habilidades'!D1725&amp;" ("&amp;'Habilidades'!I1725&amp;")"</x:f>
        <x:v>Play Rough (110)</x:v>
      </x:c>
      <x:c r="S378" s="9" t="str">
        <x:v>https://poke.idleworld.online/pokepedia/pokemon/marill</x:v>
      </x:c>
    </x:row>
    <x:row r="379" ht="22" customHeight="1">
      <x:c r="A379" s="1" t="n">
        <x:v>375</x:v>
      </x:c>
      <x:c r="B379" s="1" t="n">
        <x:v>32</x:v>
      </x:c>
      <x:c r="C379" s="1" t="str">
        <x:v>Nidoran Male</x:v>
      </x:c>
      <x:c r="D379" s="1" t="str">
        <x:v>Venenoso</x:v>
      </x:c>
      <x:c r="E379" s="1" t="str"/>
      <x:c r="F379" s="10" t="n">
        <x:v>57</x:v>
      </x:c>
      <x:c r="G379" s="10" t="n">
        <x:v>40</x:v>
      </x:c>
      <x:c r="H379" s="10" t="n">
        <x:f>MAX(F379:G379)</x:f>
        <x:v>57</x:v>
      </x:c>
      <x:c r="I379" s="1" t="str">
        <x:f>'Pokémon'!M36</x:f>
        <x:v>Física</x:v>
      </x:c>
      <x:c r="J379" s="1" t="str">
        <x:f>'Habilidades'!D274</x:f>
        <x:v>Poison Jab</x:v>
      </x:c>
      <x:c r="K379" s="1" t="str">
        <x:f>'Habilidades'!E274</x:f>
        <x:v>Venenoso</x:v>
      </x:c>
      <x:c r="L379" s="1" t="str">
        <x:f>'Habilidades'!F274</x:f>
        <x:v>Física</x:v>
      </x:c>
      <x:c r="M379" s="10" t="n">
        <x:f>'Habilidades'!G274</x:f>
        <x:v>80</x:v>
      </x:c>
      <x:c r="N379" s="10" t="n">
        <x:f>'Habilidades'!I274</x:f>
        <x:v>137</x:v>
      </x:c>
      <x:c r="O379" s="1" t="str">
        <x:f>'Habilidades'!D275&amp;" ("&amp;'Habilidades'!I275&amp;")"</x:f>
        <x:v>Horn Attack (122)</x:v>
      </x:c>
      <x:c r="P379" s="1" t="str">
        <x:f>'Habilidades'!D276&amp;" ("&amp;'Habilidades'!I276&amp;")"</x:f>
        <x:v>Peck (92)</x:v>
      </x:c>
      <x:c r="Q379" s="1" t="str">
        <x:f>'Habilidades'!D277&amp;" ("&amp;'Habilidades'!I277&amp;")"</x:f>
        <x:v>Double Kick (87)</x:v>
      </x:c>
      <x:c r="R379" s="1" t="str">
        <x:f>'Habilidades'!D278&amp;" ("&amp;'Habilidades'!I278&amp;")"</x:f>
        <x:v>Poison Sting (72)</x:v>
      </x:c>
      <x:c r="S379" s="9" t="str">
        <x:v>https://poke.idleworld.online/pokepedia/pokemon/nidoranmale</x:v>
      </x:c>
    </x:row>
    <x:row r="380" ht="22" customHeight="1">
      <x:c r="A380" s="1" t="n">
        <x:v>375</x:v>
      </x:c>
      <x:c r="B380" s="1" t="n">
        <x:v>843</x:v>
      </x:c>
      <x:c r="C380" s="1" t="str">
        <x:v>Silicobra</x:v>
      </x:c>
      <x:c r="D380" s="1" t="str">
        <x:v>Terrestre</x:v>
      </x:c>
      <x:c r="E380" s="1" t="str"/>
      <x:c r="F380" s="10" t="n">
        <x:v>57</x:v>
      </x:c>
      <x:c r="G380" s="10" t="n">
        <x:v>35</x:v>
      </x:c>
      <x:c r="H380" s="10" t="n">
        <x:f>MAX(F380:G380)</x:f>
        <x:v>57</x:v>
      </x:c>
      <x:c r="I380" s="1" t="str">
        <x:f>'Pokémon'!M411</x:f>
        <x:v>Física</x:v>
      </x:c>
      <x:c r="J380" s="1" t="str">
        <x:f>'Habilidades'!D3785</x:f>
        <x:v>Iron Head</x:v>
      </x:c>
      <x:c r="K380" s="1" t="str">
        <x:f>'Habilidades'!E3785</x:f>
        <x:v>Aço</x:v>
      </x:c>
      <x:c r="L380" s="1" t="str">
        <x:f>'Habilidades'!F3785</x:f>
        <x:v>Física</x:v>
      </x:c>
      <x:c r="M380" s="10" t="n">
        <x:f>'Habilidades'!G3785</x:f>
        <x:v>80</x:v>
      </x:c>
      <x:c r="N380" s="10" t="n">
        <x:f>'Habilidades'!I3785</x:f>
        <x:v>137</x:v>
      </x:c>
      <x:c r="O380" s="1" t="str">
        <x:f>'Habilidades'!D3786&amp;" ("&amp;'Habilidades'!I3786&amp;")"</x:f>
        <x:v>Headbutt (127)</x:v>
      </x:c>
      <x:c r="P380" s="1" t="str">
        <x:f>'Habilidades'!D3787&amp;" ("&amp;'Habilidades'!I3787&amp;")"</x:f>
        <x:v>Earth Power (125)</x:v>
      </x:c>
      <x:c r="Q380" s="1" t="str">
        <x:f>""</x:f>
      </x:c>
      <x:c r="R380" s="1" t="str">
        <x:f>""</x:f>
      </x:c>
      <x:c r="S380" s="9" t="str">
        <x:v>https://poke.idleworld.online/pokepedia/pokemon/silicobra</x:v>
      </x:c>
    </x:row>
    <x:row r="381" ht="22" customHeight="1">
      <x:c r="A381" s="1" t="n">
        <x:v>377</x:v>
      </x:c>
      <x:c r="B381" s="1" t="n">
        <x:v>36</x:v>
      </x:c>
      <x:c r="C381" s="1" t="str">
        <x:v>Clefable</x:v>
      </x:c>
      <x:c r="D381" s="1" t="str">
        <x:v>Fada</x:v>
      </x:c>
      <x:c r="E381" s="1" t="str"/>
      <x:c r="F381" s="10" t="n">
        <x:v>70</x:v>
      </x:c>
      <x:c r="G381" s="10" t="n">
        <x:v>95</x:v>
      </x:c>
      <x:c r="H381" s="10" t="n">
        <x:f>MAX(F381:G381)</x:f>
        <x:v>95</x:v>
      </x:c>
      <x:c r="I381" s="1" t="str">
        <x:f>'Pokémon'!M40</x:f>
        <x:v>Especial</x:v>
      </x:c>
      <x:c r="J381" s="1" t="str">
        <x:f>'Habilidades'!D307</x:f>
        <x:v>Disarming Voice</x:v>
      </x:c>
      <x:c r="K381" s="1" t="str">
        <x:f>'Habilidades'!E307</x:f>
        <x:v>Fada</x:v>
      </x:c>
      <x:c r="L381" s="1" t="str">
        <x:f>'Habilidades'!F307</x:f>
        <x:v>Especial</x:v>
      </x:c>
      <x:c r="M381" s="10" t="n">
        <x:f>'Habilidades'!G307</x:f>
        <x:v>40</x:v>
      </x:c>
      <x:c r="N381" s="10" t="n">
        <x:f>'Habilidades'!I307</x:f>
        <x:v>135</x:v>
      </x:c>
      <x:c r="O381" s="1" t="str">
        <x:f>'Habilidades'!D308&amp;" ("&amp;'Habilidades'!I308&amp;")"</x:f>
        <x:v>Doubleslap (85)</x:v>
      </x:c>
      <x:c r="P381" s="1" t="str">
        <x:f>""</x:f>
      </x:c>
      <x:c r="Q381" s="1" t="str">
        <x:f>""</x:f>
      </x:c>
      <x:c r="R381" s="1" t="str">
        <x:f>""</x:f>
      </x:c>
      <x:c r="S381" s="9" t="str">
        <x:v>https://poke.idleworld.online/pokepedia/pokemon/clefable</x:v>
      </x:c>
    </x:row>
    <x:row r="382" ht="22" customHeight="1">
      <x:c r="A382" s="1" t="n">
        <x:v>377</x:v>
      </x:c>
      <x:c r="B382" s="1" t="n">
        <x:v>48</x:v>
      </x:c>
      <x:c r="C382" s="1" t="str">
        <x:v>Venonat</x:v>
      </x:c>
      <x:c r="D382" s="1" t="str">
        <x:v>Inseto</x:v>
      </x:c>
      <x:c r="E382" s="1" t="str">
        <x:v>Venenoso</x:v>
      </x:c>
      <x:c r="F382" s="10" t="n">
        <x:v>55</x:v>
      </x:c>
      <x:c r="G382" s="10" t="n">
        <x:v>40</x:v>
      </x:c>
      <x:c r="H382" s="10" t="n">
        <x:f>MAX(F382:G382)</x:f>
        <x:v>55</x:v>
      </x:c>
      <x:c r="I382" s="1" t="str">
        <x:f>'Pokémon'!M52</x:f>
        <x:v>Física</x:v>
      </x:c>
      <x:c r="J382" s="1" t="str">
        <x:f>'Habilidades'!D405</x:f>
        <x:v>Zen Headbutt</x:v>
      </x:c>
      <x:c r="K382" s="1" t="str">
        <x:f>'Habilidades'!E405</x:f>
        <x:v>Psíquico</x:v>
      </x:c>
      <x:c r="L382" s="1" t="str">
        <x:f>'Habilidades'!F405</x:f>
        <x:v>Física</x:v>
      </x:c>
      <x:c r="M382" s="10" t="n">
        <x:f>'Habilidades'!G405</x:f>
        <x:v>80</x:v>
      </x:c>
      <x:c r="N382" s="10" t="n">
        <x:f>'Habilidades'!I405</x:f>
        <x:v>135</x:v>
      </x:c>
      <x:c r="O382" s="1" t="str">
        <x:f>'Habilidades'!D406&amp;" ("&amp;'Habilidades'!I406&amp;")"</x:f>
        <x:v>Psychic (130)</x:v>
      </x:c>
      <x:c r="P382" s="1" t="str">
        <x:f>'Habilidades'!D407&amp;" ("&amp;'Habilidades'!I407&amp;")"</x:f>
        <x:v>Signal Beam (115)</x:v>
      </x:c>
      <x:c r="Q382" s="1" t="str">
        <x:f>'Habilidades'!D408&amp;" ("&amp;'Habilidades'!I408&amp;")"</x:f>
        <x:v>Psybeam (105)</x:v>
      </x:c>
      <x:c r="R382" s="1" t="str">
        <x:f>'Habilidades'!D409&amp;" ("&amp;'Habilidades'!I409&amp;")"</x:f>
        <x:v>Tackle (105)</x:v>
      </x:c>
      <x:c r="S382" s="9" t="str">
        <x:v>https://poke.idleworld.online/pokepedia/pokemon/venonat</x:v>
      </x:c>
    </x:row>
    <x:row r="383" ht="22" customHeight="1">
      <x:c r="A383" s="1" t="n">
        <x:v>377</x:v>
      </x:c>
      <x:c r="B383" s="1" t="n">
        <x:v>100</x:v>
      </x:c>
      <x:c r="C383" s="1" t="str">
        <x:v>Voltorb</x:v>
      </x:c>
      <x:c r="D383" s="1" t="str">
        <x:v>Elétrico</x:v>
      </x:c>
      <x:c r="E383" s="1" t="str"/>
      <x:c r="F383" s="10" t="n">
        <x:v>30</x:v>
      </x:c>
      <x:c r="G383" s="10" t="n">
        <x:v>55</x:v>
      </x:c>
      <x:c r="H383" s="10" t="n">
        <x:f>MAX(F383:G383)</x:f>
        <x:v>55</x:v>
      </x:c>
      <x:c r="I383" s="1" t="str">
        <x:f>'Pokémon'!M104</x:f>
        <x:v>Especial</x:v>
      </x:c>
      <x:c r="J383" s="1" t="str">
        <x:f>'Habilidades'!D943</x:f>
        <x:v>Discharge</x:v>
      </x:c>
      <x:c r="K383" s="1" t="str">
        <x:f>'Habilidades'!E943</x:f>
        <x:v>Elétrico</x:v>
      </x:c>
      <x:c r="L383" s="1" t="str">
        <x:f>'Habilidades'!F943</x:f>
        <x:v>Especial</x:v>
      </x:c>
      <x:c r="M383" s="10" t="n">
        <x:f>'Habilidades'!G943</x:f>
        <x:v>80</x:v>
      </x:c>
      <x:c r="N383" s="10" t="n">
        <x:f>'Habilidades'!I943</x:f>
        <x:v>135</x:v>
      </x:c>
      <x:c r="O383" s="1" t="str">
        <x:f>'Habilidades'!D944&amp;" ("&amp;'Habilidades'!I944&amp;")"</x:f>
        <x:v>Swift (115)</x:v>
      </x:c>
      <x:c r="P383" s="1" t="str">
        <x:f>'Habilidades'!D945&amp;" ("&amp;'Habilidades'!I945&amp;")"</x:f>
        <x:v>Charge Beam (105)</x:v>
      </x:c>
      <x:c r="Q383" s="1" t="str">
        <x:f>'Habilidades'!D946&amp;" ("&amp;'Habilidades'!I946&amp;")"</x:f>
        <x:v>Spark (95)</x:v>
      </x:c>
      <x:c r="R383" s="1" t="str">
        <x:f>'Habilidades'!D947&amp;" ("&amp;'Habilidades'!I947&amp;")"</x:f>
        <x:v>Tackle (80)</x:v>
      </x:c>
      <x:c r="S383" s="9" t="str">
        <x:v>https://poke.idleworld.online/pokepedia/pokemon/voltorb</x:v>
      </x:c>
    </x:row>
    <x:row r="384" ht="22" customHeight="1">
      <x:c r="A384" s="1" t="n">
        <x:v>377</x:v>
      </x:c>
      <x:c r="B384" s="1" t="n">
        <x:v>86</x:v>
      </x:c>
      <x:c r="C384" s="1" t="str">
        <x:v>Seel</x:v>
      </x:c>
      <x:c r="D384" s="1" t="str">
        <x:v>Água</x:v>
      </x:c>
      <x:c r="E384" s="1" t="str"/>
      <x:c r="F384" s="10" t="n">
        <x:v>45</x:v>
      </x:c>
      <x:c r="G384" s="10" t="n">
        <x:v>45</x:v>
      </x:c>
      <x:c r="H384" s="10" t="n">
        <x:f>MAX(F384:G384)</x:f>
        <x:v>45</x:v>
      </x:c>
      <x:c r="I384" s="1" t="str">
        <x:f>'Pokémon'!M90</x:f>
        <x:v>Empate</x:v>
      </x:c>
      <x:c r="J384" s="1" t="str">
        <x:f>'Habilidades'!D791</x:f>
        <x:v>Take Down</x:v>
      </x:c>
      <x:c r="K384" s="1" t="str">
        <x:f>'Habilidades'!E791</x:f>
        <x:v>Normal</x:v>
      </x:c>
      <x:c r="L384" s="1" t="str">
        <x:f>'Habilidades'!F791</x:f>
        <x:v>Física</x:v>
      </x:c>
      <x:c r="M384" s="10" t="n">
        <x:f>'Habilidades'!G791</x:f>
        <x:v>90</x:v>
      </x:c>
      <x:c r="N384" s="10" t="n">
        <x:f>'Habilidades'!I791</x:f>
        <x:v>135</x:v>
      </x:c>
      <x:c r="O384" s="1" t="str">
        <x:f>'Habilidades'!D792&amp;" ("&amp;'Habilidades'!I792&amp;")"</x:f>
        <x:v>Aqua Tail (135)</x:v>
      </x:c>
      <x:c r="P384" s="1" t="str">
        <x:f>'Habilidades'!D793&amp;" ("&amp;'Habilidades'!I793&amp;")"</x:f>
        <x:v>Ice Beam (135)</x:v>
      </x:c>
      <x:c r="Q384" s="1" t="str">
        <x:f>'Habilidades'!D794&amp;" ("&amp;'Habilidades'!I794&amp;")"</x:f>
        <x:v>Dive (125)</x:v>
      </x:c>
      <x:c r="R384" s="1" t="str">
        <x:f>'Habilidades'!D795&amp;" ("&amp;'Habilidades'!I795&amp;")"</x:f>
        <x:v>Headbutt (115)</x:v>
      </x:c>
      <x:c r="S384" s="9" t="str">
        <x:v>https://poke.idleworld.online/pokepedia/pokemon/seel</x:v>
      </x:c>
    </x:row>
    <x:row r="385" ht="22" customHeight="1">
      <x:c r="A385" s="1" t="n">
        <x:v>377</x:v>
      </x:c>
      <x:c r="B385" s="1" t="n">
        <x:v>333</x:v>
      </x:c>
      <x:c r="C385" s="1" t="str">
        <x:v>Swablu</x:v>
      </x:c>
      <x:c r="D385" s="1" t="str">
        <x:v>Normal</x:v>
      </x:c>
      <x:c r="E385" s="1" t="str">
        <x:v>Voador</x:v>
      </x:c>
      <x:c r="F385" s="10" t="n">
        <x:v>40</x:v>
      </x:c>
      <x:c r="G385" s="10" t="n">
        <x:v>40</x:v>
      </x:c>
      <x:c r="H385" s="10" t="n">
        <x:f>MAX(F385:G385)</x:f>
        <x:v>40</x:v>
      </x:c>
      <x:c r="I385" s="1" t="str">
        <x:f>'Pokémon'!M306</x:f>
        <x:v>Empate</x:v>
      </x:c>
      <x:c r="J385" s="1" t="str">
        <x:f>'Habilidades'!D2837</x:f>
        <x:v>Moonblast</x:v>
      </x:c>
      <x:c r="K385" s="1" t="str">
        <x:f>'Habilidades'!E2837</x:f>
        <x:v>Fada</x:v>
      </x:c>
      <x:c r="L385" s="1" t="str">
        <x:f>'Habilidades'!F2837</x:f>
        <x:v>Especial</x:v>
      </x:c>
      <x:c r="M385" s="10" t="n">
        <x:f>'Habilidades'!G2837</x:f>
        <x:v>95</x:v>
      </x:c>
      <x:c r="N385" s="10" t="n">
        <x:f>'Habilidades'!I2837</x:f>
        <x:v>135</x:v>
      </x:c>
      <x:c r="O385" s="1" t="str">
        <x:f>'Habilidades'!D2838&amp;" ("&amp;'Habilidades'!I2838&amp;")"</x:f>
        <x:v>Take Down (130)</x:v>
      </x:c>
      <x:c r="P385" s="1" t="str">
        <x:f>'Habilidades'!D2839&amp;" ("&amp;'Habilidades'!I2839&amp;")"</x:f>
        <x:v>Dragon Pulse (125)</x:v>
      </x:c>
      <x:c r="Q385" s="1" t="str">
        <x:f>'Habilidades'!D2840&amp;" ("&amp;'Habilidades'!I2840&amp;")"</x:f>
        <x:v>Round (100)</x:v>
      </x:c>
      <x:c r="R385" s="1" t="str">
        <x:f>'Habilidades'!D2841&amp;" ("&amp;'Habilidades'!I2841&amp;")"</x:f>
        <x:v>Disarming Voice (80)</x:v>
      </x:c>
      <x:c r="S385" s="9" t="str">
        <x:v>https://poke.idleworld.online/pokepedia/pokemon/swablu</x:v>
      </x:c>
    </x:row>
    <x:row r="386" ht="22" customHeight="1">
      <x:c r="A386" s="1" t="n">
        <x:v>382</x:v>
      </x:c>
      <x:c r="B386" s="1" t="n">
        <x:v>272</x:v>
      </x:c>
      <x:c r="C386" s="1" t="str">
        <x:v>Ludicolo</x:v>
      </x:c>
      <x:c r="D386" s="1" t="str">
        <x:v>Água</x:v>
      </x:c>
      <x:c r="E386" s="1" t="str">
        <x:v>Planta</x:v>
      </x:c>
      <x:c r="F386" s="10" t="n">
        <x:v>70</x:v>
      </x:c>
      <x:c r="G386" s="10" t="n">
        <x:v>90</x:v>
      </x:c>
      <x:c r="H386" s="10" t="n">
        <x:f>MAX(F386:G386)</x:f>
        <x:v>90</x:v>
      </x:c>
      <x:c r="I386" s="1" t="str">
        <x:f>'Pokémon'!M268</x:f>
        <x:v>Especial</x:v>
      </x:c>
      <x:c r="J386" s="1" t="str">
        <x:f>'Habilidades'!D2480</x:f>
        <x:v>Mega Drain</x:v>
      </x:c>
      <x:c r="K386" s="1" t="str">
        <x:f>'Habilidades'!E2480</x:f>
        <x:v>Planta</x:v>
      </x:c>
      <x:c r="L386" s="1" t="str">
        <x:f>'Habilidades'!F2480</x:f>
        <x:v>Especial</x:v>
      </x:c>
      <x:c r="M386" s="10" t="n">
        <x:f>'Habilidades'!G2480</x:f>
        <x:v>40</x:v>
      </x:c>
      <x:c r="N386" s="10" t="n">
        <x:f>'Habilidades'!I2480</x:f>
        <x:v>130</x:v>
      </x:c>
      <x:c r="O386" s="1" t="str">
        <x:f>'Habilidades'!D2481&amp;" ("&amp;'Habilidades'!I2481&amp;")"</x:f>
        <x:v>Astonish (100)</x:v>
      </x:c>
      <x:c r="P386" s="1" t="str">
        <x:f>""</x:f>
      </x:c>
      <x:c r="Q386" s="1" t="str">
        <x:f>""</x:f>
      </x:c>
      <x:c r="R386" s="1" t="str">
        <x:f>""</x:f>
      </x:c>
      <x:c r="S386" s="9" t="str">
        <x:v>https://poke.idleworld.online/pokepedia/pokemon/ludicolo</x:v>
      </x:c>
    </x:row>
    <x:row r="387" ht="22" customHeight="1">
      <x:c r="A387" s="1" t="n">
        <x:v>382</x:v>
      </x:c>
      <x:c r="B387" s="1" t="n">
        <x:v>242</x:v>
      </x:c>
      <x:c r="C387" s="1" t="str">
        <x:v>Blissey</x:v>
      </x:c>
      <x:c r="D387" s="1" t="str">
        <x:v>Normal</x:v>
      </x:c>
      <x:c r="E387" s="1" t="str"/>
      <x:c r="F387" s="10" t="n">
        <x:v>10</x:v>
      </x:c>
      <x:c r="G387" s="10" t="n">
        <x:v>75</x:v>
      </x:c>
      <x:c r="H387" s="10" t="n">
        <x:f>MAX(F387:G387)</x:f>
        <x:v>75</x:v>
      </x:c>
      <x:c r="I387" s="1" t="str">
        <x:f>'Pokémon'!M245</x:f>
        <x:v>Especial</x:v>
      </x:c>
      <x:c r="J387" s="1" t="str">
        <x:f>'Habilidades'!D2252</x:f>
        <x:v>Double-Edge</x:v>
      </x:c>
      <x:c r="K387" s="1" t="str">
        <x:f>'Habilidades'!E2252</x:f>
        <x:v>Normal</x:v>
      </x:c>
      <x:c r="L387" s="1" t="str">
        <x:f>'Habilidades'!F2252</x:f>
        <x:v>Física</x:v>
      </x:c>
      <x:c r="M387" s="10" t="n">
        <x:f>'Habilidades'!G2252</x:f>
        <x:v>120</x:v>
      </x:c>
      <x:c r="N387" s="10" t="n">
        <x:f>'Habilidades'!I2252</x:f>
        <x:v>130</x:v>
      </x:c>
      <x:c r="O387" s="1" t="str">
        <x:f>'Habilidades'!D2253&amp;" ("&amp;'Habilidades'!I2253&amp;")"</x:f>
        <x:v>Egg Bomb (110)</x:v>
      </x:c>
      <x:c r="P387" s="1" t="str">
        <x:f>'Habilidades'!D2254&amp;" ("&amp;'Habilidades'!I2254&amp;")"</x:f>
        <x:v>Take Down (100)</x:v>
      </x:c>
      <x:c r="Q387" s="1" t="str">
        <x:f>'Habilidades'!D2255&amp;" ("&amp;'Habilidades'!I2255&amp;")"</x:f>
        <x:v>Pound (50)</x:v>
      </x:c>
      <x:c r="R387" s="1" t="str">
        <x:f>'Habilidades'!D2256&amp;" ("&amp;'Habilidades'!I2256&amp;")"</x:f>
        <x:v>Double Slap (25)</x:v>
      </x:c>
      <x:c r="S387" s="9" t="str">
        <x:v>https://poke.idleworld.online/pokepedia/pokemon/blissey</x:v>
      </x:c>
    </x:row>
    <x:row r="388" ht="22" customHeight="1">
      <x:c r="A388" s="1" t="n">
        <x:v>382</x:v>
      </x:c>
      <x:c r="B388" s="1" t="n">
        <x:v>447</x:v>
      </x:c>
      <x:c r="C388" s="1" t="str">
        <x:v>Riolu</x:v>
      </x:c>
      <x:c r="D388" s="1" t="str">
        <x:v>Lutador</x:v>
      </x:c>
      <x:c r="E388" s="1" t="str"/>
      <x:c r="F388" s="10" t="n">
        <x:v>70</x:v>
      </x:c>
      <x:c r="G388" s="10" t="n">
        <x:v>35</x:v>
      </x:c>
      <x:c r="H388" s="10" t="n">
        <x:f>MAX(F388:G388)</x:f>
        <x:v>70</x:v>
      </x:c>
      <x:c r="I388" s="1" t="str">
        <x:f>'Pokémon'!M350</x:f>
        <x:v>Física</x:v>
      </x:c>
      <x:c r="J388" s="1" t="str">
        <x:f>'Habilidades'!D3241</x:f>
        <x:v>Force Palm</x:v>
      </x:c>
      <x:c r="K388" s="1" t="str">
        <x:f>'Habilidades'!E3241</x:f>
        <x:v>Lutador</x:v>
      </x:c>
      <x:c r="L388" s="1" t="str">
        <x:f>'Habilidades'!F3241</x:f>
        <x:v>Física</x:v>
      </x:c>
      <x:c r="M388" s="10" t="n">
        <x:f>'Habilidades'!G3241</x:f>
        <x:v>60</x:v>
      </x:c>
      <x:c r="N388" s="10" t="n">
        <x:f>'Habilidades'!I3241</x:f>
        <x:v>130</x:v>
      </x:c>
      <x:c r="O388" s="1" t="str">
        <x:f>'Habilidades'!D3242&amp;" ("&amp;'Habilidades'!I3242&amp;")"</x:f>
        <x:v>Quick Attack (110)</x:v>
      </x:c>
      <x:c r="P388" s="1" t="str">
        <x:f>'Habilidades'!D3243&amp;" ("&amp;'Habilidades'!I3243&amp;")"</x:f>
        <x:v>Feint (100)</x:v>
      </x:c>
      <x:c r="Q388" s="1" t="str">
        <x:f>""</x:f>
      </x:c>
      <x:c r="R388" s="1" t="str">
        <x:f>""</x:f>
      </x:c>
      <x:c r="S388" s="9" t="str">
        <x:v>https://poke.idleworld.online/pokepedia/pokemon/riolu</x:v>
      </x:c>
    </x:row>
    <x:row r="389" ht="22" customHeight="1">
      <x:c r="A389" s="1" t="n">
        <x:v>382</x:v>
      </x:c>
      <x:c r="B389" s="1" t="n">
        <x:v>188</x:v>
      </x:c>
      <x:c r="C389" s="1" t="str">
        <x:v>Skiploom</x:v>
      </x:c>
      <x:c r="D389" s="1" t="str">
        <x:v>Planta</x:v>
      </x:c>
      <x:c r="E389" s="1" t="str">
        <x:v>Voador</x:v>
      </x:c>
      <x:c r="F389" s="10" t="n">
        <x:v>45</x:v>
      </x:c>
      <x:c r="G389" s="10" t="n">
        <x:v>45</x:v>
      </x:c>
      <x:c r="H389" s="10" t="n">
        <x:f>MAX(F389:G389)</x:f>
        <x:v>45</x:v>
      </x:c>
      <x:c r="I389" s="1" t="str">
        <x:f>'Pokémon'!M192</x:f>
        <x:v>Empate</x:v>
      </x:c>
      <x:c r="J389" s="1" t="str">
        <x:f>'Habilidades'!D1766</x:f>
        <x:v>Bounce</x:v>
      </x:c>
      <x:c r="K389" s="1" t="str">
        <x:f>'Habilidades'!E1766</x:f>
        <x:v>Voador</x:v>
      </x:c>
      <x:c r="L389" s="1" t="str">
        <x:f>'Habilidades'!F1766</x:f>
        <x:v>Física</x:v>
      </x:c>
      <x:c r="M389" s="10" t="n">
        <x:f>'Habilidades'!G1766</x:f>
        <x:v>85</x:v>
      </x:c>
      <x:c r="N389" s="10" t="n">
        <x:f>'Habilidades'!I1766</x:f>
        <x:v>130</x:v>
      </x:c>
      <x:c r="O389" s="1" t="str">
        <x:f>'Habilidades'!D1767&amp;" ("&amp;'Habilidades'!I1767&amp;")"</x:f>
        <x:v>Giga Drain (120)</x:v>
      </x:c>
      <x:c r="P389" s="1" t="str">
        <x:f>'Habilidades'!D1768&amp;" ("&amp;'Habilidades'!I1768&amp;")"</x:f>
        <x:v>U-turn (115)</x:v>
      </x:c>
      <x:c r="Q389" s="1" t="str">
        <x:f>'Habilidades'!D1769&amp;" ("&amp;'Habilidades'!I1769&amp;")"</x:f>
        <x:v>Acrobatics (100)</x:v>
      </x:c>
      <x:c r="R389" s="1" t="str">
        <x:f>'Habilidades'!D1770&amp;" ("&amp;'Habilidades'!I1770&amp;")"</x:f>
        <x:v>Tackle (95)</x:v>
      </x:c>
      <x:c r="S389" s="9" t="str">
        <x:v>https://poke.idleworld.online/pokepedia/pokemon/skiploom</x:v>
      </x:c>
    </x:row>
    <x:row r="390" ht="22" customHeight="1">
      <x:c r="A390" s="1" t="n">
        <x:v>382</x:v>
      </x:c>
      <x:c r="B390" s="1" t="n">
        <x:v>270</x:v>
      </x:c>
      <x:c r="C390" s="1" t="str">
        <x:v>Lotad</x:v>
      </x:c>
      <x:c r="D390" s="1" t="str">
        <x:v>Água</x:v>
      </x:c>
      <x:c r="E390" s="1" t="str">
        <x:v>Planta</x:v>
      </x:c>
      <x:c r="F390" s="10" t="n">
        <x:v>30</x:v>
      </x:c>
      <x:c r="G390" s="10" t="n">
        <x:v>40</x:v>
      </x:c>
      <x:c r="H390" s="10" t="n">
        <x:f>MAX(F390:G390)</x:f>
        <x:v>40</x:v>
      </x:c>
      <x:c r="I390" s="1" t="str">
        <x:f>'Pokémon'!M266</x:f>
        <x:v>Especial</x:v>
      </x:c>
      <x:c r="J390" s="1" t="str">
        <x:f>'Habilidades'!D2461</x:f>
        <x:v>Energy Ball</x:v>
      </x:c>
      <x:c r="K390" s="1" t="str">
        <x:f>'Habilidades'!E2461</x:f>
        <x:v>Planta</x:v>
      </x:c>
      <x:c r="L390" s="1" t="str">
        <x:f>'Habilidades'!F2461</x:f>
        <x:v>Especial</x:v>
      </x:c>
      <x:c r="M390" s="10" t="n">
        <x:f>'Habilidades'!G2461</x:f>
        <x:v>90</x:v>
      </x:c>
      <x:c r="N390" s="10" t="n">
        <x:f>'Habilidades'!I2461</x:f>
        <x:v>130</x:v>
      </x:c>
      <x:c r="O390" s="1" t="str">
        <x:f>'Habilidades'!D2462&amp;" ("&amp;'Habilidades'!I2462&amp;")"</x:f>
        <x:v>Giga Drain (115)</x:v>
      </x:c>
      <x:c r="P390" s="1" t="str">
        <x:f>'Habilidades'!D2463&amp;" ("&amp;'Habilidades'!I2463&amp;")"</x:f>
        <x:v>Zen Headbutt (110)</x:v>
      </x:c>
      <x:c r="Q390" s="1" t="str">
        <x:f>'Habilidades'!D2464&amp;" ("&amp;'Habilidades'!I2464&amp;")"</x:f>
        <x:v>Bubble Beam (105)</x:v>
      </x:c>
      <x:c r="R390" s="1" t="str">
        <x:f>'Habilidades'!D2465&amp;" ("&amp;'Habilidades'!I2465&amp;")"</x:f>
        <x:v>Bubble (80)</x:v>
      </x:c>
      <x:c r="S390" s="9" t="str">
        <x:v>https://poke.idleworld.online/pokepedia/pokemon/lotad</x:v>
      </x:c>
    </x:row>
    <x:row r="391" ht="22" customHeight="1">
      <x:c r="A391" s="1" t="n">
        <x:v>382</x:v>
      </x:c>
      <x:c r="B391" s="1" t="n">
        <x:v>343</x:v>
      </x:c>
      <x:c r="C391" s="1" t="str">
        <x:v>Baltoy</x:v>
      </x:c>
      <x:c r="D391" s="1" t="str">
        <x:v>Terrestre</x:v>
      </x:c>
      <x:c r="E391" s="1" t="str">
        <x:v>Psíquico</x:v>
      </x:c>
      <x:c r="F391" s="10" t="n">
        <x:v>40</x:v>
      </x:c>
      <x:c r="G391" s="10" t="n">
        <x:v>40</x:v>
      </x:c>
      <x:c r="H391" s="10" t="n">
        <x:f>MAX(F391:G391)</x:f>
        <x:v>40</x:v>
      </x:c>
      <x:c r="I391" s="1" t="str">
        <x:f>'Pokémon'!M316</x:f>
        <x:v>Empate</x:v>
      </x:c>
      <x:c r="J391" s="1" t="str">
        <x:f>'Habilidades'!D2938</x:f>
        <x:v>Earth Power</x:v>
      </x:c>
      <x:c r="K391" s="1" t="str">
        <x:f>'Habilidades'!E2938</x:f>
        <x:v>Terrestre</x:v>
      </x:c>
      <x:c r="L391" s="1" t="str">
        <x:f>'Habilidades'!F2938</x:f>
        <x:v>Especial</x:v>
      </x:c>
      <x:c r="M391" s="10" t="n">
        <x:f>'Habilidades'!G2938</x:f>
        <x:v>90</x:v>
      </x:c>
      <x:c r="N391" s="10" t="n">
        <x:f>'Habilidades'!I2938</x:f>
        <x:v>130</x:v>
      </x:c>
      <x:c r="O391" s="1" t="str">
        <x:f>'Habilidades'!D2939&amp;" ("&amp;'Habilidades'!I2939&amp;")"</x:f>
        <x:v>Extrasensory (120)</x:v>
      </x:c>
      <x:c r="P391" s="1" t="str">
        <x:f>'Habilidades'!D2940&amp;" ("&amp;'Habilidades'!I2940&amp;")"</x:f>
        <x:v>Psybeam (105)</x:v>
      </x:c>
      <x:c r="Q391" s="1" t="str">
        <x:f>'Habilidades'!D2941&amp;" ("&amp;'Habilidades'!I2941&amp;")"</x:f>
        <x:v>Rock Tomb (100)</x:v>
      </x:c>
      <x:c r="R391" s="1" t="str">
        <x:f>'Habilidades'!D2942&amp;" ("&amp;'Habilidades'!I2942&amp;")"</x:f>
        <x:v>Ancient Power (100)</x:v>
      </x:c>
      <x:c r="S391" s="9" t="str">
        <x:v>https://poke.idleworld.online/pokepedia/pokemon/baltoy</x:v>
      </x:c>
    </x:row>
    <x:row r="392" ht="22" customHeight="1">
      <x:c r="A392" s="1" t="n">
        <x:v>388</x:v>
      </x:c>
      <x:c r="B392" s="1" t="n">
        <x:v>29</x:v>
      </x:c>
      <x:c r="C392" s="1" t="str">
        <x:v>Nidoran Female</x:v>
      </x:c>
      <x:c r="D392" s="1" t="str">
        <x:v>Venenoso</x:v>
      </x:c>
      <x:c r="E392" s="1" t="str"/>
      <x:c r="F392" s="10" t="n">
        <x:v>47</x:v>
      </x:c>
      <x:c r="G392" s="10" t="n">
        <x:v>40</x:v>
      </x:c>
      <x:c r="H392" s="10" t="n">
        <x:f>MAX(F392:G392)</x:f>
        <x:v>47</x:v>
      </x:c>
      <x:c r="I392" s="1" t="str">
        <x:f>'Pokémon'!M33</x:f>
        <x:v>Física</x:v>
      </x:c>
      <x:c r="J392" s="1" t="str">
        <x:f>'Habilidades'!D251</x:f>
        <x:v>Crunch</x:v>
      </x:c>
      <x:c r="K392" s="1" t="str">
        <x:f>'Habilidades'!E251</x:f>
        <x:v>Sombrio</x:v>
      </x:c>
      <x:c r="L392" s="1" t="str">
        <x:f>'Habilidades'!F251</x:f>
        <x:v>Física</x:v>
      </x:c>
      <x:c r="M392" s="10" t="n">
        <x:f>'Habilidades'!G251</x:f>
        <x:v>80</x:v>
      </x:c>
      <x:c r="N392" s="10" t="n">
        <x:f>'Habilidades'!I251</x:f>
        <x:v>127</x:v>
      </x:c>
      <x:c r="O392" s="1" t="str">
        <x:f>'Habilidades'!D252&amp;" ("&amp;'Habilidades'!I252&amp;")"</x:f>
        <x:v>Bite (107)</x:v>
      </x:c>
      <x:c r="P392" s="1" t="str">
        <x:f>'Habilidades'!D253&amp;" ("&amp;'Habilidades'!I253&amp;")"</x:f>
        <x:v>Poison Fang (97)</x:v>
      </x:c>
      <x:c r="Q392" s="1" t="str">
        <x:f>'Habilidades'!D254&amp;" ("&amp;'Habilidades'!I254&amp;")"</x:f>
        <x:v>Scratch (87)</x:v>
      </x:c>
      <x:c r="R392" s="1" t="str">
        <x:f>'Habilidades'!D255&amp;" ("&amp;'Habilidades'!I255&amp;")"</x:f>
        <x:v>Double Kick (77)</x:v>
      </x:c>
      <x:c r="S392" s="9" t="str">
        <x:v>https://poke.idleworld.online/pokepedia/pokemon/nidoranfemale</x:v>
      </x:c>
    </x:row>
    <x:row r="393" ht="22" customHeight="1">
      <x:c r="A393" s="1" t="n">
        <x:v>389</x:v>
      </x:c>
      <x:c r="B393" s="1" t="n">
        <x:v>161</x:v>
      </x:c>
      <x:c r="C393" s="1" t="str">
        <x:v>Sentret</x:v>
      </x:c>
      <x:c r="D393" s="1" t="str">
        <x:v>Normal</x:v>
      </x:c>
      <x:c r="E393" s="1" t="str"/>
      <x:c r="F393" s="10" t="n">
        <x:v>46</x:v>
      </x:c>
      <x:c r="G393" s="10" t="n">
        <x:v>35</x:v>
      </x:c>
      <x:c r="H393" s="10" t="n">
        <x:f>MAX(F393:G393)</x:f>
        <x:v>46</x:v>
      </x:c>
      <x:c r="I393" s="1" t="str">
        <x:f>'Pokémon'!M165</x:f>
        <x:v>Física</x:v>
      </x:c>
      <x:c r="J393" s="1" t="str">
        <x:f>'Habilidades'!D1559</x:f>
        <x:v>Slam</x:v>
      </x:c>
      <x:c r="K393" s="1" t="str">
        <x:f>'Habilidades'!E1559</x:f>
        <x:v>Normal</x:v>
      </x:c>
      <x:c r="L393" s="1" t="str">
        <x:f>'Habilidades'!F1559</x:f>
        <x:v>Física</x:v>
      </x:c>
      <x:c r="M393" s="10" t="n">
        <x:f>'Habilidades'!G1559</x:f>
        <x:v>80</x:v>
      </x:c>
      <x:c r="N393" s="10" t="n">
        <x:f>'Habilidades'!I1559</x:f>
        <x:v>126</x:v>
      </x:c>
      <x:c r="O393" s="1" t="str">
        <x:f>'Habilidades'!D1560&amp;" ("&amp;'Habilidades'!I1560&amp;")"</x:f>
        <x:v>Sucker Punch (126)</x:v>
      </x:c>
      <x:c r="P393" s="1" t="str">
        <x:f>'Habilidades'!D1561&amp;" ("&amp;'Habilidades'!I1561&amp;")"</x:f>
        <x:v>Hyper Voice (125)</x:v>
      </x:c>
      <x:c r="Q393" s="1" t="str">
        <x:f>'Habilidades'!D1562&amp;" ("&amp;'Habilidades'!I1562&amp;")"</x:f>
        <x:v>Scratch (86)</x:v>
      </x:c>
      <x:c r="R393" s="1" t="str">
        <x:f>'Habilidades'!D1563&amp;" ("&amp;'Habilidades'!I1563&amp;")"</x:f>
        <x:v>Quick Attack (86)</x:v>
      </x:c>
      <x:c r="S393" s="9" t="str">
        <x:v>https://poke.idleworld.online/pokepedia/pokemon/sentret</x:v>
      </x:c>
    </x:row>
    <x:row r="394" ht="22" customHeight="1">
      <x:c r="A394" s="1" t="n">
        <x:v>390</x:v>
      </x:c>
      <x:c r="B394" s="1" t="n">
        <x:v>113</x:v>
      </x:c>
      <x:c r="C394" s="1" t="str">
        <x:v>Chansey</x:v>
      </x:c>
      <x:c r="D394" s="1" t="str">
        <x:v>Normal</x:v>
      </x:c>
      <x:c r="E394" s="1" t="str"/>
      <x:c r="F394" s="10" t="n">
        <x:v>5</x:v>
      </x:c>
      <x:c r="G394" s="10" t="n">
        <x:v>35</x:v>
      </x:c>
      <x:c r="H394" s="10" t="n">
        <x:f>MAX(F394:G394)</x:f>
        <x:v>35</x:v>
      </x:c>
      <x:c r="I394" s="1" t="str">
        <x:f>'Pokémon'!M117</x:f>
        <x:v>Especial</x:v>
      </x:c>
      <x:c r="J394" s="1" t="str">
        <x:f>'Habilidades'!D1076</x:f>
        <x:v>Double-Edge</x:v>
      </x:c>
      <x:c r="K394" s="1" t="str">
        <x:f>'Habilidades'!E1076</x:f>
        <x:v>Normal</x:v>
      </x:c>
      <x:c r="L394" s="1" t="str">
        <x:f>'Habilidades'!F1076</x:f>
        <x:v>Física</x:v>
      </x:c>
      <x:c r="M394" s="10" t="n">
        <x:f>'Habilidades'!G1076</x:f>
        <x:v>120</x:v>
      </x:c>
      <x:c r="N394" s="10" t="n">
        <x:f>'Habilidades'!I1076</x:f>
        <x:v>125</x:v>
      </x:c>
      <x:c r="O394" s="1" t="str">
        <x:f>'Habilidades'!D1077&amp;" ("&amp;'Habilidades'!I1077&amp;")"</x:f>
        <x:v>Egg Bomb (105)</x:v>
      </x:c>
      <x:c r="P394" s="1" t="str">
        <x:f>'Habilidades'!D1078&amp;" ("&amp;'Habilidades'!I1078&amp;")"</x:f>
        <x:v>Take Down (95)</x:v>
      </x:c>
      <x:c r="Q394" s="1" t="str">
        <x:f>'Habilidades'!D1079&amp;" ("&amp;'Habilidades'!I1079&amp;")"</x:f>
        <x:v>Pound (45)</x:v>
      </x:c>
      <x:c r="R394" s="1" t="str">
        <x:f>'Habilidades'!D1080&amp;" ("&amp;'Habilidades'!I1080&amp;")"</x:f>
        <x:v>Doubleslap (20)</x:v>
      </x:c>
      <x:c r="S394" s="9" t="str">
        <x:v>https://poke.idleworld.online/pokepedia/pokemon/chansey</x:v>
      </x:c>
    </x:row>
    <x:row r="395" ht="22" customHeight="1">
      <x:c r="A395" s="1" t="n">
        <x:v>391</x:v>
      </x:c>
      <x:c r="B395" s="1" t="n">
        <x:v>140</x:v>
      </x:c>
      <x:c r="C395" s="1" t="str">
        <x:v>Kabuto</x:v>
      </x:c>
      <x:c r="D395" s="1" t="str">
        <x:v>Pedra</x:v>
      </x:c>
      <x:c r="E395" s="1" t="str">
        <x:v>Água</x:v>
      </x:c>
      <x:c r="F395" s="10" t="n">
        <x:v>80</x:v>
      </x:c>
      <x:c r="G395" s="10" t="n">
        <x:v>55</x:v>
      </x:c>
      <x:c r="H395" s="10" t="n">
        <x:f>MAX(F395:G395)</x:f>
        <x:v>80</x:v>
      </x:c>
      <x:c r="I395" s="1" t="str">
        <x:f>'Pokémon'!M144</x:f>
        <x:v>Física</x:v>
      </x:c>
      <x:c r="J395" s="1" t="str">
        <x:f>'Habilidades'!D1335</x:f>
        <x:v>Scratch</x:v>
      </x:c>
      <x:c r="K395" s="1" t="str">
        <x:f>'Habilidades'!E1335</x:f>
        <x:v>Normal</x:v>
      </x:c>
      <x:c r="L395" s="1" t="str">
        <x:f>'Habilidades'!F1335</x:f>
        <x:v>Física</x:v>
      </x:c>
      <x:c r="M395" s="10" t="n">
        <x:f>'Habilidades'!G1335</x:f>
        <x:v>40</x:v>
      </x:c>
      <x:c r="N395" s="10" t="n">
        <x:f>'Habilidades'!I1335</x:f>
        <x:v>120</x:v>
      </x:c>
      <x:c r="O395" s="1" t="str">
        <x:f>'Habilidades'!D1336&amp;" ("&amp;'Habilidades'!I1336&amp;")"</x:f>
        <x:v>Aqua Jet (120)</x:v>
      </x:c>
      <x:c r="P395" s="1" t="str">
        <x:f>'Habilidades'!D1337&amp;" ("&amp;'Habilidades'!I1337&amp;")"</x:f>
        <x:v>Ancient Power (115)</x:v>
      </x:c>
      <x:c r="Q395" s="1" t="str">
        <x:f>'Habilidades'!D1338&amp;" ("&amp;'Habilidades'!I1338&amp;")"</x:f>
        <x:v>Mud Shot (110)</x:v>
      </x:c>
      <x:c r="R395" s="1" t="str">
        <x:f>'Habilidades'!D1339&amp;" ("&amp;'Habilidades'!I1339&amp;")"</x:f>
        <x:v>Mega Drain (95)</x:v>
      </x:c>
      <x:c r="S395" s="9" t="str">
        <x:v>https://poke.idleworld.online/pokepedia/pokemon/kabuto</x:v>
      </x:c>
    </x:row>
    <x:row r="396" ht="22" customHeight="1">
      <x:c r="A396" s="1" t="n">
        <x:v>391</x:v>
      </x:c>
      <x:c r="B396" s="1" t="n">
        <x:v>602</x:v>
      </x:c>
      <x:c r="C396" s="1" t="str">
        <x:v>Tynamo</x:v>
      </x:c>
      <x:c r="D396" s="1" t="str">
        <x:v>Elétrico</x:v>
      </x:c>
      <x:c r="E396" s="1" t="str"/>
      <x:c r="F396" s="10" t="n">
        <x:v>55</x:v>
      </x:c>
      <x:c r="G396" s="10" t="n">
        <x:v>45</x:v>
      </x:c>
      <x:c r="H396" s="10" t="n">
        <x:f>MAX(F396:G396)</x:f>
        <x:v>55</x:v>
      </x:c>
      <x:c r="I396" s="1" t="str">
        <x:f>'Pokémon'!M381</x:f>
        <x:v>Física</x:v>
      </x:c>
      <x:c r="J396" s="1" t="str">
        <x:f>'Habilidades'!D3524</x:f>
        <x:v>Spark</x:v>
      </x:c>
      <x:c r="K396" s="1" t="str">
        <x:f>'Habilidades'!E3524</x:f>
        <x:v>Elétrico</x:v>
      </x:c>
      <x:c r="L396" s="1" t="str">
        <x:f>'Habilidades'!F3524</x:f>
        <x:v>Física</x:v>
      </x:c>
      <x:c r="M396" s="10" t="n">
        <x:f>'Habilidades'!G3524</x:f>
        <x:v>65</x:v>
      </x:c>
      <x:c r="N396" s="10" t="n">
        <x:f>'Habilidades'!I3524</x:f>
        <x:v>120</x:v>
      </x:c>
      <x:c r="O396" s="1" t="str">
        <x:f>'Habilidades'!D3525&amp;" ("&amp;'Habilidades'!I3525&amp;")"</x:f>
        <x:v>Tackle (105)</x:v>
      </x:c>
      <x:c r="P396" s="1" t="str">
        <x:f>'Habilidades'!D3526&amp;" ("&amp;'Habilidades'!I3526&amp;")"</x:f>
        <x:v>Charge Beam (95)</x:v>
      </x:c>
      <x:c r="Q396" s="1" t="str">
        <x:f>""</x:f>
      </x:c>
      <x:c r="R396" s="1" t="str">
        <x:f>""</x:f>
      </x:c>
      <x:c r="S396" s="9" t="str">
        <x:v>https://poke.idleworld.online/pokepedia/pokemon/tynamo</x:v>
      </x:c>
    </x:row>
    <x:row r="397" ht="22" customHeight="1">
      <x:c r="A397" s="1" t="n">
        <x:v>391</x:v>
      </x:c>
      <x:c r="B397" s="1" t="n">
        <x:v>187</x:v>
      </x:c>
      <x:c r="C397" s="1" t="str">
        <x:v>Hoppip</x:v>
      </x:c>
      <x:c r="D397" s="1" t="str">
        <x:v>Planta</x:v>
      </x:c>
      <x:c r="E397" s="1" t="str">
        <x:v>Voador</x:v>
      </x:c>
      <x:c r="F397" s="10" t="n">
        <x:v>35</x:v>
      </x:c>
      <x:c r="G397" s="10" t="n">
        <x:v>35</x:v>
      </x:c>
      <x:c r="H397" s="10" t="n">
        <x:f>MAX(F397:G397)</x:f>
        <x:v>35</x:v>
      </x:c>
      <x:c r="I397" s="1" t="str">
        <x:f>'Pokémon'!M191</x:f>
        <x:v>Empate</x:v>
      </x:c>
      <x:c r="J397" s="1" t="str">
        <x:f>'Habilidades'!D1758</x:f>
        <x:v>Bounce</x:v>
      </x:c>
      <x:c r="K397" s="1" t="str">
        <x:f>'Habilidades'!E1758</x:f>
        <x:v>Voador</x:v>
      </x:c>
      <x:c r="L397" s="1" t="str">
        <x:f>'Habilidades'!F1758</x:f>
        <x:v>Física</x:v>
      </x:c>
      <x:c r="M397" s="10" t="n">
        <x:f>'Habilidades'!G1758</x:f>
        <x:v>85</x:v>
      </x:c>
      <x:c r="N397" s="10" t="n">
        <x:f>'Habilidades'!I1758</x:f>
        <x:v>120</x:v>
      </x:c>
      <x:c r="O397" s="1" t="str">
        <x:f>'Habilidades'!D1759&amp;" ("&amp;'Habilidades'!I1759&amp;")"</x:f>
        <x:v>Giga Drain (110)</x:v>
      </x:c>
      <x:c r="P397" s="1" t="str">
        <x:f>'Habilidades'!D1760&amp;" ("&amp;'Habilidades'!I1760&amp;")"</x:f>
        <x:v>U-turn (105)</x:v>
      </x:c>
      <x:c r="Q397" s="1" t="str">
        <x:f>'Habilidades'!D1761&amp;" ("&amp;'Habilidades'!I1761&amp;")"</x:f>
        <x:v>Acrobatics (90)</x:v>
      </x:c>
      <x:c r="R397" s="1" t="str">
        <x:f>'Habilidades'!D1762&amp;" ("&amp;'Habilidades'!I1762&amp;")"</x:f>
        <x:v>Tackle (85)</x:v>
      </x:c>
      <x:c r="S397" s="9" t="str">
        <x:v>https://poke.idleworld.online/pokepedia/pokemon/hoppip</x:v>
      </x:c>
    </x:row>
    <x:row r="398" ht="22" customHeight="1">
      <x:c r="A398" s="1" t="n">
        <x:v>394</x:v>
      </x:c>
      <x:c r="B398" s="1" t="n">
        <x:v>52</x:v>
      </x:c>
      <x:c r="C398" s="1" t="str">
        <x:v>Meowth</x:v>
      </x:c>
      <x:c r="D398" s="1" t="str">
        <x:v>Normal</x:v>
      </x:c>
      <x:c r="E398" s="1" t="str"/>
      <x:c r="F398" s="10" t="n">
        <x:v>45</x:v>
      </x:c>
      <x:c r="G398" s="10" t="n">
        <x:v>40</x:v>
      </x:c>
      <x:c r="H398" s="10" t="n">
        <x:f>MAX(F398:G398)</x:f>
        <x:v>45</x:v>
      </x:c>
      <x:c r="I398" s="1" t="str">
        <x:f>'Pokémon'!M56</x:f>
        <x:v>Física</x:v>
      </x:c>
      <x:c r="J398" s="1" t="str">
        <x:f>'Habilidades'!D458</x:f>
        <x:v>Slash</x:v>
      </x:c>
      <x:c r="K398" s="1" t="str">
        <x:f>'Habilidades'!E458</x:f>
        <x:v>Normal</x:v>
      </x:c>
      <x:c r="L398" s="1" t="str">
        <x:f>'Habilidades'!F458</x:f>
        <x:v>Física</x:v>
      </x:c>
      <x:c r="M398" s="10" t="n">
        <x:f>'Habilidades'!G458</x:f>
        <x:v>70</x:v>
      </x:c>
      <x:c r="N398" s="10" t="n">
        <x:f>'Habilidades'!I458</x:f>
        <x:v>115</x:v>
      </x:c>
      <x:c r="O398" s="1" t="str">
        <x:f>'Habilidades'!D459&amp;" ("&amp;'Habilidades'!I459&amp;")"</x:f>
        <x:v>Night Slash (115)</x:v>
      </x:c>
      <x:c r="P398" s="1" t="str">
        <x:f>'Habilidades'!D460&amp;" ("&amp;'Habilidades'!I460&amp;")"</x:f>
        <x:v>Bite (105)</x:v>
      </x:c>
      <x:c r="Q398" s="1" t="str">
        <x:f>'Habilidades'!D461&amp;" ("&amp;'Habilidades'!I461&amp;")"</x:f>
        <x:v>Feint Attack (105)</x:v>
      </x:c>
      <x:c r="R398" s="1" t="str">
        <x:f>'Habilidades'!D462&amp;" ("&amp;'Habilidades'!I462&amp;")"</x:f>
        <x:v>Assurance (105)</x:v>
      </x:c>
      <x:c r="S398" s="9" t="str">
        <x:v>https://poke.idleworld.online/pokepedia/pokemon/meowth</x:v>
      </x:c>
    </x:row>
    <x:row r="399" ht="22" customHeight="1">
      <x:c r="A399" s="1" t="n">
        <x:v>395</x:v>
      </x:c>
      <x:c r="B399" s="1" t="n">
        <x:v>41</x:v>
      </x:c>
      <x:c r="C399" s="1" t="str">
        <x:v>Zubat</x:v>
      </x:c>
      <x:c r="D399" s="1" t="str">
        <x:v>Venenoso</x:v>
      </x:c>
      <x:c r="E399" s="1" t="str">
        <x:v>Voador</x:v>
      </x:c>
      <x:c r="F399" s="10" t="n">
        <x:v>45</x:v>
      </x:c>
      <x:c r="G399" s="10" t="n">
        <x:v>30</x:v>
      </x:c>
      <x:c r="H399" s="10" t="n">
        <x:f>MAX(F399:G399)</x:f>
        <x:v>45</x:v>
      </x:c>
      <x:c r="I399" s="1" t="str">
        <x:f>'Pokémon'!M45</x:f>
        <x:v>Física</x:v>
      </x:c>
      <x:c r="J399" s="1" t="str">
        <x:f>'Habilidades'!D340</x:f>
        <x:v>Air Slash</x:v>
      </x:c>
      <x:c r="K399" s="1" t="str">
        <x:f>'Habilidades'!E340</x:f>
        <x:v>Voador</x:v>
      </x:c>
      <x:c r="L399" s="1" t="str">
        <x:f>'Habilidades'!F340</x:f>
        <x:v>Especial</x:v>
      </x:c>
      <x:c r="M399" s="10" t="n">
        <x:f>'Habilidades'!G340</x:f>
        <x:v>75</x:v>
      </x:c>
      <x:c r="N399" s="10" t="n">
        <x:f>'Habilidades'!I340</x:f>
        <x:v>105</x:v>
      </x:c>
      <x:c r="O399" s="1" t="str">
        <x:f>'Habilidades'!D341&amp;" ("&amp;'Habilidades'!I341&amp;")"</x:f>
        <x:v>Bite (105)</x:v>
      </x:c>
      <x:c r="P399" s="1" t="str">
        <x:f>'Habilidades'!D342&amp;" ("&amp;'Habilidades'!I342&amp;")"</x:f>
        <x:v>Wing Attack (105)</x:v>
      </x:c>
      <x:c r="Q399" s="1" t="str">
        <x:f>'Habilidades'!D343&amp;" ("&amp;'Habilidades'!I343&amp;")"</x:f>
        <x:v>Acrobatics (100)</x:v>
      </x:c>
      <x:c r="R399" s="1" t="str">
        <x:f>'Habilidades'!D344&amp;" ("&amp;'Habilidades'!I344&amp;")"</x:f>
        <x:v>Venoshock (95)</x:v>
      </x:c>
      <x:c r="S399" s="9" t="str">
        <x:v>https://poke.idleworld.online/pokepedia/pokemon/zubat</x:v>
      </x:c>
    </x:row>
    <x:row r="400" ht="22" customHeight="1">
      <x:c r="A400" s="1" t="n">
        <x:v>395</x:v>
      </x:c>
      <x:c r="B400" s="1" t="n">
        <x:v>173</x:v>
      </x:c>
      <x:c r="C400" s="1" t="str">
        <x:v>Cleffa</x:v>
      </x:c>
      <x:c r="D400" s="1" t="str">
        <x:v>Fada</x:v>
      </x:c>
      <x:c r="E400" s="1" t="str"/>
      <x:c r="F400" s="10" t="n">
        <x:v>25</x:v>
      </x:c>
      <x:c r="G400" s="10" t="n">
        <x:v>45</x:v>
      </x:c>
      <x:c r="H400" s="10" t="n">
        <x:f>MAX(F400:G400)</x:f>
        <x:v>45</x:v>
      </x:c>
      <x:c r="I400" s="1" t="str">
        <x:f>'Pokémon'!M177</x:f>
        <x:v>Especial</x:v>
      </x:c>
      <x:c r="J400" s="1" t="str">
        <x:f>'Habilidades'!D1665</x:f>
        <x:v>Magical Leaf</x:v>
      </x:c>
      <x:c r="K400" s="1" t="str">
        <x:f>'Habilidades'!E1665</x:f>
        <x:v>Planta</x:v>
      </x:c>
      <x:c r="L400" s="1" t="str">
        <x:f>'Habilidades'!F1665</x:f>
        <x:v>Especial</x:v>
      </x:c>
      <x:c r="M400" s="10" t="n">
        <x:f>'Habilidades'!G1665</x:f>
        <x:v>60</x:v>
      </x:c>
      <x:c r="N400" s="10" t="n">
        <x:f>'Habilidades'!I1665</x:f>
        <x:v>105</x:v>
      </x:c>
      <x:c r="O400" s="1" t="str">
        <x:f>'Habilidades'!D1666&amp;" ("&amp;'Habilidades'!I1666&amp;")"</x:f>
        <x:v>Pound (65)</x:v>
      </x:c>
      <x:c r="P400" s="1" t="str">
        <x:f>""</x:f>
      </x:c>
      <x:c r="Q400" s="1" t="str">
        <x:f>""</x:f>
      </x:c>
      <x:c r="R400" s="1" t="str">
        <x:f>""</x:f>
      </x:c>
      <x:c r="S400" s="9" t="str">
        <x:v>https://poke.idleworld.online/pokepedia/pokemon/cleffa</x:v>
      </x:c>
    </x:row>
    <x:row r="401" ht="22" customHeight="1">
      <x:c r="A401" s="1" t="n">
        <x:v>397</x:v>
      </x:c>
      <x:c r="B401" s="1" t="n">
        <x:v>13</x:v>
      </x:c>
      <x:c r="C401" s="1" t="str">
        <x:v>Weedle</x:v>
      </x:c>
      <x:c r="D401" s="1" t="str">
        <x:v>Inseto</x:v>
      </x:c>
      <x:c r="E401" s="1" t="str">
        <x:v>Venenoso</x:v>
      </x:c>
      <x:c r="F401" s="10" t="n">
        <x:v>35</x:v>
      </x:c>
      <x:c r="G401" s="10" t="n">
        <x:v>20</x:v>
      </x:c>
      <x:c r="H401" s="10" t="n">
        <x:f>MAX(F401:G401)</x:f>
        <x:v>35</x:v>
      </x:c>
      <x:c r="I401" s="1" t="str">
        <x:f>'Pokémon'!M17</x:f>
        <x:v>Física</x:v>
      </x:c>
      <x:c r="J401" s="1" t="str">
        <x:f>'Habilidades'!D111</x:f>
        <x:v>Bug Bite</x:v>
      </x:c>
      <x:c r="K401" s="1" t="str">
        <x:f>'Habilidades'!E111</x:f>
        <x:v>Inseto</x:v>
      </x:c>
      <x:c r="L401" s="1" t="str">
        <x:f>'Habilidades'!F111</x:f>
        <x:v>Física</x:v>
      </x:c>
      <x:c r="M401" s="10" t="n">
        <x:f>'Habilidades'!G111</x:f>
        <x:v>60</x:v>
      </x:c>
      <x:c r="N401" s="10" t="n">
        <x:f>'Habilidades'!I111</x:f>
        <x:v>95</x:v>
      </x:c>
      <x:c r="O401" s="1" t="str">
        <x:f>'Habilidades'!D112&amp;" ("&amp;'Habilidades'!I112&amp;")"</x:f>
        <x:v>Poison Sting (50)</x:v>
      </x:c>
      <x:c r="P401" s="1" t="str">
        <x:f>""</x:f>
      </x:c>
      <x:c r="Q401" s="1" t="str">
        <x:f>""</x:f>
      </x:c>
      <x:c r="R401" s="1" t="str">
        <x:f>""</x:f>
      </x:c>
      <x:c r="S401" s="9" t="str">
        <x:v>https://poke.idleworld.online/pokepedia/pokemon/weedle</x:v>
      </x:c>
    </x:row>
    <x:row r="402" ht="22" customHeight="1">
      <x:c r="A402" s="1" t="n">
        <x:v>398</x:v>
      </x:c>
      <x:c r="B402" s="1" t="n">
        <x:v>10</x:v>
      </x:c>
      <x:c r="C402" s="1" t="str">
        <x:v>Caterpie</x:v>
      </x:c>
      <x:c r="D402" s="1" t="str">
        <x:v>Inseto</x:v>
      </x:c>
      <x:c r="E402" s="1" t="str"/>
      <x:c r="F402" s="10" t="n">
        <x:v>30</x:v>
      </x:c>
      <x:c r="G402" s="10" t="n">
        <x:v>20</x:v>
      </x:c>
      <x:c r="H402" s="10" t="n">
        <x:f>MAX(F402:G402)</x:f>
        <x:v>30</x:v>
      </x:c>
      <x:c r="I402" s="1" t="str">
        <x:f>'Pokémon'!M14</x:f>
        <x:v>Física</x:v>
      </x:c>
      <x:c r="J402" s="1" t="str">
        <x:f>'Habilidades'!D96</x:f>
        <x:v>Bug Bite</x:v>
      </x:c>
      <x:c r="K402" s="1" t="str">
        <x:f>'Habilidades'!E96</x:f>
        <x:v>Inseto</x:v>
      </x:c>
      <x:c r="L402" s="1" t="str">
        <x:f>'Habilidades'!F96</x:f>
        <x:v>Física</x:v>
      </x:c>
      <x:c r="M402" s="10" t="n">
        <x:f>'Habilidades'!G96</x:f>
        <x:v>60</x:v>
      </x:c>
      <x:c r="N402" s="10" t="n">
        <x:f>'Habilidades'!I96</x:f>
        <x:v>90</x:v>
      </x:c>
      <x:c r="O402" s="1" t="str">
        <x:f>'Habilidades'!D97&amp;" ("&amp;'Habilidades'!I97&amp;")"</x:f>
        <x:v>Tackle (80)</x:v>
      </x:c>
      <x:c r="P402" s="1" t="str">
        <x:f>""</x:f>
      </x:c>
      <x:c r="Q402" s="1" t="str">
        <x:f>""</x:f>
      </x:c>
      <x:c r="R402" s="1" t="str">
        <x:f>""</x:f>
      </x:c>
      <x:c r="S402" s="9" t="str">
        <x:v>https://poke.idleworld.online/pokepedia/pokemon/caterpie</x:v>
      </x:c>
    </x:row>
    <x:row r="403" ht="22" customHeight="1">
      <x:c r="A403" s="1" t="n">
        <x:v>399</x:v>
      </x:c>
      <x:c r="B403" s="1" t="n">
        <x:v>236</x:v>
      </x:c>
      <x:c r="C403" s="1" t="str">
        <x:v>Tyrogue</x:v>
      </x:c>
      <x:c r="D403" s="1" t="str">
        <x:v>Lutador</x:v>
      </x:c>
      <x:c r="E403" s="1" t="str"/>
      <x:c r="F403" s="10" t="n">
        <x:v>35</x:v>
      </x:c>
      <x:c r="G403" s="10" t="n">
        <x:v>35</x:v>
      </x:c>
      <x:c r="H403" s="10" t="n">
        <x:f>MAX(F403:G403)</x:f>
        <x:v>35</x:v>
      </x:c>
      <x:c r="I403" s="1" t="str">
        <x:f>'Pokémon'!M239</x:f>
        <x:v>Empate</x:v>
      </x:c>
      <x:c r="J403" s="1" t="str">
        <x:f>'Habilidades'!D2209</x:f>
        <x:v>Tackle</x:v>
      </x:c>
      <x:c r="K403" s="1" t="str">
        <x:f>'Habilidades'!E2209</x:f>
        <x:v>Normal</x:v>
      </x:c>
      <x:c r="L403" s="1" t="str">
        <x:f>'Habilidades'!F2209</x:f>
        <x:v>Física</x:v>
      </x:c>
      <x:c r="M403" s="10" t="n">
        <x:f>'Habilidades'!G2209</x:f>
        <x:v>50</x:v>
      </x:c>
      <x:c r="N403" s="10" t="n">
        <x:f>'Habilidades'!I2209</x:f>
        <x:v>85</x:v>
      </x:c>
      <x:c r="O403" s="1" t="str">
        <x:f>'Habilidades'!D2210&amp;" ("&amp;'Habilidades'!I2210&amp;")"</x:f>
        <x:v>Fake Out (75)</x:v>
      </x:c>
      <x:c r="P403" s="1" t="str">
        <x:f>""</x:f>
      </x:c>
      <x:c r="Q403" s="1" t="str">
        <x:f>""</x:f>
      </x:c>
      <x:c r="R403" s="1" t="str">
        <x:f>""</x:f>
      </x:c>
      <x:c r="S403" s="9" t="str">
        <x:v>https://poke.idleworld.online/pokepedia/pokemon/tyrogue</x:v>
      </x:c>
    </x:row>
    <x:row r="404" ht="22" customHeight="1">
      <x:c r="A404" s="1" t="n">
        <x:v>400</x:v>
      </x:c>
      <x:c r="B404" s="1" t="n">
        <x:v>172</x:v>
      </x:c>
      <x:c r="C404" s="1" t="str">
        <x:v>Pichu</x:v>
      </x:c>
      <x:c r="D404" s="1" t="str">
        <x:v>Elétrico</x:v>
      </x:c>
      <x:c r="E404" s="1" t="str"/>
      <x:c r="F404" s="10" t="n">
        <x:v>40</x:v>
      </x:c>
      <x:c r="G404" s="10" t="n">
        <x:v>35</x:v>
      </x:c>
      <x:c r="H404" s="10" t="n">
        <x:f>MAX(F404:G404)</x:f>
        <x:v>40</x:v>
      </x:c>
      <x:c r="I404" s="1" t="str">
        <x:f>'Pokémon'!M176</x:f>
        <x:v>Física</x:v>
      </x:c>
      <x:c r="J404" s="1" t="str">
        <x:f>'Habilidades'!D1664</x:f>
        <x:v>Thunder Shock</x:v>
      </x:c>
      <x:c r="K404" s="1" t="str">
        <x:f>'Habilidades'!E1664</x:f>
        <x:v>Elétrico</x:v>
      </x:c>
      <x:c r="L404" s="1" t="str">
        <x:f>'Habilidades'!F1664</x:f>
        <x:v>Especial</x:v>
      </x:c>
      <x:c r="M404" s="10" t="n">
        <x:f>'Habilidades'!G1664</x:f>
        <x:v>40</x:v>
      </x:c>
      <x:c r="N404" s="10" t="n">
        <x:f>'Habilidades'!I1664</x:f>
        <x:v>75</x:v>
      </x:c>
      <x:c r="O404" s="1" t="str">
        <x:f>""</x:f>
      </x:c>
      <x:c r="P404" s="1" t="str">
        <x:f>""</x:f>
      </x:c>
      <x:c r="Q404" s="1" t="str">
        <x:f>""</x:f>
      </x:c>
      <x:c r="R404" s="1" t="str">
        <x:f>""</x:f>
      </x:c>
      <x:c r="S404" s="9" t="str">
        <x:v>https://poke.idleworld.online/pokepedia/pokemon/pichu</x:v>
      </x:c>
    </x:row>
    <x:row r="405" ht="22" customHeight="1">
      <x:c r="A405" s="1" t="n">
        <x:v>401</x:v>
      </x:c>
      <x:c r="B405" s="1" t="n">
        <x:v>174</x:v>
      </x:c>
      <x:c r="C405" s="1" t="str">
        <x:v>Igglybuff</x:v>
      </x:c>
      <x:c r="D405" s="1" t="str">
        <x:v>Normal</x:v>
      </x:c>
      <x:c r="E405" s="1" t="str">
        <x:v>Fada</x:v>
      </x:c>
      <x:c r="F405" s="10" t="n">
        <x:v>30</x:v>
      </x:c>
      <x:c r="G405" s="10" t="n">
        <x:v>40</x:v>
      </x:c>
      <x:c r="H405" s="10" t="n">
        <x:f>MAX(F405:G405)</x:f>
        <x:v>40</x:v>
      </x:c>
      <x:c r="I405" s="1" t="str">
        <x:f>'Pokémon'!M178</x:f>
        <x:v>Especial</x:v>
      </x:c>
      <x:c r="J405" s="1" t="str">
        <x:f>'Habilidades'!D1667</x:f>
        <x:v>Pound</x:v>
      </x:c>
      <x:c r="K405" s="1" t="str">
        <x:f>'Habilidades'!E1667</x:f>
        <x:v>Normal</x:v>
      </x:c>
      <x:c r="L405" s="1" t="str">
        <x:f>'Habilidades'!F1667</x:f>
        <x:v>Física</x:v>
      </x:c>
      <x:c r="M405" s="10" t="n">
        <x:f>'Habilidades'!G1667</x:f>
        <x:v>40</x:v>
      </x:c>
      <x:c r="N405" s="10" t="n">
        <x:f>'Habilidades'!I1667</x:f>
        <x:v>70</x:v>
      </x:c>
      <x:c r="O405" s="1" t="str">
        <x:f>""</x:f>
      </x:c>
      <x:c r="P405" s="1" t="str">
        <x:f>""</x:f>
      </x:c>
      <x:c r="Q405" s="1" t="str">
        <x:f>""</x:f>
      </x:c>
      <x:c r="R405" s="1" t="str">
        <x:f>""</x:f>
      </x:c>
      <x:c r="S405" s="9" t="str">
        <x:v>https://poke.idleworld.online/pokepedia/pokemon/igglybuff</x:v>
      </x:c>
    </x:row>
    <x:row r="406" ht="22" customHeight="1">
      <x:c r="A406" s="1" t="n">
        <x:v>402</x:v>
      </x:c>
      <x:c r="B406" s="1" t="n">
        <x:v>349</x:v>
      </x:c>
      <x:c r="C406" s="1" t="str">
        <x:v>Feebas</x:v>
      </x:c>
      <x:c r="D406" s="1" t="str">
        <x:v>Água</x:v>
      </x:c>
      <x:c r="E406" s="1" t="str"/>
      <x:c r="F406" s="10" t="n">
        <x:v>15</x:v>
      </x:c>
      <x:c r="G406" s="10" t="n">
        <x:v>10</x:v>
      </x:c>
      <x:c r="H406" s="10" t="n">
        <x:f>MAX(F406:G406)</x:f>
        <x:v>15</x:v>
      </x:c>
      <x:c r="I406" s="1" t="str">
        <x:f>'Pokémon'!M318</x:f>
        <x:v>Física</x:v>
      </x:c>
      <x:c r="J406" s="1" t="str">
        <x:f>'Habilidades'!D2959</x:f>
        <x:v>Tackle</x:v>
      </x:c>
      <x:c r="K406" s="1" t="str">
        <x:f>'Habilidades'!E2959</x:f>
        <x:v>Normal</x:v>
      </x:c>
      <x:c r="L406" s="1" t="str">
        <x:f>'Habilidades'!F2959</x:f>
        <x:v>Física</x:v>
      </x:c>
      <x:c r="M406" s="10" t="n">
        <x:f>'Habilidades'!G2959</x:f>
        <x:v>50</x:v>
      </x:c>
      <x:c r="N406" s="10" t="n">
        <x:f>'Habilidades'!I2959</x:f>
        <x:v>65</x:v>
      </x:c>
      <x:c r="O406" s="1" t="str">
        <x:f>""</x:f>
      </x:c>
      <x:c r="P406" s="1" t="str">
        <x:f>""</x:f>
      </x:c>
      <x:c r="Q406" s="1" t="str">
        <x:f>""</x:f>
      </x:c>
      <x:c r="R406" s="1" t="str">
        <x:f>""</x:f>
      </x:c>
      <x:c r="S406" s="9" t="str">
        <x:v>https://poke.idleworld.online/pokepedia/pokemon/feebas</x:v>
      </x:c>
    </x:row>
    <x:row r="407" ht="22" customHeight="1">
      <x:c r="A407" s="1" t="n">
        <x:v>403</x:v>
      </x:c>
      <x:c r="B407" s="1" t="n">
        <x:v>129</x:v>
      </x:c>
      <x:c r="C407" s="1" t="str">
        <x:v>Magikarp</x:v>
      </x:c>
      <x:c r="D407" s="1" t="str">
        <x:v>Água</x:v>
      </x:c>
      <x:c r="E407" s="1" t="str"/>
      <x:c r="F407" s="10" t="n">
        <x:v>10</x:v>
      </x:c>
      <x:c r="G407" s="10" t="n">
        <x:v>15</x:v>
      </x:c>
      <x:c r="H407" s="10" t="n">
        <x:f>MAX(F407:G407)</x:f>
        <x:v>15</x:v>
      </x:c>
      <x:c r="I407" s="1" t="str">
        <x:f>'Pokémon'!M133</x:f>
        <x:v>Especial</x:v>
      </x:c>
      <x:c r="J407" s="1" t="str">
        <x:f>'Habilidades'!D1246</x:f>
        <x:v>Tackle</x:v>
      </x:c>
      <x:c r="K407" s="1" t="str">
        <x:f>'Habilidades'!E1246</x:f>
        <x:v>Normal</x:v>
      </x:c>
      <x:c r="L407" s="1" t="str">
        <x:f>'Habilidades'!F1246</x:f>
        <x:v>Física</x:v>
      </x:c>
      <x:c r="M407" s="10" t="n">
        <x:f>'Habilidades'!G1246</x:f>
        <x:v>50</x:v>
      </x:c>
      <x:c r="N407" s="10" t="n">
        <x:f>'Habilidades'!I1246</x:f>
        <x:v>60</x:v>
      </x:c>
      <x:c r="O407" s="1" t="str">
        <x:f>""</x:f>
      </x:c>
      <x:c r="P407" s="1" t="str">
        <x:f>""</x:f>
      </x:c>
      <x:c r="Q407" s="1" t="str">
        <x:f>""</x:f>
      </x:c>
      <x:c r="R407" s="1" t="str">
        <x:f>""</x:f>
      </x:c>
      <x:c r="S407" s="9" t="str">
        <x:v>https://poke.idleworld.online/pokepedia/pokemon/magikarp</x:v>
      </x:c>
    </x:row>
    <x:row r="408" ht="22" customHeight="1">
      <x:c r="A408" s="1"/>
      <x:c r="B408" s="1" t="n">
        <x:v>63</x:v>
      </x:c>
      <x:c r="C408" s="1" t="str">
        <x:v>Abra</x:v>
      </x:c>
      <x:c r="D408" s="1" t="str">
        <x:v>Psíquico</x:v>
      </x:c>
      <x:c r="E408" s="1" t="str"/>
      <x:c r="F408" s="10" t="n">
        <x:v>20</x:v>
      </x:c>
      <x:c r="G408" s="10" t="n">
        <x:v>105</x:v>
      </x:c>
      <x:c r="H408" s="10" t="n">
        <x:f>MAX(F408:G408)</x:f>
        <x:v>105</x:v>
      </x:c>
      <x:c r="I408" s="1" t="str">
        <x:f>'Pokémon'!M67</x:f>
        <x:v>Especial</x:v>
      </x:c>
      <x:c r="J408" s="1" t="str">
        <x:f>""</x:f>
      </x:c>
      <x:c r="K408" s="1" t="str">
        <x:f>""</x:f>
      </x:c>
      <x:c r="L408" s="1" t="str">
        <x:f>""</x:f>
      </x:c>
      <x:c r="M408" s="10" t="str">
        <x:f>""</x:f>
      </x:c>
      <x:c r="N408" s="10" t="str">
        <x:f>""</x:f>
      </x:c>
      <x:c r="O408" s="1" t="str">
        <x:f>""</x:f>
      </x:c>
      <x:c r="P408" s="1" t="str">
        <x:f>""</x:f>
      </x:c>
      <x:c r="Q408" s="1" t="str">
        <x:f>""</x:f>
      </x:c>
      <x:c r="R408" s="1" t="str">
        <x:f>""</x:f>
      </x:c>
      <x:c r="S408" s="9" t="str">
        <x:v>https://poke.idleworld.online/pokepedia/pokemon/abra</x:v>
      </x:c>
    </x:row>
    <x:row r="409" ht="22" customHeight="1">
      <x:c r="A409" s="1"/>
      <x:c r="B409" s="1" t="n">
        <x:v>132</x:v>
      </x:c>
      <x:c r="C409" s="1" t="str">
        <x:v>Ditto</x:v>
      </x:c>
      <x:c r="D409" s="1" t="str">
        <x:v>Normal</x:v>
      </x:c>
      <x:c r="E409" s="1" t="str"/>
      <x:c r="F409" s="10" t="n">
        <x:v>48</x:v>
      </x:c>
      <x:c r="G409" s="10" t="n">
        <x:v>48</x:v>
      </x:c>
      <x:c r="H409" s="10" t="n">
        <x:f>MAX(F409:G409)</x:f>
        <x:v>48</x:v>
      </x:c>
      <x:c r="I409" s="1" t="str">
        <x:f>'Pokémon'!M136</x:f>
        <x:v>Empate</x:v>
      </x:c>
      <x:c r="J409" s="1" t="str">
        <x:f>""</x:f>
      </x:c>
      <x:c r="K409" s="1" t="str">
        <x:f>""</x:f>
      </x:c>
      <x:c r="L409" s="1" t="str">
        <x:f>""</x:f>
      </x:c>
      <x:c r="M409" s="10" t="str">
        <x:f>""</x:f>
      </x:c>
      <x:c r="N409" s="10" t="str">
        <x:f>""</x:f>
      </x:c>
      <x:c r="O409" s="1" t="str">
        <x:f>""</x:f>
      </x:c>
      <x:c r="P409" s="1" t="str">
        <x:f>""</x:f>
      </x:c>
      <x:c r="Q409" s="1" t="str">
        <x:f>""</x:f>
      </x:c>
      <x:c r="R409" s="1" t="str">
        <x:f>""</x:f>
      </x:c>
      <x:c r="S409" s="9" t="str">
        <x:v>https://poke.idleworld.online/pokepedia/pokemon/ditto</x:v>
      </x:c>
    </x:row>
    <x:row r="410" ht="22" customHeight="1">
      <x:c r="A410" s="1"/>
      <x:c r="B410" s="1" t="n">
        <x:v>273</x:v>
      </x:c>
      <x:c r="C410" s="1" t="str">
        <x:v>Seedot</x:v>
      </x:c>
      <x:c r="D410" s="1" t="str">
        <x:v>Planta</x:v>
      </x:c>
      <x:c r="E410" s="1" t="str"/>
      <x:c r="F410" s="10" t="n">
        <x:v>40</x:v>
      </x:c>
      <x:c r="G410" s="10" t="n">
        <x:v>30</x:v>
      </x:c>
      <x:c r="H410" s="10" t="n">
        <x:f>MAX(F410:G410)</x:f>
        <x:v>40</x:v>
      </x:c>
      <x:c r="I410" s="1" t="str">
        <x:f>'Pokémon'!M269</x:f>
        <x:v>Física</x:v>
      </x:c>
      <x:c r="J410" s="1" t="str">
        <x:f>""</x:f>
      </x:c>
      <x:c r="K410" s="1" t="str">
        <x:f>""</x:f>
      </x:c>
      <x:c r="L410" s="1" t="str">
        <x:f>""</x:f>
      </x:c>
      <x:c r="M410" s="10" t="str">
        <x:f>""</x:f>
      </x:c>
      <x:c r="N410" s="10" t="str">
        <x:f>""</x:f>
      </x:c>
      <x:c r="O410" s="1" t="str">
        <x:f>""</x:f>
      </x:c>
      <x:c r="P410" s="1" t="str">
        <x:f>""</x:f>
      </x:c>
      <x:c r="Q410" s="1" t="str">
        <x:f>""</x:f>
      </x:c>
      <x:c r="R410" s="1" t="str">
        <x:f>""</x:f>
      </x:c>
      <x:c r="S410" s="9" t="str">
        <x:v>https://poke.idleworld.online/pokepedia/pokemon/seedot</x:v>
      </x:c>
    </x:row>
    <x:row r="411" ht="22" customHeight="1">
      <x:c r="A411" s="1"/>
      <x:c r="B411" s="1" t="n">
        <x:v>11</x:v>
      </x:c>
      <x:c r="C411" s="1" t="str">
        <x:v>Metapod</x:v>
      </x:c>
      <x:c r="D411" s="1" t="str">
        <x:v>Inseto</x:v>
      </x:c>
      <x:c r="E411" s="1" t="str"/>
      <x:c r="F411" s="10" t="n">
        <x:v>20</x:v>
      </x:c>
      <x:c r="G411" s="10" t="n">
        <x:v>25</x:v>
      </x:c>
      <x:c r="H411" s="10" t="n">
        <x:f>MAX(F411:G411)</x:f>
        <x:v>25</x:v>
      </x:c>
      <x:c r="I411" s="1" t="str">
        <x:f>'Pokémon'!M15</x:f>
        <x:v>Especial</x:v>
      </x:c>
      <x:c r="J411" s="1" t="str">
        <x:f>""</x:f>
      </x:c>
      <x:c r="K411" s="1" t="str">
        <x:f>""</x:f>
      </x:c>
      <x:c r="L411" s="1" t="str">
        <x:f>""</x:f>
      </x:c>
      <x:c r="M411" s="10" t="str">
        <x:f>""</x:f>
      </x:c>
      <x:c r="N411" s="10" t="str">
        <x:f>""</x:f>
      </x:c>
      <x:c r="O411" s="1" t="str">
        <x:f>""</x:f>
      </x:c>
      <x:c r="P411" s="1" t="str">
        <x:f>""</x:f>
      </x:c>
      <x:c r="Q411" s="1" t="str">
        <x:f>""</x:f>
      </x:c>
      <x:c r="R411" s="1" t="str">
        <x:f>""</x:f>
      </x:c>
      <x:c r="S411" s="9" t="str">
        <x:v>https://poke.idleworld.online/pokepedia/pokemon/metapod</x:v>
      </x:c>
    </x:row>
    <x:row r="412" ht="22" customHeight="1">
      <x:c r="A412" s="1"/>
      <x:c r="B412" s="1" t="n">
        <x:v>14</x:v>
      </x:c>
      <x:c r="C412" s="1" t="str">
        <x:v>Kakuna</x:v>
      </x:c>
      <x:c r="D412" s="1" t="str">
        <x:v>Inseto</x:v>
      </x:c>
      <x:c r="E412" s="1" t="str">
        <x:v>Venenoso</x:v>
      </x:c>
      <x:c r="F412" s="10" t="n">
        <x:v>25</x:v>
      </x:c>
      <x:c r="G412" s="10" t="n">
        <x:v>25</x:v>
      </x:c>
      <x:c r="H412" s="10" t="n">
        <x:f>MAX(F412:G412)</x:f>
        <x:v>25</x:v>
      </x:c>
      <x:c r="I412" s="1" t="str">
        <x:f>'Pokémon'!M18</x:f>
        <x:v>Empate</x:v>
      </x:c>
      <x:c r="J412" s="1" t="str">
        <x:f>""</x:f>
      </x:c>
      <x:c r="K412" s="1" t="str">
        <x:f>""</x:f>
      </x:c>
      <x:c r="L412" s="1" t="str">
        <x:f>""</x:f>
      </x:c>
      <x:c r="M412" s="10" t="str">
        <x:f>""</x:f>
      </x:c>
      <x:c r="N412" s="10" t="str">
        <x:f>""</x:f>
      </x:c>
      <x:c r="O412" s="1" t="str">
        <x:f>""</x:f>
      </x:c>
      <x:c r="P412" s="1" t="str">
        <x:f>""</x:f>
      </x:c>
      <x:c r="Q412" s="1" t="str">
        <x:f>""</x:f>
      </x:c>
      <x:c r="R412" s="1" t="str">
        <x:f>""</x:f>
      </x:c>
      <x:c r="S412" s="9" t="str">
        <x:v>https://poke.idleworld.online/pokepedia/pokemon/kakuna</x:v>
      </x:c>
    </x:row>
    <x:row r="413" ht="22" customHeight="1">
      <x:c r="A413" s="1"/>
      <x:c r="B413" s="1" t="n">
        <x:v>235</x:v>
      </x:c>
      <x:c r="C413" s="1" t="str">
        <x:v>Smeargle</x:v>
      </x:c>
      <x:c r="D413" s="1" t="str">
        <x:v>Normal</x:v>
      </x:c>
      <x:c r="E413" s="1" t="str"/>
      <x:c r="F413" s="10" t="n">
        <x:v>20</x:v>
      </x:c>
      <x:c r="G413" s="10" t="n">
        <x:v>20</x:v>
      </x:c>
      <x:c r="H413" s="10" t="n">
        <x:f>MAX(F413:G413)</x:f>
        <x:v>20</x:v>
      </x:c>
      <x:c r="I413" s="1" t="str">
        <x:f>'Pokémon'!M238</x:f>
        <x:v>Empate</x:v>
      </x:c>
      <x:c r="J413" s="1" t="str">
        <x:f>""</x:f>
      </x:c>
      <x:c r="K413" s="1" t="str">
        <x:f>""</x:f>
      </x:c>
      <x:c r="L413" s="1" t="str">
        <x:f>""</x:f>
      </x:c>
      <x:c r="M413" s="10" t="str">
        <x:f>""</x:f>
      </x:c>
      <x:c r="N413" s="10" t="str">
        <x:f>""</x:f>
      </x:c>
      <x:c r="O413" s="1" t="str">
        <x:f>""</x:f>
      </x:c>
      <x:c r="P413" s="1" t="str">
        <x:f>""</x:f>
      </x:c>
      <x:c r="Q413" s="1" t="str">
        <x:f>""</x:f>
      </x:c>
      <x:c r="R413" s="1" t="str">
        <x:f>""</x:f>
      </x:c>
      <x:c r="S413" s="9" t="str">
        <x:v>https://poke.idleworld.online/pokepedia/pokemon/smeargle</x:v>
      </x:c>
    </x:row>
  </x:sheetData>
  <x:pageMargins left="0.7" right="0.7" top="0.75" bottom="0.75" header="0.3" footer="0.3"/>
  <x:tableParts count="1">
    <x:tablePart xmlns:r="http://schemas.openxmlformats.org/officeDocument/2006/relationships" r:id="R0c5415f2f9ee444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9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2" hidden="0" customWidth="1"/>
    <x:col min="19" max="19" width="16" hidden="0" customWidth="1"/>
    <x:col min="20" max="20" width="68" hidden="0" customWidth="1"/>
  </x:cols>
  <x:sheetData>
    <x:row r="1">
      <x:c r="A1" s="2" t="str">
        <x:v>Pokémon da Poképedia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3" t="str">
        <x:v>409 Pokémon da lista principal • atributos e tipos atuais • efetividade calculada a partir dos tipos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30" customHeight="1">
      <x:c r="A4" s="8" t="str">
        <x:v>Nº</x:v>
      </x:c>
      <x:c r="B4" s="8" t="str">
        <x:v>Pokémon</x:v>
      </x:c>
      <x:c r="C4" s="8" t="str">
        <x:v>Tipo 1</x:v>
      </x:c>
      <x:c r="D4" s="8" t="str">
        <x:v>Tipo 2</x:v>
      </x:c>
      <x:c r="E4" s="8" t="str">
        <x:v>Raridade</x:v>
      </x:c>
      <x:c r="F4" s="8" t="str">
        <x:v>PS base</x:v>
      </x:c>
      <x:c r="G4" s="8" t="str">
        <x:v>Ataque</x:v>
      </x:c>
      <x:c r="H4" s="8" t="str">
        <x:v>Defesa</x:v>
      </x:c>
      <x:c r="I4" s="8" t="str">
        <x:v>Ataque especial</x:v>
      </x:c>
      <x:c r="J4" s="8" t="str">
        <x:v>Defesa especial</x:v>
      </x:c>
      <x:c r="K4" s="8" t="str">
        <x:v>Velocidade</x:v>
      </x:c>
      <x:c r="L4" s="8" t="str">
        <x:v>Total base</x:v>
      </x:c>
      <x:c r="M4" s="8" t="str">
        <x:v>Principal ofensivo</x:v>
      </x:c>
      <x:c r="N4" s="8" t="str">
        <x:v>Nível de caça</x:v>
      </x:c>
      <x:c r="O4" s="8" t="str">
        <x:v>XP por abate</x:v>
      </x:c>
      <x:c r="P4" s="8" t="str">
        <x:v>Preço NPC</x:v>
      </x:c>
      <x:c r="Q4" s="8" t="str">
        <x:v>Valor de venda</x:v>
      </x:c>
      <x:c r="R4" s="8" t="str">
        <x:v>Evolui para</x:v>
      </x:c>
      <x:c r="S4" s="8" t="str">
        <x:v>Nível da evolução</x:v>
      </x:c>
      <x:c r="T4" s="8" t="str">
        <x:v>Fonte</x:v>
      </x:c>
    </x:row>
    <x:row r="5" ht="22" customHeight="1">
      <x:c r="A5" s="1" t="n">
        <x:v>1</x:v>
      </x:c>
      <x:c r="B5" s="1" t="str">
        <x:v>Bulbasaur</x:v>
      </x:c>
      <x:c r="C5" s="1" t="str">
        <x:v>Planta</x:v>
      </x:c>
      <x:c r="D5" s="1" t="str">
        <x:v>Venenoso</x:v>
      </x:c>
      <x:c r="E5" s="1" t="str">
        <x:v>Raro</x:v>
      </x:c>
      <x:c r="F5" s="10" t="n">
        <x:v>45</x:v>
      </x:c>
      <x:c r="G5" s="10" t="n">
        <x:v>49</x:v>
      </x:c>
      <x:c r="H5" s="10" t="n">
        <x:v>49</x:v>
      </x:c>
      <x:c r="I5" s="10" t="n">
        <x:v>65</x:v>
      </x:c>
      <x:c r="J5" s="10" t="n">
        <x:v>65</x:v>
      </x:c>
      <x:c r="K5" s="10" t="n">
        <x:v>45</x:v>
      </x:c>
      <x:c r="L5" s="10" t="n">
        <x:f>SUM(F5:K5)</x:f>
        <x:v>318</x:v>
      </x:c>
      <x:c r="M5" s="1" t="str">
        <x:f>IF(G5=I5,"Empate",IF(G5&gt;I5,"Física","Especial"))</x:f>
        <x:v>Especial</x:v>
      </x:c>
      <x:c r="N5" s="10" t="n">
        <x:v>20</x:v>
      </x:c>
      <x:c r="O5" s="10" t="n">
        <x:v>248</x:v>
      </x:c>
      <x:c r="P5" s="10" t="n">
        <x:v>3000</x:v>
      </x:c>
      <x:c r="Q5" s="10" t="n">
        <x:v>3000</x:v>
      </x:c>
      <x:c r="R5" s="1" t="str">
        <x:v>Ivysaur</x:v>
      </x:c>
      <x:c r="S5" s="1" t="n">
        <x:v>40</x:v>
      </x:c>
      <x:c r="T5" s="9" t="str">
        <x:v>https://poke.idleworld.online/pokepedia/pokemon/bulbasaur</x:v>
      </x:c>
    </x:row>
    <x:row r="6" ht="22" customHeight="1">
      <x:c r="A6" s="1" t="n">
        <x:v>2</x:v>
      </x:c>
      <x:c r="B6" s="1" t="str">
        <x:v>Ivysaur</x:v>
      </x:c>
      <x:c r="C6" s="1" t="str">
        <x:v>Planta</x:v>
      </x:c>
      <x:c r="D6" s="1" t="str">
        <x:v>Venenoso</x:v>
      </x:c>
      <x:c r="E6" s="1" t="str">
        <x:v>Comum</x:v>
      </x:c>
      <x:c r="F6" s="10" t="n">
        <x:v>60</x:v>
      </x:c>
      <x:c r="G6" s="10" t="n">
        <x:v>62</x:v>
      </x:c>
      <x:c r="H6" s="10" t="n">
        <x:v>63</x:v>
      </x:c>
      <x:c r="I6" s="10" t="n">
        <x:v>80</x:v>
      </x:c>
      <x:c r="J6" s="10" t="n">
        <x:v>80</x:v>
      </x:c>
      <x:c r="K6" s="10" t="n">
        <x:v>60</x:v>
      </x:c>
      <x:c r="L6" s="10" t="n">
        <x:f>SUM(F6:K6)</x:f>
        <x:v>405</x:v>
      </x:c>
      <x:c r="M6" s="1" t="str">
        <x:f>IF(G6=I6,"Empate",IF(G6&gt;I6,"Física","Especial"))</x:f>
        <x:v>Especial</x:v>
      </x:c>
      <x:c r="N6" s="10" t="n">
        <x:v>40</x:v>
      </x:c>
      <x:c r="O6" s="10" t="n">
        <x:v>968</x:v>
      </x:c>
      <x:c r="P6" s="10" t="n">
        <x:v>8000</x:v>
      </x:c>
      <x:c r="Q6" s="10" t="n">
        <x:v>8000</x:v>
      </x:c>
      <x:c r="R6" s="1" t="str">
        <x:v>Venusaur</x:v>
      </x:c>
      <x:c r="S6" s="1" t="n">
        <x:v>80</x:v>
      </x:c>
      <x:c r="T6" s="9" t="str">
        <x:v>https://poke.idleworld.online/pokepedia/pokemon/ivysaur</x:v>
      </x:c>
    </x:row>
    <x:row r="7" ht="22" customHeight="1">
      <x:c r="A7" s="1" t="n">
        <x:v>3</x:v>
      </x:c>
      <x:c r="B7" s="1" t="str">
        <x:v>Venusaur</x:v>
      </x:c>
      <x:c r="C7" s="1" t="str">
        <x:v>Planta</x:v>
      </x:c>
      <x:c r="D7" s="1" t="str">
        <x:v>Venenoso</x:v>
      </x:c>
      <x:c r="E7" s="1" t="str">
        <x:v>Comum</x:v>
      </x:c>
      <x:c r="F7" s="10" t="n">
        <x:v>80</x:v>
      </x:c>
      <x:c r="G7" s="10" t="n">
        <x:v>82</x:v>
      </x:c>
      <x:c r="H7" s="10" t="n">
        <x:v>83</x:v>
      </x:c>
      <x:c r="I7" s="10" t="n">
        <x:v>100</x:v>
      </x:c>
      <x:c r="J7" s="10" t="n">
        <x:v>100</x:v>
      </x:c>
      <x:c r="K7" s="10" t="n">
        <x:v>80</x:v>
      </x:c>
      <x:c r="L7" s="10" t="n">
        <x:f>SUM(F7:K7)</x:f>
        <x:v>525</x:v>
      </x:c>
      <x:c r="M7" s="1" t="str">
        <x:f>IF(G7=I7,"Empate",IF(G7&gt;I7,"Física","Especial"))</x:f>
        <x:v>Especial</x:v>
      </x:c>
      <x:c r="N7" s="10" t="n">
        <x:v>80</x:v>
      </x:c>
      <x:c r="O7" s="10" t="n">
        <x:v>3848</x:v>
      </x:c>
      <x:c r="P7" s="10" t="n">
        <x:v>18000</x:v>
      </x:c>
      <x:c r="Q7" s="10" t="n">
        <x:v>18000</x:v>
      </x:c>
      <x:c r="R7" s="1" t="str"/>
      <x:c r="S7" s="1"/>
      <x:c r="T7" s="9" t="str">
        <x:v>https://poke.idleworld.online/pokepedia/pokemon/venusaur</x:v>
      </x:c>
    </x:row>
    <x:row r="8" ht="22" customHeight="1">
      <x:c r="A8" s="1" t="n">
        <x:v>4</x:v>
      </x:c>
      <x:c r="B8" s="1" t="str">
        <x:v>Charmander</x:v>
      </x:c>
      <x:c r="C8" s="1" t="str">
        <x:v>Fogo</x:v>
      </x:c>
      <x:c r="D8" s="1" t="str"/>
      <x:c r="E8" s="1" t="str">
        <x:v>Raro</x:v>
      </x:c>
      <x:c r="F8" s="10" t="n">
        <x:v>39</x:v>
      </x:c>
      <x:c r="G8" s="10" t="n">
        <x:v>52</x:v>
      </x:c>
      <x:c r="H8" s="10" t="n">
        <x:v>43</x:v>
      </x:c>
      <x:c r="I8" s="10" t="n">
        <x:v>60</x:v>
      </x:c>
      <x:c r="J8" s="10" t="n">
        <x:v>50</x:v>
      </x:c>
      <x:c r="K8" s="10" t="n">
        <x:v>65</x:v>
      </x:c>
      <x:c r="L8" s="10" t="n">
        <x:f>SUM(F8:K8)</x:f>
        <x:v>309</x:v>
      </x:c>
      <x:c r="M8" s="1" t="str">
        <x:f>IF(G8=I8,"Empate",IF(G8&gt;I8,"Física","Especial"))</x:f>
        <x:v>Especial</x:v>
      </x:c>
      <x:c r="N8" s="10" t="n">
        <x:v>20</x:v>
      </x:c>
      <x:c r="O8" s="10" t="n">
        <x:v>248</x:v>
      </x:c>
      <x:c r="P8" s="10" t="n">
        <x:v>3000</x:v>
      </x:c>
      <x:c r="Q8" s="10" t="n">
        <x:v>3000</x:v>
      </x:c>
      <x:c r="R8" s="1" t="str">
        <x:v>Charmeleon</x:v>
      </x:c>
      <x:c r="S8" s="1" t="n">
        <x:v>40</x:v>
      </x:c>
      <x:c r="T8" s="9" t="str">
        <x:v>https://poke.idleworld.online/pokepedia/pokemon/charmander</x:v>
      </x:c>
    </x:row>
    <x:row r="9" ht="22" customHeight="1">
      <x:c r="A9" s="1" t="n">
        <x:v>5</x:v>
      </x:c>
      <x:c r="B9" s="1" t="str">
        <x:v>Charmeleon</x:v>
      </x:c>
      <x:c r="C9" s="1" t="str">
        <x:v>Fogo</x:v>
      </x:c>
      <x:c r="D9" s="1" t="str"/>
      <x:c r="E9" s="1" t="str">
        <x:v>Comum</x:v>
      </x:c>
      <x:c r="F9" s="10" t="n">
        <x:v>58</x:v>
      </x:c>
      <x:c r="G9" s="10" t="n">
        <x:v>64</x:v>
      </x:c>
      <x:c r="H9" s="10" t="n">
        <x:v>58</x:v>
      </x:c>
      <x:c r="I9" s="10" t="n">
        <x:v>80</x:v>
      </x:c>
      <x:c r="J9" s="10" t="n">
        <x:v>65</x:v>
      </x:c>
      <x:c r="K9" s="10" t="n">
        <x:v>80</x:v>
      </x:c>
      <x:c r="L9" s="10" t="n">
        <x:f>SUM(F9:K9)</x:f>
        <x:v>405</x:v>
      </x:c>
      <x:c r="M9" s="1" t="str">
        <x:f>IF(G9=I9,"Empate",IF(G9&gt;I9,"Física","Especial"))</x:f>
        <x:v>Especial</x:v>
      </x:c>
      <x:c r="N9" s="10" t="n">
        <x:v>40</x:v>
      </x:c>
      <x:c r="O9" s="10" t="n">
        <x:v>968</x:v>
      </x:c>
      <x:c r="P9" s="10" t="n">
        <x:v>8000</x:v>
      </x:c>
      <x:c r="Q9" s="10" t="n">
        <x:v>8000</x:v>
      </x:c>
      <x:c r="R9" s="1" t="str">
        <x:v>Charizard</x:v>
      </x:c>
      <x:c r="S9" s="1" t="n">
        <x:v>80</x:v>
      </x:c>
      <x:c r="T9" s="9" t="str">
        <x:v>https://poke.idleworld.online/pokepedia/pokemon/charmeleon</x:v>
      </x:c>
    </x:row>
    <x:row r="10" ht="22" customHeight="1">
      <x:c r="A10" s="1" t="n">
        <x:v>6</x:v>
      </x:c>
      <x:c r="B10" s="1" t="str">
        <x:v>Charizard</x:v>
      </x:c>
      <x:c r="C10" s="1" t="str">
        <x:v>Fogo</x:v>
      </x:c>
      <x:c r="D10" s="1" t="str">
        <x:v>Voador</x:v>
      </x:c>
      <x:c r="E10" s="1" t="str">
        <x:v>Comum</x:v>
      </x:c>
      <x:c r="F10" s="10" t="n">
        <x:v>78</x:v>
      </x:c>
      <x:c r="G10" s="10" t="n">
        <x:v>84</x:v>
      </x:c>
      <x:c r="H10" s="10" t="n">
        <x:v>78</x:v>
      </x:c>
      <x:c r="I10" s="10" t="n">
        <x:v>109</x:v>
      </x:c>
      <x:c r="J10" s="10" t="n">
        <x:v>85</x:v>
      </x:c>
      <x:c r="K10" s="10" t="n">
        <x:v>100</x:v>
      </x:c>
      <x:c r="L10" s="10" t="n">
        <x:f>SUM(F10:K10)</x:f>
        <x:v>534</x:v>
      </x:c>
      <x:c r="M10" s="1" t="str">
        <x:f>IF(G10=I10,"Empate",IF(G10&gt;I10,"Física","Especial"))</x:f>
        <x:v>Especial</x:v>
      </x:c>
      <x:c r="N10" s="10" t="n">
        <x:v>80</x:v>
      </x:c>
      <x:c r="O10" s="10" t="n">
        <x:v>3848</x:v>
      </x:c>
      <x:c r="P10" s="10" t="n">
        <x:v>18000</x:v>
      </x:c>
      <x:c r="Q10" s="10" t="n">
        <x:v>18000</x:v>
      </x:c>
      <x:c r="R10" s="1" t="str"/>
      <x:c r="S10" s="1"/>
      <x:c r="T10" s="9" t="str">
        <x:v>https://poke.idleworld.online/pokepedia/pokemon/charizard</x:v>
      </x:c>
    </x:row>
    <x:row r="11" ht="22" customHeight="1">
      <x:c r="A11" s="1" t="n">
        <x:v>7</x:v>
      </x:c>
      <x:c r="B11" s="1" t="str">
        <x:v>Squirtle</x:v>
      </x:c>
      <x:c r="C11" s="1" t="str">
        <x:v>Água</x:v>
      </x:c>
      <x:c r="D11" s="1" t="str"/>
      <x:c r="E11" s="1" t="str">
        <x:v>Raro</x:v>
      </x:c>
      <x:c r="F11" s="10" t="n">
        <x:v>44</x:v>
      </x:c>
      <x:c r="G11" s="10" t="n">
        <x:v>48</x:v>
      </x:c>
      <x:c r="H11" s="10" t="n">
        <x:v>65</x:v>
      </x:c>
      <x:c r="I11" s="10" t="n">
        <x:v>50</x:v>
      </x:c>
      <x:c r="J11" s="10" t="n">
        <x:v>64</x:v>
      </x:c>
      <x:c r="K11" s="10" t="n">
        <x:v>43</x:v>
      </x:c>
      <x:c r="L11" s="10" t="n">
        <x:f>SUM(F11:K11)</x:f>
        <x:v>314</x:v>
      </x:c>
      <x:c r="M11" s="1" t="str">
        <x:f>IF(G11=I11,"Empate",IF(G11&gt;I11,"Física","Especial"))</x:f>
        <x:v>Especial</x:v>
      </x:c>
      <x:c r="N11" s="10" t="n">
        <x:v>20</x:v>
      </x:c>
      <x:c r="O11" s="10" t="n">
        <x:v>248</x:v>
      </x:c>
      <x:c r="P11" s="10" t="n">
        <x:v>3000</x:v>
      </x:c>
      <x:c r="Q11" s="10" t="n">
        <x:v>3000</x:v>
      </x:c>
      <x:c r="R11" s="1" t="str">
        <x:v>Wartortle</x:v>
      </x:c>
      <x:c r="S11" s="1" t="n">
        <x:v>40</x:v>
      </x:c>
      <x:c r="T11" s="9" t="str">
        <x:v>https://poke.idleworld.online/pokepedia/pokemon/squirtle</x:v>
      </x:c>
    </x:row>
    <x:row r="12" ht="22" customHeight="1">
      <x:c r="A12" s="1" t="n">
        <x:v>8</x:v>
      </x:c>
      <x:c r="B12" s="1" t="str">
        <x:v>Wartortle</x:v>
      </x:c>
      <x:c r="C12" s="1" t="str">
        <x:v>Água</x:v>
      </x:c>
      <x:c r="D12" s="1" t="str"/>
      <x:c r="E12" s="1" t="str">
        <x:v>Comum</x:v>
      </x:c>
      <x:c r="F12" s="10" t="n">
        <x:v>59</x:v>
      </x:c>
      <x:c r="G12" s="10" t="n">
        <x:v>63</x:v>
      </x:c>
      <x:c r="H12" s="10" t="n">
        <x:v>80</x:v>
      </x:c>
      <x:c r="I12" s="10" t="n">
        <x:v>65</x:v>
      </x:c>
      <x:c r="J12" s="10" t="n">
        <x:v>80</x:v>
      </x:c>
      <x:c r="K12" s="10" t="n">
        <x:v>58</x:v>
      </x:c>
      <x:c r="L12" s="10" t="n">
        <x:f>SUM(F12:K12)</x:f>
        <x:v>405</x:v>
      </x:c>
      <x:c r="M12" s="1" t="str">
        <x:f>IF(G12=I12,"Empate",IF(G12&gt;I12,"Física","Especial"))</x:f>
        <x:v>Especial</x:v>
      </x:c>
      <x:c r="N12" s="10" t="n">
        <x:v>40</x:v>
      </x:c>
      <x:c r="O12" s="10" t="n">
        <x:v>968</x:v>
      </x:c>
      <x:c r="P12" s="10" t="n">
        <x:v>8000</x:v>
      </x:c>
      <x:c r="Q12" s="10" t="n">
        <x:v>8000</x:v>
      </x:c>
      <x:c r="R12" s="1" t="str">
        <x:v>Blastoise</x:v>
      </x:c>
      <x:c r="S12" s="1" t="n">
        <x:v>80</x:v>
      </x:c>
      <x:c r="T12" s="9" t="str">
        <x:v>https://poke.idleworld.online/pokepedia/pokemon/wartortle</x:v>
      </x:c>
    </x:row>
    <x:row r="13" ht="22" customHeight="1">
      <x:c r="A13" s="1" t="n">
        <x:v>9</x:v>
      </x:c>
      <x:c r="B13" s="1" t="str">
        <x:v>Blastoise</x:v>
      </x:c>
      <x:c r="C13" s="1" t="str">
        <x:v>Água</x:v>
      </x:c>
      <x:c r="D13" s="1" t="str"/>
      <x:c r="E13" s="1" t="str">
        <x:v>Comum</x:v>
      </x:c>
      <x:c r="F13" s="10" t="n">
        <x:v>79</x:v>
      </x:c>
      <x:c r="G13" s="10" t="n">
        <x:v>83</x:v>
      </x:c>
      <x:c r="H13" s="10" t="n">
        <x:v>100</x:v>
      </x:c>
      <x:c r="I13" s="10" t="n">
        <x:v>85</x:v>
      </x:c>
      <x:c r="J13" s="10" t="n">
        <x:v>105</x:v>
      </x:c>
      <x:c r="K13" s="10" t="n">
        <x:v>78</x:v>
      </x:c>
      <x:c r="L13" s="10" t="n">
        <x:f>SUM(F13:K13)</x:f>
        <x:v>530</x:v>
      </x:c>
      <x:c r="M13" s="1" t="str">
        <x:f>IF(G13=I13,"Empate",IF(G13&gt;I13,"Física","Especial"))</x:f>
        <x:v>Especial</x:v>
      </x:c>
      <x:c r="N13" s="10" t="n">
        <x:v>80</x:v>
      </x:c>
      <x:c r="O13" s="10" t="n">
        <x:v>3848</x:v>
      </x:c>
      <x:c r="P13" s="10" t="n">
        <x:v>18000</x:v>
      </x:c>
      <x:c r="Q13" s="10" t="n">
        <x:v>18000</x:v>
      </x:c>
      <x:c r="R13" s="1" t="str"/>
      <x:c r="S13" s="1"/>
      <x:c r="T13" s="9" t="str">
        <x:v>https://poke.idleworld.online/pokepedia/pokemon/blastoise</x:v>
      </x:c>
    </x:row>
    <x:row r="14" ht="22" customHeight="1">
      <x:c r="A14" s="1" t="n">
        <x:v>10</x:v>
      </x:c>
      <x:c r="B14" s="1" t="str">
        <x:v>Caterpie</x:v>
      </x:c>
      <x:c r="C14" s="1" t="str">
        <x:v>Inseto</x:v>
      </x:c>
      <x:c r="D14" s="1" t="str"/>
      <x:c r="E14" s="1" t="str">
        <x:v>Comum</x:v>
      </x:c>
      <x:c r="F14" s="10" t="n">
        <x:v>45</x:v>
      </x:c>
      <x:c r="G14" s="10" t="n">
        <x:v>30</x:v>
      </x:c>
      <x:c r="H14" s="10" t="n">
        <x:v>35</x:v>
      </x:c>
      <x:c r="I14" s="10" t="n">
        <x:v>20</x:v>
      </x:c>
      <x:c r="J14" s="10" t="n">
        <x:v>20</x:v>
      </x:c>
      <x:c r="K14" s="10" t="n">
        <x:v>45</x:v>
      </x:c>
      <x:c r="L14" s="10" t="n">
        <x:f>SUM(F14:K14)</x:f>
        <x:v>195</x:v>
      </x:c>
      <x:c r="M14" s="1" t="str">
        <x:f>IF(G14=I14,"Empate",IF(G14&gt;I14,"Física","Especial"))</x:f>
        <x:v>Física</x:v>
      </x:c>
      <x:c r="N14" s="10" t="n">
        <x:v>1</x:v>
      </x:c>
      <x:c r="O14" s="10" t="n">
        <x:v>8</x:v>
      </x:c>
      <x:c r="P14" s="10" t="n">
        <x:v>80</x:v>
      </x:c>
      <x:c r="Q14" s="10" t="n">
        <x:v>80</x:v>
      </x:c>
      <x:c r="R14" s="1" t="str">
        <x:v>Metapod</x:v>
      </x:c>
      <x:c r="S14" s="1" t="n">
        <x:v>10</x:v>
      </x:c>
      <x:c r="T14" s="9" t="str">
        <x:v>https://poke.idleworld.online/pokepedia/pokemon/caterpie</x:v>
      </x:c>
    </x:row>
    <x:row r="15" ht="22" customHeight="1">
      <x:c r="A15" s="1" t="n">
        <x:v>11</x:v>
      </x:c>
      <x:c r="B15" s="1" t="str">
        <x:v>Metapod</x:v>
      </x:c>
      <x:c r="C15" s="1" t="str">
        <x:v>Inseto</x:v>
      </x:c>
      <x:c r="D15" s="1" t="str"/>
      <x:c r="E15" s="1" t="str">
        <x:v>Comum</x:v>
      </x:c>
      <x:c r="F15" s="10" t="n">
        <x:v>50</x:v>
      </x:c>
      <x:c r="G15" s="10" t="n">
        <x:v>20</x:v>
      </x:c>
      <x:c r="H15" s="10" t="n">
        <x:v>55</x:v>
      </x:c>
      <x:c r="I15" s="10" t="n">
        <x:v>25</x:v>
      </x:c>
      <x:c r="J15" s="10" t="n">
        <x:v>25</x:v>
      </x:c>
      <x:c r="K15" s="10" t="n">
        <x:v>30</x:v>
      </x:c>
      <x:c r="L15" s="10" t="n">
        <x:f>SUM(F15:K15)</x:f>
        <x:v>205</x:v>
      </x:c>
      <x:c r="M15" s="1" t="str">
        <x:f>IF(G15=I15,"Empate",IF(G15&gt;I15,"Física","Especial"))</x:f>
        <x:v>Especial</x:v>
      </x:c>
      <x:c r="N15" s="10" t="n">
        <x:v>10</x:v>
      </x:c>
      <x:c r="O15" s="10" t="n">
        <x:v>68</x:v>
      </x:c>
      <x:c r="P15" s="10" t="n">
        <x:v>250</x:v>
      </x:c>
      <x:c r="Q15" s="10" t="n">
        <x:v>250</x:v>
      </x:c>
      <x:c r="R15" s="1" t="str">
        <x:v>Butterfree</x:v>
      </x:c>
      <x:c r="S15" s="1" t="n">
        <x:v>30</x:v>
      </x:c>
      <x:c r="T15" s="9" t="str">
        <x:v>https://poke.idleworld.online/pokepedia/pokemon/metapod</x:v>
      </x:c>
    </x:row>
    <x:row r="16" ht="22" customHeight="1">
      <x:c r="A16" s="1" t="n">
        <x:v>12</x:v>
      </x:c>
      <x:c r="B16" s="1" t="str">
        <x:v>Butterfree</x:v>
      </x:c>
      <x:c r="C16" s="1" t="str">
        <x:v>Inseto</x:v>
      </x:c>
      <x:c r="D16" s="1" t="str">
        <x:v>Voador</x:v>
      </x:c>
      <x:c r="E16" s="1" t="str">
        <x:v>Comum</x:v>
      </x:c>
      <x:c r="F16" s="10" t="n">
        <x:v>60</x:v>
      </x:c>
      <x:c r="G16" s="10" t="n">
        <x:v>45</x:v>
      </x:c>
      <x:c r="H16" s="10" t="n">
        <x:v>50</x:v>
      </x:c>
      <x:c r="I16" s="10" t="n">
        <x:v>90</x:v>
      </x:c>
      <x:c r="J16" s="10" t="n">
        <x:v>80</x:v>
      </x:c>
      <x:c r="K16" s="10" t="n">
        <x:v>70</x:v>
      </x:c>
      <x:c r="L16" s="10" t="n">
        <x:f>SUM(F16:K16)</x:f>
        <x:v>395</x:v>
      </x:c>
      <x:c r="M16" s="1" t="str">
        <x:f>IF(G16=I16,"Empate",IF(G16&gt;I16,"Física","Especial"))</x:f>
        <x:v>Especial</x:v>
      </x:c>
      <x:c r="N16" s="10" t="n">
        <x:v>30</x:v>
      </x:c>
      <x:c r="O16" s="10" t="n">
        <x:v>548</x:v>
      </x:c>
      <x:c r="P16" s="10" t="n">
        <x:v>2000</x:v>
      </x:c>
      <x:c r="Q16" s="10" t="n">
        <x:v>2000</x:v>
      </x:c>
      <x:c r="R16" s="1" t="str"/>
      <x:c r="S16" s="1"/>
      <x:c r="T16" s="9" t="str">
        <x:v>https://poke.idleworld.online/pokepedia/pokemon/butterfree</x:v>
      </x:c>
    </x:row>
    <x:row r="17" ht="22" customHeight="1">
      <x:c r="A17" s="1" t="n">
        <x:v>13</x:v>
      </x:c>
      <x:c r="B17" s="1" t="str">
        <x:v>Weedle</x:v>
      </x:c>
      <x:c r="C17" s="1" t="str">
        <x:v>Inseto</x:v>
      </x:c>
      <x:c r="D17" s="1" t="str">
        <x:v>Venenoso</x:v>
      </x:c>
      <x:c r="E17" s="1" t="str">
        <x:v>Comum</x:v>
      </x:c>
      <x:c r="F17" s="10" t="n">
        <x:v>40</x:v>
      </x:c>
      <x:c r="G17" s="10" t="n">
        <x:v>35</x:v>
      </x:c>
      <x:c r="H17" s="10" t="n">
        <x:v>30</x:v>
      </x:c>
      <x:c r="I17" s="10" t="n">
        <x:v>20</x:v>
      </x:c>
      <x:c r="J17" s="10" t="n">
        <x:v>20</x:v>
      </x:c>
      <x:c r="K17" s="10" t="n">
        <x:v>50</x:v>
      </x:c>
      <x:c r="L17" s="10" t="n">
        <x:f>SUM(F17:K17)</x:f>
        <x:v>195</x:v>
      </x:c>
      <x:c r="M17" s="1" t="str">
        <x:f>IF(G17=I17,"Empate",IF(G17&gt;I17,"Física","Especial"))</x:f>
        <x:v>Física</x:v>
      </x:c>
      <x:c r="N17" s="10" t="n">
        <x:v>1</x:v>
      </x:c>
      <x:c r="O17" s="10" t="n">
        <x:v>8</x:v>
      </x:c>
      <x:c r="P17" s="10" t="n">
        <x:v>80</x:v>
      </x:c>
      <x:c r="Q17" s="10" t="n">
        <x:v>80</x:v>
      </x:c>
      <x:c r="R17" s="1" t="str">
        <x:v>Kakuna</x:v>
      </x:c>
      <x:c r="S17" s="1" t="n">
        <x:v>10</x:v>
      </x:c>
      <x:c r="T17" s="9" t="str">
        <x:v>https://poke.idleworld.online/pokepedia/pokemon/weedle</x:v>
      </x:c>
    </x:row>
    <x:row r="18" ht="22" customHeight="1">
      <x:c r="A18" s="1" t="n">
        <x:v>14</x:v>
      </x:c>
      <x:c r="B18" s="1" t="str">
        <x:v>Kakuna</x:v>
      </x:c>
      <x:c r="C18" s="1" t="str">
        <x:v>Inseto</x:v>
      </x:c>
      <x:c r="D18" s="1" t="str">
        <x:v>Venenoso</x:v>
      </x:c>
      <x:c r="E18" s="1" t="str">
        <x:v>Comum</x:v>
      </x:c>
      <x:c r="F18" s="10" t="n">
        <x:v>45</x:v>
      </x:c>
      <x:c r="G18" s="10" t="n">
        <x:v>25</x:v>
      </x:c>
      <x:c r="H18" s="10" t="n">
        <x:v>50</x:v>
      </x:c>
      <x:c r="I18" s="10" t="n">
        <x:v>25</x:v>
      </x:c>
      <x:c r="J18" s="10" t="n">
        <x:v>25</x:v>
      </x:c>
      <x:c r="K18" s="10" t="n">
        <x:v>35</x:v>
      </x:c>
      <x:c r="L18" s="10" t="n">
        <x:f>SUM(F18:K18)</x:f>
        <x:v>205</x:v>
      </x:c>
      <x:c r="M18" s="1" t="str">
        <x:f>IF(G18=I18,"Empate",IF(G18&gt;I18,"Física","Especial"))</x:f>
        <x:v>Empate</x:v>
      </x:c>
      <x:c r="N18" s="10" t="n">
        <x:v>10</x:v>
      </x:c>
      <x:c r="O18" s="10" t="n">
        <x:v>68</x:v>
      </x:c>
      <x:c r="P18" s="10" t="n">
        <x:v>250</x:v>
      </x:c>
      <x:c r="Q18" s="10" t="n">
        <x:v>250</x:v>
      </x:c>
      <x:c r="R18" s="1" t="str">
        <x:v>Beedrill</x:v>
      </x:c>
      <x:c r="S18" s="1" t="n">
        <x:v>30</x:v>
      </x:c>
      <x:c r="T18" s="9" t="str">
        <x:v>https://poke.idleworld.online/pokepedia/pokemon/kakuna</x:v>
      </x:c>
    </x:row>
    <x:row r="19" ht="22" customHeight="1">
      <x:c r="A19" s="1" t="n">
        <x:v>15</x:v>
      </x:c>
      <x:c r="B19" s="1" t="str">
        <x:v>Beedrill</x:v>
      </x:c>
      <x:c r="C19" s="1" t="str">
        <x:v>Inseto</x:v>
      </x:c>
      <x:c r="D19" s="1" t="str">
        <x:v>Venenoso</x:v>
      </x:c>
      <x:c r="E19" s="1" t="str">
        <x:v>Comum</x:v>
      </x:c>
      <x:c r="F19" s="10" t="n">
        <x:v>65</x:v>
      </x:c>
      <x:c r="G19" s="10" t="n">
        <x:v>90</x:v>
      </x:c>
      <x:c r="H19" s="10" t="n">
        <x:v>40</x:v>
      </x:c>
      <x:c r="I19" s="10" t="n">
        <x:v>45</x:v>
      </x:c>
      <x:c r="J19" s="10" t="n">
        <x:v>80</x:v>
      </x:c>
      <x:c r="K19" s="10" t="n">
        <x:v>75</x:v>
      </x:c>
      <x:c r="L19" s="10" t="n">
        <x:f>SUM(F19:K19)</x:f>
        <x:v>395</x:v>
      </x:c>
      <x:c r="M19" s="1" t="str">
        <x:f>IF(G19=I19,"Empate",IF(G19&gt;I19,"Física","Especial"))</x:f>
        <x:v>Física</x:v>
      </x:c>
      <x:c r="N19" s="10" t="n">
        <x:v>30</x:v>
      </x:c>
      <x:c r="O19" s="10" t="n">
        <x:v>548</x:v>
      </x:c>
      <x:c r="P19" s="10" t="n">
        <x:v>2000</x:v>
      </x:c>
      <x:c r="Q19" s="10" t="n">
        <x:v>2000</x:v>
      </x:c>
      <x:c r="R19" s="1" t="str"/>
      <x:c r="S19" s="1"/>
      <x:c r="T19" s="9" t="str">
        <x:v>https://poke.idleworld.online/pokepedia/pokemon/beedrill</x:v>
      </x:c>
    </x:row>
    <x:row r="20" ht="22" customHeight="1">
      <x:c r="A20" s="1" t="n">
        <x:v>16</x:v>
      </x:c>
      <x:c r="B20" s="1" t="str">
        <x:v>Pidgey</x:v>
      </x:c>
      <x:c r="C20" s="1" t="str">
        <x:v>Normal</x:v>
      </x:c>
      <x:c r="D20" s="1" t="str">
        <x:v>Voador</x:v>
      </x:c>
      <x:c r="E20" s="1" t="str">
        <x:v>Comum</x:v>
      </x:c>
      <x:c r="F20" s="10" t="n">
        <x:v>40</x:v>
      </x:c>
      <x:c r="G20" s="10" t="n">
        <x:v>45</x:v>
      </x:c>
      <x:c r="H20" s="10" t="n">
        <x:v>40</x:v>
      </x:c>
      <x:c r="I20" s="10" t="n">
        <x:v>35</x:v>
      </x:c>
      <x:c r="J20" s="10" t="n">
        <x:v>35</x:v>
      </x:c>
      <x:c r="K20" s="10" t="n">
        <x:v>56</x:v>
      </x:c>
      <x:c r="L20" s="10" t="n">
        <x:f>SUM(F20:K20)</x:f>
        <x:v>251</x:v>
      </x:c>
      <x:c r="M20" s="1" t="str">
        <x:f>IF(G20=I20,"Empate",IF(G20&gt;I20,"Física","Especial"))</x:f>
        <x:v>Física</x:v>
      </x:c>
      <x:c r="N20" s="10" t="n">
        <x:v>1</x:v>
      </x:c>
      <x:c r="O20" s="10" t="n">
        <x:v>8</x:v>
      </x:c>
      <x:c r="P20" s="10" t="n">
        <x:v>80</x:v>
      </x:c>
      <x:c r="Q20" s="10" t="n">
        <x:v>80</x:v>
      </x:c>
      <x:c r="R20" s="1" t="str">
        <x:v>Pidgeotto</x:v>
      </x:c>
      <x:c r="S20" s="1" t="n">
        <x:v>20</x:v>
      </x:c>
      <x:c r="T20" s="9" t="str">
        <x:v>https://poke.idleworld.online/pokepedia/pokemon/pidgey</x:v>
      </x:c>
    </x:row>
    <x:row r="21" ht="22" customHeight="1">
      <x:c r="A21" s="1" t="n">
        <x:v>17</x:v>
      </x:c>
      <x:c r="B21" s="1" t="str">
        <x:v>Pidgeotto</x:v>
      </x:c>
      <x:c r="C21" s="1" t="str">
        <x:v>Normal</x:v>
      </x:c>
      <x:c r="D21" s="1" t="str">
        <x:v>Voador</x:v>
      </x:c>
      <x:c r="E21" s="1" t="str">
        <x:v>Comum</x:v>
      </x:c>
      <x:c r="F21" s="10" t="n">
        <x:v>63</x:v>
      </x:c>
      <x:c r="G21" s="10" t="n">
        <x:v>60</x:v>
      </x:c>
      <x:c r="H21" s="10" t="n">
        <x:v>55</x:v>
      </x:c>
      <x:c r="I21" s="10" t="n">
        <x:v>50</x:v>
      </x:c>
      <x:c r="J21" s="10" t="n">
        <x:v>50</x:v>
      </x:c>
      <x:c r="K21" s="10" t="n">
        <x:v>71</x:v>
      </x:c>
      <x:c r="L21" s="10" t="n">
        <x:f>SUM(F21:K21)</x:f>
        <x:v>349</x:v>
      </x:c>
      <x:c r="M21" s="1" t="str">
        <x:f>IF(G21=I21,"Empate",IF(G21&gt;I21,"Física","Especial"))</x:f>
        <x:v>Física</x:v>
      </x:c>
      <x:c r="N21" s="10" t="n">
        <x:v>20</x:v>
      </x:c>
      <x:c r="O21" s="10" t="n">
        <x:v>248</x:v>
      </x:c>
      <x:c r="P21" s="10" t="n">
        <x:v>1500</x:v>
      </x:c>
      <x:c r="Q21" s="10" t="n">
        <x:v>1500</x:v>
      </x:c>
      <x:c r="R21" s="1" t="str">
        <x:v>Pidgeot</x:v>
      </x:c>
      <x:c r="S21" s="1" t="n">
        <x:v>80</x:v>
      </x:c>
      <x:c r="T21" s="9" t="str">
        <x:v>https://poke.idleworld.online/pokepedia/pokemon/pidgeotto</x:v>
      </x:c>
    </x:row>
    <x:row r="22" ht="22" customHeight="1">
      <x:c r="A22" s="1" t="n">
        <x:v>18</x:v>
      </x:c>
      <x:c r="B22" s="1" t="str">
        <x:v>Pidgeot</x:v>
      </x:c>
      <x:c r="C22" s="1" t="str">
        <x:v>Normal</x:v>
      </x:c>
      <x:c r="D22" s="1" t="str">
        <x:v>Voador</x:v>
      </x:c>
      <x:c r="E22" s="1" t="str">
        <x:v>Comum</x:v>
      </x:c>
      <x:c r="F22" s="10" t="n">
        <x:v>83</x:v>
      </x:c>
      <x:c r="G22" s="10" t="n">
        <x:v>80</x:v>
      </x:c>
      <x:c r="H22" s="10" t="n">
        <x:v>75</x:v>
      </x:c>
      <x:c r="I22" s="10" t="n">
        <x:v>70</x:v>
      </x:c>
      <x:c r="J22" s="10" t="n">
        <x:v>70</x:v>
      </x:c>
      <x:c r="K22" s="10" t="n">
        <x:v>101</x:v>
      </x:c>
      <x:c r="L22" s="10" t="n">
        <x:f>SUM(F22:K22)</x:f>
        <x:v>479</x:v>
      </x:c>
      <x:c r="M22" s="1" t="str">
        <x:f>IF(G22=I22,"Empate",IF(G22&gt;I22,"Física","Especial"))</x:f>
        <x:v>Física</x:v>
      </x:c>
      <x:c r="N22" s="10" t="n">
        <x:v>80</x:v>
      </x:c>
      <x:c r="O22" s="10" t="n">
        <x:v>3848</x:v>
      </x:c>
      <x:c r="P22" s="10" t="n">
        <x:v>11500</x:v>
      </x:c>
      <x:c r="Q22" s="10" t="n">
        <x:v>11500</x:v>
      </x:c>
      <x:c r="R22" s="1" t="str"/>
      <x:c r="S22" s="1"/>
      <x:c r="T22" s="9" t="str">
        <x:v>https://poke.idleworld.online/pokepedia/pokemon/pidgeot</x:v>
      </x:c>
    </x:row>
    <x:row r="23" ht="22" customHeight="1">
      <x:c r="A23" s="1" t="n">
        <x:v>19</x:v>
      </x:c>
      <x:c r="B23" s="1" t="str">
        <x:v>Rattata</x:v>
      </x:c>
      <x:c r="C23" s="1" t="str">
        <x:v>Normal</x:v>
      </x:c>
      <x:c r="D23" s="1" t="str"/>
      <x:c r="E23" s="1" t="str">
        <x:v>Comum</x:v>
      </x:c>
      <x:c r="F23" s="10" t="n">
        <x:v>30</x:v>
      </x:c>
      <x:c r="G23" s="10" t="n">
        <x:v>56</x:v>
      </x:c>
      <x:c r="H23" s="10" t="n">
        <x:v>35</x:v>
      </x:c>
      <x:c r="I23" s="10" t="n">
        <x:v>25</x:v>
      </x:c>
      <x:c r="J23" s="10" t="n">
        <x:v>35</x:v>
      </x:c>
      <x:c r="K23" s="10" t="n">
        <x:v>72</x:v>
      </x:c>
      <x:c r="L23" s="10" t="n">
        <x:f>SUM(F23:K23)</x:f>
        <x:v>253</x:v>
      </x:c>
      <x:c r="M23" s="1" t="str">
        <x:f>IF(G23=I23,"Empate",IF(G23&gt;I23,"Física","Especial"))</x:f>
        <x:v>Física</x:v>
      </x:c>
      <x:c r="N23" s="10" t="n">
        <x:v>1</x:v>
      </x:c>
      <x:c r="O23" s="10" t="n">
        <x:v>8</x:v>
      </x:c>
      <x:c r="P23" s="10" t="n">
        <x:v>80</x:v>
      </x:c>
      <x:c r="Q23" s="10" t="n">
        <x:v>80</x:v>
      </x:c>
      <x:c r="R23" s="1" t="str">
        <x:v>Raticate</x:v>
      </x:c>
      <x:c r="S23" s="1" t="n">
        <x:v>30</x:v>
      </x:c>
      <x:c r="T23" s="9" t="str">
        <x:v>https://poke.idleworld.online/pokepedia/pokemon/rattata</x:v>
      </x:c>
    </x:row>
    <x:row r="24" ht="22" customHeight="1">
      <x:c r="A24" s="1" t="n">
        <x:v>20</x:v>
      </x:c>
      <x:c r="B24" s="1" t="str">
        <x:v>Raticate</x:v>
      </x:c>
      <x:c r="C24" s="1" t="str">
        <x:v>Normal</x:v>
      </x:c>
      <x:c r="D24" s="1" t="str"/>
      <x:c r="E24" s="1" t="str">
        <x:v>Comum</x:v>
      </x:c>
      <x:c r="F24" s="10" t="n">
        <x:v>55</x:v>
      </x:c>
      <x:c r="G24" s="10" t="n">
        <x:v>81</x:v>
      </x:c>
      <x:c r="H24" s="10" t="n">
        <x:v>60</x:v>
      </x:c>
      <x:c r="I24" s="10" t="n">
        <x:v>50</x:v>
      </x:c>
      <x:c r="J24" s="10" t="n">
        <x:v>70</x:v>
      </x:c>
      <x:c r="K24" s="10" t="n">
        <x:v>97</x:v>
      </x:c>
      <x:c r="L24" s="10" t="n">
        <x:f>SUM(F24:K24)</x:f>
        <x:v>413</x:v>
      </x:c>
      <x:c r="M24" s="1" t="str">
        <x:f>IF(G24=I24,"Empate",IF(G24&gt;I24,"Física","Especial"))</x:f>
        <x:v>Física</x:v>
      </x:c>
      <x:c r="N24" s="10" t="n">
        <x:v>30</x:v>
      </x:c>
      <x:c r="O24" s="10" t="n">
        <x:v>548</x:v>
      </x:c>
      <x:c r="P24" s="10" t="n">
        <x:v>2000</x:v>
      </x:c>
      <x:c r="Q24" s="10" t="n">
        <x:v>2000</x:v>
      </x:c>
      <x:c r="R24" s="1" t="str"/>
      <x:c r="S24" s="1"/>
      <x:c r="T24" s="9" t="str">
        <x:v>https://poke.idleworld.online/pokepedia/pokemon/raticate</x:v>
      </x:c>
    </x:row>
    <x:row r="25" ht="22" customHeight="1">
      <x:c r="A25" s="1" t="n">
        <x:v>21</x:v>
      </x:c>
      <x:c r="B25" s="1" t="str">
        <x:v>Spearow</x:v>
      </x:c>
      <x:c r="C25" s="1" t="str">
        <x:v>Normal</x:v>
      </x:c>
      <x:c r="D25" s="1" t="str">
        <x:v>Voador</x:v>
      </x:c>
      <x:c r="E25" s="1" t="str">
        <x:v>Comum</x:v>
      </x:c>
      <x:c r="F25" s="10" t="n">
        <x:v>40</x:v>
      </x:c>
      <x:c r="G25" s="10" t="n">
        <x:v>60</x:v>
      </x:c>
      <x:c r="H25" s="10" t="n">
        <x:v>30</x:v>
      </x:c>
      <x:c r="I25" s="10" t="n">
        <x:v>31</x:v>
      </x:c>
      <x:c r="J25" s="10" t="n">
        <x:v>31</x:v>
      </x:c>
      <x:c r="K25" s="10" t="n">
        <x:v>70</x:v>
      </x:c>
      <x:c r="L25" s="10" t="n">
        <x:f>SUM(F25:K25)</x:f>
        <x:v>262</x:v>
      </x:c>
      <x:c r="M25" s="1" t="str">
        <x:f>IF(G25=I25,"Empate",IF(G25&gt;I25,"Física","Especial"))</x:f>
        <x:v>Física</x:v>
      </x:c>
      <x:c r="N25" s="10" t="n">
        <x:v>10</x:v>
      </x:c>
      <x:c r="O25" s="10" t="n">
        <x:v>68</x:v>
      </x:c>
      <x:c r="P25" s="10" t="n">
        <x:v>100</x:v>
      </x:c>
      <x:c r="Q25" s="10" t="n">
        <x:v>100</x:v>
      </x:c>
      <x:c r="R25" s="1" t="str">
        <x:v>Fearow</x:v>
      </x:c>
      <x:c r="S25" s="1" t="n">
        <x:v>50</x:v>
      </x:c>
      <x:c r="T25" s="9" t="str">
        <x:v>https://poke.idleworld.online/pokepedia/pokemon/spearow</x:v>
      </x:c>
    </x:row>
    <x:row r="26" ht="22" customHeight="1">
      <x:c r="A26" s="1" t="n">
        <x:v>22</x:v>
      </x:c>
      <x:c r="B26" s="1" t="str">
        <x:v>Fearow</x:v>
      </x:c>
      <x:c r="C26" s="1" t="str">
        <x:v>Normal</x:v>
      </x:c>
      <x:c r="D26" s="1" t="str">
        <x:v>Voador</x:v>
      </x:c>
      <x:c r="E26" s="1" t="str">
        <x:v>Comum</x:v>
      </x:c>
      <x:c r="F26" s="10" t="n">
        <x:v>65</x:v>
      </x:c>
      <x:c r="G26" s="10" t="n">
        <x:v>90</x:v>
      </x:c>
      <x:c r="H26" s="10" t="n">
        <x:v>65</x:v>
      </x:c>
      <x:c r="I26" s="10" t="n">
        <x:v>61</x:v>
      </x:c>
      <x:c r="J26" s="10" t="n">
        <x:v>61</x:v>
      </x:c>
      <x:c r="K26" s="10" t="n">
        <x:v>100</x:v>
      </x:c>
      <x:c r="L26" s="10" t="n">
        <x:f>SUM(F26:K26)</x:f>
        <x:v>442</x:v>
      </x:c>
      <x:c r="M26" s="1" t="str">
        <x:f>IF(G26=I26,"Empate",IF(G26&gt;I26,"Física","Especial"))</x:f>
        <x:v>Física</x:v>
      </x:c>
      <x:c r="N26" s="10" t="n">
        <x:v>50</x:v>
      </x:c>
      <x:c r="O26" s="10" t="n">
        <x:v>1508</x:v>
      </x:c>
      <x:c r="P26" s="10" t="n">
        <x:v>5100</x:v>
      </x:c>
      <x:c r="Q26" s="10" t="n">
        <x:v>5100</x:v>
      </x:c>
      <x:c r="R26" s="1" t="str"/>
      <x:c r="S26" s="1"/>
      <x:c r="T26" s="9" t="str">
        <x:v>https://poke.idleworld.online/pokepedia/pokemon/fearow</x:v>
      </x:c>
    </x:row>
    <x:row r="27" ht="22" customHeight="1">
      <x:c r="A27" s="1" t="n">
        <x:v>23</x:v>
      </x:c>
      <x:c r="B27" s="1" t="str">
        <x:v>Ekans</x:v>
      </x:c>
      <x:c r="C27" s="1" t="str">
        <x:v>Venenoso</x:v>
      </x:c>
      <x:c r="D27" s="1" t="str"/>
      <x:c r="E27" s="1" t="str">
        <x:v>Comum</x:v>
      </x:c>
      <x:c r="F27" s="10" t="n">
        <x:v>35</x:v>
      </x:c>
      <x:c r="G27" s="10" t="n">
        <x:v>60</x:v>
      </x:c>
      <x:c r="H27" s="10" t="n">
        <x:v>44</x:v>
      </x:c>
      <x:c r="I27" s="10" t="n">
        <x:v>40</x:v>
      </x:c>
      <x:c r="J27" s="10" t="n">
        <x:v>54</x:v>
      </x:c>
      <x:c r="K27" s="10" t="n">
        <x:v>55</x:v>
      </x:c>
      <x:c r="L27" s="10" t="n">
        <x:f>SUM(F27:K27)</x:f>
        <x:v>288</x:v>
      </x:c>
      <x:c r="M27" s="1" t="str">
        <x:f>IF(G27=I27,"Empate",IF(G27&gt;I27,"Física","Especial"))</x:f>
        <x:v>Física</x:v>
      </x:c>
      <x:c r="N27" s="10" t="n">
        <x:v>10</x:v>
      </x:c>
      <x:c r="O27" s="10" t="n">
        <x:v>68</x:v>
      </x:c>
      <x:c r="P27" s="10" t="n">
        <x:v>300</x:v>
      </x:c>
      <x:c r="Q27" s="10" t="n">
        <x:v>300</x:v>
      </x:c>
      <x:c r="R27" s="1" t="str">
        <x:v>Arbok</x:v>
      </x:c>
      <x:c r="S27" s="1" t="n">
        <x:v>40</x:v>
      </x:c>
      <x:c r="T27" s="9" t="str">
        <x:v>https://poke.idleworld.online/pokepedia/pokemon/ekans</x:v>
      </x:c>
    </x:row>
    <x:row r="28" ht="22" customHeight="1">
      <x:c r="A28" s="1" t="n">
        <x:v>24</x:v>
      </x:c>
      <x:c r="B28" s="1" t="str">
        <x:v>Arbok</x:v>
      </x:c>
      <x:c r="C28" s="1" t="str">
        <x:v>Venenoso</x:v>
      </x:c>
      <x:c r="D28" s="1" t="str"/>
      <x:c r="E28" s="1" t="str">
        <x:v>Comum</x:v>
      </x:c>
      <x:c r="F28" s="10" t="n">
        <x:v>60</x:v>
      </x:c>
      <x:c r="G28" s="10" t="n">
        <x:v>85</x:v>
      </x:c>
      <x:c r="H28" s="10" t="n">
        <x:v>69</x:v>
      </x:c>
      <x:c r="I28" s="10" t="n">
        <x:v>65</x:v>
      </x:c>
      <x:c r="J28" s="10" t="n">
        <x:v>79</x:v>
      </x:c>
      <x:c r="K28" s="10" t="n">
        <x:v>80</x:v>
      </x:c>
      <x:c r="L28" s="10" t="n">
        <x:f>SUM(F28:K28)</x:f>
        <x:v>438</x:v>
      </x:c>
      <x:c r="M28" s="1" t="str">
        <x:f>IF(G28=I28,"Empate",IF(G28&gt;I28,"Física","Especial"))</x:f>
        <x:v>Física</x:v>
      </x:c>
      <x:c r="N28" s="10" t="n">
        <x:v>40</x:v>
      </x:c>
      <x:c r="O28" s="10" t="n">
        <x:v>968</x:v>
      </x:c>
      <x:c r="P28" s="10" t="n">
        <x:v>3000</x:v>
      </x:c>
      <x:c r="Q28" s="10" t="n">
        <x:v>3000</x:v>
      </x:c>
      <x:c r="R28" s="1" t="str"/>
      <x:c r="S28" s="1"/>
      <x:c r="T28" s="9" t="str">
        <x:v>https://poke.idleworld.online/pokepedia/pokemon/arbok</x:v>
      </x:c>
    </x:row>
    <x:row r="29" ht="22" customHeight="1">
      <x:c r="A29" s="1" t="n">
        <x:v>25</x:v>
      </x:c>
      <x:c r="B29" s="1" t="str">
        <x:v>Pikachu</x:v>
      </x:c>
      <x:c r="C29" s="1" t="str">
        <x:v>Elétrico</x:v>
      </x:c>
      <x:c r="D29" s="1" t="str"/>
      <x:c r="E29" s="1" t="str">
        <x:v>Comum</x:v>
      </x:c>
      <x:c r="F29" s="10" t="n">
        <x:v>35</x:v>
      </x:c>
      <x:c r="G29" s="10" t="n">
        <x:v>55</x:v>
      </x:c>
      <x:c r="H29" s="10" t="n">
        <x:v>40</x:v>
      </x:c>
      <x:c r="I29" s="10" t="n">
        <x:v>50</x:v>
      </x:c>
      <x:c r="J29" s="10" t="n">
        <x:v>50</x:v>
      </x:c>
      <x:c r="K29" s="10" t="n">
        <x:v>90</x:v>
      </x:c>
      <x:c r="L29" s="10" t="n">
        <x:f>SUM(F29:K29)</x:f>
        <x:v>320</x:v>
      </x:c>
      <x:c r="M29" s="1" t="str">
        <x:f>IF(G29=I29,"Empate",IF(G29&gt;I29,"Física","Especial"))</x:f>
        <x:v>Física</x:v>
      </x:c>
      <x:c r="N29" s="10" t="n">
        <x:v>60</x:v>
      </x:c>
      <x:c r="O29" s="10" t="n">
        <x:v>2168</x:v>
      </x:c>
      <x:c r="P29" s="10" t="n">
        <x:v>8000</x:v>
      </x:c>
      <x:c r="Q29" s="10" t="n">
        <x:v>8000</x:v>
      </x:c>
      <x:c r="R29" s="1" t="str">
        <x:v>Raichu</x:v>
      </x:c>
      <x:c r="S29" s="1" t="n">
        <x:v>80</x:v>
      </x:c>
      <x:c r="T29" s="9" t="str">
        <x:v>https://poke.idleworld.online/pokepedia/pokemon/pikachu</x:v>
      </x:c>
    </x:row>
    <x:row r="30" ht="22" customHeight="1">
      <x:c r="A30" s="1" t="n">
        <x:v>26</x:v>
      </x:c>
      <x:c r="B30" s="1" t="str">
        <x:v>Raichu</x:v>
      </x:c>
      <x:c r="C30" s="1" t="str">
        <x:v>Elétrico</x:v>
      </x:c>
      <x:c r="D30" s="1" t="str"/>
      <x:c r="E30" s="1" t="str">
        <x:v>Comum</x:v>
      </x:c>
      <x:c r="F30" s="10" t="n">
        <x:v>60</x:v>
      </x:c>
      <x:c r="G30" s="10" t="n">
        <x:v>90</x:v>
      </x:c>
      <x:c r="H30" s="10" t="n">
        <x:v>55</x:v>
      </x:c>
      <x:c r="I30" s="10" t="n">
        <x:v>90</x:v>
      </x:c>
      <x:c r="J30" s="10" t="n">
        <x:v>80</x:v>
      </x:c>
      <x:c r="K30" s="10" t="n">
        <x:v>110</x:v>
      </x:c>
      <x:c r="L30" s="10" t="n">
        <x:f>SUM(F30:K30)</x:f>
        <x:v>485</x:v>
      </x:c>
      <x:c r="M30" s="1" t="str">
        <x:f>IF(G30=I30,"Empate",IF(G30&gt;I30,"Física","Especial"))</x:f>
        <x:v>Empate</x:v>
      </x:c>
      <x:c r="N30" s="10" t="n">
        <x:v>80</x:v>
      </x:c>
      <x:c r="O30" s="10" t="n">
        <x:v>3848</x:v>
      </x:c>
      <x:c r="P30" s="10" t="n">
        <x:v>18000</x:v>
      </x:c>
      <x:c r="Q30" s="10" t="n">
        <x:v>18000</x:v>
      </x:c>
      <x:c r="R30" s="1" t="str"/>
      <x:c r="S30" s="1"/>
      <x:c r="T30" s="9" t="str">
        <x:v>https://poke.idleworld.online/pokepedia/pokemon/raichu</x:v>
      </x:c>
    </x:row>
    <x:row r="31" ht="22" customHeight="1">
      <x:c r="A31" s="1" t="n">
        <x:v>27</x:v>
      </x:c>
      <x:c r="B31" s="1" t="str">
        <x:v>Sandshrew</x:v>
      </x:c>
      <x:c r="C31" s="1" t="str">
        <x:v>Terrestre</x:v>
      </x:c>
      <x:c r="D31" s="1" t="str"/>
      <x:c r="E31" s="1" t="str">
        <x:v>Comum</x:v>
      </x:c>
      <x:c r="F31" s="10" t="n">
        <x:v>50</x:v>
      </x:c>
      <x:c r="G31" s="10" t="n">
        <x:v>75</x:v>
      </x:c>
      <x:c r="H31" s="10" t="n">
        <x:v>85</x:v>
      </x:c>
      <x:c r="I31" s="10" t="n">
        <x:v>20</x:v>
      </x:c>
      <x:c r="J31" s="10" t="n">
        <x:v>30</x:v>
      </x:c>
      <x:c r="K31" s="10" t="n">
        <x:v>40</x:v>
      </x:c>
      <x:c r="L31" s="10" t="n">
        <x:f>SUM(F31:K31)</x:f>
        <x:v>300</x:v>
      </x:c>
      <x:c r="M31" s="1" t="str">
        <x:f>IF(G31=I31,"Empate",IF(G31&gt;I31,"Física","Especial"))</x:f>
        <x:v>Física</x:v>
      </x:c>
      <x:c r="N31" s="10" t="n">
        <x:v>20</x:v>
      </x:c>
      <x:c r="O31" s="10" t="n">
        <x:v>248</x:v>
      </x:c>
      <x:c r="P31" s="10" t="n">
        <x:v>1000</x:v>
      </x:c>
      <x:c r="Q31" s="10" t="n">
        <x:v>1000</x:v>
      </x:c>
      <x:c r="R31" s="1" t="str">
        <x:v>Sandslash</x:v>
      </x:c>
      <x:c r="S31" s="1" t="n">
        <x:v>70</x:v>
      </x:c>
      <x:c r="T31" s="9" t="str">
        <x:v>https://poke.idleworld.online/pokepedia/pokemon/sandshrew</x:v>
      </x:c>
    </x:row>
    <x:row r="32" ht="22" customHeight="1">
      <x:c r="A32" s="1" t="n">
        <x:v>28</x:v>
      </x:c>
      <x:c r="B32" s="1" t="str">
        <x:v>Sandslash</x:v>
      </x:c>
      <x:c r="C32" s="1" t="str">
        <x:v>Terrestre</x:v>
      </x:c>
      <x:c r="D32" s="1" t="str"/>
      <x:c r="E32" s="1" t="str">
        <x:v>Comum</x:v>
      </x:c>
      <x:c r="F32" s="10" t="n">
        <x:v>75</x:v>
      </x:c>
      <x:c r="G32" s="10" t="n">
        <x:v>100</x:v>
      </x:c>
      <x:c r="H32" s="10" t="n">
        <x:v>110</x:v>
      </x:c>
      <x:c r="I32" s="10" t="n">
        <x:v>45</x:v>
      </x:c>
      <x:c r="J32" s="10" t="n">
        <x:v>55</x:v>
      </x:c>
      <x:c r="K32" s="10" t="n">
        <x:v>65</x:v>
      </x:c>
      <x:c r="L32" s="10" t="n">
        <x:f>SUM(F32:K32)</x:f>
        <x:v>450</x:v>
      </x:c>
      <x:c r="M32" s="1" t="str">
        <x:f>IF(G32=I32,"Empate",IF(G32&gt;I32,"Física","Especial"))</x:f>
        <x:v>Física</x:v>
      </x:c>
      <x:c r="N32" s="10" t="n">
        <x:v>60</x:v>
      </x:c>
      <x:c r="O32" s="10" t="n">
        <x:v>2168</x:v>
      </x:c>
      <x:c r="P32" s="10" t="n">
        <x:v>11000</x:v>
      </x:c>
      <x:c r="Q32" s="10" t="n">
        <x:v>11000</x:v>
      </x:c>
      <x:c r="R32" s="1" t="str"/>
      <x:c r="S32" s="1"/>
      <x:c r="T32" s="9" t="str">
        <x:v>https://poke.idleworld.online/pokepedia/pokemon/sandslash</x:v>
      </x:c>
    </x:row>
    <x:row r="33" ht="22" customHeight="1">
      <x:c r="A33" s="1" t="n">
        <x:v>29</x:v>
      </x:c>
      <x:c r="B33" s="1" t="str">
        <x:v>Nidoran Female</x:v>
      </x:c>
      <x:c r="C33" s="1" t="str">
        <x:v>Venenoso</x:v>
      </x:c>
      <x:c r="D33" s="1" t="str"/>
      <x:c r="E33" s="1" t="str">
        <x:v>Comum</x:v>
      </x:c>
      <x:c r="F33" s="10" t="n">
        <x:v>55</x:v>
      </x:c>
      <x:c r="G33" s="10" t="n">
        <x:v>47</x:v>
      </x:c>
      <x:c r="H33" s="10" t="n">
        <x:v>52</x:v>
      </x:c>
      <x:c r="I33" s="10" t="n">
        <x:v>40</x:v>
      </x:c>
      <x:c r="J33" s="10" t="n">
        <x:v>40</x:v>
      </x:c>
      <x:c r="K33" s="10" t="n">
        <x:v>41</x:v>
      </x:c>
      <x:c r="L33" s="10" t="n">
        <x:f>SUM(F33:K33)</x:f>
        <x:v>275</x:v>
      </x:c>
      <x:c r="M33" s="1" t="str">
        <x:f>IF(G33=I33,"Empate",IF(G33&gt;I33,"Física","Especial"))</x:f>
        <x:v>Física</x:v>
      </x:c>
      <x:c r="N33" s="10" t="n">
        <x:v>10</x:v>
      </x:c>
      <x:c r="O33" s="10" t="n">
        <x:v>68</x:v>
      </x:c>
      <x:c r="P33" s="10" t="n">
        <x:v>125</x:v>
      </x:c>
      <x:c r="Q33" s="10" t="n">
        <x:v>125</x:v>
      </x:c>
      <x:c r="R33" s="1" t="str">
        <x:v>Nidorina</x:v>
      </x:c>
      <x:c r="S33" s="1" t="n">
        <x:v>30</x:v>
      </x:c>
      <x:c r="T33" s="9" t="str">
        <x:v>https://poke.idleworld.online/pokepedia/pokemon/nidoranfemale</x:v>
      </x:c>
    </x:row>
    <x:row r="34" ht="22" customHeight="1">
      <x:c r="A34" s="1" t="n">
        <x:v>30</x:v>
      </x:c>
      <x:c r="B34" s="1" t="str">
        <x:v>Nidorina</x:v>
      </x:c>
      <x:c r="C34" s="1" t="str">
        <x:v>Venenoso</x:v>
      </x:c>
      <x:c r="D34" s="1" t="str"/>
      <x:c r="E34" s="1" t="str">
        <x:v>Comum</x:v>
      </x:c>
      <x:c r="F34" s="10" t="n">
        <x:v>70</x:v>
      </x:c>
      <x:c r="G34" s="10" t="n">
        <x:v>62</x:v>
      </x:c>
      <x:c r="H34" s="10" t="n">
        <x:v>67</x:v>
      </x:c>
      <x:c r="I34" s="10" t="n">
        <x:v>55</x:v>
      </x:c>
      <x:c r="J34" s="10" t="n">
        <x:v>55</x:v>
      </x:c>
      <x:c r="K34" s="10" t="n">
        <x:v>56</x:v>
      </x:c>
      <x:c r="L34" s="10" t="n">
        <x:f>SUM(F34:K34)</x:f>
        <x:v>365</x:v>
      </x:c>
      <x:c r="M34" s="1" t="str">
        <x:f>IF(G34=I34,"Empate",IF(G34&gt;I34,"Física","Especial"))</x:f>
        <x:v>Física</x:v>
      </x:c>
      <x:c r="N34" s="10" t="n">
        <x:v>30</x:v>
      </x:c>
      <x:c r="O34" s="10" t="n">
        <x:v>548</x:v>
      </x:c>
      <x:c r="P34" s="10" t="n">
        <x:v>2250</x:v>
      </x:c>
      <x:c r="Q34" s="10" t="n">
        <x:v>2250</x:v>
      </x:c>
      <x:c r="R34" s="1" t="str">
        <x:v>Nidoqueen</x:v>
      </x:c>
      <x:c r="S34" s="1" t="n">
        <x:v>80</x:v>
      </x:c>
      <x:c r="T34" s="9" t="str">
        <x:v>https://poke.idleworld.online/pokepedia/pokemon/nidorina</x:v>
      </x:c>
    </x:row>
    <x:row r="35" ht="22" customHeight="1">
      <x:c r="A35" s="1" t="n">
        <x:v>31</x:v>
      </x:c>
      <x:c r="B35" s="1" t="str">
        <x:v>Nidoqueen</x:v>
      </x:c>
      <x:c r="C35" s="1" t="str">
        <x:v>Venenoso</x:v>
      </x:c>
      <x:c r="D35" s="1" t="str">
        <x:v>Terrestre</x:v>
      </x:c>
      <x:c r="E35" s="1" t="str">
        <x:v>Comum</x:v>
      </x:c>
      <x:c r="F35" s="10" t="n">
        <x:v>90</x:v>
      </x:c>
      <x:c r="G35" s="10" t="n">
        <x:v>92</x:v>
      </x:c>
      <x:c r="H35" s="10" t="n">
        <x:v>87</x:v>
      </x:c>
      <x:c r="I35" s="10" t="n">
        <x:v>75</x:v>
      </x:c>
      <x:c r="J35" s="10" t="n">
        <x:v>85</x:v>
      </x:c>
      <x:c r="K35" s="10" t="n">
        <x:v>76</x:v>
      </x:c>
      <x:c r="L35" s="10" t="n">
        <x:f>SUM(F35:K35)</x:f>
        <x:v>505</x:v>
      </x:c>
      <x:c r="M35" s="1" t="str">
        <x:f>IF(G35=I35,"Empate",IF(G35&gt;I35,"Física","Especial"))</x:f>
        <x:v>Física</x:v>
      </x:c>
      <x:c r="N35" s="10" t="n">
        <x:v>80</x:v>
      </x:c>
      <x:c r="O35" s="10" t="n">
        <x:v>3848</x:v>
      </x:c>
      <x:c r="P35" s="10" t="n">
        <x:v>12250</x:v>
      </x:c>
      <x:c r="Q35" s="10" t="n">
        <x:v>12250</x:v>
      </x:c>
      <x:c r="R35" s="1" t="str"/>
      <x:c r="S35" s="1"/>
      <x:c r="T35" s="9" t="str">
        <x:v>https://poke.idleworld.online/pokepedia/pokemon/nidoqueen</x:v>
      </x:c>
    </x:row>
    <x:row r="36" ht="22" customHeight="1">
      <x:c r="A36" s="1" t="n">
        <x:v>32</x:v>
      </x:c>
      <x:c r="B36" s="1" t="str">
        <x:v>Nidoran Male</x:v>
      </x:c>
      <x:c r="C36" s="1" t="str">
        <x:v>Venenoso</x:v>
      </x:c>
      <x:c r="D36" s="1" t="str"/>
      <x:c r="E36" s="1" t="str">
        <x:v>Comum</x:v>
      </x:c>
      <x:c r="F36" s="10" t="n">
        <x:v>46</x:v>
      </x:c>
      <x:c r="G36" s="10" t="n">
        <x:v>57</x:v>
      </x:c>
      <x:c r="H36" s="10" t="n">
        <x:v>40</x:v>
      </x:c>
      <x:c r="I36" s="10" t="n">
        <x:v>40</x:v>
      </x:c>
      <x:c r="J36" s="10" t="n">
        <x:v>40</x:v>
      </x:c>
      <x:c r="K36" s="10" t="n">
        <x:v>50</x:v>
      </x:c>
      <x:c r="L36" s="10" t="n">
        <x:f>SUM(F36:K36)</x:f>
        <x:v>273</x:v>
      </x:c>
      <x:c r="M36" s="1" t="str">
        <x:f>IF(G36=I36,"Empate",IF(G36&gt;I36,"Física","Especial"))</x:f>
        <x:v>Física</x:v>
      </x:c>
      <x:c r="N36" s="10" t="n">
        <x:v>10</x:v>
      </x:c>
      <x:c r="O36" s="10" t="n">
        <x:v>68</x:v>
      </x:c>
      <x:c r="P36" s="10" t="n">
        <x:v>125</x:v>
      </x:c>
      <x:c r="Q36" s="10" t="n">
        <x:v>125</x:v>
      </x:c>
      <x:c r="R36" s="1" t="str">
        <x:v>Nidorino</x:v>
      </x:c>
      <x:c r="S36" s="1" t="n">
        <x:v>30</x:v>
      </x:c>
      <x:c r="T36" s="9" t="str">
        <x:v>https://poke.idleworld.online/pokepedia/pokemon/nidoranmale</x:v>
      </x:c>
    </x:row>
    <x:row r="37" ht="22" customHeight="1">
      <x:c r="A37" s="1" t="n">
        <x:v>33</x:v>
      </x:c>
      <x:c r="B37" s="1" t="str">
        <x:v>Nidorino</x:v>
      </x:c>
      <x:c r="C37" s="1" t="str">
        <x:v>Venenoso</x:v>
      </x:c>
      <x:c r="D37" s="1" t="str"/>
      <x:c r="E37" s="1" t="str">
        <x:v>Comum</x:v>
      </x:c>
      <x:c r="F37" s="10" t="n">
        <x:v>61</x:v>
      </x:c>
      <x:c r="G37" s="10" t="n">
        <x:v>72</x:v>
      </x:c>
      <x:c r="H37" s="10" t="n">
        <x:v>57</x:v>
      </x:c>
      <x:c r="I37" s="10" t="n">
        <x:v>55</x:v>
      </x:c>
      <x:c r="J37" s="10" t="n">
        <x:v>55</x:v>
      </x:c>
      <x:c r="K37" s="10" t="n">
        <x:v>65</x:v>
      </x:c>
      <x:c r="L37" s="10" t="n">
        <x:f>SUM(F37:K37)</x:f>
        <x:v>365</x:v>
      </x:c>
      <x:c r="M37" s="1" t="str">
        <x:f>IF(G37=I37,"Empate",IF(G37&gt;I37,"Física","Especial"))</x:f>
        <x:v>Física</x:v>
      </x:c>
      <x:c r="N37" s="10" t="n">
        <x:v>30</x:v>
      </x:c>
      <x:c r="O37" s="10" t="n">
        <x:v>548</x:v>
      </x:c>
      <x:c r="P37" s="10" t="n">
        <x:v>2250</x:v>
      </x:c>
      <x:c r="Q37" s="10" t="n">
        <x:v>2250</x:v>
      </x:c>
      <x:c r="R37" s="1" t="str">
        <x:v>Nidoking</x:v>
      </x:c>
      <x:c r="S37" s="1" t="n">
        <x:v>80</x:v>
      </x:c>
      <x:c r="T37" s="9" t="str">
        <x:v>https://poke.idleworld.online/pokepedia/pokemon/nidorino</x:v>
      </x:c>
    </x:row>
    <x:row r="38" ht="22" customHeight="1">
      <x:c r="A38" s="1" t="n">
        <x:v>34</x:v>
      </x:c>
      <x:c r="B38" s="1" t="str">
        <x:v>Nidoking</x:v>
      </x:c>
      <x:c r="C38" s="1" t="str">
        <x:v>Venenoso</x:v>
      </x:c>
      <x:c r="D38" s="1" t="str">
        <x:v>Terrestre</x:v>
      </x:c>
      <x:c r="E38" s="1" t="str">
        <x:v>Comum</x:v>
      </x:c>
      <x:c r="F38" s="10" t="n">
        <x:v>81</x:v>
      </x:c>
      <x:c r="G38" s="10" t="n">
        <x:v>102</x:v>
      </x:c>
      <x:c r="H38" s="10" t="n">
        <x:v>77</x:v>
      </x:c>
      <x:c r="I38" s="10" t="n">
        <x:v>85</x:v>
      </x:c>
      <x:c r="J38" s="10" t="n">
        <x:v>75</x:v>
      </x:c>
      <x:c r="K38" s="10" t="n">
        <x:v>85</x:v>
      </x:c>
      <x:c r="L38" s="10" t="n">
        <x:f>SUM(F38:K38)</x:f>
        <x:v>505</x:v>
      </x:c>
      <x:c r="M38" s="1" t="str">
        <x:f>IF(G38=I38,"Empate",IF(G38&gt;I38,"Física","Especial"))</x:f>
        <x:v>Física</x:v>
      </x:c>
      <x:c r="N38" s="10" t="n">
        <x:v>80</x:v>
      </x:c>
      <x:c r="O38" s="10" t="n">
        <x:v>3848</x:v>
      </x:c>
      <x:c r="P38" s="10" t="n">
        <x:v>12250</x:v>
      </x:c>
      <x:c r="Q38" s="10" t="n">
        <x:v>12250</x:v>
      </x:c>
      <x:c r="R38" s="1" t="str"/>
      <x:c r="S38" s="1"/>
      <x:c r="T38" s="9" t="str">
        <x:v>https://poke.idleworld.online/pokepedia/pokemon/nidoking</x:v>
      </x:c>
    </x:row>
    <x:row r="39" ht="22" customHeight="1">
      <x:c r="A39" s="1" t="n">
        <x:v>35</x:v>
      </x:c>
      <x:c r="B39" s="1" t="str">
        <x:v>Clefairy</x:v>
      </x:c>
      <x:c r="C39" s="1" t="str">
        <x:v>Fada</x:v>
      </x:c>
      <x:c r="D39" s="1" t="str"/>
      <x:c r="E39" s="1" t="str">
        <x:v>Comum</x:v>
      </x:c>
      <x:c r="F39" s="10" t="n">
        <x:v>70</x:v>
      </x:c>
      <x:c r="G39" s="10" t="n">
        <x:v>45</x:v>
      </x:c>
      <x:c r="H39" s="10" t="n">
        <x:v>48</x:v>
      </x:c>
      <x:c r="I39" s="10" t="n">
        <x:v>60</x:v>
      </x:c>
      <x:c r="J39" s="10" t="n">
        <x:v>65</x:v>
      </x:c>
      <x:c r="K39" s="10" t="n">
        <x:v>35</x:v>
      </x:c>
      <x:c r="L39" s="10" t="n">
        <x:f>SUM(F39:K39)</x:f>
        <x:v>323</x:v>
      </x:c>
      <x:c r="M39" s="1" t="str">
        <x:f>IF(G39=I39,"Empate",IF(G39&gt;I39,"Física","Especial"))</x:f>
        <x:v>Especial</x:v>
      </x:c>
      <x:c r="N39" s="10" t="n">
        <x:v>40</x:v>
      </x:c>
      <x:c r="O39" s="10" t="n">
        <x:v>968</x:v>
      </x:c>
      <x:c r="P39" s="10" t="n">
        <x:v>8000</x:v>
      </x:c>
      <x:c r="Q39" s="10" t="n">
        <x:v>8000</x:v>
      </x:c>
      <x:c r="R39" s="1" t="str">
        <x:v>Clefable</x:v>
      </x:c>
      <x:c r="S39" s="1" t="n">
        <x:v>80</x:v>
      </x:c>
      <x:c r="T39" s="9" t="str">
        <x:v>https://poke.idleworld.online/pokepedia/pokemon/clefairy</x:v>
      </x:c>
    </x:row>
    <x:row r="40" ht="22" customHeight="1">
      <x:c r="A40" s="1" t="n">
        <x:v>36</x:v>
      </x:c>
      <x:c r="B40" s="1" t="str">
        <x:v>Clefable</x:v>
      </x:c>
      <x:c r="C40" s="1" t="str">
        <x:v>Fada</x:v>
      </x:c>
      <x:c r="D40" s="1" t="str"/>
      <x:c r="E40" s="1" t="str">
        <x:v>Comum</x:v>
      </x:c>
      <x:c r="F40" s="10" t="n">
        <x:v>95</x:v>
      </x:c>
      <x:c r="G40" s="10" t="n">
        <x:v>70</x:v>
      </x:c>
      <x:c r="H40" s="10" t="n">
        <x:v>73</x:v>
      </x:c>
      <x:c r="I40" s="10" t="n">
        <x:v>95</x:v>
      </x:c>
      <x:c r="J40" s="10" t="n">
        <x:v>90</x:v>
      </x:c>
      <x:c r="K40" s="10" t="n">
        <x:v>60</x:v>
      </x:c>
      <x:c r="L40" s="10" t="n">
        <x:f>SUM(F40:K40)</x:f>
        <x:v>483</x:v>
      </x:c>
      <x:c r="M40" s="1" t="str">
        <x:f>IF(G40=I40,"Empate",IF(G40&gt;I40,"Física","Especial"))</x:f>
        <x:v>Especial</x:v>
      </x:c>
      <x:c r="N40" s="10" t="n">
        <x:v>80</x:v>
      </x:c>
      <x:c r="O40" s="10" t="n">
        <x:v>3848</x:v>
      </x:c>
      <x:c r="P40" s="10" t="n">
        <x:v>18000</x:v>
      </x:c>
      <x:c r="Q40" s="10" t="n">
        <x:v>18000</x:v>
      </x:c>
      <x:c r="R40" s="1" t="str"/>
      <x:c r="S40" s="1"/>
      <x:c r="T40" s="9" t="str">
        <x:v>https://poke.idleworld.online/pokepedia/pokemon/clefable</x:v>
      </x:c>
    </x:row>
    <x:row r="41" ht="22" customHeight="1">
      <x:c r="A41" s="1" t="n">
        <x:v>37</x:v>
      </x:c>
      <x:c r="B41" s="1" t="str">
        <x:v>Vulpix</x:v>
      </x:c>
      <x:c r="C41" s="1" t="str">
        <x:v>Fogo</x:v>
      </x:c>
      <x:c r="D41" s="1" t="str"/>
      <x:c r="E41" s="1" t="str">
        <x:v>Comum</x:v>
      </x:c>
      <x:c r="F41" s="10" t="n">
        <x:v>38</x:v>
      </x:c>
      <x:c r="G41" s="10" t="n">
        <x:v>41</x:v>
      </x:c>
      <x:c r="H41" s="10" t="n">
        <x:v>40</x:v>
      </x:c>
      <x:c r="I41" s="10" t="n">
        <x:v>50</x:v>
      </x:c>
      <x:c r="J41" s="10" t="n">
        <x:v>65</x:v>
      </x:c>
      <x:c r="K41" s="10" t="n">
        <x:v>65</x:v>
      </x:c>
      <x:c r="L41" s="10" t="n">
        <x:f>SUM(F41:K41)</x:f>
        <x:v>299</x:v>
      </x:c>
      <x:c r="M41" s="1" t="str">
        <x:f>IF(G41=I41,"Empate",IF(G41&gt;I41,"Física","Especial"))</x:f>
        <x:v>Especial</x:v>
      </x:c>
      <x:c r="N41" s="10" t="n">
        <x:v>20</x:v>
      </x:c>
      <x:c r="O41" s="10" t="n">
        <x:v>248</x:v>
      </x:c>
      <x:c r="P41" s="10" t="n">
        <x:v>1000</x:v>
      </x:c>
      <x:c r="Q41" s="10" t="n">
        <x:v>1000</x:v>
      </x:c>
      <x:c r="R41" s="1" t="str">
        <x:v>Ninetales</x:v>
      </x:c>
      <x:c r="S41" s="1" t="n">
        <x:v>80</x:v>
      </x:c>
      <x:c r="T41" s="9" t="str">
        <x:v>https://poke.idleworld.online/pokepedia/pokemon/vulpix</x:v>
      </x:c>
    </x:row>
    <x:row r="42" ht="22" customHeight="1">
      <x:c r="A42" s="1" t="n">
        <x:v>38</x:v>
      </x:c>
      <x:c r="B42" s="1" t="str">
        <x:v>Ninetales</x:v>
      </x:c>
      <x:c r="C42" s="1" t="str">
        <x:v>Fogo</x:v>
      </x:c>
      <x:c r="D42" s="1" t="str"/>
      <x:c r="E42" s="1" t="str">
        <x:v>Comum</x:v>
      </x:c>
      <x:c r="F42" s="10" t="n">
        <x:v>73</x:v>
      </x:c>
      <x:c r="G42" s="10" t="n">
        <x:v>76</x:v>
      </x:c>
      <x:c r="H42" s="10" t="n">
        <x:v>75</x:v>
      </x:c>
      <x:c r="I42" s="10" t="n">
        <x:v>81</x:v>
      </x:c>
      <x:c r="J42" s="10" t="n">
        <x:v>100</x:v>
      </x:c>
      <x:c r="K42" s="10" t="n">
        <x:v>100</x:v>
      </x:c>
      <x:c r="L42" s="10" t="n">
        <x:f>SUM(F42:K42)</x:f>
        <x:v>505</x:v>
      </x:c>
      <x:c r="M42" s="1" t="str">
        <x:f>IF(G42=I42,"Empate",IF(G42&gt;I42,"Física","Especial"))</x:f>
        <x:v>Especial</x:v>
      </x:c>
      <x:c r="N42" s="10" t="n">
        <x:v>100</x:v>
      </x:c>
      <x:c r="O42" s="10" t="n">
        <x:v>6008</x:v>
      </x:c>
      <x:c r="P42" s="10" t="n">
        <x:v>11000</x:v>
      </x:c>
      <x:c r="Q42" s="10" t="n">
        <x:v>11000</x:v>
      </x:c>
      <x:c r="R42" s="1" t="str"/>
      <x:c r="S42" s="1"/>
      <x:c r="T42" s="9" t="str">
        <x:v>https://poke.idleworld.online/pokepedia/pokemon/ninetales</x:v>
      </x:c>
    </x:row>
    <x:row r="43" ht="22" customHeight="1">
      <x:c r="A43" s="1" t="n">
        <x:v>39</x:v>
      </x:c>
      <x:c r="B43" s="1" t="str">
        <x:v>Jigglypuff</x:v>
      </x:c>
      <x:c r="C43" s="1" t="str">
        <x:v>Normal</x:v>
      </x:c>
      <x:c r="D43" s="1" t="str">
        <x:v>Fada</x:v>
      </x:c>
      <x:c r="E43" s="1" t="str">
        <x:v>Comum</x:v>
      </x:c>
      <x:c r="F43" s="10" t="n">
        <x:v>115</x:v>
      </x:c>
      <x:c r="G43" s="10" t="n">
        <x:v>45</x:v>
      </x:c>
      <x:c r="H43" s="10" t="n">
        <x:v>20</x:v>
      </x:c>
      <x:c r="I43" s="10" t="n">
        <x:v>45</x:v>
      </x:c>
      <x:c r="J43" s="10" t="n">
        <x:v>25</x:v>
      </x:c>
      <x:c r="K43" s="10" t="n">
        <x:v>20</x:v>
      </x:c>
      <x:c r="L43" s="10" t="n">
        <x:f>SUM(F43:K43)</x:f>
        <x:v>270</x:v>
      </x:c>
      <x:c r="M43" s="1" t="str">
        <x:f>IF(G43=I43,"Empate",IF(G43&gt;I43,"Física","Especial"))</x:f>
        <x:v>Empate</x:v>
      </x:c>
      <x:c r="N43" s="10" t="n">
        <x:v>40</x:v>
      </x:c>
      <x:c r="O43" s="10" t="n">
        <x:v>968</x:v>
      </x:c>
      <x:c r="P43" s="10" t="n">
        <x:v>8000</x:v>
      </x:c>
      <x:c r="Q43" s="10" t="n">
        <x:v>8000</x:v>
      </x:c>
      <x:c r="R43" s="1" t="str">
        <x:v>Wigglytuff</x:v>
      </x:c>
      <x:c r="S43" s="1" t="n">
        <x:v>80</x:v>
      </x:c>
      <x:c r="T43" s="9" t="str">
        <x:v>https://poke.idleworld.online/pokepedia/pokemon/jigglypuff</x:v>
      </x:c>
    </x:row>
    <x:row r="44" ht="22" customHeight="1">
      <x:c r="A44" s="1" t="n">
        <x:v>40</x:v>
      </x:c>
      <x:c r="B44" s="1" t="str">
        <x:v>Wigglytuff</x:v>
      </x:c>
      <x:c r="C44" s="1" t="str">
        <x:v>Normal</x:v>
      </x:c>
      <x:c r="D44" s="1" t="str">
        <x:v>Fada</x:v>
      </x:c>
      <x:c r="E44" s="1" t="str">
        <x:v>Comum</x:v>
      </x:c>
      <x:c r="F44" s="10" t="n">
        <x:v>140</x:v>
      </x:c>
      <x:c r="G44" s="10" t="n">
        <x:v>70</x:v>
      </x:c>
      <x:c r="H44" s="10" t="n">
        <x:v>45</x:v>
      </x:c>
      <x:c r="I44" s="10" t="n">
        <x:v>85</x:v>
      </x:c>
      <x:c r="J44" s="10" t="n">
        <x:v>50</x:v>
      </x:c>
      <x:c r="K44" s="10" t="n">
        <x:v>45</x:v>
      </x:c>
      <x:c r="L44" s="10" t="n">
        <x:f>SUM(F44:K44)</x:f>
        <x:v>435</x:v>
      </x:c>
      <x:c r="M44" s="1" t="str">
        <x:f>IF(G44=I44,"Empate",IF(G44&gt;I44,"Física","Especial"))</x:f>
        <x:v>Especial</x:v>
      </x:c>
      <x:c r="N44" s="10" t="n">
        <x:v>80</x:v>
      </x:c>
      <x:c r="O44" s="10" t="n">
        <x:v>3848</x:v>
      </x:c>
      <x:c r="P44" s="10" t="n">
        <x:v>18000</x:v>
      </x:c>
      <x:c r="Q44" s="10" t="n">
        <x:v>18000</x:v>
      </x:c>
      <x:c r="R44" s="1" t="str"/>
      <x:c r="S44" s="1"/>
      <x:c r="T44" s="9" t="str">
        <x:v>https://poke.idleworld.online/pokepedia/pokemon/wigglytuff</x:v>
      </x:c>
    </x:row>
    <x:row r="45" ht="22" customHeight="1">
      <x:c r="A45" s="1" t="n">
        <x:v>41</x:v>
      </x:c>
      <x:c r="B45" s="1" t="str">
        <x:v>Zubat</x:v>
      </x:c>
      <x:c r="C45" s="1" t="str">
        <x:v>Venenoso</x:v>
      </x:c>
      <x:c r="D45" s="1" t="str">
        <x:v>Voador</x:v>
      </x:c>
      <x:c r="E45" s="1" t="str">
        <x:v>Comum</x:v>
      </x:c>
      <x:c r="F45" s="10" t="n">
        <x:v>40</x:v>
      </x:c>
      <x:c r="G45" s="10" t="n">
        <x:v>45</x:v>
      </x:c>
      <x:c r="H45" s="10" t="n">
        <x:v>35</x:v>
      </x:c>
      <x:c r="I45" s="10" t="n">
        <x:v>30</x:v>
      </x:c>
      <x:c r="J45" s="10" t="n">
        <x:v>40</x:v>
      </x:c>
      <x:c r="K45" s="10" t="n">
        <x:v>55</x:v>
      </x:c>
      <x:c r="L45" s="10" t="n">
        <x:f>SUM(F45:K45)</x:f>
        <x:v>245</x:v>
      </x:c>
      <x:c r="M45" s="1" t="str">
        <x:f>IF(G45=I45,"Empate",IF(G45&gt;I45,"Física","Especial"))</x:f>
        <x:v>Física</x:v>
      </x:c>
      <x:c r="N45" s="10" t="n">
        <x:v>10</x:v>
      </x:c>
      <x:c r="O45" s="10" t="n">
        <x:v>68</x:v>
      </x:c>
      <x:c r="P45" s="10" t="n">
        <x:v>120</x:v>
      </x:c>
      <x:c r="Q45" s="10" t="n">
        <x:v>120</x:v>
      </x:c>
      <x:c r="R45" s="1" t="str">
        <x:v>Golbat</x:v>
      </x:c>
      <x:c r="S45" s="1" t="n">
        <x:v>40</x:v>
      </x:c>
      <x:c r="T45" s="9" t="str">
        <x:v>https://poke.idleworld.online/pokepedia/pokemon/zubat</x:v>
      </x:c>
    </x:row>
    <x:row r="46" ht="22" customHeight="1">
      <x:c r="A46" s="1" t="n">
        <x:v>42</x:v>
      </x:c>
      <x:c r="B46" s="1" t="str">
        <x:v>Golbat</x:v>
      </x:c>
      <x:c r="C46" s="1" t="str">
        <x:v>Venenoso</x:v>
      </x:c>
      <x:c r="D46" s="1" t="str">
        <x:v>Voador</x:v>
      </x:c>
      <x:c r="E46" s="1" t="str">
        <x:v>Comum</x:v>
      </x:c>
      <x:c r="F46" s="10" t="n">
        <x:v>75</x:v>
      </x:c>
      <x:c r="G46" s="10" t="n">
        <x:v>80</x:v>
      </x:c>
      <x:c r="H46" s="10" t="n">
        <x:v>70</x:v>
      </x:c>
      <x:c r="I46" s="10" t="n">
        <x:v>65</x:v>
      </x:c>
      <x:c r="J46" s="10" t="n">
        <x:v>75</x:v>
      </x:c>
      <x:c r="K46" s="10" t="n">
        <x:v>90</x:v>
      </x:c>
      <x:c r="L46" s="10" t="n">
        <x:f>SUM(F46:K46)</x:f>
        <x:v>455</x:v>
      </x:c>
      <x:c r="M46" s="1" t="str">
        <x:f>IF(G46=I46,"Empate",IF(G46&gt;I46,"Física","Especial"))</x:f>
        <x:v>Física</x:v>
      </x:c>
      <x:c r="N46" s="10" t="n">
        <x:v>40</x:v>
      </x:c>
      <x:c r="O46" s="10" t="n">
        <x:v>968</x:v>
      </x:c>
      <x:c r="P46" s="10" t="n">
        <x:v>3000</x:v>
      </x:c>
      <x:c r="Q46" s="10" t="n">
        <x:v>3000</x:v>
      </x:c>
      <x:c r="R46" s="1" t="str">
        <x:v>Crobat</x:v>
      </x:c>
      <x:c r="S46" s="1" t="n">
        <x:v>80</x:v>
      </x:c>
      <x:c r="T46" s="9" t="str">
        <x:v>https://poke.idleworld.online/pokepedia/pokemon/golbat</x:v>
      </x:c>
    </x:row>
    <x:row r="47" ht="22" customHeight="1">
      <x:c r="A47" s="1" t="n">
        <x:v>43</x:v>
      </x:c>
      <x:c r="B47" s="1" t="str">
        <x:v>Oddish</x:v>
      </x:c>
      <x:c r="C47" s="1" t="str">
        <x:v>Planta</x:v>
      </x:c>
      <x:c r="D47" s="1" t="str">
        <x:v>Venenoso</x:v>
      </x:c>
      <x:c r="E47" s="1" t="str">
        <x:v>Comum</x:v>
      </x:c>
      <x:c r="F47" s="10" t="n">
        <x:v>45</x:v>
      </x:c>
      <x:c r="G47" s="10" t="n">
        <x:v>50</x:v>
      </x:c>
      <x:c r="H47" s="10" t="n">
        <x:v>55</x:v>
      </x:c>
      <x:c r="I47" s="10" t="n">
        <x:v>75</x:v>
      </x:c>
      <x:c r="J47" s="10" t="n">
        <x:v>65</x:v>
      </x:c>
      <x:c r="K47" s="10" t="n">
        <x:v>30</x:v>
      </x:c>
      <x:c r="L47" s="10" t="n">
        <x:f>SUM(F47:K47)</x:f>
        <x:v>320</x:v>
      </x:c>
      <x:c r="M47" s="1" t="str">
        <x:f>IF(G47=I47,"Empate",IF(G47&gt;I47,"Física","Especial"))</x:f>
        <x:v>Especial</x:v>
      </x:c>
      <x:c r="N47" s="10" t="n">
        <x:v>1</x:v>
      </x:c>
      <x:c r="O47" s="10" t="n">
        <x:v>8</x:v>
      </x:c>
      <x:c r="P47" s="10" t="n">
        <x:v>80</x:v>
      </x:c>
      <x:c r="Q47" s="10" t="n">
        <x:v>80</x:v>
      </x:c>
      <x:c r="R47" s="1" t="str">
        <x:v>Gloom</x:v>
      </x:c>
      <x:c r="S47" s="1" t="n">
        <x:v>30</x:v>
      </x:c>
      <x:c r="T47" s="9" t="str">
        <x:v>https://poke.idleworld.online/pokepedia/pokemon/oddish</x:v>
      </x:c>
    </x:row>
    <x:row r="48" ht="22" customHeight="1">
      <x:c r="A48" s="1" t="n">
        <x:v>44</x:v>
      </x:c>
      <x:c r="B48" s="1" t="str">
        <x:v>Gloom</x:v>
      </x:c>
      <x:c r="C48" s="1" t="str">
        <x:v>Planta</x:v>
      </x:c>
      <x:c r="D48" s="1" t="str">
        <x:v>Venenoso</x:v>
      </x:c>
      <x:c r="E48" s="1" t="str">
        <x:v>Comum</x:v>
      </x:c>
      <x:c r="F48" s="10" t="n">
        <x:v>60</x:v>
      </x:c>
      <x:c r="G48" s="10" t="n">
        <x:v>65</x:v>
      </x:c>
      <x:c r="H48" s="10" t="n">
        <x:v>70</x:v>
      </x:c>
      <x:c r="I48" s="10" t="n">
        <x:v>85</x:v>
      </x:c>
      <x:c r="J48" s="10" t="n">
        <x:v>75</x:v>
      </x:c>
      <x:c r="K48" s="10" t="n">
        <x:v>40</x:v>
      </x:c>
      <x:c r="L48" s="10" t="n">
        <x:f>SUM(F48:K48)</x:f>
        <x:v>395</x:v>
      </x:c>
      <x:c r="M48" s="1" t="str">
        <x:f>IF(G48=I48,"Empate",IF(G48&gt;I48,"Física","Especial"))</x:f>
        <x:v>Especial</x:v>
      </x:c>
      <x:c r="N48" s="10" t="n">
        <x:v>30</x:v>
      </x:c>
      <x:c r="O48" s="10" t="n">
        <x:v>548</x:v>
      </x:c>
      <x:c r="P48" s="10" t="n">
        <x:v>2250</x:v>
      </x:c>
      <x:c r="Q48" s="10" t="n">
        <x:v>2250</x:v>
      </x:c>
      <x:c r="R48" s="1" t="str">
        <x:v>Vileplume</x:v>
      </x:c>
      <x:c r="S48" s="1" t="n">
        <x:v>60</x:v>
      </x:c>
      <x:c r="T48" s="9" t="str">
        <x:v>https://poke.idleworld.online/pokepedia/pokemon/gloom</x:v>
      </x:c>
    </x:row>
    <x:row r="49" ht="22" customHeight="1">
      <x:c r="A49" s="1" t="n">
        <x:v>45</x:v>
      </x:c>
      <x:c r="B49" s="1" t="str">
        <x:v>Vileplume</x:v>
      </x:c>
      <x:c r="C49" s="1" t="str">
        <x:v>Planta</x:v>
      </x:c>
      <x:c r="D49" s="1" t="str">
        <x:v>Venenoso</x:v>
      </x:c>
      <x:c r="E49" s="1" t="str">
        <x:v>Comum</x:v>
      </x:c>
      <x:c r="F49" s="10" t="n">
        <x:v>75</x:v>
      </x:c>
      <x:c r="G49" s="10" t="n">
        <x:v>80</x:v>
      </x:c>
      <x:c r="H49" s="10" t="n">
        <x:v>85</x:v>
      </x:c>
      <x:c r="I49" s="10" t="n">
        <x:v>110</x:v>
      </x:c>
      <x:c r="J49" s="10" t="n">
        <x:v>90</x:v>
      </x:c>
      <x:c r="K49" s="10" t="n">
        <x:v>50</x:v>
      </x:c>
      <x:c r="L49" s="10" t="n">
        <x:f>SUM(F49:K49)</x:f>
        <x:v>490</x:v>
      </x:c>
      <x:c r="M49" s="1" t="str">
        <x:f>IF(G49=I49,"Empate",IF(G49&gt;I49,"Física","Especial"))</x:f>
        <x:v>Especial</x:v>
      </x:c>
      <x:c r="N49" s="10" t="n">
        <x:v>60</x:v>
      </x:c>
      <x:c r="O49" s="10" t="n">
        <x:v>2168</x:v>
      </x:c>
      <x:c r="P49" s="10" t="n">
        <x:v>12000</x:v>
      </x:c>
      <x:c r="Q49" s="10" t="n">
        <x:v>12000</x:v>
      </x:c>
      <x:c r="R49" s="1" t="str"/>
      <x:c r="S49" s="1"/>
      <x:c r="T49" s="9" t="str">
        <x:v>https://poke.idleworld.online/pokepedia/pokemon/vileplume</x:v>
      </x:c>
    </x:row>
    <x:row r="50" ht="22" customHeight="1">
      <x:c r="A50" s="1" t="n">
        <x:v>46</x:v>
      </x:c>
      <x:c r="B50" s="1" t="str">
        <x:v>Paras</x:v>
      </x:c>
      <x:c r="C50" s="1" t="str">
        <x:v>Inseto</x:v>
      </x:c>
      <x:c r="D50" s="1" t="str">
        <x:v>Planta</x:v>
      </x:c>
      <x:c r="E50" s="1" t="str">
        <x:v>Comum</x:v>
      </x:c>
      <x:c r="F50" s="10" t="n">
        <x:v>35</x:v>
      </x:c>
      <x:c r="G50" s="10" t="n">
        <x:v>70</x:v>
      </x:c>
      <x:c r="H50" s="10" t="n">
        <x:v>55</x:v>
      </x:c>
      <x:c r="I50" s="10" t="n">
        <x:v>45</x:v>
      </x:c>
      <x:c r="J50" s="10" t="n">
        <x:v>55</x:v>
      </x:c>
      <x:c r="K50" s="10" t="n">
        <x:v>25</x:v>
      </x:c>
      <x:c r="L50" s="10" t="n">
        <x:f>SUM(F50:K50)</x:f>
        <x:v>285</x:v>
      </x:c>
      <x:c r="M50" s="1" t="str">
        <x:f>IF(G50=I50,"Empate",IF(G50&gt;I50,"Física","Especial"))</x:f>
        <x:v>Física</x:v>
      </x:c>
      <x:c r="N50" s="10" t="n">
        <x:v>1</x:v>
      </x:c>
      <x:c r="O50" s="10" t="n">
        <x:v>8</x:v>
      </x:c>
      <x:c r="P50" s="10" t="n">
        <x:v>60</x:v>
      </x:c>
      <x:c r="Q50" s="10" t="n">
        <x:v>60</x:v>
      </x:c>
      <x:c r="R50" s="1" t="str">
        <x:v>Parasect</x:v>
      </x:c>
      <x:c r="S50" s="1" t="n">
        <x:v>50</x:v>
      </x:c>
      <x:c r="T50" s="9" t="str">
        <x:v>https://poke.idleworld.online/pokepedia/pokemon/paras</x:v>
      </x:c>
    </x:row>
    <x:row r="51" ht="22" customHeight="1">
      <x:c r="A51" s="1" t="n">
        <x:v>47</x:v>
      </x:c>
      <x:c r="B51" s="1" t="str">
        <x:v>Parasect</x:v>
      </x:c>
      <x:c r="C51" s="1" t="str">
        <x:v>Inseto</x:v>
      </x:c>
      <x:c r="D51" s="1" t="str">
        <x:v>Planta</x:v>
      </x:c>
      <x:c r="E51" s="1" t="str">
        <x:v>Comum</x:v>
      </x:c>
      <x:c r="F51" s="10" t="n">
        <x:v>60</x:v>
      </x:c>
      <x:c r="G51" s="10" t="n">
        <x:v>95</x:v>
      </x:c>
      <x:c r="H51" s="10" t="n">
        <x:v>80</x:v>
      </x:c>
      <x:c r="I51" s="10" t="n">
        <x:v>60</x:v>
      </x:c>
      <x:c r="J51" s="10" t="n">
        <x:v>80</x:v>
      </x:c>
      <x:c r="K51" s="10" t="n">
        <x:v>30</x:v>
      </x:c>
      <x:c r="L51" s="10" t="n">
        <x:f>SUM(F51:K51)</x:f>
        <x:v>405</x:v>
      </x:c>
      <x:c r="M51" s="1" t="str">
        <x:f>IF(G51=I51,"Empate",IF(G51&gt;I51,"Física","Especial"))</x:f>
        <x:v>Física</x:v>
      </x:c>
      <x:c r="N51" s="10" t="n">
        <x:v>50</x:v>
      </x:c>
      <x:c r="O51" s="10" t="n">
        <x:v>1508</x:v>
      </x:c>
      <x:c r="P51" s="10" t="n">
        <x:v>5060</x:v>
      </x:c>
      <x:c r="Q51" s="10" t="n">
        <x:v>5060</x:v>
      </x:c>
      <x:c r="R51" s="1" t="str"/>
      <x:c r="S51" s="1"/>
      <x:c r="T51" s="9" t="str">
        <x:v>https://poke.idleworld.online/pokepedia/pokemon/parasect</x:v>
      </x:c>
    </x:row>
    <x:row r="52" ht="22" customHeight="1">
      <x:c r="A52" s="1" t="n">
        <x:v>48</x:v>
      </x:c>
      <x:c r="B52" s="1" t="str">
        <x:v>Venonat</x:v>
      </x:c>
      <x:c r="C52" s="1" t="str">
        <x:v>Inseto</x:v>
      </x:c>
      <x:c r="D52" s="1" t="str">
        <x:v>Venenoso</x:v>
      </x:c>
      <x:c r="E52" s="1" t="str">
        <x:v>Comum</x:v>
      </x:c>
      <x:c r="F52" s="10" t="n">
        <x:v>60</x:v>
      </x:c>
      <x:c r="G52" s="10" t="n">
        <x:v>55</x:v>
      </x:c>
      <x:c r="H52" s="10" t="n">
        <x:v>50</x:v>
      </x:c>
      <x:c r="I52" s="10" t="n">
        <x:v>40</x:v>
      </x:c>
      <x:c r="J52" s="10" t="n">
        <x:v>55</x:v>
      </x:c>
      <x:c r="K52" s="10" t="n">
        <x:v>45</x:v>
      </x:c>
      <x:c r="L52" s="10" t="n">
        <x:f>SUM(F52:K52)</x:f>
        <x:v>305</x:v>
      </x:c>
      <x:c r="M52" s="1" t="str">
        <x:f>IF(G52=I52,"Empate",IF(G52&gt;I52,"Física","Especial"))</x:f>
        <x:v>Física</x:v>
      </x:c>
      <x:c r="N52" s="10" t="n">
        <x:v>20</x:v>
      </x:c>
      <x:c r="O52" s="10" t="n">
        <x:v>248</x:v>
      </x:c>
      <x:c r="P52" s="10" t="n">
        <x:v>1500</x:v>
      </x:c>
      <x:c r="Q52" s="10" t="n">
        <x:v>1500</x:v>
      </x:c>
      <x:c r="R52" s="1" t="str">
        <x:v>Venomoth</x:v>
      </x:c>
      <x:c r="S52" s="1" t="n">
        <x:v>60</x:v>
      </x:c>
      <x:c r="T52" s="9" t="str">
        <x:v>https://poke.idleworld.online/pokepedia/pokemon/venonat</x:v>
      </x:c>
    </x:row>
    <x:row r="53" ht="22" customHeight="1">
      <x:c r="A53" s="1" t="n">
        <x:v>49</x:v>
      </x:c>
      <x:c r="B53" s="1" t="str">
        <x:v>Venomoth</x:v>
      </x:c>
      <x:c r="C53" s="1" t="str">
        <x:v>Inseto</x:v>
      </x:c>
      <x:c r="D53" s="1" t="str">
        <x:v>Venenoso</x:v>
      </x:c>
      <x:c r="E53" s="1" t="str">
        <x:v>Comum</x:v>
      </x:c>
      <x:c r="F53" s="10" t="n">
        <x:v>70</x:v>
      </x:c>
      <x:c r="G53" s="10" t="n">
        <x:v>65</x:v>
      </x:c>
      <x:c r="H53" s="10" t="n">
        <x:v>60</x:v>
      </x:c>
      <x:c r="I53" s="10" t="n">
        <x:v>90</x:v>
      </x:c>
      <x:c r="J53" s="10" t="n">
        <x:v>75</x:v>
      </x:c>
      <x:c r="K53" s="10" t="n">
        <x:v>90</x:v>
      </x:c>
      <x:c r="L53" s="10" t="n">
        <x:f>SUM(F53:K53)</x:f>
        <x:v>450</x:v>
      </x:c>
      <x:c r="M53" s="1" t="str">
        <x:f>IF(G53=I53,"Empate",IF(G53&gt;I53,"Física","Especial"))</x:f>
        <x:v>Especial</x:v>
      </x:c>
      <x:c r="N53" s="10" t="n">
        <x:v>60</x:v>
      </x:c>
      <x:c r="O53" s="10" t="n">
        <x:v>2168</x:v>
      </x:c>
      <x:c r="P53" s="10" t="n">
        <x:v>7250</x:v>
      </x:c>
      <x:c r="Q53" s="10" t="n">
        <x:v>7250</x:v>
      </x:c>
      <x:c r="R53" s="1" t="str"/>
      <x:c r="S53" s="1"/>
      <x:c r="T53" s="9" t="str">
        <x:v>https://poke.idleworld.online/pokepedia/pokemon/venomoth</x:v>
      </x:c>
    </x:row>
    <x:row r="54" ht="22" customHeight="1">
      <x:c r="A54" s="1" t="n">
        <x:v>50</x:v>
      </x:c>
      <x:c r="B54" s="1" t="str">
        <x:v>Diglett</x:v>
      </x:c>
      <x:c r="C54" s="1" t="str">
        <x:v>Terrestre</x:v>
      </x:c>
      <x:c r="D54" s="1" t="str"/>
      <x:c r="E54" s="1" t="str">
        <x:v>Comum</x:v>
      </x:c>
      <x:c r="F54" s="10" t="n">
        <x:v>10</x:v>
      </x:c>
      <x:c r="G54" s="10" t="n">
        <x:v>55</x:v>
      </x:c>
      <x:c r="H54" s="10" t="n">
        <x:v>25</x:v>
      </x:c>
      <x:c r="I54" s="10" t="n">
        <x:v>35</x:v>
      </x:c>
      <x:c r="J54" s="10" t="n">
        <x:v>45</x:v>
      </x:c>
      <x:c r="K54" s="10" t="n">
        <x:v>95</x:v>
      </x:c>
      <x:c r="L54" s="10" t="n">
        <x:f>SUM(F54:K54)</x:f>
        <x:v>265</x:v>
      </x:c>
      <x:c r="M54" s="1" t="str">
        <x:f>IF(G54=I54,"Empate",IF(G54&gt;I54,"Física","Especial"))</x:f>
        <x:v>Física</x:v>
      </x:c>
      <x:c r="N54" s="10" t="n">
        <x:v>10</x:v>
      </x:c>
      <x:c r="O54" s="10" t="n">
        <x:v>68</x:v>
      </x:c>
      <x:c r="P54" s="10" t="n">
        <x:v>200</x:v>
      </x:c>
      <x:c r="Q54" s="10" t="n">
        <x:v>200</x:v>
      </x:c>
      <x:c r="R54" s="1" t="str">
        <x:v>Dugtrio</x:v>
      </x:c>
      <x:c r="S54" s="1" t="n">
        <x:v>40</x:v>
      </x:c>
      <x:c r="T54" s="9" t="str">
        <x:v>https://poke.idleworld.online/pokepedia/pokemon/diglett</x:v>
      </x:c>
    </x:row>
    <x:row r="55" ht="22" customHeight="1">
      <x:c r="A55" s="1" t="n">
        <x:v>51</x:v>
      </x:c>
      <x:c r="B55" s="1" t="str">
        <x:v>Dugtrio</x:v>
      </x:c>
      <x:c r="C55" s="1" t="str">
        <x:v>Terrestre</x:v>
      </x:c>
      <x:c r="D55" s="1" t="str"/>
      <x:c r="E55" s="1" t="str">
        <x:v>Comum</x:v>
      </x:c>
      <x:c r="F55" s="10" t="n">
        <x:v>35</x:v>
      </x:c>
      <x:c r="G55" s="10" t="n">
        <x:v>80</x:v>
      </x:c>
      <x:c r="H55" s="10" t="n">
        <x:v>50</x:v>
      </x:c>
      <x:c r="I55" s="10" t="n">
        <x:v>50</x:v>
      </x:c>
      <x:c r="J55" s="10" t="n">
        <x:v>70</x:v>
      </x:c>
      <x:c r="K55" s="10" t="n">
        <x:v>120</x:v>
      </x:c>
      <x:c r="L55" s="10" t="n">
        <x:f>SUM(F55:K55)</x:f>
        <x:v>405</x:v>
      </x:c>
      <x:c r="M55" s="1" t="str">
        <x:f>IF(G55=I55,"Empate",IF(G55&gt;I55,"Física","Especial"))</x:f>
        <x:v>Física</x:v>
      </x:c>
      <x:c r="N55" s="10" t="n">
        <x:v>40</x:v>
      </x:c>
      <x:c r="O55" s="10" t="n">
        <x:v>968</x:v>
      </x:c>
      <x:c r="P55" s="10" t="n">
        <x:v>3000</x:v>
      </x:c>
      <x:c r="Q55" s="10" t="n">
        <x:v>3000</x:v>
      </x:c>
      <x:c r="R55" s="1" t="str"/>
      <x:c r="S55" s="1"/>
      <x:c r="T55" s="9" t="str">
        <x:v>https://poke.idleworld.online/pokepedia/pokemon/dugtrio</x:v>
      </x:c>
    </x:row>
    <x:row r="56" ht="22" customHeight="1">
      <x:c r="A56" s="1" t="n">
        <x:v>52</x:v>
      </x:c>
      <x:c r="B56" s="1" t="str">
        <x:v>Meowth</x:v>
      </x:c>
      <x:c r="C56" s="1" t="str">
        <x:v>Normal</x:v>
      </x:c>
      <x:c r="D56" s="1" t="str"/>
      <x:c r="E56" s="1" t="str">
        <x:v>Comum</x:v>
      </x:c>
      <x:c r="F56" s="10" t="n">
        <x:v>40</x:v>
      </x:c>
      <x:c r="G56" s="10" t="n">
        <x:v>45</x:v>
      </x:c>
      <x:c r="H56" s="10" t="n">
        <x:v>35</x:v>
      </x:c>
      <x:c r="I56" s="10" t="n">
        <x:v>40</x:v>
      </x:c>
      <x:c r="J56" s="10" t="n">
        <x:v>40</x:v>
      </x:c>
      <x:c r="K56" s="10" t="n">
        <x:v>90</x:v>
      </x:c>
      <x:c r="L56" s="10" t="n">
        <x:f>SUM(F56:K56)</x:f>
        <x:v>290</x:v>
      </x:c>
      <x:c r="M56" s="1" t="str">
        <x:f>IF(G56=I56,"Empate",IF(G56&gt;I56,"Física","Especial"))</x:f>
        <x:v>Física</x:v>
      </x:c>
      <x:c r="N56" s="10" t="n">
        <x:v>20</x:v>
      </x:c>
      <x:c r="O56" s="10" t="n">
        <x:v>248</x:v>
      </x:c>
      <x:c r="P56" s="10" t="n">
        <x:v>300</x:v>
      </x:c>
      <x:c r="Q56" s="10" t="n">
        <x:v>300</x:v>
      </x:c>
      <x:c r="R56" s="1" t="str">
        <x:v>Persian</x:v>
      </x:c>
      <x:c r="S56" s="1" t="n">
        <x:v>50</x:v>
      </x:c>
      <x:c r="T56" s="9" t="str">
        <x:v>https://poke.idleworld.online/pokepedia/pokemon/meowth</x:v>
      </x:c>
    </x:row>
    <x:row r="57" ht="22" customHeight="1">
      <x:c r="A57" s="1" t="n">
        <x:v>53</x:v>
      </x:c>
      <x:c r="B57" s="1" t="str">
        <x:v>Persian</x:v>
      </x:c>
      <x:c r="C57" s="1" t="str">
        <x:v>Normal</x:v>
      </x:c>
      <x:c r="D57" s="1" t="str"/>
      <x:c r="E57" s="1" t="str">
        <x:v>Comum</x:v>
      </x:c>
      <x:c r="F57" s="10" t="n">
        <x:v>65</x:v>
      </x:c>
      <x:c r="G57" s="10" t="n">
        <x:v>70</x:v>
      </x:c>
      <x:c r="H57" s="10" t="n">
        <x:v>60</x:v>
      </x:c>
      <x:c r="I57" s="10" t="n">
        <x:v>65</x:v>
      </x:c>
      <x:c r="J57" s="10" t="n">
        <x:v>65</x:v>
      </x:c>
      <x:c r="K57" s="10" t="n">
        <x:v>115</x:v>
      </x:c>
      <x:c r="L57" s="10" t="n">
        <x:f>SUM(F57:K57)</x:f>
        <x:v>440</x:v>
      </x:c>
      <x:c r="M57" s="1" t="str">
        <x:f>IF(G57=I57,"Empate",IF(G57&gt;I57,"Física","Especial"))</x:f>
        <x:v>Física</x:v>
      </x:c>
      <x:c r="N57" s="10" t="n">
        <x:v>50</x:v>
      </x:c>
      <x:c r="O57" s="10" t="n">
        <x:v>1508</x:v>
      </x:c>
      <x:c r="P57" s="10" t="n">
        <x:v>3000</x:v>
      </x:c>
      <x:c r="Q57" s="10" t="n">
        <x:v>3000</x:v>
      </x:c>
      <x:c r="R57" s="1" t="str"/>
      <x:c r="S57" s="1"/>
      <x:c r="T57" s="9" t="str">
        <x:v>https://poke.idleworld.online/pokepedia/pokemon/persian</x:v>
      </x:c>
    </x:row>
    <x:row r="58" ht="22" customHeight="1">
      <x:c r="A58" s="1" t="n">
        <x:v>54</x:v>
      </x:c>
      <x:c r="B58" s="1" t="str">
        <x:v>Psyduck</x:v>
      </x:c>
      <x:c r="C58" s="1" t="str">
        <x:v>Água</x:v>
      </x:c>
      <x:c r="D58" s="1" t="str"/>
      <x:c r="E58" s="1" t="str">
        <x:v>Comum</x:v>
      </x:c>
      <x:c r="F58" s="10" t="n">
        <x:v>50</x:v>
      </x:c>
      <x:c r="G58" s="10" t="n">
        <x:v>52</x:v>
      </x:c>
      <x:c r="H58" s="10" t="n">
        <x:v>48</x:v>
      </x:c>
      <x:c r="I58" s="10" t="n">
        <x:v>65</x:v>
      </x:c>
      <x:c r="J58" s="10" t="n">
        <x:v>50</x:v>
      </x:c>
      <x:c r="K58" s="10" t="n">
        <x:v>55</x:v>
      </x:c>
      <x:c r="L58" s="10" t="n">
        <x:f>SUM(F58:K58)</x:f>
        <x:v>320</x:v>
      </x:c>
      <x:c r="M58" s="1" t="str">
        <x:f>IF(G58=I58,"Empate",IF(G58&gt;I58,"Física","Especial"))</x:f>
        <x:v>Especial</x:v>
      </x:c>
      <x:c r="N58" s="10" t="n">
        <x:v>20</x:v>
      </x:c>
      <x:c r="O58" s="10" t="n">
        <x:v>248</x:v>
      </x:c>
      <x:c r="P58" s="10" t="n">
        <x:v>1500</x:v>
      </x:c>
      <x:c r="Q58" s="10" t="n">
        <x:v>1500</x:v>
      </x:c>
      <x:c r="R58" s="1" t="str">
        <x:v>Golduck</x:v>
      </x:c>
      <x:c r="S58" s="1" t="n">
        <x:v>70</x:v>
      </x:c>
      <x:c r="T58" s="9" t="str">
        <x:v>https://poke.idleworld.online/pokepedia/pokemon/psyduck</x:v>
      </x:c>
    </x:row>
    <x:row r="59" ht="22" customHeight="1">
      <x:c r="A59" s="1" t="n">
        <x:v>55</x:v>
      </x:c>
      <x:c r="B59" s="1" t="str">
        <x:v>Golduck</x:v>
      </x:c>
      <x:c r="C59" s="1" t="str">
        <x:v>Água</x:v>
      </x:c>
      <x:c r="D59" s="1" t="str"/>
      <x:c r="E59" s="1" t="str">
        <x:v>Comum</x:v>
      </x:c>
      <x:c r="F59" s="10" t="n">
        <x:v>80</x:v>
      </x:c>
      <x:c r="G59" s="10" t="n">
        <x:v>82</x:v>
      </x:c>
      <x:c r="H59" s="10" t="n">
        <x:v>78</x:v>
      </x:c>
      <x:c r="I59" s="10" t="n">
        <x:v>95</x:v>
      </x:c>
      <x:c r="J59" s="10" t="n">
        <x:v>80</x:v>
      </x:c>
      <x:c r="K59" s="10" t="n">
        <x:v>85</x:v>
      </x:c>
      <x:c r="L59" s="10" t="n">
        <x:f>SUM(F59:K59)</x:f>
        <x:v>500</x:v>
      </x:c>
      <x:c r="M59" s="1" t="str">
        <x:f>IF(G59=I59,"Empate",IF(G59&gt;I59,"Física","Especial"))</x:f>
        <x:v>Especial</x:v>
      </x:c>
      <x:c r="N59" s="10" t="n">
        <x:v>80</x:v>
      </x:c>
      <x:c r="O59" s="10" t="n">
        <x:v>3848</x:v>
      </x:c>
      <x:c r="P59" s="10" t="n">
        <x:v>11500</x:v>
      </x:c>
      <x:c r="Q59" s="10" t="n">
        <x:v>11500</x:v>
      </x:c>
      <x:c r="R59" s="1" t="str"/>
      <x:c r="S59" s="1"/>
      <x:c r="T59" s="9" t="str">
        <x:v>https://poke.idleworld.online/pokepedia/pokemon/golduck</x:v>
      </x:c>
    </x:row>
    <x:row r="60" ht="22" customHeight="1">
      <x:c r="A60" s="1" t="n">
        <x:v>56</x:v>
      </x:c>
      <x:c r="B60" s="1" t="str">
        <x:v>Mankey</x:v>
      </x:c>
      <x:c r="C60" s="1" t="str">
        <x:v>Lutador</x:v>
      </x:c>
      <x:c r="D60" s="1" t="str"/>
      <x:c r="E60" s="1" t="str">
        <x:v>Comum</x:v>
      </x:c>
      <x:c r="F60" s="10" t="n">
        <x:v>40</x:v>
      </x:c>
      <x:c r="G60" s="10" t="n">
        <x:v>80</x:v>
      </x:c>
      <x:c r="H60" s="10" t="n">
        <x:v>35</x:v>
      </x:c>
      <x:c r="I60" s="10" t="n">
        <x:v>35</x:v>
      </x:c>
      <x:c r="J60" s="10" t="n">
        <x:v>45</x:v>
      </x:c>
      <x:c r="K60" s="10" t="n">
        <x:v>70</x:v>
      </x:c>
      <x:c r="L60" s="10" t="n">
        <x:f>SUM(F60:K60)</x:f>
        <x:v>305</x:v>
      </x:c>
      <x:c r="M60" s="1" t="str">
        <x:f>IF(G60=I60,"Empate",IF(G60&gt;I60,"Física","Especial"))</x:f>
        <x:v>Física</x:v>
      </x:c>
      <x:c r="N60" s="10" t="n">
        <x:v>10</x:v>
      </x:c>
      <x:c r="O60" s="10" t="n">
        <x:v>68</x:v>
      </x:c>
      <x:c r="P60" s="10" t="n">
        <x:v>300</x:v>
      </x:c>
      <x:c r="Q60" s="10" t="n">
        <x:v>300</x:v>
      </x:c>
      <x:c r="R60" s="1" t="str">
        <x:v>Primeape</x:v>
      </x:c>
      <x:c r="S60" s="1" t="n">
        <x:v>50</x:v>
      </x:c>
      <x:c r="T60" s="9" t="str">
        <x:v>https://poke.idleworld.online/pokepedia/pokemon/mankey</x:v>
      </x:c>
    </x:row>
    <x:row r="61" ht="22" customHeight="1">
      <x:c r="A61" s="1" t="n">
        <x:v>57</x:v>
      </x:c>
      <x:c r="B61" s="1" t="str">
        <x:v>Primeape</x:v>
      </x:c>
      <x:c r="C61" s="1" t="str">
        <x:v>Lutador</x:v>
      </x:c>
      <x:c r="D61" s="1" t="str"/>
      <x:c r="E61" s="1" t="str">
        <x:v>Comum</x:v>
      </x:c>
      <x:c r="F61" s="10" t="n">
        <x:v>65</x:v>
      </x:c>
      <x:c r="G61" s="10" t="n">
        <x:v>105</x:v>
      </x:c>
      <x:c r="H61" s="10" t="n">
        <x:v>60</x:v>
      </x:c>
      <x:c r="I61" s="10" t="n">
        <x:v>60</x:v>
      </x:c>
      <x:c r="J61" s="10" t="n">
        <x:v>70</x:v>
      </x:c>
      <x:c r="K61" s="10" t="n">
        <x:v>95</x:v>
      </x:c>
      <x:c r="L61" s="10" t="n">
        <x:f>SUM(F61:K61)</x:f>
        <x:v>455</x:v>
      </x:c>
      <x:c r="M61" s="1" t="str">
        <x:f>IF(G61=I61,"Empate",IF(G61&gt;I61,"Física","Especial"))</x:f>
        <x:v>Física</x:v>
      </x:c>
      <x:c r="N61" s="10" t="n">
        <x:v>30</x:v>
      </x:c>
      <x:c r="O61" s="10" t="n">
        <x:v>548</x:v>
      </x:c>
      <x:c r="P61" s="10" t="n">
        <x:v>5300</x:v>
      </x:c>
      <x:c r="Q61" s="10" t="n">
        <x:v>5300</x:v>
      </x:c>
      <x:c r="R61" s="1" t="str"/>
      <x:c r="S61" s="1"/>
      <x:c r="T61" s="9" t="str">
        <x:v>https://poke.idleworld.online/pokepedia/pokemon/primeape</x:v>
      </x:c>
    </x:row>
    <x:row r="62" ht="22" customHeight="1">
      <x:c r="A62" s="1" t="n">
        <x:v>58</x:v>
      </x:c>
      <x:c r="B62" s="1" t="str">
        <x:v>Growlithe</x:v>
      </x:c>
      <x:c r="C62" s="1" t="str">
        <x:v>Fogo</x:v>
      </x:c>
      <x:c r="D62" s="1" t="str"/>
      <x:c r="E62" s="1" t="str">
        <x:v>Comum</x:v>
      </x:c>
      <x:c r="F62" s="10" t="n">
        <x:v>55</x:v>
      </x:c>
      <x:c r="G62" s="10" t="n">
        <x:v>70</x:v>
      </x:c>
      <x:c r="H62" s="10" t="n">
        <x:v>45</x:v>
      </x:c>
      <x:c r="I62" s="10" t="n">
        <x:v>70</x:v>
      </x:c>
      <x:c r="J62" s="10" t="n">
        <x:v>50</x:v>
      </x:c>
      <x:c r="K62" s="10" t="n">
        <x:v>60</x:v>
      </x:c>
      <x:c r="L62" s="10" t="n">
        <x:f>SUM(F62:K62)</x:f>
        <x:v>350</x:v>
      </x:c>
      <x:c r="M62" s="1" t="str">
        <x:f>IF(G62=I62,"Empate",IF(G62&gt;I62,"Física","Especial"))</x:f>
        <x:v>Empate</x:v>
      </x:c>
      <x:c r="N62" s="10" t="n">
        <x:v>30</x:v>
      </x:c>
      <x:c r="O62" s="10" t="n">
        <x:v>548</x:v>
      </x:c>
      <x:c r="P62" s="10" t="n">
        <x:v>3500</x:v>
      </x:c>
      <x:c r="Q62" s="10" t="n">
        <x:v>3500</x:v>
      </x:c>
      <x:c r="R62" s="1" t="str">
        <x:v>Arcanine</x:v>
      </x:c>
      <x:c r="S62" s="1" t="n">
        <x:v>100</x:v>
      </x:c>
      <x:c r="T62" s="9" t="str">
        <x:v>https://poke.idleworld.online/pokepedia/pokemon/growlithe</x:v>
      </x:c>
    </x:row>
    <x:row r="63" ht="22" customHeight="1">
      <x:c r="A63" s="1" t="n">
        <x:v>59</x:v>
      </x:c>
      <x:c r="B63" s="1" t="str">
        <x:v>Arcanine</x:v>
      </x:c>
      <x:c r="C63" s="1" t="str">
        <x:v>Fogo</x:v>
      </x:c>
      <x:c r="D63" s="1" t="str"/>
      <x:c r="E63" s="1" t="str">
        <x:v>Comum</x:v>
      </x:c>
      <x:c r="F63" s="10" t="n">
        <x:v>90</x:v>
      </x:c>
      <x:c r="G63" s="10" t="n">
        <x:v>110</x:v>
      </x:c>
      <x:c r="H63" s="10" t="n">
        <x:v>80</x:v>
      </x:c>
      <x:c r="I63" s="10" t="n">
        <x:v>100</x:v>
      </x:c>
      <x:c r="J63" s="10" t="n">
        <x:v>80</x:v>
      </x:c>
      <x:c r="K63" s="10" t="n">
        <x:v>95</x:v>
      </x:c>
      <x:c r="L63" s="10" t="n">
        <x:f>SUM(F63:K63)</x:f>
        <x:v>555</x:v>
      </x:c>
      <x:c r="M63" s="1" t="str">
        <x:f>IF(G63=I63,"Empate",IF(G63&gt;I63,"Física","Especial"))</x:f>
        <x:v>Física</x:v>
      </x:c>
      <x:c r="N63" s="10" t="n">
        <x:v>100</x:v>
      </x:c>
      <x:c r="O63" s="10" t="n">
        <x:v>6008</x:v>
      </x:c>
      <x:c r="P63" s="10" t="n">
        <x:v>29250</x:v>
      </x:c>
      <x:c r="Q63" s="10" t="n">
        <x:v>29250</x:v>
      </x:c>
      <x:c r="R63" s="1" t="str"/>
      <x:c r="S63" s="1"/>
      <x:c r="T63" s="9" t="str">
        <x:v>https://poke.idleworld.online/pokepedia/pokemon/arcanine</x:v>
      </x:c>
    </x:row>
    <x:row r="64" ht="22" customHeight="1">
      <x:c r="A64" s="1" t="n">
        <x:v>60</x:v>
      </x:c>
      <x:c r="B64" s="1" t="str">
        <x:v>Poliwag</x:v>
      </x:c>
      <x:c r="C64" s="1" t="str">
        <x:v>Água</x:v>
      </x:c>
      <x:c r="D64" s="1" t="str"/>
      <x:c r="E64" s="1" t="str">
        <x:v>Comum</x:v>
      </x:c>
      <x:c r="F64" s="10" t="n">
        <x:v>40</x:v>
      </x:c>
      <x:c r="G64" s="10" t="n">
        <x:v>50</x:v>
      </x:c>
      <x:c r="H64" s="10" t="n">
        <x:v>40</x:v>
      </x:c>
      <x:c r="I64" s="10" t="n">
        <x:v>40</x:v>
      </x:c>
      <x:c r="J64" s="10" t="n">
        <x:v>40</x:v>
      </x:c>
      <x:c r="K64" s="10" t="n">
        <x:v>90</x:v>
      </x:c>
      <x:c r="L64" s="10" t="n">
        <x:f>SUM(F64:K64)</x:f>
        <x:v>300</x:v>
      </x:c>
      <x:c r="M64" s="1" t="str">
        <x:f>IF(G64=I64,"Empate",IF(G64&gt;I64,"Física","Especial"))</x:f>
        <x:v>Física</x:v>
      </x:c>
      <x:c r="N64" s="10" t="n">
        <x:v>1</x:v>
      </x:c>
      <x:c r="O64" s="10" t="n">
        <x:v>8</x:v>
      </x:c>
      <x:c r="P64" s="10" t="n">
        <x:v>80</x:v>
      </x:c>
      <x:c r="Q64" s="10" t="n">
        <x:v>80</x:v>
      </x:c>
      <x:c r="R64" s="1" t="str">
        <x:v>Poliwhirl</x:v>
      </x:c>
      <x:c r="S64" s="1" t="n">
        <x:v>30</x:v>
      </x:c>
      <x:c r="T64" s="9" t="str">
        <x:v>https://poke.idleworld.online/pokepedia/pokemon/poliwag</x:v>
      </x:c>
    </x:row>
    <x:row r="65" ht="22" customHeight="1">
      <x:c r="A65" s="1" t="n">
        <x:v>61</x:v>
      </x:c>
      <x:c r="B65" s="1" t="str">
        <x:v>Poliwhirl</x:v>
      </x:c>
      <x:c r="C65" s="1" t="str">
        <x:v>Água</x:v>
      </x:c>
      <x:c r="D65" s="1" t="str"/>
      <x:c r="E65" s="1" t="str">
        <x:v>Comum</x:v>
      </x:c>
      <x:c r="F65" s="10" t="n">
        <x:v>65</x:v>
      </x:c>
      <x:c r="G65" s="10" t="n">
        <x:v>65</x:v>
      </x:c>
      <x:c r="H65" s="10" t="n">
        <x:v>65</x:v>
      </x:c>
      <x:c r="I65" s="10" t="n">
        <x:v>50</x:v>
      </x:c>
      <x:c r="J65" s="10" t="n">
        <x:v>50</x:v>
      </x:c>
      <x:c r="K65" s="10" t="n">
        <x:v>90</x:v>
      </x:c>
      <x:c r="L65" s="10" t="n">
        <x:f>SUM(F65:K65)</x:f>
        <x:v>385</x:v>
      </x:c>
      <x:c r="M65" s="1" t="str">
        <x:f>IF(G65=I65,"Empate",IF(G65&gt;I65,"Física","Especial"))</x:f>
        <x:v>Física</x:v>
      </x:c>
      <x:c r="N65" s="10" t="n">
        <x:v>30</x:v>
      </x:c>
      <x:c r="O65" s="10" t="n">
        <x:v>548</x:v>
      </x:c>
      <x:c r="P65" s="10" t="n">
        <x:v>3000</x:v>
      </x:c>
      <x:c r="Q65" s="10" t="n">
        <x:v>3000</x:v>
      </x:c>
      <x:c r="R65" s="1" t="str">
        <x:v>Poliwrath</x:v>
      </x:c>
      <x:c r="S65" s="1" t="n">
        <x:v>80</x:v>
      </x:c>
      <x:c r="T65" s="9" t="str">
        <x:v>https://poke.idleworld.online/pokepedia/pokemon/poliwhirl</x:v>
      </x:c>
    </x:row>
    <x:row r="66" ht="22" customHeight="1">
      <x:c r="A66" s="1" t="n">
        <x:v>62</x:v>
      </x:c>
      <x:c r="B66" s="1" t="str">
        <x:v>Poliwrath</x:v>
      </x:c>
      <x:c r="C66" s="1" t="str">
        <x:v>Água</x:v>
      </x:c>
      <x:c r="D66" s="1" t="str">
        <x:v>Lutador</x:v>
      </x:c>
      <x:c r="E66" s="1" t="str">
        <x:v>Comum</x:v>
      </x:c>
      <x:c r="F66" s="10" t="n">
        <x:v>90</x:v>
      </x:c>
      <x:c r="G66" s="10" t="n">
        <x:v>95</x:v>
      </x:c>
      <x:c r="H66" s="10" t="n">
        <x:v>95</x:v>
      </x:c>
      <x:c r="I66" s="10" t="n">
        <x:v>70</x:v>
      </x:c>
      <x:c r="J66" s="10" t="n">
        <x:v>90</x:v>
      </x:c>
      <x:c r="K66" s="10" t="n">
        <x:v>70</x:v>
      </x:c>
      <x:c r="L66" s="10" t="n">
        <x:f>SUM(F66:K66)</x:f>
        <x:v>510</x:v>
      </x:c>
      <x:c r="M66" s="1" t="str">
        <x:f>IF(G66=I66,"Empate",IF(G66&gt;I66,"Física","Especial"))</x:f>
        <x:v>Física</x:v>
      </x:c>
      <x:c r="N66" s="10" t="n">
        <x:v>80</x:v>
      </x:c>
      <x:c r="O66" s="10" t="n">
        <x:v>3848</x:v>
      </x:c>
      <x:c r="P66" s="10" t="n">
        <x:v>13000</x:v>
      </x:c>
      <x:c r="Q66" s="10" t="n">
        <x:v>13000</x:v>
      </x:c>
      <x:c r="R66" s="1" t="str"/>
      <x:c r="S66" s="1"/>
      <x:c r="T66" s="9" t="str">
        <x:v>https://poke.idleworld.online/pokepedia/pokemon/poliwrath</x:v>
      </x:c>
    </x:row>
    <x:row r="67" ht="22" customHeight="1">
      <x:c r="A67" s="1" t="n">
        <x:v>63</x:v>
      </x:c>
      <x:c r="B67" s="1" t="str">
        <x:v>Abra</x:v>
      </x:c>
      <x:c r="C67" s="1" t="str">
        <x:v>Psíquico</x:v>
      </x:c>
      <x:c r="D67" s="1" t="str"/>
      <x:c r="E67" s="1" t="str">
        <x:v>Comum</x:v>
      </x:c>
      <x:c r="F67" s="10" t="n">
        <x:v>25</x:v>
      </x:c>
      <x:c r="G67" s="10" t="n">
        <x:v>20</x:v>
      </x:c>
      <x:c r="H67" s="10" t="n">
        <x:v>15</x:v>
      </x:c>
      <x:c r="I67" s="10" t="n">
        <x:v>105</x:v>
      </x:c>
      <x:c r="J67" s="10" t="n">
        <x:v>55</x:v>
      </x:c>
      <x:c r="K67" s="10" t="n">
        <x:v>90</x:v>
      </x:c>
      <x:c r="L67" s="10" t="n">
        <x:f>SUM(F67:K67)</x:f>
        <x:v>310</x:v>
      </x:c>
      <x:c r="M67" s="1" t="str">
        <x:f>IF(G67=I67,"Empate",IF(G67&gt;I67,"Física","Especial"))</x:f>
        <x:v>Especial</x:v>
      </x:c>
      <x:c r="N67" s="10" t="n">
        <x:v>10</x:v>
      </x:c>
      <x:c r="O67" s="10" t="n">
        <x:v>68</x:v>
      </x:c>
      <x:c r="P67" s="10" t="n">
        <x:v>800</x:v>
      </x:c>
      <x:c r="Q67" s="10" t="n">
        <x:v>800</x:v>
      </x:c>
      <x:c r="R67" s="1" t="str">
        <x:v>Kadabra</x:v>
      </x:c>
      <x:c r="S67" s="1" t="n">
        <x:v>50</x:v>
      </x:c>
      <x:c r="T67" s="9" t="str">
        <x:v>https://poke.idleworld.online/pokepedia/pokemon/abra</x:v>
      </x:c>
    </x:row>
    <x:row r="68" ht="22" customHeight="1">
      <x:c r="A68" s="1" t="n">
        <x:v>64</x:v>
      </x:c>
      <x:c r="B68" s="1" t="str">
        <x:v>Kadabra</x:v>
      </x:c>
      <x:c r="C68" s="1" t="str">
        <x:v>Psíquico</x:v>
      </x:c>
      <x:c r="D68" s="1" t="str"/>
      <x:c r="E68" s="1" t="str">
        <x:v>Comum</x:v>
      </x:c>
      <x:c r="F68" s="10" t="n">
        <x:v>40</x:v>
      </x:c>
      <x:c r="G68" s="10" t="n">
        <x:v>35</x:v>
      </x:c>
      <x:c r="H68" s="10" t="n">
        <x:v>30</x:v>
      </x:c>
      <x:c r="I68" s="10" t="n">
        <x:v>120</x:v>
      </x:c>
      <x:c r="J68" s="10" t="n">
        <x:v>70</x:v>
      </x:c>
      <x:c r="K68" s="10" t="n">
        <x:v>105</x:v>
      </x:c>
      <x:c r="L68" s="10" t="n">
        <x:f>SUM(F68:K68)</x:f>
        <x:v>400</x:v>
      </x:c>
      <x:c r="M68" s="1" t="str">
        <x:f>IF(G68=I68,"Empate",IF(G68&gt;I68,"Física","Especial"))</x:f>
        <x:v>Especial</x:v>
      </x:c>
      <x:c r="N68" s="10" t="n">
        <x:v>50</x:v>
      </x:c>
      <x:c r="O68" s="10" t="n">
        <x:v>1508</x:v>
      </x:c>
      <x:c r="P68" s="10" t="n">
        <x:v>5800</x:v>
      </x:c>
      <x:c r="Q68" s="10" t="n">
        <x:v>5800</x:v>
      </x:c>
      <x:c r="R68" s="1" t="str">
        <x:v>Alakazam</x:v>
      </x:c>
      <x:c r="S68" s="1" t="n">
        <x:v>100</x:v>
      </x:c>
      <x:c r="T68" s="9" t="str">
        <x:v>https://poke.idleworld.online/pokepedia/pokemon/kadabra</x:v>
      </x:c>
    </x:row>
    <x:row r="69" ht="22" customHeight="1">
      <x:c r="A69" s="1" t="n">
        <x:v>65</x:v>
      </x:c>
      <x:c r="B69" s="1" t="str">
        <x:v>Alakazam</x:v>
      </x:c>
      <x:c r="C69" s="1" t="str">
        <x:v>Psíquico</x:v>
      </x:c>
      <x:c r="D69" s="1" t="str"/>
      <x:c r="E69" s="1" t="str">
        <x:v>Comum</x:v>
      </x:c>
      <x:c r="F69" s="10" t="n">
        <x:v>55</x:v>
      </x:c>
      <x:c r="G69" s="10" t="n">
        <x:v>50</x:v>
      </x:c>
      <x:c r="H69" s="10" t="n">
        <x:v>45</x:v>
      </x:c>
      <x:c r="I69" s="10" t="n">
        <x:v>135</x:v>
      </x:c>
      <x:c r="J69" s="10" t="n">
        <x:v>95</x:v>
      </x:c>
      <x:c r="K69" s="10" t="n">
        <x:v>120</x:v>
      </x:c>
      <x:c r="L69" s="10" t="n">
        <x:f>SUM(F69:K69)</x:f>
        <x:v>500</x:v>
      </x:c>
      <x:c r="M69" s="1" t="str">
        <x:f>IF(G69=I69,"Empate",IF(G69&gt;I69,"Física","Especial"))</x:f>
        <x:v>Especial</x:v>
      </x:c>
      <x:c r="N69" s="10" t="n">
        <x:v>100</x:v>
      </x:c>
      <x:c r="O69" s="10" t="n">
        <x:v>6008</x:v>
      </x:c>
      <x:c r="P69" s="10" t="n">
        <x:v>15800</x:v>
      </x:c>
      <x:c r="Q69" s="10" t="n">
        <x:v>15800</x:v>
      </x:c>
      <x:c r="R69" s="1" t="str"/>
      <x:c r="S69" s="1"/>
      <x:c r="T69" s="9" t="str">
        <x:v>https://poke.idleworld.online/pokepedia/pokemon/alakazam</x:v>
      </x:c>
    </x:row>
    <x:row r="70" ht="22" customHeight="1">
      <x:c r="A70" s="1" t="n">
        <x:v>66</x:v>
      </x:c>
      <x:c r="B70" s="1" t="str">
        <x:v>Machop</x:v>
      </x:c>
      <x:c r="C70" s="1" t="str">
        <x:v>Lutador</x:v>
      </x:c>
      <x:c r="D70" s="1" t="str"/>
      <x:c r="E70" s="1" t="str">
        <x:v>Comum</x:v>
      </x:c>
      <x:c r="F70" s="10" t="n">
        <x:v>70</x:v>
      </x:c>
      <x:c r="G70" s="10" t="n">
        <x:v>80</x:v>
      </x:c>
      <x:c r="H70" s="10" t="n">
        <x:v>50</x:v>
      </x:c>
      <x:c r="I70" s="10" t="n">
        <x:v>35</x:v>
      </x:c>
      <x:c r="J70" s="10" t="n">
        <x:v>35</x:v>
      </x:c>
      <x:c r="K70" s="10" t="n">
        <x:v>35</x:v>
      </x:c>
      <x:c r="L70" s="10" t="n">
        <x:f>SUM(F70:K70)</x:f>
        <x:v>305</x:v>
      </x:c>
      <x:c r="M70" s="1" t="str">
        <x:f>IF(G70=I70,"Empate",IF(G70&gt;I70,"Física","Especial"))</x:f>
        <x:v>Física</x:v>
      </x:c>
      <x:c r="N70" s="10" t="n">
        <x:v>20</x:v>
      </x:c>
      <x:c r="O70" s="10" t="n">
        <x:v>248</x:v>
      </x:c>
      <x:c r="P70" s="10" t="n">
        <x:v>2000</x:v>
      </x:c>
      <x:c r="Q70" s="10" t="n">
        <x:v>2000</x:v>
      </x:c>
      <x:c r="R70" s="1" t="str">
        <x:v>Machoke</x:v>
      </x:c>
      <x:c r="S70" s="1" t="n">
        <x:v>40</x:v>
      </x:c>
      <x:c r="T70" s="9" t="str">
        <x:v>https://poke.idleworld.online/pokepedia/pokemon/machop</x:v>
      </x:c>
    </x:row>
    <x:row r="71" ht="22" customHeight="1">
      <x:c r="A71" s="1" t="n">
        <x:v>67</x:v>
      </x:c>
      <x:c r="B71" s="1" t="str">
        <x:v>Machoke</x:v>
      </x:c>
      <x:c r="C71" s="1" t="str">
        <x:v>Lutador</x:v>
      </x:c>
      <x:c r="D71" s="1" t="str"/>
      <x:c r="E71" s="1" t="str">
        <x:v>Comum</x:v>
      </x:c>
      <x:c r="F71" s="10" t="n">
        <x:v>80</x:v>
      </x:c>
      <x:c r="G71" s="10" t="n">
        <x:v>100</x:v>
      </x:c>
      <x:c r="H71" s="10" t="n">
        <x:v>70</x:v>
      </x:c>
      <x:c r="I71" s="10" t="n">
        <x:v>50</x:v>
      </x:c>
      <x:c r="J71" s="10" t="n">
        <x:v>60</x:v>
      </x:c>
      <x:c r="K71" s="10" t="n">
        <x:v>45</x:v>
      </x:c>
      <x:c r="L71" s="10" t="n">
        <x:f>SUM(F71:K71)</x:f>
        <x:v>405</x:v>
      </x:c>
      <x:c r="M71" s="1" t="str">
        <x:f>IF(G71=I71,"Empate",IF(G71&gt;I71,"Física","Especial"))</x:f>
        <x:v>Física</x:v>
      </x:c>
      <x:c r="N71" s="10" t="n">
        <x:v>40</x:v>
      </x:c>
      <x:c r="O71" s="10" t="n">
        <x:v>968</x:v>
      </x:c>
      <x:c r="P71" s="10" t="n">
        <x:v>7000</x:v>
      </x:c>
      <x:c r="Q71" s="10" t="n">
        <x:v>7000</x:v>
      </x:c>
      <x:c r="R71" s="1" t="str">
        <x:v>Machamp</x:v>
      </x:c>
      <x:c r="S71" s="1" t="n">
        <x:v>80</x:v>
      </x:c>
      <x:c r="T71" s="9" t="str">
        <x:v>https://poke.idleworld.online/pokepedia/pokemon/machoke</x:v>
      </x:c>
    </x:row>
    <x:row r="72" ht="22" customHeight="1">
      <x:c r="A72" s="1" t="n">
        <x:v>68</x:v>
      </x:c>
      <x:c r="B72" s="1" t="str">
        <x:v>Machamp</x:v>
      </x:c>
      <x:c r="C72" s="1" t="str">
        <x:v>Lutador</x:v>
      </x:c>
      <x:c r="D72" s="1" t="str"/>
      <x:c r="E72" s="1" t="str">
        <x:v>Comum</x:v>
      </x:c>
      <x:c r="F72" s="10" t="n">
        <x:v>90</x:v>
      </x:c>
      <x:c r="G72" s="10" t="n">
        <x:v>130</x:v>
      </x:c>
      <x:c r="H72" s="10" t="n">
        <x:v>80</x:v>
      </x:c>
      <x:c r="I72" s="10" t="n">
        <x:v>65</x:v>
      </x:c>
      <x:c r="J72" s="10" t="n">
        <x:v>85</x:v>
      </x:c>
      <x:c r="K72" s="10" t="n">
        <x:v>55</x:v>
      </x:c>
      <x:c r="L72" s="10" t="n">
        <x:f>SUM(F72:K72)</x:f>
        <x:v>505</x:v>
      </x:c>
      <x:c r="M72" s="1" t="str">
        <x:f>IF(G72=I72,"Empate",IF(G72&gt;I72,"Física","Especial"))</x:f>
        <x:v>Física</x:v>
      </x:c>
      <x:c r="N72" s="10" t="n">
        <x:v>80</x:v>
      </x:c>
      <x:c r="O72" s="10" t="n">
        <x:v>3848</x:v>
      </x:c>
      <x:c r="P72" s="10" t="n">
        <x:v>17000</x:v>
      </x:c>
      <x:c r="Q72" s="10" t="n">
        <x:v>17000</x:v>
      </x:c>
      <x:c r="R72" s="1" t="str"/>
      <x:c r="S72" s="1"/>
      <x:c r="T72" s="9" t="str">
        <x:v>https://poke.idleworld.online/pokepedia/pokemon/machamp</x:v>
      </x:c>
    </x:row>
    <x:row r="73" ht="22" customHeight="1">
      <x:c r="A73" s="1" t="n">
        <x:v>69</x:v>
      </x:c>
      <x:c r="B73" s="1" t="str">
        <x:v>Bellsprout</x:v>
      </x:c>
      <x:c r="C73" s="1" t="str">
        <x:v>Planta</x:v>
      </x:c>
      <x:c r="D73" s="1" t="str">
        <x:v>Venenoso</x:v>
      </x:c>
      <x:c r="E73" s="1" t="str">
        <x:v>Comum</x:v>
      </x:c>
      <x:c r="F73" s="10" t="n">
        <x:v>50</x:v>
      </x:c>
      <x:c r="G73" s="10" t="n">
        <x:v>75</x:v>
      </x:c>
      <x:c r="H73" s="10" t="n">
        <x:v>35</x:v>
      </x:c>
      <x:c r="I73" s="10" t="n">
        <x:v>70</x:v>
      </x:c>
      <x:c r="J73" s="10" t="n">
        <x:v>30</x:v>
      </x:c>
      <x:c r="K73" s="10" t="n">
        <x:v>40</x:v>
      </x:c>
      <x:c r="L73" s="10" t="n">
        <x:f>SUM(F73:K73)</x:f>
        <x:v>300</x:v>
      </x:c>
      <x:c r="M73" s="1" t="str">
        <x:f>IF(G73=I73,"Empate",IF(G73&gt;I73,"Física","Especial"))</x:f>
        <x:v>Física</x:v>
      </x:c>
      <x:c r="N73" s="10" t="n">
        <x:v>1</x:v>
      </x:c>
      <x:c r="O73" s="10" t="n">
        <x:v>8</x:v>
      </x:c>
      <x:c r="P73" s="10" t="n">
        <x:v>80</x:v>
      </x:c>
      <x:c r="Q73" s="10" t="n">
        <x:v>80</x:v>
      </x:c>
      <x:c r="R73" s="1" t="str">
        <x:v>Weepinbell</x:v>
      </x:c>
      <x:c r="S73" s="1" t="n">
        <x:v>30</x:v>
      </x:c>
      <x:c r="T73" s="9" t="str">
        <x:v>https://poke.idleworld.online/pokepedia/pokemon/bellsprout</x:v>
      </x:c>
    </x:row>
    <x:row r="74" ht="22" customHeight="1">
      <x:c r="A74" s="1" t="n">
        <x:v>70</x:v>
      </x:c>
      <x:c r="B74" s="1" t="str">
        <x:v>Weepinbell</x:v>
      </x:c>
      <x:c r="C74" s="1" t="str">
        <x:v>Planta</x:v>
      </x:c>
      <x:c r="D74" s="1" t="str">
        <x:v>Venenoso</x:v>
      </x:c>
      <x:c r="E74" s="1" t="str">
        <x:v>Comum</x:v>
      </x:c>
      <x:c r="F74" s="10" t="n">
        <x:v>65</x:v>
      </x:c>
      <x:c r="G74" s="10" t="n">
        <x:v>90</x:v>
      </x:c>
      <x:c r="H74" s="10" t="n">
        <x:v>50</x:v>
      </x:c>
      <x:c r="I74" s="10" t="n">
        <x:v>85</x:v>
      </x:c>
      <x:c r="J74" s="10" t="n">
        <x:v>45</x:v>
      </x:c>
      <x:c r="K74" s="10" t="n">
        <x:v>55</x:v>
      </x:c>
      <x:c r="L74" s="10" t="n">
        <x:f>SUM(F74:K74)</x:f>
        <x:v>390</x:v>
      </x:c>
      <x:c r="M74" s="1" t="str">
        <x:f>IF(G74=I74,"Empate",IF(G74&gt;I74,"Física","Especial"))</x:f>
        <x:v>Física</x:v>
      </x:c>
      <x:c r="N74" s="10" t="n">
        <x:v>30</x:v>
      </x:c>
      <x:c r="O74" s="10" t="n">
        <x:v>548</x:v>
      </x:c>
      <x:c r="P74" s="10" t="n">
        <x:v>2250</x:v>
      </x:c>
      <x:c r="Q74" s="10" t="n">
        <x:v>2250</x:v>
      </x:c>
      <x:c r="R74" s="1" t="str">
        <x:v>Victreebel</x:v>
      </x:c>
      <x:c r="S74" s="1" t="n">
        <x:v>70</x:v>
      </x:c>
      <x:c r="T74" s="9" t="str">
        <x:v>https://poke.idleworld.online/pokepedia/pokemon/weepinbell</x:v>
      </x:c>
    </x:row>
    <x:row r="75" ht="22" customHeight="1">
      <x:c r="A75" s="1" t="n">
        <x:v>71</x:v>
      </x:c>
      <x:c r="B75" s="1" t="str">
        <x:v>Victreebel</x:v>
      </x:c>
      <x:c r="C75" s="1" t="str">
        <x:v>Planta</x:v>
      </x:c>
      <x:c r="D75" s="1" t="str">
        <x:v>Venenoso</x:v>
      </x:c>
      <x:c r="E75" s="1" t="str">
        <x:v>Comum</x:v>
      </x:c>
      <x:c r="F75" s="10" t="n">
        <x:v>80</x:v>
      </x:c>
      <x:c r="G75" s="10" t="n">
        <x:v>105</x:v>
      </x:c>
      <x:c r="H75" s="10" t="n">
        <x:v>65</x:v>
      </x:c>
      <x:c r="I75" s="10" t="n">
        <x:v>100</x:v>
      </x:c>
      <x:c r="J75" s="10" t="n">
        <x:v>70</x:v>
      </x:c>
      <x:c r="K75" s="10" t="n">
        <x:v>70</x:v>
      </x:c>
      <x:c r="L75" s="10" t="n">
        <x:f>SUM(F75:K75)</x:f>
        <x:v>490</x:v>
      </x:c>
      <x:c r="M75" s="1" t="str">
        <x:f>IF(G75=I75,"Empate",IF(G75&gt;I75,"Física","Especial"))</x:f>
        <x:v>Física</x:v>
      </x:c>
      <x:c r="N75" s="10" t="n">
        <x:v>60</x:v>
      </x:c>
      <x:c r="O75" s="10" t="n">
        <x:v>2168</x:v>
      </x:c>
      <x:c r="P75" s="10" t="n">
        <x:v>12000</x:v>
      </x:c>
      <x:c r="Q75" s="10" t="n">
        <x:v>12000</x:v>
      </x:c>
      <x:c r="R75" s="1" t="str"/>
      <x:c r="S75" s="1"/>
      <x:c r="T75" s="9" t="str">
        <x:v>https://poke.idleworld.online/pokepedia/pokemon/victreebel</x:v>
      </x:c>
    </x:row>
    <x:row r="76" ht="22" customHeight="1">
      <x:c r="A76" s="1" t="n">
        <x:v>72</x:v>
      </x:c>
      <x:c r="B76" s="1" t="str">
        <x:v>Tentacool</x:v>
      </x:c>
      <x:c r="C76" s="1" t="str">
        <x:v>Água</x:v>
      </x:c>
      <x:c r="D76" s="1" t="str">
        <x:v>Venenoso</x:v>
      </x:c>
      <x:c r="E76" s="1" t="str">
        <x:v>Comum</x:v>
      </x:c>
      <x:c r="F76" s="10" t="n">
        <x:v>40</x:v>
      </x:c>
      <x:c r="G76" s="10" t="n">
        <x:v>40</x:v>
      </x:c>
      <x:c r="H76" s="10" t="n">
        <x:v>35</x:v>
      </x:c>
      <x:c r="I76" s="10" t="n">
        <x:v>50</x:v>
      </x:c>
      <x:c r="J76" s="10" t="n">
        <x:v>100</x:v>
      </x:c>
      <x:c r="K76" s="10" t="n">
        <x:v>70</x:v>
      </x:c>
      <x:c r="L76" s="10" t="n">
        <x:f>SUM(F76:K76)</x:f>
        <x:v>335</x:v>
      </x:c>
      <x:c r="M76" s="1" t="str">
        <x:f>IF(G76=I76,"Empate",IF(G76&gt;I76,"Física","Especial"))</x:f>
        <x:v>Especial</x:v>
      </x:c>
      <x:c r="N76" s="10" t="n">
        <x:v>10</x:v>
      </x:c>
      <x:c r="O76" s="10" t="n">
        <x:v>68</x:v>
      </x:c>
      <x:c r="P76" s="10" t="n">
        <x:v>300</x:v>
      </x:c>
      <x:c r="Q76" s="10" t="n">
        <x:v>300</x:v>
      </x:c>
      <x:c r="R76" s="1" t="str">
        <x:v>Tentacruel</x:v>
      </x:c>
      <x:c r="S76" s="1" t="n">
        <x:v>80</x:v>
      </x:c>
      <x:c r="T76" s="9" t="str">
        <x:v>https://poke.idleworld.online/pokepedia/pokemon/tentacool</x:v>
      </x:c>
    </x:row>
    <x:row r="77" ht="22" customHeight="1">
      <x:c r="A77" s="1" t="n">
        <x:v>73</x:v>
      </x:c>
      <x:c r="B77" s="1" t="str">
        <x:v>Tentacruel</x:v>
      </x:c>
      <x:c r="C77" s="1" t="str">
        <x:v>Água</x:v>
      </x:c>
      <x:c r="D77" s="1" t="str">
        <x:v>Venenoso</x:v>
      </x:c>
      <x:c r="E77" s="1" t="str">
        <x:v>Comum</x:v>
      </x:c>
      <x:c r="F77" s="10" t="n">
        <x:v>80</x:v>
      </x:c>
      <x:c r="G77" s="10" t="n">
        <x:v>70</x:v>
      </x:c>
      <x:c r="H77" s="10" t="n">
        <x:v>65</x:v>
      </x:c>
      <x:c r="I77" s="10" t="n">
        <x:v>80</x:v>
      </x:c>
      <x:c r="J77" s="10" t="n">
        <x:v>120</x:v>
      </x:c>
      <x:c r="K77" s="10" t="n">
        <x:v>100</x:v>
      </x:c>
      <x:c r="L77" s="10" t="n">
        <x:f>SUM(F77:K77)</x:f>
        <x:v>515</x:v>
      </x:c>
      <x:c r="M77" s="1" t="str">
        <x:f>IF(G77=I77,"Empate",IF(G77&gt;I77,"Física","Especial"))</x:f>
        <x:v>Especial</x:v>
      </x:c>
      <x:c r="N77" s="10" t="n">
        <x:v>80</x:v>
      </x:c>
      <x:c r="O77" s="10" t="n">
        <x:v>3848</x:v>
      </x:c>
      <x:c r="P77" s="10" t="n">
        <x:v>10000</x:v>
      </x:c>
      <x:c r="Q77" s="10" t="n">
        <x:v>10000</x:v>
      </x:c>
      <x:c r="R77" s="1" t="str"/>
      <x:c r="S77" s="1"/>
      <x:c r="T77" s="9" t="str">
        <x:v>https://poke.idleworld.online/pokepedia/pokemon/tentacruel</x:v>
      </x:c>
    </x:row>
    <x:row r="78" ht="22" customHeight="1">
      <x:c r="A78" s="1" t="n">
        <x:v>74</x:v>
      </x:c>
      <x:c r="B78" s="1" t="str">
        <x:v>Geodude</x:v>
      </x:c>
      <x:c r="C78" s="1" t="str">
        <x:v>Pedra</x:v>
      </x:c>
      <x:c r="D78" s="1" t="str">
        <x:v>Terrestre</x:v>
      </x:c>
      <x:c r="E78" s="1" t="str">
        <x:v>Comum</x:v>
      </x:c>
      <x:c r="F78" s="10" t="n">
        <x:v>40</x:v>
      </x:c>
      <x:c r="G78" s="10" t="n">
        <x:v>80</x:v>
      </x:c>
      <x:c r="H78" s="10" t="n">
        <x:v>100</x:v>
      </x:c>
      <x:c r="I78" s="10" t="n">
        <x:v>30</x:v>
      </x:c>
      <x:c r="J78" s="10" t="n">
        <x:v>30</x:v>
      </x:c>
      <x:c r="K78" s="10" t="n">
        <x:v>20</x:v>
      </x:c>
      <x:c r="L78" s="10" t="n">
        <x:f>SUM(F78:K78)</x:f>
        <x:v>300</x:v>
      </x:c>
      <x:c r="M78" s="1" t="str">
        <x:f>IF(G78=I78,"Empate",IF(G78&gt;I78,"Física","Especial"))</x:f>
        <x:v>Física</x:v>
      </x:c>
      <x:c r="N78" s="10" t="n">
        <x:v>1</x:v>
      </x:c>
      <x:c r="O78" s="10" t="n">
        <x:v>8</x:v>
      </x:c>
      <x:c r="P78" s="10" t="n">
        <x:v>300</x:v>
      </x:c>
      <x:c r="Q78" s="10" t="n">
        <x:v>300</x:v>
      </x:c>
      <x:c r="R78" s="1" t="str">
        <x:v>Graveler</x:v>
      </x:c>
      <x:c r="S78" s="1" t="n">
        <x:v>40</x:v>
      </x:c>
      <x:c r="T78" s="9" t="str">
        <x:v>https://poke.idleworld.online/pokepedia/pokemon/geodude</x:v>
      </x:c>
    </x:row>
    <x:row r="79" ht="22" customHeight="1">
      <x:c r="A79" s="1" t="n">
        <x:v>75</x:v>
      </x:c>
      <x:c r="B79" s="1" t="str">
        <x:v>Graveler</x:v>
      </x:c>
      <x:c r="C79" s="1" t="str">
        <x:v>Pedra</x:v>
      </x:c>
      <x:c r="D79" s="1" t="str">
        <x:v>Terrestre</x:v>
      </x:c>
      <x:c r="E79" s="1" t="str">
        <x:v>Comum</x:v>
      </x:c>
      <x:c r="F79" s="10" t="n">
        <x:v>55</x:v>
      </x:c>
      <x:c r="G79" s="10" t="n">
        <x:v>95</x:v>
      </x:c>
      <x:c r="H79" s="10" t="n">
        <x:v>115</x:v>
      </x:c>
      <x:c r="I79" s="10" t="n">
        <x:v>45</x:v>
      </x:c>
      <x:c r="J79" s="10" t="n">
        <x:v>45</x:v>
      </x:c>
      <x:c r="K79" s="10" t="n">
        <x:v>35</x:v>
      </x:c>
      <x:c r="L79" s="10" t="n">
        <x:f>SUM(F79:K79)</x:f>
        <x:v>390</x:v>
      </x:c>
      <x:c r="M79" s="1" t="str">
        <x:f>IF(G79=I79,"Empate",IF(G79&gt;I79,"Física","Especial"))</x:f>
        <x:v>Física</x:v>
      </x:c>
      <x:c r="N79" s="10" t="n">
        <x:v>40</x:v>
      </x:c>
      <x:c r="O79" s="10" t="n">
        <x:v>968</x:v>
      </x:c>
      <x:c r="P79" s="10" t="n">
        <x:v>5000</x:v>
      </x:c>
      <x:c r="Q79" s="10" t="n">
        <x:v>5000</x:v>
      </x:c>
      <x:c r="R79" s="1" t="str">
        <x:v>Golem</x:v>
      </x:c>
      <x:c r="S79" s="1" t="n">
        <x:v>80</x:v>
      </x:c>
      <x:c r="T79" s="9" t="str">
        <x:v>https://poke.idleworld.online/pokepedia/pokemon/graveler</x:v>
      </x:c>
    </x:row>
    <x:row r="80" ht="22" customHeight="1">
      <x:c r="A80" s="1" t="n">
        <x:v>76</x:v>
      </x:c>
      <x:c r="B80" s="1" t="str">
        <x:v>Golem</x:v>
      </x:c>
      <x:c r="C80" s="1" t="str">
        <x:v>Pedra</x:v>
      </x:c>
      <x:c r="D80" s="1" t="str">
        <x:v>Terrestre</x:v>
      </x:c>
      <x:c r="E80" s="1" t="str">
        <x:v>Comum</x:v>
      </x:c>
      <x:c r="F80" s="10" t="n">
        <x:v>80</x:v>
      </x:c>
      <x:c r="G80" s="10" t="n">
        <x:v>120</x:v>
      </x:c>
      <x:c r="H80" s="10" t="n">
        <x:v>130</x:v>
      </x:c>
      <x:c r="I80" s="10" t="n">
        <x:v>55</x:v>
      </x:c>
      <x:c r="J80" s="10" t="n">
        <x:v>65</x:v>
      </x:c>
      <x:c r="K80" s="10" t="n">
        <x:v>45</x:v>
      </x:c>
      <x:c r="L80" s="10" t="n">
        <x:f>SUM(F80:K80)</x:f>
        <x:v>495</x:v>
      </x:c>
      <x:c r="M80" s="1" t="str">
        <x:f>IF(G80=I80,"Empate",IF(G80&gt;I80,"Física","Especial"))</x:f>
        <x:v>Física</x:v>
      </x:c>
      <x:c r="N80" s="10" t="n">
        <x:v>80</x:v>
      </x:c>
      <x:c r="O80" s="10" t="n">
        <x:v>3848</x:v>
      </x:c>
      <x:c r="P80" s="10" t="n">
        <x:v>15000</x:v>
      </x:c>
      <x:c r="Q80" s="10" t="n">
        <x:v>15000</x:v>
      </x:c>
      <x:c r="R80" s="1" t="str"/>
      <x:c r="S80" s="1"/>
      <x:c r="T80" s="9" t="str">
        <x:v>https://poke.idleworld.online/pokepedia/pokemon/golem</x:v>
      </x:c>
    </x:row>
    <x:row r="81" ht="22" customHeight="1">
      <x:c r="A81" s="1" t="n">
        <x:v>77</x:v>
      </x:c>
      <x:c r="B81" s="1" t="str">
        <x:v>Ponyta</x:v>
      </x:c>
      <x:c r="C81" s="1" t="str">
        <x:v>Fogo</x:v>
      </x:c>
      <x:c r="D81" s="1" t="str"/>
      <x:c r="E81" s="1" t="str">
        <x:v>Comum</x:v>
      </x:c>
      <x:c r="F81" s="10" t="n">
        <x:v>50</x:v>
      </x:c>
      <x:c r="G81" s="10" t="n">
        <x:v>85</x:v>
      </x:c>
      <x:c r="H81" s="10" t="n">
        <x:v>55</x:v>
      </x:c>
      <x:c r="I81" s="10" t="n">
        <x:v>65</x:v>
      </x:c>
      <x:c r="J81" s="10" t="n">
        <x:v>65</x:v>
      </x:c>
      <x:c r="K81" s="10" t="n">
        <x:v>90</x:v>
      </x:c>
      <x:c r="L81" s="10" t="n">
        <x:f>SUM(F81:K81)</x:f>
        <x:v>410</x:v>
      </x:c>
      <x:c r="M81" s="1" t="str">
        <x:f>IF(G81=I81,"Empate",IF(G81&gt;I81,"Física","Especial"))</x:f>
        <x:v>Física</x:v>
      </x:c>
      <x:c r="N81" s="10" t="n">
        <x:v>20</x:v>
      </x:c>
      <x:c r="O81" s="10" t="n">
        <x:v>248</x:v>
      </x:c>
      <x:c r="P81" s="10" t="n">
        <x:v>1500</x:v>
      </x:c>
      <x:c r="Q81" s="10" t="n">
        <x:v>1500</x:v>
      </x:c>
      <x:c r="R81" s="1" t="str">
        <x:v>Rapidash</x:v>
      </x:c>
      <x:c r="S81" s="1" t="n">
        <x:v>80</x:v>
      </x:c>
      <x:c r="T81" s="9" t="str">
        <x:v>https://poke.idleworld.online/pokepedia/pokemon/ponyta</x:v>
      </x:c>
    </x:row>
    <x:row r="82" ht="22" customHeight="1">
      <x:c r="A82" s="1" t="n">
        <x:v>78</x:v>
      </x:c>
      <x:c r="B82" s="1" t="str">
        <x:v>Rapidash</x:v>
      </x:c>
      <x:c r="C82" s="1" t="str">
        <x:v>Fogo</x:v>
      </x:c>
      <x:c r="D82" s="1" t="str"/>
      <x:c r="E82" s="1" t="str">
        <x:v>Comum</x:v>
      </x:c>
      <x:c r="F82" s="10" t="n">
        <x:v>65</x:v>
      </x:c>
      <x:c r="G82" s="10" t="n">
        <x:v>100</x:v>
      </x:c>
      <x:c r="H82" s="10" t="n">
        <x:v>70</x:v>
      </x:c>
      <x:c r="I82" s="10" t="n">
        <x:v>80</x:v>
      </x:c>
      <x:c r="J82" s="10" t="n">
        <x:v>80</x:v>
      </x:c>
      <x:c r="K82" s="10" t="n">
        <x:v>105</x:v>
      </x:c>
      <x:c r="L82" s="10" t="n">
        <x:f>SUM(F82:K82)</x:f>
        <x:v>500</x:v>
      </x:c>
      <x:c r="M82" s="1" t="str">
        <x:f>IF(G82=I82,"Empate",IF(G82&gt;I82,"Física","Especial"))</x:f>
        <x:v>Física</x:v>
      </x:c>
      <x:c r="N82" s="10" t="n">
        <x:v>80</x:v>
      </x:c>
      <x:c r="O82" s="10" t="n">
        <x:v>3848</x:v>
      </x:c>
      <x:c r="P82" s="10" t="n">
        <x:v>11500</x:v>
      </x:c>
      <x:c r="Q82" s="10" t="n">
        <x:v>11500</x:v>
      </x:c>
      <x:c r="R82" s="1" t="str"/>
      <x:c r="S82" s="1"/>
      <x:c r="T82" s="9" t="str">
        <x:v>https://poke.idleworld.online/pokepedia/pokemon/rapidash</x:v>
      </x:c>
    </x:row>
    <x:row r="83" ht="22" customHeight="1">
      <x:c r="A83" s="1" t="n">
        <x:v>79</x:v>
      </x:c>
      <x:c r="B83" s="1" t="str">
        <x:v>Slowpoke</x:v>
      </x:c>
      <x:c r="C83" s="1" t="str">
        <x:v>Água</x:v>
      </x:c>
      <x:c r="D83" s="1" t="str">
        <x:v>Psíquico</x:v>
      </x:c>
      <x:c r="E83" s="1" t="str">
        <x:v>Comum</x:v>
      </x:c>
      <x:c r="F83" s="10" t="n">
        <x:v>90</x:v>
      </x:c>
      <x:c r="G83" s="10" t="n">
        <x:v>65</x:v>
      </x:c>
      <x:c r="H83" s="10" t="n">
        <x:v>65</x:v>
      </x:c>
      <x:c r="I83" s="10" t="n">
        <x:v>40</x:v>
      </x:c>
      <x:c r="J83" s="10" t="n">
        <x:v>40</x:v>
      </x:c>
      <x:c r="K83" s="10" t="n">
        <x:v>15</x:v>
      </x:c>
      <x:c r="L83" s="10" t="n">
        <x:f>SUM(F83:K83)</x:f>
        <x:v>315</x:v>
      </x:c>
      <x:c r="M83" s="1" t="str">
        <x:f>IF(G83=I83,"Empate",IF(G83&gt;I83,"Física","Especial"))</x:f>
        <x:v>Física</x:v>
      </x:c>
      <x:c r="N83" s="10" t="n">
        <x:v>10</x:v>
      </x:c>
      <x:c r="O83" s="10" t="n">
        <x:v>68</x:v>
      </x:c>
      <x:c r="P83" s="10" t="n">
        <x:v>400</x:v>
      </x:c>
      <x:c r="Q83" s="10" t="n">
        <x:v>400</x:v>
      </x:c>
      <x:c r="R83" s="1" t="str">
        <x:v>Slowbro</x:v>
      </x:c>
      <x:c r="S83" s="1" t="n">
        <x:v>60</x:v>
      </x:c>
      <x:c r="T83" s="9" t="str">
        <x:v>https://poke.idleworld.online/pokepedia/pokemon/slowpoke</x:v>
      </x:c>
    </x:row>
    <x:row r="84" ht="22" customHeight="1">
      <x:c r="A84" s="1" t="n">
        <x:v>80</x:v>
      </x:c>
      <x:c r="B84" s="1" t="str">
        <x:v>Slowbro</x:v>
      </x:c>
      <x:c r="C84" s="1" t="str">
        <x:v>Água</x:v>
      </x:c>
      <x:c r="D84" s="1" t="str">
        <x:v>Psíquico</x:v>
      </x:c>
      <x:c r="E84" s="1" t="str">
        <x:v>Comum</x:v>
      </x:c>
      <x:c r="F84" s="10" t="n">
        <x:v>95</x:v>
      </x:c>
      <x:c r="G84" s="10" t="n">
        <x:v>75</x:v>
      </x:c>
      <x:c r="H84" s="10" t="n">
        <x:v>110</x:v>
      </x:c>
      <x:c r="I84" s="10" t="n">
        <x:v>100</x:v>
      </x:c>
      <x:c r="J84" s="10" t="n">
        <x:v>80</x:v>
      </x:c>
      <x:c r="K84" s="10" t="n">
        <x:v>30</x:v>
      </x:c>
      <x:c r="L84" s="10" t="n">
        <x:f>SUM(F84:K84)</x:f>
        <x:v>490</x:v>
      </x:c>
      <x:c r="M84" s="1" t="str">
        <x:f>IF(G84=I84,"Empate",IF(G84&gt;I84,"Física","Especial"))</x:f>
        <x:v>Especial</x:v>
      </x:c>
      <x:c r="N84" s="10" t="n">
        <x:v>60</x:v>
      </x:c>
      <x:c r="O84" s="10" t="n">
        <x:v>2168</x:v>
      </x:c>
      <x:c r="P84" s="10" t="n">
        <x:v>8000</x:v>
      </x:c>
      <x:c r="Q84" s="10" t="n">
        <x:v>8000</x:v>
      </x:c>
      <x:c r="R84" s="1" t="str"/>
      <x:c r="S84" s="1"/>
      <x:c r="T84" s="9" t="str">
        <x:v>https://poke.idleworld.online/pokepedia/pokemon/slowbro</x:v>
      </x:c>
    </x:row>
    <x:row r="85" ht="22" customHeight="1">
      <x:c r="A85" s="1" t="n">
        <x:v>81</x:v>
      </x:c>
      <x:c r="B85" s="1" t="str">
        <x:v>Magnemite</x:v>
      </x:c>
      <x:c r="C85" s="1" t="str">
        <x:v>Elétrico</x:v>
      </x:c>
      <x:c r="D85" s="1" t="str">
        <x:v>Aço</x:v>
      </x:c>
      <x:c r="E85" s="1" t="str">
        <x:v>Comum</x:v>
      </x:c>
      <x:c r="F85" s="10" t="n">
        <x:v>25</x:v>
      </x:c>
      <x:c r="G85" s="10" t="n">
        <x:v>35</x:v>
      </x:c>
      <x:c r="H85" s="10" t="n">
        <x:v>70</x:v>
      </x:c>
      <x:c r="I85" s="10" t="n">
        <x:v>95</x:v>
      </x:c>
      <x:c r="J85" s="10" t="n">
        <x:v>55</x:v>
      </x:c>
      <x:c r="K85" s="10" t="n">
        <x:v>45</x:v>
      </x:c>
      <x:c r="L85" s="10" t="n">
        <x:f>SUM(F85:K85)</x:f>
        <x:v>325</x:v>
      </x:c>
      <x:c r="M85" s="1" t="str">
        <x:f>IF(G85=I85,"Empate",IF(G85&gt;I85,"Física","Especial"))</x:f>
        <x:v>Especial</x:v>
      </x:c>
      <x:c r="N85" s="10" t="n">
        <x:v>10</x:v>
      </x:c>
      <x:c r="O85" s="10" t="n">
        <x:v>68</x:v>
      </x:c>
      <x:c r="P85" s="10" t="n">
        <x:v>400</x:v>
      </x:c>
      <x:c r="Q85" s="10" t="n">
        <x:v>400</x:v>
      </x:c>
      <x:c r="R85" s="1" t="str">
        <x:v>Magneton</x:v>
      </x:c>
      <x:c r="S85" s="1" t="n">
        <x:v>80</x:v>
      </x:c>
      <x:c r="T85" s="9" t="str">
        <x:v>https://poke.idleworld.online/pokepedia/pokemon/magnemite</x:v>
      </x:c>
    </x:row>
    <x:row r="86" ht="22" customHeight="1">
      <x:c r="A86" s="1" t="n">
        <x:v>82</x:v>
      </x:c>
      <x:c r="B86" s="1" t="str">
        <x:v>Magneton</x:v>
      </x:c>
      <x:c r="C86" s="1" t="str">
        <x:v>Elétrico</x:v>
      </x:c>
      <x:c r="D86" s="1" t="str">
        <x:v>Aço</x:v>
      </x:c>
      <x:c r="E86" s="1" t="str">
        <x:v>Comum</x:v>
      </x:c>
      <x:c r="F86" s="10" t="n">
        <x:v>50</x:v>
      </x:c>
      <x:c r="G86" s="10" t="n">
        <x:v>60</x:v>
      </x:c>
      <x:c r="H86" s="10" t="n">
        <x:v>95</x:v>
      </x:c>
      <x:c r="I86" s="10" t="n">
        <x:v>120</x:v>
      </x:c>
      <x:c r="J86" s="10" t="n">
        <x:v>70</x:v>
      </x:c>
      <x:c r="K86" s="10" t="n">
        <x:v>70</x:v>
      </x:c>
      <x:c r="L86" s="10" t="n">
        <x:f>SUM(F86:K86)</x:f>
        <x:v>465</x:v>
      </x:c>
      <x:c r="M86" s="1" t="str">
        <x:f>IF(G86=I86,"Empate",IF(G86&gt;I86,"Física","Especial"))</x:f>
        <x:v>Especial</x:v>
      </x:c>
      <x:c r="N86" s="10" t="n">
        <x:v>80</x:v>
      </x:c>
      <x:c r="O86" s="10" t="n">
        <x:v>3848</x:v>
      </x:c>
      <x:c r="P86" s="10" t="n">
        <x:v>10400</x:v>
      </x:c>
      <x:c r="Q86" s="10" t="n">
        <x:v>10400</x:v>
      </x:c>
      <x:c r="R86" s="1" t="str"/>
      <x:c r="S86" s="1"/>
      <x:c r="T86" s="9" t="str">
        <x:v>https://poke.idleworld.online/pokepedia/pokemon/magneton</x:v>
      </x:c>
    </x:row>
    <x:row r="87" ht="22" customHeight="1">
      <x:c r="A87" s="1" t="n">
        <x:v>83</x:v>
      </x:c>
      <x:c r="B87" s="1" t="str">
        <x:v>Farfetchd</x:v>
      </x:c>
      <x:c r="C87" s="1" t="str">
        <x:v>Normal</x:v>
      </x:c>
      <x:c r="D87" s="1" t="str">
        <x:v>Voador</x:v>
      </x:c>
      <x:c r="E87" s="1" t="str">
        <x:v>Comum</x:v>
      </x:c>
      <x:c r="F87" s="10" t="n">
        <x:v>52</x:v>
      </x:c>
      <x:c r="G87" s="10" t="n">
        <x:v>65</x:v>
      </x:c>
      <x:c r="H87" s="10" t="n">
        <x:v>55</x:v>
      </x:c>
      <x:c r="I87" s="10" t="n">
        <x:v>58</x:v>
      </x:c>
      <x:c r="J87" s="10" t="n">
        <x:v>62</x:v>
      </x:c>
      <x:c r="K87" s="10" t="n">
        <x:v>60</x:v>
      </x:c>
      <x:c r="L87" s="10" t="n">
        <x:f>SUM(F87:K87)</x:f>
        <x:v>352</x:v>
      </x:c>
      <x:c r="M87" s="1" t="str">
        <x:f>IF(G87=I87,"Empate",IF(G87&gt;I87,"Física","Especial"))</x:f>
        <x:v>Física</x:v>
      </x:c>
      <x:c r="N87" s="10" t="n">
        <x:v>50</x:v>
      </x:c>
      <x:c r="O87" s="10" t="n">
        <x:v>1508</x:v>
      </x:c>
      <x:c r="P87" s="10" t="n">
        <x:v>8000</x:v>
      </x:c>
      <x:c r="Q87" s="10" t="n">
        <x:v>8000</x:v>
      </x:c>
      <x:c r="R87" s="1" t="str"/>
      <x:c r="S87" s="1"/>
      <x:c r="T87" s="9" t="str">
        <x:v>https://poke.idleworld.online/pokepedia/pokemon/farfetchd</x:v>
      </x:c>
    </x:row>
    <x:row r="88" ht="22" customHeight="1">
      <x:c r="A88" s="1" t="n">
        <x:v>84</x:v>
      </x:c>
      <x:c r="B88" s="1" t="str">
        <x:v>Doduo</x:v>
      </x:c>
      <x:c r="C88" s="1" t="str">
        <x:v>Normal</x:v>
      </x:c>
      <x:c r="D88" s="1" t="str">
        <x:v>Voador</x:v>
      </x:c>
      <x:c r="E88" s="1" t="str">
        <x:v>Comum</x:v>
      </x:c>
      <x:c r="F88" s="10" t="n">
        <x:v>35</x:v>
      </x:c>
      <x:c r="G88" s="10" t="n">
        <x:v>85</x:v>
      </x:c>
      <x:c r="H88" s="10" t="n">
        <x:v>45</x:v>
      </x:c>
      <x:c r="I88" s="10" t="n">
        <x:v>35</x:v>
      </x:c>
      <x:c r="J88" s="10" t="n">
        <x:v>35</x:v>
      </x:c>
      <x:c r="K88" s="10" t="n">
        <x:v>75</x:v>
      </x:c>
      <x:c r="L88" s="10" t="n">
        <x:f>SUM(F88:K88)</x:f>
        <x:v>310</x:v>
      </x:c>
      <x:c r="M88" s="1" t="str">
        <x:f>IF(G88=I88,"Empate",IF(G88&gt;I88,"Física","Especial"))</x:f>
        <x:v>Física</x:v>
      </x:c>
      <x:c r="N88" s="10" t="n">
        <x:v>10</x:v>
      </x:c>
      <x:c r="O88" s="10" t="n">
        <x:v>68</x:v>
      </x:c>
      <x:c r="P88" s="10" t="n">
        <x:v>600</x:v>
      </x:c>
      <x:c r="Q88" s="10" t="n">
        <x:v>600</x:v>
      </x:c>
      <x:c r="R88" s="1" t="str">
        <x:v>Dodrio</x:v>
      </x:c>
      <x:c r="S88" s="1" t="n">
        <x:v>60</x:v>
      </x:c>
      <x:c r="T88" s="9" t="str">
        <x:v>https://poke.idleworld.online/pokepedia/pokemon/doduo</x:v>
      </x:c>
    </x:row>
    <x:row r="89" ht="22" customHeight="1">
      <x:c r="A89" s="1" t="n">
        <x:v>85</x:v>
      </x:c>
      <x:c r="B89" s="1" t="str">
        <x:v>Dodrio</x:v>
      </x:c>
      <x:c r="C89" s="1" t="str">
        <x:v>Normal</x:v>
      </x:c>
      <x:c r="D89" s="1" t="str">
        <x:v>Voador</x:v>
      </x:c>
      <x:c r="E89" s="1" t="str">
        <x:v>Comum</x:v>
      </x:c>
      <x:c r="F89" s="10" t="n">
        <x:v>60</x:v>
      </x:c>
      <x:c r="G89" s="10" t="n">
        <x:v>110</x:v>
      </x:c>
      <x:c r="H89" s="10" t="n">
        <x:v>70</x:v>
      </x:c>
      <x:c r="I89" s="10" t="n">
        <x:v>60</x:v>
      </x:c>
      <x:c r="J89" s="10" t="n">
        <x:v>60</x:v>
      </x:c>
      <x:c r="K89" s="10" t="n">
        <x:v>100</x:v>
      </x:c>
      <x:c r="L89" s="10" t="n">
        <x:f>SUM(F89:K89)</x:f>
        <x:v>460</x:v>
      </x:c>
      <x:c r="M89" s="1" t="str">
        <x:f>IF(G89=I89,"Empate",IF(G89&gt;I89,"Física","Especial"))</x:f>
        <x:v>Física</x:v>
      </x:c>
      <x:c r="N89" s="10" t="n">
        <x:v>60</x:v>
      </x:c>
      <x:c r="O89" s="10" t="n">
        <x:v>2168</x:v>
      </x:c>
      <x:c r="P89" s="10" t="n">
        <x:v>5600</x:v>
      </x:c>
      <x:c r="Q89" s="10" t="n">
        <x:v>5600</x:v>
      </x:c>
      <x:c r="R89" s="1" t="str"/>
      <x:c r="S89" s="1"/>
      <x:c r="T89" s="9" t="str">
        <x:v>https://poke.idleworld.online/pokepedia/pokemon/dodrio</x:v>
      </x:c>
    </x:row>
    <x:row r="90" ht="22" customHeight="1">
      <x:c r="A90" s="1" t="n">
        <x:v>86</x:v>
      </x:c>
      <x:c r="B90" s="1" t="str">
        <x:v>Seel</x:v>
      </x:c>
      <x:c r="C90" s="1" t="str">
        <x:v>Água</x:v>
      </x:c>
      <x:c r="D90" s="1" t="str"/>
      <x:c r="E90" s="1" t="str">
        <x:v>Comum</x:v>
      </x:c>
      <x:c r="F90" s="10" t="n">
        <x:v>65</x:v>
      </x:c>
      <x:c r="G90" s="10" t="n">
        <x:v>45</x:v>
      </x:c>
      <x:c r="H90" s="10" t="n">
        <x:v>55</x:v>
      </x:c>
      <x:c r="I90" s="10" t="n">
        <x:v>45</x:v>
      </x:c>
      <x:c r="J90" s="10" t="n">
        <x:v>70</x:v>
      </x:c>
      <x:c r="K90" s="10" t="n">
        <x:v>45</x:v>
      </x:c>
      <x:c r="L90" s="10" t="n">
        <x:f>SUM(F90:K90)</x:f>
        <x:v>325</x:v>
      </x:c>
      <x:c r="M90" s="1" t="str">
        <x:f>IF(G90=I90,"Empate",IF(G90&gt;I90,"Física","Especial"))</x:f>
        <x:v>Empate</x:v>
      </x:c>
      <x:c r="N90" s="10" t="n">
        <x:v>20</x:v>
      </x:c>
      <x:c r="O90" s="10" t="n">
        <x:v>248</x:v>
      </x:c>
      <x:c r="P90" s="10" t="n">
        <x:v>2000</x:v>
      </x:c>
      <x:c r="Q90" s="10" t="n">
        <x:v>2000</x:v>
      </x:c>
      <x:c r="R90" s="1" t="str">
        <x:v>Dewgong</x:v>
      </x:c>
      <x:c r="S90" s="1" t="n">
        <x:v>60</x:v>
      </x:c>
      <x:c r="T90" s="9" t="str">
        <x:v>https://poke.idleworld.online/pokepedia/pokemon/seel</x:v>
      </x:c>
    </x:row>
    <x:row r="91" ht="22" customHeight="1">
      <x:c r="A91" s="1" t="n">
        <x:v>87</x:v>
      </x:c>
      <x:c r="B91" s="1" t="str">
        <x:v>Dewgong</x:v>
      </x:c>
      <x:c r="C91" s="1" t="str">
        <x:v>Água</x:v>
      </x:c>
      <x:c r="D91" s="1" t="str">
        <x:v>Gelo</x:v>
      </x:c>
      <x:c r="E91" s="1" t="str">
        <x:v>Comum</x:v>
      </x:c>
      <x:c r="F91" s="10" t="n">
        <x:v>90</x:v>
      </x:c>
      <x:c r="G91" s="10" t="n">
        <x:v>70</x:v>
      </x:c>
      <x:c r="H91" s="10" t="n">
        <x:v>80</x:v>
      </x:c>
      <x:c r="I91" s="10" t="n">
        <x:v>70</x:v>
      </x:c>
      <x:c r="J91" s="10" t="n">
        <x:v>95</x:v>
      </x:c>
      <x:c r="K91" s="10" t="n">
        <x:v>70</x:v>
      </x:c>
      <x:c r="L91" s="10" t="n">
        <x:f>SUM(F91:K91)</x:f>
        <x:v>475</x:v>
      </x:c>
      <x:c r="M91" s="1" t="str">
        <x:f>IF(G91=I91,"Empate",IF(G91&gt;I91,"Física","Especial"))</x:f>
        <x:v>Empate</x:v>
      </x:c>
      <x:c r="N91" s="10" t="n">
        <x:v>60</x:v>
      </x:c>
      <x:c r="O91" s="10" t="n">
        <x:v>2168</x:v>
      </x:c>
      <x:c r="P91" s="10" t="n">
        <x:v>12000</x:v>
      </x:c>
      <x:c r="Q91" s="10" t="n">
        <x:v>12000</x:v>
      </x:c>
      <x:c r="R91" s="1" t="str"/>
      <x:c r="S91" s="1"/>
      <x:c r="T91" s="9" t="str">
        <x:v>https://poke.idleworld.online/pokepedia/pokemon/dewgong</x:v>
      </x:c>
    </x:row>
    <x:row r="92" ht="22" customHeight="1">
      <x:c r="A92" s="1" t="n">
        <x:v>88</x:v>
      </x:c>
      <x:c r="B92" s="1" t="str">
        <x:v>Grimer</x:v>
      </x:c>
      <x:c r="C92" s="1" t="str">
        <x:v>Venenoso</x:v>
      </x:c>
      <x:c r="D92" s="1" t="str"/>
      <x:c r="E92" s="1" t="str">
        <x:v>Comum</x:v>
      </x:c>
      <x:c r="F92" s="10" t="n">
        <x:v>80</x:v>
      </x:c>
      <x:c r="G92" s="10" t="n">
        <x:v>80</x:v>
      </x:c>
      <x:c r="H92" s="10" t="n">
        <x:v>50</x:v>
      </x:c>
      <x:c r="I92" s="10" t="n">
        <x:v>40</x:v>
      </x:c>
      <x:c r="J92" s="10" t="n">
        <x:v>50</x:v>
      </x:c>
      <x:c r="K92" s="10" t="n">
        <x:v>25</x:v>
      </x:c>
      <x:c r="L92" s="10" t="n">
        <x:f>SUM(F92:K92)</x:f>
        <x:v>325</x:v>
      </x:c>
      <x:c r="M92" s="1" t="str">
        <x:f>IF(G92=I92,"Empate",IF(G92&gt;I92,"Física","Especial"))</x:f>
        <x:v>Física</x:v>
      </x:c>
      <x:c r="N92" s="10" t="n">
        <x:v>10</x:v>
      </x:c>
      <x:c r="O92" s="10" t="n">
        <x:v>68</x:v>
      </x:c>
      <x:c r="P92" s="10" t="n">
        <x:v>300</x:v>
      </x:c>
      <x:c r="Q92" s="10" t="n">
        <x:v>300</x:v>
      </x:c>
      <x:c r="R92" s="1" t="str">
        <x:v>Muk</x:v>
      </x:c>
      <x:c r="S92" s="1" t="n">
        <x:v>80</x:v>
      </x:c>
      <x:c r="T92" s="9" t="str">
        <x:v>https://poke.idleworld.online/pokepedia/pokemon/grimer</x:v>
      </x:c>
    </x:row>
    <x:row r="93" ht="22" customHeight="1">
      <x:c r="A93" s="1" t="n">
        <x:v>89</x:v>
      </x:c>
      <x:c r="B93" s="1" t="str">
        <x:v>Muk</x:v>
      </x:c>
      <x:c r="C93" s="1" t="str">
        <x:v>Venenoso</x:v>
      </x:c>
      <x:c r="D93" s="1" t="str"/>
      <x:c r="E93" s="1" t="str">
        <x:v>Comum</x:v>
      </x:c>
      <x:c r="F93" s="10" t="n">
        <x:v>105</x:v>
      </x:c>
      <x:c r="G93" s="10" t="n">
        <x:v>105</x:v>
      </x:c>
      <x:c r="H93" s="10" t="n">
        <x:v>75</x:v>
      </x:c>
      <x:c r="I93" s="10" t="n">
        <x:v>65</x:v>
      </x:c>
      <x:c r="J93" s="10" t="n">
        <x:v>100</x:v>
      </x:c>
      <x:c r="K93" s="10" t="n">
        <x:v>50</x:v>
      </x:c>
      <x:c r="L93" s="10" t="n">
        <x:f>SUM(F93:K93)</x:f>
        <x:v>500</x:v>
      </x:c>
      <x:c r="M93" s="1" t="str">
        <x:f>IF(G93=I93,"Empate",IF(G93&gt;I93,"Física","Especial"))</x:f>
        <x:v>Física</x:v>
      </x:c>
      <x:c r="N93" s="10" t="n">
        <x:v>80</x:v>
      </x:c>
      <x:c r="O93" s="10" t="n">
        <x:v>3848</x:v>
      </x:c>
      <x:c r="P93" s="10" t="n">
        <x:v>11000</x:v>
      </x:c>
      <x:c r="Q93" s="10" t="n">
        <x:v>11000</x:v>
      </x:c>
      <x:c r="R93" s="1" t="str"/>
      <x:c r="S93" s="1"/>
      <x:c r="T93" s="9" t="str">
        <x:v>https://poke.idleworld.online/pokepedia/pokemon/muk</x:v>
      </x:c>
    </x:row>
    <x:row r="94" ht="22" customHeight="1">
      <x:c r="A94" s="1" t="n">
        <x:v>90</x:v>
      </x:c>
      <x:c r="B94" s="1" t="str">
        <x:v>Shellder</x:v>
      </x:c>
      <x:c r="C94" s="1" t="str">
        <x:v>Água</x:v>
      </x:c>
      <x:c r="D94" s="1" t="str"/>
      <x:c r="E94" s="1" t="str">
        <x:v>Comum</x:v>
      </x:c>
      <x:c r="F94" s="10" t="n">
        <x:v>30</x:v>
      </x:c>
      <x:c r="G94" s="10" t="n">
        <x:v>65</x:v>
      </x:c>
      <x:c r="H94" s="10" t="n">
        <x:v>100</x:v>
      </x:c>
      <x:c r="I94" s="10" t="n">
        <x:v>45</x:v>
      </x:c>
      <x:c r="J94" s="10" t="n">
        <x:v>25</x:v>
      </x:c>
      <x:c r="K94" s="10" t="n">
        <x:v>40</x:v>
      </x:c>
      <x:c r="L94" s="10" t="n">
        <x:f>SUM(F94:K94)</x:f>
        <x:v>305</x:v>
      </x:c>
      <x:c r="M94" s="1" t="str">
        <x:f>IF(G94=I94,"Empate",IF(G94&gt;I94,"Física","Especial"))</x:f>
        <x:v>Física</x:v>
      </x:c>
      <x:c r="N94" s="10" t="n">
        <x:v>10</x:v>
      </x:c>
      <x:c r="O94" s="10" t="n">
        <x:v>68</x:v>
      </x:c>
      <x:c r="P94" s="10" t="n">
        <x:v>200</x:v>
      </x:c>
      <x:c r="Q94" s="10" t="n">
        <x:v>200</x:v>
      </x:c>
      <x:c r="R94" s="1" t="str">
        <x:v>Cloyster</x:v>
      </x:c>
      <x:c r="S94" s="1" t="n">
        <x:v>60</x:v>
      </x:c>
      <x:c r="T94" s="9" t="str">
        <x:v>https://poke.idleworld.online/pokepedia/pokemon/shellder</x:v>
      </x:c>
    </x:row>
    <x:row r="95" ht="22" customHeight="1">
      <x:c r="A95" s="1" t="n">
        <x:v>91</x:v>
      </x:c>
      <x:c r="B95" s="1" t="str">
        <x:v>Cloyster</x:v>
      </x:c>
      <x:c r="C95" s="1" t="str">
        <x:v>Água</x:v>
      </x:c>
      <x:c r="D95" s="1" t="str">
        <x:v>Gelo</x:v>
      </x:c>
      <x:c r="E95" s="1" t="str">
        <x:v>Comum</x:v>
      </x:c>
      <x:c r="F95" s="10" t="n">
        <x:v>50</x:v>
      </x:c>
      <x:c r="G95" s="10" t="n">
        <x:v>95</x:v>
      </x:c>
      <x:c r="H95" s="10" t="n">
        <x:v>180</x:v>
      </x:c>
      <x:c r="I95" s="10" t="n">
        <x:v>85</x:v>
      </x:c>
      <x:c r="J95" s="10" t="n">
        <x:v>45</x:v>
      </x:c>
      <x:c r="K95" s="10" t="n">
        <x:v>70</x:v>
      </x:c>
      <x:c r="L95" s="10" t="n">
        <x:f>SUM(F95:K95)</x:f>
        <x:v>525</x:v>
      </x:c>
      <x:c r="M95" s="1" t="str">
        <x:f>IF(G95=I95,"Empate",IF(G95&gt;I95,"Física","Especial"))</x:f>
        <x:v>Física</x:v>
      </x:c>
      <x:c r="N95" s="10" t="n">
        <x:v>60</x:v>
      </x:c>
      <x:c r="O95" s="10" t="n">
        <x:v>2168</x:v>
      </x:c>
      <x:c r="P95" s="10" t="n">
        <x:v>10200</x:v>
      </x:c>
      <x:c r="Q95" s="10" t="n">
        <x:v>10200</x:v>
      </x:c>
      <x:c r="R95" s="1" t="str"/>
      <x:c r="S95" s="1"/>
      <x:c r="T95" s="9" t="str">
        <x:v>https://poke.idleworld.online/pokepedia/pokemon/cloyster</x:v>
      </x:c>
    </x:row>
    <x:row r="96" ht="22" customHeight="1">
      <x:c r="A96" s="1" t="n">
        <x:v>92</x:v>
      </x:c>
      <x:c r="B96" s="1" t="str">
        <x:v>Gastly</x:v>
      </x:c>
      <x:c r="C96" s="1" t="str">
        <x:v>Fantasma</x:v>
      </x:c>
      <x:c r="D96" s="1" t="str">
        <x:v>Venenoso</x:v>
      </x:c>
      <x:c r="E96" s="1" t="str">
        <x:v>Comum</x:v>
      </x:c>
      <x:c r="F96" s="10" t="n">
        <x:v>30</x:v>
      </x:c>
      <x:c r="G96" s="10" t="n">
        <x:v>35</x:v>
      </x:c>
      <x:c r="H96" s="10" t="n">
        <x:v>30</x:v>
      </x:c>
      <x:c r="I96" s="10" t="n">
        <x:v>100</x:v>
      </x:c>
      <x:c r="J96" s="10" t="n">
        <x:v>35</x:v>
      </x:c>
      <x:c r="K96" s="10" t="n">
        <x:v>80</x:v>
      </x:c>
      <x:c r="L96" s="10" t="n">
        <x:f>SUM(F96:K96)</x:f>
        <x:v>310</x:v>
      </x:c>
      <x:c r="M96" s="1" t="str">
        <x:f>IF(G96=I96,"Empate",IF(G96&gt;I96,"Física","Especial"))</x:f>
        <x:v>Especial</x:v>
      </x:c>
      <x:c r="N96" s="10" t="n">
        <x:v>20</x:v>
      </x:c>
      <x:c r="O96" s="10" t="n">
        <x:v>248</x:v>
      </x:c>
      <x:c r="P96" s="10" t="n">
        <x:v>3000</x:v>
      </x:c>
      <x:c r="Q96" s="10" t="n">
        <x:v>3000</x:v>
      </x:c>
      <x:c r="R96" s="1" t="str">
        <x:v>Haunter</x:v>
      </x:c>
      <x:c r="S96" s="1" t="n">
        <x:v>50</x:v>
      </x:c>
      <x:c r="T96" s="9" t="str">
        <x:v>https://poke.idleworld.online/pokepedia/pokemon/gastly</x:v>
      </x:c>
    </x:row>
    <x:row r="97" ht="22" customHeight="1">
      <x:c r="A97" s="1" t="n">
        <x:v>93</x:v>
      </x:c>
      <x:c r="B97" s="1" t="str">
        <x:v>Haunter</x:v>
      </x:c>
      <x:c r="C97" s="1" t="str">
        <x:v>Fantasma</x:v>
      </x:c>
      <x:c r="D97" s="1" t="str">
        <x:v>Venenoso</x:v>
      </x:c>
      <x:c r="E97" s="1" t="str">
        <x:v>Comum</x:v>
      </x:c>
      <x:c r="F97" s="10" t="n">
        <x:v>45</x:v>
      </x:c>
      <x:c r="G97" s="10" t="n">
        <x:v>50</x:v>
      </x:c>
      <x:c r="H97" s="10" t="n">
        <x:v>45</x:v>
      </x:c>
      <x:c r="I97" s="10" t="n">
        <x:v>115</x:v>
      </x:c>
      <x:c r="J97" s="10" t="n">
        <x:v>55</x:v>
      </x:c>
      <x:c r="K97" s="10" t="n">
        <x:v>95</x:v>
      </x:c>
      <x:c r="L97" s="10" t="n">
        <x:f>SUM(F97:K97)</x:f>
        <x:v>405</x:v>
      </x:c>
      <x:c r="M97" s="1" t="str">
        <x:f>IF(G97=I97,"Empate",IF(G97&gt;I97,"Física","Especial"))</x:f>
        <x:v>Especial</x:v>
      </x:c>
      <x:c r="N97" s="10" t="n">
        <x:v>50</x:v>
      </x:c>
      <x:c r="O97" s="10" t="n">
        <x:v>1508</x:v>
      </x:c>
      <x:c r="P97" s="10" t="n">
        <x:v>8000</x:v>
      </x:c>
      <x:c r="Q97" s="10" t="n">
        <x:v>8000</x:v>
      </x:c>
      <x:c r="R97" s="1" t="str">
        <x:v>Gengar</x:v>
      </x:c>
      <x:c r="S97" s="1" t="n">
        <x:v>100</x:v>
      </x:c>
      <x:c r="T97" s="9" t="str">
        <x:v>https://poke.idleworld.online/pokepedia/pokemon/haunter</x:v>
      </x:c>
    </x:row>
    <x:row r="98" ht="22" customHeight="1">
      <x:c r="A98" s="1" t="n">
        <x:v>94</x:v>
      </x:c>
      <x:c r="B98" s="1" t="str">
        <x:v>Gengar</x:v>
      </x:c>
      <x:c r="C98" s="1" t="str">
        <x:v>Fantasma</x:v>
      </x:c>
      <x:c r="D98" s="1" t="str">
        <x:v>Venenoso</x:v>
      </x:c>
      <x:c r="E98" s="1" t="str">
        <x:v>Comum</x:v>
      </x:c>
      <x:c r="F98" s="10" t="n">
        <x:v>60</x:v>
      </x:c>
      <x:c r="G98" s="10" t="n">
        <x:v>65</x:v>
      </x:c>
      <x:c r="H98" s="10" t="n">
        <x:v>60</x:v>
      </x:c>
      <x:c r="I98" s="10" t="n">
        <x:v>130</x:v>
      </x:c>
      <x:c r="J98" s="10" t="n">
        <x:v>75</x:v>
      </x:c>
      <x:c r="K98" s="10" t="n">
        <x:v>110</x:v>
      </x:c>
      <x:c r="L98" s="10" t="n">
        <x:f>SUM(F98:K98)</x:f>
        <x:v>500</x:v>
      </x:c>
      <x:c r="M98" s="1" t="str">
        <x:f>IF(G98=I98,"Empate",IF(G98&gt;I98,"Física","Especial"))</x:f>
        <x:v>Especial</x:v>
      </x:c>
      <x:c r="N98" s="10" t="n">
        <x:v>100</x:v>
      </x:c>
      <x:c r="O98" s="10" t="n">
        <x:v>6008</x:v>
      </x:c>
      <x:c r="P98" s="10" t="n">
        <x:v>18000</x:v>
      </x:c>
      <x:c r="Q98" s="10" t="n">
        <x:v>18000</x:v>
      </x:c>
      <x:c r="R98" s="1" t="str"/>
      <x:c r="S98" s="1"/>
      <x:c r="T98" s="9" t="str">
        <x:v>https://poke.idleworld.online/pokepedia/pokemon/gengar</x:v>
      </x:c>
    </x:row>
    <x:row r="99" ht="22" customHeight="1">
      <x:c r="A99" s="1" t="n">
        <x:v>95</x:v>
      </x:c>
      <x:c r="B99" s="1" t="str">
        <x:v>Onix</x:v>
      </x:c>
      <x:c r="C99" s="1" t="str">
        <x:v>Pedra</x:v>
      </x:c>
      <x:c r="D99" s="1" t="str">
        <x:v>Terrestre</x:v>
      </x:c>
      <x:c r="E99" s="1" t="str">
        <x:v>Comum</x:v>
      </x:c>
      <x:c r="F99" s="10" t="n">
        <x:v>35</x:v>
      </x:c>
      <x:c r="G99" s="10" t="n">
        <x:v>45</x:v>
      </x:c>
      <x:c r="H99" s="10" t="n">
        <x:v>160</x:v>
      </x:c>
      <x:c r="I99" s="10" t="n">
        <x:v>30</x:v>
      </x:c>
      <x:c r="J99" s="10" t="n">
        <x:v>45</x:v>
      </x:c>
      <x:c r="K99" s="10" t="n">
        <x:v>70</x:v>
      </x:c>
      <x:c r="L99" s="10" t="n">
        <x:f>SUM(F99:K99)</x:f>
        <x:v>385</x:v>
      </x:c>
      <x:c r="M99" s="1" t="str">
        <x:f>IF(G99=I99,"Empate",IF(G99&gt;I99,"Física","Especial"))</x:f>
        <x:v>Física</x:v>
      </x:c>
      <x:c r="N99" s="10" t="n">
        <x:v>60</x:v>
      </x:c>
      <x:c r="O99" s="10" t="n">
        <x:v>2168</x:v>
      </x:c>
      <x:c r="P99" s="10" t="n">
        <x:v>6000</x:v>
      </x:c>
      <x:c r="Q99" s="10" t="n">
        <x:v>6000</x:v>
      </x:c>
      <x:c r="R99" s="1" t="str">
        <x:v>Steelix</x:v>
      </x:c>
      <x:c r="S99" s="1" t="n">
        <x:v>100</x:v>
      </x:c>
      <x:c r="T99" s="9" t="str">
        <x:v>https://poke.idleworld.online/pokepedia/pokemon/onix</x:v>
      </x:c>
    </x:row>
    <x:row r="100" ht="22" customHeight="1">
      <x:c r="A100" s="1" t="n">
        <x:v>96</x:v>
      </x:c>
      <x:c r="B100" s="1" t="str">
        <x:v>Drowzee</x:v>
      </x:c>
      <x:c r="C100" s="1" t="str">
        <x:v>Psíquico</x:v>
      </x:c>
      <x:c r="D100" s="1" t="str"/>
      <x:c r="E100" s="1" t="str">
        <x:v>Comum</x:v>
      </x:c>
      <x:c r="F100" s="10" t="n">
        <x:v>60</x:v>
      </x:c>
      <x:c r="G100" s="10" t="n">
        <x:v>48</x:v>
      </x:c>
      <x:c r="H100" s="10" t="n">
        <x:v>45</x:v>
      </x:c>
      <x:c r="I100" s="10" t="n">
        <x:v>43</x:v>
      </x:c>
      <x:c r="J100" s="10" t="n">
        <x:v>90</x:v>
      </x:c>
      <x:c r="K100" s="10" t="n">
        <x:v>42</x:v>
      </x:c>
      <x:c r="L100" s="10" t="n">
        <x:f>SUM(F100:K100)</x:f>
        <x:v>328</x:v>
      </x:c>
      <x:c r="M100" s="1" t="str">
        <x:f>IF(G100=I100,"Empate",IF(G100&gt;I100,"Física","Especial"))</x:f>
        <x:v>Física</x:v>
      </x:c>
      <x:c r="N100" s="10" t="n">
        <x:v>30</x:v>
      </x:c>
      <x:c r="O100" s="10" t="n">
        <x:v>548</x:v>
      </x:c>
      <x:c r="P100" s="10" t="n">
        <x:v>1000</x:v>
      </x:c>
      <x:c r="Q100" s="10" t="n">
        <x:v>1000</x:v>
      </x:c>
      <x:c r="R100" s="1" t="str">
        <x:v>Hypno</x:v>
      </x:c>
      <x:c r="S100" s="1" t="n">
        <x:v>60</x:v>
      </x:c>
      <x:c r="T100" s="9" t="str">
        <x:v>https://poke.idleworld.online/pokepedia/pokemon/drowzee</x:v>
      </x:c>
    </x:row>
    <x:row r="101" ht="22" customHeight="1">
      <x:c r="A101" s="1" t="n">
        <x:v>97</x:v>
      </x:c>
      <x:c r="B101" s="1" t="str">
        <x:v>Hypno</x:v>
      </x:c>
      <x:c r="C101" s="1" t="str">
        <x:v>Psíquico</x:v>
      </x:c>
      <x:c r="D101" s="1" t="str"/>
      <x:c r="E101" s="1" t="str">
        <x:v>Comum</x:v>
      </x:c>
      <x:c r="F101" s="10" t="n">
        <x:v>85</x:v>
      </x:c>
      <x:c r="G101" s="10" t="n">
        <x:v>73</x:v>
      </x:c>
      <x:c r="H101" s="10" t="n">
        <x:v>70</x:v>
      </x:c>
      <x:c r="I101" s="10" t="n">
        <x:v>73</x:v>
      </x:c>
      <x:c r="J101" s="10" t="n">
        <x:v>115</x:v>
      </x:c>
      <x:c r="K101" s="10" t="n">
        <x:v>67</x:v>
      </x:c>
      <x:c r="L101" s="10" t="n">
        <x:f>SUM(F101:K101)</x:f>
        <x:v>483</x:v>
      </x:c>
      <x:c r="M101" s="1" t="str">
        <x:f>IF(G101=I101,"Empate",IF(G101&gt;I101,"Física","Especial"))</x:f>
        <x:v>Empate</x:v>
      </x:c>
      <x:c r="N101" s="10" t="n">
        <x:v>60</x:v>
      </x:c>
      <x:c r="O101" s="10" t="n">
        <x:v>2168</x:v>
      </x:c>
      <x:c r="P101" s="10" t="n">
        <x:v>11000</x:v>
      </x:c>
      <x:c r="Q101" s="10" t="n">
        <x:v>11000</x:v>
      </x:c>
      <x:c r="R101" s="1" t="str"/>
      <x:c r="S101" s="1"/>
      <x:c r="T101" s="9" t="str">
        <x:v>https://poke.idleworld.online/pokepedia/pokemon/hypno</x:v>
      </x:c>
    </x:row>
    <x:row r="102" ht="22" customHeight="1">
      <x:c r="A102" s="1" t="n">
        <x:v>98</x:v>
      </x:c>
      <x:c r="B102" s="1" t="str">
        <x:v>Krabby</x:v>
      </x:c>
      <x:c r="C102" s="1" t="str">
        <x:v>Água</x:v>
      </x:c>
      <x:c r="D102" s="1" t="str"/>
      <x:c r="E102" s="1" t="str">
        <x:v>Comum</x:v>
      </x:c>
      <x:c r="F102" s="10" t="n">
        <x:v>30</x:v>
      </x:c>
      <x:c r="G102" s="10" t="n">
        <x:v>105</x:v>
      </x:c>
      <x:c r="H102" s="10" t="n">
        <x:v>90</x:v>
      </x:c>
      <x:c r="I102" s="10" t="n">
        <x:v>25</x:v>
      </x:c>
      <x:c r="J102" s="10" t="n">
        <x:v>25</x:v>
      </x:c>
      <x:c r="K102" s="10" t="n">
        <x:v>50</x:v>
      </x:c>
      <x:c r="L102" s="10" t="n">
        <x:f>SUM(F102:K102)</x:f>
        <x:v>325</x:v>
      </x:c>
      <x:c r="M102" s="1" t="str">
        <x:f>IF(G102=I102,"Empate",IF(G102&gt;I102,"Física","Especial"))</x:f>
        <x:v>Física</x:v>
      </x:c>
      <x:c r="N102" s="10" t="n">
        <x:v>10</x:v>
      </x:c>
      <x:c r="O102" s="10" t="n">
        <x:v>68</x:v>
      </x:c>
      <x:c r="P102" s="10" t="n">
        <x:v>200</x:v>
      </x:c>
      <x:c r="Q102" s="10" t="n">
        <x:v>200</x:v>
      </x:c>
      <x:c r="R102" s="1" t="str">
        <x:v>Kingler</x:v>
      </x:c>
      <x:c r="S102" s="1" t="n">
        <x:v>60</x:v>
      </x:c>
      <x:c r="T102" s="9" t="str">
        <x:v>https://poke.idleworld.online/pokepedia/pokemon/krabby</x:v>
      </x:c>
    </x:row>
    <x:row r="103" ht="22" customHeight="1">
      <x:c r="A103" s="1" t="n">
        <x:v>99</x:v>
      </x:c>
      <x:c r="B103" s="1" t="str">
        <x:v>Kingler</x:v>
      </x:c>
      <x:c r="C103" s="1" t="str">
        <x:v>Água</x:v>
      </x:c>
      <x:c r="D103" s="1" t="str"/>
      <x:c r="E103" s="1" t="str">
        <x:v>Comum</x:v>
      </x:c>
      <x:c r="F103" s="10" t="n">
        <x:v>55</x:v>
      </x:c>
      <x:c r="G103" s="10" t="n">
        <x:v>130</x:v>
      </x:c>
      <x:c r="H103" s="10" t="n">
        <x:v>115</x:v>
      </x:c>
      <x:c r="I103" s="10" t="n">
        <x:v>50</x:v>
      </x:c>
      <x:c r="J103" s="10" t="n">
        <x:v>50</x:v>
      </x:c>
      <x:c r="K103" s="10" t="n">
        <x:v>75</x:v>
      </x:c>
      <x:c r="L103" s="10" t="n">
        <x:f>SUM(F103:K103)</x:f>
        <x:v>475</x:v>
      </x:c>
      <x:c r="M103" s="1" t="str">
        <x:f>IF(G103=I103,"Empate",IF(G103&gt;I103,"Física","Especial"))</x:f>
        <x:v>Física</x:v>
      </x:c>
      <x:c r="N103" s="10" t="n">
        <x:v>60</x:v>
      </x:c>
      <x:c r="O103" s="10" t="n">
        <x:v>2168</x:v>
      </x:c>
      <x:c r="P103" s="10" t="n">
        <x:v>5200</x:v>
      </x:c>
      <x:c r="Q103" s="10" t="n">
        <x:v>5200</x:v>
      </x:c>
      <x:c r="R103" s="1" t="str"/>
      <x:c r="S103" s="1"/>
      <x:c r="T103" s="9" t="str">
        <x:v>https://poke.idleworld.online/pokepedia/pokemon/kingler</x:v>
      </x:c>
    </x:row>
    <x:row r="104" ht="22" customHeight="1">
      <x:c r="A104" s="1" t="n">
        <x:v>100</x:v>
      </x:c>
      <x:c r="B104" s="1" t="str">
        <x:v>Voltorb</x:v>
      </x:c>
      <x:c r="C104" s="1" t="str">
        <x:v>Elétrico</x:v>
      </x:c>
      <x:c r="D104" s="1" t="str"/>
      <x:c r="E104" s="1" t="str">
        <x:v>Comum</x:v>
      </x:c>
      <x:c r="F104" s="10" t="n">
        <x:v>40</x:v>
      </x:c>
      <x:c r="G104" s="10" t="n">
        <x:v>30</x:v>
      </x:c>
      <x:c r="H104" s="10" t="n">
        <x:v>50</x:v>
      </x:c>
      <x:c r="I104" s="10" t="n">
        <x:v>55</x:v>
      </x:c>
      <x:c r="J104" s="10" t="n">
        <x:v>55</x:v>
      </x:c>
      <x:c r="K104" s="10" t="n">
        <x:v>100</x:v>
      </x:c>
      <x:c r="L104" s="10" t="n">
        <x:f>SUM(F104:K104)</x:f>
        <x:v>330</x:v>
      </x:c>
      <x:c r="M104" s="1" t="str">
        <x:f>IF(G104=I104,"Empate",IF(G104&gt;I104,"Física","Especial"))</x:f>
        <x:v>Especial</x:v>
      </x:c>
      <x:c r="N104" s="10" t="n">
        <x:v>10</x:v>
      </x:c>
      <x:c r="O104" s="10" t="n">
        <x:v>68</x:v>
      </x:c>
      <x:c r="P104" s="10" t="n">
        <x:v>250</x:v>
      </x:c>
      <x:c r="Q104" s="10" t="n">
        <x:v>250</x:v>
      </x:c>
      <x:c r="R104" s="1" t="str">
        <x:v>Electrode</x:v>
      </x:c>
      <x:c r="S104" s="1" t="n">
        <x:v>40</x:v>
      </x:c>
      <x:c r="T104" s="9" t="str">
        <x:v>https://poke.idleworld.online/pokepedia/pokemon/voltorb</x:v>
      </x:c>
    </x:row>
    <x:row r="105" ht="22" customHeight="1">
      <x:c r="A105" s="1" t="n">
        <x:v>101</x:v>
      </x:c>
      <x:c r="B105" s="1" t="str">
        <x:v>Electrode</x:v>
      </x:c>
      <x:c r="C105" s="1" t="str">
        <x:v>Elétrico</x:v>
      </x:c>
      <x:c r="D105" s="1" t="str"/>
      <x:c r="E105" s="1" t="str">
        <x:v>Comum</x:v>
      </x:c>
      <x:c r="F105" s="10" t="n">
        <x:v>60</x:v>
      </x:c>
      <x:c r="G105" s="10" t="n">
        <x:v>50</x:v>
      </x:c>
      <x:c r="H105" s="10" t="n">
        <x:v>70</x:v>
      </x:c>
      <x:c r="I105" s="10" t="n">
        <x:v>80</x:v>
      </x:c>
      <x:c r="J105" s="10" t="n">
        <x:v>80</x:v>
      </x:c>
      <x:c r="K105" s="10" t="n">
        <x:v>140</x:v>
      </x:c>
      <x:c r="L105" s="10" t="n">
        <x:f>SUM(F105:K105)</x:f>
        <x:v>480</x:v>
      </x:c>
      <x:c r="M105" s="1" t="str">
        <x:f>IF(G105=I105,"Empate",IF(G105&gt;I105,"Física","Especial"))</x:f>
        <x:v>Especial</x:v>
      </x:c>
      <x:c r="N105" s="10" t="n">
        <x:v>40</x:v>
      </x:c>
      <x:c r="O105" s="10" t="n">
        <x:v>968</x:v>
      </x:c>
      <x:c r="P105" s="10" t="n">
        <x:v>3000</x:v>
      </x:c>
      <x:c r="Q105" s="10" t="n">
        <x:v>3000</x:v>
      </x:c>
      <x:c r="R105" s="1" t="str"/>
      <x:c r="S105" s="1"/>
      <x:c r="T105" s="9" t="str">
        <x:v>https://poke.idleworld.online/pokepedia/pokemon/electrode</x:v>
      </x:c>
    </x:row>
    <x:row r="106" ht="22" customHeight="1">
      <x:c r="A106" s="1" t="n">
        <x:v>102</x:v>
      </x:c>
      <x:c r="B106" s="1" t="str">
        <x:v>Exeggcute</x:v>
      </x:c>
      <x:c r="C106" s="1" t="str">
        <x:v>Planta</x:v>
      </x:c>
      <x:c r="D106" s="1" t="str">
        <x:v>Psíquico</x:v>
      </x:c>
      <x:c r="E106" s="1" t="str">
        <x:v>Comum</x:v>
      </x:c>
      <x:c r="F106" s="10" t="n">
        <x:v>60</x:v>
      </x:c>
      <x:c r="G106" s="10" t="n">
        <x:v>40</x:v>
      </x:c>
      <x:c r="H106" s="10" t="n">
        <x:v>80</x:v>
      </x:c>
      <x:c r="I106" s="10" t="n">
        <x:v>60</x:v>
      </x:c>
      <x:c r="J106" s="10" t="n">
        <x:v>45</x:v>
      </x:c>
      <x:c r="K106" s="10" t="n">
        <x:v>40</x:v>
      </x:c>
      <x:c r="L106" s="10" t="n">
        <x:f>SUM(F106:K106)</x:f>
        <x:v>325</x:v>
      </x:c>
      <x:c r="M106" s="1" t="str">
        <x:f>IF(G106=I106,"Empate",IF(G106&gt;I106,"Física","Especial"))</x:f>
        <x:v>Especial</x:v>
      </x:c>
      <x:c r="N106" s="10" t="n">
        <x:v>10</x:v>
      </x:c>
      <x:c r="O106" s="10" t="n">
        <x:v>68</x:v>
      </x:c>
      <x:c r="P106" s="10" t="n">
        <x:v>200</x:v>
      </x:c>
      <x:c r="Q106" s="10" t="n">
        <x:v>200</x:v>
      </x:c>
      <x:c r="R106" s="1" t="str">
        <x:v>Exeggutor</x:v>
      </x:c>
      <x:c r="S106" s="1" t="n">
        <x:v>100</x:v>
      </x:c>
      <x:c r="T106" s="9" t="str">
        <x:v>https://poke.idleworld.online/pokepedia/pokemon/exeggcute</x:v>
      </x:c>
    </x:row>
    <x:row r="107" ht="22" customHeight="1">
      <x:c r="A107" s="1" t="n">
        <x:v>103</x:v>
      </x:c>
      <x:c r="B107" s="1" t="str">
        <x:v>Exeggutor</x:v>
      </x:c>
      <x:c r="C107" s="1" t="str">
        <x:v>Planta</x:v>
      </x:c>
      <x:c r="D107" s="1" t="str">
        <x:v>Psíquico</x:v>
      </x:c>
      <x:c r="E107" s="1" t="str">
        <x:v>Comum</x:v>
      </x:c>
      <x:c r="F107" s="10" t="n">
        <x:v>95</x:v>
      </x:c>
      <x:c r="G107" s="10" t="n">
        <x:v>95</x:v>
      </x:c>
      <x:c r="H107" s="10" t="n">
        <x:v>85</x:v>
      </x:c>
      <x:c r="I107" s="10" t="n">
        <x:v>125</x:v>
      </x:c>
      <x:c r="J107" s="10" t="n">
        <x:v>65</x:v>
      </x:c>
      <x:c r="K107" s="10" t="n">
        <x:v>55</x:v>
      </x:c>
      <x:c r="L107" s="10" t="n">
        <x:f>SUM(F107:K107)</x:f>
        <x:v>520</x:v>
      </x:c>
      <x:c r="M107" s="1" t="str">
        <x:f>IF(G107=I107,"Empate",IF(G107&gt;I107,"Física","Especial"))</x:f>
        <x:v>Especial</x:v>
      </x:c>
      <x:c r="N107" s="10" t="n">
        <x:v>100</x:v>
      </x:c>
      <x:c r="O107" s="10" t="n">
        <x:v>6008</x:v>
      </x:c>
      <x:c r="P107" s="10" t="n">
        <x:v>10000</x:v>
      </x:c>
      <x:c r="Q107" s="10" t="n">
        <x:v>10000</x:v>
      </x:c>
      <x:c r="R107" s="1" t="str"/>
      <x:c r="S107" s="1"/>
      <x:c r="T107" s="9" t="str">
        <x:v>https://poke.idleworld.online/pokepedia/pokemon/exeggutor</x:v>
      </x:c>
    </x:row>
    <x:row r="108" ht="22" customHeight="1">
      <x:c r="A108" s="1" t="n">
        <x:v>104</x:v>
      </x:c>
      <x:c r="B108" s="1" t="str">
        <x:v>Cubone</x:v>
      </x:c>
      <x:c r="C108" s="1" t="str">
        <x:v>Terrestre</x:v>
      </x:c>
      <x:c r="D108" s="1" t="str"/>
      <x:c r="E108" s="1" t="str">
        <x:v>Comum</x:v>
      </x:c>
      <x:c r="F108" s="10" t="n">
        <x:v>50</x:v>
      </x:c>
      <x:c r="G108" s="10" t="n">
        <x:v>50</x:v>
      </x:c>
      <x:c r="H108" s="10" t="n">
        <x:v>95</x:v>
      </x:c>
      <x:c r="I108" s="10" t="n">
        <x:v>40</x:v>
      </x:c>
      <x:c r="J108" s="10" t="n">
        <x:v>50</x:v>
      </x:c>
      <x:c r="K108" s="10" t="n">
        <x:v>35</x:v>
      </x:c>
      <x:c r="L108" s="10" t="n">
        <x:f>SUM(F108:K108)</x:f>
        <x:v>320</x:v>
      </x:c>
      <x:c r="M108" s="1" t="str">
        <x:f>IF(G108=I108,"Empate",IF(G108&gt;I108,"Física","Especial"))</x:f>
        <x:v>Física</x:v>
      </x:c>
      <x:c r="N108" s="10" t="n">
        <x:v>20</x:v>
      </x:c>
      <x:c r="O108" s="10" t="n">
        <x:v>248</x:v>
      </x:c>
      <x:c r="P108" s="10" t="n">
        <x:v>1000</x:v>
      </x:c>
      <x:c r="Q108" s="10" t="n">
        <x:v>1000</x:v>
      </x:c>
      <x:c r="R108" s="1" t="str">
        <x:v>Marowak</x:v>
      </x:c>
      <x:c r="S108" s="1" t="n">
        <x:v>50</x:v>
      </x:c>
      <x:c r="T108" s="9" t="str">
        <x:v>https://poke.idleworld.online/pokepedia/pokemon/cubone</x:v>
      </x:c>
    </x:row>
    <x:row r="109" ht="22" customHeight="1">
      <x:c r="A109" s="1" t="n">
        <x:v>105</x:v>
      </x:c>
      <x:c r="B109" s="1" t="str">
        <x:v>Marowak</x:v>
      </x:c>
      <x:c r="C109" s="1" t="str">
        <x:v>Terrestre</x:v>
      </x:c>
      <x:c r="D109" s="1" t="str"/>
      <x:c r="E109" s="1" t="str">
        <x:v>Comum</x:v>
      </x:c>
      <x:c r="F109" s="10" t="n">
        <x:v>60</x:v>
      </x:c>
      <x:c r="G109" s="10" t="n">
        <x:v>80</x:v>
      </x:c>
      <x:c r="H109" s="10" t="n">
        <x:v>110</x:v>
      </x:c>
      <x:c r="I109" s="10" t="n">
        <x:v>50</x:v>
      </x:c>
      <x:c r="J109" s="10" t="n">
        <x:v>80</x:v>
      </x:c>
      <x:c r="K109" s="10" t="n">
        <x:v>45</x:v>
      </x:c>
      <x:c r="L109" s="10" t="n">
        <x:f>SUM(F109:K109)</x:f>
        <x:v>425</x:v>
      </x:c>
      <x:c r="M109" s="1" t="str">
        <x:f>IF(G109=I109,"Empate",IF(G109&gt;I109,"Física","Especial"))</x:f>
        <x:v>Física</x:v>
      </x:c>
      <x:c r="N109" s="10" t="n">
        <x:v>50</x:v>
      </x:c>
      <x:c r="O109" s="10" t="n">
        <x:v>1508</x:v>
      </x:c>
      <x:c r="P109" s="10" t="n">
        <x:v>11000</x:v>
      </x:c>
      <x:c r="Q109" s="10" t="n">
        <x:v>11000</x:v>
      </x:c>
      <x:c r="R109" s="1" t="str"/>
      <x:c r="S109" s="1"/>
      <x:c r="T109" s="9" t="str">
        <x:v>https://poke.idleworld.online/pokepedia/pokemon/marowak</x:v>
      </x:c>
    </x:row>
    <x:row r="110" ht="22" customHeight="1">
      <x:c r="A110" s="1" t="n">
        <x:v>106</x:v>
      </x:c>
      <x:c r="B110" s="1" t="str">
        <x:v>Hitmonlee</x:v>
      </x:c>
      <x:c r="C110" s="1" t="str">
        <x:v>Lutador</x:v>
      </x:c>
      <x:c r="D110" s="1" t="str"/>
      <x:c r="E110" s="1" t="str">
        <x:v>Comum</x:v>
      </x:c>
      <x:c r="F110" s="10" t="n">
        <x:v>50</x:v>
      </x:c>
      <x:c r="G110" s="10" t="n">
        <x:v>120</x:v>
      </x:c>
      <x:c r="H110" s="10" t="n">
        <x:v>53</x:v>
      </x:c>
      <x:c r="I110" s="10" t="n">
        <x:v>35</x:v>
      </x:c>
      <x:c r="J110" s="10" t="n">
        <x:v>110</x:v>
      </x:c>
      <x:c r="K110" s="10" t="n">
        <x:v>87</x:v>
      </x:c>
      <x:c r="L110" s="10" t="n">
        <x:f>SUM(F110:K110)</x:f>
        <x:v>455</x:v>
      </x:c>
      <x:c r="M110" s="1" t="str">
        <x:f>IF(G110=I110,"Empate",IF(G110&gt;I110,"Física","Especial"))</x:f>
        <x:v>Física</x:v>
      </x:c>
      <x:c r="N110" s="10" t="n">
        <x:v>60</x:v>
      </x:c>
      <x:c r="O110" s="10" t="n">
        <x:v>2168</x:v>
      </x:c>
      <x:c r="P110" s="10" t="n">
        <x:v>30000</x:v>
      </x:c>
      <x:c r="Q110" s="10" t="n">
        <x:v>30000</x:v>
      </x:c>
      <x:c r="R110" s="1" t="str"/>
      <x:c r="S110" s="1"/>
      <x:c r="T110" s="9" t="str">
        <x:v>https://poke.idleworld.online/pokepedia/pokemon/hitmonlee</x:v>
      </x:c>
    </x:row>
    <x:row r="111" ht="22" customHeight="1">
      <x:c r="A111" s="1" t="n">
        <x:v>107</x:v>
      </x:c>
      <x:c r="B111" s="1" t="str">
        <x:v>Hitmonchan</x:v>
      </x:c>
      <x:c r="C111" s="1" t="str">
        <x:v>Lutador</x:v>
      </x:c>
      <x:c r="D111" s="1" t="str"/>
      <x:c r="E111" s="1" t="str">
        <x:v>Comum</x:v>
      </x:c>
      <x:c r="F111" s="10" t="n">
        <x:v>50</x:v>
      </x:c>
      <x:c r="G111" s="10" t="n">
        <x:v>105</x:v>
      </x:c>
      <x:c r="H111" s="10" t="n">
        <x:v>79</x:v>
      </x:c>
      <x:c r="I111" s="10" t="n">
        <x:v>35</x:v>
      </x:c>
      <x:c r="J111" s="10" t="n">
        <x:v>110</x:v>
      </x:c>
      <x:c r="K111" s="10" t="n">
        <x:v>76</x:v>
      </x:c>
      <x:c r="L111" s="10" t="n">
        <x:f>SUM(F111:K111)</x:f>
        <x:v>455</x:v>
      </x:c>
      <x:c r="M111" s="1" t="str">
        <x:f>IF(G111=I111,"Empate",IF(G111&gt;I111,"Física","Especial"))</x:f>
        <x:v>Física</x:v>
      </x:c>
      <x:c r="N111" s="10" t="n">
        <x:v>60</x:v>
      </x:c>
      <x:c r="O111" s="10" t="n">
        <x:v>2168</x:v>
      </x:c>
      <x:c r="P111" s="10" t="n">
        <x:v>30000</x:v>
      </x:c>
      <x:c r="Q111" s="10" t="n">
        <x:v>30000</x:v>
      </x:c>
      <x:c r="R111" s="1" t="str"/>
      <x:c r="S111" s="1"/>
      <x:c r="T111" s="9" t="str">
        <x:v>https://poke.idleworld.online/pokepedia/pokemon/hitmonchan</x:v>
      </x:c>
    </x:row>
    <x:row r="112" ht="22" customHeight="1">
      <x:c r="A112" s="1" t="n">
        <x:v>108</x:v>
      </x:c>
      <x:c r="B112" s="1" t="str">
        <x:v>Lickitung</x:v>
      </x:c>
      <x:c r="C112" s="1" t="str">
        <x:v>Normal</x:v>
      </x:c>
      <x:c r="D112" s="1" t="str"/>
      <x:c r="E112" s="1" t="str">
        <x:v>Comum</x:v>
      </x:c>
      <x:c r="F112" s="10" t="n">
        <x:v>90</x:v>
      </x:c>
      <x:c r="G112" s="10" t="n">
        <x:v>55</x:v>
      </x:c>
      <x:c r="H112" s="10" t="n">
        <x:v>75</x:v>
      </x:c>
      <x:c r="I112" s="10" t="n">
        <x:v>60</x:v>
      </x:c>
      <x:c r="J112" s="10" t="n">
        <x:v>75</x:v>
      </x:c>
      <x:c r="K112" s="10" t="n">
        <x:v>30</x:v>
      </x:c>
      <x:c r="L112" s="10" t="n">
        <x:f>SUM(F112:K112)</x:f>
        <x:v>385</x:v>
      </x:c>
      <x:c r="M112" s="1" t="str">
        <x:f>IF(G112=I112,"Empate",IF(G112&gt;I112,"Física","Especial"))</x:f>
        <x:v>Especial</x:v>
      </x:c>
      <x:c r="N112" s="10" t="n">
        <x:v>60</x:v>
      </x:c>
      <x:c r="O112" s="10" t="n">
        <x:v>2168</x:v>
      </x:c>
      <x:c r="P112" s="10" t="n">
        <x:v>30000</x:v>
      </x:c>
      <x:c r="Q112" s="10" t="n">
        <x:v>30000</x:v>
      </x:c>
      <x:c r="R112" s="1" t="str"/>
      <x:c r="S112" s="1"/>
      <x:c r="T112" s="9" t="str">
        <x:v>https://poke.idleworld.online/pokepedia/pokemon/lickitung</x:v>
      </x:c>
    </x:row>
    <x:row r="113" ht="22" customHeight="1">
      <x:c r="A113" s="1" t="n">
        <x:v>109</x:v>
      </x:c>
      <x:c r="B113" s="1" t="str">
        <x:v>Koffing</x:v>
      </x:c>
      <x:c r="C113" s="1" t="str">
        <x:v>Venenoso</x:v>
      </x:c>
      <x:c r="D113" s="1" t="str"/>
      <x:c r="E113" s="1" t="str">
        <x:v>Comum</x:v>
      </x:c>
      <x:c r="F113" s="10" t="n">
        <x:v>40</x:v>
      </x:c>
      <x:c r="G113" s="10" t="n">
        <x:v>65</x:v>
      </x:c>
      <x:c r="H113" s="10" t="n">
        <x:v>95</x:v>
      </x:c>
      <x:c r="I113" s="10" t="n">
        <x:v>60</x:v>
      </x:c>
      <x:c r="J113" s="10" t="n">
        <x:v>45</x:v>
      </x:c>
      <x:c r="K113" s="10" t="n">
        <x:v>35</x:v>
      </x:c>
      <x:c r="L113" s="10" t="n">
        <x:f>SUM(F113:K113)</x:f>
        <x:v>340</x:v>
      </x:c>
      <x:c r="M113" s="1" t="str">
        <x:f>IF(G113=I113,"Empate",IF(G113&gt;I113,"Física","Especial"))</x:f>
        <x:v>Física</x:v>
      </x:c>
      <x:c r="N113" s="10" t="n">
        <x:v>10</x:v>
      </x:c>
      <x:c r="O113" s="10" t="n">
        <x:v>68</x:v>
      </x:c>
      <x:c r="P113" s="10" t="n">
        <x:v>300</x:v>
      </x:c>
      <x:c r="Q113" s="10" t="n">
        <x:v>300</x:v>
      </x:c>
      <x:c r="R113" s="1" t="str">
        <x:v>Weezing</x:v>
      </x:c>
      <x:c r="S113" s="1" t="n">
        <x:v>60</x:v>
      </x:c>
      <x:c r="T113" s="9" t="str">
        <x:v>https://poke.idleworld.online/pokepedia/pokemon/koffing</x:v>
      </x:c>
    </x:row>
    <x:row r="114" ht="22" customHeight="1">
      <x:c r="A114" s="1" t="n">
        <x:v>110</x:v>
      </x:c>
      <x:c r="B114" s="1" t="str">
        <x:v>Weezing</x:v>
      </x:c>
      <x:c r="C114" s="1" t="str">
        <x:v>Venenoso</x:v>
      </x:c>
      <x:c r="D114" s="1" t="str"/>
      <x:c r="E114" s="1" t="str">
        <x:v>Comum</x:v>
      </x:c>
      <x:c r="F114" s="10" t="n">
        <x:v>65</x:v>
      </x:c>
      <x:c r="G114" s="10" t="n">
        <x:v>90</x:v>
      </x:c>
      <x:c r="H114" s="10" t="n">
        <x:v>120</x:v>
      </x:c>
      <x:c r="I114" s="10" t="n">
        <x:v>85</x:v>
      </x:c>
      <x:c r="J114" s="10" t="n">
        <x:v>70</x:v>
      </x:c>
      <x:c r="K114" s="10" t="n">
        <x:v>60</x:v>
      </x:c>
      <x:c r="L114" s="10" t="n">
        <x:f>SUM(F114:K114)</x:f>
        <x:v>490</x:v>
      </x:c>
      <x:c r="M114" s="1" t="str">
        <x:f>IF(G114=I114,"Empate",IF(G114&gt;I114,"Física","Especial"))</x:f>
        <x:v>Física</x:v>
      </x:c>
      <x:c r="N114" s="10" t="n">
        <x:v>60</x:v>
      </x:c>
      <x:c r="O114" s="10" t="n">
        <x:v>2168</x:v>
      </x:c>
      <x:c r="P114" s="10" t="n">
        <x:v>10000</x:v>
      </x:c>
      <x:c r="Q114" s="10" t="n">
        <x:v>10000</x:v>
      </x:c>
      <x:c r="R114" s="1" t="str"/>
      <x:c r="S114" s="1"/>
      <x:c r="T114" s="9" t="str">
        <x:v>https://poke.idleworld.online/pokepedia/pokemon/weezing</x:v>
      </x:c>
    </x:row>
    <x:row r="115" ht="22" customHeight="1">
      <x:c r="A115" s="1" t="n">
        <x:v>111</x:v>
      </x:c>
      <x:c r="B115" s="1" t="str">
        <x:v>Rhyhorn</x:v>
      </x:c>
      <x:c r="C115" s="1" t="str">
        <x:v>Terrestre</x:v>
      </x:c>
      <x:c r="D115" s="1" t="str">
        <x:v>Pedra</x:v>
      </x:c>
      <x:c r="E115" s="1" t="str">
        <x:v>Comum</x:v>
      </x:c>
      <x:c r="F115" s="10" t="n">
        <x:v>80</x:v>
      </x:c>
      <x:c r="G115" s="10" t="n">
        <x:v>85</x:v>
      </x:c>
      <x:c r="H115" s="10" t="n">
        <x:v>95</x:v>
      </x:c>
      <x:c r="I115" s="10" t="n">
        <x:v>30</x:v>
      </x:c>
      <x:c r="J115" s="10" t="n">
        <x:v>30</x:v>
      </x:c>
      <x:c r="K115" s="10" t="n">
        <x:v>25</x:v>
      </x:c>
      <x:c r="L115" s="10" t="n">
        <x:f>SUM(F115:K115)</x:f>
        <x:v>345</x:v>
      </x:c>
      <x:c r="M115" s="1" t="str">
        <x:f>IF(G115=I115,"Empate",IF(G115&gt;I115,"Física","Especial"))</x:f>
        <x:v>Física</x:v>
      </x:c>
      <x:c r="N115" s="10" t="n">
        <x:v>30</x:v>
      </x:c>
      <x:c r="O115" s="10" t="n">
        <x:v>548</x:v>
      </x:c>
      <x:c r="P115" s="10" t="n">
        <x:v>3000</x:v>
      </x:c>
      <x:c r="Q115" s="10" t="n">
        <x:v>3000</x:v>
      </x:c>
      <x:c r="R115" s="1" t="str">
        <x:v>Rhydon</x:v>
      </x:c>
      <x:c r="S115" s="1" t="n">
        <x:v>80</x:v>
      </x:c>
      <x:c r="T115" s="9" t="str">
        <x:v>https://poke.idleworld.online/pokepedia/pokemon/rhyhorn</x:v>
      </x:c>
    </x:row>
    <x:row r="116" ht="22" customHeight="1">
      <x:c r="A116" s="1" t="n">
        <x:v>112</x:v>
      </x:c>
      <x:c r="B116" s="1" t="str">
        <x:v>Rhydon</x:v>
      </x:c>
      <x:c r="C116" s="1" t="str">
        <x:v>Terrestre</x:v>
      </x:c>
      <x:c r="D116" s="1" t="str">
        <x:v>Pedra</x:v>
      </x:c>
      <x:c r="E116" s="1" t="str">
        <x:v>Comum</x:v>
      </x:c>
      <x:c r="F116" s="10" t="n">
        <x:v>105</x:v>
      </x:c>
      <x:c r="G116" s="10" t="n">
        <x:v>130</x:v>
      </x:c>
      <x:c r="H116" s="10" t="n">
        <x:v>120</x:v>
      </x:c>
      <x:c r="I116" s="10" t="n">
        <x:v>45</x:v>
      </x:c>
      <x:c r="J116" s="10" t="n">
        <x:v>45</x:v>
      </x:c>
      <x:c r="K116" s="10" t="n">
        <x:v>40</x:v>
      </x:c>
      <x:c r="L116" s="10" t="n">
        <x:f>SUM(F116:K116)</x:f>
        <x:v>485</x:v>
      </x:c>
      <x:c r="M116" s="1" t="str">
        <x:f>IF(G116=I116,"Empate",IF(G116&gt;I116,"Física","Especial"))</x:f>
        <x:v>Física</x:v>
      </x:c>
      <x:c r="N116" s="10" t="n">
        <x:v>80</x:v>
      </x:c>
      <x:c r="O116" s="10" t="n">
        <x:v>3848</x:v>
      </x:c>
      <x:c r="P116" s="10" t="n">
        <x:v>13000</x:v>
      </x:c>
      <x:c r="Q116" s="10" t="n">
        <x:v>13000</x:v>
      </x:c>
      <x:c r="R116" s="1" t="str">
        <x:v>Rhyperior</x:v>
      </x:c>
      <x:c r="S116" s="1" t="n">
        <x:v>600</x:v>
      </x:c>
      <x:c r="T116" s="9" t="str">
        <x:v>https://poke.idleworld.online/pokepedia/pokemon/rhydon</x:v>
      </x:c>
    </x:row>
    <x:row r="117" ht="22" customHeight="1">
      <x:c r="A117" s="1" t="n">
        <x:v>113</x:v>
      </x:c>
      <x:c r="B117" s="1" t="str">
        <x:v>Chansey</x:v>
      </x:c>
      <x:c r="C117" s="1" t="str">
        <x:v>Normal</x:v>
      </x:c>
      <x:c r="D117" s="1" t="str"/>
      <x:c r="E117" s="1" t="str">
        <x:v>Comum</x:v>
      </x:c>
      <x:c r="F117" s="10" t="n">
        <x:v>250</x:v>
      </x:c>
      <x:c r="G117" s="10" t="n">
        <x:v>5</x:v>
      </x:c>
      <x:c r="H117" s="10" t="n">
        <x:v>5</x:v>
      </x:c>
      <x:c r="I117" s="10" t="n">
        <x:v>35</x:v>
      </x:c>
      <x:c r="J117" s="10" t="n">
        <x:v>105</x:v>
      </x:c>
      <x:c r="K117" s="10" t="n">
        <x:v>50</x:v>
      </x:c>
      <x:c r="L117" s="10" t="n">
        <x:f>SUM(F117:K117)</x:f>
        <x:v>450</x:v>
      </x:c>
      <x:c r="M117" s="1" t="str">
        <x:f>IF(G117=I117,"Empate",IF(G117&gt;I117,"Física","Especial"))</x:f>
        <x:v>Especial</x:v>
      </x:c>
      <x:c r="N117" s="10" t="n">
        <x:v>60</x:v>
      </x:c>
      <x:c r="O117" s="10" t="n">
        <x:v>2168</x:v>
      </x:c>
      <x:c r="P117" s="10" t="n">
        <x:v>40000</x:v>
      </x:c>
      <x:c r="Q117" s="10" t="n">
        <x:v>40000</x:v>
      </x:c>
      <x:c r="R117" s="1" t="str">
        <x:v>Blissey</x:v>
      </x:c>
      <x:c r="S117" s="1" t="n">
        <x:v>100</x:v>
      </x:c>
      <x:c r="T117" s="9" t="str">
        <x:v>https://poke.idleworld.online/pokepedia/pokemon/chansey</x:v>
      </x:c>
    </x:row>
    <x:row r="118" ht="22" customHeight="1">
      <x:c r="A118" s="1" t="n">
        <x:v>114</x:v>
      </x:c>
      <x:c r="B118" s="1" t="str">
        <x:v>Tangela</x:v>
      </x:c>
      <x:c r="C118" s="1" t="str">
        <x:v>Planta</x:v>
      </x:c>
      <x:c r="D118" s="1" t="str"/>
      <x:c r="E118" s="1" t="str">
        <x:v>Comum</x:v>
      </x:c>
      <x:c r="F118" s="10" t="n">
        <x:v>65</x:v>
      </x:c>
      <x:c r="G118" s="10" t="n">
        <x:v>55</x:v>
      </x:c>
      <x:c r="H118" s="10" t="n">
        <x:v>115</x:v>
      </x:c>
      <x:c r="I118" s="10" t="n">
        <x:v>100</x:v>
      </x:c>
      <x:c r="J118" s="10" t="n">
        <x:v>40</x:v>
      </x:c>
      <x:c r="K118" s="10" t="n">
        <x:v>60</x:v>
      </x:c>
      <x:c r="L118" s="10" t="n">
        <x:f>SUM(F118:K118)</x:f>
        <x:v>435</x:v>
      </x:c>
      <x:c r="M118" s="1" t="str">
        <x:f>IF(G118=I118,"Empate",IF(G118&gt;I118,"Física","Especial"))</x:f>
        <x:v>Especial</x:v>
      </x:c>
      <x:c r="N118" s="10" t="n">
        <x:v>50</x:v>
      </x:c>
      <x:c r="O118" s="10" t="n">
        <x:v>1508</x:v>
      </x:c>
      <x:c r="P118" s="10" t="n">
        <x:v>10000</x:v>
      </x:c>
      <x:c r="Q118" s="10" t="n">
        <x:v>10000</x:v>
      </x:c>
      <x:c r="R118" s="1" t="str">
        <x:v>Tangrowth</x:v>
      </x:c>
      <x:c r="S118" s="1" t="n">
        <x:v>600</x:v>
      </x:c>
      <x:c r="T118" s="9" t="str">
        <x:v>https://poke.idleworld.online/pokepedia/pokemon/tangela</x:v>
      </x:c>
    </x:row>
    <x:row r="119" ht="22" customHeight="1">
      <x:c r="A119" s="1" t="n">
        <x:v>115</x:v>
      </x:c>
      <x:c r="B119" s="1" t="str">
        <x:v>Kangaskhan</x:v>
      </x:c>
      <x:c r="C119" s="1" t="str">
        <x:v>Normal</x:v>
      </x:c>
      <x:c r="D119" s="1" t="str"/>
      <x:c r="E119" s="1" t="str">
        <x:v>Comum</x:v>
      </x:c>
      <x:c r="F119" s="10" t="n">
        <x:v>105</x:v>
      </x:c>
      <x:c r="G119" s="10" t="n">
        <x:v>95</x:v>
      </x:c>
      <x:c r="H119" s="10" t="n">
        <x:v>80</x:v>
      </x:c>
      <x:c r="I119" s="10" t="n">
        <x:v>40</x:v>
      </x:c>
      <x:c r="J119" s="10" t="n">
        <x:v>80</x:v>
      </x:c>
      <x:c r="K119" s="10" t="n">
        <x:v>90</x:v>
      </x:c>
      <x:c r="L119" s="10" t="n">
        <x:f>SUM(F119:K119)</x:f>
        <x:v>490</x:v>
      </x:c>
      <x:c r="M119" s="1" t="str">
        <x:f>IF(G119=I119,"Empate",IF(G119&gt;I119,"Física","Especial"))</x:f>
        <x:v>Física</x:v>
      </x:c>
      <x:c r="N119" s="10" t="n">
        <x:v>80</x:v>
      </x:c>
      <x:c r="O119" s="10" t="n">
        <x:v>3848</x:v>
      </x:c>
      <x:c r="P119" s="10" t="n">
        <x:v>60000</x:v>
      </x:c>
      <x:c r="Q119" s="10" t="n">
        <x:v>60000</x:v>
      </x:c>
      <x:c r="R119" s="1" t="str"/>
      <x:c r="S119" s="1"/>
      <x:c r="T119" s="9" t="str">
        <x:v>https://poke.idleworld.online/pokepedia/pokemon/kangaskhan</x:v>
      </x:c>
    </x:row>
    <x:row r="120" ht="22" customHeight="1">
      <x:c r="A120" s="1" t="n">
        <x:v>116</x:v>
      </x:c>
      <x:c r="B120" s="1" t="str">
        <x:v>Horsea</x:v>
      </x:c>
      <x:c r="C120" s="1" t="str">
        <x:v>Água</x:v>
      </x:c>
      <x:c r="D120" s="1" t="str"/>
      <x:c r="E120" s="1" t="str">
        <x:v>Comum</x:v>
      </x:c>
      <x:c r="F120" s="10" t="n">
        <x:v>30</x:v>
      </x:c>
      <x:c r="G120" s="10" t="n">
        <x:v>40</x:v>
      </x:c>
      <x:c r="H120" s="10" t="n">
        <x:v>70</x:v>
      </x:c>
      <x:c r="I120" s="10" t="n">
        <x:v>70</x:v>
      </x:c>
      <x:c r="J120" s="10" t="n">
        <x:v>25</x:v>
      </x:c>
      <x:c r="K120" s="10" t="n">
        <x:v>60</x:v>
      </x:c>
      <x:c r="L120" s="10" t="n">
        <x:f>SUM(F120:K120)</x:f>
        <x:v>295</x:v>
      </x:c>
      <x:c r="M120" s="1" t="str">
        <x:f>IF(G120=I120,"Empate",IF(G120&gt;I120,"Física","Especial"))</x:f>
        <x:v>Especial</x:v>
      </x:c>
      <x:c r="N120" s="10" t="n">
        <x:v>10</x:v>
      </x:c>
      <x:c r="O120" s="10" t="n">
        <x:v>68</x:v>
      </x:c>
      <x:c r="P120" s="10" t="n">
        <x:v>200</x:v>
      </x:c>
      <x:c r="Q120" s="10" t="n">
        <x:v>200</x:v>
      </x:c>
      <x:c r="R120" s="1" t="str">
        <x:v>Seadra</x:v>
      </x:c>
      <x:c r="S120" s="1" t="n">
        <x:v>50</x:v>
      </x:c>
      <x:c r="T120" s="9" t="str">
        <x:v>https://poke.idleworld.online/pokepedia/pokemon/horsea</x:v>
      </x:c>
    </x:row>
    <x:row r="121" ht="22" customHeight="1">
      <x:c r="A121" s="1" t="n">
        <x:v>117</x:v>
      </x:c>
      <x:c r="B121" s="1" t="str">
        <x:v>Seadra</x:v>
      </x:c>
      <x:c r="C121" s="1" t="str">
        <x:v>Água</x:v>
      </x:c>
      <x:c r="D121" s="1" t="str"/>
      <x:c r="E121" s="1" t="str">
        <x:v>Comum</x:v>
      </x:c>
      <x:c r="F121" s="10" t="n">
        <x:v>55</x:v>
      </x:c>
      <x:c r="G121" s="10" t="n">
        <x:v>65</x:v>
      </x:c>
      <x:c r="H121" s="10" t="n">
        <x:v>95</x:v>
      </x:c>
      <x:c r="I121" s="10" t="n">
        <x:v>95</x:v>
      </x:c>
      <x:c r="J121" s="10" t="n">
        <x:v>45</x:v>
      </x:c>
      <x:c r="K121" s="10" t="n">
        <x:v>85</x:v>
      </x:c>
      <x:c r="L121" s="10" t="n">
        <x:f>SUM(F121:K121)</x:f>
        <x:v>440</x:v>
      </x:c>
      <x:c r="M121" s="1" t="str">
        <x:f>IF(G121=I121,"Empate",IF(G121&gt;I121,"Física","Especial"))</x:f>
        <x:v>Especial</x:v>
      </x:c>
      <x:c r="N121" s="10" t="n">
        <x:v>50</x:v>
      </x:c>
      <x:c r="O121" s="10" t="n">
        <x:v>1508</x:v>
      </x:c>
      <x:c r="P121" s="10" t="n">
        <x:v>5500</x:v>
      </x:c>
      <x:c r="Q121" s="10" t="n">
        <x:v>5500</x:v>
      </x:c>
      <x:c r="R121" s="1" t="str">
        <x:v>Kingdra</x:v>
      </x:c>
      <x:c r="S121" s="1" t="n">
        <x:v>100</x:v>
      </x:c>
      <x:c r="T121" s="9" t="str">
        <x:v>https://poke.idleworld.online/pokepedia/pokemon/seadra</x:v>
      </x:c>
    </x:row>
    <x:row r="122" ht="22" customHeight="1">
      <x:c r="A122" s="1" t="n">
        <x:v>118</x:v>
      </x:c>
      <x:c r="B122" s="1" t="str">
        <x:v>Goldeen</x:v>
      </x:c>
      <x:c r="C122" s="1" t="str">
        <x:v>Água</x:v>
      </x:c>
      <x:c r="D122" s="1" t="str"/>
      <x:c r="E122" s="1" t="str">
        <x:v>Comum</x:v>
      </x:c>
      <x:c r="F122" s="10" t="n">
        <x:v>45</x:v>
      </x:c>
      <x:c r="G122" s="10" t="n">
        <x:v>67</x:v>
      </x:c>
      <x:c r="H122" s="10" t="n">
        <x:v>60</x:v>
      </x:c>
      <x:c r="I122" s="10" t="n">
        <x:v>35</x:v>
      </x:c>
      <x:c r="J122" s="10" t="n">
        <x:v>50</x:v>
      </x:c>
      <x:c r="K122" s="10" t="n">
        <x:v>63</x:v>
      </x:c>
      <x:c r="L122" s="10" t="n">
        <x:f>SUM(F122:K122)</x:f>
        <x:v>320</x:v>
      </x:c>
      <x:c r="M122" s="1" t="str">
        <x:f>IF(G122=I122,"Empate",IF(G122&gt;I122,"Física","Especial"))</x:f>
        <x:v>Física</x:v>
      </x:c>
      <x:c r="N122" s="10" t="n">
        <x:v>10</x:v>
      </x:c>
      <x:c r="O122" s="10" t="n">
        <x:v>68</x:v>
      </x:c>
      <x:c r="P122" s="10" t="n">
        <x:v>200</x:v>
      </x:c>
      <x:c r="Q122" s="10" t="n">
        <x:v>200</x:v>
      </x:c>
      <x:c r="R122" s="1" t="str">
        <x:v>Seaking</x:v>
      </x:c>
      <x:c r="S122" s="1" t="n">
        <x:v>50</x:v>
      </x:c>
      <x:c r="T122" s="9" t="str">
        <x:v>https://poke.idleworld.online/pokepedia/pokemon/goldeen</x:v>
      </x:c>
    </x:row>
    <x:row r="123" ht="22" customHeight="1">
      <x:c r="A123" s="1" t="n">
        <x:v>119</x:v>
      </x:c>
      <x:c r="B123" s="1" t="str">
        <x:v>Seaking</x:v>
      </x:c>
      <x:c r="C123" s="1" t="str">
        <x:v>Água</x:v>
      </x:c>
      <x:c r="D123" s="1" t="str"/>
      <x:c r="E123" s="1" t="str">
        <x:v>Comum</x:v>
      </x:c>
      <x:c r="F123" s="10" t="n">
        <x:v>80</x:v>
      </x:c>
      <x:c r="G123" s="10" t="n">
        <x:v>92</x:v>
      </x:c>
      <x:c r="H123" s="10" t="n">
        <x:v>65</x:v>
      </x:c>
      <x:c r="I123" s="10" t="n">
        <x:v>65</x:v>
      </x:c>
      <x:c r="J123" s="10" t="n">
        <x:v>80</x:v>
      </x:c>
      <x:c r="K123" s="10" t="n">
        <x:v>68</x:v>
      </x:c>
      <x:c r="L123" s="10" t="n">
        <x:f>SUM(F123:K123)</x:f>
        <x:v>450</x:v>
      </x:c>
      <x:c r="M123" s="1" t="str">
        <x:f>IF(G123=I123,"Empate",IF(G123&gt;I123,"Física","Especial"))</x:f>
        <x:v>Física</x:v>
      </x:c>
      <x:c r="N123" s="10" t="n">
        <x:v>50</x:v>
      </x:c>
      <x:c r="O123" s="10" t="n">
        <x:v>1508</x:v>
      </x:c>
      <x:c r="P123" s="10" t="n">
        <x:v>3000</x:v>
      </x:c>
      <x:c r="Q123" s="10" t="n">
        <x:v>3000</x:v>
      </x:c>
      <x:c r="R123" s="1" t="str"/>
      <x:c r="S123" s="1"/>
      <x:c r="T123" s="9" t="str">
        <x:v>https://poke.idleworld.online/pokepedia/pokemon/seaking</x:v>
      </x:c>
    </x:row>
    <x:row r="124" ht="22" customHeight="1">
      <x:c r="A124" s="1" t="n">
        <x:v>120</x:v>
      </x:c>
      <x:c r="B124" s="1" t="str">
        <x:v>Staryu</x:v>
      </x:c>
      <x:c r="C124" s="1" t="str">
        <x:v>Água</x:v>
      </x:c>
      <x:c r="D124" s="1" t="str"/>
      <x:c r="E124" s="1" t="str">
        <x:v>Comum</x:v>
      </x:c>
      <x:c r="F124" s="10" t="n">
        <x:v>30</x:v>
      </x:c>
      <x:c r="G124" s="10" t="n">
        <x:v>45</x:v>
      </x:c>
      <x:c r="H124" s="10" t="n">
        <x:v>55</x:v>
      </x:c>
      <x:c r="I124" s="10" t="n">
        <x:v>70</x:v>
      </x:c>
      <x:c r="J124" s="10" t="n">
        <x:v>55</x:v>
      </x:c>
      <x:c r="K124" s="10" t="n">
        <x:v>85</x:v>
      </x:c>
      <x:c r="L124" s="10" t="n">
        <x:f>SUM(F124:K124)</x:f>
        <x:v>340</x:v>
      </x:c>
      <x:c r="M124" s="1" t="str">
        <x:f>IF(G124=I124,"Empate",IF(G124&gt;I124,"Física","Especial"))</x:f>
        <x:v>Especial</x:v>
      </x:c>
      <x:c r="N124" s="10" t="n">
        <x:v>20</x:v>
      </x:c>
      <x:c r="O124" s="10" t="n">
        <x:v>248</x:v>
      </x:c>
      <x:c r="P124" s="10" t="n">
        <x:v>400</x:v>
      </x:c>
      <x:c r="Q124" s="10" t="n">
        <x:v>400</x:v>
      </x:c>
      <x:c r="R124" s="1" t="str">
        <x:v>Starmie</x:v>
      </x:c>
      <x:c r="S124" s="1" t="n">
        <x:v>80</x:v>
      </x:c>
      <x:c r="T124" s="9" t="str">
        <x:v>https://poke.idleworld.online/pokepedia/pokemon/staryu</x:v>
      </x:c>
    </x:row>
    <x:row r="125" ht="22" customHeight="1">
      <x:c r="A125" s="1" t="n">
        <x:v>121</x:v>
      </x:c>
      <x:c r="B125" s="1" t="str">
        <x:v>Starmie</x:v>
      </x:c>
      <x:c r="C125" s="1" t="str">
        <x:v>Água</x:v>
      </x:c>
      <x:c r="D125" s="1" t="str">
        <x:v>Psíquico</x:v>
      </x:c>
      <x:c r="E125" s="1" t="str">
        <x:v>Comum</x:v>
      </x:c>
      <x:c r="F125" s="10" t="n">
        <x:v>60</x:v>
      </x:c>
      <x:c r="G125" s="10" t="n">
        <x:v>75</x:v>
      </x:c>
      <x:c r="H125" s="10" t="n">
        <x:v>85</x:v>
      </x:c>
      <x:c r="I125" s="10" t="n">
        <x:v>100</x:v>
      </x:c>
      <x:c r="J125" s="10" t="n">
        <x:v>85</x:v>
      </x:c>
      <x:c r="K125" s="10" t="n">
        <x:v>115</x:v>
      </x:c>
      <x:c r="L125" s="10" t="n">
        <x:f>SUM(F125:K125)</x:f>
        <x:v>520</x:v>
      </x:c>
      <x:c r="M125" s="1" t="str">
        <x:f>IF(G125=I125,"Empate",IF(G125&gt;I125,"Física","Especial"))</x:f>
        <x:v>Especial</x:v>
      </x:c>
      <x:c r="N125" s="10" t="n">
        <x:v>80</x:v>
      </x:c>
      <x:c r="O125" s="10" t="n">
        <x:v>3848</x:v>
      </x:c>
      <x:c r="P125" s="10" t="n">
        <x:v>10000</x:v>
      </x:c>
      <x:c r="Q125" s="10" t="n">
        <x:v>10000</x:v>
      </x:c>
      <x:c r="R125" s="1" t="str"/>
      <x:c r="S125" s="1"/>
      <x:c r="T125" s="9" t="str">
        <x:v>https://poke.idleworld.online/pokepedia/pokemon/starmie</x:v>
      </x:c>
    </x:row>
    <x:row r="126" ht="22" customHeight="1">
      <x:c r="A126" s="1" t="n">
        <x:v>122</x:v>
      </x:c>
      <x:c r="B126" s="1" t="str">
        <x:v>Mr. Mime</x:v>
      </x:c>
      <x:c r="C126" s="1" t="str">
        <x:v>Psíquico</x:v>
      </x:c>
      <x:c r="D126" s="1" t="str">
        <x:v>Fada</x:v>
      </x:c>
      <x:c r="E126" s="1" t="str">
        <x:v>Comum</x:v>
      </x:c>
      <x:c r="F126" s="10" t="n">
        <x:v>40</x:v>
      </x:c>
      <x:c r="G126" s="10" t="n">
        <x:v>45</x:v>
      </x:c>
      <x:c r="H126" s="10" t="n">
        <x:v>65</x:v>
      </x:c>
      <x:c r="I126" s="10" t="n">
        <x:v>100</x:v>
      </x:c>
      <x:c r="J126" s="10" t="n">
        <x:v>120</x:v>
      </x:c>
      <x:c r="K126" s="10" t="n">
        <x:v>90</x:v>
      </x:c>
      <x:c r="L126" s="10" t="n">
        <x:f>SUM(F126:K126)</x:f>
        <x:v>460</x:v>
      </x:c>
      <x:c r="M126" s="1" t="str">
        <x:f>IF(G126=I126,"Empate",IF(G126&gt;I126,"Física","Especial"))</x:f>
        <x:v>Especial</x:v>
      </x:c>
      <x:c r="N126" s="10" t="n">
        <x:v>80</x:v>
      </x:c>
      <x:c r="O126" s="10" t="n">
        <x:v>3848</x:v>
      </x:c>
      <x:c r="P126" s="10" t="n">
        <x:v>40000</x:v>
      </x:c>
      <x:c r="Q126" s="10" t="n">
        <x:v>40000</x:v>
      </x:c>
      <x:c r="R126" s="1" t="str"/>
      <x:c r="S126" s="1"/>
      <x:c r="T126" s="9" t="str">
        <x:v>https://poke.idleworld.online/pokepedia/pokemon/mrmime</x:v>
      </x:c>
    </x:row>
    <x:row r="127" ht="22" customHeight="1">
      <x:c r="A127" s="1" t="n">
        <x:v>123</x:v>
      </x:c>
      <x:c r="B127" s="1" t="str">
        <x:v>Scyther</x:v>
      </x:c>
      <x:c r="C127" s="1" t="str">
        <x:v>Inseto</x:v>
      </x:c>
      <x:c r="D127" s="1" t="str">
        <x:v>Voador</x:v>
      </x:c>
      <x:c r="E127" s="1" t="str">
        <x:v>Comum</x:v>
      </x:c>
      <x:c r="F127" s="10" t="n">
        <x:v>70</x:v>
      </x:c>
      <x:c r="G127" s="10" t="n">
        <x:v>110</x:v>
      </x:c>
      <x:c r="H127" s="10" t="n">
        <x:v>80</x:v>
      </x:c>
      <x:c r="I127" s="10" t="n">
        <x:v>55</x:v>
      </x:c>
      <x:c r="J127" s="10" t="n">
        <x:v>80</x:v>
      </x:c>
      <x:c r="K127" s="10" t="n">
        <x:v>105</x:v>
      </x:c>
      <x:c r="L127" s="10" t="n">
        <x:f>SUM(F127:K127)</x:f>
        <x:v>500</x:v>
      </x:c>
      <x:c r="M127" s="1" t="str">
        <x:f>IF(G127=I127,"Empate",IF(G127&gt;I127,"Física","Especial"))</x:f>
        <x:v>Física</x:v>
      </x:c>
      <x:c r="N127" s="10" t="n">
        <x:v>100</x:v>
      </x:c>
      <x:c r="O127" s="10" t="n">
        <x:v>6008</x:v>
      </x:c>
      <x:c r="P127" s="10" t="n">
        <x:v>60000</x:v>
      </x:c>
      <x:c r="Q127" s="10" t="n">
        <x:v>60000</x:v>
      </x:c>
      <x:c r="R127" s="1" t="str">
        <x:v>Scizor</x:v>
      </x:c>
      <x:c r="S127" s="1" t="n">
        <x:v>80</x:v>
      </x:c>
      <x:c r="T127" s="9" t="str">
        <x:v>https://poke.idleworld.online/pokepedia/pokemon/scyther</x:v>
      </x:c>
    </x:row>
    <x:row r="128" ht="22" customHeight="1">
      <x:c r="A128" s="1" t="n">
        <x:v>124</x:v>
      </x:c>
      <x:c r="B128" s="1" t="str">
        <x:v>Jynx</x:v>
      </x:c>
      <x:c r="C128" s="1" t="str">
        <x:v>Gelo</x:v>
      </x:c>
      <x:c r="D128" s="1" t="str">
        <x:v>Psíquico</x:v>
      </x:c>
      <x:c r="E128" s="1" t="str">
        <x:v>Comum</x:v>
      </x:c>
      <x:c r="F128" s="10" t="n">
        <x:v>65</x:v>
      </x:c>
      <x:c r="G128" s="10" t="n">
        <x:v>50</x:v>
      </x:c>
      <x:c r="H128" s="10" t="n">
        <x:v>35</x:v>
      </x:c>
      <x:c r="I128" s="10" t="n">
        <x:v>115</x:v>
      </x:c>
      <x:c r="J128" s="10" t="n">
        <x:v>95</x:v>
      </x:c>
      <x:c r="K128" s="10" t="n">
        <x:v>95</x:v>
      </x:c>
      <x:c r="L128" s="10" t="n">
        <x:f>SUM(F128:K128)</x:f>
        <x:v>455</x:v>
      </x:c>
      <x:c r="M128" s="1" t="str">
        <x:f>IF(G128=I128,"Empate",IF(G128&gt;I128,"Física","Especial"))</x:f>
        <x:v>Especial</x:v>
      </x:c>
      <x:c r="N128" s="10" t="n">
        <x:v>100</x:v>
      </x:c>
      <x:c r="O128" s="10" t="n">
        <x:v>6008</x:v>
      </x:c>
      <x:c r="P128" s="10" t="n">
        <x:v>60000</x:v>
      </x:c>
      <x:c r="Q128" s="10" t="n">
        <x:v>60000</x:v>
      </x:c>
      <x:c r="R128" s="1" t="str"/>
      <x:c r="S128" s="1"/>
      <x:c r="T128" s="9" t="str">
        <x:v>https://poke.idleworld.online/pokepedia/pokemon/jynx</x:v>
      </x:c>
    </x:row>
    <x:row r="129" ht="22" customHeight="1">
      <x:c r="A129" s="1" t="n">
        <x:v>125</x:v>
      </x:c>
      <x:c r="B129" s="1" t="str">
        <x:v>Electabuzz</x:v>
      </x:c>
      <x:c r="C129" s="1" t="str">
        <x:v>Elétrico</x:v>
      </x:c>
      <x:c r="D129" s="1" t="str"/>
      <x:c r="E129" s="1" t="str">
        <x:v>Comum</x:v>
      </x:c>
      <x:c r="F129" s="10" t="n">
        <x:v>65</x:v>
      </x:c>
      <x:c r="G129" s="10" t="n">
        <x:v>83</x:v>
      </x:c>
      <x:c r="H129" s="10" t="n">
        <x:v>57</x:v>
      </x:c>
      <x:c r="I129" s="10" t="n">
        <x:v>95</x:v>
      </x:c>
      <x:c r="J129" s="10" t="n">
        <x:v>85</x:v>
      </x:c>
      <x:c r="K129" s="10" t="n">
        <x:v>105</x:v>
      </x:c>
      <x:c r="L129" s="10" t="n">
        <x:f>SUM(F129:K129)</x:f>
        <x:v>490</x:v>
      </x:c>
      <x:c r="M129" s="1" t="str">
        <x:f>IF(G129=I129,"Empate",IF(G129&gt;I129,"Física","Especial"))</x:f>
        <x:v>Especial</x:v>
      </x:c>
      <x:c r="N129" s="10" t="n">
        <x:v>100</x:v>
      </x:c>
      <x:c r="O129" s="10" t="n">
        <x:v>6008</x:v>
      </x:c>
      <x:c r="P129" s="10" t="n">
        <x:v>60000</x:v>
      </x:c>
      <x:c r="Q129" s="10" t="n">
        <x:v>60000</x:v>
      </x:c>
      <x:c r="R129" s="1" t="str">
        <x:v>Electivire</x:v>
      </x:c>
      <x:c r="S129" s="1" t="n">
        <x:v>600</x:v>
      </x:c>
      <x:c r="T129" s="9" t="str">
        <x:v>https://poke.idleworld.online/pokepedia/pokemon/electabuzz</x:v>
      </x:c>
    </x:row>
    <x:row r="130" ht="22" customHeight="1">
      <x:c r="A130" s="1" t="n">
        <x:v>126</x:v>
      </x:c>
      <x:c r="B130" s="1" t="str">
        <x:v>Magmar</x:v>
      </x:c>
      <x:c r="C130" s="1" t="str">
        <x:v>Fogo</x:v>
      </x:c>
      <x:c r="D130" s="1" t="str"/>
      <x:c r="E130" s="1" t="str">
        <x:v>Comum</x:v>
      </x:c>
      <x:c r="F130" s="10" t="n">
        <x:v>65</x:v>
      </x:c>
      <x:c r="G130" s="10" t="n">
        <x:v>95</x:v>
      </x:c>
      <x:c r="H130" s="10" t="n">
        <x:v>57</x:v>
      </x:c>
      <x:c r="I130" s="10" t="n">
        <x:v>100</x:v>
      </x:c>
      <x:c r="J130" s="10" t="n">
        <x:v>85</x:v>
      </x:c>
      <x:c r="K130" s="10" t="n">
        <x:v>93</x:v>
      </x:c>
      <x:c r="L130" s="10" t="n">
        <x:f>SUM(F130:K130)</x:f>
        <x:v>495</x:v>
      </x:c>
      <x:c r="M130" s="1" t="str">
        <x:f>IF(G130=I130,"Empate",IF(G130&gt;I130,"Física","Especial"))</x:f>
        <x:v>Especial</x:v>
      </x:c>
      <x:c r="N130" s="10" t="n">
        <x:v>100</x:v>
      </x:c>
      <x:c r="O130" s="10" t="n">
        <x:v>6008</x:v>
      </x:c>
      <x:c r="P130" s="10" t="n">
        <x:v>60000</x:v>
      </x:c>
      <x:c r="Q130" s="10" t="n">
        <x:v>60000</x:v>
      </x:c>
      <x:c r="R130" s="1" t="str">
        <x:v>Magmortar</x:v>
      </x:c>
      <x:c r="S130" s="1" t="n">
        <x:v>600</x:v>
      </x:c>
      <x:c r="T130" s="9" t="str">
        <x:v>https://poke.idleworld.online/pokepedia/pokemon/magmar</x:v>
      </x:c>
    </x:row>
    <x:row r="131" ht="22" customHeight="1">
      <x:c r="A131" s="1" t="n">
        <x:v>127</x:v>
      </x:c>
      <x:c r="B131" s="1" t="str">
        <x:v>Pinsir</x:v>
      </x:c>
      <x:c r="C131" s="1" t="str">
        <x:v>Inseto</x:v>
      </x:c>
      <x:c r="D131" s="1" t="str"/>
      <x:c r="E131" s="1" t="str">
        <x:v>Comum</x:v>
      </x:c>
      <x:c r="F131" s="10" t="n">
        <x:v>65</x:v>
      </x:c>
      <x:c r="G131" s="10" t="n">
        <x:v>125</x:v>
      </x:c>
      <x:c r="H131" s="10" t="n">
        <x:v>100</x:v>
      </x:c>
      <x:c r="I131" s="10" t="n">
        <x:v>55</x:v>
      </x:c>
      <x:c r="J131" s="10" t="n">
        <x:v>70</x:v>
      </x:c>
      <x:c r="K131" s="10" t="n">
        <x:v>85</x:v>
      </x:c>
      <x:c r="L131" s="10" t="n">
        <x:f>SUM(F131:K131)</x:f>
        <x:v>500</x:v>
      </x:c>
      <x:c r="M131" s="1" t="str">
        <x:f>IF(G131=I131,"Empate",IF(G131&gt;I131,"Física","Especial"))</x:f>
        <x:v>Física</x:v>
      </x:c>
      <x:c r="N131" s="10" t="n">
        <x:v>100</x:v>
      </x:c>
      <x:c r="O131" s="10" t="n">
        <x:v>6008</x:v>
      </x:c>
      <x:c r="P131" s="10" t="n">
        <x:v>40000</x:v>
      </x:c>
      <x:c r="Q131" s="10" t="n">
        <x:v>40000</x:v>
      </x:c>
      <x:c r="R131" s="1" t="str"/>
      <x:c r="S131" s="1"/>
      <x:c r="T131" s="9" t="str">
        <x:v>https://poke.idleworld.online/pokepedia/pokemon/pinsir</x:v>
      </x:c>
    </x:row>
    <x:row r="132" ht="22" customHeight="1">
      <x:c r="A132" s="1" t="n">
        <x:v>128</x:v>
      </x:c>
      <x:c r="B132" s="1" t="str">
        <x:v>Tauros</x:v>
      </x:c>
      <x:c r="C132" s="1" t="str">
        <x:v>Normal</x:v>
      </x:c>
      <x:c r="D132" s="1" t="str"/>
      <x:c r="E132" s="1" t="str">
        <x:v>Comum</x:v>
      </x:c>
      <x:c r="F132" s="10" t="n">
        <x:v>75</x:v>
      </x:c>
      <x:c r="G132" s="10" t="n">
        <x:v>100</x:v>
      </x:c>
      <x:c r="H132" s="10" t="n">
        <x:v>95</x:v>
      </x:c>
      <x:c r="I132" s="10" t="n">
        <x:v>40</x:v>
      </x:c>
      <x:c r="J132" s="10" t="n">
        <x:v>70</x:v>
      </x:c>
      <x:c r="K132" s="10" t="n">
        <x:v>110</x:v>
      </x:c>
      <x:c r="L132" s="10" t="n">
        <x:f>SUM(F132:K132)</x:f>
        <x:v>490</x:v>
      </x:c>
      <x:c r="M132" s="1" t="str">
        <x:f>IF(G132=I132,"Empate",IF(G132&gt;I132,"Física","Especial"))</x:f>
        <x:v>Física</x:v>
      </x:c>
      <x:c r="N132" s="10" t="n">
        <x:v>60</x:v>
      </x:c>
      <x:c r="O132" s="10" t="n">
        <x:v>2168</x:v>
      </x:c>
      <x:c r="P132" s="10" t="n">
        <x:v>5000</x:v>
      </x:c>
      <x:c r="Q132" s="10" t="n">
        <x:v>5000</x:v>
      </x:c>
      <x:c r="R132" s="1" t="str"/>
      <x:c r="S132" s="1"/>
      <x:c r="T132" s="9" t="str">
        <x:v>https://poke.idleworld.online/pokepedia/pokemon/tauros</x:v>
      </x:c>
    </x:row>
    <x:row r="133" ht="22" customHeight="1">
      <x:c r="A133" s="1" t="n">
        <x:v>129</x:v>
      </x:c>
      <x:c r="B133" s="1" t="str">
        <x:v>Magikarp</x:v>
      </x:c>
      <x:c r="C133" s="1" t="str">
        <x:v>Água</x:v>
      </x:c>
      <x:c r="D133" s="1" t="str"/>
      <x:c r="E133" s="1" t="str">
        <x:v>Comum</x:v>
      </x:c>
      <x:c r="F133" s="10" t="n">
        <x:v>20</x:v>
      </x:c>
      <x:c r="G133" s="10" t="n">
        <x:v>10</x:v>
      </x:c>
      <x:c r="H133" s="10" t="n">
        <x:v>55</x:v>
      </x:c>
      <x:c r="I133" s="10" t="n">
        <x:v>15</x:v>
      </x:c>
      <x:c r="J133" s="10" t="n">
        <x:v>20</x:v>
      </x:c>
      <x:c r="K133" s="10" t="n">
        <x:v>80</x:v>
      </x:c>
      <x:c r="L133" s="10" t="n">
        <x:f>SUM(F133:K133)</x:f>
        <x:v>200</x:v>
      </x:c>
      <x:c r="M133" s="1" t="str">
        <x:f>IF(G133=I133,"Empate",IF(G133&gt;I133,"Física","Especial"))</x:f>
        <x:v>Especial</x:v>
      </x:c>
      <x:c r="N133" s="10" t="n">
        <x:v>1</x:v>
      </x:c>
      <x:c r="O133" s="10" t="n">
        <x:v>8</x:v>
      </x:c>
      <x:c r="P133" s="10" t="n">
        <x:v>80</x:v>
      </x:c>
      <x:c r="Q133" s="10" t="n">
        <x:v>80</x:v>
      </x:c>
      <x:c r="R133" s="1" t="str">
        <x:v>Gyarados</x:v>
      </x:c>
      <x:c r="S133" s="1" t="n">
        <x:v>100</x:v>
      </x:c>
      <x:c r="T133" s="9" t="str">
        <x:v>https://poke.idleworld.online/pokepedia/pokemon/magikarp</x:v>
      </x:c>
    </x:row>
    <x:row r="134" ht="22" customHeight="1">
      <x:c r="A134" s="1" t="n">
        <x:v>130</x:v>
      </x:c>
      <x:c r="B134" s="1" t="str">
        <x:v>Gyarados</x:v>
      </x:c>
      <x:c r="C134" s="1" t="str">
        <x:v>Água</x:v>
      </x:c>
      <x:c r="D134" s="1" t="str">
        <x:v>Voador</x:v>
      </x:c>
      <x:c r="E134" s="1" t="str">
        <x:v>Comum</x:v>
      </x:c>
      <x:c r="F134" s="10" t="n">
        <x:v>95</x:v>
      </x:c>
      <x:c r="G134" s="10" t="n">
        <x:v>125</x:v>
      </x:c>
      <x:c r="H134" s="10" t="n">
        <x:v>79</x:v>
      </x:c>
      <x:c r="I134" s="10" t="n">
        <x:v>60</x:v>
      </x:c>
      <x:c r="J134" s="10" t="n">
        <x:v>100</x:v>
      </x:c>
      <x:c r="K134" s="10" t="n">
        <x:v>81</x:v>
      </x:c>
      <x:c r="L134" s="10" t="n">
        <x:f>SUM(F134:K134)</x:f>
        <x:v>540</x:v>
      </x:c>
      <x:c r="M134" s="1" t="str">
        <x:f>IF(G134=I134,"Empate",IF(G134&gt;I134,"Física","Especial"))</x:f>
        <x:v>Física</x:v>
      </x:c>
      <x:c r="N134" s="10" t="n">
        <x:v>100</x:v>
      </x:c>
      <x:c r="O134" s="10" t="n">
        <x:v>6008</x:v>
      </x:c>
      <x:c r="P134" s="10" t="n">
        <x:v>27500</x:v>
      </x:c>
      <x:c r="Q134" s="10" t="n">
        <x:v>27500</x:v>
      </x:c>
      <x:c r="R134" s="1" t="str"/>
      <x:c r="S134" s="1"/>
      <x:c r="T134" s="9" t="str">
        <x:v>https://poke.idleworld.online/pokepedia/pokemon/gyarados</x:v>
      </x:c>
    </x:row>
    <x:row r="135" ht="22" customHeight="1">
      <x:c r="A135" s="1" t="n">
        <x:v>131</x:v>
      </x:c>
      <x:c r="B135" s="1" t="str">
        <x:v>Lapras</x:v>
      </x:c>
      <x:c r="C135" s="1" t="str">
        <x:v>Água</x:v>
      </x:c>
      <x:c r="D135" s="1" t="str">
        <x:v>Gelo</x:v>
      </x:c>
      <x:c r="E135" s="1" t="str">
        <x:v>Comum</x:v>
      </x:c>
      <x:c r="F135" s="10" t="n">
        <x:v>130</x:v>
      </x:c>
      <x:c r="G135" s="10" t="n">
        <x:v>85</x:v>
      </x:c>
      <x:c r="H135" s="10" t="n">
        <x:v>80</x:v>
      </x:c>
      <x:c r="I135" s="10" t="n">
        <x:v>85</x:v>
      </x:c>
      <x:c r="J135" s="10" t="n">
        <x:v>95</x:v>
      </x:c>
      <x:c r="K135" s="10" t="n">
        <x:v>60</x:v>
      </x:c>
      <x:c r="L135" s="10" t="n">
        <x:f>SUM(F135:K135)</x:f>
        <x:v>535</x:v>
      </x:c>
      <x:c r="M135" s="1" t="str">
        <x:f>IF(G135=I135,"Empate",IF(G135&gt;I135,"Física","Especial"))</x:f>
        <x:v>Empate</x:v>
      </x:c>
      <x:c r="N135" s="10" t="n">
        <x:v>100</x:v>
      </x:c>
      <x:c r="O135" s="10" t="n">
        <x:v>6008</x:v>
      </x:c>
      <x:c r="P135" s="10" t="n">
        <x:v>60000</x:v>
      </x:c>
      <x:c r="Q135" s="10" t="n">
        <x:v>60000</x:v>
      </x:c>
      <x:c r="R135" s="1" t="str"/>
      <x:c r="S135" s="1"/>
      <x:c r="T135" s="9" t="str">
        <x:v>https://poke.idleworld.online/pokepedia/pokemon/lapras</x:v>
      </x:c>
    </x:row>
    <x:row r="136" ht="22" customHeight="1">
      <x:c r="A136" s="1" t="n">
        <x:v>132</x:v>
      </x:c>
      <x:c r="B136" s="1" t="str">
        <x:v>Ditto</x:v>
      </x:c>
      <x:c r="C136" s="1" t="str">
        <x:v>Normal</x:v>
      </x:c>
      <x:c r="D136" s="1" t="str"/>
      <x:c r="E136" s="1" t="str">
        <x:v>Comum</x:v>
      </x:c>
      <x:c r="F136" s="10" t="n">
        <x:v>48</x:v>
      </x:c>
      <x:c r="G136" s="10" t="n">
        <x:v>48</x:v>
      </x:c>
      <x:c r="H136" s="10" t="n">
        <x:v>48</x:v>
      </x:c>
      <x:c r="I136" s="10" t="n">
        <x:v>48</x:v>
      </x:c>
      <x:c r="J136" s="10" t="n">
        <x:v>48</x:v>
      </x:c>
      <x:c r="K136" s="10" t="n">
        <x:v>48</x:v>
      </x:c>
      <x:c r="L136" s="10" t="n">
        <x:f>SUM(F136:K136)</x:f>
        <x:v>288</x:v>
      </x:c>
      <x:c r="M136" s="1" t="str">
        <x:f>IF(G136=I136,"Empate",IF(G136&gt;I136,"Física","Especial"))</x:f>
        <x:v>Empate</x:v>
      </x:c>
      <x:c r="N136" s="10" t="n">
        <x:v>1</x:v>
      </x:c>
      <x:c r="O136" s="10" t="n">
        <x:v>8</x:v>
      </x:c>
      <x:c r="P136" s="10" t="n">
        <x:v>0</x:v>
      </x:c>
      <x:c r="Q136" s="10" t="n">
        <x:v>0</x:v>
      </x:c>
      <x:c r="R136" s="1" t="str"/>
      <x:c r="S136" s="1"/>
      <x:c r="T136" s="9" t="str">
        <x:v>https://poke.idleworld.online/pokepedia/pokemon/ditto</x:v>
      </x:c>
    </x:row>
    <x:row r="137" ht="22" customHeight="1">
      <x:c r="A137" s="1" t="n">
        <x:v>133</x:v>
      </x:c>
      <x:c r="B137" s="1" t="str">
        <x:v>Eevee</x:v>
      </x:c>
      <x:c r="C137" s="1" t="str">
        <x:v>Normal</x:v>
      </x:c>
      <x:c r="D137" s="1" t="str"/>
      <x:c r="E137" s="1" t="str">
        <x:v>Comum</x:v>
      </x:c>
      <x:c r="F137" s="10" t="n">
        <x:v>55</x:v>
      </x:c>
      <x:c r="G137" s="10" t="n">
        <x:v>55</x:v>
      </x:c>
      <x:c r="H137" s="10" t="n">
        <x:v>50</x:v>
      </x:c>
      <x:c r="I137" s="10" t="n">
        <x:v>45</x:v>
      </x:c>
      <x:c r="J137" s="10" t="n">
        <x:v>65</x:v>
      </x:c>
      <x:c r="K137" s="10" t="n">
        <x:v>55</x:v>
      </x:c>
      <x:c r="L137" s="10" t="n">
        <x:f>SUM(F137:K137)</x:f>
        <x:v>325</x:v>
      </x:c>
      <x:c r="M137" s="1" t="str">
        <x:f>IF(G137=I137,"Empate",IF(G137&gt;I137,"Física","Especial"))</x:f>
        <x:v>Física</x:v>
      </x:c>
      <x:c r="N137" s="10" t="n">
        <x:v>20</x:v>
      </x:c>
      <x:c r="O137" s="10" t="n">
        <x:v>248</x:v>
      </x:c>
      <x:c r="P137" s="10" t="n">
        <x:v>45000</x:v>
      </x:c>
      <x:c r="Q137" s="10" t="n">
        <x:v>45000</x:v>
      </x:c>
      <x:c r="R137" s="1" t="str">
        <x:v>Vaporeon</x:v>
      </x:c>
      <x:c r="S137" s="1" t="n">
        <x:v>80</x:v>
      </x:c>
      <x:c r="T137" s="9" t="str">
        <x:v>https://poke.idleworld.online/pokepedia/pokemon/eevee</x:v>
      </x:c>
    </x:row>
    <x:row r="138" ht="22" customHeight="1">
      <x:c r="A138" s="1" t="n">
        <x:v>134</x:v>
      </x:c>
      <x:c r="B138" s="1" t="str">
        <x:v>Vaporeon</x:v>
      </x:c>
      <x:c r="C138" s="1" t="str">
        <x:v>Água</x:v>
      </x:c>
      <x:c r="D138" s="1" t="str"/>
      <x:c r="E138" s="1" t="str">
        <x:v>Comum</x:v>
      </x:c>
      <x:c r="F138" s="10" t="n">
        <x:v>130</x:v>
      </x:c>
      <x:c r="G138" s="10" t="n">
        <x:v>65</x:v>
      </x:c>
      <x:c r="H138" s="10" t="n">
        <x:v>60</x:v>
      </x:c>
      <x:c r="I138" s="10" t="n">
        <x:v>110</x:v>
      </x:c>
      <x:c r="J138" s="10" t="n">
        <x:v>95</x:v>
      </x:c>
      <x:c r="K138" s="10" t="n">
        <x:v>65</x:v>
      </x:c>
      <x:c r="L138" s="10" t="n">
        <x:f>SUM(F138:K138)</x:f>
        <x:v>525</x:v>
      </x:c>
      <x:c r="M138" s="1" t="str">
        <x:f>IF(G138=I138,"Empate",IF(G138&gt;I138,"Física","Especial"))</x:f>
        <x:v>Especial</x:v>
      </x:c>
      <x:c r="N138" s="10" t="n">
        <x:v>80</x:v>
      </x:c>
      <x:c r="O138" s="10" t="n">
        <x:v>3848</x:v>
      </x:c>
      <x:c r="P138" s="10" t="n">
        <x:v>25000</x:v>
      </x:c>
      <x:c r="Q138" s="10" t="n">
        <x:v>25000</x:v>
      </x:c>
      <x:c r="R138" s="1" t="str"/>
      <x:c r="S138" s="1"/>
      <x:c r="T138" s="9" t="str">
        <x:v>https://poke.idleworld.online/pokepedia/pokemon/vaporeon</x:v>
      </x:c>
    </x:row>
    <x:row r="139" ht="22" customHeight="1">
      <x:c r="A139" s="1" t="n">
        <x:v>135</x:v>
      </x:c>
      <x:c r="B139" s="1" t="str">
        <x:v>Jolteon</x:v>
      </x:c>
      <x:c r="C139" s="1" t="str">
        <x:v>Elétrico</x:v>
      </x:c>
      <x:c r="D139" s="1" t="str"/>
      <x:c r="E139" s="1" t="str">
        <x:v>Comum</x:v>
      </x:c>
      <x:c r="F139" s="10" t="n">
        <x:v>65</x:v>
      </x:c>
      <x:c r="G139" s="10" t="n">
        <x:v>65</x:v>
      </x:c>
      <x:c r="H139" s="10" t="n">
        <x:v>60</x:v>
      </x:c>
      <x:c r="I139" s="10" t="n">
        <x:v>110</x:v>
      </x:c>
      <x:c r="J139" s="10" t="n">
        <x:v>95</x:v>
      </x:c>
      <x:c r="K139" s="10" t="n">
        <x:v>130</x:v>
      </x:c>
      <x:c r="L139" s="10" t="n">
        <x:f>SUM(F139:K139)</x:f>
        <x:v>525</x:v>
      </x:c>
      <x:c r="M139" s="1" t="str">
        <x:f>IF(G139=I139,"Empate",IF(G139&gt;I139,"Física","Especial"))</x:f>
        <x:v>Especial</x:v>
      </x:c>
      <x:c r="N139" s="10" t="n">
        <x:v>80</x:v>
      </x:c>
      <x:c r="O139" s="10" t="n">
        <x:v>3848</x:v>
      </x:c>
      <x:c r="P139" s="10" t="n">
        <x:v>25000</x:v>
      </x:c>
      <x:c r="Q139" s="10" t="n">
        <x:v>25000</x:v>
      </x:c>
      <x:c r="R139" s="1" t="str"/>
      <x:c r="S139" s="1"/>
      <x:c r="T139" s="9" t="str">
        <x:v>https://poke.idleworld.online/pokepedia/pokemon/jolteon</x:v>
      </x:c>
    </x:row>
    <x:row r="140" ht="22" customHeight="1">
      <x:c r="A140" s="1" t="n">
        <x:v>136</x:v>
      </x:c>
      <x:c r="B140" s="1" t="str">
        <x:v>Flareon</x:v>
      </x:c>
      <x:c r="C140" s="1" t="str">
        <x:v>Fogo</x:v>
      </x:c>
      <x:c r="D140" s="1" t="str"/>
      <x:c r="E140" s="1" t="str">
        <x:v>Comum</x:v>
      </x:c>
      <x:c r="F140" s="10" t="n">
        <x:v>65</x:v>
      </x:c>
      <x:c r="G140" s="10" t="n">
        <x:v>130</x:v>
      </x:c>
      <x:c r="H140" s="10" t="n">
        <x:v>60</x:v>
      </x:c>
      <x:c r="I140" s="10" t="n">
        <x:v>95</x:v>
      </x:c>
      <x:c r="J140" s="10" t="n">
        <x:v>110</x:v>
      </x:c>
      <x:c r="K140" s="10" t="n">
        <x:v>65</x:v>
      </x:c>
      <x:c r="L140" s="10" t="n">
        <x:f>SUM(F140:K140)</x:f>
        <x:v>525</x:v>
      </x:c>
      <x:c r="M140" s="1" t="str">
        <x:f>IF(G140=I140,"Empate",IF(G140&gt;I140,"Física","Especial"))</x:f>
        <x:v>Física</x:v>
      </x:c>
      <x:c r="N140" s="10" t="n">
        <x:v>80</x:v>
      </x:c>
      <x:c r="O140" s="10" t="n">
        <x:v>3848</x:v>
      </x:c>
      <x:c r="P140" s="10" t="n">
        <x:v>25000</x:v>
      </x:c>
      <x:c r="Q140" s="10" t="n">
        <x:v>25000</x:v>
      </x:c>
      <x:c r="R140" s="1" t="str"/>
      <x:c r="S140" s="1"/>
      <x:c r="T140" s="9" t="str">
        <x:v>https://poke.idleworld.online/pokepedia/pokemon/flareon</x:v>
      </x:c>
    </x:row>
    <x:row r="141" ht="22" customHeight="1">
      <x:c r="A141" s="1" t="n">
        <x:v>137</x:v>
      </x:c>
      <x:c r="B141" s="1" t="str">
        <x:v>Porygon</x:v>
      </x:c>
      <x:c r="C141" s="1" t="str">
        <x:v>Normal</x:v>
      </x:c>
      <x:c r="D141" s="1" t="str"/>
      <x:c r="E141" s="1" t="str">
        <x:v>Comum</x:v>
      </x:c>
      <x:c r="F141" s="10" t="n">
        <x:v>65</x:v>
      </x:c>
      <x:c r="G141" s="10" t="n">
        <x:v>60</x:v>
      </x:c>
      <x:c r="H141" s="10" t="n">
        <x:v>70</x:v>
      </x:c>
      <x:c r="I141" s="10" t="n">
        <x:v>85</x:v>
      </x:c>
      <x:c r="J141" s="10" t="n">
        <x:v>75</x:v>
      </x:c>
      <x:c r="K141" s="10" t="n">
        <x:v>40</x:v>
      </x:c>
      <x:c r="L141" s="10" t="n">
        <x:f>SUM(F141:K141)</x:f>
        <x:v>395</x:v>
      </x:c>
      <x:c r="M141" s="1" t="str">
        <x:f>IF(G141=I141,"Empate",IF(G141&gt;I141,"Física","Especial"))</x:f>
        <x:v>Especial</x:v>
      </x:c>
      <x:c r="N141" s="10" t="n">
        <x:v>40</x:v>
      </x:c>
      <x:c r="O141" s="10" t="n">
        <x:v>968</x:v>
      </x:c>
      <x:c r="P141" s="10" t="n">
        <x:v>30000</x:v>
      </x:c>
      <x:c r="Q141" s="10" t="n">
        <x:v>30000</x:v>
      </x:c>
      <x:c r="R141" s="1" t="str">
        <x:v>Porygon2</x:v>
      </x:c>
      <x:c r="S141" s="1" t="n">
        <x:v>80</x:v>
      </x:c>
      <x:c r="T141" s="9" t="str">
        <x:v>https://poke.idleworld.online/pokepedia/pokemon/porygon</x:v>
      </x:c>
    </x:row>
    <x:row r="142" ht="22" customHeight="1">
      <x:c r="A142" s="1" t="n">
        <x:v>138</x:v>
      </x:c>
      <x:c r="B142" s="1" t="str">
        <x:v>Omanyte</x:v>
      </x:c>
      <x:c r="C142" s="1" t="str">
        <x:v>Pedra</x:v>
      </x:c>
      <x:c r="D142" s="1" t="str">
        <x:v>Água</x:v>
      </x:c>
      <x:c r="E142" s="1" t="str">
        <x:v>Comum</x:v>
      </x:c>
      <x:c r="F142" s="10" t="n">
        <x:v>35</x:v>
      </x:c>
      <x:c r="G142" s="10" t="n">
        <x:v>40</x:v>
      </x:c>
      <x:c r="H142" s="10" t="n">
        <x:v>100</x:v>
      </x:c>
      <x:c r="I142" s="10" t="n">
        <x:v>90</x:v>
      </x:c>
      <x:c r="J142" s="10" t="n">
        <x:v>55</x:v>
      </x:c>
      <x:c r="K142" s="10" t="n">
        <x:v>35</x:v>
      </x:c>
      <x:c r="L142" s="10" t="n">
        <x:f>SUM(F142:K142)</x:f>
        <x:v>355</x:v>
      </x:c>
      <x:c r="M142" s="1" t="str">
        <x:f>IF(G142=I142,"Empate",IF(G142&gt;I142,"Física","Especial"))</x:f>
        <x:v>Especial</x:v>
      </x:c>
      <x:c r="N142" s="10" t="n">
        <x:v>20</x:v>
      </x:c>
      <x:c r="O142" s="10" t="n">
        <x:v>248</x:v>
      </x:c>
      <x:c r="P142" s="10" t="n">
        <x:v>20000</x:v>
      </x:c>
      <x:c r="Q142" s="10" t="n">
        <x:v>20000</x:v>
      </x:c>
      <x:c r="R142" s="1" t="str">
        <x:v>Omastar</x:v>
      </x:c>
      <x:c r="S142" s="1" t="n">
        <x:v>80</x:v>
      </x:c>
      <x:c r="T142" s="9" t="str">
        <x:v>https://poke.idleworld.online/pokepedia/pokemon/omanyte</x:v>
      </x:c>
    </x:row>
    <x:row r="143" ht="22" customHeight="1">
      <x:c r="A143" s="1" t="n">
        <x:v>139</x:v>
      </x:c>
      <x:c r="B143" s="1" t="str">
        <x:v>Omastar</x:v>
      </x:c>
      <x:c r="C143" s="1" t="str">
        <x:v>Pedra</x:v>
      </x:c>
      <x:c r="D143" s="1" t="str">
        <x:v>Água</x:v>
      </x:c>
      <x:c r="E143" s="1" t="str">
        <x:v>Comum</x:v>
      </x:c>
      <x:c r="F143" s="10" t="n">
        <x:v>70</x:v>
      </x:c>
      <x:c r="G143" s="10" t="n">
        <x:v>60</x:v>
      </x:c>
      <x:c r="H143" s="10" t="n">
        <x:v>125</x:v>
      </x:c>
      <x:c r="I143" s="10" t="n">
        <x:v>115</x:v>
      </x:c>
      <x:c r="J143" s="10" t="n">
        <x:v>70</x:v>
      </x:c>
      <x:c r="K143" s="10" t="n">
        <x:v>55</x:v>
      </x:c>
      <x:c r="L143" s="10" t="n">
        <x:f>SUM(F143:K143)</x:f>
        <x:v>495</x:v>
      </x:c>
      <x:c r="M143" s="1" t="str">
        <x:f>IF(G143=I143,"Empate",IF(G143&gt;I143,"Física","Especial"))</x:f>
        <x:v>Especial</x:v>
      </x:c>
      <x:c r="N143" s="10" t="n">
        <x:v>80</x:v>
      </x:c>
      <x:c r="O143" s="10" t="n">
        <x:v>3848</x:v>
      </x:c>
      <x:c r="P143" s="10" t="n">
        <x:v>37500</x:v>
      </x:c>
      <x:c r="Q143" s="10" t="n">
        <x:v>37500</x:v>
      </x:c>
      <x:c r="R143" s="1" t="str"/>
      <x:c r="S143" s="1"/>
      <x:c r="T143" s="9" t="str">
        <x:v>https://poke.idleworld.online/pokepedia/pokemon/omastar</x:v>
      </x:c>
    </x:row>
    <x:row r="144" ht="22" customHeight="1">
      <x:c r="A144" s="1" t="n">
        <x:v>140</x:v>
      </x:c>
      <x:c r="B144" s="1" t="str">
        <x:v>Kabuto</x:v>
      </x:c>
      <x:c r="C144" s="1" t="str">
        <x:v>Pedra</x:v>
      </x:c>
      <x:c r="D144" s="1" t="str">
        <x:v>Água</x:v>
      </x:c>
      <x:c r="E144" s="1" t="str">
        <x:v>Comum</x:v>
      </x:c>
      <x:c r="F144" s="10" t="n">
        <x:v>30</x:v>
      </x:c>
      <x:c r="G144" s="10" t="n">
        <x:v>80</x:v>
      </x:c>
      <x:c r="H144" s="10" t="n">
        <x:v>90</x:v>
      </x:c>
      <x:c r="I144" s="10" t="n">
        <x:v>55</x:v>
      </x:c>
      <x:c r="J144" s="10" t="n">
        <x:v>45</x:v>
      </x:c>
      <x:c r="K144" s="10" t="n">
        <x:v>55</x:v>
      </x:c>
      <x:c r="L144" s="10" t="n">
        <x:f>SUM(F144:K144)</x:f>
        <x:v>355</x:v>
      </x:c>
      <x:c r="M144" s="1" t="str">
        <x:f>IF(G144=I144,"Empate",IF(G144&gt;I144,"Física","Especial"))</x:f>
        <x:v>Física</x:v>
      </x:c>
      <x:c r="N144" s="10" t="n">
        <x:v>20</x:v>
      </x:c>
      <x:c r="O144" s="10" t="n">
        <x:v>248</x:v>
      </x:c>
      <x:c r="P144" s="10" t="n">
        <x:v>20000</x:v>
      </x:c>
      <x:c r="Q144" s="10" t="n">
        <x:v>20000</x:v>
      </x:c>
      <x:c r="R144" s="1" t="str">
        <x:v>Kabutops</x:v>
      </x:c>
      <x:c r="S144" s="1" t="n">
        <x:v>80</x:v>
      </x:c>
      <x:c r="T144" s="9" t="str">
        <x:v>https://poke.idleworld.online/pokepedia/pokemon/kabuto</x:v>
      </x:c>
    </x:row>
    <x:row r="145" ht="22" customHeight="1">
      <x:c r="A145" s="1" t="n">
        <x:v>141</x:v>
      </x:c>
      <x:c r="B145" s="1" t="str">
        <x:v>Kabutops</x:v>
      </x:c>
      <x:c r="C145" s="1" t="str">
        <x:v>Pedra</x:v>
      </x:c>
      <x:c r="D145" s="1" t="str">
        <x:v>Água</x:v>
      </x:c>
      <x:c r="E145" s="1" t="str">
        <x:v>Comum</x:v>
      </x:c>
      <x:c r="F145" s="10" t="n">
        <x:v>60</x:v>
      </x:c>
      <x:c r="G145" s="10" t="n">
        <x:v>115</x:v>
      </x:c>
      <x:c r="H145" s="10" t="n">
        <x:v>105</x:v>
      </x:c>
      <x:c r="I145" s="10" t="n">
        <x:v>65</x:v>
      </x:c>
      <x:c r="J145" s="10" t="n">
        <x:v>70</x:v>
      </x:c>
      <x:c r="K145" s="10" t="n">
        <x:v>80</x:v>
      </x:c>
      <x:c r="L145" s="10" t="n">
        <x:f>SUM(F145:K145)</x:f>
        <x:v>495</x:v>
      </x:c>
      <x:c r="M145" s="1" t="str">
        <x:f>IF(G145=I145,"Empate",IF(G145&gt;I145,"Física","Especial"))</x:f>
        <x:v>Física</x:v>
      </x:c>
      <x:c r="N145" s="10" t="n">
        <x:v>80</x:v>
      </x:c>
      <x:c r="O145" s="10" t="n">
        <x:v>3848</x:v>
      </x:c>
      <x:c r="P145" s="10" t="n">
        <x:v>37500</x:v>
      </x:c>
      <x:c r="Q145" s="10" t="n">
        <x:v>37500</x:v>
      </x:c>
      <x:c r="R145" s="1" t="str"/>
      <x:c r="S145" s="1"/>
      <x:c r="T145" s="9" t="str">
        <x:v>https://poke.idleworld.online/pokepedia/pokemon/kabutops</x:v>
      </x:c>
    </x:row>
    <x:row r="146" ht="22" customHeight="1">
      <x:c r="A146" s="1" t="n">
        <x:v>142</x:v>
      </x:c>
      <x:c r="B146" s="1" t="str">
        <x:v>Aerodactyl</x:v>
      </x:c>
      <x:c r="C146" s="1" t="str">
        <x:v>Pedra</x:v>
      </x:c>
      <x:c r="D146" s="1" t="str">
        <x:v>Voador</x:v>
      </x:c>
      <x:c r="E146" s="1" t="str">
        <x:v>Comum</x:v>
      </x:c>
      <x:c r="F146" s="10" t="n">
        <x:v>80</x:v>
      </x:c>
      <x:c r="G146" s="10" t="n">
        <x:v>105</x:v>
      </x:c>
      <x:c r="H146" s="10" t="n">
        <x:v>65</x:v>
      </x:c>
      <x:c r="I146" s="10" t="n">
        <x:v>60</x:v>
      </x:c>
      <x:c r="J146" s="10" t="n">
        <x:v>75</x:v>
      </x:c>
      <x:c r="K146" s="10" t="n">
        <x:v>130</x:v>
      </x:c>
      <x:c r="L146" s="10" t="n">
        <x:f>SUM(F146:K146)</x:f>
        <x:v>515</x:v>
      </x:c>
      <x:c r="M146" s="1" t="str">
        <x:f>IF(G146=I146,"Empate",IF(G146&gt;I146,"Física","Especial"))</x:f>
        <x:v>Física</x:v>
      </x:c>
      <x:c r="N146" s="10" t="n">
        <x:v>100</x:v>
      </x:c>
      <x:c r="O146" s="10" t="n">
        <x:v>6008</x:v>
      </x:c>
      <x:c r="P146" s="10" t="n">
        <x:v>6500000000</x:v>
      </x:c>
      <x:c r="Q146" s="10"/>
      <x:c r="R146" s="1" t="str"/>
      <x:c r="S146" s="1"/>
      <x:c r="T146" s="9" t="str">
        <x:v>https://poke.idleworld.online/pokepedia/pokemon/aerodactyl</x:v>
      </x:c>
    </x:row>
    <x:row r="147" ht="22" customHeight="1">
      <x:c r="A147" s="1" t="n">
        <x:v>143</x:v>
      </x:c>
      <x:c r="B147" s="1" t="str">
        <x:v>Snorlax</x:v>
      </x:c>
      <x:c r="C147" s="1" t="str">
        <x:v>Normal</x:v>
      </x:c>
      <x:c r="D147" s="1" t="str"/>
      <x:c r="E147" s="1" t="str">
        <x:v>Comum</x:v>
      </x:c>
      <x:c r="F147" s="10" t="n">
        <x:v>160</x:v>
      </x:c>
      <x:c r="G147" s="10" t="n">
        <x:v>110</x:v>
      </x:c>
      <x:c r="H147" s="10" t="n">
        <x:v>65</x:v>
      </x:c>
      <x:c r="I147" s="10" t="n">
        <x:v>65</x:v>
      </x:c>
      <x:c r="J147" s="10" t="n">
        <x:v>110</x:v>
      </x:c>
      <x:c r="K147" s="10" t="n">
        <x:v>30</x:v>
      </x:c>
      <x:c r="L147" s="10" t="n">
        <x:f>SUM(F147:K147)</x:f>
        <x:v>540</x:v>
      </x:c>
      <x:c r="M147" s="1" t="str">
        <x:f>IF(G147=I147,"Empate",IF(G147&gt;I147,"Física","Especial"))</x:f>
        <x:v>Física</x:v>
      </x:c>
      <x:c r="N147" s="10" t="n">
        <x:v>100</x:v>
      </x:c>
      <x:c r="O147" s="10" t="n">
        <x:v>6008</x:v>
      </x:c>
      <x:c r="P147" s="10" t="n">
        <x:v>100000</x:v>
      </x:c>
      <x:c r="Q147" s="10" t="n">
        <x:v>100000</x:v>
      </x:c>
      <x:c r="R147" s="1" t="str"/>
      <x:c r="S147" s="1"/>
      <x:c r="T147" s="9" t="str">
        <x:v>https://poke.idleworld.online/pokepedia/pokemon/snorlax</x:v>
      </x:c>
    </x:row>
    <x:row r="148" ht="22" customHeight="1">
      <x:c r="A148" s="1" t="n">
        <x:v>144</x:v>
      </x:c>
      <x:c r="B148" s="1" t="str">
        <x:v>Articuno</x:v>
      </x:c>
      <x:c r="C148" s="1" t="str">
        <x:v>Gelo</x:v>
      </x:c>
      <x:c r="D148" s="1" t="str">
        <x:v>Voador</x:v>
      </x:c>
      <x:c r="E148" s="1" t="str">
        <x:v>Lendário</x:v>
      </x:c>
      <x:c r="F148" s="10" t="n">
        <x:v>90</x:v>
      </x:c>
      <x:c r="G148" s="10" t="n">
        <x:v>85</x:v>
      </x:c>
      <x:c r="H148" s="10" t="n">
        <x:v>100</x:v>
      </x:c>
      <x:c r="I148" s="10" t="n">
        <x:v>95</x:v>
      </x:c>
      <x:c r="J148" s="10" t="n">
        <x:v>125</x:v>
      </x:c>
      <x:c r="K148" s="10" t="n">
        <x:v>85</x:v>
      </x:c>
      <x:c r="L148" s="10" t="n">
        <x:f>SUM(F148:K148)</x:f>
        <x:v>580</x:v>
      </x:c>
      <x:c r="M148" s="1" t="str">
        <x:f>IF(G148=I148,"Empate",IF(G148&gt;I148,"Física","Especial"))</x:f>
        <x:v>Especial</x:v>
      </x:c>
      <x:c r="N148" s="10" t="n">
        <x:v>150</x:v>
      </x:c>
      <x:c r="O148" s="10" t="n">
        <x:v>6008</x:v>
      </x:c>
      <x:c r="P148" s="10" t="n">
        <x:v>0</x:v>
      </x:c>
      <x:c r="Q148" s="10" t="n">
        <x:v>0</x:v>
      </x:c>
      <x:c r="R148" s="1" t="str"/>
      <x:c r="S148" s="1"/>
      <x:c r="T148" s="9" t="str">
        <x:v>https://poke.idleworld.online/pokepedia/pokemon/articuno</x:v>
      </x:c>
    </x:row>
    <x:row r="149" ht="22" customHeight="1">
      <x:c r="A149" s="1" t="n">
        <x:v>145</x:v>
      </x:c>
      <x:c r="B149" s="1" t="str">
        <x:v>Zapdos</x:v>
      </x:c>
      <x:c r="C149" s="1" t="str">
        <x:v>Elétrico</x:v>
      </x:c>
      <x:c r="D149" s="1" t="str">
        <x:v>Voador</x:v>
      </x:c>
      <x:c r="E149" s="1" t="str">
        <x:v>Lendário</x:v>
      </x:c>
      <x:c r="F149" s="10" t="n">
        <x:v>90</x:v>
      </x:c>
      <x:c r="G149" s="10" t="n">
        <x:v>90</x:v>
      </x:c>
      <x:c r="H149" s="10" t="n">
        <x:v>85</x:v>
      </x:c>
      <x:c r="I149" s="10" t="n">
        <x:v>125</x:v>
      </x:c>
      <x:c r="J149" s="10" t="n">
        <x:v>90</x:v>
      </x:c>
      <x:c r="K149" s="10" t="n">
        <x:v>100</x:v>
      </x:c>
      <x:c r="L149" s="10" t="n">
        <x:f>SUM(F149:K149)</x:f>
        <x:v>580</x:v>
      </x:c>
      <x:c r="M149" s="1" t="str">
        <x:f>IF(G149=I149,"Empate",IF(G149&gt;I149,"Física","Especial"))</x:f>
        <x:v>Especial</x:v>
      </x:c>
      <x:c r="N149" s="10" t="n">
        <x:v>150</x:v>
      </x:c>
      <x:c r="O149" s="10" t="n">
        <x:v>6008</x:v>
      </x:c>
      <x:c r="P149" s="10" t="n">
        <x:v>0</x:v>
      </x:c>
      <x:c r="Q149" s="10" t="n">
        <x:v>0</x:v>
      </x:c>
      <x:c r="R149" s="1" t="str"/>
      <x:c r="S149" s="1"/>
      <x:c r="T149" s="9" t="str">
        <x:v>https://poke.idleworld.online/pokepedia/pokemon/zapdos</x:v>
      </x:c>
    </x:row>
    <x:row r="150" ht="22" customHeight="1">
      <x:c r="A150" s="1" t="n">
        <x:v>146</x:v>
      </x:c>
      <x:c r="B150" s="1" t="str">
        <x:v>Moltres</x:v>
      </x:c>
      <x:c r="C150" s="1" t="str">
        <x:v>Fogo</x:v>
      </x:c>
      <x:c r="D150" s="1" t="str">
        <x:v>Voador</x:v>
      </x:c>
      <x:c r="E150" s="1" t="str">
        <x:v>Lendário</x:v>
      </x:c>
      <x:c r="F150" s="10" t="n">
        <x:v>90</x:v>
      </x:c>
      <x:c r="G150" s="10" t="n">
        <x:v>100</x:v>
      </x:c>
      <x:c r="H150" s="10" t="n">
        <x:v>90</x:v>
      </x:c>
      <x:c r="I150" s="10" t="n">
        <x:v>125</x:v>
      </x:c>
      <x:c r="J150" s="10" t="n">
        <x:v>85</x:v>
      </x:c>
      <x:c r="K150" s="10" t="n">
        <x:v>90</x:v>
      </x:c>
      <x:c r="L150" s="10" t="n">
        <x:f>SUM(F150:K150)</x:f>
        <x:v>580</x:v>
      </x:c>
      <x:c r="M150" s="1" t="str">
        <x:f>IF(G150=I150,"Empate",IF(G150&gt;I150,"Física","Especial"))</x:f>
        <x:v>Especial</x:v>
      </x:c>
      <x:c r="N150" s="10" t="n">
        <x:v>150</x:v>
      </x:c>
      <x:c r="O150" s="10" t="n">
        <x:v>6008</x:v>
      </x:c>
      <x:c r="P150" s="10" t="n">
        <x:v>0</x:v>
      </x:c>
      <x:c r="Q150" s="10" t="n">
        <x:v>0</x:v>
      </x:c>
      <x:c r="R150" s="1" t="str"/>
      <x:c r="S150" s="1"/>
      <x:c r="T150" s="9" t="str">
        <x:v>https://poke.idleworld.online/pokepedia/pokemon/moltres</x:v>
      </x:c>
    </x:row>
    <x:row r="151" ht="22" customHeight="1">
      <x:c r="A151" s="1" t="n">
        <x:v>147</x:v>
      </x:c>
      <x:c r="B151" s="1" t="str">
        <x:v>Dratini</x:v>
      </x:c>
      <x:c r="C151" s="1" t="str">
        <x:v>Dragão</x:v>
      </x:c>
      <x:c r="D151" s="1" t="str"/>
      <x:c r="E151" s="1" t="str">
        <x:v>Comum</x:v>
      </x:c>
      <x:c r="F151" s="10" t="n">
        <x:v>41</x:v>
      </x:c>
      <x:c r="G151" s="10" t="n">
        <x:v>64</x:v>
      </x:c>
      <x:c r="H151" s="10" t="n">
        <x:v>45</x:v>
      </x:c>
      <x:c r="I151" s="10" t="n">
        <x:v>50</x:v>
      </x:c>
      <x:c r="J151" s="10" t="n">
        <x:v>50</x:v>
      </x:c>
      <x:c r="K151" s="10" t="n">
        <x:v>50</x:v>
      </x:c>
      <x:c r="L151" s="10" t="n">
        <x:f>SUM(F151:K151)</x:f>
        <x:v>300</x:v>
      </x:c>
      <x:c r="M151" s="1" t="str">
        <x:f>IF(G151=I151,"Empate",IF(G151&gt;I151,"Física","Especial"))</x:f>
        <x:v>Física</x:v>
      </x:c>
      <x:c r="N151" s="10" t="n">
        <x:v>30</x:v>
      </x:c>
      <x:c r="O151" s="10" t="n">
        <x:v>548</x:v>
      </x:c>
      <x:c r="P151" s="10" t="n">
        <x:v>15000</x:v>
      </x:c>
      <x:c r="Q151" s="10" t="n">
        <x:v>15000</x:v>
      </x:c>
      <x:c r="R151" s="1" t="str">
        <x:v>Dragonair</x:v>
      </x:c>
      <x:c r="S151" s="1" t="n">
        <x:v>60</x:v>
      </x:c>
      <x:c r="T151" s="9" t="str">
        <x:v>https://poke.idleworld.online/pokepedia/pokemon/dratini</x:v>
      </x:c>
    </x:row>
    <x:row r="152" ht="22" customHeight="1">
      <x:c r="A152" s="1" t="n">
        <x:v>148</x:v>
      </x:c>
      <x:c r="B152" s="1" t="str">
        <x:v>Dragonair</x:v>
      </x:c>
      <x:c r="C152" s="1" t="str">
        <x:v>Dragão</x:v>
      </x:c>
      <x:c r="D152" s="1" t="str"/>
      <x:c r="E152" s="1" t="str">
        <x:v>Comum</x:v>
      </x:c>
      <x:c r="F152" s="10" t="n">
        <x:v>61</x:v>
      </x:c>
      <x:c r="G152" s="10" t="n">
        <x:v>84</x:v>
      </x:c>
      <x:c r="H152" s="10" t="n">
        <x:v>65</x:v>
      </x:c>
      <x:c r="I152" s="10" t="n">
        <x:v>70</x:v>
      </x:c>
      <x:c r="J152" s="10" t="n">
        <x:v>70</x:v>
      </x:c>
      <x:c r="K152" s="10" t="n">
        <x:v>70</x:v>
      </x:c>
      <x:c r="L152" s="10" t="n">
        <x:f>SUM(F152:K152)</x:f>
        <x:v>420</x:v>
      </x:c>
      <x:c r="M152" s="1" t="str">
        <x:f>IF(G152=I152,"Empate",IF(G152&gt;I152,"Física","Especial"))</x:f>
        <x:v>Física</x:v>
      </x:c>
      <x:c r="N152" s="10" t="n">
        <x:v>80</x:v>
      </x:c>
      <x:c r="O152" s="10" t="n">
        <x:v>3848</x:v>
      </x:c>
      <x:c r="P152" s="10" t="n">
        <x:v>32500</x:v>
      </x:c>
      <x:c r="Q152" s="10" t="n">
        <x:v>32500</x:v>
      </x:c>
      <x:c r="R152" s="1" t="str">
        <x:v>Dragonite</x:v>
      </x:c>
      <x:c r="S152" s="1" t="n">
        <x:v>100</x:v>
      </x:c>
      <x:c r="T152" s="9" t="str">
        <x:v>https://poke.idleworld.online/pokepedia/pokemon/dragonair</x:v>
      </x:c>
    </x:row>
    <x:row r="153" ht="22" customHeight="1">
      <x:c r="A153" s="1" t="n">
        <x:v>149</x:v>
      </x:c>
      <x:c r="B153" s="1" t="str">
        <x:v>Dragonite</x:v>
      </x:c>
      <x:c r="C153" s="1" t="str">
        <x:v>Dragão</x:v>
      </x:c>
      <x:c r="D153" s="1" t="str">
        <x:v>Voador</x:v>
      </x:c>
      <x:c r="E153" s="1" t="str">
        <x:v>Comum</x:v>
      </x:c>
      <x:c r="F153" s="10" t="n">
        <x:v>91</x:v>
      </x:c>
      <x:c r="G153" s="10" t="n">
        <x:v>134</x:v>
      </x:c>
      <x:c r="H153" s="10" t="n">
        <x:v>95</x:v>
      </x:c>
      <x:c r="I153" s="10" t="n">
        <x:v>100</x:v>
      </x:c>
      <x:c r="J153" s="10" t="n">
        <x:v>100</x:v>
      </x:c>
      <x:c r="K153" s="10" t="n">
        <x:v>80</x:v>
      </x:c>
      <x:c r="L153" s="10" t="n">
        <x:f>SUM(F153:K153)</x:f>
        <x:v>600</x:v>
      </x:c>
      <x:c r="M153" s="1" t="str">
        <x:f>IF(G153=I153,"Empate",IF(G153&gt;I153,"Física","Especial"))</x:f>
        <x:v>Física</x:v>
      </x:c>
      <x:c r="N153" s="10" t="n">
        <x:v>100</x:v>
      </x:c>
      <x:c r="O153" s="10" t="n">
        <x:v>6008</x:v>
      </x:c>
      <x:c r="P153" s="10" t="n">
        <x:v>62500</x:v>
      </x:c>
      <x:c r="Q153" s="10" t="n">
        <x:v>62500</x:v>
      </x:c>
      <x:c r="R153" s="1" t="str"/>
      <x:c r="S153" s="1"/>
      <x:c r="T153" s="9" t="str">
        <x:v>https://poke.idleworld.online/pokepedia/pokemon/dragonite</x:v>
      </x:c>
    </x:row>
    <x:row r="154" ht="22" customHeight="1">
      <x:c r="A154" s="1" t="n">
        <x:v>150</x:v>
      </x:c>
      <x:c r="B154" s="1" t="str">
        <x:v>Mewtwo</x:v>
      </x:c>
      <x:c r="C154" s="1" t="str">
        <x:v>Psíquico</x:v>
      </x:c>
      <x:c r="D154" s="1" t="str"/>
      <x:c r="E154" s="1" t="str">
        <x:v>Lendário</x:v>
      </x:c>
      <x:c r="F154" s="10" t="n">
        <x:v>106</x:v>
      </x:c>
      <x:c r="G154" s="10" t="n">
        <x:v>110</x:v>
      </x:c>
      <x:c r="H154" s="10" t="n">
        <x:v>90</x:v>
      </x:c>
      <x:c r="I154" s="10" t="n">
        <x:v>154</x:v>
      </x:c>
      <x:c r="J154" s="10" t="n">
        <x:v>90</x:v>
      </x:c>
      <x:c r="K154" s="10" t="n">
        <x:v>130</x:v>
      </x:c>
      <x:c r="L154" s="10" t="n">
        <x:f>SUM(F154:K154)</x:f>
        <x:v>680</x:v>
      </x:c>
      <x:c r="M154" s="1" t="str">
        <x:f>IF(G154=I154,"Empate",IF(G154&gt;I154,"Física","Especial"))</x:f>
        <x:v>Especial</x:v>
      </x:c>
      <x:c r="N154" s="10" t="n">
        <x:v>150</x:v>
      </x:c>
      <x:c r="O154" s="10" t="n">
        <x:v>6008</x:v>
      </x:c>
      <x:c r="P154" s="10" t="n">
        <x:v>0</x:v>
      </x:c>
      <x:c r="Q154" s="10" t="n">
        <x:v>0</x:v>
      </x:c>
      <x:c r="R154" s="1" t="str"/>
      <x:c r="S154" s="1"/>
      <x:c r="T154" s="9" t="str">
        <x:v>https://poke.idleworld.online/pokepedia/pokemon/mewtwo</x:v>
      </x:c>
    </x:row>
    <x:row r="155" ht="22" customHeight="1">
      <x:c r="A155" s="1" t="n">
        <x:v>151</x:v>
      </x:c>
      <x:c r="B155" s="1" t="str">
        <x:v>Mew</x:v>
      </x:c>
      <x:c r="C155" s="1" t="str">
        <x:v>Psíquico</x:v>
      </x:c>
      <x:c r="D155" s="1" t="str"/>
      <x:c r="E155" s="1" t="str">
        <x:v>Mítico</x:v>
      </x:c>
      <x:c r="F155" s="10" t="n">
        <x:v>100</x:v>
      </x:c>
      <x:c r="G155" s="10" t="n">
        <x:v>100</x:v>
      </x:c>
      <x:c r="H155" s="10" t="n">
        <x:v>100</x:v>
      </x:c>
      <x:c r="I155" s="10" t="n">
        <x:v>100</x:v>
      </x:c>
      <x:c r="J155" s="10" t="n">
        <x:v>100</x:v>
      </x:c>
      <x:c r="K155" s="10" t="n">
        <x:v>100</x:v>
      </x:c>
      <x:c r="L155" s="10" t="n">
        <x:f>SUM(F155:K155)</x:f>
        <x:v>600</x:v>
      </x:c>
      <x:c r="M155" s="1" t="str">
        <x:f>IF(G155=I155,"Empate",IF(G155&gt;I155,"Física","Especial"))</x:f>
        <x:v>Empate</x:v>
      </x:c>
      <x:c r="N155" s="10" t="n">
        <x:v>150</x:v>
      </x:c>
      <x:c r="O155" s="10" t="n">
        <x:v>6008</x:v>
      </x:c>
      <x:c r="P155" s="10" t="n">
        <x:v>0</x:v>
      </x:c>
      <x:c r="Q155" s="10" t="n">
        <x:v>0</x:v>
      </x:c>
      <x:c r="R155" s="1" t="str"/>
      <x:c r="S155" s="1"/>
      <x:c r="T155" s="9" t="str">
        <x:v>https://poke.idleworld.online/pokepedia/pokemon/mew</x:v>
      </x:c>
    </x:row>
    <x:row r="156" ht="22" customHeight="1">
      <x:c r="A156" s="1" t="n">
        <x:v>152</x:v>
      </x:c>
      <x:c r="B156" s="1" t="str">
        <x:v>Chikorita</x:v>
      </x:c>
      <x:c r="C156" s="1" t="str">
        <x:v>Planta</x:v>
      </x:c>
      <x:c r="D156" s="1" t="str"/>
      <x:c r="E156" s="1" t="str">
        <x:v>Comum</x:v>
      </x:c>
      <x:c r="F156" s="10" t="n">
        <x:v>45</x:v>
      </x:c>
      <x:c r="G156" s="10" t="n">
        <x:v>49</x:v>
      </x:c>
      <x:c r="H156" s="10" t="n">
        <x:v>65</x:v>
      </x:c>
      <x:c r="I156" s="10" t="n">
        <x:v>49</x:v>
      </x:c>
      <x:c r="J156" s="10" t="n">
        <x:v>65</x:v>
      </x:c>
      <x:c r="K156" s="10" t="n">
        <x:v>45</x:v>
      </x:c>
      <x:c r="L156" s="10" t="n">
        <x:f>SUM(F156:K156)</x:f>
        <x:v>318</x:v>
      </x:c>
      <x:c r="M156" s="1" t="str">
        <x:f>IF(G156=I156,"Empate",IF(G156&gt;I156,"Física","Especial"))</x:f>
        <x:v>Empate</x:v>
      </x:c>
      <x:c r="N156" s="10" t="n">
        <x:v>20</x:v>
      </x:c>
      <x:c r="O156" s="10" t="n">
        <x:v>248</x:v>
      </x:c>
      <x:c r="P156" s="10" t="n">
        <x:v>3000</x:v>
      </x:c>
      <x:c r="Q156" s="10" t="n">
        <x:v>3000</x:v>
      </x:c>
      <x:c r="R156" s="1" t="str">
        <x:v>Bayleef</x:v>
      </x:c>
      <x:c r="S156" s="1" t="n">
        <x:v>40</x:v>
      </x:c>
      <x:c r="T156" s="9" t="str">
        <x:v>https://poke.idleworld.online/pokepedia/pokemon/chikorita</x:v>
      </x:c>
    </x:row>
    <x:row r="157" ht="22" customHeight="1">
      <x:c r="A157" s="1" t="n">
        <x:v>153</x:v>
      </x:c>
      <x:c r="B157" s="1" t="str">
        <x:v>Bayleef</x:v>
      </x:c>
      <x:c r="C157" s="1" t="str">
        <x:v>Planta</x:v>
      </x:c>
      <x:c r="D157" s="1" t="str"/>
      <x:c r="E157" s="1" t="str">
        <x:v>Incomum</x:v>
      </x:c>
      <x:c r="F157" s="10" t="n">
        <x:v>60</x:v>
      </x:c>
      <x:c r="G157" s="10" t="n">
        <x:v>62</x:v>
      </x:c>
      <x:c r="H157" s="10" t="n">
        <x:v>80</x:v>
      </x:c>
      <x:c r="I157" s="10" t="n">
        <x:v>63</x:v>
      </x:c>
      <x:c r="J157" s="10" t="n">
        <x:v>80</x:v>
      </x:c>
      <x:c r="K157" s="10" t="n">
        <x:v>60</x:v>
      </x:c>
      <x:c r="L157" s="10" t="n">
        <x:f>SUM(F157:K157)</x:f>
        <x:v>405</x:v>
      </x:c>
      <x:c r="M157" s="1" t="str">
        <x:f>IF(G157=I157,"Empate",IF(G157&gt;I157,"Física","Especial"))</x:f>
        <x:v>Especial</x:v>
      </x:c>
      <x:c r="N157" s="10" t="n">
        <x:v>40</x:v>
      </x:c>
      <x:c r="O157" s="10" t="n">
        <x:v>968</x:v>
      </x:c>
      <x:c r="P157" s="10" t="n">
        <x:v>8000</x:v>
      </x:c>
      <x:c r="Q157" s="10" t="n">
        <x:v>8000</x:v>
      </x:c>
      <x:c r="R157" s="1" t="str">
        <x:v>Meganium</x:v>
      </x:c>
      <x:c r="S157" s="1" t="n">
        <x:v>80</x:v>
      </x:c>
      <x:c r="T157" s="9" t="str">
        <x:v>https://poke.idleworld.online/pokepedia/pokemon/bayleef</x:v>
      </x:c>
    </x:row>
    <x:row r="158" ht="22" customHeight="1">
      <x:c r="A158" s="1" t="n">
        <x:v>154</x:v>
      </x:c>
      <x:c r="B158" s="1" t="str">
        <x:v>Meganium</x:v>
      </x:c>
      <x:c r="C158" s="1" t="str">
        <x:v>Planta</x:v>
      </x:c>
      <x:c r="D158" s="1" t="str"/>
      <x:c r="E158" s="1" t="str">
        <x:v>Raro</x:v>
      </x:c>
      <x:c r="F158" s="10" t="n">
        <x:v>80</x:v>
      </x:c>
      <x:c r="G158" s="10" t="n">
        <x:v>82</x:v>
      </x:c>
      <x:c r="H158" s="10" t="n">
        <x:v>100</x:v>
      </x:c>
      <x:c r="I158" s="10" t="n">
        <x:v>83</x:v>
      </x:c>
      <x:c r="J158" s="10" t="n">
        <x:v>100</x:v>
      </x:c>
      <x:c r="K158" s="10" t="n">
        <x:v>80</x:v>
      </x:c>
      <x:c r="L158" s="10" t="n">
        <x:f>SUM(F158:K158)</x:f>
        <x:v>525</x:v>
      </x:c>
      <x:c r="M158" s="1" t="str">
        <x:f>IF(G158=I158,"Empate",IF(G158&gt;I158,"Física","Especial"))</x:f>
        <x:v>Especial</x:v>
      </x:c>
      <x:c r="N158" s="10" t="n">
        <x:v>80</x:v>
      </x:c>
      <x:c r="O158" s="10" t="n">
        <x:v>3848</x:v>
      </x:c>
      <x:c r="P158" s="10" t="n">
        <x:v>18000</x:v>
      </x:c>
      <x:c r="Q158" s="10" t="n">
        <x:v>18000</x:v>
      </x:c>
      <x:c r="R158" s="1" t="str"/>
      <x:c r="S158" s="1"/>
      <x:c r="T158" s="9" t="str">
        <x:v>https://poke.idleworld.online/pokepedia/pokemon/meganium</x:v>
      </x:c>
    </x:row>
    <x:row r="159" ht="22" customHeight="1">
      <x:c r="A159" s="1" t="n">
        <x:v>155</x:v>
      </x:c>
      <x:c r="B159" s="1" t="str">
        <x:v>Cyndaquil</x:v>
      </x:c>
      <x:c r="C159" s="1" t="str">
        <x:v>Fogo</x:v>
      </x:c>
      <x:c r="D159" s="1" t="str"/>
      <x:c r="E159" s="1" t="str">
        <x:v>Comum</x:v>
      </x:c>
      <x:c r="F159" s="10" t="n">
        <x:v>39</x:v>
      </x:c>
      <x:c r="G159" s="10" t="n">
        <x:v>52</x:v>
      </x:c>
      <x:c r="H159" s="10" t="n">
        <x:v>43</x:v>
      </x:c>
      <x:c r="I159" s="10" t="n">
        <x:v>60</x:v>
      </x:c>
      <x:c r="J159" s="10" t="n">
        <x:v>50</x:v>
      </x:c>
      <x:c r="K159" s="10" t="n">
        <x:v>65</x:v>
      </x:c>
      <x:c r="L159" s="10" t="n">
        <x:f>SUM(F159:K159)</x:f>
        <x:v>309</x:v>
      </x:c>
      <x:c r="M159" s="1" t="str">
        <x:f>IF(G159=I159,"Empate",IF(G159&gt;I159,"Física","Especial"))</x:f>
        <x:v>Especial</x:v>
      </x:c>
      <x:c r="N159" s="10" t="n">
        <x:v>20</x:v>
      </x:c>
      <x:c r="O159" s="10" t="n">
        <x:v>248</x:v>
      </x:c>
      <x:c r="P159" s="10" t="n">
        <x:v>3000</x:v>
      </x:c>
      <x:c r="Q159" s="10" t="n">
        <x:v>3000</x:v>
      </x:c>
      <x:c r="R159" s="1" t="str">
        <x:v>Quilava</x:v>
      </x:c>
      <x:c r="S159" s="1" t="n">
        <x:v>40</x:v>
      </x:c>
      <x:c r="T159" s="9" t="str">
        <x:v>https://poke.idleworld.online/pokepedia/pokemon/cyndaquil</x:v>
      </x:c>
    </x:row>
    <x:row r="160" ht="22" customHeight="1">
      <x:c r="A160" s="1" t="n">
        <x:v>156</x:v>
      </x:c>
      <x:c r="B160" s="1" t="str">
        <x:v>Quilava</x:v>
      </x:c>
      <x:c r="C160" s="1" t="str">
        <x:v>Fogo</x:v>
      </x:c>
      <x:c r="D160" s="1" t="str"/>
      <x:c r="E160" s="1" t="str">
        <x:v>Incomum</x:v>
      </x:c>
      <x:c r="F160" s="10" t="n">
        <x:v>58</x:v>
      </x:c>
      <x:c r="G160" s="10" t="n">
        <x:v>64</x:v>
      </x:c>
      <x:c r="H160" s="10" t="n">
        <x:v>58</x:v>
      </x:c>
      <x:c r="I160" s="10" t="n">
        <x:v>80</x:v>
      </x:c>
      <x:c r="J160" s="10" t="n">
        <x:v>65</x:v>
      </x:c>
      <x:c r="K160" s="10" t="n">
        <x:v>80</x:v>
      </x:c>
      <x:c r="L160" s="10" t="n">
        <x:f>SUM(F160:K160)</x:f>
        <x:v>405</x:v>
      </x:c>
      <x:c r="M160" s="1" t="str">
        <x:f>IF(G160=I160,"Empate",IF(G160&gt;I160,"Física","Especial"))</x:f>
        <x:v>Especial</x:v>
      </x:c>
      <x:c r="N160" s="10" t="n">
        <x:v>40</x:v>
      </x:c>
      <x:c r="O160" s="10" t="n">
        <x:v>968</x:v>
      </x:c>
      <x:c r="P160" s="10" t="n">
        <x:v>8000</x:v>
      </x:c>
      <x:c r="Q160" s="10" t="n">
        <x:v>8000</x:v>
      </x:c>
      <x:c r="R160" s="1" t="str">
        <x:v>Typhlosion</x:v>
      </x:c>
      <x:c r="S160" s="1" t="n">
        <x:v>80</x:v>
      </x:c>
      <x:c r="T160" s="9" t="str">
        <x:v>https://poke.idleworld.online/pokepedia/pokemon/quilava</x:v>
      </x:c>
    </x:row>
    <x:row r="161" ht="22" customHeight="1">
      <x:c r="A161" s="1" t="n">
        <x:v>157</x:v>
      </x:c>
      <x:c r="B161" s="1" t="str">
        <x:v>Typhlosion</x:v>
      </x:c>
      <x:c r="C161" s="1" t="str">
        <x:v>Fogo</x:v>
      </x:c>
      <x:c r="D161" s="1" t="str"/>
      <x:c r="E161" s="1" t="str">
        <x:v>Raro</x:v>
      </x:c>
      <x:c r="F161" s="10" t="n">
        <x:v>78</x:v>
      </x:c>
      <x:c r="G161" s="10" t="n">
        <x:v>84</x:v>
      </x:c>
      <x:c r="H161" s="10" t="n">
        <x:v>78</x:v>
      </x:c>
      <x:c r="I161" s="10" t="n">
        <x:v>109</x:v>
      </x:c>
      <x:c r="J161" s="10" t="n">
        <x:v>85</x:v>
      </x:c>
      <x:c r="K161" s="10" t="n">
        <x:v>100</x:v>
      </x:c>
      <x:c r="L161" s="10" t="n">
        <x:f>SUM(F161:K161)</x:f>
        <x:v>534</x:v>
      </x:c>
      <x:c r="M161" s="1" t="str">
        <x:f>IF(G161=I161,"Empate",IF(G161&gt;I161,"Física","Especial"))</x:f>
        <x:v>Especial</x:v>
      </x:c>
      <x:c r="N161" s="10" t="n">
        <x:v>80</x:v>
      </x:c>
      <x:c r="O161" s="10" t="n">
        <x:v>3848</x:v>
      </x:c>
      <x:c r="P161" s="10" t="n">
        <x:v>18000</x:v>
      </x:c>
      <x:c r="Q161" s="10" t="n">
        <x:v>18000</x:v>
      </x:c>
      <x:c r="R161" s="1" t="str"/>
      <x:c r="S161" s="1"/>
      <x:c r="T161" s="9" t="str">
        <x:v>https://poke.idleworld.online/pokepedia/pokemon/typhlosion</x:v>
      </x:c>
    </x:row>
    <x:row r="162" ht="22" customHeight="1">
      <x:c r="A162" s="1" t="n">
        <x:v>158</x:v>
      </x:c>
      <x:c r="B162" s="1" t="str">
        <x:v>Totodile</x:v>
      </x:c>
      <x:c r="C162" s="1" t="str">
        <x:v>Água</x:v>
      </x:c>
      <x:c r="D162" s="1" t="str"/>
      <x:c r="E162" s="1" t="str">
        <x:v>Comum</x:v>
      </x:c>
      <x:c r="F162" s="10" t="n">
        <x:v>50</x:v>
      </x:c>
      <x:c r="G162" s="10" t="n">
        <x:v>65</x:v>
      </x:c>
      <x:c r="H162" s="10" t="n">
        <x:v>64</x:v>
      </x:c>
      <x:c r="I162" s="10" t="n">
        <x:v>44</x:v>
      </x:c>
      <x:c r="J162" s="10" t="n">
        <x:v>48</x:v>
      </x:c>
      <x:c r="K162" s="10" t="n">
        <x:v>43</x:v>
      </x:c>
      <x:c r="L162" s="10" t="n">
        <x:f>SUM(F162:K162)</x:f>
        <x:v>314</x:v>
      </x:c>
      <x:c r="M162" s="1" t="str">
        <x:f>IF(G162=I162,"Empate",IF(G162&gt;I162,"Física","Especial"))</x:f>
        <x:v>Física</x:v>
      </x:c>
      <x:c r="N162" s="10" t="n">
        <x:v>20</x:v>
      </x:c>
      <x:c r="O162" s="10" t="n">
        <x:v>248</x:v>
      </x:c>
      <x:c r="P162" s="10" t="n">
        <x:v>3000</x:v>
      </x:c>
      <x:c r="Q162" s="10" t="n">
        <x:v>3000</x:v>
      </x:c>
      <x:c r="R162" s="1" t="str">
        <x:v>Croconaw</x:v>
      </x:c>
      <x:c r="S162" s="1" t="n">
        <x:v>40</x:v>
      </x:c>
      <x:c r="T162" s="9" t="str">
        <x:v>https://poke.idleworld.online/pokepedia/pokemon/totodile</x:v>
      </x:c>
    </x:row>
    <x:row r="163" ht="22" customHeight="1">
      <x:c r="A163" s="1" t="n">
        <x:v>159</x:v>
      </x:c>
      <x:c r="B163" s="1" t="str">
        <x:v>Croconaw</x:v>
      </x:c>
      <x:c r="C163" s="1" t="str">
        <x:v>Água</x:v>
      </x:c>
      <x:c r="D163" s="1" t="str"/>
      <x:c r="E163" s="1" t="str">
        <x:v>Incomum</x:v>
      </x:c>
      <x:c r="F163" s="10" t="n">
        <x:v>65</x:v>
      </x:c>
      <x:c r="G163" s="10" t="n">
        <x:v>80</x:v>
      </x:c>
      <x:c r="H163" s="10" t="n">
        <x:v>80</x:v>
      </x:c>
      <x:c r="I163" s="10" t="n">
        <x:v>59</x:v>
      </x:c>
      <x:c r="J163" s="10" t="n">
        <x:v>63</x:v>
      </x:c>
      <x:c r="K163" s="10" t="n">
        <x:v>58</x:v>
      </x:c>
      <x:c r="L163" s="10" t="n">
        <x:f>SUM(F163:K163)</x:f>
        <x:v>405</x:v>
      </x:c>
      <x:c r="M163" s="1" t="str">
        <x:f>IF(G163=I163,"Empate",IF(G163&gt;I163,"Física","Especial"))</x:f>
        <x:v>Física</x:v>
      </x:c>
      <x:c r="N163" s="10" t="n">
        <x:v>40</x:v>
      </x:c>
      <x:c r="O163" s="10" t="n">
        <x:v>968</x:v>
      </x:c>
      <x:c r="P163" s="10" t="n">
        <x:v>8000</x:v>
      </x:c>
      <x:c r="Q163" s="10" t="n">
        <x:v>8000</x:v>
      </x:c>
      <x:c r="R163" s="1" t="str">
        <x:v>Feraligatr</x:v>
      </x:c>
      <x:c r="S163" s="1" t="n">
        <x:v>80</x:v>
      </x:c>
      <x:c r="T163" s="9" t="str">
        <x:v>https://poke.idleworld.online/pokepedia/pokemon/croconaw</x:v>
      </x:c>
    </x:row>
    <x:row r="164" ht="22" customHeight="1">
      <x:c r="A164" s="1" t="n">
        <x:v>160</x:v>
      </x:c>
      <x:c r="B164" s="1" t="str">
        <x:v>Feraligatr</x:v>
      </x:c>
      <x:c r="C164" s="1" t="str">
        <x:v>Água</x:v>
      </x:c>
      <x:c r="D164" s="1" t="str"/>
      <x:c r="E164" s="1" t="str">
        <x:v>Raro</x:v>
      </x:c>
      <x:c r="F164" s="10" t="n">
        <x:v>85</x:v>
      </x:c>
      <x:c r="G164" s="10" t="n">
        <x:v>105</x:v>
      </x:c>
      <x:c r="H164" s="10" t="n">
        <x:v>100</x:v>
      </x:c>
      <x:c r="I164" s="10" t="n">
        <x:v>79</x:v>
      </x:c>
      <x:c r="J164" s="10" t="n">
        <x:v>83</x:v>
      </x:c>
      <x:c r="K164" s="10" t="n">
        <x:v>78</x:v>
      </x:c>
      <x:c r="L164" s="10" t="n">
        <x:f>SUM(F164:K164)</x:f>
        <x:v>530</x:v>
      </x:c>
      <x:c r="M164" s="1" t="str">
        <x:f>IF(G164=I164,"Empate",IF(G164&gt;I164,"Física","Especial"))</x:f>
        <x:v>Física</x:v>
      </x:c>
      <x:c r="N164" s="10" t="n">
        <x:v>80</x:v>
      </x:c>
      <x:c r="O164" s="10" t="n">
        <x:v>3848</x:v>
      </x:c>
      <x:c r="P164" s="10" t="n">
        <x:v>18000</x:v>
      </x:c>
      <x:c r="Q164" s="10" t="n">
        <x:v>18000</x:v>
      </x:c>
      <x:c r="R164" s="1" t="str"/>
      <x:c r="S164" s="1"/>
      <x:c r="T164" s="9" t="str">
        <x:v>https://poke.idleworld.online/pokepedia/pokemon/feraligatr</x:v>
      </x:c>
    </x:row>
    <x:row r="165" ht="22" customHeight="1">
      <x:c r="A165" s="1" t="n">
        <x:v>161</x:v>
      </x:c>
      <x:c r="B165" s="1" t="str">
        <x:v>Sentret</x:v>
      </x:c>
      <x:c r="C165" s="1" t="str">
        <x:v>Normal</x:v>
      </x:c>
      <x:c r="D165" s="1" t="str"/>
      <x:c r="E165" s="1" t="str">
        <x:v>Comum</x:v>
      </x:c>
      <x:c r="F165" s="10" t="n">
        <x:v>35</x:v>
      </x:c>
      <x:c r="G165" s="10" t="n">
        <x:v>46</x:v>
      </x:c>
      <x:c r="H165" s="10" t="n">
        <x:v>34</x:v>
      </x:c>
      <x:c r="I165" s="10" t="n">
        <x:v>35</x:v>
      </x:c>
      <x:c r="J165" s="10" t="n">
        <x:v>45</x:v>
      </x:c>
      <x:c r="K165" s="10" t="n">
        <x:v>20</x:v>
      </x:c>
      <x:c r="L165" s="10" t="n">
        <x:f>SUM(F165:K165)</x:f>
        <x:v>215</x:v>
      </x:c>
      <x:c r="M165" s="1" t="str">
        <x:f>IF(G165=I165,"Empate",IF(G165&gt;I165,"Física","Especial"))</x:f>
        <x:v>Física</x:v>
      </x:c>
      <x:c r="N165" s="10" t="n">
        <x:v>10</x:v>
      </x:c>
      <x:c r="O165" s="10" t="n">
        <x:v>68</x:v>
      </x:c>
      <x:c r="P165" s="10" t="n">
        <x:v>250</x:v>
      </x:c>
      <x:c r="Q165" s="10" t="n">
        <x:v>250</x:v>
      </x:c>
      <x:c r="R165" s="1" t="str">
        <x:v>Furret</x:v>
      </x:c>
      <x:c r="S165" s="1" t="n">
        <x:v>40</x:v>
      </x:c>
      <x:c r="T165" s="9" t="str">
        <x:v>https://poke.idleworld.online/pokepedia/pokemon/sentret</x:v>
      </x:c>
    </x:row>
    <x:row r="166" ht="22" customHeight="1">
      <x:c r="A166" s="1" t="n">
        <x:v>162</x:v>
      </x:c>
      <x:c r="B166" s="1" t="str">
        <x:v>Furret</x:v>
      </x:c>
      <x:c r="C166" s="1" t="str">
        <x:v>Normal</x:v>
      </x:c>
      <x:c r="D166" s="1" t="str"/>
      <x:c r="E166" s="1" t="str">
        <x:v>Incomum</x:v>
      </x:c>
      <x:c r="F166" s="10" t="n">
        <x:v>85</x:v>
      </x:c>
      <x:c r="G166" s="10" t="n">
        <x:v>76</x:v>
      </x:c>
      <x:c r="H166" s="10" t="n">
        <x:v>64</x:v>
      </x:c>
      <x:c r="I166" s="10" t="n">
        <x:v>45</x:v>
      </x:c>
      <x:c r="J166" s="10" t="n">
        <x:v>55</x:v>
      </x:c>
      <x:c r="K166" s="10" t="n">
        <x:v>90</x:v>
      </x:c>
      <x:c r="L166" s="10" t="n">
        <x:f>SUM(F166:K166)</x:f>
        <x:v>415</x:v>
      </x:c>
      <x:c r="M166" s="1" t="str">
        <x:f>IF(G166=I166,"Empate",IF(G166&gt;I166,"Física","Especial"))</x:f>
        <x:v>Física</x:v>
      </x:c>
      <x:c r="N166" s="10" t="n">
        <x:v>40</x:v>
      </x:c>
      <x:c r="O166" s="10" t="n">
        <x:v>968</x:v>
      </x:c>
      <x:c r="P166" s="10" t="n">
        <x:v>3000</x:v>
      </x:c>
      <x:c r="Q166" s="10" t="n">
        <x:v>3000</x:v>
      </x:c>
      <x:c r="R166" s="1" t="str"/>
      <x:c r="S166" s="1"/>
      <x:c r="T166" s="9" t="str">
        <x:v>https://poke.idleworld.online/pokepedia/pokemon/furret</x:v>
      </x:c>
    </x:row>
    <x:row r="167" ht="22" customHeight="1">
      <x:c r="A167" s="1" t="n">
        <x:v>163</x:v>
      </x:c>
      <x:c r="B167" s="1" t="str">
        <x:v>Hoothoot</x:v>
      </x:c>
      <x:c r="C167" s="1" t="str">
        <x:v>Normal</x:v>
      </x:c>
      <x:c r="D167" s="1" t="str">
        <x:v>Voador</x:v>
      </x:c>
      <x:c r="E167" s="1" t="str">
        <x:v>Comum</x:v>
      </x:c>
      <x:c r="F167" s="10" t="n">
        <x:v>60</x:v>
      </x:c>
      <x:c r="G167" s="10" t="n">
        <x:v>30</x:v>
      </x:c>
      <x:c r="H167" s="10" t="n">
        <x:v>30</x:v>
      </x:c>
      <x:c r="I167" s="10" t="n">
        <x:v>36</x:v>
      </x:c>
      <x:c r="J167" s="10" t="n">
        <x:v>56</x:v>
      </x:c>
      <x:c r="K167" s="10" t="n">
        <x:v>50</x:v>
      </x:c>
      <x:c r="L167" s="10" t="n">
        <x:f>SUM(F167:K167)</x:f>
        <x:v>262</x:v>
      </x:c>
      <x:c r="M167" s="1" t="str">
        <x:f>IF(G167=I167,"Empate",IF(G167&gt;I167,"Física","Especial"))</x:f>
        <x:v>Especial</x:v>
      </x:c>
      <x:c r="N167" s="10" t="n">
        <x:v>20</x:v>
      </x:c>
      <x:c r="O167" s="10" t="n">
        <x:v>248</x:v>
      </x:c>
      <x:c r="P167" s="10" t="n">
        <x:v>1500</x:v>
      </x:c>
      <x:c r="Q167" s="10" t="n">
        <x:v>1500</x:v>
      </x:c>
      <x:c r="R167" s="1" t="str">
        <x:v>Noctowl</x:v>
      </x:c>
      <x:c r="S167" s="1" t="n">
        <x:v>60</x:v>
      </x:c>
      <x:c r="T167" s="9" t="str">
        <x:v>https://poke.idleworld.online/pokepedia/pokemon/hoothoot</x:v>
      </x:c>
    </x:row>
    <x:row r="168" ht="22" customHeight="1">
      <x:c r="A168" s="1" t="n">
        <x:v>164</x:v>
      </x:c>
      <x:c r="B168" s="1" t="str">
        <x:v>Noctowl</x:v>
      </x:c>
      <x:c r="C168" s="1" t="str">
        <x:v>Normal</x:v>
      </x:c>
      <x:c r="D168" s="1" t="str">
        <x:v>Voador</x:v>
      </x:c>
      <x:c r="E168" s="1" t="str">
        <x:v>Incomum</x:v>
      </x:c>
      <x:c r="F168" s="10" t="n">
        <x:v>100</x:v>
      </x:c>
      <x:c r="G168" s="10" t="n">
        <x:v>50</x:v>
      </x:c>
      <x:c r="H168" s="10" t="n">
        <x:v>50</x:v>
      </x:c>
      <x:c r="I168" s="10" t="n">
        <x:v>76</x:v>
      </x:c>
      <x:c r="J168" s="10" t="n">
        <x:v>96</x:v>
      </x:c>
      <x:c r="K168" s="10" t="n">
        <x:v>70</x:v>
      </x:c>
      <x:c r="L168" s="10" t="n">
        <x:f>SUM(F168:K168)</x:f>
        <x:v>442</x:v>
      </x:c>
      <x:c r="M168" s="1" t="str">
        <x:f>IF(G168=I168,"Empate",IF(G168&gt;I168,"Física","Especial"))</x:f>
        <x:v>Especial</x:v>
      </x:c>
      <x:c r="N168" s="10" t="n">
        <x:v>60</x:v>
      </x:c>
      <x:c r="O168" s="10" t="n">
        <x:v>2168</x:v>
      </x:c>
      <x:c r="P168" s="10" t="n">
        <x:v>11500</x:v>
      </x:c>
      <x:c r="Q168" s="10" t="n">
        <x:v>11500</x:v>
      </x:c>
      <x:c r="R168" s="1" t="str"/>
      <x:c r="S168" s="1"/>
      <x:c r="T168" s="9" t="str">
        <x:v>https://poke.idleworld.online/pokepedia/pokemon/noctowl</x:v>
      </x:c>
    </x:row>
    <x:row r="169" ht="22" customHeight="1">
      <x:c r="A169" s="1" t="n">
        <x:v>165</x:v>
      </x:c>
      <x:c r="B169" s="1" t="str">
        <x:v>Ledyba</x:v>
      </x:c>
      <x:c r="C169" s="1" t="str">
        <x:v>Inseto</x:v>
      </x:c>
      <x:c r="D169" s="1" t="str">
        <x:v>Voador</x:v>
      </x:c>
      <x:c r="E169" s="1" t="str">
        <x:v>Comum</x:v>
      </x:c>
      <x:c r="F169" s="10" t="n">
        <x:v>40</x:v>
      </x:c>
      <x:c r="G169" s="10" t="n">
        <x:v>20</x:v>
      </x:c>
      <x:c r="H169" s="10" t="n">
        <x:v>30</x:v>
      </x:c>
      <x:c r="I169" s="10" t="n">
        <x:v>40</x:v>
      </x:c>
      <x:c r="J169" s="10" t="n">
        <x:v>80</x:v>
      </x:c>
      <x:c r="K169" s="10" t="n">
        <x:v>55</x:v>
      </x:c>
      <x:c r="L169" s="10" t="n">
        <x:f>SUM(F169:K169)</x:f>
        <x:v>265</x:v>
      </x:c>
      <x:c r="M169" s="1" t="str">
        <x:f>IF(G169=I169,"Empate",IF(G169&gt;I169,"Física","Especial"))</x:f>
        <x:v>Especial</x:v>
      </x:c>
      <x:c r="N169" s="10" t="n">
        <x:v>10</x:v>
      </x:c>
      <x:c r="O169" s="10" t="n">
        <x:v>68</x:v>
      </x:c>
      <x:c r="P169" s="10" t="n">
        <x:v>250</x:v>
      </x:c>
      <x:c r="Q169" s="10" t="n">
        <x:v>250</x:v>
      </x:c>
      <x:c r="R169" s="1" t="str">
        <x:v>Ledian</x:v>
      </x:c>
      <x:c r="S169" s="1" t="n">
        <x:v>40</x:v>
      </x:c>
      <x:c r="T169" s="9" t="str">
        <x:v>https://poke.idleworld.online/pokepedia/pokemon/ledyba</x:v>
      </x:c>
    </x:row>
    <x:row r="170" ht="22" customHeight="1">
      <x:c r="A170" s="1" t="n">
        <x:v>166</x:v>
      </x:c>
      <x:c r="B170" s="1" t="str">
        <x:v>Ledian</x:v>
      </x:c>
      <x:c r="C170" s="1" t="str">
        <x:v>Inseto</x:v>
      </x:c>
      <x:c r="D170" s="1" t="str">
        <x:v>Voador</x:v>
      </x:c>
      <x:c r="E170" s="1" t="str">
        <x:v>Incomum</x:v>
      </x:c>
      <x:c r="F170" s="10" t="n">
        <x:v>55</x:v>
      </x:c>
      <x:c r="G170" s="10" t="n">
        <x:v>35</x:v>
      </x:c>
      <x:c r="H170" s="10" t="n">
        <x:v>50</x:v>
      </x:c>
      <x:c r="I170" s="10" t="n">
        <x:v>55</x:v>
      </x:c>
      <x:c r="J170" s="10" t="n">
        <x:v>110</x:v>
      </x:c>
      <x:c r="K170" s="10" t="n">
        <x:v>85</x:v>
      </x:c>
      <x:c r="L170" s="10" t="n">
        <x:f>SUM(F170:K170)</x:f>
        <x:v>390</x:v>
      </x:c>
      <x:c r="M170" s="1" t="str">
        <x:f>IF(G170=I170,"Empate",IF(G170&gt;I170,"Física","Especial"))</x:f>
        <x:v>Especial</x:v>
      </x:c>
      <x:c r="N170" s="10" t="n">
        <x:v>40</x:v>
      </x:c>
      <x:c r="O170" s="10" t="n">
        <x:v>968</x:v>
      </x:c>
      <x:c r="P170" s="10" t="n">
        <x:v>3000</x:v>
      </x:c>
      <x:c r="Q170" s="10" t="n">
        <x:v>3000</x:v>
      </x:c>
      <x:c r="R170" s="1" t="str"/>
      <x:c r="S170" s="1"/>
      <x:c r="T170" s="9" t="str">
        <x:v>https://poke.idleworld.online/pokepedia/pokemon/ledian</x:v>
      </x:c>
    </x:row>
    <x:row r="171" ht="22" customHeight="1">
      <x:c r="A171" s="1" t="n">
        <x:v>167</x:v>
      </x:c>
      <x:c r="B171" s="1" t="str">
        <x:v>Spinarak</x:v>
      </x:c>
      <x:c r="C171" s="1" t="str">
        <x:v>Inseto</x:v>
      </x:c>
      <x:c r="D171" s="1" t="str">
        <x:v>Venenoso</x:v>
      </x:c>
      <x:c r="E171" s="1" t="str">
        <x:v>Comum</x:v>
      </x:c>
      <x:c r="F171" s="10" t="n">
        <x:v>40</x:v>
      </x:c>
      <x:c r="G171" s="10" t="n">
        <x:v>60</x:v>
      </x:c>
      <x:c r="H171" s="10" t="n">
        <x:v>40</x:v>
      </x:c>
      <x:c r="I171" s="10" t="n">
        <x:v>40</x:v>
      </x:c>
      <x:c r="J171" s="10" t="n">
        <x:v>40</x:v>
      </x:c>
      <x:c r="K171" s="10" t="n">
        <x:v>30</x:v>
      </x:c>
      <x:c r="L171" s="10" t="n">
        <x:f>SUM(F171:K171)</x:f>
        <x:v>250</x:v>
      </x:c>
      <x:c r="M171" s="1" t="str">
        <x:f>IF(G171=I171,"Empate",IF(G171&gt;I171,"Física","Especial"))</x:f>
        <x:v>Física</x:v>
      </x:c>
      <x:c r="N171" s="10" t="n">
        <x:v>10</x:v>
      </x:c>
      <x:c r="O171" s="10" t="n">
        <x:v>68</x:v>
      </x:c>
      <x:c r="P171" s="10" t="n">
        <x:v>250</x:v>
      </x:c>
      <x:c r="Q171" s="10" t="n">
        <x:v>250</x:v>
      </x:c>
      <x:c r="R171" s="1" t="str">
        <x:v>Ariados</x:v>
      </x:c>
      <x:c r="S171" s="1" t="n">
        <x:v>40</x:v>
      </x:c>
      <x:c r="T171" s="9" t="str">
        <x:v>https://poke.idleworld.online/pokepedia/pokemon/spinarak</x:v>
      </x:c>
    </x:row>
    <x:row r="172" ht="22" customHeight="1">
      <x:c r="A172" s="1" t="n">
        <x:v>168</x:v>
      </x:c>
      <x:c r="B172" s="1" t="str">
        <x:v>Ariados</x:v>
      </x:c>
      <x:c r="C172" s="1" t="str">
        <x:v>Inseto</x:v>
      </x:c>
      <x:c r="D172" s="1" t="str">
        <x:v>Venenoso</x:v>
      </x:c>
      <x:c r="E172" s="1" t="str">
        <x:v>Incomum</x:v>
      </x:c>
      <x:c r="F172" s="10" t="n">
        <x:v>70</x:v>
      </x:c>
      <x:c r="G172" s="10" t="n">
        <x:v>90</x:v>
      </x:c>
      <x:c r="H172" s="10" t="n">
        <x:v>70</x:v>
      </x:c>
      <x:c r="I172" s="10" t="n">
        <x:v>60</x:v>
      </x:c>
      <x:c r="J172" s="10" t="n">
        <x:v>60</x:v>
      </x:c>
      <x:c r="K172" s="10" t="n">
        <x:v>40</x:v>
      </x:c>
      <x:c r="L172" s="10" t="n">
        <x:f>SUM(F172:K172)</x:f>
        <x:v>390</x:v>
      </x:c>
      <x:c r="M172" s="1" t="str">
        <x:f>IF(G172=I172,"Empate",IF(G172&gt;I172,"Física","Especial"))</x:f>
        <x:v>Física</x:v>
      </x:c>
      <x:c r="N172" s="10" t="n">
        <x:v>40</x:v>
      </x:c>
      <x:c r="O172" s="10" t="n">
        <x:v>968</x:v>
      </x:c>
      <x:c r="P172" s="10" t="n">
        <x:v>3000</x:v>
      </x:c>
      <x:c r="Q172" s="10" t="n">
        <x:v>3000</x:v>
      </x:c>
      <x:c r="R172" s="1" t="str"/>
      <x:c r="S172" s="1"/>
      <x:c r="T172" s="9" t="str">
        <x:v>https://poke.idleworld.online/pokepedia/pokemon/ariados</x:v>
      </x:c>
    </x:row>
    <x:row r="173" ht="22" customHeight="1">
      <x:c r="A173" s="1" t="n">
        <x:v>169</x:v>
      </x:c>
      <x:c r="B173" s="1" t="str">
        <x:v>Crobat</x:v>
      </x:c>
      <x:c r="C173" s="1" t="str">
        <x:v>Venenoso</x:v>
      </x:c>
      <x:c r="D173" s="1" t="str">
        <x:v>Voador</x:v>
      </x:c>
      <x:c r="E173" s="1" t="str">
        <x:v>Raro</x:v>
      </x:c>
      <x:c r="F173" s="10" t="n">
        <x:v>85</x:v>
      </x:c>
      <x:c r="G173" s="10" t="n">
        <x:v>90</x:v>
      </x:c>
      <x:c r="H173" s="10" t="n">
        <x:v>80</x:v>
      </x:c>
      <x:c r="I173" s="10" t="n">
        <x:v>70</x:v>
      </x:c>
      <x:c r="J173" s="10" t="n">
        <x:v>80</x:v>
      </x:c>
      <x:c r="K173" s="10" t="n">
        <x:v>130</x:v>
      </x:c>
      <x:c r="L173" s="10" t="n">
        <x:f>SUM(F173:K173)</x:f>
        <x:v>535</x:v>
      </x:c>
      <x:c r="M173" s="1" t="str">
        <x:f>IF(G173=I173,"Empate",IF(G173&gt;I173,"Física","Especial"))</x:f>
        <x:v>Física</x:v>
      </x:c>
      <x:c r="N173" s="10" t="n">
        <x:v>80</x:v>
      </x:c>
      <x:c r="O173" s="10" t="n">
        <x:v>3848</x:v>
      </x:c>
      <x:c r="P173" s="10" t="n">
        <x:v>29000</x:v>
      </x:c>
      <x:c r="Q173" s="10" t="n">
        <x:v>29000</x:v>
      </x:c>
      <x:c r="R173" s="1" t="str"/>
      <x:c r="S173" s="1"/>
      <x:c r="T173" s="9" t="str">
        <x:v>https://poke.idleworld.online/pokepedia/pokemon/crobat</x:v>
      </x:c>
    </x:row>
    <x:row r="174" ht="22" customHeight="1">
      <x:c r="A174" s="1" t="n">
        <x:v>170</x:v>
      </x:c>
      <x:c r="B174" s="1" t="str">
        <x:v>Chinchou</x:v>
      </x:c>
      <x:c r="C174" s="1" t="str">
        <x:v>Água</x:v>
      </x:c>
      <x:c r="D174" s="1" t="str">
        <x:v>Elétrico</x:v>
      </x:c>
      <x:c r="E174" s="1" t="str">
        <x:v>Comum</x:v>
      </x:c>
      <x:c r="F174" s="10" t="n">
        <x:v>75</x:v>
      </x:c>
      <x:c r="G174" s="10" t="n">
        <x:v>38</x:v>
      </x:c>
      <x:c r="H174" s="10" t="n">
        <x:v>38</x:v>
      </x:c>
      <x:c r="I174" s="10" t="n">
        <x:v>56</x:v>
      </x:c>
      <x:c r="J174" s="10" t="n">
        <x:v>56</x:v>
      </x:c>
      <x:c r="K174" s="10" t="n">
        <x:v>67</x:v>
      </x:c>
      <x:c r="L174" s="10" t="n">
        <x:f>SUM(F174:K174)</x:f>
        <x:v>330</x:v>
      </x:c>
      <x:c r="M174" s="1" t="str">
        <x:f>IF(G174=I174,"Empate",IF(G174&gt;I174,"Física","Especial"))</x:f>
        <x:v>Especial</x:v>
      </x:c>
      <x:c r="N174" s="10" t="n">
        <x:v>10</x:v>
      </x:c>
      <x:c r="O174" s="10" t="n">
        <x:v>68</x:v>
      </x:c>
      <x:c r="P174" s="10" t="n">
        <x:v>1000</x:v>
      </x:c>
      <x:c r="Q174" s="10" t="n">
        <x:v>1000</x:v>
      </x:c>
      <x:c r="R174" s="1" t="str">
        <x:v>Lanturn</x:v>
      </x:c>
      <x:c r="S174" s="1" t="n">
        <x:v>80</x:v>
      </x:c>
      <x:c r="T174" s="9" t="str">
        <x:v>https://poke.idleworld.online/pokepedia/pokemon/chinchou</x:v>
      </x:c>
    </x:row>
    <x:row r="175" ht="22" customHeight="1">
      <x:c r="A175" s="1" t="n">
        <x:v>171</x:v>
      </x:c>
      <x:c r="B175" s="1" t="str">
        <x:v>Lanturn</x:v>
      </x:c>
      <x:c r="C175" s="1" t="str">
        <x:v>Água</x:v>
      </x:c>
      <x:c r="D175" s="1" t="str">
        <x:v>Elétrico</x:v>
      </x:c>
      <x:c r="E175" s="1" t="str">
        <x:v>Incomum</x:v>
      </x:c>
      <x:c r="F175" s="10" t="n">
        <x:v>125</x:v>
      </x:c>
      <x:c r="G175" s="10" t="n">
        <x:v>58</x:v>
      </x:c>
      <x:c r="H175" s="10" t="n">
        <x:v>58</x:v>
      </x:c>
      <x:c r="I175" s="10" t="n">
        <x:v>76</x:v>
      </x:c>
      <x:c r="J175" s="10" t="n">
        <x:v>76</x:v>
      </x:c>
      <x:c r="K175" s="10" t="n">
        <x:v>67</x:v>
      </x:c>
      <x:c r="L175" s="10" t="n">
        <x:f>SUM(F175:K175)</x:f>
        <x:v>460</x:v>
      </x:c>
      <x:c r="M175" s="1" t="str">
        <x:f>IF(G175=I175,"Empate",IF(G175&gt;I175,"Física","Especial"))</x:f>
        <x:v>Especial</x:v>
      </x:c>
      <x:c r="N175" s="10" t="n">
        <x:v>80</x:v>
      </x:c>
      <x:c r="O175" s="10" t="n">
        <x:v>3848</x:v>
      </x:c>
      <x:c r="P175" s="10" t="n">
        <x:v>11000</x:v>
      </x:c>
      <x:c r="Q175" s="10" t="n">
        <x:v>11000</x:v>
      </x:c>
      <x:c r="R175" s="1" t="str"/>
      <x:c r="S175" s="1"/>
      <x:c r="T175" s="9" t="str">
        <x:v>https://poke.idleworld.online/pokepedia/pokemon/lanturn</x:v>
      </x:c>
    </x:row>
    <x:row r="176" ht="22" customHeight="1">
      <x:c r="A176" s="1" t="n">
        <x:v>172</x:v>
      </x:c>
      <x:c r="B176" s="1" t="str">
        <x:v>Pichu</x:v>
      </x:c>
      <x:c r="C176" s="1" t="str">
        <x:v>Elétrico</x:v>
      </x:c>
      <x:c r="D176" s="1" t="str"/>
      <x:c r="E176" s="1" t="str">
        <x:v>Comum</x:v>
      </x:c>
      <x:c r="F176" s="10" t="n">
        <x:v>20</x:v>
      </x:c>
      <x:c r="G176" s="10" t="n">
        <x:v>40</x:v>
      </x:c>
      <x:c r="H176" s="10" t="n">
        <x:v>15</x:v>
      </x:c>
      <x:c r="I176" s="10" t="n">
        <x:v>35</x:v>
      </x:c>
      <x:c r="J176" s="10" t="n">
        <x:v>35</x:v>
      </x:c>
      <x:c r="K176" s="10" t="n">
        <x:v>60</x:v>
      </x:c>
      <x:c r="L176" s="10" t="n">
        <x:f>SUM(F176:K176)</x:f>
        <x:v>205</x:v>
      </x:c>
      <x:c r="M176" s="1" t="str">
        <x:f>IF(G176=I176,"Empate",IF(G176&gt;I176,"Física","Especial"))</x:f>
        <x:v>Física</x:v>
      </x:c>
      <x:c r="N176" s="10" t="n">
        <x:v>20</x:v>
      </x:c>
      <x:c r="O176" s="10" t="n">
        <x:v>248</x:v>
      </x:c>
      <x:c r="P176" s="10" t="n">
        <x:v>3000</x:v>
      </x:c>
      <x:c r="Q176" s="10" t="n">
        <x:v>3000</x:v>
      </x:c>
      <x:c r="R176" s="1" t="str">
        <x:v>Pikachu</x:v>
      </x:c>
      <x:c r="S176" s="1" t="n">
        <x:v>60</x:v>
      </x:c>
      <x:c r="T176" s="9" t="str">
        <x:v>https://poke.idleworld.online/pokepedia/pokemon/pichu</x:v>
      </x:c>
    </x:row>
    <x:row r="177" ht="22" customHeight="1">
      <x:c r="A177" s="1" t="n">
        <x:v>173</x:v>
      </x:c>
      <x:c r="B177" s="1" t="str">
        <x:v>Cleffa</x:v>
      </x:c>
      <x:c r="C177" s="1" t="str">
        <x:v>Fada</x:v>
      </x:c>
      <x:c r="D177" s="1" t="str"/>
      <x:c r="E177" s="1" t="str">
        <x:v>Comum</x:v>
      </x:c>
      <x:c r="F177" s="10" t="n">
        <x:v>50</x:v>
      </x:c>
      <x:c r="G177" s="10" t="n">
        <x:v>25</x:v>
      </x:c>
      <x:c r="H177" s="10" t="n">
        <x:v>28</x:v>
      </x:c>
      <x:c r="I177" s="10" t="n">
        <x:v>45</x:v>
      </x:c>
      <x:c r="J177" s="10" t="n">
        <x:v>55</x:v>
      </x:c>
      <x:c r="K177" s="10" t="n">
        <x:v>15</x:v>
      </x:c>
      <x:c r="L177" s="10" t="n">
        <x:f>SUM(F177:K177)</x:f>
        <x:v>218</x:v>
      </x:c>
      <x:c r="M177" s="1" t="str">
        <x:f>IF(G177=I177,"Empate",IF(G177&gt;I177,"Física","Especial"))</x:f>
        <x:v>Especial</x:v>
      </x:c>
      <x:c r="N177" s="10" t="n">
        <x:v>20</x:v>
      </x:c>
      <x:c r="O177" s="10" t="n">
        <x:v>248</x:v>
      </x:c>
      <x:c r="P177" s="10" t="n">
        <x:v>3000</x:v>
      </x:c>
      <x:c r="Q177" s="10" t="n">
        <x:v>3000</x:v>
      </x:c>
      <x:c r="R177" s="1" t="str">
        <x:v>Clefairy</x:v>
      </x:c>
      <x:c r="S177" s="1" t="n">
        <x:v>40</x:v>
      </x:c>
      <x:c r="T177" s="9" t="str">
        <x:v>https://poke.idleworld.online/pokepedia/pokemon/cleffa</x:v>
      </x:c>
    </x:row>
    <x:row r="178" ht="22" customHeight="1">
      <x:c r="A178" s="1" t="n">
        <x:v>174</x:v>
      </x:c>
      <x:c r="B178" s="1" t="str">
        <x:v>Igglybuff</x:v>
      </x:c>
      <x:c r="C178" s="1" t="str">
        <x:v>Normal</x:v>
      </x:c>
      <x:c r="D178" s="1" t="str">
        <x:v>Fada</x:v>
      </x:c>
      <x:c r="E178" s="1" t="str">
        <x:v>Comum</x:v>
      </x:c>
      <x:c r="F178" s="10" t="n">
        <x:v>90</x:v>
      </x:c>
      <x:c r="G178" s="10" t="n">
        <x:v>30</x:v>
      </x:c>
      <x:c r="H178" s="10" t="n">
        <x:v>15</x:v>
      </x:c>
      <x:c r="I178" s="10" t="n">
        <x:v>40</x:v>
      </x:c>
      <x:c r="J178" s="10" t="n">
        <x:v>20</x:v>
      </x:c>
      <x:c r="K178" s="10" t="n">
        <x:v>15</x:v>
      </x:c>
      <x:c r="L178" s="10" t="n">
        <x:f>SUM(F178:K178)</x:f>
        <x:v>210</x:v>
      </x:c>
      <x:c r="M178" s="1" t="str">
        <x:f>IF(G178=I178,"Empate",IF(G178&gt;I178,"Física","Especial"))</x:f>
        <x:v>Especial</x:v>
      </x:c>
      <x:c r="N178" s="10" t="n">
        <x:v>20</x:v>
      </x:c>
      <x:c r="O178" s="10" t="n">
        <x:v>248</x:v>
      </x:c>
      <x:c r="P178" s="10" t="n">
        <x:v>3000</x:v>
      </x:c>
      <x:c r="Q178" s="10" t="n">
        <x:v>3000</x:v>
      </x:c>
      <x:c r="R178" s="1" t="str">
        <x:v>Jigglypuff</x:v>
      </x:c>
      <x:c r="S178" s="1" t="n">
        <x:v>40</x:v>
      </x:c>
      <x:c r="T178" s="9" t="str">
        <x:v>https://poke.idleworld.online/pokepedia/pokemon/igglybuff</x:v>
      </x:c>
    </x:row>
    <x:row r="179" ht="22" customHeight="1">
      <x:c r="A179" s="1" t="n">
        <x:v>175</x:v>
      </x:c>
      <x:c r="B179" s="1" t="str">
        <x:v>Togepi</x:v>
      </x:c>
      <x:c r="C179" s="1" t="str">
        <x:v>Fada</x:v>
      </x:c>
      <x:c r="D179" s="1" t="str"/>
      <x:c r="E179" s="1" t="str">
        <x:v>Comum</x:v>
      </x:c>
      <x:c r="F179" s="10" t="n">
        <x:v>35</x:v>
      </x:c>
      <x:c r="G179" s="10" t="n">
        <x:v>20</x:v>
      </x:c>
      <x:c r="H179" s="10" t="n">
        <x:v>65</x:v>
      </x:c>
      <x:c r="I179" s="10" t="n">
        <x:v>40</x:v>
      </x:c>
      <x:c r="J179" s="10" t="n">
        <x:v>65</x:v>
      </x:c>
      <x:c r="K179" s="10" t="n">
        <x:v>20</x:v>
      </x:c>
      <x:c r="L179" s="10" t="n">
        <x:f>SUM(F179:K179)</x:f>
        <x:v>245</x:v>
      </x:c>
      <x:c r="M179" s="1" t="str">
        <x:f>IF(G179=I179,"Empate",IF(G179&gt;I179,"Física","Especial"))</x:f>
        <x:v>Especial</x:v>
      </x:c>
      <x:c r="N179" s="10" t="n">
        <x:v>1</x:v>
      </x:c>
      <x:c r="O179" s="10" t="n">
        <x:v>8</x:v>
      </x:c>
      <x:c r="P179" s="10" t="n">
        <x:v>15000</x:v>
      </x:c>
      <x:c r="Q179" s="10" t="n">
        <x:v>15000</x:v>
      </x:c>
      <x:c r="R179" s="1" t="str">
        <x:v>Togetic</x:v>
      </x:c>
      <x:c r="S179" s="1" t="n">
        <x:v>80</x:v>
      </x:c>
      <x:c r="T179" s="9" t="str">
        <x:v>https://poke.idleworld.online/pokepedia/pokemon/togepi</x:v>
      </x:c>
    </x:row>
    <x:row r="180" ht="22" customHeight="1">
      <x:c r="A180" s="1" t="n">
        <x:v>176</x:v>
      </x:c>
      <x:c r="B180" s="1" t="str">
        <x:v>Togetic</x:v>
      </x:c>
      <x:c r="C180" s="1" t="str">
        <x:v>Fada</x:v>
      </x:c>
      <x:c r="D180" s="1" t="str">
        <x:v>Voador</x:v>
      </x:c>
      <x:c r="E180" s="1" t="str">
        <x:v>Incomum</x:v>
      </x:c>
      <x:c r="F180" s="10" t="n">
        <x:v>55</x:v>
      </x:c>
      <x:c r="G180" s="10" t="n">
        <x:v>40</x:v>
      </x:c>
      <x:c r="H180" s="10" t="n">
        <x:v>85</x:v>
      </x:c>
      <x:c r="I180" s="10" t="n">
        <x:v>80</x:v>
      </x:c>
      <x:c r="J180" s="10" t="n">
        <x:v>105</x:v>
      </x:c>
      <x:c r="K180" s="10" t="n">
        <x:v>40</x:v>
      </x:c>
      <x:c r="L180" s="10" t="n">
        <x:f>SUM(F180:K180)</x:f>
        <x:v>405</x:v>
      </x:c>
      <x:c r="M180" s="1" t="str">
        <x:f>IF(G180=I180,"Empate",IF(G180&gt;I180,"Física","Especial"))</x:f>
        <x:v>Especial</x:v>
      </x:c>
      <x:c r="N180" s="10" t="n">
        <x:v>80</x:v>
      </x:c>
      <x:c r="O180" s="10" t="n">
        <x:v>3848</x:v>
      </x:c>
      <x:c r="P180" s="10" t="n">
        <x:v>25000</x:v>
      </x:c>
      <x:c r="Q180" s="10" t="n">
        <x:v>25000</x:v>
      </x:c>
      <x:c r="R180" s="1" t="str">
        <x:v>Togekiss</x:v>
      </x:c>
      <x:c r="S180" s="1" t="n">
        <x:v>100</x:v>
      </x:c>
      <x:c r="T180" s="9" t="str">
        <x:v>https://poke.idleworld.online/pokepedia/pokemon/togetic</x:v>
      </x:c>
    </x:row>
    <x:row r="181" ht="22" customHeight="1">
      <x:c r="A181" s="1" t="n">
        <x:v>177</x:v>
      </x:c>
      <x:c r="B181" s="1" t="str">
        <x:v>Natu</x:v>
      </x:c>
      <x:c r="C181" s="1" t="str">
        <x:v>Psíquico</x:v>
      </x:c>
      <x:c r="D181" s="1" t="str">
        <x:v>Voador</x:v>
      </x:c>
      <x:c r="E181" s="1" t="str">
        <x:v>Comum</x:v>
      </x:c>
      <x:c r="F181" s="10" t="n">
        <x:v>40</x:v>
      </x:c>
      <x:c r="G181" s="10" t="n">
        <x:v>50</x:v>
      </x:c>
      <x:c r="H181" s="10" t="n">
        <x:v>45</x:v>
      </x:c>
      <x:c r="I181" s="10" t="n">
        <x:v>70</x:v>
      </x:c>
      <x:c r="J181" s="10" t="n">
        <x:v>45</x:v>
      </x:c>
      <x:c r="K181" s="10" t="n">
        <x:v>70</x:v>
      </x:c>
      <x:c r="L181" s="10" t="n">
        <x:f>SUM(F181:K181)</x:f>
        <x:v>320</x:v>
      </x:c>
      <x:c r="M181" s="1" t="str">
        <x:f>IF(G181=I181,"Empate",IF(G181&gt;I181,"Física","Especial"))</x:f>
        <x:v>Especial</x:v>
      </x:c>
      <x:c r="N181" s="10" t="n">
        <x:v>30</x:v>
      </x:c>
      <x:c r="O181" s="10" t="n">
        <x:v>548</x:v>
      </x:c>
      <x:c r="P181" s="10" t="n">
        <x:v>3000</x:v>
      </x:c>
      <x:c r="Q181" s="10" t="n">
        <x:v>3000</x:v>
      </x:c>
      <x:c r="R181" s="1" t="str">
        <x:v>Xatu</x:v>
      </x:c>
      <x:c r="S181" s="1" t="n">
        <x:v>80</x:v>
      </x:c>
      <x:c r="T181" s="9" t="str">
        <x:v>https://poke.idleworld.online/pokepedia/pokemon/natu</x:v>
      </x:c>
    </x:row>
    <x:row r="182" ht="22" customHeight="1">
      <x:c r="A182" s="1" t="n">
        <x:v>178</x:v>
      </x:c>
      <x:c r="B182" s="1" t="str">
        <x:v>Xatu</x:v>
      </x:c>
      <x:c r="C182" s="1" t="str">
        <x:v>Psíquico</x:v>
      </x:c>
      <x:c r="D182" s="1" t="str">
        <x:v>Voador</x:v>
      </x:c>
      <x:c r="E182" s="1" t="str">
        <x:v>Incomum</x:v>
      </x:c>
      <x:c r="F182" s="10" t="n">
        <x:v>65</x:v>
      </x:c>
      <x:c r="G182" s="10" t="n">
        <x:v>75</x:v>
      </x:c>
      <x:c r="H182" s="10" t="n">
        <x:v>70</x:v>
      </x:c>
      <x:c r="I182" s="10" t="n">
        <x:v>95</x:v>
      </x:c>
      <x:c r="J182" s="10" t="n">
        <x:v>70</x:v>
      </x:c>
      <x:c r="K182" s="10" t="n">
        <x:v>95</x:v>
      </x:c>
      <x:c r="L182" s="10" t="n">
        <x:f>SUM(F182:K182)</x:f>
        <x:v>470</x:v>
      </x:c>
      <x:c r="M182" s="1" t="str">
        <x:f>IF(G182=I182,"Empate",IF(G182&gt;I182,"Física","Especial"))</x:f>
        <x:v>Especial</x:v>
      </x:c>
      <x:c r="N182" s="10" t="n">
        <x:v>80</x:v>
      </x:c>
      <x:c r="O182" s="10" t="n">
        <x:v>3848</x:v>
      </x:c>
      <x:c r="P182" s="10" t="n">
        <x:v>13000</x:v>
      </x:c>
      <x:c r="Q182" s="10" t="n">
        <x:v>13000</x:v>
      </x:c>
      <x:c r="R182" s="1" t="str"/>
      <x:c r="S182" s="1"/>
      <x:c r="T182" s="9" t="str">
        <x:v>https://poke.idleworld.online/pokepedia/pokemon/xatu</x:v>
      </x:c>
    </x:row>
    <x:row r="183" ht="22" customHeight="1">
      <x:c r="A183" s="1" t="n">
        <x:v>179</x:v>
      </x:c>
      <x:c r="B183" s="1" t="str">
        <x:v>Mareep</x:v>
      </x:c>
      <x:c r="C183" s="1" t="str">
        <x:v>Elétrico</x:v>
      </x:c>
      <x:c r="D183" s="1" t="str"/>
      <x:c r="E183" s="1" t="str">
        <x:v>Comum</x:v>
      </x:c>
      <x:c r="F183" s="10" t="n">
        <x:v>55</x:v>
      </x:c>
      <x:c r="G183" s="10" t="n">
        <x:v>40</x:v>
      </x:c>
      <x:c r="H183" s="10" t="n">
        <x:v>40</x:v>
      </x:c>
      <x:c r="I183" s="10" t="n">
        <x:v>65</x:v>
      </x:c>
      <x:c r="J183" s="10" t="n">
        <x:v>45</x:v>
      </x:c>
      <x:c r="K183" s="10" t="n">
        <x:v>35</x:v>
      </x:c>
      <x:c r="L183" s="10" t="n">
        <x:f>SUM(F183:K183)</x:f>
        <x:v>280</x:v>
      </x:c>
      <x:c r="M183" s="1" t="str">
        <x:f>IF(G183=I183,"Empate",IF(G183&gt;I183,"Física","Especial"))</x:f>
        <x:v>Especial</x:v>
      </x:c>
      <x:c r="N183" s="10" t="n">
        <x:v>20</x:v>
      </x:c>
      <x:c r="O183" s="10" t="n">
        <x:v>248</x:v>
      </x:c>
      <x:c r="P183" s="10" t="n">
        <x:v>3000</x:v>
      </x:c>
      <x:c r="Q183" s="10" t="n">
        <x:v>3000</x:v>
      </x:c>
      <x:c r="R183" s="1" t="str">
        <x:v>Flaaffy</x:v>
      </x:c>
      <x:c r="S183" s="1" t="n">
        <x:v>40</x:v>
      </x:c>
      <x:c r="T183" s="9" t="str">
        <x:v>https://poke.idleworld.online/pokepedia/pokemon/mareep</x:v>
      </x:c>
    </x:row>
    <x:row r="184" ht="22" customHeight="1">
      <x:c r="A184" s="1" t="n">
        <x:v>180</x:v>
      </x:c>
      <x:c r="B184" s="1" t="str">
        <x:v>Flaaffy</x:v>
      </x:c>
      <x:c r="C184" s="1" t="str">
        <x:v>Elétrico</x:v>
      </x:c>
      <x:c r="D184" s="1" t="str"/>
      <x:c r="E184" s="1" t="str">
        <x:v>Incomum</x:v>
      </x:c>
      <x:c r="F184" s="10" t="n">
        <x:v>70</x:v>
      </x:c>
      <x:c r="G184" s="10" t="n">
        <x:v>55</x:v>
      </x:c>
      <x:c r="H184" s="10" t="n">
        <x:v>55</x:v>
      </x:c>
      <x:c r="I184" s="10" t="n">
        <x:v>80</x:v>
      </x:c>
      <x:c r="J184" s="10" t="n">
        <x:v>60</x:v>
      </x:c>
      <x:c r="K184" s="10" t="n">
        <x:v>45</x:v>
      </x:c>
      <x:c r="L184" s="10" t="n">
        <x:f>SUM(F184:K184)</x:f>
        <x:v>365</x:v>
      </x:c>
      <x:c r="M184" s="1" t="str">
        <x:f>IF(G184=I184,"Empate",IF(G184&gt;I184,"Física","Especial"))</x:f>
        <x:v>Especial</x:v>
      </x:c>
      <x:c r="N184" s="10" t="n">
        <x:v>40</x:v>
      </x:c>
      <x:c r="O184" s="10" t="n">
        <x:v>968</x:v>
      </x:c>
      <x:c r="P184" s="10" t="n">
        <x:v>8000</x:v>
      </x:c>
      <x:c r="Q184" s="10" t="n">
        <x:v>8000</x:v>
      </x:c>
      <x:c r="R184" s="1" t="str">
        <x:v>Ampharos</x:v>
      </x:c>
      <x:c r="S184" s="1" t="n">
        <x:v>80</x:v>
      </x:c>
      <x:c r="T184" s="9" t="str">
        <x:v>https://poke.idleworld.online/pokepedia/pokemon/flaaffy</x:v>
      </x:c>
    </x:row>
    <x:row r="185" ht="22" customHeight="1">
      <x:c r="A185" s="1" t="n">
        <x:v>181</x:v>
      </x:c>
      <x:c r="B185" s="1" t="str">
        <x:v>Ampharos</x:v>
      </x:c>
      <x:c r="C185" s="1" t="str">
        <x:v>Elétrico</x:v>
      </x:c>
      <x:c r="D185" s="1" t="str"/>
      <x:c r="E185" s="1" t="str">
        <x:v>Raro</x:v>
      </x:c>
      <x:c r="F185" s="10" t="n">
        <x:v>90</x:v>
      </x:c>
      <x:c r="G185" s="10" t="n">
        <x:v>75</x:v>
      </x:c>
      <x:c r="H185" s="10" t="n">
        <x:v>85</x:v>
      </x:c>
      <x:c r="I185" s="10" t="n">
        <x:v>115</x:v>
      </x:c>
      <x:c r="J185" s="10" t="n">
        <x:v>90</x:v>
      </x:c>
      <x:c r="K185" s="10" t="n">
        <x:v>55</x:v>
      </x:c>
      <x:c r="L185" s="10" t="n">
        <x:f>SUM(F185:K185)</x:f>
        <x:v>510</x:v>
      </x:c>
      <x:c r="M185" s="1" t="str">
        <x:f>IF(G185=I185,"Empate",IF(G185&gt;I185,"Física","Especial"))</x:f>
        <x:v>Especial</x:v>
      </x:c>
      <x:c r="N185" s="10" t="n">
        <x:v>80</x:v>
      </x:c>
      <x:c r="O185" s="10" t="n">
        <x:v>3848</x:v>
      </x:c>
      <x:c r="P185" s="10" t="n">
        <x:v>18000</x:v>
      </x:c>
      <x:c r="Q185" s="10" t="n">
        <x:v>18000</x:v>
      </x:c>
      <x:c r="R185" s="1" t="str"/>
      <x:c r="S185" s="1"/>
      <x:c r="T185" s="9" t="str">
        <x:v>https://poke.idleworld.online/pokepedia/pokemon/ampharos</x:v>
      </x:c>
    </x:row>
    <x:row r="186" ht="22" customHeight="1">
      <x:c r="A186" s="1" t="n">
        <x:v>182</x:v>
      </x:c>
      <x:c r="B186" s="1" t="str">
        <x:v>Bellossom</x:v>
      </x:c>
      <x:c r="C186" s="1" t="str">
        <x:v>Planta</x:v>
      </x:c>
      <x:c r="D186" s="1" t="str"/>
      <x:c r="E186" s="1" t="str">
        <x:v>Raro</x:v>
      </x:c>
      <x:c r="F186" s="10" t="n">
        <x:v>75</x:v>
      </x:c>
      <x:c r="G186" s="10" t="n">
        <x:v>80</x:v>
      </x:c>
      <x:c r="H186" s="10" t="n">
        <x:v>95</x:v>
      </x:c>
      <x:c r="I186" s="10" t="n">
        <x:v>90</x:v>
      </x:c>
      <x:c r="J186" s="10" t="n">
        <x:v>100</x:v>
      </x:c>
      <x:c r="K186" s="10" t="n">
        <x:v>50</x:v>
      </x:c>
      <x:c r="L186" s="10" t="n">
        <x:f>SUM(F186:K186)</x:f>
        <x:v>490</x:v>
      </x:c>
      <x:c r="M186" s="1" t="str">
        <x:f>IF(G186=I186,"Empate",IF(G186&gt;I186,"Física","Especial"))</x:f>
        <x:v>Especial</x:v>
      </x:c>
      <x:c r="N186" s="10" t="n">
        <x:v>50</x:v>
      </x:c>
      <x:c r="O186" s="10" t="n">
        <x:v>1508</x:v>
      </x:c>
      <x:c r="P186" s="10" t="n">
        <x:v>12000</x:v>
      </x:c>
      <x:c r="Q186" s="10" t="n">
        <x:v>12000</x:v>
      </x:c>
      <x:c r="R186" s="1" t="str"/>
      <x:c r="S186" s="1"/>
      <x:c r="T186" s="9" t="str">
        <x:v>https://poke.idleworld.online/pokepedia/pokemon/bellossom</x:v>
      </x:c>
    </x:row>
    <x:row r="187" ht="22" customHeight="1">
      <x:c r="A187" s="1" t="n">
        <x:v>183</x:v>
      </x:c>
      <x:c r="B187" s="1" t="str">
        <x:v>Marill</x:v>
      </x:c>
      <x:c r="C187" s="1" t="str">
        <x:v>Água</x:v>
      </x:c>
      <x:c r="D187" s="1" t="str">
        <x:v>Fada</x:v>
      </x:c>
      <x:c r="E187" s="1" t="str">
        <x:v>Comum</x:v>
      </x:c>
      <x:c r="F187" s="10" t="n">
        <x:v>70</x:v>
      </x:c>
      <x:c r="G187" s="10" t="n">
        <x:v>20</x:v>
      </x:c>
      <x:c r="H187" s="10" t="n">
        <x:v>50</x:v>
      </x:c>
      <x:c r="I187" s="10" t="n">
        <x:v>20</x:v>
      </x:c>
      <x:c r="J187" s="10" t="n">
        <x:v>50</x:v>
      </x:c>
      <x:c r="K187" s="10" t="n">
        <x:v>40</x:v>
      </x:c>
      <x:c r="L187" s="10" t="n">
        <x:f>SUM(F187:K187)</x:f>
        <x:v>250</x:v>
      </x:c>
      <x:c r="M187" s="1" t="str">
        <x:f>IF(G187=I187,"Empate",IF(G187&gt;I187,"Física","Especial"))</x:f>
        <x:v>Empate</x:v>
      </x:c>
      <x:c r="N187" s="10" t="n">
        <x:v>20</x:v>
      </x:c>
      <x:c r="O187" s="10" t="n">
        <x:v>248</x:v>
      </x:c>
      <x:c r="P187" s="10" t="n">
        <x:v>3000</x:v>
      </x:c>
      <x:c r="Q187" s="10" t="n">
        <x:v>3000</x:v>
      </x:c>
      <x:c r="R187" s="1" t="str">
        <x:v>Azumarill</x:v>
      </x:c>
      <x:c r="S187" s="1" t="n">
        <x:v>80</x:v>
      </x:c>
      <x:c r="T187" s="9" t="str">
        <x:v>https://poke.idleworld.online/pokepedia/pokemon/marill</x:v>
      </x:c>
    </x:row>
    <x:row r="188" ht="22" customHeight="1">
      <x:c r="A188" s="1" t="n">
        <x:v>184</x:v>
      </x:c>
      <x:c r="B188" s="1" t="str">
        <x:v>Azumarill</x:v>
      </x:c>
      <x:c r="C188" s="1" t="str">
        <x:v>Água</x:v>
      </x:c>
      <x:c r="D188" s="1" t="str">
        <x:v>Fada</x:v>
      </x:c>
      <x:c r="E188" s="1" t="str">
        <x:v>Incomum</x:v>
      </x:c>
      <x:c r="F188" s="10" t="n">
        <x:v>100</x:v>
      </x:c>
      <x:c r="G188" s="10" t="n">
        <x:v>50</x:v>
      </x:c>
      <x:c r="H188" s="10" t="n">
        <x:v>80</x:v>
      </x:c>
      <x:c r="I188" s="10" t="n">
        <x:v>60</x:v>
      </x:c>
      <x:c r="J188" s="10" t="n">
        <x:v>80</x:v>
      </x:c>
      <x:c r="K188" s="10" t="n">
        <x:v>50</x:v>
      </x:c>
      <x:c r="L188" s="10" t="n">
        <x:f>SUM(F188:K188)</x:f>
        <x:v>420</x:v>
      </x:c>
      <x:c r="M188" s="1" t="str">
        <x:f>IF(G188=I188,"Empate",IF(G188&gt;I188,"Física","Especial"))</x:f>
        <x:v>Especial</x:v>
      </x:c>
      <x:c r="N188" s="10" t="n">
        <x:v>60</x:v>
      </x:c>
      <x:c r="O188" s="10" t="n">
        <x:v>2168</x:v>
      </x:c>
      <x:c r="P188" s="10" t="n">
        <x:v>13000</x:v>
      </x:c>
      <x:c r="Q188" s="10" t="n">
        <x:v>13000</x:v>
      </x:c>
      <x:c r="R188" s="1" t="str"/>
      <x:c r="S188" s="1"/>
      <x:c r="T188" s="9" t="str">
        <x:v>https://poke.idleworld.online/pokepedia/pokemon/azumarill</x:v>
      </x:c>
    </x:row>
    <x:row r="189" ht="22" customHeight="1">
      <x:c r="A189" s="1" t="n">
        <x:v>185</x:v>
      </x:c>
      <x:c r="B189" s="1" t="str">
        <x:v>Sudowoodo</x:v>
      </x:c>
      <x:c r="C189" s="1" t="str">
        <x:v>Pedra</x:v>
      </x:c>
      <x:c r="D189" s="1" t="str"/>
      <x:c r="E189" s="1" t="str">
        <x:v>Incomum</x:v>
      </x:c>
      <x:c r="F189" s="10" t="n">
        <x:v>70</x:v>
      </x:c>
      <x:c r="G189" s="10" t="n">
        <x:v>100</x:v>
      </x:c>
      <x:c r="H189" s="10" t="n">
        <x:v>115</x:v>
      </x:c>
      <x:c r="I189" s="10" t="n">
        <x:v>30</x:v>
      </x:c>
      <x:c r="J189" s="10" t="n">
        <x:v>65</x:v>
      </x:c>
      <x:c r="K189" s="10" t="n">
        <x:v>30</x:v>
      </x:c>
      <x:c r="L189" s="10" t="n">
        <x:f>SUM(F189:K189)</x:f>
        <x:v>410</x:v>
      </x:c>
      <x:c r="M189" s="1" t="str">
        <x:f>IF(G189=I189,"Empate",IF(G189&gt;I189,"Física","Especial"))</x:f>
        <x:v>Física</x:v>
      </x:c>
      <x:c r="N189" s="10" t="n">
        <x:v>100</x:v>
      </x:c>
      <x:c r="O189" s="10" t="n">
        <x:v>6008</x:v>
      </x:c>
      <x:c r="P189" s="10" t="n">
        <x:v>60000</x:v>
      </x:c>
      <x:c r="Q189" s="10" t="n">
        <x:v>60000</x:v>
      </x:c>
      <x:c r="R189" s="1" t="str"/>
      <x:c r="S189" s="1"/>
      <x:c r="T189" s="9" t="str">
        <x:v>https://poke.idleworld.online/pokepedia/pokemon/sudowoodo</x:v>
      </x:c>
    </x:row>
    <x:row r="190" ht="22" customHeight="1">
      <x:c r="A190" s="1" t="n">
        <x:v>186</x:v>
      </x:c>
      <x:c r="B190" s="1" t="str">
        <x:v>Politoed</x:v>
      </x:c>
      <x:c r="C190" s="1" t="str">
        <x:v>Água</x:v>
      </x:c>
      <x:c r="D190" s="1" t="str"/>
      <x:c r="E190" s="1" t="str">
        <x:v>Raro</x:v>
      </x:c>
      <x:c r="F190" s="10" t="n">
        <x:v>90</x:v>
      </x:c>
      <x:c r="G190" s="10" t="n">
        <x:v>75</x:v>
      </x:c>
      <x:c r="H190" s="10" t="n">
        <x:v>75</x:v>
      </x:c>
      <x:c r="I190" s="10" t="n">
        <x:v>90</x:v>
      </x:c>
      <x:c r="J190" s="10" t="n">
        <x:v>100</x:v>
      </x:c>
      <x:c r="K190" s="10" t="n">
        <x:v>70</x:v>
      </x:c>
      <x:c r="L190" s="10" t="n">
        <x:f>SUM(F190:K190)</x:f>
        <x:v>500</x:v>
      </x:c>
      <x:c r="M190" s="1" t="str">
        <x:f>IF(G190=I190,"Empate",IF(G190&gt;I190,"Física","Especial"))</x:f>
        <x:v>Especial</x:v>
      </x:c>
      <x:c r="N190" s="10" t="n">
        <x:v>70</x:v>
      </x:c>
      <x:c r="O190" s="10" t="n">
        <x:v>2948</x:v>
      </x:c>
      <x:c r="P190" s="10" t="n">
        <x:v>13000</x:v>
      </x:c>
      <x:c r="Q190" s="10" t="n">
        <x:v>13000</x:v>
      </x:c>
      <x:c r="R190" s="1" t="str"/>
      <x:c r="S190" s="1"/>
      <x:c r="T190" s="9" t="str">
        <x:v>https://poke.idleworld.online/pokepedia/pokemon/politoed</x:v>
      </x:c>
    </x:row>
    <x:row r="191" ht="22" customHeight="1">
      <x:c r="A191" s="1" t="n">
        <x:v>187</x:v>
      </x:c>
      <x:c r="B191" s="1" t="str">
        <x:v>Hoppip</x:v>
      </x:c>
      <x:c r="C191" s="1" t="str">
        <x:v>Planta</x:v>
      </x:c>
      <x:c r="D191" s="1" t="str">
        <x:v>Voador</x:v>
      </x:c>
      <x:c r="E191" s="1" t="str">
        <x:v>Comum</x:v>
      </x:c>
      <x:c r="F191" s="10" t="n">
        <x:v>35</x:v>
      </x:c>
      <x:c r="G191" s="10" t="n">
        <x:v>35</x:v>
      </x:c>
      <x:c r="H191" s="10" t="n">
        <x:v>40</x:v>
      </x:c>
      <x:c r="I191" s="10" t="n">
        <x:v>35</x:v>
      </x:c>
      <x:c r="J191" s="10" t="n">
        <x:v>55</x:v>
      </x:c>
      <x:c r="K191" s="10" t="n">
        <x:v>50</x:v>
      </x:c>
      <x:c r="L191" s="10" t="n">
        <x:f>SUM(F191:K191)</x:f>
        <x:v>250</x:v>
      </x:c>
      <x:c r="M191" s="1" t="str">
        <x:f>IF(G191=I191,"Empate",IF(G191&gt;I191,"Física","Especial"))</x:f>
        <x:v>Empate</x:v>
      </x:c>
      <x:c r="N191" s="10" t="n">
        <x:v>1</x:v>
      </x:c>
      <x:c r="O191" s="10" t="n">
        <x:v>8</x:v>
      </x:c>
      <x:c r="P191" s="10" t="n">
        <x:v>80</x:v>
      </x:c>
      <x:c r="Q191" s="10" t="n">
        <x:v>80</x:v>
      </x:c>
      <x:c r="R191" s="1" t="str">
        <x:v>Skiploom</x:v>
      </x:c>
      <x:c r="S191" s="1" t="n">
        <x:v>30</x:v>
      </x:c>
      <x:c r="T191" s="9" t="str">
        <x:v>https://poke.idleworld.online/pokepedia/pokemon/hoppip</x:v>
      </x:c>
    </x:row>
    <x:row r="192" ht="22" customHeight="1">
      <x:c r="A192" s="1" t="n">
        <x:v>188</x:v>
      </x:c>
      <x:c r="B192" s="1" t="str">
        <x:v>Skiploom</x:v>
      </x:c>
      <x:c r="C192" s="1" t="str">
        <x:v>Planta</x:v>
      </x:c>
      <x:c r="D192" s="1" t="str">
        <x:v>Voador</x:v>
      </x:c>
      <x:c r="E192" s="1" t="str">
        <x:v>Incomum</x:v>
      </x:c>
      <x:c r="F192" s="10" t="n">
        <x:v>55</x:v>
      </x:c>
      <x:c r="G192" s="10" t="n">
        <x:v>45</x:v>
      </x:c>
      <x:c r="H192" s="10" t="n">
        <x:v>50</x:v>
      </x:c>
      <x:c r="I192" s="10" t="n">
        <x:v>45</x:v>
      </x:c>
      <x:c r="J192" s="10" t="n">
        <x:v>65</x:v>
      </x:c>
      <x:c r="K192" s="10" t="n">
        <x:v>80</x:v>
      </x:c>
      <x:c r="L192" s="10" t="n">
        <x:f>SUM(F192:K192)</x:f>
        <x:v>340</x:v>
      </x:c>
      <x:c r="M192" s="1" t="str">
        <x:f>IF(G192=I192,"Empate",IF(G192&gt;I192,"Física","Especial"))</x:f>
        <x:v>Empate</x:v>
      </x:c>
      <x:c r="N192" s="10" t="n">
        <x:v>30</x:v>
      </x:c>
      <x:c r="O192" s="10" t="n">
        <x:v>548</x:v>
      </x:c>
      <x:c r="P192" s="10" t="n">
        <x:v>2250</x:v>
      </x:c>
      <x:c r="Q192" s="10" t="n">
        <x:v>2250</x:v>
      </x:c>
      <x:c r="R192" s="1" t="str">
        <x:v>Jumpluff</x:v>
      </x:c>
      <x:c r="S192" s="1" t="n">
        <x:v>50</x:v>
      </x:c>
      <x:c r="T192" s="9" t="str">
        <x:v>https://poke.idleworld.online/pokepedia/pokemon/skiploom</x:v>
      </x:c>
    </x:row>
    <x:row r="193" ht="22" customHeight="1">
      <x:c r="A193" s="1" t="n">
        <x:v>189</x:v>
      </x:c>
      <x:c r="B193" s="1" t="str">
        <x:v>Jumpluff</x:v>
      </x:c>
      <x:c r="C193" s="1" t="str">
        <x:v>Planta</x:v>
      </x:c>
      <x:c r="D193" s="1" t="str">
        <x:v>Voador</x:v>
      </x:c>
      <x:c r="E193" s="1" t="str">
        <x:v>Raro</x:v>
      </x:c>
      <x:c r="F193" s="10" t="n">
        <x:v>75</x:v>
      </x:c>
      <x:c r="G193" s="10" t="n">
        <x:v>55</x:v>
      </x:c>
      <x:c r="H193" s="10" t="n">
        <x:v>70</x:v>
      </x:c>
      <x:c r="I193" s="10" t="n">
        <x:v>55</x:v>
      </x:c>
      <x:c r="J193" s="10" t="n">
        <x:v>95</x:v>
      </x:c>
      <x:c r="K193" s="10" t="n">
        <x:v>110</x:v>
      </x:c>
      <x:c r="L193" s="10" t="n">
        <x:f>SUM(F193:K193)</x:f>
        <x:v>460</x:v>
      </x:c>
      <x:c r="M193" s="1" t="str">
        <x:f>IF(G193=I193,"Empate",IF(G193&gt;I193,"Física","Especial"))</x:f>
        <x:v>Empate</x:v>
      </x:c>
      <x:c r="N193" s="10" t="n">
        <x:v>50</x:v>
      </x:c>
      <x:c r="O193" s="10" t="n">
        <x:v>1508</x:v>
      </x:c>
      <x:c r="P193" s="10" t="n">
        <x:v>12000</x:v>
      </x:c>
      <x:c r="Q193" s="10" t="n">
        <x:v>12000</x:v>
      </x:c>
      <x:c r="R193" s="1" t="str"/>
      <x:c r="S193" s="1"/>
      <x:c r="T193" s="9" t="str">
        <x:v>https://poke.idleworld.online/pokepedia/pokemon/jumpluff</x:v>
      </x:c>
    </x:row>
    <x:row r="194" ht="22" customHeight="1">
      <x:c r="A194" s="1" t="n">
        <x:v>190</x:v>
      </x:c>
      <x:c r="B194" s="1" t="str">
        <x:v>Aipom</x:v>
      </x:c>
      <x:c r="C194" s="1" t="str">
        <x:v>Normal</x:v>
      </x:c>
      <x:c r="D194" s="1" t="str"/>
      <x:c r="E194" s="1" t="str">
        <x:v>Incomum</x:v>
      </x:c>
      <x:c r="F194" s="10" t="n">
        <x:v>55</x:v>
      </x:c>
      <x:c r="G194" s="10" t="n">
        <x:v>70</x:v>
      </x:c>
      <x:c r="H194" s="10" t="n">
        <x:v>55</x:v>
      </x:c>
      <x:c r="I194" s="10" t="n">
        <x:v>40</x:v>
      </x:c>
      <x:c r="J194" s="10" t="n">
        <x:v>55</x:v>
      </x:c>
      <x:c r="K194" s="10" t="n">
        <x:v>85</x:v>
      </x:c>
      <x:c r="L194" s="10" t="n">
        <x:f>SUM(F194:K194)</x:f>
        <x:v>360</x:v>
      </x:c>
      <x:c r="M194" s="1" t="str">
        <x:f>IF(G194=I194,"Empate",IF(G194&gt;I194,"Física","Especial"))</x:f>
        <x:v>Física</x:v>
      </x:c>
      <x:c r="N194" s="10" t="n">
        <x:v>40</x:v>
      </x:c>
      <x:c r="O194" s="10" t="n">
        <x:v>968</x:v>
      </x:c>
      <x:c r="P194" s="10" t="n">
        <x:v>8000</x:v>
      </x:c>
      <x:c r="Q194" s="10" t="n">
        <x:v>8000</x:v>
      </x:c>
      <x:c r="R194" s="1" t="str"/>
      <x:c r="S194" s="1"/>
      <x:c r="T194" s="9" t="str">
        <x:v>https://poke.idleworld.online/pokepedia/pokemon/aipom</x:v>
      </x:c>
    </x:row>
    <x:row r="195" ht="22" customHeight="1">
      <x:c r="A195" s="1" t="n">
        <x:v>191</x:v>
      </x:c>
      <x:c r="B195" s="1" t="str">
        <x:v>Sunkern</x:v>
      </x:c>
      <x:c r="C195" s="1" t="str">
        <x:v>Planta</x:v>
      </x:c>
      <x:c r="D195" s="1" t="str"/>
      <x:c r="E195" s="1" t="str">
        <x:v>Comum</x:v>
      </x:c>
      <x:c r="F195" s="10" t="n">
        <x:v>30</x:v>
      </x:c>
      <x:c r="G195" s="10" t="n">
        <x:v>30</x:v>
      </x:c>
      <x:c r="H195" s="10" t="n">
        <x:v>30</x:v>
      </x:c>
      <x:c r="I195" s="10" t="n">
        <x:v>30</x:v>
      </x:c>
      <x:c r="J195" s="10" t="n">
        <x:v>30</x:v>
      </x:c>
      <x:c r="K195" s="10" t="n">
        <x:v>30</x:v>
      </x:c>
      <x:c r="L195" s="10" t="n">
        <x:f>SUM(F195:K195)</x:f>
        <x:v>180</x:v>
      </x:c>
      <x:c r="M195" s="1" t="str">
        <x:f>IF(G195=I195,"Empate",IF(G195&gt;I195,"Física","Especial"))</x:f>
        <x:v>Empate</x:v>
      </x:c>
      <x:c r="N195" s="10" t="n">
        <x:v>1</x:v>
      </x:c>
      <x:c r="O195" s="10" t="n">
        <x:v>8</x:v>
      </x:c>
      <x:c r="P195" s="10" t="n">
        <x:v>80</x:v>
      </x:c>
      <x:c r="Q195" s="10" t="n">
        <x:v>80</x:v>
      </x:c>
      <x:c r="R195" s="1" t="str">
        <x:v>Sunflora</x:v>
      </x:c>
      <x:c r="S195" s="1" t="n">
        <x:v>30</x:v>
      </x:c>
      <x:c r="T195" s="9" t="str">
        <x:v>https://poke.idleworld.online/pokepedia/pokemon/sunkern</x:v>
      </x:c>
    </x:row>
    <x:row r="196" ht="22" customHeight="1">
      <x:c r="A196" s="1" t="n">
        <x:v>192</x:v>
      </x:c>
      <x:c r="B196" s="1" t="str">
        <x:v>Sunflora</x:v>
      </x:c>
      <x:c r="C196" s="1" t="str">
        <x:v>Planta</x:v>
      </x:c>
      <x:c r="D196" s="1" t="str"/>
      <x:c r="E196" s="1" t="str">
        <x:v>Incomum</x:v>
      </x:c>
      <x:c r="F196" s="10" t="n">
        <x:v>75</x:v>
      </x:c>
      <x:c r="G196" s="10" t="n">
        <x:v>75</x:v>
      </x:c>
      <x:c r="H196" s="10" t="n">
        <x:v>55</x:v>
      </x:c>
      <x:c r="I196" s="10" t="n">
        <x:v>105</x:v>
      </x:c>
      <x:c r="J196" s="10" t="n">
        <x:v>85</x:v>
      </x:c>
      <x:c r="K196" s="10" t="n">
        <x:v>30</x:v>
      </x:c>
      <x:c r="L196" s="10" t="n">
        <x:f>SUM(F196:K196)</x:f>
        <x:v>425</x:v>
      </x:c>
      <x:c r="M196" s="1" t="str">
        <x:f>IF(G196=I196,"Empate",IF(G196&gt;I196,"Física","Especial"))</x:f>
        <x:v>Especial</x:v>
      </x:c>
      <x:c r="N196" s="10" t="n">
        <x:v>30</x:v>
      </x:c>
      <x:c r="O196" s="10" t="n">
        <x:v>548</x:v>
      </x:c>
      <x:c r="P196" s="10" t="n">
        <x:v>5000</x:v>
      </x:c>
      <x:c r="Q196" s="10" t="n">
        <x:v>5000</x:v>
      </x:c>
      <x:c r="R196" s="1" t="str"/>
      <x:c r="S196" s="1"/>
      <x:c r="T196" s="9" t="str">
        <x:v>https://poke.idleworld.online/pokepedia/pokemon/sunflora</x:v>
      </x:c>
    </x:row>
    <x:row r="197" ht="22" customHeight="1">
      <x:c r="A197" s="1" t="n">
        <x:v>193</x:v>
      </x:c>
      <x:c r="B197" s="1" t="str">
        <x:v>Yanma</x:v>
      </x:c>
      <x:c r="C197" s="1" t="str">
        <x:v>Inseto</x:v>
      </x:c>
      <x:c r="D197" s="1" t="str">
        <x:v>Voador</x:v>
      </x:c>
      <x:c r="E197" s="1" t="str">
        <x:v>Incomum</x:v>
      </x:c>
      <x:c r="F197" s="10" t="n">
        <x:v>65</x:v>
      </x:c>
      <x:c r="G197" s="10" t="n">
        <x:v>65</x:v>
      </x:c>
      <x:c r="H197" s="10" t="n">
        <x:v>45</x:v>
      </x:c>
      <x:c r="I197" s="10" t="n">
        <x:v>75</x:v>
      </x:c>
      <x:c r="J197" s="10" t="n">
        <x:v>45</x:v>
      </x:c>
      <x:c r="K197" s="10" t="n">
        <x:v>95</x:v>
      </x:c>
      <x:c r="L197" s="10" t="n">
        <x:f>SUM(F197:K197)</x:f>
        <x:v>390</x:v>
      </x:c>
      <x:c r="M197" s="1" t="str">
        <x:f>IF(G197=I197,"Empate",IF(G197&gt;I197,"Física","Especial"))</x:f>
        <x:v>Especial</x:v>
      </x:c>
      <x:c r="N197" s="10" t="n">
        <x:v>50</x:v>
      </x:c>
      <x:c r="O197" s="10" t="n">
        <x:v>1508</x:v>
      </x:c>
      <x:c r="P197" s="10" t="n">
        <x:v>9000</x:v>
      </x:c>
      <x:c r="Q197" s="10" t="n">
        <x:v>9000</x:v>
      </x:c>
      <x:c r="R197" s="1" t="str"/>
      <x:c r="S197" s="1"/>
      <x:c r="T197" s="9" t="str">
        <x:v>https://poke.idleworld.online/pokepedia/pokemon/yanma</x:v>
      </x:c>
    </x:row>
    <x:row r="198" ht="22" customHeight="1">
      <x:c r="A198" s="1" t="n">
        <x:v>194</x:v>
      </x:c>
      <x:c r="B198" s="1" t="str">
        <x:v>Wooper</x:v>
      </x:c>
      <x:c r="C198" s="1" t="str">
        <x:v>Água</x:v>
      </x:c>
      <x:c r="D198" s="1" t="str">
        <x:v>Terrestre</x:v>
      </x:c>
      <x:c r="E198" s="1" t="str">
        <x:v>Comum</x:v>
      </x:c>
      <x:c r="F198" s="10" t="n">
        <x:v>55</x:v>
      </x:c>
      <x:c r="G198" s="10" t="n">
        <x:v>45</x:v>
      </x:c>
      <x:c r="H198" s="10" t="n">
        <x:v>45</x:v>
      </x:c>
      <x:c r="I198" s="10" t="n">
        <x:v>25</x:v>
      </x:c>
      <x:c r="J198" s="10" t="n">
        <x:v>25</x:v>
      </x:c>
      <x:c r="K198" s="10" t="n">
        <x:v>15</x:v>
      </x:c>
      <x:c r="L198" s="10" t="n">
        <x:f>SUM(F198:K198)</x:f>
        <x:v>210</x:v>
      </x:c>
      <x:c r="M198" s="1" t="str">
        <x:f>IF(G198=I198,"Empate",IF(G198&gt;I198,"Física","Especial"))</x:f>
        <x:v>Física</x:v>
      </x:c>
      <x:c r="N198" s="10" t="n">
        <x:v>20</x:v>
      </x:c>
      <x:c r="O198" s="10" t="n">
        <x:v>248</x:v>
      </x:c>
      <x:c r="P198" s="10" t="n">
        <x:v>2000</x:v>
      </x:c>
      <x:c r="Q198" s="10" t="n">
        <x:v>2000</x:v>
      </x:c>
      <x:c r="R198" s="1" t="str">
        <x:v>Quagsire</x:v>
      </x:c>
      <x:c r="S198" s="1" t="n">
        <x:v>60</x:v>
      </x:c>
      <x:c r="T198" s="9" t="str">
        <x:v>https://poke.idleworld.online/pokepedia/pokemon/wooper</x:v>
      </x:c>
    </x:row>
    <x:row r="199" ht="22" customHeight="1">
      <x:c r="A199" s="1" t="n">
        <x:v>195</x:v>
      </x:c>
      <x:c r="B199" s="1" t="str">
        <x:v>Quagsire</x:v>
      </x:c>
      <x:c r="C199" s="1" t="str">
        <x:v>Água</x:v>
      </x:c>
      <x:c r="D199" s="1" t="str">
        <x:v>Terrestre</x:v>
      </x:c>
      <x:c r="E199" s="1" t="str">
        <x:v>Incomum</x:v>
      </x:c>
      <x:c r="F199" s="10" t="n">
        <x:v>95</x:v>
      </x:c>
      <x:c r="G199" s="10" t="n">
        <x:v>85</x:v>
      </x:c>
      <x:c r="H199" s="10" t="n">
        <x:v>85</x:v>
      </x:c>
      <x:c r="I199" s="10" t="n">
        <x:v>65</x:v>
      </x:c>
      <x:c r="J199" s="10" t="n">
        <x:v>65</x:v>
      </x:c>
      <x:c r="K199" s="10" t="n">
        <x:v>35</x:v>
      </x:c>
      <x:c r="L199" s="10" t="n">
        <x:f>SUM(F199:K199)</x:f>
        <x:v>430</x:v>
      </x:c>
      <x:c r="M199" s="1" t="str">
        <x:f>IF(G199=I199,"Empate",IF(G199&gt;I199,"Física","Especial"))</x:f>
        <x:v>Física</x:v>
      </x:c>
      <x:c r="N199" s="10" t="n">
        <x:v>60</x:v>
      </x:c>
      <x:c r="O199" s="10" t="n">
        <x:v>2168</x:v>
      </x:c>
      <x:c r="P199" s="10" t="n">
        <x:v>12000</x:v>
      </x:c>
      <x:c r="Q199" s="10" t="n">
        <x:v>12000</x:v>
      </x:c>
      <x:c r="R199" s="1" t="str"/>
      <x:c r="S199" s="1"/>
      <x:c r="T199" s="9" t="str">
        <x:v>https://poke.idleworld.online/pokepedia/pokemon/quagsire</x:v>
      </x:c>
    </x:row>
    <x:row r="200" ht="22" customHeight="1">
      <x:c r="A200" s="1" t="n">
        <x:v>196</x:v>
      </x:c>
      <x:c r="B200" s="1" t="str">
        <x:v>Espeon</x:v>
      </x:c>
      <x:c r="C200" s="1" t="str">
        <x:v>Psíquico</x:v>
      </x:c>
      <x:c r="D200" s="1" t="str"/>
      <x:c r="E200" s="1" t="str">
        <x:v>Raro</x:v>
      </x:c>
      <x:c r="F200" s="10" t="n">
        <x:v>65</x:v>
      </x:c>
      <x:c r="G200" s="10" t="n">
        <x:v>65</x:v>
      </x:c>
      <x:c r="H200" s="10" t="n">
        <x:v>60</x:v>
      </x:c>
      <x:c r="I200" s="10" t="n">
        <x:v>130</x:v>
      </x:c>
      <x:c r="J200" s="10" t="n">
        <x:v>95</x:v>
      </x:c>
      <x:c r="K200" s="10" t="n">
        <x:v>110</x:v>
      </x:c>
      <x:c r="L200" s="10" t="n">
        <x:f>SUM(F200:K200)</x:f>
        <x:v>525</x:v>
      </x:c>
      <x:c r="M200" s="1" t="str">
        <x:f>IF(G200=I200,"Empate",IF(G200&gt;I200,"Física","Especial"))</x:f>
        <x:v>Especial</x:v>
      </x:c>
      <x:c r="N200" s="10" t="n">
        <x:v>60</x:v>
      </x:c>
      <x:c r="O200" s="10" t="n">
        <x:v>2168</x:v>
      </x:c>
      <x:c r="P200" s="10" t="n">
        <x:v>25000</x:v>
      </x:c>
      <x:c r="Q200" s="10" t="n">
        <x:v>25000</x:v>
      </x:c>
      <x:c r="R200" s="1" t="str"/>
      <x:c r="S200" s="1"/>
      <x:c r="T200" s="9" t="str">
        <x:v>https://poke.idleworld.online/pokepedia/pokemon/espeon</x:v>
      </x:c>
    </x:row>
    <x:row r="201" ht="22" customHeight="1">
      <x:c r="A201" s="1" t="n">
        <x:v>197</x:v>
      </x:c>
      <x:c r="B201" s="1" t="str">
        <x:v>Umbreon</x:v>
      </x:c>
      <x:c r="C201" s="1" t="str">
        <x:v>Sombrio</x:v>
      </x:c>
      <x:c r="D201" s="1" t="str"/>
      <x:c r="E201" s="1" t="str">
        <x:v>Raro</x:v>
      </x:c>
      <x:c r="F201" s="10" t="n">
        <x:v>95</x:v>
      </x:c>
      <x:c r="G201" s="10" t="n">
        <x:v>65</x:v>
      </x:c>
      <x:c r="H201" s="10" t="n">
        <x:v>110</x:v>
      </x:c>
      <x:c r="I201" s="10" t="n">
        <x:v>60</x:v>
      </x:c>
      <x:c r="J201" s="10" t="n">
        <x:v>130</x:v>
      </x:c>
      <x:c r="K201" s="10" t="n">
        <x:v>65</x:v>
      </x:c>
      <x:c r="L201" s="10" t="n">
        <x:f>SUM(F201:K201)</x:f>
        <x:v>525</x:v>
      </x:c>
      <x:c r="M201" s="1" t="str">
        <x:f>IF(G201=I201,"Empate",IF(G201&gt;I201,"Física","Especial"))</x:f>
        <x:v>Física</x:v>
      </x:c>
      <x:c r="N201" s="10" t="n">
        <x:v>60</x:v>
      </x:c>
      <x:c r="O201" s="10" t="n">
        <x:v>2168</x:v>
      </x:c>
      <x:c r="P201" s="10" t="n">
        <x:v>25000</x:v>
      </x:c>
      <x:c r="Q201" s="10" t="n">
        <x:v>25000</x:v>
      </x:c>
      <x:c r="R201" s="1" t="str"/>
      <x:c r="S201" s="1"/>
      <x:c r="T201" s="9" t="str">
        <x:v>https://poke.idleworld.online/pokepedia/pokemon/umbreon</x:v>
      </x:c>
    </x:row>
    <x:row r="202" ht="22" customHeight="1">
      <x:c r="A202" s="1" t="n">
        <x:v>198</x:v>
      </x:c>
      <x:c r="B202" s="1" t="str">
        <x:v>Murkrow</x:v>
      </x:c>
      <x:c r="C202" s="1" t="str">
        <x:v>Sombrio</x:v>
      </x:c>
      <x:c r="D202" s="1" t="str">
        <x:v>Voador</x:v>
      </x:c>
      <x:c r="E202" s="1" t="str">
        <x:v>Incomum</x:v>
      </x:c>
      <x:c r="F202" s="10" t="n">
        <x:v>60</x:v>
      </x:c>
      <x:c r="G202" s="10" t="n">
        <x:v>85</x:v>
      </x:c>
      <x:c r="H202" s="10" t="n">
        <x:v>42</x:v>
      </x:c>
      <x:c r="I202" s="10" t="n">
        <x:v>85</x:v>
      </x:c>
      <x:c r="J202" s="10" t="n">
        <x:v>42</x:v>
      </x:c>
      <x:c r="K202" s="10" t="n">
        <x:v>91</x:v>
      </x:c>
      <x:c r="L202" s="10" t="n">
        <x:f>SUM(F202:K202)</x:f>
        <x:v>405</x:v>
      </x:c>
      <x:c r="M202" s="1" t="str">
        <x:f>IF(G202=I202,"Empate",IF(G202&gt;I202,"Física","Especial"))</x:f>
        <x:v>Empate</x:v>
      </x:c>
      <x:c r="N202" s="10" t="n">
        <x:v>50</x:v>
      </x:c>
      <x:c r="O202" s="10" t="n">
        <x:v>1508</x:v>
      </x:c>
      <x:c r="P202" s="10" t="n">
        <x:v>10000</x:v>
      </x:c>
      <x:c r="Q202" s="10" t="n">
        <x:v>10000</x:v>
      </x:c>
      <x:c r="R202" s="1" t="str"/>
      <x:c r="S202" s="1"/>
      <x:c r="T202" s="9" t="str">
        <x:v>https://poke.idleworld.online/pokepedia/pokemon/murkrow</x:v>
      </x:c>
    </x:row>
    <x:row r="203" ht="22" customHeight="1">
      <x:c r="A203" s="1" t="n">
        <x:v>199</x:v>
      </x:c>
      <x:c r="B203" s="1" t="str">
        <x:v>Slowking</x:v>
      </x:c>
      <x:c r="C203" s="1" t="str">
        <x:v>Água</x:v>
      </x:c>
      <x:c r="D203" s="1" t="str">
        <x:v>Psíquico</x:v>
      </x:c>
      <x:c r="E203" s="1" t="str">
        <x:v>Raro</x:v>
      </x:c>
      <x:c r="F203" s="10" t="n">
        <x:v>95</x:v>
      </x:c>
      <x:c r="G203" s="10" t="n">
        <x:v>75</x:v>
      </x:c>
      <x:c r="H203" s="10" t="n">
        <x:v>80</x:v>
      </x:c>
      <x:c r="I203" s="10" t="n">
        <x:v>100</x:v>
      </x:c>
      <x:c r="J203" s="10" t="n">
        <x:v>110</x:v>
      </x:c>
      <x:c r="K203" s="10" t="n">
        <x:v>30</x:v>
      </x:c>
      <x:c r="L203" s="10" t="n">
        <x:f>SUM(F203:K203)</x:f>
        <x:v>490</x:v>
      </x:c>
      <x:c r="M203" s="1" t="str">
        <x:f>IF(G203=I203,"Empate",IF(G203&gt;I203,"Física","Especial"))</x:f>
        <x:v>Especial</x:v>
      </x:c>
      <x:c r="N203" s="10" t="n">
        <x:v>100</x:v>
      </x:c>
      <x:c r="O203" s="10" t="n">
        <x:v>6008</x:v>
      </x:c>
      <x:c r="P203" s="10" t="n">
        <x:v>55000</x:v>
      </x:c>
      <x:c r="Q203" s="10" t="n">
        <x:v>55000</x:v>
      </x:c>
      <x:c r="R203" s="1" t="str"/>
      <x:c r="S203" s="1"/>
      <x:c r="T203" s="9" t="str">
        <x:v>https://poke.idleworld.online/pokepedia/pokemon/slowking</x:v>
      </x:c>
    </x:row>
    <x:row r="204" ht="22" customHeight="1">
      <x:c r="A204" s="1" t="n">
        <x:v>200</x:v>
      </x:c>
      <x:c r="B204" s="1" t="str">
        <x:v>Misdreavus</x:v>
      </x:c>
      <x:c r="C204" s="1" t="str">
        <x:v>Fantasma</x:v>
      </x:c>
      <x:c r="D204" s="1" t="str"/>
      <x:c r="E204" s="1" t="str">
        <x:v>Incomum</x:v>
      </x:c>
      <x:c r="F204" s="10" t="n">
        <x:v>60</x:v>
      </x:c>
      <x:c r="G204" s="10" t="n">
        <x:v>60</x:v>
      </x:c>
      <x:c r="H204" s="10" t="n">
        <x:v>60</x:v>
      </x:c>
      <x:c r="I204" s="10" t="n">
        <x:v>85</x:v>
      </x:c>
      <x:c r="J204" s="10" t="n">
        <x:v>85</x:v>
      </x:c>
      <x:c r="K204" s="10" t="n">
        <x:v>85</x:v>
      </x:c>
      <x:c r="L204" s="10" t="n">
        <x:f>SUM(F204:K204)</x:f>
        <x:v>435</x:v>
      </x:c>
      <x:c r="M204" s="1" t="str">
        <x:f>IF(G204=I204,"Empate",IF(G204&gt;I204,"Física","Especial"))</x:f>
        <x:v>Especial</x:v>
      </x:c>
      <x:c r="N204" s="10" t="n">
        <x:v>100</x:v>
      </x:c>
      <x:c r="O204" s="10" t="n">
        <x:v>6008</x:v>
      </x:c>
      <x:c r="P204" s="10" t="n">
        <x:v>100000</x:v>
      </x:c>
      <x:c r="Q204" s="10" t="n">
        <x:v>100000</x:v>
      </x:c>
      <x:c r="R204" s="1" t="str"/>
      <x:c r="S204" s="1"/>
      <x:c r="T204" s="9" t="str">
        <x:v>https://poke.idleworld.online/pokepedia/pokemon/misdreavus</x:v>
      </x:c>
    </x:row>
    <x:row r="205" ht="22" customHeight="1">
      <x:c r="A205" s="1" t="n">
        <x:v>202</x:v>
      </x:c>
      <x:c r="B205" s="1" t="str">
        <x:v>Wobbuffet</x:v>
      </x:c>
      <x:c r="C205" s="1" t="str">
        <x:v>Psíquico</x:v>
      </x:c>
      <x:c r="D205" s="1" t="str"/>
      <x:c r="E205" s="1" t="str">
        <x:v>Incomum</x:v>
      </x:c>
      <x:c r="F205" s="10" t="n">
        <x:v>190</x:v>
      </x:c>
      <x:c r="G205" s="10" t="n">
        <x:v>33</x:v>
      </x:c>
      <x:c r="H205" s="10" t="n">
        <x:v>58</x:v>
      </x:c>
      <x:c r="I205" s="10" t="n">
        <x:v>33</x:v>
      </x:c>
      <x:c r="J205" s="10" t="n">
        <x:v>58</x:v>
      </x:c>
      <x:c r="K205" s="10" t="n">
        <x:v>33</x:v>
      </x:c>
      <x:c r="L205" s="10" t="n">
        <x:f>SUM(F205:K205)</x:f>
        <x:v>405</x:v>
      </x:c>
      <x:c r="M205" s="1" t="str">
        <x:f>IF(G205=I205,"Empate",IF(G205&gt;I205,"Física","Especial"))</x:f>
        <x:v>Empate</x:v>
      </x:c>
      <x:c r="N205" s="10" t="n">
        <x:v>100</x:v>
      </x:c>
      <x:c r="O205" s="10" t="n">
        <x:v>6008</x:v>
      </x:c>
      <x:c r="P205" s="10" t="n">
        <x:v>100000</x:v>
      </x:c>
      <x:c r="Q205" s="10" t="n">
        <x:v>100000</x:v>
      </x:c>
      <x:c r="R205" s="1" t="str"/>
      <x:c r="S205" s="1"/>
      <x:c r="T205" s="9" t="str">
        <x:v>https://poke.idleworld.online/pokepedia/pokemon/wobbuffet</x:v>
      </x:c>
    </x:row>
    <x:row r="206" ht="22" customHeight="1">
      <x:c r="A206" s="1" t="n">
        <x:v>203</x:v>
      </x:c>
      <x:c r="B206" s="1" t="str">
        <x:v>Girafarig</x:v>
      </x:c>
      <x:c r="C206" s="1" t="str">
        <x:v>Normal</x:v>
      </x:c>
      <x:c r="D206" s="1" t="str">
        <x:v>Psíquico</x:v>
      </x:c>
      <x:c r="E206" s="1" t="str">
        <x:v>Incomum</x:v>
      </x:c>
      <x:c r="F206" s="10" t="n">
        <x:v>70</x:v>
      </x:c>
      <x:c r="G206" s="10" t="n">
        <x:v>80</x:v>
      </x:c>
      <x:c r="H206" s="10" t="n">
        <x:v>65</x:v>
      </x:c>
      <x:c r="I206" s="10" t="n">
        <x:v>90</x:v>
      </x:c>
      <x:c r="J206" s="10" t="n">
        <x:v>65</x:v>
      </x:c>
      <x:c r="K206" s="10" t="n">
        <x:v>85</x:v>
      </x:c>
      <x:c r="L206" s="10" t="n">
        <x:f>SUM(F206:K206)</x:f>
        <x:v>455</x:v>
      </x:c>
      <x:c r="M206" s="1" t="str">
        <x:f>IF(G206=I206,"Empate",IF(G206&gt;I206,"Física","Especial"))</x:f>
        <x:v>Especial</x:v>
      </x:c>
      <x:c r="N206" s="10" t="n">
        <x:v>80</x:v>
      </x:c>
      <x:c r="O206" s="10" t="n">
        <x:v>3848</x:v>
      </x:c>
      <x:c r="P206" s="10" t="n">
        <x:v>60000</x:v>
      </x:c>
      <x:c r="Q206" s="10" t="n">
        <x:v>60000</x:v>
      </x:c>
      <x:c r="R206" s="1" t="str"/>
      <x:c r="S206" s="1"/>
      <x:c r="T206" s="9" t="str">
        <x:v>https://poke.idleworld.online/pokepedia/pokemon/girafarig</x:v>
      </x:c>
    </x:row>
    <x:row r="207" ht="22" customHeight="1">
      <x:c r="A207" s="1" t="n">
        <x:v>204</x:v>
      </x:c>
      <x:c r="B207" s="1" t="str">
        <x:v>Pineco</x:v>
      </x:c>
      <x:c r="C207" s="1" t="str">
        <x:v>Inseto</x:v>
      </x:c>
      <x:c r="D207" s="1" t="str"/>
      <x:c r="E207" s="1" t="str">
        <x:v>Comum</x:v>
      </x:c>
      <x:c r="F207" s="10" t="n">
        <x:v>50</x:v>
      </x:c>
      <x:c r="G207" s="10" t="n">
        <x:v>65</x:v>
      </x:c>
      <x:c r="H207" s="10" t="n">
        <x:v>90</x:v>
      </x:c>
      <x:c r="I207" s="10" t="n">
        <x:v>35</x:v>
      </x:c>
      <x:c r="J207" s="10" t="n">
        <x:v>35</x:v>
      </x:c>
      <x:c r="K207" s="10" t="n">
        <x:v>15</x:v>
      </x:c>
      <x:c r="L207" s="10" t="n">
        <x:f>SUM(F207:K207)</x:f>
        <x:v>290</x:v>
      </x:c>
      <x:c r="M207" s="1" t="str">
        <x:f>IF(G207=I207,"Empate",IF(G207&gt;I207,"Física","Especial"))</x:f>
        <x:v>Física</x:v>
      </x:c>
      <x:c r="N207" s="10" t="n">
        <x:v>10</x:v>
      </x:c>
      <x:c r="O207" s="10" t="n">
        <x:v>68</x:v>
      </x:c>
      <x:c r="P207" s="10" t="n">
        <x:v>300</x:v>
      </x:c>
      <x:c r="Q207" s="10" t="n">
        <x:v>300</x:v>
      </x:c>
      <x:c r="R207" s="1" t="str">
        <x:v>Forretress</x:v>
      </x:c>
      <x:c r="S207" s="1" t="n">
        <x:v>80</x:v>
      </x:c>
      <x:c r="T207" s="9" t="str">
        <x:v>https://poke.idleworld.online/pokepedia/pokemon/pineco</x:v>
      </x:c>
    </x:row>
    <x:row r="208" ht="22" customHeight="1">
      <x:c r="A208" s="1" t="n">
        <x:v>205</x:v>
      </x:c>
      <x:c r="B208" s="1" t="str">
        <x:v>Forretress</x:v>
      </x:c>
      <x:c r="C208" s="1" t="str">
        <x:v>Inseto</x:v>
      </x:c>
      <x:c r="D208" s="1" t="str">
        <x:v>Aço</x:v>
      </x:c>
      <x:c r="E208" s="1" t="str">
        <x:v>Incomum</x:v>
      </x:c>
      <x:c r="F208" s="10" t="n">
        <x:v>75</x:v>
      </x:c>
      <x:c r="G208" s="10" t="n">
        <x:v>90</x:v>
      </x:c>
      <x:c r="H208" s="10" t="n">
        <x:v>140</x:v>
      </x:c>
      <x:c r="I208" s="10" t="n">
        <x:v>60</x:v>
      </x:c>
      <x:c r="J208" s="10" t="n">
        <x:v>60</x:v>
      </x:c>
      <x:c r="K208" s="10" t="n">
        <x:v>40</x:v>
      </x:c>
      <x:c r="L208" s="10" t="n">
        <x:f>SUM(F208:K208)</x:f>
        <x:v>465</x:v>
      </x:c>
      <x:c r="M208" s="1" t="str">
        <x:f>IF(G208=I208,"Empate",IF(G208&gt;I208,"Física","Especial"))</x:f>
        <x:v>Física</x:v>
      </x:c>
      <x:c r="N208" s="10" t="n">
        <x:v>80</x:v>
      </x:c>
      <x:c r="O208" s="10" t="n">
        <x:v>3848</x:v>
      </x:c>
      <x:c r="P208" s="10" t="n">
        <x:v>10000</x:v>
      </x:c>
      <x:c r="Q208" s="10" t="n">
        <x:v>10000</x:v>
      </x:c>
      <x:c r="R208" s="1" t="str"/>
      <x:c r="S208" s="1"/>
      <x:c r="T208" s="9" t="str">
        <x:v>https://poke.idleworld.online/pokepedia/pokemon/forretress</x:v>
      </x:c>
    </x:row>
    <x:row r="209" ht="22" customHeight="1">
      <x:c r="A209" s="1" t="n">
        <x:v>206</x:v>
      </x:c>
      <x:c r="B209" s="1" t="str">
        <x:v>Dunsparce</x:v>
      </x:c>
      <x:c r="C209" s="1" t="str">
        <x:v>Normal</x:v>
      </x:c>
      <x:c r="D209" s="1" t="str"/>
      <x:c r="E209" s="1" t="str">
        <x:v>Incomum</x:v>
      </x:c>
      <x:c r="F209" s="10" t="n">
        <x:v>100</x:v>
      </x:c>
      <x:c r="G209" s="10" t="n">
        <x:v>70</x:v>
      </x:c>
      <x:c r="H209" s="10" t="n">
        <x:v>70</x:v>
      </x:c>
      <x:c r="I209" s="10" t="n">
        <x:v>65</x:v>
      </x:c>
      <x:c r="J209" s="10" t="n">
        <x:v>65</x:v>
      </x:c>
      <x:c r="K209" s="10" t="n">
        <x:v>45</x:v>
      </x:c>
      <x:c r="L209" s="10" t="n">
        <x:f>SUM(F209:K209)</x:f>
        <x:v>415</x:v>
      </x:c>
      <x:c r="M209" s="1" t="str">
        <x:f>IF(G209=I209,"Empate",IF(G209&gt;I209,"Física","Especial"))</x:f>
        <x:v>Física</x:v>
      </x:c>
      <x:c r="N209" s="10" t="n">
        <x:v>30</x:v>
      </x:c>
      <x:c r="O209" s="10" t="n">
        <x:v>548</x:v>
      </x:c>
      <x:c r="P209" s="10" t="n">
        <x:v>3000</x:v>
      </x:c>
      <x:c r="Q209" s="10" t="n">
        <x:v>3000</x:v>
      </x:c>
      <x:c r="R209" s="1" t="str"/>
      <x:c r="S209" s="1"/>
      <x:c r="T209" s="9" t="str">
        <x:v>https://poke.idleworld.online/pokepedia/pokemon/dunsparce</x:v>
      </x:c>
    </x:row>
    <x:row r="210" ht="22" customHeight="1">
      <x:c r="A210" s="1" t="n">
        <x:v>207</x:v>
      </x:c>
      <x:c r="B210" s="1" t="str">
        <x:v>Gligar</x:v>
      </x:c>
      <x:c r="C210" s="1" t="str">
        <x:v>Terrestre</x:v>
      </x:c>
      <x:c r="D210" s="1" t="str">
        <x:v>Voador</x:v>
      </x:c>
      <x:c r="E210" s="1" t="str">
        <x:v>Incomum</x:v>
      </x:c>
      <x:c r="F210" s="10" t="n">
        <x:v>65</x:v>
      </x:c>
      <x:c r="G210" s="10" t="n">
        <x:v>75</x:v>
      </x:c>
      <x:c r="H210" s="10" t="n">
        <x:v>105</x:v>
      </x:c>
      <x:c r="I210" s="10" t="n">
        <x:v>35</x:v>
      </x:c>
      <x:c r="J210" s="10" t="n">
        <x:v>65</x:v>
      </x:c>
      <x:c r="K210" s="10" t="n">
        <x:v>85</x:v>
      </x:c>
      <x:c r="L210" s="10" t="n">
        <x:f>SUM(F210:K210)</x:f>
        <x:v>430</x:v>
      </x:c>
      <x:c r="M210" s="1" t="str">
        <x:f>IF(G210=I210,"Empate",IF(G210&gt;I210,"Física","Especial"))</x:f>
        <x:v>Física</x:v>
      </x:c>
      <x:c r="N210" s="10" t="n">
        <x:v>40</x:v>
      </x:c>
      <x:c r="O210" s="10" t="n">
        <x:v>968</x:v>
      </x:c>
      <x:c r="P210" s="10" t="n">
        <x:v>8000</x:v>
      </x:c>
      <x:c r="Q210" s="10" t="n">
        <x:v>8000</x:v>
      </x:c>
      <x:c r="R210" s="1" t="str"/>
      <x:c r="S210" s="1"/>
      <x:c r="T210" s="9" t="str">
        <x:v>https://poke.idleworld.online/pokepedia/pokemon/gligar</x:v>
      </x:c>
    </x:row>
    <x:row r="211" ht="22" customHeight="1">
      <x:c r="A211" s="1" t="n">
        <x:v>208</x:v>
      </x:c>
      <x:c r="B211" s="1" t="str">
        <x:v>Steelix</x:v>
      </x:c>
      <x:c r="C211" s="1" t="str">
        <x:v>Aço</x:v>
      </x:c>
      <x:c r="D211" s="1" t="str">
        <x:v>Terrestre</x:v>
      </x:c>
      <x:c r="E211" s="1" t="str">
        <x:v>Raro</x:v>
      </x:c>
      <x:c r="F211" s="10" t="n">
        <x:v>75</x:v>
      </x:c>
      <x:c r="G211" s="10" t="n">
        <x:v>85</x:v>
      </x:c>
      <x:c r="H211" s="10" t="n">
        <x:v>200</x:v>
      </x:c>
      <x:c r="I211" s="10" t="n">
        <x:v>55</x:v>
      </x:c>
      <x:c r="J211" s="10" t="n">
        <x:v>65</x:v>
      </x:c>
      <x:c r="K211" s="10" t="n">
        <x:v>30</x:v>
      </x:c>
      <x:c r="L211" s="10" t="n">
        <x:f>SUM(F211:K211)</x:f>
        <x:v>510</x:v>
      </x:c>
      <x:c r="M211" s="1" t="str">
        <x:f>IF(G211=I211,"Empate",IF(G211&gt;I211,"Física","Especial"))</x:f>
        <x:v>Física</x:v>
      </x:c>
      <x:c r="N211" s="10" t="n">
        <x:v>100</x:v>
      </x:c>
      <x:c r="O211" s="10" t="n">
        <x:v>6008</x:v>
      </x:c>
      <x:c r="P211" s="10" t="n">
        <x:v>55000</x:v>
      </x:c>
      <x:c r="Q211" s="10" t="n">
        <x:v>55000</x:v>
      </x:c>
      <x:c r="R211" s="1" t="str"/>
      <x:c r="S211" s="1"/>
      <x:c r="T211" s="9" t="str">
        <x:v>https://poke.idleworld.online/pokepedia/pokemon/steelix</x:v>
      </x:c>
    </x:row>
    <x:row r="212" ht="22" customHeight="1">
      <x:c r="A212" s="1" t="n">
        <x:v>209</x:v>
      </x:c>
      <x:c r="B212" s="1" t="str">
        <x:v>Snubbull</x:v>
      </x:c>
      <x:c r="C212" s="1" t="str">
        <x:v>Fada</x:v>
      </x:c>
      <x:c r="D212" s="1" t="str"/>
      <x:c r="E212" s="1" t="str">
        <x:v>Comum</x:v>
      </x:c>
      <x:c r="F212" s="10" t="n">
        <x:v>60</x:v>
      </x:c>
      <x:c r="G212" s="10" t="n">
        <x:v>80</x:v>
      </x:c>
      <x:c r="H212" s="10" t="n">
        <x:v>50</x:v>
      </x:c>
      <x:c r="I212" s="10" t="n">
        <x:v>40</x:v>
      </x:c>
      <x:c r="J212" s="10" t="n">
        <x:v>40</x:v>
      </x:c>
      <x:c r="K212" s="10" t="n">
        <x:v>30</x:v>
      </x:c>
      <x:c r="L212" s="10" t="n">
        <x:f>SUM(F212:K212)</x:f>
        <x:v>300</x:v>
      </x:c>
      <x:c r="M212" s="1" t="str">
        <x:f>IF(G212=I212,"Empate",IF(G212&gt;I212,"Física","Especial"))</x:f>
        <x:v>Física</x:v>
      </x:c>
      <x:c r="N212" s="10" t="n">
        <x:v>30</x:v>
      </x:c>
      <x:c r="O212" s="10" t="n">
        <x:v>548</x:v>
      </x:c>
      <x:c r="P212" s="10" t="n">
        <x:v>2500</x:v>
      </x:c>
      <x:c r="Q212" s="10" t="n">
        <x:v>2500</x:v>
      </x:c>
      <x:c r="R212" s="1" t="str">
        <x:v>Granbull</x:v>
      </x:c>
      <x:c r="S212" s="1" t="n">
        <x:v>80</x:v>
      </x:c>
      <x:c r="T212" s="9" t="str">
        <x:v>https://poke.idleworld.online/pokepedia/pokemon/snubbull</x:v>
      </x:c>
    </x:row>
    <x:row r="213" ht="22" customHeight="1">
      <x:c r="A213" s="1" t="n">
        <x:v>210</x:v>
      </x:c>
      <x:c r="B213" s="1" t="str">
        <x:v>Granbull</x:v>
      </x:c>
      <x:c r="C213" s="1" t="str">
        <x:v>Fada</x:v>
      </x:c>
      <x:c r="D213" s="1" t="str"/>
      <x:c r="E213" s="1" t="str">
        <x:v>Incomum</x:v>
      </x:c>
      <x:c r="F213" s="10" t="n">
        <x:v>90</x:v>
      </x:c>
      <x:c r="G213" s="10" t="n">
        <x:v>120</x:v>
      </x:c>
      <x:c r="H213" s="10" t="n">
        <x:v>75</x:v>
      </x:c>
      <x:c r="I213" s="10" t="n">
        <x:v>60</x:v>
      </x:c>
      <x:c r="J213" s="10" t="n">
        <x:v>60</x:v>
      </x:c>
      <x:c r="K213" s="10" t="n">
        <x:v>45</x:v>
      </x:c>
      <x:c r="L213" s="10" t="n">
        <x:f>SUM(F213:K213)</x:f>
        <x:v>450</x:v>
      </x:c>
      <x:c r="M213" s="1" t="str">
        <x:f>IF(G213=I213,"Empate",IF(G213&gt;I213,"Física","Especial"))</x:f>
        <x:v>Física</x:v>
      </x:c>
      <x:c r="N213" s="10" t="n">
        <x:v>80</x:v>
      </x:c>
      <x:c r="O213" s="10" t="n">
        <x:v>3848</x:v>
      </x:c>
      <x:c r="P213" s="10" t="n">
        <x:v>12500</x:v>
      </x:c>
      <x:c r="Q213" s="10" t="n">
        <x:v>12500</x:v>
      </x:c>
      <x:c r="R213" s="1" t="str"/>
      <x:c r="S213" s="1"/>
      <x:c r="T213" s="9" t="str">
        <x:v>https://poke.idleworld.online/pokepedia/pokemon/granbull</x:v>
      </x:c>
    </x:row>
    <x:row r="214" ht="22" customHeight="1">
      <x:c r="A214" s="1" t="n">
        <x:v>211</x:v>
      </x:c>
      <x:c r="B214" s="1" t="str">
        <x:v>Qwilfish</x:v>
      </x:c>
      <x:c r="C214" s="1" t="str">
        <x:v>Água</x:v>
      </x:c>
      <x:c r="D214" s="1" t="str">
        <x:v>Venenoso</x:v>
      </x:c>
      <x:c r="E214" s="1" t="str">
        <x:v>Incomum</x:v>
      </x:c>
      <x:c r="F214" s="10" t="n">
        <x:v>65</x:v>
      </x:c>
      <x:c r="G214" s="10" t="n">
        <x:v>95</x:v>
      </x:c>
      <x:c r="H214" s="10" t="n">
        <x:v>75</x:v>
      </x:c>
      <x:c r="I214" s="10" t="n">
        <x:v>55</x:v>
      </x:c>
      <x:c r="J214" s="10" t="n">
        <x:v>55</x:v>
      </x:c>
      <x:c r="K214" s="10" t="n">
        <x:v>85</x:v>
      </x:c>
      <x:c r="L214" s="10" t="n">
        <x:f>SUM(F214:K214)</x:f>
        <x:v>430</x:v>
      </x:c>
      <x:c r="M214" s="1" t="str">
        <x:f>IF(G214=I214,"Empate",IF(G214&gt;I214,"Física","Especial"))</x:f>
        <x:v>Física</x:v>
      </x:c>
      <x:c r="N214" s="10" t="n">
        <x:v>50</x:v>
      </x:c>
      <x:c r="O214" s="10" t="n">
        <x:v>1508</x:v>
      </x:c>
      <x:c r="P214" s="10" t="n">
        <x:v>10000</x:v>
      </x:c>
      <x:c r="Q214" s="10" t="n">
        <x:v>10000</x:v>
      </x:c>
      <x:c r="R214" s="1" t="str"/>
      <x:c r="S214" s="1"/>
      <x:c r="T214" s="9" t="str">
        <x:v>https://poke.idleworld.online/pokepedia/pokemon/qwilfish</x:v>
      </x:c>
    </x:row>
    <x:row r="215" ht="22" customHeight="1">
      <x:c r="A215" s="1" t="n">
        <x:v>212</x:v>
      </x:c>
      <x:c r="B215" s="1" t="str">
        <x:v>Scizor</x:v>
      </x:c>
      <x:c r="C215" s="1" t="str">
        <x:v>Inseto</x:v>
      </x:c>
      <x:c r="D215" s="1" t="str">
        <x:v>Aço</x:v>
      </x:c>
      <x:c r="E215" s="1" t="str">
        <x:v>Raro</x:v>
      </x:c>
      <x:c r="F215" s="10" t="n">
        <x:v>70</x:v>
      </x:c>
      <x:c r="G215" s="10" t="n">
        <x:v>130</x:v>
      </x:c>
      <x:c r="H215" s="10" t="n">
        <x:v>100</x:v>
      </x:c>
      <x:c r="I215" s="10" t="n">
        <x:v>55</x:v>
      </x:c>
      <x:c r="J215" s="10" t="n">
        <x:v>80</x:v>
      </x:c>
      <x:c r="K215" s="10" t="n">
        <x:v>65</x:v>
      </x:c>
      <x:c r="L215" s="10" t="n">
        <x:f>SUM(F215:K215)</x:f>
        <x:v>500</x:v>
      </x:c>
      <x:c r="M215" s="1" t="str">
        <x:f>IF(G215=I215,"Empate",IF(G215&gt;I215,"Física","Especial"))</x:f>
        <x:v>Física</x:v>
      </x:c>
      <x:c r="N215" s="10" t="n">
        <x:v>100</x:v>
      </x:c>
      <x:c r="O215" s="10" t="n">
        <x:v>6008</x:v>
      </x:c>
      <x:c r="P215" s="10" t="n">
        <x:v>110000</x:v>
      </x:c>
      <x:c r="Q215" s="10" t="n">
        <x:v>110000</x:v>
      </x:c>
      <x:c r="R215" s="1" t="str"/>
      <x:c r="S215" s="1"/>
      <x:c r="T215" s="9" t="str">
        <x:v>https://poke.idleworld.online/pokepedia/pokemon/scizor</x:v>
      </x:c>
    </x:row>
    <x:row r="216" ht="22" customHeight="1">
      <x:c r="A216" s="1" t="n">
        <x:v>213</x:v>
      </x:c>
      <x:c r="B216" s="1" t="str">
        <x:v>Shuckle</x:v>
      </x:c>
      <x:c r="C216" s="1" t="str">
        <x:v>Inseto</x:v>
      </x:c>
      <x:c r="D216" s="1" t="str">
        <x:v>Pedra</x:v>
      </x:c>
      <x:c r="E216" s="1" t="str">
        <x:v>Incomum</x:v>
      </x:c>
      <x:c r="F216" s="10" t="n">
        <x:v>20</x:v>
      </x:c>
      <x:c r="G216" s="10" t="n">
        <x:v>10</x:v>
      </x:c>
      <x:c r="H216" s="10" t="n">
        <x:v>230</x:v>
      </x:c>
      <x:c r="I216" s="10" t="n">
        <x:v>10</x:v>
      </x:c>
      <x:c r="J216" s="10" t="n">
        <x:v>230</x:v>
      </x:c>
      <x:c r="K216" s="10" t="n">
        <x:v>5</x:v>
      </x:c>
      <x:c r="L216" s="10" t="n">
        <x:f>SUM(F216:K216)</x:f>
        <x:v>505</x:v>
      </x:c>
      <x:c r="M216" s="1" t="str">
        <x:f>IF(G216=I216,"Empate",IF(G216&gt;I216,"Física","Especial"))</x:f>
        <x:v>Empate</x:v>
      </x:c>
      <x:c r="N216" s="10" t="n">
        <x:v>40</x:v>
      </x:c>
      <x:c r="O216" s="10" t="n">
        <x:v>968</x:v>
      </x:c>
      <x:c r="P216" s="10" t="n">
        <x:v>3500</x:v>
      </x:c>
      <x:c r="Q216" s="10" t="n">
        <x:v>3500</x:v>
      </x:c>
      <x:c r="R216" s="1" t="str"/>
      <x:c r="S216" s="1"/>
      <x:c r="T216" s="9" t="str">
        <x:v>https://poke.idleworld.online/pokepedia/pokemon/shuckle</x:v>
      </x:c>
    </x:row>
    <x:row r="217" ht="22" customHeight="1">
      <x:c r="A217" s="1" t="n">
        <x:v>214</x:v>
      </x:c>
      <x:c r="B217" s="1" t="str">
        <x:v>Heracross</x:v>
      </x:c>
      <x:c r="C217" s="1" t="str">
        <x:v>Inseto</x:v>
      </x:c>
      <x:c r="D217" s="1" t="str">
        <x:v>Lutador</x:v>
      </x:c>
      <x:c r="E217" s="1" t="str">
        <x:v>Raro</x:v>
      </x:c>
      <x:c r="F217" s="10" t="n">
        <x:v>80</x:v>
      </x:c>
      <x:c r="G217" s="10" t="n">
        <x:v>125</x:v>
      </x:c>
      <x:c r="H217" s="10" t="n">
        <x:v>75</x:v>
      </x:c>
      <x:c r="I217" s="10" t="n">
        <x:v>40</x:v>
      </x:c>
      <x:c r="J217" s="10" t="n">
        <x:v>95</x:v>
      </x:c>
      <x:c r="K217" s="10" t="n">
        <x:v>85</x:v>
      </x:c>
      <x:c r="L217" s="10" t="n">
        <x:f>SUM(F217:K217)</x:f>
        <x:v>500</x:v>
      </x:c>
      <x:c r="M217" s="1" t="str">
        <x:f>IF(G217=I217,"Empate",IF(G217&gt;I217,"Física","Especial"))</x:f>
        <x:v>Física</x:v>
      </x:c>
      <x:c r="N217" s="10" t="n">
        <x:v>100</x:v>
      </x:c>
      <x:c r="O217" s="10" t="n">
        <x:v>6008</x:v>
      </x:c>
      <x:c r="P217" s="10" t="n">
        <x:v>60000</x:v>
      </x:c>
      <x:c r="Q217" s="10" t="n">
        <x:v>60000</x:v>
      </x:c>
      <x:c r="R217" s="1" t="str"/>
      <x:c r="S217" s="1"/>
      <x:c r="T217" s="9" t="str">
        <x:v>https://poke.idleworld.online/pokepedia/pokemon/heracross</x:v>
      </x:c>
    </x:row>
    <x:row r="218" ht="22" customHeight="1">
      <x:c r="A218" s="1" t="n">
        <x:v>215</x:v>
      </x:c>
      <x:c r="B218" s="1" t="str">
        <x:v>Sneasel</x:v>
      </x:c>
      <x:c r="C218" s="1" t="str">
        <x:v>Sombrio</x:v>
      </x:c>
      <x:c r="D218" s="1" t="str">
        <x:v>Gelo</x:v>
      </x:c>
      <x:c r="E218" s="1" t="str">
        <x:v>Incomum</x:v>
      </x:c>
      <x:c r="F218" s="10" t="n">
        <x:v>55</x:v>
      </x:c>
      <x:c r="G218" s="10" t="n">
        <x:v>95</x:v>
      </x:c>
      <x:c r="H218" s="10" t="n">
        <x:v>55</x:v>
      </x:c>
      <x:c r="I218" s="10" t="n">
        <x:v>35</x:v>
      </x:c>
      <x:c r="J218" s="10" t="n">
        <x:v>75</x:v>
      </x:c>
      <x:c r="K218" s="10" t="n">
        <x:v>115</x:v>
      </x:c>
      <x:c r="L218" s="10" t="n">
        <x:f>SUM(F218:K218)</x:f>
        <x:v>430</x:v>
      </x:c>
      <x:c r="M218" s="1" t="str">
        <x:f>IF(G218=I218,"Empate",IF(G218&gt;I218,"Física","Especial"))</x:f>
        <x:v>Física</x:v>
      </x:c>
      <x:c r="N218" s="10" t="n">
        <x:v>50</x:v>
      </x:c>
      <x:c r="O218" s="10" t="n">
        <x:v>1508</x:v>
      </x:c>
      <x:c r="P218" s="10" t="n">
        <x:v>10000</x:v>
      </x:c>
      <x:c r="Q218" s="10" t="n">
        <x:v>10000</x:v>
      </x:c>
      <x:c r="R218" s="1" t="str">
        <x:v>Weavile</x:v>
      </x:c>
      <x:c r="S218" s="1" t="n">
        <x:v>100</x:v>
      </x:c>
      <x:c r="T218" s="9" t="str">
        <x:v>https://poke.idleworld.online/pokepedia/pokemon/sneasel</x:v>
      </x:c>
    </x:row>
    <x:row r="219" ht="22" customHeight="1">
      <x:c r="A219" s="1" t="n">
        <x:v>216</x:v>
      </x:c>
      <x:c r="B219" s="1" t="str">
        <x:v>Teddiursa</x:v>
      </x:c>
      <x:c r="C219" s="1" t="str">
        <x:v>Normal</x:v>
      </x:c>
      <x:c r="D219" s="1" t="str"/>
      <x:c r="E219" s="1" t="str">
        <x:v>Comum</x:v>
      </x:c>
      <x:c r="F219" s="10" t="n">
        <x:v>60</x:v>
      </x:c>
      <x:c r="G219" s="10" t="n">
        <x:v>80</x:v>
      </x:c>
      <x:c r="H219" s="10" t="n">
        <x:v>50</x:v>
      </x:c>
      <x:c r="I219" s="10" t="n">
        <x:v>50</x:v>
      </x:c>
      <x:c r="J219" s="10" t="n">
        <x:v>50</x:v>
      </x:c>
      <x:c r="K219" s="10" t="n">
        <x:v>40</x:v>
      </x:c>
      <x:c r="L219" s="10" t="n">
        <x:f>SUM(F219:K219)</x:f>
        <x:v>330</x:v>
      </x:c>
      <x:c r="M219" s="1" t="str">
        <x:f>IF(G219=I219,"Empate",IF(G219&gt;I219,"Física","Especial"))</x:f>
        <x:v>Física</x:v>
      </x:c>
      <x:c r="N219" s="10" t="n">
        <x:v>30</x:v>
      </x:c>
      <x:c r="O219" s="10" t="n">
        <x:v>548</x:v>
      </x:c>
      <x:c r="P219" s="10" t="n">
        <x:v>40000</x:v>
      </x:c>
      <x:c r="Q219" s="10" t="n">
        <x:v>40000</x:v>
      </x:c>
      <x:c r="R219" s="1" t="str">
        <x:v>Ursaring</x:v>
      </x:c>
      <x:c r="S219" s="1" t="n">
        <x:v>100</x:v>
      </x:c>
      <x:c r="T219" s="9" t="str">
        <x:v>https://poke.idleworld.online/pokepedia/pokemon/teddiursa</x:v>
      </x:c>
    </x:row>
    <x:row r="220" ht="22" customHeight="1">
      <x:c r="A220" s="1" t="n">
        <x:v>217</x:v>
      </x:c>
      <x:c r="B220" s="1" t="str">
        <x:v>Ursaring</x:v>
      </x:c>
      <x:c r="C220" s="1" t="str">
        <x:v>Normal</x:v>
      </x:c>
      <x:c r="D220" s="1" t="str"/>
      <x:c r="E220" s="1" t="str">
        <x:v>Raro</x:v>
      </x:c>
      <x:c r="F220" s="10" t="n">
        <x:v>90</x:v>
      </x:c>
      <x:c r="G220" s="10" t="n">
        <x:v>130</x:v>
      </x:c>
      <x:c r="H220" s="10" t="n">
        <x:v>75</x:v>
      </x:c>
      <x:c r="I220" s="10" t="n">
        <x:v>75</x:v>
      </x:c>
      <x:c r="J220" s="10" t="n">
        <x:v>75</x:v>
      </x:c>
      <x:c r="K220" s="10" t="n">
        <x:v>55</x:v>
      </x:c>
      <x:c r="L220" s="10" t="n">
        <x:f>SUM(F220:K220)</x:f>
        <x:v>500</x:v>
      </x:c>
      <x:c r="M220" s="1" t="str">
        <x:f>IF(G220=I220,"Empate",IF(G220&gt;I220,"Física","Especial"))</x:f>
        <x:v>Física</x:v>
      </x:c>
      <x:c r="N220" s="10" t="n">
        <x:v>100</x:v>
      </x:c>
      <x:c r="O220" s="10" t="n">
        <x:v>6008</x:v>
      </x:c>
      <x:c r="P220" s="10" t="n">
        <x:v>75000</x:v>
      </x:c>
      <x:c r="Q220" s="10" t="n">
        <x:v>75000</x:v>
      </x:c>
      <x:c r="R220" s="1" t="str"/>
      <x:c r="S220" s="1"/>
      <x:c r="T220" s="9" t="str">
        <x:v>https://poke.idleworld.online/pokepedia/pokemon/ursaring</x:v>
      </x:c>
    </x:row>
    <x:row r="221" ht="22" customHeight="1">
      <x:c r="A221" s="1" t="n">
        <x:v>218</x:v>
      </x:c>
      <x:c r="B221" s="1" t="str">
        <x:v>Slugma</x:v>
      </x:c>
      <x:c r="C221" s="1" t="str">
        <x:v>Fogo</x:v>
      </x:c>
      <x:c r="D221" s="1" t="str"/>
      <x:c r="E221" s="1" t="str">
        <x:v>Comum</x:v>
      </x:c>
      <x:c r="F221" s="10" t="n">
        <x:v>40</x:v>
      </x:c>
      <x:c r="G221" s="10" t="n">
        <x:v>40</x:v>
      </x:c>
      <x:c r="H221" s="10" t="n">
        <x:v>40</x:v>
      </x:c>
      <x:c r="I221" s="10" t="n">
        <x:v>70</x:v>
      </x:c>
      <x:c r="J221" s="10" t="n">
        <x:v>40</x:v>
      </x:c>
      <x:c r="K221" s="10" t="n">
        <x:v>20</x:v>
      </x:c>
      <x:c r="L221" s="10" t="n">
        <x:f>SUM(F221:K221)</x:f>
        <x:v>250</x:v>
      </x:c>
      <x:c r="M221" s="1" t="str">
        <x:f>IF(G221=I221,"Empate",IF(G221&gt;I221,"Física","Especial"))</x:f>
        <x:v>Especial</x:v>
      </x:c>
      <x:c r="N221" s="10" t="n">
        <x:v>10</x:v>
      </x:c>
      <x:c r="O221" s="10" t="n">
        <x:v>68</x:v>
      </x:c>
      <x:c r="P221" s="10" t="n">
        <x:v>1000</x:v>
      </x:c>
      <x:c r="Q221" s="10" t="n">
        <x:v>1000</x:v>
      </x:c>
      <x:c r="R221" s="1" t="str">
        <x:v>Magcargo</x:v>
      </x:c>
      <x:c r="S221" s="1" t="n">
        <x:v>80</x:v>
      </x:c>
      <x:c r="T221" s="9" t="str">
        <x:v>https://poke.idleworld.online/pokepedia/pokemon/slugma</x:v>
      </x:c>
    </x:row>
    <x:row r="222" ht="22" customHeight="1">
      <x:c r="A222" s="1" t="n">
        <x:v>219</x:v>
      </x:c>
      <x:c r="B222" s="1" t="str">
        <x:v>Magcargo</x:v>
      </x:c>
      <x:c r="C222" s="1" t="str">
        <x:v>Fogo</x:v>
      </x:c>
      <x:c r="D222" s="1" t="str">
        <x:v>Pedra</x:v>
      </x:c>
      <x:c r="E222" s="1" t="str">
        <x:v>Incomum</x:v>
      </x:c>
      <x:c r="F222" s="10" t="n">
        <x:v>50</x:v>
      </x:c>
      <x:c r="G222" s="10" t="n">
        <x:v>50</x:v>
      </x:c>
      <x:c r="H222" s="10" t="n">
        <x:v>120</x:v>
      </x:c>
      <x:c r="I222" s="10" t="n">
        <x:v>80</x:v>
      </x:c>
      <x:c r="J222" s="10" t="n">
        <x:v>80</x:v>
      </x:c>
      <x:c r="K222" s="10" t="n">
        <x:v>30</x:v>
      </x:c>
      <x:c r="L222" s="10" t="n">
        <x:f>SUM(F222:K222)</x:f>
        <x:v>410</x:v>
      </x:c>
      <x:c r="M222" s="1" t="str">
        <x:f>IF(G222=I222,"Empate",IF(G222&gt;I222,"Física","Especial"))</x:f>
        <x:v>Especial</x:v>
      </x:c>
      <x:c r="N222" s="10" t="n">
        <x:v>80</x:v>
      </x:c>
      <x:c r="O222" s="10" t="n">
        <x:v>3848</x:v>
      </x:c>
      <x:c r="P222" s="10" t="n">
        <x:v>11000</x:v>
      </x:c>
      <x:c r="Q222" s="10" t="n">
        <x:v>11000</x:v>
      </x:c>
      <x:c r="R222" s="1" t="str"/>
      <x:c r="S222" s="1"/>
      <x:c r="T222" s="9" t="str">
        <x:v>https://poke.idleworld.online/pokepedia/pokemon/magcargo</x:v>
      </x:c>
    </x:row>
    <x:row r="223" ht="22" customHeight="1">
      <x:c r="A223" s="1" t="n">
        <x:v>220</x:v>
      </x:c>
      <x:c r="B223" s="1" t="str">
        <x:v>Swinub</x:v>
      </x:c>
      <x:c r="C223" s="1" t="str">
        <x:v>Gelo</x:v>
      </x:c>
      <x:c r="D223" s="1" t="str">
        <x:v>Terrestre</x:v>
      </x:c>
      <x:c r="E223" s="1" t="str">
        <x:v>Comum</x:v>
      </x:c>
      <x:c r="F223" s="10" t="n">
        <x:v>50</x:v>
      </x:c>
      <x:c r="G223" s="10" t="n">
        <x:v>50</x:v>
      </x:c>
      <x:c r="H223" s="10" t="n">
        <x:v>40</x:v>
      </x:c>
      <x:c r="I223" s="10" t="n">
        <x:v>30</x:v>
      </x:c>
      <x:c r="J223" s="10" t="n">
        <x:v>30</x:v>
      </x:c>
      <x:c r="K223" s="10" t="n">
        <x:v>50</x:v>
      </x:c>
      <x:c r="L223" s="10" t="n">
        <x:f>SUM(F223:K223)</x:f>
        <x:v>250</x:v>
      </x:c>
      <x:c r="M223" s="1" t="str">
        <x:f>IF(G223=I223,"Empate",IF(G223&gt;I223,"Física","Especial"))</x:f>
        <x:v>Física</x:v>
      </x:c>
      <x:c r="N223" s="10" t="n">
        <x:v>10</x:v>
      </x:c>
      <x:c r="O223" s="10" t="n">
        <x:v>68</x:v>
      </x:c>
      <x:c r="P223" s="10" t="n">
        <x:v>1000</x:v>
      </x:c>
      <x:c r="Q223" s="10" t="n">
        <x:v>1000</x:v>
      </x:c>
      <x:c r="R223" s="1" t="str">
        <x:v>Piloswine</x:v>
      </x:c>
      <x:c r="S223" s="1" t="n">
        <x:v>80</x:v>
      </x:c>
      <x:c r="T223" s="9" t="str">
        <x:v>https://poke.idleworld.online/pokepedia/pokemon/swinub</x:v>
      </x:c>
    </x:row>
    <x:row r="224" ht="22" customHeight="1">
      <x:c r="A224" s="1" t="n">
        <x:v>221</x:v>
      </x:c>
      <x:c r="B224" s="1" t="str">
        <x:v>Piloswine</x:v>
      </x:c>
      <x:c r="C224" s="1" t="str">
        <x:v>Gelo</x:v>
      </x:c>
      <x:c r="D224" s="1" t="str">
        <x:v>Terrestre</x:v>
      </x:c>
      <x:c r="E224" s="1" t="str">
        <x:v>Incomum</x:v>
      </x:c>
      <x:c r="F224" s="10" t="n">
        <x:v>100</x:v>
      </x:c>
      <x:c r="G224" s="10" t="n">
        <x:v>100</x:v>
      </x:c>
      <x:c r="H224" s="10" t="n">
        <x:v>80</x:v>
      </x:c>
      <x:c r="I224" s="10" t="n">
        <x:v>60</x:v>
      </x:c>
      <x:c r="J224" s="10" t="n">
        <x:v>60</x:v>
      </x:c>
      <x:c r="K224" s="10" t="n">
        <x:v>50</x:v>
      </x:c>
      <x:c r="L224" s="10" t="n">
        <x:f>SUM(F224:K224)</x:f>
        <x:v>450</x:v>
      </x:c>
      <x:c r="M224" s="1" t="str">
        <x:f>IF(G224=I224,"Empate",IF(G224&gt;I224,"Física","Especial"))</x:f>
        <x:v>Física</x:v>
      </x:c>
      <x:c r="N224" s="10" t="n">
        <x:v>80</x:v>
      </x:c>
      <x:c r="O224" s="10" t="n">
        <x:v>3848</x:v>
      </x:c>
      <x:c r="P224" s="10" t="n">
        <x:v>11000</x:v>
      </x:c>
      <x:c r="Q224" s="10" t="n">
        <x:v>11000</x:v>
      </x:c>
      <x:c r="R224" s="1" t="str"/>
      <x:c r="S224" s="1"/>
      <x:c r="T224" s="9" t="str">
        <x:v>https://poke.idleworld.online/pokepedia/pokemon/piloswine</x:v>
      </x:c>
    </x:row>
    <x:row r="225" ht="22" customHeight="1">
      <x:c r="A225" s="1" t="n">
        <x:v>222</x:v>
      </x:c>
      <x:c r="B225" s="1" t="str">
        <x:v>Corsola</x:v>
      </x:c>
      <x:c r="C225" s="1" t="str">
        <x:v>Água</x:v>
      </x:c>
      <x:c r="D225" s="1" t="str">
        <x:v>Pedra</x:v>
      </x:c>
      <x:c r="E225" s="1" t="str">
        <x:v>Incomum</x:v>
      </x:c>
      <x:c r="F225" s="10" t="n">
        <x:v>55</x:v>
      </x:c>
      <x:c r="G225" s="10" t="n">
        <x:v>55</x:v>
      </x:c>
      <x:c r="H225" s="10" t="n">
        <x:v>85</x:v>
      </x:c>
      <x:c r="I225" s="10" t="n">
        <x:v>65</x:v>
      </x:c>
      <x:c r="J225" s="10" t="n">
        <x:v>85</x:v>
      </x:c>
      <x:c r="K225" s="10" t="n">
        <x:v>35</x:v>
      </x:c>
      <x:c r="L225" s="10" t="n">
        <x:f>SUM(F225:K225)</x:f>
        <x:v>380</x:v>
      </x:c>
      <x:c r="M225" s="1" t="str">
        <x:f>IF(G225=I225,"Empate",IF(G225&gt;I225,"Física","Especial"))</x:f>
        <x:v>Especial</x:v>
      </x:c>
      <x:c r="N225" s="10" t="n">
        <x:v>50</x:v>
      </x:c>
      <x:c r="O225" s="10" t="n">
        <x:v>1508</x:v>
      </x:c>
      <x:c r="P225" s="10" t="n">
        <x:v>9000</x:v>
      </x:c>
      <x:c r="Q225" s="10" t="n">
        <x:v>9000</x:v>
      </x:c>
      <x:c r="R225" s="1" t="str"/>
      <x:c r="S225" s="1"/>
      <x:c r="T225" s="9" t="str">
        <x:v>https://poke.idleworld.online/pokepedia/pokemon/corsola</x:v>
      </x:c>
    </x:row>
    <x:row r="226" ht="22" customHeight="1">
      <x:c r="A226" s="1" t="n">
        <x:v>223</x:v>
      </x:c>
      <x:c r="B226" s="1" t="str">
        <x:v>Remoraid</x:v>
      </x:c>
      <x:c r="C226" s="1" t="str">
        <x:v>Água</x:v>
      </x:c>
      <x:c r="D226" s="1" t="str"/>
      <x:c r="E226" s="1" t="str">
        <x:v>Comum</x:v>
      </x:c>
      <x:c r="F226" s="10" t="n">
        <x:v>35</x:v>
      </x:c>
      <x:c r="G226" s="10" t="n">
        <x:v>65</x:v>
      </x:c>
      <x:c r="H226" s="10" t="n">
        <x:v>35</x:v>
      </x:c>
      <x:c r="I226" s="10" t="n">
        <x:v>65</x:v>
      </x:c>
      <x:c r="J226" s="10" t="n">
        <x:v>35</x:v>
      </x:c>
      <x:c r="K226" s="10" t="n">
        <x:v>65</x:v>
      </x:c>
      <x:c r="L226" s="10" t="n">
        <x:f>SUM(F226:K226)</x:f>
        <x:v>300</x:v>
      </x:c>
      <x:c r="M226" s="1" t="str">
        <x:f>IF(G226=I226,"Empate",IF(G226&gt;I226,"Física","Especial"))</x:f>
        <x:v>Empate</x:v>
      </x:c>
      <x:c r="N226" s="10" t="n">
        <x:v>10</x:v>
      </x:c>
      <x:c r="O226" s="10" t="n">
        <x:v>68</x:v>
      </x:c>
      <x:c r="P226" s="10" t="n">
        <x:v>200</x:v>
      </x:c>
      <x:c r="Q226" s="10" t="n">
        <x:v>200</x:v>
      </x:c>
      <x:c r="R226" s="1" t="str">
        <x:v>Octillery</x:v>
      </x:c>
      <x:c r="S226" s="1" t="n">
        <x:v>70</x:v>
      </x:c>
      <x:c r="T226" s="9" t="str">
        <x:v>https://poke.idleworld.online/pokepedia/pokemon/remoraid</x:v>
      </x:c>
    </x:row>
    <x:row r="227" ht="22" customHeight="1">
      <x:c r="A227" s="1" t="n">
        <x:v>224</x:v>
      </x:c>
      <x:c r="B227" s="1" t="str">
        <x:v>Octillery</x:v>
      </x:c>
      <x:c r="C227" s="1" t="str">
        <x:v>Água</x:v>
      </x:c>
      <x:c r="D227" s="1" t="str"/>
      <x:c r="E227" s="1" t="str">
        <x:v>Incomum</x:v>
      </x:c>
      <x:c r="F227" s="10" t="n">
        <x:v>75</x:v>
      </x:c>
      <x:c r="G227" s="10" t="n">
        <x:v>105</x:v>
      </x:c>
      <x:c r="H227" s="10" t="n">
        <x:v>75</x:v>
      </x:c>
      <x:c r="I227" s="10" t="n">
        <x:v>105</x:v>
      </x:c>
      <x:c r="J227" s="10" t="n">
        <x:v>75</x:v>
      </x:c>
      <x:c r="K227" s="10" t="n">
        <x:v>45</x:v>
      </x:c>
      <x:c r="L227" s="10" t="n">
        <x:f>SUM(F227:K227)</x:f>
        <x:v>480</x:v>
      </x:c>
      <x:c r="M227" s="1" t="str">
        <x:f>IF(G227=I227,"Empate",IF(G227&gt;I227,"Física","Especial"))</x:f>
        <x:v>Empate</x:v>
      </x:c>
      <x:c r="N227" s="10" t="n">
        <x:v>70</x:v>
      </x:c>
      <x:c r="O227" s="10" t="n">
        <x:v>2948</x:v>
      </x:c>
      <x:c r="P227" s="10" t="n">
        <x:v>10000</x:v>
      </x:c>
      <x:c r="Q227" s="10" t="n">
        <x:v>10000</x:v>
      </x:c>
      <x:c r="R227" s="1" t="str"/>
      <x:c r="S227" s="1"/>
      <x:c r="T227" s="9" t="str">
        <x:v>https://poke.idleworld.online/pokepedia/pokemon/octillery</x:v>
      </x:c>
    </x:row>
    <x:row r="228" ht="22" customHeight="1">
      <x:c r="A228" s="1" t="n">
        <x:v>225</x:v>
      </x:c>
      <x:c r="B228" s="1" t="str">
        <x:v>Delibird</x:v>
      </x:c>
      <x:c r="C228" s="1" t="str">
        <x:v>Gelo</x:v>
      </x:c>
      <x:c r="D228" s="1" t="str">
        <x:v>Voador</x:v>
      </x:c>
      <x:c r="E228" s="1" t="str">
        <x:v>Incomum</x:v>
      </x:c>
      <x:c r="F228" s="10" t="n">
        <x:v>45</x:v>
      </x:c>
      <x:c r="G228" s="10" t="n">
        <x:v>55</x:v>
      </x:c>
      <x:c r="H228" s="10" t="n">
        <x:v>45</x:v>
      </x:c>
      <x:c r="I228" s="10" t="n">
        <x:v>65</x:v>
      </x:c>
      <x:c r="J228" s="10" t="n">
        <x:v>45</x:v>
      </x:c>
      <x:c r="K228" s="10" t="n">
        <x:v>75</x:v>
      </x:c>
      <x:c r="L228" s="10" t="n">
        <x:f>SUM(F228:K228)</x:f>
        <x:v>330</x:v>
      </x:c>
      <x:c r="M228" s="1" t="str">
        <x:f>IF(G228=I228,"Empate",IF(G228&gt;I228,"Física","Especial"))</x:f>
        <x:v>Especial</x:v>
      </x:c>
      <x:c r="N228" s="10" t="n">
        <x:v>40</x:v>
      </x:c>
      <x:c r="O228" s="10" t="n">
        <x:v>968</x:v>
      </x:c>
      <x:c r="P228" s="10" t="n">
        <x:v>10000</x:v>
      </x:c>
      <x:c r="Q228" s="10" t="n">
        <x:v>10000</x:v>
      </x:c>
      <x:c r="R228" s="1" t="str"/>
      <x:c r="S228" s="1"/>
      <x:c r="T228" s="9" t="str">
        <x:v>https://poke.idleworld.online/pokepedia/pokemon/delibird</x:v>
      </x:c>
    </x:row>
    <x:row r="229" ht="22" customHeight="1">
      <x:c r="A229" s="1" t="n">
        <x:v>226</x:v>
      </x:c>
      <x:c r="B229" s="1" t="str">
        <x:v>Mantine</x:v>
      </x:c>
      <x:c r="C229" s="1" t="str">
        <x:v>Água</x:v>
      </x:c>
      <x:c r="D229" s="1" t="str">
        <x:v>Voador</x:v>
      </x:c>
      <x:c r="E229" s="1" t="str">
        <x:v>Incomum</x:v>
      </x:c>
      <x:c r="F229" s="10" t="n">
        <x:v>65</x:v>
      </x:c>
      <x:c r="G229" s="10" t="n">
        <x:v>40</x:v>
      </x:c>
      <x:c r="H229" s="10" t="n">
        <x:v>70</x:v>
      </x:c>
      <x:c r="I229" s="10" t="n">
        <x:v>80</x:v>
      </x:c>
      <x:c r="J229" s="10" t="n">
        <x:v>140</x:v>
      </x:c>
      <x:c r="K229" s="10" t="n">
        <x:v>70</x:v>
      </x:c>
      <x:c r="L229" s="10" t="n">
        <x:f>SUM(F229:K229)</x:f>
        <x:v>465</x:v>
      </x:c>
      <x:c r="M229" s="1" t="str">
        <x:f>IF(G229=I229,"Empate",IF(G229&gt;I229,"Física","Especial"))</x:f>
        <x:v>Especial</x:v>
      </x:c>
      <x:c r="N229" s="10" t="n">
        <x:v>100</x:v>
      </x:c>
      <x:c r="O229" s="10" t="n">
        <x:v>6008</x:v>
      </x:c>
      <x:c r="P229" s="10" t="n">
        <x:v>60000</x:v>
      </x:c>
      <x:c r="Q229" s="10" t="n">
        <x:v>60000</x:v>
      </x:c>
      <x:c r="R229" s="1" t="str"/>
      <x:c r="S229" s="1"/>
      <x:c r="T229" s="9" t="str">
        <x:v>https://poke.idleworld.online/pokepedia/pokemon/mantine</x:v>
      </x:c>
    </x:row>
    <x:row r="230" ht="22" customHeight="1">
      <x:c r="A230" s="1" t="n">
        <x:v>227</x:v>
      </x:c>
      <x:c r="B230" s="1" t="str">
        <x:v>Skarmory</x:v>
      </x:c>
      <x:c r="C230" s="1" t="str">
        <x:v>Aço</x:v>
      </x:c>
      <x:c r="D230" s="1" t="str">
        <x:v>Voador</x:v>
      </x:c>
      <x:c r="E230" s="1" t="str">
        <x:v>Raro</x:v>
      </x:c>
      <x:c r="F230" s="10" t="n">
        <x:v>65</x:v>
      </x:c>
      <x:c r="G230" s="10" t="n">
        <x:v>80</x:v>
      </x:c>
      <x:c r="H230" s="10" t="n">
        <x:v>140</x:v>
      </x:c>
      <x:c r="I230" s="10" t="n">
        <x:v>40</x:v>
      </x:c>
      <x:c r="J230" s="10" t="n">
        <x:v>70</x:v>
      </x:c>
      <x:c r="K230" s="10" t="n">
        <x:v>70</x:v>
      </x:c>
      <x:c r="L230" s="10" t="n">
        <x:f>SUM(F230:K230)</x:f>
        <x:v>465</x:v>
      </x:c>
      <x:c r="M230" s="1" t="str">
        <x:f>IF(G230=I230,"Empate",IF(G230&gt;I230,"Física","Especial"))</x:f>
        <x:v>Física</x:v>
      </x:c>
      <x:c r="N230" s="10" t="n">
        <x:v>100</x:v>
      </x:c>
      <x:c r="O230" s="10" t="n">
        <x:v>6008</x:v>
      </x:c>
      <x:c r="P230" s="10" t="n">
        <x:v>60000</x:v>
      </x:c>
      <x:c r="Q230" s="10" t="n">
        <x:v>60000</x:v>
      </x:c>
      <x:c r="R230" s="1" t="str"/>
      <x:c r="S230" s="1"/>
      <x:c r="T230" s="9" t="str">
        <x:v>https://poke.idleworld.online/pokepedia/pokemon/skarmory</x:v>
      </x:c>
    </x:row>
    <x:row r="231" ht="22" customHeight="1">
      <x:c r="A231" s="1" t="n">
        <x:v>228</x:v>
      </x:c>
      <x:c r="B231" s="1" t="str">
        <x:v>Houndour</x:v>
      </x:c>
      <x:c r="C231" s="1" t="str">
        <x:v>Sombrio</x:v>
      </x:c>
      <x:c r="D231" s="1" t="str">
        <x:v>Fogo</x:v>
      </x:c>
      <x:c r="E231" s="1" t="str">
        <x:v>Comum</x:v>
      </x:c>
      <x:c r="F231" s="10" t="n">
        <x:v>45</x:v>
      </x:c>
      <x:c r="G231" s="10" t="n">
        <x:v>60</x:v>
      </x:c>
      <x:c r="H231" s="10" t="n">
        <x:v>30</x:v>
      </x:c>
      <x:c r="I231" s="10" t="n">
        <x:v>80</x:v>
      </x:c>
      <x:c r="J231" s="10" t="n">
        <x:v>50</x:v>
      </x:c>
      <x:c r="K231" s="10" t="n">
        <x:v>65</x:v>
      </x:c>
      <x:c r="L231" s="10" t="n">
        <x:f>SUM(F231:K231)</x:f>
        <x:v>330</x:v>
      </x:c>
      <x:c r="M231" s="1" t="str">
        <x:f>IF(G231=I231,"Empate",IF(G231&gt;I231,"Física","Especial"))</x:f>
        <x:v>Especial</x:v>
      </x:c>
      <x:c r="N231" s="10" t="n">
        <x:v>20</x:v>
      </x:c>
      <x:c r="O231" s="10" t="n">
        <x:v>248</x:v>
      </x:c>
      <x:c r="P231" s="10" t="n">
        <x:v>3500</x:v>
      </x:c>
      <x:c r="Q231" s="10" t="n">
        <x:v>3500</x:v>
      </x:c>
      <x:c r="R231" s="1" t="str">
        <x:v>Houndoom</x:v>
      </x:c>
      <x:c r="S231" s="1" t="n">
        <x:v>100</x:v>
      </x:c>
      <x:c r="T231" s="9" t="str">
        <x:v>https://poke.idleworld.online/pokepedia/pokemon/houndour</x:v>
      </x:c>
    </x:row>
    <x:row r="232" ht="22" customHeight="1">
      <x:c r="A232" s="1" t="n">
        <x:v>229</x:v>
      </x:c>
      <x:c r="B232" s="1" t="str">
        <x:v>Houndoom</x:v>
      </x:c>
      <x:c r="C232" s="1" t="str">
        <x:v>Sombrio</x:v>
      </x:c>
      <x:c r="D232" s="1" t="str">
        <x:v>Fogo</x:v>
      </x:c>
      <x:c r="E232" s="1" t="str">
        <x:v>Raro</x:v>
      </x:c>
      <x:c r="F232" s="10" t="n">
        <x:v>75</x:v>
      </x:c>
      <x:c r="G232" s="10" t="n">
        <x:v>90</x:v>
      </x:c>
      <x:c r="H232" s="10" t="n">
        <x:v>50</x:v>
      </x:c>
      <x:c r="I232" s="10" t="n">
        <x:v>110</x:v>
      </x:c>
      <x:c r="J232" s="10" t="n">
        <x:v>80</x:v>
      </x:c>
      <x:c r="K232" s="10" t="n">
        <x:v>95</x:v>
      </x:c>
      <x:c r="L232" s="10" t="n">
        <x:f>SUM(F232:K232)</x:f>
        <x:v>500</x:v>
      </x:c>
      <x:c r="M232" s="1" t="str">
        <x:f>IF(G232=I232,"Empate",IF(G232&gt;I232,"Física","Especial"))</x:f>
        <x:v>Especial</x:v>
      </x:c>
      <x:c r="N232" s="10" t="n">
        <x:v>100</x:v>
      </x:c>
      <x:c r="O232" s="10" t="n">
        <x:v>6008</x:v>
      </x:c>
      <x:c r="P232" s="10" t="n">
        <x:v>13500</x:v>
      </x:c>
      <x:c r="Q232" s="10" t="n">
        <x:v>13500</x:v>
      </x:c>
      <x:c r="R232" s="1" t="str"/>
      <x:c r="S232" s="1"/>
      <x:c r="T232" s="9" t="str">
        <x:v>https://poke.idleworld.online/pokepedia/pokemon/houndoom</x:v>
      </x:c>
    </x:row>
    <x:row r="233" ht="22" customHeight="1">
      <x:c r="A233" s="1" t="n">
        <x:v>230</x:v>
      </x:c>
      <x:c r="B233" s="1" t="str">
        <x:v>Kingdra</x:v>
      </x:c>
      <x:c r="C233" s="1" t="str">
        <x:v>Água</x:v>
      </x:c>
      <x:c r="D233" s="1" t="str">
        <x:v>Dragão</x:v>
      </x:c>
      <x:c r="E233" s="1" t="str">
        <x:v>Raro</x:v>
      </x:c>
      <x:c r="F233" s="10" t="n">
        <x:v>75</x:v>
      </x:c>
      <x:c r="G233" s="10" t="n">
        <x:v>95</x:v>
      </x:c>
      <x:c r="H233" s="10" t="n">
        <x:v>95</x:v>
      </x:c>
      <x:c r="I233" s="10" t="n">
        <x:v>95</x:v>
      </x:c>
      <x:c r="J233" s="10" t="n">
        <x:v>95</x:v>
      </x:c>
      <x:c r="K233" s="10" t="n">
        <x:v>85</x:v>
      </x:c>
      <x:c r="L233" s="10" t="n">
        <x:f>SUM(F233:K233)</x:f>
        <x:v>540</x:v>
      </x:c>
      <x:c r="M233" s="1" t="str">
        <x:f>IF(G233=I233,"Empate",IF(G233&gt;I233,"Física","Especial"))</x:f>
        <x:v>Empate</x:v>
      </x:c>
      <x:c r="N233" s="10" t="n">
        <x:v>100</x:v>
      </x:c>
      <x:c r="O233" s="10" t="n">
        <x:v>6008</x:v>
      </x:c>
      <x:c r="P233" s="10" t="n">
        <x:v>30000</x:v>
      </x:c>
      <x:c r="Q233" s="10" t="n">
        <x:v>30000</x:v>
      </x:c>
      <x:c r="R233" s="1" t="str"/>
      <x:c r="S233" s="1"/>
      <x:c r="T233" s="9" t="str">
        <x:v>https://poke.idleworld.online/pokepedia/pokemon/kingdra</x:v>
      </x:c>
    </x:row>
    <x:row r="234" ht="22" customHeight="1">
      <x:c r="A234" s="1" t="n">
        <x:v>231</x:v>
      </x:c>
      <x:c r="B234" s="1" t="str">
        <x:v>Phanpy</x:v>
      </x:c>
      <x:c r="C234" s="1" t="str">
        <x:v>Terrestre</x:v>
      </x:c>
      <x:c r="D234" s="1" t="str"/>
      <x:c r="E234" s="1" t="str">
        <x:v>Comum</x:v>
      </x:c>
      <x:c r="F234" s="10" t="n">
        <x:v>90</x:v>
      </x:c>
      <x:c r="G234" s="10" t="n">
        <x:v>60</x:v>
      </x:c>
      <x:c r="H234" s="10" t="n">
        <x:v>60</x:v>
      </x:c>
      <x:c r="I234" s="10" t="n">
        <x:v>40</x:v>
      </x:c>
      <x:c r="J234" s="10" t="n">
        <x:v>40</x:v>
      </x:c>
      <x:c r="K234" s="10" t="n">
        <x:v>40</x:v>
      </x:c>
      <x:c r="L234" s="10" t="n">
        <x:f>SUM(F234:K234)</x:f>
        <x:v>330</x:v>
      </x:c>
      <x:c r="M234" s="1" t="str">
        <x:f>IF(G234=I234,"Empate",IF(G234&gt;I234,"Física","Especial"))</x:f>
        <x:v>Física</x:v>
      </x:c>
      <x:c r="N234" s="10" t="n">
        <x:v>20</x:v>
      </x:c>
      <x:c r="O234" s="10" t="n">
        <x:v>248</x:v>
      </x:c>
      <x:c r="P234" s="10" t="n">
        <x:v>3000</x:v>
      </x:c>
      <x:c r="Q234" s="10" t="n">
        <x:v>3000</x:v>
      </x:c>
      <x:c r="R234" s="1" t="str">
        <x:v>Donphan</x:v>
      </x:c>
      <x:c r="S234" s="1" t="n">
        <x:v>80</x:v>
      </x:c>
      <x:c r="T234" s="9" t="str">
        <x:v>https://poke.idleworld.online/pokepedia/pokemon/phanpy</x:v>
      </x:c>
    </x:row>
    <x:row r="235" ht="22" customHeight="1">
      <x:c r="A235" s="1" t="n">
        <x:v>232</x:v>
      </x:c>
      <x:c r="B235" s="1" t="str">
        <x:v>Donphan</x:v>
      </x:c>
      <x:c r="C235" s="1" t="str">
        <x:v>Terrestre</x:v>
      </x:c>
      <x:c r="D235" s="1" t="str"/>
      <x:c r="E235" s="1" t="str">
        <x:v>Raro</x:v>
      </x:c>
      <x:c r="F235" s="10" t="n">
        <x:v>90</x:v>
      </x:c>
      <x:c r="G235" s="10" t="n">
        <x:v>120</x:v>
      </x:c>
      <x:c r="H235" s="10" t="n">
        <x:v>120</x:v>
      </x:c>
      <x:c r="I235" s="10" t="n">
        <x:v>60</x:v>
      </x:c>
      <x:c r="J235" s="10" t="n">
        <x:v>60</x:v>
      </x:c>
      <x:c r="K235" s="10" t="n">
        <x:v>50</x:v>
      </x:c>
      <x:c r="L235" s="10" t="n">
        <x:f>SUM(F235:K235)</x:f>
        <x:v>500</x:v>
      </x:c>
      <x:c r="M235" s="1" t="str">
        <x:f>IF(G235=I235,"Empate",IF(G235&gt;I235,"Física","Especial"))</x:f>
        <x:v>Física</x:v>
      </x:c>
      <x:c r="N235" s="10" t="n">
        <x:v>80</x:v>
      </x:c>
      <x:c r="O235" s="10" t="n">
        <x:v>3848</x:v>
      </x:c>
      <x:c r="P235" s="10" t="n">
        <x:v>13000</x:v>
      </x:c>
      <x:c r="Q235" s="10" t="n">
        <x:v>13000</x:v>
      </x:c>
      <x:c r="R235" s="1" t="str"/>
      <x:c r="S235" s="1"/>
      <x:c r="T235" s="9" t="str">
        <x:v>https://poke.idleworld.online/pokepedia/pokemon/donphan</x:v>
      </x:c>
    </x:row>
    <x:row r="236" ht="22" customHeight="1">
      <x:c r="A236" s="1" t="n">
        <x:v>233</x:v>
      </x:c>
      <x:c r="B236" s="1" t="str">
        <x:v>Porygon2</x:v>
      </x:c>
      <x:c r="C236" s="1" t="str">
        <x:v>Normal</x:v>
      </x:c>
      <x:c r="D236" s="1" t="str"/>
      <x:c r="E236" s="1" t="str">
        <x:v>Raro</x:v>
      </x:c>
      <x:c r="F236" s="10" t="n">
        <x:v>85</x:v>
      </x:c>
      <x:c r="G236" s="10" t="n">
        <x:v>80</x:v>
      </x:c>
      <x:c r="H236" s="10" t="n">
        <x:v>90</x:v>
      </x:c>
      <x:c r="I236" s="10" t="n">
        <x:v>105</x:v>
      </x:c>
      <x:c r="J236" s="10" t="n">
        <x:v>95</x:v>
      </x:c>
      <x:c r="K236" s="10" t="n">
        <x:v>60</x:v>
      </x:c>
      <x:c r="L236" s="10" t="n">
        <x:f>SUM(F236:K236)</x:f>
        <x:v>515</x:v>
      </x:c>
      <x:c r="M236" s="1" t="str">
        <x:f>IF(G236=I236,"Empate",IF(G236&gt;I236,"Física","Especial"))</x:f>
        <x:v>Especial</x:v>
      </x:c>
      <x:c r="N236" s="10" t="n">
        <x:v>80</x:v>
      </x:c>
      <x:c r="O236" s="10" t="n">
        <x:v>3848</x:v>
      </x:c>
      <x:c r="P236" s="10" t="n">
        <x:v>60000</x:v>
      </x:c>
      <x:c r="Q236" s="10" t="n">
        <x:v>60000</x:v>
      </x:c>
      <x:c r="R236" s="1" t="str"/>
      <x:c r="S236" s="1"/>
      <x:c r="T236" s="9" t="str">
        <x:v>https://poke.idleworld.online/pokepedia/pokemon/porygon2</x:v>
      </x:c>
    </x:row>
    <x:row r="237" ht="22" customHeight="1">
      <x:c r="A237" s="1" t="n">
        <x:v>234</x:v>
      </x:c>
      <x:c r="B237" s="1" t="str">
        <x:v>Stantler</x:v>
      </x:c>
      <x:c r="C237" s="1" t="str">
        <x:v>Normal</x:v>
      </x:c>
      <x:c r="D237" s="1" t="str"/>
      <x:c r="E237" s="1" t="str">
        <x:v>Incomum</x:v>
      </x:c>
      <x:c r="F237" s="10" t="n">
        <x:v>73</x:v>
      </x:c>
      <x:c r="G237" s="10" t="n">
        <x:v>95</x:v>
      </x:c>
      <x:c r="H237" s="10" t="n">
        <x:v>62</x:v>
      </x:c>
      <x:c r="I237" s="10" t="n">
        <x:v>85</x:v>
      </x:c>
      <x:c r="J237" s="10" t="n">
        <x:v>65</x:v>
      </x:c>
      <x:c r="K237" s="10" t="n">
        <x:v>85</x:v>
      </x:c>
      <x:c r="L237" s="10" t="n">
        <x:f>SUM(F237:K237)</x:f>
        <x:v>465</x:v>
      </x:c>
      <x:c r="M237" s="1" t="str">
        <x:f>IF(G237=I237,"Empate",IF(G237&gt;I237,"Física","Especial"))</x:f>
        <x:v>Física</x:v>
      </x:c>
      <x:c r="N237" s="10" t="n">
        <x:v>50</x:v>
      </x:c>
      <x:c r="O237" s="10" t="n">
        <x:v>1508</x:v>
      </x:c>
      <x:c r="P237" s="10" t="n">
        <x:v>10000</x:v>
      </x:c>
      <x:c r="Q237" s="10" t="n">
        <x:v>10000</x:v>
      </x:c>
      <x:c r="R237" s="1" t="str"/>
      <x:c r="S237" s="1"/>
      <x:c r="T237" s="9" t="str">
        <x:v>https://poke.idleworld.online/pokepedia/pokemon/stantler</x:v>
      </x:c>
    </x:row>
    <x:row r="238" ht="22" customHeight="1">
      <x:c r="A238" s="1" t="n">
        <x:v>235</x:v>
      </x:c>
      <x:c r="B238" s="1" t="str">
        <x:v>Smeargle</x:v>
      </x:c>
      <x:c r="C238" s="1" t="str">
        <x:v>Normal</x:v>
      </x:c>
      <x:c r="D238" s="1" t="str"/>
      <x:c r="E238" s="1" t="str">
        <x:v>Incomum</x:v>
      </x:c>
      <x:c r="F238" s="10" t="n">
        <x:v>55</x:v>
      </x:c>
      <x:c r="G238" s="10" t="n">
        <x:v>20</x:v>
      </x:c>
      <x:c r="H238" s="10" t="n">
        <x:v>35</x:v>
      </x:c>
      <x:c r="I238" s="10" t="n">
        <x:v>20</x:v>
      </x:c>
      <x:c r="J238" s="10" t="n">
        <x:v>45</x:v>
      </x:c>
      <x:c r="K238" s="10" t="n">
        <x:v>75</x:v>
      </x:c>
      <x:c r="L238" s="10" t="n">
        <x:f>SUM(F238:K238)</x:f>
        <x:v>250</x:v>
      </x:c>
      <x:c r="M238" s="1" t="str">
        <x:f>IF(G238=I238,"Empate",IF(G238&gt;I238,"Física","Especial"))</x:f>
        <x:v>Empate</x:v>
      </x:c>
      <x:c r="N238" s="10" t="n">
        <x:v>1</x:v>
      </x:c>
      <x:c r="O238" s="10" t="n">
        <x:v>8</x:v>
      </x:c>
      <x:c r="P238" s="10" t="n">
        <x:v>1000000</x:v>
      </x:c>
      <x:c r="Q238" s="10" t="n">
        <x:v>1000000</x:v>
      </x:c>
      <x:c r="R238" s="1" t="str"/>
      <x:c r="S238" s="1"/>
      <x:c r="T238" s="9" t="str">
        <x:v>https://poke.idleworld.online/pokepedia/pokemon/smeargle</x:v>
      </x:c>
    </x:row>
    <x:row r="239" ht="22" customHeight="1">
      <x:c r="A239" s="1" t="n">
        <x:v>236</x:v>
      </x:c>
      <x:c r="B239" s="1" t="str">
        <x:v>Tyrogue</x:v>
      </x:c>
      <x:c r="C239" s="1" t="str">
        <x:v>Lutador</x:v>
      </x:c>
      <x:c r="D239" s="1" t="str"/>
      <x:c r="E239" s="1" t="str">
        <x:v>Comum</x:v>
      </x:c>
      <x:c r="F239" s="10" t="n">
        <x:v>35</x:v>
      </x:c>
      <x:c r="G239" s="10" t="n">
        <x:v>35</x:v>
      </x:c>
      <x:c r="H239" s="10" t="n">
        <x:v>35</x:v>
      </x:c>
      <x:c r="I239" s="10" t="n">
        <x:v>35</x:v>
      </x:c>
      <x:c r="J239" s="10" t="n">
        <x:v>35</x:v>
      </x:c>
      <x:c r="K239" s="10" t="n">
        <x:v>35</x:v>
      </x:c>
      <x:c r="L239" s="10" t="n">
        <x:f>SUM(F239:K239)</x:f>
        <x:v>210</x:v>
      </x:c>
      <x:c r="M239" s="1" t="str">
        <x:f>IF(G239=I239,"Empate",IF(G239&gt;I239,"Física","Especial"))</x:f>
        <x:v>Empate</x:v>
      </x:c>
      <x:c r="N239" s="10" t="n">
        <x:v>30</x:v>
      </x:c>
      <x:c r="O239" s="10" t="n">
        <x:v>548</x:v>
      </x:c>
      <x:c r="P239" s="10" t="n">
        <x:v>75000</x:v>
      </x:c>
      <x:c r="Q239" s="10" t="n">
        <x:v>75000</x:v>
      </x:c>
      <x:c r="R239" s="1" t="str">
        <x:v>Hitmontop</x:v>
      </x:c>
      <x:c r="S239" s="1" t="n">
        <x:v>60</x:v>
      </x:c>
      <x:c r="T239" s="9" t="str">
        <x:v>https://poke.idleworld.online/pokepedia/pokemon/tyrogue</x:v>
      </x:c>
    </x:row>
    <x:row r="240" ht="22" customHeight="1">
      <x:c r="A240" s="1" t="n">
        <x:v>237</x:v>
      </x:c>
      <x:c r="B240" s="1" t="str">
        <x:v>Hitmontop</x:v>
      </x:c>
      <x:c r="C240" s="1" t="str">
        <x:v>Lutador</x:v>
      </x:c>
      <x:c r="D240" s="1" t="str"/>
      <x:c r="E240" s="1" t="str">
        <x:v>Raro</x:v>
      </x:c>
      <x:c r="F240" s="10" t="n">
        <x:v>50</x:v>
      </x:c>
      <x:c r="G240" s="10" t="n">
        <x:v>95</x:v>
      </x:c>
      <x:c r="H240" s="10" t="n">
        <x:v>95</x:v>
      </x:c>
      <x:c r="I240" s="10" t="n">
        <x:v>35</x:v>
      </x:c>
      <x:c r="J240" s="10" t="n">
        <x:v>110</x:v>
      </x:c>
      <x:c r="K240" s="10" t="n">
        <x:v>70</x:v>
      </x:c>
      <x:c r="L240" s="10" t="n">
        <x:f>SUM(F240:K240)</x:f>
        <x:v>455</x:v>
      </x:c>
      <x:c r="M240" s="1" t="str">
        <x:f>IF(G240=I240,"Empate",IF(G240&gt;I240,"Física","Especial"))</x:f>
        <x:v>Física</x:v>
      </x:c>
      <x:c r="N240" s="10" t="n">
        <x:v>60</x:v>
      </x:c>
      <x:c r="O240" s="10" t="n">
        <x:v>2168</x:v>
      </x:c>
      <x:c r="P240" s="10" t="n">
        <x:v>32750</x:v>
      </x:c>
      <x:c r="Q240" s="10" t="n">
        <x:v>32750</x:v>
      </x:c>
      <x:c r="R240" s="1" t="str"/>
      <x:c r="S240" s="1"/>
      <x:c r="T240" s="9" t="str">
        <x:v>https://poke.idleworld.online/pokepedia/pokemon/hitmontop</x:v>
      </x:c>
    </x:row>
    <x:row r="241" ht="22" customHeight="1">
      <x:c r="A241" s="1" t="n">
        <x:v>238</x:v>
      </x:c>
      <x:c r="B241" s="1" t="str">
        <x:v>Smoochum</x:v>
      </x:c>
      <x:c r="C241" s="1" t="str">
        <x:v>Gelo</x:v>
      </x:c>
      <x:c r="D241" s="1" t="str">
        <x:v>Psíquico</x:v>
      </x:c>
      <x:c r="E241" s="1" t="str">
        <x:v>Comum</x:v>
      </x:c>
      <x:c r="F241" s="10" t="n">
        <x:v>45</x:v>
      </x:c>
      <x:c r="G241" s="10" t="n">
        <x:v>30</x:v>
      </x:c>
      <x:c r="H241" s="10" t="n">
        <x:v>15</x:v>
      </x:c>
      <x:c r="I241" s="10" t="n">
        <x:v>85</x:v>
      </x:c>
      <x:c r="J241" s="10" t="n">
        <x:v>65</x:v>
      </x:c>
      <x:c r="K241" s="10" t="n">
        <x:v>65</x:v>
      </x:c>
      <x:c r="L241" s="10" t="n">
        <x:f>SUM(F241:K241)</x:f>
        <x:v>305</x:v>
      </x:c>
      <x:c r="M241" s="1" t="str">
        <x:f>IF(G241=I241,"Empate",IF(G241&gt;I241,"Física","Especial"))</x:f>
        <x:v>Especial</x:v>
      </x:c>
      <x:c r="N241" s="10" t="n">
        <x:v>30</x:v>
      </x:c>
      <x:c r="O241" s="10" t="n">
        <x:v>548</x:v>
      </x:c>
      <x:c r="P241" s="10" t="n">
        <x:v>20000</x:v>
      </x:c>
      <x:c r="Q241" s="10" t="n">
        <x:v>20000</x:v>
      </x:c>
      <x:c r="R241" s="1" t="str">
        <x:v>Jynx</x:v>
      </x:c>
      <x:c r="S241" s="1" t="n">
        <x:v>80</x:v>
      </x:c>
      <x:c r="T241" s="9" t="str">
        <x:v>https://poke.idleworld.online/pokepedia/pokemon/smoochum</x:v>
      </x:c>
    </x:row>
    <x:row r="242" ht="22" customHeight="1">
      <x:c r="A242" s="1" t="n">
        <x:v>239</x:v>
      </x:c>
      <x:c r="B242" s="1" t="str">
        <x:v>Elekid</x:v>
      </x:c>
      <x:c r="C242" s="1" t="str">
        <x:v>Elétrico</x:v>
      </x:c>
      <x:c r="D242" s="1" t="str"/>
      <x:c r="E242" s="1" t="str">
        <x:v>Comum</x:v>
      </x:c>
      <x:c r="F242" s="10" t="n">
        <x:v>45</x:v>
      </x:c>
      <x:c r="G242" s="10" t="n">
        <x:v>63</x:v>
      </x:c>
      <x:c r="H242" s="10" t="n">
        <x:v>37</x:v>
      </x:c>
      <x:c r="I242" s="10" t="n">
        <x:v>65</x:v>
      </x:c>
      <x:c r="J242" s="10" t="n">
        <x:v>55</x:v>
      </x:c>
      <x:c r="K242" s="10" t="n">
        <x:v>95</x:v>
      </x:c>
      <x:c r="L242" s="10" t="n">
        <x:f>SUM(F242:K242)</x:f>
        <x:v>360</x:v>
      </x:c>
      <x:c r="M242" s="1" t="str">
        <x:f>IF(G242=I242,"Empate",IF(G242&gt;I242,"Física","Especial"))</x:f>
        <x:v>Especial</x:v>
      </x:c>
      <x:c r="N242" s="10" t="n">
        <x:v>30</x:v>
      </x:c>
      <x:c r="O242" s="10" t="n">
        <x:v>548</x:v>
      </x:c>
      <x:c r="P242" s="10" t="n">
        <x:v>20000</x:v>
      </x:c>
      <x:c r="Q242" s="10" t="n">
        <x:v>20000</x:v>
      </x:c>
      <x:c r="R242" s="1" t="str">
        <x:v>Electabuzz</x:v>
      </x:c>
      <x:c r="S242" s="1" t="n">
        <x:v>100</x:v>
      </x:c>
      <x:c r="T242" s="9" t="str">
        <x:v>https://poke.idleworld.online/pokepedia/pokemon/elekid</x:v>
      </x:c>
    </x:row>
    <x:row r="243" ht="22" customHeight="1">
      <x:c r="A243" s="1" t="n">
        <x:v>240</x:v>
      </x:c>
      <x:c r="B243" s="1" t="str">
        <x:v>Magby</x:v>
      </x:c>
      <x:c r="C243" s="1" t="str">
        <x:v>Fogo</x:v>
      </x:c>
      <x:c r="D243" s="1" t="str"/>
      <x:c r="E243" s="1" t="str">
        <x:v>Comum</x:v>
      </x:c>
      <x:c r="F243" s="10" t="n">
        <x:v>45</x:v>
      </x:c>
      <x:c r="G243" s="10" t="n">
        <x:v>75</x:v>
      </x:c>
      <x:c r="H243" s="10" t="n">
        <x:v>37</x:v>
      </x:c>
      <x:c r="I243" s="10" t="n">
        <x:v>70</x:v>
      </x:c>
      <x:c r="J243" s="10" t="n">
        <x:v>55</x:v>
      </x:c>
      <x:c r="K243" s="10" t="n">
        <x:v>83</x:v>
      </x:c>
      <x:c r="L243" s="10" t="n">
        <x:f>SUM(F243:K243)</x:f>
        <x:v>365</x:v>
      </x:c>
      <x:c r="M243" s="1" t="str">
        <x:f>IF(G243=I243,"Empate",IF(G243&gt;I243,"Física","Especial"))</x:f>
        <x:v>Física</x:v>
      </x:c>
      <x:c r="N243" s="10" t="n">
        <x:v>30</x:v>
      </x:c>
      <x:c r="O243" s="10" t="n">
        <x:v>548</x:v>
      </x:c>
      <x:c r="P243" s="10" t="n">
        <x:v>20000</x:v>
      </x:c>
      <x:c r="Q243" s="10" t="n">
        <x:v>20000</x:v>
      </x:c>
      <x:c r="R243" s="1" t="str">
        <x:v>Magmar</x:v>
      </x:c>
      <x:c r="S243" s="1" t="n">
        <x:v>100</x:v>
      </x:c>
      <x:c r="T243" s="9" t="str">
        <x:v>https://poke.idleworld.online/pokepedia/pokemon/magby</x:v>
      </x:c>
    </x:row>
    <x:row r="244" ht="22" customHeight="1">
      <x:c r="A244" s="1" t="n">
        <x:v>241</x:v>
      </x:c>
      <x:c r="B244" s="1" t="str">
        <x:v>Miltank</x:v>
      </x:c>
      <x:c r="C244" s="1" t="str">
        <x:v>Normal</x:v>
      </x:c>
      <x:c r="D244" s="1" t="str"/>
      <x:c r="E244" s="1" t="str">
        <x:v>Incomum</x:v>
      </x:c>
      <x:c r="F244" s="10" t="n">
        <x:v>95</x:v>
      </x:c>
      <x:c r="G244" s="10" t="n">
        <x:v>80</x:v>
      </x:c>
      <x:c r="H244" s="10" t="n">
        <x:v>105</x:v>
      </x:c>
      <x:c r="I244" s="10" t="n">
        <x:v>40</x:v>
      </x:c>
      <x:c r="J244" s="10" t="n">
        <x:v>70</x:v>
      </x:c>
      <x:c r="K244" s="10" t="n">
        <x:v>100</x:v>
      </x:c>
      <x:c r="L244" s="10" t="n">
        <x:f>SUM(F244:K244)</x:f>
        <x:v>490</x:v>
      </x:c>
      <x:c r="M244" s="1" t="str">
        <x:f>IF(G244=I244,"Empate",IF(G244&gt;I244,"Física","Especial"))</x:f>
        <x:v>Física</x:v>
      </x:c>
      <x:c r="N244" s="10" t="n">
        <x:v>80</x:v>
      </x:c>
      <x:c r="O244" s="10" t="n">
        <x:v>3848</x:v>
      </x:c>
      <x:c r="P244" s="10" t="n">
        <x:v>60000</x:v>
      </x:c>
      <x:c r="Q244" s="10" t="n">
        <x:v>60000</x:v>
      </x:c>
      <x:c r="R244" s="1" t="str"/>
      <x:c r="S244" s="1"/>
      <x:c r="T244" s="9" t="str">
        <x:v>https://poke.idleworld.online/pokepedia/pokemon/miltank</x:v>
      </x:c>
    </x:row>
    <x:row r="245" ht="22" customHeight="1">
      <x:c r="A245" s="1" t="n">
        <x:v>242</x:v>
      </x:c>
      <x:c r="B245" s="1" t="str">
        <x:v>Blissey</x:v>
      </x:c>
      <x:c r="C245" s="1" t="str">
        <x:v>Normal</x:v>
      </x:c>
      <x:c r="D245" s="1" t="str"/>
      <x:c r="E245" s="1" t="str">
        <x:v>Raro</x:v>
      </x:c>
      <x:c r="F245" s="10" t="n">
        <x:v>255</x:v>
      </x:c>
      <x:c r="G245" s="10" t="n">
        <x:v>10</x:v>
      </x:c>
      <x:c r="H245" s="10" t="n">
        <x:v>10</x:v>
      </x:c>
      <x:c r="I245" s="10" t="n">
        <x:v>75</x:v>
      </x:c>
      <x:c r="J245" s="10" t="n">
        <x:v>135</x:v>
      </x:c>
      <x:c r="K245" s="10" t="n">
        <x:v>55</x:v>
      </x:c>
      <x:c r="L245" s="10" t="n">
        <x:f>SUM(F245:K245)</x:f>
        <x:v>540</x:v>
      </x:c>
      <x:c r="M245" s="1" t="str">
        <x:f>IF(G245=I245,"Empate",IF(G245&gt;I245,"Física","Especial"))</x:f>
        <x:v>Especial</x:v>
      </x:c>
      <x:c r="N245" s="10" t="n">
        <x:v>100</x:v>
      </x:c>
      <x:c r="O245" s="10" t="n">
        <x:v>6008</x:v>
      </x:c>
      <x:c r="P245" s="10" t="n">
        <x:v>70000</x:v>
      </x:c>
      <x:c r="Q245" s="10" t="n">
        <x:v>70000</x:v>
      </x:c>
      <x:c r="R245" s="1" t="str"/>
      <x:c r="S245" s="1"/>
      <x:c r="T245" s="9" t="str">
        <x:v>https://poke.idleworld.online/pokepedia/pokemon/blissey</x:v>
      </x:c>
    </x:row>
    <x:row r="246" ht="22" customHeight="1">
      <x:c r="A246" s="1" t="n">
        <x:v>243</x:v>
      </x:c>
      <x:c r="B246" s="1" t="str">
        <x:v>Raikou</x:v>
      </x:c>
      <x:c r="C246" s="1" t="str">
        <x:v>Elétrico</x:v>
      </x:c>
      <x:c r="D246" s="1" t="str"/>
      <x:c r="E246" s="1" t="str">
        <x:v>Lendário</x:v>
      </x:c>
      <x:c r="F246" s="10" t="n">
        <x:v>90</x:v>
      </x:c>
      <x:c r="G246" s="10" t="n">
        <x:v>85</x:v>
      </x:c>
      <x:c r="H246" s="10" t="n">
        <x:v>75</x:v>
      </x:c>
      <x:c r="I246" s="10" t="n">
        <x:v>115</x:v>
      </x:c>
      <x:c r="J246" s="10" t="n">
        <x:v>100</x:v>
      </x:c>
      <x:c r="K246" s="10" t="n">
        <x:v>115</x:v>
      </x:c>
      <x:c r="L246" s="10" t="n">
        <x:f>SUM(F246:K246)</x:f>
        <x:v>580</x:v>
      </x:c>
      <x:c r="M246" s="1" t="str">
        <x:f>IF(G246=I246,"Empate",IF(G246&gt;I246,"Física","Especial"))</x:f>
        <x:v>Especial</x:v>
      </x:c>
      <x:c r="N246" s="10" t="n">
        <x:v>200</x:v>
      </x:c>
      <x:c r="O246" s="10" t="n">
        <x:v>6008</x:v>
      </x:c>
      <x:c r="P246" s="10" t="n">
        <x:v>0</x:v>
      </x:c>
      <x:c r="Q246" s="10" t="n">
        <x:v>0</x:v>
      </x:c>
      <x:c r="R246" s="1" t="str"/>
      <x:c r="S246" s="1"/>
      <x:c r="T246" s="9" t="str">
        <x:v>https://poke.idleworld.online/pokepedia/pokemon/raikou</x:v>
      </x:c>
    </x:row>
    <x:row r="247" ht="22" customHeight="1">
      <x:c r="A247" s="1" t="n">
        <x:v>244</x:v>
      </x:c>
      <x:c r="B247" s="1" t="str">
        <x:v>Entei</x:v>
      </x:c>
      <x:c r="C247" s="1" t="str">
        <x:v>Fogo</x:v>
      </x:c>
      <x:c r="D247" s="1" t="str"/>
      <x:c r="E247" s="1" t="str">
        <x:v>Lendário</x:v>
      </x:c>
      <x:c r="F247" s="10" t="n">
        <x:v>115</x:v>
      </x:c>
      <x:c r="G247" s="10" t="n">
        <x:v>115</x:v>
      </x:c>
      <x:c r="H247" s="10" t="n">
        <x:v>85</x:v>
      </x:c>
      <x:c r="I247" s="10" t="n">
        <x:v>90</x:v>
      </x:c>
      <x:c r="J247" s="10" t="n">
        <x:v>75</x:v>
      </x:c>
      <x:c r="K247" s="10" t="n">
        <x:v>100</x:v>
      </x:c>
      <x:c r="L247" s="10" t="n">
        <x:f>SUM(F247:K247)</x:f>
        <x:v>580</x:v>
      </x:c>
      <x:c r="M247" s="1" t="str">
        <x:f>IF(G247=I247,"Empate",IF(G247&gt;I247,"Física","Especial"))</x:f>
        <x:v>Física</x:v>
      </x:c>
      <x:c r="N247" s="10" t="n">
        <x:v>200</x:v>
      </x:c>
      <x:c r="O247" s="10" t="n">
        <x:v>6008</x:v>
      </x:c>
      <x:c r="P247" s="10" t="n">
        <x:v>0</x:v>
      </x:c>
      <x:c r="Q247" s="10" t="n">
        <x:v>0</x:v>
      </x:c>
      <x:c r="R247" s="1" t="str"/>
      <x:c r="S247" s="1"/>
      <x:c r="T247" s="9" t="str">
        <x:v>https://poke.idleworld.online/pokepedia/pokemon/entei</x:v>
      </x:c>
    </x:row>
    <x:row r="248" ht="22" customHeight="1">
      <x:c r="A248" s="1" t="n">
        <x:v>245</x:v>
      </x:c>
      <x:c r="B248" s="1" t="str">
        <x:v>Suicune</x:v>
      </x:c>
      <x:c r="C248" s="1" t="str">
        <x:v>Água</x:v>
      </x:c>
      <x:c r="D248" s="1" t="str"/>
      <x:c r="E248" s="1" t="str">
        <x:v>Lendário</x:v>
      </x:c>
      <x:c r="F248" s="10" t="n">
        <x:v>100</x:v>
      </x:c>
      <x:c r="G248" s="10" t="n">
        <x:v>75</x:v>
      </x:c>
      <x:c r="H248" s="10" t="n">
        <x:v>115</x:v>
      </x:c>
      <x:c r="I248" s="10" t="n">
        <x:v>90</x:v>
      </x:c>
      <x:c r="J248" s="10" t="n">
        <x:v>115</x:v>
      </x:c>
      <x:c r="K248" s="10" t="n">
        <x:v>85</x:v>
      </x:c>
      <x:c r="L248" s="10" t="n">
        <x:f>SUM(F248:K248)</x:f>
        <x:v>580</x:v>
      </x:c>
      <x:c r="M248" s="1" t="str">
        <x:f>IF(G248=I248,"Empate",IF(G248&gt;I248,"Física","Especial"))</x:f>
        <x:v>Especial</x:v>
      </x:c>
      <x:c r="N248" s="10" t="n">
        <x:v>200</x:v>
      </x:c>
      <x:c r="O248" s="10" t="n">
        <x:v>6008</x:v>
      </x:c>
      <x:c r="P248" s="10" t="n">
        <x:v>0</x:v>
      </x:c>
      <x:c r="Q248" s="10" t="n">
        <x:v>0</x:v>
      </x:c>
      <x:c r="R248" s="1" t="str"/>
      <x:c r="S248" s="1"/>
      <x:c r="T248" s="9" t="str">
        <x:v>https://poke.idleworld.online/pokepedia/pokemon/suicune</x:v>
      </x:c>
    </x:row>
    <x:row r="249" ht="22" customHeight="1">
      <x:c r="A249" s="1" t="n">
        <x:v>246</x:v>
      </x:c>
      <x:c r="B249" s="1" t="str">
        <x:v>Larvitar</x:v>
      </x:c>
      <x:c r="C249" s="1" t="str">
        <x:v>Pedra</x:v>
      </x:c>
      <x:c r="D249" s="1" t="str">
        <x:v>Terrestre</x:v>
      </x:c>
      <x:c r="E249" s="1" t="str">
        <x:v>Épico</x:v>
      </x:c>
      <x:c r="F249" s="10" t="n">
        <x:v>50</x:v>
      </x:c>
      <x:c r="G249" s="10" t="n">
        <x:v>64</x:v>
      </x:c>
      <x:c r="H249" s="10" t="n">
        <x:v>50</x:v>
      </x:c>
      <x:c r="I249" s="10" t="n">
        <x:v>45</x:v>
      </x:c>
      <x:c r="J249" s="10" t="n">
        <x:v>50</x:v>
      </x:c>
      <x:c r="K249" s="10" t="n">
        <x:v>41</x:v>
      </x:c>
      <x:c r="L249" s="10" t="n">
        <x:f>SUM(F249:K249)</x:f>
        <x:v>300</x:v>
      </x:c>
      <x:c r="M249" s="1" t="str">
        <x:f>IF(G249=I249,"Empate",IF(G249&gt;I249,"Física","Especial"))</x:f>
        <x:v>Física</x:v>
      </x:c>
      <x:c r="N249" s="10" t="n">
        <x:v>30</x:v>
      </x:c>
      <x:c r="O249" s="10" t="n">
        <x:v>548</x:v>
      </x:c>
      <x:c r="P249" s="10" t="n">
        <x:v>15000</x:v>
      </x:c>
      <x:c r="Q249" s="10" t="n">
        <x:v>15000</x:v>
      </x:c>
      <x:c r="R249" s="1" t="str">
        <x:v>Pupitar</x:v>
      </x:c>
      <x:c r="S249" s="1" t="n">
        <x:v>60</x:v>
      </x:c>
      <x:c r="T249" s="9" t="str">
        <x:v>https://poke.idleworld.online/pokepedia/pokemon/larvitar</x:v>
      </x:c>
    </x:row>
    <x:row r="250" ht="22" customHeight="1">
      <x:c r="A250" s="1" t="n">
        <x:v>247</x:v>
      </x:c>
      <x:c r="B250" s="1" t="str">
        <x:v>Pupitar</x:v>
      </x:c>
      <x:c r="C250" s="1" t="str">
        <x:v>Pedra</x:v>
      </x:c>
      <x:c r="D250" s="1" t="str">
        <x:v>Terrestre</x:v>
      </x:c>
      <x:c r="E250" s="1" t="str">
        <x:v>Épico</x:v>
      </x:c>
      <x:c r="F250" s="10" t="n">
        <x:v>70</x:v>
      </x:c>
      <x:c r="G250" s="10" t="n">
        <x:v>84</x:v>
      </x:c>
      <x:c r="H250" s="10" t="n">
        <x:v>70</x:v>
      </x:c>
      <x:c r="I250" s="10" t="n">
        <x:v>65</x:v>
      </x:c>
      <x:c r="J250" s="10" t="n">
        <x:v>70</x:v>
      </x:c>
      <x:c r="K250" s="10" t="n">
        <x:v>51</x:v>
      </x:c>
      <x:c r="L250" s="10" t="n">
        <x:f>SUM(F250:K250)</x:f>
        <x:v>410</x:v>
      </x:c>
      <x:c r="M250" s="1" t="str">
        <x:f>IF(G250=I250,"Empate",IF(G250&gt;I250,"Física","Especial"))</x:f>
        <x:v>Física</x:v>
      </x:c>
      <x:c r="N250" s="10" t="n">
        <x:v>60</x:v>
      </x:c>
      <x:c r="O250" s="10" t="n">
        <x:v>2168</x:v>
      </x:c>
      <x:c r="P250" s="10" t="n">
        <x:v>32500</x:v>
      </x:c>
      <x:c r="Q250" s="10" t="n">
        <x:v>32500</x:v>
      </x:c>
      <x:c r="R250" s="1" t="str">
        <x:v>Tyranitar</x:v>
      </x:c>
      <x:c r="S250" s="1" t="n">
        <x:v>100</x:v>
      </x:c>
      <x:c r="T250" s="9" t="str">
        <x:v>https://poke.idleworld.online/pokepedia/pokemon/pupitar</x:v>
      </x:c>
    </x:row>
    <x:row r="251" ht="22" customHeight="1">
      <x:c r="A251" s="1" t="n">
        <x:v>248</x:v>
      </x:c>
      <x:c r="B251" s="1" t="str">
        <x:v>Tyranitar</x:v>
      </x:c>
      <x:c r="C251" s="1" t="str">
        <x:v>Pedra</x:v>
      </x:c>
      <x:c r="D251" s="1" t="str">
        <x:v>Sombrio</x:v>
      </x:c>
      <x:c r="E251" s="1" t="str">
        <x:v>Épico</x:v>
      </x:c>
      <x:c r="F251" s="10" t="n">
        <x:v>100</x:v>
      </x:c>
      <x:c r="G251" s="10" t="n">
        <x:v>134</x:v>
      </x:c>
      <x:c r="H251" s="10" t="n">
        <x:v>110</x:v>
      </x:c>
      <x:c r="I251" s="10" t="n">
        <x:v>95</x:v>
      </x:c>
      <x:c r="J251" s="10" t="n">
        <x:v>100</x:v>
      </x:c>
      <x:c r="K251" s="10" t="n">
        <x:v>61</x:v>
      </x:c>
      <x:c r="L251" s="10" t="n">
        <x:f>SUM(F251:K251)</x:f>
        <x:v>600</x:v>
      </x:c>
      <x:c r="M251" s="1" t="str">
        <x:f>IF(G251=I251,"Empate",IF(G251&gt;I251,"Física","Especial"))</x:f>
        <x:v>Física</x:v>
      </x:c>
      <x:c r="N251" s="10" t="n">
        <x:v>100</x:v>
      </x:c>
      <x:c r="O251" s="10" t="n">
        <x:v>6008</x:v>
      </x:c>
      <x:c r="P251" s="10" t="n">
        <x:v>62500</x:v>
      </x:c>
      <x:c r="Q251" s="10" t="n">
        <x:v>62500</x:v>
      </x:c>
      <x:c r="R251" s="1" t="str"/>
      <x:c r="S251" s="1"/>
      <x:c r="T251" s="9" t="str">
        <x:v>https://poke.idleworld.online/pokepedia/pokemon/tyranitar</x:v>
      </x:c>
    </x:row>
    <x:row r="252" ht="22" customHeight="1">
      <x:c r="A252" s="1" t="n">
        <x:v>249</x:v>
      </x:c>
      <x:c r="B252" s="1" t="str">
        <x:v>Lugia</x:v>
      </x:c>
      <x:c r="C252" s="1" t="str">
        <x:v>Psíquico</x:v>
      </x:c>
      <x:c r="D252" s="1" t="str">
        <x:v>Voador</x:v>
      </x:c>
      <x:c r="E252" s="1" t="str">
        <x:v>Lendário</x:v>
      </x:c>
      <x:c r="F252" s="10" t="n">
        <x:v>106</x:v>
      </x:c>
      <x:c r="G252" s="10" t="n">
        <x:v>90</x:v>
      </x:c>
      <x:c r="H252" s="10" t="n">
        <x:v>130</x:v>
      </x:c>
      <x:c r="I252" s="10" t="n">
        <x:v>90</x:v>
      </x:c>
      <x:c r="J252" s="10" t="n">
        <x:v>154</x:v>
      </x:c>
      <x:c r="K252" s="10" t="n">
        <x:v>110</x:v>
      </x:c>
      <x:c r="L252" s="10" t="n">
        <x:f>SUM(F252:K252)</x:f>
        <x:v>680</x:v>
      </x:c>
      <x:c r="M252" s="1" t="str">
        <x:f>IF(G252=I252,"Empate",IF(G252&gt;I252,"Física","Especial"))</x:f>
        <x:v>Empate</x:v>
      </x:c>
      <x:c r="N252" s="10" t="n">
        <x:v>200</x:v>
      </x:c>
      <x:c r="O252" s="10" t="n">
        <x:v>6008</x:v>
      </x:c>
      <x:c r="P252" s="10" t="n">
        <x:v>0</x:v>
      </x:c>
      <x:c r="Q252" s="10" t="n">
        <x:v>0</x:v>
      </x:c>
      <x:c r="R252" s="1" t="str"/>
      <x:c r="S252" s="1"/>
      <x:c r="T252" s="9" t="str">
        <x:v>https://poke.idleworld.online/pokepedia/pokemon/lugia</x:v>
      </x:c>
    </x:row>
    <x:row r="253" ht="22" customHeight="1">
      <x:c r="A253" s="1" t="n">
        <x:v>250</x:v>
      </x:c>
      <x:c r="B253" s="1" t="str">
        <x:v>Ho-oh</x:v>
      </x:c>
      <x:c r="C253" s="1" t="str">
        <x:v>Fogo</x:v>
      </x:c>
      <x:c r="D253" s="1" t="str">
        <x:v>Voador</x:v>
      </x:c>
      <x:c r="E253" s="1" t="str">
        <x:v>Lendário</x:v>
      </x:c>
      <x:c r="F253" s="10" t="n">
        <x:v>106</x:v>
      </x:c>
      <x:c r="G253" s="10" t="n">
        <x:v>130</x:v>
      </x:c>
      <x:c r="H253" s="10" t="n">
        <x:v>90</x:v>
      </x:c>
      <x:c r="I253" s="10" t="n">
        <x:v>110</x:v>
      </x:c>
      <x:c r="J253" s="10" t="n">
        <x:v>154</x:v>
      </x:c>
      <x:c r="K253" s="10" t="n">
        <x:v>90</x:v>
      </x:c>
      <x:c r="L253" s="10" t="n">
        <x:f>SUM(F253:K253)</x:f>
        <x:v>680</x:v>
      </x:c>
      <x:c r="M253" s="1" t="str">
        <x:f>IF(G253=I253,"Empate",IF(G253&gt;I253,"Física","Especial"))</x:f>
        <x:v>Física</x:v>
      </x:c>
      <x:c r="N253" s="10" t="n">
        <x:v>200</x:v>
      </x:c>
      <x:c r="O253" s="10" t="n">
        <x:v>6008</x:v>
      </x:c>
      <x:c r="P253" s="10" t="n">
        <x:v>0</x:v>
      </x:c>
      <x:c r="Q253" s="10" t="n">
        <x:v>0</x:v>
      </x:c>
      <x:c r="R253" s="1" t="str"/>
      <x:c r="S253" s="1"/>
      <x:c r="T253" s="9" t="str">
        <x:v>https://poke.idleworld.online/pokepedia/pokemon/hooh</x:v>
      </x:c>
    </x:row>
    <x:row r="254" ht="22" customHeight="1">
      <x:c r="A254" s="1" t="n">
        <x:v>251</x:v>
      </x:c>
      <x:c r="B254" s="1" t="str">
        <x:v>Celebi</x:v>
      </x:c>
      <x:c r="C254" s="1" t="str">
        <x:v>Psíquico</x:v>
      </x:c>
      <x:c r="D254" s="1" t="str">
        <x:v>Planta</x:v>
      </x:c>
      <x:c r="E254" s="1" t="str">
        <x:v>Mítico</x:v>
      </x:c>
      <x:c r="F254" s="10" t="n">
        <x:v>100</x:v>
      </x:c>
      <x:c r="G254" s="10" t="n">
        <x:v>100</x:v>
      </x:c>
      <x:c r="H254" s="10" t="n">
        <x:v>100</x:v>
      </x:c>
      <x:c r="I254" s="10" t="n">
        <x:v>100</x:v>
      </x:c>
      <x:c r="J254" s="10" t="n">
        <x:v>100</x:v>
      </x:c>
      <x:c r="K254" s="10" t="n">
        <x:v>100</x:v>
      </x:c>
      <x:c r="L254" s="10" t="n">
        <x:f>SUM(F254:K254)</x:f>
        <x:v>600</x:v>
      </x:c>
      <x:c r="M254" s="1" t="str">
        <x:f>IF(G254=I254,"Empate",IF(G254&gt;I254,"Física","Especial"))</x:f>
        <x:v>Empate</x:v>
      </x:c>
      <x:c r="N254" s="10" t="n">
        <x:v>200</x:v>
      </x:c>
      <x:c r="O254" s="10" t="n">
        <x:v>6008</x:v>
      </x:c>
      <x:c r="P254" s="10" t="n">
        <x:v>0</x:v>
      </x:c>
      <x:c r="Q254" s="10" t="n">
        <x:v>0</x:v>
      </x:c>
      <x:c r="R254" s="1" t="str"/>
      <x:c r="S254" s="1"/>
      <x:c r="T254" s="9" t="str">
        <x:v>https://poke.idleworld.online/pokepedia/pokemon/celebi</x:v>
      </x:c>
    </x:row>
    <x:row r="255" ht="22" customHeight="1">
      <x:c r="A255" s="1" t="n">
        <x:v>252</x:v>
      </x:c>
      <x:c r="B255" s="1" t="str">
        <x:v>Treecko</x:v>
      </x:c>
      <x:c r="C255" s="1" t="str">
        <x:v>Planta</x:v>
      </x:c>
      <x:c r="D255" s="1" t="str"/>
      <x:c r="E255" s="1" t="str">
        <x:v>Comum</x:v>
      </x:c>
      <x:c r="F255" s="10" t="n">
        <x:v>40</x:v>
      </x:c>
      <x:c r="G255" s="10" t="n">
        <x:v>45</x:v>
      </x:c>
      <x:c r="H255" s="10" t="n">
        <x:v>35</x:v>
      </x:c>
      <x:c r="I255" s="10" t="n">
        <x:v>65</x:v>
      </x:c>
      <x:c r="J255" s="10" t="n">
        <x:v>55</x:v>
      </x:c>
      <x:c r="K255" s="10" t="n">
        <x:v>70</x:v>
      </x:c>
      <x:c r="L255" s="10" t="n">
        <x:f>SUM(F255:K255)</x:f>
        <x:v>310</x:v>
      </x:c>
      <x:c r="M255" s="1" t="str">
        <x:f>IF(G255=I255,"Empate",IF(G255&gt;I255,"Física","Especial"))</x:f>
        <x:v>Especial</x:v>
      </x:c>
      <x:c r="N255" s="10" t="n">
        <x:v>20</x:v>
      </x:c>
      <x:c r="O255" s="10" t="n">
        <x:v>248</x:v>
      </x:c>
      <x:c r="P255" s="10" t="n">
        <x:v>3000</x:v>
      </x:c>
      <x:c r="Q255" s="10" t="n">
        <x:v>3000</x:v>
      </x:c>
      <x:c r="R255" s="1" t="str">
        <x:v>Grovyle</x:v>
      </x:c>
      <x:c r="S255" s="1" t="n">
        <x:v>40</x:v>
      </x:c>
      <x:c r="T255" s="9" t="str">
        <x:v>https://poke.idleworld.online/pokepedia/pokemon/treecko</x:v>
      </x:c>
    </x:row>
    <x:row r="256" ht="22" customHeight="1">
      <x:c r="A256" s="1" t="n">
        <x:v>253</x:v>
      </x:c>
      <x:c r="B256" s="1" t="str">
        <x:v>Grovyle</x:v>
      </x:c>
      <x:c r="C256" s="1" t="str">
        <x:v>Planta</x:v>
      </x:c>
      <x:c r="D256" s="1" t="str"/>
      <x:c r="E256" s="1" t="str">
        <x:v>Incomum</x:v>
      </x:c>
      <x:c r="F256" s="10" t="n">
        <x:v>50</x:v>
      </x:c>
      <x:c r="G256" s="10" t="n">
        <x:v>65</x:v>
      </x:c>
      <x:c r="H256" s="10" t="n">
        <x:v>45</x:v>
      </x:c>
      <x:c r="I256" s="10" t="n">
        <x:v>85</x:v>
      </x:c>
      <x:c r="J256" s="10" t="n">
        <x:v>65</x:v>
      </x:c>
      <x:c r="K256" s="10" t="n">
        <x:v>95</x:v>
      </x:c>
      <x:c r="L256" s="10" t="n">
        <x:f>SUM(F256:K256)</x:f>
        <x:v>405</x:v>
      </x:c>
      <x:c r="M256" s="1" t="str">
        <x:f>IF(G256=I256,"Empate",IF(G256&gt;I256,"Física","Especial"))</x:f>
        <x:v>Especial</x:v>
      </x:c>
      <x:c r="N256" s="10" t="n">
        <x:v>40</x:v>
      </x:c>
      <x:c r="O256" s="10" t="n">
        <x:v>968</x:v>
      </x:c>
      <x:c r="P256" s="10" t="n">
        <x:v>8000</x:v>
      </x:c>
      <x:c r="Q256" s="10" t="n">
        <x:v>8000</x:v>
      </x:c>
      <x:c r="R256" s="1" t="str">
        <x:v>Sceptile</x:v>
      </x:c>
      <x:c r="S256" s="1" t="n">
        <x:v>80</x:v>
      </x:c>
      <x:c r="T256" s="9" t="str">
        <x:v>https://poke.idleworld.online/pokepedia/pokemon/grovyle</x:v>
      </x:c>
    </x:row>
    <x:row r="257" ht="22" customHeight="1">
      <x:c r="A257" s="1" t="n">
        <x:v>254</x:v>
      </x:c>
      <x:c r="B257" s="1" t="str">
        <x:v>Sceptile</x:v>
      </x:c>
      <x:c r="C257" s="1" t="str">
        <x:v>Planta</x:v>
      </x:c>
      <x:c r="D257" s="1" t="str"/>
      <x:c r="E257" s="1" t="str">
        <x:v>Raro</x:v>
      </x:c>
      <x:c r="F257" s="10" t="n">
        <x:v>70</x:v>
      </x:c>
      <x:c r="G257" s="10" t="n">
        <x:v>85</x:v>
      </x:c>
      <x:c r="H257" s="10" t="n">
        <x:v>65</x:v>
      </x:c>
      <x:c r="I257" s="10" t="n">
        <x:v>105</x:v>
      </x:c>
      <x:c r="J257" s="10" t="n">
        <x:v>85</x:v>
      </x:c>
      <x:c r="K257" s="10" t="n">
        <x:v>120</x:v>
      </x:c>
      <x:c r="L257" s="10" t="n">
        <x:f>SUM(F257:K257)</x:f>
        <x:v>530</x:v>
      </x:c>
      <x:c r="M257" s="1" t="str">
        <x:f>IF(G257=I257,"Empate",IF(G257&gt;I257,"Física","Especial"))</x:f>
        <x:v>Especial</x:v>
      </x:c>
      <x:c r="N257" s="10" t="n">
        <x:v>80</x:v>
      </x:c>
      <x:c r="O257" s="10" t="n">
        <x:v>3848</x:v>
      </x:c>
      <x:c r="P257" s="10" t="n">
        <x:v>18000</x:v>
      </x:c>
      <x:c r="Q257" s="10" t="n">
        <x:v>18000</x:v>
      </x:c>
      <x:c r="R257" s="1" t="str"/>
      <x:c r="S257" s="1"/>
      <x:c r="T257" s="9" t="str">
        <x:v>https://poke.idleworld.online/pokepedia/pokemon/sceptile</x:v>
      </x:c>
    </x:row>
    <x:row r="258" ht="22" customHeight="1">
      <x:c r="A258" s="1" t="n">
        <x:v>255</x:v>
      </x:c>
      <x:c r="B258" s="1" t="str">
        <x:v>Torchic</x:v>
      </x:c>
      <x:c r="C258" s="1" t="str">
        <x:v>Fogo</x:v>
      </x:c>
      <x:c r="D258" s="1" t="str"/>
      <x:c r="E258" s="1" t="str">
        <x:v>Comum</x:v>
      </x:c>
      <x:c r="F258" s="10" t="n">
        <x:v>45</x:v>
      </x:c>
      <x:c r="G258" s="10" t="n">
        <x:v>60</x:v>
      </x:c>
      <x:c r="H258" s="10" t="n">
        <x:v>40</x:v>
      </x:c>
      <x:c r="I258" s="10" t="n">
        <x:v>70</x:v>
      </x:c>
      <x:c r="J258" s="10" t="n">
        <x:v>50</x:v>
      </x:c>
      <x:c r="K258" s="10" t="n">
        <x:v>45</x:v>
      </x:c>
      <x:c r="L258" s="10" t="n">
        <x:f>SUM(F258:K258)</x:f>
        <x:v>310</x:v>
      </x:c>
      <x:c r="M258" s="1" t="str">
        <x:f>IF(G258=I258,"Empate",IF(G258&gt;I258,"Física","Especial"))</x:f>
        <x:v>Especial</x:v>
      </x:c>
      <x:c r="N258" s="10" t="n">
        <x:v>20</x:v>
      </x:c>
      <x:c r="O258" s="10" t="n">
        <x:v>248</x:v>
      </x:c>
      <x:c r="P258" s="10" t="n">
        <x:v>3000</x:v>
      </x:c>
      <x:c r="Q258" s="10" t="n">
        <x:v>3000</x:v>
      </x:c>
      <x:c r="R258" s="1" t="str">
        <x:v>Combusken</x:v>
      </x:c>
      <x:c r="S258" s="1" t="n">
        <x:v>40</x:v>
      </x:c>
      <x:c r="T258" s="9" t="str">
        <x:v>https://poke.idleworld.online/pokepedia/pokemon/torchic</x:v>
      </x:c>
    </x:row>
    <x:row r="259" ht="22" customHeight="1">
      <x:c r="A259" s="1" t="n">
        <x:v>256</x:v>
      </x:c>
      <x:c r="B259" s="1" t="str">
        <x:v>Combusken</x:v>
      </x:c>
      <x:c r="C259" s="1" t="str">
        <x:v>Fogo</x:v>
      </x:c>
      <x:c r="D259" s="1" t="str">
        <x:v>Lutador</x:v>
      </x:c>
      <x:c r="E259" s="1" t="str">
        <x:v>Incomum</x:v>
      </x:c>
      <x:c r="F259" s="10" t="n">
        <x:v>60</x:v>
      </x:c>
      <x:c r="G259" s="10" t="n">
        <x:v>85</x:v>
      </x:c>
      <x:c r="H259" s="10" t="n">
        <x:v>60</x:v>
      </x:c>
      <x:c r="I259" s="10" t="n">
        <x:v>85</x:v>
      </x:c>
      <x:c r="J259" s="10" t="n">
        <x:v>60</x:v>
      </x:c>
      <x:c r="K259" s="10" t="n">
        <x:v>55</x:v>
      </x:c>
      <x:c r="L259" s="10" t="n">
        <x:f>SUM(F259:K259)</x:f>
        <x:v>405</x:v>
      </x:c>
      <x:c r="M259" s="1" t="str">
        <x:f>IF(G259=I259,"Empate",IF(G259&gt;I259,"Física","Especial"))</x:f>
        <x:v>Empate</x:v>
      </x:c>
      <x:c r="N259" s="10" t="n">
        <x:v>40</x:v>
      </x:c>
      <x:c r="O259" s="10" t="n">
        <x:v>968</x:v>
      </x:c>
      <x:c r="P259" s="10" t="n">
        <x:v>8000</x:v>
      </x:c>
      <x:c r="Q259" s="10" t="n">
        <x:v>8000</x:v>
      </x:c>
      <x:c r="R259" s="1" t="str">
        <x:v>Blaziken</x:v>
      </x:c>
      <x:c r="S259" s="1" t="n">
        <x:v>80</x:v>
      </x:c>
      <x:c r="T259" s="9" t="str">
        <x:v>https://poke.idleworld.online/pokepedia/pokemon/combusken</x:v>
      </x:c>
    </x:row>
    <x:row r="260" ht="22" customHeight="1">
      <x:c r="A260" s="1" t="n">
        <x:v>257</x:v>
      </x:c>
      <x:c r="B260" s="1" t="str">
        <x:v>Blaziken</x:v>
      </x:c>
      <x:c r="C260" s="1" t="str">
        <x:v>Fogo</x:v>
      </x:c>
      <x:c r="D260" s="1" t="str">
        <x:v>Lutador</x:v>
      </x:c>
      <x:c r="E260" s="1" t="str">
        <x:v>Raro</x:v>
      </x:c>
      <x:c r="F260" s="10" t="n">
        <x:v>80</x:v>
      </x:c>
      <x:c r="G260" s="10" t="n">
        <x:v>120</x:v>
      </x:c>
      <x:c r="H260" s="10" t="n">
        <x:v>70</x:v>
      </x:c>
      <x:c r="I260" s="10" t="n">
        <x:v>110</x:v>
      </x:c>
      <x:c r="J260" s="10" t="n">
        <x:v>70</x:v>
      </x:c>
      <x:c r="K260" s="10" t="n">
        <x:v>80</x:v>
      </x:c>
      <x:c r="L260" s="10" t="n">
        <x:f>SUM(F260:K260)</x:f>
        <x:v>530</x:v>
      </x:c>
      <x:c r="M260" s="1" t="str">
        <x:f>IF(G260=I260,"Empate",IF(G260&gt;I260,"Física","Especial"))</x:f>
        <x:v>Física</x:v>
      </x:c>
      <x:c r="N260" s="10" t="n">
        <x:v>80</x:v>
      </x:c>
      <x:c r="O260" s="10" t="n">
        <x:v>3848</x:v>
      </x:c>
      <x:c r="P260" s="10" t="n">
        <x:v>18000</x:v>
      </x:c>
      <x:c r="Q260" s="10" t="n">
        <x:v>18000</x:v>
      </x:c>
      <x:c r="R260" s="1" t="str"/>
      <x:c r="S260" s="1"/>
      <x:c r="T260" s="9" t="str">
        <x:v>https://poke.idleworld.online/pokepedia/pokemon/blaziken</x:v>
      </x:c>
    </x:row>
    <x:row r="261" ht="22" customHeight="1">
      <x:c r="A261" s="1" t="n">
        <x:v>258</x:v>
      </x:c>
      <x:c r="B261" s="1" t="str">
        <x:v>Mudkip</x:v>
      </x:c>
      <x:c r="C261" s="1" t="str">
        <x:v>Água</x:v>
      </x:c>
      <x:c r="D261" s="1" t="str"/>
      <x:c r="E261" s="1" t="str">
        <x:v>Comum</x:v>
      </x:c>
      <x:c r="F261" s="10" t="n">
        <x:v>50</x:v>
      </x:c>
      <x:c r="G261" s="10" t="n">
        <x:v>70</x:v>
      </x:c>
      <x:c r="H261" s="10" t="n">
        <x:v>50</x:v>
      </x:c>
      <x:c r="I261" s="10" t="n">
        <x:v>50</x:v>
      </x:c>
      <x:c r="J261" s="10" t="n">
        <x:v>50</x:v>
      </x:c>
      <x:c r="K261" s="10" t="n">
        <x:v>40</x:v>
      </x:c>
      <x:c r="L261" s="10" t="n">
        <x:f>SUM(F261:K261)</x:f>
        <x:v>310</x:v>
      </x:c>
      <x:c r="M261" s="1" t="str">
        <x:f>IF(G261=I261,"Empate",IF(G261&gt;I261,"Física","Especial"))</x:f>
        <x:v>Física</x:v>
      </x:c>
      <x:c r="N261" s="10" t="n">
        <x:v>20</x:v>
      </x:c>
      <x:c r="O261" s="10" t="n">
        <x:v>248</x:v>
      </x:c>
      <x:c r="P261" s="10" t="n">
        <x:v>3000</x:v>
      </x:c>
      <x:c r="Q261" s="10" t="n">
        <x:v>3000</x:v>
      </x:c>
      <x:c r="R261" s="1" t="str">
        <x:v>Marshtomp</x:v>
      </x:c>
      <x:c r="S261" s="1" t="n">
        <x:v>40</x:v>
      </x:c>
      <x:c r="T261" s="9" t="str">
        <x:v>https://poke.idleworld.online/pokepedia/pokemon/mudkip</x:v>
      </x:c>
    </x:row>
    <x:row r="262" ht="22" customHeight="1">
      <x:c r="A262" s="1" t="n">
        <x:v>259</x:v>
      </x:c>
      <x:c r="B262" s="1" t="str">
        <x:v>Marshtomp</x:v>
      </x:c>
      <x:c r="C262" s="1" t="str">
        <x:v>Água</x:v>
      </x:c>
      <x:c r="D262" s="1" t="str">
        <x:v>Terrestre</x:v>
      </x:c>
      <x:c r="E262" s="1" t="str">
        <x:v>Incomum</x:v>
      </x:c>
      <x:c r="F262" s="10" t="n">
        <x:v>70</x:v>
      </x:c>
      <x:c r="G262" s="10" t="n">
        <x:v>85</x:v>
      </x:c>
      <x:c r="H262" s="10" t="n">
        <x:v>70</x:v>
      </x:c>
      <x:c r="I262" s="10" t="n">
        <x:v>60</x:v>
      </x:c>
      <x:c r="J262" s="10" t="n">
        <x:v>70</x:v>
      </x:c>
      <x:c r="K262" s="10" t="n">
        <x:v>50</x:v>
      </x:c>
      <x:c r="L262" s="10" t="n">
        <x:f>SUM(F262:K262)</x:f>
        <x:v>405</x:v>
      </x:c>
      <x:c r="M262" s="1" t="str">
        <x:f>IF(G262=I262,"Empate",IF(G262&gt;I262,"Física","Especial"))</x:f>
        <x:v>Física</x:v>
      </x:c>
      <x:c r="N262" s="10" t="n">
        <x:v>40</x:v>
      </x:c>
      <x:c r="O262" s="10" t="n">
        <x:v>968</x:v>
      </x:c>
      <x:c r="P262" s="10" t="n">
        <x:v>8000</x:v>
      </x:c>
      <x:c r="Q262" s="10" t="n">
        <x:v>8000</x:v>
      </x:c>
      <x:c r="R262" s="1" t="str">
        <x:v>Swampert</x:v>
      </x:c>
      <x:c r="S262" s="1" t="n">
        <x:v>80</x:v>
      </x:c>
      <x:c r="T262" s="9" t="str">
        <x:v>https://poke.idleworld.online/pokepedia/pokemon/marshtomp</x:v>
      </x:c>
    </x:row>
    <x:row r="263" ht="22" customHeight="1">
      <x:c r="A263" s="1" t="n">
        <x:v>260</x:v>
      </x:c>
      <x:c r="B263" s="1" t="str">
        <x:v>Swampert</x:v>
      </x:c>
      <x:c r="C263" s="1" t="str">
        <x:v>Água</x:v>
      </x:c>
      <x:c r="D263" s="1" t="str">
        <x:v>Terrestre</x:v>
      </x:c>
      <x:c r="E263" s="1" t="str">
        <x:v>Raro</x:v>
      </x:c>
      <x:c r="F263" s="10" t="n">
        <x:v>100</x:v>
      </x:c>
      <x:c r="G263" s="10" t="n">
        <x:v>110</x:v>
      </x:c>
      <x:c r="H263" s="10" t="n">
        <x:v>90</x:v>
      </x:c>
      <x:c r="I263" s="10" t="n">
        <x:v>85</x:v>
      </x:c>
      <x:c r="J263" s="10" t="n">
        <x:v>90</x:v>
      </x:c>
      <x:c r="K263" s="10" t="n">
        <x:v>60</x:v>
      </x:c>
      <x:c r="L263" s="10" t="n">
        <x:f>SUM(F263:K263)</x:f>
        <x:v>535</x:v>
      </x:c>
      <x:c r="M263" s="1" t="str">
        <x:f>IF(G263=I263,"Empate",IF(G263&gt;I263,"Física","Especial"))</x:f>
        <x:v>Física</x:v>
      </x:c>
      <x:c r="N263" s="10" t="n">
        <x:v>80</x:v>
      </x:c>
      <x:c r="O263" s="10" t="n">
        <x:v>3848</x:v>
      </x:c>
      <x:c r="P263" s="10" t="n">
        <x:v>18000</x:v>
      </x:c>
      <x:c r="Q263" s="10" t="n">
        <x:v>18000</x:v>
      </x:c>
      <x:c r="R263" s="1" t="str"/>
      <x:c r="S263" s="1"/>
      <x:c r="T263" s="9" t="str">
        <x:v>https://poke.idleworld.online/pokepedia/pokemon/swampert</x:v>
      </x:c>
    </x:row>
    <x:row r="264" ht="22" customHeight="1">
      <x:c r="A264" s="1" t="n">
        <x:v>261</x:v>
      </x:c>
      <x:c r="B264" s="1" t="str">
        <x:v>Poochyena</x:v>
      </x:c>
      <x:c r="C264" s="1" t="str">
        <x:v>Sombrio</x:v>
      </x:c>
      <x:c r="D264" s="1" t="str"/>
      <x:c r="E264" s="1" t="str">
        <x:v>Incomum</x:v>
      </x:c>
      <x:c r="F264" s="10" t="n">
        <x:v>35</x:v>
      </x:c>
      <x:c r="G264" s="10" t="n">
        <x:v>55</x:v>
      </x:c>
      <x:c r="H264" s="10" t="n">
        <x:v>35</x:v>
      </x:c>
      <x:c r="I264" s="10" t="n">
        <x:v>30</x:v>
      </x:c>
      <x:c r="J264" s="10" t="n">
        <x:v>30</x:v>
      </x:c>
      <x:c r="K264" s="10" t="n">
        <x:v>35</x:v>
      </x:c>
      <x:c r="L264" s="10" t="n">
        <x:f>SUM(F264:K264)</x:f>
        <x:v>220</x:v>
      </x:c>
      <x:c r="M264" s="1" t="str">
        <x:f>IF(G264=I264,"Empate",IF(G264&gt;I264,"Física","Especial"))</x:f>
        <x:v>Física</x:v>
      </x:c>
      <x:c r="N264" s="10" t="n">
        <x:v>30</x:v>
      </x:c>
      <x:c r="O264" s="10" t="n">
        <x:v>548</x:v>
      </x:c>
      <x:c r="P264" s="10" t="n">
        <x:v>4000</x:v>
      </x:c>
      <x:c r="Q264" s="10" t="n">
        <x:v>4000</x:v>
      </x:c>
      <x:c r="R264" s="1" t="str">
        <x:v>Mightyena</x:v>
      </x:c>
      <x:c r="S264" s="1" t="n">
        <x:v>100</x:v>
      </x:c>
      <x:c r="T264" s="9" t="str">
        <x:v>https://poke.idleworld.online/pokepedia/pokemon/poochyena</x:v>
      </x:c>
    </x:row>
    <x:row r="265" ht="22" customHeight="1">
      <x:c r="A265" s="1" t="n">
        <x:v>262</x:v>
      </x:c>
      <x:c r="B265" s="1" t="str">
        <x:v>Mightyena</x:v>
      </x:c>
      <x:c r="C265" s="1" t="str">
        <x:v>Sombrio</x:v>
      </x:c>
      <x:c r="D265" s="1" t="str"/>
      <x:c r="E265" s="1" t="str">
        <x:v>Raro</x:v>
      </x:c>
      <x:c r="F265" s="10" t="n">
        <x:v>70</x:v>
      </x:c>
      <x:c r="G265" s="10" t="n">
        <x:v>90</x:v>
      </x:c>
      <x:c r="H265" s="10" t="n">
        <x:v>70</x:v>
      </x:c>
      <x:c r="I265" s="10" t="n">
        <x:v>60</x:v>
      </x:c>
      <x:c r="J265" s="10" t="n">
        <x:v>60</x:v>
      </x:c>
      <x:c r="K265" s="10" t="n">
        <x:v>70</x:v>
      </x:c>
      <x:c r="L265" s="10" t="n">
        <x:f>SUM(F265:K265)</x:f>
        <x:v>420</x:v>
      </x:c>
      <x:c r="M265" s="1" t="str">
        <x:f>IF(G265=I265,"Empate",IF(G265&gt;I265,"Física","Especial"))</x:f>
        <x:v>Física</x:v>
      </x:c>
      <x:c r="N265" s="10" t="n">
        <x:v>100</x:v>
      </x:c>
      <x:c r="O265" s="10" t="n">
        <x:v>6008</x:v>
      </x:c>
      <x:c r="P265" s="10" t="n">
        <x:v>120000</x:v>
      </x:c>
      <x:c r="Q265" s="10" t="n">
        <x:v>120000</x:v>
      </x:c>
      <x:c r="R265" s="1" t="str"/>
      <x:c r="S265" s="1"/>
      <x:c r="T265" s="9" t="str">
        <x:v>https://poke.idleworld.online/pokepedia/pokemon/mightyena</x:v>
      </x:c>
    </x:row>
    <x:row r="266" ht="22" customHeight="1">
      <x:c r="A266" s="1" t="n">
        <x:v>270</x:v>
      </x:c>
      <x:c r="B266" s="1" t="str">
        <x:v>Lotad</x:v>
      </x:c>
      <x:c r="C266" s="1" t="str">
        <x:v>Água</x:v>
      </x:c>
      <x:c r="D266" s="1" t="str">
        <x:v>Planta</x:v>
      </x:c>
      <x:c r="E266" s="1" t="str">
        <x:v>Comum</x:v>
      </x:c>
      <x:c r="F266" s="10" t="n">
        <x:v>40</x:v>
      </x:c>
      <x:c r="G266" s="10" t="n">
        <x:v>30</x:v>
      </x:c>
      <x:c r="H266" s="10" t="n">
        <x:v>30</x:v>
      </x:c>
      <x:c r="I266" s="10" t="n">
        <x:v>40</x:v>
      </x:c>
      <x:c r="J266" s="10" t="n">
        <x:v>50</x:v>
      </x:c>
      <x:c r="K266" s="10" t="n">
        <x:v>30</x:v>
      </x:c>
      <x:c r="L266" s="10" t="n">
        <x:f>SUM(F266:K266)</x:f>
        <x:v>220</x:v>
      </x:c>
      <x:c r="M266" s="1" t="str">
        <x:f>IF(G266=I266,"Empate",IF(G266&gt;I266,"Física","Especial"))</x:f>
        <x:v>Especial</x:v>
      </x:c>
      <x:c r="N266" s="10" t="n">
        <x:v>20</x:v>
      </x:c>
      <x:c r="O266" s="10" t="n">
        <x:v>248</x:v>
      </x:c>
      <x:c r="P266" s="10" t="n">
        <x:v>3000</x:v>
      </x:c>
      <x:c r="Q266" s="10" t="n">
        <x:v>3000</x:v>
      </x:c>
      <x:c r="R266" s="1" t="str">
        <x:v>Lombre</x:v>
      </x:c>
      <x:c r="S266" s="1" t="n">
        <x:v>50</x:v>
      </x:c>
      <x:c r="T266" s="9" t="str">
        <x:v>https://poke.idleworld.online/pokepedia/pokemon/lotad</x:v>
      </x:c>
    </x:row>
    <x:row r="267" ht="22" customHeight="1">
      <x:c r="A267" s="1" t="n">
        <x:v>271</x:v>
      </x:c>
      <x:c r="B267" s="1" t="str">
        <x:v>Lombre</x:v>
      </x:c>
      <x:c r="C267" s="1" t="str">
        <x:v>Água</x:v>
      </x:c>
      <x:c r="D267" s="1" t="str">
        <x:v>Planta</x:v>
      </x:c>
      <x:c r="E267" s="1" t="str">
        <x:v>Incomum</x:v>
      </x:c>
      <x:c r="F267" s="10" t="n">
        <x:v>60</x:v>
      </x:c>
      <x:c r="G267" s="10" t="n">
        <x:v>50</x:v>
      </x:c>
      <x:c r="H267" s="10" t="n">
        <x:v>50</x:v>
      </x:c>
      <x:c r="I267" s="10" t="n">
        <x:v>60</x:v>
      </x:c>
      <x:c r="J267" s="10" t="n">
        <x:v>70</x:v>
      </x:c>
      <x:c r="K267" s="10" t="n">
        <x:v>50</x:v>
      </x:c>
      <x:c r="L267" s="10" t="n">
        <x:f>SUM(F267:K267)</x:f>
        <x:v>340</x:v>
      </x:c>
      <x:c r="M267" s="1" t="str">
        <x:f>IF(G267=I267,"Empate",IF(G267&gt;I267,"Física","Especial"))</x:f>
        <x:v>Especial</x:v>
      </x:c>
      <x:c r="N267" s="10" t="n">
        <x:v>50</x:v>
      </x:c>
      <x:c r="O267" s="10" t="n">
        <x:v>1508</x:v>
      </x:c>
      <x:c r="P267" s="10" t="n">
        <x:v>10000</x:v>
      </x:c>
      <x:c r="Q267" s="10" t="n">
        <x:v>10000</x:v>
      </x:c>
      <x:c r="R267" s="1" t="str">
        <x:v>Ludicolo</x:v>
      </x:c>
      <x:c r="S267" s="1" t="n">
        <x:v>100</x:v>
      </x:c>
      <x:c r="T267" s="9" t="str">
        <x:v>https://poke.idleworld.online/pokepedia/pokemon/lombre</x:v>
      </x:c>
    </x:row>
    <x:row r="268" ht="22" customHeight="1">
      <x:c r="A268" s="1" t="n">
        <x:v>272</x:v>
      </x:c>
      <x:c r="B268" s="1" t="str">
        <x:v>Ludicolo</x:v>
      </x:c>
      <x:c r="C268" s="1" t="str">
        <x:v>Água</x:v>
      </x:c>
      <x:c r="D268" s="1" t="str">
        <x:v>Planta</x:v>
      </x:c>
      <x:c r="E268" s="1" t="str">
        <x:v>Raro</x:v>
      </x:c>
      <x:c r="F268" s="10" t="n">
        <x:v>80</x:v>
      </x:c>
      <x:c r="G268" s="10" t="n">
        <x:v>70</x:v>
      </x:c>
      <x:c r="H268" s="10" t="n">
        <x:v>70</x:v>
      </x:c>
      <x:c r="I268" s="10" t="n">
        <x:v>90</x:v>
      </x:c>
      <x:c r="J268" s="10" t="n">
        <x:v>100</x:v>
      </x:c>
      <x:c r="K268" s="10" t="n">
        <x:v>70</x:v>
      </x:c>
      <x:c r="L268" s="10" t="n">
        <x:f>SUM(F268:K268)</x:f>
        <x:v>480</x:v>
      </x:c>
      <x:c r="M268" s="1" t="str">
        <x:f>IF(G268=I268,"Empate",IF(G268&gt;I268,"Física","Especial"))</x:f>
        <x:v>Especial</x:v>
      </x:c>
      <x:c r="N268" s="10" t="n">
        <x:v>100</x:v>
      </x:c>
      <x:c r="O268" s="10" t="n">
        <x:v>6008</x:v>
      </x:c>
      <x:c r="P268" s="10" t="n">
        <x:v>120000</x:v>
      </x:c>
      <x:c r="Q268" s="10" t="n">
        <x:v>120000</x:v>
      </x:c>
      <x:c r="R268" s="1" t="str"/>
      <x:c r="S268" s="1"/>
      <x:c r="T268" s="9" t="str">
        <x:v>https://poke.idleworld.online/pokepedia/pokemon/ludicolo</x:v>
      </x:c>
    </x:row>
    <x:row r="269" ht="22" customHeight="1">
      <x:c r="A269" s="1" t="n">
        <x:v>273</x:v>
      </x:c>
      <x:c r="B269" s="1" t="str">
        <x:v>Seedot</x:v>
      </x:c>
      <x:c r="C269" s="1" t="str">
        <x:v>Planta</x:v>
      </x:c>
      <x:c r="D269" s="1" t="str"/>
      <x:c r="E269" s="1" t="str">
        <x:v>Comum</x:v>
      </x:c>
      <x:c r="F269" s="10" t="n">
        <x:v>40</x:v>
      </x:c>
      <x:c r="G269" s="10" t="n">
        <x:v>40</x:v>
      </x:c>
      <x:c r="H269" s="10" t="n">
        <x:v>50</x:v>
      </x:c>
      <x:c r="I269" s="10" t="n">
        <x:v>30</x:v>
      </x:c>
      <x:c r="J269" s="10" t="n">
        <x:v>30</x:v>
      </x:c>
      <x:c r="K269" s="10" t="n">
        <x:v>30</x:v>
      </x:c>
      <x:c r="L269" s="10" t="n">
        <x:f>SUM(F269:K269)</x:f>
        <x:v>220</x:v>
      </x:c>
      <x:c r="M269" s="1" t="str">
        <x:f>IF(G269=I269,"Empate",IF(G269&gt;I269,"Física","Especial"))</x:f>
        <x:v>Física</x:v>
      </x:c>
      <x:c r="N269" s="10" t="n">
        <x:v>10</x:v>
      </x:c>
      <x:c r="O269" s="10" t="n">
        <x:v>68</x:v>
      </x:c>
      <x:c r="P269" s="10" t="n">
        <x:v>500</x:v>
      </x:c>
      <x:c r="Q269" s="10" t="n">
        <x:v>500</x:v>
      </x:c>
      <x:c r="R269" s="1" t="str">
        <x:v>Nuzleaf</x:v>
      </x:c>
      <x:c r="S269" s="1" t="n">
        <x:v>30</x:v>
      </x:c>
      <x:c r="T269" s="9" t="str">
        <x:v>https://poke.idleworld.online/pokepedia/pokemon/seedot</x:v>
      </x:c>
    </x:row>
    <x:row r="270" ht="22" customHeight="1">
      <x:c r="A270" s="1" t="n">
        <x:v>274</x:v>
      </x:c>
      <x:c r="B270" s="1" t="str">
        <x:v>Nuzleaf</x:v>
      </x:c>
      <x:c r="C270" s="1" t="str">
        <x:v>Planta</x:v>
      </x:c>
      <x:c r="D270" s="1" t="str">
        <x:v>Sombrio</x:v>
      </x:c>
      <x:c r="E270" s="1" t="str">
        <x:v>Incomum</x:v>
      </x:c>
      <x:c r="F270" s="10" t="n">
        <x:v>70</x:v>
      </x:c>
      <x:c r="G270" s="10" t="n">
        <x:v>70</x:v>
      </x:c>
      <x:c r="H270" s="10" t="n">
        <x:v>40</x:v>
      </x:c>
      <x:c r="I270" s="10" t="n">
        <x:v>60</x:v>
      </x:c>
      <x:c r="J270" s="10" t="n">
        <x:v>40</x:v>
      </x:c>
      <x:c r="K270" s="10" t="n">
        <x:v>60</x:v>
      </x:c>
      <x:c r="L270" s="10" t="n">
        <x:f>SUM(F270:K270)</x:f>
        <x:v>340</x:v>
      </x:c>
      <x:c r="M270" s="1" t="str">
        <x:f>IF(G270=I270,"Empate",IF(G270&gt;I270,"Física","Especial"))</x:f>
        <x:v>Física</x:v>
      </x:c>
      <x:c r="N270" s="10" t="n">
        <x:v>30</x:v>
      </x:c>
      <x:c r="O270" s="10" t="n">
        <x:v>548</x:v>
      </x:c>
      <x:c r="P270" s="10" t="n">
        <x:v>4000</x:v>
      </x:c>
      <x:c r="Q270" s="10" t="n">
        <x:v>4000</x:v>
      </x:c>
      <x:c r="R270" s="1" t="str">
        <x:v>Shiftry</x:v>
      </x:c>
      <x:c r="S270" s="1" t="n">
        <x:v>80</x:v>
      </x:c>
      <x:c r="T270" s="9" t="str">
        <x:v>https://poke.idleworld.online/pokepedia/pokemon/nuzleaf</x:v>
      </x:c>
    </x:row>
    <x:row r="271" ht="22" customHeight="1">
      <x:c r="A271" s="1" t="n">
        <x:v>275</x:v>
      </x:c>
      <x:c r="B271" s="1" t="str">
        <x:v>Shiftry</x:v>
      </x:c>
      <x:c r="C271" s="1" t="str">
        <x:v>Planta</x:v>
      </x:c>
      <x:c r="D271" s="1" t="str">
        <x:v>Sombrio</x:v>
      </x:c>
      <x:c r="E271" s="1" t="str">
        <x:v>Raro</x:v>
      </x:c>
      <x:c r="F271" s="10" t="n">
        <x:v>90</x:v>
      </x:c>
      <x:c r="G271" s="10" t="n">
        <x:v>100</x:v>
      </x:c>
      <x:c r="H271" s="10" t="n">
        <x:v>60</x:v>
      </x:c>
      <x:c r="I271" s="10" t="n">
        <x:v>90</x:v>
      </x:c>
      <x:c r="J271" s="10" t="n">
        <x:v>60</x:v>
      </x:c>
      <x:c r="K271" s="10" t="n">
        <x:v>80</x:v>
      </x:c>
      <x:c r="L271" s="10" t="n">
        <x:f>SUM(F271:K271)</x:f>
        <x:v>480</x:v>
      </x:c>
      <x:c r="M271" s="1" t="str">
        <x:f>IF(G271=I271,"Empate",IF(G271&gt;I271,"Física","Especial"))</x:f>
        <x:v>Física</x:v>
      </x:c>
      <x:c r="N271" s="10" t="n">
        <x:v>80</x:v>
      </x:c>
      <x:c r="O271" s="10" t="n">
        <x:v>3848</x:v>
      </x:c>
      <x:c r="P271" s="10" t="n">
        <x:v>18000</x:v>
      </x:c>
      <x:c r="Q271" s="10" t="n">
        <x:v>18000</x:v>
      </x:c>
      <x:c r="R271" s="1" t="str"/>
      <x:c r="S271" s="1"/>
      <x:c r="T271" s="9" t="str">
        <x:v>https://poke.idleworld.online/pokepedia/pokemon/shiftry</x:v>
      </x:c>
    </x:row>
    <x:row r="272" ht="22" customHeight="1">
      <x:c r="A272" s="1" t="n">
        <x:v>276</x:v>
      </x:c>
      <x:c r="B272" s="1" t="str">
        <x:v>Taillow</x:v>
      </x:c>
      <x:c r="C272" s="1" t="str">
        <x:v>Normal</x:v>
      </x:c>
      <x:c r="D272" s="1" t="str">
        <x:v>Voador</x:v>
      </x:c>
      <x:c r="E272" s="1" t="str">
        <x:v>Incomum</x:v>
      </x:c>
      <x:c r="F272" s="10" t="n">
        <x:v>40</x:v>
      </x:c>
      <x:c r="G272" s="10" t="n">
        <x:v>55</x:v>
      </x:c>
      <x:c r="H272" s="10" t="n">
        <x:v>30</x:v>
      </x:c>
      <x:c r="I272" s="10" t="n">
        <x:v>30</x:v>
      </x:c>
      <x:c r="J272" s="10" t="n">
        <x:v>30</x:v>
      </x:c>
      <x:c r="K272" s="10" t="n">
        <x:v>85</x:v>
      </x:c>
      <x:c r="L272" s="10" t="n">
        <x:f>SUM(F272:K272)</x:f>
        <x:v>270</x:v>
      </x:c>
      <x:c r="M272" s="1" t="str">
        <x:f>IF(G272=I272,"Empate",IF(G272&gt;I272,"Física","Especial"))</x:f>
        <x:v>Física</x:v>
      </x:c>
      <x:c r="N272" s="10" t="n">
        <x:v>30</x:v>
      </x:c>
      <x:c r="O272" s="10" t="n">
        <x:v>548</x:v>
      </x:c>
      <x:c r="P272" s="10" t="n">
        <x:v>4000</x:v>
      </x:c>
      <x:c r="Q272" s="10" t="n">
        <x:v>4000</x:v>
      </x:c>
      <x:c r="R272" s="1" t="str">
        <x:v>Swellow</x:v>
      </x:c>
      <x:c r="S272" s="1" t="n">
        <x:v>80</x:v>
      </x:c>
      <x:c r="T272" s="9" t="str">
        <x:v>https://poke.idleworld.online/pokepedia/pokemon/taillow</x:v>
      </x:c>
    </x:row>
    <x:row r="273" ht="22" customHeight="1">
      <x:c r="A273" s="1" t="n">
        <x:v>277</x:v>
      </x:c>
      <x:c r="B273" s="1" t="str">
        <x:v>Swellow</x:v>
      </x:c>
      <x:c r="C273" s="1" t="str">
        <x:v>Normal</x:v>
      </x:c>
      <x:c r="D273" s="1" t="str">
        <x:v>Voador</x:v>
      </x:c>
      <x:c r="E273" s="1" t="str">
        <x:v>Raro</x:v>
      </x:c>
      <x:c r="F273" s="10" t="n">
        <x:v>60</x:v>
      </x:c>
      <x:c r="G273" s="10" t="n">
        <x:v>85</x:v>
      </x:c>
      <x:c r="H273" s="10" t="n">
        <x:v>60</x:v>
      </x:c>
      <x:c r="I273" s="10" t="n">
        <x:v>50</x:v>
      </x:c>
      <x:c r="J273" s="10" t="n">
        <x:v>50</x:v>
      </x:c>
      <x:c r="K273" s="10" t="n">
        <x:v>125</x:v>
      </x:c>
      <x:c r="L273" s="10" t="n">
        <x:f>SUM(F273:K273)</x:f>
        <x:v>430</x:v>
      </x:c>
      <x:c r="M273" s="1" t="str">
        <x:f>IF(G273=I273,"Empate",IF(G273&gt;I273,"Física","Especial"))</x:f>
        <x:v>Física</x:v>
      </x:c>
      <x:c r="N273" s="10" t="n">
        <x:v>80</x:v>
      </x:c>
      <x:c r="O273" s="10" t="n">
        <x:v>3848</x:v>
      </x:c>
      <x:c r="P273" s="10" t="n">
        <x:v>18000</x:v>
      </x:c>
      <x:c r="Q273" s="10" t="n">
        <x:v>18000</x:v>
      </x:c>
      <x:c r="R273" s="1" t="str"/>
      <x:c r="S273" s="1"/>
      <x:c r="T273" s="9" t="str">
        <x:v>https://poke.idleworld.online/pokepedia/pokemon/swellow</x:v>
      </x:c>
    </x:row>
    <x:row r="274" ht="22" customHeight="1">
      <x:c r="A274" s="1" t="n">
        <x:v>278</x:v>
      </x:c>
      <x:c r="B274" s="1" t="str">
        <x:v>Wingull</x:v>
      </x:c>
      <x:c r="C274" s="1" t="str">
        <x:v>Água</x:v>
      </x:c>
      <x:c r="D274" s="1" t="str">
        <x:v>Voador</x:v>
      </x:c>
      <x:c r="E274" s="1" t="str">
        <x:v>Incomum</x:v>
      </x:c>
      <x:c r="F274" s="10" t="n">
        <x:v>40</x:v>
      </x:c>
      <x:c r="G274" s="10" t="n">
        <x:v>30</x:v>
      </x:c>
      <x:c r="H274" s="10" t="n">
        <x:v>30</x:v>
      </x:c>
      <x:c r="I274" s="10" t="n">
        <x:v>55</x:v>
      </x:c>
      <x:c r="J274" s="10" t="n">
        <x:v>30</x:v>
      </x:c>
      <x:c r="K274" s="10" t="n">
        <x:v>85</x:v>
      </x:c>
      <x:c r="L274" s="10" t="n">
        <x:f>SUM(F274:K274)</x:f>
        <x:v>270</x:v>
      </x:c>
      <x:c r="M274" s="1" t="str">
        <x:f>IF(G274=I274,"Empate",IF(G274&gt;I274,"Física","Especial"))</x:f>
        <x:v>Especial</x:v>
      </x:c>
      <x:c r="N274" s="10" t="n">
        <x:v>30</x:v>
      </x:c>
      <x:c r="O274" s="10" t="n">
        <x:v>548</x:v>
      </x:c>
      <x:c r="P274" s="10" t="n">
        <x:v>4000</x:v>
      </x:c>
      <x:c r="Q274" s="10" t="n">
        <x:v>4000</x:v>
      </x:c>
      <x:c r="R274" s="1" t="str">
        <x:v>Pelipper</x:v>
      </x:c>
      <x:c r="S274" s="1" t="n">
        <x:v>80</x:v>
      </x:c>
      <x:c r="T274" s="9" t="str">
        <x:v>https://poke.idleworld.online/pokepedia/pokemon/wingull</x:v>
      </x:c>
    </x:row>
    <x:row r="275" ht="22" customHeight="1">
      <x:c r="A275" s="1" t="n">
        <x:v>279</x:v>
      </x:c>
      <x:c r="B275" s="1" t="str">
        <x:v>Pelipper</x:v>
      </x:c>
      <x:c r="C275" s="1" t="str">
        <x:v>Água</x:v>
      </x:c>
      <x:c r="D275" s="1" t="str">
        <x:v>Voador</x:v>
      </x:c>
      <x:c r="E275" s="1" t="str">
        <x:v>Raro</x:v>
      </x:c>
      <x:c r="F275" s="10" t="n">
        <x:v>60</x:v>
      </x:c>
      <x:c r="G275" s="10" t="n">
        <x:v>50</x:v>
      </x:c>
      <x:c r="H275" s="10" t="n">
        <x:v>100</x:v>
      </x:c>
      <x:c r="I275" s="10" t="n">
        <x:v>85</x:v>
      </x:c>
      <x:c r="J275" s="10" t="n">
        <x:v>70</x:v>
      </x:c>
      <x:c r="K275" s="10" t="n">
        <x:v>65</x:v>
      </x:c>
      <x:c r="L275" s="10" t="n">
        <x:f>SUM(F275:K275)</x:f>
        <x:v>430</x:v>
      </x:c>
      <x:c r="M275" s="1" t="str">
        <x:f>IF(G275=I275,"Empate",IF(G275&gt;I275,"Física","Especial"))</x:f>
        <x:v>Especial</x:v>
      </x:c>
      <x:c r="N275" s="10" t="n">
        <x:v>80</x:v>
      </x:c>
      <x:c r="O275" s="10" t="n">
        <x:v>3848</x:v>
      </x:c>
      <x:c r="P275" s="10" t="n">
        <x:v>18000</x:v>
      </x:c>
      <x:c r="Q275" s="10" t="n">
        <x:v>18000</x:v>
      </x:c>
      <x:c r="R275" s="1" t="str"/>
      <x:c r="S275" s="1"/>
      <x:c r="T275" s="9" t="str">
        <x:v>https://poke.idleworld.online/pokepedia/pokemon/pelipper</x:v>
      </x:c>
    </x:row>
    <x:row r="276" ht="22" customHeight="1">
      <x:c r="A276" s="1" t="n">
        <x:v>280</x:v>
      </x:c>
      <x:c r="B276" s="1" t="str">
        <x:v>Ralts</x:v>
      </x:c>
      <x:c r="C276" s="1" t="str">
        <x:v>Psíquico</x:v>
      </x:c>
      <x:c r="D276" s="1" t="str">
        <x:v>Fada</x:v>
      </x:c>
      <x:c r="E276" s="1" t="str">
        <x:v>Incomum</x:v>
      </x:c>
      <x:c r="F276" s="10" t="n">
        <x:v>28</x:v>
      </x:c>
      <x:c r="G276" s="10" t="n">
        <x:v>25</x:v>
      </x:c>
      <x:c r="H276" s="10" t="n">
        <x:v>25</x:v>
      </x:c>
      <x:c r="I276" s="10" t="n">
        <x:v>45</x:v>
      </x:c>
      <x:c r="J276" s="10" t="n">
        <x:v>35</x:v>
      </x:c>
      <x:c r="K276" s="10" t="n">
        <x:v>40</x:v>
      </x:c>
      <x:c r="L276" s="10" t="n">
        <x:f>SUM(F276:K276)</x:f>
        <x:v>198</x:v>
      </x:c>
      <x:c r="M276" s="1" t="str">
        <x:f>IF(G276=I276,"Empate",IF(G276&gt;I276,"Física","Especial"))</x:f>
        <x:v>Especial</x:v>
      </x:c>
      <x:c r="N276" s="10" t="n">
        <x:v>30</x:v>
      </x:c>
      <x:c r="O276" s="10" t="n">
        <x:v>548</x:v>
      </x:c>
      <x:c r="P276" s="10" t="n">
        <x:v>4000</x:v>
      </x:c>
      <x:c r="Q276" s="10" t="n">
        <x:v>4000</x:v>
      </x:c>
      <x:c r="R276" s="1" t="str">
        <x:v>Kirlia</x:v>
      </x:c>
      <x:c r="S276" s="1" t="n">
        <x:v>60</x:v>
      </x:c>
      <x:c r="T276" s="9" t="str">
        <x:v>https://poke.idleworld.online/pokepedia/pokemon/ralts</x:v>
      </x:c>
    </x:row>
    <x:row r="277" ht="22" customHeight="1">
      <x:c r="A277" s="1" t="n">
        <x:v>281</x:v>
      </x:c>
      <x:c r="B277" s="1" t="str">
        <x:v>Kirlia</x:v>
      </x:c>
      <x:c r="C277" s="1" t="str">
        <x:v>Psíquico</x:v>
      </x:c>
      <x:c r="D277" s="1" t="str">
        <x:v>Fada</x:v>
      </x:c>
      <x:c r="E277" s="1" t="str">
        <x:v>Raro</x:v>
      </x:c>
      <x:c r="F277" s="10" t="n">
        <x:v>38</x:v>
      </x:c>
      <x:c r="G277" s="10" t="n">
        <x:v>35</x:v>
      </x:c>
      <x:c r="H277" s="10" t="n">
        <x:v>35</x:v>
      </x:c>
      <x:c r="I277" s="10" t="n">
        <x:v>65</x:v>
      </x:c>
      <x:c r="J277" s="10" t="n">
        <x:v>55</x:v>
      </x:c>
      <x:c r="K277" s="10" t="n">
        <x:v>50</x:v>
      </x:c>
      <x:c r="L277" s="10" t="n">
        <x:f>SUM(F277:K277)</x:f>
        <x:v>278</x:v>
      </x:c>
      <x:c r="M277" s="1" t="str">
        <x:f>IF(G277=I277,"Empate",IF(G277&gt;I277,"Física","Especial"))</x:f>
        <x:v>Especial</x:v>
      </x:c>
      <x:c r="N277" s="10" t="n">
        <x:v>60</x:v>
      </x:c>
      <x:c r="O277" s="10" t="n">
        <x:v>2168</x:v>
      </x:c>
      <x:c r="P277" s="10" t="n">
        <x:v>12000</x:v>
      </x:c>
      <x:c r="Q277" s="10" t="n">
        <x:v>12000</x:v>
      </x:c>
      <x:c r="R277" s="1" t="str">
        <x:v>Gardevoir</x:v>
      </x:c>
      <x:c r="S277" s="1" t="n">
        <x:v>100</x:v>
      </x:c>
      <x:c r="T277" s="9" t="str">
        <x:v>https://poke.idleworld.online/pokepedia/pokemon/kirlia</x:v>
      </x:c>
    </x:row>
    <x:row r="278" ht="22" customHeight="1">
      <x:c r="A278" s="1" t="n">
        <x:v>282</x:v>
      </x:c>
      <x:c r="B278" s="1" t="str">
        <x:v>Gardevoir</x:v>
      </x:c>
      <x:c r="C278" s="1" t="str">
        <x:v>Psíquico</x:v>
      </x:c>
      <x:c r="D278" s="1" t="str">
        <x:v>Fada</x:v>
      </x:c>
      <x:c r="E278" s="1" t="str">
        <x:v>Raro</x:v>
      </x:c>
      <x:c r="F278" s="10" t="n">
        <x:v>68</x:v>
      </x:c>
      <x:c r="G278" s="10" t="n">
        <x:v>65</x:v>
      </x:c>
      <x:c r="H278" s="10" t="n">
        <x:v>65</x:v>
      </x:c>
      <x:c r="I278" s="10" t="n">
        <x:v>125</x:v>
      </x:c>
      <x:c r="J278" s="10" t="n">
        <x:v>115</x:v>
      </x:c>
      <x:c r="K278" s="10" t="n">
        <x:v>80</x:v>
      </x:c>
      <x:c r="L278" s="10" t="n">
        <x:f>SUM(F278:K278)</x:f>
        <x:v>518</x:v>
      </x:c>
      <x:c r="M278" s="1" t="str">
        <x:f>IF(G278=I278,"Empate",IF(G278&gt;I278,"Física","Especial"))</x:f>
        <x:v>Especial</x:v>
      </x:c>
      <x:c r="N278" s="10" t="n">
        <x:v>100</x:v>
      </x:c>
      <x:c r="O278" s="10" t="n">
        <x:v>6008</x:v>
      </x:c>
      <x:c r="P278" s="10" t="n">
        <x:v>120000</x:v>
      </x:c>
      <x:c r="Q278" s="10" t="n">
        <x:v>120000</x:v>
      </x:c>
      <x:c r="R278" s="1" t="str"/>
      <x:c r="S278" s="1"/>
      <x:c r="T278" s="9" t="str">
        <x:v>https://poke.idleworld.online/pokepedia/pokemon/gardevoir</x:v>
      </x:c>
    </x:row>
    <x:row r="279" ht="22" customHeight="1">
      <x:c r="A279" s="1" t="n">
        <x:v>287</x:v>
      </x:c>
      <x:c r="B279" s="1" t="str">
        <x:v>Slakoth</x:v>
      </x:c>
      <x:c r="C279" s="1" t="str">
        <x:v>Normal</x:v>
      </x:c>
      <x:c r="D279" s="1" t="str"/>
      <x:c r="E279" s="1" t="str">
        <x:v>Incomum</x:v>
      </x:c>
      <x:c r="F279" s="10" t="n">
        <x:v>60</x:v>
      </x:c>
      <x:c r="G279" s="10" t="n">
        <x:v>60</x:v>
      </x:c>
      <x:c r="H279" s="10" t="n">
        <x:v>60</x:v>
      </x:c>
      <x:c r="I279" s="10" t="n">
        <x:v>35</x:v>
      </x:c>
      <x:c r="J279" s="10" t="n">
        <x:v>35</x:v>
      </x:c>
      <x:c r="K279" s="10" t="n">
        <x:v>30</x:v>
      </x:c>
      <x:c r="L279" s="10" t="n">
        <x:f>SUM(F279:K279)</x:f>
        <x:v>280</x:v>
      </x:c>
      <x:c r="M279" s="1" t="str">
        <x:f>IF(G279=I279,"Empate",IF(G279&gt;I279,"Física","Especial"))</x:f>
        <x:v>Física</x:v>
      </x:c>
      <x:c r="N279" s="10" t="n">
        <x:v>40</x:v>
      </x:c>
      <x:c r="O279" s="10" t="n">
        <x:v>968</x:v>
      </x:c>
      <x:c r="P279" s="10" t="n">
        <x:v>8000</x:v>
      </x:c>
      <x:c r="Q279" s="10" t="n">
        <x:v>8000</x:v>
      </x:c>
      <x:c r="R279" s="1" t="str">
        <x:v>Vigoroth</x:v>
      </x:c>
      <x:c r="S279" s="1" t="n">
        <x:v>60</x:v>
      </x:c>
      <x:c r="T279" s="9" t="str">
        <x:v>https://poke.idleworld.online/pokepedia/pokemon/slakoth</x:v>
      </x:c>
    </x:row>
    <x:row r="280" ht="22" customHeight="1">
      <x:c r="A280" s="1" t="n">
        <x:v>288</x:v>
      </x:c>
      <x:c r="B280" s="1" t="str">
        <x:v>Vigoroth</x:v>
      </x:c>
      <x:c r="C280" s="1" t="str">
        <x:v>Normal</x:v>
      </x:c>
      <x:c r="D280" s="1" t="str"/>
      <x:c r="E280" s="1" t="str">
        <x:v>Raro</x:v>
      </x:c>
      <x:c r="F280" s="10" t="n">
        <x:v>80</x:v>
      </x:c>
      <x:c r="G280" s="10" t="n">
        <x:v>80</x:v>
      </x:c>
      <x:c r="H280" s="10" t="n">
        <x:v>80</x:v>
      </x:c>
      <x:c r="I280" s="10" t="n">
        <x:v>55</x:v>
      </x:c>
      <x:c r="J280" s="10" t="n">
        <x:v>55</x:v>
      </x:c>
      <x:c r="K280" s="10" t="n">
        <x:v>90</x:v>
      </x:c>
      <x:c r="L280" s="10" t="n">
        <x:f>SUM(F280:K280)</x:f>
        <x:v>440</x:v>
      </x:c>
      <x:c r="M280" s="1" t="str">
        <x:f>IF(G280=I280,"Empate",IF(G280&gt;I280,"Física","Especial"))</x:f>
        <x:v>Física</x:v>
      </x:c>
      <x:c r="N280" s="10" t="n">
        <x:v>60</x:v>
      </x:c>
      <x:c r="O280" s="10" t="n">
        <x:v>2168</x:v>
      </x:c>
      <x:c r="P280" s="10" t="n">
        <x:v>12000</x:v>
      </x:c>
      <x:c r="Q280" s="10" t="n">
        <x:v>12000</x:v>
      </x:c>
      <x:c r="R280" s="1" t="str"/>
      <x:c r="S280" s="1"/>
      <x:c r="T280" s="9" t="str">
        <x:v>https://poke.idleworld.online/pokepedia/pokemon/vigoroth</x:v>
      </x:c>
    </x:row>
    <x:row r="281" ht="22" customHeight="1">
      <x:c r="A281" s="1" t="n">
        <x:v>289</x:v>
      </x:c>
      <x:c r="B281" s="1" t="str">
        <x:v>Slaking</x:v>
      </x:c>
      <x:c r="C281" s="1" t="str">
        <x:v>Normal</x:v>
      </x:c>
      <x:c r="D281" s="1" t="str"/>
      <x:c r="E281" s="1" t="str">
        <x:v>Raro</x:v>
      </x:c>
      <x:c r="F281" s="10" t="n">
        <x:v>150</x:v>
      </x:c>
      <x:c r="G281" s="10" t="n">
        <x:v>160</x:v>
      </x:c>
      <x:c r="H281" s="10" t="n">
        <x:v>100</x:v>
      </x:c>
      <x:c r="I281" s="10" t="n">
        <x:v>95</x:v>
      </x:c>
      <x:c r="J281" s="10" t="n">
        <x:v>65</x:v>
      </x:c>
      <x:c r="K281" s="10" t="n">
        <x:v>100</x:v>
      </x:c>
      <x:c r="L281" s="10" t="n">
        <x:f>SUM(F281:K281)</x:f>
        <x:v>670</x:v>
      </x:c>
      <x:c r="M281" s="1" t="str">
        <x:f>IF(G281=I281,"Empate",IF(G281&gt;I281,"Física","Especial"))</x:f>
        <x:v>Física</x:v>
      </x:c>
      <x:c r="N281" s="10" t="n">
        <x:v>600</x:v>
      </x:c>
      <x:c r="O281" s="10" t="n">
        <x:v>216008</x:v>
      </x:c>
      <x:c r="P281" s="10" t="n">
        <x:v>50000000</x:v>
      </x:c>
      <x:c r="Q281" s="10" t="n">
        <x:v>0</x:v>
      </x:c>
      <x:c r="R281" s="1" t="str"/>
      <x:c r="S281" s="1"/>
      <x:c r="T281" s="9" t="str">
        <x:v>https://poke.idleworld.online/pokepedia/pokemon/slaking</x:v>
      </x:c>
    </x:row>
    <x:row r="282" ht="22" customHeight="1">
      <x:c r="A282" s="1" t="n">
        <x:v>293</x:v>
      </x:c>
      <x:c r="B282" s="1" t="str">
        <x:v>Whismur</x:v>
      </x:c>
      <x:c r="C282" s="1" t="str">
        <x:v>Normal</x:v>
      </x:c>
      <x:c r="D282" s="1" t="str"/>
      <x:c r="E282" s="1" t="str">
        <x:v>Comum</x:v>
      </x:c>
      <x:c r="F282" s="10" t="n">
        <x:v>64</x:v>
      </x:c>
      <x:c r="G282" s="10" t="n">
        <x:v>51</x:v>
      </x:c>
      <x:c r="H282" s="10" t="n">
        <x:v>23</x:v>
      </x:c>
      <x:c r="I282" s="10" t="n">
        <x:v>51</x:v>
      </x:c>
      <x:c r="J282" s="10" t="n">
        <x:v>23</x:v>
      </x:c>
      <x:c r="K282" s="10" t="n">
        <x:v>28</x:v>
      </x:c>
      <x:c r="L282" s="10" t="n">
        <x:f>SUM(F282:K282)</x:f>
        <x:v>240</x:v>
      </x:c>
      <x:c r="M282" s="1" t="str">
        <x:f>IF(G282=I282,"Empate",IF(G282&gt;I282,"Física","Especial"))</x:f>
        <x:v>Empate</x:v>
      </x:c>
      <x:c r="N282" s="10" t="n">
        <x:v>20</x:v>
      </x:c>
      <x:c r="O282" s="10" t="n">
        <x:v>248</x:v>
      </x:c>
      <x:c r="P282" s="10" t="n">
        <x:v>3000</x:v>
      </x:c>
      <x:c r="Q282" s="10" t="n">
        <x:v>3000</x:v>
      </x:c>
      <x:c r="R282" s="1" t="str">
        <x:v>Loudred</x:v>
      </x:c>
      <x:c r="S282" s="1" t="n">
        <x:v>50</x:v>
      </x:c>
      <x:c r="T282" s="9" t="str">
        <x:v>https://poke.idleworld.online/pokepedia/pokemon/whismur</x:v>
      </x:c>
    </x:row>
    <x:row r="283" ht="22" customHeight="1">
      <x:c r="A283" s="1" t="n">
        <x:v>294</x:v>
      </x:c>
      <x:c r="B283" s="1" t="str">
        <x:v>Loudred</x:v>
      </x:c>
      <x:c r="C283" s="1" t="str">
        <x:v>Normal</x:v>
      </x:c>
      <x:c r="D283" s="1" t="str"/>
      <x:c r="E283" s="1" t="str">
        <x:v>Incomum</x:v>
      </x:c>
      <x:c r="F283" s="10" t="n">
        <x:v>84</x:v>
      </x:c>
      <x:c r="G283" s="10" t="n">
        <x:v>71</x:v>
      </x:c>
      <x:c r="H283" s="10" t="n">
        <x:v>43</x:v>
      </x:c>
      <x:c r="I283" s="10" t="n">
        <x:v>71</x:v>
      </x:c>
      <x:c r="J283" s="10" t="n">
        <x:v>43</x:v>
      </x:c>
      <x:c r="K283" s="10" t="n">
        <x:v>48</x:v>
      </x:c>
      <x:c r="L283" s="10" t="n">
        <x:f>SUM(F283:K283)</x:f>
        <x:v>360</x:v>
      </x:c>
      <x:c r="M283" s="1" t="str">
        <x:f>IF(G283=I283,"Empate",IF(G283&gt;I283,"Física","Especial"))</x:f>
        <x:v>Empate</x:v>
      </x:c>
      <x:c r="N283" s="10" t="n">
        <x:v>50</x:v>
      </x:c>
      <x:c r="O283" s="10" t="n">
        <x:v>1508</x:v>
      </x:c>
      <x:c r="P283" s="10" t="n">
        <x:v>10000</x:v>
      </x:c>
      <x:c r="Q283" s="10" t="n">
        <x:v>10000</x:v>
      </x:c>
      <x:c r="R283" s="1" t="str">
        <x:v>Exploud</x:v>
      </x:c>
      <x:c r="S283" s="1" t="n">
        <x:v>100</x:v>
      </x:c>
      <x:c r="T283" s="9" t="str">
        <x:v>https://poke.idleworld.online/pokepedia/pokemon/loudred</x:v>
      </x:c>
    </x:row>
    <x:row r="284" ht="22" customHeight="1">
      <x:c r="A284" s="1" t="n">
        <x:v>295</x:v>
      </x:c>
      <x:c r="B284" s="1" t="str">
        <x:v>Exploud</x:v>
      </x:c>
      <x:c r="C284" s="1" t="str">
        <x:v>Normal</x:v>
      </x:c>
      <x:c r="D284" s="1" t="str"/>
      <x:c r="E284" s="1" t="str">
        <x:v>Raro</x:v>
      </x:c>
      <x:c r="F284" s="10" t="n">
        <x:v>104</x:v>
      </x:c>
      <x:c r="G284" s="10" t="n">
        <x:v>91</x:v>
      </x:c>
      <x:c r="H284" s="10" t="n">
        <x:v>63</x:v>
      </x:c>
      <x:c r="I284" s="10" t="n">
        <x:v>91</x:v>
      </x:c>
      <x:c r="J284" s="10" t="n">
        <x:v>73</x:v>
      </x:c>
      <x:c r="K284" s="10" t="n">
        <x:v>68</x:v>
      </x:c>
      <x:c r="L284" s="10" t="n">
        <x:f>SUM(F284:K284)</x:f>
        <x:v>490</x:v>
      </x:c>
      <x:c r="M284" s="1" t="str">
        <x:f>IF(G284=I284,"Empate",IF(G284&gt;I284,"Física","Especial"))</x:f>
        <x:v>Empate</x:v>
      </x:c>
      <x:c r="N284" s="10" t="n">
        <x:v>100</x:v>
      </x:c>
      <x:c r="O284" s="10" t="n">
        <x:v>6008</x:v>
      </x:c>
      <x:c r="P284" s="10" t="n">
        <x:v>120000</x:v>
      </x:c>
      <x:c r="Q284" s="10" t="n">
        <x:v>120000</x:v>
      </x:c>
      <x:c r="R284" s="1" t="str"/>
      <x:c r="S284" s="1"/>
      <x:c r="T284" s="9" t="str">
        <x:v>https://poke.idleworld.online/pokepedia/pokemon/exploud</x:v>
      </x:c>
    </x:row>
    <x:row r="285" ht="22" customHeight="1">
      <x:c r="A285" s="1" t="n">
        <x:v>296</x:v>
      </x:c>
      <x:c r="B285" s="1" t="str">
        <x:v>Makuhita</x:v>
      </x:c>
      <x:c r="C285" s="1" t="str">
        <x:v>Lutador</x:v>
      </x:c>
      <x:c r="D285" s="1" t="str"/>
      <x:c r="E285" s="1" t="str">
        <x:v>Incomum</x:v>
      </x:c>
      <x:c r="F285" s="10" t="n">
        <x:v>72</x:v>
      </x:c>
      <x:c r="G285" s="10" t="n">
        <x:v>60</x:v>
      </x:c>
      <x:c r="H285" s="10" t="n">
        <x:v>30</x:v>
      </x:c>
      <x:c r="I285" s="10" t="n">
        <x:v>20</x:v>
      </x:c>
      <x:c r="J285" s="10" t="n">
        <x:v>30</x:v>
      </x:c>
      <x:c r="K285" s="10" t="n">
        <x:v>25</x:v>
      </x:c>
      <x:c r="L285" s="10" t="n">
        <x:f>SUM(F285:K285)</x:f>
        <x:v>237</x:v>
      </x:c>
      <x:c r="M285" s="1" t="str">
        <x:f>IF(G285=I285,"Empate",IF(G285&gt;I285,"Física","Especial"))</x:f>
        <x:v>Física</x:v>
      </x:c>
      <x:c r="N285" s="10" t="n">
        <x:v>40</x:v>
      </x:c>
      <x:c r="O285" s="10" t="n">
        <x:v>968</x:v>
      </x:c>
      <x:c r="P285" s="10" t="n">
        <x:v>8000</x:v>
      </x:c>
      <x:c r="Q285" s="10" t="n">
        <x:v>8000</x:v>
      </x:c>
      <x:c r="R285" s="1" t="str"/>
      <x:c r="S285" s="1"/>
      <x:c r="T285" s="9" t="str">
        <x:v>https://poke.idleworld.online/pokepedia/pokemon/makuhita</x:v>
      </x:c>
    </x:row>
    <x:row r="286" ht="22" customHeight="1">
      <x:c r="A286" s="1" t="n">
        <x:v>302</x:v>
      </x:c>
      <x:c r="B286" s="1" t="str">
        <x:v>Sableye</x:v>
      </x:c>
      <x:c r="C286" s="1" t="str">
        <x:v>Sombrio</x:v>
      </x:c>
      <x:c r="D286" s="1" t="str">
        <x:v>Fantasma</x:v>
      </x:c>
      <x:c r="E286" s="1" t="str">
        <x:v>Raro</x:v>
      </x:c>
      <x:c r="F286" s="10" t="n">
        <x:v>50</x:v>
      </x:c>
      <x:c r="G286" s="10" t="n">
        <x:v>75</x:v>
      </x:c>
      <x:c r="H286" s="10" t="n">
        <x:v>75</x:v>
      </x:c>
      <x:c r="I286" s="10" t="n">
        <x:v>65</x:v>
      </x:c>
      <x:c r="J286" s="10" t="n">
        <x:v>65</x:v>
      </x:c>
      <x:c r="K286" s="10" t="n">
        <x:v>50</x:v>
      </x:c>
      <x:c r="L286" s="10" t="n">
        <x:f>SUM(F286:K286)</x:f>
        <x:v>380</x:v>
      </x:c>
      <x:c r="M286" s="1" t="str">
        <x:f>IF(G286=I286,"Empate",IF(G286&gt;I286,"Física","Especial"))</x:f>
        <x:v>Física</x:v>
      </x:c>
      <x:c r="N286" s="10" t="n">
        <x:v>60</x:v>
      </x:c>
      <x:c r="O286" s="10" t="n">
        <x:v>2168</x:v>
      </x:c>
      <x:c r="P286" s="10" t="n">
        <x:v>12000</x:v>
      </x:c>
      <x:c r="Q286" s="10" t="n">
        <x:v>12000</x:v>
      </x:c>
      <x:c r="R286" s="1" t="str"/>
      <x:c r="S286" s="1"/>
      <x:c r="T286" s="9" t="str">
        <x:v>https://poke.idleworld.online/pokepedia/pokemon/sableye</x:v>
      </x:c>
    </x:row>
    <x:row r="287" ht="22" customHeight="1">
      <x:c r="A287" s="1" t="n">
        <x:v>303</x:v>
      </x:c>
      <x:c r="B287" s="1" t="str">
        <x:v>Mawile</x:v>
      </x:c>
      <x:c r="C287" s="1" t="str">
        <x:v>Aço</x:v>
      </x:c>
      <x:c r="D287" s="1" t="str">
        <x:v>Fada</x:v>
      </x:c>
      <x:c r="E287" s="1" t="str">
        <x:v>Raro</x:v>
      </x:c>
      <x:c r="F287" s="10" t="n">
        <x:v>50</x:v>
      </x:c>
      <x:c r="G287" s="10" t="n">
        <x:v>85</x:v>
      </x:c>
      <x:c r="H287" s="10" t="n">
        <x:v>85</x:v>
      </x:c>
      <x:c r="I287" s="10" t="n">
        <x:v>55</x:v>
      </x:c>
      <x:c r="J287" s="10" t="n">
        <x:v>55</x:v>
      </x:c>
      <x:c r="K287" s="10" t="n">
        <x:v>50</x:v>
      </x:c>
      <x:c r="L287" s="10" t="n">
        <x:f>SUM(F287:K287)</x:f>
        <x:v>380</x:v>
      </x:c>
      <x:c r="M287" s="1" t="str">
        <x:f>IF(G287=I287,"Empate",IF(G287&gt;I287,"Física","Especial"))</x:f>
        <x:v>Física</x:v>
      </x:c>
      <x:c r="N287" s="10" t="n">
        <x:v>80</x:v>
      </x:c>
      <x:c r="O287" s="10" t="n">
        <x:v>3848</x:v>
      </x:c>
      <x:c r="P287" s="10" t="n">
        <x:v>18000</x:v>
      </x:c>
      <x:c r="Q287" s="10" t="n">
        <x:v>18000</x:v>
      </x:c>
      <x:c r="R287" s="1" t="str"/>
      <x:c r="S287" s="1"/>
      <x:c r="T287" s="9" t="str">
        <x:v>https://poke.idleworld.online/pokepedia/pokemon/mawile</x:v>
      </x:c>
    </x:row>
    <x:row r="288" ht="22" customHeight="1">
      <x:c r="A288" s="1" t="n">
        <x:v>304</x:v>
      </x:c>
      <x:c r="B288" s="1" t="str">
        <x:v>Aron</x:v>
      </x:c>
      <x:c r="C288" s="1" t="str">
        <x:v>Aço</x:v>
      </x:c>
      <x:c r="D288" s="1" t="str">
        <x:v>Pedra</x:v>
      </x:c>
      <x:c r="E288" s="1" t="str">
        <x:v>Incomum</x:v>
      </x:c>
      <x:c r="F288" s="10" t="n">
        <x:v>50</x:v>
      </x:c>
      <x:c r="G288" s="10" t="n">
        <x:v>70</x:v>
      </x:c>
      <x:c r="H288" s="10" t="n">
        <x:v>100</x:v>
      </x:c>
      <x:c r="I288" s="10" t="n">
        <x:v>40</x:v>
      </x:c>
      <x:c r="J288" s="10" t="n">
        <x:v>40</x:v>
      </x:c>
      <x:c r="K288" s="10" t="n">
        <x:v>30</x:v>
      </x:c>
      <x:c r="L288" s="10" t="n">
        <x:f>SUM(F288:K288)</x:f>
        <x:v>330</x:v>
      </x:c>
      <x:c r="M288" s="1" t="str">
        <x:f>IF(G288=I288,"Empate",IF(G288&gt;I288,"Física","Especial"))</x:f>
        <x:v>Física</x:v>
      </x:c>
      <x:c r="N288" s="10" t="n">
        <x:v>30</x:v>
      </x:c>
      <x:c r="O288" s="10" t="n">
        <x:v>548</x:v>
      </x:c>
      <x:c r="P288" s="10" t="n">
        <x:v>4000</x:v>
      </x:c>
      <x:c r="Q288" s="10" t="n">
        <x:v>4000</x:v>
      </x:c>
      <x:c r="R288" s="1" t="str">
        <x:v>Lairon</x:v>
      </x:c>
      <x:c r="S288" s="1" t="n">
        <x:v>60</x:v>
      </x:c>
      <x:c r="T288" s="9" t="str">
        <x:v>https://poke.idleworld.online/pokepedia/pokemon/aron</x:v>
      </x:c>
    </x:row>
    <x:row r="289" ht="22" customHeight="1">
      <x:c r="A289" s="1" t="n">
        <x:v>305</x:v>
      </x:c>
      <x:c r="B289" s="1" t="str">
        <x:v>Lairon</x:v>
      </x:c>
      <x:c r="C289" s="1" t="str">
        <x:v>Aço</x:v>
      </x:c>
      <x:c r="D289" s="1" t="str">
        <x:v>Pedra</x:v>
      </x:c>
      <x:c r="E289" s="1" t="str">
        <x:v>Raro</x:v>
      </x:c>
      <x:c r="F289" s="10" t="n">
        <x:v>60</x:v>
      </x:c>
      <x:c r="G289" s="10" t="n">
        <x:v>90</x:v>
      </x:c>
      <x:c r="H289" s="10" t="n">
        <x:v>140</x:v>
      </x:c>
      <x:c r="I289" s="10" t="n">
        <x:v>50</x:v>
      </x:c>
      <x:c r="J289" s="10" t="n">
        <x:v>50</x:v>
      </x:c>
      <x:c r="K289" s="10" t="n">
        <x:v>40</x:v>
      </x:c>
      <x:c r="L289" s="10" t="n">
        <x:f>SUM(F289:K289)</x:f>
        <x:v>430</x:v>
      </x:c>
      <x:c r="M289" s="1" t="str">
        <x:f>IF(G289=I289,"Empate",IF(G289&gt;I289,"Física","Especial"))</x:f>
        <x:v>Física</x:v>
      </x:c>
      <x:c r="N289" s="10" t="n">
        <x:v>60</x:v>
      </x:c>
      <x:c r="O289" s="10" t="n">
        <x:v>2168</x:v>
      </x:c>
      <x:c r="P289" s="10" t="n">
        <x:v>12000</x:v>
      </x:c>
      <x:c r="Q289" s="10" t="n">
        <x:v>12000</x:v>
      </x:c>
      <x:c r="R289" s="1" t="str">
        <x:v>Aggron</x:v>
      </x:c>
      <x:c r="S289" s="1" t="n">
        <x:v>100</x:v>
      </x:c>
      <x:c r="T289" s="9" t="str">
        <x:v>https://poke.idleworld.online/pokepedia/pokemon/lairon</x:v>
      </x:c>
    </x:row>
    <x:row r="290" ht="22" customHeight="1">
      <x:c r="A290" s="1" t="n">
        <x:v>306</x:v>
      </x:c>
      <x:c r="B290" s="1" t="str">
        <x:v>Aggron</x:v>
      </x:c>
      <x:c r="C290" s="1" t="str">
        <x:v>Aço</x:v>
      </x:c>
      <x:c r="D290" s="1" t="str">
        <x:v>Pedra</x:v>
      </x:c>
      <x:c r="E290" s="1" t="str">
        <x:v>Raro</x:v>
      </x:c>
      <x:c r="F290" s="10" t="n">
        <x:v>70</x:v>
      </x:c>
      <x:c r="G290" s="10" t="n">
        <x:v>110</x:v>
      </x:c>
      <x:c r="H290" s="10" t="n">
        <x:v>180</x:v>
      </x:c>
      <x:c r="I290" s="10" t="n">
        <x:v>60</x:v>
      </x:c>
      <x:c r="J290" s="10" t="n">
        <x:v>60</x:v>
      </x:c>
      <x:c r="K290" s="10" t="n">
        <x:v>50</x:v>
      </x:c>
      <x:c r="L290" s="10" t="n">
        <x:f>SUM(F290:K290)</x:f>
        <x:v>530</x:v>
      </x:c>
      <x:c r="M290" s="1" t="str">
        <x:f>IF(G290=I290,"Empate",IF(G290&gt;I290,"Física","Especial"))</x:f>
        <x:v>Física</x:v>
      </x:c>
      <x:c r="N290" s="10" t="n">
        <x:v>100</x:v>
      </x:c>
      <x:c r="O290" s="10" t="n">
        <x:v>6008</x:v>
      </x:c>
      <x:c r="P290" s="10" t="n">
        <x:v>120000</x:v>
      </x:c>
      <x:c r="Q290" s="10" t="n">
        <x:v>120000</x:v>
      </x:c>
      <x:c r="R290" s="1" t="str"/>
      <x:c r="S290" s="1"/>
      <x:c r="T290" s="9" t="str">
        <x:v>https://poke.idleworld.online/pokepedia/pokemon/aggron</x:v>
      </x:c>
    </x:row>
    <x:row r="291" ht="22" customHeight="1">
      <x:c r="A291" s="1" t="n">
        <x:v>307</x:v>
      </x:c>
      <x:c r="B291" s="1" t="str">
        <x:v>Meditite</x:v>
      </x:c>
      <x:c r="C291" s="1" t="str">
        <x:v>Lutador</x:v>
      </x:c>
      <x:c r="D291" s="1" t="str">
        <x:v>Psíquico</x:v>
      </x:c>
      <x:c r="E291" s="1" t="str">
        <x:v>Incomum</x:v>
      </x:c>
      <x:c r="F291" s="10" t="n">
        <x:v>30</x:v>
      </x:c>
      <x:c r="G291" s="10" t="n">
        <x:v>40</x:v>
      </x:c>
      <x:c r="H291" s="10" t="n">
        <x:v>55</x:v>
      </x:c>
      <x:c r="I291" s="10" t="n">
        <x:v>40</x:v>
      </x:c>
      <x:c r="J291" s="10" t="n">
        <x:v>55</x:v>
      </x:c>
      <x:c r="K291" s="10" t="n">
        <x:v>60</x:v>
      </x:c>
      <x:c r="L291" s="10" t="n">
        <x:f>SUM(F291:K291)</x:f>
        <x:v>280</x:v>
      </x:c>
      <x:c r="M291" s="1" t="str">
        <x:f>IF(G291=I291,"Empate",IF(G291&gt;I291,"Física","Especial"))</x:f>
        <x:v>Empate</x:v>
      </x:c>
      <x:c r="N291" s="10" t="n">
        <x:v>30</x:v>
      </x:c>
      <x:c r="O291" s="10" t="n">
        <x:v>548</x:v>
      </x:c>
      <x:c r="P291" s="10" t="n">
        <x:v>4000</x:v>
      </x:c>
      <x:c r="Q291" s="10" t="n">
        <x:v>4000</x:v>
      </x:c>
      <x:c r="R291" s="1" t="str">
        <x:v>Medicham</x:v>
      </x:c>
      <x:c r="S291" s="1" t="n">
        <x:v>80</x:v>
      </x:c>
      <x:c r="T291" s="9" t="str">
        <x:v>https://poke.idleworld.online/pokepedia/pokemon/meditite</x:v>
      </x:c>
    </x:row>
    <x:row r="292" ht="22" customHeight="1">
      <x:c r="A292" s="1" t="n">
        <x:v>308</x:v>
      </x:c>
      <x:c r="B292" s="1" t="str">
        <x:v>Medicham</x:v>
      </x:c>
      <x:c r="C292" s="1" t="str">
        <x:v>Lutador</x:v>
      </x:c>
      <x:c r="D292" s="1" t="str">
        <x:v>Psíquico</x:v>
      </x:c>
      <x:c r="E292" s="1" t="str">
        <x:v>Raro</x:v>
      </x:c>
      <x:c r="F292" s="10" t="n">
        <x:v>60</x:v>
      </x:c>
      <x:c r="G292" s="10" t="n">
        <x:v>60</x:v>
      </x:c>
      <x:c r="H292" s="10" t="n">
        <x:v>75</x:v>
      </x:c>
      <x:c r="I292" s="10" t="n">
        <x:v>60</x:v>
      </x:c>
      <x:c r="J292" s="10" t="n">
        <x:v>75</x:v>
      </x:c>
      <x:c r="K292" s="10" t="n">
        <x:v>80</x:v>
      </x:c>
      <x:c r="L292" s="10" t="n">
        <x:f>SUM(F292:K292)</x:f>
        <x:v>410</x:v>
      </x:c>
      <x:c r="M292" s="1" t="str">
        <x:f>IF(G292=I292,"Empate",IF(G292&gt;I292,"Física","Especial"))</x:f>
        <x:v>Empate</x:v>
      </x:c>
      <x:c r="N292" s="10" t="n">
        <x:v>80</x:v>
      </x:c>
      <x:c r="O292" s="10" t="n">
        <x:v>3848</x:v>
      </x:c>
      <x:c r="P292" s="10" t="n">
        <x:v>18000</x:v>
      </x:c>
      <x:c r="Q292" s="10" t="n">
        <x:v>18000</x:v>
      </x:c>
      <x:c r="R292" s="1" t="str"/>
      <x:c r="S292" s="1"/>
      <x:c r="T292" s="9" t="str">
        <x:v>https://poke.idleworld.online/pokepedia/pokemon/medicham</x:v>
      </x:c>
    </x:row>
    <x:row r="293" ht="22" customHeight="1">
      <x:c r="A293" s="1" t="n">
        <x:v>309</x:v>
      </x:c>
      <x:c r="B293" s="1" t="str">
        <x:v>Electrike</x:v>
      </x:c>
      <x:c r="C293" s="1" t="str">
        <x:v>Elétrico</x:v>
      </x:c>
      <x:c r="D293" s="1" t="str"/>
      <x:c r="E293" s="1" t="str">
        <x:v>Incomum</x:v>
      </x:c>
      <x:c r="F293" s="10" t="n">
        <x:v>40</x:v>
      </x:c>
      <x:c r="G293" s="10" t="n">
        <x:v>45</x:v>
      </x:c>
      <x:c r="H293" s="10" t="n">
        <x:v>40</x:v>
      </x:c>
      <x:c r="I293" s="10" t="n">
        <x:v>65</x:v>
      </x:c>
      <x:c r="J293" s="10" t="n">
        <x:v>40</x:v>
      </x:c>
      <x:c r="K293" s="10" t="n">
        <x:v>65</x:v>
      </x:c>
      <x:c r="L293" s="10" t="n">
        <x:f>SUM(F293:K293)</x:f>
        <x:v>295</x:v>
      </x:c>
      <x:c r="M293" s="1" t="str">
        <x:f>IF(G293=I293,"Empate",IF(G293&gt;I293,"Física","Especial"))</x:f>
        <x:v>Especial</x:v>
      </x:c>
      <x:c r="N293" s="10" t="n">
        <x:v>30</x:v>
      </x:c>
      <x:c r="O293" s="10" t="n">
        <x:v>548</x:v>
      </x:c>
      <x:c r="P293" s="10" t="n">
        <x:v>4000</x:v>
      </x:c>
      <x:c r="Q293" s="10" t="n">
        <x:v>4000</x:v>
      </x:c>
      <x:c r="R293" s="1" t="str">
        <x:v>Manectric</x:v>
      </x:c>
      <x:c r="S293" s="1" t="n">
        <x:v>80</x:v>
      </x:c>
      <x:c r="T293" s="9" t="str">
        <x:v>https://poke.idleworld.online/pokepedia/pokemon/electrike</x:v>
      </x:c>
    </x:row>
    <x:row r="294" ht="22" customHeight="1">
      <x:c r="A294" s="1" t="n">
        <x:v>310</x:v>
      </x:c>
      <x:c r="B294" s="1" t="str">
        <x:v>Manectric</x:v>
      </x:c>
      <x:c r="C294" s="1" t="str">
        <x:v>Elétrico</x:v>
      </x:c>
      <x:c r="D294" s="1" t="str"/>
      <x:c r="E294" s="1" t="str">
        <x:v>Raro</x:v>
      </x:c>
      <x:c r="F294" s="10" t="n">
        <x:v>70</x:v>
      </x:c>
      <x:c r="G294" s="10" t="n">
        <x:v>75</x:v>
      </x:c>
      <x:c r="H294" s="10" t="n">
        <x:v>60</x:v>
      </x:c>
      <x:c r="I294" s="10" t="n">
        <x:v>105</x:v>
      </x:c>
      <x:c r="J294" s="10" t="n">
        <x:v>60</x:v>
      </x:c>
      <x:c r="K294" s="10" t="n">
        <x:v>105</x:v>
      </x:c>
      <x:c r="L294" s="10" t="n">
        <x:f>SUM(F294:K294)</x:f>
        <x:v>475</x:v>
      </x:c>
      <x:c r="M294" s="1" t="str">
        <x:f>IF(G294=I294,"Empate",IF(G294&gt;I294,"Física","Especial"))</x:f>
        <x:v>Especial</x:v>
      </x:c>
      <x:c r="N294" s="10" t="n">
        <x:v>80</x:v>
      </x:c>
      <x:c r="O294" s="10" t="n">
        <x:v>3848</x:v>
      </x:c>
      <x:c r="P294" s="10" t="n">
        <x:v>18000</x:v>
      </x:c>
      <x:c r="Q294" s="10" t="n">
        <x:v>18000</x:v>
      </x:c>
      <x:c r="R294" s="1" t="str"/>
      <x:c r="S294" s="1"/>
      <x:c r="T294" s="9" t="str">
        <x:v>https://poke.idleworld.online/pokepedia/pokemon/manectric</x:v>
      </x:c>
    </x:row>
    <x:row r="295" ht="22" customHeight="1">
      <x:c r="A295" s="1" t="n">
        <x:v>318</x:v>
      </x:c>
      <x:c r="B295" s="1" t="str">
        <x:v>Carvanha</x:v>
      </x:c>
      <x:c r="C295" s="1" t="str">
        <x:v>Água</x:v>
      </x:c>
      <x:c r="D295" s="1" t="str">
        <x:v>Sombrio</x:v>
      </x:c>
      <x:c r="E295" s="1" t="str">
        <x:v>Comum</x:v>
      </x:c>
      <x:c r="F295" s="10" t="n">
        <x:v>45</x:v>
      </x:c>
      <x:c r="G295" s="10" t="n">
        <x:v>90</x:v>
      </x:c>
      <x:c r="H295" s="10" t="n">
        <x:v>20</x:v>
      </x:c>
      <x:c r="I295" s="10" t="n">
        <x:v>65</x:v>
      </x:c>
      <x:c r="J295" s="10" t="n">
        <x:v>20</x:v>
      </x:c>
      <x:c r="K295" s="10" t="n">
        <x:v>65</x:v>
      </x:c>
      <x:c r="L295" s="10" t="n">
        <x:f>SUM(F295:K295)</x:f>
        <x:v>305</x:v>
      </x:c>
      <x:c r="M295" s="1" t="str">
        <x:f>IF(G295=I295,"Empate",IF(G295&gt;I295,"Física","Especial"))</x:f>
        <x:v>Física</x:v>
      </x:c>
      <x:c r="N295" s="10" t="n">
        <x:v>20</x:v>
      </x:c>
      <x:c r="O295" s="10" t="n">
        <x:v>248</x:v>
      </x:c>
      <x:c r="P295" s="10" t="n">
        <x:v>3000</x:v>
      </x:c>
      <x:c r="Q295" s="10" t="n">
        <x:v>3000</x:v>
      </x:c>
      <x:c r="R295" s="1" t="str">
        <x:v>Sharpedo</x:v>
      </x:c>
      <x:c r="S295" s="1" t="n">
        <x:v>80</x:v>
      </x:c>
      <x:c r="T295" s="9" t="str">
        <x:v>https://poke.idleworld.online/pokepedia/pokemon/carvanha</x:v>
      </x:c>
    </x:row>
    <x:row r="296" ht="22" customHeight="1">
      <x:c r="A296" s="1" t="n">
        <x:v>319</x:v>
      </x:c>
      <x:c r="B296" s="1" t="str">
        <x:v>Sharpedo</x:v>
      </x:c>
      <x:c r="C296" s="1" t="str">
        <x:v>Água</x:v>
      </x:c>
      <x:c r="D296" s="1" t="str">
        <x:v>Sombrio</x:v>
      </x:c>
      <x:c r="E296" s="1" t="str">
        <x:v>Raro</x:v>
      </x:c>
      <x:c r="F296" s="10" t="n">
        <x:v>70</x:v>
      </x:c>
      <x:c r="G296" s="10" t="n">
        <x:v>120</x:v>
      </x:c>
      <x:c r="H296" s="10" t="n">
        <x:v>40</x:v>
      </x:c>
      <x:c r="I296" s="10" t="n">
        <x:v>95</x:v>
      </x:c>
      <x:c r="J296" s="10" t="n">
        <x:v>40</x:v>
      </x:c>
      <x:c r="K296" s="10" t="n">
        <x:v>95</x:v>
      </x:c>
      <x:c r="L296" s="10" t="n">
        <x:f>SUM(F296:K296)</x:f>
        <x:v>460</x:v>
      </x:c>
      <x:c r="M296" s="1" t="str">
        <x:f>IF(G296=I296,"Empate",IF(G296&gt;I296,"Física","Especial"))</x:f>
        <x:v>Física</x:v>
      </x:c>
      <x:c r="N296" s="10" t="n">
        <x:v>80</x:v>
      </x:c>
      <x:c r="O296" s="10" t="n">
        <x:v>3848</x:v>
      </x:c>
      <x:c r="P296" s="10" t="n">
        <x:v>18000</x:v>
      </x:c>
      <x:c r="Q296" s="10" t="n">
        <x:v>18000</x:v>
      </x:c>
      <x:c r="R296" s="1" t="str"/>
      <x:c r="S296" s="1"/>
      <x:c r="T296" s="9" t="str">
        <x:v>https://poke.idleworld.online/pokepedia/pokemon/sharpedo</x:v>
      </x:c>
    </x:row>
    <x:row r="297" ht="22" customHeight="1">
      <x:c r="A297" s="1" t="n">
        <x:v>322</x:v>
      </x:c>
      <x:c r="B297" s="1" t="str">
        <x:v>Numel</x:v>
      </x:c>
      <x:c r="C297" s="1" t="str">
        <x:v>Fogo</x:v>
      </x:c>
      <x:c r="D297" s="1" t="str">
        <x:v>Terrestre</x:v>
      </x:c>
      <x:c r="E297" s="1" t="str">
        <x:v>Incomum</x:v>
      </x:c>
      <x:c r="F297" s="10" t="n">
        <x:v>60</x:v>
      </x:c>
      <x:c r="G297" s="10" t="n">
        <x:v>60</x:v>
      </x:c>
      <x:c r="H297" s="10" t="n">
        <x:v>40</x:v>
      </x:c>
      <x:c r="I297" s="10" t="n">
        <x:v>65</x:v>
      </x:c>
      <x:c r="J297" s="10" t="n">
        <x:v>45</x:v>
      </x:c>
      <x:c r="K297" s="10" t="n">
        <x:v>35</x:v>
      </x:c>
      <x:c r="L297" s="10" t="n">
        <x:f>SUM(F297:K297)</x:f>
        <x:v>305</x:v>
      </x:c>
      <x:c r="M297" s="1" t="str">
        <x:f>IF(G297=I297,"Empate",IF(G297&gt;I297,"Física","Especial"))</x:f>
        <x:v>Especial</x:v>
      </x:c>
      <x:c r="N297" s="10" t="n">
        <x:v>30</x:v>
      </x:c>
      <x:c r="O297" s="10" t="n">
        <x:v>548</x:v>
      </x:c>
      <x:c r="P297" s="10" t="n">
        <x:v>4000</x:v>
      </x:c>
      <x:c r="Q297" s="10" t="n">
        <x:v>4000</x:v>
      </x:c>
      <x:c r="R297" s="1" t="str">
        <x:v>Camerupt</x:v>
      </x:c>
      <x:c r="S297" s="1" t="n">
        <x:v>80</x:v>
      </x:c>
      <x:c r="T297" s="9" t="str">
        <x:v>https://poke.idleworld.online/pokepedia/pokemon/numel</x:v>
      </x:c>
    </x:row>
    <x:row r="298" ht="22" customHeight="1">
      <x:c r="A298" s="1" t="n">
        <x:v>323</x:v>
      </x:c>
      <x:c r="B298" s="1" t="str">
        <x:v>Camerupt</x:v>
      </x:c>
      <x:c r="C298" s="1" t="str">
        <x:v>Fogo</x:v>
      </x:c>
      <x:c r="D298" s="1" t="str">
        <x:v>Terrestre</x:v>
      </x:c>
      <x:c r="E298" s="1" t="str">
        <x:v>Raro</x:v>
      </x:c>
      <x:c r="F298" s="10" t="n">
        <x:v>70</x:v>
      </x:c>
      <x:c r="G298" s="10" t="n">
        <x:v>100</x:v>
      </x:c>
      <x:c r="H298" s="10" t="n">
        <x:v>70</x:v>
      </x:c>
      <x:c r="I298" s="10" t="n">
        <x:v>105</x:v>
      </x:c>
      <x:c r="J298" s="10" t="n">
        <x:v>75</x:v>
      </x:c>
      <x:c r="K298" s="10" t="n">
        <x:v>40</x:v>
      </x:c>
      <x:c r="L298" s="10" t="n">
        <x:f>SUM(F298:K298)</x:f>
        <x:v>460</x:v>
      </x:c>
      <x:c r="M298" s="1" t="str">
        <x:f>IF(G298=I298,"Empate",IF(G298&gt;I298,"Física","Especial"))</x:f>
        <x:v>Especial</x:v>
      </x:c>
      <x:c r="N298" s="10" t="n">
        <x:v>80</x:v>
      </x:c>
      <x:c r="O298" s="10" t="n">
        <x:v>3848</x:v>
      </x:c>
      <x:c r="P298" s="10" t="n">
        <x:v>18000</x:v>
      </x:c>
      <x:c r="Q298" s="10" t="n">
        <x:v>18000</x:v>
      </x:c>
      <x:c r="R298" s="1" t="str"/>
      <x:c r="S298" s="1"/>
      <x:c r="T298" s="9" t="str">
        <x:v>https://poke.idleworld.online/pokepedia/pokemon/camerupt</x:v>
      </x:c>
    </x:row>
    <x:row r="299" ht="22" customHeight="1">
      <x:c r="A299" s="1" t="n">
        <x:v>324</x:v>
      </x:c>
      <x:c r="B299" s="1" t="str">
        <x:v>Torkoal</x:v>
      </x:c>
      <x:c r="C299" s="1" t="str">
        <x:v>Fogo</x:v>
      </x:c>
      <x:c r="D299" s="1" t="str"/>
      <x:c r="E299" s="1" t="str">
        <x:v>Raro</x:v>
      </x:c>
      <x:c r="F299" s="10" t="n">
        <x:v>70</x:v>
      </x:c>
      <x:c r="G299" s="10" t="n">
        <x:v>85</x:v>
      </x:c>
      <x:c r="H299" s="10" t="n">
        <x:v>140</x:v>
      </x:c>
      <x:c r="I299" s="10" t="n">
        <x:v>85</x:v>
      </x:c>
      <x:c r="J299" s="10" t="n">
        <x:v>70</x:v>
      </x:c>
      <x:c r="K299" s="10" t="n">
        <x:v>20</x:v>
      </x:c>
      <x:c r="L299" s="10" t="n">
        <x:f>SUM(F299:K299)</x:f>
        <x:v>470</x:v>
      </x:c>
      <x:c r="M299" s="1" t="str">
        <x:f>IF(G299=I299,"Empate",IF(G299&gt;I299,"Física","Especial"))</x:f>
        <x:v>Empate</x:v>
      </x:c>
      <x:c r="N299" s="10" t="n">
        <x:v>100</x:v>
      </x:c>
      <x:c r="O299" s="10" t="n">
        <x:v>6008</x:v>
      </x:c>
      <x:c r="P299" s="10" t="n">
        <x:v>120000</x:v>
      </x:c>
      <x:c r="Q299" s="10" t="n">
        <x:v>120000</x:v>
      </x:c>
      <x:c r="R299" s="1" t="str"/>
      <x:c r="S299" s="1"/>
      <x:c r="T299" s="9" t="str">
        <x:v>https://poke.idleworld.online/pokepedia/pokemon/torkoal</x:v>
      </x:c>
    </x:row>
    <x:row r="300" ht="22" customHeight="1">
      <x:c r="A300" s="1" t="n">
        <x:v>325</x:v>
      </x:c>
      <x:c r="B300" s="1" t="str">
        <x:v>Spoink</x:v>
      </x:c>
      <x:c r="C300" s="1" t="str">
        <x:v>Psíquico</x:v>
      </x:c>
      <x:c r="D300" s="1" t="str"/>
      <x:c r="E300" s="1" t="str">
        <x:v>Comum</x:v>
      </x:c>
      <x:c r="F300" s="10" t="n">
        <x:v>60</x:v>
      </x:c>
      <x:c r="G300" s="10" t="n">
        <x:v>25</x:v>
      </x:c>
      <x:c r="H300" s="10" t="n">
        <x:v>35</x:v>
      </x:c>
      <x:c r="I300" s="10" t="n">
        <x:v>70</x:v>
      </x:c>
      <x:c r="J300" s="10" t="n">
        <x:v>80</x:v>
      </x:c>
      <x:c r="K300" s="10" t="n">
        <x:v>60</x:v>
      </x:c>
      <x:c r="L300" s="10" t="n">
        <x:f>SUM(F300:K300)</x:f>
        <x:v>330</x:v>
      </x:c>
      <x:c r="M300" s="1" t="str">
        <x:f>IF(G300=I300,"Empate",IF(G300&gt;I300,"Física","Especial"))</x:f>
        <x:v>Especial</x:v>
      </x:c>
      <x:c r="N300" s="10" t="n">
        <x:v>20</x:v>
      </x:c>
      <x:c r="O300" s="10" t="n">
        <x:v>248</x:v>
      </x:c>
      <x:c r="P300" s="10" t="n">
        <x:v>3000</x:v>
      </x:c>
      <x:c r="Q300" s="10" t="n">
        <x:v>3000</x:v>
      </x:c>
      <x:c r="R300" s="1" t="str">
        <x:v>Grumpig</x:v>
      </x:c>
      <x:c r="S300" s="1" t="n">
        <x:v>80</x:v>
      </x:c>
      <x:c r="T300" s="9" t="str">
        <x:v>https://poke.idleworld.online/pokepedia/pokemon/spoink</x:v>
      </x:c>
    </x:row>
    <x:row r="301" ht="22" customHeight="1">
      <x:c r="A301" s="1" t="n">
        <x:v>326</x:v>
      </x:c>
      <x:c r="B301" s="1" t="str">
        <x:v>Grumpig</x:v>
      </x:c>
      <x:c r="C301" s="1" t="str">
        <x:v>Psíquico</x:v>
      </x:c>
      <x:c r="D301" s="1" t="str"/>
      <x:c r="E301" s="1" t="str">
        <x:v>Raro</x:v>
      </x:c>
      <x:c r="F301" s="10" t="n">
        <x:v>80</x:v>
      </x:c>
      <x:c r="G301" s="10" t="n">
        <x:v>45</x:v>
      </x:c>
      <x:c r="H301" s="10" t="n">
        <x:v>65</x:v>
      </x:c>
      <x:c r="I301" s="10" t="n">
        <x:v>90</x:v>
      </x:c>
      <x:c r="J301" s="10" t="n">
        <x:v>110</x:v>
      </x:c>
      <x:c r="K301" s="10" t="n">
        <x:v>80</x:v>
      </x:c>
      <x:c r="L301" s="10" t="n">
        <x:f>SUM(F301:K301)</x:f>
        <x:v>470</x:v>
      </x:c>
      <x:c r="M301" s="1" t="str">
        <x:f>IF(G301=I301,"Empate",IF(G301&gt;I301,"Física","Especial"))</x:f>
        <x:v>Especial</x:v>
      </x:c>
      <x:c r="N301" s="10" t="n">
        <x:v>80</x:v>
      </x:c>
      <x:c r="O301" s="10" t="n">
        <x:v>3848</x:v>
      </x:c>
      <x:c r="P301" s="10" t="n">
        <x:v>18000</x:v>
      </x:c>
      <x:c r="Q301" s="10" t="n">
        <x:v>18000</x:v>
      </x:c>
      <x:c r="R301" s="1" t="str"/>
      <x:c r="S301" s="1"/>
      <x:c r="T301" s="9" t="str">
        <x:v>https://poke.idleworld.online/pokepedia/pokemon/grumpig</x:v>
      </x:c>
    </x:row>
    <x:row r="302" ht="22" customHeight="1">
      <x:c r="A302" s="1" t="n">
        <x:v>328</x:v>
      </x:c>
      <x:c r="B302" s="1" t="str">
        <x:v>Trapinch</x:v>
      </x:c>
      <x:c r="C302" s="1" t="str">
        <x:v>Terrestre</x:v>
      </x:c>
      <x:c r="D302" s="1" t="str"/>
      <x:c r="E302" s="1" t="str">
        <x:v>Comum</x:v>
      </x:c>
      <x:c r="F302" s="10" t="n">
        <x:v>45</x:v>
      </x:c>
      <x:c r="G302" s="10" t="n">
        <x:v>100</x:v>
      </x:c>
      <x:c r="H302" s="10" t="n">
        <x:v>45</x:v>
      </x:c>
      <x:c r="I302" s="10" t="n">
        <x:v>45</x:v>
      </x:c>
      <x:c r="J302" s="10" t="n">
        <x:v>45</x:v>
      </x:c>
      <x:c r="K302" s="10" t="n">
        <x:v>10</x:v>
      </x:c>
      <x:c r="L302" s="10" t="n">
        <x:f>SUM(F302:K302)</x:f>
        <x:v>290</x:v>
      </x:c>
      <x:c r="M302" s="1" t="str">
        <x:f>IF(G302=I302,"Empate",IF(G302&gt;I302,"Física","Especial"))</x:f>
        <x:v>Física</x:v>
      </x:c>
      <x:c r="N302" s="10" t="n">
        <x:v>20</x:v>
      </x:c>
      <x:c r="O302" s="10" t="n">
        <x:v>248</x:v>
      </x:c>
      <x:c r="P302" s="10" t="n">
        <x:v>3000</x:v>
      </x:c>
      <x:c r="Q302" s="10" t="n">
        <x:v>3000</x:v>
      </x:c>
      <x:c r="R302" s="1" t="str">
        <x:v>Vibrava</x:v>
      </x:c>
      <x:c r="S302" s="1" t="n">
        <x:v>50</x:v>
      </x:c>
      <x:c r="T302" s="9" t="str">
        <x:v>https://poke.idleworld.online/pokepedia/pokemon/trapinch</x:v>
      </x:c>
    </x:row>
    <x:row r="303" ht="22" customHeight="1">
      <x:c r="A303" s="1" t="n">
        <x:v>329</x:v>
      </x:c>
      <x:c r="B303" s="1" t="str">
        <x:v>Vibrava</x:v>
      </x:c>
      <x:c r="C303" s="1" t="str">
        <x:v>Terrestre</x:v>
      </x:c>
      <x:c r="D303" s="1" t="str">
        <x:v>Dragão</x:v>
      </x:c>
      <x:c r="E303" s="1" t="str">
        <x:v>Incomum</x:v>
      </x:c>
      <x:c r="F303" s="10" t="n">
        <x:v>50</x:v>
      </x:c>
      <x:c r="G303" s="10" t="n">
        <x:v>70</x:v>
      </x:c>
      <x:c r="H303" s="10" t="n">
        <x:v>50</x:v>
      </x:c>
      <x:c r="I303" s="10" t="n">
        <x:v>50</x:v>
      </x:c>
      <x:c r="J303" s="10" t="n">
        <x:v>50</x:v>
      </x:c>
      <x:c r="K303" s="10" t="n">
        <x:v>70</x:v>
      </x:c>
      <x:c r="L303" s="10" t="n">
        <x:f>SUM(F303:K303)</x:f>
        <x:v>340</x:v>
      </x:c>
      <x:c r="M303" s="1" t="str">
        <x:f>IF(G303=I303,"Empate",IF(G303&gt;I303,"Física","Especial"))</x:f>
        <x:v>Física</x:v>
      </x:c>
      <x:c r="N303" s="10" t="n">
        <x:v>50</x:v>
      </x:c>
      <x:c r="O303" s="10" t="n">
        <x:v>1508</x:v>
      </x:c>
      <x:c r="P303" s="10" t="n">
        <x:v>10000</x:v>
      </x:c>
      <x:c r="Q303" s="10" t="n">
        <x:v>10000</x:v>
      </x:c>
      <x:c r="R303" s="1" t="str">
        <x:v>Flygon</x:v>
      </x:c>
      <x:c r="S303" s="1" t="n">
        <x:v>100</x:v>
      </x:c>
      <x:c r="T303" s="9" t="str">
        <x:v>https://poke.idleworld.online/pokepedia/pokemon/vibrava</x:v>
      </x:c>
    </x:row>
    <x:row r="304" ht="22" customHeight="1">
      <x:c r="A304" s="1" t="n">
        <x:v>330</x:v>
      </x:c>
      <x:c r="B304" s="1" t="str">
        <x:v>Flygon</x:v>
      </x:c>
      <x:c r="C304" s="1" t="str">
        <x:v>Terrestre</x:v>
      </x:c>
      <x:c r="D304" s="1" t="str">
        <x:v>Dragão</x:v>
      </x:c>
      <x:c r="E304" s="1" t="str">
        <x:v>Raro</x:v>
      </x:c>
      <x:c r="F304" s="10" t="n">
        <x:v>80</x:v>
      </x:c>
      <x:c r="G304" s="10" t="n">
        <x:v>100</x:v>
      </x:c>
      <x:c r="H304" s="10" t="n">
        <x:v>80</x:v>
      </x:c>
      <x:c r="I304" s="10" t="n">
        <x:v>80</x:v>
      </x:c>
      <x:c r="J304" s="10" t="n">
        <x:v>80</x:v>
      </x:c>
      <x:c r="K304" s="10" t="n">
        <x:v>100</x:v>
      </x:c>
      <x:c r="L304" s="10" t="n">
        <x:f>SUM(F304:K304)</x:f>
        <x:v>520</x:v>
      </x:c>
      <x:c r="M304" s="1" t="str">
        <x:f>IF(G304=I304,"Empate",IF(G304&gt;I304,"Física","Especial"))</x:f>
        <x:v>Física</x:v>
      </x:c>
      <x:c r="N304" s="10" t="n">
        <x:v>100</x:v>
      </x:c>
      <x:c r="O304" s="10" t="n">
        <x:v>6008</x:v>
      </x:c>
      <x:c r="P304" s="10" t="n">
        <x:v>120000</x:v>
      </x:c>
      <x:c r="Q304" s="10" t="n">
        <x:v>120000</x:v>
      </x:c>
      <x:c r="R304" s="1" t="str"/>
      <x:c r="S304" s="1"/>
      <x:c r="T304" s="9" t="str">
        <x:v>https://poke.idleworld.online/pokepedia/pokemon/flygon</x:v>
      </x:c>
    </x:row>
    <x:row r="305" ht="22" customHeight="1">
      <x:c r="A305" s="1" t="n">
        <x:v>332</x:v>
      </x:c>
      <x:c r="B305" s="1" t="str">
        <x:v>Cacturne</x:v>
      </x:c>
      <x:c r="C305" s="1" t="str">
        <x:v>Planta</x:v>
      </x:c>
      <x:c r="D305" s="1" t="str">
        <x:v>Sombrio</x:v>
      </x:c>
      <x:c r="E305" s="1" t="str">
        <x:v>Raro</x:v>
      </x:c>
      <x:c r="F305" s="10" t="n">
        <x:v>70</x:v>
      </x:c>
      <x:c r="G305" s="10" t="n">
        <x:v>115</x:v>
      </x:c>
      <x:c r="H305" s="10" t="n">
        <x:v>60</x:v>
      </x:c>
      <x:c r="I305" s="10" t="n">
        <x:v>115</x:v>
      </x:c>
      <x:c r="J305" s="10" t="n">
        <x:v>60</x:v>
      </x:c>
      <x:c r="K305" s="10" t="n">
        <x:v>55</x:v>
      </x:c>
      <x:c r="L305" s="10" t="n">
        <x:f>SUM(F305:K305)</x:f>
        <x:v>475</x:v>
      </x:c>
      <x:c r="M305" s="1" t="str">
        <x:f>IF(G305=I305,"Empate",IF(G305&gt;I305,"Física","Especial"))</x:f>
        <x:v>Empate</x:v>
      </x:c>
      <x:c r="N305" s="10" t="n">
        <x:v>100</x:v>
      </x:c>
      <x:c r="O305" s="10" t="n">
        <x:v>6008</x:v>
      </x:c>
      <x:c r="P305" s="10" t="n">
        <x:v>120000</x:v>
      </x:c>
      <x:c r="Q305" s="10" t="n">
        <x:v>120000</x:v>
      </x:c>
      <x:c r="R305" s="1" t="str"/>
      <x:c r="S305" s="1"/>
      <x:c r="T305" s="9" t="str">
        <x:v>https://poke.idleworld.online/pokepedia/pokemon/cacturne</x:v>
      </x:c>
    </x:row>
    <x:row r="306" ht="22" customHeight="1">
      <x:c r="A306" s="1" t="n">
        <x:v>333</x:v>
      </x:c>
      <x:c r="B306" s="1" t="str">
        <x:v>Swablu</x:v>
      </x:c>
      <x:c r="C306" s="1" t="str">
        <x:v>Normal</x:v>
      </x:c>
      <x:c r="D306" s="1" t="str">
        <x:v>Voador</x:v>
      </x:c>
      <x:c r="E306" s="1" t="str">
        <x:v>Incomum</x:v>
      </x:c>
      <x:c r="F306" s="10" t="n">
        <x:v>45</x:v>
      </x:c>
      <x:c r="G306" s="10" t="n">
        <x:v>40</x:v>
      </x:c>
      <x:c r="H306" s="10" t="n">
        <x:v>60</x:v>
      </x:c>
      <x:c r="I306" s="10" t="n">
        <x:v>40</x:v>
      </x:c>
      <x:c r="J306" s="10" t="n">
        <x:v>75</x:v>
      </x:c>
      <x:c r="K306" s="10" t="n">
        <x:v>50</x:v>
      </x:c>
      <x:c r="L306" s="10" t="n">
        <x:f>SUM(F306:K306)</x:f>
        <x:v>310</x:v>
      </x:c>
      <x:c r="M306" s="1" t="str">
        <x:f>IF(G306=I306,"Empate",IF(G306&gt;I306,"Física","Especial"))</x:f>
        <x:v>Empate</x:v>
      </x:c>
      <x:c r="N306" s="10" t="n">
        <x:v>40</x:v>
      </x:c>
      <x:c r="O306" s="10" t="n">
        <x:v>968</x:v>
      </x:c>
      <x:c r="P306" s="10" t="n">
        <x:v>8000</x:v>
      </x:c>
      <x:c r="Q306" s="10" t="n">
        <x:v>8000</x:v>
      </x:c>
      <x:c r="R306" s="1" t="str">
        <x:v>Altaria</x:v>
      </x:c>
      <x:c r="S306" s="1" t="n">
        <x:v>80</x:v>
      </x:c>
      <x:c r="T306" s="9" t="str">
        <x:v>https://poke.idleworld.online/pokepedia/pokemon/swablu</x:v>
      </x:c>
    </x:row>
    <x:row r="307" ht="22" customHeight="1">
      <x:c r="A307" s="1" t="n">
        <x:v>334</x:v>
      </x:c>
      <x:c r="B307" s="1" t="str">
        <x:v>Altaria</x:v>
      </x:c>
      <x:c r="C307" s="1" t="str">
        <x:v>Dragão</x:v>
      </x:c>
      <x:c r="D307" s="1" t="str">
        <x:v>Voador</x:v>
      </x:c>
      <x:c r="E307" s="1" t="str">
        <x:v>Raro</x:v>
      </x:c>
      <x:c r="F307" s="10" t="n">
        <x:v>75</x:v>
      </x:c>
      <x:c r="G307" s="10" t="n">
        <x:v>70</x:v>
      </x:c>
      <x:c r="H307" s="10" t="n">
        <x:v>90</x:v>
      </x:c>
      <x:c r="I307" s="10" t="n">
        <x:v>70</x:v>
      </x:c>
      <x:c r="J307" s="10" t="n">
        <x:v>105</x:v>
      </x:c>
      <x:c r="K307" s="10" t="n">
        <x:v>80</x:v>
      </x:c>
      <x:c r="L307" s="10" t="n">
        <x:f>SUM(F307:K307)</x:f>
        <x:v>490</x:v>
      </x:c>
      <x:c r="M307" s="1" t="str">
        <x:f>IF(G307=I307,"Empate",IF(G307&gt;I307,"Física","Especial"))</x:f>
        <x:v>Empate</x:v>
      </x:c>
      <x:c r="N307" s="10" t="n">
        <x:v>80</x:v>
      </x:c>
      <x:c r="O307" s="10" t="n">
        <x:v>3848</x:v>
      </x:c>
      <x:c r="P307" s="10" t="n">
        <x:v>18000</x:v>
      </x:c>
      <x:c r="Q307" s="10" t="n">
        <x:v>18000</x:v>
      </x:c>
      <x:c r="R307" s="1" t="str"/>
      <x:c r="S307" s="1"/>
      <x:c r="T307" s="9" t="str">
        <x:v>https://poke.idleworld.online/pokepedia/pokemon/altaria</x:v>
      </x:c>
    </x:row>
    <x:row r="308" ht="22" customHeight="1">
      <x:c r="A308" s="1" t="n">
        <x:v>335</x:v>
      </x:c>
      <x:c r="B308" s="1" t="str">
        <x:v>Zangoose</x:v>
      </x:c>
      <x:c r="C308" s="1" t="str">
        <x:v>Normal</x:v>
      </x:c>
      <x:c r="D308" s="1" t="str"/>
      <x:c r="E308" s="1" t="str">
        <x:v>Raro</x:v>
      </x:c>
      <x:c r="F308" s="10" t="n">
        <x:v>73</x:v>
      </x:c>
      <x:c r="G308" s="10" t="n">
        <x:v>115</x:v>
      </x:c>
      <x:c r="H308" s="10" t="n">
        <x:v>60</x:v>
      </x:c>
      <x:c r="I308" s="10" t="n">
        <x:v>60</x:v>
      </x:c>
      <x:c r="J308" s="10" t="n">
        <x:v>60</x:v>
      </x:c>
      <x:c r="K308" s="10" t="n">
        <x:v>90</x:v>
      </x:c>
      <x:c r="L308" s="10" t="n">
        <x:f>SUM(F308:K308)</x:f>
        <x:v>458</x:v>
      </x:c>
      <x:c r="M308" s="1" t="str">
        <x:f>IF(G308=I308,"Empate",IF(G308&gt;I308,"Física","Especial"))</x:f>
        <x:v>Física</x:v>
      </x:c>
      <x:c r="N308" s="10" t="n">
        <x:v>100</x:v>
      </x:c>
      <x:c r="O308" s="10" t="n">
        <x:v>6008</x:v>
      </x:c>
      <x:c r="P308" s="10" t="n">
        <x:v>120000</x:v>
      </x:c>
      <x:c r="Q308" s="10" t="n">
        <x:v>120000</x:v>
      </x:c>
      <x:c r="R308" s="1" t="str"/>
      <x:c r="S308" s="1"/>
      <x:c r="T308" s="9" t="str">
        <x:v>https://poke.idleworld.online/pokepedia/pokemon/zangoose</x:v>
      </x:c>
    </x:row>
    <x:row r="309" ht="22" customHeight="1">
      <x:c r="A309" s="1" t="n">
        <x:v>336</x:v>
      </x:c>
      <x:c r="B309" s="1" t="str">
        <x:v>Seviper</x:v>
      </x:c>
      <x:c r="C309" s="1" t="str">
        <x:v>Venenoso</x:v>
      </x:c>
      <x:c r="D309" s="1" t="str"/>
      <x:c r="E309" s="1" t="str">
        <x:v>Raro</x:v>
      </x:c>
      <x:c r="F309" s="10" t="n">
        <x:v>73</x:v>
      </x:c>
      <x:c r="G309" s="10" t="n">
        <x:v>100</x:v>
      </x:c>
      <x:c r="H309" s="10" t="n">
        <x:v>60</x:v>
      </x:c>
      <x:c r="I309" s="10" t="n">
        <x:v>100</x:v>
      </x:c>
      <x:c r="J309" s="10" t="n">
        <x:v>60</x:v>
      </x:c>
      <x:c r="K309" s="10" t="n">
        <x:v>65</x:v>
      </x:c>
      <x:c r="L309" s="10" t="n">
        <x:f>SUM(F309:K309)</x:f>
        <x:v>458</x:v>
      </x:c>
      <x:c r="M309" s="1" t="str">
        <x:f>IF(G309=I309,"Empate",IF(G309&gt;I309,"Física","Especial"))</x:f>
        <x:v>Empate</x:v>
      </x:c>
      <x:c r="N309" s="10" t="n">
        <x:v>100</x:v>
      </x:c>
      <x:c r="O309" s="10" t="n">
        <x:v>6008</x:v>
      </x:c>
      <x:c r="P309" s="10" t="n">
        <x:v>120000</x:v>
      </x:c>
      <x:c r="Q309" s="10" t="n">
        <x:v>120000</x:v>
      </x:c>
      <x:c r="R309" s="1" t="str"/>
      <x:c r="S309" s="1"/>
      <x:c r="T309" s="9" t="str">
        <x:v>https://poke.idleworld.online/pokepedia/pokemon/seviper</x:v>
      </x:c>
    </x:row>
    <x:row r="310" ht="22" customHeight="1">
      <x:c r="A310" s="1" t="n">
        <x:v>337</x:v>
      </x:c>
      <x:c r="B310" s="1" t="str">
        <x:v>Lunatone</x:v>
      </x:c>
      <x:c r="C310" s="1" t="str">
        <x:v>Pedra</x:v>
      </x:c>
      <x:c r="D310" s="1" t="str">
        <x:v>Psíquico</x:v>
      </x:c>
      <x:c r="E310" s="1" t="str">
        <x:v>Raro</x:v>
      </x:c>
      <x:c r="F310" s="10" t="n">
        <x:v>70</x:v>
      </x:c>
      <x:c r="G310" s="10" t="n">
        <x:v>55</x:v>
      </x:c>
      <x:c r="H310" s="10" t="n">
        <x:v>65</x:v>
      </x:c>
      <x:c r="I310" s="10" t="n">
        <x:v>95</x:v>
      </x:c>
      <x:c r="J310" s="10" t="n">
        <x:v>85</x:v>
      </x:c>
      <x:c r="K310" s="10" t="n">
        <x:v>70</x:v>
      </x:c>
      <x:c r="L310" s="10" t="n">
        <x:f>SUM(F310:K310)</x:f>
        <x:v>440</x:v>
      </x:c>
      <x:c r="M310" s="1" t="str">
        <x:f>IF(G310=I310,"Empate",IF(G310&gt;I310,"Física","Especial"))</x:f>
        <x:v>Especial</x:v>
      </x:c>
      <x:c r="N310" s="10" t="n">
        <x:v>80</x:v>
      </x:c>
      <x:c r="O310" s="10" t="n">
        <x:v>3848</x:v>
      </x:c>
      <x:c r="P310" s="10" t="n">
        <x:v>18000</x:v>
      </x:c>
      <x:c r="Q310" s="10" t="n">
        <x:v>18000</x:v>
      </x:c>
      <x:c r="R310" s="1" t="str"/>
      <x:c r="S310" s="1"/>
      <x:c r="T310" s="9" t="str">
        <x:v>https://poke.idleworld.online/pokepedia/pokemon/lunatone</x:v>
      </x:c>
    </x:row>
    <x:row r="311" ht="22" customHeight="1">
      <x:c r="A311" s="1" t="n">
        <x:v>338</x:v>
      </x:c>
      <x:c r="B311" s="1" t="str">
        <x:v>Solrock</x:v>
      </x:c>
      <x:c r="C311" s="1" t="str">
        <x:v>Pedra</x:v>
      </x:c>
      <x:c r="D311" s="1" t="str">
        <x:v>Psíquico</x:v>
      </x:c>
      <x:c r="E311" s="1" t="str">
        <x:v>Raro</x:v>
      </x:c>
      <x:c r="F311" s="10" t="n">
        <x:v>70</x:v>
      </x:c>
      <x:c r="G311" s="10" t="n">
        <x:v>95</x:v>
      </x:c>
      <x:c r="H311" s="10" t="n">
        <x:v>85</x:v>
      </x:c>
      <x:c r="I311" s="10" t="n">
        <x:v>55</x:v>
      </x:c>
      <x:c r="J311" s="10" t="n">
        <x:v>65</x:v>
      </x:c>
      <x:c r="K311" s="10" t="n">
        <x:v>70</x:v>
      </x:c>
      <x:c r="L311" s="10" t="n">
        <x:f>SUM(F311:K311)</x:f>
        <x:v>440</x:v>
      </x:c>
      <x:c r="M311" s="1" t="str">
        <x:f>IF(G311=I311,"Empate",IF(G311&gt;I311,"Física","Especial"))</x:f>
        <x:v>Física</x:v>
      </x:c>
      <x:c r="N311" s="10" t="n">
        <x:v>80</x:v>
      </x:c>
      <x:c r="O311" s="10" t="n">
        <x:v>3848</x:v>
      </x:c>
      <x:c r="P311" s="10" t="n">
        <x:v>18000</x:v>
      </x:c>
      <x:c r="Q311" s="10" t="n">
        <x:v>18000</x:v>
      </x:c>
      <x:c r="R311" s="1" t="str"/>
      <x:c r="S311" s="1"/>
      <x:c r="T311" s="9" t="str">
        <x:v>https://poke.idleworld.online/pokepedia/pokemon/solrock</x:v>
      </x:c>
    </x:row>
    <x:row r="312" ht="22" customHeight="1">
      <x:c r="A312" s="1" t="n">
        <x:v>339</x:v>
      </x:c>
      <x:c r="B312" s="1" t="str">
        <x:v>Barboach</x:v>
      </x:c>
      <x:c r="C312" s="1" t="str">
        <x:v>Água</x:v>
      </x:c>
      <x:c r="D312" s="1" t="str">
        <x:v>Terrestre</x:v>
      </x:c>
      <x:c r="E312" s="1" t="str">
        <x:v>Incomum</x:v>
      </x:c>
      <x:c r="F312" s="10" t="n">
        <x:v>50</x:v>
      </x:c>
      <x:c r="G312" s="10" t="n">
        <x:v>48</x:v>
      </x:c>
      <x:c r="H312" s="10" t="n">
        <x:v>43</x:v>
      </x:c>
      <x:c r="I312" s="10" t="n">
        <x:v>46</x:v>
      </x:c>
      <x:c r="J312" s="10" t="n">
        <x:v>41</x:v>
      </x:c>
      <x:c r="K312" s="10" t="n">
        <x:v>60</x:v>
      </x:c>
      <x:c r="L312" s="10" t="n">
        <x:f>SUM(F312:K312)</x:f>
        <x:v>288</x:v>
      </x:c>
      <x:c r="M312" s="1" t="str">
        <x:f>IF(G312=I312,"Empate",IF(G312&gt;I312,"Física","Especial"))</x:f>
        <x:v>Física</x:v>
      </x:c>
      <x:c r="N312" s="10" t="n">
        <x:v>40</x:v>
      </x:c>
      <x:c r="O312" s="10" t="n">
        <x:v>968</x:v>
      </x:c>
      <x:c r="P312" s="10" t="n">
        <x:v>8000</x:v>
      </x:c>
      <x:c r="Q312" s="10" t="n">
        <x:v>8000</x:v>
      </x:c>
      <x:c r="R312" s="1" t="str">
        <x:v>Whiscash</x:v>
      </x:c>
      <x:c r="S312" s="1" t="n">
        <x:v>80</x:v>
      </x:c>
      <x:c r="T312" s="9" t="str">
        <x:v>https://poke.idleworld.online/pokepedia/pokemon/barboach</x:v>
      </x:c>
    </x:row>
    <x:row r="313" ht="22" customHeight="1">
      <x:c r="A313" s="1" t="n">
        <x:v>340</x:v>
      </x:c>
      <x:c r="B313" s="1" t="str">
        <x:v>Whiscash</x:v>
      </x:c>
      <x:c r="C313" s="1" t="str">
        <x:v>Água</x:v>
      </x:c>
      <x:c r="D313" s="1" t="str">
        <x:v>Terrestre</x:v>
      </x:c>
      <x:c r="E313" s="1" t="str">
        <x:v>Raro</x:v>
      </x:c>
      <x:c r="F313" s="10" t="n">
        <x:v>110</x:v>
      </x:c>
      <x:c r="G313" s="10" t="n">
        <x:v>78</x:v>
      </x:c>
      <x:c r="H313" s="10" t="n">
        <x:v>73</x:v>
      </x:c>
      <x:c r="I313" s="10" t="n">
        <x:v>76</x:v>
      </x:c>
      <x:c r="J313" s="10" t="n">
        <x:v>71</x:v>
      </x:c>
      <x:c r="K313" s="10" t="n">
        <x:v>60</x:v>
      </x:c>
      <x:c r="L313" s="10" t="n">
        <x:f>SUM(F313:K313)</x:f>
        <x:v>468</x:v>
      </x:c>
      <x:c r="M313" s="1" t="str">
        <x:f>IF(G313=I313,"Empate",IF(G313&gt;I313,"Física","Especial"))</x:f>
        <x:v>Física</x:v>
      </x:c>
      <x:c r="N313" s="10" t="n">
        <x:v>80</x:v>
      </x:c>
      <x:c r="O313" s="10" t="n">
        <x:v>3848</x:v>
      </x:c>
      <x:c r="P313" s="10" t="n">
        <x:v>18000</x:v>
      </x:c>
      <x:c r="Q313" s="10" t="n">
        <x:v>18000</x:v>
      </x:c>
      <x:c r="R313" s="1" t="str"/>
      <x:c r="S313" s="1"/>
      <x:c r="T313" s="9" t="str">
        <x:v>https://poke.idleworld.online/pokepedia/pokemon/whiscash</x:v>
      </x:c>
    </x:row>
    <x:row r="314" ht="22" customHeight="1">
      <x:c r="A314" s="1" t="n">
        <x:v>341</x:v>
      </x:c>
      <x:c r="B314" s="1" t="str">
        <x:v>Corphish</x:v>
      </x:c>
      <x:c r="C314" s="1" t="str">
        <x:v>Água</x:v>
      </x:c>
      <x:c r="D314" s="1" t="str"/>
      <x:c r="E314" s="1" t="str">
        <x:v>Incomum</x:v>
      </x:c>
      <x:c r="F314" s="10" t="n">
        <x:v>43</x:v>
      </x:c>
      <x:c r="G314" s="10" t="n">
        <x:v>80</x:v>
      </x:c>
      <x:c r="H314" s="10" t="n">
        <x:v>65</x:v>
      </x:c>
      <x:c r="I314" s="10" t="n">
        <x:v>50</x:v>
      </x:c>
      <x:c r="J314" s="10" t="n">
        <x:v>35</x:v>
      </x:c>
      <x:c r="K314" s="10" t="n">
        <x:v>35</x:v>
      </x:c>
      <x:c r="L314" s="10" t="n">
        <x:f>SUM(F314:K314)</x:f>
        <x:v>308</x:v>
      </x:c>
      <x:c r="M314" s="1" t="str">
        <x:f>IF(G314=I314,"Empate",IF(G314&gt;I314,"Física","Especial"))</x:f>
        <x:v>Física</x:v>
      </x:c>
      <x:c r="N314" s="10" t="n">
        <x:v>30</x:v>
      </x:c>
      <x:c r="O314" s="10" t="n">
        <x:v>548</x:v>
      </x:c>
      <x:c r="P314" s="10" t="n">
        <x:v>4000</x:v>
      </x:c>
      <x:c r="Q314" s="10" t="n">
        <x:v>4000</x:v>
      </x:c>
      <x:c r="R314" s="1" t="str">
        <x:v>Crawdaunt</x:v>
      </x:c>
      <x:c r="S314" s="1" t="n">
        <x:v>80</x:v>
      </x:c>
      <x:c r="T314" s="9" t="str">
        <x:v>https://poke.idleworld.online/pokepedia/pokemon/corphish</x:v>
      </x:c>
    </x:row>
    <x:row r="315" ht="22" customHeight="1">
      <x:c r="A315" s="1" t="n">
        <x:v>342</x:v>
      </x:c>
      <x:c r="B315" s="1" t="str">
        <x:v>Crawdaunt</x:v>
      </x:c>
      <x:c r="C315" s="1" t="str">
        <x:v>Água</x:v>
      </x:c>
      <x:c r="D315" s="1" t="str">
        <x:v>Sombrio</x:v>
      </x:c>
      <x:c r="E315" s="1" t="str">
        <x:v>Raro</x:v>
      </x:c>
      <x:c r="F315" s="10" t="n">
        <x:v>63</x:v>
      </x:c>
      <x:c r="G315" s="10" t="n">
        <x:v>120</x:v>
      </x:c>
      <x:c r="H315" s="10" t="n">
        <x:v>85</x:v>
      </x:c>
      <x:c r="I315" s="10" t="n">
        <x:v>90</x:v>
      </x:c>
      <x:c r="J315" s="10" t="n">
        <x:v>55</x:v>
      </x:c>
      <x:c r="K315" s="10" t="n">
        <x:v>55</x:v>
      </x:c>
      <x:c r="L315" s="10" t="n">
        <x:f>SUM(F315:K315)</x:f>
        <x:v>468</x:v>
      </x:c>
      <x:c r="M315" s="1" t="str">
        <x:f>IF(G315=I315,"Empate",IF(G315&gt;I315,"Física","Especial"))</x:f>
        <x:v>Física</x:v>
      </x:c>
      <x:c r="N315" s="10" t="n">
        <x:v>80</x:v>
      </x:c>
      <x:c r="O315" s="10" t="n">
        <x:v>3848</x:v>
      </x:c>
      <x:c r="P315" s="10" t="n">
        <x:v>18000</x:v>
      </x:c>
      <x:c r="Q315" s="10" t="n">
        <x:v>18000</x:v>
      </x:c>
      <x:c r="R315" s="1" t="str"/>
      <x:c r="S315" s="1"/>
      <x:c r="T315" s="9" t="str">
        <x:v>https://poke.idleworld.online/pokepedia/pokemon/crawdaunt</x:v>
      </x:c>
    </x:row>
    <x:row r="316" ht="22" customHeight="1">
      <x:c r="A316" s="1" t="n">
        <x:v>343</x:v>
      </x:c>
      <x:c r="B316" s="1" t="str">
        <x:v>Baltoy</x:v>
      </x:c>
      <x:c r="C316" s="1" t="str">
        <x:v>Terrestre</x:v>
      </x:c>
      <x:c r="D316" s="1" t="str">
        <x:v>Psíquico</x:v>
      </x:c>
      <x:c r="E316" s="1" t="str">
        <x:v>Incomum</x:v>
      </x:c>
      <x:c r="F316" s="10" t="n">
        <x:v>40</x:v>
      </x:c>
      <x:c r="G316" s="10" t="n">
        <x:v>40</x:v>
      </x:c>
      <x:c r="H316" s="10" t="n">
        <x:v>55</x:v>
      </x:c>
      <x:c r="I316" s="10" t="n">
        <x:v>40</x:v>
      </x:c>
      <x:c r="J316" s="10" t="n">
        <x:v>70</x:v>
      </x:c>
      <x:c r="K316" s="10" t="n">
        <x:v>55</x:v>
      </x:c>
      <x:c r="L316" s="10" t="n">
        <x:f>SUM(F316:K316)</x:f>
        <x:v>300</x:v>
      </x:c>
      <x:c r="M316" s="1" t="str">
        <x:f>IF(G316=I316,"Empate",IF(G316&gt;I316,"Física","Especial"))</x:f>
        <x:v>Empate</x:v>
      </x:c>
      <x:c r="N316" s="10" t="n">
        <x:v>30</x:v>
      </x:c>
      <x:c r="O316" s="10" t="n">
        <x:v>548</x:v>
      </x:c>
      <x:c r="P316" s="10" t="n">
        <x:v>4000</x:v>
      </x:c>
      <x:c r="Q316" s="10" t="n">
        <x:v>4000</x:v>
      </x:c>
      <x:c r="R316" s="1" t="str">
        <x:v>Claydol</x:v>
      </x:c>
      <x:c r="S316" s="1" t="n">
        <x:v>80</x:v>
      </x:c>
      <x:c r="T316" s="9" t="str">
        <x:v>https://poke.idleworld.online/pokepedia/pokemon/baltoy</x:v>
      </x:c>
    </x:row>
    <x:row r="317" ht="22" customHeight="1">
      <x:c r="A317" s="1" t="n">
        <x:v>344</x:v>
      </x:c>
      <x:c r="B317" s="1" t="str">
        <x:v>Claydol</x:v>
      </x:c>
      <x:c r="C317" s="1" t="str">
        <x:v>Terrestre</x:v>
      </x:c>
      <x:c r="D317" s="1" t="str">
        <x:v>Psíquico</x:v>
      </x:c>
      <x:c r="E317" s="1" t="str">
        <x:v>Raro</x:v>
      </x:c>
      <x:c r="F317" s="10" t="n">
        <x:v>60</x:v>
      </x:c>
      <x:c r="G317" s="10" t="n">
        <x:v>70</x:v>
      </x:c>
      <x:c r="H317" s="10" t="n">
        <x:v>105</x:v>
      </x:c>
      <x:c r="I317" s="10" t="n">
        <x:v>70</x:v>
      </x:c>
      <x:c r="J317" s="10" t="n">
        <x:v>120</x:v>
      </x:c>
      <x:c r="K317" s="10" t="n">
        <x:v>75</x:v>
      </x:c>
      <x:c r="L317" s="10" t="n">
        <x:f>SUM(F317:K317)</x:f>
        <x:v>500</x:v>
      </x:c>
      <x:c r="M317" s="1" t="str">
        <x:f>IF(G317=I317,"Empate",IF(G317&gt;I317,"Física","Especial"))</x:f>
        <x:v>Empate</x:v>
      </x:c>
      <x:c r="N317" s="10" t="n">
        <x:v>80</x:v>
      </x:c>
      <x:c r="O317" s="10" t="n">
        <x:v>3848</x:v>
      </x:c>
      <x:c r="P317" s="10" t="n">
        <x:v>18000</x:v>
      </x:c>
      <x:c r="Q317" s="10" t="n">
        <x:v>18000</x:v>
      </x:c>
      <x:c r="R317" s="1" t="str"/>
      <x:c r="S317" s="1"/>
      <x:c r="T317" s="9" t="str">
        <x:v>https://poke.idleworld.online/pokepedia/pokemon/claydol</x:v>
      </x:c>
    </x:row>
    <x:row r="318" ht="22" customHeight="1">
      <x:c r="A318" s="1" t="n">
        <x:v>349</x:v>
      </x:c>
      <x:c r="B318" s="1" t="str">
        <x:v>Feebas</x:v>
      </x:c>
      <x:c r="C318" s="1" t="str">
        <x:v>Água</x:v>
      </x:c>
      <x:c r="D318" s="1" t="str"/>
      <x:c r="E318" s="1" t="str">
        <x:v>Raro</x:v>
      </x:c>
      <x:c r="F318" s="10" t="n">
        <x:v>20</x:v>
      </x:c>
      <x:c r="G318" s="10" t="n">
        <x:v>15</x:v>
      </x:c>
      <x:c r="H318" s="10" t="n">
        <x:v>20</x:v>
      </x:c>
      <x:c r="I318" s="10" t="n">
        <x:v>10</x:v>
      </x:c>
      <x:c r="J318" s="10" t="n">
        <x:v>55</x:v>
      </x:c>
      <x:c r="K318" s="10" t="n">
        <x:v>80</x:v>
      </x:c>
      <x:c r="L318" s="10" t="n">
        <x:f>SUM(F318:K318)</x:f>
        <x:v>200</x:v>
      </x:c>
      <x:c r="M318" s="1" t="str">
        <x:f>IF(G318=I318,"Empate",IF(G318&gt;I318,"Física","Especial"))</x:f>
        <x:v>Física</x:v>
      </x:c>
      <x:c r="N318" s="10" t="n">
        <x:v>20</x:v>
      </x:c>
      <x:c r="O318" s="10" t="n">
        <x:v>248</x:v>
      </x:c>
      <x:c r="P318" s="10" t="n">
        <x:v>500</x:v>
      </x:c>
      <x:c r="Q318" s="10" t="n">
        <x:v>500</x:v>
      </x:c>
      <x:c r="R318" s="1" t="str">
        <x:v>Milotic</x:v>
      </x:c>
      <x:c r="S318" s="1" t="n">
        <x:v>600</x:v>
      </x:c>
      <x:c r="T318" s="9" t="str">
        <x:v>https://poke.idleworld.online/pokepedia/pokemon/feebas</x:v>
      </x:c>
    </x:row>
    <x:row r="319" ht="22" customHeight="1">
      <x:c r="A319" s="1" t="n">
        <x:v>350</x:v>
      </x:c>
      <x:c r="B319" s="1" t="str">
        <x:v>Milotic</x:v>
      </x:c>
      <x:c r="C319" s="1" t="str">
        <x:v>Água</x:v>
      </x:c>
      <x:c r="D319" s="1" t="str"/>
      <x:c r="E319" s="1" t="str">
        <x:v>Raro</x:v>
      </x:c>
      <x:c r="F319" s="10" t="n">
        <x:v>95</x:v>
      </x:c>
      <x:c r="G319" s="10" t="n">
        <x:v>60</x:v>
      </x:c>
      <x:c r="H319" s="10" t="n">
        <x:v>79</x:v>
      </x:c>
      <x:c r="I319" s="10" t="n">
        <x:v>100</x:v>
      </x:c>
      <x:c r="J319" s="10" t="n">
        <x:v>125</x:v>
      </x:c>
      <x:c r="K319" s="10" t="n">
        <x:v>81</x:v>
      </x:c>
      <x:c r="L319" s="10" t="n">
        <x:f>SUM(F319:K319)</x:f>
        <x:v>540</x:v>
      </x:c>
      <x:c r="M319" s="1" t="str">
        <x:f>IF(G319=I319,"Empate",IF(G319&gt;I319,"Física","Especial"))</x:f>
        <x:v>Especial</x:v>
      </x:c>
      <x:c r="N319" s="10" t="n">
        <x:v>600</x:v>
      </x:c>
      <x:c r="O319" s="10" t="n">
        <x:v>216008</x:v>
      </x:c>
      <x:c r="P319" s="10" t="n">
        <x:v>50000000</x:v>
      </x:c>
      <x:c r="Q319" s="10" t="n">
        <x:v>0</x:v>
      </x:c>
      <x:c r="R319" s="1" t="str"/>
      <x:c r="S319" s="1"/>
      <x:c r="T319" s="9" t="str">
        <x:v>https://poke.idleworld.online/pokepedia/pokemon/milotic</x:v>
      </x:c>
    </x:row>
    <x:row r="320" ht="22" customHeight="1">
      <x:c r="A320" s="1" t="n">
        <x:v>353</x:v>
      </x:c>
      <x:c r="B320" s="1" t="str">
        <x:v>Shuppet</x:v>
      </x:c>
      <x:c r="C320" s="1" t="str">
        <x:v>Fantasma</x:v>
      </x:c>
      <x:c r="D320" s="1" t="str"/>
      <x:c r="E320" s="1" t="str">
        <x:v>Comum</x:v>
      </x:c>
      <x:c r="F320" s="10" t="n">
        <x:v>44</x:v>
      </x:c>
      <x:c r="G320" s="10" t="n">
        <x:v>75</x:v>
      </x:c>
      <x:c r="H320" s="10" t="n">
        <x:v>35</x:v>
      </x:c>
      <x:c r="I320" s="10" t="n">
        <x:v>63</x:v>
      </x:c>
      <x:c r="J320" s="10" t="n">
        <x:v>33</x:v>
      </x:c>
      <x:c r="K320" s="10" t="n">
        <x:v>45</x:v>
      </x:c>
      <x:c r="L320" s="10" t="n">
        <x:f>SUM(F320:K320)</x:f>
        <x:v>295</x:v>
      </x:c>
      <x:c r="M320" s="1" t="str">
        <x:f>IF(G320=I320,"Empate",IF(G320&gt;I320,"Física","Especial"))</x:f>
        <x:v>Física</x:v>
      </x:c>
      <x:c r="N320" s="10" t="n">
        <x:v>30</x:v>
      </x:c>
      <x:c r="O320" s="10" t="n">
        <x:v>548</x:v>
      </x:c>
      <x:c r="P320" s="10" t="n">
        <x:v>4000</x:v>
      </x:c>
      <x:c r="Q320" s="10" t="n">
        <x:v>4000</x:v>
      </x:c>
      <x:c r="R320" s="1" t="str"/>
      <x:c r="S320" s="1"/>
      <x:c r="T320" s="9" t="str">
        <x:v>https://poke.idleworld.online/pokepedia/pokemon/shuppet</x:v>
      </x:c>
    </x:row>
    <x:row r="321" ht="22" customHeight="1">
      <x:c r="A321" s="1" t="n">
        <x:v>354</x:v>
      </x:c>
      <x:c r="B321" s="1" t="str">
        <x:v>Banette</x:v>
      </x:c>
      <x:c r="C321" s="1" t="str">
        <x:v>Fantasma</x:v>
      </x:c>
      <x:c r="D321" s="1" t="str"/>
      <x:c r="E321" s="1" t="str">
        <x:v>Raro</x:v>
      </x:c>
      <x:c r="F321" s="10" t="n">
        <x:v>64</x:v>
      </x:c>
      <x:c r="G321" s="10" t="n">
        <x:v>115</x:v>
      </x:c>
      <x:c r="H321" s="10" t="n">
        <x:v>65</x:v>
      </x:c>
      <x:c r="I321" s="10" t="n">
        <x:v>83</x:v>
      </x:c>
      <x:c r="J321" s="10" t="n">
        <x:v>63</x:v>
      </x:c>
      <x:c r="K321" s="10" t="n">
        <x:v>65</x:v>
      </x:c>
      <x:c r="L321" s="10" t="n">
        <x:f>SUM(F321:K321)</x:f>
        <x:v>455</x:v>
      </x:c>
      <x:c r="M321" s="1" t="str">
        <x:f>IF(G321=I321,"Empate",IF(G321&gt;I321,"Física","Especial"))</x:f>
        <x:v>Física</x:v>
      </x:c>
      <x:c r="N321" s="10" t="n">
        <x:v>80</x:v>
      </x:c>
      <x:c r="O321" s="10" t="n">
        <x:v>3848</x:v>
      </x:c>
      <x:c r="P321" s="10" t="n">
        <x:v>18000</x:v>
      </x:c>
      <x:c r="Q321" s="10" t="n">
        <x:v>18000</x:v>
      </x:c>
      <x:c r="R321" s="1" t="str"/>
      <x:c r="S321" s="1"/>
      <x:c r="T321" s="9" t="str">
        <x:v>https://poke.idleworld.online/pokepedia/pokemon/banette</x:v>
      </x:c>
    </x:row>
    <x:row r="322" ht="22" customHeight="1">
      <x:c r="A322" s="1" t="n">
        <x:v>355</x:v>
      </x:c>
      <x:c r="B322" s="1" t="str">
        <x:v>Duskull</x:v>
      </x:c>
      <x:c r="C322" s="1" t="str">
        <x:v>Fantasma</x:v>
      </x:c>
      <x:c r="D322" s="1" t="str"/>
      <x:c r="E322" s="1" t="str">
        <x:v>Incomum</x:v>
      </x:c>
      <x:c r="F322" s="10" t="n">
        <x:v>20</x:v>
      </x:c>
      <x:c r="G322" s="10" t="n">
        <x:v>40</x:v>
      </x:c>
      <x:c r="H322" s="10" t="n">
        <x:v>90</x:v>
      </x:c>
      <x:c r="I322" s="10" t="n">
        <x:v>30</x:v>
      </x:c>
      <x:c r="J322" s="10" t="n">
        <x:v>90</x:v>
      </x:c>
      <x:c r="K322" s="10" t="n">
        <x:v>25</x:v>
      </x:c>
      <x:c r="L322" s="10" t="n">
        <x:f>SUM(F322:K322)</x:f>
        <x:v>295</x:v>
      </x:c>
      <x:c r="M322" s="1" t="str">
        <x:f>IF(G322=I322,"Empate",IF(G322&gt;I322,"Física","Especial"))</x:f>
        <x:v>Física</x:v>
      </x:c>
      <x:c r="N322" s="10" t="n">
        <x:v>40</x:v>
      </x:c>
      <x:c r="O322" s="10" t="n">
        <x:v>968</x:v>
      </x:c>
      <x:c r="P322" s="10" t="n">
        <x:v>8000</x:v>
      </x:c>
      <x:c r="Q322" s="10" t="n">
        <x:v>8000</x:v>
      </x:c>
      <x:c r="R322" s="1" t="str">
        <x:v>Dusclops</x:v>
      </x:c>
      <x:c r="S322" s="1" t="n">
        <x:v>100</x:v>
      </x:c>
      <x:c r="T322" s="9" t="str">
        <x:v>https://poke.idleworld.online/pokepedia/pokemon/duskull</x:v>
      </x:c>
    </x:row>
    <x:row r="323" ht="22" customHeight="1">
      <x:c r="A323" s="1" t="n">
        <x:v>356</x:v>
      </x:c>
      <x:c r="B323" s="1" t="str">
        <x:v>Dusclops</x:v>
      </x:c>
      <x:c r="C323" s="1" t="str">
        <x:v>Fantasma</x:v>
      </x:c>
      <x:c r="D323" s="1" t="str"/>
      <x:c r="E323" s="1" t="str">
        <x:v>Raro</x:v>
      </x:c>
      <x:c r="F323" s="10" t="n">
        <x:v>40</x:v>
      </x:c>
      <x:c r="G323" s="10" t="n">
        <x:v>70</x:v>
      </x:c>
      <x:c r="H323" s="10" t="n">
        <x:v>130</x:v>
      </x:c>
      <x:c r="I323" s="10" t="n">
        <x:v>60</x:v>
      </x:c>
      <x:c r="J323" s="10" t="n">
        <x:v>130</x:v>
      </x:c>
      <x:c r="K323" s="10" t="n">
        <x:v>25</x:v>
      </x:c>
      <x:c r="L323" s="10" t="n">
        <x:f>SUM(F323:K323)</x:f>
        <x:v>455</x:v>
      </x:c>
      <x:c r="M323" s="1" t="str">
        <x:f>IF(G323=I323,"Empate",IF(G323&gt;I323,"Física","Especial"))</x:f>
        <x:v>Física</x:v>
      </x:c>
      <x:c r="N323" s="10" t="n">
        <x:v>100</x:v>
      </x:c>
      <x:c r="O323" s="10" t="n">
        <x:v>6008</x:v>
      </x:c>
      <x:c r="P323" s="10" t="n">
        <x:v>120000</x:v>
      </x:c>
      <x:c r="Q323" s="10" t="n">
        <x:v>120000</x:v>
      </x:c>
      <x:c r="R323" s="1" t="str">
        <x:v>Dusknoir</x:v>
      </x:c>
      <x:c r="S323" s="1" t="n">
        <x:v>600</x:v>
      </x:c>
      <x:c r="T323" s="9" t="str">
        <x:v>https://poke.idleworld.online/pokepedia/pokemon/dusclops</x:v>
      </x:c>
    </x:row>
    <x:row r="324" ht="22" customHeight="1">
      <x:c r="A324" s="1" t="n">
        <x:v>357</x:v>
      </x:c>
      <x:c r="B324" s="1" t="str">
        <x:v>Tropius</x:v>
      </x:c>
      <x:c r="C324" s="1" t="str">
        <x:v>Planta</x:v>
      </x:c>
      <x:c r="D324" s="1" t="str">
        <x:v>Voador</x:v>
      </x:c>
      <x:c r="E324" s="1" t="str">
        <x:v>Raro</x:v>
      </x:c>
      <x:c r="F324" s="10" t="n">
        <x:v>99</x:v>
      </x:c>
      <x:c r="G324" s="10" t="n">
        <x:v>68</x:v>
      </x:c>
      <x:c r="H324" s="10" t="n">
        <x:v>83</x:v>
      </x:c>
      <x:c r="I324" s="10" t="n">
        <x:v>72</x:v>
      </x:c>
      <x:c r="J324" s="10" t="n">
        <x:v>87</x:v>
      </x:c>
      <x:c r="K324" s="10" t="n">
        <x:v>51</x:v>
      </x:c>
      <x:c r="L324" s="10" t="n">
        <x:f>SUM(F324:K324)</x:f>
        <x:v>460</x:v>
      </x:c>
      <x:c r="M324" s="1" t="str">
        <x:f>IF(G324=I324,"Empate",IF(G324&gt;I324,"Física","Especial"))</x:f>
        <x:v>Especial</x:v>
      </x:c>
      <x:c r="N324" s="10" t="n">
        <x:v>100</x:v>
      </x:c>
      <x:c r="O324" s="10" t="n">
        <x:v>6008</x:v>
      </x:c>
      <x:c r="P324" s="10" t="n">
        <x:v>120000</x:v>
      </x:c>
      <x:c r="Q324" s="10" t="n">
        <x:v>120000</x:v>
      </x:c>
      <x:c r="R324" s="1" t="str"/>
      <x:c r="S324" s="1"/>
      <x:c r="T324" s="9" t="str">
        <x:v>https://poke.idleworld.online/pokepedia/pokemon/tropius</x:v>
      </x:c>
    </x:row>
    <x:row r="325" ht="22" customHeight="1">
      <x:c r="A325" s="1" t="n">
        <x:v>359</x:v>
      </x:c>
      <x:c r="B325" s="1" t="str">
        <x:v>Absol</x:v>
      </x:c>
      <x:c r="C325" s="1" t="str">
        <x:v>Sombrio</x:v>
      </x:c>
      <x:c r="D325" s="1" t="str"/>
      <x:c r="E325" s="1" t="str">
        <x:v>Raro</x:v>
      </x:c>
      <x:c r="F325" s="10" t="n">
        <x:v>65</x:v>
      </x:c>
      <x:c r="G325" s="10" t="n">
        <x:v>130</x:v>
      </x:c>
      <x:c r="H325" s="10" t="n">
        <x:v>60</x:v>
      </x:c>
      <x:c r="I325" s="10" t="n">
        <x:v>75</x:v>
      </x:c>
      <x:c r="J325" s="10" t="n">
        <x:v>60</x:v>
      </x:c>
      <x:c r="K325" s="10" t="n">
        <x:v>75</x:v>
      </x:c>
      <x:c r="L325" s="10" t="n">
        <x:f>SUM(F325:K325)</x:f>
        <x:v>465</x:v>
      </x:c>
      <x:c r="M325" s="1" t="str">
        <x:f>IF(G325=I325,"Empate",IF(G325&gt;I325,"Física","Especial"))</x:f>
        <x:v>Física</x:v>
      </x:c>
      <x:c r="N325" s="10" t="n">
        <x:v>100</x:v>
      </x:c>
      <x:c r="O325" s="10" t="n">
        <x:v>6008</x:v>
      </x:c>
      <x:c r="P325" s="10" t="n">
        <x:v>120000</x:v>
      </x:c>
      <x:c r="Q325" s="10" t="n">
        <x:v>120000</x:v>
      </x:c>
      <x:c r="R325" s="1" t="str"/>
      <x:c r="S325" s="1"/>
      <x:c r="T325" s="9" t="str">
        <x:v>https://poke.idleworld.online/pokepedia/pokemon/absol</x:v>
      </x:c>
    </x:row>
    <x:row r="326" ht="22" customHeight="1">
      <x:c r="A326" s="1" t="n">
        <x:v>361</x:v>
      </x:c>
      <x:c r="B326" s="1" t="str">
        <x:v>Snorunt</x:v>
      </x:c>
      <x:c r="C326" s="1" t="str">
        <x:v>Gelo</x:v>
      </x:c>
      <x:c r="D326" s="1" t="str"/>
      <x:c r="E326" s="1" t="str">
        <x:v>Incomum</x:v>
      </x:c>
      <x:c r="F326" s="10" t="n">
        <x:v>50</x:v>
      </x:c>
      <x:c r="G326" s="10" t="n">
        <x:v>50</x:v>
      </x:c>
      <x:c r="H326" s="10" t="n">
        <x:v>50</x:v>
      </x:c>
      <x:c r="I326" s="10" t="n">
        <x:v>50</x:v>
      </x:c>
      <x:c r="J326" s="10" t="n">
        <x:v>50</x:v>
      </x:c>
      <x:c r="K326" s="10" t="n">
        <x:v>50</x:v>
      </x:c>
      <x:c r="L326" s="10" t="n">
        <x:f>SUM(F326:K326)</x:f>
        <x:v>300</x:v>
      </x:c>
      <x:c r="M326" s="1" t="str">
        <x:f>IF(G326=I326,"Empate",IF(G326&gt;I326,"Física","Especial"))</x:f>
        <x:v>Empate</x:v>
      </x:c>
      <x:c r="N326" s="10" t="n">
        <x:v>30</x:v>
      </x:c>
      <x:c r="O326" s="10" t="n">
        <x:v>548</x:v>
      </x:c>
      <x:c r="P326" s="10" t="n">
        <x:v>4000</x:v>
      </x:c>
      <x:c r="Q326" s="10" t="n">
        <x:v>4000</x:v>
      </x:c>
      <x:c r="R326" s="1" t="str">
        <x:v>Glalie</x:v>
      </x:c>
      <x:c r="S326" s="1" t="n">
        <x:v>80</x:v>
      </x:c>
      <x:c r="T326" s="9" t="str">
        <x:v>https://poke.idleworld.online/pokepedia/pokemon/snorunt</x:v>
      </x:c>
    </x:row>
    <x:row r="327" ht="22" customHeight="1">
      <x:c r="A327" s="1" t="n">
        <x:v>362</x:v>
      </x:c>
      <x:c r="B327" s="1" t="str">
        <x:v>Glalie</x:v>
      </x:c>
      <x:c r="C327" s="1" t="str">
        <x:v>Gelo</x:v>
      </x:c>
      <x:c r="D327" s="1" t="str"/>
      <x:c r="E327" s="1" t="str">
        <x:v>Raro</x:v>
      </x:c>
      <x:c r="F327" s="10" t="n">
        <x:v>80</x:v>
      </x:c>
      <x:c r="G327" s="10" t="n">
        <x:v>80</x:v>
      </x:c>
      <x:c r="H327" s="10" t="n">
        <x:v>80</x:v>
      </x:c>
      <x:c r="I327" s="10" t="n">
        <x:v>80</x:v>
      </x:c>
      <x:c r="J327" s="10" t="n">
        <x:v>80</x:v>
      </x:c>
      <x:c r="K327" s="10" t="n">
        <x:v>80</x:v>
      </x:c>
      <x:c r="L327" s="10" t="n">
        <x:f>SUM(F327:K327)</x:f>
        <x:v>480</x:v>
      </x:c>
      <x:c r="M327" s="1" t="str">
        <x:f>IF(G327=I327,"Empate",IF(G327&gt;I327,"Física","Especial"))</x:f>
        <x:v>Empate</x:v>
      </x:c>
      <x:c r="N327" s="10" t="n">
        <x:v>80</x:v>
      </x:c>
      <x:c r="O327" s="10" t="n">
        <x:v>3848</x:v>
      </x:c>
      <x:c r="P327" s="10" t="n">
        <x:v>18000</x:v>
      </x:c>
      <x:c r="Q327" s="10" t="n">
        <x:v>18000</x:v>
      </x:c>
      <x:c r="R327" s="1" t="str"/>
      <x:c r="S327" s="1"/>
      <x:c r="T327" s="9" t="str">
        <x:v>https://poke.idleworld.online/pokepedia/pokemon/glalie</x:v>
      </x:c>
    </x:row>
    <x:row r="328" ht="22" customHeight="1">
      <x:c r="A328" s="1" t="n">
        <x:v>363</x:v>
      </x:c>
      <x:c r="B328" s="1" t="str">
        <x:v>Spheal</x:v>
      </x:c>
      <x:c r="C328" s="1" t="str">
        <x:v>Gelo</x:v>
      </x:c>
      <x:c r="D328" s="1" t="str">
        <x:v>Água</x:v>
      </x:c>
      <x:c r="E328" s="1" t="str">
        <x:v>Incomum</x:v>
      </x:c>
      <x:c r="F328" s="10" t="n">
        <x:v>70</x:v>
      </x:c>
      <x:c r="G328" s="10" t="n">
        <x:v>40</x:v>
      </x:c>
      <x:c r="H328" s="10" t="n">
        <x:v>50</x:v>
      </x:c>
      <x:c r="I328" s="10" t="n">
        <x:v>55</x:v>
      </x:c>
      <x:c r="J328" s="10" t="n">
        <x:v>50</x:v>
      </x:c>
      <x:c r="K328" s="10" t="n">
        <x:v>25</x:v>
      </x:c>
      <x:c r="L328" s="10" t="n">
        <x:f>SUM(F328:K328)</x:f>
        <x:v>290</x:v>
      </x:c>
      <x:c r="M328" s="1" t="str">
        <x:f>IF(G328=I328,"Empate",IF(G328&gt;I328,"Física","Especial"))</x:f>
        <x:v>Especial</x:v>
      </x:c>
      <x:c r="N328" s="10" t="n">
        <x:v>30</x:v>
      </x:c>
      <x:c r="O328" s="10" t="n">
        <x:v>548</x:v>
      </x:c>
      <x:c r="P328" s="10" t="n">
        <x:v>4000</x:v>
      </x:c>
      <x:c r="Q328" s="10" t="n">
        <x:v>4000</x:v>
      </x:c>
      <x:c r="R328" s="1" t="str">
        <x:v>Sealeo</x:v>
      </x:c>
      <x:c r="S328" s="1" t="n">
        <x:v>60</x:v>
      </x:c>
      <x:c r="T328" s="9" t="str">
        <x:v>https://poke.idleworld.online/pokepedia/pokemon/spheal</x:v>
      </x:c>
    </x:row>
    <x:row r="329" ht="22" customHeight="1">
      <x:c r="A329" s="1" t="n">
        <x:v>364</x:v>
      </x:c>
      <x:c r="B329" s="1" t="str">
        <x:v>Sealeo</x:v>
      </x:c>
      <x:c r="C329" s="1" t="str">
        <x:v>Gelo</x:v>
      </x:c>
      <x:c r="D329" s="1" t="str">
        <x:v>Água</x:v>
      </x:c>
      <x:c r="E329" s="1" t="str">
        <x:v>Raro</x:v>
      </x:c>
      <x:c r="F329" s="10" t="n">
        <x:v>90</x:v>
      </x:c>
      <x:c r="G329" s="10" t="n">
        <x:v>60</x:v>
      </x:c>
      <x:c r="H329" s="10" t="n">
        <x:v>70</x:v>
      </x:c>
      <x:c r="I329" s="10" t="n">
        <x:v>75</x:v>
      </x:c>
      <x:c r="J329" s="10" t="n">
        <x:v>70</x:v>
      </x:c>
      <x:c r="K329" s="10" t="n">
        <x:v>45</x:v>
      </x:c>
      <x:c r="L329" s="10" t="n">
        <x:f>SUM(F329:K329)</x:f>
        <x:v>410</x:v>
      </x:c>
      <x:c r="M329" s="1" t="str">
        <x:f>IF(G329=I329,"Empate",IF(G329&gt;I329,"Física","Especial"))</x:f>
        <x:v>Especial</x:v>
      </x:c>
      <x:c r="N329" s="10" t="n">
        <x:v>60</x:v>
      </x:c>
      <x:c r="O329" s="10" t="n">
        <x:v>2168</x:v>
      </x:c>
      <x:c r="P329" s="10" t="n">
        <x:v>12000</x:v>
      </x:c>
      <x:c r="Q329" s="10" t="n">
        <x:v>12000</x:v>
      </x:c>
      <x:c r="R329" s="1" t="str">
        <x:v>Walrein</x:v>
      </x:c>
      <x:c r="S329" s="1" t="n">
        <x:v>100</x:v>
      </x:c>
      <x:c r="T329" s="9" t="str">
        <x:v>https://poke.idleworld.online/pokepedia/pokemon/sealeo</x:v>
      </x:c>
    </x:row>
    <x:row r="330" ht="22" customHeight="1">
      <x:c r="A330" s="1" t="n">
        <x:v>365</x:v>
      </x:c>
      <x:c r="B330" s="1" t="str">
        <x:v>Walrein</x:v>
      </x:c>
      <x:c r="C330" s="1" t="str">
        <x:v>Gelo</x:v>
      </x:c>
      <x:c r="D330" s="1" t="str">
        <x:v>Água</x:v>
      </x:c>
      <x:c r="E330" s="1" t="str">
        <x:v>Raro</x:v>
      </x:c>
      <x:c r="F330" s="10" t="n">
        <x:v>110</x:v>
      </x:c>
      <x:c r="G330" s="10" t="n">
        <x:v>80</x:v>
      </x:c>
      <x:c r="H330" s="10" t="n">
        <x:v>90</x:v>
      </x:c>
      <x:c r="I330" s="10" t="n">
        <x:v>95</x:v>
      </x:c>
      <x:c r="J330" s="10" t="n">
        <x:v>90</x:v>
      </x:c>
      <x:c r="K330" s="10" t="n">
        <x:v>65</x:v>
      </x:c>
      <x:c r="L330" s="10" t="n">
        <x:f>SUM(F330:K330)</x:f>
        <x:v>530</x:v>
      </x:c>
      <x:c r="M330" s="1" t="str">
        <x:f>IF(G330=I330,"Empate",IF(G330&gt;I330,"Física","Especial"))</x:f>
        <x:v>Especial</x:v>
      </x:c>
      <x:c r="N330" s="10" t="n">
        <x:v>100</x:v>
      </x:c>
      <x:c r="O330" s="10" t="n">
        <x:v>6008</x:v>
      </x:c>
      <x:c r="P330" s="10" t="n">
        <x:v>120000</x:v>
      </x:c>
      <x:c r="Q330" s="10" t="n">
        <x:v>120000</x:v>
      </x:c>
      <x:c r="R330" s="1" t="str"/>
      <x:c r="S330" s="1"/>
      <x:c r="T330" s="9" t="str">
        <x:v>https://poke.idleworld.online/pokepedia/pokemon/walrein</x:v>
      </x:c>
    </x:row>
    <x:row r="331" ht="22" customHeight="1">
      <x:c r="A331" s="1" t="n">
        <x:v>371</x:v>
      </x:c>
      <x:c r="B331" s="1" t="str">
        <x:v>Bagon</x:v>
      </x:c>
      <x:c r="C331" s="1" t="str">
        <x:v>Dragão</x:v>
      </x:c>
      <x:c r="D331" s="1" t="str"/>
      <x:c r="E331" s="1" t="str">
        <x:v>Incomum</x:v>
      </x:c>
      <x:c r="F331" s="10" t="n">
        <x:v>45</x:v>
      </x:c>
      <x:c r="G331" s="10" t="n">
        <x:v>75</x:v>
      </x:c>
      <x:c r="H331" s="10" t="n">
        <x:v>60</x:v>
      </x:c>
      <x:c r="I331" s="10" t="n">
        <x:v>40</x:v>
      </x:c>
      <x:c r="J331" s="10" t="n">
        <x:v>30</x:v>
      </x:c>
      <x:c r="K331" s="10" t="n">
        <x:v>50</x:v>
      </x:c>
      <x:c r="L331" s="10" t="n">
        <x:f>SUM(F331:K331)</x:f>
        <x:v>300</x:v>
      </x:c>
      <x:c r="M331" s="1" t="str">
        <x:f>IF(G331=I331,"Empate",IF(G331&gt;I331,"Física","Especial"))</x:f>
        <x:v>Física</x:v>
      </x:c>
      <x:c r="N331" s="10" t="n">
        <x:v>40</x:v>
      </x:c>
      <x:c r="O331" s="10" t="n">
        <x:v>968</x:v>
      </x:c>
      <x:c r="P331" s="10" t="n">
        <x:v>8000</x:v>
      </x:c>
      <x:c r="Q331" s="10" t="n">
        <x:v>8000</x:v>
      </x:c>
      <x:c r="R331" s="1" t="str">
        <x:v>Shelgon</x:v>
      </x:c>
      <x:c r="S331" s="1" t="n">
        <x:v>60</x:v>
      </x:c>
      <x:c r="T331" s="9" t="str">
        <x:v>https://poke.idleworld.online/pokepedia/pokemon/bagon</x:v>
      </x:c>
    </x:row>
    <x:row r="332" ht="22" customHeight="1">
      <x:c r="A332" s="1" t="n">
        <x:v>372</x:v>
      </x:c>
      <x:c r="B332" s="1" t="str">
        <x:v>Shelgon</x:v>
      </x:c>
      <x:c r="C332" s="1" t="str">
        <x:v>Dragão</x:v>
      </x:c>
      <x:c r="D332" s="1" t="str"/>
      <x:c r="E332" s="1" t="str">
        <x:v>Raro</x:v>
      </x:c>
      <x:c r="F332" s="10" t="n">
        <x:v>65</x:v>
      </x:c>
      <x:c r="G332" s="10" t="n">
        <x:v>95</x:v>
      </x:c>
      <x:c r="H332" s="10" t="n">
        <x:v>100</x:v>
      </x:c>
      <x:c r="I332" s="10" t="n">
        <x:v>60</x:v>
      </x:c>
      <x:c r="J332" s="10" t="n">
        <x:v>50</x:v>
      </x:c>
      <x:c r="K332" s="10" t="n">
        <x:v>50</x:v>
      </x:c>
      <x:c r="L332" s="10" t="n">
        <x:f>SUM(F332:K332)</x:f>
        <x:v>420</x:v>
      </x:c>
      <x:c r="M332" s="1" t="str">
        <x:f>IF(G332=I332,"Empate",IF(G332&gt;I332,"Física","Especial"))</x:f>
        <x:v>Física</x:v>
      </x:c>
      <x:c r="N332" s="10" t="n">
        <x:v>60</x:v>
      </x:c>
      <x:c r="O332" s="10" t="n">
        <x:v>2168</x:v>
      </x:c>
      <x:c r="P332" s="10" t="n">
        <x:v>12000</x:v>
      </x:c>
      <x:c r="Q332" s="10" t="n">
        <x:v>12000</x:v>
      </x:c>
      <x:c r="R332" s="1" t="str">
        <x:v>Salamence</x:v>
      </x:c>
      <x:c r="S332" s="1" t="n">
        <x:v>600</x:v>
      </x:c>
      <x:c r="T332" s="9" t="str">
        <x:v>https://poke.idleworld.online/pokepedia/pokemon/shelgon</x:v>
      </x:c>
    </x:row>
    <x:row r="333" ht="22" customHeight="1">
      <x:c r="A333" s="1" t="n">
        <x:v>373</x:v>
      </x:c>
      <x:c r="B333" s="1" t="str">
        <x:v>Salamence</x:v>
      </x:c>
      <x:c r="C333" s="1" t="str">
        <x:v>Dragão</x:v>
      </x:c>
      <x:c r="D333" s="1" t="str">
        <x:v>Voador</x:v>
      </x:c>
      <x:c r="E333" s="1" t="str">
        <x:v>Raro</x:v>
      </x:c>
      <x:c r="F333" s="10" t="n">
        <x:v>95</x:v>
      </x:c>
      <x:c r="G333" s="10" t="n">
        <x:v>135</x:v>
      </x:c>
      <x:c r="H333" s="10" t="n">
        <x:v>80</x:v>
      </x:c>
      <x:c r="I333" s="10" t="n">
        <x:v>110</x:v>
      </x:c>
      <x:c r="J333" s="10" t="n">
        <x:v>80</x:v>
      </x:c>
      <x:c r="K333" s="10" t="n">
        <x:v>100</x:v>
      </x:c>
      <x:c r="L333" s="10" t="n">
        <x:f>SUM(F333:K333)</x:f>
        <x:v>600</x:v>
      </x:c>
      <x:c r="M333" s="1" t="str">
        <x:f>IF(G333=I333,"Empate",IF(G333&gt;I333,"Física","Especial"))</x:f>
        <x:v>Física</x:v>
      </x:c>
      <x:c r="N333" s="10" t="n">
        <x:v>600</x:v>
      </x:c>
      <x:c r="O333" s="10" t="n">
        <x:v>216008</x:v>
      </x:c>
      <x:c r="P333" s="10" t="n">
        <x:v>50000000</x:v>
      </x:c>
      <x:c r="Q333" s="10" t="n">
        <x:v>0</x:v>
      </x:c>
      <x:c r="R333" s="1" t="str"/>
      <x:c r="S333" s="1"/>
      <x:c r="T333" s="9" t="str">
        <x:v>https://poke.idleworld.online/pokepedia/pokemon/salamence</x:v>
      </x:c>
    </x:row>
    <x:row r="334" ht="22" customHeight="1">
      <x:c r="A334" s="1" t="n">
        <x:v>374</x:v>
      </x:c>
      <x:c r="B334" s="1" t="str">
        <x:v>Beldum</x:v>
      </x:c>
      <x:c r="C334" s="1" t="str">
        <x:v>Aço</x:v>
      </x:c>
      <x:c r="D334" s="1" t="str">
        <x:v>Psíquico</x:v>
      </x:c>
      <x:c r="E334" s="1" t="str">
        <x:v>Comum</x:v>
      </x:c>
      <x:c r="F334" s="10" t="n">
        <x:v>40</x:v>
      </x:c>
      <x:c r="G334" s="10" t="n">
        <x:v>55</x:v>
      </x:c>
      <x:c r="H334" s="10" t="n">
        <x:v>80</x:v>
      </x:c>
      <x:c r="I334" s="10" t="n">
        <x:v>35</x:v>
      </x:c>
      <x:c r="J334" s="10" t="n">
        <x:v>60</x:v>
      </x:c>
      <x:c r="K334" s="10" t="n">
        <x:v>30</x:v>
      </x:c>
      <x:c r="L334" s="10" t="n">
        <x:f>SUM(F334:K334)</x:f>
        <x:v>300</x:v>
      </x:c>
      <x:c r="M334" s="1" t="str">
        <x:f>IF(G334=I334,"Empate",IF(G334&gt;I334,"Física","Especial"))</x:f>
        <x:v>Física</x:v>
      </x:c>
      <x:c r="N334" s="10" t="n">
        <x:v>20</x:v>
      </x:c>
      <x:c r="O334" s="10" t="n">
        <x:v>248</x:v>
      </x:c>
      <x:c r="P334" s="10" t="n">
        <x:v>3000</x:v>
      </x:c>
      <x:c r="Q334" s="10" t="n">
        <x:v>3000</x:v>
      </x:c>
      <x:c r="R334" s="1" t="str">
        <x:v>Metang</x:v>
      </x:c>
      <x:c r="S334" s="1" t="n">
        <x:v>80</x:v>
      </x:c>
      <x:c r="T334" s="9" t="str">
        <x:v>https://poke.idleworld.online/pokepedia/pokemon/beldum</x:v>
      </x:c>
    </x:row>
    <x:row r="335" ht="22" customHeight="1">
      <x:c r="A335" s="1" t="n">
        <x:v>375</x:v>
      </x:c>
      <x:c r="B335" s="1" t="str">
        <x:v>Metang</x:v>
      </x:c>
      <x:c r="C335" s="1" t="str">
        <x:v>Aço</x:v>
      </x:c>
      <x:c r="D335" s="1" t="str">
        <x:v>Psíquico</x:v>
      </x:c>
      <x:c r="E335" s="1" t="str">
        <x:v>Raro</x:v>
      </x:c>
      <x:c r="F335" s="10" t="n">
        <x:v>60</x:v>
      </x:c>
      <x:c r="G335" s="10" t="n">
        <x:v>75</x:v>
      </x:c>
      <x:c r="H335" s="10" t="n">
        <x:v>100</x:v>
      </x:c>
      <x:c r="I335" s="10" t="n">
        <x:v>55</x:v>
      </x:c>
      <x:c r="J335" s="10" t="n">
        <x:v>80</x:v>
      </x:c>
      <x:c r="K335" s="10" t="n">
        <x:v>50</x:v>
      </x:c>
      <x:c r="L335" s="10" t="n">
        <x:f>SUM(F335:K335)</x:f>
        <x:v>420</x:v>
      </x:c>
      <x:c r="M335" s="1" t="str">
        <x:f>IF(G335=I335,"Empate",IF(G335&gt;I335,"Física","Especial"))</x:f>
        <x:v>Física</x:v>
      </x:c>
      <x:c r="N335" s="10" t="n">
        <x:v>80</x:v>
      </x:c>
      <x:c r="O335" s="10" t="n">
        <x:v>3848</x:v>
      </x:c>
      <x:c r="P335" s="10" t="n">
        <x:v>18000</x:v>
      </x:c>
      <x:c r="Q335" s="10" t="n">
        <x:v>18000</x:v>
      </x:c>
      <x:c r="R335" s="1" t="str">
        <x:v>Metagross</x:v>
      </x:c>
      <x:c r="S335" s="1" t="n">
        <x:v>600</x:v>
      </x:c>
      <x:c r="T335" s="9" t="str">
        <x:v>https://poke.idleworld.online/pokepedia/pokemon/metang</x:v>
      </x:c>
    </x:row>
    <x:row r="336" ht="22" customHeight="1">
      <x:c r="A336" s="1" t="n">
        <x:v>376</x:v>
      </x:c>
      <x:c r="B336" s="1" t="str">
        <x:v>Metagross</x:v>
      </x:c>
      <x:c r="C336" s="1" t="str">
        <x:v>Aço</x:v>
      </x:c>
      <x:c r="D336" s="1" t="str">
        <x:v>Psíquico</x:v>
      </x:c>
      <x:c r="E336" s="1" t="str">
        <x:v>Raro</x:v>
      </x:c>
      <x:c r="F336" s="10" t="n">
        <x:v>80</x:v>
      </x:c>
      <x:c r="G336" s="10" t="n">
        <x:v>135</x:v>
      </x:c>
      <x:c r="H336" s="10" t="n">
        <x:v>130</x:v>
      </x:c>
      <x:c r="I336" s="10" t="n">
        <x:v>95</x:v>
      </x:c>
      <x:c r="J336" s="10" t="n">
        <x:v>90</x:v>
      </x:c>
      <x:c r="K336" s="10" t="n">
        <x:v>70</x:v>
      </x:c>
      <x:c r="L336" s="10" t="n">
        <x:f>SUM(F336:K336)</x:f>
        <x:v>600</x:v>
      </x:c>
      <x:c r="M336" s="1" t="str">
        <x:f>IF(G336=I336,"Empate",IF(G336&gt;I336,"Física","Especial"))</x:f>
        <x:v>Física</x:v>
      </x:c>
      <x:c r="N336" s="10" t="n">
        <x:v>600</x:v>
      </x:c>
      <x:c r="O336" s="10" t="n">
        <x:v>216008</x:v>
      </x:c>
      <x:c r="P336" s="10" t="n">
        <x:v>50000000</x:v>
      </x:c>
      <x:c r="Q336" s="10" t="n">
        <x:v>0</x:v>
      </x:c>
      <x:c r="R336" s="1" t="str"/>
      <x:c r="S336" s="1"/>
      <x:c r="T336" s="9" t="str">
        <x:v>https://poke.idleworld.online/pokepedia/pokemon/metagross</x:v>
      </x:c>
    </x:row>
    <x:row r="337" ht="22" customHeight="1">
      <x:c r="A337" s="1" t="n">
        <x:v>392</x:v>
      </x:c>
      <x:c r="B337" s="1" t="str">
        <x:v>Infernape</x:v>
      </x:c>
      <x:c r="C337" s="1" t="str">
        <x:v>Fogo</x:v>
      </x:c>
      <x:c r="D337" s="1" t="str">
        <x:v>Lutador</x:v>
      </x:c>
      <x:c r="E337" s="1" t="str">
        <x:v>Raro</x:v>
      </x:c>
      <x:c r="F337" s="10" t="n">
        <x:v>76</x:v>
      </x:c>
      <x:c r="G337" s="10" t="n">
        <x:v>104</x:v>
      </x:c>
      <x:c r="H337" s="10" t="n">
        <x:v>71</x:v>
      </x:c>
      <x:c r="I337" s="10" t="n">
        <x:v>104</x:v>
      </x:c>
      <x:c r="J337" s="10" t="n">
        <x:v>71</x:v>
      </x:c>
      <x:c r="K337" s="10" t="n">
        <x:v>108</x:v>
      </x:c>
      <x:c r="L337" s="10" t="n">
        <x:f>SUM(F337:K337)</x:f>
        <x:v>534</x:v>
      </x:c>
      <x:c r="M337" s="1" t="str">
        <x:f>IF(G337=I337,"Empate",IF(G337&gt;I337,"Física","Especial"))</x:f>
        <x:v>Empate</x:v>
      </x:c>
      <x:c r="N337" s="10" t="n">
        <x:v>100</x:v>
      </x:c>
      <x:c r="O337" s="10" t="n">
        <x:v>6008</x:v>
      </x:c>
      <x:c r="P337" s="10" t="n">
        <x:v>18000</x:v>
      </x:c>
      <x:c r="Q337" s="10" t="n">
        <x:v>18000</x:v>
      </x:c>
      <x:c r="R337" s="1" t="str"/>
      <x:c r="S337" s="1"/>
      <x:c r="T337" s="9" t="str">
        <x:v>https://poke.idleworld.online/pokepedia/pokemon/infernape</x:v>
      </x:c>
    </x:row>
    <x:row r="338" ht="22" customHeight="1">
      <x:c r="A338" s="1" t="n">
        <x:v>405</x:v>
      </x:c>
      <x:c r="B338" s="1" t="str">
        <x:v>Luxray</x:v>
      </x:c>
      <x:c r="C338" s="1" t="str">
        <x:v>Elétrico</x:v>
      </x:c>
      <x:c r="D338" s="1" t="str"/>
      <x:c r="E338" s="1" t="str">
        <x:v>Raro</x:v>
      </x:c>
      <x:c r="F338" s="10" t="n">
        <x:v>80</x:v>
      </x:c>
      <x:c r="G338" s="10" t="n">
        <x:v>120</x:v>
      </x:c>
      <x:c r="H338" s="10" t="n">
        <x:v>79</x:v>
      </x:c>
      <x:c r="I338" s="10" t="n">
        <x:v>95</x:v>
      </x:c>
      <x:c r="J338" s="10" t="n">
        <x:v>79</x:v>
      </x:c>
      <x:c r="K338" s="10" t="n">
        <x:v>70</x:v>
      </x:c>
      <x:c r="L338" s="10" t="n">
        <x:f>SUM(F338:K338)</x:f>
        <x:v>523</x:v>
      </x:c>
      <x:c r="M338" s="1" t="str">
        <x:f>IF(G338=I338,"Empate",IF(G338&gt;I338,"Física","Especial"))</x:f>
        <x:v>Física</x:v>
      </x:c>
      <x:c r="N338" s="10" t="n">
        <x:v>100</x:v>
      </x:c>
      <x:c r="O338" s="10" t="n">
        <x:v>6008</x:v>
      </x:c>
      <x:c r="P338" s="10" t="n">
        <x:v>18000</x:v>
      </x:c>
      <x:c r="Q338" s="10" t="n">
        <x:v>18000</x:v>
      </x:c>
      <x:c r="R338" s="1" t="str"/>
      <x:c r="S338" s="1"/>
      <x:c r="T338" s="9" t="str">
        <x:v>https://poke.idleworld.online/pokepedia/pokemon/luxray</x:v>
      </x:c>
    </x:row>
    <x:row r="339" ht="22" customHeight="1">
      <x:c r="A339" s="1" t="n">
        <x:v>408</x:v>
      </x:c>
      <x:c r="B339" s="1" t="str">
        <x:v>Cranidos</x:v>
      </x:c>
      <x:c r="C339" s="1" t="str">
        <x:v>Pedra</x:v>
      </x:c>
      <x:c r="D339" s="1" t="str"/>
      <x:c r="E339" s="1" t="str">
        <x:v>Incomum</x:v>
      </x:c>
      <x:c r="F339" s="10" t="n">
        <x:v>67</x:v>
      </x:c>
      <x:c r="G339" s="10" t="n">
        <x:v>125</x:v>
      </x:c>
      <x:c r="H339" s="10" t="n">
        <x:v>40</x:v>
      </x:c>
      <x:c r="I339" s="10" t="n">
        <x:v>30</x:v>
      </x:c>
      <x:c r="J339" s="10" t="n">
        <x:v>30</x:v>
      </x:c>
      <x:c r="K339" s="10" t="n">
        <x:v>58</x:v>
      </x:c>
      <x:c r="L339" s="10" t="n">
        <x:f>SUM(F339:K339)</x:f>
        <x:v>350</x:v>
      </x:c>
      <x:c r="M339" s="1" t="str">
        <x:f>IF(G339=I339,"Empate",IF(G339&gt;I339,"Física","Especial"))</x:f>
        <x:v>Física</x:v>
      </x:c>
      <x:c r="N339" s="10" t="n">
        <x:v>40</x:v>
      </x:c>
      <x:c r="O339" s="10" t="n">
        <x:v>968</x:v>
      </x:c>
      <x:c r="P339" s="10" t="n">
        <x:v>8000</x:v>
      </x:c>
      <x:c r="Q339" s="10" t="n">
        <x:v>8000</x:v>
      </x:c>
      <x:c r="R339" s="1" t="str">
        <x:v>Rampardos</x:v>
      </x:c>
      <x:c r="S339" s="1" t="n">
        <x:v>100</x:v>
      </x:c>
      <x:c r="T339" s="9" t="str">
        <x:v>https://poke.idleworld.online/pokepedia/pokemon/cranidos</x:v>
      </x:c>
    </x:row>
    <x:row r="340" ht="22" customHeight="1">
      <x:c r="A340" s="1" t="n">
        <x:v>409</x:v>
      </x:c>
      <x:c r="B340" s="1" t="str">
        <x:v>Rampardos</x:v>
      </x:c>
      <x:c r="C340" s="1" t="str">
        <x:v>Pedra</x:v>
      </x:c>
      <x:c r="D340" s="1" t="str"/>
      <x:c r="E340" s="1" t="str">
        <x:v>Raro</x:v>
      </x:c>
      <x:c r="F340" s="10" t="n">
        <x:v>97</x:v>
      </x:c>
      <x:c r="G340" s="10" t="n">
        <x:v>165</x:v>
      </x:c>
      <x:c r="H340" s="10" t="n">
        <x:v>60</x:v>
      </x:c>
      <x:c r="I340" s="10" t="n">
        <x:v>65</x:v>
      </x:c>
      <x:c r="J340" s="10" t="n">
        <x:v>50</x:v>
      </x:c>
      <x:c r="K340" s="10" t="n">
        <x:v>58</x:v>
      </x:c>
      <x:c r="L340" s="10" t="n">
        <x:f>SUM(F340:K340)</x:f>
        <x:v>495</x:v>
      </x:c>
      <x:c r="M340" s="1" t="str">
        <x:f>IF(G340=I340,"Empate",IF(G340&gt;I340,"Física","Especial"))</x:f>
        <x:v>Física</x:v>
      </x:c>
      <x:c r="N340" s="10" t="n">
        <x:v>100</x:v>
      </x:c>
      <x:c r="O340" s="10" t="n">
        <x:v>6008</x:v>
      </x:c>
      <x:c r="P340" s="10" t="n">
        <x:v>18000</x:v>
      </x:c>
      <x:c r="Q340" s="10" t="n">
        <x:v>18000</x:v>
      </x:c>
      <x:c r="R340" s="1" t="str"/>
      <x:c r="S340" s="1"/>
      <x:c r="T340" s="9" t="str">
        <x:v>https://poke.idleworld.online/pokepedia/pokemon/rampardos</x:v>
      </x:c>
    </x:row>
    <x:row r="341" ht="22" customHeight="1">
      <x:c r="A341" s="1" t="n">
        <x:v>410</x:v>
      </x:c>
      <x:c r="B341" s="1" t="str">
        <x:v>Shieldon</x:v>
      </x:c>
      <x:c r="C341" s="1" t="str">
        <x:v>Pedra</x:v>
      </x:c>
      <x:c r="D341" s="1" t="str">
        <x:v>Aço</x:v>
      </x:c>
      <x:c r="E341" s="1" t="str">
        <x:v>Raro</x:v>
      </x:c>
      <x:c r="F341" s="10" t="n">
        <x:v>30</x:v>
      </x:c>
      <x:c r="G341" s="10" t="n">
        <x:v>42</x:v>
      </x:c>
      <x:c r="H341" s="10" t="n">
        <x:v>118</x:v>
      </x:c>
      <x:c r="I341" s="10" t="n">
        <x:v>42</x:v>
      </x:c>
      <x:c r="J341" s="10" t="n">
        <x:v>88</x:v>
      </x:c>
      <x:c r="K341" s="10" t="n">
        <x:v>30</x:v>
      </x:c>
      <x:c r="L341" s="10" t="n">
        <x:f>SUM(F341:K341)</x:f>
        <x:v>350</x:v>
      </x:c>
      <x:c r="M341" s="1" t="str">
        <x:f>IF(G341=I341,"Empate",IF(G341&gt;I341,"Física","Especial"))</x:f>
        <x:v>Empate</x:v>
      </x:c>
      <x:c r="N341" s="10" t="n">
        <x:v>60</x:v>
      </x:c>
      <x:c r="O341" s="10" t="n">
        <x:v>2168</x:v>
      </x:c>
      <x:c r="P341" s="10" t="n">
        <x:v>8000</x:v>
      </x:c>
      <x:c r="Q341" s="10" t="n">
        <x:v>8000</x:v>
      </x:c>
      <x:c r="R341" s="1" t="str">
        <x:v>Bastiodon</x:v>
      </x:c>
      <x:c r="S341" s="1" t="n">
        <x:v>100</x:v>
      </x:c>
      <x:c r="T341" s="9" t="str">
        <x:v>https://poke.idleworld.online/pokepedia/pokemon/shieldon</x:v>
      </x:c>
    </x:row>
    <x:row r="342" ht="22" customHeight="1">
      <x:c r="A342" s="1" t="n">
        <x:v>411</x:v>
      </x:c>
      <x:c r="B342" s="1" t="str">
        <x:v>Bastiodon</x:v>
      </x:c>
      <x:c r="C342" s="1" t="str">
        <x:v>Pedra</x:v>
      </x:c>
      <x:c r="D342" s="1" t="str">
        <x:v>Aço</x:v>
      </x:c>
      <x:c r="E342" s="1" t="str">
        <x:v>Raro</x:v>
      </x:c>
      <x:c r="F342" s="10" t="n">
        <x:v>60</x:v>
      </x:c>
      <x:c r="G342" s="10" t="n">
        <x:v>52</x:v>
      </x:c>
      <x:c r="H342" s="10" t="n">
        <x:v>168</x:v>
      </x:c>
      <x:c r="I342" s="10" t="n">
        <x:v>47</x:v>
      </x:c>
      <x:c r="J342" s="10" t="n">
        <x:v>138</x:v>
      </x:c>
      <x:c r="K342" s="10" t="n">
        <x:v>30</x:v>
      </x:c>
      <x:c r="L342" s="10" t="n">
        <x:f>SUM(F342:K342)</x:f>
        <x:v>495</x:v>
      </x:c>
      <x:c r="M342" s="1" t="str">
        <x:f>IF(G342=I342,"Empate",IF(G342&gt;I342,"Física","Especial"))</x:f>
        <x:v>Física</x:v>
      </x:c>
      <x:c r="N342" s="10" t="n">
        <x:v>100</x:v>
      </x:c>
      <x:c r="O342" s="10" t="n">
        <x:v>6008</x:v>
      </x:c>
      <x:c r="P342" s="10" t="n">
        <x:v>18000</x:v>
      </x:c>
      <x:c r="Q342" s="10" t="n">
        <x:v>18000</x:v>
      </x:c>
      <x:c r="R342" s="1" t="str"/>
      <x:c r="S342" s="1"/>
      <x:c r="T342" s="9" t="str">
        <x:v>https://poke.idleworld.online/pokepedia/pokemon/bastiodon</x:v>
      </x:c>
    </x:row>
    <x:row r="343" ht="22" customHeight="1">
      <x:c r="A343" s="1" t="n">
        <x:v>413</x:v>
      </x:c>
      <x:c r="B343" s="1" t="str">
        <x:v>Wormadam</x:v>
      </x:c>
      <x:c r="C343" s="1" t="str">
        <x:v>Inseto</x:v>
      </x:c>
      <x:c r="D343" s="1" t="str">
        <x:v>Planta</x:v>
      </x:c>
      <x:c r="E343" s="1" t="str">
        <x:v>Raro</x:v>
      </x:c>
      <x:c r="F343" s="10" t="n">
        <x:v>60</x:v>
      </x:c>
      <x:c r="G343" s="10" t="n">
        <x:v>59</x:v>
      </x:c>
      <x:c r="H343" s="10" t="n">
        <x:v>85</x:v>
      </x:c>
      <x:c r="I343" s="10" t="n">
        <x:v>79</x:v>
      </x:c>
      <x:c r="J343" s="10" t="n">
        <x:v>105</x:v>
      </x:c>
      <x:c r="K343" s="10" t="n">
        <x:v>36</x:v>
      </x:c>
      <x:c r="L343" s="10" t="n">
        <x:f>SUM(F343:K343)</x:f>
        <x:v>424</x:v>
      </x:c>
      <x:c r="M343" s="1" t="str">
        <x:f>IF(G343=I343,"Empate",IF(G343&gt;I343,"Física","Especial"))</x:f>
        <x:v>Especial</x:v>
      </x:c>
      <x:c r="N343" s="10" t="n">
        <x:v>80</x:v>
      </x:c>
      <x:c r="O343" s="10" t="n">
        <x:v>3848</x:v>
      </x:c>
      <x:c r="P343" s="10" t="n">
        <x:v>18000</x:v>
      </x:c>
      <x:c r="Q343" s="10" t="n">
        <x:v>18000</x:v>
      </x:c>
      <x:c r="R343" s="1" t="str"/>
      <x:c r="S343" s="1"/>
      <x:c r="T343" s="9" t="str">
        <x:v>https://poke.idleworld.online/pokepedia/pokemon/wormadam</x:v>
      </x:c>
    </x:row>
    <x:row r="344" ht="22" customHeight="1">
      <x:c r="A344" s="1" t="n">
        <x:v>416</x:v>
      </x:c>
      <x:c r="B344" s="1" t="str">
        <x:v>Vespiquen</x:v>
      </x:c>
      <x:c r="C344" s="1" t="str">
        <x:v>Inseto</x:v>
      </x:c>
      <x:c r="D344" s="1" t="str">
        <x:v>Voador</x:v>
      </x:c>
      <x:c r="E344" s="1" t="str">
        <x:v>Raro</x:v>
      </x:c>
      <x:c r="F344" s="10" t="n">
        <x:v>70</x:v>
      </x:c>
      <x:c r="G344" s="10" t="n">
        <x:v>80</x:v>
      </x:c>
      <x:c r="H344" s="10" t="n">
        <x:v>102</x:v>
      </x:c>
      <x:c r="I344" s="10" t="n">
        <x:v>80</x:v>
      </x:c>
      <x:c r="J344" s="10" t="n">
        <x:v>102</x:v>
      </x:c>
      <x:c r="K344" s="10" t="n">
        <x:v>40</x:v>
      </x:c>
      <x:c r="L344" s="10" t="n">
        <x:f>SUM(F344:K344)</x:f>
        <x:v>474</x:v>
      </x:c>
      <x:c r="M344" s="1" t="str">
        <x:f>IF(G344=I344,"Empate",IF(G344&gt;I344,"Física","Especial"))</x:f>
        <x:v>Empate</x:v>
      </x:c>
      <x:c r="N344" s="10" t="n">
        <x:v>100</x:v>
      </x:c>
      <x:c r="O344" s="10" t="n">
        <x:v>6008</x:v>
      </x:c>
      <x:c r="P344" s="10" t="n">
        <x:v>18000</x:v>
      </x:c>
      <x:c r="Q344" s="10" t="n">
        <x:v>18000</x:v>
      </x:c>
      <x:c r="R344" s="1" t="str"/>
      <x:c r="S344" s="1"/>
      <x:c r="T344" s="9" t="str">
        <x:v>https://poke.idleworld.online/pokepedia/pokemon/vespiquen</x:v>
      </x:c>
    </x:row>
    <x:row r="345" ht="22" customHeight="1">
      <x:c r="A345" s="1" t="n">
        <x:v>417</x:v>
      </x:c>
      <x:c r="B345" s="1" t="str">
        <x:v>Pachirisu</x:v>
      </x:c>
      <x:c r="C345" s="1" t="str">
        <x:v>Elétrico</x:v>
      </x:c>
      <x:c r="D345" s="1" t="str"/>
      <x:c r="E345" s="1" t="str">
        <x:v>Raro</x:v>
      </x:c>
      <x:c r="F345" s="10" t="n">
        <x:v>60</x:v>
      </x:c>
      <x:c r="G345" s="10" t="n">
        <x:v>45</x:v>
      </x:c>
      <x:c r="H345" s="10" t="n">
        <x:v>70</x:v>
      </x:c>
      <x:c r="I345" s="10" t="n">
        <x:v>45</x:v>
      </x:c>
      <x:c r="J345" s="10" t="n">
        <x:v>90</x:v>
      </x:c>
      <x:c r="K345" s="10" t="n">
        <x:v>95</x:v>
      </x:c>
      <x:c r="L345" s="10" t="n">
        <x:f>SUM(F345:K345)</x:f>
        <x:v>405</x:v>
      </x:c>
      <x:c r="M345" s="1" t="str">
        <x:f>IF(G345=I345,"Empate",IF(G345&gt;I345,"Física","Especial"))</x:f>
        <x:v>Empate</x:v>
      </x:c>
      <x:c r="N345" s="10" t="n">
        <x:v>50</x:v>
      </x:c>
      <x:c r="O345" s="10" t="n">
        <x:v>1508</x:v>
      </x:c>
      <x:c r="P345" s="10" t="n">
        <x:v>8000</x:v>
      </x:c>
      <x:c r="Q345" s="10" t="n">
        <x:v>8000</x:v>
      </x:c>
      <x:c r="R345" s="1" t="str"/>
      <x:c r="S345" s="1"/>
      <x:c r="T345" s="9" t="str">
        <x:v>https://poke.idleworld.online/pokepedia/pokemon/pachirisu</x:v>
      </x:c>
    </x:row>
    <x:row r="346" ht="22" customHeight="1">
      <x:c r="A346" s="1" t="n">
        <x:v>428</x:v>
      </x:c>
      <x:c r="B346" s="1" t="str">
        <x:v>Lopunny</x:v>
      </x:c>
      <x:c r="C346" s="1" t="str">
        <x:v>Normal</x:v>
      </x:c>
      <x:c r="D346" s="1" t="str"/>
      <x:c r="E346" s="1" t="str">
        <x:v>Raro</x:v>
      </x:c>
      <x:c r="F346" s="10" t="n">
        <x:v>65</x:v>
      </x:c>
      <x:c r="G346" s="10" t="n">
        <x:v>76</x:v>
      </x:c>
      <x:c r="H346" s="10" t="n">
        <x:v>84</x:v>
      </x:c>
      <x:c r="I346" s="10" t="n">
        <x:v>54</x:v>
      </x:c>
      <x:c r="J346" s="10" t="n">
        <x:v>96</x:v>
      </x:c>
      <x:c r="K346" s="10" t="n">
        <x:v>105</x:v>
      </x:c>
      <x:c r="L346" s="10" t="n">
        <x:f>SUM(F346:K346)</x:f>
        <x:v>480</x:v>
      </x:c>
      <x:c r="M346" s="1" t="str">
        <x:f>IF(G346=I346,"Empate",IF(G346&gt;I346,"Física","Especial"))</x:f>
        <x:v>Física</x:v>
      </x:c>
      <x:c r="N346" s="10" t="n">
        <x:v>100</x:v>
      </x:c>
      <x:c r="O346" s="10" t="n">
        <x:v>6008</x:v>
      </x:c>
      <x:c r="P346" s="10" t="n">
        <x:v>18000</x:v>
      </x:c>
      <x:c r="Q346" s="10" t="n">
        <x:v>18000</x:v>
      </x:c>
      <x:c r="R346" s="1" t="str"/>
      <x:c r="S346" s="1"/>
      <x:c r="T346" s="9" t="str">
        <x:v>https://poke.idleworld.online/pokepedia/pokemon/lopunny</x:v>
      </x:c>
    </x:row>
    <x:row r="347" ht="22" customHeight="1">
      <x:c r="A347" s="1" t="n">
        <x:v>443</x:v>
      </x:c>
      <x:c r="B347" s="1" t="str">
        <x:v>Gible</x:v>
      </x:c>
      <x:c r="C347" s="1" t="str">
        <x:v>Dragão</x:v>
      </x:c>
      <x:c r="D347" s="1" t="str">
        <x:v>Terrestre</x:v>
      </x:c>
      <x:c r="E347" s="1" t="str">
        <x:v>Comum</x:v>
      </x:c>
      <x:c r="F347" s="10" t="n">
        <x:v>58</x:v>
      </x:c>
      <x:c r="G347" s="10" t="n">
        <x:v>70</x:v>
      </x:c>
      <x:c r="H347" s="10" t="n">
        <x:v>45</x:v>
      </x:c>
      <x:c r="I347" s="10" t="n">
        <x:v>40</x:v>
      </x:c>
      <x:c r="J347" s="10" t="n">
        <x:v>45</x:v>
      </x:c>
      <x:c r="K347" s="10" t="n">
        <x:v>42</x:v>
      </x:c>
      <x:c r="L347" s="10" t="n">
        <x:f>SUM(F347:K347)</x:f>
        <x:v>300</x:v>
      </x:c>
      <x:c r="M347" s="1" t="str">
        <x:f>IF(G347=I347,"Empate",IF(G347&gt;I347,"Física","Especial"))</x:f>
        <x:v>Física</x:v>
      </x:c>
      <x:c r="N347" s="10" t="n">
        <x:v>20</x:v>
      </x:c>
      <x:c r="O347" s="10" t="n">
        <x:v>248</x:v>
      </x:c>
      <x:c r="P347" s="10" t="n">
        <x:v>3000</x:v>
      </x:c>
      <x:c r="Q347" s="10" t="n">
        <x:v>3000</x:v>
      </x:c>
      <x:c r="R347" s="1" t="str">
        <x:v>Gabite</x:v>
      </x:c>
      <x:c r="S347" s="1" t="n">
        <x:v>60</x:v>
      </x:c>
      <x:c r="T347" s="9" t="str">
        <x:v>https://poke.idleworld.online/pokepedia/pokemon/gible</x:v>
      </x:c>
    </x:row>
    <x:row r="348" ht="22" customHeight="1">
      <x:c r="A348" s="1" t="n">
        <x:v>444</x:v>
      </x:c>
      <x:c r="B348" s="1" t="str">
        <x:v>Gabite</x:v>
      </x:c>
      <x:c r="C348" s="1" t="str">
        <x:v>Dragão</x:v>
      </x:c>
      <x:c r="D348" s="1" t="str">
        <x:v>Terrestre</x:v>
      </x:c>
      <x:c r="E348" s="1" t="str">
        <x:v>Raro</x:v>
      </x:c>
      <x:c r="F348" s="10" t="n">
        <x:v>68</x:v>
      </x:c>
      <x:c r="G348" s="10" t="n">
        <x:v>90</x:v>
      </x:c>
      <x:c r="H348" s="10" t="n">
        <x:v>65</x:v>
      </x:c>
      <x:c r="I348" s="10" t="n">
        <x:v>50</x:v>
      </x:c>
      <x:c r="J348" s="10" t="n">
        <x:v>55</x:v>
      </x:c>
      <x:c r="K348" s="10" t="n">
        <x:v>82</x:v>
      </x:c>
      <x:c r="L348" s="10" t="n">
        <x:f>SUM(F348:K348)</x:f>
        <x:v>410</x:v>
      </x:c>
      <x:c r="M348" s="1" t="str">
        <x:f>IF(G348=I348,"Empate",IF(G348&gt;I348,"Física","Especial"))</x:f>
        <x:v>Física</x:v>
      </x:c>
      <x:c r="N348" s="10" t="n">
        <x:v>60</x:v>
      </x:c>
      <x:c r="O348" s="10" t="n">
        <x:v>2168</x:v>
      </x:c>
      <x:c r="P348" s="10" t="n">
        <x:v>12000</x:v>
      </x:c>
      <x:c r="Q348" s="10" t="n">
        <x:v>12000</x:v>
      </x:c>
      <x:c r="R348" s="1" t="str">
        <x:v>Garchomp</x:v>
      </x:c>
      <x:c r="S348" s="1" t="n">
        <x:v>100</x:v>
      </x:c>
      <x:c r="T348" s="9" t="str">
        <x:v>https://poke.idleworld.online/pokepedia/pokemon/gabite</x:v>
      </x:c>
    </x:row>
    <x:row r="349" ht="22" customHeight="1">
      <x:c r="A349" s="1" t="n">
        <x:v>445</x:v>
      </x:c>
      <x:c r="B349" s="1" t="str">
        <x:v>Garchomp</x:v>
      </x:c>
      <x:c r="C349" s="1" t="str">
        <x:v>Dragão</x:v>
      </x:c>
      <x:c r="D349" s="1" t="str">
        <x:v>Terrestre</x:v>
      </x:c>
      <x:c r="E349" s="1" t="str">
        <x:v>Raro</x:v>
      </x:c>
      <x:c r="F349" s="10" t="n">
        <x:v>108</x:v>
      </x:c>
      <x:c r="G349" s="10" t="n">
        <x:v>130</x:v>
      </x:c>
      <x:c r="H349" s="10" t="n">
        <x:v>95</x:v>
      </x:c>
      <x:c r="I349" s="10" t="n">
        <x:v>80</x:v>
      </x:c>
      <x:c r="J349" s="10" t="n">
        <x:v>85</x:v>
      </x:c>
      <x:c r="K349" s="10" t="n">
        <x:v>102</x:v>
      </x:c>
      <x:c r="L349" s="10" t="n">
        <x:f>SUM(F349:K349)</x:f>
        <x:v>600</x:v>
      </x:c>
      <x:c r="M349" s="1" t="str">
        <x:f>IF(G349=I349,"Empate",IF(G349&gt;I349,"Física","Especial"))</x:f>
        <x:v>Física</x:v>
      </x:c>
      <x:c r="N349" s="10" t="n">
        <x:v>100</x:v>
      </x:c>
      <x:c r="O349" s="10" t="n">
        <x:v>6008</x:v>
      </x:c>
      <x:c r="P349" s="10" t="n">
        <x:v>18000</x:v>
      </x:c>
      <x:c r="Q349" s="10" t="n">
        <x:v>18000</x:v>
      </x:c>
      <x:c r="R349" s="1" t="str"/>
      <x:c r="S349" s="1"/>
      <x:c r="T349" s="9" t="str">
        <x:v>https://poke.idleworld.online/pokepedia/pokemon/garchomp</x:v>
      </x:c>
    </x:row>
    <x:row r="350" ht="22" customHeight="1">
      <x:c r="A350" s="1" t="n">
        <x:v>447</x:v>
      </x:c>
      <x:c r="B350" s="1" t="str">
        <x:v>Riolu</x:v>
      </x:c>
      <x:c r="C350" s="1" t="str">
        <x:v>Lutador</x:v>
      </x:c>
      <x:c r="D350" s="1" t="str"/>
      <x:c r="E350" s="1" t="str">
        <x:v>Incomum</x:v>
      </x:c>
      <x:c r="F350" s="10" t="n">
        <x:v>40</x:v>
      </x:c>
      <x:c r="G350" s="10" t="n">
        <x:v>70</x:v>
      </x:c>
      <x:c r="H350" s="10" t="n">
        <x:v>40</x:v>
      </x:c>
      <x:c r="I350" s="10" t="n">
        <x:v>35</x:v>
      </x:c>
      <x:c r="J350" s="10" t="n">
        <x:v>40</x:v>
      </x:c>
      <x:c r="K350" s="10" t="n">
        <x:v>60</x:v>
      </x:c>
      <x:c r="L350" s="10" t="n">
        <x:f>SUM(F350:K350)</x:f>
        <x:v>285</x:v>
      </x:c>
      <x:c r="M350" s="1" t="str">
        <x:f>IF(G350=I350,"Empate",IF(G350&gt;I350,"Física","Especial"))</x:f>
        <x:v>Física</x:v>
      </x:c>
      <x:c r="N350" s="10" t="n">
        <x:v>30</x:v>
      </x:c>
      <x:c r="O350" s="10" t="n">
        <x:v>548</x:v>
      </x:c>
      <x:c r="P350" s="10" t="n">
        <x:v>4000</x:v>
      </x:c>
      <x:c r="Q350" s="10" t="n">
        <x:v>4000</x:v>
      </x:c>
      <x:c r="R350" s="1" t="str">
        <x:v>Lucario</x:v>
      </x:c>
      <x:c r="S350" s="1" t="n">
        <x:v>80</x:v>
      </x:c>
      <x:c r="T350" s="9" t="str">
        <x:v>https://poke.idleworld.online/pokepedia/pokemon/riolu</x:v>
      </x:c>
    </x:row>
    <x:row r="351" ht="22" customHeight="1">
      <x:c r="A351" s="1" t="n">
        <x:v>448</x:v>
      </x:c>
      <x:c r="B351" s="1" t="str">
        <x:v>Lucario</x:v>
      </x:c>
      <x:c r="C351" s="1" t="str">
        <x:v>Lutador</x:v>
      </x:c>
      <x:c r="D351" s="1" t="str">
        <x:v>Aço</x:v>
      </x:c>
      <x:c r="E351" s="1" t="str">
        <x:v>Raro</x:v>
      </x:c>
      <x:c r="F351" s="10" t="n">
        <x:v>70</x:v>
      </x:c>
      <x:c r="G351" s="10" t="n">
        <x:v>110</x:v>
      </x:c>
      <x:c r="H351" s="10" t="n">
        <x:v>70</x:v>
      </x:c>
      <x:c r="I351" s="10" t="n">
        <x:v>115</x:v>
      </x:c>
      <x:c r="J351" s="10" t="n">
        <x:v>70</x:v>
      </x:c>
      <x:c r="K351" s="10" t="n">
        <x:v>90</x:v>
      </x:c>
      <x:c r="L351" s="10" t="n">
        <x:f>SUM(F351:K351)</x:f>
        <x:v>525</x:v>
      </x:c>
      <x:c r="M351" s="1" t="str">
        <x:f>IF(G351=I351,"Empate",IF(G351&gt;I351,"Física","Especial"))</x:f>
        <x:v>Especial</x:v>
      </x:c>
      <x:c r="N351" s="10" t="n">
        <x:v>80</x:v>
      </x:c>
      <x:c r="O351" s="10" t="n">
        <x:v>3848</x:v>
      </x:c>
      <x:c r="P351" s="10" t="n">
        <x:v>18000</x:v>
      </x:c>
      <x:c r="Q351" s="10" t="n">
        <x:v>18000</x:v>
      </x:c>
      <x:c r="R351" s="1" t="str"/>
      <x:c r="S351" s="1"/>
      <x:c r="T351" s="9" t="str">
        <x:v>https://poke.idleworld.online/pokepedia/pokemon/lucario</x:v>
      </x:c>
    </x:row>
    <x:row r="352" ht="22" customHeight="1">
      <x:c r="A352" s="1" t="n">
        <x:v>458</x:v>
      </x:c>
      <x:c r="B352" s="1" t="str">
        <x:v>Mantyke</x:v>
      </x:c>
      <x:c r="C352" s="1" t="str">
        <x:v>Água</x:v>
      </x:c>
      <x:c r="D352" s="1" t="str">
        <x:v>Voador</x:v>
      </x:c>
      <x:c r="E352" s="1" t="str">
        <x:v>Comum</x:v>
      </x:c>
      <x:c r="F352" s="10" t="n">
        <x:v>45</x:v>
      </x:c>
      <x:c r="G352" s="10" t="n">
        <x:v>20</x:v>
      </x:c>
      <x:c r="H352" s="10" t="n">
        <x:v>50</x:v>
      </x:c>
      <x:c r="I352" s="10" t="n">
        <x:v>60</x:v>
      </x:c>
      <x:c r="J352" s="10" t="n">
        <x:v>120</x:v>
      </x:c>
      <x:c r="K352" s="10" t="n">
        <x:v>50</x:v>
      </x:c>
      <x:c r="L352" s="10" t="n">
        <x:f>SUM(F352:K352)</x:f>
        <x:v>345</x:v>
      </x:c>
      <x:c r="M352" s="1" t="str">
        <x:f>IF(G352=I352,"Empate",IF(G352&gt;I352,"Física","Especial"))</x:f>
        <x:v>Especial</x:v>
      </x:c>
      <x:c r="N352" s="10" t="n">
        <x:v>30</x:v>
      </x:c>
      <x:c r="O352" s="10" t="n">
        <x:v>548</x:v>
      </x:c>
      <x:c r="P352" s="10" t="n">
        <x:v>4000</x:v>
      </x:c>
      <x:c r="Q352" s="10" t="n">
        <x:v>4000</x:v>
      </x:c>
      <x:c r="R352" s="1" t="str"/>
      <x:c r="S352" s="1"/>
      <x:c r="T352" s="9" t="str">
        <x:v>https://poke.idleworld.online/pokepedia/pokemon/mantyke</x:v>
      </x:c>
    </x:row>
    <x:row r="353" ht="22" customHeight="1">
      <x:c r="A353" s="1" t="n">
        <x:v>460</x:v>
      </x:c>
      <x:c r="B353" s="1" t="str">
        <x:v>Abomasnow</x:v>
      </x:c>
      <x:c r="C353" s="1" t="str">
        <x:v>Planta</x:v>
      </x:c>
      <x:c r="D353" s="1" t="str">
        <x:v>Gelo</x:v>
      </x:c>
      <x:c r="E353" s="1" t="str">
        <x:v>Raro</x:v>
      </x:c>
      <x:c r="F353" s="10" t="n">
        <x:v>90</x:v>
      </x:c>
      <x:c r="G353" s="10" t="n">
        <x:v>92</x:v>
      </x:c>
      <x:c r="H353" s="10" t="n">
        <x:v>75</x:v>
      </x:c>
      <x:c r="I353" s="10" t="n">
        <x:v>92</x:v>
      </x:c>
      <x:c r="J353" s="10" t="n">
        <x:v>85</x:v>
      </x:c>
      <x:c r="K353" s="10" t="n">
        <x:v>60</x:v>
      </x:c>
      <x:c r="L353" s="10" t="n">
        <x:f>SUM(F353:K353)</x:f>
        <x:v>494</x:v>
      </x:c>
      <x:c r="M353" s="1" t="str">
        <x:f>IF(G353=I353,"Empate",IF(G353&gt;I353,"Física","Especial"))</x:f>
        <x:v>Empate</x:v>
      </x:c>
      <x:c r="N353" s="10" t="n">
        <x:v>100</x:v>
      </x:c>
      <x:c r="O353" s="10" t="n">
        <x:v>6008</x:v>
      </x:c>
      <x:c r="P353" s="10" t="n">
        <x:v>18000</x:v>
      </x:c>
      <x:c r="Q353" s="10" t="n">
        <x:v>18000</x:v>
      </x:c>
      <x:c r="R353" s="1" t="str"/>
      <x:c r="S353" s="1"/>
      <x:c r="T353" s="9" t="str">
        <x:v>https://poke.idleworld.online/pokepedia/pokemon/abomasnow</x:v>
      </x:c>
    </x:row>
    <x:row r="354" ht="22" customHeight="1">
      <x:c r="A354" s="1" t="n">
        <x:v>461</x:v>
      </x:c>
      <x:c r="B354" s="1" t="str">
        <x:v>Weavile</x:v>
      </x:c>
      <x:c r="C354" s="1" t="str">
        <x:v>Sombrio</x:v>
      </x:c>
      <x:c r="D354" s="1" t="str">
        <x:v>Gelo</x:v>
      </x:c>
      <x:c r="E354" s="1" t="str">
        <x:v>Raro</x:v>
      </x:c>
      <x:c r="F354" s="10" t="n">
        <x:v>70</x:v>
      </x:c>
      <x:c r="G354" s="10" t="n">
        <x:v>120</x:v>
      </x:c>
      <x:c r="H354" s="10" t="n">
        <x:v>65</x:v>
      </x:c>
      <x:c r="I354" s="10" t="n">
        <x:v>45</x:v>
      </x:c>
      <x:c r="J354" s="10" t="n">
        <x:v>85</x:v>
      </x:c>
      <x:c r="K354" s="10" t="n">
        <x:v>125</x:v>
      </x:c>
      <x:c r="L354" s="10" t="n">
        <x:f>SUM(F354:K354)</x:f>
        <x:v>510</x:v>
      </x:c>
      <x:c r="M354" s="1" t="str">
        <x:f>IF(G354=I354,"Empate",IF(G354&gt;I354,"Física","Especial"))</x:f>
        <x:v>Física</x:v>
      </x:c>
      <x:c r="N354" s="10" t="n">
        <x:v>100</x:v>
      </x:c>
      <x:c r="O354" s="10" t="n">
        <x:v>6008</x:v>
      </x:c>
      <x:c r="P354" s="10" t="n">
        <x:v>18000</x:v>
      </x:c>
      <x:c r="Q354" s="10" t="n">
        <x:v>18000</x:v>
      </x:c>
      <x:c r="R354" s="1" t="str"/>
      <x:c r="S354" s="1"/>
      <x:c r="T354" s="9" t="str">
        <x:v>https://poke.idleworld.online/pokepedia/pokemon/weavile</x:v>
      </x:c>
    </x:row>
    <x:row r="355" ht="22" customHeight="1">
      <x:c r="A355" s="1" t="n">
        <x:v>462</x:v>
      </x:c>
      <x:c r="B355" s="1" t="str">
        <x:v>Magnezone</x:v>
      </x:c>
      <x:c r="C355" s="1" t="str">
        <x:v>Elétrico</x:v>
      </x:c>
      <x:c r="D355" s="1" t="str">
        <x:v>Aço</x:v>
      </x:c>
      <x:c r="E355" s="1" t="str">
        <x:v>Raro</x:v>
      </x:c>
      <x:c r="F355" s="10" t="n">
        <x:v>70</x:v>
      </x:c>
      <x:c r="G355" s="10" t="n">
        <x:v>70</x:v>
      </x:c>
      <x:c r="H355" s="10" t="n">
        <x:v>115</x:v>
      </x:c>
      <x:c r="I355" s="10" t="n">
        <x:v>130</x:v>
      </x:c>
      <x:c r="J355" s="10" t="n">
        <x:v>90</x:v>
      </x:c>
      <x:c r="K355" s="10" t="n">
        <x:v>60</x:v>
      </x:c>
      <x:c r="L355" s="10" t="n">
        <x:f>SUM(F355:K355)</x:f>
        <x:v>535</x:v>
      </x:c>
      <x:c r="M355" s="1" t="str">
        <x:f>IF(G355=I355,"Empate",IF(G355&gt;I355,"Física","Especial"))</x:f>
        <x:v>Especial</x:v>
      </x:c>
      <x:c r="N355" s="10" t="n">
        <x:v>100</x:v>
      </x:c>
      <x:c r="O355" s="10" t="n">
        <x:v>6008</x:v>
      </x:c>
      <x:c r="P355" s="10" t="n">
        <x:v>18000</x:v>
      </x:c>
      <x:c r="Q355" s="10" t="n">
        <x:v>18000</x:v>
      </x:c>
      <x:c r="R355" s="1" t="str"/>
      <x:c r="S355" s="1"/>
      <x:c r="T355" s="9" t="str">
        <x:v>https://poke.idleworld.online/pokepedia/pokemon/magnezone</x:v>
      </x:c>
    </x:row>
    <x:row r="356" ht="22" customHeight="1">
      <x:c r="A356" s="1" t="n">
        <x:v>464</x:v>
      </x:c>
      <x:c r="B356" s="1" t="str">
        <x:v>Rhyperior</x:v>
      </x:c>
      <x:c r="C356" s="1" t="str">
        <x:v>Terrestre</x:v>
      </x:c>
      <x:c r="D356" s="1" t="str">
        <x:v>Pedra</x:v>
      </x:c>
      <x:c r="E356" s="1" t="str">
        <x:v>Raro</x:v>
      </x:c>
      <x:c r="F356" s="10" t="n">
        <x:v>115</x:v>
      </x:c>
      <x:c r="G356" s="10" t="n">
        <x:v>140</x:v>
      </x:c>
      <x:c r="H356" s="10" t="n">
        <x:v>130</x:v>
      </x:c>
      <x:c r="I356" s="10" t="n">
        <x:v>55</x:v>
      </x:c>
      <x:c r="J356" s="10" t="n">
        <x:v>55</x:v>
      </x:c>
      <x:c r="K356" s="10" t="n">
        <x:v>40</x:v>
      </x:c>
      <x:c r="L356" s="10" t="n">
        <x:f>SUM(F356:K356)</x:f>
        <x:v>535</x:v>
      </x:c>
      <x:c r="M356" s="1" t="str">
        <x:f>IF(G356=I356,"Empate",IF(G356&gt;I356,"Física","Especial"))</x:f>
        <x:v>Física</x:v>
      </x:c>
      <x:c r="N356" s="10" t="n">
        <x:v>600</x:v>
      </x:c>
      <x:c r="O356" s="10" t="n">
        <x:v>216008</x:v>
      </x:c>
      <x:c r="P356" s="10" t="n">
        <x:v>50000000</x:v>
      </x:c>
      <x:c r="Q356" s="10" t="n">
        <x:v>0</x:v>
      </x:c>
      <x:c r="R356" s="1" t="str"/>
      <x:c r="S356" s="1"/>
      <x:c r="T356" s="9" t="str">
        <x:v>https://poke.idleworld.online/pokepedia/pokemon/rhyperior</x:v>
      </x:c>
    </x:row>
    <x:row r="357" ht="22" customHeight="1">
      <x:c r="A357" s="1" t="n">
        <x:v>465</x:v>
      </x:c>
      <x:c r="B357" s="1" t="str">
        <x:v>Tangrowth</x:v>
      </x:c>
      <x:c r="C357" s="1" t="str">
        <x:v>Planta</x:v>
      </x:c>
      <x:c r="D357" s="1" t="str"/>
      <x:c r="E357" s="1" t="str">
        <x:v>Raro</x:v>
      </x:c>
      <x:c r="F357" s="10" t="n">
        <x:v>100</x:v>
      </x:c>
      <x:c r="G357" s="10" t="n">
        <x:v>100</x:v>
      </x:c>
      <x:c r="H357" s="10" t="n">
        <x:v>125</x:v>
      </x:c>
      <x:c r="I357" s="10" t="n">
        <x:v>110</x:v>
      </x:c>
      <x:c r="J357" s="10" t="n">
        <x:v>50</x:v>
      </x:c>
      <x:c r="K357" s="10" t="n">
        <x:v>50</x:v>
      </x:c>
      <x:c r="L357" s="10" t="n">
        <x:f>SUM(F357:K357)</x:f>
        <x:v>535</x:v>
      </x:c>
      <x:c r="M357" s="1" t="str">
        <x:f>IF(G357=I357,"Empate",IF(G357&gt;I357,"Física","Especial"))</x:f>
        <x:v>Especial</x:v>
      </x:c>
      <x:c r="N357" s="10" t="n">
        <x:v>600</x:v>
      </x:c>
      <x:c r="O357" s="10" t="n">
        <x:v>216008</x:v>
      </x:c>
      <x:c r="P357" s="10" t="n">
        <x:v>50000000</x:v>
      </x:c>
      <x:c r="Q357" s="10" t="n">
        <x:v>0</x:v>
      </x:c>
      <x:c r="R357" s="1" t="str"/>
      <x:c r="S357" s="1"/>
      <x:c r="T357" s="9" t="str">
        <x:v>https://poke.idleworld.online/pokepedia/pokemon/tangrowth</x:v>
      </x:c>
    </x:row>
    <x:row r="358" ht="22" customHeight="1">
      <x:c r="A358" s="1" t="n">
        <x:v>466</x:v>
      </x:c>
      <x:c r="B358" s="1" t="str">
        <x:v>Electivire</x:v>
      </x:c>
      <x:c r="C358" s="1" t="str">
        <x:v>Elétrico</x:v>
      </x:c>
      <x:c r="D358" s="1" t="str"/>
      <x:c r="E358" s="1" t="str">
        <x:v>Raro</x:v>
      </x:c>
      <x:c r="F358" s="10" t="n">
        <x:v>75</x:v>
      </x:c>
      <x:c r="G358" s="10" t="n">
        <x:v>123</x:v>
      </x:c>
      <x:c r="H358" s="10" t="n">
        <x:v>67</x:v>
      </x:c>
      <x:c r="I358" s="10" t="n">
        <x:v>95</x:v>
      </x:c>
      <x:c r="J358" s="10" t="n">
        <x:v>85</x:v>
      </x:c>
      <x:c r="K358" s="10" t="n">
        <x:v>95</x:v>
      </x:c>
      <x:c r="L358" s="10" t="n">
        <x:f>SUM(F358:K358)</x:f>
        <x:v>540</x:v>
      </x:c>
      <x:c r="M358" s="1" t="str">
        <x:f>IF(G358=I358,"Empate",IF(G358&gt;I358,"Física","Especial"))</x:f>
        <x:v>Física</x:v>
      </x:c>
      <x:c r="N358" s="10" t="n">
        <x:v>600</x:v>
      </x:c>
      <x:c r="O358" s="10" t="n">
        <x:v>216008</x:v>
      </x:c>
      <x:c r="P358" s="10" t="n">
        <x:v>50000000</x:v>
      </x:c>
      <x:c r="Q358" s="10" t="n">
        <x:v>0</x:v>
      </x:c>
      <x:c r="R358" s="1" t="str"/>
      <x:c r="S358" s="1"/>
      <x:c r="T358" s="9" t="str">
        <x:v>https://poke.idleworld.online/pokepedia/pokemon/electivire</x:v>
      </x:c>
    </x:row>
    <x:row r="359" ht="22" customHeight="1">
      <x:c r="A359" s="1" t="n">
        <x:v>467</x:v>
      </x:c>
      <x:c r="B359" s="1" t="str">
        <x:v>Magmortar</x:v>
      </x:c>
      <x:c r="C359" s="1" t="str">
        <x:v>Fogo</x:v>
      </x:c>
      <x:c r="D359" s="1" t="str"/>
      <x:c r="E359" s="1" t="str">
        <x:v>Raro</x:v>
      </x:c>
      <x:c r="F359" s="10" t="n">
        <x:v>75</x:v>
      </x:c>
      <x:c r="G359" s="10" t="n">
        <x:v>95</x:v>
      </x:c>
      <x:c r="H359" s="10" t="n">
        <x:v>67</x:v>
      </x:c>
      <x:c r="I359" s="10" t="n">
        <x:v>125</x:v>
      </x:c>
      <x:c r="J359" s="10" t="n">
        <x:v>95</x:v>
      </x:c>
      <x:c r="K359" s="10" t="n">
        <x:v>83</x:v>
      </x:c>
      <x:c r="L359" s="10" t="n">
        <x:f>SUM(F359:K359)</x:f>
        <x:v>540</x:v>
      </x:c>
      <x:c r="M359" s="1" t="str">
        <x:f>IF(G359=I359,"Empate",IF(G359&gt;I359,"Física","Especial"))</x:f>
        <x:v>Especial</x:v>
      </x:c>
      <x:c r="N359" s="10" t="n">
        <x:v>600</x:v>
      </x:c>
      <x:c r="O359" s="10" t="n">
        <x:v>216008</x:v>
      </x:c>
      <x:c r="P359" s="10" t="n">
        <x:v>50000000</x:v>
      </x:c>
      <x:c r="Q359" s="10" t="n">
        <x:v>0</x:v>
      </x:c>
      <x:c r="R359" s="1" t="str"/>
      <x:c r="S359" s="1"/>
      <x:c r="T359" s="9" t="str">
        <x:v>https://poke.idleworld.online/pokepedia/pokemon/magmortar</x:v>
      </x:c>
    </x:row>
    <x:row r="360" ht="22" customHeight="1">
      <x:c r="A360" s="1" t="n">
        <x:v>468</x:v>
      </x:c>
      <x:c r="B360" s="1" t="str">
        <x:v>Togekiss</x:v>
      </x:c>
      <x:c r="C360" s="1" t="str">
        <x:v>Fada</x:v>
      </x:c>
      <x:c r="D360" s="1" t="str">
        <x:v>Voador</x:v>
      </x:c>
      <x:c r="E360" s="1" t="str">
        <x:v>Raro</x:v>
      </x:c>
      <x:c r="F360" s="10" t="n">
        <x:v>85</x:v>
      </x:c>
      <x:c r="G360" s="10" t="n">
        <x:v>50</x:v>
      </x:c>
      <x:c r="H360" s="10" t="n">
        <x:v>95</x:v>
      </x:c>
      <x:c r="I360" s="10" t="n">
        <x:v>120</x:v>
      </x:c>
      <x:c r="J360" s="10" t="n">
        <x:v>115</x:v>
      </x:c>
      <x:c r="K360" s="10" t="n">
        <x:v>80</x:v>
      </x:c>
      <x:c r="L360" s="10" t="n">
        <x:f>SUM(F360:K360)</x:f>
        <x:v>545</x:v>
      </x:c>
      <x:c r="M360" s="1" t="str">
        <x:f>IF(G360=I360,"Empate",IF(G360&gt;I360,"Física","Especial"))</x:f>
        <x:v>Especial</x:v>
      </x:c>
      <x:c r="N360" s="10" t="n">
        <x:v>100</x:v>
      </x:c>
      <x:c r="O360" s="10" t="n">
        <x:v>6008</x:v>
      </x:c>
      <x:c r="P360" s="10" t="n">
        <x:v>18000</x:v>
      </x:c>
      <x:c r="Q360" s="10" t="n">
        <x:v>18000</x:v>
      </x:c>
      <x:c r="R360" s="1" t="str"/>
      <x:c r="S360" s="1"/>
      <x:c r="T360" s="9" t="str">
        <x:v>https://poke.idleworld.online/pokepedia/pokemon/togekiss</x:v>
      </x:c>
    </x:row>
    <x:row r="361" ht="22" customHeight="1">
      <x:c r="A361" s="1" t="n">
        <x:v>470</x:v>
      </x:c>
      <x:c r="B361" s="1" t="str">
        <x:v>Leafeon</x:v>
      </x:c>
      <x:c r="C361" s="1" t="str">
        <x:v>Planta</x:v>
      </x:c>
      <x:c r="D361" s="1" t="str"/>
      <x:c r="E361" s="1" t="str">
        <x:v>Raro</x:v>
      </x:c>
      <x:c r="F361" s="10" t="n">
        <x:v>65</x:v>
      </x:c>
      <x:c r="G361" s="10" t="n">
        <x:v>110</x:v>
      </x:c>
      <x:c r="H361" s="10" t="n">
        <x:v>130</x:v>
      </x:c>
      <x:c r="I361" s="10" t="n">
        <x:v>60</x:v>
      </x:c>
      <x:c r="J361" s="10" t="n">
        <x:v>65</x:v>
      </x:c>
      <x:c r="K361" s="10" t="n">
        <x:v>95</x:v>
      </x:c>
      <x:c r="L361" s="10" t="n">
        <x:f>SUM(F361:K361)</x:f>
        <x:v>525</x:v>
      </x:c>
      <x:c r="M361" s="1" t="str">
        <x:f>IF(G361=I361,"Empate",IF(G361&gt;I361,"Física","Especial"))</x:f>
        <x:v>Física</x:v>
      </x:c>
      <x:c r="N361" s="10" t="n">
        <x:v>60</x:v>
      </x:c>
      <x:c r="O361" s="10" t="n">
        <x:v>2168</x:v>
      </x:c>
      <x:c r="P361" s="10" t="n">
        <x:v>25000</x:v>
      </x:c>
      <x:c r="Q361" s="10" t="n">
        <x:v>25000</x:v>
      </x:c>
      <x:c r="R361" s="1" t="str"/>
      <x:c r="S361" s="1"/>
      <x:c r="T361" s="9" t="str">
        <x:v>https://poke.idleworld.online/pokepedia/pokemon/leafeon</x:v>
      </x:c>
    </x:row>
    <x:row r="362" ht="22" customHeight="1">
      <x:c r="A362" s="1" t="n">
        <x:v>471</x:v>
      </x:c>
      <x:c r="B362" s="1" t="str">
        <x:v>Glaceon</x:v>
      </x:c>
      <x:c r="C362" s="1" t="str">
        <x:v>Gelo</x:v>
      </x:c>
      <x:c r="D362" s="1" t="str"/>
      <x:c r="E362" s="1" t="str">
        <x:v>Raro</x:v>
      </x:c>
      <x:c r="F362" s="10" t="n">
        <x:v>65</x:v>
      </x:c>
      <x:c r="G362" s="10" t="n">
        <x:v>60</x:v>
      </x:c>
      <x:c r="H362" s="10" t="n">
        <x:v>110</x:v>
      </x:c>
      <x:c r="I362" s="10" t="n">
        <x:v>130</x:v>
      </x:c>
      <x:c r="J362" s="10" t="n">
        <x:v>95</x:v>
      </x:c>
      <x:c r="K362" s="10" t="n">
        <x:v>65</x:v>
      </x:c>
      <x:c r="L362" s="10" t="n">
        <x:f>SUM(F362:K362)</x:f>
        <x:v>525</x:v>
      </x:c>
      <x:c r="M362" s="1" t="str">
        <x:f>IF(G362=I362,"Empate",IF(G362&gt;I362,"Física","Especial"))</x:f>
        <x:v>Especial</x:v>
      </x:c>
      <x:c r="N362" s="10" t="n">
        <x:v>60</x:v>
      </x:c>
      <x:c r="O362" s="10" t="n">
        <x:v>2168</x:v>
      </x:c>
      <x:c r="P362" s="10" t="n">
        <x:v>25000</x:v>
      </x:c>
      <x:c r="Q362" s="10" t="n">
        <x:v>25000</x:v>
      </x:c>
      <x:c r="R362" s="1" t="str"/>
      <x:c r="S362" s="1"/>
      <x:c r="T362" s="9" t="str">
        <x:v>https://poke.idleworld.online/pokepedia/pokemon/glaceon</x:v>
      </x:c>
    </x:row>
    <x:row r="363" ht="22" customHeight="1">
      <x:c r="A363" s="1" t="n">
        <x:v>472</x:v>
      </x:c>
      <x:c r="B363" s="1" t="str">
        <x:v>Gliscor</x:v>
      </x:c>
      <x:c r="C363" s="1" t="str">
        <x:v>Terrestre</x:v>
      </x:c>
      <x:c r="D363" s="1" t="str">
        <x:v>Voador</x:v>
      </x:c>
      <x:c r="E363" s="1" t="str">
        <x:v>Raro</x:v>
      </x:c>
      <x:c r="F363" s="10" t="n">
        <x:v>75</x:v>
      </x:c>
      <x:c r="G363" s="10" t="n">
        <x:v>95</x:v>
      </x:c>
      <x:c r="H363" s="10" t="n">
        <x:v>125</x:v>
      </x:c>
      <x:c r="I363" s="10" t="n">
        <x:v>45</x:v>
      </x:c>
      <x:c r="J363" s="10" t="n">
        <x:v>75</x:v>
      </x:c>
      <x:c r="K363" s="10" t="n">
        <x:v>95</x:v>
      </x:c>
      <x:c r="L363" s="10" t="n">
        <x:f>SUM(F363:K363)</x:f>
        <x:v>510</x:v>
      </x:c>
      <x:c r="M363" s="1" t="str">
        <x:f>IF(G363=I363,"Empate",IF(G363&gt;I363,"Física","Especial"))</x:f>
        <x:v>Física</x:v>
      </x:c>
      <x:c r="N363" s="10" t="n">
        <x:v>100</x:v>
      </x:c>
      <x:c r="O363" s="10" t="n">
        <x:v>6008</x:v>
      </x:c>
      <x:c r="P363" s="10" t="n">
        <x:v>18000</x:v>
      </x:c>
      <x:c r="Q363" s="10" t="n">
        <x:v>18000</x:v>
      </x:c>
      <x:c r="R363" s="1" t="str"/>
      <x:c r="S363" s="1"/>
      <x:c r="T363" s="9" t="str">
        <x:v>https://poke.idleworld.online/pokepedia/pokemon/gliscor</x:v>
      </x:c>
    </x:row>
    <x:row r="364" ht="22" customHeight="1">
      <x:c r="A364" s="1" t="n">
        <x:v>475</x:v>
      </x:c>
      <x:c r="B364" s="1" t="str">
        <x:v>Gallade</x:v>
      </x:c>
      <x:c r="C364" s="1" t="str">
        <x:v>Psíquico</x:v>
      </x:c>
      <x:c r="D364" s="1" t="str">
        <x:v>Lutador</x:v>
      </x:c>
      <x:c r="E364" s="1" t="str">
        <x:v>Raro</x:v>
      </x:c>
      <x:c r="F364" s="10" t="n">
        <x:v>68</x:v>
      </x:c>
      <x:c r="G364" s="10" t="n">
        <x:v>125</x:v>
      </x:c>
      <x:c r="H364" s="10" t="n">
        <x:v>65</x:v>
      </x:c>
      <x:c r="I364" s="10" t="n">
        <x:v>65</x:v>
      </x:c>
      <x:c r="J364" s="10" t="n">
        <x:v>115</x:v>
      </x:c>
      <x:c r="K364" s="10" t="n">
        <x:v>80</x:v>
      </x:c>
      <x:c r="L364" s="10" t="n">
        <x:f>SUM(F364:K364)</x:f>
        <x:v>518</x:v>
      </x:c>
      <x:c r="M364" s="1" t="str">
        <x:f>IF(G364=I364,"Empate",IF(G364&gt;I364,"Física","Especial"))</x:f>
        <x:v>Física</x:v>
      </x:c>
      <x:c r="N364" s="10" t="n">
        <x:v>100</x:v>
      </x:c>
      <x:c r="O364" s="10" t="n">
        <x:v>6008</x:v>
      </x:c>
      <x:c r="P364" s="10" t="n">
        <x:v>18000</x:v>
      </x:c>
      <x:c r="Q364" s="10" t="n">
        <x:v>18000</x:v>
      </x:c>
      <x:c r="R364" s="1" t="str"/>
      <x:c r="S364" s="1"/>
      <x:c r="T364" s="9" t="str">
        <x:v>https://poke.idleworld.online/pokepedia/pokemon/gallade</x:v>
      </x:c>
    </x:row>
    <x:row r="365" ht="22" customHeight="1">
      <x:c r="A365" s="1" t="n">
        <x:v>477</x:v>
      </x:c>
      <x:c r="B365" s="1" t="str">
        <x:v>Dusknoir</x:v>
      </x:c>
      <x:c r="C365" s="1" t="str">
        <x:v>Fantasma</x:v>
      </x:c>
      <x:c r="D365" s="1" t="str"/>
      <x:c r="E365" s="1" t="str">
        <x:v>Raro</x:v>
      </x:c>
      <x:c r="F365" s="10" t="n">
        <x:v>45</x:v>
      </x:c>
      <x:c r="G365" s="10" t="n">
        <x:v>100</x:v>
      </x:c>
      <x:c r="H365" s="10" t="n">
        <x:v>135</x:v>
      </x:c>
      <x:c r="I365" s="10" t="n">
        <x:v>65</x:v>
      </x:c>
      <x:c r="J365" s="10" t="n">
        <x:v>135</x:v>
      </x:c>
      <x:c r="K365" s="10" t="n">
        <x:v>45</x:v>
      </x:c>
      <x:c r="L365" s="10" t="n">
        <x:f>SUM(F365:K365)</x:f>
        <x:v>525</x:v>
      </x:c>
      <x:c r="M365" s="1" t="str">
        <x:f>IF(G365=I365,"Empate",IF(G365&gt;I365,"Física","Especial"))</x:f>
        <x:v>Física</x:v>
      </x:c>
      <x:c r="N365" s="10" t="n">
        <x:v>600</x:v>
      </x:c>
      <x:c r="O365" s="10" t="n">
        <x:v>216008</x:v>
      </x:c>
      <x:c r="P365" s="10" t="n">
        <x:v>50000000</x:v>
      </x:c>
      <x:c r="Q365" s="10" t="n">
        <x:v>0</x:v>
      </x:c>
      <x:c r="R365" s="1" t="str"/>
      <x:c r="S365" s="1"/>
      <x:c r="T365" s="9" t="str">
        <x:v>https://poke.idleworld.online/pokepedia/pokemon/dusknoir</x:v>
      </x:c>
    </x:row>
    <x:row r="366" ht="22" customHeight="1">
      <x:c r="A366" s="1" t="n">
        <x:v>514</x:v>
      </x:c>
      <x:c r="B366" s="1" t="str">
        <x:v>Simisear</x:v>
      </x:c>
      <x:c r="C366" s="1" t="str">
        <x:v>Fogo</x:v>
      </x:c>
      <x:c r="D366" s="1" t="str"/>
      <x:c r="E366" s="1" t="str">
        <x:v>Raro</x:v>
      </x:c>
      <x:c r="F366" s="10" t="n">
        <x:v>75</x:v>
      </x:c>
      <x:c r="G366" s="10" t="n">
        <x:v>98</x:v>
      </x:c>
      <x:c r="H366" s="10" t="n">
        <x:v>63</x:v>
      </x:c>
      <x:c r="I366" s="10" t="n">
        <x:v>98</x:v>
      </x:c>
      <x:c r="J366" s="10" t="n">
        <x:v>63</x:v>
      </x:c>
      <x:c r="K366" s="10" t="n">
        <x:v>101</x:v>
      </x:c>
      <x:c r="L366" s="10" t="n">
        <x:f>SUM(F366:K366)</x:f>
        <x:v>498</x:v>
      </x:c>
      <x:c r="M366" s="1" t="str">
        <x:f>IF(G366=I366,"Empate",IF(G366&gt;I366,"Física","Especial"))</x:f>
        <x:v>Empate</x:v>
      </x:c>
      <x:c r="N366" s="10" t="n">
        <x:v>80</x:v>
      </x:c>
      <x:c r="O366" s="10" t="n">
        <x:v>3848</x:v>
      </x:c>
      <x:c r="P366" s="10" t="n">
        <x:v>18000</x:v>
      </x:c>
      <x:c r="Q366" s="10" t="n">
        <x:v>18000</x:v>
      </x:c>
      <x:c r="R366" s="1" t="str"/>
      <x:c r="S366" s="1"/>
      <x:c r="T366" s="9" t="str">
        <x:v>https://poke.idleworld.online/pokepedia/pokemon/simisear</x:v>
      </x:c>
    </x:row>
    <x:row r="367" ht="22" customHeight="1">
      <x:c r="A367" s="1" t="n">
        <x:v>538</x:v>
      </x:c>
      <x:c r="B367" s="1" t="str">
        <x:v>Throh</x:v>
      </x:c>
      <x:c r="C367" s="1" t="str">
        <x:v>Lutador</x:v>
      </x:c>
      <x:c r="D367" s="1" t="str"/>
      <x:c r="E367" s="1" t="str">
        <x:v>Raro</x:v>
      </x:c>
      <x:c r="F367" s="10" t="n">
        <x:v>120</x:v>
      </x:c>
      <x:c r="G367" s="10" t="n">
        <x:v>100</x:v>
      </x:c>
      <x:c r="H367" s="10" t="n">
        <x:v>85</x:v>
      </x:c>
      <x:c r="I367" s="10" t="n">
        <x:v>30</x:v>
      </x:c>
      <x:c r="J367" s="10" t="n">
        <x:v>85</x:v>
      </x:c>
      <x:c r="K367" s="10" t="n">
        <x:v>45</x:v>
      </x:c>
      <x:c r="L367" s="10" t="n">
        <x:f>SUM(F367:K367)</x:f>
        <x:v>465</x:v>
      </x:c>
      <x:c r="M367" s="1" t="str">
        <x:f>IF(G367=I367,"Empate",IF(G367&gt;I367,"Física","Especial"))</x:f>
        <x:v>Física</x:v>
      </x:c>
      <x:c r="N367" s="10" t="n">
        <x:v>100</x:v>
      </x:c>
      <x:c r="O367" s="10" t="n">
        <x:v>6008</x:v>
      </x:c>
      <x:c r="P367" s="10" t="n">
        <x:v>18000</x:v>
      </x:c>
      <x:c r="Q367" s="10" t="n">
        <x:v>18000</x:v>
      </x:c>
      <x:c r="R367" s="1" t="str"/>
      <x:c r="S367" s="1"/>
      <x:c r="T367" s="9" t="str">
        <x:v>https://poke.idleworld.online/pokepedia/pokemon/throh</x:v>
      </x:c>
    </x:row>
    <x:row r="368" ht="22" customHeight="1">
      <x:c r="A368" s="1" t="n">
        <x:v>539</x:v>
      </x:c>
      <x:c r="B368" s="1" t="str">
        <x:v>Sawk</x:v>
      </x:c>
      <x:c r="C368" s="1" t="str">
        <x:v>Lutador</x:v>
      </x:c>
      <x:c r="D368" s="1" t="str"/>
      <x:c r="E368" s="1" t="str">
        <x:v>Raro</x:v>
      </x:c>
      <x:c r="F368" s="10" t="n">
        <x:v>75</x:v>
      </x:c>
      <x:c r="G368" s="10" t="n">
        <x:v>125</x:v>
      </x:c>
      <x:c r="H368" s="10" t="n">
        <x:v>75</x:v>
      </x:c>
      <x:c r="I368" s="10" t="n">
        <x:v>30</x:v>
      </x:c>
      <x:c r="J368" s="10" t="n">
        <x:v>75</x:v>
      </x:c>
      <x:c r="K368" s="10" t="n">
        <x:v>85</x:v>
      </x:c>
      <x:c r="L368" s="10" t="n">
        <x:f>SUM(F368:K368)</x:f>
        <x:v>465</x:v>
      </x:c>
      <x:c r="M368" s="1" t="str">
        <x:f>IF(G368=I368,"Empate",IF(G368&gt;I368,"Física","Especial"))</x:f>
        <x:v>Física</x:v>
      </x:c>
      <x:c r="N368" s="10" t="n">
        <x:v>100</x:v>
      </x:c>
      <x:c r="O368" s="10" t="n">
        <x:v>6008</x:v>
      </x:c>
      <x:c r="P368" s="10" t="n">
        <x:v>18000</x:v>
      </x:c>
      <x:c r="Q368" s="10" t="n">
        <x:v>18000</x:v>
      </x:c>
      <x:c r="R368" s="1" t="str"/>
      <x:c r="S368" s="1"/>
      <x:c r="T368" s="9" t="str">
        <x:v>https://poke.idleworld.online/pokepedia/pokemon/sawk</x:v>
      </x:c>
    </x:row>
    <x:row r="369" ht="22" customHeight="1">
      <x:c r="A369" s="1" t="n">
        <x:v>543</x:v>
      </x:c>
      <x:c r="B369" s="1" t="str">
        <x:v>Venipede</x:v>
      </x:c>
      <x:c r="C369" s="1" t="str">
        <x:v>Inseto</x:v>
      </x:c>
      <x:c r="D369" s="1" t="str">
        <x:v>Venenoso</x:v>
      </x:c>
      <x:c r="E369" s="1" t="str">
        <x:v>Comum</x:v>
      </x:c>
      <x:c r="F369" s="10" t="n">
        <x:v>30</x:v>
      </x:c>
      <x:c r="G369" s="10" t="n">
        <x:v>45</x:v>
      </x:c>
      <x:c r="H369" s="10" t="n">
        <x:v>59</x:v>
      </x:c>
      <x:c r="I369" s="10" t="n">
        <x:v>30</x:v>
      </x:c>
      <x:c r="J369" s="10" t="n">
        <x:v>39</x:v>
      </x:c>
      <x:c r="K369" s="10" t="n">
        <x:v>57</x:v>
      </x:c>
      <x:c r="L369" s="10" t="n">
        <x:f>SUM(F369:K369)</x:f>
        <x:v>260</x:v>
      </x:c>
      <x:c r="M369" s="1" t="str">
        <x:f>IF(G369=I369,"Empate",IF(G369&gt;I369,"Física","Especial"))</x:f>
        <x:v>Física</x:v>
      </x:c>
      <x:c r="N369" s="10" t="n">
        <x:v>30</x:v>
      </x:c>
      <x:c r="O369" s="10" t="n">
        <x:v>548</x:v>
      </x:c>
      <x:c r="P369" s="10" t="n">
        <x:v>4000</x:v>
      </x:c>
      <x:c r="Q369" s="10" t="n">
        <x:v>4000</x:v>
      </x:c>
      <x:c r="R369" s="1" t="str"/>
      <x:c r="S369" s="1"/>
      <x:c r="T369" s="9" t="str">
        <x:v>https://poke.idleworld.online/pokepedia/pokemon/venipede</x:v>
      </x:c>
    </x:row>
    <x:row r="370" ht="22" customHeight="1">
      <x:c r="A370" s="1" t="n">
        <x:v>545</x:v>
      </x:c>
      <x:c r="B370" s="1" t="str">
        <x:v>Scolipede</x:v>
      </x:c>
      <x:c r="C370" s="1" t="str">
        <x:v>Inseto</x:v>
      </x:c>
      <x:c r="D370" s="1" t="str">
        <x:v>Venenoso</x:v>
      </x:c>
      <x:c r="E370" s="1" t="str">
        <x:v>Raro</x:v>
      </x:c>
      <x:c r="F370" s="10" t="n">
        <x:v>60</x:v>
      </x:c>
      <x:c r="G370" s="10" t="n">
        <x:v>100</x:v>
      </x:c>
      <x:c r="H370" s="10" t="n">
        <x:v>89</x:v>
      </x:c>
      <x:c r="I370" s="10" t="n">
        <x:v>55</x:v>
      </x:c>
      <x:c r="J370" s="10" t="n">
        <x:v>69</x:v>
      </x:c>
      <x:c r="K370" s="10" t="n">
        <x:v>112</x:v>
      </x:c>
      <x:c r="L370" s="10" t="n">
        <x:f>SUM(F370:K370)</x:f>
        <x:v>485</x:v>
      </x:c>
      <x:c r="M370" s="1" t="str">
        <x:f>IF(G370=I370,"Empate",IF(G370&gt;I370,"Física","Especial"))</x:f>
        <x:v>Física</x:v>
      </x:c>
      <x:c r="N370" s="10" t="n">
        <x:v>100</x:v>
      </x:c>
      <x:c r="O370" s="10" t="n">
        <x:v>6008</x:v>
      </x:c>
      <x:c r="P370" s="10" t="n">
        <x:v>18000</x:v>
      </x:c>
      <x:c r="Q370" s="10" t="n">
        <x:v>18000</x:v>
      </x:c>
      <x:c r="R370" s="1" t="str"/>
      <x:c r="S370" s="1"/>
      <x:c r="T370" s="9" t="str">
        <x:v>https://poke.idleworld.online/pokepedia/pokemon/scolipede</x:v>
      </x:c>
    </x:row>
    <x:row r="371" ht="22" customHeight="1">
      <x:c r="A371" s="1" t="n">
        <x:v>548</x:v>
      </x:c>
      <x:c r="B371" s="1" t="str">
        <x:v>Petilil</x:v>
      </x:c>
      <x:c r="C371" s="1" t="str">
        <x:v>Planta</x:v>
      </x:c>
      <x:c r="D371" s="1" t="str"/>
      <x:c r="E371" s="1" t="str">
        <x:v>Comum</x:v>
      </x:c>
      <x:c r="F371" s="10" t="n">
        <x:v>45</x:v>
      </x:c>
      <x:c r="G371" s="10" t="n">
        <x:v>35</x:v>
      </x:c>
      <x:c r="H371" s="10" t="n">
        <x:v>50</x:v>
      </x:c>
      <x:c r="I371" s="10" t="n">
        <x:v>70</x:v>
      </x:c>
      <x:c r="J371" s="10" t="n">
        <x:v>50</x:v>
      </x:c>
      <x:c r="K371" s="10" t="n">
        <x:v>30</x:v>
      </x:c>
      <x:c r="L371" s="10" t="n">
        <x:f>SUM(F371:K371)</x:f>
        <x:v>280</x:v>
      </x:c>
      <x:c r="M371" s="1" t="str">
        <x:f>IF(G371=I371,"Empate",IF(G371&gt;I371,"Física","Especial"))</x:f>
        <x:v>Especial</x:v>
      </x:c>
      <x:c r="N371" s="10" t="n">
        <x:v>20</x:v>
      </x:c>
      <x:c r="O371" s="10" t="n">
        <x:v>248</x:v>
      </x:c>
      <x:c r="P371" s="10" t="n">
        <x:v>3000</x:v>
      </x:c>
      <x:c r="Q371" s="10" t="n">
        <x:v>3000</x:v>
      </x:c>
      <x:c r="R371" s="1" t="str">
        <x:v>Lilligant</x:v>
      </x:c>
      <x:c r="S371" s="1" t="n">
        <x:v>80</x:v>
      </x:c>
      <x:c r="T371" s="9" t="str">
        <x:v>https://poke.idleworld.online/pokepedia/pokemon/petilil</x:v>
      </x:c>
    </x:row>
    <x:row r="372" ht="22" customHeight="1">
      <x:c r="A372" s="1" t="n">
        <x:v>549</x:v>
      </x:c>
      <x:c r="B372" s="1" t="str">
        <x:v>Lilligant</x:v>
      </x:c>
      <x:c r="C372" s="1" t="str">
        <x:v>Planta</x:v>
      </x:c>
      <x:c r="D372" s="1" t="str"/>
      <x:c r="E372" s="1" t="str">
        <x:v>Raro</x:v>
      </x:c>
      <x:c r="F372" s="10" t="n">
        <x:v>70</x:v>
      </x:c>
      <x:c r="G372" s="10" t="n">
        <x:v>60</x:v>
      </x:c>
      <x:c r="H372" s="10" t="n">
        <x:v>75</x:v>
      </x:c>
      <x:c r="I372" s="10" t="n">
        <x:v>110</x:v>
      </x:c>
      <x:c r="J372" s="10" t="n">
        <x:v>75</x:v>
      </x:c>
      <x:c r="K372" s="10" t="n">
        <x:v>90</x:v>
      </x:c>
      <x:c r="L372" s="10" t="n">
        <x:f>SUM(F372:K372)</x:f>
        <x:v>480</x:v>
      </x:c>
      <x:c r="M372" s="1" t="str">
        <x:f>IF(G372=I372,"Empate",IF(G372&gt;I372,"Física","Especial"))</x:f>
        <x:v>Especial</x:v>
      </x:c>
      <x:c r="N372" s="10" t="n">
        <x:v>80</x:v>
      </x:c>
      <x:c r="O372" s="10" t="n">
        <x:v>3848</x:v>
      </x:c>
      <x:c r="P372" s="10" t="n">
        <x:v>18000</x:v>
      </x:c>
      <x:c r="Q372" s="10" t="n">
        <x:v>18000</x:v>
      </x:c>
      <x:c r="R372" s="1" t="str"/>
      <x:c r="S372" s="1"/>
      <x:c r="T372" s="9" t="str">
        <x:v>https://poke.idleworld.online/pokepedia/pokemon/lilligant</x:v>
      </x:c>
    </x:row>
    <x:row r="373" ht="22" customHeight="1">
      <x:c r="A373" s="1" t="n">
        <x:v>564</x:v>
      </x:c>
      <x:c r="B373" s="1" t="str">
        <x:v>Tirtouga</x:v>
      </x:c>
      <x:c r="C373" s="1" t="str">
        <x:v>Água</x:v>
      </x:c>
      <x:c r="D373" s="1" t="str">
        <x:v>Pedra</x:v>
      </x:c>
      <x:c r="E373" s="1" t="str">
        <x:v>Raro</x:v>
      </x:c>
      <x:c r="F373" s="10" t="n">
        <x:v>54</x:v>
      </x:c>
      <x:c r="G373" s="10" t="n">
        <x:v>78</x:v>
      </x:c>
      <x:c r="H373" s="10" t="n">
        <x:v>103</x:v>
      </x:c>
      <x:c r="I373" s="10" t="n">
        <x:v>53</x:v>
      </x:c>
      <x:c r="J373" s="10" t="n">
        <x:v>45</x:v>
      </x:c>
      <x:c r="K373" s="10" t="n">
        <x:v>22</x:v>
      </x:c>
      <x:c r="L373" s="10" t="n">
        <x:f>SUM(F373:K373)</x:f>
        <x:v>355</x:v>
      </x:c>
      <x:c r="M373" s="1" t="str">
        <x:f>IF(G373=I373,"Empate",IF(G373&gt;I373,"Física","Especial"))</x:f>
        <x:v>Física</x:v>
      </x:c>
      <x:c r="N373" s="10" t="n">
        <x:v>60</x:v>
      </x:c>
      <x:c r="O373" s="10" t="n">
        <x:v>2168</x:v>
      </x:c>
      <x:c r="P373" s="10" t="n">
        <x:v>8000</x:v>
      </x:c>
      <x:c r="Q373" s="10" t="n">
        <x:v>8000</x:v>
      </x:c>
      <x:c r="R373" s="1" t="str">
        <x:v>Carracosta</x:v>
      </x:c>
      <x:c r="S373" s="1" t="n">
        <x:v>100</x:v>
      </x:c>
      <x:c r="T373" s="9" t="str">
        <x:v>https://poke.idleworld.online/pokepedia/pokemon/tirtouga</x:v>
      </x:c>
    </x:row>
    <x:row r="374" ht="22" customHeight="1">
      <x:c r="A374" s="1" t="n">
        <x:v>565</x:v>
      </x:c>
      <x:c r="B374" s="1" t="str">
        <x:v>Carracosta</x:v>
      </x:c>
      <x:c r="C374" s="1" t="str">
        <x:v>Água</x:v>
      </x:c>
      <x:c r="D374" s="1" t="str">
        <x:v>Pedra</x:v>
      </x:c>
      <x:c r="E374" s="1" t="str">
        <x:v>Raro</x:v>
      </x:c>
      <x:c r="F374" s="10" t="n">
        <x:v>74</x:v>
      </x:c>
      <x:c r="G374" s="10" t="n">
        <x:v>108</x:v>
      </x:c>
      <x:c r="H374" s="10" t="n">
        <x:v>133</x:v>
      </x:c>
      <x:c r="I374" s="10" t="n">
        <x:v>83</x:v>
      </x:c>
      <x:c r="J374" s="10" t="n">
        <x:v>65</x:v>
      </x:c>
      <x:c r="K374" s="10" t="n">
        <x:v>32</x:v>
      </x:c>
      <x:c r="L374" s="10" t="n">
        <x:f>SUM(F374:K374)</x:f>
        <x:v>495</x:v>
      </x:c>
      <x:c r="M374" s="1" t="str">
        <x:f>IF(G374=I374,"Empate",IF(G374&gt;I374,"Física","Especial"))</x:f>
        <x:v>Física</x:v>
      </x:c>
      <x:c r="N374" s="10" t="n">
        <x:v>100</x:v>
      </x:c>
      <x:c r="O374" s="10" t="n">
        <x:v>6008</x:v>
      </x:c>
      <x:c r="P374" s="10" t="n">
        <x:v>18000</x:v>
      </x:c>
      <x:c r="Q374" s="10" t="n">
        <x:v>18000</x:v>
      </x:c>
      <x:c r="R374" s="1" t="str"/>
      <x:c r="S374" s="1"/>
      <x:c r="T374" s="9" t="str">
        <x:v>https://poke.idleworld.online/pokepedia/pokemon/carracosta</x:v>
      </x:c>
    </x:row>
    <x:row r="375" ht="22" customHeight="1">
      <x:c r="A375" s="1" t="n">
        <x:v>566</x:v>
      </x:c>
      <x:c r="B375" s="1" t="str">
        <x:v>Archen</x:v>
      </x:c>
      <x:c r="C375" s="1" t="str">
        <x:v>Pedra</x:v>
      </x:c>
      <x:c r="D375" s="1" t="str">
        <x:v>Voador</x:v>
      </x:c>
      <x:c r="E375" s="1" t="str">
        <x:v>Raro</x:v>
      </x:c>
      <x:c r="F375" s="10" t="n">
        <x:v>55</x:v>
      </x:c>
      <x:c r="G375" s="10" t="n">
        <x:v>112</x:v>
      </x:c>
      <x:c r="H375" s="10" t="n">
        <x:v>45</x:v>
      </x:c>
      <x:c r="I375" s="10" t="n">
        <x:v>74</x:v>
      </x:c>
      <x:c r="J375" s="10" t="n">
        <x:v>45</x:v>
      </x:c>
      <x:c r="K375" s="10" t="n">
        <x:v>70</x:v>
      </x:c>
      <x:c r="L375" s="10" t="n">
        <x:f>SUM(F375:K375)</x:f>
        <x:v>401</x:v>
      </x:c>
      <x:c r="M375" s="1" t="str">
        <x:f>IF(G375=I375,"Empate",IF(G375&gt;I375,"Física","Especial"))</x:f>
        <x:v>Física</x:v>
      </x:c>
      <x:c r="N375" s="10" t="n">
        <x:v>60</x:v>
      </x:c>
      <x:c r="O375" s="10" t="n">
        <x:v>2168</x:v>
      </x:c>
      <x:c r="P375" s="10" t="n">
        <x:v>8000</x:v>
      </x:c>
      <x:c r="Q375" s="10" t="n">
        <x:v>8000</x:v>
      </x:c>
      <x:c r="R375" s="1" t="str">
        <x:v>Archeops</x:v>
      </x:c>
      <x:c r="S375" s="1" t="n">
        <x:v>100</x:v>
      </x:c>
      <x:c r="T375" s="9" t="str">
        <x:v>https://poke.idleworld.online/pokepedia/pokemon/archen</x:v>
      </x:c>
    </x:row>
    <x:row r="376" ht="22" customHeight="1">
      <x:c r="A376" s="1" t="n">
        <x:v>567</x:v>
      </x:c>
      <x:c r="B376" s="1" t="str">
        <x:v>Archeops</x:v>
      </x:c>
      <x:c r="C376" s="1" t="str">
        <x:v>Pedra</x:v>
      </x:c>
      <x:c r="D376" s="1" t="str">
        <x:v>Voador</x:v>
      </x:c>
      <x:c r="E376" s="1" t="str">
        <x:v>Raro</x:v>
      </x:c>
      <x:c r="F376" s="10" t="n">
        <x:v>75</x:v>
      </x:c>
      <x:c r="G376" s="10" t="n">
        <x:v>140</x:v>
      </x:c>
      <x:c r="H376" s="10" t="n">
        <x:v>65</x:v>
      </x:c>
      <x:c r="I376" s="10" t="n">
        <x:v>112</x:v>
      </x:c>
      <x:c r="J376" s="10" t="n">
        <x:v>65</x:v>
      </x:c>
      <x:c r="K376" s="10" t="n">
        <x:v>110</x:v>
      </x:c>
      <x:c r="L376" s="10" t="n">
        <x:f>SUM(F376:K376)</x:f>
        <x:v>567</x:v>
      </x:c>
      <x:c r="M376" s="1" t="str">
        <x:f>IF(G376=I376,"Empate",IF(G376&gt;I376,"Física","Especial"))</x:f>
        <x:v>Física</x:v>
      </x:c>
      <x:c r="N376" s="10" t="n">
        <x:v>100</x:v>
      </x:c>
      <x:c r="O376" s="10" t="n">
        <x:v>6008</x:v>
      </x:c>
      <x:c r="P376" s="10" t="n">
        <x:v>18000</x:v>
      </x:c>
      <x:c r="Q376" s="10" t="n">
        <x:v>18000</x:v>
      </x:c>
      <x:c r="R376" s="1" t="str"/>
      <x:c r="S376" s="1"/>
      <x:c r="T376" s="9" t="str">
        <x:v>https://poke.idleworld.online/pokepedia/pokemon/archeops</x:v>
      </x:c>
    </x:row>
    <x:row r="377" ht="22" customHeight="1">
      <x:c r="A377" s="1" t="n">
        <x:v>571</x:v>
      </x:c>
      <x:c r="B377" s="1" t="str">
        <x:v>Zoroark</x:v>
      </x:c>
      <x:c r="C377" s="1" t="str">
        <x:v>Sombrio</x:v>
      </x:c>
      <x:c r="D377" s="1" t="str"/>
      <x:c r="E377" s="1" t="str">
        <x:v>Raro</x:v>
      </x:c>
      <x:c r="F377" s="10" t="n">
        <x:v>60</x:v>
      </x:c>
      <x:c r="G377" s="10" t="n">
        <x:v>105</x:v>
      </x:c>
      <x:c r="H377" s="10" t="n">
        <x:v>60</x:v>
      </x:c>
      <x:c r="I377" s="10" t="n">
        <x:v>120</x:v>
      </x:c>
      <x:c r="J377" s="10" t="n">
        <x:v>60</x:v>
      </x:c>
      <x:c r="K377" s="10" t="n">
        <x:v>105</x:v>
      </x:c>
      <x:c r="L377" s="10" t="n">
        <x:f>SUM(F377:K377)</x:f>
        <x:v>510</x:v>
      </x:c>
      <x:c r="M377" s="1" t="str">
        <x:f>IF(G377=I377,"Empate",IF(G377&gt;I377,"Física","Especial"))</x:f>
        <x:v>Especial</x:v>
      </x:c>
      <x:c r="N377" s="10" t="n">
        <x:v>100</x:v>
      </x:c>
      <x:c r="O377" s="10" t="n">
        <x:v>6008</x:v>
      </x:c>
      <x:c r="P377" s="10" t="n">
        <x:v>18000</x:v>
      </x:c>
      <x:c r="Q377" s="10" t="n">
        <x:v>18000</x:v>
      </x:c>
      <x:c r="R377" s="1" t="str"/>
      <x:c r="S377" s="1"/>
      <x:c r="T377" s="9" t="str">
        <x:v>https://poke.idleworld.online/pokepedia/pokemon/zoroark</x:v>
      </x:c>
    </x:row>
    <x:row r="378" ht="22" customHeight="1">
      <x:c r="A378" s="1" t="n">
        <x:v>599</x:v>
      </x:c>
      <x:c r="B378" s="1" t="str">
        <x:v>Klink</x:v>
      </x:c>
      <x:c r="C378" s="1" t="str">
        <x:v>Aço</x:v>
      </x:c>
      <x:c r="D378" s="1" t="str"/>
      <x:c r="E378" s="1" t="str">
        <x:v>Comum</x:v>
      </x:c>
      <x:c r="F378" s="10" t="n">
        <x:v>40</x:v>
      </x:c>
      <x:c r="G378" s="10" t="n">
        <x:v>55</x:v>
      </x:c>
      <x:c r="H378" s="10" t="n">
        <x:v>70</x:v>
      </x:c>
      <x:c r="I378" s="10" t="n">
        <x:v>45</x:v>
      </x:c>
      <x:c r="J378" s="10" t="n">
        <x:v>60</x:v>
      </x:c>
      <x:c r="K378" s="10" t="n">
        <x:v>30</x:v>
      </x:c>
      <x:c r="L378" s="10" t="n">
        <x:f>SUM(F378:K378)</x:f>
        <x:v>300</x:v>
      </x:c>
      <x:c r="M378" s="1" t="str">
        <x:f>IF(G378=I378,"Empate",IF(G378&gt;I378,"Física","Especial"))</x:f>
        <x:v>Física</x:v>
      </x:c>
      <x:c r="N378" s="10" t="n">
        <x:v>10</x:v>
      </x:c>
      <x:c r="O378" s="10" t="n">
        <x:v>68</x:v>
      </x:c>
      <x:c r="P378" s="10" t="n">
        <x:v>3000</x:v>
      </x:c>
      <x:c r="Q378" s="10" t="n">
        <x:v>3000</x:v>
      </x:c>
      <x:c r="R378" s="1" t="str">
        <x:v>Klang</x:v>
      </x:c>
      <x:c r="S378" s="1" t="n">
        <x:v>60</x:v>
      </x:c>
      <x:c r="T378" s="9" t="str">
        <x:v>https://poke.idleworld.online/pokepedia/pokemon/klink</x:v>
      </x:c>
    </x:row>
    <x:row r="379" ht="22" customHeight="1">
      <x:c r="A379" s="1" t="n">
        <x:v>600</x:v>
      </x:c>
      <x:c r="B379" s="1" t="str">
        <x:v>Klang</x:v>
      </x:c>
      <x:c r="C379" s="1" t="str">
        <x:v>Aço</x:v>
      </x:c>
      <x:c r="D379" s="1" t="str"/>
      <x:c r="E379" s="1" t="str">
        <x:v>Raro</x:v>
      </x:c>
      <x:c r="F379" s="10" t="n">
        <x:v>60</x:v>
      </x:c>
      <x:c r="G379" s="10" t="n">
        <x:v>80</x:v>
      </x:c>
      <x:c r="H379" s="10" t="n">
        <x:v>95</x:v>
      </x:c>
      <x:c r="I379" s="10" t="n">
        <x:v>70</x:v>
      </x:c>
      <x:c r="J379" s="10" t="n">
        <x:v>85</x:v>
      </x:c>
      <x:c r="K379" s="10" t="n">
        <x:v>50</x:v>
      </x:c>
      <x:c r="L379" s="10" t="n">
        <x:f>SUM(F379:K379)</x:f>
        <x:v>440</x:v>
      </x:c>
      <x:c r="M379" s="1" t="str">
        <x:f>IF(G379=I379,"Empate",IF(G379&gt;I379,"Física","Especial"))</x:f>
        <x:v>Física</x:v>
      </x:c>
      <x:c r="N379" s="10" t="n">
        <x:v>60</x:v>
      </x:c>
      <x:c r="O379" s="10" t="n">
        <x:v>2168</x:v>
      </x:c>
      <x:c r="P379" s="10" t="n">
        <x:v>12000</x:v>
      </x:c>
      <x:c r="Q379" s="10" t="n">
        <x:v>12000</x:v>
      </x:c>
      <x:c r="R379" s="1" t="str">
        <x:v>Klinklang</x:v>
      </x:c>
      <x:c r="S379" s="1" t="n">
        <x:v>80</x:v>
      </x:c>
      <x:c r="T379" s="9" t="str">
        <x:v>https://poke.idleworld.online/pokepedia/pokemon/klang</x:v>
      </x:c>
    </x:row>
    <x:row r="380" ht="22" customHeight="1">
      <x:c r="A380" s="1" t="n">
        <x:v>601</x:v>
      </x:c>
      <x:c r="B380" s="1" t="str">
        <x:v>Klinklang</x:v>
      </x:c>
      <x:c r="C380" s="1" t="str">
        <x:v>Aço</x:v>
      </x:c>
      <x:c r="D380" s="1" t="str"/>
      <x:c r="E380" s="1" t="str">
        <x:v>Raro</x:v>
      </x:c>
      <x:c r="F380" s="10" t="n">
        <x:v>60</x:v>
      </x:c>
      <x:c r="G380" s="10" t="n">
        <x:v>100</x:v>
      </x:c>
      <x:c r="H380" s="10" t="n">
        <x:v>115</x:v>
      </x:c>
      <x:c r="I380" s="10" t="n">
        <x:v>70</x:v>
      </x:c>
      <x:c r="J380" s="10" t="n">
        <x:v>85</x:v>
      </x:c>
      <x:c r="K380" s="10" t="n">
        <x:v>90</x:v>
      </x:c>
      <x:c r="L380" s="10" t="n">
        <x:f>SUM(F380:K380)</x:f>
        <x:v>520</x:v>
      </x:c>
      <x:c r="M380" s="1" t="str">
        <x:f>IF(G380=I380,"Empate",IF(G380&gt;I380,"Física","Especial"))</x:f>
        <x:v>Física</x:v>
      </x:c>
      <x:c r="N380" s="10" t="n">
        <x:v>80</x:v>
      </x:c>
      <x:c r="O380" s="10" t="n">
        <x:v>3848</x:v>
      </x:c>
      <x:c r="P380" s="10" t="n">
        <x:v>18000</x:v>
      </x:c>
      <x:c r="Q380" s="10" t="n">
        <x:v>18000</x:v>
      </x:c>
      <x:c r="R380" s="1" t="str"/>
      <x:c r="S380" s="1"/>
      <x:c r="T380" s="9" t="str">
        <x:v>https://poke.idleworld.online/pokepedia/pokemon/klinklang</x:v>
      </x:c>
    </x:row>
    <x:row r="381" ht="22" customHeight="1">
      <x:c r="A381" s="1" t="n">
        <x:v>602</x:v>
      </x:c>
      <x:c r="B381" s="1" t="str">
        <x:v>Tynamo</x:v>
      </x:c>
      <x:c r="C381" s="1" t="str">
        <x:v>Elétrico</x:v>
      </x:c>
      <x:c r="D381" s="1" t="str"/>
      <x:c r="E381" s="1" t="str">
        <x:v>Comum</x:v>
      </x:c>
      <x:c r="F381" s="10" t="n">
        <x:v>35</x:v>
      </x:c>
      <x:c r="G381" s="10" t="n">
        <x:v>55</x:v>
      </x:c>
      <x:c r="H381" s="10" t="n">
        <x:v>40</x:v>
      </x:c>
      <x:c r="I381" s="10" t="n">
        <x:v>45</x:v>
      </x:c>
      <x:c r="J381" s="10" t="n">
        <x:v>40</x:v>
      </x:c>
      <x:c r="K381" s="10" t="n">
        <x:v>60</x:v>
      </x:c>
      <x:c r="L381" s="10" t="n">
        <x:f>SUM(F381:K381)</x:f>
        <x:v>275</x:v>
      </x:c>
      <x:c r="M381" s="1" t="str">
        <x:f>IF(G381=I381,"Empate",IF(G381&gt;I381,"Física","Especial"))</x:f>
        <x:v>Física</x:v>
      </x:c>
      <x:c r="N381" s="10" t="n">
        <x:v>1</x:v>
      </x:c>
      <x:c r="O381" s="10" t="n">
        <x:v>8</x:v>
      </x:c>
      <x:c r="P381" s="10" t="n">
        <x:v>3000</x:v>
      </x:c>
      <x:c r="Q381" s="10" t="n">
        <x:v>3000</x:v>
      </x:c>
      <x:c r="R381" s="1" t="str">
        <x:v>Eelektrik</x:v>
      </x:c>
      <x:c r="S381" s="1" t="n">
        <x:v>40</x:v>
      </x:c>
      <x:c r="T381" s="9" t="str">
        <x:v>https://poke.idleworld.online/pokepedia/pokemon/tynamo</x:v>
      </x:c>
    </x:row>
    <x:row r="382" ht="22" customHeight="1">
      <x:c r="A382" s="1" t="n">
        <x:v>603</x:v>
      </x:c>
      <x:c r="B382" s="1" t="str">
        <x:v>Eelektrik</x:v>
      </x:c>
      <x:c r="C382" s="1" t="str">
        <x:v>Elétrico</x:v>
      </x:c>
      <x:c r="D382" s="1" t="str"/>
      <x:c r="E382" s="1" t="str">
        <x:v>Incomum</x:v>
      </x:c>
      <x:c r="F382" s="10" t="n">
        <x:v>65</x:v>
      </x:c>
      <x:c r="G382" s="10" t="n">
        <x:v>85</x:v>
      </x:c>
      <x:c r="H382" s="10" t="n">
        <x:v>70</x:v>
      </x:c>
      <x:c r="I382" s="10" t="n">
        <x:v>75</x:v>
      </x:c>
      <x:c r="J382" s="10" t="n">
        <x:v>70</x:v>
      </x:c>
      <x:c r="K382" s="10" t="n">
        <x:v>40</x:v>
      </x:c>
      <x:c r="L382" s="10" t="n">
        <x:f>SUM(F382:K382)</x:f>
        <x:v>405</x:v>
      </x:c>
      <x:c r="M382" s="1" t="str">
        <x:f>IF(G382=I382,"Empate",IF(G382&gt;I382,"Física","Especial"))</x:f>
        <x:v>Física</x:v>
      </x:c>
      <x:c r="N382" s="10" t="n">
        <x:v>40</x:v>
      </x:c>
      <x:c r="O382" s="10" t="n">
        <x:v>968</x:v>
      </x:c>
      <x:c r="P382" s="10" t="n">
        <x:v>8000</x:v>
      </x:c>
      <x:c r="Q382" s="10" t="n">
        <x:v>8000</x:v>
      </x:c>
      <x:c r="R382" s="1" t="str">
        <x:v>Eelektross</x:v>
      </x:c>
      <x:c r="S382" s="1" t="n">
        <x:v>80</x:v>
      </x:c>
      <x:c r="T382" s="9" t="str">
        <x:v>https://poke.idleworld.online/pokepedia/pokemon/eelektrik</x:v>
      </x:c>
    </x:row>
    <x:row r="383" ht="22" customHeight="1">
      <x:c r="A383" s="1" t="n">
        <x:v>604</x:v>
      </x:c>
      <x:c r="B383" s="1" t="str">
        <x:v>Eelektross</x:v>
      </x:c>
      <x:c r="C383" s="1" t="str">
        <x:v>Elétrico</x:v>
      </x:c>
      <x:c r="D383" s="1" t="str"/>
      <x:c r="E383" s="1" t="str">
        <x:v>Raro</x:v>
      </x:c>
      <x:c r="F383" s="10" t="n">
        <x:v>85</x:v>
      </x:c>
      <x:c r="G383" s="10" t="n">
        <x:v>115</x:v>
      </x:c>
      <x:c r="H383" s="10" t="n">
        <x:v>80</x:v>
      </x:c>
      <x:c r="I383" s="10" t="n">
        <x:v>105</x:v>
      </x:c>
      <x:c r="J383" s="10" t="n">
        <x:v>80</x:v>
      </x:c>
      <x:c r="K383" s="10" t="n">
        <x:v>50</x:v>
      </x:c>
      <x:c r="L383" s="10" t="n">
        <x:f>SUM(F383:K383)</x:f>
        <x:v>515</x:v>
      </x:c>
      <x:c r="M383" s="1" t="str">
        <x:f>IF(G383=I383,"Empate",IF(G383&gt;I383,"Física","Especial"))</x:f>
        <x:v>Física</x:v>
      </x:c>
      <x:c r="N383" s="10" t="n">
        <x:v>80</x:v>
      </x:c>
      <x:c r="O383" s="10" t="n">
        <x:v>3848</x:v>
      </x:c>
      <x:c r="P383" s="10" t="n">
        <x:v>18000</x:v>
      </x:c>
      <x:c r="Q383" s="10" t="n">
        <x:v>18000</x:v>
      </x:c>
      <x:c r="R383" s="1" t="str"/>
      <x:c r="S383" s="1"/>
      <x:c r="T383" s="9" t="str">
        <x:v>https://poke.idleworld.online/pokepedia/pokemon/eelektross</x:v>
      </x:c>
    </x:row>
    <x:row r="384" ht="22" customHeight="1">
      <x:c r="A384" s="1" t="n">
        <x:v>607</x:v>
      </x:c>
      <x:c r="B384" s="1" t="str">
        <x:v>Litwick</x:v>
      </x:c>
      <x:c r="C384" s="1" t="str">
        <x:v>Fantasma</x:v>
      </x:c>
      <x:c r="D384" s="1" t="str">
        <x:v>Fogo</x:v>
      </x:c>
      <x:c r="E384" s="1" t="str">
        <x:v>Comum</x:v>
      </x:c>
      <x:c r="F384" s="10" t="n">
        <x:v>50</x:v>
      </x:c>
      <x:c r="G384" s="10" t="n">
        <x:v>30</x:v>
      </x:c>
      <x:c r="H384" s="10" t="n">
        <x:v>55</x:v>
      </x:c>
      <x:c r="I384" s="10" t="n">
        <x:v>65</x:v>
      </x:c>
      <x:c r="J384" s="10" t="n">
        <x:v>55</x:v>
      </x:c>
      <x:c r="K384" s="10" t="n">
        <x:v>20</x:v>
      </x:c>
      <x:c r="L384" s="10" t="n">
        <x:f>SUM(F384:K384)</x:f>
        <x:v>275</x:v>
      </x:c>
      <x:c r="M384" s="1" t="str">
        <x:f>IF(G384=I384,"Empate",IF(G384&gt;I384,"Física","Especial"))</x:f>
        <x:v>Especial</x:v>
      </x:c>
      <x:c r="N384" s="10" t="n">
        <x:v>20</x:v>
      </x:c>
      <x:c r="O384" s="10" t="n">
        <x:v>248</x:v>
      </x:c>
      <x:c r="P384" s="10" t="n">
        <x:v>3000</x:v>
      </x:c>
      <x:c r="Q384" s="10" t="n">
        <x:v>3000</x:v>
      </x:c>
      <x:c r="R384" s="1" t="str">
        <x:v>Lampent</x:v>
      </x:c>
      <x:c r="S384" s="1" t="n">
        <x:v>50</x:v>
      </x:c>
      <x:c r="T384" s="9" t="str">
        <x:v>https://poke.idleworld.online/pokepedia/pokemon/litwick</x:v>
      </x:c>
    </x:row>
    <x:row r="385" ht="22" customHeight="1">
      <x:c r="A385" s="1" t="n">
        <x:v>608</x:v>
      </x:c>
      <x:c r="B385" s="1" t="str">
        <x:v>Lampent</x:v>
      </x:c>
      <x:c r="C385" s="1" t="str">
        <x:v>Fantasma</x:v>
      </x:c>
      <x:c r="D385" s="1" t="str">
        <x:v>Fogo</x:v>
      </x:c>
      <x:c r="E385" s="1" t="str">
        <x:v>Incomum</x:v>
      </x:c>
      <x:c r="F385" s="10" t="n">
        <x:v>60</x:v>
      </x:c>
      <x:c r="G385" s="10" t="n">
        <x:v>40</x:v>
      </x:c>
      <x:c r="H385" s="10" t="n">
        <x:v>60</x:v>
      </x:c>
      <x:c r="I385" s="10" t="n">
        <x:v>95</x:v>
      </x:c>
      <x:c r="J385" s="10" t="n">
        <x:v>60</x:v>
      </x:c>
      <x:c r="K385" s="10" t="n">
        <x:v>55</x:v>
      </x:c>
      <x:c r="L385" s="10" t="n">
        <x:f>SUM(F385:K385)</x:f>
        <x:v>370</x:v>
      </x:c>
      <x:c r="M385" s="1" t="str">
        <x:f>IF(G385=I385,"Empate",IF(G385&gt;I385,"Física","Especial"))</x:f>
        <x:v>Especial</x:v>
      </x:c>
      <x:c r="N385" s="10" t="n">
        <x:v>50</x:v>
      </x:c>
      <x:c r="O385" s="10" t="n">
        <x:v>1508</x:v>
      </x:c>
      <x:c r="P385" s="10" t="n">
        <x:v>10000</x:v>
      </x:c>
      <x:c r="Q385" s="10" t="n">
        <x:v>10000</x:v>
      </x:c>
      <x:c r="R385" s="1" t="str">
        <x:v>Chandelure</x:v>
      </x:c>
      <x:c r="S385" s="1" t="n">
        <x:v>80</x:v>
      </x:c>
      <x:c r="T385" s="9" t="str">
        <x:v>https://poke.idleworld.online/pokepedia/pokemon/lampent</x:v>
      </x:c>
    </x:row>
    <x:row r="386" ht="22" customHeight="1">
      <x:c r="A386" s="1" t="n">
        <x:v>609</x:v>
      </x:c>
      <x:c r="B386" s="1" t="str">
        <x:v>Chandelure</x:v>
      </x:c>
      <x:c r="C386" s="1" t="str">
        <x:v>Fantasma</x:v>
      </x:c>
      <x:c r="D386" s="1" t="str">
        <x:v>Fogo</x:v>
      </x:c>
      <x:c r="E386" s="1" t="str">
        <x:v>Raro</x:v>
      </x:c>
      <x:c r="F386" s="10" t="n">
        <x:v>60</x:v>
      </x:c>
      <x:c r="G386" s="10" t="n">
        <x:v>55</x:v>
      </x:c>
      <x:c r="H386" s="10" t="n">
        <x:v>90</x:v>
      </x:c>
      <x:c r="I386" s="10" t="n">
        <x:v>145</x:v>
      </x:c>
      <x:c r="J386" s="10" t="n">
        <x:v>90</x:v>
      </x:c>
      <x:c r="K386" s="10" t="n">
        <x:v>80</x:v>
      </x:c>
      <x:c r="L386" s="10" t="n">
        <x:f>SUM(F386:K386)</x:f>
        <x:v>520</x:v>
      </x:c>
      <x:c r="M386" s="1" t="str">
        <x:f>IF(G386=I386,"Empate",IF(G386&gt;I386,"Física","Especial"))</x:f>
        <x:v>Especial</x:v>
      </x:c>
      <x:c r="N386" s="10" t="n">
        <x:v>80</x:v>
      </x:c>
      <x:c r="O386" s="10" t="n">
        <x:v>3848</x:v>
      </x:c>
      <x:c r="P386" s="10" t="n">
        <x:v>18000</x:v>
      </x:c>
      <x:c r="Q386" s="10" t="n">
        <x:v>18000</x:v>
      </x:c>
      <x:c r="R386" s="1" t="str"/>
      <x:c r="S386" s="1"/>
      <x:c r="T386" s="9" t="str">
        <x:v>https://poke.idleworld.online/pokepedia/pokemon/chandelure</x:v>
      </x:c>
    </x:row>
    <x:row r="387" ht="22" customHeight="1">
      <x:c r="A387" s="1" t="n">
        <x:v>627</x:v>
      </x:c>
      <x:c r="B387" s="1" t="str">
        <x:v>Rufflet</x:v>
      </x:c>
      <x:c r="C387" s="1" t="str">
        <x:v>Normal</x:v>
      </x:c>
      <x:c r="D387" s="1" t="str">
        <x:v>Voador</x:v>
      </x:c>
      <x:c r="E387" s="1" t="str">
        <x:v>Incomum</x:v>
      </x:c>
      <x:c r="F387" s="10" t="n">
        <x:v>70</x:v>
      </x:c>
      <x:c r="G387" s="10" t="n">
        <x:v>83</x:v>
      </x:c>
      <x:c r="H387" s="10" t="n">
        <x:v>50</x:v>
      </x:c>
      <x:c r="I387" s="10" t="n">
        <x:v>37</x:v>
      </x:c>
      <x:c r="J387" s="10" t="n">
        <x:v>50</x:v>
      </x:c>
      <x:c r="K387" s="10" t="n">
        <x:v>60</x:v>
      </x:c>
      <x:c r="L387" s="10" t="n">
        <x:f>SUM(F387:K387)</x:f>
        <x:v>350</x:v>
      </x:c>
      <x:c r="M387" s="1" t="str">
        <x:f>IF(G387=I387,"Empate",IF(G387&gt;I387,"Física","Especial"))</x:f>
        <x:v>Física</x:v>
      </x:c>
      <x:c r="N387" s="10" t="n">
        <x:v>50</x:v>
      </x:c>
      <x:c r="O387" s="10" t="n">
        <x:v>1508</x:v>
      </x:c>
      <x:c r="P387" s="10" t="n">
        <x:v>10000</x:v>
      </x:c>
      <x:c r="Q387" s="10" t="n">
        <x:v>10000</x:v>
      </x:c>
      <x:c r="R387" s="1" t="str">
        <x:v>Braviary</x:v>
      </x:c>
      <x:c r="S387" s="1" t="n">
        <x:v>100</x:v>
      </x:c>
      <x:c r="T387" s="9" t="str">
        <x:v>https://poke.idleworld.online/pokepedia/pokemon/rufflet</x:v>
      </x:c>
    </x:row>
    <x:row r="388" ht="22" customHeight="1">
      <x:c r="A388" s="1" t="n">
        <x:v>628</x:v>
      </x:c>
      <x:c r="B388" s="1" t="str">
        <x:v>Braviary</x:v>
      </x:c>
      <x:c r="C388" s="1" t="str">
        <x:v>Normal</x:v>
      </x:c>
      <x:c r="D388" s="1" t="str">
        <x:v>Voador</x:v>
      </x:c>
      <x:c r="E388" s="1" t="str">
        <x:v>Raro</x:v>
      </x:c>
      <x:c r="F388" s="10" t="n">
        <x:v>100</x:v>
      </x:c>
      <x:c r="G388" s="10" t="n">
        <x:v>123</x:v>
      </x:c>
      <x:c r="H388" s="10" t="n">
        <x:v>75</x:v>
      </x:c>
      <x:c r="I388" s="10" t="n">
        <x:v>57</x:v>
      </x:c>
      <x:c r="J388" s="10" t="n">
        <x:v>75</x:v>
      </x:c>
      <x:c r="K388" s="10" t="n">
        <x:v>80</x:v>
      </x:c>
      <x:c r="L388" s="10" t="n">
        <x:f>SUM(F388:K388)</x:f>
        <x:v>510</x:v>
      </x:c>
      <x:c r="M388" s="1" t="str">
        <x:f>IF(G388=I388,"Empate",IF(G388&gt;I388,"Física","Especial"))</x:f>
        <x:v>Física</x:v>
      </x:c>
      <x:c r="N388" s="10" t="n">
        <x:v>100</x:v>
      </x:c>
      <x:c r="O388" s="10" t="n">
        <x:v>6008</x:v>
      </x:c>
      <x:c r="P388" s="10" t="n">
        <x:v>18000</x:v>
      </x:c>
      <x:c r="Q388" s="10" t="n">
        <x:v>18000</x:v>
      </x:c>
      <x:c r="R388" s="1" t="str"/>
      <x:c r="S388" s="1"/>
      <x:c r="T388" s="9" t="str">
        <x:v>https://poke.idleworld.online/pokepedia/pokemon/braviary</x:v>
      </x:c>
    </x:row>
    <x:row r="389" ht="22" customHeight="1">
      <x:c r="A389" s="1" t="n">
        <x:v>636</x:v>
      </x:c>
      <x:c r="B389" s="1" t="str">
        <x:v>Larvesta</x:v>
      </x:c>
      <x:c r="C389" s="1" t="str">
        <x:v>Inseto</x:v>
      </x:c>
      <x:c r="D389" s="1" t="str">
        <x:v>Fogo</x:v>
      </x:c>
      <x:c r="E389" s="1" t="str">
        <x:v>Raro</x:v>
      </x:c>
      <x:c r="F389" s="10" t="n">
        <x:v>55</x:v>
      </x:c>
      <x:c r="G389" s="10" t="n">
        <x:v>85</x:v>
      </x:c>
      <x:c r="H389" s="10" t="n">
        <x:v>55</x:v>
      </x:c>
      <x:c r="I389" s="10" t="n">
        <x:v>50</x:v>
      </x:c>
      <x:c r="J389" s="10" t="n">
        <x:v>55</x:v>
      </x:c>
      <x:c r="K389" s="10" t="n">
        <x:v>60</x:v>
      </x:c>
      <x:c r="L389" s="10" t="n">
        <x:f>SUM(F389:K389)</x:f>
        <x:v>360</x:v>
      </x:c>
      <x:c r="M389" s="1" t="str">
        <x:f>IF(G389=I389,"Empate",IF(G389&gt;I389,"Física","Especial"))</x:f>
        <x:v>Física</x:v>
      </x:c>
      <x:c r="N389" s="10" t="n">
        <x:v>80</x:v>
      </x:c>
      <x:c r="O389" s="10" t="n">
        <x:v>3848</x:v>
      </x:c>
      <x:c r="P389" s="10" t="n">
        <x:v>8000</x:v>
      </x:c>
      <x:c r="Q389" s="10" t="n">
        <x:v>8000</x:v>
      </x:c>
      <x:c r="R389" s="1" t="str">
        <x:v>Volcarona</x:v>
      </x:c>
      <x:c r="S389" s="1" t="n">
        <x:v>100</x:v>
      </x:c>
      <x:c r="T389" s="9" t="str">
        <x:v>https://poke.idleworld.online/pokepedia/pokemon/larvesta</x:v>
      </x:c>
    </x:row>
    <x:row r="390" ht="22" customHeight="1">
      <x:c r="A390" s="1" t="n">
        <x:v>637</x:v>
      </x:c>
      <x:c r="B390" s="1" t="str">
        <x:v>Volcarona</x:v>
      </x:c>
      <x:c r="C390" s="1" t="str">
        <x:v>Inseto</x:v>
      </x:c>
      <x:c r="D390" s="1" t="str">
        <x:v>Fogo</x:v>
      </x:c>
      <x:c r="E390" s="1" t="str">
        <x:v>Raro</x:v>
      </x:c>
      <x:c r="F390" s="10" t="n">
        <x:v>85</x:v>
      </x:c>
      <x:c r="G390" s="10" t="n">
        <x:v>60</x:v>
      </x:c>
      <x:c r="H390" s="10" t="n">
        <x:v>65</x:v>
      </x:c>
      <x:c r="I390" s="10" t="n">
        <x:v>135</x:v>
      </x:c>
      <x:c r="J390" s="10" t="n">
        <x:v>105</x:v>
      </x:c>
      <x:c r="K390" s="10" t="n">
        <x:v>100</x:v>
      </x:c>
      <x:c r="L390" s="10" t="n">
        <x:f>SUM(F390:K390)</x:f>
        <x:v>550</x:v>
      </x:c>
      <x:c r="M390" s="1" t="str">
        <x:f>IF(G390=I390,"Empate",IF(G390&gt;I390,"Física","Especial"))</x:f>
        <x:v>Especial</x:v>
      </x:c>
      <x:c r="N390" s="10" t="n">
        <x:v>100</x:v>
      </x:c>
      <x:c r="O390" s="10" t="n">
        <x:v>6008</x:v>
      </x:c>
      <x:c r="P390" s="10" t="n">
        <x:v>18000</x:v>
      </x:c>
      <x:c r="Q390" s="10" t="n">
        <x:v>18000</x:v>
      </x:c>
      <x:c r="R390" s="1" t="str"/>
      <x:c r="S390" s="1"/>
      <x:c r="T390" s="9" t="str">
        <x:v>https://poke.idleworld.online/pokepedia/pokemon/volcarona</x:v>
      </x:c>
    </x:row>
    <x:row r="391" ht="22" customHeight="1">
      <x:c r="A391" s="1" t="n">
        <x:v>667</x:v>
      </x:c>
      <x:c r="B391" s="1" t="str">
        <x:v>Litleo</x:v>
      </x:c>
      <x:c r="C391" s="1" t="str">
        <x:v>Fogo</x:v>
      </x:c>
      <x:c r="D391" s="1" t="str">
        <x:v>Normal</x:v>
      </x:c>
      <x:c r="E391" s="1" t="str">
        <x:v>Incomum</x:v>
      </x:c>
      <x:c r="F391" s="10" t="n">
        <x:v>62</x:v>
      </x:c>
      <x:c r="G391" s="10" t="n">
        <x:v>50</x:v>
      </x:c>
      <x:c r="H391" s="10" t="n">
        <x:v>58</x:v>
      </x:c>
      <x:c r="I391" s="10" t="n">
        <x:v>73</x:v>
      </x:c>
      <x:c r="J391" s="10" t="n">
        <x:v>54</x:v>
      </x:c>
      <x:c r="K391" s="10" t="n">
        <x:v>72</x:v>
      </x:c>
      <x:c r="L391" s="10" t="n">
        <x:f>SUM(F391:K391)</x:f>
        <x:v>369</x:v>
      </x:c>
      <x:c r="M391" s="1" t="str">
        <x:f>IF(G391=I391,"Empate",IF(G391&gt;I391,"Física","Especial"))</x:f>
        <x:v>Especial</x:v>
      </x:c>
      <x:c r="N391" s="10" t="n">
        <x:v>50</x:v>
      </x:c>
      <x:c r="O391" s="10" t="n">
        <x:v>1508</x:v>
      </x:c>
      <x:c r="P391" s="10" t="n">
        <x:v>10000</x:v>
      </x:c>
      <x:c r="Q391" s="10" t="n">
        <x:v>10000</x:v>
      </x:c>
      <x:c r="R391" s="1" t="str"/>
      <x:c r="S391" s="1"/>
      <x:c r="T391" s="9" t="str">
        <x:v>https://poke.idleworld.online/pokepedia/pokemon/litleo</x:v>
      </x:c>
    </x:row>
    <x:row r="392" ht="22" customHeight="1">
      <x:c r="A392" s="1" t="n">
        <x:v>669</x:v>
      </x:c>
      <x:c r="B392" s="1" t="str">
        <x:v>Flabebe</x:v>
      </x:c>
      <x:c r="C392" s="1" t="str">
        <x:v>Fada</x:v>
      </x:c>
      <x:c r="D392" s="1" t="str"/>
      <x:c r="E392" s="1" t="str">
        <x:v>Raro</x:v>
      </x:c>
      <x:c r="F392" s="10" t="n">
        <x:v>44</x:v>
      </x:c>
      <x:c r="G392" s="10" t="n">
        <x:v>38</x:v>
      </x:c>
      <x:c r="H392" s="10" t="n">
        <x:v>39</x:v>
      </x:c>
      <x:c r="I392" s="10" t="n">
        <x:v>61</x:v>
      </x:c>
      <x:c r="J392" s="10" t="n">
        <x:v>79</x:v>
      </x:c>
      <x:c r="K392" s="10" t="n">
        <x:v>42</x:v>
      </x:c>
      <x:c r="L392" s="10" t="n">
        <x:f>SUM(F392:K392)</x:f>
        <x:v>303</x:v>
      </x:c>
      <x:c r="M392" s="1" t="str">
        <x:f>IF(G392=I392,"Empate",IF(G392&gt;I392,"Física","Especial"))</x:f>
        <x:v>Especial</x:v>
      </x:c>
      <x:c r="N392" s="10" t="n">
        <x:v>40</x:v>
      </x:c>
      <x:c r="O392" s="10" t="n">
        <x:v>968</x:v>
      </x:c>
      <x:c r="P392" s="10" t="n">
        <x:v>3000</x:v>
      </x:c>
      <x:c r="Q392" s="10" t="n">
        <x:v>3000</x:v>
      </x:c>
      <x:c r="R392" s="1" t="str">
        <x:v>Floette</x:v>
      </x:c>
      <x:c r="S392" s="1" t="n">
        <x:v>70</x:v>
      </x:c>
      <x:c r="T392" s="9" t="str">
        <x:v>https://poke.idleworld.online/pokepedia/pokemon/flabebe</x:v>
      </x:c>
    </x:row>
    <x:row r="393" ht="22" customHeight="1">
      <x:c r="A393" s="1" t="n">
        <x:v>670</x:v>
      </x:c>
      <x:c r="B393" s="1" t="str">
        <x:v>Floette</x:v>
      </x:c>
      <x:c r="C393" s="1" t="str">
        <x:v>Fada</x:v>
      </x:c>
      <x:c r="D393" s="1" t="str"/>
      <x:c r="E393" s="1" t="str">
        <x:v>Raro</x:v>
      </x:c>
      <x:c r="F393" s="10" t="n">
        <x:v>54</x:v>
      </x:c>
      <x:c r="G393" s="10" t="n">
        <x:v>45</x:v>
      </x:c>
      <x:c r="H393" s="10" t="n">
        <x:v>47</x:v>
      </x:c>
      <x:c r="I393" s="10" t="n">
        <x:v>75</x:v>
      </x:c>
      <x:c r="J393" s="10" t="n">
        <x:v>98</x:v>
      </x:c>
      <x:c r="K393" s="10" t="n">
        <x:v>52</x:v>
      </x:c>
      <x:c r="L393" s="10" t="n">
        <x:f>SUM(F393:K393)</x:f>
        <x:v>371</x:v>
      </x:c>
      <x:c r="M393" s="1" t="str">
        <x:f>IF(G393=I393,"Empate",IF(G393&gt;I393,"Física","Especial"))</x:f>
        <x:v>Especial</x:v>
      </x:c>
      <x:c r="N393" s="10" t="n">
        <x:v>70</x:v>
      </x:c>
      <x:c r="O393" s="10" t="n">
        <x:v>2948</x:v>
      </x:c>
      <x:c r="P393" s="10" t="n">
        <x:v>8000</x:v>
      </x:c>
      <x:c r="Q393" s="10" t="n">
        <x:v>8000</x:v>
      </x:c>
      <x:c r="R393" s="1" t="str">
        <x:v>Florges</x:v>
      </x:c>
      <x:c r="S393" s="1" t="n">
        <x:v>100</x:v>
      </x:c>
      <x:c r="T393" s="9" t="str">
        <x:v>https://poke.idleworld.online/pokepedia/pokemon/floette</x:v>
      </x:c>
    </x:row>
    <x:row r="394" ht="22" customHeight="1">
      <x:c r="A394" s="1" t="n">
        <x:v>671</x:v>
      </x:c>
      <x:c r="B394" s="1" t="str">
        <x:v>Florges</x:v>
      </x:c>
      <x:c r="C394" s="1" t="str">
        <x:v>Fada</x:v>
      </x:c>
      <x:c r="D394" s="1" t="str"/>
      <x:c r="E394" s="1" t="str">
        <x:v>Raro</x:v>
      </x:c>
      <x:c r="F394" s="10" t="n">
        <x:v>78</x:v>
      </x:c>
      <x:c r="G394" s="10" t="n">
        <x:v>65</x:v>
      </x:c>
      <x:c r="H394" s="10" t="n">
        <x:v>68</x:v>
      </x:c>
      <x:c r="I394" s="10" t="n">
        <x:v>112</x:v>
      </x:c>
      <x:c r="J394" s="10" t="n">
        <x:v>154</x:v>
      </x:c>
      <x:c r="K394" s="10" t="n">
        <x:v>75</x:v>
      </x:c>
      <x:c r="L394" s="10" t="n">
        <x:f>SUM(F394:K394)</x:f>
        <x:v>552</x:v>
      </x:c>
      <x:c r="M394" s="1" t="str">
        <x:f>IF(G394=I394,"Empate",IF(G394&gt;I394,"Física","Especial"))</x:f>
        <x:v>Especial</x:v>
      </x:c>
      <x:c r="N394" s="10" t="n">
        <x:v>100</x:v>
      </x:c>
      <x:c r="O394" s="10" t="n">
        <x:v>6008</x:v>
      </x:c>
      <x:c r="P394" s="10" t="n">
        <x:v>18000</x:v>
      </x:c>
      <x:c r="Q394" s="10" t="n">
        <x:v>18000</x:v>
      </x:c>
      <x:c r="R394" s="1" t="str"/>
      <x:c r="S394" s="1"/>
      <x:c r="T394" s="9" t="str">
        <x:v>https://poke.idleworld.online/pokepedia/pokemon/florges</x:v>
      </x:c>
    </x:row>
    <x:row r="395" ht="22" customHeight="1">
      <x:c r="A395" s="1" t="n">
        <x:v>672</x:v>
      </x:c>
      <x:c r="B395" s="1" t="str">
        <x:v>Skiddo</x:v>
      </x:c>
      <x:c r="C395" s="1" t="str">
        <x:v>Planta</x:v>
      </x:c>
      <x:c r="D395" s="1" t="str"/>
      <x:c r="E395" s="1" t="str">
        <x:v>Incomum</x:v>
      </x:c>
      <x:c r="F395" s="10" t="n">
        <x:v>66</x:v>
      </x:c>
      <x:c r="G395" s="10" t="n">
        <x:v>65</x:v>
      </x:c>
      <x:c r="H395" s="10" t="n">
        <x:v>48</x:v>
      </x:c>
      <x:c r="I395" s="10" t="n">
        <x:v>62</x:v>
      </x:c>
      <x:c r="J395" s="10" t="n">
        <x:v>57</x:v>
      </x:c>
      <x:c r="K395" s="10" t="n">
        <x:v>52</x:v>
      </x:c>
      <x:c r="L395" s="10" t="n">
        <x:f>SUM(F395:K395)</x:f>
        <x:v>350</x:v>
      </x:c>
      <x:c r="M395" s="1" t="str">
        <x:f>IF(G395=I395,"Empate",IF(G395&gt;I395,"Física","Especial"))</x:f>
        <x:v>Física</x:v>
      </x:c>
      <x:c r="N395" s="10" t="n">
        <x:v>40</x:v>
      </x:c>
      <x:c r="O395" s="10" t="n">
        <x:v>968</x:v>
      </x:c>
      <x:c r="P395" s="10" t="n">
        <x:v>8000</x:v>
      </x:c>
      <x:c r="Q395" s="10" t="n">
        <x:v>8000</x:v>
      </x:c>
      <x:c r="R395" s="1" t="str">
        <x:v>Gogoat</x:v>
      </x:c>
      <x:c r="S395" s="1" t="n">
        <x:v>100</x:v>
      </x:c>
      <x:c r="T395" s="9" t="str">
        <x:v>https://poke.idleworld.online/pokepedia/pokemon/skiddo</x:v>
      </x:c>
    </x:row>
    <x:row r="396" ht="22" customHeight="1">
      <x:c r="A396" s="1" t="n">
        <x:v>673</x:v>
      </x:c>
      <x:c r="B396" s="1" t="str">
        <x:v>Gogoat</x:v>
      </x:c>
      <x:c r="C396" s="1" t="str">
        <x:v>Planta</x:v>
      </x:c>
      <x:c r="D396" s="1" t="str"/>
      <x:c r="E396" s="1" t="str">
        <x:v>Raro</x:v>
      </x:c>
      <x:c r="F396" s="10" t="n">
        <x:v>123</x:v>
      </x:c>
      <x:c r="G396" s="10" t="n">
        <x:v>100</x:v>
      </x:c>
      <x:c r="H396" s="10" t="n">
        <x:v>62</x:v>
      </x:c>
      <x:c r="I396" s="10" t="n">
        <x:v>97</x:v>
      </x:c>
      <x:c r="J396" s="10" t="n">
        <x:v>81</x:v>
      </x:c>
      <x:c r="K396" s="10" t="n">
        <x:v>68</x:v>
      </x:c>
      <x:c r="L396" s="10" t="n">
        <x:f>SUM(F396:K396)</x:f>
        <x:v>531</x:v>
      </x:c>
      <x:c r="M396" s="1" t="str">
        <x:f>IF(G396=I396,"Empate",IF(G396&gt;I396,"Física","Especial"))</x:f>
        <x:v>Física</x:v>
      </x:c>
      <x:c r="N396" s="10" t="n">
        <x:v>100</x:v>
      </x:c>
      <x:c r="O396" s="10" t="n">
        <x:v>6008</x:v>
      </x:c>
      <x:c r="P396" s="10" t="n">
        <x:v>18000</x:v>
      </x:c>
      <x:c r="Q396" s="10" t="n">
        <x:v>18000</x:v>
      </x:c>
      <x:c r="R396" s="1" t="str"/>
      <x:c r="S396" s="1"/>
      <x:c r="T396" s="9" t="str">
        <x:v>https://poke.idleworld.online/pokepedia/pokemon/gogoat</x:v>
      </x:c>
    </x:row>
    <x:row r="397" ht="22" customHeight="1">
      <x:c r="A397" s="1" t="n">
        <x:v>674</x:v>
      </x:c>
      <x:c r="B397" s="1" t="str">
        <x:v>Pancham</x:v>
      </x:c>
      <x:c r="C397" s="1" t="str">
        <x:v>Lutador</x:v>
      </x:c>
      <x:c r="D397" s="1" t="str"/>
      <x:c r="E397" s="1" t="str">
        <x:v>Raro</x:v>
      </x:c>
      <x:c r="F397" s="10" t="n">
        <x:v>67</x:v>
      </x:c>
      <x:c r="G397" s="10" t="n">
        <x:v>82</x:v>
      </x:c>
      <x:c r="H397" s="10" t="n">
        <x:v>62</x:v>
      </x:c>
      <x:c r="I397" s="10" t="n">
        <x:v>46</x:v>
      </x:c>
      <x:c r="J397" s="10" t="n">
        <x:v>48</x:v>
      </x:c>
      <x:c r="K397" s="10" t="n">
        <x:v>43</x:v>
      </x:c>
      <x:c r="L397" s="10" t="n">
        <x:f>SUM(F397:K397)</x:f>
        <x:v>348</x:v>
      </x:c>
      <x:c r="M397" s="1" t="str">
        <x:f>IF(G397=I397,"Empate",IF(G397&gt;I397,"Física","Especial"))</x:f>
        <x:v>Física</x:v>
      </x:c>
      <x:c r="N397" s="10" t="n">
        <x:v>60</x:v>
      </x:c>
      <x:c r="O397" s="10" t="n">
        <x:v>2168</x:v>
      </x:c>
      <x:c r="P397" s="10" t="n">
        <x:v>8000</x:v>
      </x:c>
      <x:c r="Q397" s="10" t="n">
        <x:v>8000</x:v>
      </x:c>
      <x:c r="R397" s="1" t="str">
        <x:v>Pangoro</x:v>
      </x:c>
      <x:c r="S397" s="1" t="n">
        <x:v>100</x:v>
      </x:c>
      <x:c r="T397" s="9" t="str">
        <x:v>https://poke.idleworld.online/pokepedia/pokemon/pancham</x:v>
      </x:c>
    </x:row>
    <x:row r="398" ht="22" customHeight="1">
      <x:c r="A398" s="1" t="n">
        <x:v>675</x:v>
      </x:c>
      <x:c r="B398" s="1" t="str">
        <x:v>Pangoro</x:v>
      </x:c>
      <x:c r="C398" s="1" t="str">
        <x:v>Lutador</x:v>
      </x:c>
      <x:c r="D398" s="1" t="str">
        <x:v>Sombrio</x:v>
      </x:c>
      <x:c r="E398" s="1" t="str">
        <x:v>Raro</x:v>
      </x:c>
      <x:c r="F398" s="10" t="n">
        <x:v>95</x:v>
      </x:c>
      <x:c r="G398" s="10" t="n">
        <x:v>124</x:v>
      </x:c>
      <x:c r="H398" s="10" t="n">
        <x:v>78</x:v>
      </x:c>
      <x:c r="I398" s="10" t="n">
        <x:v>69</x:v>
      </x:c>
      <x:c r="J398" s="10" t="n">
        <x:v>71</x:v>
      </x:c>
      <x:c r="K398" s="10" t="n">
        <x:v>58</x:v>
      </x:c>
      <x:c r="L398" s="10" t="n">
        <x:f>SUM(F398:K398)</x:f>
        <x:v>495</x:v>
      </x:c>
      <x:c r="M398" s="1" t="str">
        <x:f>IF(G398=I398,"Empate",IF(G398&gt;I398,"Física","Especial"))</x:f>
        <x:v>Física</x:v>
      </x:c>
      <x:c r="N398" s="10" t="n">
        <x:v>100</x:v>
      </x:c>
      <x:c r="O398" s="10" t="n">
        <x:v>6008</x:v>
      </x:c>
      <x:c r="P398" s="10" t="n">
        <x:v>18000</x:v>
      </x:c>
      <x:c r="Q398" s="10" t="n">
        <x:v>18000</x:v>
      </x:c>
      <x:c r="R398" s="1" t="str"/>
      <x:c r="S398" s="1"/>
      <x:c r="T398" s="9" t="str">
        <x:v>https://poke.idleworld.online/pokepedia/pokemon/pangoro</x:v>
      </x:c>
    </x:row>
    <x:row r="399" ht="22" customHeight="1">
      <x:c r="A399" s="1" t="n">
        <x:v>677</x:v>
      </x:c>
      <x:c r="B399" s="1" t="str">
        <x:v>Espurr</x:v>
      </x:c>
      <x:c r="C399" s="1" t="str">
        <x:v>Psíquico</x:v>
      </x:c>
      <x:c r="D399" s="1" t="str"/>
      <x:c r="E399" s="1" t="str">
        <x:v>Comum</x:v>
      </x:c>
      <x:c r="F399" s="10" t="n">
        <x:v>62</x:v>
      </x:c>
      <x:c r="G399" s="10" t="n">
        <x:v>48</x:v>
      </x:c>
      <x:c r="H399" s="10" t="n">
        <x:v>54</x:v>
      </x:c>
      <x:c r="I399" s="10" t="n">
        <x:v>63</x:v>
      </x:c>
      <x:c r="J399" s="10" t="n">
        <x:v>60</x:v>
      </x:c>
      <x:c r="K399" s="10" t="n">
        <x:v>68</x:v>
      </x:c>
      <x:c r="L399" s="10" t="n">
        <x:f>SUM(F399:K399)</x:f>
        <x:v>355</x:v>
      </x:c>
      <x:c r="M399" s="1" t="str">
        <x:f>IF(G399=I399,"Empate",IF(G399&gt;I399,"Física","Especial"))</x:f>
        <x:v>Especial</x:v>
      </x:c>
      <x:c r="N399" s="10" t="n">
        <x:v>30</x:v>
      </x:c>
      <x:c r="O399" s="10" t="n">
        <x:v>548</x:v>
      </x:c>
      <x:c r="P399" s="10" t="n">
        <x:v>4000</x:v>
      </x:c>
      <x:c r="Q399" s="10" t="n">
        <x:v>4000</x:v>
      </x:c>
      <x:c r="R399" s="1" t="str"/>
      <x:c r="S399" s="1"/>
      <x:c r="T399" s="9" t="str">
        <x:v>https://poke.idleworld.online/pokepedia/pokemon/espurr</x:v>
      </x:c>
    </x:row>
    <x:row r="400" ht="22" customHeight="1">
      <x:c r="A400" s="1" t="n">
        <x:v>681</x:v>
      </x:c>
      <x:c r="B400" s="1" t="str">
        <x:v>Aegislash</x:v>
      </x:c>
      <x:c r="C400" s="1" t="str">
        <x:v>Aço</x:v>
      </x:c>
      <x:c r="D400" s="1" t="str">
        <x:v>Fantasma</x:v>
      </x:c>
      <x:c r="E400" s="1" t="str">
        <x:v>Raro</x:v>
      </x:c>
      <x:c r="F400" s="10" t="n">
        <x:v>60</x:v>
      </x:c>
      <x:c r="G400" s="10" t="n">
        <x:v>50</x:v>
      </x:c>
      <x:c r="H400" s="10" t="n">
        <x:v>150</x:v>
      </x:c>
      <x:c r="I400" s="10" t="n">
        <x:v>50</x:v>
      </x:c>
      <x:c r="J400" s="10" t="n">
        <x:v>150</x:v>
      </x:c>
      <x:c r="K400" s="10" t="n">
        <x:v>60</x:v>
      </x:c>
      <x:c r="L400" s="10" t="n">
        <x:f>SUM(F400:K400)</x:f>
        <x:v>520</x:v>
      </x:c>
      <x:c r="M400" s="1" t="str">
        <x:f>IF(G400=I400,"Empate",IF(G400&gt;I400,"Física","Especial"))</x:f>
        <x:v>Empate</x:v>
      </x:c>
      <x:c r="N400" s="10" t="n">
        <x:v>120</x:v>
      </x:c>
      <x:c r="O400" s="10" t="n">
        <x:v>8648</x:v>
      </x:c>
      <x:c r="P400" s="10" t="n">
        <x:v>120000</x:v>
      </x:c>
      <x:c r="Q400" s="10" t="n">
        <x:v>18000</x:v>
      </x:c>
      <x:c r="R400" s="1" t="str"/>
      <x:c r="S400" s="1"/>
      <x:c r="T400" s="9" t="str">
        <x:v>https://poke.idleworld.online/pokepedia/pokemon/aegislash</x:v>
      </x:c>
    </x:row>
    <x:row r="401" ht="22" customHeight="1">
      <x:c r="A401" s="1" t="n">
        <x:v>690</x:v>
      </x:c>
      <x:c r="B401" s="1" t="str">
        <x:v>Skrelp</x:v>
      </x:c>
      <x:c r="C401" s="1" t="str">
        <x:v>Venenoso</x:v>
      </x:c>
      <x:c r="D401" s="1" t="str">
        <x:v>Água</x:v>
      </x:c>
      <x:c r="E401" s="1" t="str">
        <x:v>Raro</x:v>
      </x:c>
      <x:c r="F401" s="10" t="n">
        <x:v>50</x:v>
      </x:c>
      <x:c r="G401" s="10" t="n">
        <x:v>60</x:v>
      </x:c>
      <x:c r="H401" s="10" t="n">
        <x:v>60</x:v>
      </x:c>
      <x:c r="I401" s="10" t="n">
        <x:v>60</x:v>
      </x:c>
      <x:c r="J401" s="10" t="n">
        <x:v>60</x:v>
      </x:c>
      <x:c r="K401" s="10" t="n">
        <x:v>30</x:v>
      </x:c>
      <x:c r="L401" s="10" t="n">
        <x:f>SUM(F401:K401)</x:f>
        <x:v>320</x:v>
      </x:c>
      <x:c r="M401" s="1" t="str">
        <x:f>IF(G401=I401,"Empate",IF(G401&gt;I401,"Física","Especial"))</x:f>
        <x:v>Empate</x:v>
      </x:c>
      <x:c r="N401" s="10" t="n">
        <x:v>60</x:v>
      </x:c>
      <x:c r="O401" s="10" t="n">
        <x:v>2168</x:v>
      </x:c>
      <x:c r="P401" s="10" t="n">
        <x:v>8000</x:v>
      </x:c>
      <x:c r="Q401" s="10" t="n">
        <x:v>8000</x:v>
      </x:c>
      <x:c r="R401" s="1" t="str">
        <x:v>Dragalge</x:v>
      </x:c>
      <x:c r="S401" s="1" t="n">
        <x:v>100</x:v>
      </x:c>
      <x:c r="T401" s="9" t="str">
        <x:v>https://poke.idleworld.online/pokepedia/pokemon/skrelp</x:v>
      </x:c>
    </x:row>
    <x:row r="402" ht="22" customHeight="1">
      <x:c r="A402" s="1" t="n">
        <x:v>691</x:v>
      </x:c>
      <x:c r="B402" s="1" t="str">
        <x:v>Dragalge</x:v>
      </x:c>
      <x:c r="C402" s="1" t="str">
        <x:v>Venenoso</x:v>
      </x:c>
      <x:c r="D402" s="1" t="str">
        <x:v>Dragão</x:v>
      </x:c>
      <x:c r="E402" s="1" t="str">
        <x:v>Raro</x:v>
      </x:c>
      <x:c r="F402" s="10" t="n">
        <x:v>65</x:v>
      </x:c>
      <x:c r="G402" s="10" t="n">
        <x:v>75</x:v>
      </x:c>
      <x:c r="H402" s="10" t="n">
        <x:v>90</x:v>
      </x:c>
      <x:c r="I402" s="10" t="n">
        <x:v>97</x:v>
      </x:c>
      <x:c r="J402" s="10" t="n">
        <x:v>123</x:v>
      </x:c>
      <x:c r="K402" s="10" t="n">
        <x:v>44</x:v>
      </x:c>
      <x:c r="L402" s="10" t="n">
        <x:f>SUM(F402:K402)</x:f>
        <x:v>494</x:v>
      </x:c>
      <x:c r="M402" s="1" t="str">
        <x:f>IF(G402=I402,"Empate",IF(G402&gt;I402,"Física","Especial"))</x:f>
        <x:v>Especial</x:v>
      </x:c>
      <x:c r="N402" s="10" t="n">
        <x:v>100</x:v>
      </x:c>
      <x:c r="O402" s="10" t="n">
        <x:v>6008</x:v>
      </x:c>
      <x:c r="P402" s="10" t="n">
        <x:v>18000</x:v>
      </x:c>
      <x:c r="Q402" s="10" t="n">
        <x:v>18000</x:v>
      </x:c>
      <x:c r="R402" s="1" t="str"/>
      <x:c r="S402" s="1"/>
      <x:c r="T402" s="9" t="str">
        <x:v>https://poke.idleworld.online/pokepedia/pokemon/dragalge</x:v>
      </x:c>
    </x:row>
    <x:row r="403" ht="22" customHeight="1">
      <x:c r="A403" s="1" t="n">
        <x:v>700</x:v>
      </x:c>
      <x:c r="B403" s="1" t="str">
        <x:v>Sylveon</x:v>
      </x:c>
      <x:c r="C403" s="1" t="str">
        <x:v>Fada</x:v>
      </x:c>
      <x:c r="D403" s="1" t="str"/>
      <x:c r="E403" s="1" t="str">
        <x:v>Raro</x:v>
      </x:c>
      <x:c r="F403" s="10" t="n">
        <x:v>95</x:v>
      </x:c>
      <x:c r="G403" s="10" t="n">
        <x:v>65</x:v>
      </x:c>
      <x:c r="H403" s="10" t="n">
        <x:v>65</x:v>
      </x:c>
      <x:c r="I403" s="10" t="n">
        <x:v>110</x:v>
      </x:c>
      <x:c r="J403" s="10" t="n">
        <x:v>130</x:v>
      </x:c>
      <x:c r="K403" s="10" t="n">
        <x:v>60</x:v>
      </x:c>
      <x:c r="L403" s="10" t="n">
        <x:f>SUM(F403:K403)</x:f>
        <x:v>525</x:v>
      </x:c>
      <x:c r="M403" s="1" t="str">
        <x:f>IF(G403=I403,"Empate",IF(G403&gt;I403,"Física","Especial"))</x:f>
        <x:v>Especial</x:v>
      </x:c>
      <x:c r="N403" s="10" t="n">
        <x:v>80</x:v>
      </x:c>
      <x:c r="O403" s="10" t="n">
        <x:v>3848</x:v>
      </x:c>
      <x:c r="P403" s="10" t="n">
        <x:v>25000</x:v>
      </x:c>
      <x:c r="Q403" s="10" t="n">
        <x:v>25000</x:v>
      </x:c>
      <x:c r="R403" s="1" t="str"/>
      <x:c r="S403" s="1"/>
      <x:c r="T403" s="9" t="str">
        <x:v>https://poke.idleworld.online/pokepedia/pokemon/sylveon</x:v>
      </x:c>
    </x:row>
    <x:row r="404" ht="22" customHeight="1">
      <x:c r="A404" s="1" t="n">
        <x:v>704</x:v>
      </x:c>
      <x:c r="B404" s="1" t="str">
        <x:v>Goomy</x:v>
      </x:c>
      <x:c r="C404" s="1" t="str">
        <x:v>Dragão</x:v>
      </x:c>
      <x:c r="D404" s="1" t="str"/>
      <x:c r="E404" s="1" t="str">
        <x:v>Comum</x:v>
      </x:c>
      <x:c r="F404" s="10" t="n">
        <x:v>45</x:v>
      </x:c>
      <x:c r="G404" s="10" t="n">
        <x:v>50</x:v>
      </x:c>
      <x:c r="H404" s="10" t="n">
        <x:v>35</x:v>
      </x:c>
      <x:c r="I404" s="10" t="n">
        <x:v>55</x:v>
      </x:c>
      <x:c r="J404" s="10" t="n">
        <x:v>75</x:v>
      </x:c>
      <x:c r="K404" s="10" t="n">
        <x:v>40</x:v>
      </x:c>
      <x:c r="L404" s="10" t="n">
        <x:f>SUM(F404:K404)</x:f>
        <x:v>300</x:v>
      </x:c>
      <x:c r="M404" s="1" t="str">
        <x:f>IF(G404=I404,"Empate",IF(G404&gt;I404,"Física","Especial"))</x:f>
        <x:v>Especial</x:v>
      </x:c>
      <x:c r="N404" s="10" t="n">
        <x:v>30</x:v>
      </x:c>
      <x:c r="O404" s="10" t="n">
        <x:v>548</x:v>
      </x:c>
      <x:c r="P404" s="10" t="n">
        <x:v>4000</x:v>
      </x:c>
      <x:c r="Q404" s="10" t="n">
        <x:v>4000</x:v>
      </x:c>
      <x:c r="R404" s="1" t="str">
        <x:v>Sliggoo</x:v>
      </x:c>
      <x:c r="S404" s="1" t="n">
        <x:v>60</x:v>
      </x:c>
      <x:c r="T404" s="9" t="str">
        <x:v>https://poke.idleworld.online/pokepedia/pokemon/goomy</x:v>
      </x:c>
    </x:row>
    <x:row r="405" ht="22" customHeight="1">
      <x:c r="A405" s="1" t="n">
        <x:v>705</x:v>
      </x:c>
      <x:c r="B405" s="1" t="str">
        <x:v>Sliggoo</x:v>
      </x:c>
      <x:c r="C405" s="1" t="str">
        <x:v>Dragão</x:v>
      </x:c>
      <x:c r="D405" s="1" t="str"/>
      <x:c r="E405" s="1" t="str">
        <x:v>Raro</x:v>
      </x:c>
      <x:c r="F405" s="10" t="n">
        <x:v>68</x:v>
      </x:c>
      <x:c r="G405" s="10" t="n">
        <x:v>75</x:v>
      </x:c>
      <x:c r="H405" s="10" t="n">
        <x:v>53</x:v>
      </x:c>
      <x:c r="I405" s="10" t="n">
        <x:v>83</x:v>
      </x:c>
      <x:c r="J405" s="10" t="n">
        <x:v>113</x:v>
      </x:c>
      <x:c r="K405" s="10" t="n">
        <x:v>60</x:v>
      </x:c>
      <x:c r="L405" s="10" t="n">
        <x:f>SUM(F405:K405)</x:f>
        <x:v>452</x:v>
      </x:c>
      <x:c r="M405" s="1" t="str">
        <x:f>IF(G405=I405,"Empate",IF(G405&gt;I405,"Física","Especial"))</x:f>
        <x:v>Especial</x:v>
      </x:c>
      <x:c r="N405" s="10" t="n">
        <x:v>60</x:v>
      </x:c>
      <x:c r="O405" s="10" t="n">
        <x:v>2168</x:v>
      </x:c>
      <x:c r="P405" s="10" t="n">
        <x:v>12000</x:v>
      </x:c>
      <x:c r="Q405" s="10" t="n">
        <x:v>12000</x:v>
      </x:c>
      <x:c r="R405" s="1" t="str">
        <x:v>Goodra</x:v>
      </x:c>
      <x:c r="S405" s="1" t="n">
        <x:v>100</x:v>
      </x:c>
      <x:c r="T405" s="9" t="str">
        <x:v>https://poke.idleworld.online/pokepedia/pokemon/sliggoo</x:v>
      </x:c>
    </x:row>
    <x:row r="406" ht="22" customHeight="1">
      <x:c r="A406" s="1" t="n">
        <x:v>706</x:v>
      </x:c>
      <x:c r="B406" s="1" t="str">
        <x:v>Goodra</x:v>
      </x:c>
      <x:c r="C406" s="1" t="str">
        <x:v>Dragão</x:v>
      </x:c>
      <x:c r="D406" s="1" t="str"/>
      <x:c r="E406" s="1" t="str">
        <x:v>Raro</x:v>
      </x:c>
      <x:c r="F406" s="10" t="n">
        <x:v>90</x:v>
      </x:c>
      <x:c r="G406" s="10" t="n">
        <x:v>100</x:v>
      </x:c>
      <x:c r="H406" s="10" t="n">
        <x:v>70</x:v>
      </x:c>
      <x:c r="I406" s="10" t="n">
        <x:v>110</x:v>
      </x:c>
      <x:c r="J406" s="10" t="n">
        <x:v>150</x:v>
      </x:c>
      <x:c r="K406" s="10" t="n">
        <x:v>80</x:v>
      </x:c>
      <x:c r="L406" s="10" t="n">
        <x:f>SUM(F406:K406)</x:f>
        <x:v>600</x:v>
      </x:c>
      <x:c r="M406" s="1" t="str">
        <x:f>IF(G406=I406,"Empate",IF(G406&gt;I406,"Física","Especial"))</x:f>
        <x:v>Especial</x:v>
      </x:c>
      <x:c r="N406" s="10" t="n">
        <x:v>100</x:v>
      </x:c>
      <x:c r="O406" s="10" t="n">
        <x:v>6008</x:v>
      </x:c>
      <x:c r="P406" s="10" t="n">
        <x:v>18000</x:v>
      </x:c>
      <x:c r="Q406" s="10" t="n">
        <x:v>18000</x:v>
      </x:c>
      <x:c r="R406" s="1" t="str"/>
      <x:c r="S406" s="1"/>
      <x:c r="T406" s="9" t="str">
        <x:v>https://poke.idleworld.online/pokepedia/pokemon/goodra</x:v>
      </x:c>
    </x:row>
    <x:row r="407" ht="22" customHeight="1">
      <x:c r="A407" s="1" t="n">
        <x:v>744</x:v>
      </x:c>
      <x:c r="B407" s="1" t="str">
        <x:v>Rockruff</x:v>
      </x:c>
      <x:c r="C407" s="1" t="str">
        <x:v>Pedra</x:v>
      </x:c>
      <x:c r="D407" s="1" t="str"/>
      <x:c r="E407" s="1" t="str">
        <x:v>Comum</x:v>
      </x:c>
      <x:c r="F407" s="10" t="n">
        <x:v>45</x:v>
      </x:c>
      <x:c r="G407" s="10" t="n">
        <x:v>65</x:v>
      </x:c>
      <x:c r="H407" s="10" t="n">
        <x:v>40</x:v>
      </x:c>
      <x:c r="I407" s="10" t="n">
        <x:v>30</x:v>
      </x:c>
      <x:c r="J407" s="10" t="n">
        <x:v>40</x:v>
      </x:c>
      <x:c r="K407" s="10" t="n">
        <x:v>60</x:v>
      </x:c>
      <x:c r="L407" s="10" t="n">
        <x:f>SUM(F407:K407)</x:f>
        <x:v>280</x:v>
      </x:c>
      <x:c r="M407" s="1" t="str">
        <x:f>IF(G407=I407,"Empate",IF(G407&gt;I407,"Física","Especial"))</x:f>
        <x:v>Física</x:v>
      </x:c>
      <x:c r="N407" s="10" t="n">
        <x:v>30</x:v>
      </x:c>
      <x:c r="O407" s="10" t="n">
        <x:v>548</x:v>
      </x:c>
      <x:c r="P407" s="10" t="n">
        <x:v>4000</x:v>
      </x:c>
      <x:c r="Q407" s="10" t="n">
        <x:v>4000</x:v>
      </x:c>
      <x:c r="R407" s="1" t="str"/>
      <x:c r="S407" s="1"/>
      <x:c r="T407" s="9" t="str">
        <x:v>https://poke.idleworld.online/pokepedia/pokemon/rockruff</x:v>
      </x:c>
    </x:row>
    <x:row r="408" ht="22" customHeight="1">
      <x:c r="A408" s="1" t="n">
        <x:v>776</x:v>
      </x:c>
      <x:c r="B408" s="1" t="str">
        <x:v>Turtonator</x:v>
      </x:c>
      <x:c r="C408" s="1" t="str">
        <x:v>Fogo</x:v>
      </x:c>
      <x:c r="D408" s="1" t="str">
        <x:v>Dragão</x:v>
      </x:c>
      <x:c r="E408" s="1" t="str">
        <x:v>Raro</x:v>
      </x:c>
      <x:c r="F408" s="10" t="n">
        <x:v>60</x:v>
      </x:c>
      <x:c r="G408" s="10" t="n">
        <x:v>78</x:v>
      </x:c>
      <x:c r="H408" s="10" t="n">
        <x:v>135</x:v>
      </x:c>
      <x:c r="I408" s="10" t="n">
        <x:v>91</x:v>
      </x:c>
      <x:c r="J408" s="10" t="n">
        <x:v>85</x:v>
      </x:c>
      <x:c r="K408" s="10" t="n">
        <x:v>36</x:v>
      </x:c>
      <x:c r="L408" s="10" t="n">
        <x:f>SUM(F408:K408)</x:f>
        <x:v>485</x:v>
      </x:c>
      <x:c r="M408" s="1" t="str">
        <x:f>IF(G408=I408,"Empate",IF(G408&gt;I408,"Física","Especial"))</x:f>
        <x:v>Especial</x:v>
      </x:c>
      <x:c r="N408" s="10" t="n">
        <x:v>100</x:v>
      </x:c>
      <x:c r="O408" s="10" t="n">
        <x:v>6008</x:v>
      </x:c>
      <x:c r="P408" s="10" t="n">
        <x:v>18000</x:v>
      </x:c>
      <x:c r="Q408" s="10" t="n">
        <x:v>18000</x:v>
      </x:c>
      <x:c r="R408" s="1" t="str"/>
      <x:c r="S408" s="1"/>
      <x:c r="T408" s="9" t="str">
        <x:v>https://poke.idleworld.online/pokepedia/pokemon/turtonator</x:v>
      </x:c>
    </x:row>
    <x:row r="409" ht="22" customHeight="1">
      <x:c r="A409" s="1" t="n">
        <x:v>780</x:v>
      </x:c>
      <x:c r="B409" s="1" t="str">
        <x:v>Drampa</x:v>
      </x:c>
      <x:c r="C409" s="1" t="str">
        <x:v>Normal</x:v>
      </x:c>
      <x:c r="D409" s="1" t="str">
        <x:v>Dragão</x:v>
      </x:c>
      <x:c r="E409" s="1" t="str">
        <x:v>Raro</x:v>
      </x:c>
      <x:c r="F409" s="10" t="n">
        <x:v>78</x:v>
      </x:c>
      <x:c r="G409" s="10" t="n">
        <x:v>60</x:v>
      </x:c>
      <x:c r="H409" s="10" t="n">
        <x:v>85</x:v>
      </x:c>
      <x:c r="I409" s="10" t="n">
        <x:v>135</x:v>
      </x:c>
      <x:c r="J409" s="10" t="n">
        <x:v>91</x:v>
      </x:c>
      <x:c r="K409" s="10" t="n">
        <x:v>36</x:v>
      </x:c>
      <x:c r="L409" s="10" t="n">
        <x:f>SUM(F409:K409)</x:f>
        <x:v>485</x:v>
      </x:c>
      <x:c r="M409" s="1" t="str">
        <x:f>IF(G409=I409,"Empate",IF(G409&gt;I409,"Física","Especial"))</x:f>
        <x:v>Especial</x:v>
      </x:c>
      <x:c r="N409" s="10" t="n">
        <x:v>100</x:v>
      </x:c>
      <x:c r="O409" s="10" t="n">
        <x:v>6008</x:v>
      </x:c>
      <x:c r="P409" s="10" t="n">
        <x:v>18000</x:v>
      </x:c>
      <x:c r="Q409" s="10" t="n">
        <x:v>18000</x:v>
      </x:c>
      <x:c r="R409" s="1" t="str"/>
      <x:c r="S409" s="1"/>
      <x:c r="T409" s="9" t="str">
        <x:v>https://poke.idleworld.online/pokepedia/pokemon/drampa</x:v>
      </x:c>
    </x:row>
    <x:row r="410" ht="22" customHeight="1">
      <x:c r="A410" s="1" t="n">
        <x:v>842</x:v>
      </x:c>
      <x:c r="B410" s="1" t="str">
        <x:v>Appletun</x:v>
      </x:c>
      <x:c r="C410" s="1" t="str">
        <x:v>Planta</x:v>
      </x:c>
      <x:c r="D410" s="1" t="str">
        <x:v>Dragão</x:v>
      </x:c>
      <x:c r="E410" s="1" t="str">
        <x:v>Raro</x:v>
      </x:c>
      <x:c r="F410" s="10" t="n">
        <x:v>110</x:v>
      </x:c>
      <x:c r="G410" s="10" t="n">
        <x:v>85</x:v>
      </x:c>
      <x:c r="H410" s="10" t="n">
        <x:v>80</x:v>
      </x:c>
      <x:c r="I410" s="10" t="n">
        <x:v>100</x:v>
      </x:c>
      <x:c r="J410" s="10" t="n">
        <x:v>80</x:v>
      </x:c>
      <x:c r="K410" s="10" t="n">
        <x:v>30</x:v>
      </x:c>
      <x:c r="L410" s="10" t="n">
        <x:f>SUM(F410:K410)</x:f>
        <x:v>485</x:v>
      </x:c>
      <x:c r="M410" s="1" t="str">
        <x:f>IF(G410=I410,"Empate",IF(G410&gt;I410,"Física","Especial"))</x:f>
        <x:v>Especial</x:v>
      </x:c>
      <x:c r="N410" s="10" t="n">
        <x:v>80</x:v>
      </x:c>
      <x:c r="O410" s="10" t="n">
        <x:v>3848</x:v>
      </x:c>
      <x:c r="P410" s="10" t="n">
        <x:v>18000</x:v>
      </x:c>
      <x:c r="Q410" s="10" t="n">
        <x:v>18000</x:v>
      </x:c>
      <x:c r="R410" s="1" t="str"/>
      <x:c r="S410" s="1"/>
      <x:c r="T410" s="9" t="str">
        <x:v>https://poke.idleworld.online/pokepedia/pokemon/appletun</x:v>
      </x:c>
    </x:row>
    <x:row r="411" ht="22" customHeight="1">
      <x:c r="A411" s="1" t="n">
        <x:v>843</x:v>
      </x:c>
      <x:c r="B411" s="1" t="str">
        <x:v>Silicobra</x:v>
      </x:c>
      <x:c r="C411" s="1" t="str">
        <x:v>Terrestre</x:v>
      </x:c>
      <x:c r="D411" s="1" t="str"/>
      <x:c r="E411" s="1" t="str">
        <x:v>Incomum</x:v>
      </x:c>
      <x:c r="F411" s="10" t="n">
        <x:v>52</x:v>
      </x:c>
      <x:c r="G411" s="10" t="n">
        <x:v>57</x:v>
      </x:c>
      <x:c r="H411" s="10" t="n">
        <x:v>75</x:v>
      </x:c>
      <x:c r="I411" s="10" t="n">
        <x:v>35</x:v>
      </x:c>
      <x:c r="J411" s="10" t="n">
        <x:v>50</x:v>
      </x:c>
      <x:c r="K411" s="10" t="n">
        <x:v>46</x:v>
      </x:c>
      <x:c r="L411" s="10" t="n">
        <x:f>SUM(F411:K411)</x:f>
        <x:v>315</x:v>
      </x:c>
      <x:c r="M411" s="1" t="str">
        <x:f>IF(G411=I411,"Empate",IF(G411&gt;I411,"Física","Especial"))</x:f>
        <x:v>Física</x:v>
      </x:c>
      <x:c r="N411" s="10" t="n">
        <x:v>50</x:v>
      </x:c>
      <x:c r="O411" s="10" t="n">
        <x:v>1508</x:v>
      </x:c>
      <x:c r="P411" s="10" t="n">
        <x:v>10000</x:v>
      </x:c>
      <x:c r="Q411" s="10" t="n">
        <x:v>10000</x:v>
      </x:c>
      <x:c r="R411" s="1" t="str">
        <x:v>Sandaconda</x:v>
      </x:c>
      <x:c r="S411" s="1" t="n">
        <x:v>80</x:v>
      </x:c>
      <x:c r="T411" s="9" t="str">
        <x:v>https://poke.idleworld.online/pokepedia/pokemon/silicobra</x:v>
      </x:c>
    </x:row>
    <x:row r="412" ht="22" customHeight="1">
      <x:c r="A412" s="1" t="n">
        <x:v>844</x:v>
      </x:c>
      <x:c r="B412" s="1" t="str">
        <x:v>Sandaconda</x:v>
      </x:c>
      <x:c r="C412" s="1" t="str">
        <x:v>Terrestre</x:v>
      </x:c>
      <x:c r="D412" s="1" t="str"/>
      <x:c r="E412" s="1" t="str">
        <x:v>Raro</x:v>
      </x:c>
      <x:c r="F412" s="10" t="n">
        <x:v>72</x:v>
      </x:c>
      <x:c r="G412" s="10" t="n">
        <x:v>107</x:v>
      </x:c>
      <x:c r="H412" s="10" t="n">
        <x:v>125</x:v>
      </x:c>
      <x:c r="I412" s="10" t="n">
        <x:v>65</x:v>
      </x:c>
      <x:c r="J412" s="10" t="n">
        <x:v>70</x:v>
      </x:c>
      <x:c r="K412" s="10" t="n">
        <x:v>71</x:v>
      </x:c>
      <x:c r="L412" s="10" t="n">
        <x:f>SUM(F412:K412)</x:f>
        <x:v>510</x:v>
      </x:c>
      <x:c r="M412" s="1" t="str">
        <x:f>IF(G412=I412,"Empate",IF(G412&gt;I412,"Física","Especial"))</x:f>
        <x:v>Física</x:v>
      </x:c>
      <x:c r="N412" s="10" t="n">
        <x:v>80</x:v>
      </x:c>
      <x:c r="O412" s="10" t="n">
        <x:v>3848</x:v>
      </x:c>
      <x:c r="P412" s="10" t="n">
        <x:v>18000</x:v>
      </x:c>
      <x:c r="Q412" s="10" t="n">
        <x:v>18000</x:v>
      </x:c>
      <x:c r="R412" s="1" t="str"/>
      <x:c r="S412" s="1"/>
      <x:c r="T412" s="9" t="str">
        <x:v>https://poke.idleworld.online/pokepedia/pokemon/sandaconda</x:v>
      </x:c>
    </x:row>
    <x:row r="413" ht="22" customHeight="1">
      <x:c r="A413" s="1" t="n">
        <x:v>865</x:v>
      </x:c>
      <x:c r="B413" s="1" t="str">
        <x:v>Sirfetch'd</x:v>
      </x:c>
      <x:c r="C413" s="1" t="str">
        <x:v>Lutador</x:v>
      </x:c>
      <x:c r="D413" s="1" t="str"/>
      <x:c r="E413" s="1" t="str">
        <x:v>Raro</x:v>
      </x:c>
      <x:c r="F413" s="10" t="n">
        <x:v>62</x:v>
      </x:c>
      <x:c r="G413" s="10" t="n">
        <x:v>135</x:v>
      </x:c>
      <x:c r="H413" s="10" t="n">
        <x:v>95</x:v>
      </x:c>
      <x:c r="I413" s="10" t="n">
        <x:v>68</x:v>
      </x:c>
      <x:c r="J413" s="10" t="n">
        <x:v>82</x:v>
      </x:c>
      <x:c r="K413" s="10" t="n">
        <x:v>65</x:v>
      </x:c>
      <x:c r="L413" s="10" t="n">
        <x:f>SUM(F413:K413)</x:f>
        <x:v>507</x:v>
      </x:c>
      <x:c r="M413" s="1" t="str">
        <x:f>IF(G413=I413,"Empate",IF(G413&gt;I413,"Física","Especial"))</x:f>
        <x:v>Física</x:v>
      </x:c>
      <x:c r="N413" s="10" t="n">
        <x:v>100</x:v>
      </x:c>
      <x:c r="O413" s="10" t="n">
        <x:v>6008</x:v>
      </x:c>
      <x:c r="P413" s="10" t="n">
        <x:v>18000</x:v>
      </x:c>
      <x:c r="Q413" s="10" t="n">
        <x:v>18000</x:v>
      </x:c>
      <x:c r="R413" s="1" t="str"/>
      <x:c r="S413" s="1"/>
      <x:c r="T413" s="9" t="str">
        <x:v>https://poke.idleworld.online/pokepedia/pokemon/sirfetchd</x:v>
      </x:c>
    </x:row>
  </x:sheetData>
  <x:pageMargins left="0.7" right="0.7" top="0.75" bottom="0.75" header="0.3" footer="0.3"/>
  <x:tableParts count="1">
    <x:tablePart xmlns:r="http://schemas.openxmlformats.org/officeDocument/2006/relationships" r:id="R1ee6a4e79ff2433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22" hidden="0" customWidth="1"/>
    <x:col min="3" max="3" width="16" hidden="0" customWidth="1"/>
    <x:col min="4" max="4" width="2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9" hidden="0" customWidth="1"/>
    <x:col min="13" max="13" width="68" hidden="0" customWidth="1"/>
  </x:cols>
  <x:sheetData>
    <x:row r="1">
      <x:c r="A1" s="2" t="str">
        <x:v>Habilidades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3" t="str">
        <x:v>3791 golpes • força estimada = poder + Ataque (Física) ou Ataque especial (Especial); Status sem pontuação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0" customHeight="1">
      <x:c r="A4" s="8" t="str">
        <x:v>Nº</x:v>
      </x:c>
      <x:c r="B4" s="8" t="str">
        <x:v>Pokémon</x:v>
      </x:c>
      <x:c r="C4" s="8" t="str">
        <x:v>Ordem na ficha</x:v>
      </x:c>
      <x:c r="D4" s="8" t="str">
        <x:v>Habilidade</x:v>
      </x:c>
      <x:c r="E4" s="8" t="str">
        <x:v>Tipo do golpe</x:v>
      </x:c>
      <x:c r="F4" s="8" t="str">
        <x:v>Classe</x:v>
      </x:c>
      <x:c r="G4" s="8" t="str">
        <x:v>Poder</x:v>
      </x:c>
      <x:c r="H4" s="8" t="str">
        <x:v>Atributo base usado</x:v>
      </x:c>
      <x:c r="I4" s="8" t="str">
        <x:v>Força estimada</x:v>
      </x:c>
      <x:c r="J4" s="8" t="str">
        <x:v>Aprende no nível</x:v>
      </x:c>
      <x:c r="K4" s="8" t="str">
        <x:v>Recarga (s)</x:v>
      </x:c>
      <x:c r="L4" s="8" t="str">
        <x:v>MT</x:v>
      </x:c>
      <x:c r="M4" s="8" t="str">
        <x:v>Fonte</x:v>
      </x:c>
    </x:row>
    <x:row r="5" ht="22" customHeight="1">
      <x:c r="A5" s="1" t="n">
        <x:v>1</x:v>
      </x:c>
      <x:c r="B5" s="1" t="str">
        <x:v>Bulbasaur</x:v>
      </x:c>
      <x:c r="C5" s="1" t="n">
        <x:v>8</x:v>
      </x:c>
      <x:c r="D5" s="1" t="str">
        <x:v>Double-Edge</x:v>
      </x:c>
      <x:c r="E5" s="1" t="str">
        <x:v>Normal</x:v>
      </x:c>
      <x:c r="F5" s="1" t="str">
        <x:v>Física</x:v>
      </x:c>
      <x:c r="G5" s="10" t="n">
        <x:v>120</x:v>
      </x:c>
      <x:c r="H5" s="10" t="n">
        <x:f>IF(F5="Física",'Pokémon'!G5,IF(F5="Especial",'Pokémon'!I5,""))</x:f>
        <x:v>49</x:v>
      </x:c>
      <x:c r="I5" s="10" t="n">
        <x:f>IF(OR(F5="Status",G5=0),"",G5+H5)</x:f>
        <x:v>169</x:v>
      </x:c>
      <x:c r="J5" s="10" t="n">
        <x:v>27</x:v>
      </x:c>
      <x:c r="K5" s="12" t="n">
        <x:v>50</x:v>
      </x:c>
      <x:c r="L5" s="1" t="str"/>
      <x:c r="M5" s="9" t="str">
        <x:v>https://poke.idleworld.online/pokepedia/pokemon/bulbasaur</x:v>
      </x:c>
    </x:row>
    <x:row r="6" ht="22" customHeight="1">
      <x:c r="A6" s="1" t="n">
        <x:v>1</x:v>
      </x:c>
      <x:c r="B6" s="1" t="str">
        <x:v>Bulbasaur</x:v>
      </x:c>
      <x:c r="C6" s="1" t="n">
        <x:v>6</x:v>
      </x:c>
      <x:c r="D6" s="1" t="str">
        <x:v>Take Down</x:v>
      </x:c>
      <x:c r="E6" s="1" t="str">
        <x:v>Normal</x:v>
      </x:c>
      <x:c r="F6" s="1" t="str">
        <x:v>Física</x:v>
      </x:c>
      <x:c r="G6" s="10" t="n">
        <x:v>90</x:v>
      </x:c>
      <x:c r="H6" s="10" t="n">
        <x:f>IF(F6="Física",'Pokémon'!G5,IF(F6="Especial",'Pokémon'!I5,""))</x:f>
        <x:v>49</x:v>
      </x:c>
      <x:c r="I6" s="10" t="n">
        <x:f>IF(OR(F6="Status",G6=0),"",G6+H6)</x:f>
        <x:v>139</x:v>
      </x:c>
      <x:c r="J6" s="10" t="n">
        <x:v>15</x:v>
      </x:c>
      <x:c r="K6" s="12" t="n">
        <x:v>22</x:v>
      </x:c>
      <x:c r="L6" s="1" t="str"/>
      <x:c r="M6" s="9" t="str">
        <x:v>https://poke.idleworld.online/pokepedia/pokemon/bulbasaur</x:v>
      </x:c>
    </x:row>
    <x:row r="7" ht="22" customHeight="1">
      <x:c r="A7" s="1" t="n">
        <x:v>1</x:v>
      </x:c>
      <x:c r="B7" s="1" t="str">
        <x:v>Bulbasaur</x:v>
      </x:c>
      <x:c r="C7" s="1" t="n">
        <x:v>9</x:v>
      </x:c>
      <x:c r="D7" s="1" t="str">
        <x:v>Seed Bomb</x:v>
      </x:c>
      <x:c r="E7" s="1" t="str">
        <x:v>Planta</x:v>
      </x:c>
      <x:c r="F7" s="1" t="str">
        <x:v>Física</x:v>
      </x:c>
      <x:c r="G7" s="10" t="n">
        <x:v>80</x:v>
      </x:c>
      <x:c r="H7" s="10" t="n">
        <x:f>IF(F7="Física",'Pokémon'!G5,IF(F7="Especial",'Pokémon'!I5,""))</x:f>
        <x:v>49</x:v>
      </x:c>
      <x:c r="I7" s="10" t="n">
        <x:f>IF(OR(F7="Status",G7=0),"",G7+H7)</x:f>
        <x:v>129</x:v>
      </x:c>
      <x:c r="J7" s="10" t="n">
        <x:v>37</x:v>
      </x:c>
      <x:c r="K7" s="12" t="n">
        <x:v>22</x:v>
      </x:c>
      <x:c r="L7" s="1" t="str"/>
      <x:c r="M7" s="9" t="str">
        <x:v>https://poke.idleworld.online/pokepedia/pokemon/bulbasaur</x:v>
      </x:c>
    </x:row>
    <x:row r="8" ht="22" customHeight="1">
      <x:c r="A8" s="1" t="n">
        <x:v>1</x:v>
      </x:c>
      <x:c r="B8" s="1" t="str">
        <x:v>Bulbasaur</x:v>
      </x:c>
      <x:c r="C8" s="1" t="n">
        <x:v>7</x:v>
      </x:c>
      <x:c r="D8" s="1" t="str">
        <x:v>Razor Leaf</x:v>
      </x:c>
      <x:c r="E8" s="1" t="str">
        <x:v>Planta</x:v>
      </x:c>
      <x:c r="F8" s="1" t="str">
        <x:v>Física</x:v>
      </x:c>
      <x:c r="G8" s="10" t="n">
        <x:v>55</x:v>
      </x:c>
      <x:c r="H8" s="10" t="n">
        <x:f>IF(F8="Física",'Pokémon'!G5,IF(F8="Especial",'Pokémon'!I5,""))</x:f>
        <x:v>49</x:v>
      </x:c>
      <x:c r="I8" s="10" t="n">
        <x:f>IF(OR(F8="Status",G8=0),"",G8+H8)</x:f>
        <x:v>104</x:v>
      </x:c>
      <x:c r="J8" s="10" t="n">
        <x:v>19</x:v>
      </x:c>
      <x:c r="K8" s="12" t="n">
        <x:v>5</x:v>
      </x:c>
      <x:c r="L8" s="1" t="str"/>
      <x:c r="M8" s="9" t="str">
        <x:v>https://poke.idleworld.online/pokepedia/pokemon/bulbasaur</x:v>
      </x:c>
    </x:row>
    <x:row r="9" ht="22" customHeight="1">
      <x:c r="A9" s="1" t="n">
        <x:v>1</x:v>
      </x:c>
      <x:c r="B9" s="1" t="str">
        <x:v>Bulbasaur</x:v>
      </x:c>
      <x:c r="C9" s="1" t="n">
        <x:v>1</x:v>
      </x:c>
      <x:c r="D9" s="1" t="str">
        <x:v>Tackle</x:v>
      </x:c>
      <x:c r="E9" s="1" t="str">
        <x:v>Normal</x:v>
      </x:c>
      <x:c r="F9" s="1" t="str">
        <x:v>Física</x:v>
      </x:c>
      <x:c r="G9" s="10" t="n">
        <x:v>50</x:v>
      </x:c>
      <x:c r="H9" s="10" t="n">
        <x:f>IF(F9="Física",'Pokémon'!G5,IF(F9="Especial",'Pokémon'!I5,""))</x:f>
        <x:v>49</x:v>
      </x:c>
      <x:c r="I9" s="10" t="n">
        <x:f>IF(OR(F9="Status",G9=0),"",G9+H9)</x:f>
        <x:v>99</x:v>
      </x:c>
      <x:c r="J9" s="10" t="n">
        <x:v>1</x:v>
      </x:c>
      <x:c r="K9" s="12" t="n">
        <x:v>15</x:v>
      </x:c>
      <x:c r="L9" s="1" t="str"/>
      <x:c r="M9" s="9" t="str">
        <x:v>https://poke.idleworld.online/pokepedia/pokemon/bulbasaur</x:v>
      </x:c>
    </x:row>
    <x:row r="10" ht="22" customHeight="1">
      <x:c r="A10" s="1" t="n">
        <x:v>1</x:v>
      </x:c>
      <x:c r="B10" s="1" t="str">
        <x:v>Bulbasaur</x:v>
      </x:c>
      <x:c r="C10" s="1" t="n">
        <x:v>2</x:v>
      </x:c>
      <x:c r="D10" s="1" t="str">
        <x:v>Vine Whip</x:v>
      </x:c>
      <x:c r="E10" s="1" t="str">
        <x:v>Planta</x:v>
      </x:c>
      <x:c r="F10" s="1" t="str">
        <x:v>Física</x:v>
      </x:c>
      <x:c r="G10" s="10" t="n">
        <x:v>45</x:v>
      </x:c>
      <x:c r="H10" s="10" t="n">
        <x:f>IF(F10="Física",'Pokémon'!G5,IF(F10="Especial",'Pokémon'!I5,""))</x:f>
        <x:v>49</x:v>
      </x:c>
      <x:c r="I10" s="10" t="n">
        <x:f>IF(OR(F10="Status",G10=0),"",G10+H10)</x:f>
        <x:v>94</x:v>
      </x:c>
      <x:c r="J10" s="10" t="n">
        <x:v>1</x:v>
      </x:c>
      <x:c r="K10" s="12" t="n">
        <x:v>12</x:v>
      </x:c>
      <x:c r="L10" s="1" t="str"/>
      <x:c r="M10" s="9" t="str">
        <x:v>https://poke.idleworld.online/pokepedia/pokemon/bulbasaur</x:v>
      </x:c>
    </x:row>
    <x:row r="11" ht="22" customHeight="1">
      <x:c r="A11" s="1" t="n">
        <x:v>1</x:v>
      </x:c>
      <x:c r="B11" s="1" t="str">
        <x:v>Bulbasaur</x:v>
      </x:c>
      <x:c r="C11" s="1" t="n">
        <x:v>3</x:v>
      </x:c>
      <x:c r="D11" s="1" t="str">
        <x:v>Leech Seed</x:v>
      </x:c>
      <x:c r="E11" s="1" t="str">
        <x:v>Planta</x:v>
      </x:c>
      <x:c r="F11" s="1" t="str">
        <x:v>Status</x:v>
      </x:c>
      <x:c r="G11" s="10" t="n">
        <x:v>0</x:v>
      </x:c>
      <x:c r="H11" s="10" t="str">
        <x:f>IF(F11="Física",'Pokémon'!G5,IF(F11="Especial",'Pokémon'!I5,""))</x:f>
      </x:c>
      <x:c r="I11" s="10" t="str">
        <x:f>IF(OR(F11="Status",G11=0),"",G11+H11)</x:f>
      </x:c>
      <x:c r="J11" s="10" t="n">
        <x:v>7</x:v>
      </x:c>
      <x:c r="K11" s="12" t="n">
        <x:v>20</x:v>
      </x:c>
      <x:c r="L11" s="1" t="str"/>
      <x:c r="M11" s="9" t="str">
        <x:v>https://poke.idleworld.online/pokepedia/pokemon/bulbasaur</x:v>
      </x:c>
    </x:row>
    <x:row r="12" ht="22" customHeight="1">
      <x:c r="A12" s="1" t="n">
        <x:v>1</x:v>
      </x:c>
      <x:c r="B12" s="1" t="str">
        <x:v>Bulbasaur</x:v>
      </x:c>
      <x:c r="C12" s="1" t="n">
        <x:v>4</x:v>
      </x:c>
      <x:c r="D12" s="1" t="str">
        <x:v>Poison Powder</x:v>
      </x:c>
      <x:c r="E12" s="1" t="str">
        <x:v>Venenoso</x:v>
      </x:c>
      <x:c r="F12" s="1" t="str">
        <x:v>Status</x:v>
      </x:c>
      <x:c r="G12" s="10" t="n">
        <x:v>0</x:v>
      </x:c>
      <x:c r="H12" s="10" t="str">
        <x:f>IF(F12="Física",'Pokémon'!G5,IF(F12="Especial",'Pokémon'!I5,""))</x:f>
      </x:c>
      <x:c r="I12" s="10" t="str">
        <x:f>IF(OR(F12="Status",G12=0),"",G12+H12)</x:f>
      </x:c>
      <x:c r="J12" s="10" t="n">
        <x:v>13</x:v>
      </x:c>
      <x:c r="K12" s="12" t="n">
        <x:v>20</x:v>
      </x:c>
      <x:c r="L12" s="1" t="str"/>
      <x:c r="M12" s="9" t="str">
        <x:v>https://poke.idleworld.online/pokepedia/pokemon/bulbasaur</x:v>
      </x:c>
    </x:row>
    <x:row r="13" ht="22" customHeight="1">
      <x:c r="A13" s="1" t="n">
        <x:v>1</x:v>
      </x:c>
      <x:c r="B13" s="1" t="str">
        <x:v>Bulbasaur</x:v>
      </x:c>
      <x:c r="C13" s="1" t="n">
        <x:v>5</x:v>
      </x:c>
      <x:c r="D13" s="1" t="str">
        <x:v>Sleep Powder</x:v>
      </x:c>
      <x:c r="E13" s="1" t="str">
        <x:v>Planta</x:v>
      </x:c>
      <x:c r="F13" s="1" t="str">
        <x:v>Status</x:v>
      </x:c>
      <x:c r="G13" s="10" t="n">
        <x:v>0</x:v>
      </x:c>
      <x:c r="H13" s="10" t="str">
        <x:f>IF(F13="Física",'Pokémon'!G5,IF(F13="Especial",'Pokémon'!I5,""))</x:f>
      </x:c>
      <x:c r="I13" s="10" t="str">
        <x:f>IF(OR(F13="Status",G13=0),"",G13+H13)</x:f>
      </x:c>
      <x:c r="J13" s="10" t="n">
        <x:v>13</x:v>
      </x:c>
      <x:c r="K13" s="12" t="n">
        <x:v>30</x:v>
      </x:c>
      <x:c r="L13" s="1" t="str"/>
      <x:c r="M13" s="9" t="str">
        <x:v>https://poke.idleworld.online/pokepedia/pokemon/bulbasaur</x:v>
      </x:c>
    </x:row>
    <x:row r="14" ht="22" customHeight="1">
      <x:c r="A14" s="1" t="n">
        <x:v>2</x:v>
      </x:c>
      <x:c r="B14" s="1" t="str">
        <x:v>Ivysaur</x:v>
      </x:c>
      <x:c r="C14" s="1" t="n">
        <x:v>9</x:v>
      </x:c>
      <x:c r="D14" s="1" t="str">
        <x:v>Solar Beam</x:v>
      </x:c>
      <x:c r="E14" s="1" t="str">
        <x:v>Planta</x:v>
      </x:c>
      <x:c r="F14" s="1" t="str">
        <x:v>Especial</x:v>
      </x:c>
      <x:c r="G14" s="10" t="n">
        <x:v>120</x:v>
      </x:c>
      <x:c r="H14" s="10" t="n">
        <x:f>IF(F14="Física",'Pokémon'!G6,IF(F14="Especial",'Pokémon'!I6,""))</x:f>
        <x:v>80</x:v>
      </x:c>
      <x:c r="I14" s="10" t="n">
        <x:f>IF(OR(F14="Status",G14=0),"",G14+H14)</x:f>
        <x:v>200</x:v>
      </x:c>
      <x:c r="J14" s="10" t="n">
        <x:v>44</x:v>
      </x:c>
      <x:c r="K14" s="12" t="n">
        <x:v>30</x:v>
      </x:c>
      <x:c r="L14" s="1" t="str"/>
      <x:c r="M14" s="9" t="str">
        <x:v>https://poke.idleworld.online/pokepedia/pokemon/ivysaur</x:v>
      </x:c>
    </x:row>
    <x:row r="15" ht="22" customHeight="1">
      <x:c r="A15" s="1" t="n">
        <x:v>2</x:v>
      </x:c>
      <x:c r="B15" s="1" t="str">
        <x:v>Ivysaur</x:v>
      </x:c>
      <x:c r="C15" s="1" t="n">
        <x:v>8</x:v>
      </x:c>
      <x:c r="D15" s="1" t="str">
        <x:v>Double-Edge</x:v>
      </x:c>
      <x:c r="E15" s="1" t="str">
        <x:v>Normal</x:v>
      </x:c>
      <x:c r="F15" s="1" t="str">
        <x:v>Física</x:v>
      </x:c>
      <x:c r="G15" s="10" t="n">
        <x:v>120</x:v>
      </x:c>
      <x:c r="H15" s="10" t="n">
        <x:f>IF(F15="Física",'Pokémon'!G6,IF(F15="Especial",'Pokémon'!I6,""))</x:f>
        <x:v>62</x:v>
      </x:c>
      <x:c r="I15" s="10" t="n">
        <x:f>IF(OR(F15="Status",G15=0),"",G15+H15)</x:f>
        <x:v>182</x:v>
      </x:c>
      <x:c r="J15" s="10" t="n">
        <x:v>31</x:v>
      </x:c>
      <x:c r="K15" s="12" t="n">
        <x:v>50</x:v>
      </x:c>
      <x:c r="L15" s="1" t="str"/>
      <x:c r="M15" s="9" t="str">
        <x:v>https://poke.idleworld.online/pokepedia/pokemon/ivysaur</x:v>
      </x:c>
    </x:row>
    <x:row r="16" ht="22" customHeight="1">
      <x:c r="A16" s="1" t="n">
        <x:v>2</x:v>
      </x:c>
      <x:c r="B16" s="1" t="str">
        <x:v>Ivysaur</x:v>
      </x:c>
      <x:c r="C16" s="1" t="n">
        <x:v>6</x:v>
      </x:c>
      <x:c r="D16" s="1" t="str">
        <x:v>Take Down</x:v>
      </x:c>
      <x:c r="E16" s="1" t="str">
        <x:v>Normal</x:v>
      </x:c>
      <x:c r="F16" s="1" t="str">
        <x:v>Física</x:v>
      </x:c>
      <x:c r="G16" s="10" t="n">
        <x:v>90</x:v>
      </x:c>
      <x:c r="H16" s="10" t="n">
        <x:f>IF(F16="Física",'Pokémon'!G6,IF(F16="Especial",'Pokémon'!I6,""))</x:f>
        <x:v>62</x:v>
      </x:c>
      <x:c r="I16" s="10" t="n">
        <x:f>IF(OR(F16="Status",G16=0),"",G16+H16)</x:f>
        <x:v>152</x:v>
      </x:c>
      <x:c r="J16" s="10" t="n">
        <x:v>15</x:v>
      </x:c>
      <x:c r="K16" s="12" t="n">
        <x:v>22</x:v>
      </x:c>
      <x:c r="L16" s="1" t="str"/>
      <x:c r="M16" s="9" t="str">
        <x:v>https://poke.idleworld.online/pokepedia/pokemon/ivysaur</x:v>
      </x:c>
    </x:row>
    <x:row r="17" ht="22" customHeight="1">
      <x:c r="A17" s="1" t="n">
        <x:v>2</x:v>
      </x:c>
      <x:c r="B17" s="1" t="str">
        <x:v>Ivysaur</x:v>
      </x:c>
      <x:c r="C17" s="1" t="n">
        <x:v>7</x:v>
      </x:c>
      <x:c r="D17" s="1" t="str">
        <x:v>Razor Leaf</x:v>
      </x:c>
      <x:c r="E17" s="1" t="str">
        <x:v>Planta</x:v>
      </x:c>
      <x:c r="F17" s="1" t="str">
        <x:v>Física</x:v>
      </x:c>
      <x:c r="G17" s="10" t="n">
        <x:v>55</x:v>
      </x:c>
      <x:c r="H17" s="10" t="n">
        <x:f>IF(F17="Física",'Pokémon'!G6,IF(F17="Especial",'Pokémon'!I6,""))</x:f>
        <x:v>62</x:v>
      </x:c>
      <x:c r="I17" s="10" t="n">
        <x:f>IF(OR(F17="Status",G17=0),"",G17+H17)</x:f>
        <x:v>117</x:v>
      </x:c>
      <x:c r="J17" s="10" t="n">
        <x:v>20</x:v>
      </x:c>
      <x:c r="K17" s="12" t="n">
        <x:v>5</x:v>
      </x:c>
      <x:c r="L17" s="1" t="str"/>
      <x:c r="M17" s="9" t="str">
        <x:v>https://poke.idleworld.online/pokepedia/pokemon/ivysaur</x:v>
      </x:c>
    </x:row>
    <x:row r="18" ht="22" customHeight="1">
      <x:c r="A18" s="1" t="n">
        <x:v>2</x:v>
      </x:c>
      <x:c r="B18" s="1" t="str">
        <x:v>Ivysaur</x:v>
      </x:c>
      <x:c r="C18" s="1" t="n">
        <x:v>1</x:v>
      </x:c>
      <x:c r="D18" s="1" t="str">
        <x:v>Tackle</x:v>
      </x:c>
      <x:c r="E18" s="1" t="str">
        <x:v>Normal</x:v>
      </x:c>
      <x:c r="F18" s="1" t="str">
        <x:v>Física</x:v>
      </x:c>
      <x:c r="G18" s="10" t="n">
        <x:v>50</x:v>
      </x:c>
      <x:c r="H18" s="10" t="n">
        <x:f>IF(F18="Física",'Pokémon'!G6,IF(F18="Especial",'Pokémon'!I6,""))</x:f>
        <x:v>62</x:v>
      </x:c>
      <x:c r="I18" s="10" t="n">
        <x:f>IF(OR(F18="Status",G18=0),"",G18+H18)</x:f>
        <x:v>112</x:v>
      </x:c>
      <x:c r="J18" s="10" t="n">
        <x:v>1</x:v>
      </x:c>
      <x:c r="K18" s="12" t="n">
        <x:v>15</x:v>
      </x:c>
      <x:c r="L18" s="1" t="str"/>
      <x:c r="M18" s="9" t="str">
        <x:v>https://poke.idleworld.online/pokepedia/pokemon/ivysaur</x:v>
      </x:c>
    </x:row>
    <x:row r="19" ht="22" customHeight="1">
      <x:c r="A19" s="1" t="n">
        <x:v>2</x:v>
      </x:c>
      <x:c r="B19" s="1" t="str">
        <x:v>Ivysaur</x:v>
      </x:c>
      <x:c r="C19" s="1" t="n">
        <x:v>2</x:v>
      </x:c>
      <x:c r="D19" s="1" t="str">
        <x:v>Vine Whip</x:v>
      </x:c>
      <x:c r="E19" s="1" t="str">
        <x:v>Planta</x:v>
      </x:c>
      <x:c r="F19" s="1" t="str">
        <x:v>Física</x:v>
      </x:c>
      <x:c r="G19" s="10" t="n">
        <x:v>45</x:v>
      </x:c>
      <x:c r="H19" s="10" t="n">
        <x:f>IF(F19="Física",'Pokémon'!G6,IF(F19="Especial",'Pokémon'!I6,""))</x:f>
        <x:v>62</x:v>
      </x:c>
      <x:c r="I19" s="10" t="n">
        <x:f>IF(OR(F19="Status",G19=0),"",G19+H19)</x:f>
        <x:v>107</x:v>
      </x:c>
      <x:c r="J19" s="10" t="n">
        <x:v>1</x:v>
      </x:c>
      <x:c r="K19" s="12" t="n">
        <x:v>12</x:v>
      </x:c>
      <x:c r="L19" s="1" t="str"/>
      <x:c r="M19" s="9" t="str">
        <x:v>https://poke.idleworld.online/pokepedia/pokemon/ivysaur</x:v>
      </x:c>
    </x:row>
    <x:row r="20" ht="22" customHeight="1">
      <x:c r="A20" s="1" t="n">
        <x:v>2</x:v>
      </x:c>
      <x:c r="B20" s="1" t="str">
        <x:v>Ivysaur</x:v>
      </x:c>
      <x:c r="C20" s="1" t="n">
        <x:v>3</x:v>
      </x:c>
      <x:c r="D20" s="1" t="str">
        <x:v>Leech Seed</x:v>
      </x:c>
      <x:c r="E20" s="1" t="str">
        <x:v>Planta</x:v>
      </x:c>
      <x:c r="F20" s="1" t="str">
        <x:v>Status</x:v>
      </x:c>
      <x:c r="G20" s="10" t="n">
        <x:v>0</x:v>
      </x:c>
      <x:c r="H20" s="10" t="str">
        <x:f>IF(F20="Física",'Pokémon'!G6,IF(F20="Especial",'Pokémon'!I6,""))</x:f>
      </x:c>
      <x:c r="I20" s="10" t="str">
        <x:f>IF(OR(F20="Status",G20=0),"",G20+H20)</x:f>
      </x:c>
      <x:c r="J20" s="10" t="n">
        <x:v>1</x:v>
      </x:c>
      <x:c r="K20" s="12" t="n">
        <x:v>20</x:v>
      </x:c>
      <x:c r="L20" s="1" t="str"/>
      <x:c r="M20" s="9" t="str">
        <x:v>https://poke.idleworld.online/pokepedia/pokemon/ivysaur</x:v>
      </x:c>
    </x:row>
    <x:row r="21" ht="22" customHeight="1">
      <x:c r="A21" s="1" t="n">
        <x:v>2</x:v>
      </x:c>
      <x:c r="B21" s="1" t="str">
        <x:v>Ivysaur</x:v>
      </x:c>
      <x:c r="C21" s="1" t="n">
        <x:v>4</x:v>
      </x:c>
      <x:c r="D21" s="1" t="str">
        <x:v>Poison Powder</x:v>
      </x:c>
      <x:c r="E21" s="1" t="str">
        <x:v>Venenoso</x:v>
      </x:c>
      <x:c r="F21" s="1" t="str">
        <x:v>Status</x:v>
      </x:c>
      <x:c r="G21" s="10" t="n">
        <x:v>0</x:v>
      </x:c>
      <x:c r="H21" s="10" t="str">
        <x:f>IF(F21="Física",'Pokémon'!G6,IF(F21="Especial",'Pokémon'!I6,""))</x:f>
      </x:c>
      <x:c r="I21" s="10" t="str">
        <x:f>IF(OR(F21="Status",G21=0),"",G21+H21)</x:f>
      </x:c>
      <x:c r="J21" s="10" t="n">
        <x:v>13</x:v>
      </x:c>
      <x:c r="K21" s="12" t="n">
        <x:v>20</x:v>
      </x:c>
      <x:c r="L21" s="1" t="str"/>
      <x:c r="M21" s="9" t="str">
        <x:v>https://poke.idleworld.online/pokepedia/pokemon/ivysaur</x:v>
      </x:c>
    </x:row>
    <x:row r="22" ht="22" customHeight="1">
      <x:c r="A22" s="1" t="n">
        <x:v>2</x:v>
      </x:c>
      <x:c r="B22" s="1" t="str">
        <x:v>Ivysaur</x:v>
      </x:c>
      <x:c r="C22" s="1" t="n">
        <x:v>5</x:v>
      </x:c>
      <x:c r="D22" s="1" t="str">
        <x:v>Sleep Powder</x:v>
      </x:c>
      <x:c r="E22" s="1" t="str">
        <x:v>Planta</x:v>
      </x:c>
      <x:c r="F22" s="1" t="str">
        <x:v>Status</x:v>
      </x:c>
      <x:c r="G22" s="10" t="n">
        <x:v>0</x:v>
      </x:c>
      <x:c r="H22" s="10" t="str">
        <x:f>IF(F22="Física",'Pokémon'!G6,IF(F22="Especial",'Pokémon'!I6,""))</x:f>
      </x:c>
      <x:c r="I22" s="10" t="str">
        <x:f>IF(OR(F22="Status",G22=0),"",G22+H22)</x:f>
      </x:c>
      <x:c r="J22" s="10" t="n">
        <x:v>13</x:v>
      </x:c>
      <x:c r="K22" s="12" t="n">
        <x:v>30</x:v>
      </x:c>
      <x:c r="L22" s="1" t="str"/>
      <x:c r="M22" s="9" t="str">
        <x:v>https://poke.idleworld.online/pokepedia/pokemon/ivysaur</x:v>
      </x:c>
    </x:row>
    <x:row r="23" ht="22" customHeight="1">
      <x:c r="A23" s="1" t="n">
        <x:v>3</x:v>
      </x:c>
      <x:c r="B23" s="1" t="str">
        <x:v>Venusaur</x:v>
      </x:c>
      <x:c r="C23" s="1" t="n">
        <x:v>4</x:v>
      </x:c>
      <x:c r="D23" s="1" t="str">
        <x:v>Petal Bloom</x:v>
      </x:c>
      <x:c r="E23" s="1" t="str">
        <x:v>Planta</x:v>
      </x:c>
      <x:c r="F23" s="1" t="str">
        <x:v>Especial</x:v>
      </x:c>
      <x:c r="G23" s="10" t="n">
        <x:v>300</x:v>
      </x:c>
      <x:c r="H23" s="10" t="n">
        <x:f>IF(F23="Física",'Pokémon'!G7,IF(F23="Especial",'Pokémon'!I7,""))</x:f>
        <x:v>100</x:v>
      </x:c>
      <x:c r="I23" s="10" t="n">
        <x:f>IF(OR(F23="Status",G23=0),"",G23+H23)</x:f>
        <x:v>400</x:v>
      </x:c>
      <x:c r="J23" s="10" t="n">
        <x:v>1</x:v>
      </x:c>
      <x:c r="K23" s="12" t="n">
        <x:v>10</x:v>
      </x:c>
      <x:c r="L23" s="1" t="str">
        <x:v>Sim</x:v>
      </x:c>
      <x:c r="M23" s="9" t="str">
        <x:v>https://poke.idleworld.online/pokepedia/pokemon/venusaur</x:v>
      </x:c>
    </x:row>
    <x:row r="24" ht="22" customHeight="1">
      <x:c r="A24" s="1" t="n">
        <x:v>3</x:v>
      </x:c>
      <x:c r="B24" s="1" t="str">
        <x:v>Venusaur</x:v>
      </x:c>
      <x:c r="C24" s="1" t="n">
        <x:v>10</x:v>
      </x:c>
      <x:c r="D24" s="1" t="str">
        <x:v>Petal Dance</x:v>
      </x:c>
      <x:c r="E24" s="1" t="str">
        <x:v>Planta</x:v>
      </x:c>
      <x:c r="F24" s="1" t="str">
        <x:v>Especial</x:v>
      </x:c>
      <x:c r="G24" s="10" t="n">
        <x:v>120</x:v>
      </x:c>
      <x:c r="H24" s="10" t="n">
        <x:f>IF(F24="Física",'Pokémon'!G7,IF(F24="Especial",'Pokémon'!I7,""))</x:f>
        <x:v>100</x:v>
      </x:c>
      <x:c r="I24" s="10" t="n">
        <x:f>IF(OR(F24="Status",G24=0),"",G24+H24)</x:f>
        <x:v>220</x:v>
      </x:c>
      <x:c r="J24" s="10" t="n">
        <x:v>32</x:v>
      </x:c>
      <x:c r="K24" s="12" t="n">
        <x:v>50</x:v>
      </x:c>
      <x:c r="L24" s="1" t="str"/>
      <x:c r="M24" s="9" t="str">
        <x:v>https://poke.idleworld.online/pokepedia/pokemon/venusaur</x:v>
      </x:c>
    </x:row>
    <x:row r="25" ht="22" customHeight="1">
      <x:c r="A25" s="1" t="n">
        <x:v>3</x:v>
      </x:c>
      <x:c r="B25" s="1" t="str">
        <x:v>Venusaur</x:v>
      </x:c>
      <x:c r="C25" s="1" t="n">
        <x:v>12</x:v>
      </x:c>
      <x:c r="D25" s="1" t="str">
        <x:v>Solar Beam</x:v>
      </x:c>
      <x:c r="E25" s="1" t="str">
        <x:v>Planta</x:v>
      </x:c>
      <x:c r="F25" s="1" t="str">
        <x:v>Especial</x:v>
      </x:c>
      <x:c r="G25" s="10" t="n">
        <x:v>120</x:v>
      </x:c>
      <x:c r="H25" s="10" t="n">
        <x:f>IF(F25="Física",'Pokémon'!G7,IF(F25="Especial",'Pokémon'!I7,""))</x:f>
        <x:v>100</x:v>
      </x:c>
      <x:c r="I25" s="10" t="n">
        <x:f>IF(OR(F25="Status",G25=0),"",G25+H25)</x:f>
        <x:v>220</x:v>
      </x:c>
      <x:c r="J25" s="10" t="n">
        <x:v>53</x:v>
      </x:c>
      <x:c r="K25" s="12" t="n">
        <x:v>30</x:v>
      </x:c>
      <x:c r="L25" s="1" t="str"/>
      <x:c r="M25" s="9" t="str">
        <x:v>https://poke.idleworld.online/pokepedia/pokemon/venusaur</x:v>
      </x:c>
    </x:row>
    <x:row r="26" ht="22" customHeight="1">
      <x:c r="A26" s="1" t="n">
        <x:v>3</x:v>
      </x:c>
      <x:c r="B26" s="1" t="str">
        <x:v>Venusaur</x:v>
      </x:c>
      <x:c r="C26" s="1" t="n">
        <x:v>9</x:v>
      </x:c>
      <x:c r="D26" s="1" t="str">
        <x:v>Double-Edge</x:v>
      </x:c>
      <x:c r="E26" s="1" t="str">
        <x:v>Normal</x:v>
      </x:c>
      <x:c r="F26" s="1" t="str">
        <x:v>Física</x:v>
      </x:c>
      <x:c r="G26" s="10" t="n">
        <x:v>120</x:v>
      </x:c>
      <x:c r="H26" s="10" t="n">
        <x:f>IF(F26="Física",'Pokémon'!G7,IF(F26="Especial",'Pokémon'!I7,""))</x:f>
        <x:v>82</x:v>
      </x:c>
      <x:c r="I26" s="10" t="n">
        <x:f>IF(OR(F26="Status",G26=0),"",G26+H26)</x:f>
        <x:v>202</x:v>
      </x:c>
      <x:c r="J26" s="10" t="n">
        <x:v>31</x:v>
      </x:c>
      <x:c r="K26" s="12" t="n">
        <x:v>50</x:v>
      </x:c>
      <x:c r="L26" s="1" t="str"/>
      <x:c r="M26" s="9" t="str">
        <x:v>https://poke.idleworld.online/pokepedia/pokemon/venusaur</x:v>
      </x:c>
    </x:row>
    <x:row r="27" ht="22" customHeight="1">
      <x:c r="A27" s="1" t="n">
        <x:v>3</x:v>
      </x:c>
      <x:c r="B27" s="1" t="str">
        <x:v>Venusaur</x:v>
      </x:c>
      <x:c r="C27" s="1" t="n">
        <x:v>7</x:v>
      </x:c>
      <x:c r="D27" s="1" t="str">
        <x:v>Take Down</x:v>
      </x:c>
      <x:c r="E27" s="1" t="str">
        <x:v>Normal</x:v>
      </x:c>
      <x:c r="F27" s="1" t="str">
        <x:v>Física</x:v>
      </x:c>
      <x:c r="G27" s="10" t="n">
        <x:v>90</x:v>
      </x:c>
      <x:c r="H27" s="10" t="n">
        <x:f>IF(F27="Física",'Pokémon'!G7,IF(F27="Especial",'Pokémon'!I7,""))</x:f>
        <x:v>82</x:v>
      </x:c>
      <x:c r="I27" s="10" t="n">
        <x:f>IF(OR(F27="Status",G27=0),"",G27+H27)</x:f>
        <x:v>172</x:v>
      </x:c>
      <x:c r="J27" s="10" t="n">
        <x:v>15</x:v>
      </x:c>
      <x:c r="K27" s="12" t="n">
        <x:v>22</x:v>
      </x:c>
      <x:c r="L27" s="1" t="str"/>
      <x:c r="M27" s="9" t="str">
        <x:v>https://poke.idleworld.online/pokepedia/pokemon/venusaur</x:v>
      </x:c>
    </x:row>
    <x:row r="28" ht="22" customHeight="1">
      <x:c r="A28" s="1" t="n">
        <x:v>3</x:v>
      </x:c>
      <x:c r="B28" s="1" t="str">
        <x:v>Venusaur</x:v>
      </x:c>
      <x:c r="C28" s="1" t="n">
        <x:v>11</x:v>
      </x:c>
      <x:c r="D28" s="1" t="str">
        <x:v>Petal Blizzard</x:v>
      </x:c>
      <x:c r="E28" s="1" t="str">
        <x:v>Planta</x:v>
      </x:c>
      <x:c r="F28" s="1" t="str">
        <x:v>Física</x:v>
      </x:c>
      <x:c r="G28" s="10" t="n">
        <x:v>90</x:v>
      </x:c>
      <x:c r="H28" s="10" t="n">
        <x:f>IF(F28="Física",'Pokémon'!G7,IF(F28="Especial",'Pokémon'!I7,""))</x:f>
        <x:v>82</x:v>
      </x:c>
      <x:c r="I28" s="10" t="n">
        <x:f>IF(OR(F28="Status",G28=0),"",G28+H28)</x:f>
        <x:v>172</x:v>
      </x:c>
      <x:c r="J28" s="10" t="n">
        <x:v>50</x:v>
      </x:c>
      <x:c r="K28" s="12" t="n">
        <x:v>70</x:v>
      </x:c>
      <x:c r="L28" s="1" t="str"/>
      <x:c r="M28" s="9" t="str">
        <x:v>https://poke.idleworld.online/pokepedia/pokemon/venusaur</x:v>
      </x:c>
    </x:row>
    <x:row r="29" ht="22" customHeight="1">
      <x:c r="A29" s="1" t="n">
        <x:v>3</x:v>
      </x:c>
      <x:c r="B29" s="1" t="str">
        <x:v>Venusaur</x:v>
      </x:c>
      <x:c r="C29" s="1" t="n">
        <x:v>8</x:v>
      </x:c>
      <x:c r="D29" s="1" t="str">
        <x:v>Razor Leaf</x:v>
      </x:c>
      <x:c r="E29" s="1" t="str">
        <x:v>Planta</x:v>
      </x:c>
      <x:c r="F29" s="1" t="str">
        <x:v>Física</x:v>
      </x:c>
      <x:c r="G29" s="10" t="n">
        <x:v>55</x:v>
      </x:c>
      <x:c r="H29" s="10" t="n">
        <x:f>IF(F29="Física",'Pokémon'!G7,IF(F29="Especial",'Pokémon'!I7,""))</x:f>
        <x:v>82</x:v>
      </x:c>
      <x:c r="I29" s="10" t="n">
        <x:f>IF(OR(F29="Status",G29=0),"",G29+H29)</x:f>
        <x:v>137</x:v>
      </x:c>
      <x:c r="J29" s="10" t="n">
        <x:v>20</x:v>
      </x:c>
      <x:c r="K29" s="12" t="n">
        <x:v>5</x:v>
      </x:c>
      <x:c r="L29" s="1" t="str"/>
      <x:c r="M29" s="9" t="str">
        <x:v>https://poke.idleworld.online/pokepedia/pokemon/venusaur</x:v>
      </x:c>
    </x:row>
    <x:row r="30" ht="22" customHeight="1">
      <x:c r="A30" s="1" t="n">
        <x:v>3</x:v>
      </x:c>
      <x:c r="B30" s="1" t="str">
        <x:v>Venusaur</x:v>
      </x:c>
      <x:c r="C30" s="1" t="n">
        <x:v>1</x:v>
      </x:c>
      <x:c r="D30" s="1" t="str">
        <x:v>Tackle</x:v>
      </x:c>
      <x:c r="E30" s="1" t="str">
        <x:v>Normal</x:v>
      </x:c>
      <x:c r="F30" s="1" t="str">
        <x:v>Física</x:v>
      </x:c>
      <x:c r="G30" s="10" t="n">
        <x:v>50</x:v>
      </x:c>
      <x:c r="H30" s="10" t="n">
        <x:f>IF(F30="Física",'Pokémon'!G7,IF(F30="Especial",'Pokémon'!I7,""))</x:f>
        <x:v>82</x:v>
      </x:c>
      <x:c r="I30" s="10" t="n">
        <x:f>IF(OR(F30="Status",G30=0),"",G30+H30)</x:f>
        <x:v>132</x:v>
      </x:c>
      <x:c r="J30" s="10" t="n">
        <x:v>1</x:v>
      </x:c>
      <x:c r="K30" s="12" t="n">
        <x:v>15</x:v>
      </x:c>
      <x:c r="L30" s="1" t="str"/>
      <x:c r="M30" s="9" t="str">
        <x:v>https://poke.idleworld.online/pokepedia/pokemon/venusaur</x:v>
      </x:c>
    </x:row>
    <x:row r="31" ht="22" customHeight="1">
      <x:c r="A31" s="1" t="n">
        <x:v>3</x:v>
      </x:c>
      <x:c r="B31" s="1" t="str">
        <x:v>Venusaur</x:v>
      </x:c>
      <x:c r="C31" s="1" t="n">
        <x:v>2</x:v>
      </x:c>
      <x:c r="D31" s="1" t="str">
        <x:v>Vine Whip</x:v>
      </x:c>
      <x:c r="E31" s="1" t="str">
        <x:v>Planta</x:v>
      </x:c>
      <x:c r="F31" s="1" t="str">
        <x:v>Física</x:v>
      </x:c>
      <x:c r="G31" s="10" t="n">
        <x:v>45</x:v>
      </x:c>
      <x:c r="H31" s="10" t="n">
        <x:f>IF(F31="Física",'Pokémon'!G7,IF(F31="Especial",'Pokémon'!I7,""))</x:f>
        <x:v>82</x:v>
      </x:c>
      <x:c r="I31" s="10" t="n">
        <x:f>IF(OR(F31="Status",G31=0),"",G31+H31)</x:f>
        <x:v>127</x:v>
      </x:c>
      <x:c r="J31" s="10" t="n">
        <x:v>1</x:v>
      </x:c>
      <x:c r="K31" s="12" t="n">
        <x:v>12</x:v>
      </x:c>
      <x:c r="L31" s="1" t="str"/>
      <x:c r="M31" s="9" t="str">
        <x:v>https://poke.idleworld.online/pokepedia/pokemon/venusaur</x:v>
      </x:c>
    </x:row>
    <x:row r="32" ht="22" customHeight="1">
      <x:c r="A32" s="1" t="n">
        <x:v>3</x:v>
      </x:c>
      <x:c r="B32" s="1" t="str">
        <x:v>Venusaur</x:v>
      </x:c>
      <x:c r="C32" s="1" t="n">
        <x:v>3</x:v>
      </x:c>
      <x:c r="D32" s="1" t="str">
        <x:v>Leech Seed</x:v>
      </x:c>
      <x:c r="E32" s="1" t="str">
        <x:v>Planta</x:v>
      </x:c>
      <x:c r="F32" s="1" t="str">
        <x:v>Status</x:v>
      </x:c>
      <x:c r="G32" s="10" t="n">
        <x:v>0</x:v>
      </x:c>
      <x:c r="H32" s="10" t="str">
        <x:f>IF(F32="Física",'Pokémon'!G7,IF(F32="Especial",'Pokémon'!I7,""))</x:f>
      </x:c>
      <x:c r="I32" s="10" t="str">
        <x:f>IF(OR(F32="Status",G32=0),"",G32+H32)</x:f>
      </x:c>
      <x:c r="J32" s="10" t="n">
        <x:v>1</x:v>
      </x:c>
      <x:c r="K32" s="12" t="n">
        <x:v>20</x:v>
      </x:c>
      <x:c r="L32" s="1" t="str"/>
      <x:c r="M32" s="9" t="str">
        <x:v>https://poke.idleworld.online/pokepedia/pokemon/venusaur</x:v>
      </x:c>
    </x:row>
    <x:row r="33" ht="22" customHeight="1">
      <x:c r="A33" s="1" t="n">
        <x:v>3</x:v>
      </x:c>
      <x:c r="B33" s="1" t="str">
        <x:v>Venusaur</x:v>
      </x:c>
      <x:c r="C33" s="1" t="n">
        <x:v>5</x:v>
      </x:c>
      <x:c r="D33" s="1" t="str">
        <x:v>Poison Powder</x:v>
      </x:c>
      <x:c r="E33" s="1" t="str">
        <x:v>Venenoso</x:v>
      </x:c>
      <x:c r="F33" s="1" t="str">
        <x:v>Status</x:v>
      </x:c>
      <x:c r="G33" s="10" t="n">
        <x:v>0</x:v>
      </x:c>
      <x:c r="H33" s="10" t="str">
        <x:f>IF(F33="Física",'Pokémon'!G7,IF(F33="Especial",'Pokémon'!I7,""))</x:f>
      </x:c>
      <x:c r="I33" s="10" t="str">
        <x:f>IF(OR(F33="Status",G33=0),"",G33+H33)</x:f>
      </x:c>
      <x:c r="J33" s="10" t="n">
        <x:v>13</x:v>
      </x:c>
      <x:c r="K33" s="12" t="n">
        <x:v>20</x:v>
      </x:c>
      <x:c r="L33" s="1" t="str"/>
      <x:c r="M33" s="9" t="str">
        <x:v>https://poke.idleworld.online/pokepedia/pokemon/venusaur</x:v>
      </x:c>
    </x:row>
    <x:row r="34" ht="22" customHeight="1">
      <x:c r="A34" s="1" t="n">
        <x:v>3</x:v>
      </x:c>
      <x:c r="B34" s="1" t="str">
        <x:v>Venusaur</x:v>
      </x:c>
      <x:c r="C34" s="1" t="n">
        <x:v>6</x:v>
      </x:c>
      <x:c r="D34" s="1" t="str">
        <x:v>Sleep Powder</x:v>
      </x:c>
      <x:c r="E34" s="1" t="str">
        <x:v>Planta</x:v>
      </x:c>
      <x:c r="F34" s="1" t="str">
        <x:v>Status</x:v>
      </x:c>
      <x:c r="G34" s="10" t="n">
        <x:v>0</x:v>
      </x:c>
      <x:c r="H34" s="10" t="str">
        <x:f>IF(F34="Física",'Pokémon'!G7,IF(F34="Especial",'Pokémon'!I7,""))</x:f>
      </x:c>
      <x:c r="I34" s="10" t="str">
        <x:f>IF(OR(F34="Status",G34=0),"",G34+H34)</x:f>
      </x:c>
      <x:c r="J34" s="10" t="n">
        <x:v>13</x:v>
      </x:c>
      <x:c r="K34" s="12" t="n">
        <x:v>30</x:v>
      </x:c>
      <x:c r="L34" s="1" t="str"/>
      <x:c r="M34" s="9" t="str">
        <x:v>https://poke.idleworld.online/pokepedia/pokemon/venusaur</x:v>
      </x:c>
    </x:row>
    <x:row r="35" ht="22" customHeight="1">
      <x:c r="A35" s="1" t="n">
        <x:v>4</x:v>
      </x:c>
      <x:c r="B35" s="1" t="str">
        <x:v>Charmander</x:v>
      </x:c>
      <x:c r="C35" s="1" t="n">
        <x:v>8</x:v>
      </x:c>
      <x:c r="D35" s="1" t="str">
        <x:v>Inferno</x:v>
      </x:c>
      <x:c r="E35" s="1" t="str">
        <x:v>Fogo</x:v>
      </x:c>
      <x:c r="F35" s="1" t="str">
        <x:v>Especial</x:v>
      </x:c>
      <x:c r="G35" s="10" t="n">
        <x:v>100</x:v>
      </x:c>
      <x:c r="H35" s="10" t="n">
        <x:f>IF(F35="Física",'Pokémon'!G8,IF(F35="Especial",'Pokémon'!I8,""))</x:f>
        <x:v>60</x:v>
      </x:c>
      <x:c r="I35" s="10" t="n">
        <x:f>IF(OR(F35="Status",G35=0),"",G35+H35)</x:f>
        <x:v>160</x:v>
      </x:c>
      <x:c r="J35" s="10" t="n">
        <x:v>46</x:v>
      </x:c>
      <x:c r="K35" s="12" t="n">
        <x:v>40</x:v>
      </x:c>
      <x:c r="L35" s="1" t="str"/>
      <x:c r="M35" s="9" t="str">
        <x:v>https://poke.idleworld.online/pokepedia/pokemon/charmander</x:v>
      </x:c>
    </x:row>
    <x:row r="36" ht="22" customHeight="1">
      <x:c r="A36" s="1" t="n">
        <x:v>4</x:v>
      </x:c>
      <x:c r="B36" s="1" t="str">
        <x:v>Charmander</x:v>
      </x:c>
      <x:c r="C36" s="1" t="n">
        <x:v>6</x:v>
      </x:c>
      <x:c r="D36" s="1" t="str">
        <x:v>Flamethrower</x:v>
      </x:c>
      <x:c r="E36" s="1" t="str">
        <x:v>Fogo</x:v>
      </x:c>
      <x:c r="F36" s="1" t="str">
        <x:v>Especial</x:v>
      </x:c>
      <x:c r="G36" s="10" t="n">
        <x:v>90</x:v>
      </x:c>
      <x:c r="H36" s="10" t="n">
        <x:f>IF(F36="Física",'Pokémon'!G8,IF(F36="Especial",'Pokémon'!I8,""))</x:f>
        <x:v>60</x:v>
      </x:c>
      <x:c r="I36" s="10" t="n">
        <x:f>IF(OR(F36="Status",G36=0),"",G36+H36)</x:f>
        <x:v>150</x:v>
      </x:c>
      <x:c r="J36" s="10" t="n">
        <x:v>37</x:v>
      </x:c>
      <x:c r="K36" s="12" t="n">
        <x:v>18</x:v>
      </x:c>
      <x:c r="L36" s="1" t="str"/>
      <x:c r="M36" s="9" t="str">
        <x:v>https://poke.idleworld.online/pokepedia/pokemon/charmander</x:v>
      </x:c>
    </x:row>
    <x:row r="37" ht="22" customHeight="1">
      <x:c r="A37" s="1" t="n">
        <x:v>4</x:v>
      </x:c>
      <x:c r="B37" s="1" t="str">
        <x:v>Charmander</x:v>
      </x:c>
      <x:c r="C37" s="1" t="n">
        <x:v>4</x:v>
      </x:c>
      <x:c r="D37" s="1" t="str">
        <x:v>Flame Burst</x:v>
      </x:c>
      <x:c r="E37" s="1" t="str">
        <x:v>Fogo</x:v>
      </x:c>
      <x:c r="F37" s="1" t="str">
        <x:v>Especial</x:v>
      </x:c>
      <x:c r="G37" s="10" t="n">
        <x:v>70</x:v>
      </x:c>
      <x:c r="H37" s="10" t="n">
        <x:f>IF(F37="Física",'Pokémon'!G8,IF(F37="Especial",'Pokémon'!I8,""))</x:f>
        <x:v>60</x:v>
      </x:c>
      <x:c r="I37" s="10" t="n">
        <x:f>IF(OR(F37="Status",G37=0),"",G37+H37)</x:f>
        <x:v>130</x:v>
      </x:c>
      <x:c r="J37" s="10" t="n">
        <x:v>28</x:v>
      </x:c>
      <x:c r="K37" s="12" t="n">
        <x:v>20</x:v>
      </x:c>
      <x:c r="L37" s="1" t="str"/>
      <x:c r="M37" s="9" t="str">
        <x:v>https://poke.idleworld.online/pokepedia/pokemon/charmander</x:v>
      </x:c>
    </x:row>
    <x:row r="38" ht="22" customHeight="1">
      <x:c r="A38" s="1" t="n">
        <x:v>4</x:v>
      </x:c>
      <x:c r="B38" s="1" t="str">
        <x:v>Charmander</x:v>
      </x:c>
      <x:c r="C38" s="1" t="n">
        <x:v>5</x:v>
      </x:c>
      <x:c r="D38" s="1" t="str">
        <x:v>Slash</x:v>
      </x:c>
      <x:c r="E38" s="1" t="str">
        <x:v>Normal</x:v>
      </x:c>
      <x:c r="F38" s="1" t="str">
        <x:v>Física</x:v>
      </x:c>
      <x:c r="G38" s="10" t="n">
        <x:v>70</x:v>
      </x:c>
      <x:c r="H38" s="10" t="n">
        <x:f>IF(F38="Física",'Pokémon'!G8,IF(F38="Especial",'Pokémon'!I8,""))</x:f>
        <x:v>52</x:v>
      </x:c>
      <x:c r="I38" s="10" t="n">
        <x:f>IF(OR(F38="Status",G38=0),"",G38+H38)</x:f>
        <x:v>122</x:v>
      </x:c>
      <x:c r="J38" s="10" t="n">
        <x:v>34</x:v>
      </x:c>
      <x:c r="K38" s="12" t="n">
        <x:v>20</x:v>
      </x:c>
      <x:c r="L38" s="1" t="str"/>
      <x:c r="M38" s="9" t="str">
        <x:v>https://poke.idleworld.online/pokepedia/pokemon/charmander</x:v>
      </x:c>
    </x:row>
    <x:row r="39" ht="22" customHeight="1">
      <x:c r="A39" s="1" t="n">
        <x:v>4</x:v>
      </x:c>
      <x:c r="B39" s="1" t="str">
        <x:v>Charmander</x:v>
      </x:c>
      <x:c r="C39" s="1" t="n">
        <x:v>3</x:v>
      </x:c>
      <x:c r="D39" s="1" t="str">
        <x:v>Fire Fang</x:v>
      </x:c>
      <x:c r="E39" s="1" t="str">
        <x:v>Fogo</x:v>
      </x:c>
      <x:c r="F39" s="1" t="str">
        <x:v>Física</x:v>
      </x:c>
      <x:c r="G39" s="10" t="n">
        <x:v>65</x:v>
      </x:c>
      <x:c r="H39" s="10" t="n">
        <x:f>IF(F39="Física",'Pokémon'!G8,IF(F39="Especial",'Pokémon'!I8,""))</x:f>
        <x:v>52</x:v>
      </x:c>
      <x:c r="I39" s="10" t="n">
        <x:f>IF(OR(F39="Status",G39=0),"",G39+H39)</x:f>
        <x:v>117</x:v>
      </x:c>
      <x:c r="J39" s="10" t="n">
        <x:v>25</x:v>
      </x:c>
      <x:c r="K39" s="12" t="n">
        <x:v>15</x:v>
      </x:c>
      <x:c r="L39" s="1" t="str"/>
      <x:c r="M39" s="9" t="str">
        <x:v>https://poke.idleworld.online/pokepedia/pokemon/charmander</x:v>
      </x:c>
    </x:row>
    <x:row r="40" ht="22" customHeight="1">
      <x:c r="A40" s="1" t="n">
        <x:v>4</x:v>
      </x:c>
      <x:c r="B40" s="1" t="str">
        <x:v>Charmander</x:v>
      </x:c>
      <x:c r="C40" s="1" t="n">
        <x:v>2</x:v>
      </x:c>
      <x:c r="D40" s="1" t="str">
        <x:v>Ember</x:v>
      </x:c>
      <x:c r="E40" s="1" t="str">
        <x:v>Fogo</x:v>
      </x:c>
      <x:c r="F40" s="1" t="str">
        <x:v>Especial</x:v>
      </x:c>
      <x:c r="G40" s="10" t="n">
        <x:v>40</x:v>
      </x:c>
      <x:c r="H40" s="10" t="n">
        <x:f>IF(F40="Física",'Pokémon'!G8,IF(F40="Especial",'Pokémon'!I8,""))</x:f>
        <x:v>60</x:v>
      </x:c>
      <x:c r="I40" s="10" t="n">
        <x:f>IF(OR(F40="Status",G40=0),"",G40+H40)</x:f>
        <x:v>100</x:v>
      </x:c>
      <x:c r="J40" s="10" t="n">
        <x:v>1</x:v>
      </x:c>
      <x:c r="K40" s="12" t="n">
        <x:v>10</x:v>
      </x:c>
      <x:c r="L40" s="1" t="str"/>
      <x:c r="M40" s="9" t="str">
        <x:v>https://poke.idleworld.online/pokepedia/pokemon/charmander</x:v>
      </x:c>
    </x:row>
    <x:row r="41" ht="22" customHeight="1">
      <x:c r="A41" s="1" t="n">
        <x:v>4</x:v>
      </x:c>
      <x:c r="B41" s="1" t="str">
        <x:v>Charmander</x:v>
      </x:c>
      <x:c r="C41" s="1" t="n">
        <x:v>7</x:v>
      </x:c>
      <x:c r="D41" s="1" t="str">
        <x:v>Fire Spin</x:v>
      </x:c>
      <x:c r="E41" s="1" t="str">
        <x:v>Fogo</x:v>
      </x:c>
      <x:c r="F41" s="1" t="str">
        <x:v>Especial</x:v>
      </x:c>
      <x:c r="G41" s="10" t="n">
        <x:v>35</x:v>
      </x:c>
      <x:c r="H41" s="10" t="n">
        <x:f>IF(F41="Física",'Pokémon'!G8,IF(F41="Especial",'Pokémon'!I8,""))</x:f>
        <x:v>60</x:v>
      </x:c>
      <x:c r="I41" s="10" t="n">
        <x:f>IF(OR(F41="Status",G41=0),"",G41+H41)</x:f>
        <x:v>95</x:v>
      </x:c>
      <x:c r="J41" s="10" t="n">
        <x:v>43</x:v>
      </x:c>
      <x:c r="K41" s="12" t="n">
        <x:v>15</x:v>
      </x:c>
      <x:c r="L41" s="1" t="str"/>
      <x:c r="M41" s="9" t="str">
        <x:v>https://poke.idleworld.online/pokepedia/pokemon/charmander</x:v>
      </x:c>
    </x:row>
    <x:row r="42" ht="22" customHeight="1">
      <x:c r="A42" s="1" t="n">
        <x:v>4</x:v>
      </x:c>
      <x:c r="B42" s="1" t="str">
        <x:v>Charmander</x:v>
      </x:c>
      <x:c r="C42" s="1" t="n">
        <x:v>1</x:v>
      </x:c>
      <x:c r="D42" s="1" t="str">
        <x:v>Scratch</x:v>
      </x:c>
      <x:c r="E42" s="1" t="str">
        <x:v>Normal</x:v>
      </x:c>
      <x:c r="F42" s="1" t="str">
        <x:v>Física</x:v>
      </x:c>
      <x:c r="G42" s="10" t="n">
        <x:v>40</x:v>
      </x:c>
      <x:c r="H42" s="10" t="n">
        <x:f>IF(F42="Física",'Pokémon'!G8,IF(F42="Especial",'Pokémon'!I8,""))</x:f>
        <x:v>52</x:v>
      </x:c>
      <x:c r="I42" s="10" t="n">
        <x:f>IF(OR(F42="Status",G42=0),"",G42+H42)</x:f>
        <x:v>92</x:v>
      </x:c>
      <x:c r="J42" s="10" t="n">
        <x:v>1</x:v>
      </x:c>
      <x:c r="K42" s="12" t="n">
        <x:v>12</x:v>
      </x:c>
      <x:c r="L42" s="1" t="str"/>
      <x:c r="M42" s="9" t="str">
        <x:v>https://poke.idleworld.online/pokepedia/pokemon/charmander</x:v>
      </x:c>
    </x:row>
    <x:row r="43" ht="22" customHeight="1">
      <x:c r="A43" s="1" t="n">
        <x:v>5</x:v>
      </x:c>
      <x:c r="B43" s="1" t="str">
        <x:v>Charmeleon</x:v>
      </x:c>
      <x:c r="C43" s="1" t="n">
        <x:v>8</x:v>
      </x:c>
      <x:c r="D43" s="1" t="str">
        <x:v>Inferno</x:v>
      </x:c>
      <x:c r="E43" s="1" t="str">
        <x:v>Fogo</x:v>
      </x:c>
      <x:c r="F43" s="1" t="str">
        <x:v>Especial</x:v>
      </x:c>
      <x:c r="G43" s="10" t="n">
        <x:v>100</x:v>
      </x:c>
      <x:c r="H43" s="10" t="n">
        <x:f>IF(F43="Física",'Pokémon'!G9,IF(F43="Especial",'Pokémon'!I9,""))</x:f>
        <x:v>80</x:v>
      </x:c>
      <x:c r="I43" s="10" t="n">
        <x:f>IF(OR(F43="Status",G43=0),"",G43+H43)</x:f>
        <x:v>180</x:v>
      </x:c>
      <x:c r="J43" s="10" t="n">
        <x:v>54</x:v>
      </x:c>
      <x:c r="K43" s="12" t="n">
        <x:v>40</x:v>
      </x:c>
      <x:c r="L43" s="1" t="str"/>
      <x:c r="M43" s="9" t="str">
        <x:v>https://poke.idleworld.online/pokepedia/pokemon/charmeleon</x:v>
      </x:c>
    </x:row>
    <x:row r="44" ht="22" customHeight="1">
      <x:c r="A44" s="1" t="n">
        <x:v>5</x:v>
      </x:c>
      <x:c r="B44" s="1" t="str">
        <x:v>Charmeleon</x:v>
      </x:c>
      <x:c r="C44" s="1" t="n">
        <x:v>6</x:v>
      </x:c>
      <x:c r="D44" s="1" t="str">
        <x:v>Flamethrower</x:v>
      </x:c>
      <x:c r="E44" s="1" t="str">
        <x:v>Fogo</x:v>
      </x:c>
      <x:c r="F44" s="1" t="str">
        <x:v>Especial</x:v>
      </x:c>
      <x:c r="G44" s="10" t="n">
        <x:v>90</x:v>
      </x:c>
      <x:c r="H44" s="10" t="n">
        <x:f>IF(F44="Física",'Pokémon'!G9,IF(F44="Especial",'Pokémon'!I9,""))</x:f>
        <x:v>80</x:v>
      </x:c>
      <x:c r="I44" s="10" t="n">
        <x:f>IF(OR(F44="Status",G44=0),"",G44+H44)</x:f>
        <x:v>170</x:v>
      </x:c>
      <x:c r="J44" s="10" t="n">
        <x:v>43</x:v>
      </x:c>
      <x:c r="K44" s="12" t="n">
        <x:v>18</x:v>
      </x:c>
      <x:c r="L44" s="1" t="str"/>
      <x:c r="M44" s="9" t="str">
        <x:v>https://poke.idleworld.online/pokepedia/pokemon/charmeleon</x:v>
      </x:c>
    </x:row>
    <x:row r="45" ht="22" customHeight="1">
      <x:c r="A45" s="1" t="n">
        <x:v>5</x:v>
      </x:c>
      <x:c r="B45" s="1" t="str">
        <x:v>Charmeleon</x:v>
      </x:c>
      <x:c r="C45" s="1" t="n">
        <x:v>4</x:v>
      </x:c>
      <x:c r="D45" s="1" t="str">
        <x:v>Flame Burst</x:v>
      </x:c>
      <x:c r="E45" s="1" t="str">
        <x:v>Fogo</x:v>
      </x:c>
      <x:c r="F45" s="1" t="str">
        <x:v>Especial</x:v>
      </x:c>
      <x:c r="G45" s="10" t="n">
        <x:v>70</x:v>
      </x:c>
      <x:c r="H45" s="10" t="n">
        <x:f>IF(F45="Física",'Pokémon'!G9,IF(F45="Especial",'Pokémon'!I9,""))</x:f>
        <x:v>80</x:v>
      </x:c>
      <x:c r="I45" s="10" t="n">
        <x:f>IF(OR(F45="Status",G45=0),"",G45+H45)</x:f>
        <x:v>150</x:v>
      </x:c>
      <x:c r="J45" s="10" t="n">
        <x:v>32</x:v>
      </x:c>
      <x:c r="K45" s="12" t="n">
        <x:v>35</x:v>
      </x:c>
      <x:c r="L45" s="1" t="str"/>
      <x:c r="M45" s="9" t="str">
        <x:v>https://poke.idleworld.online/pokepedia/pokemon/charmeleon</x:v>
      </x:c>
    </x:row>
    <x:row r="46" ht="22" customHeight="1">
      <x:c r="A46" s="1" t="n">
        <x:v>5</x:v>
      </x:c>
      <x:c r="B46" s="1" t="str">
        <x:v>Charmeleon</x:v>
      </x:c>
      <x:c r="C46" s="1" t="n">
        <x:v>5</x:v>
      </x:c>
      <x:c r="D46" s="1" t="str">
        <x:v>Slash</x:v>
      </x:c>
      <x:c r="E46" s="1" t="str">
        <x:v>Normal</x:v>
      </x:c>
      <x:c r="F46" s="1" t="str">
        <x:v>Física</x:v>
      </x:c>
      <x:c r="G46" s="10" t="n">
        <x:v>70</x:v>
      </x:c>
      <x:c r="H46" s="10" t="n">
        <x:f>IF(F46="Física",'Pokémon'!G9,IF(F46="Especial",'Pokémon'!I9,""))</x:f>
        <x:v>64</x:v>
      </x:c>
      <x:c r="I46" s="10" t="n">
        <x:f>IF(OR(F46="Status",G46=0),"",G46+H46)</x:f>
        <x:v>134</x:v>
      </x:c>
      <x:c r="J46" s="10" t="n">
        <x:v>39</x:v>
      </x:c>
      <x:c r="K46" s="12" t="n">
        <x:v>20</x:v>
      </x:c>
      <x:c r="L46" s="1" t="str"/>
      <x:c r="M46" s="9" t="str">
        <x:v>https://poke.idleworld.online/pokepedia/pokemon/charmeleon</x:v>
      </x:c>
    </x:row>
    <x:row r="47" ht="22" customHeight="1">
      <x:c r="A47" s="1" t="n">
        <x:v>5</x:v>
      </x:c>
      <x:c r="B47" s="1" t="str">
        <x:v>Charmeleon</x:v>
      </x:c>
      <x:c r="C47" s="1" t="n">
        <x:v>3</x:v>
      </x:c>
      <x:c r="D47" s="1" t="str">
        <x:v>Fire Fang</x:v>
      </x:c>
      <x:c r="E47" s="1" t="str">
        <x:v>Fogo</x:v>
      </x:c>
      <x:c r="F47" s="1" t="str">
        <x:v>Física</x:v>
      </x:c>
      <x:c r="G47" s="10" t="n">
        <x:v>65</x:v>
      </x:c>
      <x:c r="H47" s="10" t="n">
        <x:f>IF(F47="Física",'Pokémon'!G9,IF(F47="Especial",'Pokémon'!I9,""))</x:f>
        <x:v>64</x:v>
      </x:c>
      <x:c r="I47" s="10" t="n">
        <x:f>IF(OR(F47="Status",G47=0),"",G47+H47)</x:f>
        <x:v>129</x:v>
      </x:c>
      <x:c r="J47" s="10" t="n">
        <x:v>28</x:v>
      </x:c>
      <x:c r="K47" s="12" t="n">
        <x:v>15</x:v>
      </x:c>
      <x:c r="L47" s="1" t="str"/>
      <x:c r="M47" s="9" t="str">
        <x:v>https://poke.idleworld.online/pokepedia/pokemon/charmeleon</x:v>
      </x:c>
    </x:row>
    <x:row r="48" ht="22" customHeight="1">
      <x:c r="A48" s="1" t="n">
        <x:v>5</x:v>
      </x:c>
      <x:c r="B48" s="1" t="str">
        <x:v>Charmeleon</x:v>
      </x:c>
      <x:c r="C48" s="1" t="n">
        <x:v>1</x:v>
      </x:c>
      <x:c r="D48" s="1" t="str">
        <x:v>Ember</x:v>
      </x:c>
      <x:c r="E48" s="1" t="str">
        <x:v>Fogo</x:v>
      </x:c>
      <x:c r="F48" s="1" t="str">
        <x:v>Especial</x:v>
      </x:c>
      <x:c r="G48" s="10" t="n">
        <x:v>40</x:v>
      </x:c>
      <x:c r="H48" s="10" t="n">
        <x:f>IF(F48="Física",'Pokémon'!G9,IF(F48="Especial",'Pokémon'!I9,""))</x:f>
        <x:v>80</x:v>
      </x:c>
      <x:c r="I48" s="10" t="n">
        <x:f>IF(OR(F48="Status",G48=0),"",G48+H48)</x:f>
        <x:v>120</x:v>
      </x:c>
      <x:c r="J48" s="10" t="n">
        <x:v>1</x:v>
      </x:c>
      <x:c r="K48" s="12" t="n">
        <x:v>10</x:v>
      </x:c>
      <x:c r="L48" s="1" t="str"/>
      <x:c r="M48" s="9" t="str">
        <x:v>https://poke.idleworld.online/pokepedia/pokemon/charmeleon</x:v>
      </x:c>
    </x:row>
    <x:row r="49" ht="22" customHeight="1">
      <x:c r="A49" s="1" t="n">
        <x:v>5</x:v>
      </x:c>
      <x:c r="B49" s="1" t="str">
        <x:v>Charmeleon</x:v>
      </x:c>
      <x:c r="C49" s="1" t="n">
        <x:v>7</x:v>
      </x:c>
      <x:c r="D49" s="1" t="str">
        <x:v>Fire Spin</x:v>
      </x:c>
      <x:c r="E49" s="1" t="str">
        <x:v>Fogo</x:v>
      </x:c>
      <x:c r="F49" s="1" t="str">
        <x:v>Especial</x:v>
      </x:c>
      <x:c r="G49" s="10" t="n">
        <x:v>35</x:v>
      </x:c>
      <x:c r="H49" s="10" t="n">
        <x:f>IF(F49="Física",'Pokémon'!G9,IF(F49="Especial",'Pokémon'!I9,""))</x:f>
        <x:v>80</x:v>
      </x:c>
      <x:c r="I49" s="10" t="n">
        <x:f>IF(OR(F49="Status",G49=0),"",G49+H49)</x:f>
        <x:v>115</x:v>
      </x:c>
      <x:c r="J49" s="10" t="n">
        <x:v>50</x:v>
      </x:c>
      <x:c r="K49" s="12" t="n">
        <x:v>15</x:v>
      </x:c>
      <x:c r="L49" s="1" t="str"/>
      <x:c r="M49" s="9" t="str">
        <x:v>https://poke.idleworld.online/pokepedia/pokemon/charmeleon</x:v>
      </x:c>
    </x:row>
    <x:row r="50" ht="22" customHeight="1">
      <x:c r="A50" s="1" t="n">
        <x:v>5</x:v>
      </x:c>
      <x:c r="B50" s="1" t="str">
        <x:v>Charmeleon</x:v>
      </x:c>
      <x:c r="C50" s="1" t="n">
        <x:v>2</x:v>
      </x:c>
      <x:c r="D50" s="1" t="str">
        <x:v>Scratch</x:v>
      </x:c>
      <x:c r="E50" s="1" t="str">
        <x:v>Normal</x:v>
      </x:c>
      <x:c r="F50" s="1" t="str">
        <x:v>Física</x:v>
      </x:c>
      <x:c r="G50" s="10" t="n">
        <x:v>40</x:v>
      </x:c>
      <x:c r="H50" s="10" t="n">
        <x:f>IF(F50="Física",'Pokémon'!G9,IF(F50="Especial",'Pokémon'!I9,""))</x:f>
        <x:v>64</x:v>
      </x:c>
      <x:c r="I50" s="10" t="n">
        <x:f>IF(OR(F50="Status",G50=0),"",G50+H50)</x:f>
        <x:v>104</x:v>
      </x:c>
      <x:c r="J50" s="10" t="n">
        <x:v>1</x:v>
      </x:c>
      <x:c r="K50" s="12" t="n">
        <x:v>15</x:v>
      </x:c>
      <x:c r="L50" s="1" t="str"/>
      <x:c r="M50" s="9" t="str">
        <x:v>https://poke.idleworld.online/pokepedia/pokemon/charmeleon</x:v>
      </x:c>
    </x:row>
    <x:row r="51" ht="22" customHeight="1">
      <x:c r="A51" s="1" t="n">
        <x:v>6</x:v>
      </x:c>
      <x:c r="B51" s="1" t="str">
        <x:v>Charizard</x:v>
      </x:c>
      <x:c r="C51" s="1" t="n">
        <x:v>3</x:v>
      </x:c>
      <x:c r="D51" s="1" t="str">
        <x:v>Ignition Point</x:v>
      </x:c>
      <x:c r="E51" s="1" t="str">
        <x:v>Fogo</x:v>
      </x:c>
      <x:c r="F51" s="1" t="str">
        <x:v>Especial</x:v>
      </x:c>
      <x:c r="G51" s="10" t="n">
        <x:v>300</x:v>
      </x:c>
      <x:c r="H51" s="10" t="n">
        <x:f>IF(F51="Física",'Pokémon'!G10,IF(F51="Especial",'Pokémon'!I10,""))</x:f>
        <x:v>109</x:v>
      </x:c>
      <x:c r="I51" s="10" t="n">
        <x:f>IF(OR(F51="Status",G51=0),"",G51+H51)</x:f>
        <x:v>409</x:v>
      </x:c>
      <x:c r="J51" s="10" t="n">
        <x:v>1</x:v>
      </x:c>
      <x:c r="K51" s="12" t="n">
        <x:v>10</x:v>
      </x:c>
      <x:c r="L51" s="1" t="str">
        <x:v>Sim</x:v>
      </x:c>
      <x:c r="M51" s="9" t="str">
        <x:v>https://poke.idleworld.online/pokepedia/pokemon/charizard</x:v>
      </x:c>
    </x:row>
    <x:row r="52" ht="22" customHeight="1">
      <x:c r="A52" s="1" t="n">
        <x:v>6</x:v>
      </x:c>
      <x:c r="B52" s="1" t="str">
        <x:v>Charizard</x:v>
      </x:c>
      <x:c r="C52" s="1" t="n">
        <x:v>4</x:v>
      </x:c>
      <x:c r="D52" s="1" t="str">
        <x:v>Massive Hurricane</x:v>
      </x:c>
      <x:c r="E52" s="1" t="str">
        <x:v>Voador</x:v>
      </x:c>
      <x:c r="F52" s="1" t="str">
        <x:v>Física</x:v>
      </x:c>
      <x:c r="G52" s="10" t="n">
        <x:v>300</x:v>
      </x:c>
      <x:c r="H52" s="10" t="n">
        <x:f>IF(F52="Física",'Pokémon'!G10,IF(F52="Especial",'Pokémon'!I10,""))</x:f>
        <x:v>84</x:v>
      </x:c>
      <x:c r="I52" s="10" t="n">
        <x:f>IF(OR(F52="Status",G52=0),"",G52+H52)</x:f>
        <x:v>384</x:v>
      </x:c>
      <x:c r="J52" s="10" t="n">
        <x:v>1</x:v>
      </x:c>
      <x:c r="K52" s="12" t="n">
        <x:v>10</x:v>
      </x:c>
      <x:c r="L52" s="1" t="str">
        <x:v>Sim</x:v>
      </x:c>
      <x:c r="M52" s="9" t="str">
        <x:v>https://poke.idleworld.online/pokepedia/pokemon/charizard</x:v>
      </x:c>
    </x:row>
    <x:row r="53" ht="22" customHeight="1">
      <x:c r="A53" s="1" t="n">
        <x:v>6</x:v>
      </x:c>
      <x:c r="B53" s="1" t="str">
        <x:v>Charizard</x:v>
      </x:c>
      <x:c r="C53" s="1" t="n">
        <x:v>16</x:v>
      </x:c>
      <x:c r="D53" s="1" t="str">
        <x:v>Inferno</x:v>
      </x:c>
      <x:c r="E53" s="1" t="str">
        <x:v>Fogo</x:v>
      </x:c>
      <x:c r="F53" s="1" t="str">
        <x:v>Especial</x:v>
      </x:c>
      <x:c r="G53" s="10" t="n">
        <x:v>100</x:v>
      </x:c>
      <x:c r="H53" s="10" t="n">
        <x:f>IF(F53="Física",'Pokémon'!G10,IF(F53="Especial",'Pokémon'!I10,""))</x:f>
        <x:v>109</x:v>
      </x:c>
      <x:c r="I53" s="10" t="n">
        <x:f>IF(OR(F53="Status",G53=0),"",G53+H53)</x:f>
        <x:v>209</x:v>
      </x:c>
      <x:c r="J53" s="10" t="n">
        <x:v>62</x:v>
      </x:c>
      <x:c r="K53" s="12" t="n">
        <x:v>40</x:v>
      </x:c>
      <x:c r="L53" s="1" t="str"/>
      <x:c r="M53" s="9" t="str">
        <x:v>https://poke.idleworld.online/pokepedia/pokemon/charizard</x:v>
      </x:c>
    </x:row>
    <x:row r="54" ht="22" customHeight="1">
      <x:c r="A54" s="1" t="n">
        <x:v>6</x:v>
      </x:c>
      <x:c r="B54" s="1" t="str">
        <x:v>Charizard</x:v>
      </x:c>
      <x:c r="C54" s="1" t="n">
        <x:v>9</x:v>
      </x:c>
      <x:c r="D54" s="1" t="str">
        <x:v>Flare Blitz</x:v>
      </x:c>
      <x:c r="E54" s="1" t="str">
        <x:v>Fogo</x:v>
      </x:c>
      <x:c r="F54" s="1" t="str">
        <x:v>Física</x:v>
      </x:c>
      <x:c r="G54" s="10" t="n">
        <x:v>120</x:v>
      </x:c>
      <x:c r="H54" s="10" t="n">
        <x:f>IF(F54="Física",'Pokémon'!G10,IF(F54="Especial",'Pokémon'!I10,""))</x:f>
        <x:v>84</x:v>
      </x:c>
      <x:c r="I54" s="10" t="n">
        <x:f>IF(OR(F54="Status",G54=0),"",G54+H54)</x:f>
        <x:v>204</x:v>
      </x:c>
      <x:c r="J54" s="10" t="n">
        <x:v>1</x:v>
      </x:c>
      <x:c r="K54" s="12" t="n">
        <x:v>50</x:v>
      </x:c>
      <x:c r="L54" s="1" t="str"/>
      <x:c r="M54" s="9" t="str">
        <x:v>https://poke.idleworld.online/pokepedia/pokemon/charizard</x:v>
      </x:c>
    </x:row>
    <x:row r="55" ht="22" customHeight="1">
      <x:c r="A55" s="1" t="n">
        <x:v>6</x:v>
      </x:c>
      <x:c r="B55" s="1" t="str">
        <x:v>Charizard</x:v>
      </x:c>
      <x:c r="C55" s="1" t="n">
        <x:v>8</x:v>
      </x:c>
      <x:c r="D55" s="1" t="str">
        <x:v>Heat Wave</x:v>
      </x:c>
      <x:c r="E55" s="1" t="str">
        <x:v>Fogo</x:v>
      </x:c>
      <x:c r="F55" s="1" t="str">
        <x:v>Especial</x:v>
      </x:c>
      <x:c r="G55" s="10" t="n">
        <x:v>95</x:v>
      </x:c>
      <x:c r="H55" s="10" t="n">
        <x:f>IF(F55="Física",'Pokémon'!G10,IF(F55="Especial",'Pokémon'!I10,""))</x:f>
        <x:v>109</x:v>
      </x:c>
      <x:c r="I55" s="10" t="n">
        <x:f>IF(OR(F55="Status",G55=0),"",G55+H55)</x:f>
        <x:v>204</x:v>
      </x:c>
      <x:c r="J55" s="10" t="n">
        <x:v>1</x:v>
      </x:c>
      <x:c r="K55" s="12" t="n">
        <x:v>40</x:v>
      </x:c>
      <x:c r="L55" s="1" t="str"/>
      <x:c r="M55" s="9" t="str">
        <x:v>https://poke.idleworld.online/pokepedia/pokemon/charizard</x:v>
      </x:c>
    </x:row>
    <x:row r="56" ht="22" customHeight="1">
      <x:c r="A56" s="1" t="n">
        <x:v>6</x:v>
      </x:c>
      <x:c r="B56" s="1" t="str">
        <x:v>Charizard</x:v>
      </x:c>
      <x:c r="C56" s="1" t="n">
        <x:v>14</x:v>
      </x:c>
      <x:c r="D56" s="1" t="str">
        <x:v>Flamethrower</x:v>
      </x:c>
      <x:c r="E56" s="1" t="str">
        <x:v>Fogo</x:v>
      </x:c>
      <x:c r="F56" s="1" t="str">
        <x:v>Especial</x:v>
      </x:c>
      <x:c r="G56" s="10" t="n">
        <x:v>90</x:v>
      </x:c>
      <x:c r="H56" s="10" t="n">
        <x:f>IF(F56="Física",'Pokémon'!G10,IF(F56="Especial",'Pokémon'!I10,""))</x:f>
        <x:v>109</x:v>
      </x:c>
      <x:c r="I56" s="10" t="n">
        <x:f>IF(OR(F56="Status",G56=0),"",G56+H56)</x:f>
        <x:v>199</x:v>
      </x:c>
      <x:c r="J56" s="10" t="n">
        <x:v>47</x:v>
      </x:c>
      <x:c r="K56" s="12" t="n">
        <x:v>18</x:v>
      </x:c>
      <x:c r="L56" s="1" t="str"/>
      <x:c r="M56" s="9" t="str">
        <x:v>https://poke.idleworld.online/pokepedia/pokemon/charizard</x:v>
      </x:c>
    </x:row>
    <x:row r="57" ht="22" customHeight="1">
      <x:c r="A57" s="1" t="n">
        <x:v>6</x:v>
      </x:c>
      <x:c r="B57" s="1" t="str">
        <x:v>Charizard</x:v>
      </x:c>
      <x:c r="C57" s="1" t="n">
        <x:v>2</x:v>
      </x:c>
      <x:c r="D57" s="1" t="str">
        <x:v>Air Slash</x:v>
      </x:c>
      <x:c r="E57" s="1" t="str">
        <x:v>Voador</x:v>
      </x:c>
      <x:c r="F57" s="1" t="str">
        <x:v>Especial</x:v>
      </x:c>
      <x:c r="G57" s="10" t="n">
        <x:v>75</x:v>
      </x:c>
      <x:c r="H57" s="10" t="n">
        <x:f>IF(F57="Física",'Pokémon'!G10,IF(F57="Especial",'Pokémon'!I10,""))</x:f>
        <x:v>109</x:v>
      </x:c>
      <x:c r="I57" s="10" t="n">
        <x:f>IF(OR(F57="Status",G57=0),"",G57+H57)</x:f>
        <x:v>184</x:v>
      </x:c>
      <x:c r="J57" s="10" t="n">
        <x:v>1</x:v>
      </x:c>
      <x:c r="K57" s="12" t="n">
        <x:v>35</x:v>
      </x:c>
      <x:c r="L57" s="1" t="str"/>
      <x:c r="M57" s="9" t="str">
        <x:v>https://poke.idleworld.online/pokepedia/pokemon/charizard</x:v>
      </x:c>
    </x:row>
    <x:row r="58" ht="22" customHeight="1">
      <x:c r="A58" s="1" t="n">
        <x:v>6</x:v>
      </x:c>
      <x:c r="B58" s="1" t="str">
        <x:v>Charizard</x:v>
      </x:c>
      <x:c r="C58" s="1" t="n">
        <x:v>11</x:v>
      </x:c>
      <x:c r="D58" s="1" t="str">
        <x:v>Flame Burst</x:v>
      </x:c>
      <x:c r="E58" s="1" t="str">
        <x:v>Fogo</x:v>
      </x:c>
      <x:c r="F58" s="1" t="str">
        <x:v>Especial</x:v>
      </x:c>
      <x:c r="G58" s="10" t="n">
        <x:v>70</x:v>
      </x:c>
      <x:c r="H58" s="10" t="n">
        <x:f>IF(F58="Física",'Pokémon'!G10,IF(F58="Especial",'Pokémon'!I10,""))</x:f>
        <x:v>109</x:v>
      </x:c>
      <x:c r="I58" s="10" t="n">
        <x:f>IF(OR(F58="Status",G58=0),"",G58+H58)</x:f>
        <x:v>179</x:v>
      </x:c>
      <x:c r="J58" s="10" t="n">
        <x:v>32</x:v>
      </x:c>
      <x:c r="K58" s="12" t="n">
        <x:v>35</x:v>
      </x:c>
      <x:c r="L58" s="1" t="str"/>
      <x:c r="M58" s="9" t="str">
        <x:v>https://poke.idleworld.online/pokepedia/pokemon/charizard</x:v>
      </x:c>
    </x:row>
    <x:row r="59" ht="22" customHeight="1">
      <x:c r="A59" s="1" t="n">
        <x:v>6</x:v>
      </x:c>
      <x:c r="B59" s="1" t="str">
        <x:v>Charizard</x:v>
      </x:c>
      <x:c r="C59" s="1" t="n">
        <x:v>7</x:v>
      </x:c>
      <x:c r="D59" s="1" t="str">
        <x:v>Dragon Claw</x:v>
      </x:c>
      <x:c r="E59" s="1" t="str">
        <x:v>Dragão</x:v>
      </x:c>
      <x:c r="F59" s="1" t="str">
        <x:v>Física</x:v>
      </x:c>
      <x:c r="G59" s="10" t="n">
        <x:v>80</x:v>
      </x:c>
      <x:c r="H59" s="10" t="n">
        <x:f>IF(F59="Física",'Pokémon'!G10,IF(F59="Especial",'Pokémon'!I10,""))</x:f>
        <x:v>84</x:v>
      </x:c>
      <x:c r="I59" s="10" t="n">
        <x:f>IF(OR(F59="Status",G59=0),"",G59+H59)</x:f>
        <x:v>164</x:v>
      </x:c>
      <x:c r="J59" s="10" t="n">
        <x:v>1</x:v>
      </x:c>
      <x:c r="K59" s="12" t="n">
        <x:v>22</x:v>
      </x:c>
      <x:c r="L59" s="1" t="str"/>
      <x:c r="M59" s="9" t="str">
        <x:v>https://poke.idleworld.online/pokepedia/pokemon/charizard</x:v>
      </x:c>
    </x:row>
    <x:row r="60" ht="22" customHeight="1">
      <x:c r="A60" s="1" t="n">
        <x:v>6</x:v>
      </x:c>
      <x:c r="B60" s="1" t="str">
        <x:v>Charizard</x:v>
      </x:c>
      <x:c r="C60" s="1" t="n">
        <x:v>6</x:v>
      </x:c>
      <x:c r="D60" s="1" t="str">
        <x:v>Shadow Claw</x:v>
      </x:c>
      <x:c r="E60" s="1" t="str">
        <x:v>Fantasma</x:v>
      </x:c>
      <x:c r="F60" s="1" t="str">
        <x:v>Física</x:v>
      </x:c>
      <x:c r="G60" s="10" t="n">
        <x:v>70</x:v>
      </x:c>
      <x:c r="H60" s="10" t="n">
        <x:f>IF(F60="Física",'Pokémon'!G10,IF(F60="Especial",'Pokémon'!I10,""))</x:f>
        <x:v>84</x:v>
      </x:c>
      <x:c r="I60" s="10" t="n">
        <x:f>IF(OR(F60="Status",G60=0),"",G60+H60)</x:f>
        <x:v>154</x:v>
      </x:c>
      <x:c r="J60" s="10" t="n">
        <x:v>1</x:v>
      </x:c>
      <x:c r="K60" s="12" t="n">
        <x:v>20</x:v>
      </x:c>
      <x:c r="L60" s="1" t="str"/>
      <x:c r="M60" s="9" t="str">
        <x:v>https://poke.idleworld.online/pokepedia/pokemon/charizard</x:v>
      </x:c>
    </x:row>
    <x:row r="61" ht="22" customHeight="1">
      <x:c r="A61" s="1" t="n">
        <x:v>6</x:v>
      </x:c>
      <x:c r="B61" s="1" t="str">
        <x:v>Charizard</x:v>
      </x:c>
      <x:c r="C61" s="1" t="n">
        <x:v>13</x:v>
      </x:c>
      <x:c r="D61" s="1" t="str">
        <x:v>Slash</x:v>
      </x:c>
      <x:c r="E61" s="1" t="str">
        <x:v>Normal</x:v>
      </x:c>
      <x:c r="F61" s="1" t="str">
        <x:v>Física</x:v>
      </x:c>
      <x:c r="G61" s="10" t="n">
        <x:v>70</x:v>
      </x:c>
      <x:c r="H61" s="10" t="n">
        <x:f>IF(F61="Física",'Pokémon'!G10,IF(F61="Especial",'Pokémon'!I10,""))</x:f>
        <x:v>84</x:v>
      </x:c>
      <x:c r="I61" s="10" t="n">
        <x:f>IF(OR(F61="Status",G61=0),"",G61+H61)</x:f>
        <x:v>154</x:v>
      </x:c>
      <x:c r="J61" s="10" t="n">
        <x:v>41</x:v>
      </x:c>
      <x:c r="K61" s="12" t="n">
        <x:v>20</x:v>
      </x:c>
      <x:c r="L61" s="1" t="str"/>
      <x:c r="M61" s="9" t="str">
        <x:v>https://poke.idleworld.online/pokepedia/pokemon/charizard</x:v>
      </x:c>
    </x:row>
    <x:row r="62" ht="22" customHeight="1">
      <x:c r="A62" s="1" t="n">
        <x:v>6</x:v>
      </x:c>
      <x:c r="B62" s="1" t="str">
        <x:v>Charizard</x:v>
      </x:c>
      <x:c r="C62" s="1" t="n">
        <x:v>10</x:v>
      </x:c>
      <x:c r="D62" s="1" t="str">
        <x:v>Fire Fang</x:v>
      </x:c>
      <x:c r="E62" s="1" t="str">
        <x:v>Fogo</x:v>
      </x:c>
      <x:c r="F62" s="1" t="str">
        <x:v>Física</x:v>
      </x:c>
      <x:c r="G62" s="10" t="n">
        <x:v>65</x:v>
      </x:c>
      <x:c r="H62" s="10" t="n">
        <x:f>IF(F62="Física",'Pokémon'!G10,IF(F62="Especial",'Pokémon'!I10,""))</x:f>
        <x:v>84</x:v>
      </x:c>
      <x:c r="I62" s="10" t="n">
        <x:f>IF(OR(F62="Status",G62=0),"",G62+H62)</x:f>
        <x:v>149</x:v>
      </x:c>
      <x:c r="J62" s="10" t="n">
        <x:v>28</x:v>
      </x:c>
      <x:c r="K62" s="12" t="n">
        <x:v>20</x:v>
      </x:c>
      <x:c r="L62" s="1" t="str"/>
      <x:c r="M62" s="9" t="str">
        <x:v>https://poke.idleworld.online/pokepedia/pokemon/charizard</x:v>
      </x:c>
    </x:row>
    <x:row r="63" ht="22" customHeight="1">
      <x:c r="A63" s="1" t="n">
        <x:v>6</x:v>
      </x:c>
      <x:c r="B63" s="1" t="str">
        <x:v>Charizard</x:v>
      </x:c>
      <x:c r="C63" s="1" t="n">
        <x:v>1</x:v>
      </x:c>
      <x:c r="D63" s="1" t="str">
        <x:v>Ember</x:v>
      </x:c>
      <x:c r="E63" s="1" t="str">
        <x:v>Fogo</x:v>
      </x:c>
      <x:c r="F63" s="1" t="str">
        <x:v>Especial</x:v>
      </x:c>
      <x:c r="G63" s="10" t="n">
        <x:v>40</x:v>
      </x:c>
      <x:c r="H63" s="10" t="n">
        <x:f>IF(F63="Física",'Pokémon'!G10,IF(F63="Especial",'Pokémon'!I10,""))</x:f>
        <x:v>109</x:v>
      </x:c>
      <x:c r="I63" s="10" t="n">
        <x:f>IF(OR(F63="Status",G63=0),"",G63+H63)</x:f>
        <x:v>149</x:v>
      </x:c>
      <x:c r="J63" s="10" t="n">
        <x:v>1</x:v>
      </x:c>
      <x:c r="K63" s="12" t="n">
        <x:v>10</x:v>
      </x:c>
      <x:c r="L63" s="1" t="str"/>
      <x:c r="M63" s="9" t="str">
        <x:v>https://poke.idleworld.online/pokepedia/pokemon/charizard</x:v>
      </x:c>
    </x:row>
    <x:row r="64" ht="22" customHeight="1">
      <x:c r="A64" s="1" t="n">
        <x:v>6</x:v>
      </x:c>
      <x:c r="B64" s="1" t="str">
        <x:v>Charizard</x:v>
      </x:c>
      <x:c r="C64" s="1" t="n">
        <x:v>12</x:v>
      </x:c>
      <x:c r="D64" s="1" t="str">
        <x:v>Wing Attack</x:v>
      </x:c>
      <x:c r="E64" s="1" t="str">
        <x:v>Voador</x:v>
      </x:c>
      <x:c r="F64" s="1" t="str">
        <x:v>Física</x:v>
      </x:c>
      <x:c r="G64" s="10" t="n">
        <x:v>60</x:v>
      </x:c>
      <x:c r="H64" s="10" t="n">
        <x:f>IF(F64="Física",'Pokémon'!G10,IF(F64="Especial",'Pokémon'!I10,""))</x:f>
        <x:v>84</x:v>
      </x:c>
      <x:c r="I64" s="10" t="n">
        <x:f>IF(OR(F64="Status",G64=0),"",G64+H64)</x:f>
        <x:v>144</x:v>
      </x:c>
      <x:c r="J64" s="10" t="n">
        <x:v>36</x:v>
      </x:c>
      <x:c r="K64" s="12" t="n">
        <x:v>35</x:v>
      </x:c>
      <x:c r="L64" s="1" t="str"/>
      <x:c r="M64" s="9" t="str">
        <x:v>https://poke.idleworld.online/pokepedia/pokemon/charizard</x:v>
      </x:c>
    </x:row>
    <x:row r="65" ht="22" customHeight="1">
      <x:c r="A65" s="1" t="n">
        <x:v>6</x:v>
      </x:c>
      <x:c r="B65" s="1" t="str">
        <x:v>Charizard</x:v>
      </x:c>
      <x:c r="C65" s="1" t="n">
        <x:v>15</x:v>
      </x:c>
      <x:c r="D65" s="1" t="str">
        <x:v>Fire Spin</x:v>
      </x:c>
      <x:c r="E65" s="1" t="str">
        <x:v>Fogo</x:v>
      </x:c>
      <x:c r="F65" s="1" t="str">
        <x:v>Especial</x:v>
      </x:c>
      <x:c r="G65" s="10" t="n">
        <x:v>35</x:v>
      </x:c>
      <x:c r="H65" s="10" t="n">
        <x:f>IF(F65="Física",'Pokémon'!G10,IF(F65="Especial",'Pokémon'!I10,""))</x:f>
        <x:v>109</x:v>
      </x:c>
      <x:c r="I65" s="10" t="n">
        <x:f>IF(OR(F65="Status",G65=0),"",G65+H65)</x:f>
        <x:v>144</x:v>
      </x:c>
      <x:c r="J65" s="10" t="n">
        <x:v>56</x:v>
      </x:c>
      <x:c r="K65" s="12" t="n">
        <x:v>15</x:v>
      </x:c>
      <x:c r="L65" s="1" t="str"/>
      <x:c r="M65" s="9" t="str">
        <x:v>https://poke.idleworld.online/pokepedia/pokemon/charizard</x:v>
      </x:c>
    </x:row>
    <x:row r="66" ht="22" customHeight="1">
      <x:c r="A66" s="1" t="n">
        <x:v>6</x:v>
      </x:c>
      <x:c r="B66" s="1" t="str">
        <x:v>Charizard</x:v>
      </x:c>
      <x:c r="C66" s="1" t="n">
        <x:v>5</x:v>
      </x:c>
      <x:c r="D66" s="1" t="str">
        <x:v>Scratch</x:v>
      </x:c>
      <x:c r="E66" s="1" t="str">
        <x:v>Normal</x:v>
      </x:c>
      <x:c r="F66" s="1" t="str">
        <x:v>Física</x:v>
      </x:c>
      <x:c r="G66" s="10" t="n">
        <x:v>40</x:v>
      </x:c>
      <x:c r="H66" s="10" t="n">
        <x:f>IF(F66="Física",'Pokémon'!G10,IF(F66="Especial",'Pokémon'!I10,""))</x:f>
        <x:v>84</x:v>
      </x:c>
      <x:c r="I66" s="10" t="n">
        <x:f>IF(OR(F66="Status",G66=0),"",G66+H66)</x:f>
        <x:v>124</x:v>
      </x:c>
      <x:c r="J66" s="10" t="n">
        <x:v>1</x:v>
      </x:c>
      <x:c r="K66" s="12" t="n">
        <x:v>15</x:v>
      </x:c>
      <x:c r="L66" s="1" t="str"/>
      <x:c r="M66" s="9" t="str">
        <x:v>https://poke.idleworld.online/pokepedia/pokemon/charizard</x:v>
      </x:c>
    </x:row>
    <x:row r="67" ht="22" customHeight="1">
      <x:c r="A67" s="1" t="n">
        <x:v>7</x:v>
      </x:c>
      <x:c r="B67" s="1" t="str">
        <x:v>Squirtle</x:v>
      </x:c>
      <x:c r="C67" s="1" t="n">
        <x:v>8</x:v>
      </x:c>
      <x:c r="D67" s="1" t="str">
        <x:v>Skull Bash</x:v>
      </x:c>
      <x:c r="E67" s="1" t="str">
        <x:v>Normal</x:v>
      </x:c>
      <x:c r="F67" s="1" t="str">
        <x:v>Física</x:v>
      </x:c>
      <x:c r="G67" s="10" t="n">
        <x:v>130</x:v>
      </x:c>
      <x:c r="H67" s="10" t="n">
        <x:f>IF(F67="Física",'Pokémon'!G11,IF(F67="Especial",'Pokémon'!I11,""))</x:f>
        <x:v>48</x:v>
      </x:c>
      <x:c r="I67" s="10" t="n">
        <x:f>IF(OR(F67="Status",G67=0),"",G67+H67)</x:f>
        <x:v>178</x:v>
      </x:c>
      <x:c r="J67" s="10" t="n">
        <x:v>31</x:v>
      </x:c>
      <x:c r="K67" s="12" t="n">
        <x:v>50</x:v>
      </x:c>
      <x:c r="L67" s="1" t="str"/>
      <x:c r="M67" s="9" t="str">
        <x:v>https://poke.idleworld.online/pokepedia/pokemon/squirtle</x:v>
      </x:c>
    </x:row>
    <x:row r="68" ht="22" customHeight="1">
      <x:c r="A68" s="1" t="n">
        <x:v>7</x:v>
      </x:c>
      <x:c r="B68" s="1" t="str">
        <x:v>Squirtle</x:v>
      </x:c>
      <x:c r="C68" s="1" t="n">
        <x:v>9</x:v>
      </x:c>
      <x:c r="D68" s="1" t="str">
        <x:v>Hydro Pump</x:v>
      </x:c>
      <x:c r="E68" s="1" t="str">
        <x:v>Água</x:v>
      </x:c>
      <x:c r="F68" s="1" t="str">
        <x:v>Especial</x:v>
      </x:c>
      <x:c r="G68" s="10" t="n">
        <x:v>110</x:v>
      </x:c>
      <x:c r="H68" s="10" t="n">
        <x:f>IF(F68="Física",'Pokémon'!G11,IF(F68="Especial",'Pokémon'!I11,""))</x:f>
        <x:v>50</x:v>
      </x:c>
      <x:c r="I68" s="10" t="n">
        <x:f>IF(OR(F68="Status",G68=0),"",G68+H68)</x:f>
        <x:v>160</x:v>
      </x:c>
      <x:c r="J68" s="10" t="n">
        <x:v>40</x:v>
      </x:c>
      <x:c r="K68" s="12" t="n">
        <x:v>40</x:v>
      </x:c>
      <x:c r="L68" s="1" t="str"/>
      <x:c r="M68" s="9" t="str">
        <x:v>https://poke.idleworld.online/pokepedia/pokemon/squirtle</x:v>
      </x:c>
    </x:row>
    <x:row r="69" ht="22" customHeight="1">
      <x:c r="A69" s="1" t="n">
        <x:v>7</x:v>
      </x:c>
      <x:c r="B69" s="1" t="str">
        <x:v>Squirtle</x:v>
      </x:c>
      <x:c r="C69" s="1" t="n">
        <x:v>7</x:v>
      </x:c>
      <x:c r="D69" s="1" t="str">
        <x:v>Aqua Tail</x:v>
      </x:c>
      <x:c r="E69" s="1" t="str">
        <x:v>Água</x:v>
      </x:c>
      <x:c r="F69" s="1" t="str">
        <x:v>Física</x:v>
      </x:c>
      <x:c r="G69" s="10" t="n">
        <x:v>90</x:v>
      </x:c>
      <x:c r="H69" s="10" t="n">
        <x:f>IF(F69="Física",'Pokémon'!G11,IF(F69="Especial",'Pokémon'!I11,""))</x:f>
        <x:v>48</x:v>
      </x:c>
      <x:c r="I69" s="10" t="n">
        <x:f>IF(OR(F69="Status",G69=0),"",G69+H69)</x:f>
        <x:v>138</x:v>
      </x:c>
      <x:c r="J69" s="10" t="n">
        <x:v>28</x:v>
      </x:c>
      <x:c r="K69" s="12" t="n">
        <x:v>15</x:v>
      </x:c>
      <x:c r="L69" s="1" t="str"/>
      <x:c r="M69" s="9" t="str">
        <x:v>https://poke.idleworld.online/pokepedia/pokemon/squirtle</x:v>
      </x:c>
    </x:row>
    <x:row r="70" ht="22" customHeight="1">
      <x:c r="A70" s="1" t="n">
        <x:v>7</x:v>
      </x:c>
      <x:c r="B70" s="1" t="str">
        <x:v>Squirtle</x:v>
      </x:c>
      <x:c r="C70" s="1" t="n">
        <x:v>6</x:v>
      </x:c>
      <x:c r="D70" s="1" t="str">
        <x:v>Water Pulse</x:v>
      </x:c>
      <x:c r="E70" s="1" t="str">
        <x:v>Água</x:v>
      </x:c>
      <x:c r="F70" s="1" t="str">
        <x:v>Especial</x:v>
      </x:c>
      <x:c r="G70" s="10" t="n">
        <x:v>60</x:v>
      </x:c>
      <x:c r="H70" s="10" t="n">
        <x:f>IF(F70="Física",'Pokémon'!G11,IF(F70="Especial",'Pokémon'!I11,""))</x:f>
        <x:v>50</x:v>
      </x:c>
      <x:c r="I70" s="10" t="n">
        <x:f>IF(OR(F70="Status",G70=0),"",G70+H70)</x:f>
        <x:v>110</x:v>
      </x:c>
      <x:c r="J70" s="10" t="n">
        <x:v>25</x:v>
      </x:c>
      <x:c r="K70" s="12" t="n">
        <x:v>60</x:v>
      </x:c>
      <x:c r="L70" s="1" t="str"/>
      <x:c r="M70" s="9" t="str">
        <x:v>https://poke.idleworld.online/pokepedia/pokemon/squirtle</x:v>
      </x:c>
    </x:row>
    <x:row r="71" ht="22" customHeight="1">
      <x:c r="A71" s="1" t="n">
        <x:v>7</x:v>
      </x:c>
      <x:c r="B71" s="1" t="str">
        <x:v>Squirtle</x:v>
      </x:c>
      <x:c r="C71" s="1" t="n">
        <x:v>4</x:v>
      </x:c>
      <x:c r="D71" s="1" t="str">
        <x:v>Bite</x:v>
      </x:c>
      <x:c r="E71" s="1" t="str">
        <x:v>Sombrio</x:v>
      </x:c>
      <x:c r="F71" s="1" t="str">
        <x:v>Física</x:v>
      </x:c>
      <x:c r="G71" s="10" t="n">
        <x:v>60</x:v>
      </x:c>
      <x:c r="H71" s="10" t="n">
        <x:f>IF(F71="Física",'Pokémon'!G11,IF(F71="Especial",'Pokémon'!I11,""))</x:f>
        <x:v>48</x:v>
      </x:c>
      <x:c r="I71" s="10" t="n">
        <x:f>IF(OR(F71="Status",G71=0),"",G71+H71)</x:f>
        <x:v>108</x:v>
      </x:c>
      <x:c r="J71" s="10" t="n">
        <x:v>16</x:v>
      </x:c>
      <x:c r="K71" s="12" t="n">
        <x:v>20</x:v>
      </x:c>
      <x:c r="L71" s="1" t="str"/>
      <x:c r="M71" s="9" t="str">
        <x:v>https://poke.idleworld.online/pokepedia/pokemon/squirtle</x:v>
      </x:c>
    </x:row>
    <x:row r="72" ht="22" customHeight="1">
      <x:c r="A72" s="1" t="n">
        <x:v>7</x:v>
      </x:c>
      <x:c r="B72" s="1" t="str">
        <x:v>Squirtle</x:v>
      </x:c>
      <x:c r="C72" s="1" t="n">
        <x:v>2</x:v>
      </x:c>
      <x:c r="D72" s="1" t="str">
        <x:v>Tackle</x:v>
      </x:c>
      <x:c r="E72" s="1" t="str">
        <x:v>Normal</x:v>
      </x:c>
      <x:c r="F72" s="1" t="str">
        <x:v>Física</x:v>
      </x:c>
      <x:c r="G72" s="10" t="n">
        <x:v>50</x:v>
      </x:c>
      <x:c r="H72" s="10" t="n">
        <x:f>IF(F72="Física",'Pokémon'!G11,IF(F72="Especial",'Pokémon'!I11,""))</x:f>
        <x:v>48</x:v>
      </x:c>
      <x:c r="I72" s="10" t="n">
        <x:f>IF(OR(F72="Status",G72=0),"",G72+H72)</x:f>
        <x:v>98</x:v>
      </x:c>
      <x:c r="J72" s="10" t="n">
        <x:v>1</x:v>
      </x:c>
      <x:c r="K72" s="12" t="n">
        <x:v>15</x:v>
      </x:c>
      <x:c r="L72" s="1" t="str"/>
      <x:c r="M72" s="9" t="str">
        <x:v>https://poke.idleworld.online/pokepedia/pokemon/squirtle</x:v>
      </x:c>
    </x:row>
    <x:row r="73" ht="22" customHeight="1">
      <x:c r="A73" s="1" t="n">
        <x:v>7</x:v>
      </x:c>
      <x:c r="B73" s="1" t="str">
        <x:v>Squirtle</x:v>
      </x:c>
      <x:c r="C73" s="1" t="n">
        <x:v>1</x:v>
      </x:c>
      <x:c r="D73" s="1" t="str">
        <x:v>Water Gun</x:v>
      </x:c>
      <x:c r="E73" s="1" t="str">
        <x:v>Água</x:v>
      </x:c>
      <x:c r="F73" s="1" t="str">
        <x:v>Especial</x:v>
      </x:c>
      <x:c r="G73" s="10" t="n">
        <x:v>40</x:v>
      </x:c>
      <x:c r="H73" s="10" t="n">
        <x:f>IF(F73="Física",'Pokémon'!G11,IF(F73="Especial",'Pokémon'!I11,""))</x:f>
        <x:v>50</x:v>
      </x:c>
      <x:c r="I73" s="10" t="n">
        <x:f>IF(OR(F73="Status",G73=0),"",G73+H73)</x:f>
        <x:v>90</x:v>
      </x:c>
      <x:c r="J73" s="10" t="n">
        <x:v>1</x:v>
      </x:c>
      <x:c r="K73" s="12" t="n">
        <x:v>18</x:v>
      </x:c>
      <x:c r="L73" s="1" t="str"/>
      <x:c r="M73" s="9" t="str">
        <x:v>https://poke.idleworld.online/pokepedia/pokemon/squirtle</x:v>
      </x:c>
    </x:row>
    <x:row r="74" ht="22" customHeight="1">
      <x:c r="A74" s="1" t="n">
        <x:v>7</x:v>
      </x:c>
      <x:c r="B74" s="1" t="str">
        <x:v>Squirtle</x:v>
      </x:c>
      <x:c r="C74" s="1" t="n">
        <x:v>3</x:v>
      </x:c>
      <x:c r="D74" s="1" t="str">
        <x:v>Bubble</x:v>
      </x:c>
      <x:c r="E74" s="1" t="str">
        <x:v>Água</x:v>
      </x:c>
      <x:c r="F74" s="1" t="str">
        <x:v>Especial</x:v>
      </x:c>
      <x:c r="G74" s="10" t="n">
        <x:v>40</x:v>
      </x:c>
      <x:c r="H74" s="10" t="n">
        <x:f>IF(F74="Física",'Pokémon'!G11,IF(F74="Especial",'Pokémon'!I11,""))</x:f>
        <x:v>50</x:v>
      </x:c>
      <x:c r="I74" s="10" t="n">
        <x:f>IF(OR(F74="Status",G74=0),"",G74+H74)</x:f>
        <x:v>90</x:v>
      </x:c>
      <x:c r="J74" s="10" t="n">
        <x:v>13</x:v>
      </x:c>
      <x:c r="K74" s="12" t="n">
        <x:v>15</x:v>
      </x:c>
      <x:c r="L74" s="1" t="str"/>
      <x:c r="M74" s="9" t="str">
        <x:v>https://poke.idleworld.online/pokepedia/pokemon/squirtle</x:v>
      </x:c>
    </x:row>
    <x:row r="75" ht="22" customHeight="1">
      <x:c r="A75" s="1" t="n">
        <x:v>7</x:v>
      </x:c>
      <x:c r="B75" s="1" t="str">
        <x:v>Squirtle</x:v>
      </x:c>
      <x:c r="C75" s="1" t="n">
        <x:v>5</x:v>
      </x:c>
      <x:c r="D75" s="1" t="str">
        <x:v>Rapid Spin</x:v>
      </x:c>
      <x:c r="E75" s="1" t="str">
        <x:v>Normal</x:v>
      </x:c>
      <x:c r="F75" s="1" t="str">
        <x:v>Física</x:v>
      </x:c>
      <x:c r="G75" s="10" t="n">
        <x:v>20</x:v>
      </x:c>
      <x:c r="H75" s="10" t="n">
        <x:f>IF(F75="Física",'Pokémon'!G11,IF(F75="Especial",'Pokémon'!I11,""))</x:f>
        <x:v>48</x:v>
      </x:c>
      <x:c r="I75" s="10" t="n">
        <x:f>IF(OR(F75="Status",G75=0),"",G75+H75)</x:f>
        <x:v>68</x:v>
      </x:c>
      <x:c r="J75" s="10" t="n">
        <x:v>19</x:v>
      </x:c>
      <x:c r="K75" s="12" t="n">
        <x:v>15</x:v>
      </x:c>
      <x:c r="L75" s="1" t="str"/>
      <x:c r="M75" s="9" t="str">
        <x:v>https://poke.idleworld.online/pokepedia/pokemon/squirtle</x:v>
      </x:c>
    </x:row>
    <x:row r="76" ht="22" customHeight="1">
      <x:c r="A76" s="1" t="n">
        <x:v>8</x:v>
      </x:c>
      <x:c r="B76" s="1" t="str">
        <x:v>Wartortle</x:v>
      </x:c>
      <x:c r="C76" s="1" t="n">
        <x:v>8</x:v>
      </x:c>
      <x:c r="D76" s="1" t="str">
        <x:v>Skull Bash</x:v>
      </x:c>
      <x:c r="E76" s="1" t="str">
        <x:v>Normal</x:v>
      </x:c>
      <x:c r="F76" s="1" t="str">
        <x:v>Física</x:v>
      </x:c>
      <x:c r="G76" s="10" t="n">
        <x:v>130</x:v>
      </x:c>
      <x:c r="H76" s="10" t="n">
        <x:f>IF(F76="Física",'Pokémon'!G12,IF(F76="Especial",'Pokémon'!I12,""))</x:f>
        <x:v>63</x:v>
      </x:c>
      <x:c r="I76" s="10" t="n">
        <x:f>IF(OR(F76="Status",G76=0),"",G76+H76)</x:f>
        <x:v>193</x:v>
      </x:c>
      <x:c r="J76" s="10" t="n">
        <x:v>36</x:v>
      </x:c>
      <x:c r="K76" s="12" t="n">
        <x:v>35</x:v>
      </x:c>
      <x:c r="L76" s="1" t="str"/>
      <x:c r="M76" s="9" t="str">
        <x:v>https://poke.idleworld.online/pokepedia/pokemon/wartortle</x:v>
      </x:c>
    </x:row>
    <x:row r="77" ht="22" customHeight="1">
      <x:c r="A77" s="1" t="n">
        <x:v>8</x:v>
      </x:c>
      <x:c r="B77" s="1" t="str">
        <x:v>Wartortle</x:v>
      </x:c>
      <x:c r="C77" s="1" t="n">
        <x:v>9</x:v>
      </x:c>
      <x:c r="D77" s="1" t="str">
        <x:v>Hydro Pump</x:v>
      </x:c>
      <x:c r="E77" s="1" t="str">
        <x:v>Água</x:v>
      </x:c>
      <x:c r="F77" s="1" t="str">
        <x:v>Especial</x:v>
      </x:c>
      <x:c r="G77" s="10" t="n">
        <x:v>110</x:v>
      </x:c>
      <x:c r="H77" s="10" t="n">
        <x:f>IF(F77="Física",'Pokémon'!G12,IF(F77="Especial",'Pokémon'!I12,""))</x:f>
        <x:v>65</x:v>
      </x:c>
      <x:c r="I77" s="10" t="n">
        <x:f>IF(OR(F77="Status",G77=0),"",G77+H77)</x:f>
        <x:v>175</x:v>
      </x:c>
      <x:c r="J77" s="10" t="n">
        <x:v>48</x:v>
      </x:c>
      <x:c r="K77" s="12" t="n">
        <x:v>40</x:v>
      </x:c>
      <x:c r="L77" s="1" t="str"/>
      <x:c r="M77" s="9" t="str">
        <x:v>https://poke.idleworld.online/pokepedia/pokemon/wartortle</x:v>
      </x:c>
    </x:row>
    <x:row r="78" ht="22" customHeight="1">
      <x:c r="A78" s="1" t="n">
        <x:v>8</x:v>
      </x:c>
      <x:c r="B78" s="1" t="str">
        <x:v>Wartortle</x:v>
      </x:c>
      <x:c r="C78" s="1" t="n">
        <x:v>7</x:v>
      </x:c>
      <x:c r="D78" s="1" t="str">
        <x:v>Aqua Tail</x:v>
      </x:c>
      <x:c r="E78" s="1" t="str">
        <x:v>Água</x:v>
      </x:c>
      <x:c r="F78" s="1" t="str">
        <x:v>Física</x:v>
      </x:c>
      <x:c r="G78" s="10" t="n">
        <x:v>90</x:v>
      </x:c>
      <x:c r="H78" s="10" t="n">
        <x:f>IF(F78="Física",'Pokémon'!G12,IF(F78="Especial",'Pokémon'!I12,""))</x:f>
        <x:v>63</x:v>
      </x:c>
      <x:c r="I78" s="10" t="n">
        <x:f>IF(OR(F78="Status",G78=0),"",G78+H78)</x:f>
        <x:v>153</x:v>
      </x:c>
      <x:c r="J78" s="10" t="n">
        <x:v>32</x:v>
      </x:c>
      <x:c r="K78" s="12" t="n">
        <x:v>15</x:v>
      </x:c>
      <x:c r="L78" s="1" t="str"/>
      <x:c r="M78" s="9" t="str">
        <x:v>https://poke.idleworld.online/pokepedia/pokemon/wartortle</x:v>
      </x:c>
    </x:row>
    <x:row r="79" ht="22" customHeight="1">
      <x:c r="A79" s="1" t="n">
        <x:v>8</x:v>
      </x:c>
      <x:c r="B79" s="1" t="str">
        <x:v>Wartortle</x:v>
      </x:c>
      <x:c r="C79" s="1" t="n">
        <x:v>6</x:v>
      </x:c>
      <x:c r="D79" s="1" t="str">
        <x:v>Water Pulse</x:v>
      </x:c>
      <x:c r="E79" s="1" t="str">
        <x:v>Água</x:v>
      </x:c>
      <x:c r="F79" s="1" t="str">
        <x:v>Especial</x:v>
      </x:c>
      <x:c r="G79" s="10" t="n">
        <x:v>60</x:v>
      </x:c>
      <x:c r="H79" s="10" t="n">
        <x:f>IF(F79="Física",'Pokémon'!G12,IF(F79="Especial",'Pokémon'!I12,""))</x:f>
        <x:v>65</x:v>
      </x:c>
      <x:c r="I79" s="10" t="n">
        <x:f>IF(OR(F79="Status",G79=0),"",G79+H79)</x:f>
        <x:v>125</x:v>
      </x:c>
      <x:c r="J79" s="10" t="n">
        <x:v>28</x:v>
      </x:c>
      <x:c r="K79" s="12" t="n">
        <x:v>20</x:v>
      </x:c>
      <x:c r="L79" s="1" t="str"/>
      <x:c r="M79" s="9" t="str">
        <x:v>https://poke.idleworld.online/pokepedia/pokemon/wartortle</x:v>
      </x:c>
    </x:row>
    <x:row r="80" ht="22" customHeight="1">
      <x:c r="A80" s="1" t="n">
        <x:v>8</x:v>
      </x:c>
      <x:c r="B80" s="1" t="str">
        <x:v>Wartortle</x:v>
      </x:c>
      <x:c r="C80" s="1" t="n">
        <x:v>4</x:v>
      </x:c>
      <x:c r="D80" s="1" t="str">
        <x:v>Bite</x:v>
      </x:c>
      <x:c r="E80" s="1" t="str">
        <x:v>Sombrio</x:v>
      </x:c>
      <x:c r="F80" s="1" t="str">
        <x:v>Física</x:v>
      </x:c>
      <x:c r="G80" s="10" t="n">
        <x:v>60</x:v>
      </x:c>
      <x:c r="H80" s="10" t="n">
        <x:f>IF(F80="Física",'Pokémon'!G12,IF(F80="Especial",'Pokémon'!I12,""))</x:f>
        <x:v>63</x:v>
      </x:c>
      <x:c r="I80" s="10" t="n">
        <x:f>IF(OR(F80="Status",G80=0),"",G80+H80)</x:f>
        <x:v>123</x:v>
      </x:c>
      <x:c r="J80" s="10" t="n">
        <x:v>16</x:v>
      </x:c>
      <x:c r="K80" s="12" t="n">
        <x:v>20</x:v>
      </x:c>
      <x:c r="L80" s="1" t="str"/>
      <x:c r="M80" s="9" t="str">
        <x:v>https://poke.idleworld.online/pokepedia/pokemon/wartortle</x:v>
      </x:c>
    </x:row>
    <x:row r="81" ht="22" customHeight="1">
      <x:c r="A81" s="1" t="n">
        <x:v>8</x:v>
      </x:c>
      <x:c r="B81" s="1" t="str">
        <x:v>Wartortle</x:v>
      </x:c>
      <x:c r="C81" s="1" t="n">
        <x:v>2</x:v>
      </x:c>
      <x:c r="D81" s="1" t="str">
        <x:v>Tackle</x:v>
      </x:c>
      <x:c r="E81" s="1" t="str">
        <x:v>Normal</x:v>
      </x:c>
      <x:c r="F81" s="1" t="str">
        <x:v>Física</x:v>
      </x:c>
      <x:c r="G81" s="10" t="n">
        <x:v>50</x:v>
      </x:c>
      <x:c r="H81" s="10" t="n">
        <x:f>IF(F81="Física",'Pokémon'!G12,IF(F81="Especial",'Pokémon'!I12,""))</x:f>
        <x:v>63</x:v>
      </x:c>
      <x:c r="I81" s="10" t="n">
        <x:f>IF(OR(F81="Status",G81=0),"",G81+H81)</x:f>
        <x:v>113</x:v>
      </x:c>
      <x:c r="J81" s="10" t="n">
        <x:v>1</x:v>
      </x:c>
      <x:c r="K81" s="12" t="n">
        <x:v>15</x:v>
      </x:c>
      <x:c r="L81" s="1" t="str"/>
      <x:c r="M81" s="9" t="str">
        <x:v>https://poke.idleworld.online/pokepedia/pokemon/wartortle</x:v>
      </x:c>
    </x:row>
    <x:row r="82" ht="22" customHeight="1">
      <x:c r="A82" s="1" t="n">
        <x:v>8</x:v>
      </x:c>
      <x:c r="B82" s="1" t="str">
        <x:v>Wartortle</x:v>
      </x:c>
      <x:c r="C82" s="1" t="n">
        <x:v>1</x:v>
      </x:c>
      <x:c r="D82" s="1" t="str">
        <x:v>Water Gun</x:v>
      </x:c>
      <x:c r="E82" s="1" t="str">
        <x:v>Água</x:v>
      </x:c>
      <x:c r="F82" s="1" t="str">
        <x:v>Especial</x:v>
      </x:c>
      <x:c r="G82" s="10" t="n">
        <x:v>40</x:v>
      </x:c>
      <x:c r="H82" s="10" t="n">
        <x:f>IF(F82="Física",'Pokémon'!G12,IF(F82="Especial",'Pokémon'!I12,""))</x:f>
        <x:v>65</x:v>
      </x:c>
      <x:c r="I82" s="10" t="n">
        <x:f>IF(OR(F82="Status",G82=0),"",G82+H82)</x:f>
        <x:v>105</x:v>
      </x:c>
      <x:c r="J82" s="10" t="n">
        <x:v>1</x:v>
      </x:c>
      <x:c r="K82" s="12" t="n">
        <x:v>18</x:v>
      </x:c>
      <x:c r="L82" s="1" t="str"/>
      <x:c r="M82" s="9" t="str">
        <x:v>https://poke.idleworld.online/pokepedia/pokemon/wartortle</x:v>
      </x:c>
    </x:row>
    <x:row r="83" ht="22" customHeight="1">
      <x:c r="A83" s="1" t="n">
        <x:v>8</x:v>
      </x:c>
      <x:c r="B83" s="1" t="str">
        <x:v>Wartortle</x:v>
      </x:c>
      <x:c r="C83" s="1" t="n">
        <x:v>3</x:v>
      </x:c>
      <x:c r="D83" s="1" t="str">
        <x:v>Bubble</x:v>
      </x:c>
      <x:c r="E83" s="1" t="str">
        <x:v>Água</x:v>
      </x:c>
      <x:c r="F83" s="1" t="str">
        <x:v>Especial</x:v>
      </x:c>
      <x:c r="G83" s="10" t="n">
        <x:v>40</x:v>
      </x:c>
      <x:c r="H83" s="10" t="n">
        <x:f>IF(F83="Física",'Pokémon'!G12,IF(F83="Especial",'Pokémon'!I12,""))</x:f>
        <x:v>65</x:v>
      </x:c>
      <x:c r="I83" s="10" t="n">
        <x:f>IF(OR(F83="Status",G83=0),"",G83+H83)</x:f>
        <x:v>105</x:v>
      </x:c>
      <x:c r="J83" s="10" t="n">
        <x:v>13</x:v>
      </x:c>
      <x:c r="K83" s="12" t="n">
        <x:v>15</x:v>
      </x:c>
      <x:c r="L83" s="1" t="str"/>
      <x:c r="M83" s="9" t="str">
        <x:v>https://poke.idleworld.online/pokepedia/pokemon/wartortle</x:v>
      </x:c>
    </x:row>
    <x:row r="84" ht="22" customHeight="1">
      <x:c r="A84" s="1" t="n">
        <x:v>8</x:v>
      </x:c>
      <x:c r="B84" s="1" t="str">
        <x:v>Wartortle</x:v>
      </x:c>
      <x:c r="C84" s="1" t="n">
        <x:v>5</x:v>
      </x:c>
      <x:c r="D84" s="1" t="str">
        <x:v>Rapid Spin</x:v>
      </x:c>
      <x:c r="E84" s="1" t="str">
        <x:v>Normal</x:v>
      </x:c>
      <x:c r="F84" s="1" t="str">
        <x:v>Física</x:v>
      </x:c>
      <x:c r="G84" s="10" t="n">
        <x:v>20</x:v>
      </x:c>
      <x:c r="H84" s="10" t="n">
        <x:f>IF(F84="Física",'Pokémon'!G12,IF(F84="Especial",'Pokémon'!I12,""))</x:f>
        <x:v>63</x:v>
      </x:c>
      <x:c r="I84" s="10" t="n">
        <x:f>IF(OR(F84="Status",G84=0),"",G84+H84)</x:f>
        <x:v>83</x:v>
      </x:c>
      <x:c r="J84" s="10" t="n">
        <x:v>20</x:v>
      </x:c>
      <x:c r="K84" s="12" t="n">
        <x:v>15</x:v>
      </x:c>
      <x:c r="L84" s="1" t="str"/>
      <x:c r="M84" s="9" t="str">
        <x:v>https://poke.idleworld.online/pokepedia/pokemon/wartortle</x:v>
      </x:c>
    </x:row>
    <x:row r="85" ht="22" customHeight="1">
      <x:c r="A85" s="1" t="n">
        <x:v>9</x:v>
      </x:c>
      <x:c r="B85" s="1" t="str">
        <x:v>Blastoise</x:v>
      </x:c>
      <x:c r="C85" s="1" t="n">
        <x:v>2</x:v>
      </x:c>
      <x:c r="D85" s="1" t="str">
        <x:v>Cyclonic Tide</x:v>
      </x:c>
      <x:c r="E85" s="1" t="str">
        <x:v>Água</x:v>
      </x:c>
      <x:c r="F85" s="1" t="str">
        <x:v>Especial</x:v>
      </x:c>
      <x:c r="G85" s="10" t="n">
        <x:v>300</x:v>
      </x:c>
      <x:c r="H85" s="10" t="n">
        <x:f>IF(F85="Física",'Pokémon'!G13,IF(F85="Especial",'Pokémon'!I13,""))</x:f>
        <x:v>85</x:v>
      </x:c>
      <x:c r="I85" s="10" t="n">
        <x:f>IF(OR(F85="Status",G85=0),"",G85+H85)</x:f>
        <x:v>385</x:v>
      </x:c>
      <x:c r="J85" s="10" t="n">
        <x:v>1</x:v>
      </x:c>
      <x:c r="K85" s="12" t="n">
        <x:v>10</x:v>
      </x:c>
      <x:c r="L85" s="1" t="str">
        <x:v>Sim</x:v>
      </x:c>
      <x:c r="M85" s="9" t="str">
        <x:v>https://poke.idleworld.online/pokepedia/pokemon/blastoise</x:v>
      </x:c>
    </x:row>
    <x:row r="86" ht="22" customHeight="1">
      <x:c r="A86" s="1" t="n">
        <x:v>9</x:v>
      </x:c>
      <x:c r="B86" s="1" t="str">
        <x:v>Blastoise</x:v>
      </x:c>
      <x:c r="C86" s="1" t="n">
        <x:v>10</x:v>
      </x:c>
      <x:c r="D86" s="1" t="str">
        <x:v>Skull Bash</x:v>
      </x:c>
      <x:c r="E86" s="1" t="str">
        <x:v>Normal</x:v>
      </x:c>
      <x:c r="F86" s="1" t="str">
        <x:v>Física</x:v>
      </x:c>
      <x:c r="G86" s="10" t="n">
        <x:v>130</x:v>
      </x:c>
      <x:c r="H86" s="10" t="n">
        <x:f>IF(F86="Física",'Pokémon'!G13,IF(F86="Especial",'Pokémon'!I13,""))</x:f>
        <x:v>83</x:v>
      </x:c>
      <x:c r="I86" s="10" t="n">
        <x:f>IF(OR(F86="Status",G86=0),"",G86+H86)</x:f>
        <x:v>213</x:v>
      </x:c>
      <x:c r="J86" s="10" t="n">
        <x:v>39</x:v>
      </x:c>
      <x:c r="K86" s="12" t="n">
        <x:v>50</x:v>
      </x:c>
      <x:c r="L86" s="1" t="str"/>
      <x:c r="M86" s="9" t="str">
        <x:v>https://poke.idleworld.online/pokepedia/pokemon/blastoise</x:v>
      </x:c>
    </x:row>
    <x:row r="87" ht="22" customHeight="1">
      <x:c r="A87" s="1" t="n">
        <x:v>9</x:v>
      </x:c>
      <x:c r="B87" s="1" t="str">
        <x:v>Blastoise</x:v>
      </x:c>
      <x:c r="C87" s="1" t="n">
        <x:v>11</x:v>
      </x:c>
      <x:c r="D87" s="1" t="str">
        <x:v>Hydro Pump</x:v>
      </x:c>
      <x:c r="E87" s="1" t="str">
        <x:v>Água</x:v>
      </x:c>
      <x:c r="F87" s="1" t="str">
        <x:v>Especial</x:v>
      </x:c>
      <x:c r="G87" s="10" t="n">
        <x:v>110</x:v>
      </x:c>
      <x:c r="H87" s="10" t="n">
        <x:f>IF(F87="Física",'Pokémon'!G13,IF(F87="Especial",'Pokémon'!I13,""))</x:f>
        <x:v>85</x:v>
      </x:c>
      <x:c r="I87" s="10" t="n">
        <x:f>IF(OR(F87="Status",G87=0),"",G87+H87)</x:f>
        <x:v>195</x:v>
      </x:c>
      <x:c r="J87" s="10" t="n">
        <x:v>60</x:v>
      </x:c>
      <x:c r="K87" s="12" t="n">
        <x:v>50</x:v>
      </x:c>
      <x:c r="L87" s="1" t="str"/>
      <x:c r="M87" s="9" t="str">
        <x:v>https://poke.idleworld.online/pokepedia/pokemon/blastoise</x:v>
      </x:c>
    </x:row>
    <x:row r="88" ht="22" customHeight="1">
      <x:c r="A88" s="1" t="n">
        <x:v>9</x:v>
      </x:c>
      <x:c r="B88" s="1" t="str">
        <x:v>Blastoise</x:v>
      </x:c>
      <x:c r="C88" s="1" t="n">
        <x:v>9</x:v>
      </x:c>
      <x:c r="D88" s="1" t="str">
        <x:v>Aqua Tail</x:v>
      </x:c>
      <x:c r="E88" s="1" t="str">
        <x:v>Água</x:v>
      </x:c>
      <x:c r="F88" s="1" t="str">
        <x:v>Física</x:v>
      </x:c>
      <x:c r="G88" s="10" t="n">
        <x:v>90</x:v>
      </x:c>
      <x:c r="H88" s="10" t="n">
        <x:f>IF(F88="Física",'Pokémon'!G13,IF(F88="Especial",'Pokémon'!I13,""))</x:f>
        <x:v>83</x:v>
      </x:c>
      <x:c r="I88" s="10" t="n">
        <x:f>IF(OR(F88="Status",G88=0),"",G88+H88)</x:f>
        <x:v>173</x:v>
      </x:c>
      <x:c r="J88" s="10" t="n">
        <x:v>32</x:v>
      </x:c>
      <x:c r="K88" s="12" t="n">
        <x:v>22</x:v>
      </x:c>
      <x:c r="L88" s="1" t="str"/>
      <x:c r="M88" s="9" t="str">
        <x:v>https://poke.idleworld.online/pokepedia/pokemon/blastoise</x:v>
      </x:c>
    </x:row>
    <x:row r="89" ht="22" customHeight="1">
      <x:c r="A89" s="1" t="n">
        <x:v>9</x:v>
      </x:c>
      <x:c r="B89" s="1" t="str">
        <x:v>Blastoise</x:v>
      </x:c>
      <x:c r="C89" s="1" t="n">
        <x:v>4</x:v>
      </x:c>
      <x:c r="D89" s="1" t="str">
        <x:v>Flash Cannon</x:v>
      </x:c>
      <x:c r="E89" s="1" t="str">
        <x:v>Aço</x:v>
      </x:c>
      <x:c r="F89" s="1" t="str">
        <x:v>Especial</x:v>
      </x:c>
      <x:c r="G89" s="10" t="n">
        <x:v>80</x:v>
      </x:c>
      <x:c r="H89" s="10" t="n">
        <x:f>IF(F89="Física",'Pokémon'!G13,IF(F89="Especial",'Pokémon'!I13,""))</x:f>
        <x:v>85</x:v>
      </x:c>
      <x:c r="I89" s="10" t="n">
        <x:f>IF(OR(F89="Status",G89=0),"",G89+H89)</x:f>
        <x:v>165</x:v>
      </x:c>
      <x:c r="J89" s="10" t="n">
        <x:v>1</x:v>
      </x:c>
      <x:c r="K89" s="12" t="n">
        <x:v>22</x:v>
      </x:c>
      <x:c r="L89" s="1" t="str"/>
      <x:c r="M89" s="9" t="str">
        <x:v>https://poke.idleworld.online/pokepedia/pokemon/blastoise</x:v>
      </x:c>
    </x:row>
    <x:row r="90" ht="22" customHeight="1">
      <x:c r="A90" s="1" t="n">
        <x:v>9</x:v>
      </x:c>
      <x:c r="B90" s="1" t="str">
        <x:v>Blastoise</x:v>
      </x:c>
      <x:c r="C90" s="1" t="n">
        <x:v>8</x:v>
      </x:c>
      <x:c r="D90" s="1" t="str">
        <x:v>Water Pulse</x:v>
      </x:c>
      <x:c r="E90" s="1" t="str">
        <x:v>Água</x:v>
      </x:c>
      <x:c r="F90" s="1" t="str">
        <x:v>Especial</x:v>
      </x:c>
      <x:c r="G90" s="10" t="n">
        <x:v>60</x:v>
      </x:c>
      <x:c r="H90" s="10" t="n">
        <x:f>IF(F90="Física",'Pokémon'!G13,IF(F90="Especial",'Pokémon'!I13,""))</x:f>
        <x:v>85</x:v>
      </x:c>
      <x:c r="I90" s="10" t="n">
        <x:f>IF(OR(F90="Status",G90=0),"",G90+H90)</x:f>
        <x:v>145</x:v>
      </x:c>
      <x:c r="J90" s="10" t="n">
        <x:v>28</x:v>
      </x:c>
      <x:c r="K90" s="12" t="n">
        <x:v>60</x:v>
      </x:c>
      <x:c r="L90" s="1" t="str"/>
      <x:c r="M90" s="9" t="str">
        <x:v>https://poke.idleworld.online/pokepedia/pokemon/blastoise</x:v>
      </x:c>
    </x:row>
    <x:row r="91" ht="22" customHeight="1">
      <x:c r="A91" s="1" t="n">
        <x:v>9</x:v>
      </x:c>
      <x:c r="B91" s="1" t="str">
        <x:v>Blastoise</x:v>
      </x:c>
      <x:c r="C91" s="1" t="n">
        <x:v>6</x:v>
      </x:c>
      <x:c r="D91" s="1" t="str">
        <x:v>Bite</x:v>
      </x:c>
      <x:c r="E91" s="1" t="str">
        <x:v>Sombrio</x:v>
      </x:c>
      <x:c r="F91" s="1" t="str">
        <x:v>Física</x:v>
      </x:c>
      <x:c r="G91" s="10" t="n">
        <x:v>60</x:v>
      </x:c>
      <x:c r="H91" s="10" t="n">
        <x:f>IF(F91="Física",'Pokémon'!G13,IF(F91="Especial",'Pokémon'!I13,""))</x:f>
        <x:v>83</x:v>
      </x:c>
      <x:c r="I91" s="10" t="n">
        <x:f>IF(OR(F91="Status",G91=0),"",G91+H91)</x:f>
        <x:v>143</x:v>
      </x:c>
      <x:c r="J91" s="10" t="n">
        <x:v>16</x:v>
      </x:c>
      <x:c r="K91" s="12" t="n">
        <x:v>20</x:v>
      </x:c>
      <x:c r="L91" s="1" t="str"/>
      <x:c r="M91" s="9" t="str">
        <x:v>https://poke.idleworld.online/pokepedia/pokemon/blastoise</x:v>
      </x:c>
    </x:row>
    <x:row r="92" ht="22" customHeight="1">
      <x:c r="A92" s="1" t="n">
        <x:v>9</x:v>
      </x:c>
      <x:c r="B92" s="1" t="str">
        <x:v>Blastoise</x:v>
      </x:c>
      <x:c r="C92" s="1" t="n">
        <x:v>3</x:v>
      </x:c>
      <x:c r="D92" s="1" t="str">
        <x:v>Tackle</x:v>
      </x:c>
      <x:c r="E92" s="1" t="str">
        <x:v>Normal</x:v>
      </x:c>
      <x:c r="F92" s="1" t="str">
        <x:v>Física</x:v>
      </x:c>
      <x:c r="G92" s="10" t="n">
        <x:v>50</x:v>
      </x:c>
      <x:c r="H92" s="10" t="n">
        <x:f>IF(F92="Física",'Pokémon'!G13,IF(F92="Especial",'Pokémon'!I13,""))</x:f>
        <x:v>83</x:v>
      </x:c>
      <x:c r="I92" s="10" t="n">
        <x:f>IF(OR(F92="Status",G92=0),"",G92+H92)</x:f>
        <x:v>133</x:v>
      </x:c>
      <x:c r="J92" s="10" t="n">
        <x:v>1</x:v>
      </x:c>
      <x:c r="K92" s="12" t="n">
        <x:v>15</x:v>
      </x:c>
      <x:c r="L92" s="1" t="str"/>
      <x:c r="M92" s="9" t="str">
        <x:v>https://poke.idleworld.online/pokepedia/pokemon/blastoise</x:v>
      </x:c>
    </x:row>
    <x:row r="93" ht="22" customHeight="1">
      <x:c r="A93" s="1" t="n">
        <x:v>9</x:v>
      </x:c>
      <x:c r="B93" s="1" t="str">
        <x:v>Blastoise</x:v>
      </x:c>
      <x:c r="C93" s="1" t="n">
        <x:v>1</x:v>
      </x:c>
      <x:c r="D93" s="1" t="str">
        <x:v>Water Gun</x:v>
      </x:c>
      <x:c r="E93" s="1" t="str">
        <x:v>Água</x:v>
      </x:c>
      <x:c r="F93" s="1" t="str">
        <x:v>Especial</x:v>
      </x:c>
      <x:c r="G93" s="10" t="n">
        <x:v>40</x:v>
      </x:c>
      <x:c r="H93" s="10" t="n">
        <x:f>IF(F93="Física",'Pokémon'!G13,IF(F93="Especial",'Pokémon'!I13,""))</x:f>
        <x:v>85</x:v>
      </x:c>
      <x:c r="I93" s="10" t="n">
        <x:f>IF(OR(F93="Status",G93=0),"",G93+H93)</x:f>
        <x:v>125</x:v>
      </x:c>
      <x:c r="J93" s="10" t="n">
        <x:v>1</x:v>
      </x:c>
      <x:c r="K93" s="12" t="n">
        <x:v>18</x:v>
      </x:c>
      <x:c r="L93" s="1" t="str"/>
      <x:c r="M93" s="9" t="str">
        <x:v>https://poke.idleworld.online/pokepedia/pokemon/blastoise</x:v>
      </x:c>
    </x:row>
    <x:row r="94" ht="22" customHeight="1">
      <x:c r="A94" s="1" t="n">
        <x:v>9</x:v>
      </x:c>
      <x:c r="B94" s="1" t="str">
        <x:v>Blastoise</x:v>
      </x:c>
      <x:c r="C94" s="1" t="n">
        <x:v>5</x:v>
      </x:c>
      <x:c r="D94" s="1" t="str">
        <x:v>Bubble</x:v>
      </x:c>
      <x:c r="E94" s="1" t="str">
        <x:v>Água</x:v>
      </x:c>
      <x:c r="F94" s="1" t="str">
        <x:v>Especial</x:v>
      </x:c>
      <x:c r="G94" s="10" t="n">
        <x:v>40</x:v>
      </x:c>
      <x:c r="H94" s="10" t="n">
        <x:f>IF(F94="Física",'Pokémon'!G13,IF(F94="Especial",'Pokémon'!I13,""))</x:f>
        <x:v>85</x:v>
      </x:c>
      <x:c r="I94" s="10" t="n">
        <x:f>IF(OR(F94="Status",G94=0),"",G94+H94)</x:f>
        <x:v>125</x:v>
      </x:c>
      <x:c r="J94" s="10" t="n">
        <x:v>13</x:v>
      </x:c>
      <x:c r="K94" s="12" t="n">
        <x:v>15</x:v>
      </x:c>
      <x:c r="L94" s="1" t="str"/>
      <x:c r="M94" s="9" t="str">
        <x:v>https://poke.idleworld.online/pokepedia/pokemon/blastoise</x:v>
      </x:c>
    </x:row>
    <x:row r="95" ht="22" customHeight="1">
      <x:c r="A95" s="1" t="n">
        <x:v>9</x:v>
      </x:c>
      <x:c r="B95" s="1" t="str">
        <x:v>Blastoise</x:v>
      </x:c>
      <x:c r="C95" s="1" t="n">
        <x:v>7</x:v>
      </x:c>
      <x:c r="D95" s="1" t="str">
        <x:v>Rapid Spin</x:v>
      </x:c>
      <x:c r="E95" s="1" t="str">
        <x:v>Normal</x:v>
      </x:c>
      <x:c r="F95" s="1" t="str">
        <x:v>Física</x:v>
      </x:c>
      <x:c r="G95" s="10" t="n">
        <x:v>20</x:v>
      </x:c>
      <x:c r="H95" s="10" t="n">
        <x:f>IF(F95="Física",'Pokémon'!G13,IF(F95="Especial",'Pokémon'!I13,""))</x:f>
        <x:v>83</x:v>
      </x:c>
      <x:c r="I95" s="10" t="n">
        <x:f>IF(OR(F95="Status",G95=0),"",G95+H95)</x:f>
        <x:v>103</x:v>
      </x:c>
      <x:c r="J95" s="10" t="n">
        <x:v>20</x:v>
      </x:c>
      <x:c r="K95" s="12" t="n">
        <x:v>15</x:v>
      </x:c>
      <x:c r="L95" s="1" t="str"/>
      <x:c r="M95" s="9" t="str">
        <x:v>https://poke.idleworld.online/pokepedia/pokemon/blastoise</x:v>
      </x:c>
    </x:row>
    <x:row r="96" ht="22" customHeight="1">
      <x:c r="A96" s="1" t="n">
        <x:v>10</x:v>
      </x:c>
      <x:c r="B96" s="1" t="str">
        <x:v>Caterpie</x:v>
      </x:c>
      <x:c r="C96" s="1" t="n">
        <x:v>3</x:v>
      </x:c>
      <x:c r="D96" s="1" t="str">
        <x:v>Bug Bite</x:v>
      </x:c>
      <x:c r="E96" s="1" t="str">
        <x:v>Inseto</x:v>
      </x:c>
      <x:c r="F96" s="1" t="str">
        <x:v>Física</x:v>
      </x:c>
      <x:c r="G96" s="10" t="n">
        <x:v>60</x:v>
      </x:c>
      <x:c r="H96" s="10" t="n">
        <x:f>IF(F96="Física",'Pokémon'!G14,IF(F96="Especial",'Pokémon'!I14,""))</x:f>
        <x:v>30</x:v>
      </x:c>
      <x:c r="I96" s="10" t="n">
        <x:f>IF(OR(F96="Status",G96=0),"",G96+H96)</x:f>
        <x:v>90</x:v>
      </x:c>
      <x:c r="J96" s="10" t="n">
        <x:v>15</x:v>
      </x:c>
      <x:c r="K96" s="12" t="n">
        <x:v>10</x:v>
      </x:c>
      <x:c r="L96" s="1" t="str"/>
      <x:c r="M96" s="9" t="str">
        <x:v>https://poke.idleworld.online/pokepedia/pokemon/caterpie</x:v>
      </x:c>
    </x:row>
    <x:row r="97" ht="22" customHeight="1">
      <x:c r="A97" s="1" t="n">
        <x:v>10</x:v>
      </x:c>
      <x:c r="B97" s="1" t="str">
        <x:v>Caterpie</x:v>
      </x:c>
      <x:c r="C97" s="1" t="n">
        <x:v>2</x:v>
      </x:c>
      <x:c r="D97" s="1" t="str">
        <x:v>Tackle</x:v>
      </x:c>
      <x:c r="E97" s="1" t="str">
        <x:v>Normal</x:v>
      </x:c>
      <x:c r="F97" s="1" t="str">
        <x:v>Física</x:v>
      </x:c>
      <x:c r="G97" s="10" t="n">
        <x:v>50</x:v>
      </x:c>
      <x:c r="H97" s="10" t="n">
        <x:f>IF(F97="Física",'Pokémon'!G14,IF(F97="Especial",'Pokémon'!I14,""))</x:f>
        <x:v>30</x:v>
      </x:c>
      <x:c r="I97" s="10" t="n">
        <x:f>IF(OR(F97="Status",G97=0),"",G97+H97)</x:f>
        <x:v>80</x:v>
      </x:c>
      <x:c r="J97" s="10" t="n">
        <x:v>1</x:v>
      </x:c>
      <x:c r="K97" s="12" t="n">
        <x:v>15</x:v>
      </x:c>
      <x:c r="L97" s="1" t="str"/>
      <x:c r="M97" s="9" t="str">
        <x:v>https://poke.idleworld.online/pokepedia/pokemon/caterpie</x:v>
      </x:c>
    </x:row>
    <x:row r="98" ht="22" customHeight="1">
      <x:c r="A98" s="1" t="n">
        <x:v>10</x:v>
      </x:c>
      <x:c r="B98" s="1" t="str">
        <x:v>Caterpie</x:v>
      </x:c>
      <x:c r="C98" s="1" t="n">
        <x:v>1</x:v>
      </x:c>
      <x:c r="D98" s="1" t="str">
        <x:v>String Shot</x:v>
      </x:c>
      <x:c r="E98" s="1" t="str">
        <x:v>Inseto</x:v>
      </x:c>
      <x:c r="F98" s="1" t="str">
        <x:v>Status</x:v>
      </x:c>
      <x:c r="G98" s="10" t="n">
        <x:v>0</x:v>
      </x:c>
      <x:c r="H98" s="10" t="str">
        <x:f>IF(F98="Física",'Pokémon'!G14,IF(F98="Especial",'Pokémon'!I14,""))</x:f>
      </x:c>
      <x:c r="I98" s="10" t="str">
        <x:f>IF(OR(F98="Status",G98=0),"",G98+H98)</x:f>
      </x:c>
      <x:c r="J98" s="10" t="n">
        <x:v>1</x:v>
      </x:c>
      <x:c r="K98" s="12" t="n">
        <x:v>10</x:v>
      </x:c>
      <x:c r="L98" s="1" t="str"/>
      <x:c r="M98" s="9" t="str">
        <x:v>https://poke.idleworld.online/pokepedia/pokemon/caterpie</x:v>
      </x:c>
    </x:row>
    <x:row r="99" ht="22" customHeight="1">
      <x:c r="A99" s="1" t="n">
        <x:v>11</x:v>
      </x:c>
      <x:c r="B99" s="1" t="str">
        <x:v>Metapod</x:v>
      </x:c>
      <x:c r="C99" s="1" t="n">
        <x:v>1</x:v>
      </x:c>
      <x:c r="D99" s="1" t="str">
        <x:v>Harden</x:v>
      </x:c>
      <x:c r="E99" s="1" t="str">
        <x:v>Normal</x:v>
      </x:c>
      <x:c r="F99" s="1" t="str">
        <x:v>Status</x:v>
      </x:c>
      <x:c r="G99" s="10" t="n">
        <x:v>0</x:v>
      </x:c>
      <x:c r="H99" s="10" t="str">
        <x:f>IF(F99="Física",'Pokémon'!G15,IF(F99="Especial",'Pokémon'!I15,""))</x:f>
      </x:c>
      <x:c r="I99" s="10" t="str">
        <x:f>IF(OR(F99="Status",G99=0),"",G99+H99)</x:f>
      </x:c>
      <x:c r="J99" s="10" t="n">
        <x:v>1</x:v>
      </x:c>
      <x:c r="K99" s="12" t="n">
        <x:v>30</x:v>
      </x:c>
      <x:c r="L99" s="1" t="str"/>
      <x:c r="M99" s="9" t="str">
        <x:v>https://poke.idleworld.online/pokepedia/pokemon/metapod</x:v>
      </x:c>
    </x:row>
    <x:row r="100" ht="22" customHeight="1">
      <x:c r="A100" s="1" t="n">
        <x:v>12</x:v>
      </x:c>
      <x:c r="B100" s="1" t="str">
        <x:v>Butterfree</x:v>
      </x:c>
      <x:c r="C100" s="1" t="n">
        <x:v>2</x:v>
      </x:c>
      <x:c r="D100" s="1" t="str">
        <x:v>Massive Hurricane</x:v>
      </x:c>
      <x:c r="E100" s="1" t="str">
        <x:v>Voador</x:v>
      </x:c>
      <x:c r="F100" s="1" t="str">
        <x:v>Física</x:v>
      </x:c>
      <x:c r="G100" s="10" t="n">
        <x:v>300</x:v>
      </x:c>
      <x:c r="H100" s="10" t="n">
        <x:f>IF(F100="Física",'Pokémon'!G16,IF(F100="Especial",'Pokémon'!I16,""))</x:f>
        <x:v>45</x:v>
      </x:c>
      <x:c r="I100" s="10" t="n">
        <x:f>IF(OR(F100="Status",G100=0),"",G100+H100)</x:f>
        <x:v>345</x:v>
      </x:c>
      <x:c r="J100" s="10" t="n">
        <x:v>1</x:v>
      </x:c>
      <x:c r="K100" s="12" t="n">
        <x:v>10</x:v>
      </x:c>
      <x:c r="L100" s="1" t="str">
        <x:v>Sim</x:v>
      </x:c>
      <x:c r="M100" s="9" t="str">
        <x:v>https://poke.idleworld.online/pokepedia/pokemon/butterfree</x:v>
      </x:c>
    </x:row>
    <x:row r="101" ht="22" customHeight="1">
      <x:c r="A101" s="1" t="n">
        <x:v>12</x:v>
      </x:c>
      <x:c r="B101" s="1" t="str">
        <x:v>Butterfree</x:v>
      </x:c>
      <x:c r="C101" s="1" t="n">
        <x:v>3</x:v>
      </x:c>
      <x:c r="D101" s="1" t="str">
        <x:v>Hive Crush</x:v>
      </x:c>
      <x:c r="E101" s="1" t="str">
        <x:v>Inseto</x:v>
      </x:c>
      <x:c r="F101" s="1" t="str">
        <x:v>Física</x:v>
      </x:c>
      <x:c r="G101" s="10" t="n">
        <x:v>300</x:v>
      </x:c>
      <x:c r="H101" s="10" t="n">
        <x:f>IF(F101="Física",'Pokémon'!G16,IF(F101="Especial",'Pokémon'!I16,""))</x:f>
        <x:v>45</x:v>
      </x:c>
      <x:c r="I101" s="10" t="n">
        <x:f>IF(OR(F101="Status",G101=0),"",G101+H101)</x:f>
        <x:v>345</x:v>
      </x:c>
      <x:c r="J101" s="10" t="n">
        <x:v>1</x:v>
      </x:c>
      <x:c r="K101" s="12" t="n">
        <x:v>10</x:v>
      </x:c>
      <x:c r="L101" s="1" t="str">
        <x:v>Sim</x:v>
      </x:c>
      <x:c r="M101" s="9" t="str">
        <x:v>https://poke.idleworld.online/pokepedia/pokemon/butterfree</x:v>
      </x:c>
    </x:row>
    <x:row r="102" ht="22" customHeight="1">
      <x:c r="A102" s="1" t="n">
        <x:v>12</x:v>
      </x:c>
      <x:c r="B102" s="1" t="str">
        <x:v>Butterfree</x:v>
      </x:c>
      <x:c r="C102" s="1" t="n">
        <x:v>11</x:v>
      </x:c>
      <x:c r="D102" s="1" t="str">
        <x:v>Bug Buzz</x:v>
      </x:c>
      <x:c r="E102" s="1" t="str">
        <x:v>Inseto</x:v>
      </x:c>
      <x:c r="F102" s="1" t="str">
        <x:v>Especial</x:v>
      </x:c>
      <x:c r="G102" s="10" t="n">
        <x:v>90</x:v>
      </x:c>
      <x:c r="H102" s="10" t="n">
        <x:f>IF(F102="Física",'Pokémon'!G16,IF(F102="Especial",'Pokémon'!I16,""))</x:f>
        <x:v>90</x:v>
      </x:c>
      <x:c r="I102" s="10" t="n">
        <x:f>IF(OR(F102="Status",G102=0),"",G102+H102)</x:f>
        <x:v>180</x:v>
      </x:c>
      <x:c r="J102" s="10" t="n">
        <x:v>42</x:v>
      </x:c>
      <x:c r="K102" s="12" t="n">
        <x:v>22</x:v>
      </x:c>
      <x:c r="L102" s="1" t="str"/>
      <x:c r="M102" s="9" t="str">
        <x:v>https://poke.idleworld.online/pokepedia/pokemon/butterfree</x:v>
      </x:c>
    </x:row>
    <x:row r="103" ht="22" customHeight="1">
      <x:c r="A103" s="1" t="n">
        <x:v>12</x:v>
      </x:c>
      <x:c r="B103" s="1" t="str">
        <x:v>Butterfree</x:v>
      </x:c>
      <x:c r="C103" s="1" t="n">
        <x:v>8</x:v>
      </x:c>
      <x:c r="D103" s="1" t="str">
        <x:v>Psybeam</x:v>
      </x:c>
      <x:c r="E103" s="1" t="str">
        <x:v>Psíquico</x:v>
      </x:c>
      <x:c r="F103" s="1" t="str">
        <x:v>Especial</x:v>
      </x:c>
      <x:c r="G103" s="10" t="n">
        <x:v>65</x:v>
      </x:c>
      <x:c r="H103" s="10" t="n">
        <x:f>IF(F103="Física",'Pokémon'!G16,IF(F103="Especial",'Pokémon'!I16,""))</x:f>
        <x:v>90</x:v>
      </x:c>
      <x:c r="I103" s="10" t="n">
        <x:f>IF(OR(F103="Status",G103=0),"",G103+H103)</x:f>
        <x:v>155</x:v>
      </x:c>
      <x:c r="J103" s="10" t="n">
        <x:v>24</x:v>
      </x:c>
      <x:c r="K103" s="12" t="n">
        <x:v>10</x:v>
      </x:c>
      <x:c r="L103" s="1" t="str"/>
      <x:c r="M103" s="9" t="str">
        <x:v>https://poke.idleworld.online/pokepedia/pokemon/butterfree</x:v>
      </x:c>
    </x:row>
    <x:row r="104" ht="22" customHeight="1">
      <x:c r="A104" s="1" t="n">
        <x:v>12</x:v>
      </x:c>
      <x:c r="B104" s="1" t="str">
        <x:v>Butterfree</x:v>
      </x:c>
      <x:c r="C104" s="1" t="n">
        <x:v>9</x:v>
      </x:c>
      <x:c r="D104" s="1" t="str">
        <x:v>Silver Wind</x:v>
      </x:c>
      <x:c r="E104" s="1" t="str">
        <x:v>Inseto</x:v>
      </x:c>
      <x:c r="F104" s="1" t="str">
        <x:v>Especial</x:v>
      </x:c>
      <x:c r="G104" s="10" t="n">
        <x:v>60</x:v>
      </x:c>
      <x:c r="H104" s="10" t="n">
        <x:f>IF(F104="Física",'Pokémon'!G16,IF(F104="Especial",'Pokémon'!I16,""))</x:f>
        <x:v>90</x:v>
      </x:c>
      <x:c r="I104" s="10" t="n">
        <x:f>IF(OR(F104="Status",G104=0),"",G104+H104)</x:f>
        <x:v>150</x:v>
      </x:c>
      <x:c r="J104" s="10" t="n">
        <x:v>28</x:v>
      </x:c>
      <x:c r="K104" s="12" t="n">
        <x:v>15</x:v>
      </x:c>
      <x:c r="L104" s="1" t="str"/>
      <x:c r="M104" s="9" t="str">
        <x:v>https://poke.idleworld.online/pokepedia/pokemon/butterfree</x:v>
      </x:c>
    </x:row>
    <x:row r="105" ht="22" customHeight="1">
      <x:c r="A105" s="1" t="n">
        <x:v>12</x:v>
      </x:c>
      <x:c r="B105" s="1" t="str">
        <x:v>Butterfree</x:v>
      </x:c>
      <x:c r="C105" s="1" t="n">
        <x:v>1</x:v>
      </x:c>
      <x:c r="D105" s="1" t="str">
        <x:v>Confusion</x:v>
      </x:c>
      <x:c r="E105" s="1" t="str">
        <x:v>Psíquico</x:v>
      </x:c>
      <x:c r="F105" s="1" t="str">
        <x:v>Especial</x:v>
      </x:c>
      <x:c r="G105" s="10" t="n">
        <x:v>50</x:v>
      </x:c>
      <x:c r="H105" s="10" t="n">
        <x:f>IF(F105="Física",'Pokémon'!G16,IF(F105="Especial",'Pokémon'!I16,""))</x:f>
        <x:v>90</x:v>
      </x:c>
      <x:c r="I105" s="10" t="n">
        <x:f>IF(OR(F105="Status",G105=0),"",G105+H105)</x:f>
        <x:v>140</x:v>
      </x:c>
      <x:c r="J105" s="10" t="n">
        <x:v>1</x:v>
      </x:c>
      <x:c r="K105" s="12" t="n">
        <x:v>30</x:v>
      </x:c>
      <x:c r="L105" s="1" t="str"/>
      <x:c r="M105" s="9" t="str">
        <x:v>https://poke.idleworld.online/pokepedia/pokemon/butterfree</x:v>
      </x:c>
    </x:row>
    <x:row r="106" ht="22" customHeight="1">
      <x:c r="A106" s="1" t="n">
        <x:v>12</x:v>
      </x:c>
      <x:c r="B106" s="1" t="str">
        <x:v>Butterfree</x:v>
      </x:c>
      <x:c r="C106" s="1" t="n">
        <x:v>6</x:v>
      </x:c>
      <x:c r="D106" s="1" t="str">
        <x:v>Gust</x:v>
      </x:c>
      <x:c r="E106" s="1" t="str">
        <x:v>Voador</x:v>
      </x:c>
      <x:c r="F106" s="1" t="str">
        <x:v>Especial</x:v>
      </x:c>
      <x:c r="G106" s="10" t="n">
        <x:v>40</x:v>
      </x:c>
      <x:c r="H106" s="10" t="n">
        <x:f>IF(F106="Física",'Pokémon'!G16,IF(F106="Especial",'Pokémon'!I16,""))</x:f>
        <x:v>90</x:v>
      </x:c>
      <x:c r="I106" s="10" t="n">
        <x:f>IF(OR(F106="Status",G106=0),"",G106+H106)</x:f>
        <x:v>130</x:v>
      </x:c>
      <x:c r="J106" s="10" t="n">
        <x:v>16</x:v>
      </x:c>
      <x:c r="K106" s="12" t="n">
        <x:v>15</x:v>
      </x:c>
      <x:c r="L106" s="1" t="str"/>
      <x:c r="M106" s="9" t="str">
        <x:v>https://poke.idleworld.online/pokepedia/pokemon/butterfree</x:v>
      </x:c>
    </x:row>
    <x:row r="107" ht="22" customHeight="1">
      <x:c r="A107" s="1" t="n">
        <x:v>12</x:v>
      </x:c>
      <x:c r="B107" s="1" t="str">
        <x:v>Butterfree</x:v>
      </x:c>
      <x:c r="C107" s="1" t="n">
        <x:v>4</x:v>
      </x:c>
      <x:c r="D107" s="1" t="str">
        <x:v>Poison Powder</x:v>
      </x:c>
      <x:c r="E107" s="1" t="str">
        <x:v>Venenoso</x:v>
      </x:c>
      <x:c r="F107" s="1" t="str">
        <x:v>Status</x:v>
      </x:c>
      <x:c r="G107" s="10" t="n">
        <x:v>0</x:v>
      </x:c>
      <x:c r="H107" s="10" t="str">
        <x:f>IF(F107="Física",'Pokémon'!G16,IF(F107="Especial",'Pokémon'!I16,""))</x:f>
      </x:c>
      <x:c r="I107" s="10" t="str">
        <x:f>IF(OR(F107="Status",G107=0),"",G107+H107)</x:f>
      </x:c>
      <x:c r="J107" s="10" t="n">
        <x:v>12</x:v>
      </x:c>
      <x:c r="K107" s="12" t="n">
        <x:v>20</x:v>
      </x:c>
      <x:c r="L107" s="1" t="str"/>
      <x:c r="M107" s="9" t="str">
        <x:v>https://poke.idleworld.online/pokepedia/pokemon/butterfree</x:v>
      </x:c>
    </x:row>
    <x:row r="108" ht="22" customHeight="1">
      <x:c r="A108" s="1" t="n">
        <x:v>12</x:v>
      </x:c>
      <x:c r="B108" s="1" t="str">
        <x:v>Butterfree</x:v>
      </x:c>
      <x:c r="C108" s="1" t="n">
        <x:v>5</x:v>
      </x:c>
      <x:c r="D108" s="1" t="str">
        <x:v>Sleep Powder</x:v>
      </x:c>
      <x:c r="E108" s="1" t="str">
        <x:v>Planta</x:v>
      </x:c>
      <x:c r="F108" s="1" t="str">
        <x:v>Status</x:v>
      </x:c>
      <x:c r="G108" s="10" t="n">
        <x:v>0</x:v>
      </x:c>
      <x:c r="H108" s="10" t="str">
        <x:f>IF(F108="Física",'Pokémon'!G16,IF(F108="Especial",'Pokémon'!I16,""))</x:f>
      </x:c>
      <x:c r="I108" s="10" t="str">
        <x:f>IF(OR(F108="Status",G108=0),"",G108+H108)</x:f>
      </x:c>
      <x:c r="J108" s="10" t="n">
        <x:v>12</x:v>
      </x:c>
      <x:c r="K108" s="12" t="n">
        <x:v>30</x:v>
      </x:c>
      <x:c r="L108" s="1" t="str"/>
      <x:c r="M108" s="9" t="str">
        <x:v>https://poke.idleworld.online/pokepedia/pokemon/butterfree</x:v>
      </x:c>
    </x:row>
    <x:row r="109" ht="22" customHeight="1">
      <x:c r="A109" s="1" t="n">
        <x:v>12</x:v>
      </x:c>
      <x:c r="B109" s="1" t="str">
        <x:v>Butterfree</x:v>
      </x:c>
      <x:c r="C109" s="1" t="n">
        <x:v>7</x:v>
      </x:c>
      <x:c r="D109" s="1" t="str">
        <x:v>Super Sonic</x:v>
      </x:c>
      <x:c r="E109" s="1" t="str">
        <x:v>Normal</x:v>
      </x:c>
      <x:c r="F109" s="1" t="str">
        <x:v>Status</x:v>
      </x:c>
      <x:c r="G109" s="10" t="n">
        <x:v>0</x:v>
      </x:c>
      <x:c r="H109" s="10" t="str">
        <x:f>IF(F109="Física",'Pokémon'!G16,IF(F109="Especial",'Pokémon'!I16,""))</x:f>
      </x:c>
      <x:c r="I109" s="10" t="str">
        <x:f>IF(OR(F109="Status",G109=0),"",G109+H109)</x:f>
      </x:c>
      <x:c r="J109" s="10" t="n">
        <x:v>18</x:v>
      </x:c>
      <x:c r="K109" s="12" t="n">
        <x:v>30</x:v>
      </x:c>
      <x:c r="L109" s="1" t="str"/>
      <x:c r="M109" s="9" t="str">
        <x:v>https://poke.idleworld.online/pokepedia/pokemon/butterfree</x:v>
      </x:c>
    </x:row>
    <x:row r="110" ht="22" customHeight="1">
      <x:c r="A110" s="1" t="n">
        <x:v>12</x:v>
      </x:c>
      <x:c r="B110" s="1" t="str">
        <x:v>Butterfree</x:v>
      </x:c>
      <x:c r="C110" s="1" t="n">
        <x:v>10</x:v>
      </x:c>
      <x:c r="D110" s="1" t="str">
        <x:v>Safeguard</x:v>
      </x:c>
      <x:c r="E110" s="1" t="str">
        <x:v>Normal</x:v>
      </x:c>
      <x:c r="F110" s="1" t="str">
        <x:v>Status</x:v>
      </x:c>
      <x:c r="G110" s="10" t="n">
        <x:v>0</x:v>
      </x:c>
      <x:c r="H110" s="10" t="str">
        <x:f>IF(F110="Física",'Pokémon'!G16,IF(F110="Especial",'Pokémon'!I16,""))</x:f>
      </x:c>
      <x:c r="I110" s="10" t="str">
        <x:f>IF(OR(F110="Status",G110=0),"",G110+H110)</x:f>
      </x:c>
      <x:c r="J110" s="10" t="n">
        <x:v>36</x:v>
      </x:c>
      <x:c r="K110" s="12" t="n">
        <x:v>40</x:v>
      </x:c>
      <x:c r="L110" s="1" t="str"/>
      <x:c r="M110" s="9" t="str">
        <x:v>https://poke.idleworld.online/pokepedia/pokemon/butterfree</x:v>
      </x:c>
    </x:row>
    <x:row r="111" ht="22" customHeight="1">
      <x:c r="A111" s="1" t="n">
        <x:v>13</x:v>
      </x:c>
      <x:c r="B111" s="1" t="str">
        <x:v>Weedle</x:v>
      </x:c>
      <x:c r="C111" s="1" t="n">
        <x:v>3</x:v>
      </x:c>
      <x:c r="D111" s="1" t="str">
        <x:v>Bug Bite</x:v>
      </x:c>
      <x:c r="E111" s="1" t="str">
        <x:v>Inseto</x:v>
      </x:c>
      <x:c r="F111" s="1" t="str">
        <x:v>Física</x:v>
      </x:c>
      <x:c r="G111" s="10" t="n">
        <x:v>60</x:v>
      </x:c>
      <x:c r="H111" s="10" t="n">
        <x:f>IF(F111="Física",'Pokémon'!G17,IF(F111="Especial",'Pokémon'!I17,""))</x:f>
        <x:v>35</x:v>
      </x:c>
      <x:c r="I111" s="10" t="n">
        <x:f>IF(OR(F111="Status",G111=0),"",G111+H111)</x:f>
        <x:v>95</x:v>
      </x:c>
      <x:c r="J111" s="10" t="n">
        <x:v>15</x:v>
      </x:c>
      <x:c r="K111" s="12" t="n">
        <x:v>20</x:v>
      </x:c>
      <x:c r="L111" s="1" t="str"/>
      <x:c r="M111" s="9" t="str">
        <x:v>https://poke.idleworld.online/pokepedia/pokemon/weedle</x:v>
      </x:c>
    </x:row>
    <x:row r="112" ht="22" customHeight="1">
      <x:c r="A112" s="1" t="n">
        <x:v>13</x:v>
      </x:c>
      <x:c r="B112" s="1" t="str">
        <x:v>Weedle</x:v>
      </x:c>
      <x:c r="C112" s="1" t="n">
        <x:v>1</x:v>
      </x:c>
      <x:c r="D112" s="1" t="str">
        <x:v>Poison Sting</x:v>
      </x:c>
      <x:c r="E112" s="1" t="str">
        <x:v>Venenoso</x:v>
      </x:c>
      <x:c r="F112" s="1" t="str">
        <x:v>Física</x:v>
      </x:c>
      <x:c r="G112" s="10" t="n">
        <x:v>15</x:v>
      </x:c>
      <x:c r="H112" s="10" t="n">
        <x:f>IF(F112="Física",'Pokémon'!G17,IF(F112="Especial",'Pokémon'!I17,""))</x:f>
        <x:v>35</x:v>
      </x:c>
      <x:c r="I112" s="10" t="n">
        <x:f>IF(OR(F112="Status",G112=0),"",G112+H112)</x:f>
        <x:v>50</x:v>
      </x:c>
      <x:c r="J112" s="10" t="n">
        <x:v>1</x:v>
      </x:c>
      <x:c r="K112" s="12" t="n">
        <x:v>10</x:v>
      </x:c>
      <x:c r="L112" s="1" t="str"/>
      <x:c r="M112" s="9" t="str">
        <x:v>https://poke.idleworld.online/pokepedia/pokemon/weedle</x:v>
      </x:c>
    </x:row>
    <x:row r="113" ht="22" customHeight="1">
      <x:c r="A113" s="1" t="n">
        <x:v>13</x:v>
      </x:c>
      <x:c r="B113" s="1" t="str">
        <x:v>Weedle</x:v>
      </x:c>
      <x:c r="C113" s="1" t="n">
        <x:v>2</x:v>
      </x:c>
      <x:c r="D113" s="1" t="str">
        <x:v>String Shot</x:v>
      </x:c>
      <x:c r="E113" s="1" t="str">
        <x:v>Inseto</x:v>
      </x:c>
      <x:c r="F113" s="1" t="str">
        <x:v>Status</x:v>
      </x:c>
      <x:c r="G113" s="10" t="n">
        <x:v>0</x:v>
      </x:c>
      <x:c r="H113" s="10" t="str">
        <x:f>IF(F113="Física",'Pokémon'!G17,IF(F113="Especial",'Pokémon'!I17,""))</x:f>
      </x:c>
      <x:c r="I113" s="10" t="str">
        <x:f>IF(OR(F113="Status",G113=0),"",G113+H113)</x:f>
      </x:c>
      <x:c r="J113" s="10" t="n">
        <x:v>1</x:v>
      </x:c>
      <x:c r="K113" s="12" t="n">
        <x:v>10</x:v>
      </x:c>
      <x:c r="L113" s="1" t="str"/>
      <x:c r="M113" s="9" t="str">
        <x:v>https://poke.idleworld.online/pokepedia/pokemon/weedle</x:v>
      </x:c>
    </x:row>
    <x:row r="114" ht="22" customHeight="1">
      <x:c r="A114" s="1" t="n">
        <x:v>14</x:v>
      </x:c>
      <x:c r="B114" s="1" t="str">
        <x:v>Kakuna</x:v>
      </x:c>
      <x:c r="C114" s="1" t="n">
        <x:v>1</x:v>
      </x:c>
      <x:c r="D114" s="1" t="str">
        <x:v>Harden</x:v>
      </x:c>
      <x:c r="E114" s="1" t="str">
        <x:v>Normal</x:v>
      </x:c>
      <x:c r="F114" s="1" t="str">
        <x:v>Status</x:v>
      </x:c>
      <x:c r="G114" s="10" t="n">
        <x:v>0</x:v>
      </x:c>
      <x:c r="H114" s="10" t="str">
        <x:f>IF(F114="Física",'Pokémon'!G18,IF(F114="Especial",'Pokémon'!I18,""))</x:f>
      </x:c>
      <x:c r="I114" s="10" t="str">
        <x:f>IF(OR(F114="Status",G114=0),"",G114+H114)</x:f>
      </x:c>
      <x:c r="J114" s="10" t="n">
        <x:v>1</x:v>
      </x:c>
      <x:c r="K114" s="12" t="n">
        <x:v>30</x:v>
      </x:c>
      <x:c r="L114" s="1" t="str"/>
      <x:c r="M114" s="9" t="str">
        <x:v>https://poke.idleworld.online/pokepedia/pokemon/kakuna</x:v>
      </x:c>
    </x:row>
    <x:row r="115" ht="22" customHeight="1">
      <x:c r="A115" s="1" t="n">
        <x:v>15</x:v>
      </x:c>
      <x:c r="B115" s="1" t="str">
        <x:v>Beedrill</x:v>
      </x:c>
      <x:c r="C115" s="1" t="n">
        <x:v>1</x:v>
      </x:c>
      <x:c r="D115" s="1" t="str">
        <x:v>Hive Crush</x:v>
      </x:c>
      <x:c r="E115" s="1" t="str">
        <x:v>Inseto</x:v>
      </x:c>
      <x:c r="F115" s="1" t="str">
        <x:v>Física</x:v>
      </x:c>
      <x:c r="G115" s="10" t="n">
        <x:v>300</x:v>
      </x:c>
      <x:c r="H115" s="10" t="n">
        <x:f>IF(F115="Física",'Pokémon'!G19,IF(F115="Especial",'Pokémon'!I19,""))</x:f>
        <x:v>90</x:v>
      </x:c>
      <x:c r="I115" s="10" t="n">
        <x:f>IF(OR(F115="Status",G115=0),"",G115+H115)</x:f>
        <x:v>390</x:v>
      </x:c>
      <x:c r="J115" s="10" t="n">
        <x:v>1</x:v>
      </x:c>
      <x:c r="K115" s="12" t="n">
        <x:v>10</x:v>
      </x:c>
      <x:c r="L115" s="1" t="str">
        <x:v>Sim</x:v>
      </x:c>
      <x:c r="M115" s="9" t="str">
        <x:v>https://poke.idleworld.online/pokepedia/pokemon/beedrill</x:v>
      </x:c>
    </x:row>
    <x:row r="116" ht="22" customHeight="1">
      <x:c r="A116" s="1" t="n">
        <x:v>15</x:v>
      </x:c>
      <x:c r="B116" s="1" t="str">
        <x:v>Beedrill</x:v>
      </x:c>
      <x:c r="C116" s="1" t="n">
        <x:v>9</x:v>
      </x:c>
      <x:c r="D116" s="1" t="str">
        <x:v>Poison Jab</x:v>
      </x:c>
      <x:c r="E116" s="1" t="str">
        <x:v>Venenoso</x:v>
      </x:c>
      <x:c r="F116" s="1" t="str">
        <x:v>Física</x:v>
      </x:c>
      <x:c r="G116" s="10" t="n">
        <x:v>80</x:v>
      </x:c>
      <x:c r="H116" s="10" t="n">
        <x:f>IF(F116="Física",'Pokémon'!G19,IF(F116="Especial",'Pokémon'!I19,""))</x:f>
        <x:v>90</x:v>
      </x:c>
      <x:c r="I116" s="10" t="n">
        <x:f>IF(OR(F116="Status",G116=0),"",G116+H116)</x:f>
        <x:v>170</x:v>
      </x:c>
      <x:c r="J116" s="10" t="n">
        <x:v>37</x:v>
      </x:c>
      <x:c r="K116" s="12" t="n">
        <x:v>15</x:v>
      </x:c>
      <x:c r="L116" s="1" t="str"/>
      <x:c r="M116" s="9" t="str">
        <x:v>https://poke.idleworld.online/pokepedia/pokemon/beedrill</x:v>
      </x:c>
    </x:row>
    <x:row r="117" ht="22" customHeight="1">
      <x:c r="A117" s="1" t="n">
        <x:v>15</x:v>
      </x:c>
      <x:c r="B117" s="1" t="str">
        <x:v>Beedrill</x:v>
      </x:c>
      <x:c r="C117" s="1" t="n">
        <x:v>8</x:v>
      </x:c>
      <x:c r="D117" s="1" t="str">
        <x:v>Assurance</x:v>
      </x:c>
      <x:c r="E117" s="1" t="str">
        <x:v>Sombrio</x:v>
      </x:c>
      <x:c r="F117" s="1" t="str">
        <x:v>Física</x:v>
      </x:c>
      <x:c r="G117" s="10" t="n">
        <x:v>60</x:v>
      </x:c>
      <x:c r="H117" s="10" t="n">
        <x:f>IF(F117="Física",'Pokémon'!G19,IF(F117="Especial",'Pokémon'!I19,""))</x:f>
        <x:v>90</x:v>
      </x:c>
      <x:c r="I117" s="10" t="n">
        <x:f>IF(OR(F117="Status",G117=0),"",G117+H117)</x:f>
        <x:v>150</x:v>
      </x:c>
      <x:c r="J117" s="10" t="n">
        <x:v>34</x:v>
      </x:c>
      <x:c r="K117" s="12" t="n">
        <x:v>20</x:v>
      </x:c>
      <x:c r="L117" s="1" t="str"/>
      <x:c r="M117" s="9" t="str">
        <x:v>https://poke.idleworld.online/pokepedia/pokemon/beedrill</x:v>
      </x:c>
    </x:row>
    <x:row r="118" ht="22" customHeight="1">
      <x:c r="A118" s="1" t="n">
        <x:v>15</x:v>
      </x:c>
      <x:c r="B118" s="1" t="str">
        <x:v>Beedrill</x:v>
      </x:c>
      <x:c r="C118" s="1" t="n">
        <x:v>5</x:v>
      </x:c>
      <x:c r="D118" s="1" t="str">
        <x:v>Pursuit</x:v>
      </x:c>
      <x:c r="E118" s="1" t="str">
        <x:v>Sombrio</x:v>
      </x:c>
      <x:c r="F118" s="1" t="str">
        <x:v>Física</x:v>
      </x:c>
      <x:c r="G118" s="10" t="n">
        <x:v>40</x:v>
      </x:c>
      <x:c r="H118" s="10" t="n">
        <x:f>IF(F118="Física",'Pokémon'!G19,IF(F118="Especial",'Pokémon'!I19,""))</x:f>
        <x:v>90</x:v>
      </x:c>
      <x:c r="I118" s="10" t="n">
        <x:f>IF(OR(F118="Status",G118=0),"",G118+H118)</x:f>
        <x:v>130</x:v>
      </x:c>
      <x:c r="J118" s="10" t="n">
        <x:v>22</x:v>
      </x:c>
      <x:c r="K118" s="12" t="n">
        <x:v>15</x:v>
      </x:c>
      <x:c r="L118" s="1" t="str"/>
      <x:c r="M118" s="9" t="str">
        <x:v>https://poke.idleworld.online/pokepedia/pokemon/beedrill</x:v>
      </x:c>
    </x:row>
    <x:row r="119" ht="22" customHeight="1">
      <x:c r="A119" s="1" t="n">
        <x:v>15</x:v>
      </x:c>
      <x:c r="B119" s="1" t="str">
        <x:v>Beedrill</x:v>
      </x:c>
      <x:c r="C119" s="1" t="n">
        <x:v>10</x:v>
      </x:c>
      <x:c r="D119" s="1" t="str">
        <x:v>Fell Stinger</x:v>
      </x:c>
      <x:c r="E119" s="1" t="str">
        <x:v>Inseto</x:v>
      </x:c>
      <x:c r="F119" s="1" t="str">
        <x:v>Física</x:v>
      </x:c>
      <x:c r="G119" s="10" t="n">
        <x:v>30</x:v>
      </x:c>
      <x:c r="H119" s="10" t="n">
        <x:f>IF(F119="Física",'Pokémon'!G19,IF(F119="Especial",'Pokémon'!I19,""))</x:f>
        <x:v>90</x:v>
      </x:c>
      <x:c r="I119" s="10" t="n">
        <x:f>IF(OR(F119="Status",G119=0),"",G119+H119)</x:f>
        <x:v>120</x:v>
      </x:c>
      <x:c r="J119" s="10" t="n">
        <x:v>45</x:v>
      </x:c>
      <x:c r="K119" s="12" t="n">
        <x:v>15</x:v>
      </x:c>
      <x:c r="L119" s="1" t="str"/>
      <x:c r="M119" s="9" t="str">
        <x:v>https://poke.idleworld.online/pokepedia/pokemon/beedrill</x:v>
      </x:c>
    </x:row>
    <x:row r="120" ht="22" customHeight="1">
      <x:c r="A120" s="1" t="n">
        <x:v>15</x:v>
      </x:c>
      <x:c r="B120" s="1" t="str">
        <x:v>Beedrill</x:v>
      </x:c>
      <x:c r="C120" s="1" t="n">
        <x:v>3</x:v>
      </x:c>
      <x:c r="D120" s="1" t="str">
        <x:v>Twineedle</x:v>
      </x:c>
      <x:c r="E120" s="1" t="str">
        <x:v>Inseto</x:v>
      </x:c>
      <x:c r="F120" s="1" t="str">
        <x:v>Física</x:v>
      </x:c>
      <x:c r="G120" s="10" t="n">
        <x:v>25</x:v>
      </x:c>
      <x:c r="H120" s="10" t="n">
        <x:f>IF(F120="Física",'Pokémon'!G19,IF(F120="Especial",'Pokémon'!I19,""))</x:f>
        <x:v>90</x:v>
      </x:c>
      <x:c r="I120" s="10" t="n">
        <x:f>IF(OR(F120="Status",G120=0),"",G120+H120)</x:f>
        <x:v>115</x:v>
      </x:c>
      <x:c r="J120" s="10" t="n">
        <x:v>16</x:v>
      </x:c>
      <x:c r="K120" s="12" t="n">
        <x:v>15</x:v>
      </x:c>
      <x:c r="L120" s="1" t="str"/>
      <x:c r="M120" s="9" t="str">
        <x:v>https://poke.idleworld.online/pokepedia/pokemon/beedrill</x:v>
      </x:c>
    </x:row>
    <x:row r="121" ht="22" customHeight="1">
      <x:c r="A121" s="1" t="n">
        <x:v>15</x:v>
      </x:c>
      <x:c r="B121" s="1" t="str">
        <x:v>Beedrill</x:v>
      </x:c>
      <x:c r="C121" s="1" t="n">
        <x:v>7</x:v>
      </x:c>
      <x:c r="D121" s="1" t="str">
        <x:v>Pin Missile</x:v>
      </x:c>
      <x:c r="E121" s="1" t="str">
        <x:v>Inseto</x:v>
      </x:c>
      <x:c r="F121" s="1" t="str">
        <x:v>Física</x:v>
      </x:c>
      <x:c r="G121" s="10" t="n">
        <x:v>25</x:v>
      </x:c>
      <x:c r="H121" s="10" t="n">
        <x:f>IF(F121="Física",'Pokémon'!G19,IF(F121="Especial",'Pokémon'!I19,""))</x:f>
        <x:v>90</x:v>
      </x:c>
      <x:c r="I121" s="10" t="n">
        <x:f>IF(OR(F121="Status",G121=0),"",G121+H121)</x:f>
        <x:v>115</x:v>
      </x:c>
      <x:c r="J121" s="10" t="n">
        <x:v>28</x:v>
      </x:c>
      <x:c r="K121" s="12" t="n">
        <x:v>15</x:v>
      </x:c>
      <x:c r="L121" s="1" t="str"/>
      <x:c r="M121" s="9" t="str">
        <x:v>https://poke.idleworld.online/pokepedia/pokemon/beedrill</x:v>
      </x:c>
    </x:row>
    <x:row r="122" ht="22" customHeight="1">
      <x:c r="A122" s="1" t="n">
        <x:v>15</x:v>
      </x:c>
      <x:c r="B122" s="1" t="str">
        <x:v>Beedrill</x:v>
      </x:c>
      <x:c r="C122" s="1" t="n">
        <x:v>4</x:v>
      </x:c>
      <x:c r="D122" s="1" t="str">
        <x:v>Rage</x:v>
      </x:c>
      <x:c r="E122" s="1" t="str">
        <x:v>Normal</x:v>
      </x:c>
      <x:c r="F122" s="1" t="str">
        <x:v>Física</x:v>
      </x:c>
      <x:c r="G122" s="10" t="n">
        <x:v>20</x:v>
      </x:c>
      <x:c r="H122" s="10" t="n">
        <x:f>IF(F122="Física",'Pokémon'!G19,IF(F122="Especial",'Pokémon'!I19,""))</x:f>
        <x:v>90</x:v>
      </x:c>
      <x:c r="I122" s="10" t="n">
        <x:f>IF(OR(F122="Status",G122=0),"",G122+H122)</x:f>
        <x:v>110</x:v>
      </x:c>
      <x:c r="J122" s="10" t="n">
        <x:v>19</x:v>
      </x:c>
      <x:c r="K122" s="12" t="n">
        <x:v>30</x:v>
      </x:c>
      <x:c r="L122" s="1" t="str"/>
      <x:c r="M122" s="9" t="str">
        <x:v>https://poke.idleworld.online/pokepedia/pokemon/beedrill</x:v>
      </x:c>
    </x:row>
    <x:row r="123" ht="22" customHeight="1">
      <x:c r="A123" s="1" t="n">
        <x:v>15</x:v>
      </x:c>
      <x:c r="B123" s="1" t="str">
        <x:v>Beedrill</x:v>
      </x:c>
      <x:c r="C123" s="1" t="n">
        <x:v>2</x:v>
      </x:c>
      <x:c r="D123" s="1" t="str">
        <x:v>Fury Attack</x:v>
      </x:c>
      <x:c r="E123" s="1" t="str">
        <x:v>Normal</x:v>
      </x:c>
      <x:c r="F123" s="1" t="str">
        <x:v>Física</x:v>
      </x:c>
      <x:c r="G123" s="10" t="n">
        <x:v>15</x:v>
      </x:c>
      <x:c r="H123" s="10" t="n">
        <x:f>IF(F123="Física",'Pokémon'!G19,IF(F123="Especial",'Pokémon'!I19,""))</x:f>
        <x:v>90</x:v>
      </x:c>
      <x:c r="I123" s="10" t="n">
        <x:f>IF(OR(F123="Status",G123=0),"",G123+H123)</x:f>
        <x:v>105</x:v>
      </x:c>
      <x:c r="J123" s="10" t="n">
        <x:v>1</x:v>
      </x:c>
      <x:c r="K123" s="12" t="n">
        <x:v>15</x:v>
      </x:c>
      <x:c r="L123" s="1" t="str"/>
      <x:c r="M123" s="9" t="str">
        <x:v>https://poke.idleworld.online/pokepedia/pokemon/beedrill</x:v>
      </x:c>
    </x:row>
    <x:row r="124" ht="22" customHeight="1">
      <x:c r="A124" s="1" t="n">
        <x:v>15</x:v>
      </x:c>
      <x:c r="B124" s="1" t="str">
        <x:v>Beedrill</x:v>
      </x:c>
      <x:c r="C124" s="1" t="n">
        <x:v>6</x:v>
      </x:c>
      <x:c r="D124" s="1" t="str">
        <x:v>Toxic Spikes</x:v>
      </x:c>
      <x:c r="E124" s="1" t="str">
        <x:v>Venenoso</x:v>
      </x:c>
      <x:c r="F124" s="1" t="str">
        <x:v>Status</x:v>
      </x:c>
      <x:c r="G124" s="10" t="n">
        <x:v>0</x:v>
      </x:c>
      <x:c r="H124" s="10" t="str">
        <x:f>IF(F124="Física",'Pokémon'!G19,IF(F124="Especial",'Pokémon'!I19,""))</x:f>
      </x:c>
      <x:c r="I124" s="10" t="str">
        <x:f>IF(OR(F124="Status",G124=0),"",G124+H124)</x:f>
      </x:c>
      <x:c r="J124" s="10" t="n">
        <x:v>25</x:v>
      </x:c>
      <x:c r="K124" s="12" t="n">
        <x:v>25</x:v>
      </x:c>
      <x:c r="L124" s="1" t="str"/>
      <x:c r="M124" s="9" t="str">
        <x:v>https://poke.idleworld.online/pokepedia/pokemon/beedrill</x:v>
      </x:c>
    </x:row>
    <x:row r="125" ht="22" customHeight="1">
      <x:c r="A125" s="1" t="n">
        <x:v>16</x:v>
      </x:c>
      <x:c r="B125" s="1" t="str">
        <x:v>Pidgey</x:v>
      </x:c>
      <x:c r="C125" s="1" t="n">
        <x:v>8</x:v>
      </x:c>
      <x:c r="D125" s="1" t="str">
        <x:v>Hurricane</x:v>
      </x:c>
      <x:c r="E125" s="1" t="str">
        <x:v>Voador</x:v>
      </x:c>
      <x:c r="F125" s="1" t="str">
        <x:v>Especial</x:v>
      </x:c>
      <x:c r="G125" s="10" t="n">
        <x:v>110</x:v>
      </x:c>
      <x:c r="H125" s="10" t="n">
        <x:f>IF(F125="Física",'Pokémon'!G20,IF(F125="Especial",'Pokémon'!I20,""))</x:f>
        <x:v>35</x:v>
      </x:c>
      <x:c r="I125" s="10" t="n">
        <x:f>IF(OR(F125="Status",G125=0),"",G125+H125)</x:f>
        <x:v>145</x:v>
      </x:c>
      <x:c r="J125" s="10" t="n">
        <x:v>53</x:v>
      </x:c>
      <x:c r="K125" s="12" t="n">
        <x:v>40</x:v>
      </x:c>
      <x:c r="L125" s="1" t="str"/>
      <x:c r="M125" s="9" t="str">
        <x:v>https://poke.idleworld.online/pokepedia/pokemon/pidgey</x:v>
      </x:c>
    </x:row>
    <x:row r="126" ht="22" customHeight="1">
      <x:c r="A126" s="1" t="n">
        <x:v>16</x:v>
      </x:c>
      <x:c r="B126" s="1" t="str">
        <x:v>Pidgey</x:v>
      </x:c>
      <x:c r="C126" s="1" t="n">
        <x:v>7</x:v>
      </x:c>
      <x:c r="D126" s="1" t="str">
        <x:v>Air Slash</x:v>
      </x:c>
      <x:c r="E126" s="1" t="str">
        <x:v>Voador</x:v>
      </x:c>
      <x:c r="F126" s="1" t="str">
        <x:v>Especial</x:v>
      </x:c>
      <x:c r="G126" s="10" t="n">
        <x:v>75</x:v>
      </x:c>
      <x:c r="H126" s="10" t="n">
        <x:f>IF(F126="Física",'Pokémon'!G20,IF(F126="Especial",'Pokémon'!I20,""))</x:f>
        <x:v>35</x:v>
      </x:c>
      <x:c r="I126" s="10" t="n">
        <x:f>IF(OR(F126="Status",G126=0),"",G126+H126)</x:f>
        <x:v>110</x:v>
      </x:c>
      <x:c r="J126" s="10" t="n">
        <x:v>49</x:v>
      </x:c>
      <x:c r="K126" s="12" t="n">
        <x:v>22</x:v>
      </x:c>
      <x:c r="L126" s="1" t="str"/>
      <x:c r="M126" s="9" t="str">
        <x:v>https://poke.idleworld.online/pokepedia/pokemon/pidgey</x:v>
      </x:c>
    </x:row>
    <x:row r="127" ht="22" customHeight="1">
      <x:c r="A127" s="1" t="n">
        <x:v>16</x:v>
      </x:c>
      <x:c r="B127" s="1" t="str">
        <x:v>Pidgey</x:v>
      </x:c>
      <x:c r="C127" s="1" t="n">
        <x:v>6</x:v>
      </x:c>
      <x:c r="D127" s="1" t="str">
        <x:v>Wing Attack</x:v>
      </x:c>
      <x:c r="E127" s="1" t="str">
        <x:v>Voador</x:v>
      </x:c>
      <x:c r="F127" s="1" t="str">
        <x:v>Física</x:v>
      </x:c>
      <x:c r="G127" s="10" t="n">
        <x:v>60</x:v>
      </x:c>
      <x:c r="H127" s="10" t="n">
        <x:f>IF(F127="Física",'Pokémon'!G20,IF(F127="Especial",'Pokémon'!I20,""))</x:f>
        <x:v>45</x:v>
      </x:c>
      <x:c r="I127" s="10" t="n">
        <x:f>IF(OR(F127="Status",G127=0),"",G127+H127)</x:f>
        <x:v>105</x:v>
      </x:c>
      <x:c r="J127" s="10" t="n">
        <x:v>33</x:v>
      </x:c>
      <x:c r="K127" s="12" t="n">
        <x:v>35</x:v>
      </x:c>
      <x:c r="L127" s="1" t="str"/>
      <x:c r="M127" s="9" t="str">
        <x:v>https://poke.idleworld.online/pokepedia/pokemon/pidgey</x:v>
      </x:c>
    </x:row>
    <x:row r="128" ht="22" customHeight="1">
      <x:c r="A128" s="1" t="n">
        <x:v>16</x:v>
      </x:c>
      <x:c r="B128" s="1" t="str">
        <x:v>Pidgey</x:v>
      </x:c>
      <x:c r="C128" s="1" t="n">
        <x:v>1</x:v>
      </x:c>
      <x:c r="D128" s="1" t="str">
        <x:v>Tackle</x:v>
      </x:c>
      <x:c r="E128" s="1" t="str">
        <x:v>Normal</x:v>
      </x:c>
      <x:c r="F128" s="1" t="str">
        <x:v>Física</x:v>
      </x:c>
      <x:c r="G128" s="10" t="n">
        <x:v>50</x:v>
      </x:c>
      <x:c r="H128" s="10" t="n">
        <x:f>IF(F128="Física",'Pokémon'!G20,IF(F128="Especial",'Pokémon'!I20,""))</x:f>
        <x:v>45</x:v>
      </x:c>
      <x:c r="I128" s="10" t="n">
        <x:f>IF(OR(F128="Status",G128=0),"",G128+H128)</x:f>
        <x:v>95</x:v>
      </x:c>
      <x:c r="J128" s="10" t="n">
        <x:v>1</x:v>
      </x:c>
      <x:c r="K128" s="12" t="n">
        <x:v>15</x:v>
      </x:c>
      <x:c r="L128" s="1" t="str"/>
      <x:c r="M128" s="9" t="str">
        <x:v>https://poke.idleworld.online/pokepedia/pokemon/pidgey</x:v>
      </x:c>
    </x:row>
    <x:row r="129" ht="22" customHeight="1">
      <x:c r="A129" s="1" t="n">
        <x:v>16</x:v>
      </x:c>
      <x:c r="B129" s="1" t="str">
        <x:v>Pidgey</x:v>
      </x:c>
      <x:c r="C129" s="1" t="n">
        <x:v>4</x:v>
      </x:c>
      <x:c r="D129" s="1" t="str">
        <x:v>Quick Attack</x:v>
      </x:c>
      <x:c r="E129" s="1" t="str">
        <x:v>Normal</x:v>
      </x:c>
      <x:c r="F129" s="1" t="str">
        <x:v>Física</x:v>
      </x:c>
      <x:c r="G129" s="10" t="n">
        <x:v>40</x:v>
      </x:c>
      <x:c r="H129" s="10" t="n">
        <x:f>IF(F129="Física",'Pokémon'!G20,IF(F129="Especial",'Pokémon'!I20,""))</x:f>
        <x:v>45</x:v>
      </x:c>
      <x:c r="I129" s="10" t="n">
        <x:f>IF(OR(F129="Status",G129=0),"",G129+H129)</x:f>
        <x:v>85</x:v>
      </x:c>
      <x:c r="J129" s="10" t="n">
        <x:v>13</x:v>
      </x:c>
      <x:c r="K129" s="12" t="n">
        <x:v>10</x:v>
      </x:c>
      <x:c r="L129" s="1" t="str"/>
      <x:c r="M129" s="9" t="str">
        <x:v>https://poke.idleworld.online/pokepedia/pokemon/pidgey</x:v>
      </x:c>
    </x:row>
    <x:row r="130" ht="22" customHeight="1">
      <x:c r="A130" s="1" t="n">
        <x:v>16</x:v>
      </x:c>
      <x:c r="B130" s="1" t="str">
        <x:v>Pidgey</x:v>
      </x:c>
      <x:c r="C130" s="1" t="n">
        <x:v>3</x:v>
      </x:c>
      <x:c r="D130" s="1" t="str">
        <x:v>Gust</x:v>
      </x:c>
      <x:c r="E130" s="1" t="str">
        <x:v>Voador</x:v>
      </x:c>
      <x:c r="F130" s="1" t="str">
        <x:v>Especial</x:v>
      </x:c>
      <x:c r="G130" s="10" t="n">
        <x:v>40</x:v>
      </x:c>
      <x:c r="H130" s="10" t="n">
        <x:f>IF(F130="Física",'Pokémon'!G20,IF(F130="Especial",'Pokémon'!I20,""))</x:f>
        <x:v>35</x:v>
      </x:c>
      <x:c r="I130" s="10" t="n">
        <x:f>IF(OR(F130="Status",G130=0),"",G130+H130)</x:f>
        <x:v>75</x:v>
      </x:c>
      <x:c r="J130" s="10" t="n">
        <x:v>9</x:v>
      </x:c>
      <x:c r="K130" s="12" t="n">
        <x:v>15</x:v>
      </x:c>
      <x:c r="L130" s="1" t="str"/>
      <x:c r="M130" s="9" t="str">
        <x:v>https://poke.idleworld.online/pokepedia/pokemon/pidgey</x:v>
      </x:c>
    </x:row>
    <x:row r="131" ht="22" customHeight="1">
      <x:c r="A131" s="1" t="n">
        <x:v>16</x:v>
      </x:c>
      <x:c r="B131" s="1" t="str">
        <x:v>Pidgey</x:v>
      </x:c>
      <x:c r="C131" s="1" t="n">
        <x:v>5</x:v>
      </x:c>
      <x:c r="D131" s="1" t="str">
        <x:v>Twister</x:v>
      </x:c>
      <x:c r="E131" s="1" t="str">
        <x:v>Dragão</x:v>
      </x:c>
      <x:c r="F131" s="1" t="str">
        <x:v>Especial</x:v>
      </x:c>
      <x:c r="G131" s="10" t="n">
        <x:v>40</x:v>
      </x:c>
      <x:c r="H131" s="10" t="n">
        <x:f>IF(F131="Física",'Pokémon'!G20,IF(F131="Especial",'Pokémon'!I20,""))</x:f>
        <x:v>35</x:v>
      </x:c>
      <x:c r="I131" s="10" t="n">
        <x:f>IF(OR(F131="Status",G131=0),"",G131+H131)</x:f>
        <x:v>75</x:v>
      </x:c>
      <x:c r="J131" s="10" t="n">
        <x:v>21</x:v>
      </x:c>
      <x:c r="K131" s="12" t="n">
        <x:v>15</x:v>
      </x:c>
      <x:c r="L131" s="1" t="str"/>
      <x:c r="M131" s="9" t="str">
        <x:v>https://poke.idleworld.online/pokepedia/pokemon/pidgey</x:v>
      </x:c>
    </x:row>
    <x:row r="132" ht="22" customHeight="1">
      <x:c r="A132" s="1" t="n">
        <x:v>16</x:v>
      </x:c>
      <x:c r="B132" s="1" t="str">
        <x:v>Pidgey</x:v>
      </x:c>
      <x:c r="C132" s="1" t="n">
        <x:v>2</x:v>
      </x:c>
      <x:c r="D132" s="1" t="str">
        <x:v>Sand Attack</x:v>
      </x:c>
      <x:c r="E132" s="1" t="str">
        <x:v>Terrestre</x:v>
      </x:c>
      <x:c r="F132" s="1" t="str">
        <x:v>Status</x:v>
      </x:c>
      <x:c r="G132" s="10" t="n">
        <x:v>0</x:v>
      </x:c>
      <x:c r="H132" s="10" t="str">
        <x:f>IF(F132="Física",'Pokémon'!G20,IF(F132="Especial",'Pokémon'!I20,""))</x:f>
      </x:c>
      <x:c r="I132" s="10" t="str">
        <x:f>IF(OR(F132="Status",G132=0),"",G132+H132)</x:f>
      </x:c>
      <x:c r="J132" s="10" t="n">
        <x:v>5</x:v>
      </x:c>
      <x:c r="K132" s="12" t="n">
        <x:v>12</x:v>
      </x:c>
      <x:c r="L132" s="1" t="str"/>
      <x:c r="M132" s="9" t="str">
        <x:v>https://poke.idleworld.online/pokepedia/pokemon/pidgey</x:v>
      </x:c>
    </x:row>
    <x:row r="133" ht="22" customHeight="1">
      <x:c r="A133" s="1" t="n">
        <x:v>17</x:v>
      </x:c>
      <x:c r="B133" s="1" t="str">
        <x:v>Pidgeotto</x:v>
      </x:c>
      <x:c r="C133" s="1" t="n">
        <x:v>8</x:v>
      </x:c>
      <x:c r="D133" s="1" t="str">
        <x:v>Hurricane</x:v>
      </x:c>
      <x:c r="E133" s="1" t="str">
        <x:v>Voador</x:v>
      </x:c>
      <x:c r="F133" s="1" t="str">
        <x:v>Especial</x:v>
      </x:c>
      <x:c r="G133" s="10" t="n">
        <x:v>110</x:v>
      </x:c>
      <x:c r="H133" s="10" t="n">
        <x:f>IF(F133="Física",'Pokémon'!G21,IF(F133="Especial",'Pokémon'!I21,""))</x:f>
        <x:v>50</x:v>
      </x:c>
      <x:c r="I133" s="10" t="n">
        <x:f>IF(OR(F133="Status",G133=0),"",G133+H133)</x:f>
        <x:v>160</x:v>
      </x:c>
      <x:c r="J133" s="10" t="n">
        <x:v>62</x:v>
      </x:c>
      <x:c r="K133" s="12" t="n">
        <x:v>40</x:v>
      </x:c>
      <x:c r="L133" s="1" t="str"/>
      <x:c r="M133" s="9" t="str">
        <x:v>https://poke.idleworld.online/pokepedia/pokemon/pidgeotto</x:v>
      </x:c>
    </x:row>
    <x:row r="134" ht="22" customHeight="1">
      <x:c r="A134" s="1" t="n">
        <x:v>17</x:v>
      </x:c>
      <x:c r="B134" s="1" t="str">
        <x:v>Pidgeotto</x:v>
      </x:c>
      <x:c r="C134" s="1" t="n">
        <x:v>7</x:v>
      </x:c>
      <x:c r="D134" s="1" t="str">
        <x:v>Air Slash</x:v>
      </x:c>
      <x:c r="E134" s="1" t="str">
        <x:v>Voador</x:v>
      </x:c>
      <x:c r="F134" s="1" t="str">
        <x:v>Especial</x:v>
      </x:c>
      <x:c r="G134" s="10" t="n">
        <x:v>75</x:v>
      </x:c>
      <x:c r="H134" s="10" t="n">
        <x:f>IF(F134="Física",'Pokémon'!G21,IF(F134="Especial",'Pokémon'!I21,""))</x:f>
        <x:v>50</x:v>
      </x:c>
      <x:c r="I134" s="10" t="n">
        <x:f>IF(OR(F134="Status",G134=0),"",G134+H134)</x:f>
        <x:v>125</x:v>
      </x:c>
      <x:c r="J134" s="10" t="n">
        <x:v>57</x:v>
      </x:c>
      <x:c r="K134" s="12" t="n">
        <x:v>22</x:v>
      </x:c>
      <x:c r="L134" s="1" t="str"/>
      <x:c r="M134" s="9" t="str">
        <x:v>https://poke.idleworld.online/pokepedia/pokemon/pidgeotto</x:v>
      </x:c>
    </x:row>
    <x:row r="135" ht="22" customHeight="1">
      <x:c r="A135" s="1" t="n">
        <x:v>17</x:v>
      </x:c>
      <x:c r="B135" s="1" t="str">
        <x:v>Pidgeotto</x:v>
      </x:c>
      <x:c r="C135" s="1" t="n">
        <x:v>6</x:v>
      </x:c>
      <x:c r="D135" s="1" t="str">
        <x:v>Wing Attack</x:v>
      </x:c>
      <x:c r="E135" s="1" t="str">
        <x:v>Voador</x:v>
      </x:c>
      <x:c r="F135" s="1" t="str">
        <x:v>Física</x:v>
      </x:c>
      <x:c r="G135" s="10" t="n">
        <x:v>60</x:v>
      </x:c>
      <x:c r="H135" s="10" t="n">
        <x:f>IF(F135="Física",'Pokémon'!G21,IF(F135="Especial",'Pokémon'!I21,""))</x:f>
        <x:v>60</x:v>
      </x:c>
      <x:c r="I135" s="10" t="n">
        <x:f>IF(OR(F135="Status",G135=0),"",G135+H135)</x:f>
        <x:v>120</x:v>
      </x:c>
      <x:c r="J135" s="10" t="n">
        <x:v>37</x:v>
      </x:c>
      <x:c r="K135" s="12" t="n">
        <x:v>35</x:v>
      </x:c>
      <x:c r="L135" s="1" t="str"/>
      <x:c r="M135" s="9" t="str">
        <x:v>https://poke.idleworld.online/pokepedia/pokemon/pidgeotto</x:v>
      </x:c>
    </x:row>
    <x:row r="136" ht="22" customHeight="1">
      <x:c r="A136" s="1" t="n">
        <x:v>17</x:v>
      </x:c>
      <x:c r="B136" s="1" t="str">
        <x:v>Pidgeotto</x:v>
      </x:c>
      <x:c r="C136" s="1" t="n">
        <x:v>3</x:v>
      </x:c>
      <x:c r="D136" s="1" t="str">
        <x:v>Tackle</x:v>
      </x:c>
      <x:c r="E136" s="1" t="str">
        <x:v>Normal</x:v>
      </x:c>
      <x:c r="F136" s="1" t="str">
        <x:v>Física</x:v>
      </x:c>
      <x:c r="G136" s="10" t="n">
        <x:v>50</x:v>
      </x:c>
      <x:c r="H136" s="10" t="n">
        <x:f>IF(F136="Física",'Pokémon'!G21,IF(F136="Especial",'Pokémon'!I21,""))</x:f>
        <x:v>60</x:v>
      </x:c>
      <x:c r="I136" s="10" t="n">
        <x:f>IF(OR(F136="Status",G136=0),"",G136+H136)</x:f>
        <x:v>110</x:v>
      </x:c>
      <x:c r="J136" s="10" t="n">
        <x:v>1</x:v>
      </x:c>
      <x:c r="K136" s="12" t="n">
        <x:v>15</x:v>
      </x:c>
      <x:c r="L136" s="1" t="str"/>
      <x:c r="M136" s="9" t="str">
        <x:v>https://poke.idleworld.online/pokepedia/pokemon/pidgeotto</x:v>
      </x:c>
    </x:row>
    <x:row r="137" ht="22" customHeight="1">
      <x:c r="A137" s="1" t="n">
        <x:v>17</x:v>
      </x:c>
      <x:c r="B137" s="1" t="str">
        <x:v>Pidgeotto</x:v>
      </x:c>
      <x:c r="C137" s="1" t="n">
        <x:v>4</x:v>
      </x:c>
      <x:c r="D137" s="1" t="str">
        <x:v>Quick Attack</x:v>
      </x:c>
      <x:c r="E137" s="1" t="str">
        <x:v>Normal</x:v>
      </x:c>
      <x:c r="F137" s="1" t="str">
        <x:v>Física</x:v>
      </x:c>
      <x:c r="G137" s="10" t="n">
        <x:v>40</x:v>
      </x:c>
      <x:c r="H137" s="10" t="n">
        <x:f>IF(F137="Física",'Pokémon'!G21,IF(F137="Especial",'Pokémon'!I21,""))</x:f>
        <x:v>60</x:v>
      </x:c>
      <x:c r="I137" s="10" t="n">
        <x:f>IF(OR(F137="Status",G137=0),"",G137+H137)</x:f>
        <x:v>100</x:v>
      </x:c>
      <x:c r="J137" s="10" t="n">
        <x:v>13</x:v>
      </x:c>
      <x:c r="K137" s="12" t="n">
        <x:v>10</x:v>
      </x:c>
      <x:c r="L137" s="1" t="str"/>
      <x:c r="M137" s="9" t="str">
        <x:v>https://poke.idleworld.online/pokepedia/pokemon/pidgeotto</x:v>
      </x:c>
    </x:row>
    <x:row r="138" ht="22" customHeight="1">
      <x:c r="A138" s="1" t="n">
        <x:v>17</x:v>
      </x:c>
      <x:c r="B138" s="1" t="str">
        <x:v>Pidgeotto</x:v>
      </x:c>
      <x:c r="C138" s="1" t="n">
        <x:v>1</x:v>
      </x:c>
      <x:c r="D138" s="1" t="str">
        <x:v>Gust</x:v>
      </x:c>
      <x:c r="E138" s="1" t="str">
        <x:v>Voador</x:v>
      </x:c>
      <x:c r="F138" s="1" t="str">
        <x:v>Especial</x:v>
      </x:c>
      <x:c r="G138" s="10" t="n">
        <x:v>40</x:v>
      </x:c>
      <x:c r="H138" s="10" t="n">
        <x:f>IF(F138="Física",'Pokémon'!G21,IF(F138="Especial",'Pokémon'!I21,""))</x:f>
        <x:v>50</x:v>
      </x:c>
      <x:c r="I138" s="10" t="n">
        <x:f>IF(OR(F138="Status",G138=0),"",G138+H138)</x:f>
        <x:v>90</x:v>
      </x:c>
      <x:c r="J138" s="10" t="n">
        <x:v>1</x:v>
      </x:c>
      <x:c r="K138" s="12" t="n">
        <x:v>22</x:v>
      </x:c>
      <x:c r="L138" s="1" t="str"/>
      <x:c r="M138" s="9" t="str">
        <x:v>https://poke.idleworld.online/pokepedia/pokemon/pidgeotto</x:v>
      </x:c>
    </x:row>
    <x:row r="139" ht="22" customHeight="1">
      <x:c r="A139" s="1" t="n">
        <x:v>17</x:v>
      </x:c>
      <x:c r="B139" s="1" t="str">
        <x:v>Pidgeotto</x:v>
      </x:c>
      <x:c r="C139" s="1" t="n">
        <x:v>5</x:v>
      </x:c>
      <x:c r="D139" s="1" t="str">
        <x:v>Twister</x:v>
      </x:c>
      <x:c r="E139" s="1" t="str">
        <x:v>Dragão</x:v>
      </x:c>
      <x:c r="F139" s="1" t="str">
        <x:v>Especial</x:v>
      </x:c>
      <x:c r="G139" s="10" t="n">
        <x:v>40</x:v>
      </x:c>
      <x:c r="H139" s="10" t="n">
        <x:f>IF(F139="Física",'Pokémon'!G21,IF(F139="Especial",'Pokémon'!I21,""))</x:f>
        <x:v>50</x:v>
      </x:c>
      <x:c r="I139" s="10" t="n">
        <x:f>IF(OR(F139="Status",G139=0),"",G139+H139)</x:f>
        <x:v>90</x:v>
      </x:c>
      <x:c r="J139" s="10" t="n">
        <x:v>22</x:v>
      </x:c>
      <x:c r="K139" s="12" t="n">
        <x:v>15</x:v>
      </x:c>
      <x:c r="L139" s="1" t="str"/>
      <x:c r="M139" s="9" t="str">
        <x:v>https://poke.idleworld.online/pokepedia/pokemon/pidgeotto</x:v>
      </x:c>
    </x:row>
    <x:row r="140" ht="22" customHeight="1">
      <x:c r="A140" s="1" t="n">
        <x:v>17</x:v>
      </x:c>
      <x:c r="B140" s="1" t="str">
        <x:v>Pidgeotto</x:v>
      </x:c>
      <x:c r="C140" s="1" t="n">
        <x:v>2</x:v>
      </x:c>
      <x:c r="D140" s="1" t="str">
        <x:v>Sand Attack</x:v>
      </x:c>
      <x:c r="E140" s="1" t="str">
        <x:v>Terrestre</x:v>
      </x:c>
      <x:c r="F140" s="1" t="str">
        <x:v>Status</x:v>
      </x:c>
      <x:c r="G140" s="10" t="n">
        <x:v>0</x:v>
      </x:c>
      <x:c r="H140" s="10" t="str">
        <x:f>IF(F140="Física",'Pokémon'!G21,IF(F140="Especial",'Pokémon'!I21,""))</x:f>
      </x:c>
      <x:c r="I140" s="10" t="str">
        <x:f>IF(OR(F140="Status",G140=0),"",G140+H140)</x:f>
      </x:c>
      <x:c r="J140" s="10" t="n">
        <x:v>1</x:v>
      </x:c>
      <x:c r="K140" s="12" t="n">
        <x:v>12</x:v>
      </x:c>
      <x:c r="L140" s="1" t="str"/>
      <x:c r="M140" s="9" t="str">
        <x:v>https://poke.idleworld.online/pokepedia/pokemon/pidgeotto</x:v>
      </x:c>
    </x:row>
    <x:row r="141" ht="22" customHeight="1">
      <x:c r="A141" s="1" t="n">
        <x:v>18</x:v>
      </x:c>
      <x:c r="B141" s="1" t="str">
        <x:v>Pidgeot</x:v>
      </x:c>
      <x:c r="C141" s="1" t="n">
        <x:v>3</x:v>
      </x:c>
      <x:c r="D141" s="1" t="str">
        <x:v>Massive Hurricane</x:v>
      </x:c>
      <x:c r="E141" s="1" t="str">
        <x:v>Voador</x:v>
      </x:c>
      <x:c r="F141" s="1" t="str">
        <x:v>Física</x:v>
      </x:c>
      <x:c r="G141" s="10" t="n">
        <x:v>300</x:v>
      </x:c>
      <x:c r="H141" s="10" t="n">
        <x:f>IF(F141="Física",'Pokémon'!G22,IF(F141="Especial",'Pokémon'!I22,""))</x:f>
        <x:v>80</x:v>
      </x:c>
      <x:c r="I141" s="10" t="n">
        <x:f>IF(OR(F141="Status",G141=0),"",G141+H141)</x:f>
        <x:v>380</x:v>
      </x:c>
      <x:c r="J141" s="10" t="n">
        <x:v>1</x:v>
      </x:c>
      <x:c r="K141" s="12" t="n">
        <x:v>10</x:v>
      </x:c>
      <x:c r="L141" s="1" t="str">
        <x:v>Sim</x:v>
      </x:c>
      <x:c r="M141" s="9" t="str">
        <x:v>https://poke.idleworld.online/pokepedia/pokemon/pidgeot</x:v>
      </x:c>
    </x:row>
    <x:row r="142" ht="22" customHeight="1">
      <x:c r="A142" s="1" t="n">
        <x:v>18</x:v>
      </x:c>
      <x:c r="B142" s="1" t="str">
        <x:v>Pidgeot</x:v>
      </x:c>
      <x:c r="C142" s="1" t="n">
        <x:v>2</x:v>
      </x:c>
      <x:c r="D142" s="1" t="str">
        <x:v>Hurricane</x:v>
      </x:c>
      <x:c r="E142" s="1" t="str">
        <x:v>Voador</x:v>
      </x:c>
      <x:c r="F142" s="1" t="str">
        <x:v>Especial</x:v>
      </x:c>
      <x:c r="G142" s="10" t="n">
        <x:v>110</x:v>
      </x:c>
      <x:c r="H142" s="10" t="n">
        <x:f>IF(F142="Física",'Pokémon'!G22,IF(F142="Especial",'Pokémon'!I22,""))</x:f>
        <x:v>70</x:v>
      </x:c>
      <x:c r="I142" s="10" t="n">
        <x:f>IF(OR(F142="Status",G142=0),"",G142+H142)</x:f>
        <x:v>180</x:v>
      </x:c>
      <x:c r="J142" s="10" t="n">
        <x:v>1</x:v>
      </x:c>
      <x:c r="K142" s="12" t="n">
        <x:v>50</x:v>
      </x:c>
      <x:c r="L142" s="1" t="str"/>
      <x:c r="M142" s="9" t="str">
        <x:v>https://poke.idleworld.online/pokepedia/pokemon/pidgeot</x:v>
      </x:c>
    </x:row>
    <x:row r="143" ht="22" customHeight="1">
      <x:c r="A143" s="1" t="n">
        <x:v>18</x:v>
      </x:c>
      <x:c r="B143" s="1" t="str">
        <x:v>Pidgeot</x:v>
      </x:c>
      <x:c r="C143" s="1" t="n">
        <x:v>11</x:v>
      </x:c>
      <x:c r="D143" s="1" t="str">
        <x:v>Air Slash</x:v>
      </x:c>
      <x:c r="E143" s="1" t="str">
        <x:v>Voador</x:v>
      </x:c>
      <x:c r="F143" s="1" t="str">
        <x:v>Especial</x:v>
      </x:c>
      <x:c r="G143" s="10" t="n">
        <x:v>75</x:v>
      </x:c>
      <x:c r="H143" s="10" t="n">
        <x:f>IF(F143="Física",'Pokémon'!G22,IF(F143="Especial",'Pokémon'!I22,""))</x:f>
        <x:v>70</x:v>
      </x:c>
      <x:c r="I143" s="10" t="n">
        <x:f>IF(OR(F143="Status",G143=0),"",G143+H143)</x:f>
        <x:v>145</x:v>
      </x:c>
      <x:c r="J143" s="10" t="n">
        <x:v>62</x:v>
      </x:c>
      <x:c r="K143" s="12" t="n">
        <x:v>35</x:v>
      </x:c>
      <x:c r="L143" s="1" t="str"/>
      <x:c r="M143" s="9" t="str">
        <x:v>https://poke.idleworld.online/pokepedia/pokemon/pidgeot</x:v>
      </x:c>
    </x:row>
    <x:row r="144" ht="22" customHeight="1">
      <x:c r="A144" s="1" t="n">
        <x:v>18</x:v>
      </x:c>
      <x:c r="B144" s="1" t="str">
        <x:v>Pidgeot</x:v>
      </x:c>
      <x:c r="C144" s="1" t="n">
        <x:v>10</x:v>
      </x:c>
      <x:c r="D144" s="1" t="str">
        <x:v>Wing Attack</x:v>
      </x:c>
      <x:c r="E144" s="1" t="str">
        <x:v>Voador</x:v>
      </x:c>
      <x:c r="F144" s="1" t="str">
        <x:v>Física</x:v>
      </x:c>
      <x:c r="G144" s="10" t="n">
        <x:v>60</x:v>
      </x:c>
      <x:c r="H144" s="10" t="n">
        <x:f>IF(F144="Física",'Pokémon'!G22,IF(F144="Especial",'Pokémon'!I22,""))</x:f>
        <x:v>80</x:v>
      </x:c>
      <x:c r="I144" s="10" t="n">
        <x:f>IF(OR(F144="Status",G144=0),"",G144+H144)</x:f>
        <x:v>140</x:v>
      </x:c>
      <x:c r="J144" s="10" t="n">
        <x:v>38</x:v>
      </x:c>
      <x:c r="K144" s="12" t="n">
        <x:v>35</x:v>
      </x:c>
      <x:c r="L144" s="1" t="str"/>
      <x:c r="M144" s="9" t="str">
        <x:v>https://poke.idleworld.online/pokepedia/pokemon/pidgeot</x:v>
      </x:c>
    </x:row>
    <x:row r="145" ht="22" customHeight="1">
      <x:c r="A145" s="1" t="n">
        <x:v>18</x:v>
      </x:c>
      <x:c r="B145" s="1" t="str">
        <x:v>Pidgeot</x:v>
      </x:c>
      <x:c r="C145" s="1" t="n">
        <x:v>5</x:v>
      </x:c>
      <x:c r="D145" s="1" t="str">
        <x:v>Tackle</x:v>
      </x:c>
      <x:c r="E145" s="1" t="str">
        <x:v>Normal</x:v>
      </x:c>
      <x:c r="F145" s="1" t="str">
        <x:v>Física</x:v>
      </x:c>
      <x:c r="G145" s="10" t="n">
        <x:v>50</x:v>
      </x:c>
      <x:c r="H145" s="10" t="n">
        <x:f>IF(F145="Física",'Pokémon'!G22,IF(F145="Especial",'Pokémon'!I22,""))</x:f>
        <x:v>80</x:v>
      </x:c>
      <x:c r="I145" s="10" t="n">
        <x:f>IF(OR(F145="Status",G145=0),"",G145+H145)</x:f>
        <x:v>130</x:v>
      </x:c>
      <x:c r="J145" s="10" t="n">
        <x:v>1</x:v>
      </x:c>
      <x:c r="K145" s="12" t="n">
        <x:v>15</x:v>
      </x:c>
      <x:c r="L145" s="1" t="str"/>
      <x:c r="M145" s="9" t="str">
        <x:v>https://poke.idleworld.online/pokepedia/pokemon/pidgeot</x:v>
      </x:c>
    </x:row>
    <x:row r="146" ht="22" customHeight="1">
      <x:c r="A146" s="1" t="n">
        <x:v>18</x:v>
      </x:c>
      <x:c r="B146" s="1" t="str">
        <x:v>Pidgeot</x:v>
      </x:c>
      <x:c r="C146" s="1" t="n">
        <x:v>1</x:v>
      </x:c>
      <x:c r="D146" s="1" t="str">
        <x:v>Quick Attack</x:v>
      </x:c>
      <x:c r="E146" s="1" t="str">
        <x:v>Normal</x:v>
      </x:c>
      <x:c r="F146" s="1" t="str">
        <x:v>Física</x:v>
      </x:c>
      <x:c r="G146" s="10" t="n">
        <x:v>40</x:v>
      </x:c>
      <x:c r="H146" s="10" t="n">
        <x:f>IF(F146="Física",'Pokémon'!G22,IF(F146="Especial",'Pokémon'!I22,""))</x:f>
        <x:v>80</x:v>
      </x:c>
      <x:c r="I146" s="10" t="n">
        <x:f>IF(OR(F146="Status",G146=0),"",G146+H146)</x:f>
        <x:v>120</x:v>
      </x:c>
      <x:c r="J146" s="10" t="n">
        <x:v>1</x:v>
      </x:c>
      <x:c r="K146" s="12" t="n">
        <x:v>10</x:v>
      </x:c>
      <x:c r="L146" s="1" t="str"/>
      <x:c r="M146" s="9" t="str">
        <x:v>https://poke.idleworld.online/pokepedia/pokemon/pidgeot</x:v>
      </x:c>
    </x:row>
    <x:row r="147" ht="22" customHeight="1">
      <x:c r="A147" s="1" t="n">
        <x:v>18</x:v>
      </x:c>
      <x:c r="B147" s="1" t="str">
        <x:v>Pidgeot</x:v>
      </x:c>
      <x:c r="C147" s="1" t="n">
        <x:v>4</x:v>
      </x:c>
      <x:c r="D147" s="1" t="str">
        <x:v>Gust</x:v>
      </x:c>
      <x:c r="E147" s="1" t="str">
        <x:v>Voador</x:v>
      </x:c>
      <x:c r="F147" s="1" t="str">
        <x:v>Especial</x:v>
      </x:c>
      <x:c r="G147" s="10" t="n">
        <x:v>40</x:v>
      </x:c>
      <x:c r="H147" s="10" t="n">
        <x:f>IF(F147="Física",'Pokémon'!G22,IF(F147="Especial",'Pokémon'!I22,""))</x:f>
        <x:v>70</x:v>
      </x:c>
      <x:c r="I147" s="10" t="n">
        <x:f>IF(OR(F147="Status",G147=0),"",G147+H147)</x:f>
        <x:v>110</x:v>
      </x:c>
      <x:c r="J147" s="10" t="n">
        <x:v>1</x:v>
      </x:c>
      <x:c r="K147" s="12" t="n">
        <x:v>15</x:v>
      </x:c>
      <x:c r="L147" s="1" t="str"/>
      <x:c r="M147" s="9" t="str">
        <x:v>https://poke.idleworld.online/pokepedia/pokemon/pidgeot</x:v>
      </x:c>
    </x:row>
    <x:row r="148" ht="22" customHeight="1">
      <x:c r="A148" s="1" t="n">
        <x:v>18</x:v>
      </x:c>
      <x:c r="B148" s="1" t="str">
        <x:v>Pidgeot</x:v>
      </x:c>
      <x:c r="C148" s="1" t="n">
        <x:v>7</x:v>
      </x:c>
      <x:c r="D148" s="1" t="str">
        <x:v>Twister</x:v>
      </x:c>
      <x:c r="E148" s="1" t="str">
        <x:v>Dragão</x:v>
      </x:c>
      <x:c r="F148" s="1" t="str">
        <x:v>Especial</x:v>
      </x:c>
      <x:c r="G148" s="10" t="n">
        <x:v>40</x:v>
      </x:c>
      <x:c r="H148" s="10" t="n">
        <x:f>IF(F148="Física",'Pokémon'!G22,IF(F148="Especial",'Pokémon'!I22,""))</x:f>
        <x:v>70</x:v>
      </x:c>
      <x:c r="I148" s="10" t="n">
        <x:f>IF(OR(F148="Status",G148=0),"",G148+H148)</x:f>
        <x:v>110</x:v>
      </x:c>
      <x:c r="J148" s="10" t="n">
        <x:v>22</x:v>
      </x:c>
      <x:c r="K148" s="12" t="n">
        <x:v>15</x:v>
      </x:c>
      <x:c r="L148" s="1" t="str"/>
      <x:c r="M148" s="9" t="str">
        <x:v>https://poke.idleworld.online/pokepedia/pokemon/pidgeot</x:v>
      </x:c>
    </x:row>
    <x:row r="149" ht="22" customHeight="1">
      <x:c r="A149" s="1" t="n">
        <x:v>18</x:v>
      </x:c>
      <x:c r="B149" s="1" t="str">
        <x:v>Pidgeot</x:v>
      </x:c>
      <x:c r="C149" s="1" t="n">
        <x:v>6</x:v>
      </x:c>
      <x:c r="D149" s="1" t="str">
        <x:v>Whirlwind</x:v>
      </x:c>
      <x:c r="E149" s="1" t="str">
        <x:v>Normal</x:v>
      </x:c>
      <x:c r="F149" s="1" t="str">
        <x:v>Status</x:v>
      </x:c>
      <x:c r="G149" s="10" t="n">
        <x:v>0</x:v>
      </x:c>
      <x:c r="H149" s="10" t="str">
        <x:f>IF(F149="Física",'Pokémon'!G22,IF(F149="Especial",'Pokémon'!I22,""))</x:f>
      </x:c>
      <x:c r="I149" s="10" t="str">
        <x:f>IF(OR(F149="Status",G149=0),"",G149+H149)</x:f>
      </x:c>
      <x:c r="J149" s="10" t="n">
        <x:v>17</x:v>
      </x:c>
      <x:c r="K149" s="12" t="n">
        <x:v>50</x:v>
      </x:c>
      <x:c r="L149" s="1" t="str"/>
      <x:c r="M149" s="9" t="str">
        <x:v>https://poke.idleworld.online/pokepedia/pokemon/pidgeot</x:v>
      </x:c>
    </x:row>
    <x:row r="150" ht="22" customHeight="1">
      <x:c r="A150" s="1" t="n">
        <x:v>18</x:v>
      </x:c>
      <x:c r="B150" s="1" t="str">
        <x:v>Pidgeot</x:v>
      </x:c>
      <x:c r="C150" s="1" t="n">
        <x:v>8</x:v>
      </x:c>
      <x:c r="D150" s="1" t="str">
        <x:v>Feather Dance</x:v>
      </x:c>
      <x:c r="E150" s="1" t="str">
        <x:v>Voador</x:v>
      </x:c>
      <x:c r="F150" s="1" t="str">
        <x:v>Status</x:v>
      </x:c>
      <x:c r="G150" s="10" t="n">
        <x:v>0</x:v>
      </x:c>
      <x:c r="H150" s="10" t="str">
        <x:f>IF(F150="Física",'Pokémon'!G22,IF(F150="Especial",'Pokémon'!I22,""))</x:f>
      </x:c>
      <x:c r="I150" s="10" t="str">
        <x:f>IF(OR(F150="Status",G150=0),"",G150+H150)</x:f>
      </x:c>
      <x:c r="J150" s="10" t="n">
        <x:v>27</x:v>
      </x:c>
      <x:c r="K150" s="12" t="n">
        <x:v>10</x:v>
      </x:c>
      <x:c r="L150" s="1" t="str"/>
      <x:c r="M150" s="9" t="str">
        <x:v>https://poke.idleworld.online/pokepedia/pokemon/pidgeot</x:v>
      </x:c>
    </x:row>
    <x:row r="151" ht="22" customHeight="1">
      <x:c r="A151" s="1" t="n">
        <x:v>18</x:v>
      </x:c>
      <x:c r="B151" s="1" t="str">
        <x:v>Pidgeot</x:v>
      </x:c>
      <x:c r="C151" s="1" t="n">
        <x:v>9</x:v>
      </x:c>
      <x:c r="D151" s="1" t="str">
        <x:v>Agility</x:v>
      </x:c>
      <x:c r="E151" s="1" t="str">
        <x:v>Psíquico</x:v>
      </x:c>
      <x:c r="F151" s="1" t="str">
        <x:v>Status</x:v>
      </x:c>
      <x:c r="G151" s="10" t="n">
        <x:v>0</x:v>
      </x:c>
      <x:c r="H151" s="10" t="str">
        <x:f>IF(F151="Física",'Pokémon'!G22,IF(F151="Especial",'Pokémon'!I22,""))</x:f>
      </x:c>
      <x:c r="I151" s="10" t="str">
        <x:f>IF(OR(F151="Status",G151=0),"",G151+H151)</x:f>
      </x:c>
      <x:c r="J151" s="10" t="n">
        <x:v>32</x:v>
      </x:c>
      <x:c r="K151" s="12" t="n">
        <x:v>50</x:v>
      </x:c>
      <x:c r="L151" s="1" t="str"/>
      <x:c r="M151" s="9" t="str">
        <x:v>https://poke.idleworld.online/pokepedia/pokemon/pidgeot</x:v>
      </x:c>
    </x:row>
    <x:row r="152" ht="22" customHeight="1">
      <x:c r="A152" s="1" t="n">
        <x:v>19</x:v>
      </x:c>
      <x:c r="B152" s="1" t="str">
        <x:v>Rattata</x:v>
      </x:c>
      <x:c r="C152" s="1" t="n">
        <x:v>10</x:v>
      </x:c>
      <x:c r="D152" s="1" t="str">
        <x:v>Double-Edge</x:v>
      </x:c>
      <x:c r="E152" s="1" t="str">
        <x:v>Normal</x:v>
      </x:c>
      <x:c r="F152" s="1" t="str">
        <x:v>Física</x:v>
      </x:c>
      <x:c r="G152" s="10" t="n">
        <x:v>120</x:v>
      </x:c>
      <x:c r="H152" s="10" t="n">
        <x:f>IF(F152="Física",'Pokémon'!G23,IF(F152="Especial",'Pokémon'!I23,""))</x:f>
        <x:v>56</x:v>
      </x:c>
      <x:c r="I152" s="10" t="n">
        <x:f>IF(OR(F152="Status",G152=0),"",G152+H152)</x:f>
        <x:v>176</x:v>
      </x:c>
      <x:c r="J152" s="10" t="n">
        <x:v>31</x:v>
      </x:c>
      <x:c r="K152" s="12" t="n">
        <x:v>50</x:v>
      </x:c>
      <x:c r="L152" s="1" t="str"/>
      <x:c r="M152" s="9" t="str">
        <x:v>https://poke.idleworld.online/pokepedia/pokemon/rattata</x:v>
      </x:c>
    </x:row>
    <x:row r="153" ht="22" customHeight="1">
      <x:c r="A153" s="1" t="n">
        <x:v>19</x:v>
      </x:c>
      <x:c r="B153" s="1" t="str">
        <x:v>Rattata</x:v>
      </x:c>
      <x:c r="C153" s="1" t="n">
        <x:v>5</x:v>
      </x:c>
      <x:c r="D153" s="1" t="str">
        <x:v>Hyper Fang</x:v>
      </x:c>
      <x:c r="E153" s="1" t="str">
        <x:v>Normal</x:v>
      </x:c>
      <x:c r="F153" s="1" t="str">
        <x:v>Física</x:v>
      </x:c>
      <x:c r="G153" s="10" t="n">
        <x:v>80</x:v>
      </x:c>
      <x:c r="H153" s="10" t="n">
        <x:f>IF(F153="Física",'Pokémon'!G23,IF(F153="Especial",'Pokémon'!I23,""))</x:f>
        <x:v>56</x:v>
      </x:c>
      <x:c r="I153" s="10" t="n">
        <x:f>IF(OR(F153="Status",G153=0),"",G153+H153)</x:f>
        <x:v>136</x:v>
      </x:c>
      <x:c r="J153" s="10" t="n">
        <x:v>16</x:v>
      </x:c>
      <x:c r="K153" s="12" t="n">
        <x:v>22</x:v>
      </x:c>
      <x:c r="L153" s="1" t="str"/>
      <x:c r="M153" s="9" t="str">
        <x:v>https://poke.idleworld.online/pokepedia/pokemon/rattata</x:v>
      </x:c>
    </x:row>
    <x:row r="154" ht="22" customHeight="1">
      <x:c r="A154" s="1" t="n">
        <x:v>19</x:v>
      </x:c>
      <x:c r="B154" s="1" t="str">
        <x:v>Rattata</x:v>
      </x:c>
      <x:c r="C154" s="1" t="n">
        <x:v>6</x:v>
      </x:c>
      <x:c r="D154" s="1" t="str">
        <x:v>Sucker Punch</x:v>
      </x:c>
      <x:c r="E154" s="1" t="str">
        <x:v>Sombrio</x:v>
      </x:c>
      <x:c r="F154" s="1" t="str">
        <x:v>Física</x:v>
      </x:c>
      <x:c r="G154" s="10" t="n">
        <x:v>80</x:v>
      </x:c>
      <x:c r="H154" s="10" t="n">
        <x:f>IF(F154="Física",'Pokémon'!G23,IF(F154="Especial",'Pokémon'!I23,""))</x:f>
        <x:v>56</x:v>
      </x:c>
      <x:c r="I154" s="10" t="n">
        <x:f>IF(OR(F154="Status",G154=0),"",G154+H154)</x:f>
        <x:v>136</x:v>
      </x:c>
      <x:c r="J154" s="10" t="n">
        <x:v>19</x:v>
      </x:c>
      <x:c r="K154" s="12" t="n">
        <x:v>22</x:v>
      </x:c>
      <x:c r="L154" s="1" t="str"/>
      <x:c r="M154" s="9" t="str">
        <x:v>https://poke.idleworld.online/pokepedia/pokemon/rattata</x:v>
      </x:c>
    </x:row>
    <x:row r="155" ht="22" customHeight="1">
      <x:c r="A155" s="1" t="n">
        <x:v>19</x:v>
      </x:c>
      <x:c r="B155" s="1" t="str">
        <x:v>Rattata</x:v>
      </x:c>
      <x:c r="C155" s="1" t="n">
        <x:v>7</x:v>
      </x:c>
      <x:c r="D155" s="1" t="str">
        <x:v>Crunch</x:v>
      </x:c>
      <x:c r="E155" s="1" t="str">
        <x:v>Sombrio</x:v>
      </x:c>
      <x:c r="F155" s="1" t="str">
        <x:v>Física</x:v>
      </x:c>
      <x:c r="G155" s="10" t="n">
        <x:v>80</x:v>
      </x:c>
      <x:c r="H155" s="10" t="n">
        <x:f>IF(F155="Física",'Pokémon'!G23,IF(F155="Especial",'Pokémon'!I23,""))</x:f>
        <x:v>56</x:v>
      </x:c>
      <x:c r="I155" s="10" t="n">
        <x:f>IF(OR(F155="Status",G155=0),"",G155+H155)</x:f>
        <x:v>136</x:v>
      </x:c>
      <x:c r="J155" s="10" t="n">
        <x:v>22</x:v>
      </x:c>
      <x:c r="K155" s="12" t="n">
        <x:v>22</x:v>
      </x:c>
      <x:c r="L155" s="1" t="str"/>
      <x:c r="M155" s="9" t="str">
        <x:v>https://poke.idleworld.online/pokepedia/pokemon/rattata</x:v>
      </x:c>
    </x:row>
    <x:row r="156" ht="22" customHeight="1">
      <x:c r="A156" s="1" t="n">
        <x:v>19</x:v>
      </x:c>
      <x:c r="B156" s="1" t="str">
        <x:v>Rattata</x:v>
      </x:c>
      <x:c r="C156" s="1" t="n">
        <x:v>3</x:v>
      </x:c>
      <x:c r="D156" s="1" t="str">
        <x:v>Bite</x:v>
      </x:c>
      <x:c r="E156" s="1" t="str">
        <x:v>Sombrio</x:v>
      </x:c>
      <x:c r="F156" s="1" t="str">
        <x:v>Física</x:v>
      </x:c>
      <x:c r="G156" s="10" t="n">
        <x:v>60</x:v>
      </x:c>
      <x:c r="H156" s="10" t="n">
        <x:f>IF(F156="Física",'Pokémon'!G23,IF(F156="Especial",'Pokémon'!I23,""))</x:f>
        <x:v>56</x:v>
      </x:c>
      <x:c r="I156" s="10" t="n">
        <x:f>IF(OR(F156="Status",G156=0),"",G156+H156)</x:f>
        <x:v>116</x:v>
      </x:c>
      <x:c r="J156" s="10" t="n">
        <x:v>10</x:v>
      </x:c>
      <x:c r="K156" s="12" t="n">
        <x:v>15</x:v>
      </x:c>
      <x:c r="L156" s="1" t="str"/>
      <x:c r="M156" s="9" t="str">
        <x:v>https://poke.idleworld.online/pokepedia/pokemon/rattata</x:v>
      </x:c>
    </x:row>
    <x:row r="157" ht="22" customHeight="1">
      <x:c r="A157" s="1" t="n">
        <x:v>19</x:v>
      </x:c>
      <x:c r="B157" s="1" t="str">
        <x:v>Rattata</x:v>
      </x:c>
      <x:c r="C157" s="1" t="n">
        <x:v>8</x:v>
      </x:c>
      <x:c r="D157" s="1" t="str">
        <x:v>Assurance</x:v>
      </x:c>
      <x:c r="E157" s="1" t="str">
        <x:v>Sombrio</x:v>
      </x:c>
      <x:c r="F157" s="1" t="str">
        <x:v>Física</x:v>
      </x:c>
      <x:c r="G157" s="10" t="n">
        <x:v>60</x:v>
      </x:c>
      <x:c r="H157" s="10" t="n">
        <x:f>IF(F157="Física",'Pokémon'!G23,IF(F157="Especial",'Pokémon'!I23,""))</x:f>
        <x:v>56</x:v>
      </x:c>
      <x:c r="I157" s="10" t="n">
        <x:f>IF(OR(F157="Status",G157=0),"",G157+H157)</x:f>
        <x:v>116</x:v>
      </x:c>
      <x:c r="J157" s="10" t="n">
        <x:v>25</x:v>
      </x:c>
      <x:c r="K157" s="12" t="n">
        <x:v>20</x:v>
      </x:c>
      <x:c r="L157" s="1" t="str"/>
      <x:c r="M157" s="9" t="str">
        <x:v>https://poke.idleworld.online/pokepedia/pokemon/rattata</x:v>
      </x:c>
    </x:row>
    <x:row r="158" ht="22" customHeight="1">
      <x:c r="A158" s="1" t="n">
        <x:v>19</x:v>
      </x:c>
      <x:c r="B158" s="1" t="str">
        <x:v>Rattata</x:v>
      </x:c>
      <x:c r="C158" s="1" t="n">
        <x:v>9</x:v>
      </x:c>
      <x:c r="D158" s="1" t="str">
        <x:v>Super Fang</x:v>
      </x:c>
      <x:c r="E158" s="1" t="str">
        <x:v>Normal</x:v>
      </x:c>
      <x:c r="F158" s="1" t="str">
        <x:v>Física</x:v>
      </x:c>
      <x:c r="G158" s="10" t="n">
        <x:v>56</x:v>
      </x:c>
      <x:c r="H158" s="10" t="n">
        <x:f>IF(F158="Física",'Pokémon'!G23,IF(F158="Especial",'Pokémon'!I23,""))</x:f>
        <x:v>56</x:v>
      </x:c>
      <x:c r="I158" s="10" t="n">
        <x:f>IF(OR(F158="Status",G158=0),"",G158+H158)</x:f>
        <x:v>112</x:v>
      </x:c>
      <x:c r="J158" s="10" t="n">
        <x:v>28</x:v>
      </x:c>
      <x:c r="K158" s="12" t="n">
        <x:v>45</x:v>
      </x:c>
      <x:c r="L158" s="1" t="str"/>
      <x:c r="M158" s="9" t="str">
        <x:v>https://poke.idleworld.online/pokepedia/pokemon/rattata</x:v>
      </x:c>
    </x:row>
    <x:row r="159" ht="22" customHeight="1">
      <x:c r="A159" s="1" t="n">
        <x:v>19</x:v>
      </x:c>
      <x:c r="B159" s="1" t="str">
        <x:v>Rattata</x:v>
      </x:c>
      <x:c r="C159" s="1" t="n">
        <x:v>1</x:v>
      </x:c>
      <x:c r="D159" s="1" t="str">
        <x:v>Tackle</x:v>
      </x:c>
      <x:c r="E159" s="1" t="str">
        <x:v>Normal</x:v>
      </x:c>
      <x:c r="F159" s="1" t="str">
        <x:v>Física</x:v>
      </x:c>
      <x:c r="G159" s="10" t="n">
        <x:v>50</x:v>
      </x:c>
      <x:c r="H159" s="10" t="n">
        <x:f>IF(F159="Física",'Pokémon'!G23,IF(F159="Especial",'Pokémon'!I23,""))</x:f>
        <x:v>56</x:v>
      </x:c>
      <x:c r="I159" s="10" t="n">
        <x:f>IF(OR(F159="Status",G159=0),"",G159+H159)</x:f>
        <x:v>106</x:v>
      </x:c>
      <x:c r="J159" s="10" t="n">
        <x:v>1</x:v>
      </x:c>
      <x:c r="K159" s="12" t="n">
        <x:v>15</x:v>
      </x:c>
      <x:c r="L159" s="1" t="str"/>
      <x:c r="M159" s="9" t="str">
        <x:v>https://poke.idleworld.online/pokepedia/pokemon/rattata</x:v>
      </x:c>
    </x:row>
    <x:row r="160" ht="22" customHeight="1">
      <x:c r="A160" s="1" t="n">
        <x:v>19</x:v>
      </x:c>
      <x:c r="B160" s="1" t="str">
        <x:v>Rattata</x:v>
      </x:c>
      <x:c r="C160" s="1" t="n">
        <x:v>2</x:v>
      </x:c>
      <x:c r="D160" s="1" t="str">
        <x:v>Quick Attack</x:v>
      </x:c>
      <x:c r="E160" s="1" t="str">
        <x:v>Normal</x:v>
      </x:c>
      <x:c r="F160" s="1" t="str">
        <x:v>Física</x:v>
      </x:c>
      <x:c r="G160" s="10" t="n">
        <x:v>40</x:v>
      </x:c>
      <x:c r="H160" s="10" t="n">
        <x:f>IF(F160="Física",'Pokémon'!G23,IF(F160="Especial",'Pokémon'!I23,""))</x:f>
        <x:v>56</x:v>
      </x:c>
      <x:c r="I160" s="10" t="n">
        <x:f>IF(OR(F160="Status",G160=0),"",G160+H160)</x:f>
        <x:v>96</x:v>
      </x:c>
      <x:c r="J160" s="10" t="n">
        <x:v>4</x:v>
      </x:c>
      <x:c r="K160" s="12" t="n">
        <x:v>10</x:v>
      </x:c>
      <x:c r="L160" s="1" t="str"/>
      <x:c r="M160" s="9" t="str">
        <x:v>https://poke.idleworld.online/pokepedia/pokemon/rattata</x:v>
      </x:c>
    </x:row>
    <x:row r="161" ht="22" customHeight="1">
      <x:c r="A161" s="1" t="n">
        <x:v>19</x:v>
      </x:c>
      <x:c r="B161" s="1" t="str">
        <x:v>Rattata</x:v>
      </x:c>
      <x:c r="C161" s="1" t="n">
        <x:v>4</x:v>
      </x:c>
      <x:c r="D161" s="1" t="str">
        <x:v>Pursuit</x:v>
      </x:c>
      <x:c r="E161" s="1" t="str">
        <x:v>Sombrio</x:v>
      </x:c>
      <x:c r="F161" s="1" t="str">
        <x:v>Física</x:v>
      </x:c>
      <x:c r="G161" s="10" t="n">
        <x:v>40</x:v>
      </x:c>
      <x:c r="H161" s="10" t="n">
        <x:f>IF(F161="Física",'Pokémon'!G23,IF(F161="Especial",'Pokémon'!I23,""))</x:f>
        <x:v>56</x:v>
      </x:c>
      <x:c r="I161" s="10" t="n">
        <x:f>IF(OR(F161="Status",G161=0),"",G161+H161)</x:f>
        <x:v>96</x:v>
      </x:c>
      <x:c r="J161" s="10" t="n">
        <x:v>13</x:v>
      </x:c>
      <x:c r="K161" s="12" t="n">
        <x:v>15</x:v>
      </x:c>
      <x:c r="L161" s="1" t="str"/>
      <x:c r="M161" s="9" t="str">
        <x:v>https://poke.idleworld.online/pokepedia/pokemon/rattata</x:v>
      </x:c>
    </x:row>
    <x:row r="162" ht="22" customHeight="1">
      <x:c r="A162" s="1" t="n">
        <x:v>20</x:v>
      </x:c>
      <x:c r="B162" s="1" t="str">
        <x:v>Raticate</x:v>
      </x:c>
      <x:c r="C162" s="1" t="n">
        <x:v>11</x:v>
      </x:c>
      <x:c r="D162" s="1" t="str">
        <x:v>Double-Edge</x:v>
      </x:c>
      <x:c r="E162" s="1" t="str">
        <x:v>Normal</x:v>
      </x:c>
      <x:c r="F162" s="1" t="str">
        <x:v>Física</x:v>
      </x:c>
      <x:c r="G162" s="10" t="n">
        <x:v>120</x:v>
      </x:c>
      <x:c r="H162" s="10" t="n">
        <x:f>IF(F162="Física",'Pokémon'!G24,IF(F162="Especial",'Pokémon'!I24,""))</x:f>
        <x:v>81</x:v>
      </x:c>
      <x:c r="I162" s="10" t="n">
        <x:f>IF(OR(F162="Status",G162=0),"",G162+H162)</x:f>
        <x:v>201</x:v>
      </x:c>
      <x:c r="J162" s="10" t="n">
        <x:v>39</x:v>
      </x:c>
      <x:c r="K162" s="12" t="n">
        <x:v>50</x:v>
      </x:c>
      <x:c r="L162" s="1" t="str"/>
      <x:c r="M162" s="9" t="str">
        <x:v>https://poke.idleworld.online/pokepedia/pokemon/raticate</x:v>
      </x:c>
    </x:row>
    <x:row r="163" ht="22" customHeight="1">
      <x:c r="A163" s="1" t="n">
        <x:v>20</x:v>
      </x:c>
      <x:c r="B163" s="1" t="str">
        <x:v>Raticate</x:v>
      </x:c>
      <x:c r="C163" s="1" t="n">
        <x:v>5</x:v>
      </x:c>
      <x:c r="D163" s="1" t="str">
        <x:v>Hyper Fang</x:v>
      </x:c>
      <x:c r="E163" s="1" t="str">
        <x:v>Normal</x:v>
      </x:c>
      <x:c r="F163" s="1" t="str">
        <x:v>Física</x:v>
      </x:c>
      <x:c r="G163" s="10" t="n">
        <x:v>80</x:v>
      </x:c>
      <x:c r="H163" s="10" t="n">
        <x:f>IF(F163="Física",'Pokémon'!G24,IF(F163="Especial",'Pokémon'!I24,""))</x:f>
        <x:v>81</x:v>
      </x:c>
      <x:c r="I163" s="10" t="n">
        <x:f>IF(OR(F163="Status",G163=0),"",G163+H163)</x:f>
        <x:v>161</x:v>
      </x:c>
      <x:c r="J163" s="10" t="n">
        <x:v>16</x:v>
      </x:c>
      <x:c r="K163" s="12" t="n">
        <x:v>22</x:v>
      </x:c>
      <x:c r="L163" s="1" t="str"/>
      <x:c r="M163" s="9" t="str">
        <x:v>https://poke.idleworld.online/pokepedia/pokemon/raticate</x:v>
      </x:c>
    </x:row>
    <x:row r="164" ht="22" customHeight="1">
      <x:c r="A164" s="1" t="n">
        <x:v>20</x:v>
      </x:c>
      <x:c r="B164" s="1" t="str">
        <x:v>Raticate</x:v>
      </x:c>
      <x:c r="C164" s="1" t="n">
        <x:v>6</x:v>
      </x:c>
      <x:c r="D164" s="1" t="str">
        <x:v>Sucker Punch</x:v>
      </x:c>
      <x:c r="E164" s="1" t="str">
        <x:v>Sombrio</x:v>
      </x:c>
      <x:c r="F164" s="1" t="str">
        <x:v>Física</x:v>
      </x:c>
      <x:c r="G164" s="10" t="n">
        <x:v>80</x:v>
      </x:c>
      <x:c r="H164" s="10" t="n">
        <x:f>IF(F164="Física",'Pokémon'!G24,IF(F164="Especial",'Pokémon'!I24,""))</x:f>
        <x:v>81</x:v>
      </x:c>
      <x:c r="I164" s="10" t="n">
        <x:f>IF(OR(F164="Status",G164=0),"",G164+H164)</x:f>
        <x:v>161</x:v>
      </x:c>
      <x:c r="J164" s="10" t="n">
        <x:v>19</x:v>
      </x:c>
      <x:c r="K164" s="12" t="n">
        <x:v>22</x:v>
      </x:c>
      <x:c r="L164" s="1" t="str"/>
      <x:c r="M164" s="9" t="str">
        <x:v>https://poke.idleworld.online/pokepedia/pokemon/raticate</x:v>
      </x:c>
    </x:row>
    <x:row r="165" ht="22" customHeight="1">
      <x:c r="A165" s="1" t="n">
        <x:v>20</x:v>
      </x:c>
      <x:c r="B165" s="1" t="str">
        <x:v>Raticate</x:v>
      </x:c>
      <x:c r="C165" s="1" t="n">
        <x:v>8</x:v>
      </x:c>
      <x:c r="D165" s="1" t="str">
        <x:v>Crunch</x:v>
      </x:c>
      <x:c r="E165" s="1" t="str">
        <x:v>Sombrio</x:v>
      </x:c>
      <x:c r="F165" s="1" t="str">
        <x:v>Física</x:v>
      </x:c>
      <x:c r="G165" s="10" t="n">
        <x:v>80</x:v>
      </x:c>
      <x:c r="H165" s="10" t="n">
        <x:f>IF(F165="Física",'Pokémon'!G24,IF(F165="Especial",'Pokémon'!I24,""))</x:f>
        <x:v>81</x:v>
      </x:c>
      <x:c r="I165" s="10" t="n">
        <x:f>IF(OR(F165="Status",G165=0),"",G165+H165)</x:f>
        <x:v>161</x:v>
      </x:c>
      <x:c r="J165" s="10" t="n">
        <x:v>24</x:v>
      </x:c>
      <x:c r="K165" s="12" t="n">
        <x:v>22</x:v>
      </x:c>
      <x:c r="L165" s="1" t="str"/>
      <x:c r="M165" s="9" t="str">
        <x:v>https://poke.idleworld.online/pokepedia/pokemon/raticate</x:v>
      </x:c>
    </x:row>
    <x:row r="166" ht="22" customHeight="1">
      <x:c r="A166" s="1" t="n">
        <x:v>20</x:v>
      </x:c>
      <x:c r="B166" s="1" t="str">
        <x:v>Raticate</x:v>
      </x:c>
      <x:c r="C166" s="1" t="n">
        <x:v>3</x:v>
      </x:c>
      <x:c r="D166" s="1" t="str">
        <x:v>Bite</x:v>
      </x:c>
      <x:c r="E166" s="1" t="str">
        <x:v>Sombrio</x:v>
      </x:c>
      <x:c r="F166" s="1" t="str">
        <x:v>Física</x:v>
      </x:c>
      <x:c r="G166" s="10" t="n">
        <x:v>60</x:v>
      </x:c>
      <x:c r="H166" s="10" t="n">
        <x:f>IF(F166="Física",'Pokémon'!G24,IF(F166="Especial",'Pokémon'!I24,""))</x:f>
        <x:v>81</x:v>
      </x:c>
      <x:c r="I166" s="10" t="n">
        <x:f>IF(OR(F166="Status",G166=0),"",G166+H166)</x:f>
        <x:v>141</x:v>
      </x:c>
      <x:c r="J166" s="10" t="n">
        <x:v>10</x:v>
      </x:c>
      <x:c r="K166" s="12" t="n">
        <x:v>15</x:v>
      </x:c>
      <x:c r="L166" s="1" t="str"/>
      <x:c r="M166" s="9" t="str">
        <x:v>https://poke.idleworld.online/pokepedia/pokemon/raticate</x:v>
      </x:c>
    </x:row>
    <x:row r="167" ht="22" customHeight="1">
      <x:c r="A167" s="1" t="n">
        <x:v>20</x:v>
      </x:c>
      <x:c r="B167" s="1" t="str">
        <x:v>Raticate</x:v>
      </x:c>
      <x:c r="C167" s="1" t="n">
        <x:v>9</x:v>
      </x:c>
      <x:c r="D167" s="1" t="str">
        <x:v>Assurance</x:v>
      </x:c>
      <x:c r="E167" s="1" t="str">
        <x:v>Sombrio</x:v>
      </x:c>
      <x:c r="F167" s="1" t="str">
        <x:v>Física</x:v>
      </x:c>
      <x:c r="G167" s="10" t="n">
        <x:v>60</x:v>
      </x:c>
      <x:c r="H167" s="10" t="n">
        <x:f>IF(F167="Física",'Pokémon'!G24,IF(F167="Especial",'Pokémon'!I24,""))</x:f>
        <x:v>81</x:v>
      </x:c>
      <x:c r="I167" s="10" t="n">
        <x:f>IF(OR(F167="Status",G167=0),"",G167+H167)</x:f>
        <x:v>141</x:v>
      </x:c>
      <x:c r="J167" s="10" t="n">
        <x:v>29</x:v>
      </x:c>
      <x:c r="K167" s="12" t="n">
        <x:v>20</x:v>
      </x:c>
      <x:c r="L167" s="1" t="str"/>
      <x:c r="M167" s="9" t="str">
        <x:v>https://poke.idleworld.online/pokepedia/pokemon/raticate</x:v>
      </x:c>
    </x:row>
    <x:row r="168" ht="22" customHeight="1">
      <x:c r="A168" s="1" t="n">
        <x:v>20</x:v>
      </x:c>
      <x:c r="B168" s="1" t="str">
        <x:v>Raticate</x:v>
      </x:c>
      <x:c r="C168" s="1" t="n">
        <x:v>10</x:v>
      </x:c>
      <x:c r="D168" s="1" t="str">
        <x:v>Super Fang</x:v>
      </x:c>
      <x:c r="E168" s="1" t="str">
        <x:v>Normal</x:v>
      </x:c>
      <x:c r="F168" s="1" t="str">
        <x:v>Física</x:v>
      </x:c>
      <x:c r="G168" s="10" t="n">
        <x:v>56</x:v>
      </x:c>
      <x:c r="H168" s="10" t="n">
        <x:f>IF(F168="Física",'Pokémon'!G24,IF(F168="Especial",'Pokémon'!I24,""))</x:f>
        <x:v>81</x:v>
      </x:c>
      <x:c r="I168" s="10" t="n">
        <x:f>IF(OR(F168="Status",G168=0),"",G168+H168)</x:f>
        <x:v>137</x:v>
      </x:c>
      <x:c r="J168" s="10" t="n">
        <x:v>34</x:v>
      </x:c>
      <x:c r="K168" s="12" t="n">
        <x:v>45</x:v>
      </x:c>
      <x:c r="L168" s="1" t="str"/>
      <x:c r="M168" s="9" t="str">
        <x:v>https://poke.idleworld.online/pokepedia/pokemon/raticate</x:v>
      </x:c>
    </x:row>
    <x:row r="169" ht="22" customHeight="1">
      <x:c r="A169" s="1" t="n">
        <x:v>20</x:v>
      </x:c>
      <x:c r="B169" s="1" t="str">
        <x:v>Raticate</x:v>
      </x:c>
      <x:c r="C169" s="1" t="n">
        <x:v>2</x:v>
      </x:c>
      <x:c r="D169" s="1" t="str">
        <x:v>Tackle</x:v>
      </x:c>
      <x:c r="E169" s="1" t="str">
        <x:v>Normal</x:v>
      </x:c>
      <x:c r="F169" s="1" t="str">
        <x:v>Física</x:v>
      </x:c>
      <x:c r="G169" s="10" t="n">
        <x:v>50</x:v>
      </x:c>
      <x:c r="H169" s="10" t="n">
        <x:f>IF(F169="Física",'Pokémon'!G24,IF(F169="Especial",'Pokémon'!I24,""))</x:f>
        <x:v>81</x:v>
      </x:c>
      <x:c r="I169" s="10" t="n">
        <x:f>IF(OR(F169="Status",G169=0),"",G169+H169)</x:f>
        <x:v>131</x:v>
      </x:c>
      <x:c r="J169" s="10" t="n">
        <x:v>1</x:v>
      </x:c>
      <x:c r="K169" s="12" t="n">
        <x:v>15</x:v>
      </x:c>
      <x:c r="L169" s="1" t="str"/>
      <x:c r="M169" s="9" t="str">
        <x:v>https://poke.idleworld.online/pokepedia/pokemon/raticate</x:v>
      </x:c>
    </x:row>
    <x:row r="170" ht="22" customHeight="1">
      <x:c r="A170" s="1" t="n">
        <x:v>20</x:v>
      </x:c>
      <x:c r="B170" s="1" t="str">
        <x:v>Raticate</x:v>
      </x:c>
      <x:c r="C170" s="1" t="n">
        <x:v>1</x:v>
      </x:c>
      <x:c r="D170" s="1" t="str">
        <x:v>Quick Attack</x:v>
      </x:c>
      <x:c r="E170" s="1" t="str">
        <x:v>Normal</x:v>
      </x:c>
      <x:c r="F170" s="1" t="str">
        <x:v>Física</x:v>
      </x:c>
      <x:c r="G170" s="10" t="n">
        <x:v>40</x:v>
      </x:c>
      <x:c r="H170" s="10" t="n">
        <x:f>IF(F170="Física",'Pokémon'!G24,IF(F170="Especial",'Pokémon'!I24,""))</x:f>
        <x:v>81</x:v>
      </x:c>
      <x:c r="I170" s="10" t="n">
        <x:f>IF(OR(F170="Status",G170=0),"",G170+H170)</x:f>
        <x:v>121</x:v>
      </x:c>
      <x:c r="J170" s="10" t="n">
        <x:v>1</x:v>
      </x:c>
      <x:c r="K170" s="12" t="n">
        <x:v>10</x:v>
      </x:c>
      <x:c r="L170" s="1" t="str"/>
      <x:c r="M170" s="9" t="str">
        <x:v>https://poke.idleworld.online/pokepedia/pokemon/raticate</x:v>
      </x:c>
    </x:row>
    <x:row r="171" ht="22" customHeight="1">
      <x:c r="A171" s="1" t="n">
        <x:v>20</x:v>
      </x:c>
      <x:c r="B171" s="1" t="str">
        <x:v>Raticate</x:v>
      </x:c>
      <x:c r="C171" s="1" t="n">
        <x:v>4</x:v>
      </x:c>
      <x:c r="D171" s="1" t="str">
        <x:v>Pursuit</x:v>
      </x:c>
      <x:c r="E171" s="1" t="str">
        <x:v>Sombrio</x:v>
      </x:c>
      <x:c r="F171" s="1" t="str">
        <x:v>Física</x:v>
      </x:c>
      <x:c r="G171" s="10" t="n">
        <x:v>40</x:v>
      </x:c>
      <x:c r="H171" s="10" t="n">
        <x:f>IF(F171="Física",'Pokémon'!G24,IF(F171="Especial",'Pokémon'!I24,""))</x:f>
        <x:v>81</x:v>
      </x:c>
      <x:c r="I171" s="10" t="n">
        <x:f>IF(OR(F171="Status",G171=0),"",G171+H171)</x:f>
        <x:v>121</x:v>
      </x:c>
      <x:c r="J171" s="10" t="n">
        <x:v>13</x:v>
      </x:c>
      <x:c r="K171" s="12" t="n">
        <x:v>10</x:v>
      </x:c>
      <x:c r="L171" s="1" t="str"/>
      <x:c r="M171" s="9" t="str">
        <x:v>https://poke.idleworld.online/pokepedia/pokemon/raticate</x:v>
      </x:c>
    </x:row>
    <x:row r="172" ht="22" customHeight="1">
      <x:c r="A172" s="1" t="n">
        <x:v>20</x:v>
      </x:c>
      <x:c r="B172" s="1" t="str">
        <x:v>Raticate</x:v>
      </x:c>
      <x:c r="C172" s="1" t="n">
        <x:v>7</x:v>
      </x:c>
      <x:c r="D172" s="1" t="str">
        <x:v>Scary Face</x:v>
      </x:c>
      <x:c r="E172" s="1" t="str">
        <x:v>Normal</x:v>
      </x:c>
      <x:c r="F172" s="1" t="str">
        <x:v>Status</x:v>
      </x:c>
      <x:c r="G172" s="10" t="n">
        <x:v>0</x:v>
      </x:c>
      <x:c r="H172" s="10" t="str">
        <x:f>IF(F172="Física",'Pokémon'!G24,IF(F172="Especial",'Pokémon'!I24,""))</x:f>
      </x:c>
      <x:c r="I172" s="10" t="str">
        <x:f>IF(OR(F172="Status",G172=0),"",G172+H172)</x:f>
      </x:c>
      <x:c r="J172" s="10" t="n">
        <x:v>20</x:v>
      </x:c>
      <x:c r="K172" s="12" t="n">
        <x:v>35</x:v>
      </x:c>
      <x:c r="L172" s="1" t="str"/>
      <x:c r="M172" s="9" t="str">
        <x:v>https://poke.idleworld.online/pokepedia/pokemon/raticate</x:v>
      </x:c>
    </x:row>
    <x:row r="173" ht="22" customHeight="1">
      <x:c r="A173" s="1" t="n">
        <x:v>21</x:v>
      </x:c>
      <x:c r="B173" s="1" t="str">
        <x:v>Spearow</x:v>
      </x:c>
      <x:c r="C173" s="1" t="n">
        <x:v>7</x:v>
      </x:c>
      <x:c r="D173" s="1" t="str">
        <x:v>Drill Peck</x:v>
      </x:c>
      <x:c r="E173" s="1" t="str">
        <x:v>Voador</x:v>
      </x:c>
      <x:c r="F173" s="1" t="str">
        <x:v>Física</x:v>
      </x:c>
      <x:c r="G173" s="10" t="n">
        <x:v>80</x:v>
      </x:c>
      <x:c r="H173" s="10" t="n">
        <x:f>IF(F173="Física",'Pokémon'!G25,IF(F173="Especial",'Pokémon'!I25,""))</x:f>
        <x:v>60</x:v>
      </x:c>
      <x:c r="I173" s="10" t="n">
        <x:f>IF(OR(F173="Status",G173=0),"",G173+H173)</x:f>
        <x:v>140</x:v>
      </x:c>
      <x:c r="J173" s="10" t="n">
        <x:v>37</x:v>
      </x:c>
      <x:c r="K173" s="12" t="n">
        <x:v>12</x:v>
      </x:c>
      <x:c r="L173" s="1" t="str"/>
      <x:c r="M173" s="9" t="str">
        <x:v>https://poke.idleworld.online/pokepedia/pokemon/spearow</x:v>
      </x:c>
    </x:row>
    <x:row r="174" ht="22" customHeight="1">
      <x:c r="A174" s="1" t="n">
        <x:v>21</x:v>
      </x:c>
      <x:c r="B174" s="1" t="str">
        <x:v>Spearow</x:v>
      </x:c>
      <x:c r="C174" s="1" t="n">
        <x:v>4</x:v>
      </x:c>
      <x:c r="D174" s="1" t="str">
        <x:v>Aerial Ace</x:v>
      </x:c>
      <x:c r="E174" s="1" t="str">
        <x:v>Voador</x:v>
      </x:c>
      <x:c r="F174" s="1" t="str">
        <x:v>Física</x:v>
      </x:c>
      <x:c r="G174" s="10" t="n">
        <x:v>60</x:v>
      </x:c>
      <x:c r="H174" s="10" t="n">
        <x:f>IF(F174="Física",'Pokémon'!G25,IF(F174="Especial",'Pokémon'!I25,""))</x:f>
        <x:v>60</x:v>
      </x:c>
      <x:c r="I174" s="10" t="n">
        <x:f>IF(OR(F174="Status",G174=0),"",G174+H174)</x:f>
        <x:v>120</x:v>
      </x:c>
      <x:c r="J174" s="10" t="n">
        <x:v>17</x:v>
      </x:c>
      <x:c r="K174" s="12" t="n">
        <x:v>20</x:v>
      </x:c>
      <x:c r="L174" s="1" t="str"/>
      <x:c r="M174" s="9" t="str">
        <x:v>https://poke.idleworld.online/pokepedia/pokemon/spearow</x:v>
      </x:c>
    </x:row>
    <x:row r="175" ht="22" customHeight="1">
      <x:c r="A175" s="1" t="n">
        <x:v>21</x:v>
      </x:c>
      <x:c r="B175" s="1" t="str">
        <x:v>Spearow</x:v>
      </x:c>
      <x:c r="C175" s="1" t="n">
        <x:v>6</x:v>
      </x:c>
      <x:c r="D175" s="1" t="str">
        <x:v>Assurance</x:v>
      </x:c>
      <x:c r="E175" s="1" t="str">
        <x:v>Sombrio</x:v>
      </x:c>
      <x:c r="F175" s="1" t="str">
        <x:v>Física</x:v>
      </x:c>
      <x:c r="G175" s="10" t="n">
        <x:v>60</x:v>
      </x:c>
      <x:c r="H175" s="10" t="n">
        <x:f>IF(F175="Física",'Pokémon'!G25,IF(F175="Especial",'Pokémon'!I25,""))</x:f>
        <x:v>60</x:v>
      </x:c>
      <x:c r="I175" s="10" t="n">
        <x:f>IF(OR(F175="Status",G175=0),"",G175+H175)</x:f>
        <x:v>120</x:v>
      </x:c>
      <x:c r="J175" s="10" t="n">
        <x:v>29</x:v>
      </x:c>
      <x:c r="K175" s="12" t="n">
        <x:v>20</x:v>
      </x:c>
      <x:c r="L175" s="1" t="str"/>
      <x:c r="M175" s="9" t="str">
        <x:v>https://poke.idleworld.online/pokepedia/pokemon/spearow</x:v>
      </x:c>
    </x:row>
    <x:row r="176" ht="22" customHeight="1">
      <x:c r="A176" s="1" t="n">
        <x:v>21</x:v>
      </x:c>
      <x:c r="B176" s="1" t="str">
        <x:v>Spearow</x:v>
      </x:c>
      <x:c r="C176" s="1" t="n">
        <x:v>3</x:v>
      </x:c>
      <x:c r="D176" s="1" t="str">
        <x:v>Pursuit</x:v>
      </x:c>
      <x:c r="E176" s="1" t="str">
        <x:v>Sombrio</x:v>
      </x:c>
      <x:c r="F176" s="1" t="str">
        <x:v>Física</x:v>
      </x:c>
      <x:c r="G176" s="10" t="n">
        <x:v>40</x:v>
      </x:c>
      <x:c r="H176" s="10" t="n">
        <x:f>IF(F176="Física",'Pokémon'!G25,IF(F176="Especial",'Pokémon'!I25,""))</x:f>
        <x:v>60</x:v>
      </x:c>
      <x:c r="I176" s="10" t="n">
        <x:f>IF(OR(F176="Status",G176=0),"",G176+H176)</x:f>
        <x:v>100</x:v>
      </x:c>
      <x:c r="J176" s="10" t="n">
        <x:v>13</x:v>
      </x:c>
      <x:c r="K176" s="12" t="n">
        <x:v>15</x:v>
      </x:c>
      <x:c r="L176" s="1" t="str"/>
      <x:c r="M176" s="9" t="str">
        <x:v>https://poke.idleworld.online/pokepedia/pokemon/spearow</x:v>
      </x:c>
    </x:row>
    <x:row r="177" ht="22" customHeight="1">
      <x:c r="A177" s="1" t="n">
        <x:v>21</x:v>
      </x:c>
      <x:c r="B177" s="1" t="str">
        <x:v>Spearow</x:v>
      </x:c>
      <x:c r="C177" s="1" t="n">
        <x:v>1</x:v>
      </x:c>
      <x:c r="D177" s="1" t="str">
        <x:v>Peck</x:v>
      </x:c>
      <x:c r="E177" s="1" t="str">
        <x:v>Voador</x:v>
      </x:c>
      <x:c r="F177" s="1" t="str">
        <x:v>Física</x:v>
      </x:c>
      <x:c r="G177" s="10" t="n">
        <x:v>35</x:v>
      </x:c>
      <x:c r="H177" s="10" t="n">
        <x:f>IF(F177="Física",'Pokémon'!G25,IF(F177="Especial",'Pokémon'!I25,""))</x:f>
        <x:v>60</x:v>
      </x:c>
      <x:c r="I177" s="10" t="n">
        <x:f>IF(OR(F177="Status",G177=0),"",G177+H177)</x:f>
        <x:v>95</x:v>
      </x:c>
      <x:c r="J177" s="10" t="n">
        <x:v>1</x:v>
      </x:c>
      <x:c r="K177" s="12" t="n">
        <x:v>10</x:v>
      </x:c>
      <x:c r="L177" s="1" t="str"/>
      <x:c r="M177" s="9" t="str">
        <x:v>https://poke.idleworld.online/pokepedia/pokemon/spearow</x:v>
      </x:c>
    </x:row>
    <x:row r="178" ht="22" customHeight="1">
      <x:c r="A178" s="1" t="n">
        <x:v>21</x:v>
      </x:c>
      <x:c r="B178" s="1" t="str">
        <x:v>Spearow</x:v>
      </x:c>
      <x:c r="C178" s="1" t="n">
        <x:v>2</x:v>
      </x:c>
      <x:c r="D178" s="1" t="str">
        <x:v>Fury Attack</x:v>
      </x:c>
      <x:c r="E178" s="1" t="str">
        <x:v>Normal</x:v>
      </x:c>
      <x:c r="F178" s="1" t="str">
        <x:v>Física</x:v>
      </x:c>
      <x:c r="G178" s="10" t="n">
        <x:v>15</x:v>
      </x:c>
      <x:c r="H178" s="10" t="n">
        <x:f>IF(F178="Física",'Pokémon'!G25,IF(F178="Especial",'Pokémon'!I25,""))</x:f>
        <x:v>60</x:v>
      </x:c>
      <x:c r="I178" s="10" t="n">
        <x:f>IF(OR(F178="Status",G178=0),"",G178+H178)</x:f>
        <x:v>75</x:v>
      </x:c>
      <x:c r="J178" s="10" t="n">
        <x:v>9</x:v>
      </x:c>
      <x:c r="K178" s="12" t="n">
        <x:v>15</x:v>
      </x:c>
      <x:c r="L178" s="1" t="str"/>
      <x:c r="M178" s="9" t="str">
        <x:v>https://poke.idleworld.online/pokepedia/pokemon/spearow</x:v>
      </x:c>
    </x:row>
    <x:row r="179" ht="22" customHeight="1">
      <x:c r="A179" s="1" t="n">
        <x:v>21</x:v>
      </x:c>
      <x:c r="B179" s="1" t="str">
        <x:v>Spearow</x:v>
      </x:c>
      <x:c r="C179" s="1" t="n">
        <x:v>5</x:v>
      </x:c>
      <x:c r="D179" s="1" t="str">
        <x:v>Agility</x:v>
      </x:c>
      <x:c r="E179" s="1" t="str">
        <x:v>Psíquico</x:v>
      </x:c>
      <x:c r="F179" s="1" t="str">
        <x:v>Status</x:v>
      </x:c>
      <x:c r="G179" s="10" t="n">
        <x:v>0</x:v>
      </x:c>
      <x:c r="H179" s="10" t="str">
        <x:f>IF(F179="Física",'Pokémon'!G25,IF(F179="Especial",'Pokémon'!I25,""))</x:f>
      </x:c>
      <x:c r="I179" s="10" t="str">
        <x:f>IF(OR(F179="Status",G179=0),"",G179+H179)</x:f>
      </x:c>
      <x:c r="J179" s="10" t="n">
        <x:v>25</x:v>
      </x:c>
      <x:c r="K179" s="12" t="n">
        <x:v>50</x:v>
      </x:c>
      <x:c r="L179" s="1" t="str"/>
      <x:c r="M179" s="9" t="str">
        <x:v>https://poke.idleworld.online/pokepedia/pokemon/spearow</x:v>
      </x:c>
    </x:row>
    <x:row r="180" ht="22" customHeight="1">
      <x:c r="A180" s="1" t="n">
        <x:v>22</x:v>
      </x:c>
      <x:c r="B180" s="1" t="str">
        <x:v>Fearow</x:v>
      </x:c>
      <x:c r="C180" s="1" t="n">
        <x:v>2</x:v>
      </x:c>
      <x:c r="D180" s="1" t="str">
        <x:v>Massive Hurricane</x:v>
      </x:c>
      <x:c r="E180" s="1" t="str">
        <x:v>Voador</x:v>
      </x:c>
      <x:c r="F180" s="1" t="str">
        <x:v>Física</x:v>
      </x:c>
      <x:c r="G180" s="10" t="n">
        <x:v>300</x:v>
      </x:c>
      <x:c r="H180" s="10" t="n">
        <x:f>IF(F180="Física",'Pokémon'!G26,IF(F180="Especial",'Pokémon'!I26,""))</x:f>
        <x:v>90</x:v>
      </x:c>
      <x:c r="I180" s="10" t="n">
        <x:f>IF(OR(F180="Status",G180=0),"",G180+H180)</x:f>
        <x:v>390</x:v>
      </x:c>
      <x:c r="J180" s="10" t="n">
        <x:v>1</x:v>
      </x:c>
      <x:c r="K180" s="12" t="n">
        <x:v>10</x:v>
      </x:c>
      <x:c r="L180" s="1" t="str">
        <x:v>Sim</x:v>
      </x:c>
      <x:c r="M180" s="9" t="str">
        <x:v>https://poke.idleworld.online/pokepedia/pokemon/fearow</x:v>
      </x:c>
    </x:row>
    <x:row r="181" ht="22" customHeight="1">
      <x:c r="A181" s="1" t="n">
        <x:v>22</x:v>
      </x:c>
      <x:c r="B181" s="1" t="str">
        <x:v>Fearow</x:v>
      </x:c>
      <x:c r="C181" s="1" t="n">
        <x:v>5</x:v>
      </x:c>
      <x:c r="D181" s="1" t="str">
        <x:v>Drill Run</x:v>
      </x:c>
      <x:c r="E181" s="1" t="str">
        <x:v>Terrestre</x:v>
      </x:c>
      <x:c r="F181" s="1" t="str">
        <x:v>Física</x:v>
      </x:c>
      <x:c r="G181" s="10" t="n">
        <x:v>80</x:v>
      </x:c>
      <x:c r="H181" s="10" t="n">
        <x:f>IF(F181="Física",'Pokémon'!G26,IF(F181="Especial",'Pokémon'!I26,""))</x:f>
        <x:v>90</x:v>
      </x:c>
      <x:c r="I181" s="10" t="n">
        <x:f>IF(OR(F181="Status",G181=0),"",G181+H181)</x:f>
        <x:v>170</x:v>
      </x:c>
      <x:c r="J181" s="10" t="n">
        <x:v>1</x:v>
      </x:c>
      <x:c r="K181" s="12" t="n">
        <x:v>22</x:v>
      </x:c>
      <x:c r="L181" s="1" t="str"/>
      <x:c r="M181" s="9" t="str">
        <x:v>https://poke.idleworld.online/pokepedia/pokemon/fearow</x:v>
      </x:c>
    </x:row>
    <x:row r="182" ht="22" customHeight="1">
      <x:c r="A182" s="1" t="n">
        <x:v>22</x:v>
      </x:c>
      <x:c r="B182" s="1" t="str">
        <x:v>Fearow</x:v>
      </x:c>
      <x:c r="C182" s="1" t="n">
        <x:v>9</x:v>
      </x:c>
      <x:c r="D182" s="1" t="str">
        <x:v>Drill Peck</x:v>
      </x:c>
      <x:c r="E182" s="1" t="str">
        <x:v>Voador</x:v>
      </x:c>
      <x:c r="F182" s="1" t="str">
        <x:v>Física</x:v>
      </x:c>
      <x:c r="G182" s="10" t="n">
        <x:v>80</x:v>
      </x:c>
      <x:c r="H182" s="10" t="n">
        <x:f>IF(F182="Física",'Pokémon'!G26,IF(F182="Especial",'Pokémon'!I26,""))</x:f>
        <x:v>90</x:v>
      </x:c>
      <x:c r="I182" s="10" t="n">
        <x:f>IF(OR(F182="Status",G182=0),"",G182+H182)</x:f>
        <x:v>170</x:v>
      </x:c>
      <x:c r="J182" s="10" t="n">
        <x:v>47</x:v>
      </x:c>
      <x:c r="K182" s="12" t="n">
        <x:v>12</x:v>
      </x:c>
      <x:c r="L182" s="1" t="str"/>
      <x:c r="M182" s="9" t="str">
        <x:v>https://poke.idleworld.online/pokepedia/pokemon/fearow</x:v>
      </x:c>
    </x:row>
    <x:row r="183" ht="22" customHeight="1">
      <x:c r="A183" s="1" t="n">
        <x:v>22</x:v>
      </x:c>
      <x:c r="B183" s="1" t="str">
        <x:v>Fearow</x:v>
      </x:c>
      <x:c r="C183" s="1" t="n">
        <x:v>4</x:v>
      </x:c>
      <x:c r="D183" s="1" t="str">
        <x:v>Pluck</x:v>
      </x:c>
      <x:c r="E183" s="1" t="str">
        <x:v>Voador</x:v>
      </x:c>
      <x:c r="F183" s="1" t="str">
        <x:v>Física</x:v>
      </x:c>
      <x:c r="G183" s="10" t="n">
        <x:v>60</x:v>
      </x:c>
      <x:c r="H183" s="10" t="n">
        <x:f>IF(F183="Física",'Pokémon'!G26,IF(F183="Especial",'Pokémon'!I26,""))</x:f>
        <x:v>90</x:v>
      </x:c>
      <x:c r="I183" s="10" t="n">
        <x:f>IF(OR(F183="Status",G183=0),"",G183+H183)</x:f>
        <x:v>150</x:v>
      </x:c>
      <x:c r="J183" s="10" t="n">
        <x:v>1</x:v>
      </x:c>
      <x:c r="K183" s="12" t="n">
        <x:v>20</x:v>
      </x:c>
      <x:c r="L183" s="1" t="str"/>
      <x:c r="M183" s="9" t="str">
        <x:v>https://poke.idleworld.online/pokepedia/pokemon/fearow</x:v>
      </x:c>
    </x:row>
    <x:row r="184" ht="22" customHeight="1">
      <x:c r="A184" s="1" t="n">
        <x:v>22</x:v>
      </x:c>
      <x:c r="B184" s="1" t="str">
        <x:v>Fearow</x:v>
      </x:c>
      <x:c r="C184" s="1" t="n">
        <x:v>7</x:v>
      </x:c>
      <x:c r="D184" s="1" t="str">
        <x:v>Aerial Ace</x:v>
      </x:c>
      <x:c r="E184" s="1" t="str">
        <x:v>Voador</x:v>
      </x:c>
      <x:c r="F184" s="1" t="str">
        <x:v>Física</x:v>
      </x:c>
      <x:c r="G184" s="10" t="n">
        <x:v>60</x:v>
      </x:c>
      <x:c r="H184" s="10" t="n">
        <x:f>IF(F184="Física",'Pokémon'!G26,IF(F184="Especial",'Pokémon'!I26,""))</x:f>
        <x:v>90</x:v>
      </x:c>
      <x:c r="I184" s="10" t="n">
        <x:f>IF(OR(F184="Status",G184=0),"",G184+H184)</x:f>
        <x:v>150</x:v>
      </x:c>
      <x:c r="J184" s="10" t="n">
        <x:v>17</x:v>
      </x:c>
      <x:c r="K184" s="12" t="n">
        <x:v>60</x:v>
      </x:c>
      <x:c r="L184" s="1" t="str"/>
      <x:c r="M184" s="9" t="str">
        <x:v>https://poke.idleworld.online/pokepedia/pokemon/fearow</x:v>
      </x:c>
    </x:row>
    <x:row r="185" ht="22" customHeight="1">
      <x:c r="A185" s="1" t="n">
        <x:v>22</x:v>
      </x:c>
      <x:c r="B185" s="1" t="str">
        <x:v>Fearow</x:v>
      </x:c>
      <x:c r="C185" s="1" t="n">
        <x:v>8</x:v>
      </x:c>
      <x:c r="D185" s="1" t="str">
        <x:v>Assurance</x:v>
      </x:c>
      <x:c r="E185" s="1" t="str">
        <x:v>Sombrio</x:v>
      </x:c>
      <x:c r="F185" s="1" t="str">
        <x:v>Física</x:v>
      </x:c>
      <x:c r="G185" s="10" t="n">
        <x:v>60</x:v>
      </x:c>
      <x:c r="H185" s="10" t="n">
        <x:f>IF(F185="Física",'Pokémon'!G26,IF(F185="Especial",'Pokémon'!I26,""))</x:f>
        <x:v>90</x:v>
      </x:c>
      <x:c r="I185" s="10" t="n">
        <x:f>IF(OR(F185="Status",G185=0),"",G185+H185)</x:f>
        <x:v>150</x:v>
      </x:c>
      <x:c r="J185" s="10" t="n">
        <x:v>35</x:v>
      </x:c>
      <x:c r="K185" s="12" t="n">
        <x:v>20</x:v>
      </x:c>
      <x:c r="L185" s="1" t="str"/>
      <x:c r="M185" s="9" t="str">
        <x:v>https://poke.idleworld.online/pokepedia/pokemon/fearow</x:v>
      </x:c>
    </x:row>
    <x:row r="186" ht="22" customHeight="1">
      <x:c r="A186" s="1" t="n">
        <x:v>22</x:v>
      </x:c>
      <x:c r="B186" s="1" t="str">
        <x:v>Fearow</x:v>
      </x:c>
      <x:c r="C186" s="1" t="n">
        <x:v>6</x:v>
      </x:c>
      <x:c r="D186" s="1" t="str">
        <x:v>Pursuit</x:v>
      </x:c>
      <x:c r="E186" s="1" t="str">
        <x:v>Sombrio</x:v>
      </x:c>
      <x:c r="F186" s="1" t="str">
        <x:v>Física</x:v>
      </x:c>
      <x:c r="G186" s="10" t="n">
        <x:v>40</x:v>
      </x:c>
      <x:c r="H186" s="10" t="n">
        <x:f>IF(F186="Física",'Pokémon'!G26,IF(F186="Especial",'Pokémon'!I26,""))</x:f>
        <x:v>90</x:v>
      </x:c>
      <x:c r="I186" s="10" t="n">
        <x:f>IF(OR(F186="Status",G186=0),"",G186+H186)</x:f>
        <x:v>130</x:v>
      </x:c>
      <x:c r="J186" s="10" t="n">
        <x:v>13</x:v>
      </x:c>
      <x:c r="K186" s="12" t="n">
        <x:v>15</x:v>
      </x:c>
      <x:c r="L186" s="1" t="str"/>
      <x:c r="M186" s="9" t="str">
        <x:v>https://poke.idleworld.online/pokepedia/pokemon/fearow</x:v>
      </x:c>
    </x:row>
    <x:row r="187" ht="22" customHeight="1">
      <x:c r="A187" s="1" t="n">
        <x:v>22</x:v>
      </x:c>
      <x:c r="B187" s="1" t="str">
        <x:v>Fearow</x:v>
      </x:c>
      <x:c r="C187" s="1" t="n">
        <x:v>1</x:v>
      </x:c>
      <x:c r="D187" s="1" t="str">
        <x:v>Peck</x:v>
      </x:c>
      <x:c r="E187" s="1" t="str">
        <x:v>Voador</x:v>
      </x:c>
      <x:c r="F187" s="1" t="str">
        <x:v>Física</x:v>
      </x:c>
      <x:c r="G187" s="10" t="n">
        <x:v>35</x:v>
      </x:c>
      <x:c r="H187" s="10" t="n">
        <x:f>IF(F187="Física",'Pokémon'!G26,IF(F187="Especial",'Pokémon'!I26,""))</x:f>
        <x:v>90</x:v>
      </x:c>
      <x:c r="I187" s="10" t="n">
        <x:f>IF(OR(F187="Status",G187=0),"",G187+H187)</x:f>
        <x:v>125</x:v>
      </x:c>
      <x:c r="J187" s="10" t="n">
        <x:v>1</x:v>
      </x:c>
      <x:c r="K187" s="12" t="n">
        <x:v>10</x:v>
      </x:c>
      <x:c r="L187" s="1" t="str"/>
      <x:c r="M187" s="9" t="str">
        <x:v>https://poke.idleworld.online/pokepedia/pokemon/fearow</x:v>
      </x:c>
    </x:row>
    <x:row r="188" ht="22" customHeight="1">
      <x:c r="A188" s="1" t="n">
        <x:v>22</x:v>
      </x:c>
      <x:c r="B188" s="1" t="str">
        <x:v>Fearow</x:v>
      </x:c>
      <x:c r="C188" s="1" t="n">
        <x:v>3</x:v>
      </x:c>
      <x:c r="D188" s="1" t="str">
        <x:v>Fury Attack</x:v>
      </x:c>
      <x:c r="E188" s="1" t="str">
        <x:v>Normal</x:v>
      </x:c>
      <x:c r="F188" s="1" t="str">
        <x:v>Física</x:v>
      </x:c>
      <x:c r="G188" s="10" t="n">
        <x:v>15</x:v>
      </x:c>
      <x:c r="H188" s="10" t="n">
        <x:f>IF(F188="Física",'Pokémon'!G26,IF(F188="Especial",'Pokémon'!I26,""))</x:f>
        <x:v>90</x:v>
      </x:c>
      <x:c r="I188" s="10" t="n">
        <x:f>IF(OR(F188="Status",G188=0),"",G188+H188)</x:f>
        <x:v>105</x:v>
      </x:c>
      <x:c r="J188" s="10" t="n">
        <x:v>1</x:v>
      </x:c>
      <x:c r="K188" s="12" t="n">
        <x:v>15</x:v>
      </x:c>
      <x:c r="L188" s="1" t="str"/>
      <x:c r="M188" s="9" t="str">
        <x:v>https://poke.idleworld.online/pokepedia/pokemon/fearow</x:v>
      </x:c>
    </x:row>
    <x:row r="189" ht="22" customHeight="1">
      <x:c r="A189" s="1" t="n">
        <x:v>23</x:v>
      </x:c>
      <x:c r="B189" s="1" t="str">
        <x:v>Ekans</x:v>
      </x:c>
      <x:c r="C189" s="1" t="n">
        <x:v>8</x:v>
      </x:c>
      <x:c r="D189" s="1" t="str">
        <x:v>Gunk Shot</x:v>
      </x:c>
      <x:c r="E189" s="1" t="str">
        <x:v>Venenoso</x:v>
      </x:c>
      <x:c r="F189" s="1" t="str">
        <x:v>Física</x:v>
      </x:c>
      <x:c r="G189" s="10" t="n">
        <x:v>120</x:v>
      </x:c>
      <x:c r="H189" s="10" t="n">
        <x:f>IF(F189="Física",'Pokémon'!G27,IF(F189="Especial",'Pokémon'!I27,""))</x:f>
        <x:v>60</x:v>
      </x:c>
      <x:c r="I189" s="10" t="n">
        <x:f>IF(OR(F189="Status",G189=0),"",G189+H189)</x:f>
        <x:v>180</x:v>
      </x:c>
      <x:c r="J189" s="10" t="n">
        <x:v>49</x:v>
      </x:c>
      <x:c r="K189" s="12" t="n">
        <x:v>20</x:v>
      </x:c>
      <x:c r="L189" s="1" t="str"/>
      <x:c r="M189" s="9" t="str">
        <x:v>https://poke.idleworld.online/pokepedia/pokemon/ekans</x:v>
      </x:c>
    </x:row>
    <x:row r="190" ht="22" customHeight="1">
      <x:c r="A190" s="1" t="n">
        <x:v>23</x:v>
      </x:c>
      <x:c r="B190" s="1" t="str">
        <x:v>Ekans</x:v>
      </x:c>
      <x:c r="C190" s="1" t="n">
        <x:v>7</x:v>
      </x:c>
      <x:c r="D190" s="1" t="str">
        <x:v>Belch</x:v>
      </x:c>
      <x:c r="E190" s="1" t="str">
        <x:v>Venenoso</x:v>
      </x:c>
      <x:c r="F190" s="1" t="str">
        <x:v>Especial</x:v>
      </x:c>
      <x:c r="G190" s="10" t="n">
        <x:v>120</x:v>
      </x:c>
      <x:c r="H190" s="10" t="n">
        <x:f>IF(F190="Física",'Pokémon'!G27,IF(F190="Especial",'Pokémon'!I27,""))</x:f>
        <x:v>40</x:v>
      </x:c>
      <x:c r="I190" s="10" t="n">
        <x:f>IF(OR(F190="Status",G190=0),"",G190+H190)</x:f>
        <x:v>160</x:v>
      </x:c>
      <x:c r="J190" s="10" t="n">
        <x:v>38</x:v>
      </x:c>
      <x:c r="K190" s="12" t="n">
        <x:v>50</x:v>
      </x:c>
      <x:c r="L190" s="1" t="str"/>
      <x:c r="M190" s="9" t="str">
        <x:v>https://poke.idleworld.online/pokepedia/pokemon/ekans</x:v>
      </x:c>
    </x:row>
    <x:row r="191" ht="22" customHeight="1">
      <x:c r="A191" s="1" t="n">
        <x:v>23</x:v>
      </x:c>
      <x:c r="B191" s="1" t="str">
        <x:v>Ekans</x:v>
      </x:c>
      <x:c r="C191" s="1" t="n">
        <x:v>3</x:v>
      </x:c>
      <x:c r="D191" s="1" t="str">
        <x:v>Bite</x:v>
      </x:c>
      <x:c r="E191" s="1" t="str">
        <x:v>Sombrio</x:v>
      </x:c>
      <x:c r="F191" s="1" t="str">
        <x:v>Física</x:v>
      </x:c>
      <x:c r="G191" s="10" t="n">
        <x:v>60</x:v>
      </x:c>
      <x:c r="H191" s="10" t="n">
        <x:f>IF(F191="Física",'Pokémon'!G27,IF(F191="Especial",'Pokémon'!I27,""))</x:f>
        <x:v>60</x:v>
      </x:c>
      <x:c r="I191" s="10" t="n">
        <x:f>IF(OR(F191="Status",G191=0),"",G191+H191)</x:f>
        <x:v>120</x:v>
      </x:c>
      <x:c r="J191" s="10" t="n">
        <x:v>9</x:v>
      </x:c>
      <x:c r="K191" s="12" t="n">
        <x:v>15</x:v>
      </x:c>
      <x:c r="L191" s="1" t="str"/>
      <x:c r="M191" s="9" t="str">
        <x:v>https://poke.idleworld.online/pokepedia/pokemon/ekans</x:v>
      </x:c>
    </x:row>
    <x:row r="192" ht="22" customHeight="1">
      <x:c r="A192" s="1" t="n">
        <x:v>23</x:v>
      </x:c>
      <x:c r="B192" s="1" t="str">
        <x:v>Ekans</x:v>
      </x:c>
      <x:c r="C192" s="1" t="n">
        <x:v>6</x:v>
      </x:c>
      <x:c r="D192" s="1" t="str">
        <x:v>Mud Bomb</x:v>
      </x:c>
      <x:c r="E192" s="1" t="str">
        <x:v>Terrestre</x:v>
      </x:c>
      <x:c r="F192" s="1" t="str">
        <x:v>Especial</x:v>
      </x:c>
      <x:c r="G192" s="10" t="n">
        <x:v>65</x:v>
      </x:c>
      <x:c r="H192" s="10" t="n">
        <x:f>IF(F192="Física",'Pokémon'!G27,IF(F192="Especial",'Pokémon'!I27,""))</x:f>
        <x:v>40</x:v>
      </x:c>
      <x:c r="I192" s="10" t="n">
        <x:f>IF(OR(F192="Status",G192=0),"",G192+H192)</x:f>
        <x:v>105</x:v>
      </x:c>
      <x:c r="J192" s="10" t="n">
        <x:v>33</x:v>
      </x:c>
      <x:c r="K192" s="12" t="n">
        <x:v>20</x:v>
      </x:c>
      <x:c r="L192" s="1" t="str"/>
      <x:c r="M192" s="9" t="str">
        <x:v>https://poke.idleworld.online/pokepedia/pokemon/ekans</x:v>
      </x:c>
    </x:row>
    <x:row r="193" ht="22" customHeight="1">
      <x:c r="A193" s="1" t="n">
        <x:v>23</x:v>
      </x:c>
      <x:c r="B193" s="1" t="str">
        <x:v>Ekans</x:v>
      </x:c>
      <x:c r="C193" s="1" t="n">
        <x:v>4</x:v>
      </x:c>
      <x:c r="D193" s="1" t="str">
        <x:v>Acid</x:v>
      </x:c>
      <x:c r="E193" s="1" t="str">
        <x:v>Venenoso</x:v>
      </x:c>
      <x:c r="F193" s="1" t="str">
        <x:v>Especial</x:v>
      </x:c>
      <x:c r="G193" s="10" t="n">
        <x:v>40</x:v>
      </x:c>
      <x:c r="H193" s="10" t="n">
        <x:f>IF(F193="Física",'Pokémon'!G27,IF(F193="Especial",'Pokémon'!I27,""))</x:f>
        <x:v>40</x:v>
      </x:c>
      <x:c r="I193" s="10" t="n">
        <x:f>IF(OR(F193="Status",G193=0),"",G193+H193)</x:f>
        <x:v>80</x:v>
      </x:c>
      <x:c r="J193" s="10" t="n">
        <x:v>20</x:v>
      </x:c>
      <x:c r="K193" s="12" t="n">
        <x:v>10</x:v>
      </x:c>
      <x:c r="L193" s="1" t="str"/>
      <x:c r="M193" s="9" t="str">
        <x:v>https://poke.idleworld.online/pokepedia/pokemon/ekans</x:v>
      </x:c>
    </x:row>
    <x:row r="194" ht="22" customHeight="1">
      <x:c r="A194" s="1" t="n">
        <x:v>23</x:v>
      </x:c>
      <x:c r="B194" s="1" t="str">
        <x:v>Ekans</x:v>
      </x:c>
      <x:c r="C194" s="1" t="n">
        <x:v>5</x:v>
      </x:c>
      <x:c r="D194" s="1" t="str">
        <x:v>Acid Spray</x:v>
      </x:c>
      <x:c r="E194" s="1" t="str">
        <x:v>Venenoso</x:v>
      </x:c>
      <x:c r="F194" s="1" t="str">
        <x:v>Especial</x:v>
      </x:c>
      <x:c r="G194" s="10" t="n">
        <x:v>40</x:v>
      </x:c>
      <x:c r="H194" s="10" t="n">
        <x:f>IF(F194="Física",'Pokémon'!G27,IF(F194="Especial",'Pokémon'!I27,""))</x:f>
        <x:v>40</x:v>
      </x:c>
      <x:c r="I194" s="10" t="n">
        <x:f>IF(OR(F194="Status",G194=0),"",G194+H194)</x:f>
        <x:v>80</x:v>
      </x:c>
      <x:c r="J194" s="10" t="n">
        <x:v>28</x:v>
      </x:c>
      <x:c r="K194" s="12" t="n">
        <x:v>15</x:v>
      </x:c>
      <x:c r="L194" s="1" t="str"/>
      <x:c r="M194" s="9" t="str">
        <x:v>https://poke.idleworld.online/pokepedia/pokemon/ekans</x:v>
      </x:c>
    </x:row>
    <x:row r="195" ht="22" customHeight="1">
      <x:c r="A195" s="1" t="n">
        <x:v>23</x:v>
      </x:c>
      <x:c r="B195" s="1" t="str">
        <x:v>Ekans</x:v>
      </x:c>
      <x:c r="C195" s="1" t="n">
        <x:v>1</x:v>
      </x:c>
      <x:c r="D195" s="1" t="str">
        <x:v>Wrap</x:v>
      </x:c>
      <x:c r="E195" s="1" t="str">
        <x:v>Normal</x:v>
      </x:c>
      <x:c r="F195" s="1" t="str">
        <x:v>Física</x:v>
      </x:c>
      <x:c r="G195" s="10" t="n">
        <x:v>15</x:v>
      </x:c>
      <x:c r="H195" s="10" t="n">
        <x:f>IF(F195="Física",'Pokémon'!G27,IF(F195="Especial",'Pokémon'!I27,""))</x:f>
        <x:v>60</x:v>
      </x:c>
      <x:c r="I195" s="10" t="n">
        <x:f>IF(OR(F195="Status",G195=0),"",G195+H195)</x:f>
        <x:v>75</x:v>
      </x:c>
      <x:c r="J195" s="10" t="n">
        <x:v>1</x:v>
      </x:c>
      <x:c r="K195" s="12" t="n">
        <x:v>15</x:v>
      </x:c>
      <x:c r="L195" s="1" t="str"/>
      <x:c r="M195" s="9" t="str">
        <x:v>https://poke.idleworld.online/pokepedia/pokemon/ekans</x:v>
      </x:c>
    </x:row>
    <x:row r="196" ht="22" customHeight="1">
      <x:c r="A196" s="1" t="n">
        <x:v>23</x:v>
      </x:c>
      <x:c r="B196" s="1" t="str">
        <x:v>Ekans</x:v>
      </x:c>
      <x:c r="C196" s="1" t="n">
        <x:v>2</x:v>
      </x:c>
      <x:c r="D196" s="1" t="str">
        <x:v>Poison Sting</x:v>
      </x:c>
      <x:c r="E196" s="1" t="str">
        <x:v>Venenoso</x:v>
      </x:c>
      <x:c r="F196" s="1" t="str">
        <x:v>Física</x:v>
      </x:c>
      <x:c r="G196" s="10" t="n">
        <x:v>15</x:v>
      </x:c>
      <x:c r="H196" s="10" t="n">
        <x:f>IF(F196="Física",'Pokémon'!G27,IF(F196="Especial",'Pokémon'!I27,""))</x:f>
        <x:v>60</x:v>
      </x:c>
      <x:c r="I196" s="10" t="n">
        <x:f>IF(OR(F196="Status",G196=0),"",G196+H196)</x:f>
        <x:v>75</x:v>
      </x:c>
      <x:c r="J196" s="10" t="n">
        <x:v>4</x:v>
      </x:c>
      <x:c r="K196" s="12" t="n">
        <x:v>15</x:v>
      </x:c>
      <x:c r="L196" s="1" t="str"/>
      <x:c r="M196" s="9" t="str">
        <x:v>https://poke.idleworld.online/pokepedia/pokemon/ekans</x:v>
      </x:c>
    </x:row>
    <x:row r="197" ht="22" customHeight="1">
      <x:c r="A197" s="1" t="n">
        <x:v>24</x:v>
      </x:c>
      <x:c r="B197" s="1" t="str">
        <x:v>Arbok</x:v>
      </x:c>
      <x:c r="C197" s="1" t="n">
        <x:v>3</x:v>
      </x:c>
      <x:c r="D197" s="1" t="str">
        <x:v>Toxic Deluge</x:v>
      </x:c>
      <x:c r="E197" s="1" t="str">
        <x:v>Venenoso</x:v>
      </x:c>
      <x:c r="F197" s="1" t="str">
        <x:v>Física</x:v>
      </x:c>
      <x:c r="G197" s="10" t="n">
        <x:v>300</x:v>
      </x:c>
      <x:c r="H197" s="10" t="n">
        <x:f>IF(F197="Física",'Pokémon'!G28,IF(F197="Especial",'Pokémon'!I28,""))</x:f>
        <x:v>85</x:v>
      </x:c>
      <x:c r="I197" s="10" t="n">
        <x:f>IF(OR(F197="Status",G197=0),"",G197+H197)</x:f>
        <x:v>385</x:v>
      </x:c>
      <x:c r="J197" s="10" t="n">
        <x:v>1</x:v>
      </x:c>
      <x:c r="K197" s="12" t="n">
        <x:v>10</x:v>
      </x:c>
      <x:c r="L197" s="1" t="str">
        <x:v>Sim</x:v>
      </x:c>
      <x:c r="M197" s="9" t="str">
        <x:v>https://poke.idleworld.online/pokepedia/pokemon/arbok</x:v>
      </x:c>
    </x:row>
    <x:row r="198" ht="22" customHeight="1">
      <x:c r="A198" s="1" t="n">
        <x:v>24</x:v>
      </x:c>
      <x:c r="B198" s="1" t="str">
        <x:v>Arbok</x:v>
      </x:c>
      <x:c r="C198" s="1" t="n">
        <x:v>13</x:v>
      </x:c>
      <x:c r="D198" s="1" t="str">
        <x:v>Gunk Shot</x:v>
      </x:c>
      <x:c r="E198" s="1" t="str">
        <x:v>Venenoso</x:v>
      </x:c>
      <x:c r="F198" s="1" t="str">
        <x:v>Física</x:v>
      </x:c>
      <x:c r="G198" s="10" t="n">
        <x:v>120</x:v>
      </x:c>
      <x:c r="H198" s="10" t="n">
        <x:f>IF(F198="Física",'Pokémon'!G28,IF(F198="Especial",'Pokémon'!I28,""))</x:f>
        <x:v>85</x:v>
      </x:c>
      <x:c r="I198" s="10" t="n">
        <x:f>IF(OR(F198="Status",G198=0),"",G198+H198)</x:f>
        <x:v>205</x:v>
      </x:c>
      <x:c r="J198" s="10" t="n">
        <x:v>63</x:v>
      </x:c>
      <x:c r="K198" s="12" t="n">
        <x:v>20</x:v>
      </x:c>
      <x:c r="L198" s="1" t="str"/>
      <x:c r="M198" s="9" t="str">
        <x:v>https://poke.idleworld.online/pokepedia/pokemon/arbok</x:v>
      </x:c>
    </x:row>
    <x:row r="199" ht="22" customHeight="1">
      <x:c r="A199" s="1" t="n">
        <x:v>24</x:v>
      </x:c>
      <x:c r="B199" s="1" t="str">
        <x:v>Arbok</x:v>
      </x:c>
      <x:c r="C199" s="1" t="n">
        <x:v>12</x:v>
      </x:c>
      <x:c r="D199" s="1" t="str">
        <x:v>Belch</x:v>
      </x:c>
      <x:c r="E199" s="1" t="str">
        <x:v>Venenoso</x:v>
      </x:c>
      <x:c r="F199" s="1" t="str">
        <x:v>Especial</x:v>
      </x:c>
      <x:c r="G199" s="10" t="n">
        <x:v>120</x:v>
      </x:c>
      <x:c r="H199" s="10" t="n">
        <x:f>IF(F199="Física",'Pokémon'!G28,IF(F199="Especial",'Pokémon'!I28,""))</x:f>
        <x:v>65</x:v>
      </x:c>
      <x:c r="I199" s="10" t="n">
        <x:f>IF(OR(F199="Status",G199=0),"",G199+H199)</x:f>
        <x:v>185</x:v>
      </x:c>
      <x:c r="J199" s="10" t="n">
        <x:v>48</x:v>
      </x:c>
      <x:c r="K199" s="12" t="n">
        <x:v>50</x:v>
      </x:c>
      <x:c r="L199" s="1" t="str"/>
      <x:c r="M199" s="9" t="str">
        <x:v>https://poke.idleworld.online/pokepedia/pokemon/arbok</x:v>
      </x:c>
    </x:row>
    <x:row r="200" ht="22" customHeight="1">
      <x:c r="A200" s="1" t="n">
        <x:v>24</x:v>
      </x:c>
      <x:c r="B200" s="1" t="str">
        <x:v>Arbok</x:v>
      </x:c>
      <x:c r="C200" s="1" t="n">
        <x:v>9</x:v>
      </x:c>
      <x:c r="D200" s="1" t="str">
        <x:v>Crunch</x:v>
      </x:c>
      <x:c r="E200" s="1" t="str">
        <x:v>Sombrio</x:v>
      </x:c>
      <x:c r="F200" s="1" t="str">
        <x:v>Física</x:v>
      </x:c>
      <x:c r="G200" s="10" t="n">
        <x:v>80</x:v>
      </x:c>
      <x:c r="H200" s="10" t="n">
        <x:f>IF(F200="Física",'Pokémon'!G28,IF(F200="Especial",'Pokémon'!I28,""))</x:f>
        <x:v>85</x:v>
      </x:c>
      <x:c r="I200" s="10" t="n">
        <x:f>IF(OR(F200="Status",G200=0),"",G200+H200)</x:f>
        <x:v>165</x:v>
      </x:c>
      <x:c r="J200" s="10" t="n">
        <x:v>22</x:v>
      </x:c>
      <x:c r="K200" s="12" t="n">
        <x:v>22</x:v>
      </x:c>
      <x:c r="L200" s="1" t="str"/>
      <x:c r="M200" s="9" t="str">
        <x:v>https://poke.idleworld.online/pokepedia/pokemon/arbok</x:v>
      </x:c>
    </x:row>
    <x:row r="201" ht="22" customHeight="1">
      <x:c r="A201" s="1" t="n">
        <x:v>24</x:v>
      </x:c>
      <x:c r="B201" s="1" t="str">
        <x:v>Arbok</x:v>
      </x:c>
      <x:c r="C201" s="1" t="n">
        <x:v>5</x:v>
      </x:c>
      <x:c r="D201" s="1" t="str">
        <x:v>Thunder Fang</x:v>
      </x:c>
      <x:c r="E201" s="1" t="str">
        <x:v>Elétrico</x:v>
      </x:c>
      <x:c r="F201" s="1" t="str">
        <x:v>Física</x:v>
      </x:c>
      <x:c r="G201" s="10" t="n">
        <x:v>65</x:v>
      </x:c>
      <x:c r="H201" s="10" t="n">
        <x:f>IF(F201="Física",'Pokémon'!G28,IF(F201="Especial",'Pokémon'!I28,""))</x:f>
        <x:v>85</x:v>
      </x:c>
      <x:c r="I201" s="10" t="n">
        <x:f>IF(OR(F201="Status",G201=0),"",G201+H201)</x:f>
        <x:v>150</x:v>
      </x:c>
      <x:c r="J201" s="10" t="n">
        <x:v>1</x:v>
      </x:c>
      <x:c r="K201" s="12" t="n">
        <x:v>20</x:v>
      </x:c>
      <x:c r="L201" s="1" t="str"/>
      <x:c r="M201" s="9" t="str">
        <x:v>https://poke.idleworld.online/pokepedia/pokemon/arbok</x:v>
      </x:c>
    </x:row>
    <x:row r="202" ht="22" customHeight="1">
      <x:c r="A202" s="1" t="n">
        <x:v>24</x:v>
      </x:c>
      <x:c r="B202" s="1" t="str">
        <x:v>Arbok</x:v>
      </x:c>
      <x:c r="C202" s="1" t="n">
        <x:v>6</x:v>
      </x:c>
      <x:c r="D202" s="1" t="str">
        <x:v>Ice Fang</x:v>
      </x:c>
      <x:c r="E202" s="1" t="str">
        <x:v>Gelo</x:v>
      </x:c>
      <x:c r="F202" s="1" t="str">
        <x:v>Física</x:v>
      </x:c>
      <x:c r="G202" s="10" t="n">
        <x:v>65</x:v>
      </x:c>
      <x:c r="H202" s="10" t="n">
        <x:f>IF(F202="Física",'Pokémon'!G28,IF(F202="Especial",'Pokémon'!I28,""))</x:f>
        <x:v>85</x:v>
      </x:c>
      <x:c r="I202" s="10" t="n">
        <x:f>IF(OR(F202="Status",G202=0),"",G202+H202)</x:f>
        <x:v>150</x:v>
      </x:c>
      <x:c r="J202" s="10" t="n">
        <x:v>1</x:v>
      </x:c>
      <x:c r="K202" s="12" t="n">
        <x:v>20</x:v>
      </x:c>
      <x:c r="L202" s="1" t="str"/>
      <x:c r="M202" s="9" t="str">
        <x:v>https://poke.idleworld.online/pokepedia/pokemon/arbok</x:v>
      </x:c>
    </x:row>
    <x:row r="203" ht="22" customHeight="1">
      <x:c r="A203" s="1" t="n">
        <x:v>24</x:v>
      </x:c>
      <x:c r="B203" s="1" t="str">
        <x:v>Arbok</x:v>
      </x:c>
      <x:c r="C203" s="1" t="n">
        <x:v>7</x:v>
      </x:c>
      <x:c r="D203" s="1" t="str">
        <x:v>Fire Fang</x:v>
      </x:c>
      <x:c r="E203" s="1" t="str">
        <x:v>Fogo</x:v>
      </x:c>
      <x:c r="F203" s="1" t="str">
        <x:v>Física</x:v>
      </x:c>
      <x:c r="G203" s="10" t="n">
        <x:v>65</x:v>
      </x:c>
      <x:c r="H203" s="10" t="n">
        <x:f>IF(F203="Física",'Pokémon'!G28,IF(F203="Especial",'Pokémon'!I28,""))</x:f>
        <x:v>85</x:v>
      </x:c>
      <x:c r="I203" s="10" t="n">
        <x:f>IF(OR(F203="Status",G203=0),"",G203+H203)</x:f>
        <x:v>150</x:v>
      </x:c>
      <x:c r="J203" s="10" t="n">
        <x:v>1</x:v>
      </x:c>
      <x:c r="K203" s="12" t="n">
        <x:v>20</x:v>
      </x:c>
      <x:c r="L203" s="1" t="str"/>
      <x:c r="M203" s="9" t="str">
        <x:v>https://poke.idleworld.online/pokepedia/pokemon/arbok</x:v>
      </x:c>
    </x:row>
    <x:row r="204" ht="22" customHeight="1">
      <x:c r="A204" s="1" t="n">
        <x:v>24</x:v>
      </x:c>
      <x:c r="B204" s="1" t="str">
        <x:v>Arbok</x:v>
      </x:c>
      <x:c r="C204" s="1" t="n">
        <x:v>2</x:v>
      </x:c>
      <x:c r="D204" s="1" t="str">
        <x:v>Bite</x:v>
      </x:c>
      <x:c r="E204" s="1" t="str">
        <x:v>Sombrio</x:v>
      </x:c>
      <x:c r="F204" s="1" t="str">
        <x:v>Física</x:v>
      </x:c>
      <x:c r="G204" s="10" t="n">
        <x:v>60</x:v>
      </x:c>
      <x:c r="H204" s="10" t="n">
        <x:f>IF(F204="Física",'Pokémon'!G28,IF(F204="Especial",'Pokémon'!I28,""))</x:f>
        <x:v>85</x:v>
      </x:c>
      <x:c r="I204" s="10" t="n">
        <x:f>IF(OR(F204="Status",G204=0),"",G204+H204)</x:f>
        <x:v>145</x:v>
      </x:c>
      <x:c r="J204" s="10" t="n">
        <x:v>1</x:v>
      </x:c>
      <x:c r="K204" s="12" t="n">
        <x:v>15</x:v>
      </x:c>
      <x:c r="L204" s="1" t="str"/>
      <x:c r="M204" s="9" t="str">
        <x:v>https://poke.idleworld.online/pokepedia/pokemon/arbok</x:v>
      </x:c>
    </x:row>
    <x:row r="205" ht="22" customHeight="1">
      <x:c r="A205" s="1" t="n">
        <x:v>24</x:v>
      </x:c>
      <x:c r="B205" s="1" t="str">
        <x:v>Arbok</x:v>
      </x:c>
      <x:c r="C205" s="1" t="n">
        <x:v>11</x:v>
      </x:c>
      <x:c r="D205" s="1" t="str">
        <x:v>Mud Bomb</x:v>
      </x:c>
      <x:c r="E205" s="1" t="str">
        <x:v>Terrestre</x:v>
      </x:c>
      <x:c r="F205" s="1" t="str">
        <x:v>Especial</x:v>
      </x:c>
      <x:c r="G205" s="10" t="n">
        <x:v>65</x:v>
      </x:c>
      <x:c r="H205" s="10" t="n">
        <x:f>IF(F205="Física",'Pokémon'!G28,IF(F205="Especial",'Pokémon'!I28,""))</x:f>
        <x:v>65</x:v>
      </x:c>
      <x:c r="I205" s="10" t="n">
        <x:f>IF(OR(F205="Status",G205=0),"",G205+H205)</x:f>
        <x:v>130</x:v>
      </x:c>
      <x:c r="J205" s="10" t="n">
        <x:v>39</x:v>
      </x:c>
      <x:c r="K205" s="12" t="n">
        <x:v>20</x:v>
      </x:c>
      <x:c r="L205" s="1" t="str"/>
      <x:c r="M205" s="9" t="str">
        <x:v>https://poke.idleworld.online/pokepedia/pokemon/arbok</x:v>
      </x:c>
    </x:row>
    <x:row r="206" ht="22" customHeight="1">
      <x:c r="A206" s="1" t="n">
        <x:v>24</x:v>
      </x:c>
      <x:c r="B206" s="1" t="str">
        <x:v>Arbok</x:v>
      </x:c>
      <x:c r="C206" s="1" t="n">
        <x:v>8</x:v>
      </x:c>
      <x:c r="D206" s="1" t="str">
        <x:v>Acid</x:v>
      </x:c>
      <x:c r="E206" s="1" t="str">
        <x:v>Venenoso</x:v>
      </x:c>
      <x:c r="F206" s="1" t="str">
        <x:v>Especial</x:v>
      </x:c>
      <x:c r="G206" s="10" t="n">
        <x:v>40</x:v>
      </x:c>
      <x:c r="H206" s="10" t="n">
        <x:f>IF(F206="Física",'Pokémon'!G28,IF(F206="Especial",'Pokémon'!I28,""))</x:f>
        <x:v>65</x:v>
      </x:c>
      <x:c r="I206" s="10" t="n">
        <x:f>IF(OR(F206="Status",G206=0),"",G206+H206)</x:f>
        <x:v>105</x:v>
      </x:c>
      <x:c r="J206" s="10" t="n">
        <x:v>20</x:v>
      </x:c>
      <x:c r="K206" s="12" t="n">
        <x:v>10</x:v>
      </x:c>
      <x:c r="L206" s="1" t="str"/>
      <x:c r="M206" s="9" t="str">
        <x:v>https://poke.idleworld.online/pokepedia/pokemon/arbok</x:v>
      </x:c>
    </x:row>
    <x:row r="207" ht="22" customHeight="1">
      <x:c r="A207" s="1" t="n">
        <x:v>24</x:v>
      </x:c>
      <x:c r="B207" s="1" t="str">
        <x:v>Arbok</x:v>
      </x:c>
      <x:c r="C207" s="1" t="n">
        <x:v>10</x:v>
      </x:c>
      <x:c r="D207" s="1" t="str">
        <x:v>Acid Spray</x:v>
      </x:c>
      <x:c r="E207" s="1" t="str">
        <x:v>Venenoso</x:v>
      </x:c>
      <x:c r="F207" s="1" t="str">
        <x:v>Especial</x:v>
      </x:c>
      <x:c r="G207" s="10" t="n">
        <x:v>40</x:v>
      </x:c>
      <x:c r="H207" s="10" t="n">
        <x:f>IF(F207="Física",'Pokémon'!G28,IF(F207="Especial",'Pokémon'!I28,""))</x:f>
        <x:v>65</x:v>
      </x:c>
      <x:c r="I207" s="10" t="n">
        <x:f>IF(OR(F207="Status",G207=0),"",G207+H207)</x:f>
        <x:v>105</x:v>
      </x:c>
      <x:c r="J207" s="10" t="n">
        <x:v>32</x:v>
      </x:c>
      <x:c r="K207" s="12" t="n">
        <x:v>15</x:v>
      </x:c>
      <x:c r="L207" s="1" t="str"/>
      <x:c r="M207" s="9" t="str">
        <x:v>https://poke.idleworld.online/pokepedia/pokemon/arbok</x:v>
      </x:c>
    </x:row>
    <x:row r="208" ht="22" customHeight="1">
      <x:c r="A208" s="1" t="n">
        <x:v>24</x:v>
      </x:c>
      <x:c r="B208" s="1" t="str">
        <x:v>Arbok</x:v>
      </x:c>
      <x:c r="C208" s="1" t="n">
        <x:v>1</x:v>
      </x:c>
      <x:c r="D208" s="1" t="str">
        <x:v>Wrap</x:v>
      </x:c>
      <x:c r="E208" s="1" t="str">
        <x:v>Normal</x:v>
      </x:c>
      <x:c r="F208" s="1" t="str">
        <x:v>Física</x:v>
      </x:c>
      <x:c r="G208" s="10" t="n">
        <x:v>15</x:v>
      </x:c>
      <x:c r="H208" s="10" t="n">
        <x:f>IF(F208="Física",'Pokémon'!G28,IF(F208="Especial",'Pokémon'!I28,""))</x:f>
        <x:v>85</x:v>
      </x:c>
      <x:c r="I208" s="10" t="n">
        <x:f>IF(OR(F208="Status",G208=0),"",G208+H208)</x:f>
        <x:v>100</x:v>
      </x:c>
      <x:c r="J208" s="10" t="n">
        <x:v>1</x:v>
      </x:c>
      <x:c r="K208" s="12" t="n">
        <x:v>20</x:v>
      </x:c>
      <x:c r="L208" s="1" t="str"/>
      <x:c r="M208" s="9" t="str">
        <x:v>https://poke.idleworld.online/pokepedia/pokemon/arbok</x:v>
      </x:c>
    </x:row>
    <x:row r="209" ht="22" customHeight="1">
      <x:c r="A209" s="1" t="n">
        <x:v>24</x:v>
      </x:c>
      <x:c r="B209" s="1" t="str">
        <x:v>Arbok</x:v>
      </x:c>
      <x:c r="C209" s="1" t="n">
        <x:v>4</x:v>
      </x:c>
      <x:c r="D209" s="1" t="str">
        <x:v>Poison Sting</x:v>
      </x:c>
      <x:c r="E209" s="1" t="str">
        <x:v>Venenoso</x:v>
      </x:c>
      <x:c r="F209" s="1" t="str">
        <x:v>Física</x:v>
      </x:c>
      <x:c r="G209" s="10" t="n">
        <x:v>15</x:v>
      </x:c>
      <x:c r="H209" s="10" t="n">
        <x:f>IF(F209="Física",'Pokémon'!G28,IF(F209="Especial",'Pokémon'!I28,""))</x:f>
        <x:v>85</x:v>
      </x:c>
      <x:c r="I209" s="10" t="n">
        <x:f>IF(OR(F209="Status",G209=0),"",G209+H209)</x:f>
        <x:v>100</x:v>
      </x:c>
      <x:c r="J209" s="10" t="n">
        <x:v>1</x:v>
      </x:c>
      <x:c r="K209" s="12" t="n">
        <x:v>15</x:v>
      </x:c>
      <x:c r="L209" s="1" t="str"/>
      <x:c r="M209" s="9" t="str">
        <x:v>https://poke.idleworld.online/pokepedia/pokemon/arbok</x:v>
      </x:c>
    </x:row>
    <x:row r="210" ht="22" customHeight="1">
      <x:c r="A210" s="1" t="n">
        <x:v>25</x:v>
      </x:c>
      <x:c r="B210" s="1" t="str">
        <x:v>Pikachu</x:v>
      </x:c>
      <x:c r="C210" s="1" t="n">
        <x:v>11</x:v>
      </x:c>
      <x:c r="D210" s="1" t="str">
        <x:v>Thunder</x:v>
      </x:c>
      <x:c r="E210" s="1" t="str">
        <x:v>Elétrico</x:v>
      </x:c>
      <x:c r="F210" s="1" t="str">
        <x:v>Especial</x:v>
      </x:c>
      <x:c r="G210" s="10" t="n">
        <x:v>110</x:v>
      </x:c>
      <x:c r="H210" s="10" t="n">
        <x:f>IF(F210="Física",'Pokémon'!G29,IF(F210="Especial",'Pokémon'!I29,""))</x:f>
        <x:v>50</x:v>
      </x:c>
      <x:c r="I210" s="10" t="n">
        <x:f>IF(OR(F210="Status",G210=0),"",G210+H210)</x:f>
        <x:v>160</x:v>
      </x:c>
      <x:c r="J210" s="10" t="n">
        <x:v>58</x:v>
      </x:c>
      <x:c r="K210" s="12" t="n">
        <x:v>60</x:v>
      </x:c>
      <x:c r="L210" s="1" t="str"/>
      <x:c r="M210" s="9" t="str">
        <x:v>https://poke.idleworld.online/pokepedia/pokemon/pikachu</x:v>
      </x:c>
    </x:row>
    <x:row r="211" ht="22" customHeight="1">
      <x:c r="A211" s="1" t="n">
        <x:v>25</x:v>
      </x:c>
      <x:c r="B211" s="1" t="str">
        <x:v>Pikachu</x:v>
      </x:c>
      <x:c r="C211" s="1" t="n">
        <x:v>10</x:v>
      </x:c>
      <x:c r="D211" s="1" t="str">
        <x:v>Wild Charge</x:v>
      </x:c>
      <x:c r="E211" s="1" t="str">
        <x:v>Elétrico</x:v>
      </x:c>
      <x:c r="F211" s="1" t="str">
        <x:v>Física</x:v>
      </x:c>
      <x:c r="G211" s="10" t="n">
        <x:v>90</x:v>
      </x:c>
      <x:c r="H211" s="10" t="n">
        <x:f>IF(F211="Física",'Pokémon'!G29,IF(F211="Especial",'Pokémon'!I29,""))</x:f>
        <x:v>55</x:v>
      </x:c>
      <x:c r="I211" s="10" t="n">
        <x:f>IF(OR(F211="Status",G211=0),"",G211+H211)</x:f>
        <x:v>145</x:v>
      </x:c>
      <x:c r="J211" s="10" t="n">
        <x:v>50</x:v>
      </x:c>
      <x:c r="K211" s="12" t="n">
        <x:v>22</x:v>
      </x:c>
      <x:c r="L211" s="1" t="str"/>
      <x:c r="M211" s="9" t="str">
        <x:v>https://poke.idleworld.online/pokepedia/pokemon/pikachu</x:v>
      </x:c>
    </x:row>
    <x:row r="212" ht="22" customHeight="1">
      <x:c r="A212" s="1" t="n">
        <x:v>25</x:v>
      </x:c>
      <x:c r="B212" s="1" t="str">
        <x:v>Pikachu</x:v>
      </x:c>
      <x:c r="C212" s="1" t="n">
        <x:v>8</x:v>
      </x:c>
      <x:c r="D212" s="1" t="str">
        <x:v>Thunderbolt</x:v>
      </x:c>
      <x:c r="E212" s="1" t="str">
        <x:v>Elétrico</x:v>
      </x:c>
      <x:c r="F212" s="1" t="str">
        <x:v>Especial</x:v>
      </x:c>
      <x:c r="G212" s="10" t="n">
        <x:v>90</x:v>
      </x:c>
      <x:c r="H212" s="10" t="n">
        <x:f>IF(F212="Física",'Pokémon'!G29,IF(F212="Especial",'Pokémon'!I29,""))</x:f>
        <x:v>50</x:v>
      </x:c>
      <x:c r="I212" s="10" t="n">
        <x:f>IF(OR(F212="Status",G212=0),"",G212+H212)</x:f>
        <x:v>140</x:v>
      </x:c>
      <x:c r="J212" s="10" t="n">
        <x:v>42</x:v>
      </x:c>
      <x:c r="K212" s="12" t="n">
        <x:v>20</x:v>
      </x:c>
      <x:c r="L212" s="1" t="str"/>
      <x:c r="M212" s="9" t="str">
        <x:v>https://poke.idleworld.online/pokepedia/pokemon/pikachu</x:v>
      </x:c>
    </x:row>
    <x:row r="213" ht="22" customHeight="1">
      <x:c r="A213" s="1" t="n">
        <x:v>25</x:v>
      </x:c>
      <x:c r="B213" s="1" t="str">
        <x:v>Pikachu</x:v>
      </x:c>
      <x:c r="C213" s="1" t="n">
        <x:v>7</x:v>
      </x:c>
      <x:c r="D213" s="1" t="str">
        <x:v>Slam</x:v>
      </x:c>
      <x:c r="E213" s="1" t="str">
        <x:v>Normal</x:v>
      </x:c>
      <x:c r="F213" s="1" t="str">
        <x:v>Física</x:v>
      </x:c>
      <x:c r="G213" s="10" t="n">
        <x:v>80</x:v>
      </x:c>
      <x:c r="H213" s="10" t="n">
        <x:f>IF(F213="Física",'Pokémon'!G29,IF(F213="Especial",'Pokémon'!I29,""))</x:f>
        <x:v>55</x:v>
      </x:c>
      <x:c r="I213" s="10" t="n">
        <x:f>IF(OR(F213="Status",G213=0),"",G213+H213)</x:f>
        <x:v>135</x:v>
      </x:c>
      <x:c r="J213" s="10" t="n">
        <x:v>37</x:v>
      </x:c>
      <x:c r="K213" s="12" t="n">
        <x:v>22</x:v>
      </x:c>
      <x:c r="L213" s="1" t="str"/>
      <x:c r="M213" s="9" t="str">
        <x:v>https://poke.idleworld.online/pokepedia/pokemon/pikachu</x:v>
      </x:c>
    </x:row>
    <x:row r="214" ht="22" customHeight="1">
      <x:c r="A214" s="1" t="n">
        <x:v>25</x:v>
      </x:c>
      <x:c r="B214" s="1" t="str">
        <x:v>Pikachu</x:v>
      </x:c>
      <x:c r="C214" s="1" t="n">
        <x:v>6</x:v>
      </x:c>
      <x:c r="D214" s="1" t="str">
        <x:v>Discharge</x:v>
      </x:c>
      <x:c r="E214" s="1" t="str">
        <x:v>Elétrico</x:v>
      </x:c>
      <x:c r="F214" s="1" t="str">
        <x:v>Especial</x:v>
      </x:c>
      <x:c r="G214" s="10" t="n">
        <x:v>80</x:v>
      </x:c>
      <x:c r="H214" s="10" t="n">
        <x:f>IF(F214="Física",'Pokémon'!G29,IF(F214="Especial",'Pokémon'!I29,""))</x:f>
        <x:v>50</x:v>
      </x:c>
      <x:c r="I214" s="10" t="n">
        <x:f>IF(OR(F214="Status",G214=0),"",G214+H214)</x:f>
        <x:v>130</x:v>
      </x:c>
      <x:c r="J214" s="10" t="n">
        <x:v>34</x:v>
      </x:c>
      <x:c r="K214" s="12" t="n">
        <x:v>22</x:v>
      </x:c>
      <x:c r="L214" s="1" t="str"/>
      <x:c r="M214" s="9" t="str">
        <x:v>https://poke.idleworld.online/pokepedia/pokemon/pikachu</x:v>
      </x:c>
    </x:row>
    <x:row r="215" ht="22" customHeight="1">
      <x:c r="A215" s="1" t="n">
        <x:v>25</x:v>
      </x:c>
      <x:c r="B215" s="1" t="str">
        <x:v>Pikachu</x:v>
      </x:c>
      <x:c r="C215" s="1" t="n">
        <x:v>4</x:v>
      </x:c>
      <x:c r="D215" s="1" t="str">
        <x:v>Spark</x:v>
      </x:c>
      <x:c r="E215" s="1" t="str">
        <x:v>Elétrico</x:v>
      </x:c>
      <x:c r="F215" s="1" t="str">
        <x:v>Física</x:v>
      </x:c>
      <x:c r="G215" s="10" t="n">
        <x:v>65</x:v>
      </x:c>
      <x:c r="H215" s="10" t="n">
        <x:f>IF(F215="Física",'Pokémon'!G29,IF(F215="Especial",'Pokémon'!I29,""))</x:f>
        <x:v>55</x:v>
      </x:c>
      <x:c r="I215" s="10" t="n">
        <x:f>IF(OR(F215="Status",G215=0),"",G215+H215)</x:f>
        <x:v>120</x:v>
      </x:c>
      <x:c r="J215" s="10" t="n">
        <x:v>26</x:v>
      </x:c>
      <x:c r="K215" s="12" t="n">
        <x:v>20</x:v>
      </x:c>
      <x:c r="L215" s="1" t="str"/>
      <x:c r="M215" s="9" t="str">
        <x:v>https://poke.idleworld.online/pokepedia/pokemon/pikachu</x:v>
      </x:c>
    </x:row>
    <x:row r="216" ht="22" customHeight="1">
      <x:c r="A216" s="1" t="n">
        <x:v>25</x:v>
      </x:c>
      <x:c r="B216" s="1" t="str">
        <x:v>Pikachu</x:v>
      </x:c>
      <x:c r="C216" s="1" t="n">
        <x:v>2</x:v>
      </x:c>
      <x:c r="D216" s="1" t="str">
        <x:v>Quick Attack</x:v>
      </x:c>
      <x:c r="E216" s="1" t="str">
        <x:v>Normal</x:v>
      </x:c>
      <x:c r="F216" s="1" t="str">
        <x:v>Física</x:v>
      </x:c>
      <x:c r="G216" s="10" t="n">
        <x:v>40</x:v>
      </x:c>
      <x:c r="H216" s="10" t="n">
        <x:f>IF(F216="Física",'Pokémon'!G29,IF(F216="Especial",'Pokémon'!I29,""))</x:f>
        <x:v>55</x:v>
      </x:c>
      <x:c r="I216" s="10" t="n">
        <x:f>IF(OR(F216="Status",G216=0),"",G216+H216)</x:f>
        <x:v>95</x:v>
      </x:c>
      <x:c r="J216" s="10" t="n">
        <x:v>10</x:v>
      </x:c>
      <x:c r="K216" s="12" t="n">
        <x:v>10</x:v>
      </x:c>
      <x:c r="L216" s="1" t="str"/>
      <x:c r="M216" s="9" t="str">
        <x:v>https://poke.idleworld.online/pokepedia/pokemon/pikachu</x:v>
      </x:c>
    </x:row>
    <x:row r="217" ht="22" customHeight="1">
      <x:c r="A217" s="1" t="n">
        <x:v>25</x:v>
      </x:c>
      <x:c r="B217" s="1" t="str">
        <x:v>Pikachu</x:v>
      </x:c>
      <x:c r="C217" s="1" t="n">
        <x:v>1</x:v>
      </x:c>
      <x:c r="D217" s="1" t="str">
        <x:v>Thunder Shock</x:v>
      </x:c>
      <x:c r="E217" s="1" t="str">
        <x:v>Elétrico</x:v>
      </x:c>
      <x:c r="F217" s="1" t="str">
        <x:v>Especial</x:v>
      </x:c>
      <x:c r="G217" s="10" t="n">
        <x:v>40</x:v>
      </x:c>
      <x:c r="H217" s="10" t="n">
        <x:f>IF(F217="Física",'Pokémon'!G29,IF(F217="Especial",'Pokémon'!I29,""))</x:f>
        <x:v>50</x:v>
      </x:c>
      <x:c r="I217" s="10" t="n">
        <x:f>IF(OR(F217="Status",G217=0),"",G217+H217)</x:f>
        <x:v>90</x:v>
      </x:c>
      <x:c r="J217" s="10" t="n">
        <x:v>1</x:v>
      </x:c>
      <x:c r="K217" s="12" t="n">
        <x:v>10</x:v>
      </x:c>
      <x:c r="L217" s="1" t="str"/>
      <x:c r="M217" s="9" t="str">
        <x:v>https://poke.idleworld.online/pokepedia/pokemon/pikachu</x:v>
      </x:c>
    </x:row>
    <x:row r="218" ht="22" customHeight="1">
      <x:c r="A218" s="1" t="n">
        <x:v>25</x:v>
      </x:c>
      <x:c r="B218" s="1" t="str">
        <x:v>Pikachu</x:v>
      </x:c>
      <x:c r="C218" s="1" t="n">
        <x:v>3</x:v>
      </x:c>
      <x:c r="D218" s="1" t="str">
        <x:v>Feint</x:v>
      </x:c>
      <x:c r="E218" s="1" t="str">
        <x:v>Normal</x:v>
      </x:c>
      <x:c r="F218" s="1" t="str">
        <x:v>Física</x:v>
      </x:c>
      <x:c r="G218" s="10" t="n">
        <x:v>30</x:v>
      </x:c>
      <x:c r="H218" s="10" t="n">
        <x:f>IF(F218="Física",'Pokémon'!G29,IF(F218="Especial",'Pokémon'!I29,""))</x:f>
        <x:v>55</x:v>
      </x:c>
      <x:c r="I218" s="10" t="n">
        <x:f>IF(OR(F218="Status",G218=0),"",G218+H218)</x:f>
        <x:v>85</x:v>
      </x:c>
      <x:c r="J218" s="10" t="n">
        <x:v>21</x:v>
      </x:c>
      <x:c r="K218" s="12" t="n">
        <x:v>15</x:v>
      </x:c>
      <x:c r="L218" s="1" t="str"/>
      <x:c r="M218" s="9" t="str">
        <x:v>https://poke.idleworld.online/pokepedia/pokemon/pikachu</x:v>
      </x:c>
    </x:row>
    <x:row r="219" ht="22" customHeight="1">
      <x:c r="A219" s="1" t="n">
        <x:v>25</x:v>
      </x:c>
      <x:c r="B219" s="1" t="str">
        <x:v>Pikachu</x:v>
      </x:c>
      <x:c r="C219" s="1" t="n">
        <x:v>5</x:v>
      </x:c>
      <x:c r="D219" s="1" t="str">
        <x:v>Nuzzle</x:v>
      </x:c>
      <x:c r="E219" s="1" t="str">
        <x:v>Elétrico</x:v>
      </x:c>
      <x:c r="F219" s="1" t="str">
        <x:v>Física</x:v>
      </x:c>
      <x:c r="G219" s="10" t="n">
        <x:v>20</x:v>
      </x:c>
      <x:c r="H219" s="10" t="n">
        <x:f>IF(F219="Física",'Pokémon'!G29,IF(F219="Especial",'Pokémon'!I29,""))</x:f>
        <x:v>55</x:v>
      </x:c>
      <x:c r="I219" s="10" t="n">
        <x:f>IF(OR(F219="Status",G219=0),"",G219+H219)</x:f>
        <x:v>75</x:v>
      </x:c>
      <x:c r="J219" s="10" t="n">
        <x:v>29</x:v>
      </x:c>
      <x:c r="K219" s="12" t="n">
        <x:v>15</x:v>
      </x:c>
      <x:c r="L219" s="1" t="str"/>
      <x:c r="M219" s="9" t="str">
        <x:v>https://poke.idleworld.online/pokepedia/pokemon/pikachu</x:v>
      </x:c>
    </x:row>
    <x:row r="220" ht="22" customHeight="1">
      <x:c r="A220" s="1" t="n">
        <x:v>25</x:v>
      </x:c>
      <x:c r="B220" s="1" t="str">
        <x:v>Pikachu</x:v>
      </x:c>
      <x:c r="C220" s="1" t="n">
        <x:v>9</x:v>
      </x:c>
      <x:c r="D220" s="1" t="str">
        <x:v>Agility</x:v>
      </x:c>
      <x:c r="E220" s="1" t="str">
        <x:v>Psíquico</x:v>
      </x:c>
      <x:c r="F220" s="1" t="str">
        <x:v>Status</x:v>
      </x:c>
      <x:c r="G220" s="10" t="n">
        <x:v>0</x:v>
      </x:c>
      <x:c r="H220" s="10" t="str">
        <x:f>IF(F220="Física",'Pokémon'!G29,IF(F220="Especial",'Pokémon'!I29,""))</x:f>
      </x:c>
      <x:c r="I220" s="10" t="str">
        <x:f>IF(OR(F220="Status",G220=0),"",G220+H220)</x:f>
      </x:c>
      <x:c r="J220" s="10" t="n">
        <x:v>45</x:v>
      </x:c>
      <x:c r="K220" s="12" t="n">
        <x:v>50</x:v>
      </x:c>
      <x:c r="L220" s="1" t="str"/>
      <x:c r="M220" s="9" t="str">
        <x:v>https://poke.idleworld.online/pokepedia/pokemon/pikachu</x:v>
      </x:c>
    </x:row>
    <x:row r="221" ht="22" customHeight="1">
      <x:c r="A221" s="1" t="n">
        <x:v>26</x:v>
      </x:c>
      <x:c r="B221" s="1" t="str">
        <x:v>Raichu</x:v>
      </x:c>
      <x:c r="C221" s="1" t="n">
        <x:v>3</x:v>
      </x:c>
      <x:c r="D221" s="1" t="str">
        <x:v>Static Overload</x:v>
      </x:c>
      <x:c r="E221" s="1" t="str">
        <x:v>Elétrico</x:v>
      </x:c>
      <x:c r="F221" s="1" t="str">
        <x:v>Especial</x:v>
      </x:c>
      <x:c r="G221" s="10" t="n">
        <x:v>300</x:v>
      </x:c>
      <x:c r="H221" s="10" t="n">
        <x:f>IF(F221="Física",'Pokémon'!G30,IF(F221="Especial",'Pokémon'!I30,""))</x:f>
        <x:v>90</x:v>
      </x:c>
      <x:c r="I221" s="10" t="n">
        <x:f>IF(OR(F221="Status",G221=0),"",G221+H221)</x:f>
        <x:v>390</x:v>
      </x:c>
      <x:c r="J221" s="10" t="n">
        <x:v>1</x:v>
      </x:c>
      <x:c r="K221" s="12" t="n">
        <x:v>10</x:v>
      </x:c>
      <x:c r="L221" s="1" t="str">
        <x:v>Sim</x:v>
      </x:c>
      <x:c r="M221" s="9" t="str">
        <x:v>https://poke.idleworld.online/pokepedia/pokemon/raichu</x:v>
      </x:c>
    </x:row>
    <x:row r="222" ht="22" customHeight="1">
      <x:c r="A222" s="1" t="n">
        <x:v>26</x:v>
      </x:c>
      <x:c r="B222" s="1" t="str">
        <x:v>Raichu</x:v>
      </x:c>
      <x:c r="C222" s="1" t="n">
        <x:v>2</x:v>
      </x:c>
      <x:c r="D222" s="1" t="str">
        <x:v>Thunderbolt</x:v>
      </x:c>
      <x:c r="E222" s="1" t="str">
        <x:v>Elétrico</x:v>
      </x:c>
      <x:c r="F222" s="1" t="str">
        <x:v>Especial</x:v>
      </x:c>
      <x:c r="G222" s="10" t="n">
        <x:v>90</x:v>
      </x:c>
      <x:c r="H222" s="10" t="n">
        <x:f>IF(F222="Física",'Pokémon'!G30,IF(F222="Especial",'Pokémon'!I30,""))</x:f>
        <x:v>90</x:v>
      </x:c>
      <x:c r="I222" s="10" t="n">
        <x:f>IF(OR(F222="Status",G222=0),"",G222+H222)</x:f>
        <x:v>180</x:v>
      </x:c>
      <x:c r="J222" s="10" t="n">
        <x:v>1</x:v>
      </x:c>
      <x:c r="K222" s="12" t="n">
        <x:v>20</x:v>
      </x:c>
      <x:c r="L222" s="1" t="str"/>
      <x:c r="M222" s="9" t="str">
        <x:v>https://poke.idleworld.online/pokepedia/pokemon/raichu</x:v>
      </x:c>
    </x:row>
    <x:row r="223" ht="22" customHeight="1">
      <x:c r="A223" s="1" t="n">
        <x:v>26</x:v>
      </x:c>
      <x:c r="B223" s="1" t="str">
        <x:v>Raichu</x:v>
      </x:c>
      <x:c r="C223" s="1" t="n">
        <x:v>1</x:v>
      </x:c>
      <x:c r="D223" s="1" t="str">
        <x:v>Thunder Shock</x:v>
      </x:c>
      <x:c r="E223" s="1" t="str">
        <x:v>Elétrico</x:v>
      </x:c>
      <x:c r="F223" s="1" t="str">
        <x:v>Especial</x:v>
      </x:c>
      <x:c r="G223" s="10" t="n">
        <x:v>40</x:v>
      </x:c>
      <x:c r="H223" s="10" t="n">
        <x:f>IF(F223="Física",'Pokémon'!G30,IF(F223="Especial",'Pokémon'!I30,""))</x:f>
        <x:v>90</x:v>
      </x:c>
      <x:c r="I223" s="10" t="n">
        <x:f>IF(OR(F223="Status",G223=0),"",G223+H223)</x:f>
        <x:v>130</x:v>
      </x:c>
      <x:c r="J223" s="10" t="n">
        <x:v>1</x:v>
      </x:c>
      <x:c r="K223" s="12" t="n">
        <x:v>10</x:v>
      </x:c>
      <x:c r="L223" s="1" t="str"/>
      <x:c r="M223" s="9" t="str">
        <x:v>https://poke.idleworld.online/pokepedia/pokemon/raichu</x:v>
      </x:c>
    </x:row>
    <x:row r="224" ht="22" customHeight="1">
      <x:c r="A224" s="1" t="n">
        <x:v>26</x:v>
      </x:c>
      <x:c r="B224" s="1" t="str">
        <x:v>Raichu</x:v>
      </x:c>
      <x:c r="C224" s="1" t="n">
        <x:v>4</x:v>
      </x:c>
      <x:c r="D224" s="1" t="str">
        <x:v>Quick Attack</x:v>
      </x:c>
      <x:c r="E224" s="1" t="str">
        <x:v>Normal</x:v>
      </x:c>
      <x:c r="F224" s="1" t="str">
        <x:v>Física</x:v>
      </x:c>
      <x:c r="G224" s="10" t="n">
        <x:v>40</x:v>
      </x:c>
      <x:c r="H224" s="10" t="n">
        <x:f>IF(F224="Física",'Pokémon'!G30,IF(F224="Especial",'Pokémon'!I30,""))</x:f>
        <x:v>90</x:v>
      </x:c>
      <x:c r="I224" s="10" t="n">
        <x:f>IF(OR(F224="Status",G224=0),"",G224+H224)</x:f>
        <x:v>130</x:v>
      </x:c>
      <x:c r="J224" s="10" t="n">
        <x:v>1</x:v>
      </x:c>
      <x:c r="K224" s="12" t="n">
        <x:v>15</x:v>
      </x:c>
      <x:c r="L224" s="1" t="str"/>
      <x:c r="M224" s="9" t="str">
        <x:v>https://poke.idleworld.online/pokepedia/pokemon/raichu</x:v>
      </x:c>
    </x:row>
    <x:row r="225" ht="22" customHeight="1">
      <x:c r="A225" s="1" t="n">
        <x:v>27</x:v>
      </x:c>
      <x:c r="B225" s="1" t="str">
        <x:v>Sandshrew</x:v>
      </x:c>
      <x:c r="C225" s="1" t="n">
        <x:v>12</x:v>
      </x:c>
      <x:c r="D225" s="1" t="str">
        <x:v>Earthquake</x:v>
      </x:c>
      <x:c r="E225" s="1" t="str">
        <x:v>Terrestre</x:v>
      </x:c>
      <x:c r="F225" s="1" t="str">
        <x:v>Física</x:v>
      </x:c>
      <x:c r="G225" s="10" t="n">
        <x:v>100</x:v>
      </x:c>
      <x:c r="H225" s="10" t="n">
        <x:f>IF(F225="Física",'Pokémon'!G31,IF(F225="Especial",'Pokémon'!I31,""))</x:f>
        <x:v>75</x:v>
      </x:c>
      <x:c r="I225" s="10" t="n">
        <x:f>IF(OR(F225="Status",G225=0),"",G225+H225)</x:f>
        <x:v>175</x:v>
      </x:c>
      <x:c r="J225" s="10" t="n">
        <x:v>46</x:v>
      </x:c>
      <x:c r="K225" s="12" t="n">
        <x:v>40</x:v>
      </x:c>
      <x:c r="L225" s="1" t="str"/>
      <x:c r="M225" s="9" t="str">
        <x:v>https://poke.idleworld.online/pokepedia/pokemon/sandshrew</x:v>
      </x:c>
    </x:row>
    <x:row r="226" ht="22" customHeight="1">
      <x:c r="A226" s="1" t="n">
        <x:v>27</x:v>
      </x:c>
      <x:c r="B226" s="1" t="str">
        <x:v>Sandshrew</x:v>
      </x:c>
      <x:c r="C226" s="1" t="n">
        <x:v>11</x:v>
      </x:c>
      <x:c r="D226" s="1" t="str">
        <x:v>Dig</x:v>
      </x:c>
      <x:c r="E226" s="1" t="str">
        <x:v>Terrestre</x:v>
      </x:c>
      <x:c r="F226" s="1" t="str">
        <x:v>Física</x:v>
      </x:c>
      <x:c r="G226" s="10" t="n">
        <x:v>80</x:v>
      </x:c>
      <x:c r="H226" s="10" t="n">
        <x:f>IF(F226="Física",'Pokémon'!G31,IF(F226="Especial",'Pokémon'!I31,""))</x:f>
        <x:v>75</x:v>
      </x:c>
      <x:c r="I226" s="10" t="n">
        <x:f>IF(OR(F226="Status",G226=0),"",G226+H226)</x:f>
        <x:v>155</x:v>
      </x:c>
      <x:c r="J226" s="10" t="n">
        <x:v>30</x:v>
      </x:c>
      <x:c r="K226" s="12" t="n">
        <x:v>22</x:v>
      </x:c>
      <x:c r="L226" s="1" t="str"/>
      <x:c r="M226" s="9" t="str">
        <x:v>https://poke.idleworld.online/pokepedia/pokemon/sandshrew</x:v>
      </x:c>
    </x:row>
    <x:row r="227" ht="22" customHeight="1">
      <x:c r="A227" s="1" t="n">
        <x:v>27</x:v>
      </x:c>
      <x:c r="B227" s="1" t="str">
        <x:v>Sandshrew</x:v>
      </x:c>
      <x:c r="C227" s="1" t="n">
        <x:v>10</x:v>
      </x:c>
      <x:c r="D227" s="1" t="str">
        <x:v>Slash</x:v>
      </x:c>
      <x:c r="E227" s="1" t="str">
        <x:v>Normal</x:v>
      </x:c>
      <x:c r="F227" s="1" t="str">
        <x:v>Física</x:v>
      </x:c>
      <x:c r="G227" s="10" t="n">
        <x:v>70</x:v>
      </x:c>
      <x:c r="H227" s="10" t="n">
        <x:f>IF(F227="Física",'Pokémon'!G31,IF(F227="Especial",'Pokémon'!I31,""))</x:f>
        <x:v>75</x:v>
      </x:c>
      <x:c r="I227" s="10" t="n">
        <x:f>IF(OR(F227="Status",G227=0),"",G227+H227)</x:f>
        <x:v>145</x:v>
      </x:c>
      <x:c r="J227" s="10" t="n">
        <x:v>26</x:v>
      </x:c>
      <x:c r="K227" s="12" t="n">
        <x:v>20</x:v>
      </x:c>
      <x:c r="L227" s="1" t="str"/>
      <x:c r="M227" s="9" t="str">
        <x:v>https://poke.idleworld.online/pokepedia/pokemon/sandshrew</x:v>
      </x:c>
    </x:row>
    <x:row r="228" ht="22" customHeight="1">
      <x:c r="A228" s="1" t="n">
        <x:v>27</x:v>
      </x:c>
      <x:c r="B228" s="1" t="str">
        <x:v>Sandshrew</x:v>
      </x:c>
      <x:c r="C228" s="1" t="n">
        <x:v>1</x:v>
      </x:c>
      <x:c r="D228" s="1" t="str">
        <x:v>Scratch</x:v>
      </x:c>
      <x:c r="E228" s="1" t="str">
        <x:v>Normal</x:v>
      </x:c>
      <x:c r="F228" s="1" t="str">
        <x:v>Física</x:v>
      </x:c>
      <x:c r="G228" s="10" t="n">
        <x:v>40</x:v>
      </x:c>
      <x:c r="H228" s="10" t="n">
        <x:f>IF(F228="Física",'Pokémon'!G31,IF(F228="Especial",'Pokémon'!I31,""))</x:f>
        <x:v>75</x:v>
      </x:c>
      <x:c r="I228" s="10" t="n">
        <x:f>IF(OR(F228="Status",G228=0),"",G228+H228)</x:f>
        <x:v>115</x:v>
      </x:c>
      <x:c r="J228" s="10" t="n">
        <x:v>1</x:v>
      </x:c>
      <x:c r="K228" s="12" t="n">
        <x:v>12</x:v>
      </x:c>
      <x:c r="L228" s="1" t="str"/>
      <x:c r="M228" s="9" t="str">
        <x:v>https://poke.idleworld.online/pokepedia/pokemon/sandshrew</x:v>
      </x:c>
    </x:row>
    <x:row r="229" ht="22" customHeight="1">
      <x:c r="A229" s="1" t="n">
        <x:v>27</x:v>
      </x:c>
      <x:c r="B229" s="1" t="str">
        <x:v>Sandshrew</x:v>
      </x:c>
      <x:c r="C229" s="1" t="n">
        <x:v>6</x:v>
      </x:c>
      <x:c r="D229" s="1" t="str">
        <x:v>Fury Cutter</x:v>
      </x:c>
      <x:c r="E229" s="1" t="str">
        <x:v>Inseto</x:v>
      </x:c>
      <x:c r="F229" s="1" t="str">
        <x:v>Física</x:v>
      </x:c>
      <x:c r="G229" s="10" t="n">
        <x:v>40</x:v>
      </x:c>
      <x:c r="H229" s="10" t="n">
        <x:f>IF(F229="Física",'Pokémon'!G31,IF(F229="Especial",'Pokémon'!I31,""))</x:f>
        <x:v>75</x:v>
      </x:c>
      <x:c r="I229" s="10" t="n">
        <x:f>IF(OR(F229="Status",G229=0),"",G229+H229)</x:f>
        <x:v>115</x:v>
      </x:c>
      <x:c r="J229" s="10" t="n">
        <x:v>11</x:v>
      </x:c>
      <x:c r="K229" s="12" t="n">
        <x:v>15</x:v>
      </x:c>
      <x:c r="L229" s="1" t="str"/>
      <x:c r="M229" s="9" t="str">
        <x:v>https://poke.idleworld.online/pokepedia/pokemon/sandshrew</x:v>
      </x:c>
    </x:row>
    <x:row r="230" ht="22" customHeight="1">
      <x:c r="A230" s="1" t="n">
        <x:v>27</x:v>
      </x:c>
      <x:c r="B230" s="1" t="str">
        <x:v>Sandshrew</x:v>
      </x:c>
      <x:c r="C230" s="1" t="n">
        <x:v>9</x:v>
      </x:c>
      <x:c r="D230" s="1" t="str">
        <x:v>Sand Tomb</x:v>
      </x:c>
      <x:c r="E230" s="1" t="str">
        <x:v>Terrestre</x:v>
      </x:c>
      <x:c r="F230" s="1" t="str">
        <x:v>Física</x:v>
      </x:c>
      <x:c r="G230" s="10" t="n">
        <x:v>35</x:v>
      </x:c>
      <x:c r="H230" s="10" t="n">
        <x:f>IF(F230="Física",'Pokémon'!G31,IF(F230="Especial",'Pokémon'!I31,""))</x:f>
        <x:v>75</x:v>
      </x:c>
      <x:c r="I230" s="10" t="n">
        <x:f>IF(OR(F230="Status",G230=0),"",G230+H230)</x:f>
        <x:v>110</x:v>
      </x:c>
      <x:c r="J230" s="10" t="n">
        <x:v>23</x:v>
      </x:c>
      <x:c r="K230" s="12" t="n">
        <x:v>15</x:v>
      </x:c>
      <x:c r="L230" s="1" t="str"/>
      <x:c r="M230" s="9" t="str">
        <x:v>https://poke.idleworld.online/pokepedia/pokemon/sandshrew</x:v>
      </x:c>
    </x:row>
    <x:row r="231" ht="22" customHeight="1">
      <x:c r="A231" s="1" t="n">
        <x:v>27</x:v>
      </x:c>
      <x:c r="B231" s="1" t="str">
        <x:v>Sandshrew</x:v>
      </x:c>
      <x:c r="C231" s="1" t="n">
        <x:v>4</x:v>
      </x:c>
      <x:c r="D231" s="1" t="str">
        <x:v>Rollout</x:v>
      </x:c>
      <x:c r="E231" s="1" t="str">
        <x:v>Pedra</x:v>
      </x:c>
      <x:c r="F231" s="1" t="str">
        <x:v>Física</x:v>
      </x:c>
      <x:c r="G231" s="10" t="n">
        <x:v>30</x:v>
      </x:c>
      <x:c r="H231" s="10" t="n">
        <x:f>IF(F231="Física",'Pokémon'!G31,IF(F231="Especial",'Pokémon'!I31,""))</x:f>
        <x:v>75</x:v>
      </x:c>
      <x:c r="I231" s="10" t="n">
        <x:f>IF(OR(F231="Status",G231=0),"",G231+H231)</x:f>
        <x:v>105</x:v>
      </x:c>
      <x:c r="J231" s="10" t="n">
        <x:v>7</x:v>
      </x:c>
      <x:c r="K231" s="12" t="n">
        <x:v>25</x:v>
      </x:c>
      <x:c r="L231" s="1" t="str"/>
      <x:c r="M231" s="9" t="str">
        <x:v>https://poke.idleworld.online/pokepedia/pokemon/sandshrew</x:v>
      </x:c>
    </x:row>
    <x:row r="232" ht="22" customHeight="1">
      <x:c r="A232" s="1" t="n">
        <x:v>27</x:v>
      </x:c>
      <x:c r="B232" s="1" t="str">
        <x:v>Sandshrew</x:v>
      </x:c>
      <x:c r="C232" s="1" t="n">
        <x:v>5</x:v>
      </x:c>
      <x:c r="D232" s="1" t="str">
        <x:v>Rapid Spin</x:v>
      </x:c>
      <x:c r="E232" s="1" t="str">
        <x:v>Normal</x:v>
      </x:c>
      <x:c r="F232" s="1" t="str">
        <x:v>Física</x:v>
      </x:c>
      <x:c r="G232" s="10" t="n">
        <x:v>20</x:v>
      </x:c>
      <x:c r="H232" s="10" t="n">
        <x:f>IF(F232="Física",'Pokémon'!G31,IF(F232="Especial",'Pokémon'!I31,""))</x:f>
        <x:v>75</x:v>
      </x:c>
      <x:c r="I232" s="10" t="n">
        <x:f>IF(OR(F232="Status",G232=0),"",G232+H232)</x:f>
        <x:v>95</x:v>
      </x:c>
      <x:c r="J232" s="10" t="n">
        <x:v>9</x:v>
      </x:c>
      <x:c r="K232" s="12" t="n">
        <x:v>15</x:v>
      </x:c>
      <x:c r="L232" s="1" t="str"/>
      <x:c r="M232" s="9" t="str">
        <x:v>https://poke.idleworld.online/pokepedia/pokemon/sandshrew</x:v>
      </x:c>
    </x:row>
    <x:row r="233" ht="22" customHeight="1">
      <x:c r="A233" s="1" t="n">
        <x:v>27</x:v>
      </x:c>
      <x:c r="B233" s="1" t="str">
        <x:v>Sandshrew</x:v>
      </x:c>
      <x:c r="C233" s="1" t="n">
        <x:v>8</x:v>
      </x:c>
      <x:c r="D233" s="1" t="str">
        <x:v>Fury Swipes</x:v>
      </x:c>
      <x:c r="E233" s="1" t="str">
        <x:v>Normal</x:v>
      </x:c>
      <x:c r="F233" s="1" t="str">
        <x:v>Física</x:v>
      </x:c>
      <x:c r="G233" s="10" t="n">
        <x:v>18</x:v>
      </x:c>
      <x:c r="H233" s="10" t="n">
        <x:f>IF(F233="Física",'Pokémon'!G31,IF(F233="Especial",'Pokémon'!I31,""))</x:f>
        <x:v>75</x:v>
      </x:c>
      <x:c r="I233" s="10" t="n">
        <x:f>IF(OR(F233="Status",G233=0),"",G233+H233)</x:f>
        <x:v>93</x:v>
      </x:c>
      <x:c r="J233" s="10" t="n">
        <x:v>20</x:v>
      </x:c>
      <x:c r="K233" s="12" t="n">
        <x:v>15</x:v>
      </x:c>
      <x:c r="L233" s="1" t="str"/>
      <x:c r="M233" s="9" t="str">
        <x:v>https://poke.idleworld.online/pokepedia/pokemon/sandshrew</x:v>
      </x:c>
    </x:row>
    <x:row r="234" ht="22" customHeight="1">
      <x:c r="A234" s="1" t="n">
        <x:v>27</x:v>
      </x:c>
      <x:c r="B234" s="1" t="str">
        <x:v>Sandshrew</x:v>
      </x:c>
      <x:c r="C234" s="1" t="n">
        <x:v>3</x:v>
      </x:c>
      <x:c r="D234" s="1" t="str">
        <x:v>Poison Sting</x:v>
      </x:c>
      <x:c r="E234" s="1" t="str">
        <x:v>Venenoso</x:v>
      </x:c>
      <x:c r="F234" s="1" t="str">
        <x:v>Física</x:v>
      </x:c>
      <x:c r="G234" s="10" t="n">
        <x:v>15</x:v>
      </x:c>
      <x:c r="H234" s="10" t="n">
        <x:f>IF(F234="Física",'Pokémon'!G31,IF(F234="Especial",'Pokémon'!I31,""))</x:f>
        <x:v>75</x:v>
      </x:c>
      <x:c r="I234" s="10" t="n">
        <x:f>IF(OR(F234="Status",G234=0),"",G234+H234)</x:f>
        <x:v>90</x:v>
      </x:c>
      <x:c r="J234" s="10" t="n">
        <x:v>5</x:v>
      </x:c>
      <x:c r="K234" s="12" t="n">
        <x:v>15</x:v>
      </x:c>
      <x:c r="L234" s="1" t="str"/>
      <x:c r="M234" s="9" t="str">
        <x:v>https://poke.idleworld.online/pokepedia/pokemon/sandshrew</x:v>
      </x:c>
    </x:row>
    <x:row r="235" ht="22" customHeight="1">
      <x:c r="A235" s="1" t="n">
        <x:v>27</x:v>
      </x:c>
      <x:c r="B235" s="1" t="str">
        <x:v>Sandshrew</x:v>
      </x:c>
      <x:c r="C235" s="1" t="n">
        <x:v>7</x:v>
      </x:c>
      <x:c r="D235" s="1" t="str">
        <x:v>Swift</x:v>
      </x:c>
      <x:c r="E235" s="1" t="str">
        <x:v>Normal</x:v>
      </x:c>
      <x:c r="F235" s="1" t="str">
        <x:v>Especial</x:v>
      </x:c>
      <x:c r="G235" s="10" t="n">
        <x:v>60</x:v>
      </x:c>
      <x:c r="H235" s="10" t="n">
        <x:f>IF(F235="Física",'Pokémon'!G31,IF(F235="Especial",'Pokémon'!I31,""))</x:f>
        <x:v>20</x:v>
      </x:c>
      <x:c r="I235" s="10" t="n">
        <x:f>IF(OR(F235="Status",G235=0),"",G235+H235)</x:f>
        <x:v>80</x:v>
      </x:c>
      <x:c r="J235" s="10" t="n">
        <x:v>17</x:v>
      </x:c>
      <x:c r="K235" s="12" t="n">
        <x:v>20</x:v>
      </x:c>
      <x:c r="L235" s="1" t="str"/>
      <x:c r="M235" s="9" t="str">
        <x:v>https://poke.idleworld.online/pokepedia/pokemon/sandshrew</x:v>
      </x:c>
    </x:row>
    <x:row r="236" ht="22" customHeight="1">
      <x:c r="A236" s="1" t="n">
        <x:v>27</x:v>
      </x:c>
      <x:c r="B236" s="1" t="str">
        <x:v>Sandshrew</x:v>
      </x:c>
      <x:c r="C236" s="1" t="n">
        <x:v>2</x:v>
      </x:c>
      <x:c r="D236" s="1" t="str">
        <x:v>Sand Attack</x:v>
      </x:c>
      <x:c r="E236" s="1" t="str">
        <x:v>Terrestre</x:v>
      </x:c>
      <x:c r="F236" s="1" t="str">
        <x:v>Status</x:v>
      </x:c>
      <x:c r="G236" s="10" t="n">
        <x:v>0</x:v>
      </x:c>
      <x:c r="H236" s="10" t="str">
        <x:f>IF(F236="Física",'Pokémon'!G31,IF(F236="Especial",'Pokémon'!I31,""))</x:f>
      </x:c>
      <x:c r="I236" s="10" t="str">
        <x:f>IF(OR(F236="Status",G236=0),"",G236+H236)</x:f>
      </x:c>
      <x:c r="J236" s="10" t="n">
        <x:v>3</x:v>
      </x:c>
      <x:c r="K236" s="12" t="n">
        <x:v>12</x:v>
      </x:c>
      <x:c r="L236" s="1" t="str"/>
      <x:c r="M236" s="9" t="str">
        <x:v>https://poke.idleworld.online/pokepedia/pokemon/sandshrew</x:v>
      </x:c>
    </x:row>
    <x:row r="237" ht="22" customHeight="1">
      <x:c r="A237" s="1" t="n">
        <x:v>28</x:v>
      </x:c>
      <x:c r="B237" s="1" t="str">
        <x:v>Sandslash</x:v>
      </x:c>
      <x:c r="C237" s="1" t="n">
        <x:v>2</x:v>
      </x:c>
      <x:c r="D237" s="1" t="str">
        <x:v>Crossing Fissure</x:v>
      </x:c>
      <x:c r="E237" s="1" t="str">
        <x:v>Terrestre</x:v>
      </x:c>
      <x:c r="F237" s="1" t="str">
        <x:v>Física</x:v>
      </x:c>
      <x:c r="G237" s="10" t="n">
        <x:v>300</x:v>
      </x:c>
      <x:c r="H237" s="10" t="n">
        <x:f>IF(F237="Física",'Pokémon'!G32,IF(F237="Especial",'Pokémon'!I32,""))</x:f>
        <x:v>100</x:v>
      </x:c>
      <x:c r="I237" s="10" t="n">
        <x:f>IF(OR(F237="Status",G237=0),"",G237+H237)</x:f>
        <x:v>400</x:v>
      </x:c>
      <x:c r="J237" s="10" t="n">
        <x:v>1</x:v>
      </x:c>
      <x:c r="K237" s="12" t="n">
        <x:v>10</x:v>
      </x:c>
      <x:c r="L237" s="1" t="str">
        <x:v>Sim</x:v>
      </x:c>
      <x:c r="M237" s="9" t="str">
        <x:v>https://poke.idleworld.online/pokepedia/pokemon/sandslash</x:v>
      </x:c>
    </x:row>
    <x:row r="238" ht="22" customHeight="1">
      <x:c r="A238" s="1" t="n">
        <x:v>28</x:v>
      </x:c>
      <x:c r="B238" s="1" t="str">
        <x:v>Sandslash</x:v>
      </x:c>
      <x:c r="C238" s="1" t="n">
        <x:v>14</x:v>
      </x:c>
      <x:c r="D238" s="1" t="str">
        <x:v>Earthquake</x:v>
      </x:c>
      <x:c r="E238" s="1" t="str">
        <x:v>Terrestre</x:v>
      </x:c>
      <x:c r="F238" s="1" t="str">
        <x:v>Física</x:v>
      </x:c>
      <x:c r="G238" s="10" t="n">
        <x:v>100</x:v>
      </x:c>
      <x:c r="H238" s="10" t="n">
        <x:f>IF(F238="Física",'Pokémon'!G32,IF(F238="Especial",'Pokémon'!I32,""))</x:f>
        <x:v>100</x:v>
      </x:c>
      <x:c r="I238" s="10" t="n">
        <x:f>IF(OR(F238="Status",G238=0),"",G238+H238)</x:f>
        <x:v>200</x:v>
      </x:c>
      <x:c r="J238" s="10" t="n">
        <x:v>53</x:v>
      </x:c>
      <x:c r="K238" s="12" t="n">
        <x:v>50</x:v>
      </x:c>
      <x:c r="L238" s="1" t="str"/>
      <x:c r="M238" s="9" t="str">
        <x:v>https://poke.idleworld.online/pokepedia/pokemon/sandslash</x:v>
      </x:c>
    </x:row>
    <x:row r="239" ht="22" customHeight="1">
      <x:c r="A239" s="1" t="n">
        <x:v>28</x:v>
      </x:c>
      <x:c r="B239" s="1" t="str">
        <x:v>Sandslash</x:v>
      </x:c>
      <x:c r="C239" s="1" t="n">
        <x:v>12</x:v>
      </x:c>
      <x:c r="D239" s="1" t="str">
        <x:v>Dig</x:v>
      </x:c>
      <x:c r="E239" s="1" t="str">
        <x:v>Terrestre</x:v>
      </x:c>
      <x:c r="F239" s="1" t="str">
        <x:v>Física</x:v>
      </x:c>
      <x:c r="G239" s="10" t="n">
        <x:v>80</x:v>
      </x:c>
      <x:c r="H239" s="10" t="n">
        <x:f>IF(F239="Física",'Pokémon'!G32,IF(F239="Especial",'Pokémon'!I32,""))</x:f>
        <x:v>100</x:v>
      </x:c>
      <x:c r="I239" s="10" t="n">
        <x:f>IF(OR(F239="Status",G239=0),"",G239+H239)</x:f>
        <x:v>180</x:v>
      </x:c>
      <x:c r="J239" s="10" t="n">
        <x:v>33</x:v>
      </x:c>
      <x:c r="K239" s="12" t="n">
        <x:v>35</x:v>
      </x:c>
      <x:c r="L239" s="1" t="str"/>
      <x:c r="M239" s="9" t="str">
        <x:v>https://poke.idleworld.online/pokepedia/pokemon/sandslash</x:v>
      </x:c>
    </x:row>
    <x:row r="240" ht="22" customHeight="1">
      <x:c r="A240" s="1" t="n">
        <x:v>28</x:v>
      </x:c>
      <x:c r="B240" s="1" t="str">
        <x:v>Sandslash</x:v>
      </x:c>
      <x:c r="C240" s="1" t="n">
        <x:v>9</x:v>
      </x:c>
      <x:c r="D240" s="1" t="str">
        <x:v>Crush Claw</x:v>
      </x:c>
      <x:c r="E240" s="1" t="str">
        <x:v>Normal</x:v>
      </x:c>
      <x:c r="F240" s="1" t="str">
        <x:v>Física</x:v>
      </x:c>
      <x:c r="G240" s="10" t="n">
        <x:v>75</x:v>
      </x:c>
      <x:c r="H240" s="10" t="n">
        <x:f>IF(F240="Física",'Pokémon'!G32,IF(F240="Especial",'Pokémon'!I32,""))</x:f>
        <x:v>100</x:v>
      </x:c>
      <x:c r="I240" s="10" t="n">
        <x:f>IF(OR(F240="Status",G240=0),"",G240+H240)</x:f>
        <x:v>175</x:v>
      </x:c>
      <x:c r="J240" s="10" t="n">
        <x:v>22</x:v>
      </x:c>
      <x:c r="K240" s="12" t="n">
        <x:v>22</x:v>
      </x:c>
      <x:c r="L240" s="1" t="str"/>
      <x:c r="M240" s="9" t="str">
        <x:v>https://poke.idleworld.online/pokepedia/pokemon/sandslash</x:v>
      </x:c>
    </x:row>
    <x:row r="241" ht="22" customHeight="1">
      <x:c r="A241" s="1" t="n">
        <x:v>28</x:v>
      </x:c>
      <x:c r="B241" s="1" t="str">
        <x:v>Sandslash</x:v>
      </x:c>
      <x:c r="C241" s="1" t="n">
        <x:v>11</x:v>
      </x:c>
      <x:c r="D241" s="1" t="str">
        <x:v>Slash</x:v>
      </x:c>
      <x:c r="E241" s="1" t="str">
        <x:v>Normal</x:v>
      </x:c>
      <x:c r="F241" s="1" t="str">
        <x:v>Física</x:v>
      </x:c>
      <x:c r="G241" s="10" t="n">
        <x:v>70</x:v>
      </x:c>
      <x:c r="H241" s="10" t="n">
        <x:f>IF(F241="Física",'Pokémon'!G32,IF(F241="Especial",'Pokémon'!I32,""))</x:f>
        <x:v>100</x:v>
      </x:c>
      <x:c r="I241" s="10" t="n">
        <x:f>IF(OR(F241="Status",G241=0),"",G241+H241)</x:f>
        <x:v>170</x:v>
      </x:c>
      <x:c r="J241" s="10" t="n">
        <x:v>28</x:v>
      </x:c>
      <x:c r="K241" s="12" t="n">
        <x:v>20</x:v>
      </x:c>
      <x:c r="L241" s="1" t="str"/>
      <x:c r="M241" s="9" t="str">
        <x:v>https://poke.idleworld.online/pokepedia/pokemon/sandslash</x:v>
      </x:c>
    </x:row>
    <x:row r="242" ht="22" customHeight="1">
      <x:c r="A242" s="1" t="n">
        <x:v>28</x:v>
      </x:c>
      <x:c r="B242" s="1" t="str">
        <x:v>Sandslash</x:v>
      </x:c>
      <x:c r="C242" s="1" t="n">
        <x:v>1</x:v>
      </x:c>
      <x:c r="D242" s="1" t="str">
        <x:v>Scratch</x:v>
      </x:c>
      <x:c r="E242" s="1" t="str">
        <x:v>Normal</x:v>
      </x:c>
      <x:c r="F242" s="1" t="str">
        <x:v>Física</x:v>
      </x:c>
      <x:c r="G242" s="10" t="n">
        <x:v>40</x:v>
      </x:c>
      <x:c r="H242" s="10" t="n">
        <x:f>IF(F242="Física",'Pokémon'!G32,IF(F242="Especial",'Pokémon'!I32,""))</x:f>
        <x:v>100</x:v>
      </x:c>
      <x:c r="I242" s="10" t="n">
        <x:f>IF(OR(F242="Status",G242=0),"",G242+H242)</x:f>
        <x:v>140</x:v>
      </x:c>
      <x:c r="J242" s="10" t="n">
        <x:v>1</x:v>
      </x:c>
      <x:c r="K242" s="12" t="n">
        <x:v>12</x:v>
      </x:c>
      <x:c r="L242" s="1" t="str"/>
      <x:c r="M242" s="9" t="str">
        <x:v>https://poke.idleworld.online/pokepedia/pokemon/sandslash</x:v>
      </x:c>
    </x:row>
    <x:row r="243" ht="22" customHeight="1">
      <x:c r="A243" s="1" t="n">
        <x:v>28</x:v>
      </x:c>
      <x:c r="B243" s="1" t="str">
        <x:v>Sandslash</x:v>
      </x:c>
      <x:c r="C243" s="1" t="n">
        <x:v>6</x:v>
      </x:c>
      <x:c r="D243" s="1" t="str">
        <x:v>Fury Cutter</x:v>
      </x:c>
      <x:c r="E243" s="1" t="str">
        <x:v>Inseto</x:v>
      </x:c>
      <x:c r="F243" s="1" t="str">
        <x:v>Física</x:v>
      </x:c>
      <x:c r="G243" s="10" t="n">
        <x:v>40</x:v>
      </x:c>
      <x:c r="H243" s="10" t="n">
        <x:f>IF(F243="Física",'Pokémon'!G32,IF(F243="Especial",'Pokémon'!I32,""))</x:f>
        <x:v>100</x:v>
      </x:c>
      <x:c r="I243" s="10" t="n">
        <x:f>IF(OR(F243="Status",G243=0),"",G243+H243)</x:f>
        <x:v>140</x:v>
      </x:c>
      <x:c r="J243" s="10" t="n">
        <x:v>11</x:v>
      </x:c>
      <x:c r="K243" s="12" t="n">
        <x:v>15</x:v>
      </x:c>
      <x:c r="L243" s="1" t="str"/>
      <x:c r="M243" s="9" t="str">
        <x:v>https://poke.idleworld.online/pokepedia/pokemon/sandslash</x:v>
      </x:c>
    </x:row>
    <x:row r="244" ht="22" customHeight="1">
      <x:c r="A244" s="1" t="n">
        <x:v>28</x:v>
      </x:c>
      <x:c r="B244" s="1" t="str">
        <x:v>Sandslash</x:v>
      </x:c>
      <x:c r="C244" s="1" t="n">
        <x:v>10</x:v>
      </x:c>
      <x:c r="D244" s="1" t="str">
        <x:v>Sand Tomb</x:v>
      </x:c>
      <x:c r="E244" s="1" t="str">
        <x:v>Terrestre</x:v>
      </x:c>
      <x:c r="F244" s="1" t="str">
        <x:v>Física</x:v>
      </x:c>
      <x:c r="G244" s="10" t="n">
        <x:v>35</x:v>
      </x:c>
      <x:c r="H244" s="10" t="n">
        <x:f>IF(F244="Física",'Pokémon'!G32,IF(F244="Especial",'Pokémon'!I32,""))</x:f>
        <x:v>100</x:v>
      </x:c>
      <x:c r="I244" s="10" t="n">
        <x:f>IF(OR(F244="Status",G244=0),"",G244+H244)</x:f>
        <x:v>135</x:v>
      </x:c>
      <x:c r="J244" s="10" t="n">
        <x:v>24</x:v>
      </x:c>
      <x:c r="K244" s="12" t="n">
        <x:v>15</x:v>
      </x:c>
      <x:c r="L244" s="1" t="str"/>
      <x:c r="M244" s="9" t="str">
        <x:v>https://poke.idleworld.online/pokepedia/pokemon/sandslash</x:v>
      </x:c>
    </x:row>
    <x:row r="245" ht="22" customHeight="1">
      <x:c r="A245" s="1" t="n">
        <x:v>28</x:v>
      </x:c>
      <x:c r="B245" s="1" t="str">
        <x:v>Sandslash</x:v>
      </x:c>
      <x:c r="C245" s="1" t="n">
        <x:v>4</x:v>
      </x:c>
      <x:c r="D245" s="1" t="str">
        <x:v>Rollout</x:v>
      </x:c>
      <x:c r="E245" s="1" t="str">
        <x:v>Pedra</x:v>
      </x:c>
      <x:c r="F245" s="1" t="str">
        <x:v>Física</x:v>
      </x:c>
      <x:c r="G245" s="10" t="n">
        <x:v>30</x:v>
      </x:c>
      <x:c r="H245" s="10" t="n">
        <x:f>IF(F245="Física",'Pokémon'!G32,IF(F245="Especial",'Pokémon'!I32,""))</x:f>
        <x:v>100</x:v>
      </x:c>
      <x:c r="I245" s="10" t="n">
        <x:f>IF(OR(F245="Status",G245=0),"",G245+H245)</x:f>
        <x:v>130</x:v>
      </x:c>
      <x:c r="J245" s="10" t="n">
        <x:v>7</x:v>
      </x:c>
      <x:c r="K245" s="12" t="n">
        <x:v>25</x:v>
      </x:c>
      <x:c r="L245" s="1" t="str"/>
      <x:c r="M245" s="9" t="str">
        <x:v>https://poke.idleworld.online/pokepedia/pokemon/sandslash</x:v>
      </x:c>
    </x:row>
    <x:row r="246" ht="22" customHeight="1">
      <x:c r="A246" s="1" t="n">
        <x:v>28</x:v>
      </x:c>
      <x:c r="B246" s="1" t="str">
        <x:v>Sandslash</x:v>
      </x:c>
      <x:c r="C246" s="1" t="n">
        <x:v>5</x:v>
      </x:c>
      <x:c r="D246" s="1" t="str">
        <x:v>Rapid Spin</x:v>
      </x:c>
      <x:c r="E246" s="1" t="str">
        <x:v>Normal</x:v>
      </x:c>
      <x:c r="F246" s="1" t="str">
        <x:v>Física</x:v>
      </x:c>
      <x:c r="G246" s="10" t="n">
        <x:v>20</x:v>
      </x:c>
      <x:c r="H246" s="10" t="n">
        <x:f>IF(F246="Física",'Pokémon'!G32,IF(F246="Especial",'Pokémon'!I32,""))</x:f>
        <x:v>100</x:v>
      </x:c>
      <x:c r="I246" s="10" t="n">
        <x:f>IF(OR(F246="Status",G246=0),"",G246+H246)</x:f>
        <x:v>120</x:v>
      </x:c>
      <x:c r="J246" s="10" t="n">
        <x:v>9</x:v>
      </x:c>
      <x:c r="K246" s="12" t="n">
        <x:v>15</x:v>
      </x:c>
      <x:c r="L246" s="1" t="str"/>
      <x:c r="M246" s="9" t="str">
        <x:v>https://poke.idleworld.online/pokepedia/pokemon/sandslash</x:v>
      </x:c>
    </x:row>
    <x:row r="247" ht="22" customHeight="1">
      <x:c r="A247" s="1" t="n">
        <x:v>28</x:v>
      </x:c>
      <x:c r="B247" s="1" t="str">
        <x:v>Sandslash</x:v>
      </x:c>
      <x:c r="C247" s="1" t="n">
        <x:v>8</x:v>
      </x:c>
      <x:c r="D247" s="1" t="str">
        <x:v>Fury Swipes</x:v>
      </x:c>
      <x:c r="E247" s="1" t="str">
        <x:v>Normal</x:v>
      </x:c>
      <x:c r="F247" s="1" t="str">
        <x:v>Física</x:v>
      </x:c>
      <x:c r="G247" s="10" t="n">
        <x:v>18</x:v>
      </x:c>
      <x:c r="H247" s="10" t="n">
        <x:f>IF(F247="Física",'Pokémon'!G32,IF(F247="Especial",'Pokémon'!I32,""))</x:f>
        <x:v>100</x:v>
      </x:c>
      <x:c r="I247" s="10" t="n">
        <x:f>IF(OR(F247="Status",G247=0),"",G247+H247)</x:f>
        <x:v>118</x:v>
      </x:c>
      <x:c r="J247" s="10" t="n">
        <x:v>20</x:v>
      </x:c>
      <x:c r="K247" s="12" t="n">
        <x:v>15</x:v>
      </x:c>
      <x:c r="L247" s="1" t="str"/>
      <x:c r="M247" s="9" t="str">
        <x:v>https://poke.idleworld.online/pokepedia/pokemon/sandslash</x:v>
      </x:c>
    </x:row>
    <x:row r="248" ht="22" customHeight="1">
      <x:c r="A248" s="1" t="n">
        <x:v>28</x:v>
      </x:c>
      <x:c r="B248" s="1" t="str">
        <x:v>Sandslash</x:v>
      </x:c>
      <x:c r="C248" s="1" t="n">
        <x:v>3</x:v>
      </x:c>
      <x:c r="D248" s="1" t="str">
        <x:v>Poison Sting</x:v>
      </x:c>
      <x:c r="E248" s="1" t="str">
        <x:v>Venenoso</x:v>
      </x:c>
      <x:c r="F248" s="1" t="str">
        <x:v>Física</x:v>
      </x:c>
      <x:c r="G248" s="10" t="n">
        <x:v>15</x:v>
      </x:c>
      <x:c r="H248" s="10" t="n">
        <x:f>IF(F248="Física",'Pokémon'!G32,IF(F248="Especial",'Pokémon'!I32,""))</x:f>
        <x:v>100</x:v>
      </x:c>
      <x:c r="I248" s="10" t="n">
        <x:f>IF(OR(F248="Status",G248=0),"",G248+H248)</x:f>
        <x:v>115</x:v>
      </x:c>
      <x:c r="J248" s="10" t="n">
        <x:v>1</x:v>
      </x:c>
      <x:c r="K248" s="12" t="n">
        <x:v>15</x:v>
      </x:c>
      <x:c r="L248" s="1" t="str"/>
      <x:c r="M248" s="9" t="str">
        <x:v>https://poke.idleworld.online/pokepedia/pokemon/sandslash</x:v>
      </x:c>
    </x:row>
    <x:row r="249" ht="22" customHeight="1">
      <x:c r="A249" s="1" t="n">
        <x:v>28</x:v>
      </x:c>
      <x:c r="B249" s="1" t="str">
        <x:v>Sandslash</x:v>
      </x:c>
      <x:c r="C249" s="1" t="n">
        <x:v>7</x:v>
      </x:c>
      <x:c r="D249" s="1" t="str">
        <x:v>Swift</x:v>
      </x:c>
      <x:c r="E249" s="1" t="str">
        <x:v>Normal</x:v>
      </x:c>
      <x:c r="F249" s="1" t="str">
        <x:v>Especial</x:v>
      </x:c>
      <x:c r="G249" s="10" t="n">
        <x:v>60</x:v>
      </x:c>
      <x:c r="H249" s="10" t="n">
        <x:f>IF(F249="Física",'Pokémon'!G32,IF(F249="Especial",'Pokémon'!I32,""))</x:f>
        <x:v>45</x:v>
      </x:c>
      <x:c r="I249" s="10" t="n">
        <x:f>IF(OR(F249="Status",G249=0),"",G249+H249)</x:f>
        <x:v>105</x:v>
      </x:c>
      <x:c r="J249" s="10" t="n">
        <x:v>17</x:v>
      </x:c>
      <x:c r="K249" s="12" t="n">
        <x:v>20</x:v>
      </x:c>
      <x:c r="L249" s="1" t="str"/>
      <x:c r="M249" s="9" t="str">
        <x:v>https://poke.idleworld.online/pokepedia/pokemon/sandslash</x:v>
      </x:c>
    </x:row>
    <x:row r="250" ht="22" customHeight="1">
      <x:c r="A250" s="1" t="n">
        <x:v>28</x:v>
      </x:c>
      <x:c r="B250" s="1" t="str">
        <x:v>Sandslash</x:v>
      </x:c>
      <x:c r="C250" s="1" t="n">
        <x:v>13</x:v>
      </x:c>
      <x:c r="D250" s="1" t="str">
        <x:v>Sandstorm</x:v>
      </x:c>
      <x:c r="E250" s="1" t="str">
        <x:v>Pedra</x:v>
      </x:c>
      <x:c r="F250" s="1" t="str">
        <x:v>Status</x:v>
      </x:c>
      <x:c r="G250" s="10" t="n">
        <x:v>0</x:v>
      </x:c>
      <x:c r="H250" s="10" t="str">
        <x:f>IF(F250="Física",'Pokémon'!G32,IF(F250="Especial",'Pokémon'!I32,""))</x:f>
      </x:c>
      <x:c r="I250" s="10" t="str">
        <x:f>IF(OR(F250="Status",G250=0),"",G250+H250)</x:f>
      </x:c>
      <x:c r="J250" s="10" t="n">
        <x:v>48</x:v>
      </x:c>
      <x:c r="K250" s="12" t="n">
        <x:v>50</x:v>
      </x:c>
      <x:c r="L250" s="1" t="str"/>
      <x:c r="M250" s="9" t="str">
        <x:v>https://poke.idleworld.online/pokepedia/pokemon/sandslash</x:v>
      </x:c>
    </x:row>
    <x:row r="251" ht="22" customHeight="1">
      <x:c r="A251" s="1" t="n">
        <x:v>29</x:v>
      </x:c>
      <x:c r="B251" s="1" t="str">
        <x:v>Nidoran Female</x:v>
      </x:c>
      <x:c r="C251" s="1" t="n">
        <x:v>6</x:v>
      </x:c>
      <x:c r="D251" s="1" t="str">
        <x:v>Crunch</x:v>
      </x:c>
      <x:c r="E251" s="1" t="str">
        <x:v>Sombrio</x:v>
      </x:c>
      <x:c r="F251" s="1" t="str">
        <x:v>Física</x:v>
      </x:c>
      <x:c r="G251" s="10" t="n">
        <x:v>80</x:v>
      </x:c>
      <x:c r="H251" s="10" t="n">
        <x:f>IF(F251="Física",'Pokémon'!G33,IF(F251="Especial",'Pokémon'!I33,""))</x:f>
        <x:v>47</x:v>
      </x:c>
      <x:c r="I251" s="10" t="n">
        <x:f>IF(OR(F251="Status",G251=0),"",G251+H251)</x:f>
        <x:v>127</x:v>
      </x:c>
      <x:c r="J251" s="10" t="n">
        <x:v>37</x:v>
      </x:c>
      <x:c r="K251" s="12" t="n">
        <x:v>22</x:v>
      </x:c>
      <x:c r="L251" s="1" t="str"/>
      <x:c r="M251" s="9" t="str">
        <x:v>https://poke.idleworld.online/pokepedia/pokemon/nidoranfemale</x:v>
      </x:c>
    </x:row>
    <x:row r="252" ht="22" customHeight="1">
      <x:c r="A252" s="1" t="n">
        <x:v>29</x:v>
      </x:c>
      <x:c r="B252" s="1" t="str">
        <x:v>Nidoran Female</x:v>
      </x:c>
      <x:c r="C252" s="1" t="n">
        <x:v>5</x:v>
      </x:c>
      <x:c r="D252" s="1" t="str">
        <x:v>Bite</x:v>
      </x:c>
      <x:c r="E252" s="1" t="str">
        <x:v>Sombrio</x:v>
      </x:c>
      <x:c r="F252" s="1" t="str">
        <x:v>Física</x:v>
      </x:c>
      <x:c r="G252" s="10" t="n">
        <x:v>60</x:v>
      </x:c>
      <x:c r="H252" s="10" t="n">
        <x:f>IF(F252="Física",'Pokémon'!G33,IF(F252="Especial",'Pokémon'!I33,""))</x:f>
        <x:v>47</x:v>
      </x:c>
      <x:c r="I252" s="10" t="n">
        <x:f>IF(OR(F252="Status",G252=0),"",G252+H252)</x:f>
        <x:v>107</x:v>
      </x:c>
      <x:c r="J252" s="10" t="n">
        <x:v>21</x:v>
      </x:c>
      <x:c r="K252" s="12" t="n">
        <x:v>15</x:v>
      </x:c>
      <x:c r="L252" s="1" t="str"/>
      <x:c r="M252" s="9" t="str">
        <x:v>https://poke.idleworld.online/pokepedia/pokemon/nidoranfemale</x:v>
      </x:c>
    </x:row>
    <x:row r="253" ht="22" customHeight="1">
      <x:c r="A253" s="1" t="n">
        <x:v>29</x:v>
      </x:c>
      <x:c r="B253" s="1" t="str">
        <x:v>Nidoran Female</x:v>
      </x:c>
      <x:c r="C253" s="1" t="n">
        <x:v>7</x:v>
      </x:c>
      <x:c r="D253" s="1" t="str">
        <x:v>Poison Fang</x:v>
      </x:c>
      <x:c r="E253" s="1" t="str">
        <x:v>Venenoso</x:v>
      </x:c>
      <x:c r="F253" s="1" t="str">
        <x:v>Física</x:v>
      </x:c>
      <x:c r="G253" s="10" t="n">
        <x:v>50</x:v>
      </x:c>
      <x:c r="H253" s="10" t="n">
        <x:f>IF(F253="Física",'Pokémon'!G33,IF(F253="Especial",'Pokémon'!I33,""))</x:f>
        <x:v>47</x:v>
      </x:c>
      <x:c r="I253" s="10" t="n">
        <x:f>IF(OR(F253="Status",G253=0),"",G253+H253)</x:f>
        <x:v>97</x:v>
      </x:c>
      <x:c r="J253" s="10" t="n">
        <x:v>45</x:v>
      </x:c>
      <x:c r="K253" s="12" t="n">
        <x:v>10</x:v>
      </x:c>
      <x:c r="L253" s="1" t="str"/>
      <x:c r="M253" s="9" t="str">
        <x:v>https://poke.idleworld.online/pokepedia/pokemon/nidoranfemale</x:v>
      </x:c>
    </x:row>
    <x:row r="254" ht="22" customHeight="1">
      <x:c r="A254" s="1" t="n">
        <x:v>29</x:v>
      </x:c>
      <x:c r="B254" s="1" t="str">
        <x:v>Nidoran Female</x:v>
      </x:c>
      <x:c r="C254" s="1" t="n">
        <x:v>1</x:v>
      </x:c>
      <x:c r="D254" s="1" t="str">
        <x:v>Scratch</x:v>
      </x:c>
      <x:c r="E254" s="1" t="str">
        <x:v>Normal</x:v>
      </x:c>
      <x:c r="F254" s="1" t="str">
        <x:v>Física</x:v>
      </x:c>
      <x:c r="G254" s="10" t="n">
        <x:v>40</x:v>
      </x:c>
      <x:c r="H254" s="10" t="n">
        <x:f>IF(F254="Física",'Pokémon'!G33,IF(F254="Especial",'Pokémon'!I33,""))</x:f>
        <x:v>47</x:v>
      </x:c>
      <x:c r="I254" s="10" t="n">
        <x:f>IF(OR(F254="Status",G254=0),"",G254+H254)</x:f>
        <x:v>87</x:v>
      </x:c>
      <x:c r="J254" s="10" t="n">
        <x:v>1</x:v>
      </x:c>
      <x:c r="K254" s="12" t="n">
        <x:v>15</x:v>
      </x:c>
      <x:c r="L254" s="1" t="str"/>
      <x:c r="M254" s="9" t="str">
        <x:v>https://poke.idleworld.online/pokepedia/pokemon/nidoranfemale</x:v>
      </x:c>
    </x:row>
    <x:row r="255" ht="22" customHeight="1">
      <x:c r="A255" s="1" t="n">
        <x:v>29</x:v>
      </x:c>
      <x:c r="B255" s="1" t="str">
        <x:v>Nidoran Female</x:v>
      </x:c>
      <x:c r="C255" s="1" t="n">
        <x:v>2</x:v>
      </x:c>
      <x:c r="D255" s="1" t="str">
        <x:v>Double Kick</x:v>
      </x:c>
      <x:c r="E255" s="1" t="str">
        <x:v>Lutador</x:v>
      </x:c>
      <x:c r="F255" s="1" t="str">
        <x:v>Física</x:v>
      </x:c>
      <x:c r="G255" s="10" t="n">
        <x:v>30</x:v>
      </x:c>
      <x:c r="H255" s="10" t="n">
        <x:f>IF(F255="Física",'Pokémon'!G33,IF(F255="Especial",'Pokémon'!I33,""))</x:f>
        <x:v>47</x:v>
      </x:c>
      <x:c r="I255" s="10" t="n">
        <x:f>IF(OR(F255="Status",G255=0),"",G255+H255)</x:f>
        <x:v>77</x:v>
      </x:c>
      <x:c r="J255" s="10" t="n">
        <x:v>9</x:v>
      </x:c>
      <x:c r="K255" s="12" t="n">
        <x:v>15</x:v>
      </x:c>
      <x:c r="L255" s="1" t="str"/>
      <x:c r="M255" s="9" t="str">
        <x:v>https://poke.idleworld.online/pokepedia/pokemon/nidoranfemale</x:v>
      </x:c>
    </x:row>
    <x:row r="256" ht="22" customHeight="1">
      <x:c r="A256" s="1" t="n">
        <x:v>29</x:v>
      </x:c>
      <x:c r="B256" s="1" t="str">
        <x:v>Nidoran Female</x:v>
      </x:c>
      <x:c r="C256" s="1" t="n">
        <x:v>4</x:v>
      </x:c>
      <x:c r="D256" s="1" t="str">
        <x:v>Fury Swipes</x:v>
      </x:c>
      <x:c r="E256" s="1" t="str">
        <x:v>Normal</x:v>
      </x:c>
      <x:c r="F256" s="1" t="str">
        <x:v>Física</x:v>
      </x:c>
      <x:c r="G256" s="10" t="n">
        <x:v>18</x:v>
      </x:c>
      <x:c r="H256" s="10" t="n">
        <x:f>IF(F256="Física",'Pokémon'!G33,IF(F256="Especial",'Pokémon'!I33,""))</x:f>
        <x:v>47</x:v>
      </x:c>
      <x:c r="I256" s="10" t="n">
        <x:f>IF(OR(F256="Status",G256=0),"",G256+H256)</x:f>
        <x:v>65</x:v>
      </x:c>
      <x:c r="J256" s="10" t="n">
        <x:v>19</x:v>
      </x:c>
      <x:c r="K256" s="12" t="n">
        <x:v>15</x:v>
      </x:c>
      <x:c r="L256" s="1" t="str"/>
      <x:c r="M256" s="9" t="str">
        <x:v>https://poke.idleworld.online/pokepedia/pokemon/nidoranfemale</x:v>
      </x:c>
    </x:row>
    <x:row r="257" ht="22" customHeight="1">
      <x:c r="A257" s="1" t="n">
        <x:v>29</x:v>
      </x:c>
      <x:c r="B257" s="1" t="str">
        <x:v>Nidoran Female</x:v>
      </x:c>
      <x:c r="C257" s="1" t="n">
        <x:v>3</x:v>
      </x:c>
      <x:c r="D257" s="1" t="str">
        <x:v>Poison Sting</x:v>
      </x:c>
      <x:c r="E257" s="1" t="str">
        <x:v>Venenoso</x:v>
      </x:c>
      <x:c r="F257" s="1" t="str">
        <x:v>Física</x:v>
      </x:c>
      <x:c r="G257" s="10" t="n">
        <x:v>15</x:v>
      </x:c>
      <x:c r="H257" s="10" t="n">
        <x:f>IF(F257="Física",'Pokémon'!G33,IF(F257="Especial",'Pokémon'!I33,""))</x:f>
        <x:v>47</x:v>
      </x:c>
      <x:c r="I257" s="10" t="n">
        <x:f>IF(OR(F257="Status",G257=0),"",G257+H257)</x:f>
        <x:v>62</x:v>
      </x:c>
      <x:c r="J257" s="10" t="n">
        <x:v>13</x:v>
      </x:c>
      <x:c r="K257" s="12" t="n">
        <x:v>10</x:v>
      </x:c>
      <x:c r="L257" s="1" t="str"/>
      <x:c r="M257" s="9" t="str">
        <x:v>https://poke.idleworld.online/pokepedia/pokemon/nidoranfemale</x:v>
      </x:c>
    </x:row>
    <x:row r="258" ht="22" customHeight="1">
      <x:c r="A258" s="1" t="n">
        <x:v>30</x:v>
      </x:c>
      <x:c r="B258" s="1" t="str">
        <x:v>Nidorina</x:v>
      </x:c>
      <x:c r="C258" s="1" t="n">
        <x:v>6</x:v>
      </x:c>
      <x:c r="D258" s="1" t="str">
        <x:v>Crunch</x:v>
      </x:c>
      <x:c r="E258" s="1" t="str">
        <x:v>Sombrio</x:v>
      </x:c>
      <x:c r="F258" s="1" t="str">
        <x:v>Física</x:v>
      </x:c>
      <x:c r="G258" s="10" t="n">
        <x:v>80</x:v>
      </x:c>
      <x:c r="H258" s="10" t="n">
        <x:f>IF(F258="Física",'Pokémon'!G34,IF(F258="Especial",'Pokémon'!I34,""))</x:f>
        <x:v>62</x:v>
      </x:c>
      <x:c r="I258" s="10" t="n">
        <x:f>IF(OR(F258="Status",G258=0),"",G258+H258)</x:f>
        <x:v>142</x:v>
      </x:c>
      <x:c r="J258" s="10" t="n">
        <x:v>43</x:v>
      </x:c>
      <x:c r="K258" s="12" t="n">
        <x:v>22</x:v>
      </x:c>
      <x:c r="L258" s="1" t="str"/>
      <x:c r="M258" s="9" t="str">
        <x:v>https://poke.idleworld.online/pokepedia/pokemon/nidorina</x:v>
      </x:c>
    </x:row>
    <x:row r="259" ht="22" customHeight="1">
      <x:c r="A259" s="1" t="n">
        <x:v>30</x:v>
      </x:c>
      <x:c r="B259" s="1" t="str">
        <x:v>Nidorina</x:v>
      </x:c>
      <x:c r="C259" s="1" t="n">
        <x:v>5</x:v>
      </x:c>
      <x:c r="D259" s="1" t="str">
        <x:v>Bite</x:v>
      </x:c>
      <x:c r="E259" s="1" t="str">
        <x:v>Sombrio</x:v>
      </x:c>
      <x:c r="F259" s="1" t="str">
        <x:v>Física</x:v>
      </x:c>
      <x:c r="G259" s="10" t="n">
        <x:v>60</x:v>
      </x:c>
      <x:c r="H259" s="10" t="n">
        <x:f>IF(F259="Física",'Pokémon'!G34,IF(F259="Especial",'Pokémon'!I34,""))</x:f>
        <x:v>62</x:v>
      </x:c>
      <x:c r="I259" s="10" t="n">
        <x:f>IF(OR(F259="Status",G259=0),"",G259+H259)</x:f>
        <x:v>122</x:v>
      </x:c>
      <x:c r="J259" s="10" t="n">
        <x:v>23</x:v>
      </x:c>
      <x:c r="K259" s="12" t="n">
        <x:v>20</x:v>
      </x:c>
      <x:c r="L259" s="1" t="str"/>
      <x:c r="M259" s="9" t="str">
        <x:v>https://poke.idleworld.online/pokepedia/pokemon/nidorina</x:v>
      </x:c>
    </x:row>
    <x:row r="260" ht="22" customHeight="1">
      <x:c r="A260" s="1" t="n">
        <x:v>30</x:v>
      </x:c>
      <x:c r="B260" s="1" t="str">
        <x:v>Nidorina</x:v>
      </x:c>
      <x:c r="C260" s="1" t="n">
        <x:v>7</x:v>
      </x:c>
      <x:c r="D260" s="1" t="str">
        <x:v>Poison Fang</x:v>
      </x:c>
      <x:c r="E260" s="1" t="str">
        <x:v>Venenoso</x:v>
      </x:c>
      <x:c r="F260" s="1" t="str">
        <x:v>Física</x:v>
      </x:c>
      <x:c r="G260" s="10" t="n">
        <x:v>50</x:v>
      </x:c>
      <x:c r="H260" s="10" t="n">
        <x:f>IF(F260="Física",'Pokémon'!G34,IF(F260="Especial",'Pokémon'!I34,""))</x:f>
        <x:v>62</x:v>
      </x:c>
      <x:c r="I260" s="10" t="n">
        <x:f>IF(OR(F260="Status",G260=0),"",G260+H260)</x:f>
        <x:v>112</x:v>
      </x:c>
      <x:c r="J260" s="10" t="n">
        <x:v>58</x:v>
      </x:c>
      <x:c r="K260" s="12" t="n">
        <x:v>15</x:v>
      </x:c>
      <x:c r="L260" s="1" t="str"/>
      <x:c r="M260" s="9" t="str">
        <x:v>https://poke.idleworld.online/pokepedia/pokemon/nidorina</x:v>
      </x:c>
    </x:row>
    <x:row r="261" ht="22" customHeight="1">
      <x:c r="A261" s="1" t="n">
        <x:v>30</x:v>
      </x:c>
      <x:c r="B261" s="1" t="str">
        <x:v>Nidorina</x:v>
      </x:c>
      <x:c r="C261" s="1" t="n">
        <x:v>1</x:v>
      </x:c>
      <x:c r="D261" s="1" t="str">
        <x:v>Scratch</x:v>
      </x:c>
      <x:c r="E261" s="1" t="str">
        <x:v>Normal</x:v>
      </x:c>
      <x:c r="F261" s="1" t="str">
        <x:v>Física</x:v>
      </x:c>
      <x:c r="G261" s="10" t="n">
        <x:v>40</x:v>
      </x:c>
      <x:c r="H261" s="10" t="n">
        <x:f>IF(F261="Física",'Pokémon'!G34,IF(F261="Especial",'Pokémon'!I34,""))</x:f>
        <x:v>62</x:v>
      </x:c>
      <x:c r="I261" s="10" t="n">
        <x:f>IF(OR(F261="Status",G261=0),"",G261+H261)</x:f>
        <x:v>102</x:v>
      </x:c>
      <x:c r="J261" s="10" t="n">
        <x:v>1</x:v>
      </x:c>
      <x:c r="K261" s="12" t="n">
        <x:v>15</x:v>
      </x:c>
      <x:c r="L261" s="1" t="str"/>
      <x:c r="M261" s="9" t="str">
        <x:v>https://poke.idleworld.online/pokepedia/pokemon/nidorina</x:v>
      </x:c>
    </x:row>
    <x:row r="262" ht="22" customHeight="1">
      <x:c r="A262" s="1" t="n">
        <x:v>30</x:v>
      </x:c>
      <x:c r="B262" s="1" t="str">
        <x:v>Nidorina</x:v>
      </x:c>
      <x:c r="C262" s="1" t="n">
        <x:v>2</x:v>
      </x:c>
      <x:c r="D262" s="1" t="str">
        <x:v>Double Kick</x:v>
      </x:c>
      <x:c r="E262" s="1" t="str">
        <x:v>Lutador</x:v>
      </x:c>
      <x:c r="F262" s="1" t="str">
        <x:v>Física</x:v>
      </x:c>
      <x:c r="G262" s="10" t="n">
        <x:v>30</x:v>
      </x:c>
      <x:c r="H262" s="10" t="n">
        <x:f>IF(F262="Física",'Pokémon'!G34,IF(F262="Especial",'Pokémon'!I34,""))</x:f>
        <x:v>62</x:v>
      </x:c>
      <x:c r="I262" s="10" t="n">
        <x:f>IF(OR(F262="Status",G262=0),"",G262+H262)</x:f>
        <x:v>92</x:v>
      </x:c>
      <x:c r="J262" s="10" t="n">
        <x:v>9</x:v>
      </x:c>
      <x:c r="K262" s="12" t="n">
        <x:v>15</x:v>
      </x:c>
      <x:c r="L262" s="1" t="str"/>
      <x:c r="M262" s="9" t="str">
        <x:v>https://poke.idleworld.online/pokepedia/pokemon/nidorina</x:v>
      </x:c>
    </x:row>
    <x:row r="263" ht="22" customHeight="1">
      <x:c r="A263" s="1" t="n">
        <x:v>30</x:v>
      </x:c>
      <x:c r="B263" s="1" t="str">
        <x:v>Nidorina</x:v>
      </x:c>
      <x:c r="C263" s="1" t="n">
        <x:v>4</x:v>
      </x:c>
      <x:c r="D263" s="1" t="str">
        <x:v>Fury Swipes</x:v>
      </x:c>
      <x:c r="E263" s="1" t="str">
        <x:v>Normal</x:v>
      </x:c>
      <x:c r="F263" s="1" t="str">
        <x:v>Física</x:v>
      </x:c>
      <x:c r="G263" s="10" t="n">
        <x:v>18</x:v>
      </x:c>
      <x:c r="H263" s="10" t="n">
        <x:f>IF(F263="Física",'Pokémon'!G34,IF(F263="Especial",'Pokémon'!I34,""))</x:f>
        <x:v>62</x:v>
      </x:c>
      <x:c r="I263" s="10" t="n">
        <x:f>IF(OR(F263="Status",G263=0),"",G263+H263)</x:f>
        <x:v>80</x:v>
      </x:c>
      <x:c r="J263" s="10" t="n">
        <x:v>20</x:v>
      </x:c>
      <x:c r="K263" s="12" t="n">
        <x:v>15</x:v>
      </x:c>
      <x:c r="L263" s="1" t="str"/>
      <x:c r="M263" s="9" t="str">
        <x:v>https://poke.idleworld.online/pokepedia/pokemon/nidorina</x:v>
      </x:c>
    </x:row>
    <x:row r="264" ht="22" customHeight="1">
      <x:c r="A264" s="1" t="n">
        <x:v>30</x:v>
      </x:c>
      <x:c r="B264" s="1" t="str">
        <x:v>Nidorina</x:v>
      </x:c>
      <x:c r="C264" s="1" t="n">
        <x:v>3</x:v>
      </x:c>
      <x:c r="D264" s="1" t="str">
        <x:v>Poison Sting</x:v>
      </x:c>
      <x:c r="E264" s="1" t="str">
        <x:v>Venenoso</x:v>
      </x:c>
      <x:c r="F264" s="1" t="str">
        <x:v>Física</x:v>
      </x:c>
      <x:c r="G264" s="10" t="n">
        <x:v>15</x:v>
      </x:c>
      <x:c r="H264" s="10" t="n">
        <x:f>IF(F264="Física",'Pokémon'!G34,IF(F264="Especial",'Pokémon'!I34,""))</x:f>
        <x:v>62</x:v>
      </x:c>
      <x:c r="I264" s="10" t="n">
        <x:f>IF(OR(F264="Status",G264=0),"",G264+H264)</x:f>
        <x:v>77</x:v>
      </x:c>
      <x:c r="J264" s="10" t="n">
        <x:v>13</x:v>
      </x:c>
      <x:c r="K264" s="12" t="n">
        <x:v>15</x:v>
      </x:c>
      <x:c r="L264" s="1" t="str"/>
      <x:c r="M264" s="9" t="str">
        <x:v>https://poke.idleworld.online/pokepedia/pokemon/nidorina</x:v>
      </x:c>
    </x:row>
    <x:row r="265" ht="22" customHeight="1">
      <x:c r="A265" s="1" t="n">
        <x:v>31</x:v>
      </x:c>
      <x:c r="B265" s="1" t="str">
        <x:v>Nidoqueen</x:v>
      </x:c>
      <x:c r="C265" s="1" t="n">
        <x:v>1</x:v>
      </x:c>
      <x:c r="D265" s="1" t="str">
        <x:v>Toxic Deluge</x:v>
      </x:c>
      <x:c r="E265" s="1" t="str">
        <x:v>Venenoso</x:v>
      </x:c>
      <x:c r="F265" s="1" t="str">
        <x:v>Física</x:v>
      </x:c>
      <x:c r="G265" s="10" t="n">
        <x:v>300</x:v>
      </x:c>
      <x:c r="H265" s="10" t="n">
        <x:f>IF(F265="Física",'Pokémon'!G35,IF(F265="Especial",'Pokémon'!I35,""))</x:f>
        <x:v>92</x:v>
      </x:c>
      <x:c r="I265" s="10" t="n">
        <x:f>IF(OR(F265="Status",G265=0),"",G265+H265)</x:f>
        <x:v>392</x:v>
      </x:c>
      <x:c r="J265" s="10" t="n">
        <x:v>1</x:v>
      </x:c>
      <x:c r="K265" s="12" t="n">
        <x:v>10</x:v>
      </x:c>
      <x:c r="L265" s="1" t="str">
        <x:v>Sim</x:v>
      </x:c>
      <x:c r="M265" s="9" t="str">
        <x:v>https://poke.idleworld.online/pokepedia/pokemon/nidoqueen</x:v>
      </x:c>
    </x:row>
    <x:row r="266" ht="22" customHeight="1">
      <x:c r="A266" s="1" t="n">
        <x:v>31</x:v>
      </x:c>
      <x:c r="B266" s="1" t="str">
        <x:v>Nidoqueen</x:v>
      </x:c>
      <x:c r="C266" s="1" t="n">
        <x:v>2</x:v>
      </x:c>
      <x:c r="D266" s="1" t="str">
        <x:v>Crossing Fissure</x:v>
      </x:c>
      <x:c r="E266" s="1" t="str">
        <x:v>Terrestre</x:v>
      </x:c>
      <x:c r="F266" s="1" t="str">
        <x:v>Física</x:v>
      </x:c>
      <x:c r="G266" s="10" t="n">
        <x:v>300</x:v>
      </x:c>
      <x:c r="H266" s="10" t="n">
        <x:f>IF(F266="Física",'Pokémon'!G35,IF(F266="Especial",'Pokémon'!I35,""))</x:f>
        <x:v>92</x:v>
      </x:c>
      <x:c r="I266" s="10" t="n">
        <x:f>IF(OR(F266="Status",G266=0),"",G266+H266)</x:f>
        <x:v>392</x:v>
      </x:c>
      <x:c r="J266" s="10" t="n">
        <x:v>1</x:v>
      </x:c>
      <x:c r="K266" s="12" t="n">
        <x:v>10</x:v>
      </x:c>
      <x:c r="L266" s="1" t="str">
        <x:v>Sim</x:v>
      </x:c>
      <x:c r="M266" s="9" t="str">
        <x:v>https://poke.idleworld.online/pokepedia/pokemon/nidoqueen</x:v>
      </x:c>
    </x:row>
    <x:row r="267" ht="22" customHeight="1">
      <x:c r="A267" s="1" t="n">
        <x:v>31</x:v>
      </x:c>
      <x:c r="B267" s="1" t="str">
        <x:v>Nidoqueen</x:v>
      </x:c>
      <x:c r="C267" s="1" t="n">
        <x:v>6</x:v>
      </x:c>
      <x:c r="D267" s="1" t="str">
        <x:v>Superpower</x:v>
      </x:c>
      <x:c r="E267" s="1" t="str">
        <x:v>Lutador</x:v>
      </x:c>
      <x:c r="F267" s="1" t="str">
        <x:v>Física</x:v>
      </x:c>
      <x:c r="G267" s="10" t="n">
        <x:v>120</x:v>
      </x:c>
      <x:c r="H267" s="10" t="n">
        <x:f>IF(F267="Física",'Pokémon'!G35,IF(F267="Especial",'Pokémon'!I35,""))</x:f>
        <x:v>92</x:v>
      </x:c>
      <x:c r="I267" s="10" t="n">
        <x:f>IF(OR(F267="Status",G267=0),"",G267+H267)</x:f>
        <x:v>212</x:v>
      </x:c>
      <x:c r="J267" s="10" t="n">
        <x:v>1</x:v>
      </x:c>
      <x:c r="K267" s="12" t="n">
        <x:v>50</x:v>
      </x:c>
      <x:c r="L267" s="1" t="str"/>
      <x:c r="M267" s="9" t="str">
        <x:v>https://poke.idleworld.online/pokepedia/pokemon/nidoqueen</x:v>
      </x:c>
    </x:row>
    <x:row r="268" ht="22" customHeight="1">
      <x:c r="A268" s="1" t="n">
        <x:v>31</x:v>
      </x:c>
      <x:c r="B268" s="1" t="str">
        <x:v>Nidoqueen</x:v>
      </x:c>
      <x:c r="C268" s="1" t="n">
        <x:v>8</x:v>
      </x:c>
      <x:c r="D268" s="1" t="str">
        <x:v>Body Slam</x:v>
      </x:c>
      <x:c r="E268" s="1" t="str">
        <x:v>Normal</x:v>
      </x:c>
      <x:c r="F268" s="1" t="str">
        <x:v>Física</x:v>
      </x:c>
      <x:c r="G268" s="10" t="n">
        <x:v>85</x:v>
      </x:c>
      <x:c r="H268" s="10" t="n">
        <x:f>IF(F268="Física",'Pokémon'!G35,IF(F268="Especial",'Pokémon'!I35,""))</x:f>
        <x:v>92</x:v>
      </x:c>
      <x:c r="I268" s="10" t="n">
        <x:f>IF(OR(F268="Status",G268=0),"",G268+H268)</x:f>
        <x:v>177</x:v>
      </x:c>
      <x:c r="J268" s="10" t="n">
        <x:v>35</x:v>
      </x:c>
      <x:c r="K268" s="12" t="n">
        <x:v>22</x:v>
      </x:c>
      <x:c r="L268" s="1" t="str"/>
      <x:c r="M268" s="9" t="str">
        <x:v>https://poke.idleworld.online/pokepedia/pokemon/nidoqueen</x:v>
      </x:c>
    </x:row>
    <x:row r="269" ht="22" customHeight="1">
      <x:c r="A269" s="1" t="n">
        <x:v>31</x:v>
      </x:c>
      <x:c r="B269" s="1" t="str">
        <x:v>Nidoqueen</x:v>
      </x:c>
      <x:c r="C269" s="1" t="n">
        <x:v>9</x:v>
      </x:c>
      <x:c r="D269" s="1" t="str">
        <x:v>Earth Power</x:v>
      </x:c>
      <x:c r="E269" s="1" t="str">
        <x:v>Terrestre</x:v>
      </x:c>
      <x:c r="F269" s="1" t="str">
        <x:v>Especial</x:v>
      </x:c>
      <x:c r="G269" s="10" t="n">
        <x:v>90</x:v>
      </x:c>
      <x:c r="H269" s="10" t="n">
        <x:f>IF(F269="Física",'Pokémon'!G35,IF(F269="Especial",'Pokémon'!I35,""))</x:f>
        <x:v>75</x:v>
      </x:c>
      <x:c r="I269" s="10" t="n">
        <x:f>IF(OR(F269="Status",G269=0),"",G269+H269)</x:f>
        <x:v>165</x:v>
      </x:c>
      <x:c r="J269" s="10" t="n">
        <x:v>43</x:v>
      </x:c>
      <x:c r="K269" s="12" t="n">
        <x:v>22</x:v>
      </x:c>
      <x:c r="L269" s="1" t="str"/>
      <x:c r="M269" s="9" t="str">
        <x:v>https://poke.idleworld.online/pokepedia/pokemon/nidoqueen</x:v>
      </x:c>
    </x:row>
    <x:row r="270" ht="22" customHeight="1">
      <x:c r="A270" s="1" t="n">
        <x:v>31</x:v>
      </x:c>
      <x:c r="B270" s="1" t="str">
        <x:v>Nidoqueen</x:v>
      </x:c>
      <x:c r="C270" s="1" t="n">
        <x:v>7</x:v>
      </x:c>
      <x:c r="D270" s="1" t="str">
        <x:v>Chip Away</x:v>
      </x:c>
      <x:c r="E270" s="1" t="str">
        <x:v>Normal</x:v>
      </x:c>
      <x:c r="F270" s="1" t="str">
        <x:v>Física</x:v>
      </x:c>
      <x:c r="G270" s="10" t="n">
        <x:v>70</x:v>
      </x:c>
      <x:c r="H270" s="10" t="n">
        <x:f>IF(F270="Física",'Pokémon'!G35,IF(F270="Especial",'Pokémon'!I35,""))</x:f>
        <x:v>92</x:v>
      </x:c>
      <x:c r="I270" s="10" t="n">
        <x:f>IF(OR(F270="Status",G270=0),"",G270+H270)</x:f>
        <x:v>162</x:v>
      </x:c>
      <x:c r="J270" s="10" t="n">
        <x:v>23</x:v>
      </x:c>
      <x:c r="K270" s="12" t="n">
        <x:v>20</x:v>
      </x:c>
      <x:c r="L270" s="1" t="str"/>
      <x:c r="M270" s="9" t="str">
        <x:v>https://poke.idleworld.online/pokepedia/pokemon/nidoqueen</x:v>
      </x:c>
    </x:row>
    <x:row r="271" ht="22" customHeight="1">
      <x:c r="A271" s="1" t="n">
        <x:v>31</x:v>
      </x:c>
      <x:c r="B271" s="1" t="str">
        <x:v>Nidoqueen</x:v>
      </x:c>
      <x:c r="C271" s="1" t="n">
        <x:v>5</x:v>
      </x:c>
      <x:c r="D271" s="1" t="str">
        <x:v>Scratch</x:v>
      </x:c>
      <x:c r="E271" s="1" t="str">
        <x:v>Normal</x:v>
      </x:c>
      <x:c r="F271" s="1" t="str">
        <x:v>Física</x:v>
      </x:c>
      <x:c r="G271" s="10" t="n">
        <x:v>40</x:v>
      </x:c>
      <x:c r="H271" s="10" t="n">
        <x:f>IF(F271="Física",'Pokémon'!G35,IF(F271="Especial",'Pokémon'!I35,""))</x:f>
        <x:v>92</x:v>
      </x:c>
      <x:c r="I271" s="10" t="n">
        <x:f>IF(OR(F271="Status",G271=0),"",G271+H271)</x:f>
        <x:v>132</x:v>
      </x:c>
      <x:c r="J271" s="10" t="n">
        <x:v>1</x:v>
      </x:c>
      <x:c r="K271" s="12" t="n">
        <x:v>15</x:v>
      </x:c>
      <x:c r="L271" s="1" t="str"/>
      <x:c r="M271" s="9" t="str">
        <x:v>https://poke.idleworld.online/pokepedia/pokemon/nidoqueen</x:v>
      </x:c>
    </x:row>
    <x:row r="272" ht="22" customHeight="1">
      <x:c r="A272" s="1" t="n">
        <x:v>31</x:v>
      </x:c>
      <x:c r="B272" s="1" t="str">
        <x:v>Nidoqueen</x:v>
      </x:c>
      <x:c r="C272" s="1" t="n">
        <x:v>4</x:v>
      </x:c>
      <x:c r="D272" s="1" t="str">
        <x:v>Double Kick</x:v>
      </x:c>
      <x:c r="E272" s="1" t="str">
        <x:v>Lutador</x:v>
      </x:c>
      <x:c r="F272" s="1" t="str">
        <x:v>Física</x:v>
      </x:c>
      <x:c r="G272" s="10" t="n">
        <x:v>30</x:v>
      </x:c>
      <x:c r="H272" s="10" t="n">
        <x:f>IF(F272="Física",'Pokémon'!G35,IF(F272="Especial",'Pokémon'!I35,""))</x:f>
        <x:v>92</x:v>
      </x:c>
      <x:c r="I272" s="10" t="n">
        <x:f>IF(OR(F272="Status",G272=0),"",G272+H272)</x:f>
        <x:v>122</x:v>
      </x:c>
      <x:c r="J272" s="10" t="n">
        <x:v>1</x:v>
      </x:c>
      <x:c r="K272" s="12" t="n">
        <x:v>15</x:v>
      </x:c>
      <x:c r="L272" s="1" t="str"/>
      <x:c r="M272" s="9" t="str">
        <x:v>https://poke.idleworld.online/pokepedia/pokemon/nidoqueen</x:v>
      </x:c>
    </x:row>
    <x:row r="273" ht="22" customHeight="1">
      <x:c r="A273" s="1" t="n">
        <x:v>31</x:v>
      </x:c>
      <x:c r="B273" s="1" t="str">
        <x:v>Nidoqueen</x:v>
      </x:c>
      <x:c r="C273" s="1" t="n">
        <x:v>3</x:v>
      </x:c>
      <x:c r="D273" s="1" t="str">
        <x:v>Poison Sting</x:v>
      </x:c>
      <x:c r="E273" s="1" t="str">
        <x:v>Venenoso</x:v>
      </x:c>
      <x:c r="F273" s="1" t="str">
        <x:v>Física</x:v>
      </x:c>
      <x:c r="G273" s="10" t="n">
        <x:v>15</x:v>
      </x:c>
      <x:c r="H273" s="10" t="n">
        <x:f>IF(F273="Física",'Pokémon'!G35,IF(F273="Especial",'Pokémon'!I35,""))</x:f>
        <x:v>92</x:v>
      </x:c>
      <x:c r="I273" s="10" t="n">
        <x:f>IF(OR(F273="Status",G273=0),"",G273+H273)</x:f>
        <x:v>107</x:v>
      </x:c>
      <x:c r="J273" s="10" t="n">
        <x:v>1</x:v>
      </x:c>
      <x:c r="K273" s="12" t="n">
        <x:v>15</x:v>
      </x:c>
      <x:c r="L273" s="1" t="str"/>
      <x:c r="M273" s="9" t="str">
        <x:v>https://poke.idleworld.online/pokepedia/pokemon/nidoqueen</x:v>
      </x:c>
    </x:row>
    <x:row r="274" ht="22" customHeight="1">
      <x:c r="A274" s="1" t="n">
        <x:v>32</x:v>
      </x:c>
      <x:c r="B274" s="1" t="str">
        <x:v>Nidoran Male</x:v>
      </x:c>
      <x:c r="C274" s="1" t="n">
        <x:v>6</x:v>
      </x:c>
      <x:c r="D274" s="1" t="str">
        <x:v>Poison Jab</x:v>
      </x:c>
      <x:c r="E274" s="1" t="str">
        <x:v>Venenoso</x:v>
      </x:c>
      <x:c r="F274" s="1" t="str">
        <x:v>Física</x:v>
      </x:c>
      <x:c r="G274" s="10" t="n">
        <x:v>80</x:v>
      </x:c>
      <x:c r="H274" s="10" t="n">
        <x:f>IF(F274="Física",'Pokémon'!G36,IF(F274="Especial",'Pokémon'!I36,""))</x:f>
        <x:v>57</x:v>
      </x:c>
      <x:c r="I274" s="10" t="n">
        <x:f>IF(OR(F274="Status",G274=0),"",G274+H274)</x:f>
        <x:v>137</x:v>
      </x:c>
      <x:c r="J274" s="10" t="n">
        <x:v>37</x:v>
      </x:c>
      <x:c r="K274" s="12" t="n">
        <x:v>22</x:v>
      </x:c>
      <x:c r="L274" s="1" t="str"/>
      <x:c r="M274" s="9" t="str">
        <x:v>https://poke.idleworld.online/pokepedia/pokemon/nidoranmale</x:v>
      </x:c>
    </x:row>
    <x:row r="275" ht="22" customHeight="1">
      <x:c r="A275" s="1" t="n">
        <x:v>32</x:v>
      </x:c>
      <x:c r="B275" s="1" t="str">
        <x:v>Nidoran Male</x:v>
      </x:c>
      <x:c r="C275" s="1" t="n">
        <x:v>5</x:v>
      </x:c>
      <x:c r="D275" s="1" t="str">
        <x:v>Horn Attack</x:v>
      </x:c>
      <x:c r="E275" s="1" t="str">
        <x:v>Normal</x:v>
      </x:c>
      <x:c r="F275" s="1" t="str">
        <x:v>Física</x:v>
      </x:c>
      <x:c r="G275" s="10" t="n">
        <x:v>65</x:v>
      </x:c>
      <x:c r="H275" s="10" t="n">
        <x:f>IF(F275="Física",'Pokémon'!G36,IF(F275="Especial",'Pokémon'!I36,""))</x:f>
        <x:v>57</x:v>
      </x:c>
      <x:c r="I275" s="10" t="n">
        <x:f>IF(OR(F275="Status",G275=0),"",G275+H275)</x:f>
        <x:v>122</x:v>
      </x:c>
      <x:c r="J275" s="10" t="n">
        <x:v>21</x:v>
      </x:c>
      <x:c r="K275" s="12" t="n">
        <x:v>20</x:v>
      </x:c>
      <x:c r="L275" s="1" t="str"/>
      <x:c r="M275" s="9" t="str">
        <x:v>https://poke.idleworld.online/pokepedia/pokemon/nidoranmale</x:v>
      </x:c>
    </x:row>
    <x:row r="276" ht="22" customHeight="1">
      <x:c r="A276" s="1" t="n">
        <x:v>32</x:v>
      </x:c>
      <x:c r="B276" s="1" t="str">
        <x:v>Nidoran Male</x:v>
      </x:c>
      <x:c r="C276" s="1" t="n">
        <x:v>1</x:v>
      </x:c>
      <x:c r="D276" s="1" t="str">
        <x:v>Peck</x:v>
      </x:c>
      <x:c r="E276" s="1" t="str">
        <x:v>Voador</x:v>
      </x:c>
      <x:c r="F276" s="1" t="str">
        <x:v>Física</x:v>
      </x:c>
      <x:c r="G276" s="10" t="n">
        <x:v>35</x:v>
      </x:c>
      <x:c r="H276" s="10" t="n">
        <x:f>IF(F276="Física",'Pokémon'!G36,IF(F276="Especial",'Pokémon'!I36,""))</x:f>
        <x:v>57</x:v>
      </x:c>
      <x:c r="I276" s="10" t="n">
        <x:f>IF(OR(F276="Status",G276=0),"",G276+H276)</x:f>
        <x:v>92</x:v>
      </x:c>
      <x:c r="J276" s="10" t="n">
        <x:v>1</x:v>
      </x:c>
      <x:c r="K276" s="12" t="n">
        <x:v>15</x:v>
      </x:c>
      <x:c r="L276" s="1" t="str"/>
      <x:c r="M276" s="9" t="str">
        <x:v>https://poke.idleworld.online/pokepedia/pokemon/nidoranmale</x:v>
      </x:c>
    </x:row>
    <x:row r="277" ht="22" customHeight="1">
      <x:c r="A277" s="1" t="n">
        <x:v>32</x:v>
      </x:c>
      <x:c r="B277" s="1" t="str">
        <x:v>Nidoran Male</x:v>
      </x:c>
      <x:c r="C277" s="1" t="n">
        <x:v>2</x:v>
      </x:c>
      <x:c r="D277" s="1" t="str">
        <x:v>Double Kick</x:v>
      </x:c>
      <x:c r="E277" s="1" t="str">
        <x:v>Lutador</x:v>
      </x:c>
      <x:c r="F277" s="1" t="str">
        <x:v>Física</x:v>
      </x:c>
      <x:c r="G277" s="10" t="n">
        <x:v>30</x:v>
      </x:c>
      <x:c r="H277" s="10" t="n">
        <x:f>IF(F277="Física",'Pokémon'!G36,IF(F277="Especial",'Pokémon'!I36,""))</x:f>
        <x:v>57</x:v>
      </x:c>
      <x:c r="I277" s="10" t="n">
        <x:f>IF(OR(F277="Status",G277=0),"",G277+H277)</x:f>
        <x:v>87</x:v>
      </x:c>
      <x:c r="J277" s="10" t="n">
        <x:v>9</x:v>
      </x:c>
      <x:c r="K277" s="12" t="n">
        <x:v>15</x:v>
      </x:c>
      <x:c r="L277" s="1" t="str"/>
      <x:c r="M277" s="9" t="str">
        <x:v>https://poke.idleworld.online/pokepedia/pokemon/nidoranmale</x:v>
      </x:c>
    </x:row>
    <x:row r="278" ht="22" customHeight="1">
      <x:c r="A278" s="1" t="n">
        <x:v>32</x:v>
      </x:c>
      <x:c r="B278" s="1" t="str">
        <x:v>Nidoran Male</x:v>
      </x:c>
      <x:c r="C278" s="1" t="n">
        <x:v>3</x:v>
      </x:c>
      <x:c r="D278" s="1" t="str">
        <x:v>Poison Sting</x:v>
      </x:c>
      <x:c r="E278" s="1" t="str">
        <x:v>Venenoso</x:v>
      </x:c>
      <x:c r="F278" s="1" t="str">
        <x:v>Física</x:v>
      </x:c>
      <x:c r="G278" s="10" t="n">
        <x:v>15</x:v>
      </x:c>
      <x:c r="H278" s="10" t="n">
        <x:f>IF(F278="Física",'Pokémon'!G36,IF(F278="Especial",'Pokémon'!I36,""))</x:f>
        <x:v>57</x:v>
      </x:c>
      <x:c r="I278" s="10" t="n">
        <x:f>IF(OR(F278="Status",G278=0),"",G278+H278)</x:f>
        <x:v>72</x:v>
      </x:c>
      <x:c r="J278" s="10" t="n">
        <x:v>13</x:v>
      </x:c>
      <x:c r="K278" s="12" t="n">
        <x:v>10</x:v>
      </x:c>
      <x:c r="L278" s="1" t="str"/>
      <x:c r="M278" s="9" t="str">
        <x:v>https://poke.idleworld.online/pokepedia/pokemon/nidoranmale</x:v>
      </x:c>
    </x:row>
    <x:row r="279" ht="22" customHeight="1">
      <x:c r="A279" s="1" t="n">
        <x:v>32</x:v>
      </x:c>
      <x:c r="B279" s="1" t="str">
        <x:v>Nidoran Male</x:v>
      </x:c>
      <x:c r="C279" s="1" t="n">
        <x:v>4</x:v>
      </x:c>
      <x:c r="D279" s="1" t="str">
        <x:v>Fury Attack</x:v>
      </x:c>
      <x:c r="E279" s="1" t="str">
        <x:v>Normal</x:v>
      </x:c>
      <x:c r="F279" s="1" t="str">
        <x:v>Física</x:v>
      </x:c>
      <x:c r="G279" s="10" t="n">
        <x:v>15</x:v>
      </x:c>
      <x:c r="H279" s="10" t="n">
        <x:f>IF(F279="Física",'Pokémon'!G36,IF(F279="Especial",'Pokémon'!I36,""))</x:f>
        <x:v>57</x:v>
      </x:c>
      <x:c r="I279" s="10" t="n">
        <x:f>IF(OR(F279="Status",G279=0),"",G279+H279)</x:f>
        <x:v>72</x:v>
      </x:c>
      <x:c r="J279" s="10" t="n">
        <x:v>19</x:v>
      </x:c>
      <x:c r="K279" s="12" t="n">
        <x:v>15</x:v>
      </x:c>
      <x:c r="L279" s="1" t="str"/>
      <x:c r="M279" s="9" t="str">
        <x:v>https://poke.idleworld.online/pokepedia/pokemon/nidoranmale</x:v>
      </x:c>
    </x:row>
    <x:row r="280" ht="22" customHeight="1">
      <x:c r="A280" s="1" t="n">
        <x:v>33</x:v>
      </x:c>
      <x:c r="B280" s="1" t="str">
        <x:v>Nidorino</x:v>
      </x:c>
      <x:c r="C280" s="1" t="n">
        <x:v>7</x:v>
      </x:c>
      <x:c r="D280" s="1" t="str">
        <x:v>Poison Jab</x:v>
      </x:c>
      <x:c r="E280" s="1" t="str">
        <x:v>Venenoso</x:v>
      </x:c>
      <x:c r="F280" s="1" t="str">
        <x:v>Física</x:v>
      </x:c>
      <x:c r="G280" s="10" t="n">
        <x:v>80</x:v>
      </x:c>
      <x:c r="H280" s="10" t="n">
        <x:f>IF(F280="Física",'Pokémon'!G37,IF(F280="Especial",'Pokémon'!I37,""))</x:f>
        <x:v>72</x:v>
      </x:c>
      <x:c r="I280" s="10" t="n">
        <x:f>IF(OR(F280="Status",G280=0),"",G280+H280)</x:f>
        <x:v>152</x:v>
      </x:c>
      <x:c r="J280" s="10" t="n">
        <x:v>43</x:v>
      </x:c>
      <x:c r="K280" s="12" t="n">
        <x:v>15</x:v>
      </x:c>
      <x:c r="L280" s="1" t="str"/>
      <x:c r="M280" s="9" t="str">
        <x:v>https://poke.idleworld.online/pokepedia/pokemon/nidorino</x:v>
      </x:c>
    </x:row>
    <x:row r="281" ht="22" customHeight="1">
      <x:c r="A281" s="1" t="n">
        <x:v>33</x:v>
      </x:c>
      <x:c r="B281" s="1" t="str">
        <x:v>Nidorino</x:v>
      </x:c>
      <x:c r="C281" s="1" t="n">
        <x:v>5</x:v>
      </x:c>
      <x:c r="D281" s="1" t="str">
        <x:v>Horn Attack</x:v>
      </x:c>
      <x:c r="E281" s="1" t="str">
        <x:v>Normal</x:v>
      </x:c>
      <x:c r="F281" s="1" t="str">
        <x:v>Física</x:v>
      </x:c>
      <x:c r="G281" s="10" t="n">
        <x:v>65</x:v>
      </x:c>
      <x:c r="H281" s="10" t="n">
        <x:f>IF(F281="Física",'Pokémon'!G37,IF(F281="Especial",'Pokémon'!I37,""))</x:f>
        <x:v>72</x:v>
      </x:c>
      <x:c r="I281" s="10" t="n">
        <x:f>IF(OR(F281="Status",G281=0),"",G281+H281)</x:f>
        <x:v>137</x:v>
      </x:c>
      <x:c r="J281" s="10" t="n">
        <x:v>23</x:v>
      </x:c>
      <x:c r="K281" s="12" t="n">
        <x:v>20</x:v>
      </x:c>
      <x:c r="L281" s="1" t="str"/>
      <x:c r="M281" s="9" t="str">
        <x:v>https://poke.idleworld.online/pokepedia/pokemon/nidorino</x:v>
      </x:c>
    </x:row>
    <x:row r="282" ht="22" customHeight="1">
      <x:c r="A282" s="1" t="n">
        <x:v>33</x:v>
      </x:c>
      <x:c r="B282" s="1" t="str">
        <x:v>Nidorino</x:v>
      </x:c>
      <x:c r="C282" s="1" t="n">
        <x:v>1</x:v>
      </x:c>
      <x:c r="D282" s="1" t="str">
        <x:v>Peck</x:v>
      </x:c>
      <x:c r="E282" s="1" t="str">
        <x:v>Voador</x:v>
      </x:c>
      <x:c r="F282" s="1" t="str">
        <x:v>Física</x:v>
      </x:c>
      <x:c r="G282" s="10" t="n">
        <x:v>35</x:v>
      </x:c>
      <x:c r="H282" s="10" t="n">
        <x:f>IF(F282="Física",'Pokémon'!G37,IF(F282="Especial",'Pokémon'!I37,""))</x:f>
        <x:v>72</x:v>
      </x:c>
      <x:c r="I282" s="10" t="n">
        <x:f>IF(OR(F282="Status",G282=0),"",G282+H282)</x:f>
        <x:v>107</x:v>
      </x:c>
      <x:c r="J282" s="10" t="n">
        <x:v>1</x:v>
      </x:c>
      <x:c r="K282" s="12" t="n">
        <x:v>15</x:v>
      </x:c>
      <x:c r="L282" s="1" t="str"/>
      <x:c r="M282" s="9" t="str">
        <x:v>https://poke.idleworld.online/pokepedia/pokemon/nidorino</x:v>
      </x:c>
    </x:row>
    <x:row r="283" ht="22" customHeight="1">
      <x:c r="A283" s="1" t="n">
        <x:v>33</x:v>
      </x:c>
      <x:c r="B283" s="1" t="str">
        <x:v>Nidorino</x:v>
      </x:c>
      <x:c r="C283" s="1" t="n">
        <x:v>2</x:v>
      </x:c>
      <x:c r="D283" s="1" t="str">
        <x:v>Double Kick</x:v>
      </x:c>
      <x:c r="E283" s="1" t="str">
        <x:v>Lutador</x:v>
      </x:c>
      <x:c r="F283" s="1" t="str">
        <x:v>Física</x:v>
      </x:c>
      <x:c r="G283" s="10" t="n">
        <x:v>30</x:v>
      </x:c>
      <x:c r="H283" s="10" t="n">
        <x:f>IF(F283="Física",'Pokémon'!G37,IF(F283="Especial",'Pokémon'!I37,""))</x:f>
        <x:v>72</x:v>
      </x:c>
      <x:c r="I283" s="10" t="n">
        <x:f>IF(OR(F283="Status",G283=0),"",G283+H283)</x:f>
        <x:v>102</x:v>
      </x:c>
      <x:c r="J283" s="10" t="n">
        <x:v>9</x:v>
      </x:c>
      <x:c r="K283" s="12" t="n">
        <x:v>15</x:v>
      </x:c>
      <x:c r="L283" s="1" t="str"/>
      <x:c r="M283" s="9" t="str">
        <x:v>https://poke.idleworld.online/pokepedia/pokemon/nidorino</x:v>
      </x:c>
    </x:row>
    <x:row r="284" ht="22" customHeight="1">
      <x:c r="A284" s="1" t="n">
        <x:v>33</x:v>
      </x:c>
      <x:c r="B284" s="1" t="str">
        <x:v>Nidorino</x:v>
      </x:c>
      <x:c r="C284" s="1" t="n">
        <x:v>3</x:v>
      </x:c>
      <x:c r="D284" s="1" t="str">
        <x:v>Poison Sting</x:v>
      </x:c>
      <x:c r="E284" s="1" t="str">
        <x:v>Venenoso</x:v>
      </x:c>
      <x:c r="F284" s="1" t="str">
        <x:v>Física</x:v>
      </x:c>
      <x:c r="G284" s="10" t="n">
        <x:v>15</x:v>
      </x:c>
      <x:c r="H284" s="10" t="n">
        <x:f>IF(F284="Física",'Pokémon'!G37,IF(F284="Especial",'Pokémon'!I37,""))</x:f>
        <x:v>72</x:v>
      </x:c>
      <x:c r="I284" s="10" t="n">
        <x:f>IF(OR(F284="Status",G284=0),"",G284+H284)</x:f>
        <x:v>87</x:v>
      </x:c>
      <x:c r="J284" s="10" t="n">
        <x:v>13</x:v>
      </x:c>
      <x:c r="K284" s="12" t="n">
        <x:v>15</x:v>
      </x:c>
      <x:c r="L284" s="1" t="str"/>
      <x:c r="M284" s="9" t="str">
        <x:v>https://poke.idleworld.online/pokepedia/pokemon/nidorino</x:v>
      </x:c>
    </x:row>
    <x:row r="285" ht="22" customHeight="1">
      <x:c r="A285" s="1" t="n">
        <x:v>33</x:v>
      </x:c>
      <x:c r="B285" s="1" t="str">
        <x:v>Nidorino</x:v>
      </x:c>
      <x:c r="C285" s="1" t="n">
        <x:v>4</x:v>
      </x:c>
      <x:c r="D285" s="1" t="str">
        <x:v>Fury Attack</x:v>
      </x:c>
      <x:c r="E285" s="1" t="str">
        <x:v>Normal</x:v>
      </x:c>
      <x:c r="F285" s="1" t="str">
        <x:v>Física</x:v>
      </x:c>
      <x:c r="G285" s="10" t="n">
        <x:v>15</x:v>
      </x:c>
      <x:c r="H285" s="10" t="n">
        <x:f>IF(F285="Física",'Pokémon'!G37,IF(F285="Especial",'Pokémon'!I37,""))</x:f>
        <x:v>72</x:v>
      </x:c>
      <x:c r="I285" s="10" t="n">
        <x:f>IF(OR(F285="Status",G285=0),"",G285+H285)</x:f>
        <x:v>87</x:v>
      </x:c>
      <x:c r="J285" s="10" t="n">
        <x:v>20</x:v>
      </x:c>
      <x:c r="K285" s="12" t="n">
        <x:v>15</x:v>
      </x:c>
      <x:c r="L285" s="1" t="str"/>
      <x:c r="M285" s="9" t="str">
        <x:v>https://poke.idleworld.online/pokepedia/pokemon/nidorino</x:v>
      </x:c>
    </x:row>
    <x:row r="286" ht="22" customHeight="1">
      <x:c r="A286" s="1" t="n">
        <x:v>33</x:v>
      </x:c>
      <x:c r="B286" s="1" t="str">
        <x:v>Nidorino</x:v>
      </x:c>
      <x:c r="C286" s="1" t="n">
        <x:v>6</x:v>
      </x:c>
      <x:c r="D286" s="1" t="str">
        <x:v>Toxic Spikes</x:v>
      </x:c>
      <x:c r="E286" s="1" t="str">
        <x:v>Venenoso</x:v>
      </x:c>
      <x:c r="F286" s="1" t="str">
        <x:v>Status</x:v>
      </x:c>
      <x:c r="G286" s="10" t="n">
        <x:v>0</x:v>
      </x:c>
      <x:c r="H286" s="10" t="str">
        <x:f>IF(F286="Física",'Pokémon'!G37,IF(F286="Especial",'Pokémon'!I37,""))</x:f>
      </x:c>
      <x:c r="I286" s="10" t="str">
        <x:f>IF(OR(F286="Status",G286=0),"",G286+H286)</x:f>
      </x:c>
      <x:c r="J286" s="10" t="n">
        <x:v>35</x:v>
      </x:c>
      <x:c r="K286" s="12" t="n">
        <x:v>25</x:v>
      </x:c>
      <x:c r="L286" s="1" t="str"/>
      <x:c r="M286" s="9" t="str">
        <x:v>https://poke.idleworld.online/pokepedia/pokemon/nidorino</x:v>
      </x:c>
    </x:row>
    <x:row r="287" ht="22" customHeight="1">
      <x:c r="A287" s="1" t="n">
        <x:v>34</x:v>
      </x:c>
      <x:c r="B287" s="1" t="str">
        <x:v>Nidoking</x:v>
      </x:c>
      <x:c r="C287" s="1" t="n">
        <x:v>1</x:v>
      </x:c>
      <x:c r="D287" s="1" t="str">
        <x:v>Toxic Deluge</x:v>
      </x:c>
      <x:c r="E287" s="1" t="str">
        <x:v>Venenoso</x:v>
      </x:c>
      <x:c r="F287" s="1" t="str">
        <x:v>Física</x:v>
      </x:c>
      <x:c r="G287" s="10" t="n">
        <x:v>300</x:v>
      </x:c>
      <x:c r="H287" s="10" t="n">
        <x:f>IF(F287="Física",'Pokémon'!G38,IF(F287="Especial",'Pokémon'!I38,""))</x:f>
        <x:v>102</x:v>
      </x:c>
      <x:c r="I287" s="10" t="n">
        <x:f>IF(OR(F287="Status",G287=0),"",G287+H287)</x:f>
        <x:v>402</x:v>
      </x:c>
      <x:c r="J287" s="10" t="n">
        <x:v>1</x:v>
      </x:c>
      <x:c r="K287" s="12" t="n">
        <x:v>10</x:v>
      </x:c>
      <x:c r="L287" s="1" t="str">
        <x:v>Sim</x:v>
      </x:c>
      <x:c r="M287" s="9" t="str">
        <x:v>https://poke.idleworld.online/pokepedia/pokemon/nidoking</x:v>
      </x:c>
    </x:row>
    <x:row r="288" ht="22" customHeight="1">
      <x:c r="A288" s="1" t="n">
        <x:v>34</x:v>
      </x:c>
      <x:c r="B288" s="1" t="str">
        <x:v>Nidoking</x:v>
      </x:c>
      <x:c r="C288" s="1" t="n">
        <x:v>2</x:v>
      </x:c>
      <x:c r="D288" s="1" t="str">
        <x:v>Crossing Fissure</x:v>
      </x:c>
      <x:c r="E288" s="1" t="str">
        <x:v>Terrestre</x:v>
      </x:c>
      <x:c r="F288" s="1" t="str">
        <x:v>Física</x:v>
      </x:c>
      <x:c r="G288" s="10" t="n">
        <x:v>300</x:v>
      </x:c>
      <x:c r="H288" s="10" t="n">
        <x:f>IF(F288="Física",'Pokémon'!G38,IF(F288="Especial",'Pokémon'!I38,""))</x:f>
        <x:v>102</x:v>
      </x:c>
      <x:c r="I288" s="10" t="n">
        <x:f>IF(OR(F288="Status",G288=0),"",G288+H288)</x:f>
        <x:v>402</x:v>
      </x:c>
      <x:c r="J288" s="10" t="n">
        <x:v>1</x:v>
      </x:c>
      <x:c r="K288" s="12" t="n">
        <x:v>10</x:v>
      </x:c>
      <x:c r="L288" s="1" t="str">
        <x:v>Sim</x:v>
      </x:c>
      <x:c r="M288" s="9" t="str">
        <x:v>https://poke.idleworld.online/pokepedia/pokemon/nidoking</x:v>
      </x:c>
    </x:row>
    <x:row r="289" ht="22" customHeight="1">
      <x:c r="A289" s="1" t="n">
        <x:v>34</x:v>
      </x:c>
      <x:c r="B289" s="1" t="str">
        <x:v>Nidoking</x:v>
      </x:c>
      <x:c r="C289" s="1" t="n">
        <x:v>6</x:v>
      </x:c>
      <x:c r="D289" s="1" t="str">
        <x:v>Megahorn</x:v>
      </x:c>
      <x:c r="E289" s="1" t="str">
        <x:v>Inseto</x:v>
      </x:c>
      <x:c r="F289" s="1" t="str">
        <x:v>Física</x:v>
      </x:c>
      <x:c r="G289" s="10" t="n">
        <x:v>120</x:v>
      </x:c>
      <x:c r="H289" s="10" t="n">
        <x:f>IF(F289="Física",'Pokémon'!G38,IF(F289="Especial",'Pokémon'!I38,""))</x:f>
        <x:v>102</x:v>
      </x:c>
      <x:c r="I289" s="10" t="n">
        <x:f>IF(OR(F289="Status",G289=0),"",G289+H289)</x:f>
        <x:v>222</x:v>
      </x:c>
      <x:c r="J289" s="10" t="n">
        <x:v>1</x:v>
      </x:c>
      <x:c r="K289" s="12" t="n">
        <x:v>50</x:v>
      </x:c>
      <x:c r="L289" s="1" t="str"/>
      <x:c r="M289" s="9" t="str">
        <x:v>https://poke.idleworld.online/pokepedia/pokemon/nidoking</x:v>
      </x:c>
    </x:row>
    <x:row r="290" ht="22" customHeight="1">
      <x:c r="A290" s="1" t="n">
        <x:v>34</x:v>
      </x:c>
      <x:c r="B290" s="1" t="str">
        <x:v>Nidoking</x:v>
      </x:c>
      <x:c r="C290" s="1" t="n">
        <x:v>8</x:v>
      </x:c>
      <x:c r="D290" s="1" t="str">
        <x:v>Thrash</x:v>
      </x:c>
      <x:c r="E290" s="1" t="str">
        <x:v>Normal</x:v>
      </x:c>
      <x:c r="F290" s="1" t="str">
        <x:v>Física</x:v>
      </x:c>
      <x:c r="G290" s="10" t="n">
        <x:v>120</x:v>
      </x:c>
      <x:c r="H290" s="10" t="n">
        <x:f>IF(F290="Física",'Pokémon'!G38,IF(F290="Especial",'Pokémon'!I38,""))</x:f>
        <x:v>102</x:v>
      </x:c>
      <x:c r="I290" s="10" t="n">
        <x:f>IF(OR(F290="Status",G290=0),"",G290+H290)</x:f>
        <x:v>222</x:v>
      </x:c>
      <x:c r="J290" s="10" t="n">
        <x:v>35</x:v>
      </x:c>
      <x:c r="K290" s="12" t="n">
        <x:v>50</x:v>
      </x:c>
      <x:c r="L290" s="1" t="str"/>
      <x:c r="M290" s="9" t="str">
        <x:v>https://poke.idleworld.online/pokepedia/pokemon/nidoking</x:v>
      </x:c>
    </x:row>
    <x:row r="291" ht="22" customHeight="1">
      <x:c r="A291" s="1" t="n">
        <x:v>34</x:v>
      </x:c>
      <x:c r="B291" s="1" t="str">
        <x:v>Nidoking</x:v>
      </x:c>
      <x:c r="C291" s="1" t="n">
        <x:v>9</x:v>
      </x:c>
      <x:c r="D291" s="1" t="str">
        <x:v>Earth Power</x:v>
      </x:c>
      <x:c r="E291" s="1" t="str">
        <x:v>Terrestre</x:v>
      </x:c>
      <x:c r="F291" s="1" t="str">
        <x:v>Especial</x:v>
      </x:c>
      <x:c r="G291" s="10" t="n">
        <x:v>90</x:v>
      </x:c>
      <x:c r="H291" s="10" t="n">
        <x:f>IF(F291="Física",'Pokémon'!G38,IF(F291="Especial",'Pokémon'!I38,""))</x:f>
        <x:v>85</x:v>
      </x:c>
      <x:c r="I291" s="10" t="n">
        <x:f>IF(OR(F291="Status",G291=0),"",G291+H291)</x:f>
        <x:v>175</x:v>
      </x:c>
      <x:c r="J291" s="10" t="n">
        <x:v>43</x:v>
      </x:c>
      <x:c r="K291" s="12" t="n">
        <x:v>22</x:v>
      </x:c>
      <x:c r="L291" s="1" t="str"/>
      <x:c r="M291" s="9" t="str">
        <x:v>https://poke.idleworld.online/pokepedia/pokemon/nidoking</x:v>
      </x:c>
    </x:row>
    <x:row r="292" ht="22" customHeight="1">
      <x:c r="A292" s="1" t="n">
        <x:v>34</x:v>
      </x:c>
      <x:c r="B292" s="1" t="str">
        <x:v>Nidoking</x:v>
      </x:c>
      <x:c r="C292" s="1" t="n">
        <x:v>7</x:v>
      </x:c>
      <x:c r="D292" s="1" t="str">
        <x:v>Chip Away</x:v>
      </x:c>
      <x:c r="E292" s="1" t="str">
        <x:v>Normal</x:v>
      </x:c>
      <x:c r="F292" s="1" t="str">
        <x:v>Física</x:v>
      </x:c>
      <x:c r="G292" s="10" t="n">
        <x:v>70</x:v>
      </x:c>
      <x:c r="H292" s="10" t="n">
        <x:f>IF(F292="Física",'Pokémon'!G38,IF(F292="Especial",'Pokémon'!I38,""))</x:f>
        <x:v>102</x:v>
      </x:c>
      <x:c r="I292" s="10" t="n">
        <x:f>IF(OR(F292="Status",G292=0),"",G292+H292)</x:f>
        <x:v>172</x:v>
      </x:c>
      <x:c r="J292" s="10" t="n">
        <x:v>23</x:v>
      </x:c>
      <x:c r="K292" s="12" t="n">
        <x:v>20</x:v>
      </x:c>
      <x:c r="L292" s="1" t="str"/>
      <x:c r="M292" s="9" t="str">
        <x:v>https://poke.idleworld.online/pokepedia/pokemon/nidoking</x:v>
      </x:c>
    </x:row>
    <x:row r="293" ht="22" customHeight="1">
      <x:c r="A293" s="1" t="n">
        <x:v>34</x:v>
      </x:c>
      <x:c r="B293" s="1" t="str">
        <x:v>Nidoking</x:v>
      </x:c>
      <x:c r="C293" s="1" t="n">
        <x:v>5</x:v>
      </x:c>
      <x:c r="D293" s="1" t="str">
        <x:v>Peck</x:v>
      </x:c>
      <x:c r="E293" s="1" t="str">
        <x:v>Voador</x:v>
      </x:c>
      <x:c r="F293" s="1" t="str">
        <x:v>Física</x:v>
      </x:c>
      <x:c r="G293" s="10" t="n">
        <x:v>35</x:v>
      </x:c>
      <x:c r="H293" s="10" t="n">
        <x:f>IF(F293="Física",'Pokémon'!G38,IF(F293="Especial",'Pokémon'!I38,""))</x:f>
        <x:v>102</x:v>
      </x:c>
      <x:c r="I293" s="10" t="n">
        <x:f>IF(OR(F293="Status",G293=0),"",G293+H293)</x:f>
        <x:v>137</x:v>
      </x:c>
      <x:c r="J293" s="10" t="n">
        <x:v>1</x:v>
      </x:c>
      <x:c r="K293" s="12" t="n">
        <x:v>15</x:v>
      </x:c>
      <x:c r="L293" s="1" t="str"/>
      <x:c r="M293" s="9" t="str">
        <x:v>https://poke.idleworld.online/pokepedia/pokemon/nidoking</x:v>
      </x:c>
    </x:row>
    <x:row r="294" ht="22" customHeight="1">
      <x:c r="A294" s="1" t="n">
        <x:v>34</x:v>
      </x:c>
      <x:c r="B294" s="1" t="str">
        <x:v>Nidoking</x:v>
      </x:c>
      <x:c r="C294" s="1" t="n">
        <x:v>4</x:v>
      </x:c>
      <x:c r="D294" s="1" t="str">
        <x:v>Double Kick</x:v>
      </x:c>
      <x:c r="E294" s="1" t="str">
        <x:v>Lutador</x:v>
      </x:c>
      <x:c r="F294" s="1" t="str">
        <x:v>Física</x:v>
      </x:c>
      <x:c r="G294" s="10" t="n">
        <x:v>30</x:v>
      </x:c>
      <x:c r="H294" s="10" t="n">
        <x:f>IF(F294="Física",'Pokémon'!G38,IF(F294="Especial",'Pokémon'!I38,""))</x:f>
        <x:v>102</x:v>
      </x:c>
      <x:c r="I294" s="10" t="n">
        <x:f>IF(OR(F294="Status",G294=0),"",G294+H294)</x:f>
        <x:v>132</x:v>
      </x:c>
      <x:c r="J294" s="10" t="n">
        <x:v>1</x:v>
      </x:c>
      <x:c r="K294" s="12" t="n">
        <x:v>15</x:v>
      </x:c>
      <x:c r="L294" s="1" t="str"/>
      <x:c r="M294" s="9" t="str">
        <x:v>https://poke.idleworld.online/pokepedia/pokemon/nidoking</x:v>
      </x:c>
    </x:row>
    <x:row r="295" ht="22" customHeight="1">
      <x:c r="A295" s="1" t="n">
        <x:v>34</x:v>
      </x:c>
      <x:c r="B295" s="1" t="str">
        <x:v>Nidoking</x:v>
      </x:c>
      <x:c r="C295" s="1" t="n">
        <x:v>3</x:v>
      </x:c>
      <x:c r="D295" s="1" t="str">
        <x:v>Poison Sting</x:v>
      </x:c>
      <x:c r="E295" s="1" t="str">
        <x:v>Venenoso</x:v>
      </x:c>
      <x:c r="F295" s="1" t="str">
        <x:v>Física</x:v>
      </x:c>
      <x:c r="G295" s="10" t="n">
        <x:v>15</x:v>
      </x:c>
      <x:c r="H295" s="10" t="n">
        <x:f>IF(F295="Física",'Pokémon'!G38,IF(F295="Especial",'Pokémon'!I38,""))</x:f>
        <x:v>102</x:v>
      </x:c>
      <x:c r="I295" s="10" t="n">
        <x:f>IF(OR(F295="Status",G295=0),"",G295+H295)</x:f>
        <x:v>117</x:v>
      </x:c>
      <x:c r="J295" s="10" t="n">
        <x:v>1</x:v>
      </x:c>
      <x:c r="K295" s="12" t="n">
        <x:v>15</x:v>
      </x:c>
      <x:c r="L295" s="1" t="str"/>
      <x:c r="M295" s="9" t="str">
        <x:v>https://poke.idleworld.online/pokepedia/pokemon/nidoking</x:v>
      </x:c>
    </x:row>
    <x:row r="296" ht="22" customHeight="1">
      <x:c r="A296" s="1" t="n">
        <x:v>35</x:v>
      </x:c>
      <x:c r="B296" s="1" t="str">
        <x:v>Clefairy</x:v>
      </x:c>
      <x:c r="C296" s="1" t="n">
        <x:v>10</x:v>
      </x:c>
      <x:c r="D296" s="1" t="str">
        <x:v>Moonblast</x:v>
      </x:c>
      <x:c r="E296" s="1" t="str">
        <x:v>Fada</x:v>
      </x:c>
      <x:c r="F296" s="1" t="str">
        <x:v>Especial</x:v>
      </x:c>
      <x:c r="G296" s="10" t="n">
        <x:v>95</x:v>
      </x:c>
      <x:c r="H296" s="10" t="n">
        <x:f>IF(F296="Física",'Pokémon'!G39,IF(F296="Especial",'Pokémon'!I39,""))</x:f>
        <x:v>60</x:v>
      </x:c>
      <x:c r="I296" s="10" t="n">
        <x:f>IF(OR(F296="Status",G296=0),"",G296+H296)</x:f>
        <x:v>155</x:v>
      </x:c>
      <x:c r="J296" s="10" t="n">
        <x:v>46</x:v>
      </x:c>
      <x:c r="K296" s="12" t="n">
        <x:v>40</x:v>
      </x:c>
      <x:c r="L296" s="1" t="str"/>
      <x:c r="M296" s="9" t="str">
        <x:v>https://poke.idleworld.online/pokepedia/pokemon/clefairy</x:v>
      </x:c>
    </x:row>
    <x:row r="297" ht="22" customHeight="1">
      <x:c r="A297" s="1" t="n">
        <x:v>35</x:v>
      </x:c>
      <x:c r="B297" s="1" t="str">
        <x:v>Clefairy</x:v>
      </x:c>
      <x:c r="C297" s="1" t="n">
        <x:v>11</x:v>
      </x:c>
      <x:c r="D297" s="1" t="str">
        <x:v>Meteor Mash</x:v>
      </x:c>
      <x:c r="E297" s="1" t="str">
        <x:v>Aço</x:v>
      </x:c>
      <x:c r="F297" s="1" t="str">
        <x:v>Física</x:v>
      </x:c>
      <x:c r="G297" s="10" t="n">
        <x:v>90</x:v>
      </x:c>
      <x:c r="H297" s="10" t="n">
        <x:f>IF(F297="Física",'Pokémon'!G39,IF(F297="Especial",'Pokémon'!I39,""))</x:f>
        <x:v>45</x:v>
      </x:c>
      <x:c r="I297" s="10" t="n">
        <x:f>IF(OR(F297="Status",G297=0),"",G297+H297)</x:f>
        <x:v>135</x:v>
      </x:c>
      <x:c r="J297" s="10" t="n">
        <x:v>50</x:v>
      </x:c>
      <x:c r="K297" s="12" t="n">
        <x:v>22</x:v>
      </x:c>
      <x:c r="L297" s="1" t="str"/>
      <x:c r="M297" s="9" t="str">
        <x:v>https://poke.idleworld.online/pokepedia/pokemon/clefairy</x:v>
      </x:c>
    </x:row>
    <x:row r="298" ht="22" customHeight="1">
      <x:c r="A298" s="1" t="n">
        <x:v>35</x:v>
      </x:c>
      <x:c r="B298" s="1" t="str">
        <x:v>Clefairy</x:v>
      </x:c>
      <x:c r="C298" s="1" t="n">
        <x:v>9</x:v>
      </x:c>
      <x:c r="D298" s="1" t="str">
        <x:v>Body Slam</x:v>
      </x:c>
      <x:c r="E298" s="1" t="str">
        <x:v>Normal</x:v>
      </x:c>
      <x:c r="F298" s="1" t="str">
        <x:v>Física</x:v>
      </x:c>
      <x:c r="G298" s="10" t="n">
        <x:v>85</x:v>
      </x:c>
      <x:c r="H298" s="10" t="n">
        <x:f>IF(F298="Física",'Pokémon'!G39,IF(F298="Especial",'Pokémon'!I39,""))</x:f>
        <x:v>45</x:v>
      </x:c>
      <x:c r="I298" s="10" t="n">
        <x:f>IF(OR(F298="Status",G298=0),"",G298+H298)</x:f>
        <x:v>130</x:v>
      </x:c>
      <x:c r="J298" s="10" t="n">
        <x:v>40</x:v>
      </x:c>
      <x:c r="K298" s="12" t="n">
        <x:v>30</x:v>
      </x:c>
      <x:c r="L298" s="1" t="str"/>
      <x:c r="M298" s="9" t="str">
        <x:v>https://poke.idleworld.online/pokepedia/pokemon/clefairy</x:v>
      </x:c>
    </x:row>
    <x:row r="299" ht="22" customHeight="1">
      <x:c r="A299" s="1" t="n">
        <x:v>35</x:v>
      </x:c>
      <x:c r="B299" s="1" t="str">
        <x:v>Clefairy</x:v>
      </x:c>
      <x:c r="C299" s="1" t="n">
        <x:v>6</x:v>
      </x:c>
      <x:c r="D299" s="1" t="str">
        <x:v>Wake-Up Slap</x:v>
      </x:c>
      <x:c r="E299" s="1" t="str">
        <x:v>Lutador</x:v>
      </x:c>
      <x:c r="F299" s="1" t="str">
        <x:v>Física</x:v>
      </x:c>
      <x:c r="G299" s="10" t="n">
        <x:v>70</x:v>
      </x:c>
      <x:c r="H299" s="10" t="n">
        <x:f>IF(F299="Física",'Pokémon'!G39,IF(F299="Especial",'Pokémon'!I39,""))</x:f>
        <x:v>45</x:v>
      </x:c>
      <x:c r="I299" s="10" t="n">
        <x:f>IF(OR(F299="Status",G299=0),"",G299+H299)</x:f>
        <x:v>115</x:v>
      </x:c>
      <x:c r="J299" s="10" t="n">
        <x:v>22</x:v>
      </x:c>
      <x:c r="K299" s="12" t="n">
        <x:v>20</x:v>
      </x:c>
      <x:c r="L299" s="1" t="str"/>
      <x:c r="M299" s="9" t="str">
        <x:v>https://poke.idleworld.online/pokepedia/pokemon/clefairy</x:v>
      </x:c>
    </x:row>
    <x:row r="300" ht="22" customHeight="1">
      <x:c r="A300" s="1" t="n">
        <x:v>35</x:v>
      </x:c>
      <x:c r="B300" s="1" t="str">
        <x:v>Clefairy</x:v>
      </x:c>
      <x:c r="C300" s="1" t="n">
        <x:v>2</x:v>
      </x:c>
      <x:c r="D300" s="1" t="str">
        <x:v>Disarming Voice</x:v>
      </x:c>
      <x:c r="E300" s="1" t="str">
        <x:v>Fada</x:v>
      </x:c>
      <x:c r="F300" s="1" t="str">
        <x:v>Especial</x:v>
      </x:c>
      <x:c r="G300" s="10" t="n">
        <x:v>40</x:v>
      </x:c>
      <x:c r="H300" s="10" t="n">
        <x:f>IF(F300="Física",'Pokémon'!G39,IF(F300="Especial",'Pokémon'!I39,""))</x:f>
        <x:v>60</x:v>
      </x:c>
      <x:c r="I300" s="10" t="n">
        <x:f>IF(OR(F300="Status",G300=0),"",G300+H300)</x:f>
        <x:v>100</x:v>
      </x:c>
      <x:c r="J300" s="10" t="n">
        <x:v>1</x:v>
      </x:c>
      <x:c r="K300" s="12" t="n">
        <x:v>15</x:v>
      </x:c>
      <x:c r="L300" s="1" t="str"/>
      <x:c r="M300" s="9" t="str">
        <x:v>https://poke.idleworld.online/pokepedia/pokemon/clefairy</x:v>
      </x:c>
    </x:row>
    <x:row r="301" ht="22" customHeight="1">
      <x:c r="A301" s="1" t="n">
        <x:v>35</x:v>
      </x:c>
      <x:c r="B301" s="1" t="str">
        <x:v>Clefairy</x:v>
      </x:c>
      <x:c r="C301" s="1" t="n">
        <x:v>1</x:v>
      </x:c>
      <x:c r="D301" s="1" t="str">
        <x:v>Pound</x:v>
      </x:c>
      <x:c r="E301" s="1" t="str">
        <x:v>Normal</x:v>
      </x:c>
      <x:c r="F301" s="1" t="str">
        <x:v>Física</x:v>
      </x:c>
      <x:c r="G301" s="10" t="n">
        <x:v>40</x:v>
      </x:c>
      <x:c r="H301" s="10" t="n">
        <x:f>IF(F301="Física",'Pokémon'!G39,IF(F301="Especial",'Pokémon'!I39,""))</x:f>
        <x:v>45</x:v>
      </x:c>
      <x:c r="I301" s="10" t="n">
        <x:f>IF(OR(F301="Status",G301=0),"",G301+H301)</x:f>
        <x:v>85</x:v>
      </x:c>
      <x:c r="J301" s="10" t="n">
        <x:v>1</x:v>
      </x:c>
      <x:c r="K301" s="12" t="n">
        <x:v>15</x:v>
      </x:c>
      <x:c r="L301" s="1" t="str"/>
      <x:c r="M301" s="9" t="str">
        <x:v>https://poke.idleworld.online/pokepedia/pokemon/clefairy</x:v>
      </x:c>
    </x:row>
    <x:row r="302" ht="22" customHeight="1">
      <x:c r="A302" s="1" t="n">
        <x:v>35</x:v>
      </x:c>
      <x:c r="B302" s="1" t="str">
        <x:v>Clefairy</x:v>
      </x:c>
      <x:c r="C302" s="1" t="n">
        <x:v>7</x:v>
      </x:c>
      <x:c r="D302" s="1" t="str">
        <x:v>Stored Power</x:v>
      </x:c>
      <x:c r="E302" s="1" t="str">
        <x:v>Psíquico</x:v>
      </x:c>
      <x:c r="F302" s="1" t="str">
        <x:v>Especial</x:v>
      </x:c>
      <x:c r="G302" s="10" t="n">
        <x:v>20</x:v>
      </x:c>
      <x:c r="H302" s="10" t="n">
        <x:f>IF(F302="Física",'Pokémon'!G39,IF(F302="Especial",'Pokémon'!I39,""))</x:f>
        <x:v>60</x:v>
      </x:c>
      <x:c r="I302" s="10" t="n">
        <x:f>IF(OR(F302="Status",G302=0),"",G302+H302)</x:f>
        <x:v>80</x:v>
      </x:c>
      <x:c r="J302" s="10" t="n">
        <x:v>28</x:v>
      </x:c>
      <x:c r="K302" s="12" t="n">
        <x:v>15</x:v>
      </x:c>
      <x:c r="L302" s="1" t="str"/>
      <x:c r="M302" s="9" t="str">
        <x:v>https://poke.idleworld.online/pokepedia/pokemon/clefairy</x:v>
      </x:c>
    </x:row>
    <x:row r="303" ht="22" customHeight="1">
      <x:c r="A303" s="1" t="n">
        <x:v>35</x:v>
      </x:c>
      <x:c r="B303" s="1" t="str">
        <x:v>Clefairy</x:v>
      </x:c>
      <x:c r="C303" s="1" t="n">
        <x:v>4</x:v>
      </x:c>
      <x:c r="D303" s="1" t="str">
        <x:v>Double Slap</x:v>
      </x:c>
      <x:c r="E303" s="1" t="str">
        <x:v>Normal</x:v>
      </x:c>
      <x:c r="F303" s="1" t="str">
        <x:v>Física</x:v>
      </x:c>
      <x:c r="G303" s="10" t="n">
        <x:v>15</x:v>
      </x:c>
      <x:c r="H303" s="10" t="n">
        <x:f>IF(F303="Física",'Pokémon'!G39,IF(F303="Especial",'Pokémon'!I39,""))</x:f>
        <x:v>45</x:v>
      </x:c>
      <x:c r="I303" s="10" t="n">
        <x:f>IF(OR(F303="Status",G303=0),"",G303+H303)</x:f>
        <x:v>60</x:v>
      </x:c>
      <x:c r="J303" s="10" t="n">
        <x:v>10</x:v>
      </x:c>
      <x:c r="K303" s="12" t="n">
        <x:v>5</x:v>
      </x:c>
      <x:c r="L303" s="1" t="str"/>
      <x:c r="M303" s="9" t="str">
        <x:v>https://poke.idleworld.online/pokepedia/pokemon/clefairy</x:v>
      </x:c>
    </x:row>
    <x:row r="304" ht="22" customHeight="1">
      <x:c r="A304" s="1" t="n">
        <x:v>35</x:v>
      </x:c>
      <x:c r="B304" s="1" t="str">
        <x:v>Clefairy</x:v>
      </x:c>
      <x:c r="C304" s="1" t="n">
        <x:v>3</x:v>
      </x:c>
      <x:c r="D304" s="1" t="str">
        <x:v>Sing</x:v>
      </x:c>
      <x:c r="E304" s="1" t="str">
        <x:v>Normal</x:v>
      </x:c>
      <x:c r="F304" s="1" t="str">
        <x:v>Status</x:v>
      </x:c>
      <x:c r="G304" s="10" t="n">
        <x:v>0</x:v>
      </x:c>
      <x:c r="H304" s="10" t="str">
        <x:f>IF(F304="Física",'Pokémon'!G39,IF(F304="Especial",'Pokémon'!I39,""))</x:f>
      </x:c>
      <x:c r="I304" s="10" t="str">
        <x:f>IF(OR(F304="Status",G304=0),"",G304+H304)</x:f>
      </x:c>
      <x:c r="J304" s="10" t="n">
        <x:v>7</x:v>
      </x:c>
      <x:c r="K304" s="12" t="n">
        <x:v>70</x:v>
      </x:c>
      <x:c r="L304" s="1" t="str"/>
      <x:c r="M304" s="9" t="str">
        <x:v>https://poke.idleworld.online/pokepedia/pokemon/clefairy</x:v>
      </x:c>
    </x:row>
    <x:row r="305" ht="22" customHeight="1">
      <x:c r="A305" s="1" t="n">
        <x:v>35</x:v>
      </x:c>
      <x:c r="B305" s="1" t="str">
        <x:v>Clefairy</x:v>
      </x:c>
      <x:c r="C305" s="1" t="n">
        <x:v>5</x:v>
      </x:c>
      <x:c r="D305" s="1" t="str">
        <x:v>Defense Curl</x:v>
      </x:c>
      <x:c r="E305" s="1" t="str">
        <x:v>Normal</x:v>
      </x:c>
      <x:c r="F305" s="1" t="str">
        <x:v>Status</x:v>
      </x:c>
      <x:c r="G305" s="10" t="n">
        <x:v>0</x:v>
      </x:c>
      <x:c r="H305" s="10" t="str">
        <x:f>IF(F305="Física",'Pokémon'!G39,IF(F305="Especial",'Pokémon'!I39,""))</x:f>
      </x:c>
      <x:c r="I305" s="10" t="str">
        <x:f>IF(OR(F305="Status",G305=0),"",G305+H305)</x:f>
      </x:c>
      <x:c r="J305" s="10" t="n">
        <x:v>13</x:v>
      </x:c>
      <x:c r="K305" s="12" t="n">
        <x:v>60</x:v>
      </x:c>
      <x:c r="L305" s="1" t="str"/>
      <x:c r="M305" s="9" t="str">
        <x:v>https://poke.idleworld.online/pokepedia/pokemon/clefairy</x:v>
      </x:c>
    </x:row>
    <x:row r="306" ht="22" customHeight="1">
      <x:c r="A306" s="1" t="n">
        <x:v>35</x:v>
      </x:c>
      <x:c r="B306" s="1" t="str">
        <x:v>Clefairy</x:v>
      </x:c>
      <x:c r="C306" s="1" t="n">
        <x:v>8</x:v>
      </x:c>
      <x:c r="D306" s="1" t="str">
        <x:v>Metronome</x:v>
      </x:c>
      <x:c r="E306" s="1" t="str">
        <x:v>Normal</x:v>
      </x:c>
      <x:c r="F306" s="1" t="str">
        <x:v>Status</x:v>
      </x:c>
      <x:c r="G306" s="10" t="n">
        <x:v>0</x:v>
      </x:c>
      <x:c r="H306" s="10" t="str">
        <x:f>IF(F306="Física",'Pokémon'!G39,IF(F306="Especial",'Pokémon'!I39,""))</x:f>
      </x:c>
      <x:c r="I306" s="10" t="str">
        <x:f>IF(OR(F306="Status",G306=0),"",G306+H306)</x:f>
      </x:c>
      <x:c r="J306" s="10" t="n">
        <x:v>31</x:v>
      </x:c>
      <x:c r="K306" s="12" t="n">
        <x:v>40</x:v>
      </x:c>
      <x:c r="L306" s="1" t="str"/>
      <x:c r="M306" s="9" t="str">
        <x:v>https://poke.idleworld.online/pokepedia/pokemon/clefairy</x:v>
      </x:c>
    </x:row>
    <x:row r="307" ht="22" customHeight="1">
      <x:c r="A307" s="1" t="n">
        <x:v>36</x:v>
      </x:c>
      <x:c r="B307" s="1" t="str">
        <x:v>Clefable</x:v>
      </x:c>
      <x:c r="C307" s="1" t="n">
        <x:v>3</x:v>
      </x:c>
      <x:c r="D307" s="1" t="str">
        <x:v>Disarming Voice</x:v>
      </x:c>
      <x:c r="E307" s="1" t="str">
        <x:v>Fada</x:v>
      </x:c>
      <x:c r="F307" s="1" t="str">
        <x:v>Especial</x:v>
      </x:c>
      <x:c r="G307" s="10" t="n">
        <x:v>40</x:v>
      </x:c>
      <x:c r="H307" s="10" t="n">
        <x:f>IF(F307="Física",'Pokémon'!G40,IF(F307="Especial",'Pokémon'!I40,""))</x:f>
        <x:v>95</x:v>
      </x:c>
      <x:c r="I307" s="10" t="n">
        <x:f>IF(OR(F307="Status",G307=0),"",G307+H307)</x:f>
        <x:v>135</x:v>
      </x:c>
      <x:c r="J307" s="10" t="n">
        <x:v>1</x:v>
      </x:c>
      <x:c r="K307" s="12" t="n">
        <x:v>15</x:v>
      </x:c>
      <x:c r="L307" s="1" t="str"/>
      <x:c r="M307" s="9" t="str">
        <x:v>https://poke.idleworld.online/pokepedia/pokemon/clefable</x:v>
      </x:c>
    </x:row>
    <x:row r="308" ht="22" customHeight="1">
      <x:c r="A308" s="1" t="n">
        <x:v>36</x:v>
      </x:c>
      <x:c r="B308" s="1" t="str">
        <x:v>Clefable</x:v>
      </x:c>
      <x:c r="C308" s="1" t="n">
        <x:v>1</x:v>
      </x:c>
      <x:c r="D308" s="1" t="str">
        <x:v>Doubleslap</x:v>
      </x:c>
      <x:c r="E308" s="1" t="str">
        <x:v>Normal</x:v>
      </x:c>
      <x:c r="F308" s="1" t="str">
        <x:v>Física</x:v>
      </x:c>
      <x:c r="G308" s="10" t="n">
        <x:v>15</x:v>
      </x:c>
      <x:c r="H308" s="10" t="n">
        <x:f>IF(F308="Física",'Pokémon'!G40,IF(F308="Especial",'Pokémon'!I40,""))</x:f>
        <x:v>70</x:v>
      </x:c>
      <x:c r="I308" s="10" t="n">
        <x:f>IF(OR(F308="Status",G308=0),"",G308+H308)</x:f>
        <x:v>85</x:v>
      </x:c>
      <x:c r="J308" s="10" t="n">
        <x:v>1</x:v>
      </x:c>
      <x:c r="K308" s="12" t="n">
        <x:v>5</x:v>
      </x:c>
      <x:c r="L308" s="1" t="str"/>
      <x:c r="M308" s="9" t="str">
        <x:v>https://poke.idleworld.online/pokepedia/pokemon/clefable</x:v>
      </x:c>
    </x:row>
    <x:row r="309" ht="22" customHeight="1">
      <x:c r="A309" s="1" t="n">
        <x:v>36</x:v>
      </x:c>
      <x:c r="B309" s="1" t="str">
        <x:v>Clefable</x:v>
      </x:c>
      <x:c r="C309" s="1" t="n">
        <x:v>2</x:v>
      </x:c>
      <x:c r="D309" s="1" t="str">
        <x:v>Metronome</x:v>
      </x:c>
      <x:c r="E309" s="1" t="str">
        <x:v>Normal</x:v>
      </x:c>
      <x:c r="F309" s="1" t="str">
        <x:v>Status</x:v>
      </x:c>
      <x:c r="G309" s="10" t="n">
        <x:v>0</x:v>
      </x:c>
      <x:c r="H309" s="10" t="str">
        <x:f>IF(F309="Física",'Pokémon'!G40,IF(F309="Especial",'Pokémon'!I40,""))</x:f>
      </x:c>
      <x:c r="I309" s="10" t="str">
        <x:f>IF(OR(F309="Status",G309=0),"",G309+H309)</x:f>
      </x:c>
      <x:c r="J309" s="10" t="n">
        <x:v>1</x:v>
      </x:c>
      <x:c r="K309" s="12" t="n">
        <x:v>40</x:v>
      </x:c>
      <x:c r="L309" s="1" t="str"/>
      <x:c r="M309" s="9" t="str">
        <x:v>https://poke.idleworld.online/pokepedia/pokemon/clefable</x:v>
      </x:c>
    </x:row>
    <x:row r="310" ht="22" customHeight="1">
      <x:c r="A310" s="1" t="n">
        <x:v>37</x:v>
      </x:c>
      <x:c r="B310" s="1" t="str">
        <x:v>Vulpix</x:v>
      </x:c>
      <x:c r="C310" s="1" t="n">
        <x:v>10</x:v>
      </x:c>
      <x:c r="D310" s="1" t="str">
        <x:v>Fire Blast</x:v>
      </x:c>
      <x:c r="E310" s="1" t="str">
        <x:v>Fogo</x:v>
      </x:c>
      <x:c r="F310" s="1" t="str">
        <x:v>Especial</x:v>
      </x:c>
      <x:c r="G310" s="10" t="n">
        <x:v>110</x:v>
      </x:c>
      <x:c r="H310" s="10" t="n">
        <x:f>IF(F310="Física",'Pokémon'!G41,IF(F310="Especial",'Pokémon'!I41,""))</x:f>
        <x:v>50</x:v>
      </x:c>
      <x:c r="I310" s="10" t="n">
        <x:f>IF(OR(F310="Status",G310=0),"",G310+H310)</x:f>
        <x:v>160</x:v>
      </x:c>
      <x:c r="J310" s="10" t="n">
        <x:v>42</x:v>
      </x:c>
      <x:c r="K310" s="12" t="n">
        <x:v>60</x:v>
      </x:c>
      <x:c r="L310" s="1" t="str"/>
      <x:c r="M310" s="9" t="str">
        <x:v>https://poke.idleworld.online/pokepedia/pokemon/vulpix</x:v>
      </x:c>
    </x:row>
    <x:row r="311" ht="22" customHeight="1">
      <x:c r="A311" s="1" t="n">
        <x:v>37</x:v>
      </x:c>
      <x:c r="B311" s="1" t="str">
        <x:v>Vulpix</x:v>
      </x:c>
      <x:c r="C311" s="1" t="n">
        <x:v>11</x:v>
      </x:c>
      <x:c r="D311" s="1" t="str">
        <x:v>Inferno</x:v>
      </x:c>
      <x:c r="E311" s="1" t="str">
        <x:v>Fogo</x:v>
      </x:c>
      <x:c r="F311" s="1" t="str">
        <x:v>Especial</x:v>
      </x:c>
      <x:c r="G311" s="10" t="n">
        <x:v>100</x:v>
      </x:c>
      <x:c r="H311" s="10" t="n">
        <x:f>IF(F311="Física",'Pokémon'!G41,IF(F311="Especial",'Pokémon'!I41,""))</x:f>
        <x:v>50</x:v>
      </x:c>
      <x:c r="I311" s="10" t="n">
        <x:f>IF(OR(F311="Status",G311=0),"",G311+H311)</x:f>
        <x:v>150</x:v>
      </x:c>
      <x:c r="J311" s="10" t="n">
        <x:v>50</x:v>
      </x:c>
      <x:c r="K311" s="12" t="n">
        <x:v>40</x:v>
      </x:c>
      <x:c r="L311" s="1" t="str"/>
      <x:c r="M311" s="9" t="str">
        <x:v>https://poke.idleworld.online/pokepedia/pokemon/vulpix</x:v>
      </x:c>
    </x:row>
    <x:row r="312" ht="22" customHeight="1">
      <x:c r="A312" s="1" t="n">
        <x:v>37</x:v>
      </x:c>
      <x:c r="B312" s="1" t="str">
        <x:v>Vulpix</x:v>
      </x:c>
      <x:c r="C312" s="1" t="n">
        <x:v>9</x:v>
      </x:c>
      <x:c r="D312" s="1" t="str">
        <x:v>Flamethrower</x:v>
      </x:c>
      <x:c r="E312" s="1" t="str">
        <x:v>Fogo</x:v>
      </x:c>
      <x:c r="F312" s="1" t="str">
        <x:v>Especial</x:v>
      </x:c>
      <x:c r="G312" s="10" t="n">
        <x:v>90</x:v>
      </x:c>
      <x:c r="H312" s="10" t="n">
        <x:f>IF(F312="Física",'Pokémon'!G41,IF(F312="Especial",'Pokémon'!I41,""))</x:f>
        <x:v>50</x:v>
      </x:c>
      <x:c r="I312" s="10" t="n">
        <x:f>IF(OR(F312="Status",G312=0),"",G312+H312)</x:f>
        <x:v>140</x:v>
      </x:c>
      <x:c r="J312" s="10" t="n">
        <x:v>36</x:v>
      </x:c>
      <x:c r="K312" s="12" t="n">
        <x:v>18</x:v>
      </x:c>
      <x:c r="L312" s="1" t="str"/>
      <x:c r="M312" s="9" t="str">
        <x:v>https://poke.idleworld.online/pokepedia/pokemon/vulpix</x:v>
      </x:c>
    </x:row>
    <x:row r="313" ht="22" customHeight="1">
      <x:c r="A313" s="1" t="n">
        <x:v>37</x:v>
      </x:c>
      <x:c r="B313" s="1" t="str">
        <x:v>Vulpix</x:v>
      </x:c>
      <x:c r="C313" s="1" t="n">
        <x:v>8</x:v>
      </x:c>
      <x:c r="D313" s="1" t="str">
        <x:v>Extrasensory</x:v>
      </x:c>
      <x:c r="E313" s="1" t="str">
        <x:v>Psíquico</x:v>
      </x:c>
      <x:c r="F313" s="1" t="str">
        <x:v>Especial</x:v>
      </x:c>
      <x:c r="G313" s="10" t="n">
        <x:v>80</x:v>
      </x:c>
      <x:c r="H313" s="10" t="n">
        <x:f>IF(F313="Física",'Pokémon'!G41,IF(F313="Especial",'Pokémon'!I41,""))</x:f>
        <x:v>50</x:v>
      </x:c>
      <x:c r="I313" s="10" t="n">
        <x:f>IF(OR(F313="Status",G313=0),"",G313+H313)</x:f>
        <x:v>130</x:v>
      </x:c>
      <x:c r="J313" s="10" t="n">
        <x:v>31</x:v>
      </x:c>
      <x:c r="K313" s="12" t="n">
        <x:v>22</x:v>
      </x:c>
      <x:c r="L313" s="1" t="str"/>
      <x:c r="M313" s="9" t="str">
        <x:v>https://poke.idleworld.online/pokepedia/pokemon/vulpix</x:v>
      </x:c>
    </x:row>
    <x:row r="314" ht="22" customHeight="1">
      <x:c r="A314" s="1" t="n">
        <x:v>37</x:v>
      </x:c>
      <x:c r="B314" s="1" t="str">
        <x:v>Vulpix</x:v>
      </x:c>
      <x:c r="C314" s="1" t="n">
        <x:v>7</x:v>
      </x:c>
      <x:c r="D314" s="1" t="str">
        <x:v>Flame Burst</x:v>
      </x:c>
      <x:c r="E314" s="1" t="str">
        <x:v>Fogo</x:v>
      </x:c>
      <x:c r="F314" s="1" t="str">
        <x:v>Especial</x:v>
      </x:c>
      <x:c r="G314" s="10" t="n">
        <x:v>70</x:v>
      </x:c>
      <x:c r="H314" s="10" t="n">
        <x:f>IF(F314="Física",'Pokémon'!G41,IF(F314="Especial",'Pokémon'!I41,""))</x:f>
        <x:v>50</x:v>
      </x:c>
      <x:c r="I314" s="10" t="n">
        <x:f>IF(OR(F314="Status",G314=0),"",G314+H314)</x:f>
        <x:v>120</x:v>
      </x:c>
      <x:c r="J314" s="10" t="n">
        <x:v>28</x:v>
      </x:c>
      <x:c r="K314" s="12" t="n">
        <x:v>20</x:v>
      </x:c>
      <x:c r="L314" s="1" t="str"/>
      <x:c r="M314" s="9" t="str">
        <x:v>https://poke.idleworld.online/pokepedia/pokemon/vulpix</x:v>
      </x:c>
    </x:row>
    <x:row r="315" ht="22" customHeight="1">
      <x:c r="A315" s="1" t="n">
        <x:v>37</x:v>
      </x:c>
      <x:c r="B315" s="1" t="str">
        <x:v>Vulpix</x:v>
      </x:c>
      <x:c r="C315" s="1" t="n">
        <x:v>6</x:v>
      </x:c>
      <x:c r="D315" s="1" t="str">
        <x:v>Hex</x:v>
      </x:c>
      <x:c r="E315" s="1" t="str">
        <x:v>Fantasma</x:v>
      </x:c>
      <x:c r="F315" s="1" t="str">
        <x:v>Especial</x:v>
      </x:c>
      <x:c r="G315" s="10" t="n">
        <x:v>65</x:v>
      </x:c>
      <x:c r="H315" s="10" t="n">
        <x:f>IF(F315="Física",'Pokémon'!G41,IF(F315="Especial",'Pokémon'!I41,""))</x:f>
        <x:v>50</x:v>
      </x:c>
      <x:c r="I315" s="10" t="n">
        <x:f>IF(OR(F315="Status",G315=0),"",G315+H315)</x:f>
        <x:v>115</x:v>
      </x:c>
      <x:c r="J315" s="10" t="n">
        <x:v>26</x:v>
      </x:c>
      <x:c r="K315" s="12" t="n">
        <x:v>20</x:v>
      </x:c>
      <x:c r="L315" s="1" t="str"/>
      <x:c r="M315" s="9" t="str">
        <x:v>https://poke.idleworld.online/pokepedia/pokemon/vulpix</x:v>
      </x:c>
    </x:row>
    <x:row r="316" ht="22" customHeight="1">
      <x:c r="A316" s="1" t="n">
        <x:v>37</x:v>
      </x:c>
      <x:c r="B316" s="1" t="str">
        <x:v>Vulpix</x:v>
      </x:c>
      <x:c r="C316" s="1" t="n">
        <x:v>5</x:v>
      </x:c>
      <x:c r="D316" s="1" t="str">
        <x:v>Feint Attack</x:v>
      </x:c>
      <x:c r="E316" s="1" t="str">
        <x:v>Sombrio</x:v>
      </x:c>
      <x:c r="F316" s="1" t="str">
        <x:v>Física</x:v>
      </x:c>
      <x:c r="G316" s="10" t="n">
        <x:v>60</x:v>
      </x:c>
      <x:c r="H316" s="10" t="n">
        <x:f>IF(F316="Física",'Pokémon'!G41,IF(F316="Especial",'Pokémon'!I41,""))</x:f>
        <x:v>41</x:v>
      </x:c>
      <x:c r="I316" s="10" t="n">
        <x:f>IF(OR(F316="Status",G316=0),"",G316+H316)</x:f>
        <x:v>101</x:v>
      </x:c>
      <x:c r="J316" s="10" t="n">
        <x:v>23</x:v>
      </x:c>
      <x:c r="K316" s="12" t="n">
        <x:v>20</x:v>
      </x:c>
      <x:c r="L316" s="1" t="str"/>
      <x:c r="M316" s="9" t="str">
        <x:v>https://poke.idleworld.online/pokepedia/pokemon/vulpix</x:v>
      </x:c>
    </x:row>
    <x:row r="317" ht="22" customHeight="1">
      <x:c r="A317" s="1" t="n">
        <x:v>37</x:v>
      </x:c>
      <x:c r="B317" s="1" t="str">
        <x:v>Vulpix</x:v>
      </x:c>
      <x:c r="C317" s="1" t="n">
        <x:v>4</x:v>
      </x:c>
      <x:c r="D317" s="1" t="str">
        <x:v>Payback</x:v>
      </x:c>
      <x:c r="E317" s="1" t="str">
        <x:v>Sombrio</x:v>
      </x:c>
      <x:c r="F317" s="1" t="str">
        <x:v>Física</x:v>
      </x:c>
      <x:c r="G317" s="10" t="n">
        <x:v>50</x:v>
      </x:c>
      <x:c r="H317" s="10" t="n">
        <x:f>IF(F317="Física",'Pokémon'!G41,IF(F317="Especial",'Pokémon'!I41,""))</x:f>
        <x:v>41</x:v>
      </x:c>
      <x:c r="I317" s="10" t="n">
        <x:f>IF(OR(F317="Status",G317=0),"",G317+H317)</x:f>
        <x:v>91</x:v>
      </x:c>
      <x:c r="J317" s="10" t="n">
        <x:v>18</x:v>
      </x:c>
      <x:c r="K317" s="12" t="n">
        <x:v>15</x:v>
      </x:c>
      <x:c r="L317" s="1" t="str"/>
      <x:c r="M317" s="9" t="str">
        <x:v>https://poke.idleworld.online/pokepedia/pokemon/vulpix</x:v>
      </x:c>
    </x:row>
    <x:row r="318" ht="22" customHeight="1">
      <x:c r="A318" s="1" t="n">
        <x:v>37</x:v>
      </x:c>
      <x:c r="B318" s="1" t="str">
        <x:v>Vulpix</x:v>
      </x:c>
      <x:c r="C318" s="1" t="n">
        <x:v>1</x:v>
      </x:c>
      <x:c r="D318" s="1" t="str">
        <x:v>Ember</x:v>
      </x:c>
      <x:c r="E318" s="1" t="str">
        <x:v>Fogo</x:v>
      </x:c>
      <x:c r="F318" s="1" t="str">
        <x:v>Especial</x:v>
      </x:c>
      <x:c r="G318" s="10" t="n">
        <x:v>40</x:v>
      </x:c>
      <x:c r="H318" s="10" t="n">
        <x:f>IF(F318="Física",'Pokémon'!G41,IF(F318="Especial",'Pokémon'!I41,""))</x:f>
        <x:v>50</x:v>
      </x:c>
      <x:c r="I318" s="10" t="n">
        <x:f>IF(OR(F318="Status",G318=0),"",G318+H318)</x:f>
        <x:v>90</x:v>
      </x:c>
      <x:c r="J318" s="10" t="n">
        <x:v>1</x:v>
      </x:c>
      <x:c r="K318" s="12" t="n">
        <x:v>10</x:v>
      </x:c>
      <x:c r="L318" s="1" t="str"/>
      <x:c r="M318" s="9" t="str">
        <x:v>https://poke.idleworld.online/pokepedia/pokemon/vulpix</x:v>
      </x:c>
    </x:row>
    <x:row r="319" ht="22" customHeight="1">
      <x:c r="A319" s="1" t="n">
        <x:v>37</x:v>
      </x:c>
      <x:c r="B319" s="1" t="str">
        <x:v>Vulpix</x:v>
      </x:c>
      <x:c r="C319" s="1" t="n">
        <x:v>3</x:v>
      </x:c>
      <x:c r="D319" s="1" t="str">
        <x:v>Fire Spin</x:v>
      </x:c>
      <x:c r="E319" s="1" t="str">
        <x:v>Fogo</x:v>
      </x:c>
      <x:c r="F319" s="1" t="str">
        <x:v>Especial</x:v>
      </x:c>
      <x:c r="G319" s="10" t="n">
        <x:v>35</x:v>
      </x:c>
      <x:c r="H319" s="10" t="n">
        <x:f>IF(F319="Física",'Pokémon'!G41,IF(F319="Especial",'Pokémon'!I41,""))</x:f>
        <x:v>50</x:v>
      </x:c>
      <x:c r="I319" s="10" t="n">
        <x:f>IF(OR(F319="Status",G319=0),"",G319+H319)</x:f>
        <x:v>85</x:v>
      </x:c>
      <x:c r="J319" s="10" t="n">
        <x:v>15</x:v>
      </x:c>
      <x:c r="K319" s="12" t="n">
        <x:v>15</x:v>
      </x:c>
      <x:c r="L319" s="1" t="str"/>
      <x:c r="M319" s="9" t="str">
        <x:v>https://poke.idleworld.online/pokepedia/pokemon/vulpix</x:v>
      </x:c>
    </x:row>
    <x:row r="320" ht="22" customHeight="1">
      <x:c r="A320" s="1" t="n">
        <x:v>37</x:v>
      </x:c>
      <x:c r="B320" s="1" t="str">
        <x:v>Vulpix</x:v>
      </x:c>
      <x:c r="C320" s="1" t="n">
        <x:v>2</x:v>
      </x:c>
      <x:c r="D320" s="1" t="str">
        <x:v>Quick Attack</x:v>
      </x:c>
      <x:c r="E320" s="1" t="str">
        <x:v>Normal</x:v>
      </x:c>
      <x:c r="F320" s="1" t="str">
        <x:v>Física</x:v>
      </x:c>
      <x:c r="G320" s="10" t="n">
        <x:v>40</x:v>
      </x:c>
      <x:c r="H320" s="10" t="n">
        <x:f>IF(F320="Física",'Pokémon'!G41,IF(F320="Especial",'Pokémon'!I41,""))</x:f>
        <x:v>41</x:v>
      </x:c>
      <x:c r="I320" s="10" t="n">
        <x:f>IF(OR(F320="Status",G320=0),"",G320+H320)</x:f>
        <x:v>81</x:v>
      </x:c>
      <x:c r="J320" s="10" t="n">
        <x:v>10</x:v>
      </x:c>
      <x:c r="K320" s="12" t="n">
        <x:v>10</x:v>
      </x:c>
      <x:c r="L320" s="1" t="str"/>
      <x:c r="M320" s="9" t="str">
        <x:v>https://poke.idleworld.online/pokepedia/pokemon/vulpix</x:v>
      </x:c>
    </x:row>
    <x:row r="321" ht="22" customHeight="1">
      <x:c r="A321" s="1" t="n">
        <x:v>38</x:v>
      </x:c>
      <x:c r="B321" s="1" t="str">
        <x:v>Ninetales</x:v>
      </x:c>
      <x:c r="C321" s="1" t="n">
        <x:v>3</x:v>
      </x:c>
      <x:c r="D321" s="1" t="str">
        <x:v>Ignition Point</x:v>
      </x:c>
      <x:c r="E321" s="1" t="str">
        <x:v>Fogo</x:v>
      </x:c>
      <x:c r="F321" s="1" t="str">
        <x:v>Especial</x:v>
      </x:c>
      <x:c r="G321" s="10" t="n">
        <x:v>300</x:v>
      </x:c>
      <x:c r="H321" s="10" t="n">
        <x:f>IF(F321="Física",'Pokémon'!G42,IF(F321="Especial",'Pokémon'!I42,""))</x:f>
        <x:v>81</x:v>
      </x:c>
      <x:c r="I321" s="10" t="n">
        <x:f>IF(OR(F321="Status",G321=0),"",G321+H321)</x:f>
        <x:v>381</x:v>
      </x:c>
      <x:c r="J321" s="10" t="n">
        <x:v>1</x:v>
      </x:c>
      <x:c r="K321" s="12" t="n">
        <x:v>10</x:v>
      </x:c>
      <x:c r="L321" s="1" t="str">
        <x:v>Sim</x:v>
      </x:c>
      <x:c r="M321" s="9" t="str">
        <x:v>https://poke.idleworld.online/pokepedia/pokemon/ninetales</x:v>
      </x:c>
    </x:row>
    <x:row r="322" ht="22" customHeight="1">
      <x:c r="A322" s="1" t="n">
        <x:v>38</x:v>
      </x:c>
      <x:c r="B322" s="1" t="str">
        <x:v>Ninetales</x:v>
      </x:c>
      <x:c r="C322" s="1" t="n">
        <x:v>4</x:v>
      </x:c>
      <x:c r="D322" s="1" t="str">
        <x:v>Flamethrower</x:v>
      </x:c>
      <x:c r="E322" s="1" t="str">
        <x:v>Fogo</x:v>
      </x:c>
      <x:c r="F322" s="1" t="str">
        <x:v>Especial</x:v>
      </x:c>
      <x:c r="G322" s="10" t="n">
        <x:v>90</x:v>
      </x:c>
      <x:c r="H322" s="10" t="n">
        <x:f>IF(F322="Física",'Pokémon'!G42,IF(F322="Especial",'Pokémon'!I42,""))</x:f>
        <x:v>81</x:v>
      </x:c>
      <x:c r="I322" s="10" t="n">
        <x:f>IF(OR(F322="Status",G322=0),"",G322+H322)</x:f>
        <x:v>171</x:v>
      </x:c>
      <x:c r="J322" s="10" t="n">
        <x:v>1</x:v>
      </x:c>
      <x:c r="K322" s="12" t="n">
        <x:v>22</x:v>
      </x:c>
      <x:c r="L322" s="1" t="str"/>
      <x:c r="M322" s="9" t="str">
        <x:v>https://poke.idleworld.online/pokepedia/pokemon/ninetales</x:v>
      </x:c>
    </x:row>
    <x:row r="323" ht="22" customHeight="1">
      <x:c r="A323" s="1" t="n">
        <x:v>38</x:v>
      </x:c>
      <x:c r="B323" s="1" t="str">
        <x:v>Ninetales</x:v>
      </x:c>
      <x:c r="C323" s="1" t="n">
        <x:v>2</x:v>
      </x:c>
      <x:c r="D323" s="1" t="str">
        <x:v>Quick Attack</x:v>
      </x:c>
      <x:c r="E323" s="1" t="str">
        <x:v>Normal</x:v>
      </x:c>
      <x:c r="F323" s="1" t="str">
        <x:v>Física</x:v>
      </x:c>
      <x:c r="G323" s="10" t="n">
        <x:v>40</x:v>
      </x:c>
      <x:c r="H323" s="10" t="n">
        <x:f>IF(F323="Física",'Pokémon'!G42,IF(F323="Especial",'Pokémon'!I42,""))</x:f>
        <x:v>76</x:v>
      </x:c>
      <x:c r="I323" s="10" t="n">
        <x:f>IF(OR(F323="Status",G323=0),"",G323+H323)</x:f>
        <x:v>116</x:v>
      </x:c>
      <x:c r="J323" s="10" t="n">
        <x:v>1</x:v>
      </x:c>
      <x:c r="K323" s="12" t="n">
        <x:v>10</x:v>
      </x:c>
      <x:c r="L323" s="1" t="str"/>
      <x:c r="M323" s="9" t="str">
        <x:v>https://poke.idleworld.online/pokepedia/pokemon/ninetales</x:v>
      </x:c>
    </x:row>
    <x:row r="324" ht="22" customHeight="1">
      <x:c r="A324" s="1" t="n">
        <x:v>38</x:v>
      </x:c>
      <x:c r="B324" s="1" t="str">
        <x:v>Ninetales</x:v>
      </x:c>
      <x:c r="C324" s="1" t="n">
        <x:v>1</x:v>
      </x:c>
      <x:c r="D324" s="1" t="str">
        <x:v>Nasty Plot</x:v>
      </x:c>
      <x:c r="E324" s="1" t="str">
        <x:v>Sombrio</x:v>
      </x:c>
      <x:c r="F324" s="1" t="str">
        <x:v>Status</x:v>
      </x:c>
      <x:c r="G324" s="10" t="n">
        <x:v>0</x:v>
      </x:c>
      <x:c r="H324" s="10" t="str">
        <x:f>IF(F324="Física",'Pokémon'!G42,IF(F324="Especial",'Pokémon'!I42,""))</x:f>
      </x:c>
      <x:c r="I324" s="10" t="str">
        <x:f>IF(OR(F324="Status",G324=0),"",G324+H324)</x:f>
      </x:c>
      <x:c r="J324" s="10" t="n">
        <x:v>1</x:v>
      </x:c>
      <x:c r="K324" s="12" t="n">
        <x:v>40</x:v>
      </x:c>
      <x:c r="L324" s="1" t="str"/>
      <x:c r="M324" s="9" t="str">
        <x:v>https://poke.idleworld.online/pokepedia/pokemon/ninetales</x:v>
      </x:c>
    </x:row>
    <x:row r="325" ht="22" customHeight="1">
      <x:c r="A325" s="1" t="n">
        <x:v>39</x:v>
      </x:c>
      <x:c r="B325" s="1" t="str">
        <x:v>Jigglypuff</x:v>
      </x:c>
      <x:c r="C325" s="1" t="n">
        <x:v>10</x:v>
      </x:c>
      <x:c r="D325" s="1" t="str">
        <x:v>Double-Edge</x:v>
      </x:c>
      <x:c r="E325" s="1" t="str">
        <x:v>Normal</x:v>
      </x:c>
      <x:c r="F325" s="1" t="str">
        <x:v>Física</x:v>
      </x:c>
      <x:c r="G325" s="10" t="n">
        <x:v>120</x:v>
      </x:c>
      <x:c r="H325" s="10" t="n">
        <x:f>IF(F325="Física",'Pokémon'!G43,IF(F325="Especial",'Pokémon'!I43,""))</x:f>
        <x:v>45</x:v>
      </x:c>
      <x:c r="I325" s="10" t="n">
        <x:f>IF(OR(F325="Status",G325=0),"",G325+H325)</x:f>
        <x:v>165</x:v>
      </x:c>
      <x:c r="J325" s="10" t="n">
        <x:v>49</x:v>
      </x:c>
      <x:c r="K325" s="12" t="n">
        <x:v>50</x:v>
      </x:c>
      <x:c r="L325" s="1" t="str"/>
      <x:c r="M325" s="9" t="str">
        <x:v>https://poke.idleworld.online/pokepedia/pokemon/jigglypuff</x:v>
      </x:c>
    </x:row>
    <x:row r="326" ht="22" customHeight="1">
      <x:c r="A326" s="1" t="n">
        <x:v>39</x:v>
      </x:c>
      <x:c r="B326" s="1" t="str">
        <x:v>Jigglypuff</x:v>
      </x:c>
      <x:c r="C326" s="1" t="n">
        <x:v>9</x:v>
      </x:c>
      <x:c r="D326" s="1" t="str">
        <x:v>Hyper Voice</x:v>
      </x:c>
      <x:c r="E326" s="1" t="str">
        <x:v>Normal</x:v>
      </x:c>
      <x:c r="F326" s="1" t="str">
        <x:v>Especial</x:v>
      </x:c>
      <x:c r="G326" s="10" t="n">
        <x:v>90</x:v>
      </x:c>
      <x:c r="H326" s="10" t="n">
        <x:f>IF(F326="Física",'Pokémon'!G43,IF(F326="Especial",'Pokémon'!I43,""))</x:f>
        <x:v>45</x:v>
      </x:c>
      <x:c r="I326" s="10" t="n">
        <x:f>IF(OR(F326="Status",G326=0),"",G326+H326)</x:f>
        <x:v>135</x:v>
      </x:c>
      <x:c r="J326" s="10" t="n">
        <x:v>44</x:v>
      </x:c>
      <x:c r="K326" s="12" t="n">
        <x:v>22</x:v>
      </x:c>
      <x:c r="L326" s="1" t="str"/>
      <x:c r="M326" s="9" t="str">
        <x:v>https://poke.idleworld.online/pokepedia/pokemon/jigglypuff</x:v>
      </x:c>
    </x:row>
    <x:row r="327" ht="22" customHeight="1">
      <x:c r="A327" s="1" t="n">
        <x:v>39</x:v>
      </x:c>
      <x:c r="B327" s="1" t="str">
        <x:v>Jigglypuff</x:v>
      </x:c>
      <x:c r="C327" s="1" t="n">
        <x:v>8</x:v>
      </x:c>
      <x:c r="D327" s="1" t="str">
        <x:v>Body Slam</x:v>
      </x:c>
      <x:c r="E327" s="1" t="str">
        <x:v>Normal</x:v>
      </x:c>
      <x:c r="F327" s="1" t="str">
        <x:v>Física</x:v>
      </x:c>
      <x:c r="G327" s="10" t="n">
        <x:v>85</x:v>
      </x:c>
      <x:c r="H327" s="10" t="n">
        <x:f>IF(F327="Física",'Pokémon'!G43,IF(F327="Especial",'Pokémon'!I43,""))</x:f>
        <x:v>45</x:v>
      </x:c>
      <x:c r="I327" s="10" t="n">
        <x:f>IF(OR(F327="Status",G327=0),"",G327+H327)</x:f>
        <x:v>130</x:v>
      </x:c>
      <x:c r="J327" s="10" t="n">
        <x:v>35</x:v>
      </x:c>
      <x:c r="K327" s="12" t="n">
        <x:v>22</x:v>
      </x:c>
      <x:c r="L327" s="1" t="str"/>
      <x:c r="M327" s="9" t="str">
        <x:v>https://poke.idleworld.online/pokepedia/pokemon/jigglypuff</x:v>
      </x:c>
    </x:row>
    <x:row r="328" ht="22" customHeight="1">
      <x:c r="A328" s="1" t="n">
        <x:v>39</x:v>
      </x:c>
      <x:c r="B328" s="1" t="str">
        <x:v>Jigglypuff</x:v>
      </x:c>
      <x:c r="C328" s="1" t="n">
        <x:v>7</x:v>
      </x:c>
      <x:c r="D328" s="1" t="str">
        <x:v>Wake-Up Slap</x:v>
      </x:c>
      <x:c r="E328" s="1" t="str">
        <x:v>Lutador</x:v>
      </x:c>
      <x:c r="F328" s="1" t="str">
        <x:v>Física</x:v>
      </x:c>
      <x:c r="G328" s="10" t="n">
        <x:v>70</x:v>
      </x:c>
      <x:c r="H328" s="10" t="n">
        <x:f>IF(F328="Física",'Pokémon'!G43,IF(F328="Especial",'Pokémon'!I43,""))</x:f>
        <x:v>45</x:v>
      </x:c>
      <x:c r="I328" s="10" t="n">
        <x:f>IF(OR(F328="Status",G328=0),"",G328+H328)</x:f>
        <x:v>115</x:v>
      </x:c>
      <x:c r="J328" s="10" t="n">
        <x:v>28</x:v>
      </x:c>
      <x:c r="K328" s="12" t="n">
        <x:v>20</x:v>
      </x:c>
      <x:c r="L328" s="1" t="str"/>
      <x:c r="M328" s="9" t="str">
        <x:v>https://poke.idleworld.online/pokepedia/pokemon/jigglypuff</x:v>
      </x:c>
    </x:row>
    <x:row r="329" ht="22" customHeight="1">
      <x:c r="A329" s="1" t="n">
        <x:v>39</x:v>
      </x:c>
      <x:c r="B329" s="1" t="str">
        <x:v>Jigglypuff</x:v>
      </x:c>
      <x:c r="C329" s="1" t="n">
        <x:v>6</x:v>
      </x:c>
      <x:c r="D329" s="1" t="str">
        <x:v>Round</x:v>
      </x:c>
      <x:c r="E329" s="1" t="str">
        <x:v>Normal</x:v>
      </x:c>
      <x:c r="F329" s="1" t="str">
        <x:v>Especial</x:v>
      </x:c>
      <x:c r="G329" s="10" t="n">
        <x:v>60</x:v>
      </x:c>
      <x:c r="H329" s="10" t="n">
        <x:f>IF(F329="Física",'Pokémon'!G43,IF(F329="Especial",'Pokémon'!I43,""))</x:f>
        <x:v>45</x:v>
      </x:c>
      <x:c r="I329" s="10" t="n">
        <x:f>IF(OR(F329="Status",G329=0),"",G329+H329)</x:f>
        <x:v>105</x:v>
      </x:c>
      <x:c r="J329" s="10" t="n">
        <x:v>24</x:v>
      </x:c>
      <x:c r="K329" s="12" t="n">
        <x:v>20</x:v>
      </x:c>
      <x:c r="L329" s="1" t="str"/>
      <x:c r="M329" s="9" t="str">
        <x:v>https://poke.idleworld.online/pokepedia/pokemon/jigglypuff</x:v>
      </x:c>
    </x:row>
    <x:row r="330" ht="22" customHeight="1">
      <x:c r="A330" s="1" t="n">
        <x:v>39</x:v>
      </x:c>
      <x:c r="B330" s="1" t="str">
        <x:v>Jigglypuff</x:v>
      </x:c>
      <x:c r="C330" s="1" t="n">
        <x:v>2</x:v>
      </x:c>
      <x:c r="D330" s="1" t="str">
        <x:v>Pound</x:v>
      </x:c>
      <x:c r="E330" s="1" t="str">
        <x:v>Normal</x:v>
      </x:c>
      <x:c r="F330" s="1" t="str">
        <x:v>Física</x:v>
      </x:c>
      <x:c r="G330" s="10" t="n">
        <x:v>40</x:v>
      </x:c>
      <x:c r="H330" s="10" t="n">
        <x:f>IF(F330="Física",'Pokémon'!G43,IF(F330="Especial",'Pokémon'!I43,""))</x:f>
        <x:v>45</x:v>
      </x:c>
      <x:c r="I330" s="10" t="n">
        <x:f>IF(OR(F330="Status",G330=0),"",G330+H330)</x:f>
        <x:v>85</x:v>
      </x:c>
      <x:c r="J330" s="10" t="n">
        <x:v>5</x:v>
      </x:c>
      <x:c r="K330" s="12" t="n">
        <x:v>15</x:v>
      </x:c>
      <x:c r="L330" s="1" t="str"/>
      <x:c r="M330" s="9" t="str">
        <x:v>https://poke.idleworld.online/pokepedia/pokemon/jigglypuff</x:v>
      </x:c>
    </x:row>
    <x:row r="331" ht="22" customHeight="1">
      <x:c r="A331" s="1" t="n">
        <x:v>39</x:v>
      </x:c>
      <x:c r="B331" s="1" t="str">
        <x:v>Jigglypuff</x:v>
      </x:c>
      <x:c r="C331" s="1" t="n">
        <x:v>3</x:v>
      </x:c>
      <x:c r="D331" s="1" t="str">
        <x:v>Disarming Voice</x:v>
      </x:c>
      <x:c r="E331" s="1" t="str">
        <x:v>Fada</x:v>
      </x:c>
      <x:c r="F331" s="1" t="str">
        <x:v>Especial</x:v>
      </x:c>
      <x:c r="G331" s="10" t="n">
        <x:v>40</x:v>
      </x:c>
      <x:c r="H331" s="10" t="n">
        <x:f>IF(F331="Física",'Pokémon'!G43,IF(F331="Especial",'Pokémon'!I43,""))</x:f>
        <x:v>45</x:v>
      </x:c>
      <x:c r="I331" s="10" t="n">
        <x:f>IF(OR(F331="Status",G331=0),"",G331+H331)</x:f>
        <x:v>85</x:v>
      </x:c>
      <x:c r="J331" s="10" t="n">
        <x:v>11</x:v>
      </x:c>
      <x:c r="K331" s="12" t="n">
        <x:v>25</x:v>
      </x:c>
      <x:c r="L331" s="1" t="str"/>
      <x:c r="M331" s="9" t="str">
        <x:v>https://poke.idleworld.online/pokepedia/pokemon/jigglypuff</x:v>
      </x:c>
    </x:row>
    <x:row r="332" ht="22" customHeight="1">
      <x:c r="A332" s="1" t="n">
        <x:v>39</x:v>
      </x:c>
      <x:c r="B332" s="1" t="str">
        <x:v>Jigglypuff</x:v>
      </x:c>
      <x:c r="C332" s="1" t="n">
        <x:v>5</x:v>
      </x:c>
      <x:c r="D332" s="1" t="str">
        <x:v>Rollout</x:v>
      </x:c>
      <x:c r="E332" s="1" t="str">
        <x:v>Pedra</x:v>
      </x:c>
      <x:c r="F332" s="1" t="str">
        <x:v>Física</x:v>
      </x:c>
      <x:c r="G332" s="10" t="n">
        <x:v>30</x:v>
      </x:c>
      <x:c r="H332" s="10" t="n">
        <x:f>IF(F332="Física",'Pokémon'!G43,IF(F332="Especial",'Pokémon'!I43,""))</x:f>
        <x:v>45</x:v>
      </x:c>
      <x:c r="I332" s="10" t="n">
        <x:f>IF(OR(F332="Status",G332=0),"",G332+H332)</x:f>
        <x:v>75</x:v>
      </x:c>
      <x:c r="J332" s="10" t="n">
        <x:v>21</x:v>
      </x:c>
      <x:c r="K332" s="12" t="n">
        <x:v>15</x:v>
      </x:c>
      <x:c r="L332" s="1" t="str"/>
      <x:c r="M332" s="9" t="str">
        <x:v>https://poke.idleworld.online/pokepedia/pokemon/jigglypuff</x:v>
      </x:c>
    </x:row>
    <x:row r="333" ht="22" customHeight="1">
      <x:c r="A333" s="1" t="n">
        <x:v>39</x:v>
      </x:c>
      <x:c r="B333" s="1" t="str">
        <x:v>Jigglypuff</x:v>
      </x:c>
      <x:c r="C333" s="1" t="n">
        <x:v>4</x:v>
      </x:c>
      <x:c r="D333" s="1" t="str">
        <x:v>Double Slap</x:v>
      </x:c>
      <x:c r="E333" s="1" t="str">
        <x:v>Normal</x:v>
      </x:c>
      <x:c r="F333" s="1" t="str">
        <x:v>Física</x:v>
      </x:c>
      <x:c r="G333" s="10" t="n">
        <x:v>15</x:v>
      </x:c>
      <x:c r="H333" s="10" t="n">
        <x:f>IF(F333="Física",'Pokémon'!G43,IF(F333="Especial",'Pokémon'!I43,""))</x:f>
        <x:v>45</x:v>
      </x:c>
      <x:c r="I333" s="10" t="n">
        <x:f>IF(OR(F333="Status",G333=0),"",G333+H333)</x:f>
        <x:v>60</x:v>
      </x:c>
      <x:c r="J333" s="10" t="n">
        <x:v>18</x:v>
      </x:c>
      <x:c r="K333" s="12" t="n">
        <x:v>15</x:v>
      </x:c>
      <x:c r="L333" s="1" t="str"/>
      <x:c r="M333" s="9" t="str">
        <x:v>https://poke.idleworld.online/pokepedia/pokemon/jigglypuff</x:v>
      </x:c>
    </x:row>
    <x:row r="334" ht="22" customHeight="1">
      <x:c r="A334" s="1" t="n">
        <x:v>39</x:v>
      </x:c>
      <x:c r="B334" s="1" t="str">
        <x:v>Jigglypuff</x:v>
      </x:c>
      <x:c r="C334" s="1" t="n">
        <x:v>1</x:v>
      </x:c>
      <x:c r="D334" s="1" t="str">
        <x:v>Sing</x:v>
      </x:c>
      <x:c r="E334" s="1" t="str">
        <x:v>Normal</x:v>
      </x:c>
      <x:c r="F334" s="1" t="str">
        <x:v>Status</x:v>
      </x:c>
      <x:c r="G334" s="10" t="n">
        <x:v>0</x:v>
      </x:c>
      <x:c r="H334" s="10" t="str">
        <x:f>IF(F334="Física",'Pokémon'!G43,IF(F334="Especial",'Pokémon'!I43,""))</x:f>
      </x:c>
      <x:c r="I334" s="10" t="str">
        <x:f>IF(OR(F334="Status",G334=0),"",G334+H334)</x:f>
      </x:c>
      <x:c r="J334" s="10" t="n">
        <x:v>1</x:v>
      </x:c>
      <x:c r="K334" s="12" t="n">
        <x:v>70</x:v>
      </x:c>
      <x:c r="L334" s="1" t="str"/>
      <x:c r="M334" s="9" t="str">
        <x:v>https://poke.idleworld.online/pokepedia/pokemon/jigglypuff</x:v>
      </x:c>
    </x:row>
    <x:row r="335" ht="22" customHeight="1">
      <x:c r="A335" s="1" t="n">
        <x:v>40</x:v>
      </x:c>
      <x:c r="B335" s="1" t="str">
        <x:v>Wigglytuff</x:v>
      </x:c>
      <x:c r="C335" s="1" t="n">
        <x:v>5</x:v>
      </x:c>
      <x:c r="D335" s="1" t="str">
        <x:v>Double-Edge</x:v>
      </x:c>
      <x:c r="E335" s="1" t="str">
        <x:v>Normal</x:v>
      </x:c>
      <x:c r="F335" s="1" t="str">
        <x:v>Física</x:v>
      </x:c>
      <x:c r="G335" s="10" t="n">
        <x:v>120</x:v>
      </x:c>
      <x:c r="H335" s="10" t="n">
        <x:f>IF(F335="Física",'Pokémon'!G44,IF(F335="Especial",'Pokémon'!I44,""))</x:f>
        <x:v>70</x:v>
      </x:c>
      <x:c r="I335" s="10" t="n">
        <x:f>IF(OR(F335="Status",G335=0),"",G335+H335)</x:f>
        <x:v>190</x:v>
      </x:c>
      <x:c r="J335" s="10" t="n">
        <x:v>1</x:v>
      </x:c>
      <x:c r="K335" s="12" t="n">
        <x:v>50</x:v>
      </x:c>
      <x:c r="L335" s="1" t="str"/>
      <x:c r="M335" s="9" t="str">
        <x:v>https://poke.idleworld.online/pokepedia/pokemon/wigglytuff</x:v>
      </x:c>
    </x:row>
    <x:row r="336" ht="22" customHeight="1">
      <x:c r="A336" s="1" t="n">
        <x:v>40</x:v>
      </x:c>
      <x:c r="B336" s="1" t="str">
        <x:v>Wigglytuff</x:v>
      </x:c>
      <x:c r="C336" s="1" t="n">
        <x:v>3</x:v>
      </x:c>
      <x:c r="D336" s="1" t="str">
        <x:v>Play Rough</x:v>
      </x:c>
      <x:c r="E336" s="1" t="str">
        <x:v>Fada</x:v>
      </x:c>
      <x:c r="F336" s="1" t="str">
        <x:v>Física</x:v>
      </x:c>
      <x:c r="G336" s="10" t="n">
        <x:v>90</x:v>
      </x:c>
      <x:c r="H336" s="10" t="n">
        <x:f>IF(F336="Física",'Pokémon'!G44,IF(F336="Especial",'Pokémon'!I44,""))</x:f>
        <x:v>70</x:v>
      </x:c>
      <x:c r="I336" s="10" t="n">
        <x:f>IF(OR(F336="Status",G336=0),"",G336+H336)</x:f>
        <x:v>160</x:v>
      </x:c>
      <x:c r="J336" s="10" t="n">
        <x:v>1</x:v>
      </x:c>
      <x:c r="K336" s="12" t="n">
        <x:v>15</x:v>
      </x:c>
      <x:c r="L336" s="1" t="str"/>
      <x:c r="M336" s="9" t="str">
        <x:v>https://poke.idleworld.online/pokepedia/pokemon/wigglytuff</x:v>
      </x:c>
    </x:row>
    <x:row r="337" ht="22" customHeight="1">
      <x:c r="A337" s="1" t="n">
        <x:v>40</x:v>
      </x:c>
      <x:c r="B337" s="1" t="str">
        <x:v>Wigglytuff</x:v>
      </x:c>
      <x:c r="C337" s="1" t="n">
        <x:v>4</x:v>
      </x:c>
      <x:c r="D337" s="1" t="str">
        <x:v>Double Slap</x:v>
      </x:c>
      <x:c r="E337" s="1" t="str">
        <x:v>Normal</x:v>
      </x:c>
      <x:c r="F337" s="1" t="str">
        <x:v>Física</x:v>
      </x:c>
      <x:c r="G337" s="10" t="n">
        <x:v>15</x:v>
      </x:c>
      <x:c r="H337" s="10" t="n">
        <x:f>IF(F337="Física",'Pokémon'!G44,IF(F337="Especial",'Pokémon'!I44,""))</x:f>
        <x:v>70</x:v>
      </x:c>
      <x:c r="I337" s="10" t="n">
        <x:f>IF(OR(F337="Status",G337=0),"",G337+H337)</x:f>
        <x:v>85</x:v>
      </x:c>
      <x:c r="J337" s="10" t="n">
        <x:v>1</x:v>
      </x:c>
      <x:c r="K337" s="12" t="n">
        <x:v>15</x:v>
      </x:c>
      <x:c r="L337" s="1" t="str"/>
      <x:c r="M337" s="9" t="str">
        <x:v>https://poke.idleworld.online/pokepedia/pokemon/wigglytuff</x:v>
      </x:c>
    </x:row>
    <x:row r="338" ht="22" customHeight="1">
      <x:c r="A338" s="1" t="n">
        <x:v>40</x:v>
      </x:c>
      <x:c r="B338" s="1" t="str">
        <x:v>Wigglytuff</x:v>
      </x:c>
      <x:c r="C338" s="1" t="n">
        <x:v>1</x:v>
      </x:c>
      <x:c r="D338" s="1" t="str">
        <x:v>Defense Curl</x:v>
      </x:c>
      <x:c r="E338" s="1" t="str">
        <x:v>Normal</x:v>
      </x:c>
      <x:c r="F338" s="1" t="str">
        <x:v>Status</x:v>
      </x:c>
      <x:c r="G338" s="10" t="n">
        <x:v>0</x:v>
      </x:c>
      <x:c r="H338" s="10" t="str">
        <x:f>IF(F338="Física",'Pokémon'!G44,IF(F338="Especial",'Pokémon'!I44,""))</x:f>
      </x:c>
      <x:c r="I338" s="10" t="str">
        <x:f>IF(OR(F338="Status",G338=0),"",G338+H338)</x:f>
      </x:c>
      <x:c r="J338" s="10" t="n">
        <x:v>1</x:v>
      </x:c>
      <x:c r="K338" s="12" t="n">
        <x:v>60</x:v>
      </x:c>
      <x:c r="L338" s="1" t="str"/>
      <x:c r="M338" s="9" t="str">
        <x:v>https://poke.idleworld.online/pokepedia/pokemon/wigglytuff</x:v>
      </x:c>
    </x:row>
    <x:row r="339" ht="22" customHeight="1">
      <x:c r="A339" s="1" t="n">
        <x:v>40</x:v>
      </x:c>
      <x:c r="B339" s="1" t="str">
        <x:v>Wigglytuff</x:v>
      </x:c>
      <x:c r="C339" s="1" t="n">
        <x:v>2</x:v>
      </x:c>
      <x:c r="D339" s="1" t="str">
        <x:v>Sing</x:v>
      </x:c>
      <x:c r="E339" s="1" t="str">
        <x:v>Normal</x:v>
      </x:c>
      <x:c r="F339" s="1" t="str">
        <x:v>Status</x:v>
      </x:c>
      <x:c r="G339" s="10" t="n">
        <x:v>0</x:v>
      </x:c>
      <x:c r="H339" s="10" t="str">
        <x:f>IF(F339="Física",'Pokémon'!G44,IF(F339="Especial",'Pokémon'!I44,""))</x:f>
      </x:c>
      <x:c r="I339" s="10" t="str">
        <x:f>IF(OR(F339="Status",G339=0),"",G339+H339)</x:f>
      </x:c>
      <x:c r="J339" s="10" t="n">
        <x:v>1</x:v>
      </x:c>
      <x:c r="K339" s="12" t="n">
        <x:v>70</x:v>
      </x:c>
      <x:c r="L339" s="1" t="str"/>
      <x:c r="M339" s="9" t="str">
        <x:v>https://poke.idleworld.online/pokepedia/pokemon/wigglytuff</x:v>
      </x:c>
    </x:row>
    <x:row r="340" ht="22" customHeight="1">
      <x:c r="A340" s="1" t="n">
        <x:v>41</x:v>
      </x:c>
      <x:c r="B340" s="1" t="str">
        <x:v>Zubat</x:v>
      </x:c>
      <x:c r="C340" s="1" t="n">
        <x:v>11</x:v>
      </x:c>
      <x:c r="D340" s="1" t="str">
        <x:v>Air Slash</x:v>
      </x:c>
      <x:c r="E340" s="1" t="str">
        <x:v>Voador</x:v>
      </x:c>
      <x:c r="F340" s="1" t="str">
        <x:v>Especial</x:v>
      </x:c>
      <x:c r="G340" s="10" t="n">
        <x:v>75</x:v>
      </x:c>
      <x:c r="H340" s="10" t="n">
        <x:f>IF(F340="Física",'Pokémon'!G45,IF(F340="Especial",'Pokémon'!I45,""))</x:f>
        <x:v>30</x:v>
      </x:c>
      <x:c r="I340" s="10" t="n">
        <x:f>IF(OR(F340="Status",G340=0),"",G340+H340)</x:f>
        <x:v>105</x:v>
      </x:c>
      <x:c r="J340" s="10" t="n">
        <x:v>41</x:v>
      </x:c>
      <x:c r="K340" s="12" t="n">
        <x:v>22</x:v>
      </x:c>
      <x:c r="L340" s="1" t="str"/>
      <x:c r="M340" s="9" t="str">
        <x:v>https://poke.idleworld.online/pokepedia/pokemon/zubat</x:v>
      </x:c>
    </x:row>
    <x:row r="341" ht="22" customHeight="1">
      <x:c r="A341" s="1" t="n">
        <x:v>41</x:v>
      </x:c>
      <x:c r="B341" s="1" t="str">
        <x:v>Zubat</x:v>
      </x:c>
      <x:c r="C341" s="1" t="n">
        <x:v>4</x:v>
      </x:c>
      <x:c r="D341" s="1" t="str">
        <x:v>Bite</x:v>
      </x:c>
      <x:c r="E341" s="1" t="str">
        <x:v>Sombrio</x:v>
      </x:c>
      <x:c r="F341" s="1" t="str">
        <x:v>Física</x:v>
      </x:c>
      <x:c r="G341" s="10" t="n">
        <x:v>60</x:v>
      </x:c>
      <x:c r="H341" s="10" t="n">
        <x:f>IF(F341="Física",'Pokémon'!G45,IF(F341="Especial",'Pokémon'!I45,""))</x:f>
        <x:v>45</x:v>
      </x:c>
      <x:c r="I341" s="10" t="n">
        <x:f>IF(OR(F341="Status",G341=0),"",G341+H341)</x:f>
        <x:v>105</x:v>
      </x:c>
      <x:c r="J341" s="10" t="n">
        <x:v>11</x:v>
      </x:c>
      <x:c r="K341" s="12" t="n">
        <x:v>15</x:v>
      </x:c>
      <x:c r="L341" s="1" t="str"/>
      <x:c r="M341" s="9" t="str">
        <x:v>https://poke.idleworld.online/pokepedia/pokemon/zubat</x:v>
      </x:c>
    </x:row>
    <x:row r="342" ht="22" customHeight="1">
      <x:c r="A342" s="1" t="n">
        <x:v>41</x:v>
      </x:c>
      <x:c r="B342" s="1" t="str">
        <x:v>Zubat</x:v>
      </x:c>
      <x:c r="C342" s="1" t="n">
        <x:v>5</x:v>
      </x:c>
      <x:c r="D342" s="1" t="str">
        <x:v>Wing Attack</x:v>
      </x:c>
      <x:c r="E342" s="1" t="str">
        <x:v>Voador</x:v>
      </x:c>
      <x:c r="F342" s="1" t="str">
        <x:v>Física</x:v>
      </x:c>
      <x:c r="G342" s="10" t="n">
        <x:v>60</x:v>
      </x:c>
      <x:c r="H342" s="10" t="n">
        <x:f>IF(F342="Física",'Pokémon'!G45,IF(F342="Especial",'Pokémon'!I45,""))</x:f>
        <x:v>45</x:v>
      </x:c>
      <x:c r="I342" s="10" t="n">
        <x:f>IF(OR(F342="Status",G342=0),"",G342+H342)</x:f>
        <x:v>105</x:v>
      </x:c>
      <x:c r="J342" s="10" t="n">
        <x:v>13</x:v>
      </x:c>
      <x:c r="K342" s="12" t="n">
        <x:v>20</x:v>
      </x:c>
      <x:c r="L342" s="1" t="str"/>
      <x:c r="M342" s="9" t="str">
        <x:v>https://poke.idleworld.online/pokepedia/pokemon/zubat</x:v>
      </x:c>
    </x:row>
    <x:row r="343" ht="22" customHeight="1">
      <x:c r="A343" s="1" t="n">
        <x:v>41</x:v>
      </x:c>
      <x:c r="B343" s="1" t="str">
        <x:v>Zubat</x:v>
      </x:c>
      <x:c r="C343" s="1" t="n">
        <x:v>9</x:v>
      </x:c>
      <x:c r="D343" s="1" t="str">
        <x:v>Acrobatics</x:v>
      </x:c>
      <x:c r="E343" s="1" t="str">
        <x:v>Voador</x:v>
      </x:c>
      <x:c r="F343" s="1" t="str">
        <x:v>Física</x:v>
      </x:c>
      <x:c r="G343" s="10" t="n">
        <x:v>55</x:v>
      </x:c>
      <x:c r="H343" s="10" t="n">
        <x:f>IF(F343="Física",'Pokémon'!G45,IF(F343="Especial",'Pokémon'!I45,""))</x:f>
        <x:v>45</x:v>
      </x:c>
      <x:c r="I343" s="10" t="n">
        <x:f>IF(OR(F343="Status",G343=0),"",G343+H343)</x:f>
        <x:v>100</x:v>
      </x:c>
      <x:c r="J343" s="10" t="n">
        <x:v>31</x:v>
      </x:c>
      <x:c r="K343" s="12" t="n">
        <x:v>20</x:v>
      </x:c>
      <x:c r="L343" s="1" t="str"/>
      <x:c r="M343" s="9" t="str">
        <x:v>https://poke.idleworld.online/pokepedia/pokemon/zubat</x:v>
      </x:c>
    </x:row>
    <x:row r="344" ht="22" customHeight="1">
      <x:c r="A344" s="1" t="n">
        <x:v>41</x:v>
      </x:c>
      <x:c r="B344" s="1" t="str">
        <x:v>Zubat</x:v>
      </x:c>
      <x:c r="C344" s="1" t="n">
        <x:v>10</x:v>
      </x:c>
      <x:c r="D344" s="1" t="str">
        <x:v>Venoshock</x:v>
      </x:c>
      <x:c r="E344" s="1" t="str">
        <x:v>Venenoso</x:v>
      </x:c>
      <x:c r="F344" s="1" t="str">
        <x:v>Especial</x:v>
      </x:c>
      <x:c r="G344" s="10" t="n">
        <x:v>65</x:v>
      </x:c>
      <x:c r="H344" s="10" t="n">
        <x:f>IF(F344="Física",'Pokémon'!G45,IF(F344="Especial",'Pokémon'!I45,""))</x:f>
        <x:v>30</x:v>
      </x:c>
      <x:c r="I344" s="10" t="n">
        <x:f>IF(OR(F344="Status",G344=0),"",G344+H344)</x:f>
        <x:v>95</x:v>
      </x:c>
      <x:c r="J344" s="10" t="n">
        <x:v>37</x:v>
      </x:c>
      <x:c r="K344" s="12" t="n">
        <x:v>20</x:v>
      </x:c>
      <x:c r="L344" s="1" t="str"/>
      <x:c r="M344" s="9" t="str">
        <x:v>https://poke.idleworld.online/pokepedia/pokemon/zubat</x:v>
      </x:c>
    </x:row>
    <x:row r="345" ht="22" customHeight="1">
      <x:c r="A345" s="1" t="n">
        <x:v>41</x:v>
      </x:c>
      <x:c r="B345" s="1" t="str">
        <x:v>Zubat</x:v>
      </x:c>
      <x:c r="C345" s="1" t="n">
        <x:v>8</x:v>
      </x:c>
      <x:c r="D345" s="1" t="str">
        <x:v>Poison Fang</x:v>
      </x:c>
      <x:c r="E345" s="1" t="str">
        <x:v>Venenoso</x:v>
      </x:c>
      <x:c r="F345" s="1" t="str">
        <x:v>Física</x:v>
      </x:c>
      <x:c r="G345" s="10" t="n">
        <x:v>50</x:v>
      </x:c>
      <x:c r="H345" s="10" t="n">
        <x:f>IF(F345="Física",'Pokémon'!G45,IF(F345="Especial",'Pokémon'!I45,""))</x:f>
        <x:v>45</x:v>
      </x:c>
      <x:c r="I345" s="10" t="n">
        <x:f>IF(OR(F345="Status",G345=0),"",G345+H345)</x:f>
        <x:v>95</x:v>
      </x:c>
      <x:c r="J345" s="10" t="n">
        <x:v>25</x:v>
      </x:c>
      <x:c r="K345" s="12" t="n">
        <x:v>10</x:v>
      </x:c>
      <x:c r="L345" s="1" t="str"/>
      <x:c r="M345" s="9" t="str">
        <x:v>https://poke.idleworld.online/pokepedia/pokemon/zubat</x:v>
      </x:c>
    </x:row>
    <x:row r="346" ht="22" customHeight="1">
      <x:c r="A346" s="1" t="n">
        <x:v>41</x:v>
      </x:c>
      <x:c r="B346" s="1" t="str">
        <x:v>Zubat</x:v>
      </x:c>
      <x:c r="C346" s="1" t="n">
        <x:v>6</x:v>
      </x:c>
      <x:c r="D346" s="1" t="str">
        <x:v>Air Cutter</x:v>
      </x:c>
      <x:c r="E346" s="1" t="str">
        <x:v>Voador</x:v>
      </x:c>
      <x:c r="F346" s="1" t="str">
        <x:v>Especial</x:v>
      </x:c>
      <x:c r="G346" s="10" t="n">
        <x:v>60</x:v>
      </x:c>
      <x:c r="H346" s="10" t="n">
        <x:f>IF(F346="Física",'Pokémon'!G45,IF(F346="Especial",'Pokémon'!I45,""))</x:f>
        <x:v>30</x:v>
      </x:c>
      <x:c r="I346" s="10" t="n">
        <x:f>IF(OR(F346="Status",G346=0),"",G346+H346)</x:f>
        <x:v>90</x:v>
      </x:c>
      <x:c r="J346" s="10" t="n">
        <x:v>19</x:v>
      </x:c>
      <x:c r="K346" s="12" t="n">
        <x:v>20</x:v>
      </x:c>
      <x:c r="L346" s="1" t="str"/>
      <x:c r="M346" s="9" t="str">
        <x:v>https://poke.idleworld.online/pokepedia/pokemon/zubat</x:v>
      </x:c>
    </x:row>
    <x:row r="347" ht="22" customHeight="1">
      <x:c r="A347" s="1" t="n">
        <x:v>41</x:v>
      </x:c>
      <x:c r="B347" s="1" t="str">
        <x:v>Zubat</x:v>
      </x:c>
      <x:c r="C347" s="1" t="n">
        <x:v>7</x:v>
      </x:c>
      <x:c r="D347" s="1" t="str">
        <x:v>Swift</x:v>
      </x:c>
      <x:c r="E347" s="1" t="str">
        <x:v>Normal</x:v>
      </x:c>
      <x:c r="F347" s="1" t="str">
        <x:v>Especial</x:v>
      </x:c>
      <x:c r="G347" s="10" t="n">
        <x:v>60</x:v>
      </x:c>
      <x:c r="H347" s="10" t="n">
        <x:f>IF(F347="Física",'Pokémon'!G45,IF(F347="Especial",'Pokémon'!I45,""))</x:f>
        <x:v>30</x:v>
      </x:c>
      <x:c r="I347" s="10" t="n">
        <x:f>IF(OR(F347="Status",G347=0),"",G347+H347)</x:f>
        <x:v>90</x:v>
      </x:c>
      <x:c r="J347" s="10" t="n">
        <x:v>23</x:v>
      </x:c>
      <x:c r="K347" s="12" t="n">
        <x:v>20</x:v>
      </x:c>
      <x:c r="L347" s="1" t="str"/>
      <x:c r="M347" s="9" t="str">
        <x:v>https://poke.idleworld.online/pokepedia/pokemon/zubat</x:v>
      </x:c>
    </x:row>
    <x:row r="348" ht="22" customHeight="1">
      <x:c r="A348" s="1" t="n">
        <x:v>41</x:v>
      </x:c>
      <x:c r="B348" s="1" t="str">
        <x:v>Zubat</x:v>
      </x:c>
      <x:c r="C348" s="1" t="n">
        <x:v>3</x:v>
      </x:c>
      <x:c r="D348" s="1" t="str">
        <x:v>Astonish</x:v>
      </x:c>
      <x:c r="E348" s="1" t="str">
        <x:v>Fantasma</x:v>
      </x:c>
      <x:c r="F348" s="1" t="str">
        <x:v>Física</x:v>
      </x:c>
      <x:c r="G348" s="10" t="n">
        <x:v>30</x:v>
      </x:c>
      <x:c r="H348" s="10" t="n">
        <x:f>IF(F348="Física",'Pokémon'!G45,IF(F348="Especial",'Pokémon'!I45,""))</x:f>
        <x:v>45</x:v>
      </x:c>
      <x:c r="I348" s="10" t="n">
        <x:f>IF(OR(F348="Status",G348=0),"",G348+H348)</x:f>
        <x:v>75</x:v>
      </x:c>
      <x:c r="J348" s="10" t="n">
        <x:v>7</x:v>
      </x:c>
      <x:c r="K348" s="12" t="n">
        <x:v>15</x:v>
      </x:c>
      <x:c r="L348" s="1" t="str"/>
      <x:c r="M348" s="9" t="str">
        <x:v>https://poke.idleworld.online/pokepedia/pokemon/zubat</x:v>
      </x:c>
    </x:row>
    <x:row r="349" ht="22" customHeight="1">
      <x:c r="A349" s="1" t="n">
        <x:v>41</x:v>
      </x:c>
      <x:c r="B349" s="1" t="str">
        <x:v>Zubat</x:v>
      </x:c>
      <x:c r="C349" s="1" t="n">
        <x:v>1</x:v>
      </x:c>
      <x:c r="D349" s="1" t="str">
        <x:v>Leech Life</x:v>
      </x:c>
      <x:c r="E349" s="1" t="str">
        <x:v>Inseto</x:v>
      </x:c>
      <x:c r="F349" s="1" t="str">
        <x:v>Física</x:v>
      </x:c>
      <x:c r="G349" s="10" t="n">
        <x:v>20</x:v>
      </x:c>
      <x:c r="H349" s="10" t="n">
        <x:f>IF(F349="Física",'Pokémon'!G45,IF(F349="Especial",'Pokémon'!I45,""))</x:f>
        <x:v>45</x:v>
      </x:c>
      <x:c r="I349" s="10" t="n">
        <x:f>IF(OR(F349="Status",G349=0),"",G349+H349)</x:f>
        <x:v>65</x:v>
      </x:c>
      <x:c r="J349" s="10" t="n">
        <x:v>1</x:v>
      </x:c>
      <x:c r="K349" s="12" t="n">
        <x:v>15</x:v>
      </x:c>
      <x:c r="L349" s="1" t="str"/>
      <x:c r="M349" s="9" t="str">
        <x:v>https://poke.idleworld.online/pokepedia/pokemon/zubat</x:v>
      </x:c>
    </x:row>
    <x:row r="350" ht="22" customHeight="1">
      <x:c r="A350" s="1" t="n">
        <x:v>41</x:v>
      </x:c>
      <x:c r="B350" s="1" t="str">
        <x:v>Zubat</x:v>
      </x:c>
      <x:c r="C350" s="1" t="n">
        <x:v>2</x:v>
      </x:c>
      <x:c r="D350" s="1" t="str">
        <x:v>Super Sonic</x:v>
      </x:c>
      <x:c r="E350" s="1" t="str">
        <x:v>Normal</x:v>
      </x:c>
      <x:c r="F350" s="1" t="str">
        <x:v>Status</x:v>
      </x:c>
      <x:c r="G350" s="10" t="n">
        <x:v>0</x:v>
      </x:c>
      <x:c r="H350" s="10" t="str">
        <x:f>IF(F350="Física",'Pokémon'!G45,IF(F350="Especial",'Pokémon'!I45,""))</x:f>
      </x:c>
      <x:c r="I350" s="10" t="str">
        <x:f>IF(OR(F350="Status",G350=0),"",G350+H350)</x:f>
      </x:c>
      <x:c r="J350" s="10" t="n">
        <x:v>5</x:v>
      </x:c>
      <x:c r="K350" s="12" t="n">
        <x:v>30</x:v>
      </x:c>
      <x:c r="L350" s="1" t="str"/>
      <x:c r="M350" s="9" t="str">
        <x:v>https://poke.idleworld.online/pokepedia/pokemon/zubat</x:v>
      </x:c>
    </x:row>
    <x:row r="351" ht="22" customHeight="1">
      <x:c r="A351" s="1" t="n">
        <x:v>42</x:v>
      </x:c>
      <x:c r="B351" s="1" t="str">
        <x:v>Golbat</x:v>
      </x:c>
      <x:c r="C351" s="1" t="n">
        <x:v>11</x:v>
      </x:c>
      <x:c r="D351" s="1" t="str">
        <x:v>Air Slash</x:v>
      </x:c>
      <x:c r="E351" s="1" t="str">
        <x:v>Voador</x:v>
      </x:c>
      <x:c r="F351" s="1" t="str">
        <x:v>Especial</x:v>
      </x:c>
      <x:c r="G351" s="10" t="n">
        <x:v>75</x:v>
      </x:c>
      <x:c r="H351" s="10" t="n">
        <x:f>IF(F351="Física",'Pokémon'!G46,IF(F351="Especial",'Pokémon'!I46,""))</x:f>
        <x:v>65</x:v>
      </x:c>
      <x:c r="I351" s="10" t="n">
        <x:f>IF(OR(F351="Status",G351=0),"",G351+H351)</x:f>
        <x:v>140</x:v>
      </x:c>
      <x:c r="J351" s="10" t="n">
        <x:v>48</x:v>
      </x:c>
      <x:c r="K351" s="12" t="n">
        <x:v>22</x:v>
      </x:c>
      <x:c r="L351" s="1" t="str"/>
      <x:c r="M351" s="9" t="str">
        <x:v>https://poke.idleworld.online/pokepedia/pokemon/golbat</x:v>
      </x:c>
    </x:row>
    <x:row r="352" ht="22" customHeight="1">
      <x:c r="A352" s="1" t="n">
        <x:v>42</x:v>
      </x:c>
      <x:c r="B352" s="1" t="str">
        <x:v>Golbat</x:v>
      </x:c>
      <x:c r="C352" s="1" t="n">
        <x:v>2</x:v>
      </x:c>
      <x:c r="D352" s="1" t="str">
        <x:v>Bite</x:v>
      </x:c>
      <x:c r="E352" s="1" t="str">
        <x:v>Sombrio</x:v>
      </x:c>
      <x:c r="F352" s="1" t="str">
        <x:v>Física</x:v>
      </x:c>
      <x:c r="G352" s="10" t="n">
        <x:v>60</x:v>
      </x:c>
      <x:c r="H352" s="10" t="n">
        <x:f>IF(F352="Física",'Pokémon'!G46,IF(F352="Especial",'Pokémon'!I46,""))</x:f>
        <x:v>80</x:v>
      </x:c>
      <x:c r="I352" s="10" t="n">
        <x:f>IF(OR(F352="Status",G352=0),"",G352+H352)</x:f>
        <x:v>140</x:v>
      </x:c>
      <x:c r="J352" s="10" t="n">
        <x:v>1</x:v>
      </x:c>
      <x:c r="K352" s="12" t="n">
        <x:v>15</x:v>
      </x:c>
      <x:c r="L352" s="1" t="str"/>
      <x:c r="M352" s="9" t="str">
        <x:v>https://poke.idleworld.online/pokepedia/pokemon/golbat</x:v>
      </x:c>
    </x:row>
    <x:row r="353" ht="22" customHeight="1">
      <x:c r="A353" s="1" t="n">
        <x:v>42</x:v>
      </x:c>
      <x:c r="B353" s="1" t="str">
        <x:v>Golbat</x:v>
      </x:c>
      <x:c r="C353" s="1" t="n">
        <x:v>5</x:v>
      </x:c>
      <x:c r="D353" s="1" t="str">
        <x:v>Wing Attack</x:v>
      </x:c>
      <x:c r="E353" s="1" t="str">
        <x:v>Voador</x:v>
      </x:c>
      <x:c r="F353" s="1" t="str">
        <x:v>Física</x:v>
      </x:c>
      <x:c r="G353" s="10" t="n">
        <x:v>60</x:v>
      </x:c>
      <x:c r="H353" s="10" t="n">
        <x:f>IF(F353="Física",'Pokémon'!G46,IF(F353="Especial",'Pokémon'!I46,""))</x:f>
        <x:v>80</x:v>
      </x:c>
      <x:c r="I353" s="10" t="n">
        <x:f>IF(OR(F353="Status",G353=0),"",G353+H353)</x:f>
        <x:v>140</x:v>
      </x:c>
      <x:c r="J353" s="10" t="n">
        <x:v>13</x:v>
      </x:c>
      <x:c r="K353" s="12" t="n">
        <x:v>35</x:v>
      </x:c>
      <x:c r="L353" s="1" t="str"/>
      <x:c r="M353" s="9" t="str">
        <x:v>https://poke.idleworld.online/pokepedia/pokemon/golbat</x:v>
      </x:c>
    </x:row>
    <x:row r="354" ht="22" customHeight="1">
      <x:c r="A354" s="1" t="n">
        <x:v>42</x:v>
      </x:c>
      <x:c r="B354" s="1" t="str">
        <x:v>Golbat</x:v>
      </x:c>
      <x:c r="C354" s="1" t="n">
        <x:v>9</x:v>
      </x:c>
      <x:c r="D354" s="1" t="str">
        <x:v>Acrobatics</x:v>
      </x:c>
      <x:c r="E354" s="1" t="str">
        <x:v>Voador</x:v>
      </x:c>
      <x:c r="F354" s="1" t="str">
        <x:v>Física</x:v>
      </x:c>
      <x:c r="G354" s="10" t="n">
        <x:v>55</x:v>
      </x:c>
      <x:c r="H354" s="10" t="n">
        <x:f>IF(F354="Física",'Pokémon'!G46,IF(F354="Especial",'Pokémon'!I46,""))</x:f>
        <x:v>80</x:v>
      </x:c>
      <x:c r="I354" s="10" t="n">
        <x:f>IF(OR(F354="Status",G354=0),"",G354+H354)</x:f>
        <x:v>135</x:v>
      </x:c>
      <x:c r="J354" s="10" t="n">
        <x:v>35</x:v>
      </x:c>
      <x:c r="K354" s="12" t="n">
        <x:v>20</x:v>
      </x:c>
      <x:c r="L354" s="1" t="str"/>
      <x:c r="M354" s="9" t="str">
        <x:v>https://poke.idleworld.online/pokepedia/pokemon/golbat</x:v>
      </x:c>
    </x:row>
    <x:row r="355" ht="22" customHeight="1">
      <x:c r="A355" s="1" t="n">
        <x:v>42</x:v>
      </x:c>
      <x:c r="B355" s="1" t="str">
        <x:v>Golbat</x:v>
      </x:c>
      <x:c r="C355" s="1" t="n">
        <x:v>10</x:v>
      </x:c>
      <x:c r="D355" s="1" t="str">
        <x:v>Venoshock</x:v>
      </x:c>
      <x:c r="E355" s="1" t="str">
        <x:v>Venenoso</x:v>
      </x:c>
      <x:c r="F355" s="1" t="str">
        <x:v>Especial</x:v>
      </x:c>
      <x:c r="G355" s="10" t="n">
        <x:v>65</x:v>
      </x:c>
      <x:c r="H355" s="10" t="n">
        <x:f>IF(F355="Física",'Pokémon'!G46,IF(F355="Especial",'Pokémon'!I46,""))</x:f>
        <x:v>65</x:v>
      </x:c>
      <x:c r="I355" s="10" t="n">
        <x:f>IF(OR(F355="Status",G355=0),"",G355+H355)</x:f>
        <x:v>130</x:v>
      </x:c>
      <x:c r="J355" s="10" t="n">
        <x:v>43</x:v>
      </x:c>
      <x:c r="K355" s="12" t="n">
        <x:v>20</x:v>
      </x:c>
      <x:c r="L355" s="1" t="str"/>
      <x:c r="M355" s="9" t="str">
        <x:v>https://poke.idleworld.online/pokepedia/pokemon/golbat</x:v>
      </x:c>
    </x:row>
    <x:row r="356" ht="22" customHeight="1">
      <x:c r="A356" s="1" t="n">
        <x:v>42</x:v>
      </x:c>
      <x:c r="B356" s="1" t="str">
        <x:v>Golbat</x:v>
      </x:c>
      <x:c r="C356" s="1" t="n">
        <x:v>8</x:v>
      </x:c>
      <x:c r="D356" s="1" t="str">
        <x:v>Poison Fang</x:v>
      </x:c>
      <x:c r="E356" s="1" t="str">
        <x:v>Venenoso</x:v>
      </x:c>
      <x:c r="F356" s="1" t="str">
        <x:v>Física</x:v>
      </x:c>
      <x:c r="G356" s="10" t="n">
        <x:v>50</x:v>
      </x:c>
      <x:c r="H356" s="10" t="n">
        <x:f>IF(F356="Física",'Pokémon'!G46,IF(F356="Especial",'Pokémon'!I46,""))</x:f>
        <x:v>80</x:v>
      </x:c>
      <x:c r="I356" s="10" t="n">
        <x:f>IF(OR(F356="Status",G356=0),"",G356+H356)</x:f>
        <x:v>130</x:v>
      </x:c>
      <x:c r="J356" s="10" t="n">
        <x:v>27</x:v>
      </x:c>
      <x:c r="K356" s="12" t="n">
        <x:v>10</x:v>
      </x:c>
      <x:c r="L356" s="1" t="str"/>
      <x:c r="M356" s="9" t="str">
        <x:v>https://poke.idleworld.online/pokepedia/pokemon/golbat</x:v>
      </x:c>
    </x:row>
    <x:row r="357" ht="22" customHeight="1">
      <x:c r="A357" s="1" t="n">
        <x:v>42</x:v>
      </x:c>
      <x:c r="B357" s="1" t="str">
        <x:v>Golbat</x:v>
      </x:c>
      <x:c r="C357" s="1" t="n">
        <x:v>6</x:v>
      </x:c>
      <x:c r="D357" s="1" t="str">
        <x:v>Air Cutter</x:v>
      </x:c>
      <x:c r="E357" s="1" t="str">
        <x:v>Voador</x:v>
      </x:c>
      <x:c r="F357" s="1" t="str">
        <x:v>Especial</x:v>
      </x:c>
      <x:c r="G357" s="10" t="n">
        <x:v>60</x:v>
      </x:c>
      <x:c r="H357" s="10" t="n">
        <x:f>IF(F357="Física",'Pokémon'!G46,IF(F357="Especial",'Pokémon'!I46,""))</x:f>
        <x:v>65</x:v>
      </x:c>
      <x:c r="I357" s="10" t="n">
        <x:f>IF(OR(F357="Status",G357=0),"",G357+H357)</x:f>
        <x:v>125</x:v>
      </x:c>
      <x:c r="J357" s="10" t="n">
        <x:v>19</x:v>
      </x:c>
      <x:c r="K357" s="12" t="n">
        <x:v>25</x:v>
      </x:c>
      <x:c r="L357" s="1" t="str"/>
      <x:c r="M357" s="9" t="str">
        <x:v>https://poke.idleworld.online/pokepedia/pokemon/golbat</x:v>
      </x:c>
    </x:row>
    <x:row r="358" ht="22" customHeight="1">
      <x:c r="A358" s="1" t="n">
        <x:v>42</x:v>
      </x:c>
      <x:c r="B358" s="1" t="str">
        <x:v>Golbat</x:v>
      </x:c>
      <x:c r="C358" s="1" t="n">
        <x:v>7</x:v>
      </x:c>
      <x:c r="D358" s="1" t="str">
        <x:v>Swift</x:v>
      </x:c>
      <x:c r="E358" s="1" t="str">
        <x:v>Normal</x:v>
      </x:c>
      <x:c r="F358" s="1" t="str">
        <x:v>Especial</x:v>
      </x:c>
      <x:c r="G358" s="10" t="n">
        <x:v>60</x:v>
      </x:c>
      <x:c r="H358" s="10" t="n">
        <x:f>IF(F358="Física",'Pokémon'!G46,IF(F358="Especial",'Pokémon'!I46,""))</x:f>
        <x:v>65</x:v>
      </x:c>
      <x:c r="I358" s="10" t="n">
        <x:f>IF(OR(F358="Status",G358=0),"",G358+H358)</x:f>
        <x:v>125</x:v>
      </x:c>
      <x:c r="J358" s="10" t="n">
        <x:v>24</x:v>
      </x:c>
      <x:c r="K358" s="12" t="n">
        <x:v>20</x:v>
      </x:c>
      <x:c r="L358" s="1" t="str"/>
      <x:c r="M358" s="9" t="str">
        <x:v>https://poke.idleworld.online/pokepedia/pokemon/golbat</x:v>
      </x:c>
    </x:row>
    <x:row r="359" ht="22" customHeight="1">
      <x:c r="A359" s="1" t="n">
        <x:v>42</x:v>
      </x:c>
      <x:c r="B359" s="1" t="str">
        <x:v>Golbat</x:v>
      </x:c>
      <x:c r="C359" s="1" t="n">
        <x:v>4</x:v>
      </x:c>
      <x:c r="D359" s="1" t="str">
        <x:v>Astonish</x:v>
      </x:c>
      <x:c r="E359" s="1" t="str">
        <x:v>Fantasma</x:v>
      </x:c>
      <x:c r="F359" s="1" t="str">
        <x:v>Física</x:v>
      </x:c>
      <x:c r="G359" s="10" t="n">
        <x:v>30</x:v>
      </x:c>
      <x:c r="H359" s="10" t="n">
        <x:f>IF(F359="Física",'Pokémon'!G46,IF(F359="Especial",'Pokémon'!I46,""))</x:f>
        <x:v>80</x:v>
      </x:c>
      <x:c r="I359" s="10" t="n">
        <x:f>IF(OR(F359="Status",G359=0),"",G359+H359)</x:f>
        <x:v>110</x:v>
      </x:c>
      <x:c r="J359" s="10" t="n">
        <x:v>1</x:v>
      </x:c>
      <x:c r="K359" s="12" t="n">
        <x:v>15</x:v>
      </x:c>
      <x:c r="L359" s="1" t="str"/>
      <x:c r="M359" s="9" t="str">
        <x:v>https://poke.idleworld.online/pokepedia/pokemon/golbat</x:v>
      </x:c>
    </x:row>
    <x:row r="360" ht="22" customHeight="1">
      <x:c r="A360" s="1" t="n">
        <x:v>42</x:v>
      </x:c>
      <x:c r="B360" s="1" t="str">
        <x:v>Golbat</x:v>
      </x:c>
      <x:c r="C360" s="1" t="n">
        <x:v>3</x:v>
      </x:c>
      <x:c r="D360" s="1" t="str">
        <x:v>Leech Life</x:v>
      </x:c>
      <x:c r="E360" s="1" t="str">
        <x:v>Inseto</x:v>
      </x:c>
      <x:c r="F360" s="1" t="str">
        <x:v>Física</x:v>
      </x:c>
      <x:c r="G360" s="10" t="n">
        <x:v>20</x:v>
      </x:c>
      <x:c r="H360" s="10" t="n">
        <x:f>IF(F360="Física",'Pokémon'!G46,IF(F360="Especial",'Pokémon'!I46,""))</x:f>
        <x:v>80</x:v>
      </x:c>
      <x:c r="I360" s="10" t="n">
        <x:f>IF(OR(F360="Status",G360=0),"",G360+H360)</x:f>
        <x:v>100</x:v>
      </x:c>
      <x:c r="J360" s="10" t="n">
        <x:v>1</x:v>
      </x:c>
      <x:c r="K360" s="12" t="n">
        <x:v>15</x:v>
      </x:c>
      <x:c r="L360" s="1" t="str"/>
      <x:c r="M360" s="9" t="str">
        <x:v>https://poke.idleworld.online/pokepedia/pokemon/golbat</x:v>
      </x:c>
    </x:row>
    <x:row r="361" ht="22" customHeight="1">
      <x:c r="A361" s="1" t="n">
        <x:v>42</x:v>
      </x:c>
      <x:c r="B361" s="1" t="str">
        <x:v>Golbat</x:v>
      </x:c>
      <x:c r="C361" s="1" t="n">
        <x:v>1</x:v>
      </x:c>
      <x:c r="D361" s="1" t="str">
        <x:v>Super Sonic</x:v>
      </x:c>
      <x:c r="E361" s="1" t="str">
        <x:v>Normal</x:v>
      </x:c>
      <x:c r="F361" s="1" t="str">
        <x:v>Status</x:v>
      </x:c>
      <x:c r="G361" s="10" t="n">
        <x:v>0</x:v>
      </x:c>
      <x:c r="H361" s="10" t="str">
        <x:f>IF(F361="Física",'Pokémon'!G46,IF(F361="Especial",'Pokémon'!I46,""))</x:f>
      </x:c>
      <x:c r="I361" s="10" t="str">
        <x:f>IF(OR(F361="Status",G361=0),"",G361+H361)</x:f>
      </x:c>
      <x:c r="J361" s="10" t="n">
        <x:v>1</x:v>
      </x:c>
      <x:c r="K361" s="12" t="n">
        <x:v>30</x:v>
      </x:c>
      <x:c r="L361" s="1" t="str"/>
      <x:c r="M361" s="9" t="str">
        <x:v>https://poke.idleworld.online/pokepedia/pokemon/golbat</x:v>
      </x:c>
    </x:row>
    <x:row r="362" ht="22" customHeight="1">
      <x:c r="A362" s="1" t="n">
        <x:v>43</x:v>
      </x:c>
      <x:c r="B362" s="1" t="str">
        <x:v>Oddish</x:v>
      </x:c>
      <x:c r="C362" s="1" t="n">
        <x:v>9</x:v>
      </x:c>
      <x:c r="D362" s="1" t="str">
        <x:v>Petal Dance</x:v>
      </x:c>
      <x:c r="E362" s="1" t="str">
        <x:v>Planta</x:v>
      </x:c>
      <x:c r="F362" s="1" t="str">
        <x:v>Especial</x:v>
      </x:c>
      <x:c r="G362" s="10" t="n">
        <x:v>120</x:v>
      </x:c>
      <x:c r="H362" s="10" t="n">
        <x:f>IF(F362="Física",'Pokémon'!G47,IF(F362="Especial",'Pokémon'!I47,""))</x:f>
        <x:v>75</x:v>
      </x:c>
      <x:c r="I362" s="10" t="n">
        <x:f>IF(OR(F362="Status",G362=0),"",G362+H362)</x:f>
        <x:v>195</x:v>
      </x:c>
      <x:c r="J362" s="10" t="n">
        <x:v>51</x:v>
      </x:c>
      <x:c r="K362" s="12" t="n">
        <x:v>50</x:v>
      </x:c>
      <x:c r="L362" s="1" t="str"/>
      <x:c r="M362" s="9" t="str">
        <x:v>https://poke.idleworld.online/pokepedia/pokemon/oddish</x:v>
      </x:c>
    </x:row>
    <x:row r="363" ht="22" customHeight="1">
      <x:c r="A363" s="1" t="n">
        <x:v>43</x:v>
      </x:c>
      <x:c r="B363" s="1" t="str">
        <x:v>Oddish</x:v>
      </x:c>
      <x:c r="C363" s="1" t="n">
        <x:v>8</x:v>
      </x:c>
      <x:c r="D363" s="1" t="str">
        <x:v>Moonblast</x:v>
      </x:c>
      <x:c r="E363" s="1" t="str">
        <x:v>Fada</x:v>
      </x:c>
      <x:c r="F363" s="1" t="str">
        <x:v>Especial</x:v>
      </x:c>
      <x:c r="G363" s="10" t="n">
        <x:v>95</x:v>
      </x:c>
      <x:c r="H363" s="10" t="n">
        <x:f>IF(F363="Física",'Pokémon'!G47,IF(F363="Especial",'Pokémon'!I47,""))</x:f>
        <x:v>75</x:v>
      </x:c>
      <x:c r="I363" s="10" t="n">
        <x:f>IF(OR(F363="Status",G363=0),"",G363+H363)</x:f>
        <x:v>170</x:v>
      </x:c>
      <x:c r="J363" s="10" t="n">
        <x:v>43</x:v>
      </x:c>
      <x:c r="K363" s="12" t="n">
        <x:v>40</x:v>
      </x:c>
      <x:c r="L363" s="1" t="str"/>
      <x:c r="M363" s="9" t="str">
        <x:v>https://poke.idleworld.online/pokepedia/pokemon/oddish</x:v>
      </x:c>
    </x:row>
    <x:row r="364" ht="22" customHeight="1">
      <x:c r="A364" s="1" t="n">
        <x:v>43</x:v>
      </x:c>
      <x:c r="B364" s="1" t="str">
        <x:v>Oddish</x:v>
      </x:c>
      <x:c r="C364" s="1" t="n">
        <x:v>7</x:v>
      </x:c>
      <x:c r="D364" s="1" t="str">
        <x:v>Giga Drain</x:v>
      </x:c>
      <x:c r="E364" s="1" t="str">
        <x:v>Planta</x:v>
      </x:c>
      <x:c r="F364" s="1" t="str">
        <x:v>Especial</x:v>
      </x:c>
      <x:c r="G364" s="10" t="n">
        <x:v>75</x:v>
      </x:c>
      <x:c r="H364" s="10" t="n">
        <x:f>IF(F364="Física",'Pokémon'!G47,IF(F364="Especial",'Pokémon'!I47,""))</x:f>
        <x:v>75</x:v>
      </x:c>
      <x:c r="I364" s="10" t="n">
        <x:f>IF(OR(F364="Status",G364=0),"",G364+H364)</x:f>
        <x:v>150</x:v>
      </x:c>
      <x:c r="J364" s="10" t="n">
        <x:v>31</x:v>
      </x:c>
      <x:c r="K364" s="12" t="n">
        <x:v>22</x:v>
      </x:c>
      <x:c r="L364" s="1" t="str"/>
      <x:c r="M364" s="9" t="str">
        <x:v>https://poke.idleworld.online/pokepedia/pokemon/oddish</x:v>
      </x:c>
    </x:row>
    <x:row r="365" ht="22" customHeight="1">
      <x:c r="A365" s="1" t="n">
        <x:v>43</x:v>
      </x:c>
      <x:c r="B365" s="1" t="str">
        <x:v>Oddish</x:v>
      </x:c>
      <x:c r="C365" s="1" t="n">
        <x:v>2</x:v>
      </x:c>
      <x:c r="D365" s="1" t="str">
        <x:v>Acid</x:v>
      </x:c>
      <x:c r="E365" s="1" t="str">
        <x:v>Venenoso</x:v>
      </x:c>
      <x:c r="F365" s="1" t="str">
        <x:v>Especial</x:v>
      </x:c>
      <x:c r="G365" s="10" t="n">
        <x:v>40</x:v>
      </x:c>
      <x:c r="H365" s="10" t="n">
        <x:f>IF(F365="Física",'Pokémon'!G47,IF(F365="Especial",'Pokémon'!I47,""))</x:f>
        <x:v>75</x:v>
      </x:c>
      <x:c r="I365" s="10" t="n">
        <x:f>IF(OR(F365="Status",G365=0),"",G365+H365)</x:f>
        <x:v>115</x:v>
      </x:c>
      <x:c r="J365" s="10" t="n">
        <x:v>9</x:v>
      </x:c>
      <x:c r="K365" s="12" t="n">
        <x:v>10</x:v>
      </x:c>
      <x:c r="L365" s="1" t="str"/>
      <x:c r="M365" s="9" t="str">
        <x:v>https://poke.idleworld.online/pokepedia/pokemon/oddish</x:v>
      </x:c>
    </x:row>
    <x:row r="366" ht="22" customHeight="1">
      <x:c r="A366" s="1" t="n">
        <x:v>43</x:v>
      </x:c>
      <x:c r="B366" s="1" t="str">
        <x:v>Oddish</x:v>
      </x:c>
      <x:c r="C366" s="1" t="n">
        <x:v>6</x:v>
      </x:c>
      <x:c r="D366" s="1" t="str">
        <x:v>Mega Drain</x:v>
      </x:c>
      <x:c r="E366" s="1" t="str">
        <x:v>Planta</x:v>
      </x:c>
      <x:c r="F366" s="1" t="str">
        <x:v>Especial</x:v>
      </x:c>
      <x:c r="G366" s="10" t="n">
        <x:v>40</x:v>
      </x:c>
      <x:c r="H366" s="10" t="n">
        <x:f>IF(F366="Física",'Pokémon'!G47,IF(F366="Especial",'Pokémon'!I47,""))</x:f>
        <x:v>75</x:v>
      </x:c>
      <x:c r="I366" s="10" t="n">
        <x:f>IF(OR(F366="Status",G366=0),"",G366+H366)</x:f>
        <x:v>115</x:v>
      </x:c>
      <x:c r="J366" s="10" t="n">
        <x:v>19</x:v>
      </x:c>
      <x:c r="K366" s="12" t="n">
        <x:v>15</x:v>
      </x:c>
      <x:c r="L366" s="1" t="str"/>
      <x:c r="M366" s="9" t="str">
        <x:v>https://poke.idleworld.online/pokepedia/pokemon/oddish</x:v>
      </x:c>
    </x:row>
    <x:row r="367" ht="22" customHeight="1">
      <x:c r="A367" s="1" t="n">
        <x:v>43</x:v>
      </x:c>
      <x:c r="B367" s="1" t="str">
        <x:v>Oddish</x:v>
      </x:c>
      <x:c r="C367" s="1" t="n">
        <x:v>1</x:v>
      </x:c>
      <x:c r="D367" s="1" t="str">
        <x:v>Absorb</x:v>
      </x:c>
      <x:c r="E367" s="1" t="str">
        <x:v>Planta</x:v>
      </x:c>
      <x:c r="F367" s="1" t="str">
        <x:v>Especial</x:v>
      </x:c>
      <x:c r="G367" s="10" t="n">
        <x:v>20</x:v>
      </x:c>
      <x:c r="H367" s="10" t="n">
        <x:f>IF(F367="Física",'Pokémon'!G47,IF(F367="Especial",'Pokémon'!I47,""))</x:f>
        <x:v>75</x:v>
      </x:c>
      <x:c r="I367" s="10" t="n">
        <x:f>IF(OR(F367="Status",G367=0),"",G367+H367)</x:f>
        <x:v>95</x:v>
      </x:c>
      <x:c r="J367" s="10" t="n">
        <x:v>1</x:v>
      </x:c>
      <x:c r="K367" s="12" t="n">
        <x:v>10</x:v>
      </x:c>
      <x:c r="L367" s="1" t="str"/>
      <x:c r="M367" s="9" t="str">
        <x:v>https://poke.idleworld.online/pokepedia/pokemon/oddish</x:v>
      </x:c>
    </x:row>
    <x:row r="368" ht="22" customHeight="1">
      <x:c r="A368" s="1" t="n">
        <x:v>43</x:v>
      </x:c>
      <x:c r="B368" s="1" t="str">
        <x:v>Oddish</x:v>
      </x:c>
      <x:c r="C368" s="1" t="n">
        <x:v>3</x:v>
      </x:c>
      <x:c r="D368" s="1" t="str">
        <x:v>Poison Powder</x:v>
      </x:c>
      <x:c r="E368" s="1" t="str">
        <x:v>Venenoso</x:v>
      </x:c>
      <x:c r="F368" s="1" t="str">
        <x:v>Status</x:v>
      </x:c>
      <x:c r="G368" s="10" t="n">
        <x:v>0</x:v>
      </x:c>
      <x:c r="H368" s="10" t="str">
        <x:f>IF(F368="Física",'Pokémon'!G47,IF(F368="Especial",'Pokémon'!I47,""))</x:f>
      </x:c>
      <x:c r="I368" s="10" t="str">
        <x:f>IF(OR(F368="Status",G368=0),"",G368+H368)</x:f>
      </x:c>
      <x:c r="J368" s="10" t="n">
        <x:v>13</x:v>
      </x:c>
      <x:c r="K368" s="12" t="n">
        <x:v>20</x:v>
      </x:c>
      <x:c r="L368" s="1" t="str"/>
      <x:c r="M368" s="9" t="str">
        <x:v>https://poke.idleworld.online/pokepedia/pokemon/oddish</x:v>
      </x:c>
    </x:row>
    <x:row r="369" ht="22" customHeight="1">
      <x:c r="A369" s="1" t="n">
        <x:v>43</x:v>
      </x:c>
      <x:c r="B369" s="1" t="str">
        <x:v>Oddish</x:v>
      </x:c>
      <x:c r="C369" s="1" t="n">
        <x:v>4</x:v>
      </x:c>
      <x:c r="D369" s="1" t="str">
        <x:v>Stun Spore</x:v>
      </x:c>
      <x:c r="E369" s="1" t="str">
        <x:v>Planta</x:v>
      </x:c>
      <x:c r="F369" s="1" t="str">
        <x:v>Status</x:v>
      </x:c>
      <x:c r="G369" s="10" t="n">
        <x:v>0</x:v>
      </x:c>
      <x:c r="H369" s="10" t="str">
        <x:f>IF(F369="Física",'Pokémon'!G47,IF(F369="Especial",'Pokémon'!I47,""))</x:f>
      </x:c>
      <x:c r="I369" s="10" t="str">
        <x:f>IF(OR(F369="Status",G369=0),"",G369+H369)</x:f>
      </x:c>
      <x:c r="J369" s="10" t="n">
        <x:v>14</x:v>
      </x:c>
      <x:c r="K369" s="12" t="n">
        <x:v>40</x:v>
      </x:c>
      <x:c r="L369" s="1" t="str"/>
      <x:c r="M369" s="9" t="str">
        <x:v>https://poke.idleworld.online/pokepedia/pokemon/oddish</x:v>
      </x:c>
    </x:row>
    <x:row r="370" ht="22" customHeight="1">
      <x:c r="A370" s="1" t="n">
        <x:v>43</x:v>
      </x:c>
      <x:c r="B370" s="1" t="str">
        <x:v>Oddish</x:v>
      </x:c>
      <x:c r="C370" s="1" t="n">
        <x:v>5</x:v>
      </x:c>
      <x:c r="D370" s="1" t="str">
        <x:v>Sleep Powder</x:v>
      </x:c>
      <x:c r="E370" s="1" t="str">
        <x:v>Planta</x:v>
      </x:c>
      <x:c r="F370" s="1" t="str">
        <x:v>Status</x:v>
      </x:c>
      <x:c r="G370" s="10" t="n">
        <x:v>0</x:v>
      </x:c>
      <x:c r="H370" s="10" t="str">
        <x:f>IF(F370="Física",'Pokémon'!G47,IF(F370="Especial",'Pokémon'!I47,""))</x:f>
      </x:c>
      <x:c r="I370" s="10" t="str">
        <x:f>IF(OR(F370="Status",G370=0),"",G370+H370)</x:f>
      </x:c>
      <x:c r="J370" s="10" t="n">
        <x:v>15</x:v>
      </x:c>
      <x:c r="K370" s="12" t="n">
        <x:v>30</x:v>
      </x:c>
      <x:c r="L370" s="1" t="str"/>
      <x:c r="M370" s="9" t="str">
        <x:v>https://poke.idleworld.online/pokepedia/pokemon/oddish</x:v>
      </x:c>
    </x:row>
    <x:row r="371" ht="22" customHeight="1">
      <x:c r="A371" s="1" t="n">
        <x:v>44</x:v>
      </x:c>
      <x:c r="B371" s="1" t="str">
        <x:v>Gloom</x:v>
      </x:c>
      <x:c r="C371" s="1" t="n">
        <x:v>9</x:v>
      </x:c>
      <x:c r="D371" s="1" t="str">
        <x:v>Petal Dance</x:v>
      </x:c>
      <x:c r="E371" s="1" t="str">
        <x:v>Planta</x:v>
      </x:c>
      <x:c r="F371" s="1" t="str">
        <x:v>Especial</x:v>
      </x:c>
      <x:c r="G371" s="10" t="n">
        <x:v>120</x:v>
      </x:c>
      <x:c r="H371" s="10" t="n">
        <x:f>IF(F371="Física",'Pokémon'!G48,IF(F371="Especial",'Pokémon'!I48,""))</x:f>
        <x:v>85</x:v>
      </x:c>
      <x:c r="I371" s="10" t="n">
        <x:f>IF(OR(F371="Status",G371=0),"",G371+H371)</x:f>
        <x:v>205</x:v>
      </x:c>
      <x:c r="J371" s="10" t="n">
        <x:v>59</x:v>
      </x:c>
      <x:c r="K371" s="12" t="n">
        <x:v>50</x:v>
      </x:c>
      <x:c r="L371" s="1" t="str"/>
      <x:c r="M371" s="9" t="str">
        <x:v>https://poke.idleworld.online/pokepedia/pokemon/gloom</x:v>
      </x:c>
    </x:row>
    <x:row r="372" ht="22" customHeight="1">
      <x:c r="A372" s="1" t="n">
        <x:v>44</x:v>
      </x:c>
      <x:c r="B372" s="1" t="str">
        <x:v>Gloom</x:v>
      </x:c>
      <x:c r="C372" s="1" t="n">
        <x:v>7</x:v>
      </x:c>
      <x:c r="D372" s="1" t="str">
        <x:v>Giga Drain</x:v>
      </x:c>
      <x:c r="E372" s="1" t="str">
        <x:v>Planta</x:v>
      </x:c>
      <x:c r="F372" s="1" t="str">
        <x:v>Especial</x:v>
      </x:c>
      <x:c r="G372" s="10" t="n">
        <x:v>75</x:v>
      </x:c>
      <x:c r="H372" s="10" t="n">
        <x:f>IF(F372="Física",'Pokémon'!G48,IF(F372="Especial",'Pokémon'!I48,""))</x:f>
        <x:v>85</x:v>
      </x:c>
      <x:c r="I372" s="10" t="n">
        <x:f>IF(OR(F372="Status",G372=0),"",G372+H372)</x:f>
        <x:v>160</x:v>
      </x:c>
      <x:c r="J372" s="10" t="n">
        <x:v>34</x:v>
      </x:c>
      <x:c r="K372" s="12" t="n">
        <x:v>22</x:v>
      </x:c>
      <x:c r="L372" s="1" t="str"/>
      <x:c r="M372" s="9" t="str">
        <x:v>https://poke.idleworld.online/pokepedia/pokemon/gloom</x:v>
      </x:c>
    </x:row>
    <x:row r="373" ht="22" customHeight="1">
      <x:c r="A373" s="1" t="n">
        <x:v>44</x:v>
      </x:c>
      <x:c r="B373" s="1" t="str">
        <x:v>Gloom</x:v>
      </x:c>
      <x:c r="C373" s="1" t="n">
        <x:v>8</x:v>
      </x:c>
      <x:c r="D373" s="1" t="str">
        <x:v>Petal Blizzard</x:v>
      </x:c>
      <x:c r="E373" s="1" t="str">
        <x:v>Planta</x:v>
      </x:c>
      <x:c r="F373" s="1" t="str">
        <x:v>Física</x:v>
      </x:c>
      <x:c r="G373" s="10" t="n">
        <x:v>90</x:v>
      </x:c>
      <x:c r="H373" s="10" t="n">
        <x:f>IF(F373="Física",'Pokémon'!G48,IF(F373="Especial",'Pokémon'!I48,""))</x:f>
        <x:v>65</x:v>
      </x:c>
      <x:c r="I373" s="10" t="n">
        <x:f>IF(OR(F373="Status",G373=0),"",G373+H373)</x:f>
        <x:v>155</x:v>
      </x:c>
      <x:c r="J373" s="10" t="n">
        <x:v>49</x:v>
      </x:c>
      <x:c r="K373" s="12" t="n">
        <x:v>22</x:v>
      </x:c>
      <x:c r="L373" s="1" t="str"/>
      <x:c r="M373" s="9" t="str">
        <x:v>https://poke.idleworld.online/pokepedia/pokemon/gloom</x:v>
      </x:c>
    </x:row>
    <x:row r="374" ht="22" customHeight="1">
      <x:c r="A374" s="1" t="n">
        <x:v>44</x:v>
      </x:c>
      <x:c r="B374" s="1" t="str">
        <x:v>Gloom</x:v>
      </x:c>
      <x:c r="C374" s="1" t="n">
        <x:v>2</x:v>
      </x:c>
      <x:c r="D374" s="1" t="str">
        <x:v>Acid</x:v>
      </x:c>
      <x:c r="E374" s="1" t="str">
        <x:v>Venenoso</x:v>
      </x:c>
      <x:c r="F374" s="1" t="str">
        <x:v>Especial</x:v>
      </x:c>
      <x:c r="G374" s="10" t="n">
        <x:v>40</x:v>
      </x:c>
      <x:c r="H374" s="10" t="n">
        <x:f>IF(F374="Física",'Pokémon'!G48,IF(F374="Especial",'Pokémon'!I48,""))</x:f>
        <x:v>85</x:v>
      </x:c>
      <x:c r="I374" s="10" t="n">
        <x:f>IF(OR(F374="Status",G374=0),"",G374+H374)</x:f>
        <x:v>125</x:v>
      </x:c>
      <x:c r="J374" s="10" t="n">
        <x:v>1</x:v>
      </x:c>
      <x:c r="K374" s="12" t="n">
        <x:v>10</x:v>
      </x:c>
      <x:c r="L374" s="1" t="str"/>
      <x:c r="M374" s="9" t="str">
        <x:v>https://poke.idleworld.online/pokepedia/pokemon/gloom</x:v>
      </x:c>
    </x:row>
    <x:row r="375" ht="22" customHeight="1">
      <x:c r="A375" s="1" t="n">
        <x:v>44</x:v>
      </x:c>
      <x:c r="B375" s="1" t="str">
        <x:v>Gloom</x:v>
      </x:c>
      <x:c r="C375" s="1" t="n">
        <x:v>6</x:v>
      </x:c>
      <x:c r="D375" s="1" t="str">
        <x:v>Mega Drain</x:v>
      </x:c>
      <x:c r="E375" s="1" t="str">
        <x:v>Planta</x:v>
      </x:c>
      <x:c r="F375" s="1" t="str">
        <x:v>Especial</x:v>
      </x:c>
      <x:c r="G375" s="10" t="n">
        <x:v>40</x:v>
      </x:c>
      <x:c r="H375" s="10" t="n">
        <x:f>IF(F375="Física",'Pokémon'!G48,IF(F375="Especial",'Pokémon'!I48,""))</x:f>
        <x:v>85</x:v>
      </x:c>
      <x:c r="I375" s="10" t="n">
        <x:f>IF(OR(F375="Status",G375=0),"",G375+H375)</x:f>
        <x:v>125</x:v>
      </x:c>
      <x:c r="J375" s="10" t="n">
        <x:v>19</x:v>
      </x:c>
      <x:c r="K375" s="12" t="n">
        <x:v>15</x:v>
      </x:c>
      <x:c r="L375" s="1" t="str"/>
      <x:c r="M375" s="9" t="str">
        <x:v>https://poke.idleworld.online/pokepedia/pokemon/gloom</x:v>
      </x:c>
    </x:row>
    <x:row r="376" ht="22" customHeight="1">
      <x:c r="A376" s="1" t="n">
        <x:v>44</x:v>
      </x:c>
      <x:c r="B376" s="1" t="str">
        <x:v>Gloom</x:v>
      </x:c>
      <x:c r="C376" s="1" t="n">
        <x:v>1</x:v>
      </x:c>
      <x:c r="D376" s="1" t="str">
        <x:v>Absorb</x:v>
      </x:c>
      <x:c r="E376" s="1" t="str">
        <x:v>Planta</x:v>
      </x:c>
      <x:c r="F376" s="1" t="str">
        <x:v>Especial</x:v>
      </x:c>
      <x:c r="G376" s="10" t="n">
        <x:v>20</x:v>
      </x:c>
      <x:c r="H376" s="10" t="n">
        <x:f>IF(F376="Física",'Pokémon'!G48,IF(F376="Especial",'Pokémon'!I48,""))</x:f>
        <x:v>85</x:v>
      </x:c>
      <x:c r="I376" s="10" t="n">
        <x:f>IF(OR(F376="Status",G376=0),"",G376+H376)</x:f>
        <x:v>105</x:v>
      </x:c>
      <x:c r="J376" s="10" t="n">
        <x:v>1</x:v>
      </x:c>
      <x:c r="K376" s="12" t="n">
        <x:v>10</x:v>
      </x:c>
      <x:c r="L376" s="1" t="str"/>
      <x:c r="M376" s="9" t="str">
        <x:v>https://poke.idleworld.online/pokepedia/pokemon/gloom</x:v>
      </x:c>
    </x:row>
    <x:row r="377" ht="22" customHeight="1">
      <x:c r="A377" s="1" t="n">
        <x:v>44</x:v>
      </x:c>
      <x:c r="B377" s="1" t="str">
        <x:v>Gloom</x:v>
      </x:c>
      <x:c r="C377" s="1" t="n">
        <x:v>3</x:v>
      </x:c>
      <x:c r="D377" s="1" t="str">
        <x:v>Poison Powder</x:v>
      </x:c>
      <x:c r="E377" s="1" t="str">
        <x:v>Venenoso</x:v>
      </x:c>
      <x:c r="F377" s="1" t="str">
        <x:v>Status</x:v>
      </x:c>
      <x:c r="G377" s="10" t="n">
        <x:v>0</x:v>
      </x:c>
      <x:c r="H377" s="10" t="str">
        <x:f>IF(F377="Física",'Pokémon'!G48,IF(F377="Especial",'Pokémon'!I48,""))</x:f>
      </x:c>
      <x:c r="I377" s="10" t="str">
        <x:f>IF(OR(F377="Status",G377=0),"",G377+H377)</x:f>
      </x:c>
      <x:c r="J377" s="10" t="n">
        <x:v>13</x:v>
      </x:c>
      <x:c r="K377" s="12" t="n">
        <x:v>20</x:v>
      </x:c>
      <x:c r="L377" s="1" t="str"/>
      <x:c r="M377" s="9" t="str">
        <x:v>https://poke.idleworld.online/pokepedia/pokemon/gloom</x:v>
      </x:c>
    </x:row>
    <x:row r="378" ht="22" customHeight="1">
      <x:c r="A378" s="1" t="n">
        <x:v>44</x:v>
      </x:c>
      <x:c r="B378" s="1" t="str">
        <x:v>Gloom</x:v>
      </x:c>
      <x:c r="C378" s="1" t="n">
        <x:v>4</x:v>
      </x:c>
      <x:c r="D378" s="1" t="str">
        <x:v>Stun Spore</x:v>
      </x:c>
      <x:c r="E378" s="1" t="str">
        <x:v>Planta</x:v>
      </x:c>
      <x:c r="F378" s="1" t="str">
        <x:v>Status</x:v>
      </x:c>
      <x:c r="G378" s="10" t="n">
        <x:v>0</x:v>
      </x:c>
      <x:c r="H378" s="10" t="str">
        <x:f>IF(F378="Física",'Pokémon'!G48,IF(F378="Especial",'Pokémon'!I48,""))</x:f>
      </x:c>
      <x:c r="I378" s="10" t="str">
        <x:f>IF(OR(F378="Status",G378=0),"",G378+H378)</x:f>
      </x:c>
      <x:c r="J378" s="10" t="n">
        <x:v>14</x:v>
      </x:c>
      <x:c r="K378" s="12" t="n">
        <x:v>40</x:v>
      </x:c>
      <x:c r="L378" s="1" t="str"/>
      <x:c r="M378" s="9" t="str">
        <x:v>https://poke.idleworld.online/pokepedia/pokemon/gloom</x:v>
      </x:c>
    </x:row>
    <x:row r="379" ht="22" customHeight="1">
      <x:c r="A379" s="1" t="n">
        <x:v>44</x:v>
      </x:c>
      <x:c r="B379" s="1" t="str">
        <x:v>Gloom</x:v>
      </x:c>
      <x:c r="C379" s="1" t="n">
        <x:v>5</x:v>
      </x:c>
      <x:c r="D379" s="1" t="str">
        <x:v>Sleep Powder</x:v>
      </x:c>
      <x:c r="E379" s="1" t="str">
        <x:v>Planta</x:v>
      </x:c>
      <x:c r="F379" s="1" t="str">
        <x:v>Status</x:v>
      </x:c>
      <x:c r="G379" s="10" t="n">
        <x:v>0</x:v>
      </x:c>
      <x:c r="H379" s="10" t="str">
        <x:f>IF(F379="Física",'Pokémon'!G48,IF(F379="Especial",'Pokémon'!I48,""))</x:f>
      </x:c>
      <x:c r="I379" s="10" t="str">
        <x:f>IF(OR(F379="Status",G379=0),"",G379+H379)</x:f>
      </x:c>
      <x:c r="J379" s="10" t="n">
        <x:v>15</x:v>
      </x:c>
      <x:c r="K379" s="12" t="n">
        <x:v>30</x:v>
      </x:c>
      <x:c r="L379" s="1" t="str"/>
      <x:c r="M379" s="9" t="str">
        <x:v>https://poke.idleworld.online/pokepedia/pokemon/gloom</x:v>
      </x:c>
    </x:row>
    <x:row r="380" ht="22" customHeight="1">
      <x:c r="A380" s="1" t="n">
        <x:v>45</x:v>
      </x:c>
      <x:c r="B380" s="1" t="str">
        <x:v>Vileplume</x:v>
      </x:c>
      <x:c r="C380" s="1" t="n">
        <x:v>3</x:v>
      </x:c>
      <x:c r="D380" s="1" t="str">
        <x:v>Petal Bloom</x:v>
      </x:c>
      <x:c r="E380" s="1" t="str">
        <x:v>Planta</x:v>
      </x:c>
      <x:c r="F380" s="1" t="str">
        <x:v>Especial</x:v>
      </x:c>
      <x:c r="G380" s="10" t="n">
        <x:v>300</x:v>
      </x:c>
      <x:c r="H380" s="10" t="n">
        <x:f>IF(F380="Física",'Pokémon'!G49,IF(F380="Especial",'Pokémon'!I49,""))</x:f>
        <x:v>110</x:v>
      </x:c>
      <x:c r="I380" s="10" t="n">
        <x:f>IF(OR(F380="Status",G380=0),"",G380+H380)</x:f>
        <x:v>410</x:v>
      </x:c>
      <x:c r="J380" s="10" t="n">
        <x:v>1</x:v>
      </x:c>
      <x:c r="K380" s="12" t="n">
        <x:v>10</x:v>
      </x:c>
      <x:c r="L380" s="1" t="str">
        <x:v>Sim</x:v>
      </x:c>
      <x:c r="M380" s="9" t="str">
        <x:v>https://poke.idleworld.online/pokepedia/pokemon/vileplume</x:v>
      </x:c>
    </x:row>
    <x:row r="381" ht="22" customHeight="1">
      <x:c r="A381" s="1" t="n">
        <x:v>45</x:v>
      </x:c>
      <x:c r="B381" s="1" t="str">
        <x:v>Vileplume</x:v>
      </x:c>
      <x:c r="C381" s="1" t="n">
        <x:v>6</x:v>
      </x:c>
      <x:c r="D381" s="1" t="str">
        <x:v>Petal Dance</x:v>
      </x:c>
      <x:c r="E381" s="1" t="str">
        <x:v>Planta</x:v>
      </x:c>
      <x:c r="F381" s="1" t="str">
        <x:v>Especial</x:v>
      </x:c>
      <x:c r="G381" s="10" t="n">
        <x:v>120</x:v>
      </x:c>
      <x:c r="H381" s="10" t="n">
        <x:f>IF(F381="Física",'Pokémon'!G49,IF(F381="Especial",'Pokémon'!I49,""))</x:f>
        <x:v>110</x:v>
      </x:c>
      <x:c r="I381" s="10" t="n">
        <x:f>IF(OR(F381="Status",G381=0),"",G381+H381)</x:f>
        <x:v>230</x:v>
      </x:c>
      <x:c r="J381" s="10" t="n">
        <x:v>59</x:v>
      </x:c>
      <x:c r="K381" s="12" t="n">
        <x:v>35</x:v>
      </x:c>
      <x:c r="L381" s="1" t="str"/>
      <x:c r="M381" s="9" t="str">
        <x:v>https://poke.idleworld.online/pokepedia/pokemon/vileplume</x:v>
      </x:c>
    </x:row>
    <x:row r="382" ht="22" customHeight="1">
      <x:c r="A382" s="1" t="n">
        <x:v>45</x:v>
      </x:c>
      <x:c r="B382" s="1" t="str">
        <x:v>Vileplume</x:v>
      </x:c>
      <x:c r="C382" s="1" t="n">
        <x:v>7</x:v>
      </x:c>
      <x:c r="D382" s="1" t="str">
        <x:v>Solar Beam</x:v>
      </x:c>
      <x:c r="E382" s="1" t="str">
        <x:v>Planta</x:v>
      </x:c>
      <x:c r="F382" s="1" t="str">
        <x:v>Especial</x:v>
      </x:c>
      <x:c r="G382" s="10" t="n">
        <x:v>120</x:v>
      </x:c>
      <x:c r="H382" s="10" t="n">
        <x:f>IF(F382="Física",'Pokémon'!G49,IF(F382="Especial",'Pokémon'!I49,""))</x:f>
        <x:v>110</x:v>
      </x:c>
      <x:c r="I382" s="10" t="n">
        <x:f>IF(OR(F382="Status",G382=0),"",G382+H382)</x:f>
        <x:v>230</x:v>
      </x:c>
      <x:c r="J382" s="10" t="n">
        <x:v>64</x:v>
      </x:c>
      <x:c r="K382" s="12" t="n">
        <x:v>30</x:v>
      </x:c>
      <x:c r="L382" s="1" t="str"/>
      <x:c r="M382" s="9" t="str">
        <x:v>https://poke.idleworld.online/pokepedia/pokemon/vileplume</x:v>
      </x:c>
    </x:row>
    <x:row r="383" ht="22" customHeight="1">
      <x:c r="A383" s="1" t="n">
        <x:v>45</x:v>
      </x:c>
      <x:c r="B383" s="1" t="str">
        <x:v>Vileplume</x:v>
      </x:c>
      <x:c r="C383" s="1" t="n">
        <x:v>5</x:v>
      </x:c>
      <x:c r="D383" s="1" t="str">
        <x:v>Petal Blizzard</x:v>
      </x:c>
      <x:c r="E383" s="1" t="str">
        <x:v>Planta</x:v>
      </x:c>
      <x:c r="F383" s="1" t="str">
        <x:v>Física</x:v>
      </x:c>
      <x:c r="G383" s="10" t="n">
        <x:v>90</x:v>
      </x:c>
      <x:c r="H383" s="10" t="n">
        <x:f>IF(F383="Física",'Pokémon'!G49,IF(F383="Especial",'Pokémon'!I49,""))</x:f>
        <x:v>80</x:v>
      </x:c>
      <x:c r="I383" s="10" t="n">
        <x:f>IF(OR(F383="Status",G383=0),"",G383+H383)</x:f>
        <x:v>170</x:v>
      </x:c>
      <x:c r="J383" s="10" t="n">
        <x:v>49</x:v>
      </x:c>
      <x:c r="K383" s="12" t="n">
        <x:v>22</x:v>
      </x:c>
      <x:c r="L383" s="1" t="str"/>
      <x:c r="M383" s="9" t="str">
        <x:v>https://poke.idleworld.online/pokepedia/pokemon/vileplume</x:v>
      </x:c>
    </x:row>
    <x:row r="384" ht="22" customHeight="1">
      <x:c r="A384" s="1" t="n">
        <x:v>45</x:v>
      </x:c>
      <x:c r="B384" s="1" t="str">
        <x:v>Vileplume</x:v>
      </x:c>
      <x:c r="C384" s="1" t="n">
        <x:v>4</x:v>
      </x:c>
      <x:c r="D384" s="1" t="str">
        <x:v>Mega Drain</x:v>
      </x:c>
      <x:c r="E384" s="1" t="str">
        <x:v>Planta</x:v>
      </x:c>
      <x:c r="F384" s="1" t="str">
        <x:v>Especial</x:v>
      </x:c>
      <x:c r="G384" s="10" t="n">
        <x:v>40</x:v>
      </x:c>
      <x:c r="H384" s="10" t="n">
        <x:f>IF(F384="Física",'Pokémon'!G49,IF(F384="Especial",'Pokémon'!I49,""))</x:f>
        <x:v>110</x:v>
      </x:c>
      <x:c r="I384" s="10" t="n">
        <x:f>IF(OR(F384="Status",G384=0),"",G384+H384)</x:f>
        <x:v>150</x:v>
      </x:c>
      <x:c r="J384" s="10" t="n">
        <x:v>1</x:v>
      </x:c>
      <x:c r="K384" s="12" t="n">
        <x:v>15</x:v>
      </x:c>
      <x:c r="L384" s="1" t="str"/>
      <x:c r="M384" s="9" t="str">
        <x:v>https://poke.idleworld.online/pokepedia/pokemon/vileplume</x:v>
      </x:c>
    </x:row>
    <x:row r="385" ht="22" customHeight="1">
      <x:c r="A385" s="1" t="n">
        <x:v>45</x:v>
      </x:c>
      <x:c r="B385" s="1" t="str">
        <x:v>Vileplume</x:v>
      </x:c>
      <x:c r="C385" s="1" t="n">
        <x:v>1</x:v>
      </x:c>
      <x:c r="D385" s="1" t="str">
        <x:v>Poison Powder</x:v>
      </x:c>
      <x:c r="E385" s="1" t="str">
        <x:v>Venenoso</x:v>
      </x:c>
      <x:c r="F385" s="1" t="str">
        <x:v>Status</x:v>
      </x:c>
      <x:c r="G385" s="10" t="n">
        <x:v>0</x:v>
      </x:c>
      <x:c r="H385" s="10" t="str">
        <x:f>IF(F385="Física",'Pokémon'!G49,IF(F385="Especial",'Pokémon'!I49,""))</x:f>
      </x:c>
      <x:c r="I385" s="10" t="str">
        <x:f>IF(OR(F385="Status",G385=0),"",G385+H385)</x:f>
      </x:c>
      <x:c r="J385" s="10" t="n">
        <x:v>1</x:v>
      </x:c>
      <x:c r="K385" s="12" t="n">
        <x:v>20</x:v>
      </x:c>
      <x:c r="L385" s="1" t="str"/>
      <x:c r="M385" s="9" t="str">
        <x:v>https://poke.idleworld.online/pokepedia/pokemon/vileplume</x:v>
      </x:c>
    </x:row>
    <x:row r="386" ht="22" customHeight="1">
      <x:c r="A386" s="1" t="n">
        <x:v>45</x:v>
      </x:c>
      <x:c r="B386" s="1" t="str">
        <x:v>Vileplume</x:v>
      </x:c>
      <x:c r="C386" s="1" t="n">
        <x:v>2</x:v>
      </x:c>
      <x:c r="D386" s="1" t="str">
        <x:v>Stun Spore</x:v>
      </x:c>
      <x:c r="E386" s="1" t="str">
        <x:v>Planta</x:v>
      </x:c>
      <x:c r="F386" s="1" t="str">
        <x:v>Status</x:v>
      </x:c>
      <x:c r="G386" s="10" t="n">
        <x:v>0</x:v>
      </x:c>
      <x:c r="H386" s="10" t="str">
        <x:f>IF(F386="Física",'Pokémon'!G49,IF(F386="Especial",'Pokémon'!I49,""))</x:f>
      </x:c>
      <x:c r="I386" s="10" t="str">
        <x:f>IF(OR(F386="Status",G386=0),"",G386+H386)</x:f>
      </x:c>
      <x:c r="J386" s="10" t="n">
        <x:v>1</x:v>
      </x:c>
      <x:c r="K386" s="12" t="n">
        <x:v>40</x:v>
      </x:c>
      <x:c r="L386" s="1" t="str"/>
      <x:c r="M386" s="9" t="str">
        <x:v>https://poke.idleworld.online/pokepedia/pokemon/vileplume</x:v>
      </x:c>
    </x:row>
    <x:row r="387" ht="22" customHeight="1">
      <x:c r="A387" s="1" t="n">
        <x:v>46</x:v>
      </x:c>
      <x:c r="B387" s="1" t="str">
        <x:v>Paras</x:v>
      </x:c>
      <x:c r="C387" s="1" t="n">
        <x:v>8</x:v>
      </x:c>
      <x:c r="D387" s="1" t="str">
        <x:v>X-Scissor</x:v>
      </x:c>
      <x:c r="E387" s="1" t="str">
        <x:v>Inseto</x:v>
      </x:c>
      <x:c r="F387" s="1" t="str">
        <x:v>Física</x:v>
      </x:c>
      <x:c r="G387" s="10" t="n">
        <x:v>80</x:v>
      </x:c>
      <x:c r="H387" s="10" t="n">
        <x:f>IF(F387="Física",'Pokémon'!G50,IF(F387="Especial",'Pokémon'!I50,""))</x:f>
        <x:v>70</x:v>
      </x:c>
      <x:c r="I387" s="10" t="n">
        <x:f>IF(OR(F387="Status",G387=0),"",G387+H387)</x:f>
        <x:v>150</x:v>
      </x:c>
      <x:c r="J387" s="10" t="n">
        <x:v>54</x:v>
      </x:c>
      <x:c r="K387" s="12" t="n">
        <x:v>22</x:v>
      </x:c>
      <x:c r="L387" s="1" t="str"/>
      <x:c r="M387" s="9" t="str">
        <x:v>https://poke.idleworld.online/pokepedia/pokemon/paras</x:v>
      </x:c>
    </x:row>
    <x:row r="388" ht="22" customHeight="1">
      <x:c r="A388" s="1" t="n">
        <x:v>46</x:v>
      </x:c>
      <x:c r="B388" s="1" t="str">
        <x:v>Paras</x:v>
      </x:c>
      <x:c r="C388" s="1" t="n">
        <x:v>6</x:v>
      </x:c>
      <x:c r="D388" s="1" t="str">
        <x:v>Slash</x:v>
      </x:c>
      <x:c r="E388" s="1" t="str">
        <x:v>Normal</x:v>
      </x:c>
      <x:c r="F388" s="1" t="str">
        <x:v>Física</x:v>
      </x:c>
      <x:c r="G388" s="10" t="n">
        <x:v>70</x:v>
      </x:c>
      <x:c r="H388" s="10" t="n">
        <x:f>IF(F388="Física",'Pokémon'!G50,IF(F388="Especial",'Pokémon'!I50,""))</x:f>
        <x:v>70</x:v>
      </x:c>
      <x:c r="I388" s="10" t="n">
        <x:f>IF(OR(F388="Status",G388=0),"",G388+H388)</x:f>
        <x:v>140</x:v>
      </x:c>
      <x:c r="J388" s="10" t="n">
        <x:v>27</x:v>
      </x:c>
      <x:c r="K388" s="12" t="n">
        <x:v>15</x:v>
      </x:c>
      <x:c r="L388" s="1" t="str"/>
      <x:c r="M388" s="9" t="str">
        <x:v>https://poke.idleworld.online/pokepedia/pokemon/paras</x:v>
      </x:c>
    </x:row>
    <x:row r="389" ht="22" customHeight="1">
      <x:c r="A389" s="1" t="n">
        <x:v>46</x:v>
      </x:c>
      <x:c r="B389" s="1" t="str">
        <x:v>Paras</x:v>
      </x:c>
      <x:c r="C389" s="1" t="n">
        <x:v>7</x:v>
      </x:c>
      <x:c r="D389" s="1" t="str">
        <x:v>Giga Drain</x:v>
      </x:c>
      <x:c r="E389" s="1" t="str">
        <x:v>Planta</x:v>
      </x:c>
      <x:c r="F389" s="1" t="str">
        <x:v>Especial</x:v>
      </x:c>
      <x:c r="G389" s="10" t="n">
        <x:v>75</x:v>
      </x:c>
      <x:c r="H389" s="10" t="n">
        <x:f>IF(F389="Física",'Pokémon'!G50,IF(F389="Especial",'Pokémon'!I50,""))</x:f>
        <x:v>45</x:v>
      </x:c>
      <x:c r="I389" s="10" t="n">
        <x:f>IF(OR(F389="Status",G389=0),"",G389+H389)</x:f>
        <x:v>120</x:v>
      </x:c>
      <x:c r="J389" s="10" t="n">
        <x:v>38</x:v>
      </x:c>
      <x:c r="K389" s="12" t="n">
        <x:v>22</x:v>
      </x:c>
      <x:c r="L389" s="1" t="str"/>
      <x:c r="M389" s="9" t="str">
        <x:v>https://poke.idleworld.online/pokepedia/pokemon/paras</x:v>
      </x:c>
    </x:row>
    <x:row r="390" ht="22" customHeight="1">
      <x:c r="A390" s="1" t="n">
        <x:v>46</x:v>
      </x:c>
      <x:c r="B390" s="1" t="str">
        <x:v>Paras</x:v>
      </x:c>
      <x:c r="C390" s="1" t="n">
        <x:v>1</x:v>
      </x:c>
      <x:c r="D390" s="1" t="str">
        <x:v>Scratch</x:v>
      </x:c>
      <x:c r="E390" s="1" t="str">
        <x:v>Normal</x:v>
      </x:c>
      <x:c r="F390" s="1" t="str">
        <x:v>Física</x:v>
      </x:c>
      <x:c r="G390" s="10" t="n">
        <x:v>40</x:v>
      </x:c>
      <x:c r="H390" s="10" t="n">
        <x:f>IF(F390="Física",'Pokémon'!G50,IF(F390="Especial",'Pokémon'!I50,""))</x:f>
        <x:v>70</x:v>
      </x:c>
      <x:c r="I390" s="10" t="n">
        <x:f>IF(OR(F390="Status",G390=0),"",G390+H390)</x:f>
        <x:v>110</x:v>
      </x:c>
      <x:c r="J390" s="10" t="n">
        <x:v>1</x:v>
      </x:c>
      <x:c r="K390" s="12" t="n">
        <x:v>12</x:v>
      </x:c>
      <x:c r="L390" s="1" t="str"/>
      <x:c r="M390" s="9" t="str">
        <x:v>https://poke.idleworld.online/pokepedia/pokemon/paras</x:v>
      </x:c>
    </x:row>
    <x:row r="391" ht="22" customHeight="1">
      <x:c r="A391" s="1" t="n">
        <x:v>46</x:v>
      </x:c>
      <x:c r="B391" s="1" t="str">
        <x:v>Paras</x:v>
      </x:c>
      <x:c r="C391" s="1" t="n">
        <x:v>5</x:v>
      </x:c>
      <x:c r="D391" s="1" t="str">
        <x:v>Fury Cutter</x:v>
      </x:c>
      <x:c r="E391" s="1" t="str">
        <x:v>Inseto</x:v>
      </x:c>
      <x:c r="F391" s="1" t="str">
        <x:v>Física</x:v>
      </x:c>
      <x:c r="G391" s="10" t="n">
        <x:v>40</x:v>
      </x:c>
      <x:c r="H391" s="10" t="n">
        <x:f>IF(F391="Física",'Pokémon'!G50,IF(F391="Especial",'Pokémon'!I50,""))</x:f>
        <x:v>70</x:v>
      </x:c>
      <x:c r="I391" s="10" t="n">
        <x:f>IF(OR(F391="Status",G391=0),"",G391+H391)</x:f>
        <x:v>110</x:v>
      </x:c>
      <x:c r="J391" s="10" t="n">
        <x:v>17</x:v>
      </x:c>
      <x:c r="K391" s="12" t="n">
        <x:v>15</x:v>
      </x:c>
      <x:c r="L391" s="1" t="str"/>
      <x:c r="M391" s="9" t="str">
        <x:v>https://poke.idleworld.online/pokepedia/pokemon/paras</x:v>
      </x:c>
    </x:row>
    <x:row r="392" ht="22" customHeight="1">
      <x:c r="A392" s="1" t="n">
        <x:v>46</x:v>
      </x:c>
      <x:c r="B392" s="1" t="str">
        <x:v>Paras</x:v>
      </x:c>
      <x:c r="C392" s="1" t="n">
        <x:v>4</x:v>
      </x:c>
      <x:c r="D392" s="1" t="str">
        <x:v>Leech Life</x:v>
      </x:c>
      <x:c r="E392" s="1" t="str">
        <x:v>Inseto</x:v>
      </x:c>
      <x:c r="F392" s="1" t="str">
        <x:v>Física</x:v>
      </x:c>
      <x:c r="G392" s="10" t="n">
        <x:v>20</x:v>
      </x:c>
      <x:c r="H392" s="10" t="n">
        <x:f>IF(F392="Física",'Pokémon'!G50,IF(F392="Especial",'Pokémon'!I50,""))</x:f>
        <x:v>70</x:v>
      </x:c>
      <x:c r="I392" s="10" t="n">
        <x:f>IF(OR(F392="Status",G392=0),"",G392+H392)</x:f>
        <x:v>90</x:v>
      </x:c>
      <x:c r="J392" s="10" t="n">
        <x:v>11</x:v>
      </x:c>
      <x:c r="K392" s="12" t="n">
        <x:v>15</x:v>
      </x:c>
      <x:c r="L392" s="1" t="str"/>
      <x:c r="M392" s="9" t="str">
        <x:v>https://poke.idleworld.online/pokepedia/pokemon/paras</x:v>
      </x:c>
    </x:row>
    <x:row r="393" ht="22" customHeight="1">
      <x:c r="A393" s="1" t="n">
        <x:v>46</x:v>
      </x:c>
      <x:c r="B393" s="1" t="str">
        <x:v>Paras</x:v>
      </x:c>
      <x:c r="C393" s="1" t="n">
        <x:v>2</x:v>
      </x:c>
      <x:c r="D393" s="1" t="str">
        <x:v>Poison Powder</x:v>
      </x:c>
      <x:c r="E393" s="1" t="str">
        <x:v>Venenoso</x:v>
      </x:c>
      <x:c r="F393" s="1" t="str">
        <x:v>Status</x:v>
      </x:c>
      <x:c r="G393" s="10" t="n">
        <x:v>0</x:v>
      </x:c>
      <x:c r="H393" s="10" t="str">
        <x:f>IF(F393="Física",'Pokémon'!G50,IF(F393="Especial",'Pokémon'!I50,""))</x:f>
      </x:c>
      <x:c r="I393" s="10" t="str">
        <x:f>IF(OR(F393="Status",G393=0),"",G393+H393)</x:f>
      </x:c>
      <x:c r="J393" s="10" t="n">
        <x:v>6</x:v>
      </x:c>
      <x:c r="K393" s="12" t="n">
        <x:v>20</x:v>
      </x:c>
      <x:c r="L393" s="1" t="str"/>
      <x:c r="M393" s="9" t="str">
        <x:v>https://poke.idleworld.online/pokepedia/pokemon/paras</x:v>
      </x:c>
    </x:row>
    <x:row r="394" ht="22" customHeight="1">
      <x:c r="A394" s="1" t="n">
        <x:v>46</x:v>
      </x:c>
      <x:c r="B394" s="1" t="str">
        <x:v>Paras</x:v>
      </x:c>
      <x:c r="C394" s="1" t="n">
        <x:v>3</x:v>
      </x:c>
      <x:c r="D394" s="1" t="str">
        <x:v>Stun Spore</x:v>
      </x:c>
      <x:c r="E394" s="1" t="str">
        <x:v>Planta</x:v>
      </x:c>
      <x:c r="F394" s="1" t="str">
        <x:v>Status</x:v>
      </x:c>
      <x:c r="G394" s="10" t="n">
        <x:v>0</x:v>
      </x:c>
      <x:c r="H394" s="10" t="str">
        <x:f>IF(F394="Física",'Pokémon'!G50,IF(F394="Especial",'Pokémon'!I50,""))</x:f>
      </x:c>
      <x:c r="I394" s="10" t="str">
        <x:f>IF(OR(F394="Status",G394=0),"",G394+H394)</x:f>
      </x:c>
      <x:c r="J394" s="10" t="n">
        <x:v>6</x:v>
      </x:c>
      <x:c r="K394" s="12" t="n">
        <x:v>40</x:v>
      </x:c>
      <x:c r="L394" s="1" t="str"/>
      <x:c r="M394" s="9" t="str">
        <x:v>https://poke.idleworld.online/pokepedia/pokemon/paras</x:v>
      </x:c>
    </x:row>
    <x:row r="395" ht="22" customHeight="1">
      <x:c r="A395" s="1" t="n">
        <x:v>47</x:v>
      </x:c>
      <x:c r="B395" s="1" t="str">
        <x:v>Parasect</x:v>
      </x:c>
      <x:c r="C395" s="1" t="n">
        <x:v>4</x:v>
      </x:c>
      <x:c r="D395" s="1" t="str">
        <x:v>Hive Crush</x:v>
      </x:c>
      <x:c r="E395" s="1" t="str">
        <x:v>Inseto</x:v>
      </x:c>
      <x:c r="F395" s="1" t="str">
        <x:v>Física</x:v>
      </x:c>
      <x:c r="G395" s="10" t="n">
        <x:v>300</x:v>
      </x:c>
      <x:c r="H395" s="10" t="n">
        <x:f>IF(F395="Física",'Pokémon'!G51,IF(F395="Especial",'Pokémon'!I51,""))</x:f>
        <x:v>95</x:v>
      </x:c>
      <x:c r="I395" s="10" t="n">
        <x:f>IF(OR(F395="Status",G395=0),"",G395+H395)</x:f>
        <x:v>395</x:v>
      </x:c>
      <x:c r="J395" s="10" t="n">
        <x:v>1</x:v>
      </x:c>
      <x:c r="K395" s="12" t="n">
        <x:v>10</x:v>
      </x:c>
      <x:c r="L395" s="1" t="str">
        <x:v>Sim</x:v>
      </x:c>
      <x:c r="M395" s="9" t="str">
        <x:v>https://poke.idleworld.online/pokepedia/pokemon/parasect</x:v>
      </x:c>
    </x:row>
    <x:row r="396" ht="22" customHeight="1">
      <x:c r="A396" s="1" t="n">
        <x:v>47</x:v>
      </x:c>
      <x:c r="B396" s="1" t="str">
        <x:v>Parasect</x:v>
      </x:c>
      <x:c r="C396" s="1" t="n">
        <x:v>10</x:v>
      </x:c>
      <x:c r="D396" s="1" t="str">
        <x:v>X-Scissor</x:v>
      </x:c>
      <x:c r="E396" s="1" t="str">
        <x:v>Inseto</x:v>
      </x:c>
      <x:c r="F396" s="1" t="str">
        <x:v>Física</x:v>
      </x:c>
      <x:c r="G396" s="10" t="n">
        <x:v>80</x:v>
      </x:c>
      <x:c r="H396" s="10" t="n">
        <x:f>IF(F396="Física",'Pokémon'!G51,IF(F396="Especial",'Pokémon'!I51,""))</x:f>
        <x:v>95</x:v>
      </x:c>
      <x:c r="I396" s="10" t="n">
        <x:f>IF(OR(F396="Status",G396=0),"",G396+H396)</x:f>
        <x:v>175</x:v>
      </x:c>
      <x:c r="J396" s="10" t="n">
        <x:v>66</x:v>
      </x:c>
      <x:c r="K396" s="12" t="n">
        <x:v>22</x:v>
      </x:c>
      <x:c r="L396" s="1" t="str"/>
      <x:c r="M396" s="9" t="str">
        <x:v>https://poke.idleworld.online/pokepedia/pokemon/parasect</x:v>
      </x:c>
    </x:row>
    <x:row r="397" ht="22" customHeight="1">
      <x:c r="A397" s="1" t="n">
        <x:v>47</x:v>
      </x:c>
      <x:c r="B397" s="1" t="str">
        <x:v>Parasect</x:v>
      </x:c>
      <x:c r="C397" s="1" t="n">
        <x:v>6</x:v>
      </x:c>
      <x:c r="D397" s="1" t="str">
        <x:v>Cross Poison</x:v>
      </x:c>
      <x:c r="E397" s="1" t="str">
        <x:v>Venenoso</x:v>
      </x:c>
      <x:c r="F397" s="1" t="str">
        <x:v>Física</x:v>
      </x:c>
      <x:c r="G397" s="10" t="n">
        <x:v>70</x:v>
      </x:c>
      <x:c r="H397" s="10" t="n">
        <x:f>IF(F397="Física",'Pokémon'!G51,IF(F397="Especial",'Pokémon'!I51,""))</x:f>
        <x:v>95</x:v>
      </x:c>
      <x:c r="I397" s="10" t="n">
        <x:f>IF(OR(F397="Status",G397=0),"",G397+H397)</x:f>
        <x:v>165</x:v>
      </x:c>
      <x:c r="J397" s="10" t="n">
        <x:v>1</x:v>
      </x:c>
      <x:c r="K397" s="12" t="n">
        <x:v>20</x:v>
      </x:c>
      <x:c r="L397" s="1" t="str"/>
      <x:c r="M397" s="9" t="str">
        <x:v>https://poke.idleworld.online/pokepedia/pokemon/parasect</x:v>
      </x:c>
    </x:row>
    <x:row r="398" ht="22" customHeight="1">
      <x:c r="A398" s="1" t="n">
        <x:v>47</x:v>
      </x:c>
      <x:c r="B398" s="1" t="str">
        <x:v>Parasect</x:v>
      </x:c>
      <x:c r="C398" s="1" t="n">
        <x:v>8</x:v>
      </x:c>
      <x:c r="D398" s="1" t="str">
        <x:v>Slash</x:v>
      </x:c>
      <x:c r="E398" s="1" t="str">
        <x:v>Normal</x:v>
      </x:c>
      <x:c r="F398" s="1" t="str">
        <x:v>Física</x:v>
      </x:c>
      <x:c r="G398" s="10" t="n">
        <x:v>70</x:v>
      </x:c>
      <x:c r="H398" s="10" t="n">
        <x:f>IF(F398="Física",'Pokémon'!G51,IF(F398="Especial",'Pokémon'!I51,""))</x:f>
        <x:v>95</x:v>
      </x:c>
      <x:c r="I398" s="10" t="n">
        <x:f>IF(OR(F398="Status",G398=0),"",G398+H398)</x:f>
        <x:v>165</x:v>
      </x:c>
      <x:c r="J398" s="10" t="n">
        <x:v>29</x:v>
      </x:c>
      <x:c r="K398" s="12" t="n">
        <x:v>15</x:v>
      </x:c>
      <x:c r="L398" s="1" t="str"/>
      <x:c r="M398" s="9" t="str">
        <x:v>https://poke.idleworld.online/pokepedia/pokemon/parasect</x:v>
      </x:c>
    </x:row>
    <x:row r="399" ht="22" customHeight="1">
      <x:c r="A399" s="1" t="n">
        <x:v>47</x:v>
      </x:c>
      <x:c r="B399" s="1" t="str">
        <x:v>Parasect</x:v>
      </x:c>
      <x:c r="C399" s="1" t="n">
        <x:v>9</x:v>
      </x:c>
      <x:c r="D399" s="1" t="str">
        <x:v>Giga Drain</x:v>
      </x:c>
      <x:c r="E399" s="1" t="str">
        <x:v>Planta</x:v>
      </x:c>
      <x:c r="F399" s="1" t="str">
        <x:v>Especial</x:v>
      </x:c>
      <x:c r="G399" s="10" t="n">
        <x:v>75</x:v>
      </x:c>
      <x:c r="H399" s="10" t="n">
        <x:f>IF(F399="Física",'Pokémon'!G51,IF(F399="Especial",'Pokémon'!I51,""))</x:f>
        <x:v>60</x:v>
      </x:c>
      <x:c r="I399" s="10" t="n">
        <x:f>IF(OR(F399="Status",G399=0),"",G399+H399)</x:f>
        <x:v>135</x:v>
      </x:c>
      <x:c r="J399" s="10" t="n">
        <x:v>44</x:v>
      </x:c>
      <x:c r="K399" s="12" t="n">
        <x:v>22</x:v>
      </x:c>
      <x:c r="L399" s="1" t="str"/>
      <x:c r="M399" s="9" t="str">
        <x:v>https://poke.idleworld.online/pokepedia/pokemon/parasect</x:v>
      </x:c>
    </x:row>
    <x:row r="400" ht="22" customHeight="1">
      <x:c r="A400" s="1" t="n">
        <x:v>47</x:v>
      </x:c>
      <x:c r="B400" s="1" t="str">
        <x:v>Parasect</x:v>
      </x:c>
      <x:c r="C400" s="1" t="n">
        <x:v>5</x:v>
      </x:c>
      <x:c r="D400" s="1" t="str">
        <x:v>Scratch</x:v>
      </x:c>
      <x:c r="E400" s="1" t="str">
        <x:v>Normal</x:v>
      </x:c>
      <x:c r="F400" s="1" t="str">
        <x:v>Física</x:v>
      </x:c>
      <x:c r="G400" s="10" t="n">
        <x:v>40</x:v>
      </x:c>
      <x:c r="H400" s="10" t="n">
        <x:f>IF(F400="Física",'Pokémon'!G51,IF(F400="Especial",'Pokémon'!I51,""))</x:f>
        <x:v>95</x:v>
      </x:c>
      <x:c r="I400" s="10" t="n">
        <x:f>IF(OR(F400="Status",G400=0),"",G400+H400)</x:f>
        <x:v>135</x:v>
      </x:c>
      <x:c r="J400" s="10" t="n">
        <x:v>1</x:v>
      </x:c>
      <x:c r="K400" s="12" t="n">
        <x:v>15</x:v>
      </x:c>
      <x:c r="L400" s="1" t="str"/>
      <x:c r="M400" s="9" t="str">
        <x:v>https://poke.idleworld.online/pokepedia/pokemon/parasect</x:v>
      </x:c>
    </x:row>
    <x:row r="401" ht="22" customHeight="1">
      <x:c r="A401" s="1" t="n">
        <x:v>47</x:v>
      </x:c>
      <x:c r="B401" s="1" t="str">
        <x:v>Parasect</x:v>
      </x:c>
      <x:c r="C401" s="1" t="n">
        <x:v>7</x:v>
      </x:c>
      <x:c r="D401" s="1" t="str">
        <x:v>Fury Cutter</x:v>
      </x:c>
      <x:c r="E401" s="1" t="str">
        <x:v>Inseto</x:v>
      </x:c>
      <x:c r="F401" s="1" t="str">
        <x:v>Física</x:v>
      </x:c>
      <x:c r="G401" s="10" t="n">
        <x:v>40</x:v>
      </x:c>
      <x:c r="H401" s="10" t="n">
        <x:f>IF(F401="Física",'Pokémon'!G51,IF(F401="Especial",'Pokémon'!I51,""))</x:f>
        <x:v>95</x:v>
      </x:c>
      <x:c r="I401" s="10" t="n">
        <x:f>IF(OR(F401="Status",G401=0),"",G401+H401)</x:f>
        <x:v>135</x:v>
      </x:c>
      <x:c r="J401" s="10" t="n">
        <x:v>17</x:v>
      </x:c>
      <x:c r="K401" s="12" t="n">
        <x:v>20</x:v>
      </x:c>
      <x:c r="L401" s="1" t="str"/>
      <x:c r="M401" s="9" t="str">
        <x:v>https://poke.idleworld.online/pokepedia/pokemon/parasect</x:v>
      </x:c>
    </x:row>
    <x:row r="402" ht="22" customHeight="1">
      <x:c r="A402" s="1" t="n">
        <x:v>47</x:v>
      </x:c>
      <x:c r="B402" s="1" t="str">
        <x:v>Parasect</x:v>
      </x:c>
      <x:c r="C402" s="1" t="n">
        <x:v>1</x:v>
      </x:c>
      <x:c r="D402" s="1" t="str">
        <x:v>Leech Life</x:v>
      </x:c>
      <x:c r="E402" s="1" t="str">
        <x:v>Inseto</x:v>
      </x:c>
      <x:c r="F402" s="1" t="str">
        <x:v>Física</x:v>
      </x:c>
      <x:c r="G402" s="10" t="n">
        <x:v>20</x:v>
      </x:c>
      <x:c r="H402" s="10" t="n">
        <x:f>IF(F402="Física",'Pokémon'!G51,IF(F402="Especial",'Pokémon'!I51,""))</x:f>
        <x:v>95</x:v>
      </x:c>
      <x:c r="I402" s="10" t="n">
        <x:f>IF(OR(F402="Status",G402=0),"",G402+H402)</x:f>
        <x:v>115</x:v>
      </x:c>
      <x:c r="J402" s="10" t="n">
        <x:v>1</x:v>
      </x:c>
      <x:c r="K402" s="12" t="n">
        <x:v>15</x:v>
      </x:c>
      <x:c r="L402" s="1" t="str"/>
      <x:c r="M402" s="9" t="str">
        <x:v>https://poke.idleworld.online/pokepedia/pokemon/parasect</x:v>
      </x:c>
    </x:row>
    <x:row r="403" ht="22" customHeight="1">
      <x:c r="A403" s="1" t="n">
        <x:v>47</x:v>
      </x:c>
      <x:c r="B403" s="1" t="str">
        <x:v>Parasect</x:v>
      </x:c>
      <x:c r="C403" s="1" t="n">
        <x:v>2</x:v>
      </x:c>
      <x:c r="D403" s="1" t="str">
        <x:v>Poison Powder</x:v>
      </x:c>
      <x:c r="E403" s="1" t="str">
        <x:v>Venenoso</x:v>
      </x:c>
      <x:c r="F403" s="1" t="str">
        <x:v>Status</x:v>
      </x:c>
      <x:c r="G403" s="10" t="n">
        <x:v>0</x:v>
      </x:c>
      <x:c r="H403" s="10" t="str">
        <x:f>IF(F403="Física",'Pokémon'!G51,IF(F403="Especial",'Pokémon'!I51,""))</x:f>
      </x:c>
      <x:c r="I403" s="10" t="str">
        <x:f>IF(OR(F403="Status",G403=0),"",G403+H403)</x:f>
      </x:c>
      <x:c r="J403" s="10" t="n">
        <x:v>1</x:v>
      </x:c>
      <x:c r="K403" s="12" t="n">
        <x:v>20</x:v>
      </x:c>
      <x:c r="L403" s="1" t="str"/>
      <x:c r="M403" s="9" t="str">
        <x:v>https://poke.idleworld.online/pokepedia/pokemon/parasect</x:v>
      </x:c>
    </x:row>
    <x:row r="404" ht="22" customHeight="1">
      <x:c r="A404" s="1" t="n">
        <x:v>47</x:v>
      </x:c>
      <x:c r="B404" s="1" t="str">
        <x:v>Parasect</x:v>
      </x:c>
      <x:c r="C404" s="1" t="n">
        <x:v>3</x:v>
      </x:c>
      <x:c r="D404" s="1" t="str">
        <x:v>Stun Spore</x:v>
      </x:c>
      <x:c r="E404" s="1" t="str">
        <x:v>Planta</x:v>
      </x:c>
      <x:c r="F404" s="1" t="str">
        <x:v>Status</x:v>
      </x:c>
      <x:c r="G404" s="10" t="n">
        <x:v>0</x:v>
      </x:c>
      <x:c r="H404" s="10" t="str">
        <x:f>IF(F404="Física",'Pokémon'!G51,IF(F404="Especial",'Pokémon'!I51,""))</x:f>
      </x:c>
      <x:c r="I404" s="10" t="str">
        <x:f>IF(OR(F404="Status",G404=0),"",G404+H404)</x:f>
      </x:c>
      <x:c r="J404" s="10" t="n">
        <x:v>1</x:v>
      </x:c>
      <x:c r="K404" s="12" t="n">
        <x:v>40</x:v>
      </x:c>
      <x:c r="L404" s="1" t="str"/>
      <x:c r="M404" s="9" t="str">
        <x:v>https://poke.idleworld.online/pokepedia/pokemon/parasect</x:v>
      </x:c>
    </x:row>
    <x:row r="405" ht="22" customHeight="1">
      <x:c r="A405" s="1" t="n">
        <x:v>48</x:v>
      </x:c>
      <x:c r="B405" s="1" t="str">
        <x:v>Venonat</x:v>
      </x:c>
      <x:c r="C405" s="1" t="n">
        <x:v>10</x:v>
      </x:c>
      <x:c r="D405" s="1" t="str">
        <x:v>Zen Headbutt</x:v>
      </x:c>
      <x:c r="E405" s="1" t="str">
        <x:v>Psíquico</x:v>
      </x:c>
      <x:c r="F405" s="1" t="str">
        <x:v>Física</x:v>
      </x:c>
      <x:c r="G405" s="10" t="n">
        <x:v>80</x:v>
      </x:c>
      <x:c r="H405" s="10" t="n">
        <x:f>IF(F405="Física",'Pokémon'!G52,IF(F405="Especial",'Pokémon'!I52,""))</x:f>
        <x:v>55</x:v>
      </x:c>
      <x:c r="I405" s="10" t="n">
        <x:f>IF(OR(F405="Status",G405=0),"",G405+H405)</x:f>
        <x:v>135</x:v>
      </x:c>
      <x:c r="J405" s="10" t="n">
        <x:v>37</x:v>
      </x:c>
      <x:c r="K405" s="12" t="n">
        <x:v>22</x:v>
      </x:c>
      <x:c r="L405" s="1" t="str"/>
      <x:c r="M405" s="9" t="str">
        <x:v>https://poke.idleworld.online/pokepedia/pokemon/venonat</x:v>
      </x:c>
    </x:row>
    <x:row r="406" ht="22" customHeight="1">
      <x:c r="A406" s="1" t="n">
        <x:v>48</x:v>
      </x:c>
      <x:c r="B406" s="1" t="str">
        <x:v>Venonat</x:v>
      </x:c>
      <x:c r="C406" s="1" t="n">
        <x:v>12</x:v>
      </x:c>
      <x:c r="D406" s="1" t="str">
        <x:v>Psychic</x:v>
      </x:c>
      <x:c r="E406" s="1" t="str">
        <x:v>Psíquico</x:v>
      </x:c>
      <x:c r="F406" s="1" t="str">
        <x:v>Especial</x:v>
      </x:c>
      <x:c r="G406" s="10" t="n">
        <x:v>90</x:v>
      </x:c>
      <x:c r="H406" s="10" t="n">
        <x:f>IF(F406="Física",'Pokémon'!G52,IF(F406="Especial",'Pokémon'!I52,""))</x:f>
        <x:v>40</x:v>
      </x:c>
      <x:c r="I406" s="10" t="n">
        <x:f>IF(OR(F406="Status",G406=0),"",G406+H406)</x:f>
        <x:v>130</x:v>
      </x:c>
      <x:c r="J406" s="10" t="n">
        <x:v>47</x:v>
      </x:c>
      <x:c r="K406" s="12" t="n">
        <x:v>35</x:v>
      </x:c>
      <x:c r="L406" s="1" t="str"/>
      <x:c r="M406" s="9" t="str">
        <x:v>https://poke.idleworld.online/pokepedia/pokemon/venonat</x:v>
      </x:c>
    </x:row>
    <x:row r="407" ht="22" customHeight="1">
      <x:c r="A407" s="1" t="n">
        <x:v>48</x:v>
      </x:c>
      <x:c r="B407" s="1" t="str">
        <x:v>Venonat</x:v>
      </x:c>
      <x:c r="C407" s="1" t="n">
        <x:v>9</x:v>
      </x:c>
      <x:c r="D407" s="1" t="str">
        <x:v>Signal Beam</x:v>
      </x:c>
      <x:c r="E407" s="1" t="str">
        <x:v>Inseto</x:v>
      </x:c>
      <x:c r="F407" s="1" t="str">
        <x:v>Especial</x:v>
      </x:c>
      <x:c r="G407" s="10" t="n">
        <x:v>75</x:v>
      </x:c>
      <x:c r="H407" s="10" t="n">
        <x:f>IF(F407="Física",'Pokémon'!G52,IF(F407="Especial",'Pokémon'!I52,""))</x:f>
        <x:v>40</x:v>
      </x:c>
      <x:c r="I407" s="10" t="n">
        <x:f>IF(OR(F407="Status",G407=0),"",G407+H407)</x:f>
        <x:v>115</x:v>
      </x:c>
      <x:c r="J407" s="10" t="n">
        <x:v>35</x:v>
      </x:c>
      <x:c r="K407" s="12" t="n">
        <x:v>22</x:v>
      </x:c>
      <x:c r="L407" s="1" t="str"/>
      <x:c r="M407" s="9" t="str">
        <x:v>https://poke.idleworld.online/pokepedia/pokemon/venonat</x:v>
      </x:c>
    </x:row>
    <x:row r="408" ht="22" customHeight="1">
      <x:c r="A408" s="1" t="n">
        <x:v>48</x:v>
      </x:c>
      <x:c r="B408" s="1" t="str">
        <x:v>Venonat</x:v>
      </x:c>
      <x:c r="C408" s="1" t="n">
        <x:v>7</x:v>
      </x:c>
      <x:c r="D408" s="1" t="str">
        <x:v>Psybeam</x:v>
      </x:c>
      <x:c r="E408" s="1" t="str">
        <x:v>Psíquico</x:v>
      </x:c>
      <x:c r="F408" s="1" t="str">
        <x:v>Especial</x:v>
      </x:c>
      <x:c r="G408" s="10" t="n">
        <x:v>65</x:v>
      </x:c>
      <x:c r="H408" s="10" t="n">
        <x:f>IF(F408="Física",'Pokémon'!G52,IF(F408="Especial",'Pokémon'!I52,""))</x:f>
        <x:v>40</x:v>
      </x:c>
      <x:c r="I408" s="10" t="n">
        <x:f>IF(OR(F408="Status",G408=0),"",G408+H408)</x:f>
        <x:v>105</x:v>
      </x:c>
      <x:c r="J408" s="10" t="n">
        <x:v>25</x:v>
      </x:c>
      <x:c r="K408" s="12" t="n">
        <x:v>10</x:v>
      </x:c>
      <x:c r="L408" s="1" t="str"/>
      <x:c r="M408" s="9" t="str">
        <x:v>https://poke.idleworld.online/pokepedia/pokemon/venonat</x:v>
      </x:c>
    </x:row>
    <x:row r="409" ht="22" customHeight="1">
      <x:c r="A409" s="1" t="n">
        <x:v>48</x:v>
      </x:c>
      <x:c r="B409" s="1" t="str">
        <x:v>Venonat</x:v>
      </x:c>
      <x:c r="C409" s="1" t="n">
        <x:v>1</x:v>
      </x:c>
      <x:c r="D409" s="1" t="str">
        <x:v>Tackle</x:v>
      </x:c>
      <x:c r="E409" s="1" t="str">
        <x:v>Normal</x:v>
      </x:c>
      <x:c r="F409" s="1" t="str">
        <x:v>Física</x:v>
      </x:c>
      <x:c r="G409" s="10" t="n">
        <x:v>50</x:v>
      </x:c>
      <x:c r="H409" s="10" t="n">
        <x:f>IF(F409="Física",'Pokémon'!G52,IF(F409="Especial",'Pokémon'!I52,""))</x:f>
        <x:v>55</x:v>
      </x:c>
      <x:c r="I409" s="10" t="n">
        <x:f>IF(OR(F409="Status",G409=0),"",G409+H409)</x:f>
        <x:v>105</x:v>
      </x:c>
      <x:c r="J409" s="10" t="n">
        <x:v>1</x:v>
      </x:c>
      <x:c r="K409" s="12" t="n">
        <x:v>15</x:v>
      </x:c>
      <x:c r="L409" s="1" t="str"/>
      <x:c r="M409" s="9" t="str">
        <x:v>https://poke.idleworld.online/pokepedia/pokemon/venonat</x:v>
      </x:c>
    </x:row>
    <x:row r="410" ht="22" customHeight="1">
      <x:c r="A410" s="1" t="n">
        <x:v>48</x:v>
      </x:c>
      <x:c r="B410" s="1" t="str">
        <x:v>Venonat</x:v>
      </x:c>
      <x:c r="C410" s="1" t="n">
        <x:v>11</x:v>
      </x:c>
      <x:c r="D410" s="1" t="str">
        <x:v>Poison Fang</x:v>
      </x:c>
      <x:c r="E410" s="1" t="str">
        <x:v>Venenoso</x:v>
      </x:c>
      <x:c r="F410" s="1" t="str">
        <x:v>Física</x:v>
      </x:c>
      <x:c r="G410" s="10" t="n">
        <x:v>50</x:v>
      </x:c>
      <x:c r="H410" s="10" t="n">
        <x:f>IF(F410="Física",'Pokémon'!G52,IF(F410="Especial",'Pokémon'!I52,""))</x:f>
        <x:v>55</x:v>
      </x:c>
      <x:c r="I410" s="10" t="n">
        <x:f>IF(OR(F410="Status",G410=0),"",G410+H410)</x:f>
        <x:v>105</x:v>
      </x:c>
      <x:c r="J410" s="10" t="n">
        <x:v>41</x:v>
      </x:c>
      <x:c r="K410" s="12" t="n">
        <x:v>15</x:v>
      </x:c>
      <x:c r="L410" s="1" t="str"/>
      <x:c r="M410" s="9" t="str">
        <x:v>https://poke.idleworld.online/pokepedia/pokemon/venonat</x:v>
      </x:c>
    </x:row>
    <x:row r="411" ht="22" customHeight="1">
      <x:c r="A411" s="1" t="n">
        <x:v>48</x:v>
      </x:c>
      <x:c r="B411" s="1" t="str">
        <x:v>Venonat</x:v>
      </x:c>
      <x:c r="C411" s="1" t="n">
        <x:v>3</x:v>
      </x:c>
      <x:c r="D411" s="1" t="str">
        <x:v>Confusion</x:v>
      </x:c>
      <x:c r="E411" s="1" t="str">
        <x:v>Psíquico</x:v>
      </x:c>
      <x:c r="F411" s="1" t="str">
        <x:v>Especial</x:v>
      </x:c>
      <x:c r="G411" s="10" t="n">
        <x:v>50</x:v>
      </x:c>
      <x:c r="H411" s="10" t="n">
        <x:f>IF(F411="Física",'Pokémon'!G52,IF(F411="Especial",'Pokémon'!I52,""))</x:f>
        <x:v>40</x:v>
      </x:c>
      <x:c r="I411" s="10" t="n">
        <x:f>IF(OR(F411="Status",G411=0),"",G411+H411)</x:f>
        <x:v>90</x:v>
      </x:c>
      <x:c r="J411" s="10" t="n">
        <x:v>11</x:v>
      </x:c>
      <x:c r="K411" s="12" t="n">
        <x:v>30</x:v>
      </x:c>
      <x:c r="L411" s="1" t="str"/>
      <x:c r="M411" s="9" t="str">
        <x:v>https://poke.idleworld.online/pokepedia/pokemon/venonat</x:v>
      </x:c>
    </x:row>
    <x:row r="412" ht="22" customHeight="1">
      <x:c r="A412" s="1" t="n">
        <x:v>48</x:v>
      </x:c>
      <x:c r="B412" s="1" t="str">
        <x:v>Venonat</x:v>
      </x:c>
      <x:c r="C412" s="1" t="n">
        <x:v>5</x:v>
      </x:c>
      <x:c r="D412" s="1" t="str">
        <x:v>Leech Life</x:v>
      </x:c>
      <x:c r="E412" s="1" t="str">
        <x:v>Inseto</x:v>
      </x:c>
      <x:c r="F412" s="1" t="str">
        <x:v>Física</x:v>
      </x:c>
      <x:c r="G412" s="10" t="n">
        <x:v>20</x:v>
      </x:c>
      <x:c r="H412" s="10" t="n">
        <x:f>IF(F412="Física",'Pokémon'!G52,IF(F412="Especial",'Pokémon'!I52,""))</x:f>
        <x:v>55</x:v>
      </x:c>
      <x:c r="I412" s="10" t="n">
        <x:f>IF(OR(F412="Status",G412=0),"",G412+H412)</x:f>
        <x:v>75</x:v>
      </x:c>
      <x:c r="J412" s="10" t="n">
        <x:v>17</x:v>
      </x:c>
      <x:c r="K412" s="12" t="n">
        <x:v>15</x:v>
      </x:c>
      <x:c r="L412" s="1" t="str"/>
      <x:c r="M412" s="9" t="str">
        <x:v>https://poke.idleworld.online/pokepedia/pokemon/venonat</x:v>
      </x:c>
    </x:row>
    <x:row r="413" ht="22" customHeight="1">
      <x:c r="A413" s="1" t="n">
        <x:v>48</x:v>
      </x:c>
      <x:c r="B413" s="1" t="str">
        <x:v>Venonat</x:v>
      </x:c>
      <x:c r="C413" s="1" t="n">
        <x:v>2</x:v>
      </x:c>
      <x:c r="D413" s="1" t="str">
        <x:v>Super Sonic</x:v>
      </x:c>
      <x:c r="E413" s="1" t="str">
        <x:v>Normal</x:v>
      </x:c>
      <x:c r="F413" s="1" t="str">
        <x:v>Status</x:v>
      </x:c>
      <x:c r="G413" s="10" t="n">
        <x:v>0</x:v>
      </x:c>
      <x:c r="H413" s="10" t="str">
        <x:f>IF(F413="Física",'Pokémon'!G52,IF(F413="Especial",'Pokémon'!I52,""))</x:f>
      </x:c>
      <x:c r="I413" s="10" t="str">
        <x:f>IF(OR(F413="Status",G413=0),"",G413+H413)</x:f>
      </x:c>
      <x:c r="J413" s="10" t="n">
        <x:v>5</x:v>
      </x:c>
      <x:c r="K413" s="12" t="n">
        <x:v>30</x:v>
      </x:c>
      <x:c r="L413" s="1" t="str"/>
      <x:c r="M413" s="9" t="str">
        <x:v>https://poke.idleworld.online/pokepedia/pokemon/venonat</x:v>
      </x:c>
    </x:row>
    <x:row r="414" ht="22" customHeight="1">
      <x:c r="A414" s="1" t="n">
        <x:v>48</x:v>
      </x:c>
      <x:c r="B414" s="1" t="str">
        <x:v>Venonat</x:v>
      </x:c>
      <x:c r="C414" s="1" t="n">
        <x:v>4</x:v>
      </x:c>
      <x:c r="D414" s="1" t="str">
        <x:v>Poison Powder</x:v>
      </x:c>
      <x:c r="E414" s="1" t="str">
        <x:v>Venenoso</x:v>
      </x:c>
      <x:c r="F414" s="1" t="str">
        <x:v>Status</x:v>
      </x:c>
      <x:c r="G414" s="10" t="n">
        <x:v>0</x:v>
      </x:c>
      <x:c r="H414" s="10" t="str">
        <x:f>IF(F414="Física",'Pokémon'!G52,IF(F414="Especial",'Pokémon'!I52,""))</x:f>
      </x:c>
      <x:c r="I414" s="10" t="str">
        <x:f>IF(OR(F414="Status",G414=0),"",G414+H414)</x:f>
      </x:c>
      <x:c r="J414" s="10" t="n">
        <x:v>13</x:v>
      </x:c>
      <x:c r="K414" s="12" t="n">
        <x:v>20</x:v>
      </x:c>
      <x:c r="L414" s="1" t="str"/>
      <x:c r="M414" s="9" t="str">
        <x:v>https://poke.idleworld.online/pokepedia/pokemon/venonat</x:v>
      </x:c>
    </x:row>
    <x:row r="415" ht="22" customHeight="1">
      <x:c r="A415" s="1" t="n">
        <x:v>48</x:v>
      </x:c>
      <x:c r="B415" s="1" t="str">
        <x:v>Venonat</x:v>
      </x:c>
      <x:c r="C415" s="1" t="n">
        <x:v>6</x:v>
      </x:c>
      <x:c r="D415" s="1" t="str">
        <x:v>Stun Spore</x:v>
      </x:c>
      <x:c r="E415" s="1" t="str">
        <x:v>Planta</x:v>
      </x:c>
      <x:c r="F415" s="1" t="str">
        <x:v>Status</x:v>
      </x:c>
      <x:c r="G415" s="10" t="n">
        <x:v>0</x:v>
      </x:c>
      <x:c r="H415" s="10" t="str">
        <x:f>IF(F415="Física",'Pokémon'!G52,IF(F415="Especial",'Pokémon'!I52,""))</x:f>
      </x:c>
      <x:c r="I415" s="10" t="str">
        <x:f>IF(OR(F415="Status",G415=0),"",G415+H415)</x:f>
      </x:c>
      <x:c r="J415" s="10" t="n">
        <x:v>23</x:v>
      </x:c>
      <x:c r="K415" s="12" t="n">
        <x:v>40</x:v>
      </x:c>
      <x:c r="L415" s="1" t="str"/>
      <x:c r="M415" s="9" t="str">
        <x:v>https://poke.idleworld.online/pokepedia/pokemon/venonat</x:v>
      </x:c>
    </x:row>
    <x:row r="416" ht="22" customHeight="1">
      <x:c r="A416" s="1" t="n">
        <x:v>48</x:v>
      </x:c>
      <x:c r="B416" s="1" t="str">
        <x:v>Venonat</x:v>
      </x:c>
      <x:c r="C416" s="1" t="n">
        <x:v>8</x:v>
      </x:c>
      <x:c r="D416" s="1" t="str">
        <x:v>Sleep Powder</x:v>
      </x:c>
      <x:c r="E416" s="1" t="str">
        <x:v>Planta</x:v>
      </x:c>
      <x:c r="F416" s="1" t="str">
        <x:v>Status</x:v>
      </x:c>
      <x:c r="G416" s="10" t="n">
        <x:v>0</x:v>
      </x:c>
      <x:c r="H416" s="10" t="str">
        <x:f>IF(F416="Física",'Pokémon'!G52,IF(F416="Especial",'Pokémon'!I52,""))</x:f>
      </x:c>
      <x:c r="I416" s="10" t="str">
        <x:f>IF(OR(F416="Status",G416=0),"",G416+H416)</x:f>
      </x:c>
      <x:c r="J416" s="10" t="n">
        <x:v>29</x:v>
      </x:c>
      <x:c r="K416" s="12" t="n">
        <x:v>30</x:v>
      </x:c>
      <x:c r="L416" s="1" t="str"/>
      <x:c r="M416" s="9" t="str">
        <x:v>https://poke.idleworld.online/pokepedia/pokemon/venonat</x:v>
      </x:c>
    </x:row>
    <x:row r="417" ht="22" customHeight="1">
      <x:c r="A417" s="1" t="n">
        <x:v>49</x:v>
      </x:c>
      <x:c r="B417" s="1" t="str">
        <x:v>Venomoth</x:v>
      </x:c>
      <x:c r="C417" s="1" t="n">
        <x:v>4</x:v>
      </x:c>
      <x:c r="D417" s="1" t="str">
        <x:v>Hive Crush</x:v>
      </x:c>
      <x:c r="E417" s="1" t="str">
        <x:v>Inseto</x:v>
      </x:c>
      <x:c r="F417" s="1" t="str">
        <x:v>Física</x:v>
      </x:c>
      <x:c r="G417" s="10" t="n">
        <x:v>300</x:v>
      </x:c>
      <x:c r="H417" s="10" t="n">
        <x:f>IF(F417="Física",'Pokémon'!G53,IF(F417="Especial",'Pokémon'!I53,""))</x:f>
        <x:v>65</x:v>
      </x:c>
      <x:c r="I417" s="10" t="n">
        <x:f>IF(OR(F417="Status",G417=0),"",G417+H417)</x:f>
        <x:v>365</x:v>
      </x:c>
      <x:c r="J417" s="10" t="n">
        <x:v>1</x:v>
      </x:c>
      <x:c r="K417" s="12" t="n">
        <x:v>10</x:v>
      </x:c>
      <x:c r="L417" s="1" t="str">
        <x:v>Sim</x:v>
      </x:c>
      <x:c r="M417" s="9" t="str">
        <x:v>https://poke.idleworld.online/pokepedia/pokemon/venomoth</x:v>
      </x:c>
    </x:row>
    <x:row r="418" ht="22" customHeight="1">
      <x:c r="A418" s="1" t="n">
        <x:v>49</x:v>
      </x:c>
      <x:c r="B418" s="1" t="str">
        <x:v>Venomoth</x:v>
      </x:c>
      <x:c r="C418" s="1" t="n">
        <x:v>1</x:v>
      </x:c>
      <x:c r="D418" s="1" t="str">
        <x:v>Bug Buzz</x:v>
      </x:c>
      <x:c r="E418" s="1" t="str">
        <x:v>Inseto</x:v>
      </x:c>
      <x:c r="F418" s="1" t="str">
        <x:v>Especial</x:v>
      </x:c>
      <x:c r="G418" s="10" t="n">
        <x:v>90</x:v>
      </x:c>
      <x:c r="H418" s="10" t="n">
        <x:f>IF(F418="Física",'Pokémon'!G53,IF(F418="Especial",'Pokémon'!I53,""))</x:f>
        <x:v>90</x:v>
      </x:c>
      <x:c r="I418" s="10" t="n">
        <x:f>IF(OR(F418="Status",G418=0),"",G418+H418)</x:f>
        <x:v>180</x:v>
      </x:c>
      <x:c r="J418" s="10" t="n">
        <x:v>1</x:v>
      </x:c>
      <x:c r="K418" s="12" t="n">
        <x:v>30</x:v>
      </x:c>
      <x:c r="L418" s="1" t="str"/>
      <x:c r="M418" s="9" t="str">
        <x:v>https://poke.idleworld.online/pokepedia/pokemon/venomoth</x:v>
      </x:c>
    </x:row>
    <x:row r="419" ht="22" customHeight="1">
      <x:c r="A419" s="1" t="n">
        <x:v>49</x:v>
      </x:c>
      <x:c r="B419" s="1" t="str">
        <x:v>Venomoth</x:v>
      </x:c>
      <x:c r="C419" s="1" t="n">
        <x:v>15</x:v>
      </x:c>
      <x:c r="D419" s="1" t="str">
        <x:v>Psychic</x:v>
      </x:c>
      <x:c r="E419" s="1" t="str">
        <x:v>Psíquico</x:v>
      </x:c>
      <x:c r="F419" s="1" t="str">
        <x:v>Especial</x:v>
      </x:c>
      <x:c r="G419" s="10" t="n">
        <x:v>90</x:v>
      </x:c>
      <x:c r="H419" s="10" t="n">
        <x:f>IF(F419="Física",'Pokémon'!G53,IF(F419="Especial",'Pokémon'!I53,""))</x:f>
        <x:v>90</x:v>
      </x:c>
      <x:c r="I419" s="10" t="n">
        <x:f>IF(OR(F419="Status",G419=0),"",G419+H419)</x:f>
        <x:v>180</x:v>
      </x:c>
      <x:c r="J419" s="10" t="n">
        <x:v>55</x:v>
      </x:c>
      <x:c r="K419" s="12" t="n">
        <x:v>35</x:v>
      </x:c>
      <x:c r="L419" s="1" t="str"/>
      <x:c r="M419" s="9" t="str">
        <x:v>https://poke.idleworld.online/pokepedia/pokemon/venomoth</x:v>
      </x:c>
    </x:row>
    <x:row r="420" ht="22" customHeight="1">
      <x:c r="A420" s="1" t="n">
        <x:v>49</x:v>
      </x:c>
      <x:c r="B420" s="1" t="str">
        <x:v>Venomoth</x:v>
      </x:c>
      <x:c r="C420" s="1" t="n">
        <x:v>12</x:v>
      </x:c>
      <x:c r="D420" s="1" t="str">
        <x:v>Signal Beam</x:v>
      </x:c>
      <x:c r="E420" s="1" t="str">
        <x:v>Inseto</x:v>
      </x:c>
      <x:c r="F420" s="1" t="str">
        <x:v>Especial</x:v>
      </x:c>
      <x:c r="G420" s="10" t="n">
        <x:v>75</x:v>
      </x:c>
      <x:c r="H420" s="10" t="n">
        <x:f>IF(F420="Física",'Pokémon'!G53,IF(F420="Especial",'Pokémon'!I53,""))</x:f>
        <x:v>90</x:v>
      </x:c>
      <x:c r="I420" s="10" t="n">
        <x:f>IF(OR(F420="Status",G420=0),"",G420+H420)</x:f>
        <x:v>165</x:v>
      </x:c>
      <x:c r="J420" s="10" t="n">
        <x:v>37</x:v>
      </x:c>
      <x:c r="K420" s="12" t="n">
        <x:v>60</x:v>
      </x:c>
      <x:c r="L420" s="1" t="str"/>
      <x:c r="M420" s="9" t="str">
        <x:v>https://poke.idleworld.online/pokepedia/pokemon/venomoth</x:v>
      </x:c>
    </x:row>
    <x:row r="421" ht="22" customHeight="1">
      <x:c r="A421" s="1" t="n">
        <x:v>49</x:v>
      </x:c>
      <x:c r="B421" s="1" t="str">
        <x:v>Venomoth</x:v>
      </x:c>
      <x:c r="C421" s="1" t="n">
        <x:v>9</x:v>
      </x:c>
      <x:c r="D421" s="1" t="str">
        <x:v>Psybeam</x:v>
      </x:c>
      <x:c r="E421" s="1" t="str">
        <x:v>Psíquico</x:v>
      </x:c>
      <x:c r="F421" s="1" t="str">
        <x:v>Especial</x:v>
      </x:c>
      <x:c r="G421" s="10" t="n">
        <x:v>65</x:v>
      </x:c>
      <x:c r="H421" s="10" t="n">
        <x:f>IF(F421="Física",'Pokémon'!G53,IF(F421="Especial",'Pokémon'!I53,""))</x:f>
        <x:v>90</x:v>
      </x:c>
      <x:c r="I421" s="10" t="n">
        <x:f>IF(OR(F421="Status",G421=0),"",G421+H421)</x:f>
        <x:v>155</x:v>
      </x:c>
      <x:c r="J421" s="10" t="n">
        <x:v>25</x:v>
      </x:c>
      <x:c r="K421" s="12" t="n">
        <x:v>10</x:v>
      </x:c>
      <x:c r="L421" s="1" t="str"/>
      <x:c r="M421" s="9" t="str">
        <x:v>https://poke.idleworld.online/pokepedia/pokemon/venomoth</x:v>
      </x:c>
    </x:row>
    <x:row r="422" ht="22" customHeight="1">
      <x:c r="A422" s="1" t="n">
        <x:v>49</x:v>
      </x:c>
      <x:c r="B422" s="1" t="str">
        <x:v>Venomoth</x:v>
      </x:c>
      <x:c r="C422" s="1" t="n">
        <x:v>3</x:v>
      </x:c>
      <x:c r="D422" s="1" t="str">
        <x:v>Silver Wind</x:v>
      </x:c>
      <x:c r="E422" s="1" t="str">
        <x:v>Inseto</x:v>
      </x:c>
      <x:c r="F422" s="1" t="str">
        <x:v>Especial</x:v>
      </x:c>
      <x:c r="G422" s="10" t="n">
        <x:v>60</x:v>
      </x:c>
      <x:c r="H422" s="10" t="n">
        <x:f>IF(F422="Física",'Pokémon'!G53,IF(F422="Especial",'Pokémon'!I53,""))</x:f>
        <x:v>90</x:v>
      </x:c>
      <x:c r="I422" s="10" t="n">
        <x:f>IF(OR(F422="Status",G422=0),"",G422+H422)</x:f>
        <x:v>150</x:v>
      </x:c>
      <x:c r="J422" s="10" t="n">
        <x:v>1</x:v>
      </x:c>
      <x:c r="K422" s="12" t="n">
        <x:v>15</x:v>
      </x:c>
      <x:c r="L422" s="1" t="str"/>
      <x:c r="M422" s="9" t="str">
        <x:v>https://poke.idleworld.online/pokepedia/pokemon/venomoth</x:v>
      </x:c>
    </x:row>
    <x:row r="423" ht="22" customHeight="1">
      <x:c r="A423" s="1" t="n">
        <x:v>49</x:v>
      </x:c>
      <x:c r="B423" s="1" t="str">
        <x:v>Venomoth</x:v>
      </x:c>
      <x:c r="C423" s="1" t="n">
        <x:v>13</x:v>
      </x:c>
      <x:c r="D423" s="1" t="str">
        <x:v>Zen Headbutt</x:v>
      </x:c>
      <x:c r="E423" s="1" t="str">
        <x:v>Psíquico</x:v>
      </x:c>
      <x:c r="F423" s="1" t="str">
        <x:v>Física</x:v>
      </x:c>
      <x:c r="G423" s="10" t="n">
        <x:v>80</x:v>
      </x:c>
      <x:c r="H423" s="10" t="n">
        <x:f>IF(F423="Física",'Pokémon'!G53,IF(F423="Especial",'Pokémon'!I53,""))</x:f>
        <x:v>65</x:v>
      </x:c>
      <x:c r="I423" s="10" t="n">
        <x:f>IF(OR(F423="Status",G423=0),"",G423+H423)</x:f>
        <x:v>145</x:v>
      </x:c>
      <x:c r="J423" s="10" t="n">
        <x:v>41</x:v>
      </x:c>
      <x:c r="K423" s="12" t="n">
        <x:v>22</x:v>
      </x:c>
      <x:c r="L423" s="1" t="str"/>
      <x:c r="M423" s="9" t="str">
        <x:v>https://poke.idleworld.online/pokepedia/pokemon/venomoth</x:v>
      </x:c>
    </x:row>
    <x:row r="424" ht="22" customHeight="1">
      <x:c r="A424" s="1" t="n">
        <x:v>49</x:v>
      </x:c>
      <x:c r="B424" s="1" t="str">
        <x:v>Venomoth</x:v>
      </x:c>
      <x:c r="C424" s="1" t="n">
        <x:v>6</x:v>
      </x:c>
      <x:c r="D424" s="1" t="str">
        <x:v>Confusion</x:v>
      </x:c>
      <x:c r="E424" s="1" t="str">
        <x:v>Psíquico</x:v>
      </x:c>
      <x:c r="F424" s="1" t="str">
        <x:v>Especial</x:v>
      </x:c>
      <x:c r="G424" s="10" t="n">
        <x:v>50</x:v>
      </x:c>
      <x:c r="H424" s="10" t="n">
        <x:f>IF(F424="Física",'Pokémon'!G53,IF(F424="Especial",'Pokémon'!I53,""))</x:f>
        <x:v>90</x:v>
      </x:c>
      <x:c r="I424" s="10" t="n">
        <x:f>IF(OR(F424="Status",G424=0),"",G424+H424)</x:f>
        <x:v>140</x:v>
      </x:c>
      <x:c r="J424" s="10" t="n">
        <x:v>11</x:v>
      </x:c>
      <x:c r="K424" s="12" t="n">
        <x:v>30</x:v>
      </x:c>
      <x:c r="L424" s="1" t="str"/>
      <x:c r="M424" s="9" t="str">
        <x:v>https://poke.idleworld.online/pokepedia/pokemon/venomoth</x:v>
      </x:c>
    </x:row>
    <x:row r="425" ht="22" customHeight="1">
      <x:c r="A425" s="1" t="n">
        <x:v>49</x:v>
      </x:c>
      <x:c r="B425" s="1" t="str">
        <x:v>Venomoth</x:v>
      </x:c>
      <x:c r="C425" s="1" t="n">
        <x:v>11</x:v>
      </x:c>
      <x:c r="D425" s="1" t="str">
        <x:v>Gust</x:v>
      </x:c>
      <x:c r="E425" s="1" t="str">
        <x:v>Voador</x:v>
      </x:c>
      <x:c r="F425" s="1" t="str">
        <x:v>Especial</x:v>
      </x:c>
      <x:c r="G425" s="10" t="n">
        <x:v>40</x:v>
      </x:c>
      <x:c r="H425" s="10" t="n">
        <x:f>IF(F425="Física",'Pokémon'!G53,IF(F425="Especial",'Pokémon'!I53,""))</x:f>
        <x:v>90</x:v>
      </x:c>
      <x:c r="I425" s="10" t="n">
        <x:f>IF(OR(F425="Status",G425=0),"",G425+H425)</x:f>
        <x:v>130</x:v>
      </x:c>
      <x:c r="J425" s="10" t="n">
        <x:v>31</x:v>
      </x:c>
      <x:c r="K425" s="12" t="n">
        <x:v>15</x:v>
      </x:c>
      <x:c r="L425" s="1" t="str"/>
      <x:c r="M425" s="9" t="str">
        <x:v>https://poke.idleworld.online/pokepedia/pokemon/venomoth</x:v>
      </x:c>
    </x:row>
    <x:row r="426" ht="22" customHeight="1">
      <x:c r="A426" s="1" t="n">
        <x:v>49</x:v>
      </x:c>
      <x:c r="B426" s="1" t="str">
        <x:v>Venomoth</x:v>
      </x:c>
      <x:c r="C426" s="1" t="n">
        <x:v>5</x:v>
      </x:c>
      <x:c r="D426" s="1" t="str">
        <x:v>Tackle</x:v>
      </x:c>
      <x:c r="E426" s="1" t="str">
        <x:v>Normal</x:v>
      </x:c>
      <x:c r="F426" s="1" t="str">
        <x:v>Física</x:v>
      </x:c>
      <x:c r="G426" s="10" t="n">
        <x:v>50</x:v>
      </x:c>
      <x:c r="H426" s="10" t="n">
        <x:f>IF(F426="Física",'Pokémon'!G53,IF(F426="Especial",'Pokémon'!I53,""))</x:f>
        <x:v>65</x:v>
      </x:c>
      <x:c r="I426" s="10" t="n">
        <x:f>IF(OR(F426="Status",G426=0),"",G426+H426)</x:f>
        <x:v>115</x:v>
      </x:c>
      <x:c r="J426" s="10" t="n">
        <x:v>1</x:v>
      </x:c>
      <x:c r="K426" s="12" t="n">
        <x:v>15</x:v>
      </x:c>
      <x:c r="L426" s="1" t="str"/>
      <x:c r="M426" s="9" t="str">
        <x:v>https://poke.idleworld.online/pokepedia/pokemon/venomoth</x:v>
      </x:c>
    </x:row>
    <x:row r="427" ht="22" customHeight="1">
      <x:c r="A427" s="1" t="n">
        <x:v>49</x:v>
      </x:c>
      <x:c r="B427" s="1" t="str">
        <x:v>Venomoth</x:v>
      </x:c>
      <x:c r="C427" s="1" t="n">
        <x:v>14</x:v>
      </x:c>
      <x:c r="D427" s="1" t="str">
        <x:v>Poison Fang</x:v>
      </x:c>
      <x:c r="E427" s="1" t="str">
        <x:v>Venenoso</x:v>
      </x:c>
      <x:c r="F427" s="1" t="str">
        <x:v>Física</x:v>
      </x:c>
      <x:c r="G427" s="10" t="n">
        <x:v>50</x:v>
      </x:c>
      <x:c r="H427" s="10" t="n">
        <x:f>IF(F427="Física",'Pokémon'!G53,IF(F427="Especial",'Pokémon'!I53,""))</x:f>
        <x:v>65</x:v>
      </x:c>
      <x:c r="I427" s="10" t="n">
        <x:f>IF(OR(F427="Status",G427=0),"",G427+H427)</x:f>
        <x:v>115</x:v>
      </x:c>
      <x:c r="J427" s="10" t="n">
        <x:v>47</x:v>
      </x:c>
      <x:c r="K427" s="12" t="n">
        <x:v>15</x:v>
      </x:c>
      <x:c r="L427" s="1" t="str"/>
      <x:c r="M427" s="9" t="str">
        <x:v>https://poke.idleworld.online/pokepedia/pokemon/venomoth</x:v>
      </x:c>
    </x:row>
    <x:row r="428" ht="22" customHeight="1">
      <x:c r="A428" s="1" t="n">
        <x:v>49</x:v>
      </x:c>
      <x:c r="B428" s="1" t="str">
        <x:v>Venomoth</x:v>
      </x:c>
      <x:c r="C428" s="1" t="n">
        <x:v>8</x:v>
      </x:c>
      <x:c r="D428" s="1" t="str">
        <x:v>Leech Life</x:v>
      </x:c>
      <x:c r="E428" s="1" t="str">
        <x:v>Inseto</x:v>
      </x:c>
      <x:c r="F428" s="1" t="str">
        <x:v>Física</x:v>
      </x:c>
      <x:c r="G428" s="10" t="n">
        <x:v>20</x:v>
      </x:c>
      <x:c r="H428" s="10" t="n">
        <x:f>IF(F428="Física",'Pokémon'!G53,IF(F428="Especial",'Pokémon'!I53,""))</x:f>
        <x:v>65</x:v>
      </x:c>
      <x:c r="I428" s="10" t="n">
        <x:f>IF(OR(F428="Status",G428=0),"",G428+H428)</x:f>
        <x:v>85</x:v>
      </x:c>
      <x:c r="J428" s="10" t="n">
        <x:v>17</x:v>
      </x:c>
      <x:c r="K428" s="12" t="n">
        <x:v>15</x:v>
      </x:c>
      <x:c r="L428" s="1" t="str"/>
      <x:c r="M428" s="9" t="str">
        <x:v>https://poke.idleworld.online/pokepedia/pokemon/venomoth</x:v>
      </x:c>
    </x:row>
    <x:row r="429" ht="22" customHeight="1">
      <x:c r="A429" s="1" t="n">
        <x:v>49</x:v>
      </x:c>
      <x:c r="B429" s="1" t="str">
        <x:v>Venomoth</x:v>
      </x:c>
      <x:c r="C429" s="1" t="n">
        <x:v>2</x:v>
      </x:c>
      <x:c r="D429" s="1" t="str">
        <x:v>Super Sonic</x:v>
      </x:c>
      <x:c r="E429" s="1" t="str">
        <x:v>Normal</x:v>
      </x:c>
      <x:c r="F429" s="1" t="str">
        <x:v>Status</x:v>
      </x:c>
      <x:c r="G429" s="10" t="n">
        <x:v>0</x:v>
      </x:c>
      <x:c r="H429" s="10" t="str">
        <x:f>IF(F429="Física",'Pokémon'!G53,IF(F429="Especial",'Pokémon'!I53,""))</x:f>
      </x:c>
      <x:c r="I429" s="10" t="str">
        <x:f>IF(OR(F429="Status",G429=0),"",G429+H429)</x:f>
      </x:c>
      <x:c r="J429" s="10" t="n">
        <x:v>1</x:v>
      </x:c>
      <x:c r="K429" s="12" t="n">
        <x:v>30</x:v>
      </x:c>
      <x:c r="L429" s="1" t="str"/>
      <x:c r="M429" s="9" t="str">
        <x:v>https://poke.idleworld.online/pokepedia/pokemon/venomoth</x:v>
      </x:c>
    </x:row>
    <x:row r="430" ht="22" customHeight="1">
      <x:c r="A430" s="1" t="n">
        <x:v>49</x:v>
      </x:c>
      <x:c r="B430" s="1" t="str">
        <x:v>Venomoth</x:v>
      </x:c>
      <x:c r="C430" s="1" t="n">
        <x:v>7</x:v>
      </x:c>
      <x:c r="D430" s="1" t="str">
        <x:v>Poison Powder</x:v>
      </x:c>
      <x:c r="E430" s="1" t="str">
        <x:v>Venenoso</x:v>
      </x:c>
      <x:c r="F430" s="1" t="str">
        <x:v>Status</x:v>
      </x:c>
      <x:c r="G430" s="10" t="n">
        <x:v>0</x:v>
      </x:c>
      <x:c r="H430" s="10" t="str">
        <x:f>IF(F430="Física",'Pokémon'!G53,IF(F430="Especial",'Pokémon'!I53,""))</x:f>
      </x:c>
      <x:c r="I430" s="10" t="str">
        <x:f>IF(OR(F430="Status",G430=0),"",G430+H430)</x:f>
      </x:c>
      <x:c r="J430" s="10" t="n">
        <x:v>13</x:v>
      </x:c>
      <x:c r="K430" s="12" t="n">
        <x:v>20</x:v>
      </x:c>
      <x:c r="L430" s="1" t="str"/>
      <x:c r="M430" s="9" t="str">
        <x:v>https://poke.idleworld.online/pokepedia/pokemon/venomoth</x:v>
      </x:c>
    </x:row>
    <x:row r="431" ht="22" customHeight="1">
      <x:c r="A431" s="1" t="n">
        <x:v>49</x:v>
      </x:c>
      <x:c r="B431" s="1" t="str">
        <x:v>Venomoth</x:v>
      </x:c>
      <x:c r="C431" s="1" t="n">
        <x:v>10</x:v>
      </x:c>
      <x:c r="D431" s="1" t="str">
        <x:v>Sleep Powder</x:v>
      </x:c>
      <x:c r="E431" s="1" t="str">
        <x:v>Planta</x:v>
      </x:c>
      <x:c r="F431" s="1" t="str">
        <x:v>Status</x:v>
      </x:c>
      <x:c r="G431" s="10" t="n">
        <x:v>0</x:v>
      </x:c>
      <x:c r="H431" s="10" t="str">
        <x:f>IF(F431="Física",'Pokémon'!G53,IF(F431="Especial",'Pokémon'!I53,""))</x:f>
      </x:c>
      <x:c r="I431" s="10" t="str">
        <x:f>IF(OR(F431="Status",G431=0),"",G431+H431)</x:f>
      </x:c>
      <x:c r="J431" s="10" t="n">
        <x:v>29</x:v>
      </x:c>
      <x:c r="K431" s="12" t="n">
        <x:v>30</x:v>
      </x:c>
      <x:c r="L431" s="1" t="str"/>
      <x:c r="M431" s="9" t="str">
        <x:v>https://poke.idleworld.online/pokepedia/pokemon/venomoth</x:v>
      </x:c>
    </x:row>
    <x:row r="432" ht="22" customHeight="1">
      <x:c r="A432" s="1" t="n">
        <x:v>50</x:v>
      </x:c>
      <x:c r="B432" s="1" t="str">
        <x:v>Diglett</x:v>
      </x:c>
      <x:c r="C432" s="1" t="n">
        <x:v>11</x:v>
      </x:c>
      <x:c r="D432" s="1" t="str">
        <x:v>Earthquake</x:v>
      </x:c>
      <x:c r="E432" s="1" t="str">
        <x:v>Terrestre</x:v>
      </x:c>
      <x:c r="F432" s="1" t="str">
        <x:v>Física</x:v>
      </x:c>
      <x:c r="G432" s="10" t="n">
        <x:v>100</x:v>
      </x:c>
      <x:c r="H432" s="10" t="n">
        <x:f>IF(F432="Física",'Pokémon'!G54,IF(F432="Especial",'Pokémon'!I54,""))</x:f>
        <x:v>55</x:v>
      </x:c>
      <x:c r="I432" s="10" t="n">
        <x:f>IF(OR(F432="Status",G432=0),"",G432+H432)</x:f>
        <x:v>155</x:v>
      </x:c>
      <x:c r="J432" s="10" t="n">
        <x:v>40</x:v>
      </x:c>
      <x:c r="K432" s="12" t="n">
        <x:v>40</x:v>
      </x:c>
      <x:c r="L432" s="1" t="str"/>
      <x:c r="M432" s="9" t="str">
        <x:v>https://poke.idleworld.online/pokepedia/pokemon/diglett</x:v>
      </x:c>
    </x:row>
    <x:row r="433" ht="22" customHeight="1">
      <x:c r="A433" s="1" t="n">
        <x:v>50</x:v>
      </x:c>
      <x:c r="B433" s="1" t="str">
        <x:v>Diglett</x:v>
      </x:c>
      <x:c r="C433" s="1" t="n">
        <x:v>6</x:v>
      </x:c>
      <x:c r="D433" s="1" t="str">
        <x:v>Sucker Punch</x:v>
      </x:c>
      <x:c r="E433" s="1" t="str">
        <x:v>Sombrio</x:v>
      </x:c>
      <x:c r="F433" s="1" t="str">
        <x:v>Física</x:v>
      </x:c>
      <x:c r="G433" s="10" t="n">
        <x:v>80</x:v>
      </x:c>
      <x:c r="H433" s="10" t="n">
        <x:f>IF(F433="Física",'Pokémon'!G54,IF(F433="Especial",'Pokémon'!I54,""))</x:f>
        <x:v>55</x:v>
      </x:c>
      <x:c r="I433" s="10" t="n">
        <x:f>IF(OR(F433="Status",G433=0),"",G433+H433)</x:f>
        <x:v>135</x:v>
      </x:c>
      <x:c r="J433" s="10" t="n">
        <x:v>23</x:v>
      </x:c>
      <x:c r="K433" s="12" t="n">
        <x:v>22</x:v>
      </x:c>
      <x:c r="L433" s="1" t="str"/>
      <x:c r="M433" s="9" t="str">
        <x:v>https://poke.idleworld.online/pokepedia/pokemon/diglett</x:v>
      </x:c>
    </x:row>
    <x:row r="434" ht="22" customHeight="1">
      <x:c r="A434" s="1" t="n">
        <x:v>50</x:v>
      </x:c>
      <x:c r="B434" s="1" t="str">
        <x:v>Diglett</x:v>
      </x:c>
      <x:c r="C434" s="1" t="n">
        <x:v>9</x:v>
      </x:c>
      <x:c r="D434" s="1" t="str">
        <x:v>Dig</x:v>
      </x:c>
      <x:c r="E434" s="1" t="str">
        <x:v>Terrestre</x:v>
      </x:c>
      <x:c r="F434" s="1" t="str">
        <x:v>Física</x:v>
      </x:c>
      <x:c r="G434" s="10" t="n">
        <x:v>80</x:v>
      </x:c>
      <x:c r="H434" s="10" t="n">
        <x:f>IF(F434="Física",'Pokémon'!G54,IF(F434="Especial",'Pokémon'!I54,""))</x:f>
        <x:v>55</x:v>
      </x:c>
      <x:c r="I434" s="10" t="n">
        <x:f>IF(OR(F434="Status",G434=0),"",G434+H434)</x:f>
        <x:v>135</x:v>
      </x:c>
      <x:c r="J434" s="10" t="n">
        <x:v>34</x:v>
      </x:c>
      <x:c r="K434" s="12" t="n">
        <x:v>22</x:v>
      </x:c>
      <x:c r="L434" s="1" t="str"/>
      <x:c r="M434" s="9" t="str">
        <x:v>https://poke.idleworld.online/pokepedia/pokemon/diglett</x:v>
      </x:c>
    </x:row>
    <x:row r="435" ht="22" customHeight="1">
      <x:c r="A435" s="1" t="n">
        <x:v>50</x:v>
      </x:c>
      <x:c r="B435" s="1" t="str">
        <x:v>Diglett</x:v>
      </x:c>
      <x:c r="C435" s="1" t="n">
        <x:v>8</x:v>
      </x:c>
      <x:c r="D435" s="1" t="str">
        <x:v>Earth Power</x:v>
      </x:c>
      <x:c r="E435" s="1" t="str">
        <x:v>Terrestre</x:v>
      </x:c>
      <x:c r="F435" s="1" t="str">
        <x:v>Especial</x:v>
      </x:c>
      <x:c r="G435" s="10" t="n">
        <x:v>90</x:v>
      </x:c>
      <x:c r="H435" s="10" t="n">
        <x:f>IF(F435="Física",'Pokémon'!G54,IF(F435="Especial",'Pokémon'!I54,""))</x:f>
        <x:v>35</x:v>
      </x:c>
      <x:c r="I435" s="10" t="n">
        <x:f>IF(OR(F435="Status",G435=0),"",G435+H435)</x:f>
        <x:v>125</x:v>
      </x:c>
      <x:c r="J435" s="10" t="n">
        <x:v>29</x:v>
      </x:c>
      <x:c r="K435" s="12" t="n">
        <x:v>40</x:v>
      </x:c>
      <x:c r="L435" s="1" t="str"/>
      <x:c r="M435" s="9" t="str">
        <x:v>https://poke.idleworld.online/pokepedia/pokemon/diglett</x:v>
      </x:c>
    </x:row>
    <x:row r="436" ht="22" customHeight="1">
      <x:c r="A436" s="1" t="n">
        <x:v>50</x:v>
      </x:c>
      <x:c r="B436" s="1" t="str">
        <x:v>Diglett</x:v>
      </x:c>
      <x:c r="C436" s="1" t="n">
        <x:v>10</x:v>
      </x:c>
      <x:c r="D436" s="1" t="str">
        <x:v>Slash</x:v>
      </x:c>
      <x:c r="E436" s="1" t="str">
        <x:v>Normal</x:v>
      </x:c>
      <x:c r="F436" s="1" t="str">
        <x:v>Física</x:v>
      </x:c>
      <x:c r="G436" s="10" t="n">
        <x:v>70</x:v>
      </x:c>
      <x:c r="H436" s="10" t="n">
        <x:f>IF(F436="Física",'Pokémon'!G54,IF(F436="Especial",'Pokémon'!I54,""))</x:f>
        <x:v>55</x:v>
      </x:c>
      <x:c r="I436" s="10" t="n">
        <x:f>IF(OR(F436="Status",G436=0),"",G436+H436)</x:f>
        <x:v>125</x:v>
      </x:c>
      <x:c r="J436" s="10" t="n">
        <x:v>37</x:v>
      </x:c>
      <x:c r="K436" s="12" t="n">
        <x:v>15</x:v>
      </x:c>
      <x:c r="L436" s="1" t="str"/>
      <x:c r="M436" s="9" t="str">
        <x:v>https://poke.idleworld.online/pokepedia/pokemon/diglett</x:v>
      </x:c>
    </x:row>
    <x:row r="437" ht="22" customHeight="1">
      <x:c r="A437" s="1" t="n">
        <x:v>50</x:v>
      </x:c>
      <x:c r="B437" s="1" t="str">
        <x:v>Diglett</x:v>
      </x:c>
      <x:c r="C437" s="1" t="n">
        <x:v>5</x:v>
      </x:c>
      <x:c r="D437" s="1" t="str">
        <x:v>Bulldoze</x:v>
      </x:c>
      <x:c r="E437" s="1" t="str">
        <x:v>Terrestre</x:v>
      </x:c>
      <x:c r="F437" s="1" t="str">
        <x:v>Física</x:v>
      </x:c>
      <x:c r="G437" s="10" t="n">
        <x:v>60</x:v>
      </x:c>
      <x:c r="H437" s="10" t="n">
        <x:f>IF(F437="Física",'Pokémon'!G54,IF(F437="Especial",'Pokémon'!I54,""))</x:f>
        <x:v>55</x:v>
      </x:c>
      <x:c r="I437" s="10" t="n">
        <x:f>IF(OR(F437="Status",G437=0),"",G437+H437)</x:f>
        <x:v>115</x:v>
      </x:c>
      <x:c r="J437" s="10" t="n">
        <x:v>18</x:v>
      </x:c>
      <x:c r="K437" s="12" t="n">
        <x:v>20</x:v>
      </x:c>
      <x:c r="L437" s="1" t="str"/>
      <x:c r="M437" s="9" t="str">
        <x:v>https://poke.idleworld.online/pokepedia/pokemon/diglett</x:v>
      </x:c>
    </x:row>
    <x:row r="438" ht="22" customHeight="1">
      <x:c r="A438" s="1" t="n">
        <x:v>50</x:v>
      </x:c>
      <x:c r="B438" s="1" t="str">
        <x:v>Diglett</x:v>
      </x:c>
      <x:c r="C438" s="1" t="n">
        <x:v>7</x:v>
      </x:c>
      <x:c r="D438" s="1" t="str">
        <x:v>Mud Bomb</x:v>
      </x:c>
      <x:c r="E438" s="1" t="str">
        <x:v>Terrestre</x:v>
      </x:c>
      <x:c r="F438" s="1" t="str">
        <x:v>Especial</x:v>
      </x:c>
      <x:c r="G438" s="10" t="n">
        <x:v>65</x:v>
      </x:c>
      <x:c r="H438" s="10" t="n">
        <x:f>IF(F438="Física",'Pokémon'!G54,IF(F438="Especial",'Pokémon'!I54,""))</x:f>
        <x:v>35</x:v>
      </x:c>
      <x:c r="I438" s="10" t="n">
        <x:f>IF(OR(F438="Status",G438=0),"",G438+H438)</x:f>
        <x:v>100</x:v>
      </x:c>
      <x:c r="J438" s="10" t="n">
        <x:v>26</x:v>
      </x:c>
      <x:c r="K438" s="12" t="n">
        <x:v>20</x:v>
      </x:c>
      <x:c r="L438" s="1" t="str"/>
      <x:c r="M438" s="9" t="str">
        <x:v>https://poke.idleworld.online/pokepedia/pokemon/diglett</x:v>
      </x:c>
    </x:row>
    <x:row r="439" ht="22" customHeight="1">
      <x:c r="A439" s="1" t="n">
        <x:v>50</x:v>
      </x:c>
      <x:c r="B439" s="1" t="str">
        <x:v>Diglett</x:v>
      </x:c>
      <x:c r="C439" s="1" t="n">
        <x:v>2</x:v>
      </x:c>
      <x:c r="D439" s="1" t="str">
        <x:v>Scratch</x:v>
      </x:c>
      <x:c r="E439" s="1" t="str">
        <x:v>Normal</x:v>
      </x:c>
      <x:c r="F439" s="1" t="str">
        <x:v>Física</x:v>
      </x:c>
      <x:c r="G439" s="10" t="n">
        <x:v>40</x:v>
      </x:c>
      <x:c r="H439" s="10" t="n">
        <x:f>IF(F439="Física",'Pokémon'!G54,IF(F439="Especial",'Pokémon'!I54,""))</x:f>
        <x:v>55</x:v>
      </x:c>
      <x:c r="I439" s="10" t="n">
        <x:f>IF(OR(F439="Status",G439=0),"",G439+H439)</x:f>
        <x:v>95</x:v>
      </x:c>
      <x:c r="J439" s="10" t="n">
        <x:v>1</x:v>
      </x:c>
      <x:c r="K439" s="12" t="n">
        <x:v>15</x:v>
      </x:c>
      <x:c r="L439" s="1" t="str"/>
      <x:c r="M439" s="9" t="str">
        <x:v>https://poke.idleworld.online/pokepedia/pokemon/diglett</x:v>
      </x:c>
    </x:row>
    <x:row r="440" ht="22" customHeight="1">
      <x:c r="A440" s="1" t="n">
        <x:v>50</x:v>
      </x:c>
      <x:c r="B440" s="1" t="str">
        <x:v>Diglett</x:v>
      </x:c>
      <x:c r="C440" s="1" t="n">
        <x:v>3</x:v>
      </x:c>
      <x:c r="D440" s="1" t="str">
        <x:v>Astonish</x:v>
      </x:c>
      <x:c r="E440" s="1" t="str">
        <x:v>Fantasma</x:v>
      </x:c>
      <x:c r="F440" s="1" t="str">
        <x:v>Física</x:v>
      </x:c>
      <x:c r="G440" s="10" t="n">
        <x:v>30</x:v>
      </x:c>
      <x:c r="H440" s="10" t="n">
        <x:f>IF(F440="Física",'Pokémon'!G54,IF(F440="Especial",'Pokémon'!I54,""))</x:f>
        <x:v>55</x:v>
      </x:c>
      <x:c r="I440" s="10" t="n">
        <x:f>IF(OR(F440="Status",G440=0),"",G440+H440)</x:f>
        <x:v>85</x:v>
      </x:c>
      <x:c r="J440" s="10" t="n">
        <x:v>7</x:v>
      </x:c>
      <x:c r="K440" s="12" t="n">
        <x:v>15</x:v>
      </x:c>
      <x:c r="L440" s="1" t="str"/>
      <x:c r="M440" s="9" t="str">
        <x:v>https://poke.idleworld.online/pokepedia/pokemon/diglett</x:v>
      </x:c>
    </x:row>
    <x:row r="441" ht="22" customHeight="1">
      <x:c r="A441" s="1" t="n">
        <x:v>50</x:v>
      </x:c>
      <x:c r="B441" s="1" t="str">
        <x:v>Diglett</x:v>
      </x:c>
      <x:c r="C441" s="1" t="n">
        <x:v>4</x:v>
      </x:c>
      <x:c r="D441" s="1" t="str">
        <x:v>Mud-Slap</x:v>
      </x:c>
      <x:c r="E441" s="1" t="str">
        <x:v>Terrestre</x:v>
      </x:c>
      <x:c r="F441" s="1" t="str">
        <x:v>Especial</x:v>
      </x:c>
      <x:c r="G441" s="10" t="n">
        <x:v>20</x:v>
      </x:c>
      <x:c r="H441" s="10" t="n">
        <x:f>IF(F441="Física",'Pokémon'!G54,IF(F441="Especial",'Pokémon'!I54,""))</x:f>
        <x:v>35</x:v>
      </x:c>
      <x:c r="I441" s="10" t="n">
        <x:f>IF(OR(F441="Status",G441=0),"",G441+H441)</x:f>
        <x:v>55</x:v>
      </x:c>
      <x:c r="J441" s="10" t="n">
        <x:v>12</x:v>
      </x:c>
      <x:c r="K441" s="12" t="n">
        <x:v>25</x:v>
      </x:c>
      <x:c r="L441" s="1" t="str"/>
      <x:c r="M441" s="9" t="str">
        <x:v>https://poke.idleworld.online/pokepedia/pokemon/diglett</x:v>
      </x:c>
    </x:row>
    <x:row r="442" ht="22" customHeight="1">
      <x:c r="A442" s="1" t="n">
        <x:v>50</x:v>
      </x:c>
      <x:c r="B442" s="1" t="str">
        <x:v>Diglett</x:v>
      </x:c>
      <x:c r="C442" s="1" t="n">
        <x:v>1</x:v>
      </x:c>
      <x:c r="D442" s="1" t="str">
        <x:v>Sand Attack</x:v>
      </x:c>
      <x:c r="E442" s="1" t="str">
        <x:v>Terrestre</x:v>
      </x:c>
      <x:c r="F442" s="1" t="str">
        <x:v>Status</x:v>
      </x:c>
      <x:c r="G442" s="10" t="n">
        <x:v>0</x:v>
      </x:c>
      <x:c r="H442" s="10" t="str">
        <x:f>IF(F442="Física",'Pokémon'!G54,IF(F442="Especial",'Pokémon'!I54,""))</x:f>
      </x:c>
      <x:c r="I442" s="10" t="str">
        <x:f>IF(OR(F442="Status",G442=0),"",G442+H442)</x:f>
      </x:c>
      <x:c r="J442" s="10" t="n">
        <x:v>1</x:v>
      </x:c>
      <x:c r="K442" s="12" t="n">
        <x:v>12</x:v>
      </x:c>
      <x:c r="L442" s="1" t="str"/>
      <x:c r="M442" s="9" t="str">
        <x:v>https://poke.idleworld.online/pokepedia/pokemon/diglett</x:v>
      </x:c>
    </x:row>
    <x:row r="443" ht="22" customHeight="1">
      <x:c r="A443" s="1" t="n">
        <x:v>51</x:v>
      </x:c>
      <x:c r="B443" s="1" t="str">
        <x:v>Dugtrio</x:v>
      </x:c>
      <x:c r="C443" s="1" t="n">
        <x:v>2</x:v>
      </x:c>
      <x:c r="D443" s="1" t="str">
        <x:v>Crossing Fissure</x:v>
      </x:c>
      <x:c r="E443" s="1" t="str">
        <x:v>Terrestre</x:v>
      </x:c>
      <x:c r="F443" s="1" t="str">
        <x:v>Física</x:v>
      </x:c>
      <x:c r="G443" s="10" t="n">
        <x:v>300</x:v>
      </x:c>
      <x:c r="H443" s="10" t="n">
        <x:f>IF(F443="Física",'Pokémon'!G55,IF(F443="Especial",'Pokémon'!I55,""))</x:f>
        <x:v>80</x:v>
      </x:c>
      <x:c r="I443" s="10" t="n">
        <x:f>IF(OR(F443="Status",G443=0),"",G443+H443)</x:f>
        <x:v>380</x:v>
      </x:c>
      <x:c r="J443" s="10" t="n">
        <x:v>1</x:v>
      </x:c>
      <x:c r="K443" s="12" t="n">
        <x:v>10</x:v>
      </x:c>
      <x:c r="L443" s="1" t="str">
        <x:v>Sim</x:v>
      </x:c>
      <x:c r="M443" s="9" t="str">
        <x:v>https://poke.idleworld.online/pokepedia/pokemon/dugtrio</x:v>
      </x:c>
    </x:row>
    <x:row r="444" ht="22" customHeight="1">
      <x:c r="A444" s="1" t="n">
        <x:v>51</x:v>
      </x:c>
      <x:c r="B444" s="1" t="str">
        <x:v>Dugtrio</x:v>
      </x:c>
      <x:c r="C444" s="1" t="n">
        <x:v>15</x:v>
      </x:c>
      <x:c r="D444" s="1" t="str">
        <x:v>Earthquake</x:v>
      </x:c>
      <x:c r="E444" s="1" t="str">
        <x:v>Terrestre</x:v>
      </x:c>
      <x:c r="F444" s="1" t="str">
        <x:v>Física</x:v>
      </x:c>
      <x:c r="G444" s="10" t="n">
        <x:v>100</x:v>
      </x:c>
      <x:c r="H444" s="10" t="n">
        <x:f>IF(F444="Física",'Pokémon'!G55,IF(F444="Especial",'Pokémon'!I55,""))</x:f>
        <x:v>80</x:v>
      </x:c>
      <x:c r="I444" s="10" t="n">
        <x:f>IF(OR(F444="Status",G444=0),"",G444+H444)</x:f>
        <x:v>180</x:v>
      </x:c>
      <x:c r="J444" s="10" t="n">
        <x:v>50</x:v>
      </x:c>
      <x:c r="K444" s="12" t="n">
        <x:v>50</x:v>
      </x:c>
      <x:c r="L444" s="1" t="str"/>
      <x:c r="M444" s="9" t="str">
        <x:v>https://poke.idleworld.online/pokepedia/pokemon/dugtrio</x:v>
      </x:c>
    </x:row>
    <x:row r="445" ht="22" customHeight="1">
      <x:c r="A445" s="1" t="n">
        <x:v>51</x:v>
      </x:c>
      <x:c r="B445" s="1" t="str">
        <x:v>Dugtrio</x:v>
      </x:c>
      <x:c r="C445" s="1" t="n">
        <x:v>9</x:v>
      </x:c>
      <x:c r="D445" s="1" t="str">
        <x:v>Sucker Punch</x:v>
      </x:c>
      <x:c r="E445" s="1" t="str">
        <x:v>Sombrio</x:v>
      </x:c>
      <x:c r="F445" s="1" t="str">
        <x:v>Física</x:v>
      </x:c>
      <x:c r="G445" s="10" t="n">
        <x:v>80</x:v>
      </x:c>
      <x:c r="H445" s="10" t="n">
        <x:f>IF(F445="Física",'Pokémon'!G55,IF(F445="Especial",'Pokémon'!I55,""))</x:f>
        <x:v>80</x:v>
      </x:c>
      <x:c r="I445" s="10" t="n">
        <x:f>IF(OR(F445="Status",G445=0),"",G445+H445)</x:f>
        <x:v>160</x:v>
      </x:c>
      <x:c r="J445" s="10" t="n">
        <x:v>23</x:v>
      </x:c>
      <x:c r="K445" s="12" t="n">
        <x:v>22</x:v>
      </x:c>
      <x:c r="L445" s="1" t="str"/>
      <x:c r="M445" s="9" t="str">
        <x:v>https://poke.idleworld.online/pokepedia/pokemon/dugtrio</x:v>
      </x:c>
    </x:row>
    <x:row r="446" ht="22" customHeight="1">
      <x:c r="A446" s="1" t="n">
        <x:v>51</x:v>
      </x:c>
      <x:c r="B446" s="1" t="str">
        <x:v>Dugtrio</x:v>
      </x:c>
      <x:c r="C446" s="1" t="n">
        <x:v>13</x:v>
      </x:c>
      <x:c r="D446" s="1" t="str">
        <x:v>Dig</x:v>
      </x:c>
      <x:c r="E446" s="1" t="str">
        <x:v>Terrestre</x:v>
      </x:c>
      <x:c r="F446" s="1" t="str">
        <x:v>Física</x:v>
      </x:c>
      <x:c r="G446" s="10" t="n">
        <x:v>80</x:v>
      </x:c>
      <x:c r="H446" s="10" t="n">
        <x:f>IF(F446="Física",'Pokémon'!G55,IF(F446="Especial",'Pokémon'!I55,""))</x:f>
        <x:v>80</x:v>
      </x:c>
      <x:c r="I446" s="10" t="n">
        <x:f>IF(OR(F446="Status",G446=0),"",G446+H446)</x:f>
        <x:v>160</x:v>
      </x:c>
      <x:c r="J446" s="10" t="n">
        <x:v>40</x:v>
      </x:c>
      <x:c r="K446" s="12" t="n">
        <x:v>35</x:v>
      </x:c>
      <x:c r="L446" s="1" t="str"/>
      <x:c r="M446" s="9" t="str">
        <x:v>https://poke.idleworld.online/pokepedia/pokemon/dugtrio</x:v>
      </x:c>
    </x:row>
    <x:row r="447" ht="22" customHeight="1">
      <x:c r="A447" s="1" t="n">
        <x:v>51</x:v>
      </x:c>
      <x:c r="B447" s="1" t="str">
        <x:v>Dugtrio</x:v>
      </x:c>
      <x:c r="C447" s="1" t="n">
        <x:v>4</x:v>
      </x:c>
      <x:c r="D447" s="1" t="str">
        <x:v>Night Slash</x:v>
      </x:c>
      <x:c r="E447" s="1" t="str">
        <x:v>Sombrio</x:v>
      </x:c>
      <x:c r="F447" s="1" t="str">
        <x:v>Física</x:v>
      </x:c>
      <x:c r="G447" s="10" t="n">
        <x:v>70</x:v>
      </x:c>
      <x:c r="H447" s="10" t="n">
        <x:f>IF(F447="Física",'Pokémon'!G55,IF(F447="Especial",'Pokémon'!I55,""))</x:f>
        <x:v>80</x:v>
      </x:c>
      <x:c r="I447" s="10" t="n">
        <x:f>IF(OR(F447="Status",G447=0),"",G447+H447)</x:f>
        <x:v>150</x:v>
      </x:c>
      <x:c r="J447" s="10" t="n">
        <x:v>1</x:v>
      </x:c>
      <x:c r="K447" s="12" t="n">
        <x:v>20</x:v>
      </x:c>
      <x:c r="L447" s="1" t="str"/>
      <x:c r="M447" s="9" t="str">
        <x:v>https://poke.idleworld.online/pokepedia/pokemon/dugtrio</x:v>
      </x:c>
    </x:row>
    <x:row r="448" ht="22" customHeight="1">
      <x:c r="A448" s="1" t="n">
        <x:v>51</x:v>
      </x:c>
      <x:c r="B448" s="1" t="str">
        <x:v>Dugtrio</x:v>
      </x:c>
      <x:c r="C448" s="1" t="n">
        <x:v>14</x:v>
      </x:c>
      <x:c r="D448" s="1" t="str">
        <x:v>Slash</x:v>
      </x:c>
      <x:c r="E448" s="1" t="str">
        <x:v>Normal</x:v>
      </x:c>
      <x:c r="F448" s="1" t="str">
        <x:v>Física</x:v>
      </x:c>
      <x:c r="G448" s="10" t="n">
        <x:v>70</x:v>
      </x:c>
      <x:c r="H448" s="10" t="n">
        <x:f>IF(F448="Física",'Pokémon'!G55,IF(F448="Especial",'Pokémon'!I55,""))</x:f>
        <x:v>80</x:v>
      </x:c>
      <x:c r="I448" s="10" t="n">
        <x:f>IF(OR(F448="Status",G448=0),"",G448+H448)</x:f>
        <x:v>150</x:v>
      </x:c>
      <x:c r="J448" s="10" t="n">
        <x:v>45</x:v>
      </x:c>
      <x:c r="K448" s="12" t="n">
        <x:v>15</x:v>
      </x:c>
      <x:c r="L448" s="1" t="str"/>
      <x:c r="M448" s="9" t="str">
        <x:v>https://poke.idleworld.online/pokepedia/pokemon/dugtrio</x:v>
      </x:c>
    </x:row>
    <x:row r="449" ht="22" customHeight="1">
      <x:c r="A449" s="1" t="n">
        <x:v>51</x:v>
      </x:c>
      <x:c r="B449" s="1" t="str">
        <x:v>Dugtrio</x:v>
      </x:c>
      <x:c r="C449" s="1" t="n">
        <x:v>12</x:v>
      </x:c>
      <x:c r="D449" s="1" t="str">
        <x:v>Earth Power</x:v>
      </x:c>
      <x:c r="E449" s="1" t="str">
        <x:v>Terrestre</x:v>
      </x:c>
      <x:c r="F449" s="1" t="str">
        <x:v>Especial</x:v>
      </x:c>
      <x:c r="G449" s="10" t="n">
        <x:v>90</x:v>
      </x:c>
      <x:c r="H449" s="10" t="n">
        <x:f>IF(F449="Física",'Pokémon'!G55,IF(F449="Especial",'Pokémon'!I55,""))</x:f>
        <x:v>50</x:v>
      </x:c>
      <x:c r="I449" s="10" t="n">
        <x:f>IF(OR(F449="Status",G449=0),"",G449+H449)</x:f>
        <x:v>140</x:v>
      </x:c>
      <x:c r="J449" s="10" t="n">
        <x:v>33</x:v>
      </x:c>
      <x:c r="K449" s="12" t="n">
        <x:v>40</x:v>
      </x:c>
      <x:c r="L449" s="1" t="str"/>
      <x:c r="M449" s="9" t="str">
        <x:v>https://poke.idleworld.online/pokepedia/pokemon/dugtrio</x:v>
      </x:c>
    </x:row>
    <x:row r="450" ht="22" customHeight="1">
      <x:c r="A450" s="1" t="n">
        <x:v>51</x:v>
      </x:c>
      <x:c r="B450" s="1" t="str">
        <x:v>Dugtrio</x:v>
      </x:c>
      <x:c r="C450" s="1" t="n">
        <x:v>8</x:v>
      </x:c>
      <x:c r="D450" s="1" t="str">
        <x:v>Bulldoze</x:v>
      </x:c>
      <x:c r="E450" s="1" t="str">
        <x:v>Terrestre</x:v>
      </x:c>
      <x:c r="F450" s="1" t="str">
        <x:v>Física</x:v>
      </x:c>
      <x:c r="G450" s="10" t="n">
        <x:v>60</x:v>
      </x:c>
      <x:c r="H450" s="10" t="n">
        <x:f>IF(F450="Física",'Pokémon'!G55,IF(F450="Especial",'Pokémon'!I55,""))</x:f>
        <x:v>80</x:v>
      </x:c>
      <x:c r="I450" s="10" t="n">
        <x:f>IF(OR(F450="Status",G450=0),"",G450+H450)</x:f>
        <x:v>140</x:v>
      </x:c>
      <x:c r="J450" s="10" t="n">
        <x:v>18</x:v>
      </x:c>
      <x:c r="K450" s="12" t="n">
        <x:v>20</x:v>
      </x:c>
      <x:c r="L450" s="1" t="str"/>
      <x:c r="M450" s="9" t="str">
        <x:v>https://poke.idleworld.online/pokepedia/pokemon/dugtrio</x:v>
      </x:c>
    </x:row>
    <x:row r="451" ht="22" customHeight="1">
      <x:c r="A451" s="1" t="n">
        <x:v>51</x:v>
      </x:c>
      <x:c r="B451" s="1" t="str">
        <x:v>Dugtrio</x:v>
      </x:c>
      <x:c r="C451" s="1" t="n">
        <x:v>5</x:v>
      </x:c>
      <x:c r="D451" s="1" t="str">
        <x:v>Tri Attack</x:v>
      </x:c>
      <x:c r="E451" s="1" t="str">
        <x:v>Normal</x:v>
      </x:c>
      <x:c r="F451" s="1" t="str">
        <x:v>Especial</x:v>
      </x:c>
      <x:c r="G451" s="10" t="n">
        <x:v>80</x:v>
      </x:c>
      <x:c r="H451" s="10" t="n">
        <x:f>IF(F451="Física",'Pokémon'!G55,IF(F451="Especial",'Pokémon'!I55,""))</x:f>
        <x:v>50</x:v>
      </x:c>
      <x:c r="I451" s="10" t="n">
        <x:f>IF(OR(F451="Status",G451=0),"",G451+H451)</x:f>
        <x:v>130</x:v>
      </x:c>
      <x:c r="J451" s="10" t="n">
        <x:v>1</x:v>
      </x:c>
      <x:c r="K451" s="12" t="n">
        <x:v>22</x:v>
      </x:c>
      <x:c r="L451" s="1" t="str"/>
      <x:c r="M451" s="9" t="str">
        <x:v>https://poke.idleworld.online/pokepedia/pokemon/dugtrio</x:v>
      </x:c>
    </x:row>
    <x:row r="452" ht="22" customHeight="1">
      <x:c r="A452" s="1" t="n">
        <x:v>51</x:v>
      </x:c>
      <x:c r="B452" s="1" t="str">
        <x:v>Dugtrio</x:v>
      </x:c>
      <x:c r="C452" s="1" t="n">
        <x:v>3</x:v>
      </x:c>
      <x:c r="D452" s="1" t="str">
        <x:v>Scratch</x:v>
      </x:c>
      <x:c r="E452" s="1" t="str">
        <x:v>Normal</x:v>
      </x:c>
      <x:c r="F452" s="1" t="str">
        <x:v>Física</x:v>
      </x:c>
      <x:c r="G452" s="10" t="n">
        <x:v>40</x:v>
      </x:c>
      <x:c r="H452" s="10" t="n">
        <x:f>IF(F452="Física",'Pokémon'!G55,IF(F452="Especial",'Pokémon'!I55,""))</x:f>
        <x:v>80</x:v>
      </x:c>
      <x:c r="I452" s="10" t="n">
        <x:f>IF(OR(F452="Status",G452=0),"",G452+H452)</x:f>
        <x:v>120</x:v>
      </x:c>
      <x:c r="J452" s="10" t="n">
        <x:v>1</x:v>
      </x:c>
      <x:c r="K452" s="12" t="n">
        <x:v>15</x:v>
      </x:c>
      <x:c r="L452" s="1" t="str"/>
      <x:c r="M452" s="9" t="str">
        <x:v>https://poke.idleworld.online/pokepedia/pokemon/dugtrio</x:v>
      </x:c>
    </x:row>
    <x:row r="453" ht="22" customHeight="1">
      <x:c r="A453" s="1" t="n">
        <x:v>51</x:v>
      </x:c>
      <x:c r="B453" s="1" t="str">
        <x:v>Dugtrio</x:v>
      </x:c>
      <x:c r="C453" s="1" t="n">
        <x:v>11</x:v>
      </x:c>
      <x:c r="D453" s="1" t="str">
        <x:v>Mud Bomb</x:v>
      </x:c>
      <x:c r="E453" s="1" t="str">
        <x:v>Terrestre</x:v>
      </x:c>
      <x:c r="F453" s="1" t="str">
        <x:v>Especial</x:v>
      </x:c>
      <x:c r="G453" s="10" t="n">
        <x:v>65</x:v>
      </x:c>
      <x:c r="H453" s="10" t="n">
        <x:f>IF(F453="Física",'Pokémon'!G55,IF(F453="Especial",'Pokémon'!I55,""))</x:f>
        <x:v>50</x:v>
      </x:c>
      <x:c r="I453" s="10" t="n">
        <x:f>IF(OR(F453="Status",G453=0),"",G453+H453)</x:f>
        <x:v>115</x:v>
      </x:c>
      <x:c r="J453" s="10" t="n">
        <x:v>28</x:v>
      </x:c>
      <x:c r="K453" s="12" t="n">
        <x:v>20</x:v>
      </x:c>
      <x:c r="L453" s="1" t="str"/>
      <x:c r="M453" s="9" t="str">
        <x:v>https://poke.idleworld.online/pokepedia/pokemon/dugtrio</x:v>
      </x:c>
    </x:row>
    <x:row r="454" ht="22" customHeight="1">
      <x:c r="A454" s="1" t="n">
        <x:v>51</x:v>
      </x:c>
      <x:c r="B454" s="1" t="str">
        <x:v>Dugtrio</x:v>
      </x:c>
      <x:c r="C454" s="1" t="n">
        <x:v>10</x:v>
      </x:c>
      <x:c r="D454" s="1" t="str">
        <x:v>Sand Tomb</x:v>
      </x:c>
      <x:c r="E454" s="1" t="str">
        <x:v>Terrestre</x:v>
      </x:c>
      <x:c r="F454" s="1" t="str">
        <x:v>Física</x:v>
      </x:c>
      <x:c r="G454" s="10" t="n">
        <x:v>35</x:v>
      </x:c>
      <x:c r="H454" s="10" t="n">
        <x:f>IF(F454="Física",'Pokémon'!G55,IF(F454="Especial",'Pokémon'!I55,""))</x:f>
        <x:v>80</x:v>
      </x:c>
      <x:c r="I454" s="10" t="n">
        <x:f>IF(OR(F454="Status",G454=0),"",G454+H454)</x:f>
        <x:v>115</x:v>
      </x:c>
      <x:c r="J454" s="10" t="n">
        <x:v>26</x:v>
      </x:c>
      <x:c r="K454" s="12" t="n">
        <x:v>15</x:v>
      </x:c>
      <x:c r="L454" s="1" t="str"/>
      <x:c r="M454" s="9" t="str">
        <x:v>https://poke.idleworld.online/pokepedia/pokemon/dugtrio</x:v>
      </x:c>
    </x:row>
    <x:row r="455" ht="22" customHeight="1">
      <x:c r="A455" s="1" t="n">
        <x:v>51</x:v>
      </x:c>
      <x:c r="B455" s="1" t="str">
        <x:v>Dugtrio</x:v>
      </x:c>
      <x:c r="C455" s="1" t="n">
        <x:v>6</x:v>
      </x:c>
      <x:c r="D455" s="1" t="str">
        <x:v>Astonish</x:v>
      </x:c>
      <x:c r="E455" s="1" t="str">
        <x:v>Fantasma</x:v>
      </x:c>
      <x:c r="F455" s="1" t="str">
        <x:v>Física</x:v>
      </x:c>
      <x:c r="G455" s="10" t="n">
        <x:v>30</x:v>
      </x:c>
      <x:c r="H455" s="10" t="n">
        <x:f>IF(F455="Física",'Pokémon'!G55,IF(F455="Especial",'Pokémon'!I55,""))</x:f>
        <x:v>80</x:v>
      </x:c>
      <x:c r="I455" s="10" t="n">
        <x:f>IF(OR(F455="Status",G455=0),"",G455+H455)</x:f>
        <x:v>110</x:v>
      </x:c>
      <x:c r="J455" s="10" t="n">
        <x:v>7</x:v>
      </x:c>
      <x:c r="K455" s="12" t="n">
        <x:v>15</x:v>
      </x:c>
      <x:c r="L455" s="1" t="str"/>
      <x:c r="M455" s="9" t="str">
        <x:v>https://poke.idleworld.online/pokepedia/pokemon/dugtrio</x:v>
      </x:c>
    </x:row>
    <x:row r="456" ht="22" customHeight="1">
      <x:c r="A456" s="1" t="n">
        <x:v>51</x:v>
      </x:c>
      <x:c r="B456" s="1" t="str">
        <x:v>Dugtrio</x:v>
      </x:c>
      <x:c r="C456" s="1" t="n">
        <x:v>7</x:v>
      </x:c>
      <x:c r="D456" s="1" t="str">
        <x:v>Mud-Slap</x:v>
      </x:c>
      <x:c r="E456" s="1" t="str">
        <x:v>Terrestre</x:v>
      </x:c>
      <x:c r="F456" s="1" t="str">
        <x:v>Especial</x:v>
      </x:c>
      <x:c r="G456" s="10" t="n">
        <x:v>20</x:v>
      </x:c>
      <x:c r="H456" s="10" t="n">
        <x:f>IF(F456="Física",'Pokémon'!G55,IF(F456="Especial",'Pokémon'!I55,""))</x:f>
        <x:v>50</x:v>
      </x:c>
      <x:c r="I456" s="10" t="n">
        <x:f>IF(OR(F456="Status",G456=0),"",G456+H456)</x:f>
        <x:v>70</x:v>
      </x:c>
      <x:c r="J456" s="10" t="n">
        <x:v>12</x:v>
      </x:c>
      <x:c r="K456" s="12" t="n">
        <x:v>25</x:v>
      </x:c>
      <x:c r="L456" s="1" t="str"/>
      <x:c r="M456" s="9" t="str">
        <x:v>https://poke.idleworld.online/pokepedia/pokemon/dugtrio</x:v>
      </x:c>
    </x:row>
    <x:row r="457" ht="22" customHeight="1">
      <x:c r="A457" s="1" t="n">
        <x:v>51</x:v>
      </x:c>
      <x:c r="B457" s="1" t="str">
        <x:v>Dugtrio</x:v>
      </x:c>
      <x:c r="C457" s="1" t="n">
        <x:v>1</x:v>
      </x:c>
      <x:c r="D457" s="1" t="str">
        <x:v>Sand Attack</x:v>
      </x:c>
      <x:c r="E457" s="1" t="str">
        <x:v>Terrestre</x:v>
      </x:c>
      <x:c r="F457" s="1" t="str">
        <x:v>Status</x:v>
      </x:c>
      <x:c r="G457" s="10" t="n">
        <x:v>0</x:v>
      </x:c>
      <x:c r="H457" s="10" t="str">
        <x:f>IF(F457="Física",'Pokémon'!G55,IF(F457="Especial",'Pokémon'!I55,""))</x:f>
      </x:c>
      <x:c r="I457" s="10" t="str">
        <x:f>IF(OR(F457="Status",G457=0),"",G457+H457)</x:f>
      </x:c>
      <x:c r="J457" s="10" t="n">
        <x:v>1</x:v>
      </x:c>
      <x:c r="K457" s="12" t="n">
        <x:v>12</x:v>
      </x:c>
      <x:c r="L457" s="1" t="str"/>
      <x:c r="M457" s="9" t="str">
        <x:v>https://poke.idleworld.online/pokepedia/pokemon/dugtrio</x:v>
      </x:c>
    </x:row>
    <x:row r="458" ht="22" customHeight="1">
      <x:c r="A458" s="1" t="n">
        <x:v>52</x:v>
      </x:c>
      <x:c r="B458" s="1" t="str">
        <x:v>Meowth</x:v>
      </x:c>
      <x:c r="C458" s="1" t="n">
        <x:v>7</x:v>
      </x:c>
      <x:c r="D458" s="1" t="str">
        <x:v>Slash</x:v>
      </x:c>
      <x:c r="E458" s="1" t="str">
        <x:v>Normal</x:v>
      </x:c>
      <x:c r="F458" s="1" t="str">
        <x:v>Física</x:v>
      </x:c>
      <x:c r="G458" s="10" t="n">
        <x:v>70</x:v>
      </x:c>
      <x:c r="H458" s="10" t="n">
        <x:f>IF(F458="Física",'Pokémon'!G56,IF(F458="Especial",'Pokémon'!I56,""))</x:f>
        <x:v>45</x:v>
      </x:c>
      <x:c r="I458" s="10" t="n">
        <x:f>IF(OR(F458="Status",G458=0),"",G458+H458)</x:f>
        <x:v>115</x:v>
      </x:c>
      <x:c r="J458" s="10" t="n">
        <x:v>33</x:v>
      </x:c>
      <x:c r="K458" s="12" t="n">
        <x:v>15</x:v>
      </x:c>
      <x:c r="L458" s="1" t="str"/>
      <x:c r="M458" s="9" t="str">
        <x:v>https://poke.idleworld.online/pokepedia/pokemon/meowth</x:v>
      </x:c>
    </x:row>
    <x:row r="459" ht="22" customHeight="1">
      <x:c r="A459" s="1" t="n">
        <x:v>52</x:v>
      </x:c>
      <x:c r="B459" s="1" t="str">
        <x:v>Meowth</x:v>
      </x:c>
      <x:c r="C459" s="1" t="n">
        <x:v>9</x:v>
      </x:c>
      <x:c r="D459" s="1" t="str">
        <x:v>Night Slash</x:v>
      </x:c>
      <x:c r="E459" s="1" t="str">
        <x:v>Sombrio</x:v>
      </x:c>
      <x:c r="F459" s="1" t="str">
        <x:v>Física</x:v>
      </x:c>
      <x:c r="G459" s="10" t="n">
        <x:v>70</x:v>
      </x:c>
      <x:c r="H459" s="10" t="n">
        <x:f>IF(F459="Física",'Pokémon'!G56,IF(F459="Especial",'Pokémon'!I56,""))</x:f>
        <x:v>45</x:v>
      </x:c>
      <x:c r="I459" s="10" t="n">
        <x:f>IF(OR(F459="Status",G459=0),"",G459+H459)</x:f>
        <x:v>115</x:v>
      </x:c>
      <x:c r="J459" s="10" t="n">
        <x:v>49</x:v>
      </x:c>
      <x:c r="K459" s="12" t="n">
        <x:v>22</x:v>
      </x:c>
      <x:c r="L459" s="1" t="str"/>
      <x:c r="M459" s="9" t="str">
        <x:v>https://poke.idleworld.online/pokepedia/pokemon/meowth</x:v>
      </x:c>
    </x:row>
    <x:row r="460" ht="22" customHeight="1">
      <x:c r="A460" s="1" t="n">
        <x:v>52</x:v>
      </x:c>
      <x:c r="B460" s="1" t="str">
        <x:v>Meowth</x:v>
      </x:c>
      <x:c r="C460" s="1" t="n">
        <x:v>2</x:v>
      </x:c>
      <x:c r="D460" s="1" t="str">
        <x:v>Bite</x:v>
      </x:c>
      <x:c r="E460" s="1" t="str">
        <x:v>Sombrio</x:v>
      </x:c>
      <x:c r="F460" s="1" t="str">
        <x:v>Física</x:v>
      </x:c>
      <x:c r="G460" s="10" t="n">
        <x:v>60</x:v>
      </x:c>
      <x:c r="H460" s="10" t="n">
        <x:f>IF(F460="Física",'Pokémon'!G56,IF(F460="Especial",'Pokémon'!I56,""))</x:f>
        <x:v>45</x:v>
      </x:c>
      <x:c r="I460" s="10" t="n">
        <x:f>IF(OR(F460="Status",G460=0),"",G460+H460)</x:f>
        <x:v>105</x:v>
      </x:c>
      <x:c r="J460" s="10" t="n">
        <x:v>6</x:v>
      </x:c>
      <x:c r="K460" s="12" t="n">
        <x:v>15</x:v>
      </x:c>
      <x:c r="L460" s="1" t="str"/>
      <x:c r="M460" s="9" t="str">
        <x:v>https://poke.idleworld.online/pokepedia/pokemon/meowth</x:v>
      </x:c>
    </x:row>
    <x:row r="461" ht="22" customHeight="1">
      <x:c r="A461" s="1" t="n">
        <x:v>52</x:v>
      </x:c>
      <x:c r="B461" s="1" t="str">
        <x:v>Meowth</x:v>
      </x:c>
      <x:c r="C461" s="1" t="n">
        <x:v>5</x:v>
      </x:c>
      <x:c r="D461" s="1" t="str">
        <x:v>Feint Attack</x:v>
      </x:c>
      <x:c r="E461" s="1" t="str">
        <x:v>Sombrio</x:v>
      </x:c>
      <x:c r="F461" s="1" t="str">
        <x:v>Física</x:v>
      </x:c>
      <x:c r="G461" s="10" t="n">
        <x:v>60</x:v>
      </x:c>
      <x:c r="H461" s="10" t="n">
        <x:f>IF(F461="Física",'Pokémon'!G56,IF(F461="Especial",'Pokémon'!I56,""))</x:f>
        <x:v>45</x:v>
      </x:c>
      <x:c r="I461" s="10" t="n">
        <x:f>IF(OR(F461="Status",G461=0),"",G461+H461)</x:f>
        <x:v>105</x:v>
      </x:c>
      <x:c r="J461" s="10" t="n">
        <x:v>22</x:v>
      </x:c>
      <x:c r="K461" s="12" t="n">
        <x:v>20</x:v>
      </x:c>
      <x:c r="L461" s="1" t="str"/>
      <x:c r="M461" s="9" t="str">
        <x:v>https://poke.idleworld.online/pokepedia/pokemon/meowth</x:v>
      </x:c>
    </x:row>
    <x:row r="462" ht="22" customHeight="1">
      <x:c r="A462" s="1" t="n">
        <x:v>52</x:v>
      </x:c>
      <x:c r="B462" s="1" t="str">
        <x:v>Meowth</x:v>
      </x:c>
      <x:c r="C462" s="1" t="n">
        <x:v>8</x:v>
      </x:c>
      <x:c r="D462" s="1" t="str">
        <x:v>Assurance</x:v>
      </x:c>
      <x:c r="E462" s="1" t="str">
        <x:v>Sombrio</x:v>
      </x:c>
      <x:c r="F462" s="1" t="str">
        <x:v>Física</x:v>
      </x:c>
      <x:c r="G462" s="10" t="n">
        <x:v>60</x:v>
      </x:c>
      <x:c r="H462" s="10" t="n">
        <x:f>IF(F462="Física",'Pokémon'!G56,IF(F462="Especial",'Pokémon'!I56,""))</x:f>
        <x:v>45</x:v>
      </x:c>
      <x:c r="I462" s="10" t="n">
        <x:f>IF(OR(F462="Status",G462=0),"",G462+H462)</x:f>
        <x:v>105</x:v>
      </x:c>
      <x:c r="J462" s="10" t="n">
        <x:v>41</x:v>
      </x:c>
      <x:c r="K462" s="12" t="n">
        <x:v>20</x:v>
      </x:c>
      <x:c r="L462" s="1" t="str"/>
      <x:c r="M462" s="9" t="str">
        <x:v>https://poke.idleworld.online/pokepedia/pokemon/meowth</x:v>
      </x:c>
    </x:row>
    <x:row r="463" ht="22" customHeight="1">
      <x:c r="A463" s="1" t="n">
        <x:v>52</x:v>
      </x:c>
      <x:c r="B463" s="1" t="str">
        <x:v>Meowth</x:v>
      </x:c>
      <x:c r="C463" s="1" t="n">
        <x:v>1</x:v>
      </x:c>
      <x:c r="D463" s="1" t="str">
        <x:v>Scratch</x:v>
      </x:c>
      <x:c r="E463" s="1" t="str">
        <x:v>Normal</x:v>
      </x:c>
      <x:c r="F463" s="1" t="str">
        <x:v>Física</x:v>
      </x:c>
      <x:c r="G463" s="10" t="n">
        <x:v>40</x:v>
      </x:c>
      <x:c r="H463" s="10" t="n">
        <x:f>IF(F463="Física",'Pokémon'!G56,IF(F463="Especial",'Pokémon'!I56,""))</x:f>
        <x:v>45</x:v>
      </x:c>
      <x:c r="I463" s="10" t="n">
        <x:f>IF(OR(F463="Status",G463=0),"",G463+H463)</x:f>
        <x:v>85</x:v>
      </x:c>
      <x:c r="J463" s="10" t="n">
        <x:v>1</x:v>
      </x:c>
      <x:c r="K463" s="12" t="n">
        <x:v>12</x:v>
      </x:c>
      <x:c r="L463" s="1" t="str"/>
      <x:c r="M463" s="9" t="str">
        <x:v>https://poke.idleworld.online/pokepedia/pokemon/meowth</x:v>
      </x:c>
    </x:row>
    <x:row r="464" ht="22" customHeight="1">
      <x:c r="A464" s="1" t="n">
        <x:v>52</x:v>
      </x:c>
      <x:c r="B464" s="1" t="str">
        <x:v>Meowth</x:v>
      </x:c>
      <x:c r="C464" s="1" t="n">
        <x:v>3</x:v>
      </x:c>
      <x:c r="D464" s="1" t="str">
        <x:v>Fake Out</x:v>
      </x:c>
      <x:c r="E464" s="1" t="str">
        <x:v>Normal</x:v>
      </x:c>
      <x:c r="F464" s="1" t="str">
        <x:v>Física</x:v>
      </x:c>
      <x:c r="G464" s="10" t="n">
        <x:v>40</x:v>
      </x:c>
      <x:c r="H464" s="10" t="n">
        <x:f>IF(F464="Física",'Pokémon'!G56,IF(F464="Especial",'Pokémon'!I56,""))</x:f>
        <x:v>45</x:v>
      </x:c>
      <x:c r="I464" s="10" t="n">
        <x:f>IF(OR(F464="Status",G464=0),"",G464+H464)</x:f>
        <x:v>85</x:v>
      </x:c>
      <x:c r="J464" s="10" t="n">
        <x:v>9</x:v>
      </x:c>
      <x:c r="K464" s="12" t="n">
        <x:v>15</x:v>
      </x:c>
      <x:c r="L464" s="1" t="str"/>
      <x:c r="M464" s="9" t="str">
        <x:v>https://poke.idleworld.online/pokepedia/pokemon/meowth</x:v>
      </x:c>
    </x:row>
    <x:row r="465" ht="22" customHeight="1">
      <x:c r="A465" s="1" t="n">
        <x:v>52</x:v>
      </x:c>
      <x:c r="B465" s="1" t="str">
        <x:v>Meowth</x:v>
      </x:c>
      <x:c r="C465" s="1" t="n">
        <x:v>6</x:v>
      </x:c>
      <x:c r="D465" s="1" t="str">
        <x:v>Pay Day</x:v>
      </x:c>
      <x:c r="E465" s="1" t="str">
        <x:v>Normal</x:v>
      </x:c>
      <x:c r="F465" s="1" t="str">
        <x:v>Física</x:v>
      </x:c>
      <x:c r="G465" s="10" t="n">
        <x:v>40</x:v>
      </x:c>
      <x:c r="H465" s="10" t="n">
        <x:f>IF(F465="Física",'Pokémon'!G56,IF(F465="Especial",'Pokémon'!I56,""))</x:f>
        <x:v>45</x:v>
      </x:c>
      <x:c r="I465" s="10" t="n">
        <x:f>IF(OR(F465="Status",G465=0),"",G465+H465)</x:f>
        <x:v>85</x:v>
      </x:c>
      <x:c r="J465" s="10" t="n">
        <x:v>30</x:v>
      </x:c>
      <x:c r="K465" s="12" t="n">
        <x:v>40</x:v>
      </x:c>
      <x:c r="L465" s="1" t="str"/>
      <x:c r="M465" s="9" t="str">
        <x:v>https://poke.idleworld.online/pokepedia/pokemon/meowth</x:v>
      </x:c>
    </x:row>
    <x:row r="466" ht="22" customHeight="1">
      <x:c r="A466" s="1" t="n">
        <x:v>52</x:v>
      </x:c>
      <x:c r="B466" s="1" t="str">
        <x:v>Meowth</x:v>
      </x:c>
      <x:c r="C466" s="1" t="n">
        <x:v>10</x:v>
      </x:c>
      <x:c r="D466" s="1" t="str">
        <x:v>Feint</x:v>
      </x:c>
      <x:c r="E466" s="1" t="str">
        <x:v>Normal</x:v>
      </x:c>
      <x:c r="F466" s="1" t="str">
        <x:v>Física</x:v>
      </x:c>
      <x:c r="G466" s="10" t="n">
        <x:v>30</x:v>
      </x:c>
      <x:c r="H466" s="10" t="n">
        <x:f>IF(F466="Física",'Pokémon'!G56,IF(F466="Especial",'Pokémon'!I56,""))</x:f>
        <x:v>45</x:v>
      </x:c>
      <x:c r="I466" s="10" t="n">
        <x:f>IF(OR(F466="Status",G466=0),"",G466+H466)</x:f>
        <x:v>75</x:v>
      </x:c>
      <x:c r="J466" s="10" t="n">
        <x:v>50</x:v>
      </x:c>
      <x:c r="K466" s="12" t="n">
        <x:v>15</x:v>
      </x:c>
      <x:c r="L466" s="1" t="str"/>
      <x:c r="M466" s="9" t="str">
        <x:v>https://poke.idleworld.online/pokepedia/pokemon/meowth</x:v>
      </x:c>
    </x:row>
    <x:row r="467" ht="22" customHeight="1">
      <x:c r="A467" s="1" t="n">
        <x:v>52</x:v>
      </x:c>
      <x:c r="B467" s="1" t="str">
        <x:v>Meowth</x:v>
      </x:c>
      <x:c r="C467" s="1" t="n">
        <x:v>4</x:v>
      </x:c>
      <x:c r="D467" s="1" t="str">
        <x:v>Fury Swipes</x:v>
      </x:c>
      <x:c r="E467" s="1" t="str">
        <x:v>Normal</x:v>
      </x:c>
      <x:c r="F467" s="1" t="str">
        <x:v>Física</x:v>
      </x:c>
      <x:c r="G467" s="10" t="n">
        <x:v>18</x:v>
      </x:c>
      <x:c r="H467" s="10" t="n">
        <x:f>IF(F467="Física",'Pokémon'!G56,IF(F467="Especial",'Pokémon'!I56,""))</x:f>
        <x:v>45</x:v>
      </x:c>
      <x:c r="I467" s="10" t="n">
        <x:f>IF(OR(F467="Status",G467=0),"",G467+H467)</x:f>
        <x:v>63</x:v>
      </x:c>
      <x:c r="J467" s="10" t="n">
        <x:v>14</x:v>
      </x:c>
      <x:c r="K467" s="12" t="n">
        <x:v>15</x:v>
      </x:c>
      <x:c r="L467" s="1" t="str"/>
      <x:c r="M467" s="9" t="str">
        <x:v>https://poke.idleworld.online/pokepedia/pokemon/meowth</x:v>
      </x:c>
    </x:row>
    <x:row r="468" ht="22" customHeight="1">
      <x:c r="A468" s="1" t="n">
        <x:v>53</x:v>
      </x:c>
      <x:c r="B468" s="1" t="str">
        <x:v>Persian</x:v>
      </x:c>
      <x:c r="C468" s="1" t="n">
        <x:v>4</x:v>
      </x:c>
      <x:c r="D468" s="1" t="str">
        <x:v>Play Rough</x:v>
      </x:c>
      <x:c r="E468" s="1" t="str">
        <x:v>Fada</x:v>
      </x:c>
      <x:c r="F468" s="1" t="str">
        <x:v>Física</x:v>
      </x:c>
      <x:c r="G468" s="10" t="n">
        <x:v>90</x:v>
      </x:c>
      <x:c r="H468" s="10" t="n">
        <x:f>IF(F468="Física",'Pokémon'!G57,IF(F468="Especial",'Pokémon'!I57,""))</x:f>
        <x:v>70</x:v>
      </x:c>
      <x:c r="I468" s="10" t="n">
        <x:f>IF(OR(F468="Status",G468=0),"",G468+H468)</x:f>
        <x:v>160</x:v>
      </x:c>
      <x:c r="J468" s="10" t="n">
        <x:v>1</x:v>
      </x:c>
      <x:c r="K468" s="12" t="n">
        <x:v>22</x:v>
      </x:c>
      <x:c r="L468" s="1" t="str"/>
      <x:c r="M468" s="9" t="str">
        <x:v>https://poke.idleworld.online/pokepedia/pokemon/persian</x:v>
      </x:c>
    </x:row>
    <x:row r="469" ht="22" customHeight="1">
      <x:c r="A469" s="1" t="n">
        <x:v>53</x:v>
      </x:c>
      <x:c r="B469" s="1" t="str">
        <x:v>Persian</x:v>
      </x:c>
      <x:c r="C469" s="1" t="n">
        <x:v>8</x:v>
      </x:c>
      <x:c r="D469" s="1" t="str">
        <x:v>Power Gem</x:v>
      </x:c>
      <x:c r="E469" s="1" t="str">
        <x:v>Pedra</x:v>
      </x:c>
      <x:c r="F469" s="1" t="str">
        <x:v>Especial</x:v>
      </x:c>
      <x:c r="G469" s="10" t="n">
        <x:v>80</x:v>
      </x:c>
      <x:c r="H469" s="10" t="n">
        <x:f>IF(F469="Física",'Pokémon'!G57,IF(F469="Especial",'Pokémon'!I57,""))</x:f>
        <x:v>65</x:v>
      </x:c>
      <x:c r="I469" s="10" t="n">
        <x:f>IF(OR(F469="Status",G469=0),"",G469+H469)</x:f>
        <x:v>145</x:v>
      </x:c>
      <x:c r="J469" s="10" t="n">
        <x:v>32</x:v>
      </x:c>
      <x:c r="K469" s="12" t="n">
        <x:v>3</x:v>
      </x:c>
      <x:c r="L469" s="1" t="str"/>
      <x:c r="M469" s="9" t="str">
        <x:v>https://poke.idleworld.online/pokepedia/pokemon/persian</x:v>
      </x:c>
    </x:row>
    <x:row r="470" ht="22" customHeight="1">
      <x:c r="A470" s="1" t="n">
        <x:v>53</x:v>
      </x:c>
      <x:c r="B470" s="1" t="str">
        <x:v>Persian</x:v>
      </x:c>
      <x:c r="C470" s="1" t="n">
        <x:v>9</x:v>
      </x:c>
      <x:c r="D470" s="1" t="str">
        <x:v>Slash</x:v>
      </x:c>
      <x:c r="E470" s="1" t="str">
        <x:v>Normal</x:v>
      </x:c>
      <x:c r="F470" s="1" t="str">
        <x:v>Física</x:v>
      </x:c>
      <x:c r="G470" s="10" t="n">
        <x:v>70</x:v>
      </x:c>
      <x:c r="H470" s="10" t="n">
        <x:f>IF(F470="Física",'Pokémon'!G57,IF(F470="Especial",'Pokémon'!I57,""))</x:f>
        <x:v>70</x:v>
      </x:c>
      <x:c r="I470" s="10" t="n">
        <x:f>IF(OR(F470="Status",G470=0),"",G470+H470)</x:f>
        <x:v>140</x:v>
      </x:c>
      <x:c r="J470" s="10" t="n">
        <x:v>37</x:v>
      </x:c>
      <x:c r="K470" s="12" t="n">
        <x:v>15</x:v>
      </x:c>
      <x:c r="L470" s="1" t="str"/>
      <x:c r="M470" s="9" t="str">
        <x:v>https://poke.idleworld.online/pokepedia/pokemon/persian</x:v>
      </x:c>
    </x:row>
    <x:row r="471" ht="22" customHeight="1">
      <x:c r="A471" s="1" t="n">
        <x:v>53</x:v>
      </x:c>
      <x:c r="B471" s="1" t="str">
        <x:v>Persian</x:v>
      </x:c>
      <x:c r="C471" s="1" t="n">
        <x:v>11</x:v>
      </x:c>
      <x:c r="D471" s="1" t="str">
        <x:v>Night Slash</x:v>
      </x:c>
      <x:c r="E471" s="1" t="str">
        <x:v>Sombrio</x:v>
      </x:c>
      <x:c r="F471" s="1" t="str">
        <x:v>Física</x:v>
      </x:c>
      <x:c r="G471" s="10" t="n">
        <x:v>70</x:v>
      </x:c>
      <x:c r="H471" s="10" t="n">
        <x:f>IF(F471="Física",'Pokémon'!G57,IF(F471="Especial",'Pokémon'!I57,""))</x:f>
        <x:v>70</x:v>
      </x:c>
      <x:c r="I471" s="10" t="n">
        <x:f>IF(OR(F471="Status",G471=0),"",G471+H471)</x:f>
        <x:v>140</x:v>
      </x:c>
      <x:c r="J471" s="10" t="n">
        <x:v>61</x:v>
      </x:c>
      <x:c r="K471" s="12" t="n">
        <x:v>22</x:v>
      </x:c>
      <x:c r="L471" s="1" t="str"/>
      <x:c r="M471" s="9" t="str">
        <x:v>https://poke.idleworld.online/pokepedia/pokemon/persian</x:v>
      </x:c>
    </x:row>
    <x:row r="472" ht="22" customHeight="1">
      <x:c r="A472" s="1" t="n">
        <x:v>53</x:v>
      </x:c>
      <x:c r="B472" s="1" t="str">
        <x:v>Persian</x:v>
      </x:c>
      <x:c r="C472" s="1" t="n">
        <x:v>2</x:v>
      </x:c>
      <x:c r="D472" s="1" t="str">
        <x:v>Bite</x:v>
      </x:c>
      <x:c r="E472" s="1" t="str">
        <x:v>Sombrio</x:v>
      </x:c>
      <x:c r="F472" s="1" t="str">
        <x:v>Física</x:v>
      </x:c>
      <x:c r="G472" s="10" t="n">
        <x:v>60</x:v>
      </x:c>
      <x:c r="H472" s="10" t="n">
        <x:f>IF(F472="Física",'Pokémon'!G57,IF(F472="Especial",'Pokémon'!I57,""))</x:f>
        <x:v>70</x:v>
      </x:c>
      <x:c r="I472" s="10" t="n">
        <x:f>IF(OR(F472="Status",G472=0),"",G472+H472)</x:f>
        <x:v>130</x:v>
      </x:c>
      <x:c r="J472" s="10" t="n">
        <x:v>1</x:v>
      </x:c>
      <x:c r="K472" s="12" t="n">
        <x:v>15</x:v>
      </x:c>
      <x:c r="L472" s="1" t="str"/>
      <x:c r="M472" s="9" t="str">
        <x:v>https://poke.idleworld.online/pokepedia/pokemon/persian</x:v>
      </x:c>
    </x:row>
    <x:row r="473" ht="22" customHeight="1">
      <x:c r="A473" s="1" t="n">
        <x:v>53</x:v>
      </x:c>
      <x:c r="B473" s="1" t="str">
        <x:v>Persian</x:v>
      </x:c>
      <x:c r="C473" s="1" t="n">
        <x:v>6</x:v>
      </x:c>
      <x:c r="D473" s="1" t="str">
        <x:v>Feint Attack</x:v>
      </x:c>
      <x:c r="E473" s="1" t="str">
        <x:v>Sombrio</x:v>
      </x:c>
      <x:c r="F473" s="1" t="str">
        <x:v>Física</x:v>
      </x:c>
      <x:c r="G473" s="10" t="n">
        <x:v>60</x:v>
      </x:c>
      <x:c r="H473" s="10" t="n">
        <x:f>IF(F473="Física",'Pokémon'!G57,IF(F473="Especial",'Pokémon'!I57,""))</x:f>
        <x:v>70</x:v>
      </x:c>
      <x:c r="I473" s="10" t="n">
        <x:f>IF(OR(F473="Status",G473=0),"",G473+H473)</x:f>
        <x:v>130</x:v>
      </x:c>
      <x:c r="J473" s="10" t="n">
        <x:v>22</x:v>
      </x:c>
      <x:c r="K473" s="12" t="n">
        <x:v>20</x:v>
      </x:c>
      <x:c r="L473" s="1" t="str"/>
      <x:c r="M473" s="9" t="str">
        <x:v>https://poke.idleworld.online/pokepedia/pokemon/persian</x:v>
      </x:c>
    </x:row>
    <x:row r="474" ht="22" customHeight="1">
      <x:c r="A474" s="1" t="n">
        <x:v>53</x:v>
      </x:c>
      <x:c r="B474" s="1" t="str">
        <x:v>Persian</x:v>
      </x:c>
      <x:c r="C474" s="1" t="n">
        <x:v>10</x:v>
      </x:c>
      <x:c r="D474" s="1" t="str">
        <x:v>Assurance</x:v>
      </x:c>
      <x:c r="E474" s="1" t="str">
        <x:v>Sombrio</x:v>
      </x:c>
      <x:c r="F474" s="1" t="str">
        <x:v>Física</x:v>
      </x:c>
      <x:c r="G474" s="10" t="n">
        <x:v>60</x:v>
      </x:c>
      <x:c r="H474" s="10" t="n">
        <x:f>IF(F474="Física",'Pokémon'!G57,IF(F474="Especial",'Pokémon'!I57,""))</x:f>
        <x:v>70</x:v>
      </x:c>
      <x:c r="I474" s="10" t="n">
        <x:f>IF(OR(F474="Status",G474=0),"",G474+H474)</x:f>
        <x:v>130</x:v>
      </x:c>
      <x:c r="J474" s="10" t="n">
        <x:v>49</x:v>
      </x:c>
      <x:c r="K474" s="12" t="n">
        <x:v>20</x:v>
      </x:c>
      <x:c r="L474" s="1" t="str"/>
      <x:c r="M474" s="9" t="str">
        <x:v>https://poke.idleworld.online/pokepedia/pokemon/persian</x:v>
      </x:c>
    </x:row>
    <x:row r="475" ht="22" customHeight="1">
      <x:c r="A475" s="1" t="n">
        <x:v>53</x:v>
      </x:c>
      <x:c r="B475" s="1" t="str">
        <x:v>Persian</x:v>
      </x:c>
      <x:c r="C475" s="1" t="n">
        <x:v>7</x:v>
      </x:c>
      <x:c r="D475" s="1" t="str">
        <x:v>Swift</x:v>
      </x:c>
      <x:c r="E475" s="1" t="str">
        <x:v>Normal</x:v>
      </x:c>
      <x:c r="F475" s="1" t="str">
        <x:v>Especial</x:v>
      </x:c>
      <x:c r="G475" s="10" t="n">
        <x:v>60</x:v>
      </x:c>
      <x:c r="H475" s="10" t="n">
        <x:f>IF(F475="Física",'Pokémon'!G57,IF(F475="Especial",'Pokémon'!I57,""))</x:f>
        <x:v>65</x:v>
      </x:c>
      <x:c r="I475" s="10" t="n">
        <x:f>IF(OR(F475="Status",G475=0),"",G475+H475)</x:f>
        <x:v>125</x:v>
      </x:c>
      <x:c r="J475" s="10" t="n">
        <x:v>28</x:v>
      </x:c>
      <x:c r="K475" s="12" t="n">
        <x:v>20</x:v>
      </x:c>
      <x:c r="L475" s="1" t="str"/>
      <x:c r="M475" s="9" t="str">
        <x:v>https://poke.idleworld.online/pokepedia/pokemon/persian</x:v>
      </x:c>
    </x:row>
    <x:row r="476" ht="22" customHeight="1">
      <x:c r="A476" s="1" t="n">
        <x:v>53</x:v>
      </x:c>
      <x:c r="B476" s="1" t="str">
        <x:v>Persian</x:v>
      </x:c>
      <x:c r="C476" s="1" t="n">
        <x:v>1</x:v>
      </x:c>
      <x:c r="D476" s="1" t="str">
        <x:v>Scratch</x:v>
      </x:c>
      <x:c r="E476" s="1" t="str">
        <x:v>Normal</x:v>
      </x:c>
      <x:c r="F476" s="1" t="str">
        <x:v>Física</x:v>
      </x:c>
      <x:c r="G476" s="10" t="n">
        <x:v>40</x:v>
      </x:c>
      <x:c r="H476" s="10" t="n">
        <x:f>IF(F476="Física",'Pokémon'!G57,IF(F476="Especial",'Pokémon'!I57,""))</x:f>
        <x:v>70</x:v>
      </x:c>
      <x:c r="I476" s="10" t="n">
        <x:f>IF(OR(F476="Status",G476=0),"",G476+H476)</x:f>
        <x:v>110</x:v>
      </x:c>
      <x:c r="J476" s="10" t="n">
        <x:v>1</x:v>
      </x:c>
      <x:c r="K476" s="12" t="n">
        <x:v>12</x:v>
      </x:c>
      <x:c r="L476" s="1" t="str"/>
      <x:c r="M476" s="9" t="str">
        <x:v>https://poke.idleworld.online/pokepedia/pokemon/persian</x:v>
      </x:c>
    </x:row>
    <x:row r="477" ht="22" customHeight="1">
      <x:c r="A477" s="1" t="n">
        <x:v>53</x:v>
      </x:c>
      <x:c r="B477" s="1" t="str">
        <x:v>Persian</x:v>
      </x:c>
      <x:c r="C477" s="1" t="n">
        <x:v>3</x:v>
      </x:c>
      <x:c r="D477" s="1" t="str">
        <x:v>Fake Out</x:v>
      </x:c>
      <x:c r="E477" s="1" t="str">
        <x:v>Normal</x:v>
      </x:c>
      <x:c r="F477" s="1" t="str">
        <x:v>Física</x:v>
      </x:c>
      <x:c r="G477" s="10" t="n">
        <x:v>40</x:v>
      </x:c>
      <x:c r="H477" s="10" t="n">
        <x:f>IF(F477="Física",'Pokémon'!G57,IF(F477="Especial",'Pokémon'!I57,""))</x:f>
        <x:v>70</x:v>
      </x:c>
      <x:c r="I477" s="10" t="n">
        <x:f>IF(OR(F477="Status",G477=0),"",G477+H477)</x:f>
        <x:v>110</x:v>
      </x:c>
      <x:c r="J477" s="10" t="n">
        <x:v>1</x:v>
      </x:c>
      <x:c r="K477" s="12" t="n">
        <x:v>15</x:v>
      </x:c>
      <x:c r="L477" s="1" t="str"/>
      <x:c r="M477" s="9" t="str">
        <x:v>https://poke.idleworld.online/pokepedia/pokemon/persian</x:v>
      </x:c>
    </x:row>
    <x:row r="478" ht="22" customHeight="1">
      <x:c r="A478" s="1" t="n">
        <x:v>53</x:v>
      </x:c>
      <x:c r="B478" s="1" t="str">
        <x:v>Persian</x:v>
      </x:c>
      <x:c r="C478" s="1" t="n">
        <x:v>12</x:v>
      </x:c>
      <x:c r="D478" s="1" t="str">
        <x:v>Feint</x:v>
      </x:c>
      <x:c r="E478" s="1" t="str">
        <x:v>Normal</x:v>
      </x:c>
      <x:c r="F478" s="1" t="str">
        <x:v>Física</x:v>
      </x:c>
      <x:c r="G478" s="10" t="n">
        <x:v>30</x:v>
      </x:c>
      <x:c r="H478" s="10" t="n">
        <x:f>IF(F478="Física",'Pokémon'!G57,IF(F478="Especial",'Pokémon'!I57,""))</x:f>
        <x:v>70</x:v>
      </x:c>
      <x:c r="I478" s="10" t="n">
        <x:f>IF(OR(F478="Status",G478=0),"",G478+H478)</x:f>
        <x:v>100</x:v>
      </x:c>
      <x:c r="J478" s="10" t="n">
        <x:v>65</x:v>
      </x:c>
      <x:c r="K478" s="12" t="n">
        <x:v>15</x:v>
      </x:c>
      <x:c r="L478" s="1" t="str"/>
      <x:c r="M478" s="9" t="str">
        <x:v>https://poke.idleworld.online/pokepedia/pokemon/persian</x:v>
      </x:c>
    </x:row>
    <x:row r="479" ht="22" customHeight="1">
      <x:c r="A479" s="1" t="n">
        <x:v>53</x:v>
      </x:c>
      <x:c r="B479" s="1" t="str">
        <x:v>Persian</x:v>
      </x:c>
      <x:c r="C479" s="1" t="n">
        <x:v>5</x:v>
      </x:c>
      <x:c r="D479" s="1" t="str">
        <x:v>Fury Swipes</x:v>
      </x:c>
      <x:c r="E479" s="1" t="str">
        <x:v>Normal</x:v>
      </x:c>
      <x:c r="F479" s="1" t="str">
        <x:v>Física</x:v>
      </x:c>
      <x:c r="G479" s="10" t="n">
        <x:v>18</x:v>
      </x:c>
      <x:c r="H479" s="10" t="n">
        <x:f>IF(F479="Física",'Pokémon'!G57,IF(F479="Especial",'Pokémon'!I57,""))</x:f>
        <x:v>70</x:v>
      </x:c>
      <x:c r="I479" s="10" t="n">
        <x:f>IF(OR(F479="Status",G479=0),"",G479+H479)</x:f>
        <x:v>88</x:v>
      </x:c>
      <x:c r="J479" s="10" t="n">
        <x:v>14</x:v>
      </x:c>
      <x:c r="K479" s="12" t="n">
        <x:v>15</x:v>
      </x:c>
      <x:c r="L479" s="1" t="str"/>
      <x:c r="M479" s="9" t="str">
        <x:v>https://poke.idleworld.online/pokepedia/pokemon/persian</x:v>
      </x:c>
    </x:row>
    <x:row r="480" ht="22" customHeight="1">
      <x:c r="A480" s="1" t="n">
        <x:v>54</x:v>
      </x:c>
      <x:c r="B480" s="1" t="str">
        <x:v>Psyduck</x:v>
      </x:c>
      <x:c r="C480" s="1" t="n">
        <x:v>8</x:v>
      </x:c>
      <x:c r="D480" s="1" t="str">
        <x:v>Hydro Pump</x:v>
      </x:c>
      <x:c r="E480" s="1" t="str">
        <x:v>Água</x:v>
      </x:c>
      <x:c r="F480" s="1" t="str">
        <x:v>Especial</x:v>
      </x:c>
      <x:c r="G480" s="10" t="n">
        <x:v>110</x:v>
      </x:c>
      <x:c r="H480" s="10" t="n">
        <x:f>IF(F480="Física",'Pokémon'!G58,IF(F480="Especial",'Pokémon'!I58,""))</x:f>
        <x:v>65</x:v>
      </x:c>
      <x:c r="I480" s="10" t="n">
        <x:f>IF(OR(F480="Status",G480=0),"",G480+H480)</x:f>
        <x:v>175</x:v>
      </x:c>
      <x:c r="J480" s="10" t="n">
        <x:v>46</x:v>
      </x:c>
      <x:c r="K480" s="12" t="n">
        <x:v>40</x:v>
      </x:c>
      <x:c r="L480" s="1" t="str"/>
      <x:c r="M480" s="9" t="str">
        <x:v>https://poke.idleworld.online/pokepedia/pokemon/psyduck</x:v>
      </x:c>
    </x:row>
    <x:row r="481" ht="22" customHeight="1">
      <x:c r="A481" s="1" t="n">
        <x:v>54</x:v>
      </x:c>
      <x:c r="B481" s="1" t="str">
        <x:v>Psyduck</x:v>
      </x:c>
      <x:c r="C481" s="1" t="n">
        <x:v>6</x:v>
      </x:c>
      <x:c r="D481" s="1" t="str">
        <x:v>Aqua Tail</x:v>
      </x:c>
      <x:c r="E481" s="1" t="str">
        <x:v>Água</x:v>
      </x:c>
      <x:c r="F481" s="1" t="str">
        <x:v>Física</x:v>
      </x:c>
      <x:c r="G481" s="10" t="n">
        <x:v>90</x:v>
      </x:c>
      <x:c r="H481" s="10" t="n">
        <x:f>IF(F481="Física",'Pokémon'!G58,IF(F481="Especial",'Pokémon'!I58,""))</x:f>
        <x:v>52</x:v>
      </x:c>
      <x:c r="I481" s="10" t="n">
        <x:f>IF(OR(F481="Status",G481=0),"",G481+H481)</x:f>
        <x:v>142</x:v>
      </x:c>
      <x:c r="J481" s="10" t="n">
        <x:v>29</x:v>
      </x:c>
      <x:c r="K481" s="12" t="n">
        <x:v>15</x:v>
      </x:c>
      <x:c r="L481" s="1" t="str"/>
      <x:c r="M481" s="9" t="str">
        <x:v>https://poke.idleworld.online/pokepedia/pokemon/psyduck</x:v>
      </x:c>
    </x:row>
    <x:row r="482" ht="22" customHeight="1">
      <x:c r="A482" s="1" t="n">
        <x:v>54</x:v>
      </x:c>
      <x:c r="B482" s="1" t="str">
        <x:v>Psyduck</x:v>
      </x:c>
      <x:c r="C482" s="1" t="n">
        <x:v>7</x:v>
      </x:c>
      <x:c r="D482" s="1" t="str">
        <x:v>Zen Headbutt</x:v>
      </x:c>
      <x:c r="E482" s="1" t="str">
        <x:v>Psíquico</x:v>
      </x:c>
      <x:c r="F482" s="1" t="str">
        <x:v>Física</x:v>
      </x:c>
      <x:c r="G482" s="10" t="n">
        <x:v>80</x:v>
      </x:c>
      <x:c r="H482" s="10" t="n">
        <x:f>IF(F482="Física",'Pokémon'!G58,IF(F482="Especial",'Pokémon'!I58,""))</x:f>
        <x:v>52</x:v>
      </x:c>
      <x:c r="I482" s="10" t="n">
        <x:f>IF(OR(F482="Status",G482=0),"",G482+H482)</x:f>
        <x:v>132</x:v>
      </x:c>
      <x:c r="J482" s="10" t="n">
        <x:v>32</x:v>
      </x:c>
      <x:c r="K482" s="12" t="n">
        <x:v>22</x:v>
      </x:c>
      <x:c r="L482" s="1" t="str"/>
      <x:c r="M482" s="9" t="str">
        <x:v>https://poke.idleworld.online/pokepedia/pokemon/psyduck</x:v>
      </x:c>
    </x:row>
    <x:row r="483" ht="22" customHeight="1">
      <x:c r="A483" s="1" t="n">
        <x:v>54</x:v>
      </x:c>
      <x:c r="B483" s="1" t="str">
        <x:v>Psyduck</x:v>
      </x:c>
      <x:c r="C483" s="1" t="n">
        <x:v>5</x:v>
      </x:c>
      <x:c r="D483" s="1" t="str">
        <x:v>Water Pulse</x:v>
      </x:c>
      <x:c r="E483" s="1" t="str">
        <x:v>Água</x:v>
      </x:c>
      <x:c r="F483" s="1" t="str">
        <x:v>Especial</x:v>
      </x:c>
      <x:c r="G483" s="10" t="n">
        <x:v>60</x:v>
      </x:c>
      <x:c r="H483" s="10" t="n">
        <x:f>IF(F483="Física",'Pokémon'!G58,IF(F483="Especial",'Pokémon'!I58,""))</x:f>
        <x:v>65</x:v>
      </x:c>
      <x:c r="I483" s="10" t="n">
        <x:f>IF(OR(F483="Status",G483=0),"",G483+H483)</x:f>
        <x:v>125</x:v>
      </x:c>
      <x:c r="J483" s="10" t="n">
        <x:v>18</x:v>
      </x:c>
      <x:c r="K483" s="12" t="n">
        <x:v>20</x:v>
      </x:c>
      <x:c r="L483" s="1" t="str"/>
      <x:c r="M483" s="9" t="str">
        <x:v>https://poke.idleworld.online/pokepedia/pokemon/psyduck</x:v>
      </x:c>
    </x:row>
    <x:row r="484" ht="22" customHeight="1">
      <x:c r="A484" s="1" t="n">
        <x:v>54</x:v>
      </x:c>
      <x:c r="B484" s="1" t="str">
        <x:v>Psyduck</x:v>
      </x:c>
      <x:c r="C484" s="1" t="n">
        <x:v>3</x:v>
      </x:c>
      <x:c r="D484" s="1" t="str">
        <x:v>Confusion</x:v>
      </x:c>
      <x:c r="E484" s="1" t="str">
        <x:v>Psíquico</x:v>
      </x:c>
      <x:c r="F484" s="1" t="str">
        <x:v>Especial</x:v>
      </x:c>
      <x:c r="G484" s="10" t="n">
        <x:v>50</x:v>
      </x:c>
      <x:c r="H484" s="10" t="n">
        <x:f>IF(F484="Física",'Pokémon'!G58,IF(F484="Especial",'Pokémon'!I58,""))</x:f>
        <x:v>65</x:v>
      </x:c>
      <x:c r="I484" s="10" t="n">
        <x:f>IF(OR(F484="Status",G484=0),"",G484+H484)</x:f>
        <x:v>115</x:v>
      </x:c>
      <x:c r="J484" s="10" t="n">
        <x:v>11</x:v>
      </x:c>
      <x:c r="K484" s="12" t="n">
        <x:v>30</x:v>
      </x:c>
      <x:c r="L484" s="1" t="str"/>
      <x:c r="M484" s="9" t="str">
        <x:v>https://poke.idleworld.online/pokepedia/pokemon/psyduck</x:v>
      </x:c>
    </x:row>
    <x:row r="485" ht="22" customHeight="1">
      <x:c r="A485" s="1" t="n">
        <x:v>54</x:v>
      </x:c>
      <x:c r="B485" s="1" t="str">
        <x:v>Psyduck</x:v>
      </x:c>
      <x:c r="C485" s="1" t="n">
        <x:v>2</x:v>
      </x:c>
      <x:c r="D485" s="1" t="str">
        <x:v>Water Gun</x:v>
      </x:c>
      <x:c r="E485" s="1" t="str">
        <x:v>Água</x:v>
      </x:c>
      <x:c r="F485" s="1" t="str">
        <x:v>Especial</x:v>
      </x:c>
      <x:c r="G485" s="10" t="n">
        <x:v>40</x:v>
      </x:c>
      <x:c r="H485" s="10" t="n">
        <x:f>IF(F485="Física",'Pokémon'!G58,IF(F485="Especial",'Pokémon'!I58,""))</x:f>
        <x:v>65</x:v>
      </x:c>
      <x:c r="I485" s="10" t="n">
        <x:f>IF(OR(F485="Status",G485=0),"",G485+H485)</x:f>
        <x:v>105</x:v>
      </x:c>
      <x:c r="J485" s="10" t="n">
        <x:v>8</x:v>
      </x:c>
      <x:c r="K485" s="12" t="n">
        <x:v>18</x:v>
      </x:c>
      <x:c r="L485" s="1" t="str"/>
      <x:c r="M485" s="9" t="str">
        <x:v>https://poke.idleworld.online/pokepedia/pokemon/psyduck</x:v>
      </x:c>
    </x:row>
    <x:row r="486" ht="22" customHeight="1">
      <x:c r="A486" s="1" t="n">
        <x:v>54</x:v>
      </x:c>
      <x:c r="B486" s="1" t="str">
        <x:v>Psyduck</x:v>
      </x:c>
      <x:c r="C486" s="1" t="n">
        <x:v>1</x:v>
      </x:c>
      <x:c r="D486" s="1" t="str">
        <x:v>Scratch</x:v>
      </x:c>
      <x:c r="E486" s="1" t="str">
        <x:v>Normal</x:v>
      </x:c>
      <x:c r="F486" s="1" t="str">
        <x:v>Física</x:v>
      </x:c>
      <x:c r="G486" s="10" t="n">
        <x:v>40</x:v>
      </x:c>
      <x:c r="H486" s="10" t="n">
        <x:f>IF(F486="Física",'Pokémon'!G58,IF(F486="Especial",'Pokémon'!I58,""))</x:f>
        <x:v>52</x:v>
      </x:c>
      <x:c r="I486" s="10" t="n">
        <x:f>IF(OR(F486="Status",G486=0),"",G486+H486)</x:f>
        <x:v>92</x:v>
      </x:c>
      <x:c r="J486" s="10" t="n">
        <x:v>1</x:v>
      </x:c>
      <x:c r="K486" s="12" t="n">
        <x:v>15</x:v>
      </x:c>
      <x:c r="L486" s="1" t="str"/>
      <x:c r="M486" s="9" t="str">
        <x:v>https://poke.idleworld.online/pokepedia/pokemon/psyduck</x:v>
      </x:c>
    </x:row>
    <x:row r="487" ht="22" customHeight="1">
      <x:c r="A487" s="1" t="n">
        <x:v>54</x:v>
      </x:c>
      <x:c r="B487" s="1" t="str">
        <x:v>Psyduck</x:v>
      </x:c>
      <x:c r="C487" s="1" t="n">
        <x:v>4</x:v>
      </x:c>
      <x:c r="D487" s="1" t="str">
        <x:v>Fury Swipes</x:v>
      </x:c>
      <x:c r="E487" s="1" t="str">
        <x:v>Normal</x:v>
      </x:c>
      <x:c r="F487" s="1" t="str">
        <x:v>Física</x:v>
      </x:c>
      <x:c r="G487" s="10" t="n">
        <x:v>18</x:v>
      </x:c>
      <x:c r="H487" s="10" t="n">
        <x:f>IF(F487="Física",'Pokémon'!G58,IF(F487="Especial",'Pokémon'!I58,""))</x:f>
        <x:v>52</x:v>
      </x:c>
      <x:c r="I487" s="10" t="n">
        <x:f>IF(OR(F487="Status",G487=0),"",G487+H487)</x:f>
        <x:v>70</x:v>
      </x:c>
      <x:c r="J487" s="10" t="n">
        <x:v>15</x:v>
      </x:c>
      <x:c r="K487" s="12" t="n">
        <x:v>15</x:v>
      </x:c>
      <x:c r="L487" s="1" t="str"/>
      <x:c r="M487" s="9" t="str">
        <x:v>https://poke.idleworld.online/pokepedia/pokemon/psyduck</x:v>
      </x:c>
    </x:row>
    <x:row r="488" ht="22" customHeight="1">
      <x:c r="A488" s="1" t="n">
        <x:v>55</x:v>
      </x:c>
      <x:c r="B488" s="1" t="str">
        <x:v>Golduck</x:v>
      </x:c>
      <x:c r="C488" s="1" t="n">
        <x:v>2</x:v>
      </x:c>
      <x:c r="D488" s="1" t="str">
        <x:v>Cyclonic Tide</x:v>
      </x:c>
      <x:c r="E488" s="1" t="str">
        <x:v>Água</x:v>
      </x:c>
      <x:c r="F488" s="1" t="str">
        <x:v>Especial</x:v>
      </x:c>
      <x:c r="G488" s="10" t="n">
        <x:v>300</x:v>
      </x:c>
      <x:c r="H488" s="10" t="n">
        <x:f>IF(F488="Física",'Pokémon'!G59,IF(F488="Especial",'Pokémon'!I59,""))</x:f>
        <x:v>95</x:v>
      </x:c>
      <x:c r="I488" s="10" t="n">
        <x:f>IF(OR(F488="Status",G488=0),"",G488+H488)</x:f>
        <x:v>395</x:v>
      </x:c>
      <x:c r="J488" s="10" t="n">
        <x:v>1</x:v>
      </x:c>
      <x:c r="K488" s="12" t="n">
        <x:v>10</x:v>
      </x:c>
      <x:c r="L488" s="1" t="str">
        <x:v>Sim</x:v>
      </x:c>
      <x:c r="M488" s="9" t="str">
        <x:v>https://poke.idleworld.online/pokepedia/pokemon/golduck</x:v>
      </x:c>
    </x:row>
    <x:row r="489" ht="22" customHeight="1">
      <x:c r="A489" s="1" t="n">
        <x:v>55</x:v>
      </x:c>
      <x:c r="B489" s="1" t="str">
        <x:v>Golduck</x:v>
      </x:c>
      <x:c r="C489" s="1" t="n">
        <x:v>10</x:v>
      </x:c>
      <x:c r="D489" s="1" t="str">
        <x:v>Hydro Pump</x:v>
      </x:c>
      <x:c r="E489" s="1" t="str">
        <x:v>Água</x:v>
      </x:c>
      <x:c r="F489" s="1" t="str">
        <x:v>Especial</x:v>
      </x:c>
      <x:c r="G489" s="10" t="n">
        <x:v>110</x:v>
      </x:c>
      <x:c r="H489" s="10" t="n">
        <x:f>IF(F489="Física",'Pokémon'!G59,IF(F489="Especial",'Pokémon'!I59,""))</x:f>
        <x:v>95</x:v>
      </x:c>
      <x:c r="I489" s="10" t="n">
        <x:f>IF(OR(F489="Status",G489=0),"",G489+H489)</x:f>
        <x:v>205</x:v>
      </x:c>
      <x:c r="J489" s="10" t="n">
        <x:v>54</x:v>
      </x:c>
      <x:c r="K489" s="12" t="n">
        <x:v>50</x:v>
      </x:c>
      <x:c r="L489" s="1" t="str"/>
      <x:c r="M489" s="9" t="str">
        <x:v>https://poke.idleworld.online/pokepedia/pokemon/golduck</x:v>
      </x:c>
    </x:row>
    <x:row r="490" ht="22" customHeight="1">
      <x:c r="A490" s="1" t="n">
        <x:v>55</x:v>
      </x:c>
      <x:c r="B490" s="1" t="str">
        <x:v>Golduck</x:v>
      </x:c>
      <x:c r="C490" s="1" t="n">
        <x:v>9</x:v>
      </x:c>
      <x:c r="D490" s="1" t="str">
        <x:v>Aqua Tail</x:v>
      </x:c>
      <x:c r="E490" s="1" t="str">
        <x:v>Água</x:v>
      </x:c>
      <x:c r="F490" s="1" t="str">
        <x:v>Física</x:v>
      </x:c>
      <x:c r="G490" s="10" t="n">
        <x:v>90</x:v>
      </x:c>
      <x:c r="H490" s="10" t="n">
        <x:f>IF(F490="Física",'Pokémon'!G59,IF(F490="Especial",'Pokémon'!I59,""))</x:f>
        <x:v>82</x:v>
      </x:c>
      <x:c r="I490" s="10" t="n">
        <x:f>IF(OR(F490="Status",G490=0),"",G490+H490)</x:f>
        <x:v>172</x:v>
      </x:c>
      <x:c r="J490" s="10" t="n">
        <x:v>32</x:v>
      </x:c>
      <x:c r="K490" s="12" t="n">
        <x:v>22</x:v>
      </x:c>
      <x:c r="L490" s="1" t="str"/>
      <x:c r="M490" s="9" t="str">
        <x:v>https://poke.idleworld.online/pokepedia/pokemon/golduck</x:v>
      </x:c>
    </x:row>
    <x:row r="491" ht="22" customHeight="1">
      <x:c r="A491" s="1" t="n">
        <x:v>55</x:v>
      </x:c>
      <x:c r="B491" s="1" t="str">
        <x:v>Golduck</x:v>
      </x:c>
      <x:c r="C491" s="1" t="n">
        <x:v>8</x:v>
      </x:c>
      <x:c r="D491" s="1" t="str">
        <x:v>Zen Headbutt</x:v>
      </x:c>
      <x:c r="E491" s="1" t="str">
        <x:v>Psíquico</x:v>
      </x:c>
      <x:c r="F491" s="1" t="str">
        <x:v>Física</x:v>
      </x:c>
      <x:c r="G491" s="10" t="n">
        <x:v>80</x:v>
      </x:c>
      <x:c r="H491" s="10" t="n">
        <x:f>IF(F491="Física",'Pokémon'!G59,IF(F491="Especial",'Pokémon'!I59,""))</x:f>
        <x:v>82</x:v>
      </x:c>
      <x:c r="I491" s="10" t="n">
        <x:f>IF(OR(F491="Status",G491=0),"",G491+H491)</x:f>
        <x:v>162</x:v>
      </x:c>
      <x:c r="J491" s="10" t="n">
        <x:v>25</x:v>
      </x:c>
      <x:c r="K491" s="12" t="n">
        <x:v>22</x:v>
      </x:c>
      <x:c r="L491" s="1" t="str"/>
      <x:c r="M491" s="9" t="str">
        <x:v>https://poke.idleworld.online/pokepedia/pokemon/golduck</x:v>
      </x:c>
    </x:row>
    <x:row r="492" ht="22" customHeight="1">
      <x:c r="A492" s="1" t="n">
        <x:v>55</x:v>
      </x:c>
      <x:c r="B492" s="1" t="str">
        <x:v>Golduck</x:v>
      </x:c>
      <x:c r="C492" s="1" t="n">
        <x:v>7</x:v>
      </x:c>
      <x:c r="D492" s="1" t="str">
        <x:v>Water Pulse</x:v>
      </x:c>
      <x:c r="E492" s="1" t="str">
        <x:v>Água</x:v>
      </x:c>
      <x:c r="F492" s="1" t="str">
        <x:v>Especial</x:v>
      </x:c>
      <x:c r="G492" s="10" t="n">
        <x:v>60</x:v>
      </x:c>
      <x:c r="H492" s="10" t="n">
        <x:f>IF(F492="Física",'Pokémon'!G59,IF(F492="Especial",'Pokémon'!I59,""))</x:f>
        <x:v>95</x:v>
      </x:c>
      <x:c r="I492" s="10" t="n">
        <x:f>IF(OR(F492="Status",G492=0),"",G492+H492)</x:f>
        <x:v>155</x:v>
      </x:c>
      <x:c r="J492" s="10" t="n">
        <x:v>18</x:v>
      </x:c>
      <x:c r="K492" s="12" t="n">
        <x:v>60</x:v>
      </x:c>
      <x:c r="L492" s="1" t="str"/>
      <x:c r="M492" s="9" t="str">
        <x:v>https://poke.idleworld.online/pokepedia/pokemon/golduck</x:v>
      </x:c>
    </x:row>
    <x:row r="493" ht="22" customHeight="1">
      <x:c r="A493" s="1" t="n">
        <x:v>55</x:v>
      </x:c>
      <x:c r="B493" s="1" t="str">
        <x:v>Golduck</x:v>
      </x:c>
      <x:c r="C493" s="1" t="n">
        <x:v>5</x:v>
      </x:c>
      <x:c r="D493" s="1" t="str">
        <x:v>Confusion</x:v>
      </x:c>
      <x:c r="E493" s="1" t="str">
        <x:v>Psíquico</x:v>
      </x:c>
      <x:c r="F493" s="1" t="str">
        <x:v>Especial</x:v>
      </x:c>
      <x:c r="G493" s="10" t="n">
        <x:v>50</x:v>
      </x:c>
      <x:c r="H493" s="10" t="n">
        <x:f>IF(F493="Física",'Pokémon'!G59,IF(F493="Especial",'Pokémon'!I59,""))</x:f>
        <x:v>95</x:v>
      </x:c>
      <x:c r="I493" s="10" t="n">
        <x:f>IF(OR(F493="Status",G493=0),"",G493+H493)</x:f>
        <x:v>145</x:v>
      </x:c>
      <x:c r="J493" s="10" t="n">
        <x:v>11</x:v>
      </x:c>
      <x:c r="K493" s="12" t="n">
        <x:v>30</x:v>
      </x:c>
      <x:c r="L493" s="1" t="str"/>
      <x:c r="M493" s="9" t="str">
        <x:v>https://poke.idleworld.online/pokepedia/pokemon/golduck</x:v>
      </x:c>
    </x:row>
    <x:row r="494" ht="22" customHeight="1">
      <x:c r="A494" s="1" t="n">
        <x:v>55</x:v>
      </x:c>
      <x:c r="B494" s="1" t="str">
        <x:v>Golduck</x:v>
      </x:c>
      <x:c r="C494" s="1" t="n">
        <x:v>1</x:v>
      </x:c>
      <x:c r="D494" s="1" t="str">
        <x:v>Water Gun</x:v>
      </x:c>
      <x:c r="E494" s="1" t="str">
        <x:v>Água</x:v>
      </x:c>
      <x:c r="F494" s="1" t="str">
        <x:v>Especial</x:v>
      </x:c>
      <x:c r="G494" s="10" t="n">
        <x:v>40</x:v>
      </x:c>
      <x:c r="H494" s="10" t="n">
        <x:f>IF(F494="Física",'Pokémon'!G59,IF(F494="Especial",'Pokémon'!I59,""))</x:f>
        <x:v>95</x:v>
      </x:c>
      <x:c r="I494" s="10" t="n">
        <x:f>IF(OR(F494="Status",G494=0),"",G494+H494)</x:f>
        <x:v>135</x:v>
      </x:c>
      <x:c r="J494" s="10" t="n">
        <x:v>1</x:v>
      </x:c>
      <x:c r="K494" s="12" t="n">
        <x:v>18</x:v>
      </x:c>
      <x:c r="L494" s="1" t="str"/>
      <x:c r="M494" s="9" t="str">
        <x:v>https://poke.idleworld.online/pokepedia/pokemon/golduck</x:v>
      </x:c>
    </x:row>
    <x:row r="495" ht="22" customHeight="1">
      <x:c r="A495" s="1" t="n">
        <x:v>55</x:v>
      </x:c>
      <x:c r="B495" s="1" t="str">
        <x:v>Golduck</x:v>
      </x:c>
      <x:c r="C495" s="1" t="n">
        <x:v>3</x:v>
      </x:c>
      <x:c r="D495" s="1" t="str">
        <x:v>Scratch</x:v>
      </x:c>
      <x:c r="E495" s="1" t="str">
        <x:v>Normal</x:v>
      </x:c>
      <x:c r="F495" s="1" t="str">
        <x:v>Física</x:v>
      </x:c>
      <x:c r="G495" s="10" t="n">
        <x:v>40</x:v>
      </x:c>
      <x:c r="H495" s="10" t="n">
        <x:f>IF(F495="Física",'Pokémon'!G59,IF(F495="Especial",'Pokémon'!I59,""))</x:f>
        <x:v>82</x:v>
      </x:c>
      <x:c r="I495" s="10" t="n">
        <x:f>IF(OR(F495="Status",G495=0),"",G495+H495)</x:f>
        <x:v>122</x:v>
      </x:c>
      <x:c r="J495" s="10" t="n">
        <x:v>1</x:v>
      </x:c>
      <x:c r="K495" s="12" t="n">
        <x:v>15</x:v>
      </x:c>
      <x:c r="L495" s="1" t="str"/>
      <x:c r="M495" s="9" t="str">
        <x:v>https://poke.idleworld.online/pokepedia/pokemon/golduck</x:v>
      </x:c>
    </x:row>
    <x:row r="496" ht="22" customHeight="1">
      <x:c r="A496" s="1" t="n">
        <x:v>55</x:v>
      </x:c>
      <x:c r="B496" s="1" t="str">
        <x:v>Golduck</x:v>
      </x:c>
      <x:c r="C496" s="1" t="n">
        <x:v>4</x:v>
      </x:c>
      <x:c r="D496" s="1" t="str">
        <x:v>Aqua Jet</x:v>
      </x:c>
      <x:c r="E496" s="1" t="str">
        <x:v>Água</x:v>
      </x:c>
      <x:c r="F496" s="1" t="str">
        <x:v>Física</x:v>
      </x:c>
      <x:c r="G496" s="10" t="n">
        <x:v>40</x:v>
      </x:c>
      <x:c r="H496" s="10" t="n">
        <x:f>IF(F496="Física",'Pokémon'!G59,IF(F496="Especial",'Pokémon'!I59,""))</x:f>
        <x:v>82</x:v>
      </x:c>
      <x:c r="I496" s="10" t="n">
        <x:f>IF(OR(F496="Status",G496=0),"",G496+H496)</x:f>
        <x:v>122</x:v>
      </x:c>
      <x:c r="J496" s="10" t="n">
        <x:v>1</x:v>
      </x:c>
      <x:c r="K496" s="12" t="n">
        <x:v>15</x:v>
      </x:c>
      <x:c r="L496" s="1" t="str"/>
      <x:c r="M496" s="9" t="str">
        <x:v>https://poke.idleworld.online/pokepedia/pokemon/golduck</x:v>
      </x:c>
    </x:row>
    <x:row r="497" ht="22" customHeight="1">
      <x:c r="A497" s="1" t="n">
        <x:v>55</x:v>
      </x:c>
      <x:c r="B497" s="1" t="str">
        <x:v>Golduck</x:v>
      </x:c>
      <x:c r="C497" s="1" t="n">
        <x:v>6</x:v>
      </x:c>
      <x:c r="D497" s="1" t="str">
        <x:v>Fury Swipes</x:v>
      </x:c>
      <x:c r="E497" s="1" t="str">
        <x:v>Normal</x:v>
      </x:c>
      <x:c r="F497" s="1" t="str">
        <x:v>Física</x:v>
      </x:c>
      <x:c r="G497" s="10" t="n">
        <x:v>18</x:v>
      </x:c>
      <x:c r="H497" s="10" t="n">
        <x:f>IF(F497="Física",'Pokémon'!G59,IF(F497="Especial",'Pokémon'!I59,""))</x:f>
        <x:v>82</x:v>
      </x:c>
      <x:c r="I497" s="10" t="n">
        <x:f>IF(OR(F497="Status",G497=0),"",G497+H497)</x:f>
        <x:v>100</x:v>
      </x:c>
      <x:c r="J497" s="10" t="n">
        <x:v>15</x:v>
      </x:c>
      <x:c r="K497" s="12" t="n">
        <x:v>18</x:v>
      </x:c>
      <x:c r="L497" s="1" t="str"/>
      <x:c r="M497" s="9" t="str">
        <x:v>https://poke.idleworld.online/pokepedia/pokemon/golduck</x:v>
      </x:c>
    </x:row>
    <x:row r="498" ht="22" customHeight="1">
      <x:c r="A498" s="1" t="n">
        <x:v>56</x:v>
      </x:c>
      <x:c r="B498" s="1" t="str">
        <x:v>Mankey</x:v>
      </x:c>
      <x:c r="C498" s="1" t="n">
        <x:v>7</x:v>
      </x:c>
      <x:c r="D498" s="1" t="str">
        <x:v>Thrash</x:v>
      </x:c>
      <x:c r="E498" s="1" t="str">
        <x:v>Normal</x:v>
      </x:c>
      <x:c r="F498" s="1" t="str">
        <x:v>Física</x:v>
      </x:c>
      <x:c r="G498" s="10" t="n">
        <x:v>120</x:v>
      </x:c>
      <x:c r="H498" s="10" t="n">
        <x:f>IF(F498="Física",'Pokémon'!G60,IF(F498="Especial",'Pokémon'!I60,""))</x:f>
        <x:v>80</x:v>
      </x:c>
      <x:c r="I498" s="10" t="n">
        <x:f>IF(OR(F498="Status",G498=0),"",G498+H498)</x:f>
        <x:v>200</x:v>
      </x:c>
      <x:c r="J498" s="10" t="n">
        <x:v>41</x:v>
      </x:c>
      <x:c r="K498" s="12" t="n">
        <x:v>50</x:v>
      </x:c>
      <x:c r="L498" s="1" t="str"/>
      <x:c r="M498" s="9" t="str">
        <x:v>https://poke.idleworld.online/pokepedia/pokemon/mankey</x:v>
      </x:c>
    </x:row>
    <x:row r="499" ht="22" customHeight="1">
      <x:c r="A499" s="1" t="n">
        <x:v>56</x:v>
      </x:c>
      <x:c r="B499" s="1" t="str">
        <x:v>Mankey</x:v>
      </x:c>
      <x:c r="C499" s="1" t="n">
        <x:v>8</x:v>
      </x:c>
      <x:c r="D499" s="1" t="str">
        <x:v>Close Combat</x:v>
      </x:c>
      <x:c r="E499" s="1" t="str">
        <x:v>Lutador</x:v>
      </x:c>
      <x:c r="F499" s="1" t="str">
        <x:v>Física</x:v>
      </x:c>
      <x:c r="G499" s="10" t="n">
        <x:v>120</x:v>
      </x:c>
      <x:c r="H499" s="10" t="n">
        <x:f>IF(F499="Física",'Pokémon'!G60,IF(F499="Especial",'Pokémon'!I60,""))</x:f>
        <x:v>80</x:v>
      </x:c>
      <x:c r="I499" s="10" t="n">
        <x:f>IF(OR(F499="Status",G499=0),"",G499+H499)</x:f>
        <x:v>200</x:v>
      </x:c>
      <x:c r="J499" s="10" t="n">
        <x:v>49</x:v>
      </x:c>
      <x:c r="K499" s="12" t="n">
        <x:v>50</x:v>
      </x:c>
      <x:c r="L499" s="1" t="str"/>
      <x:c r="M499" s="9" t="str">
        <x:v>https://poke.idleworld.online/pokepedia/pokemon/mankey</x:v>
      </x:c>
    </x:row>
    <x:row r="500" ht="22" customHeight="1">
      <x:c r="A500" s="1" t="n">
        <x:v>56</x:v>
      </x:c>
      <x:c r="B500" s="1" t="str">
        <x:v>Mankey</x:v>
      </x:c>
      <x:c r="C500" s="1" t="n">
        <x:v>6</x:v>
      </x:c>
      <x:c r="D500" s="1" t="str">
        <x:v>Cross Chop</x:v>
      </x:c>
      <x:c r="E500" s="1" t="str">
        <x:v>Lutador</x:v>
      </x:c>
      <x:c r="F500" s="1" t="str">
        <x:v>Física</x:v>
      </x:c>
      <x:c r="G500" s="10" t="n">
        <x:v>100</x:v>
      </x:c>
      <x:c r="H500" s="10" t="n">
        <x:f>IF(F500="Física",'Pokémon'!G60,IF(F500="Especial",'Pokémon'!I60,""))</x:f>
        <x:v>80</x:v>
      </x:c>
      <x:c r="I500" s="10" t="n">
        <x:f>IF(OR(F500="Status",G500=0),"",G500+H500)</x:f>
        <x:v>180</x:v>
      </x:c>
      <x:c r="J500" s="10" t="n">
        <x:v>37</x:v>
      </x:c>
      <x:c r="K500" s="12" t="n">
        <x:v>30</x:v>
      </x:c>
      <x:c r="L500" s="1" t="str"/>
      <x:c r="M500" s="9" t="str">
        <x:v>https://poke.idleworld.online/pokepedia/pokemon/mankey</x:v>
      </x:c>
    </x:row>
    <x:row r="501" ht="22" customHeight="1">
      <x:c r="A501" s="1" t="n">
        <x:v>56</x:v>
      </x:c>
      <x:c r="B501" s="1" t="str">
        <x:v>Mankey</x:v>
      </x:c>
      <x:c r="C501" s="1" t="n">
        <x:v>2</x:v>
      </x:c>
      <x:c r="D501" s="1" t="str">
        <x:v>Covet</x:v>
      </x:c>
      <x:c r="E501" s="1" t="str">
        <x:v>Normal</x:v>
      </x:c>
      <x:c r="F501" s="1" t="str">
        <x:v>Física</x:v>
      </x:c>
      <x:c r="G501" s="10" t="n">
        <x:v>60</x:v>
      </x:c>
      <x:c r="H501" s="10" t="n">
        <x:f>IF(F501="Física",'Pokémon'!G60,IF(F501="Especial",'Pokémon'!I60,""))</x:f>
        <x:v>80</x:v>
      </x:c>
      <x:c r="I501" s="10" t="n">
        <x:f>IF(OR(F501="Status",G501=0),"",G501+H501)</x:f>
        <x:v>140</x:v>
      </x:c>
      <x:c r="J501" s="10" t="n">
        <x:v>1</x:v>
      </x:c>
      <x:c r="K501" s="12" t="n">
        <x:v>20</x:v>
      </x:c>
      <x:c r="L501" s="1" t="str"/>
      <x:c r="M501" s="9" t="str">
        <x:v>https://poke.idleworld.online/pokepedia/pokemon/mankey</x:v>
      </x:c>
    </x:row>
    <x:row r="502" ht="22" customHeight="1">
      <x:c r="A502" s="1" t="n">
        <x:v>56</x:v>
      </x:c>
      <x:c r="B502" s="1" t="str">
        <x:v>Mankey</x:v>
      </x:c>
      <x:c r="C502" s="1" t="n">
        <x:v>5</x:v>
      </x:c>
      <x:c r="D502" s="1" t="str">
        <x:v>Assurance</x:v>
      </x:c>
      <x:c r="E502" s="1" t="str">
        <x:v>Sombrio</x:v>
      </x:c>
      <x:c r="F502" s="1" t="str">
        <x:v>Física</x:v>
      </x:c>
      <x:c r="G502" s="10" t="n">
        <x:v>60</x:v>
      </x:c>
      <x:c r="H502" s="10" t="n">
        <x:f>IF(F502="Física",'Pokémon'!G60,IF(F502="Especial",'Pokémon'!I60,""))</x:f>
        <x:v>80</x:v>
      </x:c>
      <x:c r="I502" s="10" t="n">
        <x:f>IF(OR(F502="Status",G502=0),"",G502+H502)</x:f>
        <x:v>140</x:v>
      </x:c>
      <x:c r="J502" s="10" t="n">
        <x:v>25</x:v>
      </x:c>
      <x:c r="K502" s="12" t="n">
        <x:v>20</x:v>
      </x:c>
      <x:c r="L502" s="1" t="str"/>
      <x:c r="M502" s="9" t="str">
        <x:v>https://poke.idleworld.online/pokepedia/pokemon/mankey</x:v>
      </x:c>
    </x:row>
    <x:row r="503" ht="22" customHeight="1">
      <x:c r="A503" s="1" t="n">
        <x:v>56</x:v>
      </x:c>
      <x:c r="B503" s="1" t="str">
        <x:v>Mankey</x:v>
      </x:c>
      <x:c r="C503" s="1" t="n">
        <x:v>4</x:v>
      </x:c>
      <x:c r="D503" s="1" t="str">
        <x:v>Karate Chop</x:v>
      </x:c>
      <x:c r="E503" s="1" t="str">
        <x:v>Lutador</x:v>
      </x:c>
      <x:c r="F503" s="1" t="str">
        <x:v>Física</x:v>
      </x:c>
      <x:c r="G503" s="10" t="n">
        <x:v>50</x:v>
      </x:c>
      <x:c r="H503" s="10" t="n">
        <x:f>IF(F503="Física",'Pokémon'!G60,IF(F503="Especial",'Pokémon'!I60,""))</x:f>
        <x:v>80</x:v>
      </x:c>
      <x:c r="I503" s="10" t="n">
        <x:f>IF(OR(F503="Status",G503=0),"",G503+H503)</x:f>
        <x:v>130</x:v>
      </x:c>
      <x:c r="J503" s="10" t="n">
        <x:v>13</x:v>
      </x:c>
      <x:c r="K503" s="12" t="n">
        <x:v>20</x:v>
      </x:c>
      <x:c r="L503" s="1" t="str"/>
      <x:c r="M503" s="9" t="str">
        <x:v>https://poke.idleworld.online/pokepedia/pokemon/mankey</x:v>
      </x:c>
    </x:row>
    <x:row r="504" ht="22" customHeight="1">
      <x:c r="A504" s="1" t="n">
        <x:v>56</x:v>
      </x:c>
      <x:c r="B504" s="1" t="str">
        <x:v>Mankey</x:v>
      </x:c>
      <x:c r="C504" s="1" t="n">
        <x:v>1</x:v>
      </x:c>
      <x:c r="D504" s="1" t="str">
        <x:v>Scratch</x:v>
      </x:c>
      <x:c r="E504" s="1" t="str">
        <x:v>Normal</x:v>
      </x:c>
      <x:c r="F504" s="1" t="str">
        <x:v>Física</x:v>
      </x:c>
      <x:c r="G504" s="10" t="n">
        <x:v>40</x:v>
      </x:c>
      <x:c r="H504" s="10" t="n">
        <x:f>IF(F504="Física",'Pokémon'!G60,IF(F504="Especial",'Pokémon'!I60,""))</x:f>
        <x:v>80</x:v>
      </x:c>
      <x:c r="I504" s="10" t="n">
        <x:f>IF(OR(F504="Status",G504=0),"",G504+H504)</x:f>
        <x:v>120</x:v>
      </x:c>
      <x:c r="J504" s="10" t="n">
        <x:v>1</x:v>
      </x:c>
      <x:c r="K504" s="12" t="n">
        <x:v>12</x:v>
      </x:c>
      <x:c r="L504" s="1" t="str"/>
      <x:c r="M504" s="9" t="str">
        <x:v>https://poke.idleworld.online/pokepedia/pokemon/mankey</x:v>
      </x:c>
    </x:row>
    <x:row r="505" ht="22" customHeight="1">
      <x:c r="A505" s="1" t="n">
        <x:v>56</x:v>
      </x:c>
      <x:c r="B505" s="1" t="str">
        <x:v>Mankey</x:v>
      </x:c>
      <x:c r="C505" s="1" t="n">
        <x:v>3</x:v>
      </x:c>
      <x:c r="D505" s="1" t="str">
        <x:v>Fury Swipes</x:v>
      </x:c>
      <x:c r="E505" s="1" t="str">
        <x:v>Normal</x:v>
      </x:c>
      <x:c r="F505" s="1" t="str">
        <x:v>Física</x:v>
      </x:c>
      <x:c r="G505" s="10" t="n">
        <x:v>18</x:v>
      </x:c>
      <x:c r="H505" s="10" t="n">
        <x:f>IF(F505="Física",'Pokémon'!G60,IF(F505="Especial",'Pokémon'!I60,""))</x:f>
        <x:v>80</x:v>
      </x:c>
      <x:c r="I505" s="10" t="n">
        <x:f>IF(OR(F505="Status",G505=0),"",G505+H505)</x:f>
        <x:v>98</x:v>
      </x:c>
      <x:c r="J505" s="10" t="n">
        <x:v>9</x:v>
      </x:c>
      <x:c r="K505" s="12" t="n">
        <x:v>15</x:v>
      </x:c>
      <x:c r="L505" s="1" t="str"/>
      <x:c r="M505" s="9" t="str">
        <x:v>https://poke.idleworld.online/pokepedia/pokemon/mankey</x:v>
      </x:c>
    </x:row>
    <x:row r="506" ht="22" customHeight="1">
      <x:c r="A506" s="1" t="n">
        <x:v>57</x:v>
      </x:c>
      <x:c r="B506" s="1" t="str">
        <x:v>Primeape</x:v>
      </x:c>
      <x:c r="C506" s="1" t="n">
        <x:v>2</x:v>
      </x:c>
      <x:c r="D506" s="1" t="str">
        <x:v>Meteor Fists</x:v>
      </x:c>
      <x:c r="E506" s="1" t="str">
        <x:v>Lutador</x:v>
      </x:c>
      <x:c r="F506" s="1" t="str">
        <x:v>Física</x:v>
      </x:c>
      <x:c r="G506" s="10" t="n">
        <x:v>300</x:v>
      </x:c>
      <x:c r="H506" s="10" t="n">
        <x:f>IF(F506="Física",'Pokémon'!G61,IF(F506="Especial",'Pokémon'!I61,""))</x:f>
        <x:v>105</x:v>
      </x:c>
      <x:c r="I506" s="10" t="n">
        <x:f>IF(OR(F506="Status",G506=0),"",G506+H506)</x:f>
        <x:v>405</x:v>
      </x:c>
      <x:c r="J506" s="10" t="n">
        <x:v>1</x:v>
      </x:c>
      <x:c r="K506" s="12" t="n">
        <x:v>10</x:v>
      </x:c>
      <x:c r="L506" s="1" t="str">
        <x:v>Sim</x:v>
      </x:c>
      <x:c r="M506" s="9" t="str">
        <x:v>https://poke.idleworld.online/pokepedia/pokemon/primeape</x:v>
      </x:c>
    </x:row>
    <x:row r="507" ht="22" customHeight="1">
      <x:c r="A507" s="1" t="n">
        <x:v>57</x:v>
      </x:c>
      <x:c r="B507" s="1" t="str">
        <x:v>Primeape</x:v>
      </x:c>
      <x:c r="C507" s="1" t="n">
        <x:v>8</x:v>
      </x:c>
      <x:c r="D507" s="1" t="str">
        <x:v>Thrash</x:v>
      </x:c>
      <x:c r="E507" s="1" t="str">
        <x:v>Normal</x:v>
      </x:c>
      <x:c r="F507" s="1" t="str">
        <x:v>Física</x:v>
      </x:c>
      <x:c r="G507" s="10" t="n">
        <x:v>120</x:v>
      </x:c>
      <x:c r="H507" s="10" t="n">
        <x:f>IF(F507="Física",'Pokémon'!G61,IF(F507="Especial",'Pokémon'!I61,""))</x:f>
        <x:v>105</x:v>
      </x:c>
      <x:c r="I507" s="10" t="n">
        <x:f>IF(OR(F507="Status",G507=0),"",G507+H507)</x:f>
        <x:v>225</x:v>
      </x:c>
      <x:c r="J507" s="10" t="n">
        <x:v>47</x:v>
      </x:c>
      <x:c r="K507" s="12" t="n">
        <x:v>50</x:v>
      </x:c>
      <x:c r="L507" s="1" t="str"/>
      <x:c r="M507" s="9" t="str">
        <x:v>https://poke.idleworld.online/pokepedia/pokemon/primeape</x:v>
      </x:c>
    </x:row>
    <x:row r="508" ht="22" customHeight="1">
      <x:c r="A508" s="1" t="n">
        <x:v>57</x:v>
      </x:c>
      <x:c r="B508" s="1" t="str">
        <x:v>Primeape</x:v>
      </x:c>
      <x:c r="C508" s="1" t="n">
        <x:v>9</x:v>
      </x:c>
      <x:c r="D508" s="1" t="str">
        <x:v>Close Combat</x:v>
      </x:c>
      <x:c r="E508" s="1" t="str">
        <x:v>Lutador</x:v>
      </x:c>
      <x:c r="F508" s="1" t="str">
        <x:v>Física</x:v>
      </x:c>
      <x:c r="G508" s="10" t="n">
        <x:v>120</x:v>
      </x:c>
      <x:c r="H508" s="10" t="n">
        <x:f>IF(F508="Física",'Pokémon'!G61,IF(F508="Especial",'Pokémon'!I61,""))</x:f>
        <x:v>105</x:v>
      </x:c>
      <x:c r="I508" s="10" t="n">
        <x:f>IF(OR(F508="Status",G508=0),"",G508+H508)</x:f>
        <x:v>225</x:v>
      </x:c>
      <x:c r="J508" s="10" t="n">
        <x:v>59</x:v>
      </x:c>
      <x:c r="K508" s="12" t="n">
        <x:v>22</x:v>
      </x:c>
      <x:c r="L508" s="1" t="str"/>
      <x:c r="M508" s="9" t="str">
        <x:v>https://poke.idleworld.online/pokepedia/pokemon/primeape</x:v>
      </x:c>
    </x:row>
    <x:row r="509" ht="22" customHeight="1">
      <x:c r="A509" s="1" t="n">
        <x:v>57</x:v>
      </x:c>
      <x:c r="B509" s="1" t="str">
        <x:v>Primeape</x:v>
      </x:c>
      <x:c r="C509" s="1" t="n">
        <x:v>7</x:v>
      </x:c>
      <x:c r="D509" s="1" t="str">
        <x:v>Cross Chop</x:v>
      </x:c>
      <x:c r="E509" s="1" t="str">
        <x:v>Lutador</x:v>
      </x:c>
      <x:c r="F509" s="1" t="str">
        <x:v>Física</x:v>
      </x:c>
      <x:c r="G509" s="10" t="n">
        <x:v>100</x:v>
      </x:c>
      <x:c r="H509" s="10" t="n">
        <x:f>IF(F509="Física",'Pokémon'!G61,IF(F509="Especial",'Pokémon'!I61,""))</x:f>
        <x:v>105</x:v>
      </x:c>
      <x:c r="I509" s="10" t="n">
        <x:f>IF(OR(F509="Status",G509=0),"",G509+H509)</x:f>
        <x:v>205</x:v>
      </x:c>
      <x:c r="J509" s="10" t="n">
        <x:v>41</x:v>
      </x:c>
      <x:c r="K509" s="12" t="n">
        <x:v>30</x:v>
      </x:c>
      <x:c r="L509" s="1" t="str"/>
      <x:c r="M509" s="9" t="str">
        <x:v>https://poke.idleworld.online/pokepedia/pokemon/primeape</x:v>
      </x:c>
    </x:row>
    <x:row r="510" ht="22" customHeight="1">
      <x:c r="A510" s="1" t="n">
        <x:v>57</x:v>
      </x:c>
      <x:c r="B510" s="1" t="str">
        <x:v>Primeape</x:v>
      </x:c>
      <x:c r="C510" s="1" t="n">
        <x:v>5</x:v>
      </x:c>
      <x:c r="D510" s="1" t="str">
        <x:v>Assurance</x:v>
      </x:c>
      <x:c r="E510" s="1" t="str">
        <x:v>Sombrio</x:v>
      </x:c>
      <x:c r="F510" s="1" t="str">
        <x:v>Física</x:v>
      </x:c>
      <x:c r="G510" s="10" t="n">
        <x:v>60</x:v>
      </x:c>
      <x:c r="H510" s="10" t="n">
        <x:f>IF(F510="Física",'Pokémon'!G61,IF(F510="Especial",'Pokémon'!I61,""))</x:f>
        <x:v>105</x:v>
      </x:c>
      <x:c r="I510" s="10" t="n">
        <x:f>IF(OR(F510="Status",G510=0),"",G510+H510)</x:f>
        <x:v>165</x:v>
      </x:c>
      <x:c r="J510" s="10" t="n">
        <x:v>25</x:v>
      </x:c>
      <x:c r="K510" s="12" t="n">
        <x:v>20</x:v>
      </x:c>
      <x:c r="L510" s="1" t="str"/>
      <x:c r="M510" s="9" t="str">
        <x:v>https://poke.idleworld.online/pokepedia/pokemon/primeape</x:v>
      </x:c>
    </x:row>
    <x:row r="511" ht="22" customHeight="1">
      <x:c r="A511" s="1" t="n">
        <x:v>57</x:v>
      </x:c>
      <x:c r="B511" s="1" t="str">
        <x:v>Primeape</x:v>
      </x:c>
      <x:c r="C511" s="1" t="n">
        <x:v>4</x:v>
      </x:c>
      <x:c r="D511" s="1" t="str">
        <x:v>Karate Chop</x:v>
      </x:c>
      <x:c r="E511" s="1" t="str">
        <x:v>Lutador</x:v>
      </x:c>
      <x:c r="F511" s="1" t="str">
        <x:v>Física</x:v>
      </x:c>
      <x:c r="G511" s="10" t="n">
        <x:v>50</x:v>
      </x:c>
      <x:c r="H511" s="10" t="n">
        <x:f>IF(F511="Física",'Pokémon'!G61,IF(F511="Especial",'Pokémon'!I61,""))</x:f>
        <x:v>105</x:v>
      </x:c>
      <x:c r="I511" s="10" t="n">
        <x:f>IF(OR(F511="Status",G511=0),"",G511+H511)</x:f>
        <x:v>155</x:v>
      </x:c>
      <x:c r="J511" s="10" t="n">
        <x:v>13</x:v>
      </x:c>
      <x:c r="K511" s="12" t="n">
        <x:v>20</x:v>
      </x:c>
      <x:c r="L511" s="1" t="str"/>
      <x:c r="M511" s="9" t="str">
        <x:v>https://poke.idleworld.online/pokepedia/pokemon/primeape</x:v>
      </x:c>
    </x:row>
    <x:row r="512" ht="22" customHeight="1">
      <x:c r="A512" s="1" t="n">
        <x:v>57</x:v>
      </x:c>
      <x:c r="B512" s="1" t="str">
        <x:v>Primeape</x:v>
      </x:c>
      <x:c r="C512" s="1" t="n">
        <x:v>1</x:v>
      </x:c>
      <x:c r="D512" s="1" t="str">
        <x:v>Scratch</x:v>
      </x:c>
      <x:c r="E512" s="1" t="str">
        <x:v>Normal</x:v>
      </x:c>
      <x:c r="F512" s="1" t="str">
        <x:v>Física</x:v>
      </x:c>
      <x:c r="G512" s="10" t="n">
        <x:v>40</x:v>
      </x:c>
      <x:c r="H512" s="10" t="n">
        <x:f>IF(F512="Física",'Pokémon'!G61,IF(F512="Especial",'Pokémon'!I61,""))</x:f>
        <x:v>105</x:v>
      </x:c>
      <x:c r="I512" s="10" t="n">
        <x:f>IF(OR(F512="Status",G512=0),"",G512+H512)</x:f>
        <x:v>145</x:v>
      </x:c>
      <x:c r="J512" s="10" t="n">
        <x:v>1</x:v>
      </x:c>
      <x:c r="K512" s="12" t="n">
        <x:v>12</x:v>
      </x:c>
      <x:c r="L512" s="1" t="str"/>
      <x:c r="M512" s="9" t="str">
        <x:v>https://poke.idleworld.online/pokepedia/pokemon/primeape</x:v>
      </x:c>
    </x:row>
    <x:row r="513" ht="22" customHeight="1">
      <x:c r="A513" s="1" t="n">
        <x:v>57</x:v>
      </x:c>
      <x:c r="B513" s="1" t="str">
        <x:v>Primeape</x:v>
      </x:c>
      <x:c r="C513" s="1" t="n">
        <x:v>6</x:v>
      </x:c>
      <x:c r="D513" s="1" t="str">
        <x:v>Rage</x:v>
      </x:c>
      <x:c r="E513" s="1" t="str">
        <x:v>Normal</x:v>
      </x:c>
      <x:c r="F513" s="1" t="str">
        <x:v>Física</x:v>
      </x:c>
      <x:c r="G513" s="10" t="n">
        <x:v>20</x:v>
      </x:c>
      <x:c r="H513" s="10" t="n">
        <x:f>IF(F513="Física",'Pokémon'!G61,IF(F513="Especial",'Pokémon'!I61,""))</x:f>
        <x:v>105</x:v>
      </x:c>
      <x:c r="I513" s="10" t="n">
        <x:f>IF(OR(F513="Status",G513=0),"",G513+H513)</x:f>
        <x:v>125</x:v>
      </x:c>
      <x:c r="J513" s="10" t="n">
        <x:v>28</x:v>
      </x:c>
      <x:c r="K513" s="12" t="n">
        <x:v>30</x:v>
      </x:c>
      <x:c r="L513" s="1" t="str"/>
      <x:c r="M513" s="9" t="str">
        <x:v>https://poke.idleworld.online/pokepedia/pokemon/primeape</x:v>
      </x:c>
    </x:row>
    <x:row r="514" ht="22" customHeight="1">
      <x:c r="A514" s="1" t="n">
        <x:v>57</x:v>
      </x:c>
      <x:c r="B514" s="1" t="str">
        <x:v>Primeape</x:v>
      </x:c>
      <x:c r="C514" s="1" t="n">
        <x:v>3</x:v>
      </x:c>
      <x:c r="D514" s="1" t="str">
        <x:v>Fury Swipes</x:v>
      </x:c>
      <x:c r="E514" s="1" t="str">
        <x:v>Normal</x:v>
      </x:c>
      <x:c r="F514" s="1" t="str">
        <x:v>Física</x:v>
      </x:c>
      <x:c r="G514" s="10" t="n">
        <x:v>18</x:v>
      </x:c>
      <x:c r="H514" s="10" t="n">
        <x:f>IF(F514="Física",'Pokémon'!G61,IF(F514="Especial",'Pokémon'!I61,""))</x:f>
        <x:v>105</x:v>
      </x:c>
      <x:c r="I514" s="10" t="n">
        <x:f>IF(OR(F514="Status",G514=0),"",G514+H514)</x:f>
        <x:v>123</x:v>
      </x:c>
      <x:c r="J514" s="10" t="n">
        <x:v>9</x:v>
      </x:c>
      <x:c r="K514" s="12" t="n">
        <x:v>15</x:v>
      </x:c>
      <x:c r="L514" s="1" t="str"/>
      <x:c r="M514" s="9" t="str">
        <x:v>https://poke.idleworld.online/pokepedia/pokemon/primeape</x:v>
      </x:c>
    </x:row>
    <x:row r="515" ht="22" customHeight="1">
      <x:c r="A515" s="1" t="n">
        <x:v>58</x:v>
      </x:c>
      <x:c r="B515" s="1" t="str">
        <x:v>Growlithe</x:v>
      </x:c>
      <x:c r="C515" s="1" t="n">
        <x:v>12</x:v>
      </x:c>
      <x:c r="D515" s="1" t="str">
        <x:v>Outrage</x:v>
      </x:c>
      <x:c r="E515" s="1" t="str">
        <x:v>Dragão</x:v>
      </x:c>
      <x:c r="F515" s="1" t="str">
        <x:v>Física</x:v>
      </x:c>
      <x:c r="G515" s="10" t="n">
        <x:v>120</x:v>
      </x:c>
      <x:c r="H515" s="10" t="n">
        <x:f>IF(F515="Física",'Pokémon'!G62,IF(F515="Especial",'Pokémon'!I62,""))</x:f>
        <x:v>70</x:v>
      </x:c>
      <x:c r="I515" s="10" t="n">
        <x:f>IF(OR(F515="Status",G515=0),"",G515+H515)</x:f>
        <x:v>190</x:v>
      </x:c>
      <x:c r="J515" s="10" t="n">
        <x:v>43</x:v>
      </x:c>
      <x:c r="K515" s="12" t="n">
        <x:v>50</x:v>
      </x:c>
      <x:c r="L515" s="1" t="str"/>
      <x:c r="M515" s="9" t="str">
        <x:v>https://poke.idleworld.online/pokepedia/pokemon/growlithe</x:v>
      </x:c>
    </x:row>
    <x:row r="516" ht="22" customHeight="1">
      <x:c r="A516" s="1" t="n">
        <x:v>58</x:v>
      </x:c>
      <x:c r="B516" s="1" t="str">
        <x:v>Growlithe</x:v>
      </x:c>
      <x:c r="C516" s="1" t="n">
        <x:v>13</x:v>
      </x:c>
      <x:c r="D516" s="1" t="str">
        <x:v>Flare Blitz</x:v>
      </x:c>
      <x:c r="E516" s="1" t="str">
        <x:v>Fogo</x:v>
      </x:c>
      <x:c r="F516" s="1" t="str">
        <x:v>Física</x:v>
      </x:c>
      <x:c r="G516" s="10" t="n">
        <x:v>120</x:v>
      </x:c>
      <x:c r="H516" s="10" t="n">
        <x:f>IF(F516="Física",'Pokémon'!G62,IF(F516="Especial",'Pokémon'!I62,""))</x:f>
        <x:v>70</x:v>
      </x:c>
      <x:c r="I516" s="10" t="n">
        <x:f>IF(OR(F516="Status",G516=0),"",G516+H516)</x:f>
        <x:v>190</x:v>
      </x:c>
      <x:c r="J516" s="10" t="n">
        <x:v>45</x:v>
      </x:c>
      <x:c r="K516" s="12" t="n">
        <x:v>50</x:v>
      </x:c>
      <x:c r="L516" s="1" t="str"/>
      <x:c r="M516" s="9" t="str">
        <x:v>https://poke.idleworld.online/pokepedia/pokemon/growlithe</x:v>
      </x:c>
    </x:row>
    <x:row r="517" ht="22" customHeight="1">
      <x:c r="A517" s="1" t="n">
        <x:v>58</x:v>
      </x:c>
      <x:c r="B517" s="1" t="str">
        <x:v>Growlithe</x:v>
      </x:c>
      <x:c r="C517" s="1" t="n">
        <x:v>11</x:v>
      </x:c>
      <x:c r="D517" s="1" t="str">
        <x:v>Heat Wave</x:v>
      </x:c>
      <x:c r="E517" s="1" t="str">
        <x:v>Fogo</x:v>
      </x:c>
      <x:c r="F517" s="1" t="str">
        <x:v>Especial</x:v>
      </x:c>
      <x:c r="G517" s="10" t="n">
        <x:v>95</x:v>
      </x:c>
      <x:c r="H517" s="10" t="n">
        <x:f>IF(F517="Física",'Pokémon'!G62,IF(F517="Especial",'Pokémon'!I62,""))</x:f>
        <x:v>70</x:v>
      </x:c>
      <x:c r="I517" s="10" t="n">
        <x:f>IF(OR(F517="Status",G517=0),"",G517+H517)</x:f>
        <x:v>165</x:v>
      </x:c>
      <x:c r="J517" s="10" t="n">
        <x:v>41</x:v>
      </x:c>
      <x:c r="K517" s="12" t="n">
        <x:v>50</x:v>
      </x:c>
      <x:c r="L517" s="1" t="str"/>
      <x:c r="M517" s="9" t="str">
        <x:v>https://poke.idleworld.online/pokepedia/pokemon/growlithe</x:v>
      </x:c>
    </x:row>
    <x:row r="518" ht="22" customHeight="1">
      <x:c r="A518" s="1" t="n">
        <x:v>58</x:v>
      </x:c>
      <x:c r="B518" s="1" t="str">
        <x:v>Growlithe</x:v>
      </x:c>
      <x:c r="C518" s="1" t="n">
        <x:v>6</x:v>
      </x:c>
      <x:c r="D518" s="1" t="str">
        <x:v>Take Down</x:v>
      </x:c>
      <x:c r="E518" s="1" t="str">
        <x:v>Normal</x:v>
      </x:c>
      <x:c r="F518" s="1" t="str">
        <x:v>Física</x:v>
      </x:c>
      <x:c r="G518" s="10" t="n">
        <x:v>90</x:v>
      </x:c>
      <x:c r="H518" s="10" t="n">
        <x:f>IF(F518="Física",'Pokémon'!G62,IF(F518="Especial",'Pokémon'!I62,""))</x:f>
        <x:v>70</x:v>
      </x:c>
      <x:c r="I518" s="10" t="n">
        <x:f>IF(OR(F518="Status",G518=0),"",G518+H518)</x:f>
        <x:v>160</x:v>
      </x:c>
      <x:c r="J518" s="10" t="n">
        <x:v>23</x:v>
      </x:c>
      <x:c r="K518" s="12" t="n">
        <x:v>22</x:v>
      </x:c>
      <x:c r="L518" s="1" t="str"/>
      <x:c r="M518" s="9" t="str">
        <x:v>https://poke.idleworld.online/pokepedia/pokemon/growlithe</x:v>
      </x:c>
    </x:row>
    <x:row r="519" ht="22" customHeight="1">
      <x:c r="A519" s="1" t="n">
        <x:v>58</x:v>
      </x:c>
      <x:c r="B519" s="1" t="str">
        <x:v>Growlithe</x:v>
      </x:c>
      <x:c r="C519" s="1" t="n">
        <x:v>9</x:v>
      </x:c>
      <x:c r="D519" s="1" t="str">
        <x:v>Flamethrower</x:v>
      </x:c>
      <x:c r="E519" s="1" t="str">
        <x:v>Fogo</x:v>
      </x:c>
      <x:c r="F519" s="1" t="str">
        <x:v>Especial</x:v>
      </x:c>
      <x:c r="G519" s="10" t="n">
        <x:v>90</x:v>
      </x:c>
      <x:c r="H519" s="10" t="n">
        <x:f>IF(F519="Física",'Pokémon'!G62,IF(F519="Especial",'Pokémon'!I62,""))</x:f>
        <x:v>70</x:v>
      </x:c>
      <x:c r="I519" s="10" t="n">
        <x:f>IF(OR(F519="Status",G519=0),"",G519+H519)</x:f>
        <x:v>160</x:v>
      </x:c>
      <x:c r="J519" s="10" t="n">
        <x:v>34</x:v>
      </x:c>
      <x:c r="K519" s="12" t="n">
        <x:v>18</x:v>
      </x:c>
      <x:c r="L519" s="1" t="str"/>
      <x:c r="M519" s="9" t="str">
        <x:v>https://poke.idleworld.online/pokepedia/pokemon/growlithe</x:v>
      </x:c>
    </x:row>
    <x:row r="520" ht="22" customHeight="1">
      <x:c r="A520" s="1" t="n">
        <x:v>58</x:v>
      </x:c>
      <x:c r="B520" s="1" t="str">
        <x:v>Growlithe</x:v>
      </x:c>
      <x:c r="C520" s="1" t="n">
        <x:v>10</x:v>
      </x:c>
      <x:c r="D520" s="1" t="str">
        <x:v>Crunch</x:v>
      </x:c>
      <x:c r="E520" s="1" t="str">
        <x:v>Sombrio</x:v>
      </x:c>
      <x:c r="F520" s="1" t="str">
        <x:v>Física</x:v>
      </x:c>
      <x:c r="G520" s="10" t="n">
        <x:v>80</x:v>
      </x:c>
      <x:c r="H520" s="10" t="n">
        <x:f>IF(F520="Física",'Pokémon'!G62,IF(F520="Especial",'Pokémon'!I62,""))</x:f>
        <x:v>70</x:v>
      </x:c>
      <x:c r="I520" s="10" t="n">
        <x:f>IF(OR(F520="Status",G520=0),"",G520+H520)</x:f>
        <x:v>150</x:v>
      </x:c>
      <x:c r="J520" s="10" t="n">
        <x:v>39</x:v>
      </x:c>
      <x:c r="K520" s="12" t="n">
        <x:v>22</x:v>
      </x:c>
      <x:c r="L520" s="1" t="str"/>
      <x:c r="M520" s="9" t="str">
        <x:v>https://poke.idleworld.online/pokepedia/pokemon/growlithe</x:v>
      </x:c>
    </x:row>
    <x:row r="521" ht="22" customHeight="1">
      <x:c r="A521" s="1" t="n">
        <x:v>58</x:v>
      </x:c>
      <x:c r="B521" s="1" t="str">
        <x:v>Growlithe</x:v>
      </x:c>
      <x:c r="C521" s="1" t="n">
        <x:v>7</x:v>
      </x:c>
      <x:c r="D521" s="1" t="str">
        <x:v>Flame Burst</x:v>
      </x:c>
      <x:c r="E521" s="1" t="str">
        <x:v>Fogo</x:v>
      </x:c>
      <x:c r="F521" s="1" t="str">
        <x:v>Especial</x:v>
      </x:c>
      <x:c r="G521" s="10" t="n">
        <x:v>70</x:v>
      </x:c>
      <x:c r="H521" s="10" t="n">
        <x:f>IF(F521="Física",'Pokémon'!G62,IF(F521="Especial",'Pokémon'!I62,""))</x:f>
        <x:v>70</x:v>
      </x:c>
      <x:c r="I521" s="10" t="n">
        <x:f>IF(OR(F521="Status",G521=0),"",G521+H521)</x:f>
        <x:v>140</x:v>
      </x:c>
      <x:c r="J521" s="10" t="n">
        <x:v>28</x:v>
      </x:c>
      <x:c r="K521" s="12" t="n">
        <x:v>20</x:v>
      </x:c>
      <x:c r="L521" s="1" t="str"/>
      <x:c r="M521" s="9" t="str">
        <x:v>https://poke.idleworld.online/pokepedia/pokemon/growlithe</x:v>
      </x:c>
    </x:row>
    <x:row r="522" ht="22" customHeight="1">
      <x:c r="A522" s="1" t="n">
        <x:v>58</x:v>
      </x:c>
      <x:c r="B522" s="1" t="str">
        <x:v>Growlithe</x:v>
      </x:c>
      <x:c r="C522" s="1" t="n">
        <x:v>8</x:v>
      </x:c>
      <x:c r="D522" s="1" t="str">
        <x:v>Retaliate</x:v>
      </x:c>
      <x:c r="E522" s="1" t="str">
        <x:v>Normal</x:v>
      </x:c>
      <x:c r="F522" s="1" t="str">
        <x:v>Física</x:v>
      </x:c>
      <x:c r="G522" s="10" t="n">
        <x:v>70</x:v>
      </x:c>
      <x:c r="H522" s="10" t="n">
        <x:f>IF(F522="Física",'Pokémon'!G62,IF(F522="Especial",'Pokémon'!I62,""))</x:f>
        <x:v>70</x:v>
      </x:c>
      <x:c r="I522" s="10" t="n">
        <x:f>IF(OR(F522="Status",G522=0),"",G522+H522)</x:f>
        <x:v>140</x:v>
      </x:c>
      <x:c r="J522" s="10" t="n">
        <x:v>32</x:v>
      </x:c>
      <x:c r="K522" s="12" t="n">
        <x:v>20</x:v>
      </x:c>
      <x:c r="L522" s="1" t="str"/>
      <x:c r="M522" s="9" t="str">
        <x:v>https://poke.idleworld.online/pokepedia/pokemon/growlithe</x:v>
      </x:c>
    </x:row>
    <x:row r="523" ht="22" customHeight="1">
      <x:c r="A523" s="1" t="n">
        <x:v>58</x:v>
      </x:c>
      <x:c r="B523" s="1" t="str">
        <x:v>Growlithe</x:v>
      </x:c>
      <x:c r="C523" s="1" t="n">
        <x:v>5</x:v>
      </x:c>
      <x:c r="D523" s="1" t="str">
        <x:v>Fire Fang</x:v>
      </x:c>
      <x:c r="E523" s="1" t="str">
        <x:v>Fogo</x:v>
      </x:c>
      <x:c r="F523" s="1" t="str">
        <x:v>Física</x:v>
      </x:c>
      <x:c r="G523" s="10" t="n">
        <x:v>65</x:v>
      </x:c>
      <x:c r="H523" s="10" t="n">
        <x:f>IF(F523="Física",'Pokémon'!G62,IF(F523="Especial",'Pokémon'!I62,""))</x:f>
        <x:v>70</x:v>
      </x:c>
      <x:c r="I523" s="10" t="n">
        <x:f>IF(OR(F523="Status",G523=0),"",G523+H523)</x:f>
        <x:v>135</x:v>
      </x:c>
      <x:c r="J523" s="10" t="n">
        <x:v>21</x:v>
      </x:c>
      <x:c r="K523" s="12" t="n">
        <x:v>15</x:v>
      </x:c>
      <x:c r="L523" s="1" t="str"/>
      <x:c r="M523" s="9" t="str">
        <x:v>https://poke.idleworld.online/pokepedia/pokemon/growlithe</x:v>
      </x:c>
    </x:row>
    <x:row r="524" ht="22" customHeight="1">
      <x:c r="A524" s="1" t="n">
        <x:v>58</x:v>
      </x:c>
      <x:c r="B524" s="1" t="str">
        <x:v>Growlithe</x:v>
      </x:c>
      <x:c r="C524" s="1" t="n">
        <x:v>2</x:v>
      </x:c>
      <x:c r="D524" s="1" t="str">
        <x:v>Bite</x:v>
      </x:c>
      <x:c r="E524" s="1" t="str">
        <x:v>Sombrio</x:v>
      </x:c>
      <x:c r="F524" s="1" t="str">
        <x:v>Física</x:v>
      </x:c>
      <x:c r="G524" s="10" t="n">
        <x:v>60</x:v>
      </x:c>
      <x:c r="H524" s="10" t="n">
        <x:f>IF(F524="Física",'Pokémon'!G62,IF(F524="Especial",'Pokémon'!I62,""))</x:f>
        <x:v>70</x:v>
      </x:c>
      <x:c r="I524" s="10" t="n">
        <x:f>IF(OR(F524="Status",G524=0),"",G524+H524)</x:f>
        <x:v>130</x:v>
      </x:c>
      <x:c r="J524" s="10" t="n">
        <x:v>1</x:v>
      </x:c>
      <x:c r="K524" s="12" t="n">
        <x:v>15</x:v>
      </x:c>
      <x:c r="L524" s="1" t="str"/>
      <x:c r="M524" s="9" t="str">
        <x:v>https://poke.idleworld.online/pokepedia/pokemon/growlithe</x:v>
      </x:c>
    </x:row>
    <x:row r="525" ht="22" customHeight="1">
      <x:c r="A525" s="1" t="n">
        <x:v>58</x:v>
      </x:c>
      <x:c r="B525" s="1" t="str">
        <x:v>Growlithe</x:v>
      </x:c>
      <x:c r="C525" s="1" t="n">
        <x:v>4</x:v>
      </x:c>
      <x:c r="D525" s="1" t="str">
        <x:v>Flame Wheel</x:v>
      </x:c>
      <x:c r="E525" s="1" t="str">
        <x:v>Fogo</x:v>
      </x:c>
      <x:c r="F525" s="1" t="str">
        <x:v>Física</x:v>
      </x:c>
      <x:c r="G525" s="10" t="n">
        <x:v>60</x:v>
      </x:c>
      <x:c r="H525" s="10" t="n">
        <x:f>IF(F525="Física",'Pokémon'!G62,IF(F525="Especial",'Pokémon'!I62,""))</x:f>
        <x:v>70</x:v>
      </x:c>
      <x:c r="I525" s="10" t="n">
        <x:f>IF(OR(F525="Status",G525=0),"",G525+H525)</x:f>
        <x:v>130</x:v>
      </x:c>
      <x:c r="J525" s="10" t="n">
        <x:v>17</x:v>
      </x:c>
      <x:c r="K525" s="12" t="n">
        <x:v>20</x:v>
      </x:c>
      <x:c r="L525" s="1" t="str"/>
      <x:c r="M525" s="9" t="str">
        <x:v>https://poke.idleworld.online/pokepedia/pokemon/growlithe</x:v>
      </x:c>
    </x:row>
    <x:row r="526" ht="22" customHeight="1">
      <x:c r="A526" s="1" t="n">
        <x:v>58</x:v>
      </x:c>
      <x:c r="B526" s="1" t="str">
        <x:v>Growlithe</x:v>
      </x:c>
      <x:c r="C526" s="1" t="n">
        <x:v>3</x:v>
      </x:c>
      <x:c r="D526" s="1" t="str">
        <x:v>Ember</x:v>
      </x:c>
      <x:c r="E526" s="1" t="str">
        <x:v>Fogo</x:v>
      </x:c>
      <x:c r="F526" s="1" t="str">
        <x:v>Especial</x:v>
      </x:c>
      <x:c r="G526" s="10" t="n">
        <x:v>40</x:v>
      </x:c>
      <x:c r="H526" s="10" t="n">
        <x:f>IF(F526="Física",'Pokémon'!G62,IF(F526="Especial",'Pokémon'!I62,""))</x:f>
        <x:v>70</x:v>
      </x:c>
      <x:c r="I526" s="10" t="n">
        <x:f>IF(OR(F526="Status",G526=0),"",G526+H526)</x:f>
        <x:v>110</x:v>
      </x:c>
      <x:c r="J526" s="10" t="n">
        <x:v>6</x:v>
      </x:c>
      <x:c r="K526" s="12" t="n">
        <x:v>10</x:v>
      </x:c>
      <x:c r="L526" s="1" t="str"/>
      <x:c r="M526" s="9" t="str">
        <x:v>https://poke.idleworld.online/pokepedia/pokemon/growlithe</x:v>
      </x:c>
    </x:row>
    <x:row r="527" ht="22" customHeight="1">
      <x:c r="A527" s="1" t="n">
        <x:v>58</x:v>
      </x:c>
      <x:c r="B527" s="1" t="str">
        <x:v>Growlithe</x:v>
      </x:c>
      <x:c r="C527" s="1" t="n">
        <x:v>1</x:v>
      </x:c>
      <x:c r="D527" s="1" t="str">
        <x:v>Roar</x:v>
      </x:c>
      <x:c r="E527" s="1" t="str">
        <x:v>Normal</x:v>
      </x:c>
      <x:c r="F527" s="1" t="str">
        <x:v>Status</x:v>
      </x:c>
      <x:c r="G527" s="10" t="n">
        <x:v>0</x:v>
      </x:c>
      <x:c r="H527" s="10" t="str">
        <x:f>IF(F527="Física",'Pokémon'!G62,IF(F527="Especial",'Pokémon'!I62,""))</x:f>
      </x:c>
      <x:c r="I527" s="10" t="str">
        <x:f>IF(OR(F527="Status",G527=0),"",G527+H527)</x:f>
      </x:c>
      <x:c r="J527" s="10" t="n">
        <x:v>1</x:v>
      </x:c>
      <x:c r="K527" s="12" t="n">
        <x:v>40</x:v>
      </x:c>
      <x:c r="L527" s="1" t="str"/>
      <x:c r="M527" s="9" t="str">
        <x:v>https://poke.idleworld.online/pokepedia/pokemon/growlithe</x:v>
      </x:c>
    </x:row>
    <x:row r="528" ht="22" customHeight="1">
      <x:c r="A528" s="1" t="n">
        <x:v>59</x:v>
      </x:c>
      <x:c r="B528" s="1" t="str">
        <x:v>Arcanine</x:v>
      </x:c>
      <x:c r="C528" s="1" t="n">
        <x:v>3</x:v>
      </x:c>
      <x:c r="D528" s="1" t="str">
        <x:v>Ignition Point</x:v>
      </x:c>
      <x:c r="E528" s="1" t="str">
        <x:v>Fogo</x:v>
      </x:c>
      <x:c r="F528" s="1" t="str">
        <x:v>Especial</x:v>
      </x:c>
      <x:c r="G528" s="10" t="n">
        <x:v>300</x:v>
      </x:c>
      <x:c r="H528" s="10" t="n">
        <x:f>IF(F528="Física",'Pokémon'!G63,IF(F528="Especial",'Pokémon'!I63,""))</x:f>
        <x:v>100</x:v>
      </x:c>
      <x:c r="I528" s="10" t="n">
        <x:f>IF(OR(F528="Status",G528=0),"",G528+H528)</x:f>
        <x:v>400</x:v>
      </x:c>
      <x:c r="J528" s="10" t="n">
        <x:v>1</x:v>
      </x:c>
      <x:c r="K528" s="12" t="n">
        <x:v>10</x:v>
      </x:c>
      <x:c r="L528" s="1" t="str">
        <x:v>Sim</x:v>
      </x:c>
      <x:c r="M528" s="9" t="str">
        <x:v>https://poke.idleworld.online/pokepedia/pokemon/arcanine</x:v>
      </x:c>
    </x:row>
    <x:row r="529" ht="22" customHeight="1">
      <x:c r="A529" s="1" t="n">
        <x:v>59</x:v>
      </x:c>
      <x:c r="B529" s="1" t="str">
        <x:v>Arcanine</x:v>
      </x:c>
      <x:c r="C529" s="1" t="n">
        <x:v>5</x:v>
      </x:c>
      <x:c r="D529" s="1" t="str">
        <x:v>Extreme Speed</x:v>
      </x:c>
      <x:c r="E529" s="1" t="str">
        <x:v>Normal</x:v>
      </x:c>
      <x:c r="F529" s="1" t="str">
        <x:v>Física</x:v>
      </x:c>
      <x:c r="G529" s="10" t="n">
        <x:v>80</x:v>
      </x:c>
      <x:c r="H529" s="10" t="n">
        <x:f>IF(F529="Física",'Pokémon'!G63,IF(F529="Especial",'Pokémon'!I63,""))</x:f>
        <x:v>110</x:v>
      </x:c>
      <x:c r="I529" s="10" t="n">
        <x:f>IF(OR(F529="Status",G529=0),"",G529+H529)</x:f>
        <x:v>190</x:v>
      </x:c>
      <x:c r="J529" s="10" t="n">
        <x:v>34</x:v>
      </x:c>
      <x:c r="K529" s="12" t="n">
        <x:v>40</x:v>
      </x:c>
      <x:c r="L529" s="1" t="str"/>
      <x:c r="M529" s="9" t="str">
        <x:v>https://poke.idleworld.online/pokepedia/pokemon/arcanine</x:v>
      </x:c>
    </x:row>
    <x:row r="530" ht="22" customHeight="1">
      <x:c r="A530" s="1" t="n">
        <x:v>59</x:v>
      </x:c>
      <x:c r="B530" s="1" t="str">
        <x:v>Arcanine</x:v>
      </x:c>
      <x:c r="C530" s="1" t="n">
        <x:v>1</x:v>
      </x:c>
      <x:c r="D530" s="1" t="str">
        <x:v>Fire Fang</x:v>
      </x:c>
      <x:c r="E530" s="1" t="str">
        <x:v>Fogo</x:v>
      </x:c>
      <x:c r="F530" s="1" t="str">
        <x:v>Física</x:v>
      </x:c>
      <x:c r="G530" s="10" t="n">
        <x:v>65</x:v>
      </x:c>
      <x:c r="H530" s="10" t="n">
        <x:f>IF(F530="Física",'Pokémon'!G63,IF(F530="Especial",'Pokémon'!I63,""))</x:f>
        <x:v>110</x:v>
      </x:c>
      <x:c r="I530" s="10" t="n">
        <x:f>IF(OR(F530="Status",G530=0),"",G530+H530)</x:f>
        <x:v>175</x:v>
      </x:c>
      <x:c r="J530" s="10" t="n">
        <x:v>1</x:v>
      </x:c>
      <x:c r="K530" s="12" t="n">
        <x:v>15</x:v>
      </x:c>
      <x:c r="L530" s="1" t="str"/>
      <x:c r="M530" s="9" t="str">
        <x:v>https://poke.idleworld.online/pokepedia/pokemon/arcanine</x:v>
      </x:c>
    </x:row>
    <x:row r="531" ht="22" customHeight="1">
      <x:c r="A531" s="1" t="n">
        <x:v>59</x:v>
      </x:c>
      <x:c r="B531" s="1" t="str">
        <x:v>Arcanine</x:v>
      </x:c>
      <x:c r="C531" s="1" t="n">
        <x:v>4</x:v>
      </x:c>
      <x:c r="D531" s="1" t="str">
        <x:v>Thunder Fang</x:v>
      </x:c>
      <x:c r="E531" s="1" t="str">
        <x:v>Elétrico</x:v>
      </x:c>
      <x:c r="F531" s="1" t="str">
        <x:v>Física</x:v>
      </x:c>
      <x:c r="G531" s="10" t="n">
        <x:v>65</x:v>
      </x:c>
      <x:c r="H531" s="10" t="n">
        <x:f>IF(F531="Física",'Pokémon'!G63,IF(F531="Especial",'Pokémon'!I63,""))</x:f>
        <x:v>110</x:v>
      </x:c>
      <x:c r="I531" s="10" t="n">
        <x:f>IF(OR(F531="Status",G531=0),"",G531+H531)</x:f>
        <x:v>175</x:v>
      </x:c>
      <x:c r="J531" s="10" t="n">
        <x:v>1</x:v>
      </x:c>
      <x:c r="K531" s="12" t="n">
        <x:v>20</x:v>
      </x:c>
      <x:c r="L531" s="1" t="str"/>
      <x:c r="M531" s="9" t="str">
        <x:v>https://poke.idleworld.online/pokepedia/pokemon/arcanine</x:v>
      </x:c>
    </x:row>
    <x:row r="532" ht="22" customHeight="1">
      <x:c r="A532" s="1" t="n">
        <x:v>59</x:v>
      </x:c>
      <x:c r="B532" s="1" t="str">
        <x:v>Arcanine</x:v>
      </x:c>
      <x:c r="C532" s="1" t="n">
        <x:v>2</x:v>
      </x:c>
      <x:c r="D532" s="1" t="str">
        <x:v>Bite</x:v>
      </x:c>
      <x:c r="E532" s="1" t="str">
        <x:v>Sombrio</x:v>
      </x:c>
      <x:c r="F532" s="1" t="str">
        <x:v>Física</x:v>
      </x:c>
      <x:c r="G532" s="10" t="n">
        <x:v>60</x:v>
      </x:c>
      <x:c r="H532" s="10" t="n">
        <x:f>IF(F532="Física",'Pokémon'!G63,IF(F532="Especial",'Pokémon'!I63,""))</x:f>
        <x:v>110</x:v>
      </x:c>
      <x:c r="I532" s="10" t="n">
        <x:f>IF(OR(F532="Status",G532=0),"",G532+H532)</x:f>
        <x:v>170</x:v>
      </x:c>
      <x:c r="J532" s="10" t="n">
        <x:v>1</x:v>
      </x:c>
      <x:c r="K532" s="12" t="n">
        <x:v>15</x:v>
      </x:c>
      <x:c r="L532" s="1" t="str"/>
      <x:c r="M532" s="9" t="str">
        <x:v>https://poke.idleworld.online/pokepedia/pokemon/arcanine</x:v>
      </x:c>
    </x:row>
    <x:row r="533" ht="22" customHeight="1">
      <x:c r="A533" s="1" t="n">
        <x:v>60</x:v>
      </x:c>
      <x:c r="B533" s="1" t="str">
        <x:v>Poliwag</x:v>
      </x:c>
      <x:c r="C533" s="1" t="n">
        <x:v>9</x:v>
      </x:c>
      <x:c r="D533" s="1" t="str">
        <x:v>Hydro Pump</x:v>
      </x:c>
      <x:c r="E533" s="1" t="str">
        <x:v>Água</x:v>
      </x:c>
      <x:c r="F533" s="1" t="str">
        <x:v>Especial</x:v>
      </x:c>
      <x:c r="G533" s="10" t="n">
        <x:v>110</x:v>
      </x:c>
      <x:c r="H533" s="10" t="n">
        <x:f>IF(F533="Física",'Pokémon'!G64,IF(F533="Especial",'Pokémon'!I64,""))</x:f>
        <x:v>40</x:v>
      </x:c>
      <x:c r="I533" s="10" t="n">
        <x:f>IF(OR(F533="Status",G533=0),"",G533+H533)</x:f>
        <x:v>150</x:v>
      </x:c>
      <x:c r="J533" s="10" t="n">
        <x:v>38</x:v>
      </x:c>
      <x:c r="K533" s="12" t="n">
        <x:v>40</x:v>
      </x:c>
      <x:c r="L533" s="1" t="str"/>
      <x:c r="M533" s="9" t="str">
        <x:v>https://poke.idleworld.online/pokepedia/pokemon/poliwag</x:v>
      </x:c>
    </x:row>
    <x:row r="534" ht="22" customHeight="1">
      <x:c r="A534" s="1" t="n">
        <x:v>60</x:v>
      </x:c>
      <x:c r="B534" s="1" t="str">
        <x:v>Poliwag</x:v>
      </x:c>
      <x:c r="C534" s="1" t="n">
        <x:v>5</x:v>
      </x:c>
      <x:c r="D534" s="1" t="str">
        <x:v>Body Slam</x:v>
      </x:c>
      <x:c r="E534" s="1" t="str">
        <x:v>Normal</x:v>
      </x:c>
      <x:c r="F534" s="1" t="str">
        <x:v>Física</x:v>
      </x:c>
      <x:c r="G534" s="10" t="n">
        <x:v>85</x:v>
      </x:c>
      <x:c r="H534" s="10" t="n">
        <x:f>IF(F534="Física",'Pokémon'!G64,IF(F534="Especial",'Pokémon'!I64,""))</x:f>
        <x:v>50</x:v>
      </x:c>
      <x:c r="I534" s="10" t="n">
        <x:f>IF(OR(F534="Status",G534=0),"",G534+H534)</x:f>
        <x:v>135</x:v>
      </x:c>
      <x:c r="J534" s="10" t="n">
        <x:v>21</x:v>
      </x:c>
      <x:c r="K534" s="12" t="n">
        <x:v>22</x:v>
      </x:c>
      <x:c r="L534" s="1" t="str"/>
      <x:c r="M534" s="9" t="str">
        <x:v>https://poke.idleworld.online/pokepedia/pokemon/poliwag</x:v>
      </x:c>
    </x:row>
    <x:row r="535" ht="22" customHeight="1">
      <x:c r="A535" s="1" t="n">
        <x:v>60</x:v>
      </x:c>
      <x:c r="B535" s="1" t="str">
        <x:v>Poliwag</x:v>
      </x:c>
      <x:c r="C535" s="1" t="n">
        <x:v>8</x:v>
      </x:c>
      <x:c r="D535" s="1" t="str">
        <x:v>Wake-Up Slap</x:v>
      </x:c>
      <x:c r="E535" s="1" t="str">
        <x:v>Lutador</x:v>
      </x:c>
      <x:c r="F535" s="1" t="str">
        <x:v>Física</x:v>
      </x:c>
      <x:c r="G535" s="10" t="n">
        <x:v>70</x:v>
      </x:c>
      <x:c r="H535" s="10" t="n">
        <x:f>IF(F535="Física",'Pokémon'!G64,IF(F535="Especial",'Pokémon'!I64,""))</x:f>
        <x:v>50</x:v>
      </x:c>
      <x:c r="I535" s="10" t="n">
        <x:f>IF(OR(F535="Status",G535=0),"",G535+H535)</x:f>
        <x:v>120</x:v>
      </x:c>
      <x:c r="J535" s="10" t="n">
        <x:v>35</x:v>
      </x:c>
      <x:c r="K535" s="12" t="n">
        <x:v>20</x:v>
      </x:c>
      <x:c r="L535" s="1" t="str"/>
      <x:c r="M535" s="9" t="str">
        <x:v>https://poke.idleworld.online/pokepedia/pokemon/poliwag</x:v>
      </x:c>
    </x:row>
    <x:row r="536" ht="22" customHeight="1">
      <x:c r="A536" s="1" t="n">
        <x:v>60</x:v>
      </x:c>
      <x:c r="B536" s="1" t="str">
        <x:v>Poliwag</x:v>
      </x:c>
      <x:c r="C536" s="1" t="n">
        <x:v>6</x:v>
      </x:c>
      <x:c r="D536" s="1" t="str">
        <x:v>Bubble Beam</x:v>
      </x:c>
      <x:c r="E536" s="1" t="str">
        <x:v>Água</x:v>
      </x:c>
      <x:c r="F536" s="1" t="str">
        <x:v>Especial</x:v>
      </x:c>
      <x:c r="G536" s="10" t="n">
        <x:v>65</x:v>
      </x:c>
      <x:c r="H536" s="10" t="n">
        <x:f>IF(F536="Física",'Pokémon'!G64,IF(F536="Especial",'Pokémon'!I64,""))</x:f>
        <x:v>40</x:v>
      </x:c>
      <x:c r="I536" s="10" t="n">
        <x:f>IF(OR(F536="Status",G536=0),"",G536+H536)</x:f>
        <x:v>105</x:v>
      </x:c>
      <x:c r="J536" s="10" t="n">
        <x:v>25</x:v>
      </x:c>
      <x:c r="K536" s="12" t="n">
        <x:v>20</x:v>
      </x:c>
      <x:c r="L536" s="1" t="str"/>
      <x:c r="M536" s="9" t="str">
        <x:v>https://poke.idleworld.online/pokepedia/pokemon/poliwag</x:v>
      </x:c>
    </x:row>
    <x:row r="537" ht="22" customHeight="1">
      <x:c r="A537" s="1" t="n">
        <x:v>60</x:v>
      </x:c>
      <x:c r="B537" s="1" t="str">
        <x:v>Poliwag</x:v>
      </x:c>
      <x:c r="C537" s="1" t="n">
        <x:v>10</x:v>
      </x:c>
      <x:c r="D537" s="1" t="str">
        <x:v>Mud Bomb</x:v>
      </x:c>
      <x:c r="E537" s="1" t="str">
        <x:v>Terrestre</x:v>
      </x:c>
      <x:c r="F537" s="1" t="str">
        <x:v>Especial</x:v>
      </x:c>
      <x:c r="G537" s="10" t="n">
        <x:v>65</x:v>
      </x:c>
      <x:c r="H537" s="10" t="n">
        <x:f>IF(F537="Física",'Pokémon'!G64,IF(F537="Especial",'Pokémon'!I64,""))</x:f>
        <x:v>40</x:v>
      </x:c>
      <x:c r="I537" s="10" t="n">
        <x:f>IF(OR(F537="Status",G537=0),"",G537+H537)</x:f>
        <x:v>105</x:v>
      </x:c>
      <x:c r="J537" s="10" t="n">
        <x:v>41</x:v>
      </x:c>
      <x:c r="K537" s="12" t="n">
        <x:v>20</x:v>
      </x:c>
      <x:c r="L537" s="1" t="str"/>
      <x:c r="M537" s="9" t="str">
        <x:v>https://poke.idleworld.online/pokepedia/pokemon/poliwag</x:v>
      </x:c>
    </x:row>
    <x:row r="538" ht="22" customHeight="1">
      <x:c r="A538" s="1" t="n">
        <x:v>60</x:v>
      </x:c>
      <x:c r="B538" s="1" t="str">
        <x:v>Poliwag</x:v>
      </x:c>
      <x:c r="C538" s="1" t="n">
        <x:v>7</x:v>
      </x:c>
      <x:c r="D538" s="1" t="str">
        <x:v>Mud Shot</x:v>
      </x:c>
      <x:c r="E538" s="1" t="str">
        <x:v>Terrestre</x:v>
      </x:c>
      <x:c r="F538" s="1" t="str">
        <x:v>Especial</x:v>
      </x:c>
      <x:c r="G538" s="10" t="n">
        <x:v>55</x:v>
      </x:c>
      <x:c r="H538" s="10" t="n">
        <x:f>IF(F538="Física",'Pokémon'!G64,IF(F538="Especial",'Pokémon'!I64,""))</x:f>
        <x:v>40</x:v>
      </x:c>
      <x:c r="I538" s="10" t="n">
        <x:f>IF(OR(F538="Status",G538=0),"",G538+H538)</x:f>
        <x:v>95</x:v>
      </x:c>
      <x:c r="J538" s="10" t="n">
        <x:v>28</x:v>
      </x:c>
      <x:c r="K538" s="12" t="n">
        <x:v>20</x:v>
      </x:c>
      <x:c r="L538" s="1" t="str"/>
      <x:c r="M538" s="9" t="str">
        <x:v>https://poke.idleworld.online/pokepedia/pokemon/poliwag</x:v>
      </x:c>
    </x:row>
    <x:row r="539" ht="22" customHeight="1">
      <x:c r="A539" s="1" t="n">
        <x:v>60</x:v>
      </x:c>
      <x:c r="B539" s="1" t="str">
        <x:v>Poliwag</x:v>
      </x:c>
      <x:c r="C539" s="1" t="n">
        <x:v>1</x:v>
      </x:c>
      <x:c r="D539" s="1" t="str">
        <x:v>Water Gun</x:v>
      </x:c>
      <x:c r="E539" s="1" t="str">
        <x:v>Água</x:v>
      </x:c>
      <x:c r="F539" s="1" t="str">
        <x:v>Especial</x:v>
      </x:c>
      <x:c r="G539" s="10" t="n">
        <x:v>40</x:v>
      </x:c>
      <x:c r="H539" s="10" t="n">
        <x:f>IF(F539="Física",'Pokémon'!G64,IF(F539="Especial",'Pokémon'!I64,""))</x:f>
        <x:v>40</x:v>
      </x:c>
      <x:c r="I539" s="10" t="n">
        <x:f>IF(OR(F539="Status",G539=0),"",G539+H539)</x:f>
        <x:v>80</x:v>
      </x:c>
      <x:c r="J539" s="10" t="n">
        <x:v>5</x:v>
      </x:c>
      <x:c r="K539" s="12" t="n">
        <x:v>18</x:v>
      </x:c>
      <x:c r="L539" s="1" t="str"/>
      <x:c r="M539" s="9" t="str">
        <x:v>https://poke.idleworld.online/pokepedia/pokemon/poliwag</x:v>
      </x:c>
    </x:row>
    <x:row r="540" ht="22" customHeight="1">
      <x:c r="A540" s="1" t="n">
        <x:v>60</x:v>
      </x:c>
      <x:c r="B540" s="1" t="str">
        <x:v>Poliwag</x:v>
      </x:c>
      <x:c r="C540" s="1" t="n">
        <x:v>3</x:v>
      </x:c>
      <x:c r="D540" s="1" t="str">
        <x:v>Bubble</x:v>
      </x:c>
      <x:c r="E540" s="1" t="str">
        <x:v>Água</x:v>
      </x:c>
      <x:c r="F540" s="1" t="str">
        <x:v>Especial</x:v>
      </x:c>
      <x:c r="G540" s="10" t="n">
        <x:v>40</x:v>
      </x:c>
      <x:c r="H540" s="10" t="n">
        <x:f>IF(F540="Física",'Pokémon'!G64,IF(F540="Especial",'Pokémon'!I64,""))</x:f>
        <x:v>40</x:v>
      </x:c>
      <x:c r="I540" s="10" t="n">
        <x:f>IF(OR(F540="Status",G540=0),"",G540+H540)</x:f>
        <x:v>80</x:v>
      </x:c>
      <x:c r="J540" s="10" t="n">
        <x:v>11</x:v>
      </x:c>
      <x:c r="K540" s="12" t="n">
        <x:v>15</x:v>
      </x:c>
      <x:c r="L540" s="1" t="str"/>
      <x:c r="M540" s="9" t="str">
        <x:v>https://poke.idleworld.online/pokepedia/pokemon/poliwag</x:v>
      </x:c>
    </x:row>
    <x:row r="541" ht="22" customHeight="1">
      <x:c r="A541" s="1" t="n">
        <x:v>60</x:v>
      </x:c>
      <x:c r="B541" s="1" t="str">
        <x:v>Poliwag</x:v>
      </x:c>
      <x:c r="C541" s="1" t="n">
        <x:v>4</x:v>
      </x:c>
      <x:c r="D541" s="1" t="str">
        <x:v>Doubleslap</x:v>
      </x:c>
      <x:c r="E541" s="1" t="str">
        <x:v>Normal</x:v>
      </x:c>
      <x:c r="F541" s="1" t="str">
        <x:v>Física</x:v>
      </x:c>
      <x:c r="G541" s="10" t="n">
        <x:v>15</x:v>
      </x:c>
      <x:c r="H541" s="10" t="n">
        <x:f>IF(F541="Física",'Pokémon'!G64,IF(F541="Especial",'Pokémon'!I64,""))</x:f>
        <x:v>50</x:v>
      </x:c>
      <x:c r="I541" s="10" t="n">
        <x:f>IF(OR(F541="Status",G541=0),"",G541+H541)</x:f>
        <x:v>65</x:v>
      </x:c>
      <x:c r="J541" s="10" t="n">
        <x:v>15</x:v>
      </x:c>
      <x:c r="K541" s="12" t="n">
        <x:v>5</x:v>
      </x:c>
      <x:c r="L541" s="1" t="str"/>
      <x:c r="M541" s="9" t="str">
        <x:v>https://poke.idleworld.online/pokepedia/pokemon/poliwag</x:v>
      </x:c>
    </x:row>
    <x:row r="542" ht="22" customHeight="1">
      <x:c r="A542" s="1" t="n">
        <x:v>60</x:v>
      </x:c>
      <x:c r="B542" s="1" t="str">
        <x:v>Poliwag</x:v>
      </x:c>
      <x:c r="C542" s="1" t="n">
        <x:v>2</x:v>
      </x:c>
      <x:c r="D542" s="1" t="str">
        <x:v>Hypnosis</x:v>
      </x:c>
      <x:c r="E542" s="1" t="str">
        <x:v>Psíquico</x:v>
      </x:c>
      <x:c r="F542" s="1" t="str">
        <x:v>Status</x:v>
      </x:c>
      <x:c r="G542" s="10" t="n">
        <x:v>0</x:v>
      </x:c>
      <x:c r="H542" s="10" t="str">
        <x:f>IF(F542="Física",'Pokémon'!G64,IF(F542="Especial",'Pokémon'!I64,""))</x:f>
      </x:c>
      <x:c r="I542" s="10" t="str">
        <x:f>IF(OR(F542="Status",G542=0),"",G542+H542)</x:f>
      </x:c>
      <x:c r="J542" s="10" t="n">
        <x:v>8</x:v>
      </x:c>
      <x:c r="K542" s="12" t="n">
        <x:v>30</x:v>
      </x:c>
      <x:c r="L542" s="1" t="str"/>
      <x:c r="M542" s="9" t="str">
        <x:v>https://poke.idleworld.online/pokepedia/pokemon/poliwag</x:v>
      </x:c>
    </x:row>
    <x:row r="543" ht="22" customHeight="1">
      <x:c r="A543" s="1" t="n">
        <x:v>61</x:v>
      </x:c>
      <x:c r="B543" s="1" t="str">
        <x:v>Poliwhirl</x:v>
      </x:c>
      <x:c r="C543" s="1" t="n">
        <x:v>9</x:v>
      </x:c>
      <x:c r="D543" s="1" t="str">
        <x:v>Hydro Pump</x:v>
      </x:c>
      <x:c r="E543" s="1" t="str">
        <x:v>Água</x:v>
      </x:c>
      <x:c r="F543" s="1" t="str">
        <x:v>Especial</x:v>
      </x:c>
      <x:c r="G543" s="10" t="n">
        <x:v>110</x:v>
      </x:c>
      <x:c r="H543" s="10" t="n">
        <x:f>IF(F543="Física",'Pokémon'!G65,IF(F543="Especial",'Pokémon'!I65,""))</x:f>
        <x:v>50</x:v>
      </x:c>
      <x:c r="I543" s="10" t="n">
        <x:f>IF(OR(F543="Status",G543=0),"",G543+H543)</x:f>
        <x:v>160</x:v>
      </x:c>
      <x:c r="J543" s="10" t="n">
        <x:v>48</x:v>
      </x:c>
      <x:c r="K543" s="12" t="n">
        <x:v>40</x:v>
      </x:c>
      <x:c r="L543" s="1" t="str"/>
      <x:c r="M543" s="9" t="str">
        <x:v>https://poke.idleworld.online/pokepedia/pokemon/poliwhirl</x:v>
      </x:c>
    </x:row>
    <x:row r="544" ht="22" customHeight="1">
      <x:c r="A544" s="1" t="n">
        <x:v>61</x:v>
      </x:c>
      <x:c r="B544" s="1" t="str">
        <x:v>Poliwhirl</x:v>
      </x:c>
      <x:c r="C544" s="1" t="n">
        <x:v>5</x:v>
      </x:c>
      <x:c r="D544" s="1" t="str">
        <x:v>Body Slam</x:v>
      </x:c>
      <x:c r="E544" s="1" t="str">
        <x:v>Normal</x:v>
      </x:c>
      <x:c r="F544" s="1" t="str">
        <x:v>Física</x:v>
      </x:c>
      <x:c r="G544" s="10" t="n">
        <x:v>85</x:v>
      </x:c>
      <x:c r="H544" s="10" t="n">
        <x:f>IF(F544="Física",'Pokémon'!G65,IF(F544="Especial",'Pokémon'!I65,""))</x:f>
        <x:v>65</x:v>
      </x:c>
      <x:c r="I544" s="10" t="n">
        <x:f>IF(OR(F544="Status",G544=0),"",G544+H544)</x:f>
        <x:v>150</x:v>
      </x:c>
      <x:c r="J544" s="10" t="n">
        <x:v>21</x:v>
      </x:c>
      <x:c r="K544" s="12" t="n">
        <x:v>22</x:v>
      </x:c>
      <x:c r="L544" s="1" t="str"/>
      <x:c r="M544" s="9" t="str">
        <x:v>https://poke.idleworld.online/pokepedia/pokemon/poliwhirl</x:v>
      </x:c>
    </x:row>
    <x:row r="545" ht="22" customHeight="1">
      <x:c r="A545" s="1" t="n">
        <x:v>61</x:v>
      </x:c>
      <x:c r="B545" s="1" t="str">
        <x:v>Poliwhirl</x:v>
      </x:c>
      <x:c r="C545" s="1" t="n">
        <x:v>8</x:v>
      </x:c>
      <x:c r="D545" s="1" t="str">
        <x:v>Wake-Up Slap</x:v>
      </x:c>
      <x:c r="E545" s="1" t="str">
        <x:v>Lutador</x:v>
      </x:c>
      <x:c r="F545" s="1" t="str">
        <x:v>Física</x:v>
      </x:c>
      <x:c r="G545" s="10" t="n">
        <x:v>70</x:v>
      </x:c>
      <x:c r="H545" s="10" t="n">
        <x:f>IF(F545="Física",'Pokémon'!G65,IF(F545="Especial",'Pokémon'!I65,""))</x:f>
        <x:v>65</x:v>
      </x:c>
      <x:c r="I545" s="10" t="n">
        <x:f>IF(OR(F545="Status",G545=0),"",G545+H545)</x:f>
        <x:v>135</x:v>
      </x:c>
      <x:c r="J545" s="10" t="n">
        <x:v>43</x:v>
      </x:c>
      <x:c r="K545" s="12" t="n">
        <x:v>20</x:v>
      </x:c>
      <x:c r="L545" s="1" t="str"/>
      <x:c r="M545" s="9" t="str">
        <x:v>https://poke.idleworld.online/pokepedia/pokemon/poliwhirl</x:v>
      </x:c>
    </x:row>
    <x:row r="546" ht="22" customHeight="1">
      <x:c r="A546" s="1" t="n">
        <x:v>61</x:v>
      </x:c>
      <x:c r="B546" s="1" t="str">
        <x:v>Poliwhirl</x:v>
      </x:c>
      <x:c r="C546" s="1" t="n">
        <x:v>6</x:v>
      </x:c>
      <x:c r="D546" s="1" t="str">
        <x:v>Bubble Beam</x:v>
      </x:c>
      <x:c r="E546" s="1" t="str">
        <x:v>Água</x:v>
      </x:c>
      <x:c r="F546" s="1" t="str">
        <x:v>Especial</x:v>
      </x:c>
      <x:c r="G546" s="10" t="n">
        <x:v>65</x:v>
      </x:c>
      <x:c r="H546" s="10" t="n">
        <x:f>IF(F546="Física",'Pokémon'!G65,IF(F546="Especial",'Pokémon'!I65,""))</x:f>
        <x:v>50</x:v>
      </x:c>
      <x:c r="I546" s="10" t="n">
        <x:f>IF(OR(F546="Status",G546=0),"",G546+H546)</x:f>
        <x:v>115</x:v>
      </x:c>
      <x:c r="J546" s="10" t="n">
        <x:v>27</x:v>
      </x:c>
      <x:c r="K546" s="12" t="n">
        <x:v>30</x:v>
      </x:c>
      <x:c r="L546" s="1" t="str"/>
      <x:c r="M546" s="9" t="str">
        <x:v>https://poke.idleworld.online/pokepedia/pokemon/poliwhirl</x:v>
      </x:c>
    </x:row>
    <x:row r="547" ht="22" customHeight="1">
      <x:c r="A547" s="1" t="n">
        <x:v>61</x:v>
      </x:c>
      <x:c r="B547" s="1" t="str">
        <x:v>Poliwhirl</x:v>
      </x:c>
      <x:c r="C547" s="1" t="n">
        <x:v>10</x:v>
      </x:c>
      <x:c r="D547" s="1" t="str">
        <x:v>Mud Bomb</x:v>
      </x:c>
      <x:c r="E547" s="1" t="str">
        <x:v>Terrestre</x:v>
      </x:c>
      <x:c r="F547" s="1" t="str">
        <x:v>Especial</x:v>
      </x:c>
      <x:c r="G547" s="10" t="n">
        <x:v>65</x:v>
      </x:c>
      <x:c r="H547" s="10" t="n">
        <x:f>IF(F547="Física",'Pokémon'!G65,IF(F547="Especial",'Pokémon'!I65,""))</x:f>
        <x:v>50</x:v>
      </x:c>
      <x:c r="I547" s="10" t="n">
        <x:f>IF(OR(F547="Status",G547=0),"",G547+H547)</x:f>
        <x:v>115</x:v>
      </x:c>
      <x:c r="J547" s="10" t="n">
        <x:v>53</x:v>
      </x:c>
      <x:c r="K547" s="12" t="n">
        <x:v>20</x:v>
      </x:c>
      <x:c r="L547" s="1" t="str"/>
      <x:c r="M547" s="9" t="str">
        <x:v>https://poke.idleworld.online/pokepedia/pokemon/poliwhirl</x:v>
      </x:c>
    </x:row>
    <x:row r="548" ht="22" customHeight="1">
      <x:c r="A548" s="1" t="n">
        <x:v>61</x:v>
      </x:c>
      <x:c r="B548" s="1" t="str">
        <x:v>Poliwhirl</x:v>
      </x:c>
      <x:c r="C548" s="1" t="n">
        <x:v>7</x:v>
      </x:c>
      <x:c r="D548" s="1" t="str">
        <x:v>Mud Shot</x:v>
      </x:c>
      <x:c r="E548" s="1" t="str">
        <x:v>Terrestre</x:v>
      </x:c>
      <x:c r="F548" s="1" t="str">
        <x:v>Especial</x:v>
      </x:c>
      <x:c r="G548" s="10" t="n">
        <x:v>55</x:v>
      </x:c>
      <x:c r="H548" s="10" t="n">
        <x:f>IF(F548="Física",'Pokémon'!G65,IF(F548="Especial",'Pokémon'!I65,""))</x:f>
        <x:v>50</x:v>
      </x:c>
      <x:c r="I548" s="10" t="n">
        <x:f>IF(OR(F548="Status",G548=0),"",G548+H548)</x:f>
        <x:v>105</x:v>
      </x:c>
      <x:c r="J548" s="10" t="n">
        <x:v>32</x:v>
      </x:c>
      <x:c r="K548" s="12" t="n">
        <x:v>15</x:v>
      </x:c>
      <x:c r="L548" s="1" t="str"/>
      <x:c r="M548" s="9" t="str">
        <x:v>https://poke.idleworld.online/pokepedia/pokemon/poliwhirl</x:v>
      </x:c>
    </x:row>
    <x:row r="549" ht="22" customHeight="1">
      <x:c r="A549" s="1" t="n">
        <x:v>61</x:v>
      </x:c>
      <x:c r="B549" s="1" t="str">
        <x:v>Poliwhirl</x:v>
      </x:c>
      <x:c r="C549" s="1" t="n">
        <x:v>2</x:v>
      </x:c>
      <x:c r="D549" s="1" t="str">
        <x:v>Water Gun</x:v>
      </x:c>
      <x:c r="E549" s="1" t="str">
        <x:v>Água</x:v>
      </x:c>
      <x:c r="F549" s="1" t="str">
        <x:v>Especial</x:v>
      </x:c>
      <x:c r="G549" s="10" t="n">
        <x:v>40</x:v>
      </x:c>
      <x:c r="H549" s="10" t="n">
        <x:f>IF(F549="Física",'Pokémon'!G65,IF(F549="Especial",'Pokémon'!I65,""))</x:f>
        <x:v>50</x:v>
      </x:c>
      <x:c r="I549" s="10" t="n">
        <x:f>IF(OR(F549="Status",G549=0),"",G549+H549)</x:f>
        <x:v>90</x:v>
      </x:c>
      <x:c r="J549" s="10" t="n">
        <x:v>1</x:v>
      </x:c>
      <x:c r="K549" s="12" t="n">
        <x:v>18</x:v>
      </x:c>
      <x:c r="L549" s="1" t="str"/>
      <x:c r="M549" s="9" t="str">
        <x:v>https://poke.idleworld.online/pokepedia/pokemon/poliwhirl</x:v>
      </x:c>
    </x:row>
    <x:row r="550" ht="22" customHeight="1">
      <x:c r="A550" s="1" t="n">
        <x:v>61</x:v>
      </x:c>
      <x:c r="B550" s="1" t="str">
        <x:v>Poliwhirl</x:v>
      </x:c>
      <x:c r="C550" s="1" t="n">
        <x:v>3</x:v>
      </x:c>
      <x:c r="D550" s="1" t="str">
        <x:v>Bubble</x:v>
      </x:c>
      <x:c r="E550" s="1" t="str">
        <x:v>Água</x:v>
      </x:c>
      <x:c r="F550" s="1" t="str">
        <x:v>Especial</x:v>
      </x:c>
      <x:c r="G550" s="10" t="n">
        <x:v>40</x:v>
      </x:c>
      <x:c r="H550" s="10" t="n">
        <x:f>IF(F550="Física",'Pokémon'!G65,IF(F550="Especial",'Pokémon'!I65,""))</x:f>
        <x:v>50</x:v>
      </x:c>
      <x:c r="I550" s="10" t="n">
        <x:f>IF(OR(F550="Status",G550=0),"",G550+H550)</x:f>
        <x:v>90</x:v>
      </x:c>
      <x:c r="J550" s="10" t="n">
        <x:v>11</x:v>
      </x:c>
      <x:c r="K550" s="12" t="n">
        <x:v>15</x:v>
      </x:c>
      <x:c r="L550" s="1" t="str"/>
      <x:c r="M550" s="9" t="str">
        <x:v>https://poke.idleworld.online/pokepedia/pokemon/poliwhirl</x:v>
      </x:c>
    </x:row>
    <x:row r="551" ht="22" customHeight="1">
      <x:c r="A551" s="1" t="n">
        <x:v>61</x:v>
      </x:c>
      <x:c r="B551" s="1" t="str">
        <x:v>Poliwhirl</x:v>
      </x:c>
      <x:c r="C551" s="1" t="n">
        <x:v>4</x:v>
      </x:c>
      <x:c r="D551" s="1" t="str">
        <x:v>Doubleslap</x:v>
      </x:c>
      <x:c r="E551" s="1" t="str">
        <x:v>Normal</x:v>
      </x:c>
      <x:c r="F551" s="1" t="str">
        <x:v>Física</x:v>
      </x:c>
      <x:c r="G551" s="10" t="n">
        <x:v>15</x:v>
      </x:c>
      <x:c r="H551" s="10" t="n">
        <x:f>IF(F551="Física",'Pokémon'!G65,IF(F551="Especial",'Pokémon'!I65,""))</x:f>
        <x:v>65</x:v>
      </x:c>
      <x:c r="I551" s="10" t="n">
        <x:f>IF(OR(F551="Status",G551=0),"",G551+H551)</x:f>
        <x:v>80</x:v>
      </x:c>
      <x:c r="J551" s="10" t="n">
        <x:v>15</x:v>
      </x:c>
      <x:c r="K551" s="12" t="n">
        <x:v>5</x:v>
      </x:c>
      <x:c r="L551" s="1" t="str"/>
      <x:c r="M551" s="9" t="str">
        <x:v>https://poke.idleworld.online/pokepedia/pokemon/poliwhirl</x:v>
      </x:c>
    </x:row>
    <x:row r="552" ht="22" customHeight="1">
      <x:c r="A552" s="1" t="n">
        <x:v>61</x:v>
      </x:c>
      <x:c r="B552" s="1" t="str">
        <x:v>Poliwhirl</x:v>
      </x:c>
      <x:c r="C552" s="1" t="n">
        <x:v>1</x:v>
      </x:c>
      <x:c r="D552" s="1" t="str">
        <x:v>Hypnosis</x:v>
      </x:c>
      <x:c r="E552" s="1" t="str">
        <x:v>Psíquico</x:v>
      </x:c>
      <x:c r="F552" s="1" t="str">
        <x:v>Status</x:v>
      </x:c>
      <x:c r="G552" s="10" t="n">
        <x:v>0</x:v>
      </x:c>
      <x:c r="H552" s="10" t="str">
        <x:f>IF(F552="Física",'Pokémon'!G65,IF(F552="Especial",'Pokémon'!I65,""))</x:f>
      </x:c>
      <x:c r="I552" s="10" t="str">
        <x:f>IF(OR(F552="Status",G552=0),"",G552+H552)</x:f>
      </x:c>
      <x:c r="J552" s="10" t="n">
        <x:v>1</x:v>
      </x:c>
      <x:c r="K552" s="12" t="n">
        <x:v>30</x:v>
      </x:c>
      <x:c r="L552" s="1" t="str"/>
      <x:c r="M552" s="9" t="str">
        <x:v>https://poke.idleworld.online/pokepedia/pokemon/poliwhirl</x:v>
      </x:c>
    </x:row>
    <x:row r="553" ht="22" customHeight="1">
      <x:c r="A553" s="1" t="n">
        <x:v>62</x:v>
      </x:c>
      <x:c r="B553" s="1" t="str">
        <x:v>Poliwrath</x:v>
      </x:c>
      <x:c r="C553" s="1" t="n">
        <x:v>4</x:v>
      </x:c>
      <x:c r="D553" s="1" t="str">
        <x:v>Cyclonic Tide</x:v>
      </x:c>
      <x:c r="E553" s="1" t="str">
        <x:v>Água</x:v>
      </x:c>
      <x:c r="F553" s="1" t="str">
        <x:v>Especial</x:v>
      </x:c>
      <x:c r="G553" s="10" t="n">
        <x:v>300</x:v>
      </x:c>
      <x:c r="H553" s="10" t="n">
        <x:f>IF(F553="Física",'Pokémon'!G66,IF(F553="Especial",'Pokémon'!I66,""))</x:f>
        <x:v>70</x:v>
      </x:c>
      <x:c r="I553" s="10" t="n">
        <x:f>IF(OR(F553="Status",G553=0),"",G553+H553)</x:f>
        <x:v>370</x:v>
      </x:c>
      <x:c r="J553" s="10" t="n">
        <x:v>1</x:v>
      </x:c>
      <x:c r="K553" s="12" t="n">
        <x:v>10</x:v>
      </x:c>
      <x:c r="L553" s="1" t="str">
        <x:v>Sim</x:v>
      </x:c>
      <x:c r="M553" s="9" t="str">
        <x:v>https://poke.idleworld.online/pokepedia/pokemon/poliwrath</x:v>
      </x:c>
    </x:row>
    <x:row r="554" ht="22" customHeight="1">
      <x:c r="A554" s="1" t="n">
        <x:v>62</x:v>
      </x:c>
      <x:c r="B554" s="1" t="str">
        <x:v>Poliwrath</x:v>
      </x:c>
      <x:c r="C554" s="1" t="n">
        <x:v>7</x:v>
      </x:c>
      <x:c r="D554" s="1" t="str">
        <x:v>Dynamic Punch</x:v>
      </x:c>
      <x:c r="E554" s="1" t="str">
        <x:v>Lutador</x:v>
      </x:c>
      <x:c r="F554" s="1" t="str">
        <x:v>Física</x:v>
      </x:c>
      <x:c r="G554" s="10" t="n">
        <x:v>100</x:v>
      </x:c>
      <x:c r="H554" s="10" t="n">
        <x:f>IF(F554="Física",'Pokémon'!G66,IF(F554="Especial",'Pokémon'!I66,""))</x:f>
        <x:v>95</x:v>
      </x:c>
      <x:c r="I554" s="10" t="n">
        <x:f>IF(OR(F554="Status",G554=0),"",G554+H554)</x:f>
        <x:v>195</x:v>
      </x:c>
      <x:c r="J554" s="10" t="n">
        <x:v>32</x:v>
      </x:c>
      <x:c r="K554" s="12" t="n">
        <x:v>45</x:v>
      </x:c>
      <x:c r="L554" s="1" t="str"/>
      <x:c r="M554" s="9" t="str">
        <x:v>https://poke.idleworld.online/pokepedia/pokemon/poliwrath</x:v>
      </x:c>
    </x:row>
    <x:row r="555" ht="22" customHeight="1">
      <x:c r="A555" s="1" t="n">
        <x:v>62</x:v>
      </x:c>
      <x:c r="B555" s="1" t="str">
        <x:v>Poliwrath</x:v>
      </x:c>
      <x:c r="C555" s="1" t="n">
        <x:v>6</x:v>
      </x:c>
      <x:c r="D555" s="1" t="str">
        <x:v>Submission</x:v>
      </x:c>
      <x:c r="E555" s="1" t="str">
        <x:v>Lutador</x:v>
      </x:c>
      <x:c r="F555" s="1" t="str">
        <x:v>Física</x:v>
      </x:c>
      <x:c r="G555" s="10" t="n">
        <x:v>80</x:v>
      </x:c>
      <x:c r="H555" s="10" t="n">
        <x:f>IF(F555="Física",'Pokémon'!G66,IF(F555="Especial",'Pokémon'!I66,""))</x:f>
        <x:v>95</x:v>
      </x:c>
      <x:c r="I555" s="10" t="n">
        <x:f>IF(OR(F555="Status",G555=0),"",G555+H555)</x:f>
        <x:v>175</x:v>
      </x:c>
      <x:c r="J555" s="10" t="n">
        <x:v>1</x:v>
      </x:c>
      <x:c r="K555" s="12" t="n">
        <x:v>22</x:v>
      </x:c>
      <x:c r="L555" s="1" t="str"/>
      <x:c r="M555" s="9" t="str">
        <x:v>https://poke.idleworld.online/pokepedia/pokemon/poliwrath</x:v>
      </x:c>
    </x:row>
    <x:row r="556" ht="22" customHeight="1">
      <x:c r="A556" s="1" t="n">
        <x:v>62</x:v>
      </x:c>
      <x:c r="B556" s="1" t="str">
        <x:v>Poliwrath</x:v>
      </x:c>
      <x:c r="C556" s="1" t="n">
        <x:v>5</x:v>
      </x:c>
      <x:c r="D556" s="1" t="str">
        <x:v>Circle Throw</x:v>
      </x:c>
      <x:c r="E556" s="1" t="str">
        <x:v>Lutador</x:v>
      </x:c>
      <x:c r="F556" s="1" t="str">
        <x:v>Física</x:v>
      </x:c>
      <x:c r="G556" s="10" t="n">
        <x:v>60</x:v>
      </x:c>
      <x:c r="H556" s="10" t="n">
        <x:f>IF(F556="Física",'Pokémon'!G66,IF(F556="Especial",'Pokémon'!I66,""))</x:f>
        <x:v>95</x:v>
      </x:c>
      <x:c r="I556" s="10" t="n">
        <x:f>IF(OR(F556="Status",G556=0),"",G556+H556)</x:f>
        <x:v>155</x:v>
      </x:c>
      <x:c r="J556" s="10" t="n">
        <x:v>1</x:v>
      </x:c>
      <x:c r="K556" s="12" t="n">
        <x:v>20</x:v>
      </x:c>
      <x:c r="L556" s="1" t="str"/>
      <x:c r="M556" s="9" t="str">
        <x:v>https://poke.idleworld.online/pokepedia/pokemon/poliwrath</x:v>
      </x:c>
    </x:row>
    <x:row r="557" ht="22" customHeight="1">
      <x:c r="A557" s="1" t="n">
        <x:v>62</x:v>
      </x:c>
      <x:c r="B557" s="1" t="str">
        <x:v>Poliwrath</x:v>
      </x:c>
      <x:c r="C557" s="1" t="n">
        <x:v>3</x:v>
      </x:c>
      <x:c r="D557" s="1" t="str">
        <x:v>Bubble Beam</x:v>
      </x:c>
      <x:c r="E557" s="1" t="str">
        <x:v>Água</x:v>
      </x:c>
      <x:c r="F557" s="1" t="str">
        <x:v>Especial</x:v>
      </x:c>
      <x:c r="G557" s="10" t="n">
        <x:v>65</x:v>
      </x:c>
      <x:c r="H557" s="10" t="n">
        <x:f>IF(F557="Física",'Pokémon'!G66,IF(F557="Especial",'Pokémon'!I66,""))</x:f>
        <x:v>70</x:v>
      </x:c>
      <x:c r="I557" s="10" t="n">
        <x:f>IF(OR(F557="Status",G557=0),"",G557+H557)</x:f>
        <x:v>135</x:v>
      </x:c>
      <x:c r="J557" s="10" t="n">
        <x:v>1</x:v>
      </x:c>
      <x:c r="K557" s="12" t="n">
        <x:v>30</x:v>
      </x:c>
      <x:c r="L557" s="1" t="str"/>
      <x:c r="M557" s="9" t="str">
        <x:v>https://poke.idleworld.online/pokepedia/pokemon/poliwrath</x:v>
      </x:c>
    </x:row>
    <x:row r="558" ht="22" customHeight="1">
      <x:c r="A558" s="1" t="n">
        <x:v>62</x:v>
      </x:c>
      <x:c r="B558" s="1" t="str">
        <x:v>Poliwrath</x:v>
      </x:c>
      <x:c r="C558" s="1" t="n">
        <x:v>2</x:v>
      </x:c>
      <x:c r="D558" s="1" t="str">
        <x:v>Doubleslap</x:v>
      </x:c>
      <x:c r="E558" s="1" t="str">
        <x:v>Normal</x:v>
      </x:c>
      <x:c r="F558" s="1" t="str">
        <x:v>Física</x:v>
      </x:c>
      <x:c r="G558" s="10" t="n">
        <x:v>15</x:v>
      </x:c>
      <x:c r="H558" s="10" t="n">
        <x:f>IF(F558="Física",'Pokémon'!G66,IF(F558="Especial",'Pokémon'!I66,""))</x:f>
        <x:v>95</x:v>
      </x:c>
      <x:c r="I558" s="10" t="n">
        <x:f>IF(OR(F558="Status",G558=0),"",G558+H558)</x:f>
        <x:v>110</x:v>
      </x:c>
      <x:c r="J558" s="10" t="n">
        <x:v>1</x:v>
      </x:c>
      <x:c r="K558" s="12" t="n">
        <x:v>5</x:v>
      </x:c>
      <x:c r="L558" s="1" t="str"/>
      <x:c r="M558" s="9" t="str">
        <x:v>https://poke.idleworld.online/pokepedia/pokemon/poliwrath</x:v>
      </x:c>
    </x:row>
    <x:row r="559" ht="22" customHeight="1">
      <x:c r="A559" s="1" t="n">
        <x:v>62</x:v>
      </x:c>
      <x:c r="B559" s="1" t="str">
        <x:v>Poliwrath</x:v>
      </x:c>
      <x:c r="C559" s="1" t="n">
        <x:v>1</x:v>
      </x:c>
      <x:c r="D559" s="1" t="str">
        <x:v>Hypnosis</x:v>
      </x:c>
      <x:c r="E559" s="1" t="str">
        <x:v>Psíquico</x:v>
      </x:c>
      <x:c r="F559" s="1" t="str">
        <x:v>Status</x:v>
      </x:c>
      <x:c r="G559" s="10" t="n">
        <x:v>0</x:v>
      </x:c>
      <x:c r="H559" s="10" t="str">
        <x:f>IF(F559="Física",'Pokémon'!G66,IF(F559="Especial",'Pokémon'!I66,""))</x:f>
      </x:c>
      <x:c r="I559" s="10" t="str">
        <x:f>IF(OR(F559="Status",G559=0),"",G559+H559)</x:f>
      </x:c>
      <x:c r="J559" s="10" t="n">
        <x:v>1</x:v>
      </x:c>
      <x:c r="K559" s="12" t="n">
        <x:v>30</x:v>
      </x:c>
      <x:c r="L559" s="1" t="str"/>
      <x:c r="M559" s="9" t="str">
        <x:v>https://poke.idleworld.online/pokepedia/pokemon/poliwrath</x:v>
      </x:c>
    </x:row>
    <x:row r="560" ht="22" customHeight="1">
      <x:c r="A560" s="1" t="n">
        <x:v>64</x:v>
      </x:c>
      <x:c r="B560" s="1" t="str">
        <x:v>Kadabra</x:v>
      </x:c>
      <x:c r="C560" s="1" t="n">
        <x:v>8</x:v>
      </x:c>
      <x:c r="D560" s="1" t="str">
        <x:v>Future Sight</x:v>
      </x:c>
      <x:c r="E560" s="1" t="str">
        <x:v>Psíquico</x:v>
      </x:c>
      <x:c r="F560" s="1" t="str">
        <x:v>Especial</x:v>
      </x:c>
      <x:c r="G560" s="10" t="n">
        <x:v>120</x:v>
      </x:c>
      <x:c r="H560" s="10" t="n">
        <x:f>IF(F560="Física",'Pokémon'!G68,IF(F560="Especial",'Pokémon'!I68,""))</x:f>
        <x:v>120</x:v>
      </x:c>
      <x:c r="I560" s="10" t="n">
        <x:f>IF(OR(F560="Status",G560=0),"",G560+H560)</x:f>
        <x:v>240</x:v>
      </x:c>
      <x:c r="J560" s="10" t="n">
        <x:v>43</x:v>
      </x:c>
      <x:c r="K560" s="12" t="n">
        <x:v>50</x:v>
      </x:c>
      <x:c r="L560" s="1" t="str"/>
      <x:c r="M560" s="9" t="str">
        <x:v>https://poke.idleworld.online/pokepedia/pokemon/kadabra</x:v>
      </x:c>
    </x:row>
    <x:row r="561" ht="22" customHeight="1">
      <x:c r="A561" s="1" t="n">
        <x:v>64</x:v>
      </x:c>
      <x:c r="B561" s="1" t="str">
        <x:v>Kadabra</x:v>
      </x:c>
      <x:c r="C561" s="1" t="n">
        <x:v>7</x:v>
      </x:c>
      <x:c r="D561" s="1" t="str">
        <x:v>Psychic</x:v>
      </x:c>
      <x:c r="E561" s="1" t="str">
        <x:v>Psíquico</x:v>
      </x:c>
      <x:c r="F561" s="1" t="str">
        <x:v>Especial</x:v>
      </x:c>
      <x:c r="G561" s="10" t="n">
        <x:v>90</x:v>
      </x:c>
      <x:c r="H561" s="10" t="n">
        <x:f>IF(F561="Física",'Pokémon'!G68,IF(F561="Especial",'Pokémon'!I68,""))</x:f>
        <x:v>120</x:v>
      </x:c>
      <x:c r="I561" s="10" t="n">
        <x:f>IF(OR(F561="Status",G561=0),"",G561+H561)</x:f>
        <x:v>210</x:v>
      </x:c>
      <x:c r="J561" s="10" t="n">
        <x:v>38</x:v>
      </x:c>
      <x:c r="K561" s="12" t="n">
        <x:v>35</x:v>
      </x:c>
      <x:c r="L561" s="1" t="str"/>
      <x:c r="M561" s="9" t="str">
        <x:v>https://poke.idleworld.online/pokepedia/pokemon/kadabra</x:v>
      </x:c>
    </x:row>
    <x:row r="562" ht="22" customHeight="1">
      <x:c r="A562" s="1" t="n">
        <x:v>64</x:v>
      </x:c>
      <x:c r="B562" s="1" t="str">
        <x:v>Kadabra</x:v>
      </x:c>
      <x:c r="C562" s="1" t="n">
        <x:v>2</x:v>
      </x:c>
      <x:c r="D562" s="1" t="str">
        <x:v>Psybeam</x:v>
      </x:c>
      <x:c r="E562" s="1" t="str">
        <x:v>Psíquico</x:v>
      </x:c>
      <x:c r="F562" s="1" t="str">
        <x:v>Especial</x:v>
      </x:c>
      <x:c r="G562" s="10" t="n">
        <x:v>65</x:v>
      </x:c>
      <x:c r="H562" s="10" t="n">
        <x:f>IF(F562="Física",'Pokémon'!G68,IF(F562="Especial",'Pokémon'!I68,""))</x:f>
        <x:v>120</x:v>
      </x:c>
      <x:c r="I562" s="10" t="n">
        <x:f>IF(OR(F562="Status",G562=0),"",G562+H562)</x:f>
        <x:v>185</x:v>
      </x:c>
      <x:c r="J562" s="10" t="n">
        <x:v>21</x:v>
      </x:c>
      <x:c r="K562" s="12" t="n">
        <x:v>10</x:v>
      </x:c>
      <x:c r="L562" s="1" t="str"/>
      <x:c r="M562" s="9" t="str">
        <x:v>https://poke.idleworld.online/pokepedia/pokemon/kadabra</x:v>
      </x:c>
    </x:row>
    <x:row r="563" ht="22" customHeight="1">
      <x:c r="A563" s="1" t="n">
        <x:v>64</x:v>
      </x:c>
      <x:c r="B563" s="1" t="str">
        <x:v>Kadabra</x:v>
      </x:c>
      <x:c r="C563" s="1" t="n">
        <x:v>1</x:v>
      </x:c>
      <x:c r="D563" s="1" t="str">
        <x:v>Confusion</x:v>
      </x:c>
      <x:c r="E563" s="1" t="str">
        <x:v>Psíquico</x:v>
      </x:c>
      <x:c r="F563" s="1" t="str">
        <x:v>Especial</x:v>
      </x:c>
      <x:c r="G563" s="10" t="n">
        <x:v>50</x:v>
      </x:c>
      <x:c r="H563" s="10" t="n">
        <x:f>IF(F563="Física",'Pokémon'!G68,IF(F563="Especial",'Pokémon'!I68,""))</x:f>
        <x:v>120</x:v>
      </x:c>
      <x:c r="I563" s="10" t="n">
        <x:f>IF(OR(F563="Status",G563=0),"",G563+H563)</x:f>
        <x:v>170</x:v>
      </x:c>
      <x:c r="J563" s="10" t="n">
        <x:v>1</x:v>
      </x:c>
      <x:c r="K563" s="12" t="n">
        <x:v>30</x:v>
      </x:c>
      <x:c r="L563" s="1" t="str"/>
      <x:c r="M563" s="9" t="str">
        <x:v>https://poke.idleworld.online/pokepedia/pokemon/kadabra</x:v>
      </x:c>
    </x:row>
    <x:row r="564" ht="22" customHeight="1">
      <x:c r="A564" s="1" t="n">
        <x:v>64</x:v>
      </x:c>
      <x:c r="B564" s="1" t="str">
        <x:v>Kadabra</x:v>
      </x:c>
      <x:c r="C564" s="1" t="n">
        <x:v>5</x:v>
      </x:c>
      <x:c r="D564" s="1" t="str">
        <x:v>Psycho Cut</x:v>
      </x:c>
      <x:c r="E564" s="1" t="str">
        <x:v>Psíquico</x:v>
      </x:c>
      <x:c r="F564" s="1" t="str">
        <x:v>Física</x:v>
      </x:c>
      <x:c r="G564" s="10" t="n">
        <x:v>70</x:v>
      </x:c>
      <x:c r="H564" s="10" t="n">
        <x:f>IF(F564="Física",'Pokémon'!G68,IF(F564="Especial",'Pokémon'!I68,""))</x:f>
        <x:v>35</x:v>
      </x:c>
      <x:c r="I564" s="10" t="n">
        <x:f>IF(OR(F564="Status",G564=0),"",G564+H564)</x:f>
        <x:v>105</x:v>
      </x:c>
      <x:c r="J564" s="10" t="n">
        <x:v>28</x:v>
      </x:c>
      <x:c r="K564" s="12" t="n">
        <x:v>20</x:v>
      </x:c>
      <x:c r="L564" s="1" t="str"/>
      <x:c r="M564" s="9" t="str">
        <x:v>https://poke.idleworld.online/pokepedia/pokemon/kadabra</x:v>
      </x:c>
    </x:row>
    <x:row r="565" ht="22" customHeight="1">
      <x:c r="A565" s="1" t="n">
        <x:v>64</x:v>
      </x:c>
      <x:c r="B565" s="1" t="str">
        <x:v>Kadabra</x:v>
      </x:c>
      <x:c r="C565" s="1" t="n">
        <x:v>3</x:v>
      </x:c>
      <x:c r="D565" s="1" t="str">
        <x:v>Miracle Eye</x:v>
      </x:c>
      <x:c r="E565" s="1" t="str">
        <x:v>Psíquico</x:v>
      </x:c>
      <x:c r="F565" s="1" t="str">
        <x:v>Status</x:v>
      </x:c>
      <x:c r="G565" s="10" t="n">
        <x:v>0</x:v>
      </x:c>
      <x:c r="H565" s="10" t="str">
        <x:f>IF(F565="Física",'Pokémon'!G68,IF(F565="Especial",'Pokémon'!I68,""))</x:f>
      </x:c>
      <x:c r="I565" s="10" t="str">
        <x:f>IF(OR(F565="Status",G565=0),"",G565+H565)</x:f>
      </x:c>
      <x:c r="J565" s="10" t="n">
        <x:v>23</x:v>
      </x:c>
      <x:c r="K565" s="12" t="n">
        <x:v>15</x:v>
      </x:c>
      <x:c r="L565" s="1" t="str"/>
      <x:c r="M565" s="9" t="str">
        <x:v>https://poke.idleworld.online/pokepedia/pokemon/kadabra</x:v>
      </x:c>
    </x:row>
    <x:row r="566" ht="22" customHeight="1">
      <x:c r="A566" s="1" t="n">
        <x:v>64</x:v>
      </x:c>
      <x:c r="B566" s="1" t="str">
        <x:v>Kadabra</x:v>
      </x:c>
      <x:c r="C566" s="1" t="n">
        <x:v>4</x:v>
      </x:c>
      <x:c r="D566" s="1" t="str">
        <x:v>Reflect</x:v>
      </x:c>
      <x:c r="E566" s="1" t="str">
        <x:v>Psíquico</x:v>
      </x:c>
      <x:c r="F566" s="1" t="str">
        <x:v>Status</x:v>
      </x:c>
      <x:c r="G566" s="10" t="n">
        <x:v>0</x:v>
      </x:c>
      <x:c r="H566" s="10" t="str">
        <x:f>IF(F566="Física",'Pokémon'!G68,IF(F566="Especial",'Pokémon'!I68,""))</x:f>
      </x:c>
      <x:c r="I566" s="10" t="str">
        <x:f>IF(OR(F566="Status",G566=0),"",G566+H566)</x:f>
      </x:c>
      <x:c r="J566" s="10" t="n">
        <x:v>26</x:v>
      </x:c>
      <x:c r="K566" s="12" t="n">
        <x:v>60</x:v>
      </x:c>
      <x:c r="L566" s="1" t="str"/>
      <x:c r="M566" s="9" t="str">
        <x:v>https://poke.idleworld.online/pokepedia/pokemon/kadabra</x:v>
      </x:c>
    </x:row>
    <x:row r="567" ht="22" customHeight="1">
      <x:c r="A567" s="1" t="n">
        <x:v>64</x:v>
      </x:c>
      <x:c r="B567" s="1" t="str">
        <x:v>Kadabra</x:v>
      </x:c>
      <x:c r="C567" s="1" t="n">
        <x:v>6</x:v>
      </x:c>
      <x:c r="D567" s="1" t="str">
        <x:v>Recover</x:v>
      </x:c>
      <x:c r="E567" s="1" t="str">
        <x:v>Normal</x:v>
      </x:c>
      <x:c r="F567" s="1" t="str">
        <x:v>Status</x:v>
      </x:c>
      <x:c r="G567" s="10" t="n">
        <x:v>0</x:v>
      </x:c>
      <x:c r="H567" s="10" t="str">
        <x:f>IF(F567="Física",'Pokémon'!G68,IF(F567="Especial",'Pokémon'!I68,""))</x:f>
      </x:c>
      <x:c r="I567" s="10" t="str">
        <x:f>IF(OR(F567="Status",G567=0),"",G567+H567)</x:f>
      </x:c>
      <x:c r="J567" s="10" t="n">
        <x:v>31</x:v>
      </x:c>
      <x:c r="K567" s="12" t="n">
        <x:v>80</x:v>
      </x:c>
      <x:c r="L567" s="1" t="str"/>
      <x:c r="M567" s="9" t="str">
        <x:v>https://poke.idleworld.online/pokepedia/pokemon/kadabra</x:v>
      </x:c>
    </x:row>
    <x:row r="568" ht="22" customHeight="1">
      <x:c r="A568" s="1" t="n">
        <x:v>65</x:v>
      </x:c>
      <x:c r="B568" s="1" t="str">
        <x:v>Alakazam</x:v>
      </x:c>
      <x:c r="C568" s="1" t="n">
        <x:v>3</x:v>
      </x:c>
      <x:c r="D568" s="1" t="str">
        <x:v>Mental Singularity</x:v>
      </x:c>
      <x:c r="E568" s="1" t="str">
        <x:v>Psíquico</x:v>
      </x:c>
      <x:c r="F568" s="1" t="str">
        <x:v>Especial</x:v>
      </x:c>
      <x:c r="G568" s="10" t="n">
        <x:v>300</x:v>
      </x:c>
      <x:c r="H568" s="10" t="n">
        <x:f>IF(F568="Física",'Pokémon'!G69,IF(F568="Especial",'Pokémon'!I69,""))</x:f>
        <x:v>135</x:v>
      </x:c>
      <x:c r="I568" s="10" t="n">
        <x:f>IF(OR(F568="Status",G568=0),"",G568+H568)</x:f>
        <x:v>435</x:v>
      </x:c>
      <x:c r="J568" s="10" t="n">
        <x:v>1</x:v>
      </x:c>
      <x:c r="K568" s="12" t="n">
        <x:v>10</x:v>
      </x:c>
      <x:c r="L568" s="1" t="str">
        <x:v>Sim</x:v>
      </x:c>
      <x:c r="M568" s="9" t="str">
        <x:v>https://poke.idleworld.online/pokepedia/pokemon/alakazam</x:v>
      </x:c>
    </x:row>
    <x:row r="569" ht="22" customHeight="1">
      <x:c r="A569" s="1" t="n">
        <x:v>65</x:v>
      </x:c>
      <x:c r="B569" s="1" t="str">
        <x:v>Alakazam</x:v>
      </x:c>
      <x:c r="C569" s="1" t="n">
        <x:v>8</x:v>
      </x:c>
      <x:c r="D569" s="1" t="str">
        <x:v>Future Sight</x:v>
      </x:c>
      <x:c r="E569" s="1" t="str">
        <x:v>Psíquico</x:v>
      </x:c>
      <x:c r="F569" s="1" t="str">
        <x:v>Especial</x:v>
      </x:c>
      <x:c r="G569" s="10" t="n">
        <x:v>120</x:v>
      </x:c>
      <x:c r="H569" s="10" t="n">
        <x:f>IF(F569="Física",'Pokémon'!G69,IF(F569="Especial",'Pokémon'!I69,""))</x:f>
        <x:v>135</x:v>
      </x:c>
      <x:c r="I569" s="10" t="n">
        <x:f>IF(OR(F569="Status",G569=0),"",G569+H569)</x:f>
        <x:v>255</x:v>
      </x:c>
      <x:c r="J569" s="10" t="n">
        <x:v>43</x:v>
      </x:c>
      <x:c r="K569" s="12" t="n">
        <x:v>30</x:v>
      </x:c>
      <x:c r="L569" s="1" t="str"/>
      <x:c r="M569" s="9" t="str">
        <x:v>https://poke.idleworld.online/pokepedia/pokemon/alakazam</x:v>
      </x:c>
    </x:row>
    <x:row r="570" ht="22" customHeight="1">
      <x:c r="A570" s="1" t="n">
        <x:v>65</x:v>
      </x:c>
      <x:c r="B570" s="1" t="str">
        <x:v>Alakazam</x:v>
      </x:c>
      <x:c r="C570" s="1" t="n">
        <x:v>6</x:v>
      </x:c>
      <x:c r="D570" s="1" t="str">
        <x:v>Psychic</x:v>
      </x:c>
      <x:c r="E570" s="1" t="str">
        <x:v>Psíquico</x:v>
      </x:c>
      <x:c r="F570" s="1" t="str">
        <x:v>Especial</x:v>
      </x:c>
      <x:c r="G570" s="10" t="n">
        <x:v>90</x:v>
      </x:c>
      <x:c r="H570" s="10" t="n">
        <x:f>IF(F570="Física",'Pokémon'!G69,IF(F570="Especial",'Pokémon'!I69,""))</x:f>
        <x:v>135</x:v>
      </x:c>
      <x:c r="I570" s="10" t="n">
        <x:f>IF(OR(F570="Status",G570=0),"",G570+H570)</x:f>
        <x:v>225</x:v>
      </x:c>
      <x:c r="J570" s="10" t="n">
        <x:v>38</x:v>
      </x:c>
      <x:c r="K570" s="12" t="n">
        <x:v>35</x:v>
      </x:c>
      <x:c r="L570" s="1" t="str"/>
      <x:c r="M570" s="9" t="str">
        <x:v>https://poke.idleworld.online/pokepedia/pokemon/alakazam</x:v>
      </x:c>
    </x:row>
    <x:row r="571" ht="22" customHeight="1">
      <x:c r="A571" s="1" t="n">
        <x:v>65</x:v>
      </x:c>
      <x:c r="B571" s="1" t="str">
        <x:v>Alakazam</x:v>
      </x:c>
      <x:c r="C571" s="1" t="n">
        <x:v>4</x:v>
      </x:c>
      <x:c r="D571" s="1" t="str">
        <x:v>Psybeam</x:v>
      </x:c>
      <x:c r="E571" s="1" t="str">
        <x:v>Psíquico</x:v>
      </x:c>
      <x:c r="F571" s="1" t="str">
        <x:v>Especial</x:v>
      </x:c>
      <x:c r="G571" s="10" t="n">
        <x:v>65</x:v>
      </x:c>
      <x:c r="H571" s="10" t="n">
        <x:f>IF(F571="Física",'Pokémon'!G69,IF(F571="Especial",'Pokémon'!I69,""))</x:f>
        <x:v>135</x:v>
      </x:c>
      <x:c r="I571" s="10" t="n">
        <x:f>IF(OR(F571="Status",G571=0),"",G571+H571)</x:f>
        <x:v>200</x:v>
      </x:c>
      <x:c r="J571" s="10" t="n">
        <x:v>21</x:v>
      </x:c>
      <x:c r="K571" s="12" t="n">
        <x:v>10</x:v>
      </x:c>
      <x:c r="L571" s="1" t="str"/>
      <x:c r="M571" s="9" t="str">
        <x:v>https://poke.idleworld.online/pokepedia/pokemon/alakazam</x:v>
      </x:c>
    </x:row>
    <x:row r="572" ht="22" customHeight="1">
      <x:c r="A572" s="1" t="n">
        <x:v>65</x:v>
      </x:c>
      <x:c r="B572" s="1" t="str">
        <x:v>Alakazam</x:v>
      </x:c>
      <x:c r="C572" s="1" t="n">
        <x:v>1</x:v>
      </x:c>
      <x:c r="D572" s="1" t="str">
        <x:v>Confusion</x:v>
      </x:c>
      <x:c r="E572" s="1" t="str">
        <x:v>Psíquico</x:v>
      </x:c>
      <x:c r="F572" s="1" t="str">
        <x:v>Especial</x:v>
      </x:c>
      <x:c r="G572" s="10" t="n">
        <x:v>50</x:v>
      </x:c>
      <x:c r="H572" s="10" t="n">
        <x:f>IF(F572="Física",'Pokémon'!G69,IF(F572="Especial",'Pokémon'!I69,""))</x:f>
        <x:v>135</x:v>
      </x:c>
      <x:c r="I572" s="10" t="n">
        <x:f>IF(OR(F572="Status",G572=0),"",G572+H572)</x:f>
        <x:v>185</x:v>
      </x:c>
      <x:c r="J572" s="10" t="n">
        <x:v>1</x:v>
      </x:c>
      <x:c r="K572" s="12" t="n">
        <x:v>30</x:v>
      </x:c>
      <x:c r="L572" s="1" t="str"/>
      <x:c r="M572" s="9" t="str">
        <x:v>https://poke.idleworld.online/pokepedia/pokemon/alakazam</x:v>
      </x:c>
    </x:row>
    <x:row r="573" ht="22" customHeight="1">
      <x:c r="A573" s="1" t="n">
        <x:v>65</x:v>
      </x:c>
      <x:c r="B573" s="1" t="str">
        <x:v>Alakazam</x:v>
      </x:c>
      <x:c r="C573" s="1" t="n">
        <x:v>5</x:v>
      </x:c>
      <x:c r="D573" s="1" t="str">
        <x:v>Psycho Cut</x:v>
      </x:c>
      <x:c r="E573" s="1" t="str">
        <x:v>Psíquico</x:v>
      </x:c>
      <x:c r="F573" s="1" t="str">
        <x:v>Física</x:v>
      </x:c>
      <x:c r="G573" s="10" t="n">
        <x:v>70</x:v>
      </x:c>
      <x:c r="H573" s="10" t="n">
        <x:f>IF(F573="Física",'Pokémon'!G69,IF(F573="Especial",'Pokémon'!I69,""))</x:f>
        <x:v>50</x:v>
      </x:c>
      <x:c r="I573" s="10" t="n">
        <x:f>IF(OR(F573="Status",G573=0),"",G573+H573)</x:f>
        <x:v>120</x:v>
      </x:c>
      <x:c r="J573" s="10" t="n">
        <x:v>28</x:v>
      </x:c>
      <x:c r="K573" s="12" t="n">
        <x:v>60</x:v>
      </x:c>
      <x:c r="L573" s="1" t="str"/>
      <x:c r="M573" s="9" t="str">
        <x:v>https://poke.idleworld.online/pokepedia/pokemon/alakazam</x:v>
      </x:c>
    </x:row>
    <x:row r="574" ht="22" customHeight="1">
      <x:c r="A574" s="1" t="n">
        <x:v>65</x:v>
      </x:c>
      <x:c r="B574" s="1" t="str">
        <x:v>Alakazam</x:v>
      </x:c>
      <x:c r="C574" s="1" t="n">
        <x:v>2</x:v>
      </x:c>
      <x:c r="D574" s="1" t="str">
        <x:v>Kinesis</x:v>
      </x:c>
      <x:c r="E574" s="1" t="str">
        <x:v>Psíquico</x:v>
      </x:c>
      <x:c r="F574" s="1" t="str">
        <x:v>Status</x:v>
      </x:c>
      <x:c r="G574" s="10" t="n">
        <x:v>0</x:v>
      </x:c>
      <x:c r="H574" s="10" t="str">
        <x:f>IF(F574="Física",'Pokémon'!G69,IF(F574="Especial",'Pokémon'!I69,""))</x:f>
      </x:c>
      <x:c r="I574" s="10" t="str">
        <x:f>IF(OR(F574="Status",G574=0),"",G574+H574)</x:f>
      </x:c>
      <x:c r="J574" s="10" t="n">
        <x:v>1</x:v>
      </x:c>
      <x:c r="K574" s="12" t="n">
        <x:v>40</x:v>
      </x:c>
      <x:c r="L574" s="1" t="str"/>
      <x:c r="M574" s="9" t="str">
        <x:v>https://poke.idleworld.online/pokepedia/pokemon/alakazam</x:v>
      </x:c>
    </x:row>
    <x:row r="575" ht="22" customHeight="1">
      <x:c r="A575" s="1" t="n">
        <x:v>65</x:v>
      </x:c>
      <x:c r="B575" s="1" t="str">
        <x:v>Alakazam</x:v>
      </x:c>
      <x:c r="C575" s="1" t="n">
        <x:v>7</x:v>
      </x:c>
      <x:c r="D575" s="1" t="str">
        <x:v>Calm Mind</x:v>
      </x:c>
      <x:c r="E575" s="1" t="str">
        <x:v>Psíquico</x:v>
      </x:c>
      <x:c r="F575" s="1" t="str">
        <x:v>Status</x:v>
      </x:c>
      <x:c r="G575" s="10" t="n">
        <x:v>0</x:v>
      </x:c>
      <x:c r="H575" s="10" t="str">
        <x:f>IF(F575="Física",'Pokémon'!G69,IF(F575="Especial",'Pokémon'!I69,""))</x:f>
      </x:c>
      <x:c r="I575" s="10" t="str">
        <x:f>IF(OR(F575="Status",G575=0),"",G575+H575)</x:f>
      </x:c>
      <x:c r="J575" s="10" t="n">
        <x:v>41</x:v>
      </x:c>
      <x:c r="K575" s="12" t="n">
        <x:v>40</x:v>
      </x:c>
      <x:c r="L575" s="1" t="str"/>
      <x:c r="M575" s="9" t="str">
        <x:v>https://poke.idleworld.online/pokepedia/pokemon/alakazam</x:v>
      </x:c>
    </x:row>
    <x:row r="576" ht="22" customHeight="1">
      <x:c r="A576" s="1" t="n">
        <x:v>66</x:v>
      </x:c>
      <x:c r="B576" s="1" t="str">
        <x:v>Machop</x:v>
      </x:c>
      <x:c r="C576" s="1" t="n">
        <x:v>9</x:v>
      </x:c>
      <x:c r="D576" s="1" t="str">
        <x:v>Cross Chop</x:v>
      </x:c>
      <x:c r="E576" s="1" t="str">
        <x:v>Lutador</x:v>
      </x:c>
      <x:c r="F576" s="1" t="str">
        <x:v>Física</x:v>
      </x:c>
      <x:c r="G576" s="10" t="n">
        <x:v>100</x:v>
      </x:c>
      <x:c r="H576" s="10" t="n">
        <x:f>IF(F576="Física",'Pokémon'!G70,IF(F576="Especial",'Pokémon'!I70,""))</x:f>
        <x:v>80</x:v>
      </x:c>
      <x:c r="I576" s="10" t="n">
        <x:f>IF(OR(F576="Status",G576=0),"",G576+H576)</x:f>
        <x:v>180</x:v>
      </x:c>
      <x:c r="J576" s="10" t="n">
        <x:v>39</x:v>
      </x:c>
      <x:c r="K576" s="12" t="n">
        <x:v>40</x:v>
      </x:c>
      <x:c r="L576" s="1" t="str"/>
      <x:c r="M576" s="9" t="str">
        <x:v>https://poke.idleworld.online/pokepedia/pokemon/machop</x:v>
      </x:c>
    </x:row>
    <x:row r="577" ht="22" customHeight="1">
      <x:c r="A577" s="1" t="n">
        <x:v>66</x:v>
      </x:c>
      <x:c r="B577" s="1" t="str">
        <x:v>Machop</x:v>
      </x:c>
      <x:c r="C577" s="1" t="n">
        <x:v>10</x:v>
      </x:c>
      <x:c r="D577" s="1" t="str">
        <x:v>Dynamic Punch</x:v>
      </x:c>
      <x:c r="E577" s="1" t="str">
        <x:v>Lutador</x:v>
      </x:c>
      <x:c r="F577" s="1" t="str">
        <x:v>Física</x:v>
      </x:c>
      <x:c r="G577" s="10" t="n">
        <x:v>100</x:v>
      </x:c>
      <x:c r="H577" s="10" t="n">
        <x:f>IF(F577="Física",'Pokémon'!G70,IF(F577="Especial",'Pokémon'!I70,""))</x:f>
        <x:v>80</x:v>
      </x:c>
      <x:c r="I577" s="10" t="n">
        <x:f>IF(OR(F577="Status",G577=0),"",G577+H577)</x:f>
        <x:v>180</x:v>
      </x:c>
      <x:c r="J577" s="10" t="n">
        <x:v>45</x:v>
      </x:c>
      <x:c r="K577" s="12" t="n">
        <x:v>40</x:v>
      </x:c>
      <x:c r="L577" s="1" t="str"/>
      <x:c r="M577" s="9" t="str">
        <x:v>https://poke.idleworld.online/pokepedia/pokemon/machop</x:v>
      </x:c>
    </x:row>
    <x:row r="578" ht="22" customHeight="1">
      <x:c r="A578" s="1" t="n">
        <x:v>66</x:v>
      </x:c>
      <x:c r="B578" s="1" t="str">
        <x:v>Machop</x:v>
      </x:c>
      <x:c r="C578" s="1" t="n">
        <x:v>8</x:v>
      </x:c>
      <x:c r="D578" s="1" t="str">
        <x:v>Submission</x:v>
      </x:c>
      <x:c r="E578" s="1" t="str">
        <x:v>Lutador</x:v>
      </x:c>
      <x:c r="F578" s="1" t="str">
        <x:v>Física</x:v>
      </x:c>
      <x:c r="G578" s="10" t="n">
        <x:v>80</x:v>
      </x:c>
      <x:c r="H578" s="10" t="n">
        <x:f>IF(F578="Física",'Pokémon'!G70,IF(F578="Especial",'Pokémon'!I70,""))</x:f>
        <x:v>80</x:v>
      </x:c>
      <x:c r="I578" s="10" t="n">
        <x:f>IF(OR(F578="Status",G578=0),"",G578+H578)</x:f>
        <x:v>160</x:v>
      </x:c>
      <x:c r="J578" s="10" t="n">
        <x:v>33</x:v>
      </x:c>
      <x:c r="K578" s="12" t="n">
        <x:v>22</x:v>
      </x:c>
      <x:c r="L578" s="1" t="str"/>
      <x:c r="M578" s="9" t="str">
        <x:v>https://poke.idleworld.online/pokepedia/pokemon/machop</x:v>
      </x:c>
    </x:row>
    <x:row r="579" ht="22" customHeight="1">
      <x:c r="A579" s="1" t="n">
        <x:v>66</x:v>
      </x:c>
      <x:c r="B579" s="1" t="str">
        <x:v>Machop</x:v>
      </x:c>
      <x:c r="C579" s="1" t="n">
        <x:v>5</x:v>
      </x:c>
      <x:c r="D579" s="1" t="str">
        <x:v>Vital Throw</x:v>
      </x:c>
      <x:c r="E579" s="1" t="str">
        <x:v>Lutador</x:v>
      </x:c>
      <x:c r="F579" s="1" t="str">
        <x:v>Física</x:v>
      </x:c>
      <x:c r="G579" s="10" t="n">
        <x:v>70</x:v>
      </x:c>
      <x:c r="H579" s="10" t="n">
        <x:f>IF(F579="Física",'Pokémon'!G70,IF(F579="Especial",'Pokémon'!I70,""))</x:f>
        <x:v>80</x:v>
      </x:c>
      <x:c r="I579" s="10" t="n">
        <x:f>IF(OR(F579="Status",G579=0),"",G579+H579)</x:f>
        <x:v>150</x:v>
      </x:c>
      <x:c r="J579" s="10" t="n">
        <x:v>25</x:v>
      </x:c>
      <x:c r="K579" s="12" t="n">
        <x:v>20</x:v>
      </x:c>
      <x:c r="L579" s="1" t="str"/>
      <x:c r="M579" s="9" t="str">
        <x:v>https://poke.idleworld.online/pokepedia/pokemon/machop</x:v>
      </x:c>
    </x:row>
    <x:row r="580" ht="22" customHeight="1">
      <x:c r="A580" s="1" t="n">
        <x:v>66</x:v>
      </x:c>
      <x:c r="B580" s="1" t="str">
        <x:v>Machop</x:v>
      </x:c>
      <x:c r="C580" s="1" t="n">
        <x:v>6</x:v>
      </x:c>
      <x:c r="D580" s="1" t="str">
        <x:v>Wake-Up Slap</x:v>
      </x:c>
      <x:c r="E580" s="1" t="str">
        <x:v>Lutador</x:v>
      </x:c>
      <x:c r="F580" s="1" t="str">
        <x:v>Física</x:v>
      </x:c>
      <x:c r="G580" s="10" t="n">
        <x:v>70</x:v>
      </x:c>
      <x:c r="H580" s="10" t="n">
        <x:f>IF(F580="Física",'Pokémon'!G70,IF(F580="Especial",'Pokémon'!I70,""))</x:f>
        <x:v>80</x:v>
      </x:c>
      <x:c r="I580" s="10" t="n">
        <x:f>IF(OR(F580="Status",G580=0),"",G580+H580)</x:f>
        <x:v>150</x:v>
      </x:c>
      <x:c r="J580" s="10" t="n">
        <x:v>27</x:v>
      </x:c>
      <x:c r="K580" s="12" t="n">
        <x:v>20</x:v>
      </x:c>
      <x:c r="L580" s="1" t="str"/>
      <x:c r="M580" s="9" t="str">
        <x:v>https://poke.idleworld.online/pokepedia/pokemon/machop</x:v>
      </x:c>
    </x:row>
    <x:row r="581" ht="22" customHeight="1">
      <x:c r="A581" s="1" t="n">
        <x:v>66</x:v>
      </x:c>
      <x:c r="B581" s="1" t="str">
        <x:v>Machop</x:v>
      </x:c>
      <x:c r="C581" s="1" t="n">
        <x:v>2</x:v>
      </x:c>
      <x:c r="D581" s="1" t="str">
        <x:v>Low Sweep</x:v>
      </x:c>
      <x:c r="E581" s="1" t="str">
        <x:v>Lutador</x:v>
      </x:c>
      <x:c r="F581" s="1" t="str">
        <x:v>Física</x:v>
      </x:c>
      <x:c r="G581" s="10" t="n">
        <x:v>65</x:v>
      </x:c>
      <x:c r="H581" s="10" t="n">
        <x:f>IF(F581="Física",'Pokémon'!G70,IF(F581="Especial",'Pokémon'!I70,""))</x:f>
        <x:v>80</x:v>
      </x:c>
      <x:c r="I581" s="10" t="n">
        <x:f>IF(OR(F581="Status",G581=0),"",G581+H581)</x:f>
        <x:v>145</x:v>
      </x:c>
      <x:c r="J581" s="10" t="n">
        <x:v>13</x:v>
      </x:c>
      <x:c r="K581" s="12" t="n">
        <x:v>20</x:v>
      </x:c>
      <x:c r="L581" s="1" t="str"/>
      <x:c r="M581" s="9" t="str">
        <x:v>https://poke.idleworld.online/pokepedia/pokemon/machop</x:v>
      </x:c>
    </x:row>
    <x:row r="582" ht="22" customHeight="1">
      <x:c r="A582" s="1" t="n">
        <x:v>66</x:v>
      </x:c>
      <x:c r="B582" s="1" t="str">
        <x:v>Machop</x:v>
      </x:c>
      <x:c r="C582" s="1" t="n">
        <x:v>4</x:v>
      </x:c>
      <x:c r="D582" s="1" t="str">
        <x:v>Knock Off</x:v>
      </x:c>
      <x:c r="E582" s="1" t="str">
        <x:v>Sombrio</x:v>
      </x:c>
      <x:c r="F582" s="1" t="str">
        <x:v>Física</x:v>
      </x:c>
      <x:c r="G582" s="10" t="n">
        <x:v>65</x:v>
      </x:c>
      <x:c r="H582" s="10" t="n">
        <x:f>IF(F582="Física",'Pokémon'!G70,IF(F582="Especial",'Pokémon'!I70,""))</x:f>
        <x:v>80</x:v>
      </x:c>
      <x:c r="I582" s="10" t="n">
        <x:f>IF(OR(F582="Status",G582=0),"",G582+H582)</x:f>
        <x:v>145</x:v>
      </x:c>
      <x:c r="J582" s="10" t="n">
        <x:v>21</x:v>
      </x:c>
      <x:c r="K582" s="12" t="n">
        <x:v>20</x:v>
      </x:c>
      <x:c r="L582" s="1" t="str"/>
      <x:c r="M582" s="9" t="str">
        <x:v>https://poke.idleworld.online/pokepedia/pokemon/machop</x:v>
      </x:c>
    </x:row>
    <x:row r="583" ht="22" customHeight="1">
      <x:c r="A583" s="1" t="n">
        <x:v>66</x:v>
      </x:c>
      <x:c r="B583" s="1" t="str">
        <x:v>Machop</x:v>
      </x:c>
      <x:c r="C583" s="1" t="n">
        <x:v>3</x:v>
      </x:c>
      <x:c r="D583" s="1" t="str">
        <x:v>Revenge</x:v>
      </x:c>
      <x:c r="E583" s="1" t="str">
        <x:v>Lutador</x:v>
      </x:c>
      <x:c r="F583" s="1" t="str">
        <x:v>Física</x:v>
      </x:c>
      <x:c r="G583" s="10" t="n">
        <x:v>60</x:v>
      </x:c>
      <x:c r="H583" s="10" t="n">
        <x:f>IF(F583="Física",'Pokémon'!G70,IF(F583="Especial",'Pokémon'!I70,""))</x:f>
        <x:v>80</x:v>
      </x:c>
      <x:c r="I583" s="10" t="n">
        <x:f>IF(OR(F583="Status",G583=0),"",G583+H583)</x:f>
        <x:v>140</x:v>
      </x:c>
      <x:c r="J583" s="10" t="n">
        <x:v>19</x:v>
      </x:c>
      <x:c r="K583" s="12" t="n">
        <x:v>20</x:v>
      </x:c>
      <x:c r="L583" s="1" t="str"/>
      <x:c r="M583" s="9" t="str">
        <x:v>https://poke.idleworld.online/pokepedia/pokemon/machop</x:v>
      </x:c>
    </x:row>
    <x:row r="584" ht="22" customHeight="1">
      <x:c r="A584" s="1" t="n">
        <x:v>66</x:v>
      </x:c>
      <x:c r="B584" s="1" t="str">
        <x:v>Machop</x:v>
      </x:c>
      <x:c r="C584" s="1" t="n">
        <x:v>1</x:v>
      </x:c>
      <x:c r="D584" s="1" t="str">
        <x:v>Karate Chop</x:v>
      </x:c>
      <x:c r="E584" s="1" t="str">
        <x:v>Lutador</x:v>
      </x:c>
      <x:c r="F584" s="1" t="str">
        <x:v>Física</x:v>
      </x:c>
      <x:c r="G584" s="10" t="n">
        <x:v>50</x:v>
      </x:c>
      <x:c r="H584" s="10" t="n">
        <x:f>IF(F584="Física",'Pokémon'!G70,IF(F584="Especial",'Pokémon'!I70,""))</x:f>
        <x:v>80</x:v>
      </x:c>
      <x:c r="I584" s="10" t="n">
        <x:f>IF(OR(F584="Status",G584=0),"",G584+H584)</x:f>
        <x:v>130</x:v>
      </x:c>
      <x:c r="J584" s="10" t="n">
        <x:v>7</x:v>
      </x:c>
      <x:c r="K584" s="12" t="n">
        <x:v>20</x:v>
      </x:c>
      <x:c r="L584" s="1" t="str"/>
      <x:c r="M584" s="9" t="str">
        <x:v>https://poke.idleworld.online/pokepedia/pokemon/machop</x:v>
      </x:c>
    </x:row>
    <x:row r="585" ht="22" customHeight="1">
      <x:c r="A585" s="1" t="n">
        <x:v>66</x:v>
      </x:c>
      <x:c r="B585" s="1" t="str">
        <x:v>Machop</x:v>
      </x:c>
      <x:c r="C585" s="1" t="n">
        <x:v>7</x:v>
      </x:c>
      <x:c r="D585" s="1" t="str">
        <x:v>Dual Chop</x:v>
      </x:c>
      <x:c r="E585" s="1" t="str">
        <x:v>Dragão</x:v>
      </x:c>
      <x:c r="F585" s="1" t="str">
        <x:v>Física</x:v>
      </x:c>
      <x:c r="G585" s="10" t="n">
        <x:v>40</x:v>
      </x:c>
      <x:c r="H585" s="10" t="n">
        <x:f>IF(F585="Física",'Pokémon'!G70,IF(F585="Especial",'Pokémon'!I70,""))</x:f>
        <x:v>80</x:v>
      </x:c>
      <x:c r="I585" s="10" t="n">
        <x:f>IF(OR(F585="Status",G585=0),"",G585+H585)</x:f>
        <x:v>120</x:v>
      </x:c>
      <x:c r="J585" s="10" t="n">
        <x:v>31</x:v>
      </x:c>
      <x:c r="K585" s="12" t="n">
        <x:v>15</x:v>
      </x:c>
      <x:c r="L585" s="1" t="str"/>
      <x:c r="M585" s="9" t="str">
        <x:v>https://poke.idleworld.online/pokepedia/pokemon/machop</x:v>
      </x:c>
    </x:row>
    <x:row r="586" ht="22" customHeight="1">
      <x:c r="A586" s="1" t="n">
        <x:v>67</x:v>
      </x:c>
      <x:c r="B586" s="1" t="str">
        <x:v>Machoke</x:v>
      </x:c>
      <x:c r="C586" s="1" t="n">
        <x:v>9</x:v>
      </x:c>
      <x:c r="D586" s="1" t="str">
        <x:v>Cross Chop</x:v>
      </x:c>
      <x:c r="E586" s="1" t="str">
        <x:v>Lutador</x:v>
      </x:c>
      <x:c r="F586" s="1" t="str">
        <x:v>Física</x:v>
      </x:c>
      <x:c r="G586" s="10" t="n">
        <x:v>100</x:v>
      </x:c>
      <x:c r="H586" s="10" t="n">
        <x:f>IF(F586="Física",'Pokémon'!G71,IF(F586="Especial",'Pokémon'!I71,""))</x:f>
        <x:v>100</x:v>
      </x:c>
      <x:c r="I586" s="10" t="n">
        <x:f>IF(OR(F586="Status",G586=0),"",G586+H586)</x:f>
        <x:v>200</x:v>
      </x:c>
      <x:c r="J586" s="10" t="n">
        <x:v>47</x:v>
      </x:c>
      <x:c r="K586" s="12" t="n">
        <x:v>40</x:v>
      </x:c>
      <x:c r="L586" s="1" t="str"/>
      <x:c r="M586" s="9" t="str">
        <x:v>https://poke.idleworld.online/pokepedia/pokemon/machoke</x:v>
      </x:c>
    </x:row>
    <x:row r="587" ht="22" customHeight="1">
      <x:c r="A587" s="1" t="n">
        <x:v>67</x:v>
      </x:c>
      <x:c r="B587" s="1" t="str">
        <x:v>Machoke</x:v>
      </x:c>
      <x:c r="C587" s="1" t="n">
        <x:v>10</x:v>
      </x:c>
      <x:c r="D587" s="1" t="str">
        <x:v>Dynamic Punch</x:v>
      </x:c>
      <x:c r="E587" s="1" t="str">
        <x:v>Lutador</x:v>
      </x:c>
      <x:c r="F587" s="1" t="str">
        <x:v>Física</x:v>
      </x:c>
      <x:c r="G587" s="10" t="n">
        <x:v>100</x:v>
      </x:c>
      <x:c r="H587" s="10" t="n">
        <x:f>IF(F587="Física",'Pokémon'!G71,IF(F587="Especial",'Pokémon'!I71,""))</x:f>
        <x:v>100</x:v>
      </x:c>
      <x:c r="I587" s="10" t="n">
        <x:f>IF(OR(F587="Status",G587=0),"",G587+H587)</x:f>
        <x:v>200</x:v>
      </x:c>
      <x:c r="J587" s="10" t="n">
        <x:v>57</x:v>
      </x:c>
      <x:c r="K587" s="12" t="n">
        <x:v>40</x:v>
      </x:c>
      <x:c r="L587" s="1" t="str"/>
      <x:c r="M587" s="9" t="str">
        <x:v>https://poke.idleworld.online/pokepedia/pokemon/machoke</x:v>
      </x:c>
    </x:row>
    <x:row r="588" ht="22" customHeight="1">
      <x:c r="A588" s="1" t="n">
        <x:v>67</x:v>
      </x:c>
      <x:c r="B588" s="1" t="str">
        <x:v>Machoke</x:v>
      </x:c>
      <x:c r="C588" s="1" t="n">
        <x:v>8</x:v>
      </x:c>
      <x:c r="D588" s="1" t="str">
        <x:v>Submission</x:v>
      </x:c>
      <x:c r="E588" s="1" t="str">
        <x:v>Lutador</x:v>
      </x:c>
      <x:c r="F588" s="1" t="str">
        <x:v>Física</x:v>
      </x:c>
      <x:c r="G588" s="10" t="n">
        <x:v>80</x:v>
      </x:c>
      <x:c r="H588" s="10" t="n">
        <x:f>IF(F588="Física",'Pokémon'!G71,IF(F588="Especial",'Pokémon'!I71,""))</x:f>
        <x:v>100</x:v>
      </x:c>
      <x:c r="I588" s="10" t="n">
        <x:f>IF(OR(F588="Status",G588=0),"",G588+H588)</x:f>
        <x:v>180</x:v>
      </x:c>
      <x:c r="J588" s="10" t="n">
        <x:v>37</x:v>
      </x:c>
      <x:c r="K588" s="12" t="n">
        <x:v>22</x:v>
      </x:c>
      <x:c r="L588" s="1" t="str"/>
      <x:c r="M588" s="9" t="str">
        <x:v>https://poke.idleworld.online/pokepedia/pokemon/machoke</x:v>
      </x:c>
    </x:row>
    <x:row r="589" ht="22" customHeight="1">
      <x:c r="A589" s="1" t="n">
        <x:v>67</x:v>
      </x:c>
      <x:c r="B589" s="1" t="str">
        <x:v>Machoke</x:v>
      </x:c>
      <x:c r="C589" s="1" t="n">
        <x:v>5</x:v>
      </x:c>
      <x:c r="D589" s="1" t="str">
        <x:v>Vital Throw</x:v>
      </x:c>
      <x:c r="E589" s="1" t="str">
        <x:v>Lutador</x:v>
      </x:c>
      <x:c r="F589" s="1" t="str">
        <x:v>Física</x:v>
      </x:c>
      <x:c r="G589" s="10" t="n">
        <x:v>70</x:v>
      </x:c>
      <x:c r="H589" s="10" t="n">
        <x:f>IF(F589="Física",'Pokémon'!G71,IF(F589="Especial",'Pokémon'!I71,""))</x:f>
        <x:v>100</x:v>
      </x:c>
      <x:c r="I589" s="10" t="n">
        <x:f>IF(OR(F589="Status",G589=0),"",G589+H589)</x:f>
        <x:v>170</x:v>
      </x:c>
      <x:c r="J589" s="10" t="n">
        <x:v>25</x:v>
      </x:c>
      <x:c r="K589" s="12" t="n">
        <x:v>20</x:v>
      </x:c>
      <x:c r="L589" s="1" t="str"/>
      <x:c r="M589" s="9" t="str">
        <x:v>https://poke.idleworld.online/pokepedia/pokemon/machoke</x:v>
      </x:c>
    </x:row>
    <x:row r="590" ht="22" customHeight="1">
      <x:c r="A590" s="1" t="n">
        <x:v>67</x:v>
      </x:c>
      <x:c r="B590" s="1" t="str">
        <x:v>Machoke</x:v>
      </x:c>
      <x:c r="C590" s="1" t="n">
        <x:v>6</x:v>
      </x:c>
      <x:c r="D590" s="1" t="str">
        <x:v>Wake-Up Slap</x:v>
      </x:c>
      <x:c r="E590" s="1" t="str">
        <x:v>Lutador</x:v>
      </x:c>
      <x:c r="F590" s="1" t="str">
        <x:v>Física</x:v>
      </x:c>
      <x:c r="G590" s="10" t="n">
        <x:v>70</x:v>
      </x:c>
      <x:c r="H590" s="10" t="n">
        <x:f>IF(F590="Física",'Pokémon'!G71,IF(F590="Especial",'Pokémon'!I71,""))</x:f>
        <x:v>100</x:v>
      </x:c>
      <x:c r="I590" s="10" t="n">
        <x:f>IF(OR(F590="Status",G590=0),"",G590+H590)</x:f>
        <x:v>170</x:v>
      </x:c>
      <x:c r="J590" s="10" t="n">
        <x:v>27</x:v>
      </x:c>
      <x:c r="K590" s="12" t="n">
        <x:v>20</x:v>
      </x:c>
      <x:c r="L590" s="1" t="str"/>
      <x:c r="M590" s="9" t="str">
        <x:v>https://poke.idleworld.online/pokepedia/pokemon/machoke</x:v>
      </x:c>
    </x:row>
    <x:row r="591" ht="22" customHeight="1">
      <x:c r="A591" s="1" t="n">
        <x:v>67</x:v>
      </x:c>
      <x:c r="B591" s="1" t="str">
        <x:v>Machoke</x:v>
      </x:c>
      <x:c r="C591" s="1" t="n">
        <x:v>2</x:v>
      </x:c>
      <x:c r="D591" s="1" t="str">
        <x:v>Low Sweep</x:v>
      </x:c>
      <x:c r="E591" s="1" t="str">
        <x:v>Lutador</x:v>
      </x:c>
      <x:c r="F591" s="1" t="str">
        <x:v>Física</x:v>
      </x:c>
      <x:c r="G591" s="10" t="n">
        <x:v>65</x:v>
      </x:c>
      <x:c r="H591" s="10" t="n">
        <x:f>IF(F591="Física",'Pokémon'!G71,IF(F591="Especial",'Pokémon'!I71,""))</x:f>
        <x:v>100</x:v>
      </x:c>
      <x:c r="I591" s="10" t="n">
        <x:f>IF(OR(F591="Status",G591=0),"",G591+H591)</x:f>
        <x:v>165</x:v>
      </x:c>
      <x:c r="J591" s="10" t="n">
        <x:v>13</x:v>
      </x:c>
      <x:c r="K591" s="12" t="n">
        <x:v>20</x:v>
      </x:c>
      <x:c r="L591" s="1" t="str"/>
      <x:c r="M591" s="9" t="str">
        <x:v>https://poke.idleworld.online/pokepedia/pokemon/machoke</x:v>
      </x:c>
    </x:row>
    <x:row r="592" ht="22" customHeight="1">
      <x:c r="A592" s="1" t="n">
        <x:v>67</x:v>
      </x:c>
      <x:c r="B592" s="1" t="str">
        <x:v>Machoke</x:v>
      </x:c>
      <x:c r="C592" s="1" t="n">
        <x:v>4</x:v>
      </x:c>
      <x:c r="D592" s="1" t="str">
        <x:v>Knock Off</x:v>
      </x:c>
      <x:c r="E592" s="1" t="str">
        <x:v>Sombrio</x:v>
      </x:c>
      <x:c r="F592" s="1" t="str">
        <x:v>Física</x:v>
      </x:c>
      <x:c r="G592" s="10" t="n">
        <x:v>65</x:v>
      </x:c>
      <x:c r="H592" s="10" t="n">
        <x:f>IF(F592="Física",'Pokémon'!G71,IF(F592="Especial",'Pokémon'!I71,""))</x:f>
        <x:v>100</x:v>
      </x:c>
      <x:c r="I592" s="10" t="n">
        <x:f>IF(OR(F592="Status",G592=0),"",G592+H592)</x:f>
        <x:v>165</x:v>
      </x:c>
      <x:c r="J592" s="10" t="n">
        <x:v>21</x:v>
      </x:c>
      <x:c r="K592" s="12" t="n">
        <x:v>20</x:v>
      </x:c>
      <x:c r="L592" s="1" t="str"/>
      <x:c r="M592" s="9" t="str">
        <x:v>https://poke.idleworld.online/pokepedia/pokemon/machoke</x:v>
      </x:c>
    </x:row>
    <x:row r="593" ht="22" customHeight="1">
      <x:c r="A593" s="1" t="n">
        <x:v>67</x:v>
      </x:c>
      <x:c r="B593" s="1" t="str">
        <x:v>Machoke</x:v>
      </x:c>
      <x:c r="C593" s="1" t="n">
        <x:v>3</x:v>
      </x:c>
      <x:c r="D593" s="1" t="str">
        <x:v>Revenge</x:v>
      </x:c>
      <x:c r="E593" s="1" t="str">
        <x:v>Lutador</x:v>
      </x:c>
      <x:c r="F593" s="1" t="str">
        <x:v>Física</x:v>
      </x:c>
      <x:c r="G593" s="10" t="n">
        <x:v>60</x:v>
      </x:c>
      <x:c r="H593" s="10" t="n">
        <x:f>IF(F593="Física",'Pokémon'!G71,IF(F593="Especial",'Pokémon'!I71,""))</x:f>
        <x:v>100</x:v>
      </x:c>
      <x:c r="I593" s="10" t="n">
        <x:f>IF(OR(F593="Status",G593=0),"",G593+H593)</x:f>
        <x:v>160</x:v>
      </x:c>
      <x:c r="J593" s="10" t="n">
        <x:v>19</x:v>
      </x:c>
      <x:c r="K593" s="12" t="n">
        <x:v>20</x:v>
      </x:c>
      <x:c r="L593" s="1" t="str"/>
      <x:c r="M593" s="9" t="str">
        <x:v>https://poke.idleworld.online/pokepedia/pokemon/machoke</x:v>
      </x:c>
    </x:row>
    <x:row r="594" ht="22" customHeight="1">
      <x:c r="A594" s="1" t="n">
        <x:v>67</x:v>
      </x:c>
      <x:c r="B594" s="1" t="str">
        <x:v>Machoke</x:v>
      </x:c>
      <x:c r="C594" s="1" t="n">
        <x:v>1</x:v>
      </x:c>
      <x:c r="D594" s="1" t="str">
        <x:v>Karate Chop</x:v>
      </x:c>
      <x:c r="E594" s="1" t="str">
        <x:v>Lutador</x:v>
      </x:c>
      <x:c r="F594" s="1" t="str">
        <x:v>Física</x:v>
      </x:c>
      <x:c r="G594" s="10" t="n">
        <x:v>50</x:v>
      </x:c>
      <x:c r="H594" s="10" t="n">
        <x:f>IF(F594="Física",'Pokémon'!G71,IF(F594="Especial",'Pokémon'!I71,""))</x:f>
        <x:v>100</x:v>
      </x:c>
      <x:c r="I594" s="10" t="n">
        <x:f>IF(OR(F594="Status",G594=0),"",G594+H594)</x:f>
        <x:v>150</x:v>
      </x:c>
      <x:c r="J594" s="10" t="n">
        <x:v>1</x:v>
      </x:c>
      <x:c r="K594" s="12" t="n">
        <x:v>20</x:v>
      </x:c>
      <x:c r="L594" s="1" t="str"/>
      <x:c r="M594" s="9" t="str">
        <x:v>https://poke.idleworld.online/pokepedia/pokemon/machoke</x:v>
      </x:c>
    </x:row>
    <x:row r="595" ht="22" customHeight="1">
      <x:c r="A595" s="1" t="n">
        <x:v>67</x:v>
      </x:c>
      <x:c r="B595" s="1" t="str">
        <x:v>Machoke</x:v>
      </x:c>
      <x:c r="C595" s="1" t="n">
        <x:v>7</x:v>
      </x:c>
      <x:c r="D595" s="1" t="str">
        <x:v>Dual Chop</x:v>
      </x:c>
      <x:c r="E595" s="1" t="str">
        <x:v>Dragão</x:v>
      </x:c>
      <x:c r="F595" s="1" t="str">
        <x:v>Física</x:v>
      </x:c>
      <x:c r="G595" s="10" t="n">
        <x:v>40</x:v>
      </x:c>
      <x:c r="H595" s="10" t="n">
        <x:f>IF(F595="Física",'Pokémon'!G71,IF(F595="Especial",'Pokémon'!I71,""))</x:f>
        <x:v>100</x:v>
      </x:c>
      <x:c r="I595" s="10" t="n">
        <x:f>IF(OR(F595="Status",G595=0),"",G595+H595)</x:f>
        <x:v>140</x:v>
      </x:c>
      <x:c r="J595" s="10" t="n">
        <x:v>33</x:v>
      </x:c>
      <x:c r="K595" s="12" t="n">
        <x:v>15</x:v>
      </x:c>
      <x:c r="L595" s="1" t="str"/>
      <x:c r="M595" s="9" t="str">
        <x:v>https://poke.idleworld.online/pokepedia/pokemon/machoke</x:v>
      </x:c>
    </x:row>
    <x:row r="596" ht="22" customHeight="1">
      <x:c r="A596" s="1" t="n">
        <x:v>68</x:v>
      </x:c>
      <x:c r="B596" s="1" t="str">
        <x:v>Machamp</x:v>
      </x:c>
      <x:c r="C596" s="1" t="n">
        <x:v>3</x:v>
      </x:c>
      <x:c r="D596" s="1" t="str">
        <x:v>Meteor Fists</x:v>
      </x:c>
      <x:c r="E596" s="1" t="str">
        <x:v>Lutador</x:v>
      </x:c>
      <x:c r="F596" s="1" t="str">
        <x:v>Física</x:v>
      </x:c>
      <x:c r="G596" s="10" t="n">
        <x:v>300</x:v>
      </x:c>
      <x:c r="H596" s="10" t="n">
        <x:f>IF(F596="Física",'Pokémon'!G72,IF(F596="Especial",'Pokémon'!I72,""))</x:f>
        <x:v>130</x:v>
      </x:c>
      <x:c r="I596" s="10" t="n">
        <x:f>IF(OR(F596="Status",G596=0),"",G596+H596)</x:f>
        <x:v>430</x:v>
      </x:c>
      <x:c r="J596" s="10" t="n">
        <x:v>1</x:v>
      </x:c>
      <x:c r="K596" s="12" t="n">
        <x:v>10</x:v>
      </x:c>
      <x:c r="L596" s="1" t="str">
        <x:v>Sim</x:v>
      </x:c>
      <x:c r="M596" s="9" t="str">
        <x:v>https://poke.idleworld.online/pokepedia/pokemon/machamp</x:v>
      </x:c>
    </x:row>
    <x:row r="597" ht="22" customHeight="1">
      <x:c r="A597" s="1" t="n">
        <x:v>68</x:v>
      </x:c>
      <x:c r="B597" s="1" t="str">
        <x:v>Machamp</x:v>
      </x:c>
      <x:c r="C597" s="1" t="n">
        <x:v>11</x:v>
      </x:c>
      <x:c r="D597" s="1" t="str">
        <x:v>Cross Chop</x:v>
      </x:c>
      <x:c r="E597" s="1" t="str">
        <x:v>Lutador</x:v>
      </x:c>
      <x:c r="F597" s="1" t="str">
        <x:v>Física</x:v>
      </x:c>
      <x:c r="G597" s="10" t="n">
        <x:v>100</x:v>
      </x:c>
      <x:c r="H597" s="10" t="n">
        <x:f>IF(F597="Física",'Pokémon'!G72,IF(F597="Especial",'Pokémon'!I72,""))</x:f>
        <x:v>130</x:v>
      </x:c>
      <x:c r="I597" s="10" t="n">
        <x:f>IF(OR(F597="Status",G597=0),"",G597+H597)</x:f>
        <x:v>230</x:v>
      </x:c>
      <x:c r="J597" s="10" t="n">
        <x:v>47</x:v>
      </x:c>
      <x:c r="K597" s="12" t="n">
        <x:v>40</x:v>
      </x:c>
      <x:c r="L597" s="1" t="str"/>
      <x:c r="M597" s="9" t="str">
        <x:v>https://poke.idleworld.online/pokepedia/pokemon/machamp</x:v>
      </x:c>
    </x:row>
    <x:row r="598" ht="22" customHeight="1">
      <x:c r="A598" s="1" t="n">
        <x:v>68</x:v>
      </x:c>
      <x:c r="B598" s="1" t="str">
        <x:v>Machamp</x:v>
      </x:c>
      <x:c r="C598" s="1" t="n">
        <x:v>12</x:v>
      </x:c>
      <x:c r="D598" s="1" t="str">
        <x:v>Dynamic Punch</x:v>
      </x:c>
      <x:c r="E598" s="1" t="str">
        <x:v>Lutador</x:v>
      </x:c>
      <x:c r="F598" s="1" t="str">
        <x:v>Física</x:v>
      </x:c>
      <x:c r="G598" s="10" t="n">
        <x:v>100</x:v>
      </x:c>
      <x:c r="H598" s="10" t="n">
        <x:f>IF(F598="Física",'Pokémon'!G72,IF(F598="Especial",'Pokémon'!I72,""))</x:f>
        <x:v>130</x:v>
      </x:c>
      <x:c r="I598" s="10" t="n">
        <x:f>IF(OR(F598="Status",G598=0),"",G598+H598)</x:f>
        <x:v>230</x:v>
      </x:c>
      <x:c r="J598" s="10" t="n">
        <x:v>57</x:v>
      </x:c>
      <x:c r="K598" s="12" t="n">
        <x:v>45</x:v>
      </x:c>
      <x:c r="L598" s="1" t="str"/>
      <x:c r="M598" s="9" t="str">
        <x:v>https://poke.idleworld.online/pokepedia/pokemon/machamp</x:v>
      </x:c>
    </x:row>
    <x:row r="599" ht="22" customHeight="1">
      <x:c r="A599" s="1" t="n">
        <x:v>68</x:v>
      </x:c>
      <x:c r="B599" s="1" t="str">
        <x:v>Machamp</x:v>
      </x:c>
      <x:c r="C599" s="1" t="n">
        <x:v>2</x:v>
      </x:c>
      <x:c r="D599" s="1" t="str">
        <x:v>Low Kick</x:v>
      </x:c>
      <x:c r="E599" s="1" t="str">
        <x:v>Lutador</x:v>
      </x:c>
      <x:c r="F599" s="1" t="str">
        <x:v>Física</x:v>
      </x:c>
      <x:c r="G599" s="10" t="n">
        <x:v>80</x:v>
      </x:c>
      <x:c r="H599" s="10" t="n">
        <x:f>IF(F599="Física",'Pokémon'!G72,IF(F599="Especial",'Pokémon'!I72,""))</x:f>
        <x:v>130</x:v>
      </x:c>
      <x:c r="I599" s="10" t="n">
        <x:f>IF(OR(F599="Status",G599=0),"",G599+H599)</x:f>
        <x:v>210</x:v>
      </x:c>
      <x:c r="J599" s="10" t="n">
        <x:v>1</x:v>
      </x:c>
      <x:c r="K599" s="12" t="n">
        <x:v>15</x:v>
      </x:c>
      <x:c r="L599" s="1" t="str"/>
      <x:c r="M599" s="9" t="str">
        <x:v>https://poke.idleworld.online/pokepedia/pokemon/machamp</x:v>
      </x:c>
    </x:row>
    <x:row r="600" ht="22" customHeight="1">
      <x:c r="A600" s="1" t="n">
        <x:v>68</x:v>
      </x:c>
      <x:c r="B600" s="1" t="str">
        <x:v>Machamp</x:v>
      </x:c>
      <x:c r="C600" s="1" t="n">
        <x:v>10</x:v>
      </x:c>
      <x:c r="D600" s="1" t="str">
        <x:v>Submission</x:v>
      </x:c>
      <x:c r="E600" s="1" t="str">
        <x:v>Lutador</x:v>
      </x:c>
      <x:c r="F600" s="1" t="str">
        <x:v>Física</x:v>
      </x:c>
      <x:c r="G600" s="10" t="n">
        <x:v>80</x:v>
      </x:c>
      <x:c r="H600" s="10" t="n">
        <x:f>IF(F600="Física",'Pokémon'!G72,IF(F600="Especial",'Pokémon'!I72,""))</x:f>
        <x:v>130</x:v>
      </x:c>
      <x:c r="I600" s="10" t="n">
        <x:f>IF(OR(F600="Status",G600=0),"",G600+H600)</x:f>
        <x:v>210</x:v>
      </x:c>
      <x:c r="J600" s="10" t="n">
        <x:v>37</x:v>
      </x:c>
      <x:c r="K600" s="12" t="n">
        <x:v>22</x:v>
      </x:c>
      <x:c r="L600" s="1" t="str"/>
      <x:c r="M600" s="9" t="str">
        <x:v>https://poke.idleworld.online/pokepedia/pokemon/machamp</x:v>
      </x:c>
    </x:row>
    <x:row r="601" ht="22" customHeight="1">
      <x:c r="A601" s="1" t="n">
        <x:v>68</x:v>
      </x:c>
      <x:c r="B601" s="1" t="str">
        <x:v>Machamp</x:v>
      </x:c>
      <x:c r="C601" s="1" t="n">
        <x:v>7</x:v>
      </x:c>
      <x:c r="D601" s="1" t="str">
        <x:v>Vital Throw</x:v>
      </x:c>
      <x:c r="E601" s="1" t="str">
        <x:v>Lutador</x:v>
      </x:c>
      <x:c r="F601" s="1" t="str">
        <x:v>Física</x:v>
      </x:c>
      <x:c r="G601" s="10" t="n">
        <x:v>70</x:v>
      </x:c>
      <x:c r="H601" s="10" t="n">
        <x:f>IF(F601="Física",'Pokémon'!G72,IF(F601="Especial",'Pokémon'!I72,""))</x:f>
        <x:v>130</x:v>
      </x:c>
      <x:c r="I601" s="10" t="n">
        <x:f>IF(OR(F601="Status",G601=0),"",G601+H601)</x:f>
        <x:v>200</x:v>
      </x:c>
      <x:c r="J601" s="10" t="n">
        <x:v>25</x:v>
      </x:c>
      <x:c r="K601" s="12" t="n">
        <x:v>20</x:v>
      </x:c>
      <x:c r="L601" s="1" t="str"/>
      <x:c r="M601" s="9" t="str">
        <x:v>https://poke.idleworld.online/pokepedia/pokemon/machamp</x:v>
      </x:c>
    </x:row>
    <x:row r="602" ht="22" customHeight="1">
      <x:c r="A602" s="1" t="n">
        <x:v>68</x:v>
      </x:c>
      <x:c r="B602" s="1" t="str">
        <x:v>Machamp</x:v>
      </x:c>
      <x:c r="C602" s="1" t="n">
        <x:v>8</x:v>
      </x:c>
      <x:c r="D602" s="1" t="str">
        <x:v>Wake-Up Slap</x:v>
      </x:c>
      <x:c r="E602" s="1" t="str">
        <x:v>Lutador</x:v>
      </x:c>
      <x:c r="F602" s="1" t="str">
        <x:v>Física</x:v>
      </x:c>
      <x:c r="G602" s="10" t="n">
        <x:v>70</x:v>
      </x:c>
      <x:c r="H602" s="10" t="n">
        <x:f>IF(F602="Física",'Pokémon'!G72,IF(F602="Especial",'Pokémon'!I72,""))</x:f>
        <x:v>130</x:v>
      </x:c>
      <x:c r="I602" s="10" t="n">
        <x:f>IF(OR(F602="Status",G602=0),"",G602+H602)</x:f>
        <x:v>200</x:v>
      </x:c>
      <x:c r="J602" s="10" t="n">
        <x:v>27</x:v>
      </x:c>
      <x:c r="K602" s="12" t="n">
        <x:v>20</x:v>
      </x:c>
      <x:c r="L602" s="1" t="str"/>
      <x:c r="M602" s="9" t="str">
        <x:v>https://poke.idleworld.online/pokepedia/pokemon/machamp</x:v>
      </x:c>
    </x:row>
    <x:row r="603" ht="22" customHeight="1">
      <x:c r="A603" s="1" t="n">
        <x:v>68</x:v>
      </x:c>
      <x:c r="B603" s="1" t="str">
        <x:v>Machamp</x:v>
      </x:c>
      <x:c r="C603" s="1" t="n">
        <x:v>4</x:v>
      </x:c>
      <x:c r="D603" s="1" t="str">
        <x:v>Low Sweep</x:v>
      </x:c>
      <x:c r="E603" s="1" t="str">
        <x:v>Lutador</x:v>
      </x:c>
      <x:c r="F603" s="1" t="str">
        <x:v>Física</x:v>
      </x:c>
      <x:c r="G603" s="10" t="n">
        <x:v>65</x:v>
      </x:c>
      <x:c r="H603" s="10" t="n">
        <x:f>IF(F603="Física",'Pokémon'!G72,IF(F603="Especial",'Pokémon'!I72,""))</x:f>
        <x:v>130</x:v>
      </x:c>
      <x:c r="I603" s="10" t="n">
        <x:f>IF(OR(F603="Status",G603=0),"",G603+H603)</x:f>
        <x:v>195</x:v>
      </x:c>
      <x:c r="J603" s="10" t="n">
        <x:v>13</x:v>
      </x:c>
      <x:c r="K603" s="12" t="n">
        <x:v>20</x:v>
      </x:c>
      <x:c r="L603" s="1" t="str"/>
      <x:c r="M603" s="9" t="str">
        <x:v>https://poke.idleworld.online/pokepedia/pokemon/machamp</x:v>
      </x:c>
    </x:row>
    <x:row r="604" ht="22" customHeight="1">
      <x:c r="A604" s="1" t="n">
        <x:v>68</x:v>
      </x:c>
      <x:c r="B604" s="1" t="str">
        <x:v>Machamp</x:v>
      </x:c>
      <x:c r="C604" s="1" t="n">
        <x:v>6</x:v>
      </x:c>
      <x:c r="D604" s="1" t="str">
        <x:v>Knock Off</x:v>
      </x:c>
      <x:c r="E604" s="1" t="str">
        <x:v>Sombrio</x:v>
      </x:c>
      <x:c r="F604" s="1" t="str">
        <x:v>Física</x:v>
      </x:c>
      <x:c r="G604" s="10" t="n">
        <x:v>65</x:v>
      </x:c>
      <x:c r="H604" s="10" t="n">
        <x:f>IF(F604="Física",'Pokémon'!G72,IF(F604="Especial",'Pokémon'!I72,""))</x:f>
        <x:v>130</x:v>
      </x:c>
      <x:c r="I604" s="10" t="n">
        <x:f>IF(OR(F604="Status",G604=0),"",G604+H604)</x:f>
        <x:v>195</x:v>
      </x:c>
      <x:c r="J604" s="10" t="n">
        <x:v>21</x:v>
      </x:c>
      <x:c r="K604" s="12" t="n">
        <x:v>20</x:v>
      </x:c>
      <x:c r="L604" s="1" t="str"/>
      <x:c r="M604" s="9" t="str">
        <x:v>https://poke.idleworld.online/pokepedia/pokemon/machamp</x:v>
      </x:c>
    </x:row>
    <x:row r="605" ht="22" customHeight="1">
      <x:c r="A605" s="1" t="n">
        <x:v>68</x:v>
      </x:c>
      <x:c r="B605" s="1" t="str">
        <x:v>Machamp</x:v>
      </x:c>
      <x:c r="C605" s="1" t="n">
        <x:v>5</x:v>
      </x:c>
      <x:c r="D605" s="1" t="str">
        <x:v>Revenge</x:v>
      </x:c>
      <x:c r="E605" s="1" t="str">
        <x:v>Lutador</x:v>
      </x:c>
      <x:c r="F605" s="1" t="str">
        <x:v>Física</x:v>
      </x:c>
      <x:c r="G605" s="10" t="n">
        <x:v>60</x:v>
      </x:c>
      <x:c r="H605" s="10" t="n">
        <x:f>IF(F605="Física",'Pokémon'!G72,IF(F605="Especial",'Pokémon'!I72,""))</x:f>
        <x:v>130</x:v>
      </x:c>
      <x:c r="I605" s="10" t="n">
        <x:f>IF(OR(F605="Status",G605=0),"",G605+H605)</x:f>
        <x:v>190</x:v>
      </x:c>
      <x:c r="J605" s="10" t="n">
        <x:v>19</x:v>
      </x:c>
      <x:c r="K605" s="12" t="n">
        <x:v>20</x:v>
      </x:c>
      <x:c r="L605" s="1" t="str"/>
      <x:c r="M605" s="9" t="str">
        <x:v>https://poke.idleworld.online/pokepedia/pokemon/machamp</x:v>
      </x:c>
    </x:row>
    <x:row r="606" ht="22" customHeight="1">
      <x:c r="A606" s="1" t="n">
        <x:v>68</x:v>
      </x:c>
      <x:c r="B606" s="1" t="str">
        <x:v>Machamp</x:v>
      </x:c>
      <x:c r="C606" s="1" t="n">
        <x:v>1</x:v>
      </x:c>
      <x:c r="D606" s="1" t="str">
        <x:v>Karate Chop</x:v>
      </x:c>
      <x:c r="E606" s="1" t="str">
        <x:v>Lutador</x:v>
      </x:c>
      <x:c r="F606" s="1" t="str">
        <x:v>Física</x:v>
      </x:c>
      <x:c r="G606" s="10" t="n">
        <x:v>50</x:v>
      </x:c>
      <x:c r="H606" s="10" t="n">
        <x:f>IF(F606="Física",'Pokémon'!G72,IF(F606="Especial",'Pokémon'!I72,""))</x:f>
        <x:v>130</x:v>
      </x:c>
      <x:c r="I606" s="10" t="n">
        <x:f>IF(OR(F606="Status",G606=0),"",G606+H606)</x:f>
        <x:v>180</x:v>
      </x:c>
      <x:c r="J606" s="10" t="n">
        <x:v>1</x:v>
      </x:c>
      <x:c r="K606" s="12" t="n">
        <x:v>20</x:v>
      </x:c>
      <x:c r="L606" s="1" t="str"/>
      <x:c r="M606" s="9" t="str">
        <x:v>https://poke.idleworld.online/pokepedia/pokemon/machamp</x:v>
      </x:c>
    </x:row>
    <x:row r="607" ht="22" customHeight="1">
      <x:c r="A607" s="1" t="n">
        <x:v>68</x:v>
      </x:c>
      <x:c r="B607" s="1" t="str">
        <x:v>Machamp</x:v>
      </x:c>
      <x:c r="C607" s="1" t="n">
        <x:v>9</x:v>
      </x:c>
      <x:c r="D607" s="1" t="str">
        <x:v>Dual Chop</x:v>
      </x:c>
      <x:c r="E607" s="1" t="str">
        <x:v>Dragão</x:v>
      </x:c>
      <x:c r="F607" s="1" t="str">
        <x:v>Física</x:v>
      </x:c>
      <x:c r="G607" s="10" t="n">
        <x:v>40</x:v>
      </x:c>
      <x:c r="H607" s="10" t="n">
        <x:f>IF(F607="Física",'Pokémon'!G72,IF(F607="Especial",'Pokémon'!I72,""))</x:f>
        <x:v>130</x:v>
      </x:c>
      <x:c r="I607" s="10" t="n">
        <x:f>IF(OR(F607="Status",G607=0),"",G607+H607)</x:f>
        <x:v>170</x:v>
      </x:c>
      <x:c r="J607" s="10" t="n">
        <x:v>33</x:v>
      </x:c>
      <x:c r="K607" s="12" t="n">
        <x:v>15</x:v>
      </x:c>
      <x:c r="L607" s="1" t="str"/>
      <x:c r="M607" s="9" t="str">
        <x:v>https://poke.idleworld.online/pokepedia/pokemon/machamp</x:v>
      </x:c>
    </x:row>
    <x:row r="608" ht="22" customHeight="1">
      <x:c r="A608" s="1" t="n">
        <x:v>69</x:v>
      </x:c>
      <x:c r="B608" s="1" t="str">
        <x:v>Bellsprout</x:v>
      </x:c>
      <x:c r="C608" s="1" t="n">
        <x:v>6</x:v>
      </x:c>
      <x:c r="D608" s="1" t="str">
        <x:v>Slam</x:v>
      </x:c>
      <x:c r="E608" s="1" t="str">
        <x:v>Normal</x:v>
      </x:c>
      <x:c r="F608" s="1" t="str">
        <x:v>Física</x:v>
      </x:c>
      <x:c r="G608" s="10" t="n">
        <x:v>80</x:v>
      </x:c>
      <x:c r="H608" s="10" t="n">
        <x:f>IF(F608="Física",'Pokémon'!G73,IF(F608="Especial",'Pokémon'!I73,""))</x:f>
        <x:v>75</x:v>
      </x:c>
      <x:c r="I608" s="10" t="n">
        <x:f>IF(OR(F608="Status",G608=0),"",G608+H608)</x:f>
        <x:v>155</x:v>
      </x:c>
      <x:c r="J608" s="10" t="n">
        <x:v>41</x:v>
      </x:c>
      <x:c r="K608" s="12" t="n">
        <x:v>22</x:v>
      </x:c>
      <x:c r="L608" s="1" t="str"/>
      <x:c r="M608" s="9" t="str">
        <x:v>https://poke.idleworld.online/pokepedia/pokemon/bellsprout</x:v>
      </x:c>
    </x:row>
    <x:row r="609" ht="22" customHeight="1">
      <x:c r="A609" s="1" t="n">
        <x:v>69</x:v>
      </x:c>
      <x:c r="B609" s="1" t="str">
        <x:v>Bellsprout</x:v>
      </x:c>
      <x:c r="C609" s="1" t="n">
        <x:v>4</x:v>
      </x:c>
      <x:c r="D609" s="1" t="str">
        <x:v>Knock Off</x:v>
      </x:c>
      <x:c r="E609" s="1" t="str">
        <x:v>Sombrio</x:v>
      </x:c>
      <x:c r="F609" s="1" t="str">
        <x:v>Física</x:v>
      </x:c>
      <x:c r="G609" s="10" t="n">
        <x:v>65</x:v>
      </x:c>
      <x:c r="H609" s="10" t="n">
        <x:f>IF(F609="Física",'Pokémon'!G73,IF(F609="Especial",'Pokémon'!I73,""))</x:f>
        <x:v>75</x:v>
      </x:c>
      <x:c r="I609" s="10" t="n">
        <x:f>IF(OR(F609="Status",G609=0),"",G609+H609)</x:f>
        <x:v>140</x:v>
      </x:c>
      <x:c r="J609" s="10" t="n">
        <x:v>27</x:v>
      </x:c>
      <x:c r="K609" s="12" t="n">
        <x:v>20</x:v>
      </x:c>
      <x:c r="L609" s="1" t="str"/>
      <x:c r="M609" s="9" t="str">
        <x:v>https://poke.idleworld.online/pokepedia/pokemon/bellsprout</x:v>
      </x:c>
    </x:row>
    <x:row r="610" ht="22" customHeight="1">
      <x:c r="A610" s="1" t="n">
        <x:v>69</x:v>
      </x:c>
      <x:c r="B610" s="1" t="str">
        <x:v>Bellsprout</x:v>
      </x:c>
      <x:c r="C610" s="1" t="n">
        <x:v>5</x:v>
      </x:c>
      <x:c r="D610" s="1" t="str">
        <x:v>Razor Leaf</x:v>
      </x:c>
      <x:c r="E610" s="1" t="str">
        <x:v>Planta</x:v>
      </x:c>
      <x:c r="F610" s="1" t="str">
        <x:v>Física</x:v>
      </x:c>
      <x:c r="G610" s="10" t="n">
        <x:v>55</x:v>
      </x:c>
      <x:c r="H610" s="10" t="n">
        <x:f>IF(F610="Física",'Pokémon'!G73,IF(F610="Especial",'Pokémon'!I73,""))</x:f>
        <x:v>75</x:v>
      </x:c>
      <x:c r="I610" s="10" t="n">
        <x:f>IF(OR(F610="Status",G610=0),"",G610+H610)</x:f>
        <x:v>130</x:v>
      </x:c>
      <x:c r="J610" s="10" t="n">
        <x:v>39</x:v>
      </x:c>
      <x:c r="K610" s="12" t="n">
        <x:v>5</x:v>
      </x:c>
      <x:c r="L610" s="1" t="str"/>
      <x:c r="M610" s="9" t="str">
        <x:v>https://poke.idleworld.online/pokepedia/pokemon/bellsprout</x:v>
      </x:c>
    </x:row>
    <x:row r="611" ht="22" customHeight="1">
      <x:c r="A611" s="1" t="n">
        <x:v>69</x:v>
      </x:c>
      <x:c r="B611" s="1" t="str">
        <x:v>Bellsprout</x:v>
      </x:c>
      <x:c r="C611" s="1" t="n">
        <x:v>1</x:v>
      </x:c>
      <x:c r="D611" s="1" t="str">
        <x:v>Vine Whip</x:v>
      </x:c>
      <x:c r="E611" s="1" t="str">
        <x:v>Planta</x:v>
      </x:c>
      <x:c r="F611" s="1" t="str">
        <x:v>Física</x:v>
      </x:c>
      <x:c r="G611" s="10" t="n">
        <x:v>45</x:v>
      </x:c>
      <x:c r="H611" s="10" t="n">
        <x:f>IF(F611="Física",'Pokémon'!G73,IF(F611="Especial",'Pokémon'!I73,""))</x:f>
        <x:v>75</x:v>
      </x:c>
      <x:c r="I611" s="10" t="n">
        <x:f>IF(OR(F611="Status",G611=0),"",G611+H611)</x:f>
        <x:v>120</x:v>
      </x:c>
      <x:c r="J611" s="10" t="n">
        <x:v>1</x:v>
      </x:c>
      <x:c r="K611" s="12" t="n">
        <x:v>12</x:v>
      </x:c>
      <x:c r="L611" s="1" t="str"/>
      <x:c r="M611" s="9" t="str">
        <x:v>https://poke.idleworld.online/pokepedia/pokemon/bellsprout</x:v>
      </x:c>
    </x:row>
    <x:row r="612" ht="22" customHeight="1">
      <x:c r="A612" s="1" t="n">
        <x:v>69</x:v>
      </x:c>
      <x:c r="B612" s="1" t="str">
        <x:v>Bellsprout</x:v>
      </x:c>
      <x:c r="C612" s="1" t="n">
        <x:v>3</x:v>
      </x:c>
      <x:c r="D612" s="1" t="str">
        <x:v>Acid</x:v>
      </x:c>
      <x:c r="E612" s="1" t="str">
        <x:v>Venenoso</x:v>
      </x:c>
      <x:c r="F612" s="1" t="str">
        <x:v>Especial</x:v>
      </x:c>
      <x:c r="G612" s="10" t="n">
        <x:v>40</x:v>
      </x:c>
      <x:c r="H612" s="10" t="n">
        <x:f>IF(F612="Física",'Pokémon'!G73,IF(F612="Especial",'Pokémon'!I73,""))</x:f>
        <x:v>70</x:v>
      </x:c>
      <x:c r="I612" s="10" t="n">
        <x:f>IF(OR(F612="Status",G612=0),"",G612+H612)</x:f>
        <x:v>110</x:v>
      </x:c>
      <x:c r="J612" s="10" t="n">
        <x:v>23</x:v>
      </x:c>
      <x:c r="K612" s="12" t="n">
        <x:v>10</x:v>
      </x:c>
      <x:c r="L612" s="1" t="str"/>
      <x:c r="M612" s="9" t="str">
        <x:v>https://poke.idleworld.online/pokepedia/pokemon/bellsprout</x:v>
      </x:c>
    </x:row>
    <x:row r="613" ht="22" customHeight="1">
      <x:c r="A613" s="1" t="n">
        <x:v>69</x:v>
      </x:c>
      <x:c r="B613" s="1" t="str">
        <x:v>Bellsprout</x:v>
      </x:c>
      <x:c r="C613" s="1" t="n">
        <x:v>2</x:v>
      </x:c>
      <x:c r="D613" s="1" t="str">
        <x:v>Wrap</x:v>
      </x:c>
      <x:c r="E613" s="1" t="str">
        <x:v>Normal</x:v>
      </x:c>
      <x:c r="F613" s="1" t="str">
        <x:v>Física</x:v>
      </x:c>
      <x:c r="G613" s="10" t="n">
        <x:v>15</x:v>
      </x:c>
      <x:c r="H613" s="10" t="n">
        <x:f>IF(F613="Física",'Pokémon'!G73,IF(F613="Especial",'Pokémon'!I73,""))</x:f>
        <x:v>75</x:v>
      </x:c>
      <x:c r="I613" s="10" t="n">
        <x:f>IF(OR(F613="Status",G613=0),"",G613+H613)</x:f>
        <x:v>90</x:v>
      </x:c>
      <x:c r="J613" s="10" t="n">
        <x:v>11</x:v>
      </x:c>
      <x:c r="K613" s="12" t="n">
        <x:v>15</x:v>
      </x:c>
      <x:c r="L613" s="1" t="str"/>
      <x:c r="M613" s="9" t="str">
        <x:v>https://poke.idleworld.online/pokepedia/pokemon/bellsprout</x:v>
      </x:c>
    </x:row>
    <x:row r="614" ht="22" customHeight="1">
      <x:c r="A614" s="1" t="n">
        <x:v>70</x:v>
      </x:c>
      <x:c r="B614" s="1" t="str">
        <x:v>Weepinbell</x:v>
      </x:c>
      <x:c r="C614" s="1" t="n">
        <x:v>10</x:v>
      </x:c>
      <x:c r="D614" s="1" t="str">
        <x:v>Slam</x:v>
      </x:c>
      <x:c r="E614" s="1" t="str">
        <x:v>Normal</x:v>
      </x:c>
      <x:c r="F614" s="1" t="str">
        <x:v>Física</x:v>
      </x:c>
      <x:c r="G614" s="10" t="n">
        <x:v>80</x:v>
      </x:c>
      <x:c r="H614" s="10" t="n">
        <x:f>IF(F614="Física",'Pokémon'!G74,IF(F614="Especial",'Pokémon'!I74,""))</x:f>
        <x:v>90</x:v>
      </x:c>
      <x:c r="I614" s="10" t="n">
        <x:f>IF(OR(F614="Status",G614=0),"",G614+H614)</x:f>
        <x:v>170</x:v>
      </x:c>
      <x:c r="J614" s="10" t="n">
        <x:v>41</x:v>
      </x:c>
      <x:c r="K614" s="12" t="n">
        <x:v>22</x:v>
      </x:c>
      <x:c r="L614" s="1" t="str"/>
      <x:c r="M614" s="9" t="str">
        <x:v>https://poke.idleworld.online/pokepedia/pokemon/weepinbell</x:v>
      </x:c>
    </x:row>
    <x:row r="615" ht="22" customHeight="1">
      <x:c r="A615" s="1" t="n">
        <x:v>70</x:v>
      </x:c>
      <x:c r="B615" s="1" t="str">
        <x:v>Weepinbell</x:v>
      </x:c>
      <x:c r="C615" s="1" t="n">
        <x:v>8</x:v>
      </x:c>
      <x:c r="D615" s="1" t="str">
        <x:v>Knock Off</x:v>
      </x:c>
      <x:c r="E615" s="1" t="str">
        <x:v>Sombrio</x:v>
      </x:c>
      <x:c r="F615" s="1" t="str">
        <x:v>Física</x:v>
      </x:c>
      <x:c r="G615" s="10" t="n">
        <x:v>65</x:v>
      </x:c>
      <x:c r="H615" s="10" t="n">
        <x:f>IF(F615="Física",'Pokémon'!G74,IF(F615="Especial",'Pokémon'!I74,""))</x:f>
        <x:v>90</x:v>
      </x:c>
      <x:c r="I615" s="10" t="n">
        <x:f>IF(OR(F615="Status",G615=0),"",G615+H615)</x:f>
        <x:v>155</x:v>
      </x:c>
      <x:c r="J615" s="10" t="n">
        <x:v>27</x:v>
      </x:c>
      <x:c r="K615" s="12" t="n">
        <x:v>20</x:v>
      </x:c>
      <x:c r="L615" s="1" t="str"/>
      <x:c r="M615" s="9" t="str">
        <x:v>https://poke.idleworld.online/pokepedia/pokemon/weepinbell</x:v>
      </x:c>
    </x:row>
    <x:row r="616" ht="22" customHeight="1">
      <x:c r="A616" s="1" t="n">
        <x:v>70</x:v>
      </x:c>
      <x:c r="B616" s="1" t="str">
        <x:v>Weepinbell</x:v>
      </x:c>
      <x:c r="C616" s="1" t="n">
        <x:v>9</x:v>
      </x:c>
      <x:c r="D616" s="1" t="str">
        <x:v>Razor Leaf</x:v>
      </x:c>
      <x:c r="E616" s="1" t="str">
        <x:v>Planta</x:v>
      </x:c>
      <x:c r="F616" s="1" t="str">
        <x:v>Física</x:v>
      </x:c>
      <x:c r="G616" s="10" t="n">
        <x:v>55</x:v>
      </x:c>
      <x:c r="H616" s="10" t="n">
        <x:f>IF(F616="Física",'Pokémon'!G74,IF(F616="Especial",'Pokémon'!I74,""))</x:f>
        <x:v>90</x:v>
      </x:c>
      <x:c r="I616" s="10" t="n">
        <x:f>IF(OR(F616="Status",G616=0),"",G616+H616)</x:f>
        <x:v>145</x:v>
      </x:c>
      <x:c r="J616" s="10" t="n">
        <x:v>39</x:v>
      </x:c>
      <x:c r="K616" s="12" t="n">
        <x:v>5</x:v>
      </x:c>
      <x:c r="L616" s="1" t="str"/>
      <x:c r="M616" s="9" t="str">
        <x:v>https://poke.idleworld.online/pokepedia/pokemon/weepinbell</x:v>
      </x:c>
    </x:row>
    <x:row r="617" ht="22" customHeight="1">
      <x:c r="A617" s="1" t="n">
        <x:v>70</x:v>
      </x:c>
      <x:c r="B617" s="1" t="str">
        <x:v>Weepinbell</x:v>
      </x:c>
      <x:c r="C617" s="1" t="n">
        <x:v>2</x:v>
      </x:c>
      <x:c r="D617" s="1" t="str">
        <x:v>Vine Whip</x:v>
      </x:c>
      <x:c r="E617" s="1" t="str">
        <x:v>Planta</x:v>
      </x:c>
      <x:c r="F617" s="1" t="str">
        <x:v>Física</x:v>
      </x:c>
      <x:c r="G617" s="10" t="n">
        <x:v>45</x:v>
      </x:c>
      <x:c r="H617" s="10" t="n">
        <x:f>IF(F617="Física",'Pokémon'!G74,IF(F617="Especial",'Pokémon'!I74,""))</x:f>
        <x:v>90</x:v>
      </x:c>
      <x:c r="I617" s="10" t="n">
        <x:f>IF(OR(F617="Status",G617=0),"",G617+H617)</x:f>
        <x:v>135</x:v>
      </x:c>
      <x:c r="J617" s="10" t="n">
        <x:v>1</x:v>
      </x:c>
      <x:c r="K617" s="12" t="n">
        <x:v>12</x:v>
      </x:c>
      <x:c r="L617" s="1" t="str"/>
      <x:c r="M617" s="9" t="str">
        <x:v>https://poke.idleworld.online/pokepedia/pokemon/weepinbell</x:v>
      </x:c>
    </x:row>
    <x:row r="618" ht="22" customHeight="1">
      <x:c r="A618" s="1" t="n">
        <x:v>70</x:v>
      </x:c>
      <x:c r="B618" s="1" t="str">
        <x:v>Weepinbell</x:v>
      </x:c>
      <x:c r="C618" s="1" t="n">
        <x:v>7</x:v>
      </x:c>
      <x:c r="D618" s="1" t="str">
        <x:v>Acid</x:v>
      </x:c>
      <x:c r="E618" s="1" t="str">
        <x:v>Venenoso</x:v>
      </x:c>
      <x:c r="F618" s="1" t="str">
        <x:v>Especial</x:v>
      </x:c>
      <x:c r="G618" s="10" t="n">
        <x:v>40</x:v>
      </x:c>
      <x:c r="H618" s="10" t="n">
        <x:f>IF(F618="Física",'Pokémon'!G74,IF(F618="Especial",'Pokémon'!I74,""))</x:f>
        <x:v>85</x:v>
      </x:c>
      <x:c r="I618" s="10" t="n">
        <x:f>IF(OR(F618="Status",G618=0),"",G618+H618)</x:f>
        <x:v>125</x:v>
      </x:c>
      <x:c r="J618" s="10" t="n">
        <x:v>23</x:v>
      </x:c>
      <x:c r="K618" s="12" t="n">
        <x:v>15</x:v>
      </x:c>
      <x:c r="L618" s="1" t="str"/>
      <x:c r="M618" s="9" t="str">
        <x:v>https://poke.idleworld.online/pokepedia/pokemon/weepinbell</x:v>
      </x:c>
    </x:row>
    <x:row r="619" ht="22" customHeight="1">
      <x:c r="A619" s="1" t="n">
        <x:v>70</x:v>
      </x:c>
      <x:c r="B619" s="1" t="str">
        <x:v>Weepinbell</x:v>
      </x:c>
      <x:c r="C619" s="1" t="n">
        <x:v>3</x:v>
      </x:c>
      <x:c r="D619" s="1" t="str">
        <x:v>Wrap</x:v>
      </x:c>
      <x:c r="E619" s="1" t="str">
        <x:v>Normal</x:v>
      </x:c>
      <x:c r="F619" s="1" t="str">
        <x:v>Física</x:v>
      </x:c>
      <x:c r="G619" s="10" t="n">
        <x:v>15</x:v>
      </x:c>
      <x:c r="H619" s="10" t="n">
        <x:f>IF(F619="Física",'Pokémon'!G74,IF(F619="Especial",'Pokémon'!I74,""))</x:f>
        <x:v>90</x:v>
      </x:c>
      <x:c r="I619" s="10" t="n">
        <x:f>IF(OR(F619="Status",G619=0),"",G619+H619)</x:f>
        <x:v>105</x:v>
      </x:c>
      <x:c r="J619" s="10" t="n">
        <x:v>1</x:v>
      </x:c>
      <x:c r="K619" s="12" t="n">
        <x:v>15</x:v>
      </x:c>
      <x:c r="L619" s="1" t="str"/>
      <x:c r="M619" s="9" t="str">
        <x:v>https://poke.idleworld.online/pokepedia/pokemon/weepinbell</x:v>
      </x:c>
    </x:row>
    <x:row r="620" ht="22" customHeight="1">
      <x:c r="A620" s="1" t="n">
        <x:v>70</x:v>
      </x:c>
      <x:c r="B620" s="1" t="str">
        <x:v>Weepinbell</x:v>
      </x:c>
      <x:c r="C620" s="1" t="n">
        <x:v>1</x:v>
      </x:c>
      <x:c r="D620" s="1" t="str">
        <x:v>Growth</x:v>
      </x:c>
      <x:c r="E620" s="1" t="str">
        <x:v>Normal</x:v>
      </x:c>
      <x:c r="F620" s="1" t="str">
        <x:v>Status</x:v>
      </x:c>
      <x:c r="G620" s="10" t="n">
        <x:v>0</x:v>
      </x:c>
      <x:c r="H620" s="10" t="str">
        <x:f>IF(F620="Física",'Pokémon'!G74,IF(F620="Especial",'Pokémon'!I74,""))</x:f>
      </x:c>
      <x:c r="I620" s="10" t="str">
        <x:f>IF(OR(F620="Status",G620=0),"",G620+H620)</x:f>
      </x:c>
      <x:c r="J620" s="10" t="n">
        <x:v>1</x:v>
      </x:c>
      <x:c r="K620" s="12" t="n">
        <x:v>40</x:v>
      </x:c>
      <x:c r="L620" s="1" t="str"/>
      <x:c r="M620" s="9" t="str">
        <x:v>https://poke.idleworld.online/pokepedia/pokemon/weepinbell</x:v>
      </x:c>
    </x:row>
    <x:row r="621" ht="22" customHeight="1">
      <x:c r="A621" s="1" t="n">
        <x:v>70</x:v>
      </x:c>
      <x:c r="B621" s="1" t="str">
        <x:v>Weepinbell</x:v>
      </x:c>
      <x:c r="C621" s="1" t="n">
        <x:v>4</x:v>
      </x:c>
      <x:c r="D621" s="1" t="str">
        <x:v>Sleep Powder</x:v>
      </x:c>
      <x:c r="E621" s="1" t="str">
        <x:v>Planta</x:v>
      </x:c>
      <x:c r="F621" s="1" t="str">
        <x:v>Status</x:v>
      </x:c>
      <x:c r="G621" s="10" t="n">
        <x:v>0</x:v>
      </x:c>
      <x:c r="H621" s="10" t="str">
        <x:f>IF(F621="Física",'Pokémon'!G74,IF(F621="Especial",'Pokémon'!I74,""))</x:f>
      </x:c>
      <x:c r="I621" s="10" t="str">
        <x:f>IF(OR(F621="Status",G621=0),"",G621+H621)</x:f>
      </x:c>
      <x:c r="J621" s="10" t="n">
        <x:v>13</x:v>
      </x:c>
      <x:c r="K621" s="12" t="n">
        <x:v>30</x:v>
      </x:c>
      <x:c r="L621" s="1" t="str"/>
      <x:c r="M621" s="9" t="str">
        <x:v>https://poke.idleworld.online/pokepedia/pokemon/weepinbell</x:v>
      </x:c>
    </x:row>
    <x:row r="622" ht="22" customHeight="1">
      <x:c r="A622" s="1" t="n">
        <x:v>70</x:v>
      </x:c>
      <x:c r="B622" s="1" t="str">
        <x:v>Weepinbell</x:v>
      </x:c>
      <x:c r="C622" s="1" t="n">
        <x:v>5</x:v>
      </x:c>
      <x:c r="D622" s="1" t="str">
        <x:v>Poison Powder</x:v>
      </x:c>
      <x:c r="E622" s="1" t="str">
        <x:v>Venenoso</x:v>
      </x:c>
      <x:c r="F622" s="1" t="str">
        <x:v>Status</x:v>
      </x:c>
      <x:c r="G622" s="10" t="n">
        <x:v>0</x:v>
      </x:c>
      <x:c r="H622" s="10" t="str">
        <x:f>IF(F622="Física",'Pokémon'!G74,IF(F622="Especial",'Pokémon'!I74,""))</x:f>
      </x:c>
      <x:c r="I622" s="10" t="str">
        <x:f>IF(OR(F622="Status",G622=0),"",G622+H622)</x:f>
      </x:c>
      <x:c r="J622" s="10" t="n">
        <x:v>15</x:v>
      </x:c>
      <x:c r="K622" s="12" t="n">
        <x:v>20</x:v>
      </x:c>
      <x:c r="L622" s="1" t="str"/>
      <x:c r="M622" s="9" t="str">
        <x:v>https://poke.idleworld.online/pokepedia/pokemon/weepinbell</x:v>
      </x:c>
    </x:row>
    <x:row r="623" ht="22" customHeight="1">
      <x:c r="A623" s="1" t="n">
        <x:v>70</x:v>
      </x:c>
      <x:c r="B623" s="1" t="str">
        <x:v>Weepinbell</x:v>
      </x:c>
      <x:c r="C623" s="1" t="n">
        <x:v>6</x:v>
      </x:c>
      <x:c r="D623" s="1" t="str">
        <x:v>Stun Spore</x:v>
      </x:c>
      <x:c r="E623" s="1" t="str">
        <x:v>Planta</x:v>
      </x:c>
      <x:c r="F623" s="1" t="str">
        <x:v>Status</x:v>
      </x:c>
      <x:c r="G623" s="10" t="n">
        <x:v>0</x:v>
      </x:c>
      <x:c r="H623" s="10" t="str">
        <x:f>IF(F623="Física",'Pokémon'!G74,IF(F623="Especial",'Pokémon'!I74,""))</x:f>
      </x:c>
      <x:c r="I623" s="10" t="str">
        <x:f>IF(OR(F623="Status",G623=0),"",G623+H623)</x:f>
      </x:c>
      <x:c r="J623" s="10" t="n">
        <x:v>17</x:v>
      </x:c>
      <x:c r="K623" s="12" t="n">
        <x:v>40</x:v>
      </x:c>
      <x:c r="L623" s="1" t="str"/>
      <x:c r="M623" s="9" t="str">
        <x:v>https://poke.idleworld.online/pokepedia/pokemon/weepinbell</x:v>
      </x:c>
    </x:row>
    <x:row r="624" ht="22" customHeight="1">
      <x:c r="A624" s="1" t="n">
        <x:v>71</x:v>
      </x:c>
      <x:c r="B624" s="1" t="str">
        <x:v>Victreebel</x:v>
      </x:c>
      <x:c r="C624" s="1" t="n">
        <x:v>4</x:v>
      </x:c>
      <x:c r="D624" s="1" t="str">
        <x:v>Petal Bloom</x:v>
      </x:c>
      <x:c r="E624" s="1" t="str">
        <x:v>Planta</x:v>
      </x:c>
      <x:c r="F624" s="1" t="str">
        <x:v>Especial</x:v>
      </x:c>
      <x:c r="G624" s="10" t="n">
        <x:v>300</x:v>
      </x:c>
      <x:c r="H624" s="10" t="n">
        <x:f>IF(F624="Física",'Pokémon'!G75,IF(F624="Especial",'Pokémon'!I75,""))</x:f>
        <x:v>100</x:v>
      </x:c>
      <x:c r="I624" s="10" t="n">
        <x:f>IF(OR(F624="Status",G624=0),"",G624+H624)</x:f>
        <x:v>400</x:v>
      </x:c>
      <x:c r="J624" s="10" t="n">
        <x:v>1</x:v>
      </x:c>
      <x:c r="K624" s="12" t="n">
        <x:v>10</x:v>
      </x:c>
      <x:c r="L624" s="1" t="str">
        <x:v>Sim</x:v>
      </x:c>
      <x:c r="M624" s="9" t="str">
        <x:v>https://poke.idleworld.online/pokepedia/pokemon/victreebel</x:v>
      </x:c>
    </x:row>
    <x:row r="625" ht="22" customHeight="1">
      <x:c r="A625" s="1" t="n">
        <x:v>71</x:v>
      </x:c>
      <x:c r="B625" s="1" t="str">
        <x:v>Victreebel</x:v>
      </x:c>
      <x:c r="C625" s="1" t="n">
        <x:v>6</x:v>
      </x:c>
      <x:c r="D625" s="1" t="str">
        <x:v>Leaf Storm</x:v>
      </x:c>
      <x:c r="E625" s="1" t="str">
        <x:v>Planta</x:v>
      </x:c>
      <x:c r="F625" s="1" t="str">
        <x:v>Especial</x:v>
      </x:c>
      <x:c r="G625" s="10" t="n">
        <x:v>130</x:v>
      </x:c>
      <x:c r="H625" s="10" t="n">
        <x:f>IF(F625="Física",'Pokémon'!G75,IF(F625="Especial",'Pokémon'!I75,""))</x:f>
        <x:v>100</x:v>
      </x:c>
      <x:c r="I625" s="10" t="n">
        <x:f>IF(OR(F625="Status",G625=0),"",G625+H625)</x:f>
        <x:v>230</x:v>
      </x:c>
      <x:c r="J625" s="10" t="n">
        <x:v>47</x:v>
      </x:c>
      <x:c r="K625" s="12" t="n">
        <x:v>80</x:v>
      </x:c>
      <x:c r="L625" s="1" t="str"/>
      <x:c r="M625" s="9" t="str">
        <x:v>https://poke.idleworld.online/pokepedia/pokemon/victreebel</x:v>
      </x:c>
    </x:row>
    <x:row r="626" ht="22" customHeight="1">
      <x:c r="A626" s="1" t="n">
        <x:v>71</x:v>
      </x:c>
      <x:c r="B626" s="1" t="str">
        <x:v>Victreebel</x:v>
      </x:c>
      <x:c r="C626" s="1" t="n">
        <x:v>7</x:v>
      </x:c>
      <x:c r="D626" s="1" t="str">
        <x:v>Leaf Blade</x:v>
      </x:c>
      <x:c r="E626" s="1" t="str">
        <x:v>Planta</x:v>
      </x:c>
      <x:c r="F626" s="1" t="str">
        <x:v>Física</x:v>
      </x:c>
      <x:c r="G626" s="10" t="n">
        <x:v>90</x:v>
      </x:c>
      <x:c r="H626" s="10" t="n">
        <x:f>IF(F626="Física",'Pokémon'!G75,IF(F626="Especial",'Pokémon'!I75,""))</x:f>
        <x:v>105</x:v>
      </x:c>
      <x:c r="I626" s="10" t="n">
        <x:f>IF(OR(F626="Status",G626=0),"",G626+H626)</x:f>
        <x:v>195</x:v>
      </x:c>
      <x:c r="J626" s="10" t="n">
        <x:v>47</x:v>
      </x:c>
      <x:c r="K626" s="12" t="n">
        <x:v>22</x:v>
      </x:c>
      <x:c r="L626" s="1" t="str"/>
      <x:c r="M626" s="9" t="str">
        <x:v>https://poke.idleworld.online/pokepedia/pokemon/victreebel</x:v>
      </x:c>
    </x:row>
    <x:row r="627" ht="22" customHeight="1">
      <x:c r="A627" s="1" t="n">
        <x:v>71</x:v>
      </x:c>
      <x:c r="B627" s="1" t="str">
        <x:v>Victreebel</x:v>
      </x:c>
      <x:c r="C627" s="1" t="n">
        <x:v>5</x:v>
      </x:c>
      <x:c r="D627" s="1" t="str">
        <x:v>Leaf Tornado</x:v>
      </x:c>
      <x:c r="E627" s="1" t="str">
        <x:v>Planta</x:v>
      </x:c>
      <x:c r="F627" s="1" t="str">
        <x:v>Especial</x:v>
      </x:c>
      <x:c r="G627" s="10" t="n">
        <x:v>65</x:v>
      </x:c>
      <x:c r="H627" s="10" t="n">
        <x:f>IF(F627="Física",'Pokémon'!G75,IF(F627="Especial",'Pokémon'!I75,""))</x:f>
        <x:v>100</x:v>
      </x:c>
      <x:c r="I627" s="10" t="n">
        <x:f>IF(OR(F627="Status",G627=0),"",G627+H627)</x:f>
        <x:v>165</x:v>
      </x:c>
      <x:c r="J627" s="10" t="n">
        <x:v>27</x:v>
      </x:c>
      <x:c r="K627" s="12" t="n">
        <x:v>50</x:v>
      </x:c>
      <x:c r="L627" s="1" t="str"/>
      <x:c r="M627" s="9" t="str">
        <x:v>https://poke.idleworld.online/pokepedia/pokemon/victreebel</x:v>
      </x:c>
    </x:row>
    <x:row r="628" ht="22" customHeight="1">
      <x:c r="A628" s="1" t="n">
        <x:v>71</x:v>
      </x:c>
      <x:c r="B628" s="1" t="str">
        <x:v>Victreebel</x:v>
      </x:c>
      <x:c r="C628" s="1" t="n">
        <x:v>1</x:v>
      </x:c>
      <x:c r="D628" s="1" t="str">
        <x:v>Razor Leaf</x:v>
      </x:c>
      <x:c r="E628" s="1" t="str">
        <x:v>Planta</x:v>
      </x:c>
      <x:c r="F628" s="1" t="str">
        <x:v>Física</x:v>
      </x:c>
      <x:c r="G628" s="10" t="n">
        <x:v>55</x:v>
      </x:c>
      <x:c r="H628" s="10" t="n">
        <x:f>IF(F628="Física",'Pokémon'!G75,IF(F628="Especial",'Pokémon'!I75,""))</x:f>
        <x:v>105</x:v>
      </x:c>
      <x:c r="I628" s="10" t="n">
        <x:f>IF(OR(F628="Status",G628=0),"",G628+H628)</x:f>
        <x:v>160</x:v>
      </x:c>
      <x:c r="J628" s="10" t="n">
        <x:v>1</x:v>
      </x:c>
      <x:c r="K628" s="12" t="n">
        <x:v>5</x:v>
      </x:c>
      <x:c r="L628" s="1" t="str"/>
      <x:c r="M628" s="9" t="str">
        <x:v>https://poke.idleworld.online/pokepedia/pokemon/victreebel</x:v>
      </x:c>
    </x:row>
    <x:row r="629" ht="22" customHeight="1">
      <x:c r="A629" s="1" t="n">
        <x:v>71</x:v>
      </x:c>
      <x:c r="B629" s="1" t="str">
        <x:v>Victreebel</x:v>
      </x:c>
      <x:c r="C629" s="1" t="n">
        <x:v>3</x:v>
      </x:c>
      <x:c r="D629" s="1" t="str">
        <x:v>Vine Whip</x:v>
      </x:c>
      <x:c r="E629" s="1" t="str">
        <x:v>Planta</x:v>
      </x:c>
      <x:c r="F629" s="1" t="str">
        <x:v>Física</x:v>
      </x:c>
      <x:c r="G629" s="10" t="n">
        <x:v>45</x:v>
      </x:c>
      <x:c r="H629" s="10" t="n">
        <x:f>IF(F629="Física",'Pokémon'!G75,IF(F629="Especial",'Pokémon'!I75,""))</x:f>
        <x:v>105</x:v>
      </x:c>
      <x:c r="I629" s="10" t="n">
        <x:f>IF(OR(F629="Status",G629=0),"",G629+H629)</x:f>
        <x:v>150</x:v>
      </x:c>
      <x:c r="J629" s="10" t="n">
        <x:v>1</x:v>
      </x:c>
      <x:c r="K629" s="12" t="n">
        <x:v>12</x:v>
      </x:c>
      <x:c r="L629" s="1" t="str"/>
      <x:c r="M629" s="9" t="str">
        <x:v>https://poke.idleworld.online/pokepedia/pokemon/victreebel</x:v>
      </x:c>
    </x:row>
    <x:row r="630" ht="22" customHeight="1">
      <x:c r="A630" s="1" t="n">
        <x:v>71</x:v>
      </x:c>
      <x:c r="B630" s="1" t="str">
        <x:v>Victreebel</x:v>
      </x:c>
      <x:c r="C630" s="1" t="n">
        <x:v>2</x:v>
      </x:c>
      <x:c r="D630" s="1" t="str">
        <x:v>Sleep Powder</x:v>
      </x:c>
      <x:c r="E630" s="1" t="str">
        <x:v>Planta</x:v>
      </x:c>
      <x:c r="F630" s="1" t="str">
        <x:v>Status</x:v>
      </x:c>
      <x:c r="G630" s="10" t="n">
        <x:v>0</x:v>
      </x:c>
      <x:c r="H630" s="10" t="str">
        <x:f>IF(F630="Física",'Pokémon'!G75,IF(F630="Especial",'Pokémon'!I75,""))</x:f>
      </x:c>
      <x:c r="I630" s="10" t="str">
        <x:f>IF(OR(F630="Status",G630=0),"",G630+H630)</x:f>
      </x:c>
      <x:c r="J630" s="10" t="n">
        <x:v>1</x:v>
      </x:c>
      <x:c r="K630" s="12" t="n">
        <x:v>30</x:v>
      </x:c>
      <x:c r="L630" s="1" t="str"/>
      <x:c r="M630" s="9" t="str">
        <x:v>https://poke.idleworld.online/pokepedia/pokemon/victreebel</x:v>
      </x:c>
    </x:row>
    <x:row r="631" ht="22" customHeight="1">
      <x:c r="A631" s="1" t="n">
        <x:v>72</x:v>
      </x:c>
      <x:c r="B631" s="1" t="str">
        <x:v>Tentacool</x:v>
      </x:c>
      <x:c r="C631" s="1" t="n">
        <x:v>13</x:v>
      </x:c>
      <x:c r="D631" s="1" t="str">
        <x:v>Hydro Pump</x:v>
      </x:c>
      <x:c r="E631" s="1" t="str">
        <x:v>Água</x:v>
      </x:c>
      <x:c r="F631" s="1" t="str">
        <x:v>Especial</x:v>
      </x:c>
      <x:c r="G631" s="10" t="n">
        <x:v>110</x:v>
      </x:c>
      <x:c r="H631" s="10" t="n">
        <x:f>IF(F631="Física",'Pokémon'!G76,IF(F631="Especial",'Pokémon'!I76,""))</x:f>
        <x:v>50</x:v>
      </x:c>
      <x:c r="I631" s="10" t="n">
        <x:f>IF(OR(F631="Status",G631=0),"",G631+H631)</x:f>
        <x:v>160</x:v>
      </x:c>
      <x:c r="J631" s="10" t="n">
        <x:v>46</x:v>
      </x:c>
      <x:c r="K631" s="12" t="n">
        <x:v>40</x:v>
      </x:c>
      <x:c r="L631" s="1" t="str"/>
      <x:c r="M631" s="9" t="str">
        <x:v>https://poke.idleworld.online/pokepedia/pokemon/tentacool</x:v>
      </x:c>
    </x:row>
    <x:row r="632" ht="22" customHeight="1">
      <x:c r="A632" s="1" t="n">
        <x:v>72</x:v>
      </x:c>
      <x:c r="B632" s="1" t="str">
        <x:v>Tentacool</x:v>
      </x:c>
      <x:c r="C632" s="1" t="n">
        <x:v>12</x:v>
      </x:c>
      <x:c r="D632" s="1" t="str">
        <x:v>Sludge Wave</x:v>
      </x:c>
      <x:c r="E632" s="1" t="str">
        <x:v>Venenoso</x:v>
      </x:c>
      <x:c r="F632" s="1" t="str">
        <x:v>Especial</x:v>
      </x:c>
      <x:c r="G632" s="10" t="n">
        <x:v>95</x:v>
      </x:c>
      <x:c r="H632" s="10" t="n">
        <x:f>IF(F632="Física",'Pokémon'!G76,IF(F632="Especial",'Pokémon'!I76,""))</x:f>
        <x:v>50</x:v>
      </x:c>
      <x:c r="I632" s="10" t="n">
        <x:f>IF(OR(F632="Status",G632=0),"",G632+H632)</x:f>
        <x:v>145</x:v>
      </x:c>
      <x:c r="J632" s="10" t="n">
        <x:v>43</x:v>
      </x:c>
      <x:c r="K632" s="12" t="n">
        <x:v>40</x:v>
      </x:c>
      <x:c r="L632" s="1" t="str"/>
      <x:c r="M632" s="9" t="str">
        <x:v>https://poke.idleworld.online/pokepedia/pokemon/tentacool</x:v>
      </x:c>
    </x:row>
    <x:row r="633" ht="22" customHeight="1">
      <x:c r="A633" s="1" t="n">
        <x:v>72</x:v>
      </x:c>
      <x:c r="B633" s="1" t="str">
        <x:v>Tentacool</x:v>
      </x:c>
      <x:c r="C633" s="1" t="n">
        <x:v>9</x:v>
      </x:c>
      <x:c r="D633" s="1" t="str">
        <x:v>Poison Jab</x:v>
      </x:c>
      <x:c r="E633" s="1" t="str">
        <x:v>Venenoso</x:v>
      </x:c>
      <x:c r="F633" s="1" t="str">
        <x:v>Física</x:v>
      </x:c>
      <x:c r="G633" s="10" t="n">
        <x:v>80</x:v>
      </x:c>
      <x:c r="H633" s="10" t="n">
        <x:f>IF(F633="Física",'Pokémon'!G76,IF(F633="Especial",'Pokémon'!I76,""))</x:f>
        <x:v>40</x:v>
      </x:c>
      <x:c r="I633" s="10" t="n">
        <x:f>IF(OR(F633="Status",G633=0),"",G633+H633)</x:f>
        <x:v>120</x:v>
      </x:c>
      <x:c r="J633" s="10" t="n">
        <x:v>31</x:v>
      </x:c>
      <x:c r="K633" s="12" t="n">
        <x:v>15</x:v>
      </x:c>
      <x:c r="L633" s="1" t="str"/>
      <x:c r="M633" s="9" t="str">
        <x:v>https://poke.idleworld.online/pokepedia/pokemon/tentacool</x:v>
      </x:c>
    </x:row>
    <x:row r="634" ht="22" customHeight="1">
      <x:c r="A634" s="1" t="n">
        <x:v>72</x:v>
      </x:c>
      <x:c r="B634" s="1" t="str">
        <x:v>Tentacool</x:v>
      </x:c>
      <x:c r="C634" s="1" t="n">
        <x:v>8</x:v>
      </x:c>
      <x:c r="D634" s="1" t="str">
        <x:v>Bubble Beam</x:v>
      </x:c>
      <x:c r="E634" s="1" t="str">
        <x:v>Água</x:v>
      </x:c>
      <x:c r="F634" s="1" t="str">
        <x:v>Especial</x:v>
      </x:c>
      <x:c r="G634" s="10" t="n">
        <x:v>65</x:v>
      </x:c>
      <x:c r="H634" s="10" t="n">
        <x:f>IF(F634="Física",'Pokémon'!G76,IF(F634="Especial",'Pokémon'!I76,""))</x:f>
        <x:v>50</x:v>
      </x:c>
      <x:c r="I634" s="10" t="n">
        <x:f>IF(OR(F634="Status",G634=0),"",G634+H634)</x:f>
        <x:v>115</x:v>
      </x:c>
      <x:c r="J634" s="10" t="n">
        <x:v>25</x:v>
      </x:c>
      <x:c r="K634" s="12" t="n">
        <x:v>20</x:v>
      </x:c>
      <x:c r="L634" s="1" t="str"/>
      <x:c r="M634" s="9" t="str">
        <x:v>https://poke.idleworld.online/pokepedia/pokemon/tentacool</x:v>
      </x:c>
    </x:row>
    <x:row r="635" ht="22" customHeight="1">
      <x:c r="A635" s="1" t="n">
        <x:v>72</x:v>
      </x:c>
      <x:c r="B635" s="1" t="str">
        <x:v>Tentacool</x:v>
      </x:c>
      <x:c r="C635" s="1" t="n">
        <x:v>10</x:v>
      </x:c>
      <x:c r="D635" s="1" t="str">
        <x:v>Brine</x:v>
      </x:c>
      <x:c r="E635" s="1" t="str">
        <x:v>Água</x:v>
      </x:c>
      <x:c r="F635" s="1" t="str">
        <x:v>Especial</x:v>
      </x:c>
      <x:c r="G635" s="10" t="n">
        <x:v>65</x:v>
      </x:c>
      <x:c r="H635" s="10" t="n">
        <x:f>IF(F635="Física",'Pokémon'!G76,IF(F635="Especial",'Pokémon'!I76,""))</x:f>
        <x:v>50</x:v>
      </x:c>
      <x:c r="I635" s="10" t="n">
        <x:f>IF(OR(F635="Status",G635=0),"",G635+H635)</x:f>
        <x:v>115</x:v>
      </x:c>
      <x:c r="J635" s="10" t="n">
        <x:v>34</x:v>
      </x:c>
      <x:c r="K635" s="12" t="n">
        <x:v>20</x:v>
      </x:c>
      <x:c r="L635" s="1" t="str"/>
      <x:c r="M635" s="9" t="str">
        <x:v>https://poke.idleworld.online/pokepedia/pokemon/tentacool</x:v>
      </x:c>
    </x:row>
    <x:row r="636" ht="22" customHeight="1">
      <x:c r="A636" s="1" t="n">
        <x:v>72</x:v>
      </x:c>
      <x:c r="B636" s="1" t="str">
        <x:v>Tentacool</x:v>
      </x:c>
      <x:c r="C636" s="1" t="n">
        <x:v>11</x:v>
      </x:c>
      <x:c r="D636" s="1" t="str">
        <x:v>Hex</x:v>
      </x:c>
      <x:c r="E636" s="1" t="str">
        <x:v>Fantasma</x:v>
      </x:c>
      <x:c r="F636" s="1" t="str">
        <x:v>Especial</x:v>
      </x:c>
      <x:c r="G636" s="10" t="n">
        <x:v>65</x:v>
      </x:c>
      <x:c r="H636" s="10" t="n">
        <x:f>IF(F636="Física",'Pokémon'!G76,IF(F636="Especial",'Pokémon'!I76,""))</x:f>
        <x:v>50</x:v>
      </x:c>
      <x:c r="I636" s="10" t="n">
        <x:f>IF(OR(F636="Status",G636=0),"",G636+H636)</x:f>
        <x:v>115</x:v>
      </x:c>
      <x:c r="J636" s="10" t="n">
        <x:v>40</x:v>
      </x:c>
      <x:c r="K636" s="12" t="n">
        <x:v>20</x:v>
      </x:c>
      <x:c r="L636" s="1" t="str"/>
      <x:c r="M636" s="9" t="str">
        <x:v>https://poke.idleworld.online/pokepedia/pokemon/tentacool</x:v>
      </x:c>
    </x:row>
    <x:row r="637" ht="22" customHeight="1">
      <x:c r="A637" s="1" t="n">
        <x:v>72</x:v>
      </x:c>
      <x:c r="B637" s="1" t="str">
        <x:v>Tentacool</x:v>
      </x:c>
      <x:c r="C637" s="1" t="n">
        <x:v>5</x:v>
      </x:c>
      <x:c r="D637" s="1" t="str">
        <x:v>Water Pulse</x:v>
      </x:c>
      <x:c r="E637" s="1" t="str">
        <x:v>Água</x:v>
      </x:c>
      <x:c r="F637" s="1" t="str">
        <x:v>Especial</x:v>
      </x:c>
      <x:c r="G637" s="10" t="n">
        <x:v>60</x:v>
      </x:c>
      <x:c r="H637" s="10" t="n">
        <x:f>IF(F637="Física",'Pokémon'!G76,IF(F637="Especial",'Pokémon'!I76,""))</x:f>
        <x:v>50</x:v>
      </x:c>
      <x:c r="I637" s="10" t="n">
        <x:f>IF(OR(F637="Status",G637=0),"",G637+H637)</x:f>
        <x:v>110</x:v>
      </x:c>
      <x:c r="J637" s="10" t="n">
        <x:v>16</x:v>
      </x:c>
      <x:c r="K637" s="12" t="n">
        <x:v>20</x:v>
      </x:c>
      <x:c r="L637" s="1" t="str"/>
      <x:c r="M637" s="9" t="str">
        <x:v>https://poke.idleworld.online/pokepedia/pokemon/tentacool</x:v>
      </x:c>
    </x:row>
    <x:row r="638" ht="22" customHeight="1">
      <x:c r="A638" s="1" t="n">
        <x:v>72</x:v>
      </x:c>
      <x:c r="B638" s="1" t="str">
        <x:v>Tentacool</x:v>
      </x:c>
      <x:c r="C638" s="1" t="n">
        <x:v>4</x:v>
      </x:c>
      <x:c r="D638" s="1" t="str">
        <x:v>Acid</x:v>
      </x:c>
      <x:c r="E638" s="1" t="str">
        <x:v>Venenoso</x:v>
      </x:c>
      <x:c r="F638" s="1" t="str">
        <x:v>Especial</x:v>
      </x:c>
      <x:c r="G638" s="10" t="n">
        <x:v>40</x:v>
      </x:c>
      <x:c r="H638" s="10" t="n">
        <x:f>IF(F638="Física",'Pokémon'!G76,IF(F638="Especial",'Pokémon'!I76,""))</x:f>
        <x:v>50</x:v>
      </x:c>
      <x:c r="I638" s="10" t="n">
        <x:f>IF(OR(F638="Status",G638=0),"",G638+H638)</x:f>
        <x:v>90</x:v>
      </x:c>
      <x:c r="J638" s="10" t="n">
        <x:v>10</x:v>
      </x:c>
      <x:c r="K638" s="12" t="n">
        <x:v>10</x:v>
      </x:c>
      <x:c r="L638" s="1" t="str"/>
      <x:c r="M638" s="9" t="str">
        <x:v>https://poke.idleworld.online/pokepedia/pokemon/tentacool</x:v>
      </x:c>
    </x:row>
    <x:row r="639" ht="22" customHeight="1">
      <x:c r="A639" s="1" t="n">
        <x:v>72</x:v>
      </x:c>
      <x:c r="B639" s="1" t="str">
        <x:v>Tentacool</x:v>
      </x:c>
      <x:c r="C639" s="1" t="n">
        <x:v>7</x:v>
      </x:c>
      <x:c r="D639" s="1" t="str">
        <x:v>Acid Spray</x:v>
      </x:c>
      <x:c r="E639" s="1" t="str">
        <x:v>Venenoso</x:v>
      </x:c>
      <x:c r="F639" s="1" t="str">
        <x:v>Especial</x:v>
      </x:c>
      <x:c r="G639" s="10" t="n">
        <x:v>40</x:v>
      </x:c>
      <x:c r="H639" s="10" t="n">
        <x:f>IF(F639="Física",'Pokémon'!G76,IF(F639="Especial",'Pokémon'!I76,""))</x:f>
        <x:v>50</x:v>
      </x:c>
      <x:c r="I639" s="10" t="n">
        <x:f>IF(OR(F639="Status",G639=0),"",G639+H639)</x:f>
        <x:v>90</x:v>
      </x:c>
      <x:c r="J639" s="10" t="n">
        <x:v>22</x:v>
      </x:c>
      <x:c r="K639" s="12" t="n">
        <x:v>15</x:v>
      </x:c>
      <x:c r="L639" s="1" t="str"/>
      <x:c r="M639" s="9" t="str">
        <x:v>https://poke.idleworld.online/pokepedia/pokemon/tentacool</x:v>
      </x:c>
    </x:row>
    <x:row r="640" ht="22" customHeight="1">
      <x:c r="A640" s="1" t="n">
        <x:v>72</x:v>
      </x:c>
      <x:c r="B640" s="1" t="str">
        <x:v>Tentacool</x:v>
      </x:c>
      <x:c r="C640" s="1" t="n">
        <x:v>1</x:v>
      </x:c>
      <x:c r="D640" s="1" t="str">
        <x:v>Poison Sting</x:v>
      </x:c>
      <x:c r="E640" s="1" t="str">
        <x:v>Venenoso</x:v>
      </x:c>
      <x:c r="F640" s="1" t="str">
        <x:v>Física</x:v>
      </x:c>
      <x:c r="G640" s="10" t="n">
        <x:v>15</x:v>
      </x:c>
      <x:c r="H640" s="10" t="n">
        <x:f>IF(F640="Física",'Pokémon'!G76,IF(F640="Especial",'Pokémon'!I76,""))</x:f>
        <x:v>40</x:v>
      </x:c>
      <x:c r="I640" s="10" t="n">
        <x:f>IF(OR(F640="Status",G640=0),"",G640+H640)</x:f>
        <x:v>55</x:v>
      </x:c>
      <x:c r="J640" s="10" t="n">
        <x:v>1</x:v>
      </x:c>
      <x:c r="K640" s="12" t="n">
        <x:v>15</x:v>
      </x:c>
      <x:c r="L640" s="1" t="str"/>
      <x:c r="M640" s="9" t="str">
        <x:v>https://poke.idleworld.online/pokepedia/pokemon/tentacool</x:v>
      </x:c>
    </x:row>
    <x:row r="641" ht="22" customHeight="1">
      <x:c r="A641" s="1" t="n">
        <x:v>72</x:v>
      </x:c>
      <x:c r="B641" s="1" t="str">
        <x:v>Tentacool</x:v>
      </x:c>
      <x:c r="C641" s="1" t="n">
        <x:v>6</x:v>
      </x:c>
      <x:c r="D641" s="1" t="str">
        <x:v>Wrap</x:v>
      </x:c>
      <x:c r="E641" s="1" t="str">
        <x:v>Normal</x:v>
      </x:c>
      <x:c r="F641" s="1" t="str">
        <x:v>Física</x:v>
      </x:c>
      <x:c r="G641" s="10" t="n">
        <x:v>15</x:v>
      </x:c>
      <x:c r="H641" s="10" t="n">
        <x:f>IF(F641="Física",'Pokémon'!G76,IF(F641="Especial",'Pokémon'!I76,""))</x:f>
        <x:v>40</x:v>
      </x:c>
      <x:c r="I641" s="10" t="n">
        <x:f>IF(OR(F641="Status",G641=0),"",G641+H641)</x:f>
        <x:v>55</x:v>
      </x:c>
      <x:c r="J641" s="10" t="n">
        <x:v>19</x:v>
      </x:c>
      <x:c r="K641" s="12" t="n">
        <x:v>20</x:v>
      </x:c>
      <x:c r="L641" s="1" t="str"/>
      <x:c r="M641" s="9" t="str">
        <x:v>https://poke.idleworld.online/pokepedia/pokemon/tentacool</x:v>
      </x:c>
    </x:row>
    <x:row r="642" ht="22" customHeight="1">
      <x:c r="A642" s="1" t="n">
        <x:v>72</x:v>
      </x:c>
      <x:c r="B642" s="1" t="str">
        <x:v>Tentacool</x:v>
      </x:c>
      <x:c r="C642" s="1" t="n">
        <x:v>3</x:v>
      </x:c>
      <x:c r="D642" s="1" t="str">
        <x:v>Constrict</x:v>
      </x:c>
      <x:c r="E642" s="1" t="str">
        <x:v>Normal</x:v>
      </x:c>
      <x:c r="F642" s="1" t="str">
        <x:v>Física</x:v>
      </x:c>
      <x:c r="G642" s="10" t="n">
        <x:v>10</x:v>
      </x:c>
      <x:c r="H642" s="10" t="n">
        <x:f>IF(F642="Física",'Pokémon'!G76,IF(F642="Especial",'Pokémon'!I76,""))</x:f>
        <x:v>40</x:v>
      </x:c>
      <x:c r="I642" s="10" t="n">
        <x:f>IF(OR(F642="Status",G642=0),"",G642+H642)</x:f>
        <x:v>50</x:v>
      </x:c>
      <x:c r="J642" s="10" t="n">
        <x:v>7</x:v>
      </x:c>
      <x:c r="K642" s="12" t="n">
        <x:v>15</x:v>
      </x:c>
      <x:c r="L642" s="1" t="str"/>
      <x:c r="M642" s="9" t="str">
        <x:v>https://poke.idleworld.online/pokepedia/pokemon/tentacool</x:v>
      </x:c>
    </x:row>
    <x:row r="643" ht="22" customHeight="1">
      <x:c r="A643" s="1" t="n">
        <x:v>72</x:v>
      </x:c>
      <x:c r="B643" s="1" t="str">
        <x:v>Tentacool</x:v>
      </x:c>
      <x:c r="C643" s="1" t="n">
        <x:v>2</x:v>
      </x:c>
      <x:c r="D643" s="1" t="str">
        <x:v>Super Sonic</x:v>
      </x:c>
      <x:c r="E643" s="1" t="str">
        <x:v>Normal</x:v>
      </x:c>
      <x:c r="F643" s="1" t="str">
        <x:v>Status</x:v>
      </x:c>
      <x:c r="G643" s="10" t="n">
        <x:v>0</x:v>
      </x:c>
      <x:c r="H643" s="10" t="str">
        <x:f>IF(F643="Física",'Pokémon'!G76,IF(F643="Especial",'Pokémon'!I76,""))</x:f>
      </x:c>
      <x:c r="I643" s="10" t="str">
        <x:f>IF(OR(F643="Status",G643=0),"",G643+H643)</x:f>
      </x:c>
      <x:c r="J643" s="10" t="n">
        <x:v>4</x:v>
      </x:c>
      <x:c r="K643" s="12" t="n">
        <x:v>30</x:v>
      </x:c>
      <x:c r="L643" s="1" t="str"/>
      <x:c r="M643" s="9" t="str">
        <x:v>https://poke.idleworld.online/pokepedia/pokemon/tentacool</x:v>
      </x:c>
    </x:row>
    <x:row r="644" ht="22" customHeight="1">
      <x:c r="A644" s="1" t="n">
        <x:v>73</x:v>
      </x:c>
      <x:c r="B644" s="1" t="str">
        <x:v>Tentacruel</x:v>
      </x:c>
      <x:c r="C644" s="1" t="n">
        <x:v>1</x:v>
      </x:c>
      <x:c r="D644" s="1" t="str">
        <x:v>Cyclonic Tide</x:v>
      </x:c>
      <x:c r="E644" s="1" t="str">
        <x:v>Água</x:v>
      </x:c>
      <x:c r="F644" s="1" t="str">
        <x:v>Especial</x:v>
      </x:c>
      <x:c r="G644" s="10" t="n">
        <x:v>300</x:v>
      </x:c>
      <x:c r="H644" s="10" t="n">
        <x:f>IF(F644="Física",'Pokémon'!G77,IF(F644="Especial",'Pokémon'!I77,""))</x:f>
        <x:v>80</x:v>
      </x:c>
      <x:c r="I644" s="10" t="n">
        <x:f>IF(OR(F644="Status",G644=0),"",G644+H644)</x:f>
        <x:v>380</x:v>
      </x:c>
      <x:c r="J644" s="10" t="n">
        <x:v>1</x:v>
      </x:c>
      <x:c r="K644" s="12" t="n">
        <x:v>10</x:v>
      </x:c>
      <x:c r="L644" s="1" t="str">
        <x:v>Sim</x:v>
      </x:c>
      <x:c r="M644" s="9" t="str">
        <x:v>https://poke.idleworld.online/pokepedia/pokemon/tentacruel</x:v>
      </x:c>
    </x:row>
    <x:row r="645" ht="22" customHeight="1">
      <x:c r="A645" s="1" t="n">
        <x:v>73</x:v>
      </x:c>
      <x:c r="B645" s="1" t="str">
        <x:v>Tentacruel</x:v>
      </x:c>
      <x:c r="C645" s="1" t="n">
        <x:v>14</x:v>
      </x:c>
      <x:c r="D645" s="1" t="str">
        <x:v>Hydro Pump</x:v>
      </x:c>
      <x:c r="E645" s="1" t="str">
        <x:v>Água</x:v>
      </x:c>
      <x:c r="F645" s="1" t="str">
        <x:v>Especial</x:v>
      </x:c>
      <x:c r="G645" s="10" t="n">
        <x:v>110</x:v>
      </x:c>
      <x:c r="H645" s="10" t="n">
        <x:f>IF(F645="Física",'Pokémon'!G77,IF(F645="Especial",'Pokémon'!I77,""))</x:f>
        <x:v>80</x:v>
      </x:c>
      <x:c r="I645" s="10" t="n">
        <x:f>IF(OR(F645="Status",G645=0),"",G645+H645)</x:f>
        <x:v>190</x:v>
      </x:c>
      <x:c r="J645" s="10" t="n">
        <x:v>52</x:v>
      </x:c>
      <x:c r="K645" s="12" t="n">
        <x:v>50</x:v>
      </x:c>
      <x:c r="L645" s="1" t="str"/>
      <x:c r="M645" s="9" t="str">
        <x:v>https://poke.idleworld.online/pokepedia/pokemon/tentacruel</x:v>
      </x:c>
    </x:row>
    <x:row r="646" ht="22" customHeight="1">
      <x:c r="A646" s="1" t="n">
        <x:v>73</x:v>
      </x:c>
      <x:c r="B646" s="1" t="str">
        <x:v>Tentacruel</x:v>
      </x:c>
      <x:c r="C646" s="1" t="n">
        <x:v>13</x:v>
      </x:c>
      <x:c r="D646" s="1" t="str">
        <x:v>Sludge Wave</x:v>
      </x:c>
      <x:c r="E646" s="1" t="str">
        <x:v>Venenoso</x:v>
      </x:c>
      <x:c r="F646" s="1" t="str">
        <x:v>Especial</x:v>
      </x:c>
      <x:c r="G646" s="10" t="n">
        <x:v>95</x:v>
      </x:c>
      <x:c r="H646" s="10" t="n">
        <x:f>IF(F646="Física",'Pokémon'!G77,IF(F646="Especial",'Pokémon'!I77,""))</x:f>
        <x:v>80</x:v>
      </x:c>
      <x:c r="I646" s="10" t="n">
        <x:f>IF(OR(F646="Status",G646=0),"",G646+H646)</x:f>
        <x:v>175</x:v>
      </x:c>
      <x:c r="J646" s="10" t="n">
        <x:v>48</x:v>
      </x:c>
      <x:c r="K646" s="12" t="n">
        <x:v>40</x:v>
      </x:c>
      <x:c r="L646" s="1" t="str"/>
      <x:c r="M646" s="9" t="str">
        <x:v>https://poke.idleworld.online/pokepedia/pokemon/tentacruel</x:v>
      </x:c>
    </x:row>
    <x:row r="647" ht="22" customHeight="1">
      <x:c r="A647" s="1" t="n">
        <x:v>73</x:v>
      </x:c>
      <x:c r="B647" s="1" t="str">
        <x:v>Tentacruel</x:v>
      </x:c>
      <x:c r="C647" s="1" t="n">
        <x:v>9</x:v>
      </x:c>
      <x:c r="D647" s="1" t="str">
        <x:v>Poison Jab</x:v>
      </x:c>
      <x:c r="E647" s="1" t="str">
        <x:v>Venenoso</x:v>
      </x:c>
      <x:c r="F647" s="1" t="str">
        <x:v>Física</x:v>
      </x:c>
      <x:c r="G647" s="10" t="n">
        <x:v>80</x:v>
      </x:c>
      <x:c r="H647" s="10" t="n">
        <x:f>IF(F647="Física",'Pokémon'!G77,IF(F647="Especial",'Pokémon'!I77,""))</x:f>
        <x:v>70</x:v>
      </x:c>
      <x:c r="I647" s="10" t="n">
        <x:f>IF(OR(F647="Status",G647=0),"",G647+H647)</x:f>
        <x:v>150</x:v>
      </x:c>
      <x:c r="J647" s="10" t="n">
        <x:v>32</x:v>
      </x:c>
      <x:c r="K647" s="12" t="n">
        <x:v>22</x:v>
      </x:c>
      <x:c r="L647" s="1" t="str"/>
      <x:c r="M647" s="9" t="str">
        <x:v>https://poke.idleworld.online/pokepedia/pokemon/tentacruel</x:v>
      </x:c>
    </x:row>
    <x:row r="648" ht="22" customHeight="1">
      <x:c r="A648" s="1" t="n">
        <x:v>73</x:v>
      </x:c>
      <x:c r="B648" s="1" t="str">
        <x:v>Tentacruel</x:v>
      </x:c>
      <x:c r="C648" s="1" t="n">
        <x:v>8</x:v>
      </x:c>
      <x:c r="D648" s="1" t="str">
        <x:v>Bubble Beam</x:v>
      </x:c>
      <x:c r="E648" s="1" t="str">
        <x:v>Água</x:v>
      </x:c>
      <x:c r="F648" s="1" t="str">
        <x:v>Especial</x:v>
      </x:c>
      <x:c r="G648" s="10" t="n">
        <x:v>65</x:v>
      </x:c>
      <x:c r="H648" s="10" t="n">
        <x:f>IF(F648="Física",'Pokémon'!G77,IF(F648="Especial",'Pokémon'!I77,""))</x:f>
        <x:v>80</x:v>
      </x:c>
      <x:c r="I648" s="10" t="n">
        <x:f>IF(OR(F648="Status",G648=0),"",G648+H648)</x:f>
        <x:v>145</x:v>
      </x:c>
      <x:c r="J648" s="10" t="n">
        <x:v>25</x:v>
      </x:c>
      <x:c r="K648" s="12" t="n">
        <x:v>30</x:v>
      </x:c>
      <x:c r="L648" s="1" t="str"/>
      <x:c r="M648" s="9" t="str">
        <x:v>https://poke.idleworld.online/pokepedia/pokemon/tentacruel</x:v>
      </x:c>
    </x:row>
    <x:row r="649" ht="22" customHeight="1">
      <x:c r="A649" s="1" t="n">
        <x:v>73</x:v>
      </x:c>
      <x:c r="B649" s="1" t="str">
        <x:v>Tentacruel</x:v>
      </x:c>
      <x:c r="C649" s="1" t="n">
        <x:v>10</x:v>
      </x:c>
      <x:c r="D649" s="1" t="str">
        <x:v>Brine</x:v>
      </x:c>
      <x:c r="E649" s="1" t="str">
        <x:v>Água</x:v>
      </x:c>
      <x:c r="F649" s="1" t="str">
        <x:v>Especial</x:v>
      </x:c>
      <x:c r="G649" s="10" t="n">
        <x:v>65</x:v>
      </x:c>
      <x:c r="H649" s="10" t="n">
        <x:f>IF(F649="Física",'Pokémon'!G77,IF(F649="Especial",'Pokémon'!I77,""))</x:f>
        <x:v>80</x:v>
      </x:c>
      <x:c r="I649" s="10" t="n">
        <x:f>IF(OR(F649="Status",G649=0),"",G649+H649)</x:f>
        <x:v>145</x:v>
      </x:c>
      <x:c r="J649" s="10" t="n">
        <x:v>36</x:v>
      </x:c>
      <x:c r="K649" s="12" t="n">
        <x:v>20</x:v>
      </x:c>
      <x:c r="L649" s="1" t="str"/>
      <x:c r="M649" s="9" t="str">
        <x:v>https://poke.idleworld.online/pokepedia/pokemon/tentacruel</x:v>
      </x:c>
    </x:row>
    <x:row r="650" ht="22" customHeight="1">
      <x:c r="A650" s="1" t="n">
        <x:v>73</x:v>
      </x:c>
      <x:c r="B650" s="1" t="str">
        <x:v>Tentacruel</x:v>
      </x:c>
      <x:c r="C650" s="1" t="n">
        <x:v>12</x:v>
      </x:c>
      <x:c r="D650" s="1" t="str">
        <x:v>Hex</x:v>
      </x:c>
      <x:c r="E650" s="1" t="str">
        <x:v>Fantasma</x:v>
      </x:c>
      <x:c r="F650" s="1" t="str">
        <x:v>Especial</x:v>
      </x:c>
      <x:c r="G650" s="10" t="n">
        <x:v>65</x:v>
      </x:c>
      <x:c r="H650" s="10" t="n">
        <x:f>IF(F650="Física",'Pokémon'!G77,IF(F650="Especial",'Pokémon'!I77,""))</x:f>
        <x:v>80</x:v>
      </x:c>
      <x:c r="I650" s="10" t="n">
        <x:f>IF(OR(F650="Status",G650=0),"",G650+H650)</x:f>
        <x:v>145</x:v>
      </x:c>
      <x:c r="J650" s="10" t="n">
        <x:v>44</x:v>
      </x:c>
      <x:c r="K650" s="12" t="n">
        <x:v>20</x:v>
      </x:c>
      <x:c r="L650" s="1" t="str"/>
      <x:c r="M650" s="9" t="str">
        <x:v>https://poke.idleworld.online/pokepedia/pokemon/tentacruel</x:v>
      </x:c>
    </x:row>
    <x:row r="651" ht="22" customHeight="1">
      <x:c r="A651" s="1" t="n">
        <x:v>73</x:v>
      </x:c>
      <x:c r="B651" s="1" t="str">
        <x:v>Tentacruel</x:v>
      </x:c>
      <x:c r="C651" s="1" t="n">
        <x:v>5</x:v>
      </x:c>
      <x:c r="D651" s="1" t="str">
        <x:v>Water Pulse</x:v>
      </x:c>
      <x:c r="E651" s="1" t="str">
        <x:v>Água</x:v>
      </x:c>
      <x:c r="F651" s="1" t="str">
        <x:v>Especial</x:v>
      </x:c>
      <x:c r="G651" s="10" t="n">
        <x:v>60</x:v>
      </x:c>
      <x:c r="H651" s="10" t="n">
        <x:f>IF(F651="Física",'Pokémon'!G77,IF(F651="Especial",'Pokémon'!I77,""))</x:f>
        <x:v>80</x:v>
      </x:c>
      <x:c r="I651" s="10" t="n">
        <x:f>IF(OR(F651="Status",G651=0),"",G651+H651)</x:f>
        <x:v>140</x:v>
      </x:c>
      <x:c r="J651" s="10" t="n">
        <x:v>16</x:v>
      </x:c>
      <x:c r="K651" s="12" t="n">
        <x:v>60</x:v>
      </x:c>
      <x:c r="L651" s="1" t="str"/>
      <x:c r="M651" s="9" t="str">
        <x:v>https://poke.idleworld.online/pokepedia/pokemon/tentacruel</x:v>
      </x:c>
    </x:row>
    <x:row r="652" ht="22" customHeight="1">
      <x:c r="A652" s="1" t="n">
        <x:v>73</x:v>
      </x:c>
      <x:c r="B652" s="1" t="str">
        <x:v>Tentacruel</x:v>
      </x:c>
      <x:c r="C652" s="1" t="n">
        <x:v>4</x:v>
      </x:c>
      <x:c r="D652" s="1" t="str">
        <x:v>Acid</x:v>
      </x:c>
      <x:c r="E652" s="1" t="str">
        <x:v>Venenoso</x:v>
      </x:c>
      <x:c r="F652" s="1" t="str">
        <x:v>Especial</x:v>
      </x:c>
      <x:c r="G652" s="10" t="n">
        <x:v>40</x:v>
      </x:c>
      <x:c r="H652" s="10" t="n">
        <x:f>IF(F652="Física",'Pokémon'!G77,IF(F652="Especial",'Pokémon'!I77,""))</x:f>
        <x:v>80</x:v>
      </x:c>
      <x:c r="I652" s="10" t="n">
        <x:f>IF(OR(F652="Status",G652=0),"",G652+H652)</x:f>
        <x:v>120</x:v>
      </x:c>
      <x:c r="J652" s="10" t="n">
        <x:v>1</x:v>
      </x:c>
      <x:c r="K652" s="12" t="n">
        <x:v>15</x:v>
      </x:c>
      <x:c r="L652" s="1" t="str"/>
      <x:c r="M652" s="9" t="str">
        <x:v>https://poke.idleworld.online/pokepedia/pokemon/tentacruel</x:v>
      </x:c>
    </x:row>
    <x:row r="653" ht="22" customHeight="1">
      <x:c r="A653" s="1" t="n">
        <x:v>73</x:v>
      </x:c>
      <x:c r="B653" s="1" t="str">
        <x:v>Tentacruel</x:v>
      </x:c>
      <x:c r="C653" s="1" t="n">
        <x:v>7</x:v>
      </x:c>
      <x:c r="D653" s="1" t="str">
        <x:v>Acid Spray</x:v>
      </x:c>
      <x:c r="E653" s="1" t="str">
        <x:v>Venenoso</x:v>
      </x:c>
      <x:c r="F653" s="1" t="str">
        <x:v>Especial</x:v>
      </x:c>
      <x:c r="G653" s="10" t="n">
        <x:v>40</x:v>
      </x:c>
      <x:c r="H653" s="10" t="n">
        <x:f>IF(F653="Física",'Pokémon'!G77,IF(F653="Especial",'Pokémon'!I77,""))</x:f>
        <x:v>80</x:v>
      </x:c>
      <x:c r="I653" s="10" t="n">
        <x:f>IF(OR(F653="Status",G653=0),"",G653+H653)</x:f>
        <x:v>120</x:v>
      </x:c>
      <x:c r="J653" s="10" t="n">
        <x:v>22</x:v>
      </x:c>
      <x:c r="K653" s="12" t="n">
        <x:v>15</x:v>
      </x:c>
      <x:c r="L653" s="1" t="str"/>
      <x:c r="M653" s="9" t="str">
        <x:v>https://poke.idleworld.online/pokepedia/pokemon/tentacruel</x:v>
      </x:c>
    </x:row>
    <x:row r="654" ht="22" customHeight="1">
      <x:c r="A654" s="1" t="n">
        <x:v>73</x:v>
      </x:c>
      <x:c r="B654" s="1" t="str">
        <x:v>Tentacruel</x:v>
      </x:c>
      <x:c r="C654" s="1" t="n">
        <x:v>3</x:v>
      </x:c>
      <x:c r="D654" s="1" t="str">
        <x:v>Poison Sting</x:v>
      </x:c>
      <x:c r="E654" s="1" t="str">
        <x:v>Venenoso</x:v>
      </x:c>
      <x:c r="F654" s="1" t="str">
        <x:v>Física</x:v>
      </x:c>
      <x:c r="G654" s="10" t="n">
        <x:v>15</x:v>
      </x:c>
      <x:c r="H654" s="10" t="n">
        <x:f>IF(F654="Física",'Pokémon'!G77,IF(F654="Especial",'Pokémon'!I77,""))</x:f>
        <x:v>70</x:v>
      </x:c>
      <x:c r="I654" s="10" t="n">
        <x:f>IF(OR(F654="Status",G654=0),"",G654+H654)</x:f>
        <x:v>85</x:v>
      </x:c>
      <x:c r="J654" s="10" t="n">
        <x:v>1</x:v>
      </x:c>
      <x:c r="K654" s="12" t="n">
        <x:v>15</x:v>
      </x:c>
      <x:c r="L654" s="1" t="str"/>
      <x:c r="M654" s="9" t="str">
        <x:v>https://poke.idleworld.online/pokepedia/pokemon/tentacruel</x:v>
      </x:c>
    </x:row>
    <x:row r="655" ht="22" customHeight="1">
      <x:c r="A655" s="1" t="n">
        <x:v>73</x:v>
      </x:c>
      <x:c r="B655" s="1" t="str">
        <x:v>Tentacruel</x:v>
      </x:c>
      <x:c r="C655" s="1" t="n">
        <x:v>6</x:v>
      </x:c>
      <x:c r="D655" s="1" t="str">
        <x:v>Wrap</x:v>
      </x:c>
      <x:c r="E655" s="1" t="str">
        <x:v>Normal</x:v>
      </x:c>
      <x:c r="F655" s="1" t="str">
        <x:v>Física</x:v>
      </x:c>
      <x:c r="G655" s="10" t="n">
        <x:v>15</x:v>
      </x:c>
      <x:c r="H655" s="10" t="n">
        <x:f>IF(F655="Física",'Pokémon'!G77,IF(F655="Especial",'Pokémon'!I77,""))</x:f>
        <x:v>70</x:v>
      </x:c>
      <x:c r="I655" s="10" t="n">
        <x:f>IF(OR(F655="Status",G655=0),"",G655+H655)</x:f>
        <x:v>85</x:v>
      </x:c>
      <x:c r="J655" s="10" t="n">
        <x:v>19</x:v>
      </x:c>
      <x:c r="K655" s="12" t="n">
        <x:v>20</x:v>
      </x:c>
      <x:c r="L655" s="1" t="str"/>
      <x:c r="M655" s="9" t="str">
        <x:v>https://poke.idleworld.online/pokepedia/pokemon/tentacruel</x:v>
      </x:c>
    </x:row>
    <x:row r="656" ht="22" customHeight="1">
      <x:c r="A656" s="1" t="n">
        <x:v>73</x:v>
      </x:c>
      <x:c r="B656" s="1" t="str">
        <x:v>Tentacruel</x:v>
      </x:c>
      <x:c r="C656" s="1" t="n">
        <x:v>2</x:v>
      </x:c>
      <x:c r="D656" s="1" t="str">
        <x:v>Constrict</x:v>
      </x:c>
      <x:c r="E656" s="1" t="str">
        <x:v>Normal</x:v>
      </x:c>
      <x:c r="F656" s="1" t="str">
        <x:v>Física</x:v>
      </x:c>
      <x:c r="G656" s="10" t="n">
        <x:v>10</x:v>
      </x:c>
      <x:c r="H656" s="10" t="n">
        <x:f>IF(F656="Física",'Pokémon'!G77,IF(F656="Especial",'Pokémon'!I77,""))</x:f>
        <x:v>70</x:v>
      </x:c>
      <x:c r="I656" s="10" t="n">
        <x:f>IF(OR(F656="Status",G656=0),"",G656+H656)</x:f>
        <x:v>80</x:v>
      </x:c>
      <x:c r="J656" s="10" t="n">
        <x:v>1</x:v>
      </x:c>
      <x:c r="K656" s="12" t="n">
        <x:v>15</x:v>
      </x:c>
      <x:c r="L656" s="1" t="str"/>
      <x:c r="M656" s="9" t="str">
        <x:v>https://poke.idleworld.online/pokepedia/pokemon/tentacruel</x:v>
      </x:c>
    </x:row>
    <x:row r="657" ht="22" customHeight="1">
      <x:c r="A657" s="1" t="n">
        <x:v>73</x:v>
      </x:c>
      <x:c r="B657" s="1" t="str">
        <x:v>Tentacruel</x:v>
      </x:c>
      <x:c r="C657" s="1" t="n">
        <x:v>11</x:v>
      </x:c>
      <x:c r="D657" s="1" t="str">
        <x:v>Screech</x:v>
      </x:c>
      <x:c r="E657" s="1" t="str">
        <x:v>Normal</x:v>
      </x:c>
      <x:c r="F657" s="1" t="str">
        <x:v>Status</x:v>
      </x:c>
      <x:c r="G657" s="10" t="n">
        <x:v>0</x:v>
      </x:c>
      <x:c r="H657" s="10" t="str">
        <x:f>IF(F657="Física",'Pokémon'!G77,IF(F657="Especial",'Pokémon'!I77,""))</x:f>
      </x:c>
      <x:c r="I657" s="10" t="str">
        <x:f>IF(OR(F657="Status",G657=0),"",G657+H657)</x:f>
      </x:c>
      <x:c r="J657" s="10" t="n">
        <x:v>40</x:v>
      </x:c>
      <x:c r="K657" s="12" t="n">
        <x:v>50</x:v>
      </x:c>
      <x:c r="L657" s="1" t="str"/>
      <x:c r="M657" s="9" t="str">
        <x:v>https://poke.idleworld.online/pokepedia/pokemon/tentacruel</x:v>
      </x:c>
    </x:row>
    <x:row r="658" ht="22" customHeight="1">
      <x:c r="A658" s="1" t="n">
        <x:v>74</x:v>
      </x:c>
      <x:c r="B658" s="1" t="str">
        <x:v>Geodude</x:v>
      </x:c>
      <x:c r="C658" s="1" t="n">
        <x:v>8</x:v>
      </x:c>
      <x:c r="D658" s="1" t="str">
        <x:v>Double-Edge</x:v>
      </x:c>
      <x:c r="E658" s="1" t="str">
        <x:v>Normal</x:v>
      </x:c>
      <x:c r="F658" s="1" t="str">
        <x:v>Física</x:v>
      </x:c>
      <x:c r="G658" s="10" t="n">
        <x:v>120</x:v>
      </x:c>
      <x:c r="H658" s="10" t="n">
        <x:f>IF(F658="Física",'Pokémon'!G78,IF(F658="Especial",'Pokémon'!I78,""))</x:f>
        <x:v>80</x:v>
      </x:c>
      <x:c r="I658" s="10" t="n">
        <x:f>IF(OR(F658="Status",G658=0),"",G658+H658)</x:f>
        <x:v>200</x:v>
      </x:c>
      <x:c r="J658" s="10" t="n">
        <x:v>40</x:v>
      </x:c>
      <x:c r="K658" s="12" t="n">
        <x:v>50</x:v>
      </x:c>
      <x:c r="L658" s="1" t="str"/>
      <x:c r="M658" s="9" t="str">
        <x:v>https://poke.idleworld.online/pokepedia/pokemon/geodude</x:v>
      </x:c>
    </x:row>
    <x:row r="659" ht="22" customHeight="1">
      <x:c r="A659" s="1" t="n">
        <x:v>74</x:v>
      </x:c>
      <x:c r="B659" s="1" t="str">
        <x:v>Geodude</x:v>
      </x:c>
      <x:c r="C659" s="1" t="n">
        <x:v>7</x:v>
      </x:c>
      <x:c r="D659" s="1" t="str">
        <x:v>Earthquake</x:v>
      </x:c>
      <x:c r="E659" s="1" t="str">
        <x:v>Terrestre</x:v>
      </x:c>
      <x:c r="F659" s="1" t="str">
        <x:v>Física</x:v>
      </x:c>
      <x:c r="G659" s="10" t="n">
        <x:v>100</x:v>
      </x:c>
      <x:c r="H659" s="10" t="n">
        <x:f>IF(F659="Física",'Pokémon'!G78,IF(F659="Especial",'Pokémon'!I78,""))</x:f>
        <x:v>80</x:v>
      </x:c>
      <x:c r="I659" s="10" t="n">
        <x:f>IF(OR(F659="Status",G659=0),"",G659+H659)</x:f>
        <x:v>180</x:v>
      </x:c>
      <x:c r="J659" s="10" t="n">
        <x:v>34</x:v>
      </x:c>
      <x:c r="K659" s="12" t="n">
        <x:v>40</x:v>
      </x:c>
      <x:c r="L659" s="1" t="str"/>
      <x:c r="M659" s="9" t="str">
        <x:v>https://poke.idleworld.online/pokepedia/pokemon/geodude</x:v>
      </x:c>
    </x:row>
    <x:row r="660" ht="22" customHeight="1">
      <x:c r="A660" s="1" t="n">
        <x:v>74</x:v>
      </x:c>
      <x:c r="B660" s="1" t="str">
        <x:v>Geodude</x:v>
      </x:c>
      <x:c r="C660" s="1" t="n">
        <x:v>9</x:v>
      </x:c>
      <x:c r="D660" s="1" t="str">
        <x:v>Stone Edge</x:v>
      </x:c>
      <x:c r="E660" s="1" t="str">
        <x:v>Pedra</x:v>
      </x:c>
      <x:c r="F660" s="1" t="str">
        <x:v>Física</x:v>
      </x:c>
      <x:c r="G660" s="10" t="n">
        <x:v>100</x:v>
      </x:c>
      <x:c r="H660" s="10" t="n">
        <x:f>IF(F660="Física",'Pokémon'!G78,IF(F660="Especial",'Pokémon'!I78,""))</x:f>
        <x:v>80</x:v>
      </x:c>
      <x:c r="I660" s="10" t="n">
        <x:f>IF(OR(F660="Status",G660=0),"",G660+H660)</x:f>
        <x:v>180</x:v>
      </x:c>
      <x:c r="J660" s="10" t="n">
        <x:v>42</x:v>
      </x:c>
      <x:c r="K660" s="12" t="n">
        <x:v>40</x:v>
      </x:c>
      <x:c r="L660" s="1" t="str"/>
      <x:c r="M660" s="9" t="str">
        <x:v>https://poke.idleworld.online/pokepedia/pokemon/geodude</x:v>
      </x:c>
    </x:row>
    <x:row r="661" ht="22" customHeight="1">
      <x:c r="A661" s="1" t="n">
        <x:v>74</x:v>
      </x:c>
      <x:c r="B661" s="1" t="str">
        <x:v>Geodude</x:v>
      </x:c>
      <x:c r="C661" s="1" t="n">
        <x:v>5</x:v>
      </x:c>
      <x:c r="D661" s="1" t="str">
        <x:v>Bulldoze</x:v>
      </x:c>
      <x:c r="E661" s="1" t="str">
        <x:v>Terrestre</x:v>
      </x:c>
      <x:c r="F661" s="1" t="str">
        <x:v>Física</x:v>
      </x:c>
      <x:c r="G661" s="10" t="n">
        <x:v>60</x:v>
      </x:c>
      <x:c r="H661" s="10" t="n">
        <x:f>IF(F661="Física",'Pokémon'!G78,IF(F661="Especial",'Pokémon'!I78,""))</x:f>
        <x:v>80</x:v>
      </x:c>
      <x:c r="I661" s="10" t="n">
        <x:f>IF(OR(F661="Status",G661=0),"",G661+H661)</x:f>
        <x:v>140</x:v>
      </x:c>
      <x:c r="J661" s="10" t="n">
        <x:v>22</x:v>
      </x:c>
      <x:c r="K661" s="12" t="n">
        <x:v>20</x:v>
      </x:c>
      <x:c r="L661" s="1" t="str"/>
      <x:c r="M661" s="9" t="str">
        <x:v>https://poke.idleworld.online/pokepedia/pokemon/geodude</x:v>
      </x:c>
    </x:row>
    <x:row r="662" ht="22" customHeight="1">
      <x:c r="A662" s="1" t="n">
        <x:v>74</x:v>
      </x:c>
      <x:c r="B662" s="1" t="str">
        <x:v>Geodude</x:v>
      </x:c>
      <x:c r="C662" s="1" t="n">
        <x:v>1</x:v>
      </x:c>
      <x:c r="D662" s="1" t="str">
        <x:v>Tackle</x:v>
      </x:c>
      <x:c r="E662" s="1" t="str">
        <x:v>Normal</x:v>
      </x:c>
      <x:c r="F662" s="1" t="str">
        <x:v>Física</x:v>
      </x:c>
      <x:c r="G662" s="10" t="n">
        <x:v>50</x:v>
      </x:c>
      <x:c r="H662" s="10" t="n">
        <x:f>IF(F662="Física",'Pokémon'!G78,IF(F662="Especial",'Pokémon'!I78,""))</x:f>
        <x:v>80</x:v>
      </x:c>
      <x:c r="I662" s="10" t="n">
        <x:f>IF(OR(F662="Status",G662=0),"",G662+H662)</x:f>
        <x:v>130</x:v>
      </x:c>
      <x:c r="J662" s="10" t="n">
        <x:v>1</x:v>
      </x:c>
      <x:c r="K662" s="12" t="n">
        <x:v>15</x:v>
      </x:c>
      <x:c r="L662" s="1" t="str"/>
      <x:c r="M662" s="9" t="str">
        <x:v>https://poke.idleworld.online/pokepedia/pokemon/geodude</x:v>
      </x:c>
    </x:row>
    <x:row r="663" ht="22" customHeight="1">
      <x:c r="A663" s="1" t="n">
        <x:v>74</x:v>
      </x:c>
      <x:c r="B663" s="1" t="str">
        <x:v>Geodude</x:v>
      </x:c>
      <x:c r="C663" s="1" t="n">
        <x:v>3</x:v>
      </x:c>
      <x:c r="D663" s="1" t="str">
        <x:v>Rock Throw</x:v>
      </x:c>
      <x:c r="E663" s="1" t="str">
        <x:v>Pedra</x:v>
      </x:c>
      <x:c r="F663" s="1" t="str">
        <x:v>Física</x:v>
      </x:c>
      <x:c r="G663" s="10" t="n">
        <x:v>50</x:v>
      </x:c>
      <x:c r="H663" s="10" t="n">
        <x:f>IF(F663="Física",'Pokémon'!G78,IF(F663="Especial",'Pokémon'!I78,""))</x:f>
        <x:v>80</x:v>
      </x:c>
      <x:c r="I663" s="10" t="n">
        <x:f>IF(OR(F663="Status",G663=0),"",G663+H663)</x:f>
        <x:v>130</x:v>
      </x:c>
      <x:c r="J663" s="10" t="n">
        <x:v>16</x:v>
      </x:c>
      <x:c r="K663" s="12" t="n">
        <x:v>10</x:v>
      </x:c>
      <x:c r="L663" s="1" t="str"/>
      <x:c r="M663" s="9" t="str">
        <x:v>https://poke.idleworld.online/pokepedia/pokemon/geodude</x:v>
      </x:c>
    </x:row>
    <x:row r="664" ht="22" customHeight="1">
      <x:c r="A664" s="1" t="n">
        <x:v>74</x:v>
      </x:c>
      <x:c r="B664" s="1" t="str">
        <x:v>Geodude</x:v>
      </x:c>
      <x:c r="C664" s="1" t="n">
        <x:v>4</x:v>
      </x:c>
      <x:c r="D664" s="1" t="str">
        <x:v>Smack Down</x:v>
      </x:c>
      <x:c r="E664" s="1" t="str">
        <x:v>Pedra</x:v>
      </x:c>
      <x:c r="F664" s="1" t="str">
        <x:v>Física</x:v>
      </x:c>
      <x:c r="G664" s="10" t="n">
        <x:v>50</x:v>
      </x:c>
      <x:c r="H664" s="10" t="n">
        <x:f>IF(F664="Física",'Pokémon'!G78,IF(F664="Especial",'Pokémon'!I78,""))</x:f>
        <x:v>80</x:v>
      </x:c>
      <x:c r="I664" s="10" t="n">
        <x:f>IF(OR(F664="Status",G664=0),"",G664+H664)</x:f>
        <x:v>130</x:v>
      </x:c>
      <x:c r="J664" s="10" t="n">
        <x:v>18</x:v>
      </x:c>
      <x:c r="K664" s="12" t="n">
        <x:v>15</x:v>
      </x:c>
      <x:c r="L664" s="1" t="str"/>
      <x:c r="M664" s="9" t="str">
        <x:v>https://poke.idleworld.online/pokepedia/pokemon/geodude</x:v>
      </x:c>
    </x:row>
    <x:row r="665" ht="22" customHeight="1">
      <x:c r="A665" s="1" t="n">
        <x:v>74</x:v>
      </x:c>
      <x:c r="B665" s="1" t="str">
        <x:v>Geodude</x:v>
      </x:c>
      <x:c r="C665" s="1" t="n">
        <x:v>2</x:v>
      </x:c>
      <x:c r="D665" s="1" t="str">
        <x:v>Rollout</x:v>
      </x:c>
      <x:c r="E665" s="1" t="str">
        <x:v>Pedra</x:v>
      </x:c>
      <x:c r="F665" s="1" t="str">
        <x:v>Física</x:v>
      </x:c>
      <x:c r="G665" s="10" t="n">
        <x:v>30</x:v>
      </x:c>
      <x:c r="H665" s="10" t="n">
        <x:f>IF(F665="Física",'Pokémon'!G78,IF(F665="Especial",'Pokémon'!I78,""))</x:f>
        <x:v>80</x:v>
      </x:c>
      <x:c r="I665" s="10" t="n">
        <x:f>IF(OR(F665="Status",G665=0),"",G665+H665)</x:f>
        <x:v>110</x:v>
      </x:c>
      <x:c r="J665" s="10" t="n">
        <x:v>10</x:v>
      </x:c>
      <x:c r="K665" s="12" t="n">
        <x:v>15</x:v>
      </x:c>
      <x:c r="L665" s="1" t="str"/>
      <x:c r="M665" s="9" t="str">
        <x:v>https://poke.idleworld.online/pokepedia/pokemon/geodude</x:v>
      </x:c>
    </x:row>
    <x:row r="666" ht="22" customHeight="1">
      <x:c r="A666" s="1" t="n">
        <x:v>74</x:v>
      </x:c>
      <x:c r="B666" s="1" t="str">
        <x:v>Geodude</x:v>
      </x:c>
      <x:c r="C666" s="1" t="n">
        <x:v>6</x:v>
      </x:c>
      <x:c r="D666" s="1" t="str">
        <x:v>Rock Blast</x:v>
      </x:c>
      <x:c r="E666" s="1" t="str">
        <x:v>Pedra</x:v>
      </x:c>
      <x:c r="F666" s="1" t="str">
        <x:v>Física</x:v>
      </x:c>
      <x:c r="G666" s="10" t="n">
        <x:v>25</x:v>
      </x:c>
      <x:c r="H666" s="10" t="n">
        <x:f>IF(F666="Física",'Pokémon'!G78,IF(F666="Especial",'Pokémon'!I78,""))</x:f>
        <x:v>80</x:v>
      </x:c>
      <x:c r="I666" s="10" t="n">
        <x:f>IF(OR(F666="Status",G666=0),"",G666+H666)</x:f>
        <x:v>105</x:v>
      </x:c>
      <x:c r="J666" s="10" t="n">
        <x:v>30</x:v>
      </x:c>
      <x:c r="K666" s="12" t="n">
        <x:v>15</x:v>
      </x:c>
      <x:c r="L666" s="1" t="str"/>
      <x:c r="M666" s="9" t="str">
        <x:v>https://poke.idleworld.online/pokepedia/pokemon/geodude</x:v>
      </x:c>
    </x:row>
    <x:row r="667" ht="22" customHeight="1">
      <x:c r="A667" s="1" t="n">
        <x:v>75</x:v>
      </x:c>
      <x:c r="B667" s="1" t="str">
        <x:v>Graveler</x:v>
      </x:c>
      <x:c r="C667" s="1" t="n">
        <x:v>8</x:v>
      </x:c>
      <x:c r="D667" s="1" t="str">
        <x:v>Double-Edge</x:v>
      </x:c>
      <x:c r="E667" s="1" t="str">
        <x:v>Normal</x:v>
      </x:c>
      <x:c r="F667" s="1" t="str">
        <x:v>Física</x:v>
      </x:c>
      <x:c r="G667" s="10" t="n">
        <x:v>120</x:v>
      </x:c>
      <x:c r="H667" s="10" t="n">
        <x:f>IF(F667="Física",'Pokémon'!G79,IF(F667="Especial",'Pokémon'!I79,""))</x:f>
        <x:v>95</x:v>
      </x:c>
      <x:c r="I667" s="10" t="n">
        <x:f>IF(OR(F667="Status",G667=0),"",G667+H667)</x:f>
        <x:v>215</x:v>
      </x:c>
      <x:c r="J667" s="10" t="n">
        <x:v>50</x:v>
      </x:c>
      <x:c r="K667" s="12" t="n">
        <x:v>50</x:v>
      </x:c>
      <x:c r="L667" s="1" t="str"/>
      <x:c r="M667" s="9" t="str">
        <x:v>https://poke.idleworld.online/pokepedia/pokemon/graveler</x:v>
      </x:c>
    </x:row>
    <x:row r="668" ht="22" customHeight="1">
      <x:c r="A668" s="1" t="n">
        <x:v>75</x:v>
      </x:c>
      <x:c r="B668" s="1" t="str">
        <x:v>Graveler</x:v>
      </x:c>
      <x:c r="C668" s="1" t="n">
        <x:v>7</x:v>
      </x:c>
      <x:c r="D668" s="1" t="str">
        <x:v>Earthquake</x:v>
      </x:c>
      <x:c r="E668" s="1" t="str">
        <x:v>Terrestre</x:v>
      </x:c>
      <x:c r="F668" s="1" t="str">
        <x:v>Física</x:v>
      </x:c>
      <x:c r="G668" s="10" t="n">
        <x:v>100</x:v>
      </x:c>
      <x:c r="H668" s="10" t="n">
        <x:f>IF(F668="Física",'Pokémon'!G79,IF(F668="Especial",'Pokémon'!I79,""))</x:f>
        <x:v>95</x:v>
      </x:c>
      <x:c r="I668" s="10" t="n">
        <x:f>IF(OR(F668="Status",G668=0),"",G668+H668)</x:f>
        <x:v>195</x:v>
      </x:c>
      <x:c r="J668" s="10" t="n">
        <x:v>40</x:v>
      </x:c>
      <x:c r="K668" s="12" t="n">
        <x:v>40</x:v>
      </x:c>
      <x:c r="L668" s="1" t="str"/>
      <x:c r="M668" s="9" t="str">
        <x:v>https://poke.idleworld.online/pokepedia/pokemon/graveler</x:v>
      </x:c>
    </x:row>
    <x:row r="669" ht="22" customHeight="1">
      <x:c r="A669" s="1" t="n">
        <x:v>75</x:v>
      </x:c>
      <x:c r="B669" s="1" t="str">
        <x:v>Graveler</x:v>
      </x:c>
      <x:c r="C669" s="1" t="n">
        <x:v>9</x:v>
      </x:c>
      <x:c r="D669" s="1" t="str">
        <x:v>Stone Edge</x:v>
      </x:c>
      <x:c r="E669" s="1" t="str">
        <x:v>Pedra</x:v>
      </x:c>
      <x:c r="F669" s="1" t="str">
        <x:v>Física</x:v>
      </x:c>
      <x:c r="G669" s="10" t="n">
        <x:v>100</x:v>
      </x:c>
      <x:c r="H669" s="10" t="n">
        <x:f>IF(F669="Física",'Pokémon'!G79,IF(F669="Especial",'Pokémon'!I79,""))</x:f>
        <x:v>95</x:v>
      </x:c>
      <x:c r="I669" s="10" t="n">
        <x:f>IF(OR(F669="Status",G669=0),"",G669+H669)</x:f>
        <x:v>195</x:v>
      </x:c>
      <x:c r="J669" s="10" t="n">
        <x:v>54</x:v>
      </x:c>
      <x:c r="K669" s="12" t="n">
        <x:v>20</x:v>
      </x:c>
      <x:c r="L669" s="1" t="str"/>
      <x:c r="M669" s="9" t="str">
        <x:v>https://poke.idleworld.online/pokepedia/pokemon/graveler</x:v>
      </x:c>
    </x:row>
    <x:row r="670" ht="22" customHeight="1">
      <x:c r="A670" s="1" t="n">
        <x:v>75</x:v>
      </x:c>
      <x:c r="B670" s="1" t="str">
        <x:v>Graveler</x:v>
      </x:c>
      <x:c r="C670" s="1" t="n">
        <x:v>5</x:v>
      </x:c>
      <x:c r="D670" s="1" t="str">
        <x:v>Bulldoze</x:v>
      </x:c>
      <x:c r="E670" s="1" t="str">
        <x:v>Terrestre</x:v>
      </x:c>
      <x:c r="F670" s="1" t="str">
        <x:v>Física</x:v>
      </x:c>
      <x:c r="G670" s="10" t="n">
        <x:v>60</x:v>
      </x:c>
      <x:c r="H670" s="10" t="n">
        <x:f>IF(F670="Física",'Pokémon'!G79,IF(F670="Especial",'Pokémon'!I79,""))</x:f>
        <x:v>95</x:v>
      </x:c>
      <x:c r="I670" s="10" t="n">
        <x:f>IF(OR(F670="Status",G670=0),"",G670+H670)</x:f>
        <x:v>155</x:v>
      </x:c>
      <x:c r="J670" s="10" t="n">
        <x:v>22</x:v>
      </x:c>
      <x:c r="K670" s="12" t="n">
        <x:v>20</x:v>
      </x:c>
      <x:c r="L670" s="1" t="str"/>
      <x:c r="M670" s="9" t="str">
        <x:v>https://poke.idleworld.online/pokepedia/pokemon/graveler</x:v>
      </x:c>
    </x:row>
    <x:row r="671" ht="22" customHeight="1">
      <x:c r="A671" s="1" t="n">
        <x:v>75</x:v>
      </x:c>
      <x:c r="B671" s="1" t="str">
        <x:v>Graveler</x:v>
      </x:c>
      <x:c r="C671" s="1" t="n">
        <x:v>1</x:v>
      </x:c>
      <x:c r="D671" s="1" t="str">
        <x:v>Tackle</x:v>
      </x:c>
      <x:c r="E671" s="1" t="str">
        <x:v>Normal</x:v>
      </x:c>
      <x:c r="F671" s="1" t="str">
        <x:v>Física</x:v>
      </x:c>
      <x:c r="G671" s="10" t="n">
        <x:v>50</x:v>
      </x:c>
      <x:c r="H671" s="10" t="n">
        <x:f>IF(F671="Física",'Pokémon'!G79,IF(F671="Especial",'Pokémon'!I79,""))</x:f>
        <x:v>95</x:v>
      </x:c>
      <x:c r="I671" s="10" t="n">
        <x:f>IF(OR(F671="Status",G671=0),"",G671+H671)</x:f>
        <x:v>145</x:v>
      </x:c>
      <x:c r="J671" s="10" t="n">
        <x:v>1</x:v>
      </x:c>
      <x:c r="K671" s="12" t="n">
        <x:v>15</x:v>
      </x:c>
      <x:c r="L671" s="1" t="str"/>
      <x:c r="M671" s="9" t="str">
        <x:v>https://poke.idleworld.online/pokepedia/pokemon/graveler</x:v>
      </x:c>
    </x:row>
    <x:row r="672" ht="22" customHeight="1">
      <x:c r="A672" s="1" t="n">
        <x:v>75</x:v>
      </x:c>
      <x:c r="B672" s="1" t="str">
        <x:v>Graveler</x:v>
      </x:c>
      <x:c r="C672" s="1" t="n">
        <x:v>3</x:v>
      </x:c>
      <x:c r="D672" s="1" t="str">
        <x:v>Rock Throw</x:v>
      </x:c>
      <x:c r="E672" s="1" t="str">
        <x:v>Pedra</x:v>
      </x:c>
      <x:c r="F672" s="1" t="str">
        <x:v>Física</x:v>
      </x:c>
      <x:c r="G672" s="10" t="n">
        <x:v>50</x:v>
      </x:c>
      <x:c r="H672" s="10" t="n">
        <x:f>IF(F672="Física",'Pokémon'!G79,IF(F672="Especial",'Pokémon'!I79,""))</x:f>
        <x:v>95</x:v>
      </x:c>
      <x:c r="I672" s="10" t="n">
        <x:f>IF(OR(F672="Status",G672=0),"",G672+H672)</x:f>
        <x:v>145</x:v>
      </x:c>
      <x:c r="J672" s="10" t="n">
        <x:v>16</x:v>
      </x:c>
      <x:c r="K672" s="12" t="n">
        <x:v>10</x:v>
      </x:c>
      <x:c r="L672" s="1" t="str"/>
      <x:c r="M672" s="9" t="str">
        <x:v>https://poke.idleworld.online/pokepedia/pokemon/graveler</x:v>
      </x:c>
    </x:row>
    <x:row r="673" ht="22" customHeight="1">
      <x:c r="A673" s="1" t="n">
        <x:v>75</x:v>
      </x:c>
      <x:c r="B673" s="1" t="str">
        <x:v>Graveler</x:v>
      </x:c>
      <x:c r="C673" s="1" t="n">
        <x:v>4</x:v>
      </x:c>
      <x:c r="D673" s="1" t="str">
        <x:v>Smack Down</x:v>
      </x:c>
      <x:c r="E673" s="1" t="str">
        <x:v>Pedra</x:v>
      </x:c>
      <x:c r="F673" s="1" t="str">
        <x:v>Física</x:v>
      </x:c>
      <x:c r="G673" s="10" t="n">
        <x:v>50</x:v>
      </x:c>
      <x:c r="H673" s="10" t="n">
        <x:f>IF(F673="Física",'Pokémon'!G79,IF(F673="Especial",'Pokémon'!I79,""))</x:f>
        <x:v>95</x:v>
      </x:c>
      <x:c r="I673" s="10" t="n">
        <x:f>IF(OR(F673="Status",G673=0),"",G673+H673)</x:f>
        <x:v>145</x:v>
      </x:c>
      <x:c r="J673" s="10" t="n">
        <x:v>18</x:v>
      </x:c>
      <x:c r="K673" s="12" t="n">
        <x:v>15</x:v>
      </x:c>
      <x:c r="L673" s="1" t="str"/>
      <x:c r="M673" s="9" t="str">
        <x:v>https://poke.idleworld.online/pokepedia/pokemon/graveler</x:v>
      </x:c>
    </x:row>
    <x:row r="674" ht="22" customHeight="1">
      <x:c r="A674" s="1" t="n">
        <x:v>75</x:v>
      </x:c>
      <x:c r="B674" s="1" t="str">
        <x:v>Graveler</x:v>
      </x:c>
      <x:c r="C674" s="1" t="n">
        <x:v>2</x:v>
      </x:c>
      <x:c r="D674" s="1" t="str">
        <x:v>Rollout</x:v>
      </x:c>
      <x:c r="E674" s="1" t="str">
        <x:v>Pedra</x:v>
      </x:c>
      <x:c r="F674" s="1" t="str">
        <x:v>Física</x:v>
      </x:c>
      <x:c r="G674" s="10" t="n">
        <x:v>30</x:v>
      </x:c>
      <x:c r="H674" s="10" t="n">
        <x:f>IF(F674="Física",'Pokémon'!G79,IF(F674="Especial",'Pokémon'!I79,""))</x:f>
        <x:v>95</x:v>
      </x:c>
      <x:c r="I674" s="10" t="n">
        <x:f>IF(OR(F674="Status",G674=0),"",G674+H674)</x:f>
        <x:v>125</x:v>
      </x:c>
      <x:c r="J674" s="10" t="n">
        <x:v>10</x:v>
      </x:c>
      <x:c r="K674" s="12" t="n">
        <x:v>15</x:v>
      </x:c>
      <x:c r="L674" s="1" t="str"/>
      <x:c r="M674" s="9" t="str">
        <x:v>https://poke.idleworld.online/pokepedia/pokemon/graveler</x:v>
      </x:c>
    </x:row>
    <x:row r="675" ht="22" customHeight="1">
      <x:c r="A675" s="1" t="n">
        <x:v>75</x:v>
      </x:c>
      <x:c r="B675" s="1" t="str">
        <x:v>Graveler</x:v>
      </x:c>
      <x:c r="C675" s="1" t="n">
        <x:v>6</x:v>
      </x:c>
      <x:c r="D675" s="1" t="str">
        <x:v>Rock Blast</x:v>
      </x:c>
      <x:c r="E675" s="1" t="str">
        <x:v>Pedra</x:v>
      </x:c>
      <x:c r="F675" s="1" t="str">
        <x:v>Física</x:v>
      </x:c>
      <x:c r="G675" s="10" t="n">
        <x:v>25</x:v>
      </x:c>
      <x:c r="H675" s="10" t="n">
        <x:f>IF(F675="Física",'Pokémon'!G79,IF(F675="Especial",'Pokémon'!I79,""))</x:f>
        <x:v>95</x:v>
      </x:c>
      <x:c r="I675" s="10" t="n">
        <x:f>IF(OR(F675="Status",G675=0),"",G675+H675)</x:f>
        <x:v>120</x:v>
      </x:c>
      <x:c r="J675" s="10" t="n">
        <x:v>34</x:v>
      </x:c>
      <x:c r="K675" s="12" t="n">
        <x:v>15</x:v>
      </x:c>
      <x:c r="L675" s="1" t="str"/>
      <x:c r="M675" s="9" t="str">
        <x:v>https://poke.idleworld.online/pokepedia/pokemon/graveler</x:v>
      </x:c>
    </x:row>
    <x:row r="676" ht="22" customHeight="1">
      <x:c r="A676" s="1" t="n">
        <x:v>76</x:v>
      </x:c>
      <x:c r="B676" s="1" t="str">
        <x:v>Golem</x:v>
      </x:c>
      <x:c r="C676" s="1" t="n">
        <x:v>1</x:v>
      </x:c>
      <x:c r="D676" s="1" t="str">
        <x:v>Crumbling Rain</x:v>
      </x:c>
      <x:c r="E676" s="1" t="str">
        <x:v>Pedra</x:v>
      </x:c>
      <x:c r="F676" s="1" t="str">
        <x:v>Física</x:v>
      </x:c>
      <x:c r="G676" s="10" t="n">
        <x:v>300</x:v>
      </x:c>
      <x:c r="H676" s="10" t="n">
        <x:f>IF(F676="Física",'Pokémon'!G80,IF(F676="Especial",'Pokémon'!I80,""))</x:f>
        <x:v>120</x:v>
      </x:c>
      <x:c r="I676" s="10" t="n">
        <x:f>IF(OR(F676="Status",G676=0),"",G676+H676)</x:f>
        <x:v>420</x:v>
      </x:c>
      <x:c r="J676" s="10" t="n">
        <x:v>1</x:v>
      </x:c>
      <x:c r="K676" s="12" t="n">
        <x:v>10</x:v>
      </x:c>
      <x:c r="L676" s="1" t="str">
        <x:v>Sim</x:v>
      </x:c>
      <x:c r="M676" s="9" t="str">
        <x:v>https://poke.idleworld.online/pokepedia/pokemon/golem</x:v>
      </x:c>
    </x:row>
    <x:row r="677" ht="22" customHeight="1">
      <x:c r="A677" s="1" t="n">
        <x:v>76</x:v>
      </x:c>
      <x:c r="B677" s="1" t="str">
        <x:v>Golem</x:v>
      </x:c>
      <x:c r="C677" s="1" t="n">
        <x:v>9</x:v>
      </x:c>
      <x:c r="D677" s="1" t="str">
        <x:v>Double-Edge</x:v>
      </x:c>
      <x:c r="E677" s="1" t="str">
        <x:v>Normal</x:v>
      </x:c>
      <x:c r="F677" s="1" t="str">
        <x:v>Física</x:v>
      </x:c>
      <x:c r="G677" s="10" t="n">
        <x:v>120</x:v>
      </x:c>
      <x:c r="H677" s="10" t="n">
        <x:f>IF(F677="Física",'Pokémon'!G80,IF(F677="Especial",'Pokémon'!I80,""))</x:f>
        <x:v>120</x:v>
      </x:c>
      <x:c r="I677" s="10" t="n">
        <x:f>IF(OR(F677="Status",G677=0),"",G677+H677)</x:f>
        <x:v>240</x:v>
      </x:c>
      <x:c r="J677" s="10" t="n">
        <x:v>50</x:v>
      </x:c>
      <x:c r="K677" s="12" t="n">
        <x:v>50</x:v>
      </x:c>
      <x:c r="L677" s="1" t="str"/>
      <x:c r="M677" s="9" t="str">
        <x:v>https://poke.idleworld.online/pokepedia/pokemon/golem</x:v>
      </x:c>
    </x:row>
    <x:row r="678" ht="22" customHeight="1">
      <x:c r="A678" s="1" t="n">
        <x:v>76</x:v>
      </x:c>
      <x:c r="B678" s="1" t="str">
        <x:v>Golem</x:v>
      </x:c>
      <x:c r="C678" s="1" t="n">
        <x:v>8</x:v>
      </x:c>
      <x:c r="D678" s="1" t="str">
        <x:v>Earthquake</x:v>
      </x:c>
      <x:c r="E678" s="1" t="str">
        <x:v>Terrestre</x:v>
      </x:c>
      <x:c r="F678" s="1" t="str">
        <x:v>Física</x:v>
      </x:c>
      <x:c r="G678" s="10" t="n">
        <x:v>100</x:v>
      </x:c>
      <x:c r="H678" s="10" t="n">
        <x:f>IF(F678="Física",'Pokémon'!G80,IF(F678="Especial",'Pokémon'!I80,""))</x:f>
        <x:v>120</x:v>
      </x:c>
      <x:c r="I678" s="10" t="n">
        <x:f>IF(OR(F678="Status",G678=0),"",G678+H678)</x:f>
        <x:v>220</x:v>
      </x:c>
      <x:c r="J678" s="10" t="n">
        <x:v>40</x:v>
      </x:c>
      <x:c r="K678" s="12" t="n">
        <x:v>40</x:v>
      </x:c>
      <x:c r="L678" s="1" t="str"/>
      <x:c r="M678" s="9" t="str">
        <x:v>https://poke.idleworld.online/pokepedia/pokemon/golem</x:v>
      </x:c>
    </x:row>
    <x:row r="679" ht="22" customHeight="1">
      <x:c r="A679" s="1" t="n">
        <x:v>76</x:v>
      </x:c>
      <x:c r="B679" s="1" t="str">
        <x:v>Golem</x:v>
      </x:c>
      <x:c r="C679" s="1" t="n">
        <x:v>10</x:v>
      </x:c>
      <x:c r="D679" s="1" t="str">
        <x:v>Stone Edge</x:v>
      </x:c>
      <x:c r="E679" s="1" t="str">
        <x:v>Pedra</x:v>
      </x:c>
      <x:c r="F679" s="1" t="str">
        <x:v>Física</x:v>
      </x:c>
      <x:c r="G679" s="10" t="n">
        <x:v>100</x:v>
      </x:c>
      <x:c r="H679" s="10" t="n">
        <x:f>IF(F679="Física",'Pokémon'!G80,IF(F679="Especial",'Pokémon'!I80,""))</x:f>
        <x:v>120</x:v>
      </x:c>
      <x:c r="I679" s="10" t="n">
        <x:f>IF(OR(F679="Status",G679=0),"",G679+H679)</x:f>
        <x:v>220</x:v>
      </x:c>
      <x:c r="J679" s="10" t="n">
        <x:v>54</x:v>
      </x:c>
      <x:c r="K679" s="12" t="n">
        <x:v>40</x:v>
      </x:c>
      <x:c r="L679" s="1" t="str"/>
      <x:c r="M679" s="9" t="str">
        <x:v>https://poke.idleworld.online/pokepedia/pokemon/golem</x:v>
      </x:c>
    </x:row>
    <x:row r="680" ht="22" customHeight="1">
      <x:c r="A680" s="1" t="n">
        <x:v>76</x:v>
      </x:c>
      <x:c r="B680" s="1" t="str">
        <x:v>Golem</x:v>
      </x:c>
      <x:c r="C680" s="1" t="n">
        <x:v>3</x:v>
      </x:c>
      <x:c r="D680" s="1" t="str">
        <x:v>Steamroller</x:v>
      </x:c>
      <x:c r="E680" s="1" t="str">
        <x:v>Inseto</x:v>
      </x:c>
      <x:c r="F680" s="1" t="str">
        <x:v>Física</x:v>
      </x:c>
      <x:c r="G680" s="10" t="n">
        <x:v>65</x:v>
      </x:c>
      <x:c r="H680" s="10" t="n">
        <x:f>IF(F680="Física",'Pokémon'!G80,IF(F680="Especial",'Pokémon'!I80,""))</x:f>
        <x:v>120</x:v>
      </x:c>
      <x:c r="I680" s="10" t="n">
        <x:f>IF(OR(F680="Status",G680=0),"",G680+H680)</x:f>
        <x:v>185</x:v>
      </x:c>
      <x:c r="J680" s="10" t="n">
        <x:v>10</x:v>
      </x:c>
      <x:c r="K680" s="12" t="n">
        <x:v>20</x:v>
      </x:c>
      <x:c r="L680" s="1" t="str"/>
      <x:c r="M680" s="9" t="str">
        <x:v>https://poke.idleworld.online/pokepedia/pokemon/golem</x:v>
      </x:c>
    </x:row>
    <x:row r="681" ht="22" customHeight="1">
      <x:c r="A681" s="1" t="n">
        <x:v>76</x:v>
      </x:c>
      <x:c r="B681" s="1" t="str">
        <x:v>Golem</x:v>
      </x:c>
      <x:c r="C681" s="1" t="n">
        <x:v>6</x:v>
      </x:c>
      <x:c r="D681" s="1" t="str">
        <x:v>Bulldoze</x:v>
      </x:c>
      <x:c r="E681" s="1" t="str">
        <x:v>Terrestre</x:v>
      </x:c>
      <x:c r="F681" s="1" t="str">
        <x:v>Física</x:v>
      </x:c>
      <x:c r="G681" s="10" t="n">
        <x:v>60</x:v>
      </x:c>
      <x:c r="H681" s="10" t="n">
        <x:f>IF(F681="Física",'Pokémon'!G80,IF(F681="Especial",'Pokémon'!I80,""))</x:f>
        <x:v>120</x:v>
      </x:c>
      <x:c r="I681" s="10" t="n">
        <x:f>IF(OR(F681="Status",G681=0),"",G681+H681)</x:f>
        <x:v>180</x:v>
      </x:c>
      <x:c r="J681" s="10" t="n">
        <x:v>22</x:v>
      </x:c>
      <x:c r="K681" s="12" t="n">
        <x:v>20</x:v>
      </x:c>
      <x:c r="L681" s="1" t="str"/>
      <x:c r="M681" s="9" t="str">
        <x:v>https://poke.idleworld.online/pokepedia/pokemon/golem</x:v>
      </x:c>
    </x:row>
    <x:row r="682" ht="22" customHeight="1">
      <x:c r="A682" s="1" t="n">
        <x:v>76</x:v>
      </x:c>
      <x:c r="B682" s="1" t="str">
        <x:v>Golem</x:v>
      </x:c>
      <x:c r="C682" s="1" t="n">
        <x:v>2</x:v>
      </x:c>
      <x:c r="D682" s="1" t="str">
        <x:v>Tackle</x:v>
      </x:c>
      <x:c r="E682" s="1" t="str">
        <x:v>Normal</x:v>
      </x:c>
      <x:c r="F682" s="1" t="str">
        <x:v>Física</x:v>
      </x:c>
      <x:c r="G682" s="10" t="n">
        <x:v>50</x:v>
      </x:c>
      <x:c r="H682" s="10" t="n">
        <x:f>IF(F682="Física",'Pokémon'!G80,IF(F682="Especial",'Pokémon'!I80,""))</x:f>
        <x:v>120</x:v>
      </x:c>
      <x:c r="I682" s="10" t="n">
        <x:f>IF(OR(F682="Status",G682=0),"",G682+H682)</x:f>
        <x:v>170</x:v>
      </x:c>
      <x:c r="J682" s="10" t="n">
        <x:v>1</x:v>
      </x:c>
      <x:c r="K682" s="12" t="n">
        <x:v>15</x:v>
      </x:c>
      <x:c r="L682" s="1" t="str"/>
      <x:c r="M682" s="9" t="str">
        <x:v>https://poke.idleworld.online/pokepedia/pokemon/golem</x:v>
      </x:c>
    </x:row>
    <x:row r="683" ht="22" customHeight="1">
      <x:c r="A683" s="1" t="n">
        <x:v>76</x:v>
      </x:c>
      <x:c r="B683" s="1" t="str">
        <x:v>Golem</x:v>
      </x:c>
      <x:c r="C683" s="1" t="n">
        <x:v>4</x:v>
      </x:c>
      <x:c r="D683" s="1" t="str">
        <x:v>Rock Throw</x:v>
      </x:c>
      <x:c r="E683" s="1" t="str">
        <x:v>Pedra</x:v>
      </x:c>
      <x:c r="F683" s="1" t="str">
        <x:v>Física</x:v>
      </x:c>
      <x:c r="G683" s="10" t="n">
        <x:v>50</x:v>
      </x:c>
      <x:c r="H683" s="10" t="n">
        <x:f>IF(F683="Física",'Pokémon'!G80,IF(F683="Especial",'Pokémon'!I80,""))</x:f>
        <x:v>120</x:v>
      </x:c>
      <x:c r="I683" s="10" t="n">
        <x:f>IF(OR(F683="Status",G683=0),"",G683+H683)</x:f>
        <x:v>170</x:v>
      </x:c>
      <x:c r="J683" s="10" t="n">
        <x:v>16</x:v>
      </x:c>
      <x:c r="K683" s="12" t="n">
        <x:v>10</x:v>
      </x:c>
      <x:c r="L683" s="1" t="str"/>
      <x:c r="M683" s="9" t="str">
        <x:v>https://poke.idleworld.online/pokepedia/pokemon/golem</x:v>
      </x:c>
    </x:row>
    <x:row r="684" ht="22" customHeight="1">
      <x:c r="A684" s="1" t="n">
        <x:v>76</x:v>
      </x:c>
      <x:c r="B684" s="1" t="str">
        <x:v>Golem</x:v>
      </x:c>
      <x:c r="C684" s="1" t="n">
        <x:v>5</x:v>
      </x:c>
      <x:c r="D684" s="1" t="str">
        <x:v>Smack Down</x:v>
      </x:c>
      <x:c r="E684" s="1" t="str">
        <x:v>Pedra</x:v>
      </x:c>
      <x:c r="F684" s="1" t="str">
        <x:v>Física</x:v>
      </x:c>
      <x:c r="G684" s="10" t="n">
        <x:v>50</x:v>
      </x:c>
      <x:c r="H684" s="10" t="n">
        <x:f>IF(F684="Física",'Pokémon'!G80,IF(F684="Especial",'Pokémon'!I80,""))</x:f>
        <x:v>120</x:v>
      </x:c>
      <x:c r="I684" s="10" t="n">
        <x:f>IF(OR(F684="Status",G684=0),"",G684+H684)</x:f>
        <x:v>170</x:v>
      </x:c>
      <x:c r="J684" s="10" t="n">
        <x:v>18</x:v>
      </x:c>
      <x:c r="K684" s="12" t="n">
        <x:v>15</x:v>
      </x:c>
      <x:c r="L684" s="1" t="str"/>
      <x:c r="M684" s="9" t="str">
        <x:v>https://poke.idleworld.online/pokepedia/pokemon/golem</x:v>
      </x:c>
    </x:row>
    <x:row r="685" ht="22" customHeight="1">
      <x:c r="A685" s="1" t="n">
        <x:v>76</x:v>
      </x:c>
      <x:c r="B685" s="1" t="str">
        <x:v>Golem</x:v>
      </x:c>
      <x:c r="C685" s="1" t="n">
        <x:v>7</x:v>
      </x:c>
      <x:c r="D685" s="1" t="str">
        <x:v>Rock Blast</x:v>
      </x:c>
      <x:c r="E685" s="1" t="str">
        <x:v>Pedra</x:v>
      </x:c>
      <x:c r="F685" s="1" t="str">
        <x:v>Física</x:v>
      </x:c>
      <x:c r="G685" s="10" t="n">
        <x:v>25</x:v>
      </x:c>
      <x:c r="H685" s="10" t="n">
        <x:f>IF(F685="Física",'Pokémon'!G80,IF(F685="Especial",'Pokémon'!I80,""))</x:f>
        <x:v>120</x:v>
      </x:c>
      <x:c r="I685" s="10" t="n">
        <x:f>IF(OR(F685="Status",G685=0),"",G685+H685)</x:f>
        <x:v>145</x:v>
      </x:c>
      <x:c r="J685" s="10" t="n">
        <x:v>34</x:v>
      </x:c>
      <x:c r="K685" s="12" t="n">
        <x:v>50</x:v>
      </x:c>
      <x:c r="L685" s="1" t="str"/>
      <x:c r="M685" s="9" t="str">
        <x:v>https://poke.idleworld.online/pokepedia/pokemon/golem</x:v>
      </x:c>
    </x:row>
    <x:row r="686" ht="22" customHeight="1">
      <x:c r="A686" s="1" t="n">
        <x:v>77</x:v>
      </x:c>
      <x:c r="B686" s="1" t="str">
        <x:v>Ponyta</x:v>
      </x:c>
      <x:c r="C686" s="1" t="n">
        <x:v>11</x:v>
      </x:c>
      <x:c r="D686" s="1" t="str">
        <x:v>Flare Blitz</x:v>
      </x:c>
      <x:c r="E686" s="1" t="str">
        <x:v>Fogo</x:v>
      </x:c>
      <x:c r="F686" s="1" t="str">
        <x:v>Física</x:v>
      </x:c>
      <x:c r="G686" s="10" t="n">
        <x:v>120</x:v>
      </x:c>
      <x:c r="H686" s="10" t="n">
        <x:f>IF(F686="Física",'Pokémon'!G81,IF(F686="Especial",'Pokémon'!I81,""))</x:f>
        <x:v>85</x:v>
      </x:c>
      <x:c r="I686" s="10" t="n">
        <x:f>IF(OR(F686="Status",G686=0),"",G686+H686)</x:f>
        <x:v>205</x:v>
      </x:c>
      <x:c r="J686" s="10" t="n">
        <x:v>49</x:v>
      </x:c>
      <x:c r="K686" s="12" t="n">
        <x:v>50</x:v>
      </x:c>
      <x:c r="L686" s="1" t="str"/>
      <x:c r="M686" s="9" t="str">
        <x:v>https://poke.idleworld.online/pokepedia/pokemon/ponyta</x:v>
      </x:c>
    </x:row>
    <x:row r="687" ht="22" customHeight="1">
      <x:c r="A687" s="1" t="n">
        <x:v>77</x:v>
      </x:c>
      <x:c r="B687" s="1" t="str">
        <x:v>Ponyta</x:v>
      </x:c>
      <x:c r="C687" s="1" t="n">
        <x:v>9</x:v>
      </x:c>
      <x:c r="D687" s="1" t="str">
        <x:v>Fire Blast</x:v>
      </x:c>
      <x:c r="E687" s="1" t="str">
        <x:v>Fogo</x:v>
      </x:c>
      <x:c r="F687" s="1" t="str">
        <x:v>Especial</x:v>
      </x:c>
      <x:c r="G687" s="10" t="n">
        <x:v>110</x:v>
      </x:c>
      <x:c r="H687" s="10" t="n">
        <x:f>IF(F687="Física",'Pokémon'!G81,IF(F687="Especial",'Pokémon'!I81,""))</x:f>
        <x:v>65</x:v>
      </x:c>
      <x:c r="I687" s="10" t="n">
        <x:f>IF(OR(F687="Status",G687=0),"",G687+H687)</x:f>
        <x:v>175</x:v>
      </x:c>
      <x:c r="J687" s="10" t="n">
        <x:v>41</x:v>
      </x:c>
      <x:c r="K687" s="12" t="n">
        <x:v>40</x:v>
      </x:c>
      <x:c r="L687" s="1" t="str"/>
      <x:c r="M687" s="9" t="str">
        <x:v>https://poke.idleworld.online/pokepedia/pokemon/ponyta</x:v>
      </x:c>
    </x:row>
    <x:row r="688" ht="22" customHeight="1">
      <x:c r="A688" s="1" t="n">
        <x:v>77</x:v>
      </x:c>
      <x:c r="B688" s="1" t="str">
        <x:v>Ponyta</x:v>
      </x:c>
      <x:c r="C688" s="1" t="n">
        <x:v>7</x:v>
      </x:c>
      <x:c r="D688" s="1" t="str">
        <x:v>Take Down</x:v>
      </x:c>
      <x:c r="E688" s="1" t="str">
        <x:v>Normal</x:v>
      </x:c>
      <x:c r="F688" s="1" t="str">
        <x:v>Física</x:v>
      </x:c>
      <x:c r="G688" s="10" t="n">
        <x:v>90</x:v>
      </x:c>
      <x:c r="H688" s="10" t="n">
        <x:f>IF(F688="Física",'Pokémon'!G81,IF(F688="Especial",'Pokémon'!I81,""))</x:f>
        <x:v>85</x:v>
      </x:c>
      <x:c r="I688" s="10" t="n">
        <x:f>IF(OR(F688="Status",G688=0),"",G688+H688)</x:f>
        <x:v>175</x:v>
      </x:c>
      <x:c r="J688" s="10" t="n">
        <x:v>29</x:v>
      </x:c>
      <x:c r="K688" s="12" t="n">
        <x:v>22</x:v>
      </x:c>
      <x:c r="L688" s="1" t="str"/>
      <x:c r="M688" s="9" t="str">
        <x:v>https://poke.idleworld.online/pokepedia/pokemon/ponyta</x:v>
      </x:c>
    </x:row>
    <x:row r="689" ht="22" customHeight="1">
      <x:c r="A689" s="1" t="n">
        <x:v>77</x:v>
      </x:c>
      <x:c r="B689" s="1" t="str">
        <x:v>Ponyta</x:v>
      </x:c>
      <x:c r="C689" s="1" t="n">
        <x:v>10</x:v>
      </x:c>
      <x:c r="D689" s="1" t="str">
        <x:v>Bounce</x:v>
      </x:c>
      <x:c r="E689" s="1" t="str">
        <x:v>Voador</x:v>
      </x:c>
      <x:c r="F689" s="1" t="str">
        <x:v>Física</x:v>
      </x:c>
      <x:c r="G689" s="10" t="n">
        <x:v>85</x:v>
      </x:c>
      <x:c r="H689" s="10" t="n">
        <x:f>IF(F689="Física",'Pokémon'!G81,IF(F689="Especial",'Pokémon'!I81,""))</x:f>
        <x:v>85</x:v>
      </x:c>
      <x:c r="I689" s="10" t="n">
        <x:f>IF(OR(F689="Status",G689=0),"",G689+H689)</x:f>
        <x:v>170</x:v>
      </x:c>
      <x:c r="J689" s="10" t="n">
        <x:v>45</x:v>
      </x:c>
      <x:c r="K689" s="12" t="n">
        <x:v>22</x:v>
      </x:c>
      <x:c r="L689" s="1" t="str"/>
      <x:c r="M689" s="9" t="str">
        <x:v>https://poke.idleworld.online/pokepedia/pokemon/ponyta</x:v>
      </x:c>
    </x:row>
    <x:row r="690" ht="22" customHeight="1">
      <x:c r="A690" s="1" t="n">
        <x:v>77</x:v>
      </x:c>
      <x:c r="B690" s="1" t="str">
        <x:v>Ponyta</x:v>
      </x:c>
      <x:c r="C690" s="1" t="n">
        <x:v>8</x:v>
      </x:c>
      <x:c r="D690" s="1" t="str">
        <x:v>Inferno</x:v>
      </x:c>
      <x:c r="E690" s="1" t="str">
        <x:v>Fogo</x:v>
      </x:c>
      <x:c r="F690" s="1" t="str">
        <x:v>Especial</x:v>
      </x:c>
      <x:c r="G690" s="10" t="n">
        <x:v>100</x:v>
      </x:c>
      <x:c r="H690" s="10" t="n">
        <x:f>IF(F690="Física",'Pokémon'!G81,IF(F690="Especial",'Pokémon'!I81,""))</x:f>
        <x:v>65</x:v>
      </x:c>
      <x:c r="I690" s="10" t="n">
        <x:f>IF(OR(F690="Status",G690=0),"",G690+H690)</x:f>
        <x:v>165</x:v>
      </x:c>
      <x:c r="J690" s="10" t="n">
        <x:v>33</x:v>
      </x:c>
      <x:c r="K690" s="12" t="n">
        <x:v>40</x:v>
      </x:c>
      <x:c r="L690" s="1" t="str"/>
      <x:c r="M690" s="9" t="str">
        <x:v>https://poke.idleworld.online/pokepedia/pokemon/ponyta</x:v>
      </x:c>
    </x:row>
    <x:row r="691" ht="22" customHeight="1">
      <x:c r="A691" s="1" t="n">
        <x:v>77</x:v>
      </x:c>
      <x:c r="B691" s="1" t="str">
        <x:v>Ponyta</x:v>
      </x:c>
      <x:c r="C691" s="1" t="n">
        <x:v>4</x:v>
      </x:c>
      <x:c r="D691" s="1" t="str">
        <x:v>Stomp</x:v>
      </x:c>
      <x:c r="E691" s="1" t="str">
        <x:v>Normal</x:v>
      </x:c>
      <x:c r="F691" s="1" t="str">
        <x:v>Física</x:v>
      </x:c>
      <x:c r="G691" s="10" t="n">
        <x:v>65</x:v>
      </x:c>
      <x:c r="H691" s="10" t="n">
        <x:f>IF(F691="Física",'Pokémon'!G81,IF(F691="Especial",'Pokémon'!I81,""))</x:f>
        <x:v>85</x:v>
      </x:c>
      <x:c r="I691" s="10" t="n">
        <x:f>IF(OR(F691="Status",G691=0),"",G691+H691)</x:f>
        <x:v>150</x:v>
      </x:c>
      <x:c r="J691" s="10" t="n">
        <x:v>17</x:v>
      </x:c>
      <x:c r="K691" s="12" t="n">
        <x:v>30</x:v>
      </x:c>
      <x:c r="L691" s="1" t="str"/>
      <x:c r="M691" s="9" t="str">
        <x:v>https://poke.idleworld.online/pokepedia/pokemon/ponyta</x:v>
      </x:c>
    </x:row>
    <x:row r="692" ht="22" customHeight="1">
      <x:c r="A692" s="1" t="n">
        <x:v>77</x:v>
      </x:c>
      <x:c r="B692" s="1" t="str">
        <x:v>Ponyta</x:v>
      </x:c>
      <x:c r="C692" s="1" t="n">
        <x:v>3</x:v>
      </x:c>
      <x:c r="D692" s="1" t="str">
        <x:v>Flame Wheel</x:v>
      </x:c>
      <x:c r="E692" s="1" t="str">
        <x:v>Fogo</x:v>
      </x:c>
      <x:c r="F692" s="1" t="str">
        <x:v>Física</x:v>
      </x:c>
      <x:c r="G692" s="10" t="n">
        <x:v>60</x:v>
      </x:c>
      <x:c r="H692" s="10" t="n">
        <x:f>IF(F692="Física",'Pokémon'!G81,IF(F692="Especial",'Pokémon'!I81,""))</x:f>
        <x:v>85</x:v>
      </x:c>
      <x:c r="I692" s="10" t="n">
        <x:f>IF(OR(F692="Status",G692=0),"",G692+H692)</x:f>
        <x:v>145</x:v>
      </x:c>
      <x:c r="J692" s="10" t="n">
        <x:v>13</x:v>
      </x:c>
      <x:c r="K692" s="12" t="n">
        <x:v>20</x:v>
      </x:c>
      <x:c r="L692" s="1" t="str"/>
      <x:c r="M692" s="9" t="str">
        <x:v>https://poke.idleworld.online/pokepedia/pokemon/ponyta</x:v>
      </x:c>
    </x:row>
    <x:row r="693" ht="22" customHeight="1">
      <x:c r="A693" s="1" t="n">
        <x:v>77</x:v>
      </x:c>
      <x:c r="B693" s="1" t="str">
        <x:v>Ponyta</x:v>
      </x:c>
      <x:c r="C693" s="1" t="n">
        <x:v>1</x:v>
      </x:c>
      <x:c r="D693" s="1" t="str">
        <x:v>Tackle</x:v>
      </x:c>
      <x:c r="E693" s="1" t="str">
        <x:v>Normal</x:v>
      </x:c>
      <x:c r="F693" s="1" t="str">
        <x:v>Física</x:v>
      </x:c>
      <x:c r="G693" s="10" t="n">
        <x:v>50</x:v>
      </x:c>
      <x:c r="H693" s="10" t="n">
        <x:f>IF(F693="Física",'Pokémon'!G81,IF(F693="Especial",'Pokémon'!I81,""))</x:f>
        <x:v>85</x:v>
      </x:c>
      <x:c r="I693" s="10" t="n">
        <x:f>IF(OR(F693="Status",G693=0),"",G693+H693)</x:f>
        <x:v>135</x:v>
      </x:c>
      <x:c r="J693" s="10" t="n">
        <x:v>1</x:v>
      </x:c>
      <x:c r="K693" s="12" t="n">
        <x:v>15</x:v>
      </x:c>
      <x:c r="L693" s="1" t="str"/>
      <x:c r="M693" s="9" t="str">
        <x:v>https://poke.idleworld.online/pokepedia/pokemon/ponyta</x:v>
      </x:c>
    </x:row>
    <x:row r="694" ht="22" customHeight="1">
      <x:c r="A694" s="1" t="n">
        <x:v>77</x:v>
      </x:c>
      <x:c r="B694" s="1" t="str">
        <x:v>Ponyta</x:v>
      </x:c>
      <x:c r="C694" s="1" t="n">
        <x:v>5</x:v>
      </x:c>
      <x:c r="D694" s="1" t="str">
        <x:v>Flame Charge</x:v>
      </x:c>
      <x:c r="E694" s="1" t="str">
        <x:v>Fogo</x:v>
      </x:c>
      <x:c r="F694" s="1" t="str">
        <x:v>Física</x:v>
      </x:c>
      <x:c r="G694" s="10" t="n">
        <x:v>50</x:v>
      </x:c>
      <x:c r="H694" s="10" t="n">
        <x:f>IF(F694="Física",'Pokémon'!G81,IF(F694="Especial",'Pokémon'!I81,""))</x:f>
        <x:v>85</x:v>
      </x:c>
      <x:c r="I694" s="10" t="n">
        <x:f>IF(OR(F694="Status",G694=0),"",G694+H694)</x:f>
        <x:v>135</x:v>
      </x:c>
      <x:c r="J694" s="10" t="n">
        <x:v>21</x:v>
      </x:c>
      <x:c r="K694" s="12" t="n">
        <x:v>15</x:v>
      </x:c>
      <x:c r="L694" s="1" t="str"/>
      <x:c r="M694" s="9" t="str">
        <x:v>https://poke.idleworld.online/pokepedia/pokemon/ponyta</x:v>
      </x:c>
    </x:row>
    <x:row r="695" ht="22" customHeight="1">
      <x:c r="A695" s="1" t="n">
        <x:v>77</x:v>
      </x:c>
      <x:c r="B695" s="1" t="str">
        <x:v>Ponyta</x:v>
      </x:c>
      <x:c r="C695" s="1" t="n">
        <x:v>2</x:v>
      </x:c>
      <x:c r="D695" s="1" t="str">
        <x:v>Ember</x:v>
      </x:c>
      <x:c r="E695" s="1" t="str">
        <x:v>Fogo</x:v>
      </x:c>
      <x:c r="F695" s="1" t="str">
        <x:v>Especial</x:v>
      </x:c>
      <x:c r="G695" s="10" t="n">
        <x:v>40</x:v>
      </x:c>
      <x:c r="H695" s="10" t="n">
        <x:f>IF(F695="Física",'Pokémon'!G81,IF(F695="Especial",'Pokémon'!I81,""))</x:f>
        <x:v>65</x:v>
      </x:c>
      <x:c r="I695" s="10" t="n">
        <x:f>IF(OR(F695="Status",G695=0),"",G695+H695)</x:f>
        <x:v>105</x:v>
      </x:c>
      <x:c r="J695" s="10" t="n">
        <x:v>9</x:v>
      </x:c>
      <x:c r="K695" s="12" t="n">
        <x:v>10</x:v>
      </x:c>
      <x:c r="L695" s="1" t="str"/>
      <x:c r="M695" s="9" t="str">
        <x:v>https://poke.idleworld.online/pokepedia/pokemon/ponyta</x:v>
      </x:c>
    </x:row>
    <x:row r="696" ht="22" customHeight="1">
      <x:c r="A696" s="1" t="n">
        <x:v>77</x:v>
      </x:c>
      <x:c r="B696" s="1" t="str">
        <x:v>Ponyta</x:v>
      </x:c>
      <x:c r="C696" s="1" t="n">
        <x:v>6</x:v>
      </x:c>
      <x:c r="D696" s="1" t="str">
        <x:v>Fire Spin</x:v>
      </x:c>
      <x:c r="E696" s="1" t="str">
        <x:v>Fogo</x:v>
      </x:c>
      <x:c r="F696" s="1" t="str">
        <x:v>Especial</x:v>
      </x:c>
      <x:c r="G696" s="10" t="n">
        <x:v>35</x:v>
      </x:c>
      <x:c r="H696" s="10" t="n">
        <x:f>IF(F696="Física",'Pokémon'!G81,IF(F696="Especial",'Pokémon'!I81,""))</x:f>
        <x:v>65</x:v>
      </x:c>
      <x:c r="I696" s="10" t="n">
        <x:f>IF(OR(F696="Status",G696=0),"",G696+H696)</x:f>
        <x:v>100</x:v>
      </x:c>
      <x:c r="J696" s="10" t="n">
        <x:v>25</x:v>
      </x:c>
      <x:c r="K696" s="12" t="n">
        <x:v>15</x:v>
      </x:c>
      <x:c r="L696" s="1" t="str"/>
      <x:c r="M696" s="9" t="str">
        <x:v>https://poke.idleworld.online/pokepedia/pokemon/ponyta</x:v>
      </x:c>
    </x:row>
    <x:row r="697" ht="22" customHeight="1">
      <x:c r="A697" s="1" t="n">
        <x:v>78</x:v>
      </x:c>
      <x:c r="B697" s="1" t="str">
        <x:v>Rapidash</x:v>
      </x:c>
      <x:c r="C697" s="1" t="n">
        <x:v>3</x:v>
      </x:c>
      <x:c r="D697" s="1" t="str">
        <x:v>Ignition Point</x:v>
      </x:c>
      <x:c r="E697" s="1" t="str">
        <x:v>Fogo</x:v>
      </x:c>
      <x:c r="F697" s="1" t="str">
        <x:v>Especial</x:v>
      </x:c>
      <x:c r="G697" s="10" t="n">
        <x:v>300</x:v>
      </x:c>
      <x:c r="H697" s="10" t="n">
        <x:f>IF(F697="Física",'Pokémon'!G82,IF(F697="Especial",'Pokémon'!I82,""))</x:f>
        <x:v>80</x:v>
      </x:c>
      <x:c r="I697" s="10" t="n">
        <x:f>IF(OR(F697="Status",G697=0),"",G697+H697)</x:f>
        <x:v>380</x:v>
      </x:c>
      <x:c r="J697" s="10" t="n">
        <x:v>1</x:v>
      </x:c>
      <x:c r="K697" s="12" t="n">
        <x:v>10</x:v>
      </x:c>
      <x:c r="L697" s="1" t="str">
        <x:v>Sim</x:v>
      </x:c>
      <x:c r="M697" s="9" t="str">
        <x:v>https://poke.idleworld.online/pokepedia/pokemon/rapidash</x:v>
      </x:c>
    </x:row>
    <x:row r="698" ht="22" customHeight="1">
      <x:c r="A698" s="1" t="n">
        <x:v>78</x:v>
      </x:c>
      <x:c r="B698" s="1" t="str">
        <x:v>Rapidash</x:v>
      </x:c>
      <x:c r="C698" s="1" t="n">
        <x:v>6</x:v>
      </x:c>
      <x:c r="D698" s="1" t="str">
        <x:v>Megahorn</x:v>
      </x:c>
      <x:c r="E698" s="1" t="str">
        <x:v>Inseto</x:v>
      </x:c>
      <x:c r="F698" s="1" t="str">
        <x:v>Física</x:v>
      </x:c>
      <x:c r="G698" s="10" t="n">
        <x:v>120</x:v>
      </x:c>
      <x:c r="H698" s="10" t="n">
        <x:f>IF(F698="Física",'Pokémon'!G82,IF(F698="Especial",'Pokémon'!I82,""))</x:f>
        <x:v>100</x:v>
      </x:c>
      <x:c r="I698" s="10" t="n">
        <x:f>IF(OR(F698="Status",G698=0),"",G698+H698)</x:f>
        <x:v>220</x:v>
      </x:c>
      <x:c r="J698" s="10" t="n">
        <x:v>1</x:v>
      </x:c>
      <x:c r="K698" s="12" t="n">
        <x:v>50</x:v>
      </x:c>
      <x:c r="L698" s="1" t="str"/>
      <x:c r="M698" s="9" t="str">
        <x:v>https://poke.idleworld.online/pokepedia/pokemon/rapidash</x:v>
      </x:c>
    </x:row>
    <x:row r="699" ht="22" customHeight="1">
      <x:c r="A699" s="1" t="n">
        <x:v>78</x:v>
      </x:c>
      <x:c r="B699" s="1" t="str">
        <x:v>Rapidash</x:v>
      </x:c>
      <x:c r="C699" s="1" t="n">
        <x:v>16</x:v>
      </x:c>
      <x:c r="D699" s="1" t="str">
        <x:v>Flare Blitz</x:v>
      </x:c>
      <x:c r="E699" s="1" t="str">
        <x:v>Fogo</x:v>
      </x:c>
      <x:c r="F699" s="1" t="str">
        <x:v>Física</x:v>
      </x:c>
      <x:c r="G699" s="10" t="n">
        <x:v>120</x:v>
      </x:c>
      <x:c r="H699" s="10" t="n">
        <x:f>IF(F699="Física",'Pokémon'!G82,IF(F699="Especial",'Pokémon'!I82,""))</x:f>
        <x:v>100</x:v>
      </x:c>
      <x:c r="I699" s="10" t="n">
        <x:f>IF(OR(F699="Status",G699=0),"",G699+H699)</x:f>
        <x:v>220</x:v>
      </x:c>
      <x:c r="J699" s="10" t="n">
        <x:v>49</x:v>
      </x:c>
      <x:c r="K699" s="12" t="n">
        <x:v>50</x:v>
      </x:c>
      <x:c r="L699" s="1" t="str"/>
      <x:c r="M699" s="9" t="str">
        <x:v>https://poke.idleworld.online/pokepedia/pokemon/rapidash</x:v>
      </x:c>
    </x:row>
    <x:row r="700" ht="22" customHeight="1">
      <x:c r="A700" s="1" t="n">
        <x:v>78</x:v>
      </x:c>
      <x:c r="B700" s="1" t="str">
        <x:v>Rapidash</x:v>
      </x:c>
      <x:c r="C700" s="1" t="n">
        <x:v>14</x:v>
      </x:c>
      <x:c r="D700" s="1" t="str">
        <x:v>Fire Blast</x:v>
      </x:c>
      <x:c r="E700" s="1" t="str">
        <x:v>Fogo</x:v>
      </x:c>
      <x:c r="F700" s="1" t="str">
        <x:v>Especial</x:v>
      </x:c>
      <x:c r="G700" s="10" t="n">
        <x:v>110</x:v>
      </x:c>
      <x:c r="H700" s="10" t="n">
        <x:f>IF(F700="Física",'Pokémon'!G82,IF(F700="Especial",'Pokémon'!I82,""))</x:f>
        <x:v>80</x:v>
      </x:c>
      <x:c r="I700" s="10" t="n">
        <x:f>IF(OR(F700="Status",G700=0),"",G700+H700)</x:f>
        <x:v>190</x:v>
      </x:c>
      <x:c r="J700" s="10" t="n">
        <x:v>41</x:v>
      </x:c>
      <x:c r="K700" s="12" t="n">
        <x:v>40</x:v>
      </x:c>
      <x:c r="L700" s="1" t="str"/>
      <x:c r="M700" s="9" t="str">
        <x:v>https://poke.idleworld.online/pokepedia/pokemon/rapidash</x:v>
      </x:c>
    </x:row>
    <x:row r="701" ht="22" customHeight="1">
      <x:c r="A701" s="1" t="n">
        <x:v>78</x:v>
      </x:c>
      <x:c r="B701" s="1" t="str">
        <x:v>Rapidash</x:v>
      </x:c>
      <x:c r="C701" s="1" t="n">
        <x:v>11</x:v>
      </x:c>
      <x:c r="D701" s="1" t="str">
        <x:v>Take Down</x:v>
      </x:c>
      <x:c r="E701" s="1" t="str">
        <x:v>Normal</x:v>
      </x:c>
      <x:c r="F701" s="1" t="str">
        <x:v>Física</x:v>
      </x:c>
      <x:c r="G701" s="10" t="n">
        <x:v>90</x:v>
      </x:c>
      <x:c r="H701" s="10" t="n">
        <x:f>IF(F701="Física",'Pokémon'!G82,IF(F701="Especial",'Pokémon'!I82,""))</x:f>
        <x:v>100</x:v>
      </x:c>
      <x:c r="I701" s="10" t="n">
        <x:f>IF(OR(F701="Status",G701=0),"",G701+H701)</x:f>
        <x:v>190</x:v>
      </x:c>
      <x:c r="J701" s="10" t="n">
        <x:v>29</x:v>
      </x:c>
      <x:c r="K701" s="12" t="n">
        <x:v>22</x:v>
      </x:c>
      <x:c r="L701" s="1" t="str"/>
      <x:c r="M701" s="9" t="str">
        <x:v>https://poke.idleworld.online/pokepedia/pokemon/rapidash</x:v>
      </x:c>
    </x:row>
    <x:row r="702" ht="22" customHeight="1">
      <x:c r="A702" s="1" t="n">
        <x:v>78</x:v>
      </x:c>
      <x:c r="B702" s="1" t="str">
        <x:v>Rapidash</x:v>
      </x:c>
      <x:c r="C702" s="1" t="n">
        <x:v>15</x:v>
      </x:c>
      <x:c r="D702" s="1" t="str">
        <x:v>Bounce</x:v>
      </x:c>
      <x:c r="E702" s="1" t="str">
        <x:v>Voador</x:v>
      </x:c>
      <x:c r="F702" s="1" t="str">
        <x:v>Física</x:v>
      </x:c>
      <x:c r="G702" s="10" t="n">
        <x:v>85</x:v>
      </x:c>
      <x:c r="H702" s="10" t="n">
        <x:f>IF(F702="Física",'Pokémon'!G82,IF(F702="Especial",'Pokémon'!I82,""))</x:f>
        <x:v>100</x:v>
      </x:c>
      <x:c r="I702" s="10" t="n">
        <x:f>IF(OR(F702="Status",G702=0),"",G702+H702)</x:f>
        <x:v>185</x:v>
      </x:c>
      <x:c r="J702" s="10" t="n">
        <x:v>45</x:v>
      </x:c>
      <x:c r="K702" s="12" t="n">
        <x:v>22</x:v>
      </x:c>
      <x:c r="L702" s="1" t="str"/>
      <x:c r="M702" s="9" t="str">
        <x:v>https://poke.idleworld.online/pokepedia/pokemon/rapidash</x:v>
      </x:c>
    </x:row>
    <x:row r="703" ht="22" customHeight="1">
      <x:c r="A703" s="1" t="n">
        <x:v>78</x:v>
      </x:c>
      <x:c r="B703" s="1" t="str">
        <x:v>Rapidash</x:v>
      </x:c>
      <x:c r="C703" s="1" t="n">
        <x:v>12</x:v>
      </x:c>
      <x:c r="D703" s="1" t="str">
        <x:v>Inferno</x:v>
      </x:c>
      <x:c r="E703" s="1" t="str">
        <x:v>Fogo</x:v>
      </x:c>
      <x:c r="F703" s="1" t="str">
        <x:v>Especial</x:v>
      </x:c>
      <x:c r="G703" s="10" t="n">
        <x:v>100</x:v>
      </x:c>
      <x:c r="H703" s="10" t="n">
        <x:f>IF(F703="Física",'Pokémon'!G82,IF(F703="Especial",'Pokémon'!I82,""))</x:f>
        <x:v>80</x:v>
      </x:c>
      <x:c r="I703" s="10" t="n">
        <x:f>IF(OR(F703="Status",G703=0),"",G703+H703)</x:f>
        <x:v>180</x:v>
      </x:c>
      <x:c r="J703" s="10" t="n">
        <x:v>33</x:v>
      </x:c>
      <x:c r="K703" s="12" t="n">
        <x:v>40</x:v>
      </x:c>
      <x:c r="L703" s="1" t="str"/>
      <x:c r="M703" s="9" t="str">
        <x:v>https://poke.idleworld.online/pokepedia/pokemon/rapidash</x:v>
      </x:c>
    </x:row>
    <x:row r="704" ht="22" customHeight="1">
      <x:c r="A704" s="1" t="n">
        <x:v>78</x:v>
      </x:c>
      <x:c r="B704" s="1" t="str">
        <x:v>Rapidash</x:v>
      </x:c>
      <x:c r="C704" s="1" t="n">
        <x:v>5</x:v>
      </x:c>
      <x:c r="D704" s="1" t="str">
        <x:v>Poison Jab</x:v>
      </x:c>
      <x:c r="E704" s="1" t="str">
        <x:v>Venenoso</x:v>
      </x:c>
      <x:c r="F704" s="1" t="str">
        <x:v>Física</x:v>
      </x:c>
      <x:c r="G704" s="10" t="n">
        <x:v>80</x:v>
      </x:c>
      <x:c r="H704" s="10" t="n">
        <x:f>IF(F704="Física",'Pokémon'!G82,IF(F704="Especial",'Pokémon'!I82,""))</x:f>
        <x:v>100</x:v>
      </x:c>
      <x:c r="I704" s="10" t="n">
        <x:f>IF(OR(F704="Status",G704=0),"",G704+H704)</x:f>
        <x:v>180</x:v>
      </x:c>
      <x:c r="J704" s="10" t="n">
        <x:v>1</x:v>
      </x:c>
      <x:c r="K704" s="12" t="n">
        <x:v>22</x:v>
      </x:c>
      <x:c r="L704" s="1" t="str"/>
      <x:c r="M704" s="9" t="str">
        <x:v>https://poke.idleworld.online/pokepedia/pokemon/rapidash</x:v>
      </x:c>
    </x:row>
    <x:row r="705" ht="22" customHeight="1">
      <x:c r="A705" s="1" t="n">
        <x:v>78</x:v>
      </x:c>
      <x:c r="B705" s="1" t="str">
        <x:v>Rapidash</x:v>
      </x:c>
      <x:c r="C705" s="1" t="n">
        <x:v>8</x:v>
      </x:c>
      <x:c r="D705" s="1" t="str">
        <x:v>Stomp</x:v>
      </x:c>
      <x:c r="E705" s="1" t="str">
        <x:v>Normal</x:v>
      </x:c>
      <x:c r="F705" s="1" t="str">
        <x:v>Física</x:v>
      </x:c>
      <x:c r="G705" s="10" t="n">
        <x:v>65</x:v>
      </x:c>
      <x:c r="H705" s="10" t="n">
        <x:f>IF(F705="Física",'Pokémon'!G82,IF(F705="Especial",'Pokémon'!I82,""))</x:f>
        <x:v>100</x:v>
      </x:c>
      <x:c r="I705" s="10" t="n">
        <x:f>IF(OR(F705="Status",G705=0),"",G705+H705)</x:f>
        <x:v>165</x:v>
      </x:c>
      <x:c r="J705" s="10" t="n">
        <x:v>17</x:v>
      </x:c>
      <x:c r="K705" s="12" t="n">
        <x:v>20</x:v>
      </x:c>
      <x:c r="L705" s="1" t="str"/>
      <x:c r="M705" s="9" t="str">
        <x:v>https://poke.idleworld.online/pokepedia/pokemon/rapidash</x:v>
      </x:c>
    </x:row>
    <x:row r="706" ht="22" customHeight="1">
      <x:c r="A706" s="1" t="n">
        <x:v>78</x:v>
      </x:c>
      <x:c r="B706" s="1" t="str">
        <x:v>Rapidash</x:v>
      </x:c>
      <x:c r="C706" s="1" t="n">
        <x:v>7</x:v>
      </x:c>
      <x:c r="D706" s="1" t="str">
        <x:v>Flame Wheel</x:v>
      </x:c>
      <x:c r="E706" s="1" t="str">
        <x:v>Fogo</x:v>
      </x:c>
      <x:c r="F706" s="1" t="str">
        <x:v>Física</x:v>
      </x:c>
      <x:c r="G706" s="10" t="n">
        <x:v>60</x:v>
      </x:c>
      <x:c r="H706" s="10" t="n">
        <x:f>IF(F706="Física",'Pokémon'!G82,IF(F706="Especial",'Pokémon'!I82,""))</x:f>
        <x:v>100</x:v>
      </x:c>
      <x:c r="I706" s="10" t="n">
        <x:f>IF(OR(F706="Status",G706=0),"",G706+H706)</x:f>
        <x:v>160</x:v>
      </x:c>
      <x:c r="J706" s="10" t="n">
        <x:v>13</x:v>
      </x:c>
      <x:c r="K706" s="12" t="n">
        <x:v>20</x:v>
      </x:c>
      <x:c r="L706" s="1" t="str"/>
      <x:c r="M706" s="9" t="str">
        <x:v>https://poke.idleworld.online/pokepedia/pokemon/rapidash</x:v>
      </x:c>
    </x:row>
    <x:row r="707" ht="22" customHeight="1">
      <x:c r="A707" s="1" t="n">
        <x:v>78</x:v>
      </x:c>
      <x:c r="B707" s="1" t="str">
        <x:v>Rapidash</x:v>
      </x:c>
      <x:c r="C707" s="1" t="n">
        <x:v>9</x:v>
      </x:c>
      <x:c r="D707" s="1" t="str">
        <x:v>Flame Charge</x:v>
      </x:c>
      <x:c r="E707" s="1" t="str">
        <x:v>Fogo</x:v>
      </x:c>
      <x:c r="F707" s="1" t="str">
        <x:v>Física</x:v>
      </x:c>
      <x:c r="G707" s="10" t="n">
        <x:v>50</x:v>
      </x:c>
      <x:c r="H707" s="10" t="n">
        <x:f>IF(F707="Física",'Pokémon'!G82,IF(F707="Especial",'Pokémon'!I82,""))</x:f>
        <x:v>100</x:v>
      </x:c>
      <x:c r="I707" s="10" t="n">
        <x:f>IF(OR(F707="Status",G707=0),"",G707+H707)</x:f>
        <x:v>150</x:v>
      </x:c>
      <x:c r="J707" s="10" t="n">
        <x:v>21</x:v>
      </x:c>
      <x:c r="K707" s="12" t="n">
        <x:v>70</x:v>
      </x:c>
      <x:c r="L707" s="1" t="str"/>
      <x:c r="M707" s="9" t="str">
        <x:v>https://poke.idleworld.online/pokepedia/pokemon/rapidash</x:v>
      </x:c>
    </x:row>
    <x:row r="708" ht="22" customHeight="1">
      <x:c r="A708" s="1" t="n">
        <x:v>78</x:v>
      </x:c>
      <x:c r="B708" s="1" t="str">
        <x:v>Rapidash</x:v>
      </x:c>
      <x:c r="C708" s="1" t="n">
        <x:v>4</x:v>
      </x:c>
      <x:c r="D708" s="1" t="str">
        <x:v>Quick Attack</x:v>
      </x:c>
      <x:c r="E708" s="1" t="str">
        <x:v>Normal</x:v>
      </x:c>
      <x:c r="F708" s="1" t="str">
        <x:v>Física</x:v>
      </x:c>
      <x:c r="G708" s="10" t="n">
        <x:v>40</x:v>
      </x:c>
      <x:c r="H708" s="10" t="n">
        <x:f>IF(F708="Física",'Pokémon'!G82,IF(F708="Especial",'Pokémon'!I82,""))</x:f>
        <x:v>100</x:v>
      </x:c>
      <x:c r="I708" s="10" t="n">
        <x:f>IF(OR(F708="Status",G708=0),"",G708+H708)</x:f>
        <x:v>140</x:v>
      </x:c>
      <x:c r="J708" s="10" t="n">
        <x:v>1</x:v>
      </x:c>
      <x:c r="K708" s="12" t="n">
        <x:v>15</x:v>
      </x:c>
      <x:c r="L708" s="1" t="str"/>
      <x:c r="M708" s="9" t="str">
        <x:v>https://poke.idleworld.online/pokepedia/pokemon/rapidash</x:v>
      </x:c>
    </x:row>
    <x:row r="709" ht="22" customHeight="1">
      <x:c r="A709" s="1" t="n">
        <x:v>78</x:v>
      </x:c>
      <x:c r="B709" s="1" t="str">
        <x:v>Rapidash</x:v>
      </x:c>
      <x:c r="C709" s="1" t="n">
        <x:v>1</x:v>
      </x:c>
      <x:c r="D709" s="1" t="str">
        <x:v>Ember</x:v>
      </x:c>
      <x:c r="E709" s="1" t="str">
        <x:v>Fogo</x:v>
      </x:c>
      <x:c r="F709" s="1" t="str">
        <x:v>Especial</x:v>
      </x:c>
      <x:c r="G709" s="10" t="n">
        <x:v>40</x:v>
      </x:c>
      <x:c r="H709" s="10" t="n">
        <x:f>IF(F709="Física",'Pokémon'!G82,IF(F709="Especial",'Pokémon'!I82,""))</x:f>
        <x:v>80</x:v>
      </x:c>
      <x:c r="I709" s="10" t="n">
        <x:f>IF(OR(F709="Status",G709=0),"",G709+H709)</x:f>
        <x:v>120</x:v>
      </x:c>
      <x:c r="J709" s="10" t="n">
        <x:v>1</x:v>
      </x:c>
      <x:c r="K709" s="12" t="n">
        <x:v>10</x:v>
      </x:c>
      <x:c r="L709" s="1" t="str"/>
      <x:c r="M709" s="9" t="str">
        <x:v>https://poke.idleworld.online/pokepedia/pokemon/rapidash</x:v>
      </x:c>
    </x:row>
    <x:row r="710" ht="22" customHeight="1">
      <x:c r="A710" s="1" t="n">
        <x:v>78</x:v>
      </x:c>
      <x:c r="B710" s="1" t="str">
        <x:v>Rapidash</x:v>
      </x:c>
      <x:c r="C710" s="1" t="n">
        <x:v>10</x:v>
      </x:c>
      <x:c r="D710" s="1" t="str">
        <x:v>Fire Spin</x:v>
      </x:c>
      <x:c r="E710" s="1" t="str">
        <x:v>Fogo</x:v>
      </x:c>
      <x:c r="F710" s="1" t="str">
        <x:v>Especial</x:v>
      </x:c>
      <x:c r="G710" s="10" t="n">
        <x:v>35</x:v>
      </x:c>
      <x:c r="H710" s="10" t="n">
        <x:f>IF(F710="Física",'Pokémon'!G82,IF(F710="Especial",'Pokémon'!I82,""))</x:f>
        <x:v>80</x:v>
      </x:c>
      <x:c r="I710" s="10" t="n">
        <x:f>IF(OR(F710="Status",G710=0),"",G710+H710)</x:f>
        <x:v>115</x:v>
      </x:c>
      <x:c r="J710" s="10" t="n">
        <x:v>25</x:v>
      </x:c>
      <x:c r="K710" s="12" t="n">
        <x:v>15</x:v>
      </x:c>
      <x:c r="L710" s="1" t="str"/>
      <x:c r="M710" s="9" t="str">
        <x:v>https://poke.idleworld.online/pokepedia/pokemon/rapidash</x:v>
      </x:c>
    </x:row>
    <x:row r="711" ht="22" customHeight="1">
      <x:c r="A711" s="1" t="n">
        <x:v>78</x:v>
      </x:c>
      <x:c r="B711" s="1" t="str">
        <x:v>Rapidash</x:v>
      </x:c>
      <x:c r="C711" s="1" t="n">
        <x:v>13</x:v>
      </x:c>
      <x:c r="D711" s="1" t="str">
        <x:v>Fury Attack</x:v>
      </x:c>
      <x:c r="E711" s="1" t="str">
        <x:v>Normal</x:v>
      </x:c>
      <x:c r="F711" s="1" t="str">
        <x:v>Física</x:v>
      </x:c>
      <x:c r="G711" s="10" t="n">
        <x:v>15</x:v>
      </x:c>
      <x:c r="H711" s="10" t="n">
        <x:f>IF(F711="Física",'Pokémon'!G82,IF(F711="Especial",'Pokémon'!I82,""))</x:f>
        <x:v>100</x:v>
      </x:c>
      <x:c r="I711" s="10" t="n">
        <x:f>IF(OR(F711="Status",G711=0),"",G711+H711)</x:f>
        <x:v>115</x:v>
      </x:c>
      <x:c r="J711" s="10" t="n">
        <x:v>40</x:v>
      </x:c>
      <x:c r="K711" s="12" t="n">
        <x:v>15</x:v>
      </x:c>
      <x:c r="L711" s="1" t="str"/>
      <x:c r="M711" s="9" t="str">
        <x:v>https://poke.idleworld.online/pokepedia/pokemon/rapidash</x:v>
      </x:c>
    </x:row>
    <x:row r="712" ht="22" customHeight="1">
      <x:c r="A712" s="1" t="n">
        <x:v>78</x:v>
      </x:c>
      <x:c r="B712" s="1" t="str">
        <x:v>Rapidash</x:v>
      </x:c>
      <x:c r="C712" s="1" t="n">
        <x:v>2</x:v>
      </x:c>
      <x:c r="D712" s="1" t="str">
        <x:v>Tail Whip</x:v>
      </x:c>
      <x:c r="E712" s="1" t="str">
        <x:v>Normal</x:v>
      </x:c>
      <x:c r="F712" s="1" t="str">
        <x:v>Status</x:v>
      </x:c>
      <x:c r="G712" s="10" t="n">
        <x:v>0</x:v>
      </x:c>
      <x:c r="H712" s="10" t="str">
        <x:f>IF(F712="Física",'Pokémon'!G82,IF(F712="Especial",'Pokémon'!I82,""))</x:f>
      </x:c>
      <x:c r="I712" s="10" t="str">
        <x:f>IF(OR(F712="Status",G712=0),"",G712+H712)</x:f>
      </x:c>
      <x:c r="J712" s="10" t="n">
        <x:v>1</x:v>
      </x:c>
      <x:c r="K712" s="12" t="n">
        <x:v>40</x:v>
      </x:c>
      <x:c r="L712" s="1" t="str"/>
      <x:c r="M712" s="9" t="str">
        <x:v>https://poke.idleworld.online/pokepedia/pokemon/rapidash</x:v>
      </x:c>
    </x:row>
    <x:row r="713" ht="22" customHeight="1">
      <x:c r="A713" s="1" t="n">
        <x:v>79</x:v>
      </x:c>
      <x:c r="B713" s="1" t="str">
        <x:v>Slowpoke</x:v>
      </x:c>
      <x:c r="C713" s="1" t="n">
        <x:v>6</x:v>
      </x:c>
      <x:c r="D713" s="1" t="str">
        <x:v>Zen Headbutt</x:v>
      </x:c>
      <x:c r="E713" s="1" t="str">
        <x:v>Psíquico</x:v>
      </x:c>
      <x:c r="F713" s="1" t="str">
        <x:v>Física</x:v>
      </x:c>
      <x:c r="G713" s="10" t="n">
        <x:v>80</x:v>
      </x:c>
      <x:c r="H713" s="10" t="n">
        <x:f>IF(F713="Física",'Pokémon'!G83,IF(F713="Especial",'Pokémon'!I83,""))</x:f>
        <x:v>65</x:v>
      </x:c>
      <x:c r="I713" s="10" t="n">
        <x:f>IF(OR(F713="Status",G713=0),"",G713+H713)</x:f>
        <x:v>145</x:v>
      </x:c>
      <x:c r="J713" s="10" t="n">
        <x:v>32</x:v>
      </x:c>
      <x:c r="K713" s="12" t="n">
        <x:v>22</x:v>
      </x:c>
      <x:c r="L713" s="1" t="str"/>
      <x:c r="M713" s="9" t="str">
        <x:v>https://poke.idleworld.online/pokepedia/pokemon/slowpoke</x:v>
      </x:c>
    </x:row>
    <x:row r="714" ht="22" customHeight="1">
      <x:c r="A714" s="1" t="n">
        <x:v>79</x:v>
      </x:c>
      <x:c r="B714" s="1" t="str">
        <x:v>Slowpoke</x:v>
      </x:c>
      <x:c r="C714" s="1" t="n">
        <x:v>4</x:v>
      </x:c>
      <x:c r="D714" s="1" t="str">
        <x:v>Headbutt</x:v>
      </x:c>
      <x:c r="E714" s="1" t="str">
        <x:v>Normal</x:v>
      </x:c>
      <x:c r="F714" s="1" t="str">
        <x:v>Física</x:v>
      </x:c>
      <x:c r="G714" s="10" t="n">
        <x:v>70</x:v>
      </x:c>
      <x:c r="H714" s="10" t="n">
        <x:f>IF(F714="Física",'Pokémon'!G83,IF(F714="Especial",'Pokémon'!I83,""))</x:f>
        <x:v>65</x:v>
      </x:c>
      <x:c r="I714" s="10" t="n">
        <x:f>IF(OR(F714="Status",G714=0),"",G714+H714)</x:f>
        <x:v>135</x:v>
      </x:c>
      <x:c r="J714" s="10" t="n">
        <x:v>23</x:v>
      </x:c>
      <x:c r="K714" s="12" t="n">
        <x:v>15</x:v>
      </x:c>
      <x:c r="L714" s="1" t="str"/>
      <x:c r="M714" s="9" t="str">
        <x:v>https://poke.idleworld.online/pokepedia/pokemon/slowpoke</x:v>
      </x:c>
    </x:row>
    <x:row r="715" ht="22" customHeight="1">
      <x:c r="A715" s="1" t="n">
        <x:v>79</x:v>
      </x:c>
      <x:c r="B715" s="1" t="str">
        <x:v>Slowpoke</x:v>
      </x:c>
      <x:c r="C715" s="1" t="n">
        <x:v>7</x:v>
      </x:c>
      <x:c r="D715" s="1" t="str">
        <x:v>Psychic</x:v>
      </x:c>
      <x:c r="E715" s="1" t="str">
        <x:v>Psíquico</x:v>
      </x:c>
      <x:c r="F715" s="1" t="str">
        <x:v>Especial</x:v>
      </x:c>
      <x:c r="G715" s="10" t="n">
        <x:v>90</x:v>
      </x:c>
      <x:c r="H715" s="10" t="n">
        <x:f>IF(F715="Física",'Pokémon'!G83,IF(F715="Especial",'Pokémon'!I83,""))</x:f>
        <x:v>40</x:v>
      </x:c>
      <x:c r="I715" s="10" t="n">
        <x:f>IF(OR(F715="Status",G715=0),"",G715+H715)</x:f>
        <x:v>130</x:v>
      </x:c>
      <x:c r="J715" s="10" t="n">
        <x:v>45</x:v>
      </x:c>
      <x:c r="K715" s="12" t="n">
        <x:v>22</x:v>
      </x:c>
      <x:c r="L715" s="1" t="str"/>
      <x:c r="M715" s="9" t="str">
        <x:v>https://poke.idleworld.online/pokepedia/pokemon/slowpoke</x:v>
      </x:c>
    </x:row>
    <x:row r="716" ht="22" customHeight="1">
      <x:c r="A716" s="1" t="n">
        <x:v>79</x:v>
      </x:c>
      <x:c r="B716" s="1" t="str">
        <x:v>Slowpoke</x:v>
      </x:c>
      <x:c r="C716" s="1" t="n">
        <x:v>1</x:v>
      </x:c>
      <x:c r="D716" s="1" t="str">
        <x:v>Tackle</x:v>
      </x:c>
      <x:c r="E716" s="1" t="str">
        <x:v>Normal</x:v>
      </x:c>
      <x:c r="F716" s="1" t="str">
        <x:v>Física</x:v>
      </x:c>
      <x:c r="G716" s="10" t="n">
        <x:v>50</x:v>
      </x:c>
      <x:c r="H716" s="10" t="n">
        <x:f>IF(F716="Física",'Pokémon'!G83,IF(F716="Especial",'Pokémon'!I83,""))</x:f>
        <x:v>65</x:v>
      </x:c>
      <x:c r="I716" s="10" t="n">
        <x:f>IF(OR(F716="Status",G716=0),"",G716+H716)</x:f>
        <x:v>115</x:v>
      </x:c>
      <x:c r="J716" s="10" t="n">
        <x:v>1</x:v>
      </x:c>
      <x:c r="K716" s="12" t="n">
        <x:v>15</x:v>
      </x:c>
      <x:c r="L716" s="1" t="str"/>
      <x:c r="M716" s="9" t="str">
        <x:v>https://poke.idleworld.online/pokepedia/pokemon/slowpoke</x:v>
      </x:c>
    </x:row>
    <x:row r="717" ht="22" customHeight="1">
      <x:c r="A717" s="1" t="n">
        <x:v>79</x:v>
      </x:c>
      <x:c r="B717" s="1" t="str">
        <x:v>Slowpoke</x:v>
      </x:c>
      <x:c r="C717" s="1" t="n">
        <x:v>5</x:v>
      </x:c>
      <x:c r="D717" s="1" t="str">
        <x:v>Water Pulse</x:v>
      </x:c>
      <x:c r="E717" s="1" t="str">
        <x:v>Água</x:v>
      </x:c>
      <x:c r="F717" s="1" t="str">
        <x:v>Especial</x:v>
      </x:c>
      <x:c r="G717" s="10" t="n">
        <x:v>60</x:v>
      </x:c>
      <x:c r="H717" s="10" t="n">
        <x:f>IF(F717="Física",'Pokémon'!G83,IF(F717="Especial",'Pokémon'!I83,""))</x:f>
        <x:v>40</x:v>
      </x:c>
      <x:c r="I717" s="10" t="n">
        <x:f>IF(OR(F717="Status",G717=0),"",G717+H717)</x:f>
        <x:v>100</x:v>
      </x:c>
      <x:c r="J717" s="10" t="n">
        <x:v>28</x:v>
      </x:c>
      <x:c r="K717" s="12" t="n">
        <x:v>20</x:v>
      </x:c>
      <x:c r="L717" s="1" t="str"/>
      <x:c r="M717" s="9" t="str">
        <x:v>https://poke.idleworld.online/pokepedia/pokemon/slowpoke</x:v>
      </x:c>
    </x:row>
    <x:row r="718" ht="22" customHeight="1">
      <x:c r="A718" s="1" t="n">
        <x:v>79</x:v>
      </x:c>
      <x:c r="B718" s="1" t="str">
        <x:v>Slowpoke</x:v>
      </x:c>
      <x:c r="C718" s="1" t="n">
        <x:v>3</x:v>
      </x:c>
      <x:c r="D718" s="1" t="str">
        <x:v>Confusion</x:v>
      </x:c>
      <x:c r="E718" s="1" t="str">
        <x:v>Psíquico</x:v>
      </x:c>
      <x:c r="F718" s="1" t="str">
        <x:v>Especial</x:v>
      </x:c>
      <x:c r="G718" s="10" t="n">
        <x:v>50</x:v>
      </x:c>
      <x:c r="H718" s="10" t="n">
        <x:f>IF(F718="Física",'Pokémon'!G83,IF(F718="Especial",'Pokémon'!I83,""))</x:f>
        <x:v>40</x:v>
      </x:c>
      <x:c r="I718" s="10" t="n">
        <x:f>IF(OR(F718="Status",G718=0),"",G718+H718)</x:f>
        <x:v>90</x:v>
      </x:c>
      <x:c r="J718" s="10" t="n">
        <x:v>14</x:v>
      </x:c>
      <x:c r="K718" s="12" t="n">
        <x:v>30</x:v>
      </x:c>
      <x:c r="L718" s="1" t="str"/>
      <x:c r="M718" s="9" t="str">
        <x:v>https://poke.idleworld.online/pokepedia/pokemon/slowpoke</x:v>
      </x:c>
    </x:row>
    <x:row r="719" ht="22" customHeight="1">
      <x:c r="A719" s="1" t="n">
        <x:v>79</x:v>
      </x:c>
      <x:c r="B719" s="1" t="str">
        <x:v>Slowpoke</x:v>
      </x:c>
      <x:c r="C719" s="1" t="n">
        <x:v>2</x:v>
      </x:c>
      <x:c r="D719" s="1" t="str">
        <x:v>Water Gun</x:v>
      </x:c>
      <x:c r="E719" s="1" t="str">
        <x:v>Água</x:v>
      </x:c>
      <x:c r="F719" s="1" t="str">
        <x:v>Especial</x:v>
      </x:c>
      <x:c r="G719" s="10" t="n">
        <x:v>40</x:v>
      </x:c>
      <x:c r="H719" s="10" t="n">
        <x:f>IF(F719="Física",'Pokémon'!G83,IF(F719="Especial",'Pokémon'!I83,""))</x:f>
        <x:v>40</x:v>
      </x:c>
      <x:c r="I719" s="10" t="n">
        <x:f>IF(OR(F719="Status",G719=0),"",G719+H719)</x:f>
        <x:v>80</x:v>
      </x:c>
      <x:c r="J719" s="10" t="n">
        <x:v>9</x:v>
      </x:c>
      <x:c r="K719" s="12" t="n">
        <x:v>18</x:v>
      </x:c>
      <x:c r="L719" s="1" t="str"/>
      <x:c r="M719" s="9" t="str">
        <x:v>https://poke.idleworld.online/pokepedia/pokemon/slowpoke</x:v>
      </x:c>
    </x:row>
    <x:row r="720" ht="22" customHeight="1">
      <x:c r="A720" s="1" t="n">
        <x:v>80</x:v>
      </x:c>
      <x:c r="B720" s="1" t="str">
        <x:v>Slowbro</x:v>
      </x:c>
      <x:c r="C720" s="1" t="n">
        <x:v>2</x:v>
      </x:c>
      <x:c r="D720" s="1" t="str">
        <x:v>Cyclonic Tide</x:v>
      </x:c>
      <x:c r="E720" s="1" t="str">
        <x:v>Água</x:v>
      </x:c>
      <x:c r="F720" s="1" t="str">
        <x:v>Especial</x:v>
      </x:c>
      <x:c r="G720" s="10" t="n">
        <x:v>300</x:v>
      </x:c>
      <x:c r="H720" s="10" t="n">
        <x:f>IF(F720="Física",'Pokémon'!G84,IF(F720="Especial",'Pokémon'!I84,""))</x:f>
        <x:v>100</x:v>
      </x:c>
      <x:c r="I720" s="10" t="n">
        <x:f>IF(OR(F720="Status",G720=0),"",G720+H720)</x:f>
        <x:v>400</x:v>
      </x:c>
      <x:c r="J720" s="10" t="n">
        <x:v>1</x:v>
      </x:c>
      <x:c r="K720" s="12" t="n">
        <x:v>10</x:v>
      </x:c>
      <x:c r="L720" s="1" t="str">
        <x:v>Sim</x:v>
      </x:c>
      <x:c r="M720" s="9" t="str">
        <x:v>https://poke.idleworld.online/pokepedia/pokemon/slowbro</x:v>
      </x:c>
    </x:row>
    <x:row r="721" ht="22" customHeight="1">
      <x:c r="A721" s="1" t="n">
        <x:v>80</x:v>
      </x:c>
      <x:c r="B721" s="1" t="str">
        <x:v>Slowbro</x:v>
      </x:c>
      <x:c r="C721" s="1" t="n">
        <x:v>9</x:v>
      </x:c>
      <x:c r="D721" s="1" t="str">
        <x:v>Psychic</x:v>
      </x:c>
      <x:c r="E721" s="1" t="str">
        <x:v>Psíquico</x:v>
      </x:c>
      <x:c r="F721" s="1" t="str">
        <x:v>Especial</x:v>
      </x:c>
      <x:c r="G721" s="10" t="n">
        <x:v>90</x:v>
      </x:c>
      <x:c r="H721" s="10" t="n">
        <x:f>IF(F721="Física",'Pokémon'!G84,IF(F721="Especial",'Pokémon'!I84,""))</x:f>
        <x:v>100</x:v>
      </x:c>
      <x:c r="I721" s="10" t="n">
        <x:f>IF(OR(F721="Status",G721=0),"",G721+H721)</x:f>
        <x:v>190</x:v>
      </x:c>
      <x:c r="J721" s="10" t="n">
        <x:v>49</x:v>
      </x:c>
      <x:c r="K721" s="12" t="n">
        <x:v>35</x:v>
      </x:c>
      <x:c r="L721" s="1" t="str"/>
      <x:c r="M721" s="9" t="str">
        <x:v>https://poke.idleworld.online/pokepedia/pokemon/slowbro</x:v>
      </x:c>
    </x:row>
    <x:row r="722" ht="22" customHeight="1">
      <x:c r="A722" s="1" t="n">
        <x:v>80</x:v>
      </x:c>
      <x:c r="B722" s="1" t="str">
        <x:v>Slowbro</x:v>
      </x:c>
      <x:c r="C722" s="1" t="n">
        <x:v>7</x:v>
      </x:c>
      <x:c r="D722" s="1" t="str">
        <x:v>Water Pulse</x:v>
      </x:c>
      <x:c r="E722" s="1" t="str">
        <x:v>Água</x:v>
      </x:c>
      <x:c r="F722" s="1" t="str">
        <x:v>Especial</x:v>
      </x:c>
      <x:c r="G722" s="10" t="n">
        <x:v>60</x:v>
      </x:c>
      <x:c r="H722" s="10" t="n">
        <x:f>IF(F722="Física",'Pokémon'!G84,IF(F722="Especial",'Pokémon'!I84,""))</x:f>
        <x:v>100</x:v>
      </x:c>
      <x:c r="I722" s="10" t="n">
        <x:f>IF(OR(F722="Status",G722=0),"",G722+H722)</x:f>
        <x:v>160</x:v>
      </x:c>
      <x:c r="J722" s="10" t="n">
        <x:v>28</x:v>
      </x:c>
      <x:c r="K722" s="12" t="n">
        <x:v>20</x:v>
      </x:c>
      <x:c r="L722" s="1" t="str"/>
      <x:c r="M722" s="9" t="str">
        <x:v>https://poke.idleworld.online/pokepedia/pokemon/slowbro</x:v>
      </x:c>
    </x:row>
    <x:row r="723" ht="22" customHeight="1">
      <x:c r="A723" s="1" t="n">
        <x:v>80</x:v>
      </x:c>
      <x:c r="B723" s="1" t="str">
        <x:v>Slowbro</x:v>
      </x:c>
      <x:c r="C723" s="1" t="n">
        <x:v>8</x:v>
      </x:c>
      <x:c r="D723" s="1" t="str">
        <x:v>Zen Headbutt</x:v>
      </x:c>
      <x:c r="E723" s="1" t="str">
        <x:v>Psíquico</x:v>
      </x:c>
      <x:c r="F723" s="1" t="str">
        <x:v>Física</x:v>
      </x:c>
      <x:c r="G723" s="10" t="n">
        <x:v>80</x:v>
      </x:c>
      <x:c r="H723" s="10" t="n">
        <x:f>IF(F723="Física",'Pokémon'!G84,IF(F723="Especial",'Pokémon'!I84,""))</x:f>
        <x:v>75</x:v>
      </x:c>
      <x:c r="I723" s="10" t="n">
        <x:f>IF(OR(F723="Status",G723=0),"",G723+H723)</x:f>
        <x:v>155</x:v>
      </x:c>
      <x:c r="J723" s="10" t="n">
        <x:v>32</x:v>
      </x:c>
      <x:c r="K723" s="12" t="n">
        <x:v>22</x:v>
      </x:c>
      <x:c r="L723" s="1" t="str"/>
      <x:c r="M723" s="9" t="str">
        <x:v>https://poke.idleworld.online/pokepedia/pokemon/slowbro</x:v>
      </x:c>
    </x:row>
    <x:row r="724" ht="22" customHeight="1">
      <x:c r="A724" s="1" t="n">
        <x:v>80</x:v>
      </x:c>
      <x:c r="B724" s="1" t="str">
        <x:v>Slowbro</x:v>
      </x:c>
      <x:c r="C724" s="1" t="n">
        <x:v>5</x:v>
      </x:c>
      <x:c r="D724" s="1" t="str">
        <x:v>Confusion</x:v>
      </x:c>
      <x:c r="E724" s="1" t="str">
        <x:v>Psíquico</x:v>
      </x:c>
      <x:c r="F724" s="1" t="str">
        <x:v>Especial</x:v>
      </x:c>
      <x:c r="G724" s="10" t="n">
        <x:v>50</x:v>
      </x:c>
      <x:c r="H724" s="10" t="n">
        <x:f>IF(F724="Física",'Pokémon'!G84,IF(F724="Especial",'Pokémon'!I84,""))</x:f>
        <x:v>100</x:v>
      </x:c>
      <x:c r="I724" s="10" t="n">
        <x:f>IF(OR(F724="Status",G724=0),"",G724+H724)</x:f>
        <x:v>150</x:v>
      </x:c>
      <x:c r="J724" s="10" t="n">
        <x:v>14</x:v>
      </x:c>
      <x:c r="K724" s="12" t="n">
        <x:v>30</x:v>
      </x:c>
      <x:c r="L724" s="1" t="str"/>
      <x:c r="M724" s="9" t="str">
        <x:v>https://poke.idleworld.online/pokepedia/pokemon/slowbro</x:v>
      </x:c>
    </x:row>
    <x:row r="725" ht="22" customHeight="1">
      <x:c r="A725" s="1" t="n">
        <x:v>80</x:v>
      </x:c>
      <x:c r="B725" s="1" t="str">
        <x:v>Slowbro</x:v>
      </x:c>
      <x:c r="C725" s="1" t="n">
        <x:v>6</x:v>
      </x:c>
      <x:c r="D725" s="1" t="str">
        <x:v>Headbutt</x:v>
      </x:c>
      <x:c r="E725" s="1" t="str">
        <x:v>Normal</x:v>
      </x:c>
      <x:c r="F725" s="1" t="str">
        <x:v>Física</x:v>
      </x:c>
      <x:c r="G725" s="10" t="n">
        <x:v>70</x:v>
      </x:c>
      <x:c r="H725" s="10" t="n">
        <x:f>IF(F725="Física",'Pokémon'!G84,IF(F725="Especial",'Pokémon'!I84,""))</x:f>
        <x:v>75</x:v>
      </x:c>
      <x:c r="I725" s="10" t="n">
        <x:f>IF(OR(F725="Status",G725=0),"",G725+H725)</x:f>
        <x:v>145</x:v>
      </x:c>
      <x:c r="J725" s="10" t="n">
        <x:v>23</x:v>
      </x:c>
      <x:c r="K725" s="12" t="n">
        <x:v>15</x:v>
      </x:c>
      <x:c r="L725" s="1" t="str"/>
      <x:c r="M725" s="9" t="str">
        <x:v>https://poke.idleworld.online/pokepedia/pokemon/slowbro</x:v>
      </x:c>
    </x:row>
    <x:row r="726" ht="22" customHeight="1">
      <x:c r="A726" s="1" t="n">
        <x:v>80</x:v>
      </x:c>
      <x:c r="B726" s="1" t="str">
        <x:v>Slowbro</x:v>
      </x:c>
      <x:c r="C726" s="1" t="n">
        <x:v>4</x:v>
      </x:c>
      <x:c r="D726" s="1" t="str">
        <x:v>Water Gun</x:v>
      </x:c>
      <x:c r="E726" s="1" t="str">
        <x:v>Água</x:v>
      </x:c>
      <x:c r="F726" s="1" t="str">
        <x:v>Especial</x:v>
      </x:c>
      <x:c r="G726" s="10" t="n">
        <x:v>40</x:v>
      </x:c>
      <x:c r="H726" s="10" t="n">
        <x:f>IF(F726="Física",'Pokémon'!G84,IF(F726="Especial",'Pokémon'!I84,""))</x:f>
        <x:v>100</x:v>
      </x:c>
      <x:c r="I726" s="10" t="n">
        <x:f>IF(OR(F726="Status",G726=0),"",G726+H726)</x:f>
        <x:v>140</x:v>
      </x:c>
      <x:c r="J726" s="10" t="n">
        <x:v>9</x:v>
      </x:c>
      <x:c r="K726" s="12" t="n">
        <x:v>18</x:v>
      </x:c>
      <x:c r="L726" s="1" t="str"/>
      <x:c r="M726" s="9" t="str">
        <x:v>https://poke.idleworld.online/pokepedia/pokemon/slowbro</x:v>
      </x:c>
    </x:row>
    <x:row r="727" ht="22" customHeight="1">
      <x:c r="A727" s="1" t="n">
        <x:v>80</x:v>
      </x:c>
      <x:c r="B727" s="1" t="str">
        <x:v>Slowbro</x:v>
      </x:c>
      <x:c r="C727" s="1" t="n">
        <x:v>3</x:v>
      </x:c>
      <x:c r="D727" s="1" t="str">
        <x:v>Tackle</x:v>
      </x:c>
      <x:c r="E727" s="1" t="str">
        <x:v>Normal</x:v>
      </x:c>
      <x:c r="F727" s="1" t="str">
        <x:v>Física</x:v>
      </x:c>
      <x:c r="G727" s="10" t="n">
        <x:v>50</x:v>
      </x:c>
      <x:c r="H727" s="10" t="n">
        <x:f>IF(F727="Física",'Pokémon'!G84,IF(F727="Especial",'Pokémon'!I84,""))</x:f>
        <x:v>75</x:v>
      </x:c>
      <x:c r="I727" s="10" t="n">
        <x:f>IF(OR(F727="Status",G727=0),"",G727+H727)</x:f>
        <x:v>125</x:v>
      </x:c>
      <x:c r="J727" s="10" t="n">
        <x:v>1</x:v>
      </x:c>
      <x:c r="K727" s="12" t="n">
        <x:v>15</x:v>
      </x:c>
      <x:c r="L727" s="1" t="str"/>
      <x:c r="M727" s="9" t="str">
        <x:v>https://poke.idleworld.online/pokepedia/pokemon/slowbro</x:v>
      </x:c>
    </x:row>
    <x:row r="728" ht="22" customHeight="1">
      <x:c r="A728" s="1" t="n">
        <x:v>80</x:v>
      </x:c>
      <x:c r="B728" s="1" t="str">
        <x:v>Slowbro</x:v>
      </x:c>
      <x:c r="C728" s="1" t="n">
        <x:v>1</x:v>
      </x:c>
      <x:c r="D728" s="1" t="str">
        <x:v>Yawn</x:v>
      </x:c>
      <x:c r="E728" s="1" t="str">
        <x:v>Normal</x:v>
      </x:c>
      <x:c r="F728" s="1" t="str">
        <x:v>Status</x:v>
      </x:c>
      <x:c r="G728" s="10" t="n">
        <x:v>0</x:v>
      </x:c>
      <x:c r="H728" s="10" t="str">
        <x:f>IF(F728="Física",'Pokémon'!G84,IF(F728="Especial",'Pokémon'!I84,""))</x:f>
      </x:c>
      <x:c r="I728" s="10" t="str">
        <x:f>IF(OR(F728="Status",G728=0),"",G728+H728)</x:f>
      </x:c>
      <x:c r="J728" s="10" t="n">
        <x:v>1</x:v>
      </x:c>
      <x:c r="K728" s="12" t="n">
        <x:v>30</x:v>
      </x:c>
      <x:c r="L728" s="1" t="str"/>
      <x:c r="M728" s="9" t="str">
        <x:v>https://poke.idleworld.online/pokepedia/pokemon/slowbro</x:v>
      </x:c>
    </x:row>
    <x:row r="729" ht="22" customHeight="1">
      <x:c r="A729" s="1" t="n">
        <x:v>81</x:v>
      </x:c>
      <x:c r="B729" s="1" t="str">
        <x:v>Magnemite</x:v>
      </x:c>
      <x:c r="C729" s="1" t="n">
        <x:v>11</x:v>
      </x:c>
      <x:c r="D729" s="1" t="str">
        <x:v>Zap Cannon</x:v>
      </x:c>
      <x:c r="E729" s="1" t="str">
        <x:v>Elétrico</x:v>
      </x:c>
      <x:c r="F729" s="1" t="str">
        <x:v>Especial</x:v>
      </x:c>
      <x:c r="G729" s="10" t="n">
        <x:v>120</x:v>
      </x:c>
      <x:c r="H729" s="10" t="n">
        <x:f>IF(F729="Física",'Pokémon'!G85,IF(F729="Especial",'Pokémon'!I85,""))</x:f>
        <x:v>95</x:v>
      </x:c>
      <x:c r="I729" s="10" t="n">
        <x:f>IF(OR(F729="Status",G729=0),"",G729+H729)</x:f>
        <x:v>215</x:v>
      </x:c>
      <x:c r="J729" s="10" t="n">
        <x:v>49</x:v>
      </x:c>
      <x:c r="K729" s="12" t="n">
        <x:v>50</x:v>
      </x:c>
      <x:c r="L729" s="1" t="str"/>
      <x:c r="M729" s="9" t="str">
        <x:v>https://poke.idleworld.online/pokepedia/pokemon/magnemite</x:v>
      </x:c>
    </x:row>
    <x:row r="730" ht="22" customHeight="1">
      <x:c r="A730" s="1" t="n">
        <x:v>81</x:v>
      </x:c>
      <x:c r="B730" s="1" t="str">
        <x:v>Magnemite</x:v>
      </x:c>
      <x:c r="C730" s="1" t="n">
        <x:v>9</x:v>
      </x:c>
      <x:c r="D730" s="1" t="str">
        <x:v>Flash Cannon</x:v>
      </x:c>
      <x:c r="E730" s="1" t="str">
        <x:v>Aço</x:v>
      </x:c>
      <x:c r="F730" s="1" t="str">
        <x:v>Especial</x:v>
      </x:c>
      <x:c r="G730" s="10" t="n">
        <x:v>80</x:v>
      </x:c>
      <x:c r="H730" s="10" t="n">
        <x:f>IF(F730="Física",'Pokémon'!G85,IF(F730="Especial",'Pokémon'!I85,""))</x:f>
        <x:v>95</x:v>
      </x:c>
      <x:c r="I730" s="10" t="n">
        <x:f>IF(OR(F730="Status",G730=0),"",G730+H730)</x:f>
        <x:v>175</x:v>
      </x:c>
      <x:c r="J730" s="10" t="n">
        <x:v>31</x:v>
      </x:c>
      <x:c r="K730" s="12" t="n">
        <x:v>22</x:v>
      </x:c>
      <x:c r="L730" s="1" t="str"/>
      <x:c r="M730" s="9" t="str">
        <x:v>https://poke.idleworld.online/pokepedia/pokemon/magnemite</x:v>
      </x:c>
    </x:row>
    <x:row r="731" ht="22" customHeight="1">
      <x:c r="A731" s="1" t="n">
        <x:v>81</x:v>
      </x:c>
      <x:c r="B731" s="1" t="str">
        <x:v>Magnemite</x:v>
      </x:c>
      <x:c r="C731" s="1" t="n">
        <x:v>10</x:v>
      </x:c>
      <x:c r="D731" s="1" t="str">
        <x:v>Discharge</x:v>
      </x:c>
      <x:c r="E731" s="1" t="str">
        <x:v>Elétrico</x:v>
      </x:c>
      <x:c r="F731" s="1" t="str">
        <x:v>Especial</x:v>
      </x:c>
      <x:c r="G731" s="10" t="n">
        <x:v>80</x:v>
      </x:c>
      <x:c r="H731" s="10" t="n">
        <x:f>IF(F731="Física",'Pokémon'!G85,IF(F731="Especial",'Pokémon'!I85,""))</x:f>
        <x:v>95</x:v>
      </x:c>
      <x:c r="I731" s="10" t="n">
        <x:f>IF(OR(F731="Status",G731=0),"",G731+H731)</x:f>
        <x:v>175</x:v>
      </x:c>
      <x:c r="J731" s="10" t="n">
        <x:v>37</x:v>
      </x:c>
      <x:c r="K731" s="12" t="n">
        <x:v>22</x:v>
      </x:c>
      <x:c r="L731" s="1" t="str"/>
      <x:c r="M731" s="9" t="str">
        <x:v>https://poke.idleworld.online/pokepedia/pokemon/magnemite</x:v>
      </x:c>
    </x:row>
    <x:row r="732" ht="22" customHeight="1">
      <x:c r="A732" s="1" t="n">
        <x:v>81</x:v>
      </x:c>
      <x:c r="B732" s="1" t="str">
        <x:v>Magnemite</x:v>
      </x:c>
      <x:c r="C732" s="1" t="n">
        <x:v>7</x:v>
      </x:c>
      <x:c r="D732" s="1" t="str">
        <x:v>Mirror Shot</x:v>
      </x:c>
      <x:c r="E732" s="1" t="str">
        <x:v>Aço</x:v>
      </x:c>
      <x:c r="F732" s="1" t="str">
        <x:v>Especial</x:v>
      </x:c>
      <x:c r="G732" s="10" t="n">
        <x:v>65</x:v>
      </x:c>
      <x:c r="H732" s="10" t="n">
        <x:f>IF(F732="Física",'Pokémon'!G85,IF(F732="Especial",'Pokémon'!I85,""))</x:f>
        <x:v>95</x:v>
      </x:c>
      <x:c r="I732" s="10" t="n">
        <x:f>IF(OR(F732="Status",G732=0),"",G732+H732)</x:f>
        <x:v>160</x:v>
      </x:c>
      <x:c r="J732" s="10" t="n">
        <x:v>23</x:v>
      </x:c>
      <x:c r="K732" s="12" t="n">
        <x:v>20</x:v>
      </x:c>
      <x:c r="L732" s="1" t="str"/>
      <x:c r="M732" s="9" t="str">
        <x:v>https://poke.idleworld.online/pokepedia/pokemon/magnemite</x:v>
      </x:c>
    </x:row>
    <x:row r="733" ht="22" customHeight="1">
      <x:c r="A733" s="1" t="n">
        <x:v>81</x:v>
      </x:c>
      <x:c r="B733" s="1" t="str">
        <x:v>Magnemite</x:v>
      </x:c>
      <x:c r="C733" s="1" t="n">
        <x:v>4</x:v>
      </x:c>
      <x:c r="D733" s="1" t="str">
        <x:v>Sonicboom</x:v>
      </x:c>
      <x:c r="E733" s="1" t="str">
        <x:v>Normal</x:v>
      </x:c>
      <x:c r="F733" s="1" t="str">
        <x:v>Especial</x:v>
      </x:c>
      <x:c r="G733" s="10" t="n">
        <x:v>56</x:v>
      </x:c>
      <x:c r="H733" s="10" t="n">
        <x:f>IF(F733="Física",'Pokémon'!G85,IF(F733="Especial",'Pokémon'!I85,""))</x:f>
        <x:v>95</x:v>
      </x:c>
      <x:c r="I733" s="10" t="n">
        <x:f>IF(OR(F733="Status",G733=0),"",G733+H733)</x:f>
        <x:v>151</x:v>
      </x:c>
      <x:c r="J733" s="10" t="n">
        <x:v>11</x:v>
      </x:c>
      <x:c r="K733" s="12" t="n">
        <x:v>30</x:v>
      </x:c>
      <x:c r="L733" s="1" t="str"/>
      <x:c r="M733" s="9" t="str">
        <x:v>https://poke.idleworld.online/pokepedia/pokemon/magnemite</x:v>
      </x:c>
    </x:row>
    <x:row r="734" ht="22" customHeight="1">
      <x:c r="A734" s="1" t="n">
        <x:v>81</x:v>
      </x:c>
      <x:c r="B734" s="1" t="str">
        <x:v>Magnemite</x:v>
      </x:c>
      <x:c r="C734" s="1" t="n">
        <x:v>8</x:v>
      </x:c>
      <x:c r="D734" s="1" t="str">
        <x:v>Electro Ball</x:v>
      </x:c>
      <x:c r="E734" s="1" t="str">
        <x:v>Elétrico</x:v>
      </x:c>
      <x:c r="F734" s="1" t="str">
        <x:v>Especial</x:v>
      </x:c>
      <x:c r="G734" s="10" t="n">
        <x:v>56</x:v>
      </x:c>
      <x:c r="H734" s="10" t="n">
        <x:f>IF(F734="Física",'Pokémon'!G85,IF(F734="Especial",'Pokémon'!I85,""))</x:f>
        <x:v>95</x:v>
      </x:c>
      <x:c r="I734" s="10" t="n">
        <x:f>IF(OR(F734="Status",G734=0),"",G734+H734)</x:f>
        <x:v>151</x:v>
      </x:c>
      <x:c r="J734" s="10" t="n">
        <x:v>29</x:v>
      </x:c>
      <x:c r="K734" s="12" t="n">
        <x:v>45</x:v>
      </x:c>
      <x:c r="L734" s="1" t="str"/>
      <x:c r="M734" s="9" t="str">
        <x:v>https://poke.idleworld.online/pokepedia/pokemon/magnemite</x:v>
      </x:c>
    </x:row>
    <x:row r="735" ht="22" customHeight="1">
      <x:c r="A735" s="1" t="n">
        <x:v>81</x:v>
      </x:c>
      <x:c r="B735" s="1" t="str">
        <x:v>Magnemite</x:v>
      </x:c>
      <x:c r="C735" s="1" t="n">
        <x:v>3</x:v>
      </x:c>
      <x:c r="D735" s="1" t="str">
        <x:v>Thunder Shock</x:v>
      </x:c>
      <x:c r="E735" s="1" t="str">
        <x:v>Elétrico</x:v>
      </x:c>
      <x:c r="F735" s="1" t="str">
        <x:v>Especial</x:v>
      </x:c>
      <x:c r="G735" s="10" t="n">
        <x:v>40</x:v>
      </x:c>
      <x:c r="H735" s="10" t="n">
        <x:f>IF(F735="Física",'Pokémon'!G85,IF(F735="Especial",'Pokémon'!I85,""))</x:f>
        <x:v>95</x:v>
      </x:c>
      <x:c r="I735" s="10" t="n">
        <x:f>IF(OR(F735="Status",G735=0),"",G735+H735)</x:f>
        <x:v>135</x:v>
      </x:c>
      <x:c r="J735" s="10" t="n">
        <x:v>7</x:v>
      </x:c>
      <x:c r="K735" s="12" t="n">
        <x:v>10</x:v>
      </x:c>
      <x:c r="L735" s="1" t="str"/>
      <x:c r="M735" s="9" t="str">
        <x:v>https://poke.idleworld.online/pokepedia/pokemon/magnemite</x:v>
      </x:c>
    </x:row>
    <x:row r="736" ht="22" customHeight="1">
      <x:c r="A736" s="1" t="n">
        <x:v>81</x:v>
      </x:c>
      <x:c r="B736" s="1" t="str">
        <x:v>Magnemite</x:v>
      </x:c>
      <x:c r="C736" s="1" t="n">
        <x:v>6</x:v>
      </x:c>
      <x:c r="D736" s="1" t="str">
        <x:v>Spark</x:v>
      </x:c>
      <x:c r="E736" s="1" t="str">
        <x:v>Elétrico</x:v>
      </x:c>
      <x:c r="F736" s="1" t="str">
        <x:v>Física</x:v>
      </x:c>
      <x:c r="G736" s="10" t="n">
        <x:v>65</x:v>
      </x:c>
      <x:c r="H736" s="10" t="n">
        <x:f>IF(F736="Física",'Pokémon'!G85,IF(F736="Especial",'Pokémon'!I85,""))</x:f>
        <x:v>35</x:v>
      </x:c>
      <x:c r="I736" s="10" t="n">
        <x:f>IF(OR(F736="Status",G736=0),"",G736+H736)</x:f>
        <x:v>100</x:v>
      </x:c>
      <x:c r="J736" s="10" t="n">
        <x:v>19</x:v>
      </x:c>
      <x:c r="K736" s="12" t="n">
        <x:v>20</x:v>
      </x:c>
      <x:c r="L736" s="1" t="str"/>
      <x:c r="M736" s="9" t="str">
        <x:v>https://poke.idleworld.online/pokepedia/pokemon/magnemite</x:v>
      </x:c>
    </x:row>
    <x:row r="737" ht="22" customHeight="1">
      <x:c r="A737" s="1" t="n">
        <x:v>81</x:v>
      </x:c>
      <x:c r="B737" s="1" t="str">
        <x:v>Magnemite</x:v>
      </x:c>
      <x:c r="C737" s="1" t="n">
        <x:v>5</x:v>
      </x:c>
      <x:c r="D737" s="1" t="str">
        <x:v>Magnet Bomb</x:v>
      </x:c>
      <x:c r="E737" s="1" t="str">
        <x:v>Aço</x:v>
      </x:c>
      <x:c r="F737" s="1" t="str">
        <x:v>Física</x:v>
      </x:c>
      <x:c r="G737" s="10" t="n">
        <x:v>60</x:v>
      </x:c>
      <x:c r="H737" s="10" t="n">
        <x:f>IF(F737="Física",'Pokémon'!G85,IF(F737="Especial",'Pokémon'!I85,""))</x:f>
        <x:v>35</x:v>
      </x:c>
      <x:c r="I737" s="10" t="n">
        <x:f>IF(OR(F737="Status",G737=0),"",G737+H737)</x:f>
        <x:v>95</x:v>
      </x:c>
      <x:c r="J737" s="10" t="n">
        <x:v>17</x:v>
      </x:c>
      <x:c r="K737" s="12" t="n">
        <x:v>20</x:v>
      </x:c>
      <x:c r="L737" s="1" t="str"/>
      <x:c r="M737" s="9" t="str">
        <x:v>https://poke.idleworld.online/pokepedia/pokemon/magnemite</x:v>
      </x:c>
    </x:row>
    <x:row r="738" ht="22" customHeight="1">
      <x:c r="A738" s="1" t="n">
        <x:v>81</x:v>
      </x:c>
      <x:c r="B738" s="1" t="str">
        <x:v>Magnemite</x:v>
      </x:c>
      <x:c r="C738" s="1" t="n">
        <x:v>1</x:v>
      </x:c>
      <x:c r="D738" s="1" t="str">
        <x:v>Tackle</x:v>
      </x:c>
      <x:c r="E738" s="1" t="str">
        <x:v>Normal</x:v>
      </x:c>
      <x:c r="F738" s="1" t="str">
        <x:v>Física</x:v>
      </x:c>
      <x:c r="G738" s="10" t="n">
        <x:v>50</x:v>
      </x:c>
      <x:c r="H738" s="10" t="n">
        <x:f>IF(F738="Física",'Pokémon'!G85,IF(F738="Especial",'Pokémon'!I85,""))</x:f>
        <x:v>35</x:v>
      </x:c>
      <x:c r="I738" s="10" t="n">
        <x:f>IF(OR(F738="Status",G738=0),"",G738+H738)</x:f>
        <x:v>85</x:v>
      </x:c>
      <x:c r="J738" s="10" t="n">
        <x:v>1</x:v>
      </x:c>
      <x:c r="K738" s="12" t="n">
        <x:v>15</x:v>
      </x:c>
      <x:c r="L738" s="1" t="str"/>
      <x:c r="M738" s="9" t="str">
        <x:v>https://poke.idleworld.online/pokepedia/pokemon/magnemite</x:v>
      </x:c>
    </x:row>
    <x:row r="739" ht="22" customHeight="1">
      <x:c r="A739" s="1" t="n">
        <x:v>81</x:v>
      </x:c>
      <x:c r="B739" s="1" t="str">
        <x:v>Magnemite</x:v>
      </x:c>
      <x:c r="C739" s="1" t="n">
        <x:v>2</x:v>
      </x:c>
      <x:c r="D739" s="1" t="str">
        <x:v>Super Sonic</x:v>
      </x:c>
      <x:c r="E739" s="1" t="str">
        <x:v>Normal</x:v>
      </x:c>
      <x:c r="F739" s="1" t="str">
        <x:v>Status</x:v>
      </x:c>
      <x:c r="G739" s="10" t="n">
        <x:v>0</x:v>
      </x:c>
      <x:c r="H739" s="10" t="str">
        <x:f>IF(F739="Física",'Pokémon'!G85,IF(F739="Especial",'Pokémon'!I85,""))</x:f>
      </x:c>
      <x:c r="I739" s="10" t="str">
        <x:f>IF(OR(F739="Status",G739=0),"",G739+H739)</x:f>
      </x:c>
      <x:c r="J739" s="10" t="n">
        <x:v>5</x:v>
      </x:c>
      <x:c r="K739" s="12" t="n">
        <x:v>30</x:v>
      </x:c>
      <x:c r="L739" s="1" t="str"/>
      <x:c r="M739" s="9" t="str">
        <x:v>https://poke.idleworld.online/pokepedia/pokemon/magnemite</x:v>
      </x:c>
    </x:row>
    <x:row r="740" ht="22" customHeight="1">
      <x:c r="A740" s="1" t="n">
        <x:v>82</x:v>
      </x:c>
      <x:c r="B740" s="1" t="str">
        <x:v>Magneton</x:v>
      </x:c>
      <x:c r="C740" s="1" t="n">
        <x:v>2</x:v>
      </x:c>
      <x:c r="D740" s="1" t="str">
        <x:v>Static Overload</x:v>
      </x:c>
      <x:c r="E740" s="1" t="str">
        <x:v>Elétrico</x:v>
      </x:c>
      <x:c r="F740" s="1" t="str">
        <x:v>Especial</x:v>
      </x:c>
      <x:c r="G740" s="10" t="n">
        <x:v>300</x:v>
      </x:c>
      <x:c r="H740" s="10" t="n">
        <x:f>IF(F740="Física",'Pokémon'!G86,IF(F740="Especial",'Pokémon'!I86,""))</x:f>
        <x:v>120</x:v>
      </x:c>
      <x:c r="I740" s="10" t="n">
        <x:f>IF(OR(F740="Status",G740=0),"",G740+H740)</x:f>
        <x:v>420</x:v>
      </x:c>
      <x:c r="J740" s="10" t="n">
        <x:v>1</x:v>
      </x:c>
      <x:c r="K740" s="12" t="n">
        <x:v>10</x:v>
      </x:c>
      <x:c r="L740" s="1" t="str">
        <x:v>Sim</x:v>
      </x:c>
      <x:c r="M740" s="9" t="str">
        <x:v>https://poke.idleworld.online/pokepedia/pokemon/magneton</x:v>
      </x:c>
    </x:row>
    <x:row r="741" ht="22" customHeight="1">
      <x:c r="A741" s="1" t="n">
        <x:v>82</x:v>
      </x:c>
      <x:c r="B741" s="1" t="str">
        <x:v>Magneton</x:v>
      </x:c>
      <x:c r="C741" s="1" t="n">
        <x:v>4</x:v>
      </x:c>
      <x:c r="D741" s="1" t="str">
        <x:v>Zap Cannon</x:v>
      </x:c>
      <x:c r="E741" s="1" t="str">
        <x:v>Elétrico</x:v>
      </x:c>
      <x:c r="F741" s="1" t="str">
        <x:v>Especial</x:v>
      </x:c>
      <x:c r="G741" s="10" t="n">
        <x:v>120</x:v>
      </x:c>
      <x:c r="H741" s="10" t="n">
        <x:f>IF(F741="Física",'Pokémon'!G86,IF(F741="Especial",'Pokémon'!I86,""))</x:f>
        <x:v>120</x:v>
      </x:c>
      <x:c r="I741" s="10" t="n">
        <x:f>IF(OR(F741="Status",G741=0),"",G741+H741)</x:f>
        <x:v>240</x:v>
      </x:c>
      <x:c r="J741" s="10" t="n">
        <x:v>1</x:v>
      </x:c>
      <x:c r="K741" s="12" t="n">
        <x:v>50</x:v>
      </x:c>
      <x:c r="L741" s="1" t="str"/>
      <x:c r="M741" s="9" t="str">
        <x:v>https://poke.idleworld.online/pokepedia/pokemon/magneton</x:v>
      </x:c>
    </x:row>
    <x:row r="742" ht="22" customHeight="1">
      <x:c r="A742" s="1" t="n">
        <x:v>82</x:v>
      </x:c>
      <x:c r="B742" s="1" t="str">
        <x:v>Magneton</x:v>
      </x:c>
      <x:c r="C742" s="1" t="n">
        <x:v>8</x:v>
      </x:c>
      <x:c r="D742" s="1" t="str">
        <x:v>Tri-Attack</x:v>
      </x:c>
      <x:c r="E742" s="1" t="str">
        <x:v>Normal</x:v>
      </x:c>
      <x:c r="F742" s="1" t="str">
        <x:v>Especial</x:v>
      </x:c>
      <x:c r="G742" s="10" t="n">
        <x:v>80</x:v>
      </x:c>
      <x:c r="H742" s="10" t="n">
        <x:f>IF(F742="Física",'Pokémon'!G86,IF(F742="Especial",'Pokémon'!I86,""))</x:f>
        <x:v>120</x:v>
      </x:c>
      <x:c r="I742" s="10" t="n">
        <x:f>IF(OR(F742="Status",G742=0),"",G742+H742)</x:f>
        <x:v>200</x:v>
      </x:c>
      <x:c r="J742" s="10" t="n">
        <x:v>30</x:v>
      </x:c>
      <x:c r="K742" s="12" t="n">
        <x:v>30</x:v>
      </x:c>
      <x:c r="L742" s="1" t="str"/>
      <x:c r="M742" s="9" t="str">
        <x:v>https://poke.idleworld.online/pokepedia/pokemon/magneton</x:v>
      </x:c>
    </x:row>
    <x:row r="743" ht="22" customHeight="1">
      <x:c r="A743" s="1" t="n">
        <x:v>82</x:v>
      </x:c>
      <x:c r="B743" s="1" t="str">
        <x:v>Magneton</x:v>
      </x:c>
      <x:c r="C743" s="1" t="n">
        <x:v>9</x:v>
      </x:c>
      <x:c r="D743" s="1" t="str">
        <x:v>Flash Cannon</x:v>
      </x:c>
      <x:c r="E743" s="1" t="str">
        <x:v>Aço</x:v>
      </x:c>
      <x:c r="F743" s="1" t="str">
        <x:v>Especial</x:v>
      </x:c>
      <x:c r="G743" s="10" t="n">
        <x:v>80</x:v>
      </x:c>
      <x:c r="H743" s="10" t="n">
        <x:f>IF(F743="Física",'Pokémon'!G86,IF(F743="Especial",'Pokémon'!I86,""))</x:f>
        <x:v>120</x:v>
      </x:c>
      <x:c r="I743" s="10" t="n">
        <x:f>IF(OR(F743="Status",G743=0),"",G743+H743)</x:f>
        <x:v>200</x:v>
      </x:c>
      <x:c r="J743" s="10" t="n">
        <x:v>33</x:v>
      </x:c>
      <x:c r="K743" s="12" t="n">
        <x:v>22</x:v>
      </x:c>
      <x:c r="L743" s="1" t="str"/>
      <x:c r="M743" s="9" t="str">
        <x:v>https://poke.idleworld.online/pokepedia/pokemon/magneton</x:v>
      </x:c>
    </x:row>
    <x:row r="744" ht="22" customHeight="1">
      <x:c r="A744" s="1" t="n">
        <x:v>82</x:v>
      </x:c>
      <x:c r="B744" s="1" t="str">
        <x:v>Magneton</x:v>
      </x:c>
      <x:c r="C744" s="1" t="n">
        <x:v>10</x:v>
      </x:c>
      <x:c r="D744" s="1" t="str">
        <x:v>Discharge</x:v>
      </x:c>
      <x:c r="E744" s="1" t="str">
        <x:v>Elétrico</x:v>
      </x:c>
      <x:c r="F744" s="1" t="str">
        <x:v>Especial</x:v>
      </x:c>
      <x:c r="G744" s="10" t="n">
        <x:v>80</x:v>
      </x:c>
      <x:c r="H744" s="10" t="n">
        <x:f>IF(F744="Física",'Pokémon'!G86,IF(F744="Especial",'Pokémon'!I86,""))</x:f>
        <x:v>120</x:v>
      </x:c>
      <x:c r="I744" s="10" t="n">
        <x:f>IF(OR(F744="Status",G744=0),"",G744+H744)</x:f>
        <x:v>200</x:v>
      </x:c>
      <x:c r="J744" s="10" t="n">
        <x:v>43</x:v>
      </x:c>
      <x:c r="K744" s="12" t="n">
        <x:v>22</x:v>
      </x:c>
      <x:c r="L744" s="1" t="str"/>
      <x:c r="M744" s="9" t="str">
        <x:v>https://poke.idleworld.online/pokepedia/pokemon/magneton</x:v>
      </x:c>
    </x:row>
    <x:row r="745" ht="22" customHeight="1">
      <x:c r="A745" s="1" t="n">
        <x:v>82</x:v>
      </x:c>
      <x:c r="B745" s="1" t="str">
        <x:v>Magneton</x:v>
      </x:c>
      <x:c r="C745" s="1" t="n">
        <x:v>7</x:v>
      </x:c>
      <x:c r="D745" s="1" t="str">
        <x:v>Mirror Shot</x:v>
      </x:c>
      <x:c r="E745" s="1" t="str">
        <x:v>Aço</x:v>
      </x:c>
      <x:c r="F745" s="1" t="str">
        <x:v>Especial</x:v>
      </x:c>
      <x:c r="G745" s="10" t="n">
        <x:v>65</x:v>
      </x:c>
      <x:c r="H745" s="10" t="n">
        <x:f>IF(F745="Física",'Pokémon'!G86,IF(F745="Especial",'Pokémon'!I86,""))</x:f>
        <x:v>120</x:v>
      </x:c>
      <x:c r="I745" s="10" t="n">
        <x:f>IF(OR(F745="Status",G745=0),"",G745+H745)</x:f>
        <x:v>185</x:v>
      </x:c>
      <x:c r="J745" s="10" t="n">
        <x:v>23</x:v>
      </x:c>
      <x:c r="K745" s="12" t="n">
        <x:v>20</x:v>
      </x:c>
      <x:c r="L745" s="1" t="str"/>
      <x:c r="M745" s="9" t="str">
        <x:v>https://poke.idleworld.online/pokepedia/pokemon/magneton</x:v>
      </x:c>
    </x:row>
    <x:row r="746" ht="22" customHeight="1">
      <x:c r="A746" s="1" t="n">
        <x:v>82</x:v>
      </x:c>
      <x:c r="B746" s="1" t="str">
        <x:v>Magneton</x:v>
      </x:c>
      <x:c r="C746" s="1" t="n">
        <x:v>1</x:v>
      </x:c>
      <x:c r="D746" s="1" t="str">
        <x:v>Thunder Shock</x:v>
      </x:c>
      <x:c r="E746" s="1" t="str">
        <x:v>Elétrico</x:v>
      </x:c>
      <x:c r="F746" s="1" t="str">
        <x:v>Especial</x:v>
      </x:c>
      <x:c r="G746" s="10" t="n">
        <x:v>40</x:v>
      </x:c>
      <x:c r="H746" s="10" t="n">
        <x:f>IF(F746="Física",'Pokémon'!G86,IF(F746="Especial",'Pokémon'!I86,""))</x:f>
        <x:v>120</x:v>
      </x:c>
      <x:c r="I746" s="10" t="n">
        <x:f>IF(OR(F746="Status",G746=0),"",G746+H746)</x:f>
        <x:v>160</x:v>
      </x:c>
      <x:c r="J746" s="10" t="n">
        <x:v>1</x:v>
      </x:c>
      <x:c r="K746" s="12" t="n">
        <x:v>10</x:v>
      </x:c>
      <x:c r="L746" s="1" t="str"/>
      <x:c r="M746" s="9" t="str">
        <x:v>https://poke.idleworld.online/pokepedia/pokemon/magneton</x:v>
      </x:c>
    </x:row>
    <x:row r="747" ht="22" customHeight="1">
      <x:c r="A747" s="1" t="n">
        <x:v>82</x:v>
      </x:c>
      <x:c r="B747" s="1" t="str">
        <x:v>Magneton</x:v>
      </x:c>
      <x:c r="C747" s="1" t="n">
        <x:v>6</x:v>
      </x:c>
      <x:c r="D747" s="1" t="str">
        <x:v>Spark</x:v>
      </x:c>
      <x:c r="E747" s="1" t="str">
        <x:v>Elétrico</x:v>
      </x:c>
      <x:c r="F747" s="1" t="str">
        <x:v>Física</x:v>
      </x:c>
      <x:c r="G747" s="10" t="n">
        <x:v>65</x:v>
      </x:c>
      <x:c r="H747" s="10" t="n">
        <x:f>IF(F747="Física",'Pokémon'!G86,IF(F747="Especial",'Pokémon'!I86,""))</x:f>
        <x:v>60</x:v>
      </x:c>
      <x:c r="I747" s="10" t="n">
        <x:f>IF(OR(F747="Status",G747=0),"",G747+H747)</x:f>
        <x:v>125</x:v>
      </x:c>
      <x:c r="J747" s="10" t="n">
        <x:v>19</x:v>
      </x:c>
      <x:c r="K747" s="12" t="n">
        <x:v>20</x:v>
      </x:c>
      <x:c r="L747" s="1" t="str"/>
      <x:c r="M747" s="9" t="str">
        <x:v>https://poke.idleworld.online/pokepedia/pokemon/magneton</x:v>
      </x:c>
    </x:row>
    <x:row r="748" ht="22" customHeight="1">
      <x:c r="A748" s="1" t="n">
        <x:v>82</x:v>
      </x:c>
      <x:c r="B748" s="1" t="str">
        <x:v>Magneton</x:v>
      </x:c>
      <x:c r="C748" s="1" t="n">
        <x:v>5</x:v>
      </x:c>
      <x:c r="D748" s="1" t="str">
        <x:v>Magnet Bomb</x:v>
      </x:c>
      <x:c r="E748" s="1" t="str">
        <x:v>Aço</x:v>
      </x:c>
      <x:c r="F748" s="1" t="str">
        <x:v>Física</x:v>
      </x:c>
      <x:c r="G748" s="10" t="n">
        <x:v>60</x:v>
      </x:c>
      <x:c r="H748" s="10" t="n">
        <x:f>IF(F748="Física",'Pokémon'!G86,IF(F748="Especial",'Pokémon'!I86,""))</x:f>
        <x:v>60</x:v>
      </x:c>
      <x:c r="I748" s="10" t="n">
        <x:f>IF(OR(F748="Status",G748=0),"",G748+H748)</x:f>
        <x:v>120</x:v>
      </x:c>
      <x:c r="J748" s="10" t="n">
        <x:v>17</x:v>
      </x:c>
      <x:c r="K748" s="12" t="n">
        <x:v>20</x:v>
      </x:c>
      <x:c r="L748" s="1" t="str"/>
      <x:c r="M748" s="9" t="str">
        <x:v>https://poke.idleworld.online/pokepedia/pokemon/magneton</x:v>
      </x:c>
    </x:row>
    <x:row r="749" ht="22" customHeight="1">
      <x:c r="A749" s="1" t="n">
        <x:v>82</x:v>
      </x:c>
      <x:c r="B749" s="1" t="str">
        <x:v>Magneton</x:v>
      </x:c>
      <x:c r="C749" s="1" t="n">
        <x:v>3</x:v>
      </x:c>
      <x:c r="D749" s="1" t="str">
        <x:v>Tackle</x:v>
      </x:c>
      <x:c r="E749" s="1" t="str">
        <x:v>Normal</x:v>
      </x:c>
      <x:c r="F749" s="1" t="str">
        <x:v>Física</x:v>
      </x:c>
      <x:c r="G749" s="10" t="n">
        <x:v>50</x:v>
      </x:c>
      <x:c r="H749" s="10" t="n">
        <x:f>IF(F749="Física",'Pokémon'!G86,IF(F749="Especial",'Pokémon'!I86,""))</x:f>
        <x:v>60</x:v>
      </x:c>
      <x:c r="I749" s="10" t="n">
        <x:f>IF(OR(F749="Status",G749=0),"",G749+H749)</x:f>
        <x:v>110</x:v>
      </x:c>
      <x:c r="J749" s="10" t="n">
        <x:v>1</x:v>
      </x:c>
      <x:c r="K749" s="12" t="n">
        <x:v>15</x:v>
      </x:c>
      <x:c r="L749" s="1" t="str"/>
      <x:c r="M749" s="9" t="str">
        <x:v>https://poke.idleworld.online/pokepedia/pokemon/magneton</x:v>
      </x:c>
    </x:row>
    <x:row r="750" ht="22" customHeight="1">
      <x:c r="A750" s="1" t="n">
        <x:v>83</x:v>
      </x:c>
      <x:c r="B750" s="1" t="str">
        <x:v>Farfetchd</x:v>
      </x:c>
      <x:c r="C750" s="1" t="n">
        <x:v>4</x:v>
      </x:c>
      <x:c r="D750" s="1" t="str">
        <x:v>Massive Hurricane</x:v>
      </x:c>
      <x:c r="E750" s="1" t="str">
        <x:v>Voador</x:v>
      </x:c>
      <x:c r="F750" s="1" t="str">
        <x:v>Física</x:v>
      </x:c>
      <x:c r="G750" s="10" t="n">
        <x:v>300</x:v>
      </x:c>
      <x:c r="H750" s="10" t="n">
        <x:f>IF(F750="Física",'Pokémon'!G87,IF(F750="Especial",'Pokémon'!I87,""))</x:f>
        <x:v>65</x:v>
      </x:c>
      <x:c r="I750" s="10" t="n">
        <x:f>IF(OR(F750="Status",G750=0),"",G750+H750)</x:f>
        <x:v>365</x:v>
      </x:c>
      <x:c r="J750" s="10" t="n">
        <x:v>1</x:v>
      </x:c>
      <x:c r="K750" s="12" t="n">
        <x:v>10</x:v>
      </x:c>
      <x:c r="L750" s="1" t="str">
        <x:v>Sim</x:v>
      </x:c>
      <x:c r="M750" s="9" t="str">
        <x:v>https://poke.idleworld.online/pokepedia/pokemon/farfetchd</x:v>
      </x:c>
    </x:row>
    <x:row r="751" ht="22" customHeight="1">
      <x:c r="A751" s="1" t="n">
        <x:v>83</x:v>
      </x:c>
      <x:c r="B751" s="1" t="str">
        <x:v>Farfetchd</x:v>
      </x:c>
      <x:c r="C751" s="1" t="n">
        <x:v>3</x:v>
      </x:c>
      <x:c r="D751" s="1" t="str">
        <x:v>Brave Bird</x:v>
      </x:c>
      <x:c r="E751" s="1" t="str">
        <x:v>Voador</x:v>
      </x:c>
      <x:c r="F751" s="1" t="str">
        <x:v>Física</x:v>
      </x:c>
      <x:c r="G751" s="10" t="n">
        <x:v>120</x:v>
      </x:c>
      <x:c r="H751" s="10" t="n">
        <x:f>IF(F751="Física",'Pokémon'!G87,IF(F751="Especial",'Pokémon'!I87,""))</x:f>
        <x:v>65</x:v>
      </x:c>
      <x:c r="I751" s="10" t="n">
        <x:f>IF(OR(F751="Status",G751=0),"",G751+H751)</x:f>
        <x:v>185</x:v>
      </x:c>
      <x:c r="J751" s="10" t="n">
        <x:v>1</x:v>
      </x:c>
      <x:c r="K751" s="12" t="n">
        <x:v>3</x:v>
      </x:c>
      <x:c r="L751" s="1" t="str"/>
      <x:c r="M751" s="9" t="str">
        <x:v>https://poke.idleworld.online/pokepedia/pokemon/farfetchd</x:v>
      </x:c>
    </x:row>
    <x:row r="752" ht="22" customHeight="1">
      <x:c r="A752" s="1" t="n">
        <x:v>83</x:v>
      </x:c>
      <x:c r="B752" s="1" t="str">
        <x:v>Farfetchd</x:v>
      </x:c>
      <x:c r="C752" s="1" t="n">
        <x:v>1</x:v>
      </x:c>
      <x:c r="D752" s="1" t="str">
        <x:v>Poison Jab</x:v>
      </x:c>
      <x:c r="E752" s="1" t="str">
        <x:v>Venenoso</x:v>
      </x:c>
      <x:c r="F752" s="1" t="str">
        <x:v>Física</x:v>
      </x:c>
      <x:c r="G752" s="10" t="n">
        <x:v>80</x:v>
      </x:c>
      <x:c r="H752" s="10" t="n">
        <x:f>IF(F752="Física",'Pokémon'!G87,IF(F752="Especial",'Pokémon'!I87,""))</x:f>
        <x:v>65</x:v>
      </x:c>
      <x:c r="I752" s="10" t="n">
        <x:f>IF(OR(F752="Status",G752=0),"",G752+H752)</x:f>
        <x:v>145</x:v>
      </x:c>
      <x:c r="J752" s="10" t="n">
        <x:v>1</x:v>
      </x:c>
      <x:c r="K752" s="12" t="n">
        <x:v>15</x:v>
      </x:c>
      <x:c r="L752" s="1" t="str"/>
      <x:c r="M752" s="9" t="str">
        <x:v>https://poke.idleworld.online/pokepedia/pokemon/farfetchd</x:v>
      </x:c>
    </x:row>
    <x:row r="753" ht="22" customHeight="1">
      <x:c r="A753" s="1" t="n">
        <x:v>83</x:v>
      </x:c>
      <x:c r="B753" s="1" t="str">
        <x:v>Farfetchd</x:v>
      </x:c>
      <x:c r="C753" s="1" t="n">
        <x:v>10</x:v>
      </x:c>
      <x:c r="D753" s="1" t="str">
        <x:v>Slash</x:v>
      </x:c>
      <x:c r="E753" s="1" t="str">
        <x:v>Normal</x:v>
      </x:c>
      <x:c r="F753" s="1" t="str">
        <x:v>Física</x:v>
      </x:c>
      <x:c r="G753" s="10" t="n">
        <x:v>70</x:v>
      </x:c>
      <x:c r="H753" s="10" t="n">
        <x:f>IF(F753="Física",'Pokémon'!G87,IF(F753="Especial",'Pokémon'!I87,""))</x:f>
        <x:v>65</x:v>
      </x:c>
      <x:c r="I753" s="10" t="n">
        <x:f>IF(OR(F753="Status",G753=0),"",G753+H753)</x:f>
        <x:v>135</x:v>
      </x:c>
      <x:c r="J753" s="10" t="n">
        <x:v>19</x:v>
      </x:c>
      <x:c r="K753" s="12" t="n">
        <x:v>15</x:v>
      </x:c>
      <x:c r="L753" s="1" t="str"/>
      <x:c r="M753" s="9" t="str">
        <x:v>https://poke.idleworld.online/pokepedia/pokemon/farfetchd</x:v>
      </x:c>
    </x:row>
    <x:row r="754" ht="22" customHeight="1">
      <x:c r="A754" s="1" t="n">
        <x:v>83</x:v>
      </x:c>
      <x:c r="B754" s="1" t="str">
        <x:v>Farfetchd</x:v>
      </x:c>
      <x:c r="C754" s="1" t="n">
        <x:v>14</x:v>
      </x:c>
      <x:c r="D754" s="1" t="str">
        <x:v>Night Slash</x:v>
      </x:c>
      <x:c r="E754" s="1" t="str">
        <x:v>Sombrio</x:v>
      </x:c>
      <x:c r="F754" s="1" t="str">
        <x:v>Física</x:v>
      </x:c>
      <x:c r="G754" s="10" t="n">
        <x:v>70</x:v>
      </x:c>
      <x:c r="H754" s="10" t="n">
        <x:f>IF(F754="Física",'Pokémon'!G87,IF(F754="Especial",'Pokémon'!I87,""))</x:f>
        <x:v>65</x:v>
      </x:c>
      <x:c r="I754" s="10" t="n">
        <x:f>IF(OR(F754="Status",G754=0),"",G754+H754)</x:f>
        <x:v>135</x:v>
      </x:c>
      <x:c r="J754" s="10" t="n">
        <x:v>33</x:v>
      </x:c>
      <x:c r="K754" s="12" t="n">
        <x:v>20</x:v>
      </x:c>
      <x:c r="L754" s="1" t="str"/>
      <x:c r="M754" s="9" t="str">
        <x:v>https://poke.idleworld.online/pokepedia/pokemon/farfetchd</x:v>
      </x:c>
    </x:row>
    <x:row r="755" ht="22" customHeight="1">
      <x:c r="A755" s="1" t="n">
        <x:v>83</x:v>
      </x:c>
      <x:c r="B755" s="1" t="str">
        <x:v>Farfetchd</x:v>
      </x:c>
      <x:c r="C755" s="1" t="n">
        <x:v>18</x:v>
      </x:c>
      <x:c r="D755" s="1" t="str">
        <x:v>Air Slash</x:v>
      </x:c>
      <x:c r="E755" s="1" t="str">
        <x:v>Voador</x:v>
      </x:c>
      <x:c r="F755" s="1" t="str">
        <x:v>Especial</x:v>
      </x:c>
      <x:c r="G755" s="10" t="n">
        <x:v>75</x:v>
      </x:c>
      <x:c r="H755" s="10" t="n">
        <x:f>IF(F755="Física",'Pokémon'!G87,IF(F755="Especial",'Pokémon'!I87,""))</x:f>
        <x:v>58</x:v>
      </x:c>
      <x:c r="I755" s="10" t="n">
        <x:f>IF(OR(F755="Status",G755=0),"",G755+H755)</x:f>
        <x:v>133</x:v>
      </x:c>
      <x:c r="J755" s="10" t="n">
        <x:v>49</x:v>
      </x:c>
      <x:c r="K755" s="12" t="n">
        <x:v>35</x:v>
      </x:c>
      <x:c r="L755" s="1" t="str"/>
      <x:c r="M755" s="9" t="str">
        <x:v>https://poke.idleworld.online/pokepedia/pokemon/farfetchd</x:v>
      </x:c>
    </x:row>
    <x:row r="756" ht="22" customHeight="1">
      <x:c r="A756" s="1" t="n">
        <x:v>83</x:v>
      </x:c>
      <x:c r="B756" s="1" t="str">
        <x:v>Farfetchd</x:v>
      </x:c>
      <x:c r="C756" s="1" t="n">
        <x:v>9</x:v>
      </x:c>
      <x:c r="D756" s="1" t="str">
        <x:v>Knock Off</x:v>
      </x:c>
      <x:c r="E756" s="1" t="str">
        <x:v>Sombrio</x:v>
      </x:c>
      <x:c r="F756" s="1" t="str">
        <x:v>Física</x:v>
      </x:c>
      <x:c r="G756" s="10" t="n">
        <x:v>65</x:v>
      </x:c>
      <x:c r="H756" s="10" t="n">
        <x:f>IF(F756="Física",'Pokémon'!G87,IF(F756="Especial",'Pokémon'!I87,""))</x:f>
        <x:v>65</x:v>
      </x:c>
      <x:c r="I756" s="10" t="n">
        <x:f>IF(OR(F756="Status",G756=0),"",G756+H756)</x:f>
        <x:v>130</x:v>
      </x:c>
      <x:c r="J756" s="10" t="n">
        <x:v>13</x:v>
      </x:c>
      <x:c r="K756" s="12" t="n">
        <x:v>20</x:v>
      </x:c>
      <x:c r="L756" s="1" t="str"/>
      <x:c r="M756" s="9" t="str">
        <x:v>https://poke.idleworld.online/pokepedia/pokemon/farfetchd</x:v>
      </x:c>
    </x:row>
    <x:row r="757" ht="22" customHeight="1">
      <x:c r="A757" s="1" t="n">
        <x:v>83</x:v>
      </x:c>
      <x:c r="B757" s="1" t="str">
        <x:v>Farfetchd</x:v>
      </x:c>
      <x:c r="C757" s="1" t="n">
        <x:v>8</x:v>
      </x:c>
      <x:c r="D757" s="1" t="str">
        <x:v>Aerial Ace</x:v>
      </x:c>
      <x:c r="E757" s="1" t="str">
        <x:v>Voador</x:v>
      </x:c>
      <x:c r="F757" s="1" t="str">
        <x:v>Física</x:v>
      </x:c>
      <x:c r="G757" s="10" t="n">
        <x:v>60</x:v>
      </x:c>
      <x:c r="H757" s="10" t="n">
        <x:f>IF(F757="Física",'Pokémon'!G87,IF(F757="Especial",'Pokémon'!I87,""))</x:f>
        <x:v>65</x:v>
      </x:c>
      <x:c r="I757" s="10" t="n">
        <x:f>IF(OR(F757="Status",G757=0),"",G757+H757)</x:f>
        <x:v>125</x:v>
      </x:c>
      <x:c r="J757" s="10" t="n">
        <x:v>9</x:v>
      </x:c>
      <x:c r="K757" s="12" t="n">
        <x:v>60</x:v>
      </x:c>
      <x:c r="L757" s="1" t="str"/>
      <x:c r="M757" s="9" t="str">
        <x:v>https://poke.idleworld.online/pokepedia/pokemon/farfetchd</x:v>
      </x:c>
    </x:row>
    <x:row r="758" ht="22" customHeight="1">
      <x:c r="A758" s="1" t="n">
        <x:v>83</x:v>
      </x:c>
      <x:c r="B758" s="1" t="str">
        <x:v>Farfetchd</x:v>
      </x:c>
      <x:c r="C758" s="1" t="n">
        <x:v>15</x:v>
      </x:c>
      <x:c r="D758" s="1" t="str">
        <x:v>Acrobatics</x:v>
      </x:c>
      <x:c r="E758" s="1" t="str">
        <x:v>Voador</x:v>
      </x:c>
      <x:c r="F758" s="1" t="str">
        <x:v>Física</x:v>
      </x:c>
      <x:c r="G758" s="10" t="n">
        <x:v>55</x:v>
      </x:c>
      <x:c r="H758" s="10" t="n">
        <x:f>IF(F758="Física",'Pokémon'!G87,IF(F758="Especial",'Pokémon'!I87,""))</x:f>
        <x:v>65</x:v>
      </x:c>
      <x:c r="I758" s="10" t="n">
        <x:f>IF(OR(F758="Status",G758=0),"",G758+H758)</x:f>
        <x:v>120</x:v>
      </x:c>
      <x:c r="J758" s="10" t="n">
        <x:v>37</x:v>
      </x:c>
      <x:c r="K758" s="12" t="n">
        <x:v>2.6</x:v>
      </x:c>
      <x:c r="L758" s="1" t="str"/>
      <x:c r="M758" s="9" t="str">
        <x:v>https://poke.idleworld.online/pokepedia/pokemon/farfetchd</x:v>
      </x:c>
    </x:row>
    <x:row r="759" ht="22" customHeight="1">
      <x:c r="A759" s="1" t="n">
        <x:v>83</x:v>
      </x:c>
      <x:c r="B759" s="1" t="str">
        <x:v>Farfetchd</x:v>
      </x:c>
      <x:c r="C759" s="1" t="n">
        <x:v>11</x:v>
      </x:c>
      <x:c r="D759" s="1" t="str">
        <x:v>Air Cutter</x:v>
      </x:c>
      <x:c r="E759" s="1" t="str">
        <x:v>Voador</x:v>
      </x:c>
      <x:c r="F759" s="1" t="str">
        <x:v>Especial</x:v>
      </x:c>
      <x:c r="G759" s="10" t="n">
        <x:v>60</x:v>
      </x:c>
      <x:c r="H759" s="10" t="n">
        <x:f>IF(F759="Física",'Pokémon'!G87,IF(F759="Especial",'Pokémon'!I87,""))</x:f>
        <x:v>58</x:v>
      </x:c>
      <x:c r="I759" s="10" t="n">
        <x:f>IF(OR(F759="Status",G759=0),"",G759+H759)</x:f>
        <x:v>118</x:v>
      </x:c>
      <x:c r="J759" s="10" t="n">
        <x:v>21</x:v>
      </x:c>
      <x:c r="K759" s="12" t="n">
        <x:v>25</x:v>
      </x:c>
      <x:c r="L759" s="1" t="str"/>
      <x:c r="M759" s="9" t="str">
        <x:v>https://poke.idleworld.online/pokepedia/pokemon/farfetchd</x:v>
      </x:c>
    </x:row>
    <x:row r="760" ht="22" customHeight="1">
      <x:c r="A760" s="1" t="n">
        <x:v>83</x:v>
      </x:c>
      <x:c r="B760" s="1" t="str">
        <x:v>Farfetchd</x:v>
      </x:c>
      <x:c r="C760" s="1" t="n">
        <x:v>6</x:v>
      </x:c>
      <x:c r="D760" s="1" t="str">
        <x:v>Fury Cutter</x:v>
      </x:c>
      <x:c r="E760" s="1" t="str">
        <x:v>Inseto</x:v>
      </x:c>
      <x:c r="F760" s="1" t="str">
        <x:v>Física</x:v>
      </x:c>
      <x:c r="G760" s="10" t="n">
        <x:v>40</x:v>
      </x:c>
      <x:c r="H760" s="10" t="n">
        <x:f>IF(F760="Física",'Pokémon'!G87,IF(F760="Especial",'Pokémon'!I87,""))</x:f>
        <x:v>65</x:v>
      </x:c>
      <x:c r="I760" s="10" t="n">
        <x:f>IF(OR(F760="Status",G760=0),"",G760+H760)</x:f>
        <x:v>105</x:v>
      </x:c>
      <x:c r="J760" s="10" t="n">
        <x:v>1</x:v>
      </x:c>
      <x:c r="K760" s="12" t="n">
        <x:v>15</x:v>
      </x:c>
      <x:c r="L760" s="1" t="str"/>
      <x:c r="M760" s="9" t="str">
        <x:v>https://poke.idleworld.online/pokepedia/pokemon/farfetchd</x:v>
      </x:c>
    </x:row>
    <x:row r="761" ht="22" customHeight="1">
      <x:c r="A761" s="1" t="n">
        <x:v>83</x:v>
      </x:c>
      <x:c r="B761" s="1" t="str">
        <x:v>Farfetchd</x:v>
      </x:c>
      <x:c r="C761" s="1" t="n">
        <x:v>17</x:v>
      </x:c>
      <x:c r="D761" s="1" t="str">
        <x:v>False Swipe</x:v>
      </x:c>
      <x:c r="E761" s="1" t="str">
        <x:v>Normal</x:v>
      </x:c>
      <x:c r="F761" s="1" t="str">
        <x:v>Física</x:v>
      </x:c>
      <x:c r="G761" s="10" t="n">
        <x:v>40</x:v>
      </x:c>
      <x:c r="H761" s="10" t="n">
        <x:f>IF(F761="Física",'Pokémon'!G87,IF(F761="Especial",'Pokémon'!I87,""))</x:f>
        <x:v>65</x:v>
      </x:c>
      <x:c r="I761" s="10" t="n">
        <x:f>IF(OR(F761="Status",G761=0),"",G761+H761)</x:f>
        <x:v>105</x:v>
      </x:c>
      <x:c r="J761" s="10" t="n">
        <x:v>45</x:v>
      </x:c>
      <x:c r="K761" s="12" t="n">
        <x:v>15</x:v>
      </x:c>
      <x:c r="L761" s="1" t="str"/>
      <x:c r="M761" s="9" t="str">
        <x:v>https://poke.idleworld.online/pokepedia/pokemon/farfetchd</x:v>
      </x:c>
    </x:row>
    <x:row r="762" ht="22" customHeight="1">
      <x:c r="A762" s="1" t="n">
        <x:v>83</x:v>
      </x:c>
      <x:c r="B762" s="1" t="str">
        <x:v>Farfetchd</x:v>
      </x:c>
      <x:c r="C762" s="1" t="n">
        <x:v>5</x:v>
      </x:c>
      <x:c r="D762" s="1" t="str">
        <x:v>Peck</x:v>
      </x:c>
      <x:c r="E762" s="1" t="str">
        <x:v>Voador</x:v>
      </x:c>
      <x:c r="F762" s="1" t="str">
        <x:v>Física</x:v>
      </x:c>
      <x:c r="G762" s="10" t="n">
        <x:v>35</x:v>
      </x:c>
      <x:c r="H762" s="10" t="n">
        <x:f>IF(F762="Física",'Pokémon'!G87,IF(F762="Especial",'Pokémon'!I87,""))</x:f>
        <x:v>65</x:v>
      </x:c>
      <x:c r="I762" s="10" t="n">
        <x:f>IF(OR(F762="Status",G762=0),"",G762+H762)</x:f>
        <x:v>100</x:v>
      </x:c>
      <x:c r="J762" s="10" t="n">
        <x:v>1</x:v>
      </x:c>
      <x:c r="K762" s="12" t="n">
        <x:v>15</x:v>
      </x:c>
      <x:c r="L762" s="1" t="str"/>
      <x:c r="M762" s="9" t="str">
        <x:v>https://poke.idleworld.online/pokepedia/pokemon/farfetchd</x:v>
      </x:c>
    </x:row>
    <x:row r="763" ht="22" customHeight="1">
      <x:c r="A763" s="1" t="n">
        <x:v>83</x:v>
      </x:c>
      <x:c r="B763" s="1" t="str">
        <x:v>Farfetchd</x:v>
      </x:c>
      <x:c r="C763" s="1" t="n">
        <x:v>16</x:v>
      </x:c>
      <x:c r="D763" s="1" t="str">
        <x:v>Feint</x:v>
      </x:c>
      <x:c r="E763" s="1" t="str">
        <x:v>Normal</x:v>
      </x:c>
      <x:c r="F763" s="1" t="str">
        <x:v>Física</x:v>
      </x:c>
      <x:c r="G763" s="10" t="n">
        <x:v>30</x:v>
      </x:c>
      <x:c r="H763" s="10" t="n">
        <x:f>IF(F763="Física",'Pokémon'!G87,IF(F763="Especial",'Pokémon'!I87,""))</x:f>
        <x:v>65</x:v>
      </x:c>
      <x:c r="I763" s="10" t="n">
        <x:f>IF(OR(F763="Status",G763=0),"",G763+H763)</x:f>
        <x:v>95</x:v>
      </x:c>
      <x:c r="J763" s="10" t="n">
        <x:v>43</x:v>
      </x:c>
      <x:c r="K763" s="12" t="n">
        <x:v>15</x:v>
      </x:c>
      <x:c r="L763" s="1" t="str"/>
      <x:c r="M763" s="9" t="str">
        <x:v>https://poke.idleworld.online/pokepedia/pokemon/farfetchd</x:v>
      </x:c>
    </x:row>
    <x:row r="764" ht="22" customHeight="1">
      <x:c r="A764" s="1" t="n">
        <x:v>83</x:v>
      </x:c>
      <x:c r="B764" s="1" t="str">
        <x:v>Farfetchd</x:v>
      </x:c>
      <x:c r="C764" s="1" t="n">
        <x:v>7</x:v>
      </x:c>
      <x:c r="D764" s="1" t="str">
        <x:v>Fury Attack</x:v>
      </x:c>
      <x:c r="E764" s="1" t="str">
        <x:v>Normal</x:v>
      </x:c>
      <x:c r="F764" s="1" t="str">
        <x:v>Física</x:v>
      </x:c>
      <x:c r="G764" s="10" t="n">
        <x:v>15</x:v>
      </x:c>
      <x:c r="H764" s="10" t="n">
        <x:f>IF(F764="Física",'Pokémon'!G87,IF(F764="Especial",'Pokémon'!I87,""))</x:f>
        <x:v>65</x:v>
      </x:c>
      <x:c r="I764" s="10" t="n">
        <x:f>IF(OR(F764="Status",G764=0),"",G764+H764)</x:f>
        <x:v>80</x:v>
      </x:c>
      <x:c r="J764" s="10" t="n">
        <x:v>7</x:v>
      </x:c>
      <x:c r="K764" s="12" t="n">
        <x:v>1.8</x:v>
      </x:c>
      <x:c r="L764" s="1" t="str"/>
      <x:c r="M764" s="9" t="str">
        <x:v>https://poke.idleworld.online/pokepedia/pokemon/farfetchd</x:v>
      </x:c>
    </x:row>
    <x:row r="765" ht="22" customHeight="1">
      <x:c r="A765" s="1" t="n">
        <x:v>83</x:v>
      </x:c>
      <x:c r="B765" s="1" t="str">
        <x:v>Farfetchd</x:v>
      </x:c>
      <x:c r="C765" s="1" t="n">
        <x:v>2</x:v>
      </x:c>
      <x:c r="D765" s="1" t="str">
        <x:v>Sand-Attack</x:v>
      </x:c>
      <x:c r="E765" s="1" t="str">
        <x:v>Terrestre</x:v>
      </x:c>
      <x:c r="F765" s="1" t="str">
        <x:v>Status</x:v>
      </x:c>
      <x:c r="G765" s="10" t="n">
        <x:v>0</x:v>
      </x:c>
      <x:c r="H765" s="10" t="str">
        <x:f>IF(F765="Física",'Pokémon'!G87,IF(F765="Especial",'Pokémon'!I87,""))</x:f>
      </x:c>
      <x:c r="I765" s="10" t="str">
        <x:f>IF(OR(F765="Status",G765=0),"",G765+H765)</x:f>
      </x:c>
      <x:c r="J765" s="10" t="n">
        <x:v>1</x:v>
      </x:c>
      <x:c r="K765" s="12" t="n">
        <x:v>2</x:v>
      </x:c>
      <x:c r="L765" s="1" t="str"/>
      <x:c r="M765" s="9" t="str">
        <x:v>https://poke.idleworld.online/pokepedia/pokemon/farfetchd</x:v>
      </x:c>
    </x:row>
    <x:row r="766" ht="22" customHeight="1">
      <x:c r="A766" s="1" t="n">
        <x:v>83</x:v>
      </x:c>
      <x:c r="B766" s="1" t="str">
        <x:v>Farfetchd</x:v>
      </x:c>
      <x:c r="C766" s="1" t="n">
        <x:v>12</x:v>
      </x:c>
      <x:c r="D766" s="1" t="str">
        <x:v>Swords Dance</x:v>
      </x:c>
      <x:c r="E766" s="1" t="str">
        <x:v>Normal</x:v>
      </x:c>
      <x:c r="F766" s="1" t="str">
        <x:v>Status</x:v>
      </x:c>
      <x:c r="G766" s="10" t="n">
        <x:v>0</x:v>
      </x:c>
      <x:c r="H766" s="10" t="str">
        <x:f>IF(F766="Física",'Pokémon'!G87,IF(F766="Especial",'Pokémon'!I87,""))</x:f>
      </x:c>
      <x:c r="I766" s="10" t="str">
        <x:f>IF(OR(F766="Status",G766=0),"",G766+H766)</x:f>
      </x:c>
      <x:c r="J766" s="10" t="n">
        <x:v>25</x:v>
      </x:c>
      <x:c r="K766" s="12" t="n">
        <x:v>60</x:v>
      </x:c>
      <x:c r="L766" s="1" t="str"/>
      <x:c r="M766" s="9" t="str">
        <x:v>https://poke.idleworld.online/pokepedia/pokemon/farfetchd</x:v>
      </x:c>
    </x:row>
    <x:row r="767" ht="22" customHeight="1">
      <x:c r="A767" s="1" t="n">
        <x:v>83</x:v>
      </x:c>
      <x:c r="B767" s="1" t="str">
        <x:v>Farfetchd</x:v>
      </x:c>
      <x:c r="C767" s="1" t="n">
        <x:v>13</x:v>
      </x:c>
      <x:c r="D767" s="1" t="str">
        <x:v>Agility</x:v>
      </x:c>
      <x:c r="E767" s="1" t="str">
        <x:v>Psíquico</x:v>
      </x:c>
      <x:c r="F767" s="1" t="str">
        <x:v>Status</x:v>
      </x:c>
      <x:c r="G767" s="10" t="n">
        <x:v>0</x:v>
      </x:c>
      <x:c r="H767" s="10" t="str">
        <x:f>IF(F767="Física",'Pokémon'!G87,IF(F767="Especial",'Pokémon'!I87,""))</x:f>
      </x:c>
      <x:c r="I767" s="10" t="str">
        <x:f>IF(OR(F767="Status",G767=0),"",G767+H767)</x:f>
      </x:c>
      <x:c r="J767" s="10" t="n">
        <x:v>31</x:v>
      </x:c>
      <x:c r="K767" s="12" t="n">
        <x:v>50</x:v>
      </x:c>
      <x:c r="L767" s="1" t="str"/>
      <x:c r="M767" s="9" t="str">
        <x:v>https://poke.idleworld.online/pokepedia/pokemon/farfetchd</x:v>
      </x:c>
    </x:row>
    <x:row r="768" ht="22" customHeight="1">
      <x:c r="A768" s="1" t="n">
        <x:v>84</x:v>
      </x:c>
      <x:c r="B768" s="1" t="str">
        <x:v>Doduo</x:v>
      </x:c>
      <x:c r="C768" s="1" t="n">
        <x:v>11</x:v>
      </x:c>
      <x:c r="D768" s="1" t="str">
        <x:v>Thrash</x:v>
      </x:c>
      <x:c r="E768" s="1" t="str">
        <x:v>Normal</x:v>
      </x:c>
      <x:c r="F768" s="1" t="str">
        <x:v>Física</x:v>
      </x:c>
      <x:c r="G768" s="10" t="n">
        <x:v>120</x:v>
      </x:c>
      <x:c r="H768" s="10" t="n">
        <x:f>IF(F768="Física",'Pokémon'!G88,IF(F768="Especial",'Pokémon'!I88,""))</x:f>
        <x:v>85</x:v>
      </x:c>
      <x:c r="I768" s="10" t="n">
        <x:f>IF(OR(F768="Status",G768=0),"",G768+H768)</x:f>
        <x:v>205</x:v>
      </x:c>
      <x:c r="J768" s="10" t="n">
        <x:v>49</x:v>
      </x:c>
      <x:c r="K768" s="12" t="n">
        <x:v>50</x:v>
      </x:c>
      <x:c r="L768" s="1" t="str"/>
      <x:c r="M768" s="9" t="str">
        <x:v>https://poke.idleworld.online/pokepedia/pokemon/doduo</x:v>
      </x:c>
    </x:row>
    <x:row r="769" ht="22" customHeight="1">
      <x:c r="A769" s="1" t="n">
        <x:v>84</x:v>
      </x:c>
      <x:c r="B769" s="1" t="str">
        <x:v>Doduo</x:v>
      </x:c>
      <x:c r="C769" s="1" t="n">
        <x:v>9</x:v>
      </x:c>
      <x:c r="D769" s="1" t="str">
        <x:v>Drill Peck</x:v>
      </x:c>
      <x:c r="E769" s="1" t="str">
        <x:v>Voador</x:v>
      </x:c>
      <x:c r="F769" s="1" t="str">
        <x:v>Física</x:v>
      </x:c>
      <x:c r="G769" s="10" t="n">
        <x:v>80</x:v>
      </x:c>
      <x:c r="H769" s="10" t="n">
        <x:f>IF(F769="Física",'Pokémon'!G88,IF(F769="Especial",'Pokémon'!I88,""))</x:f>
        <x:v>85</x:v>
      </x:c>
      <x:c r="I769" s="10" t="n">
        <x:f>IF(OR(F769="Status",G769=0),"",G769+H769)</x:f>
        <x:v>165</x:v>
      </x:c>
      <x:c r="J769" s="10" t="n">
        <x:v>37</x:v>
      </x:c>
      <x:c r="K769" s="12" t="n">
        <x:v>12</x:v>
      </x:c>
      <x:c r="L769" s="1" t="str"/>
      <x:c r="M769" s="9" t="str">
        <x:v>https://poke.idleworld.online/pokepedia/pokemon/doduo</x:v>
      </x:c>
    </x:row>
    <x:row r="770" ht="22" customHeight="1">
      <x:c r="A770" s="1" t="n">
        <x:v>84</x:v>
      </x:c>
      <x:c r="B770" s="1" t="str">
        <x:v>Doduo</x:v>
      </x:c>
      <x:c r="C770" s="1" t="n">
        <x:v>6</x:v>
      </x:c>
      <x:c r="D770" s="1" t="str">
        <x:v>Pluck</x:v>
      </x:c>
      <x:c r="E770" s="1" t="str">
        <x:v>Voador</x:v>
      </x:c>
      <x:c r="F770" s="1" t="str">
        <x:v>Física</x:v>
      </x:c>
      <x:c r="G770" s="10" t="n">
        <x:v>60</x:v>
      </x:c>
      <x:c r="H770" s="10" t="n">
        <x:f>IF(F770="Física",'Pokémon'!G88,IF(F770="Especial",'Pokémon'!I88,""))</x:f>
        <x:v>85</x:v>
      </x:c>
      <x:c r="I770" s="10" t="n">
        <x:f>IF(OR(F770="Status",G770=0),"",G770+H770)</x:f>
        <x:v>145</x:v>
      </x:c>
      <x:c r="J770" s="10" t="n">
        <x:v>21</x:v>
      </x:c>
      <x:c r="K770" s="12" t="n">
        <x:v>20</x:v>
      </x:c>
      <x:c r="L770" s="1" t="str"/>
      <x:c r="M770" s="9" t="str">
        <x:v>https://poke.idleworld.online/pokepedia/pokemon/doduo</x:v>
      </x:c>
    </x:row>
    <x:row r="771" ht="22" customHeight="1">
      <x:c r="A771" s="1" t="n">
        <x:v>84</x:v>
      </x:c>
      <x:c r="B771" s="1" t="str">
        <x:v>Doduo</x:v>
      </x:c>
      <x:c r="C771" s="1" t="n">
        <x:v>10</x:v>
      </x:c>
      <x:c r="D771" s="1" t="str">
        <x:v>Uproar</x:v>
      </x:c>
      <x:c r="E771" s="1" t="str">
        <x:v>Normal</x:v>
      </x:c>
      <x:c r="F771" s="1" t="str">
        <x:v>Especial</x:v>
      </x:c>
      <x:c r="G771" s="10" t="n">
        <x:v>90</x:v>
      </x:c>
      <x:c r="H771" s="10" t="n">
        <x:f>IF(F771="Física",'Pokémon'!G88,IF(F771="Especial",'Pokémon'!I88,""))</x:f>
        <x:v>35</x:v>
      </x:c>
      <x:c r="I771" s="10" t="n">
        <x:f>IF(OR(F771="Status",G771=0),"",G771+H771)</x:f>
        <x:v>125</x:v>
      </x:c>
      <x:c r="J771" s="10" t="n">
        <x:v>41</x:v>
      </x:c>
      <x:c r="K771" s="12" t="n">
        <x:v>22</x:v>
      </x:c>
      <x:c r="L771" s="1" t="str"/>
      <x:c r="M771" s="9" t="str">
        <x:v>https://poke.idleworld.online/pokepedia/pokemon/doduo</x:v>
      </x:c>
    </x:row>
    <x:row r="772" ht="22" customHeight="1">
      <x:c r="A772" s="1" t="n">
        <x:v>84</x:v>
      </x:c>
      <x:c r="B772" s="1" t="str">
        <x:v>Doduo</x:v>
      </x:c>
      <x:c r="C772" s="1" t="n">
        <x:v>2</x:v>
      </x:c>
      <x:c r="D772" s="1" t="str">
        <x:v>Quick Attack</x:v>
      </x:c>
      <x:c r="E772" s="1" t="str">
        <x:v>Normal</x:v>
      </x:c>
      <x:c r="F772" s="1" t="str">
        <x:v>Física</x:v>
      </x:c>
      <x:c r="G772" s="10" t="n">
        <x:v>40</x:v>
      </x:c>
      <x:c r="H772" s="10" t="n">
        <x:f>IF(F772="Física",'Pokémon'!G88,IF(F772="Especial",'Pokémon'!I88,""))</x:f>
        <x:v>85</x:v>
      </x:c>
      <x:c r="I772" s="10" t="n">
        <x:f>IF(OR(F772="Status",G772=0),"",G772+H772)</x:f>
        <x:v>125</x:v>
      </x:c>
      <x:c r="J772" s="10" t="n">
        <x:v>5</x:v>
      </x:c>
      <x:c r="K772" s="12" t="n">
        <x:v>15</x:v>
      </x:c>
      <x:c r="L772" s="1" t="str"/>
      <x:c r="M772" s="9" t="str">
        <x:v>https://poke.idleworld.online/pokepedia/pokemon/doduo</x:v>
      </x:c>
    </x:row>
    <x:row r="773" ht="22" customHeight="1">
      <x:c r="A773" s="1" t="n">
        <x:v>84</x:v>
      </x:c>
      <x:c r="B773" s="1" t="str">
        <x:v>Doduo</x:v>
      </x:c>
      <x:c r="C773" s="1" t="n">
        <x:v>5</x:v>
      </x:c>
      <x:c r="D773" s="1" t="str">
        <x:v>Pursuit</x:v>
      </x:c>
      <x:c r="E773" s="1" t="str">
        <x:v>Sombrio</x:v>
      </x:c>
      <x:c r="F773" s="1" t="str">
        <x:v>Física</x:v>
      </x:c>
      <x:c r="G773" s="10" t="n">
        <x:v>40</x:v>
      </x:c>
      <x:c r="H773" s="10" t="n">
        <x:f>IF(F773="Física",'Pokémon'!G88,IF(F773="Especial",'Pokémon'!I88,""))</x:f>
        <x:v>85</x:v>
      </x:c>
      <x:c r="I773" s="10" t="n">
        <x:f>IF(OR(F773="Status",G773=0),"",G773+H773)</x:f>
        <x:v>125</x:v>
      </x:c>
      <x:c r="J773" s="10" t="n">
        <x:v>17</x:v>
      </x:c>
      <x:c r="K773" s="12" t="n">
        <x:v>15</x:v>
      </x:c>
      <x:c r="L773" s="1" t="str"/>
      <x:c r="M773" s="9" t="str">
        <x:v>https://poke.idleworld.online/pokepedia/pokemon/doduo</x:v>
      </x:c>
    </x:row>
    <x:row r="774" ht="22" customHeight="1">
      <x:c r="A774" s="1" t="n">
        <x:v>84</x:v>
      </x:c>
      <x:c r="B774" s="1" t="str">
        <x:v>Doduo</x:v>
      </x:c>
      <x:c r="C774" s="1" t="n">
        <x:v>1</x:v>
      </x:c>
      <x:c r="D774" s="1" t="str">
        <x:v>Peck</x:v>
      </x:c>
      <x:c r="E774" s="1" t="str">
        <x:v>Voador</x:v>
      </x:c>
      <x:c r="F774" s="1" t="str">
        <x:v>Física</x:v>
      </x:c>
      <x:c r="G774" s="10" t="n">
        <x:v>35</x:v>
      </x:c>
      <x:c r="H774" s="10" t="n">
        <x:f>IF(F774="Física",'Pokémon'!G88,IF(F774="Especial",'Pokémon'!I88,""))</x:f>
        <x:v>85</x:v>
      </x:c>
      <x:c r="I774" s="10" t="n">
        <x:f>IF(OR(F774="Status",G774=0),"",G774+H774)</x:f>
        <x:v>120</x:v>
      </x:c>
      <x:c r="J774" s="10" t="n">
        <x:v>1</x:v>
      </x:c>
      <x:c r="K774" s="12" t="n">
        <x:v>10</x:v>
      </x:c>
      <x:c r="L774" s="1" t="str"/>
      <x:c r="M774" s="9" t="str">
        <x:v>https://poke.idleworld.online/pokepedia/pokemon/doduo</x:v>
      </x:c>
    </x:row>
    <x:row r="775" ht="22" customHeight="1">
      <x:c r="A775" s="1" t="n">
        <x:v>84</x:v>
      </x:c>
      <x:c r="B775" s="1" t="str">
        <x:v>Doduo</x:v>
      </x:c>
      <x:c r="C775" s="1" t="n">
        <x:v>7</x:v>
      </x:c>
      <x:c r="D775" s="1" t="str">
        <x:v>Double Hit</x:v>
      </x:c>
      <x:c r="E775" s="1" t="str">
        <x:v>Normal</x:v>
      </x:c>
      <x:c r="F775" s="1" t="str">
        <x:v>Física</x:v>
      </x:c>
      <x:c r="G775" s="10" t="n">
        <x:v>35</x:v>
      </x:c>
      <x:c r="H775" s="10" t="n">
        <x:f>IF(F775="Física",'Pokémon'!G88,IF(F775="Especial",'Pokémon'!I88,""))</x:f>
        <x:v>85</x:v>
      </x:c>
      <x:c r="I775" s="10" t="n">
        <x:f>IF(OR(F775="Status",G775=0),"",G775+H775)</x:f>
        <x:v>120</x:v>
      </x:c>
      <x:c r="J775" s="10" t="n">
        <x:v>25</x:v>
      </x:c>
      <x:c r="K775" s="12" t="n">
        <x:v>15</x:v>
      </x:c>
      <x:c r="L775" s="1" t="str"/>
      <x:c r="M775" s="9" t="str">
        <x:v>https://poke.idleworld.online/pokepedia/pokemon/doduo</x:v>
      </x:c>
    </x:row>
    <x:row r="776" ht="22" customHeight="1">
      <x:c r="A776" s="1" t="n">
        <x:v>84</x:v>
      </x:c>
      <x:c r="B776" s="1" t="str">
        <x:v>Doduo</x:v>
      </x:c>
      <x:c r="C776" s="1" t="n">
        <x:v>3</x:v>
      </x:c>
      <x:c r="D776" s="1" t="str">
        <x:v>Rage</x:v>
      </x:c>
      <x:c r="E776" s="1" t="str">
        <x:v>Normal</x:v>
      </x:c>
      <x:c r="F776" s="1" t="str">
        <x:v>Física</x:v>
      </x:c>
      <x:c r="G776" s="10" t="n">
        <x:v>20</x:v>
      </x:c>
      <x:c r="H776" s="10" t="n">
        <x:f>IF(F776="Física",'Pokémon'!G88,IF(F776="Especial",'Pokémon'!I88,""))</x:f>
        <x:v>85</x:v>
      </x:c>
      <x:c r="I776" s="10" t="n">
        <x:f>IF(OR(F776="Status",G776=0),"",G776+H776)</x:f>
        <x:v>105</x:v>
      </x:c>
      <x:c r="J776" s="10" t="n">
        <x:v>9</x:v>
      </x:c>
      <x:c r="K776" s="12" t="n">
        <x:v>30</x:v>
      </x:c>
      <x:c r="L776" s="1" t="str"/>
      <x:c r="M776" s="9" t="str">
        <x:v>https://poke.idleworld.online/pokepedia/pokemon/doduo</x:v>
      </x:c>
    </x:row>
    <x:row r="777" ht="22" customHeight="1">
      <x:c r="A777" s="1" t="n">
        <x:v>84</x:v>
      </x:c>
      <x:c r="B777" s="1" t="str">
        <x:v>Doduo</x:v>
      </x:c>
      <x:c r="C777" s="1" t="n">
        <x:v>4</x:v>
      </x:c>
      <x:c r="D777" s="1" t="str">
        <x:v>Fury Attack</x:v>
      </x:c>
      <x:c r="E777" s="1" t="str">
        <x:v>Normal</x:v>
      </x:c>
      <x:c r="F777" s="1" t="str">
        <x:v>Física</x:v>
      </x:c>
      <x:c r="G777" s="10" t="n">
        <x:v>15</x:v>
      </x:c>
      <x:c r="H777" s="10" t="n">
        <x:f>IF(F777="Física",'Pokémon'!G88,IF(F777="Especial",'Pokémon'!I88,""))</x:f>
        <x:v>85</x:v>
      </x:c>
      <x:c r="I777" s="10" t="n">
        <x:f>IF(OR(F777="Status",G777=0),"",G777+H777)</x:f>
        <x:v>100</x:v>
      </x:c>
      <x:c r="J777" s="10" t="n">
        <x:v>13</x:v>
      </x:c>
      <x:c r="K777" s="12" t="n">
        <x:v>15</x:v>
      </x:c>
      <x:c r="L777" s="1" t="str"/>
      <x:c r="M777" s="9" t="str">
        <x:v>https://poke.idleworld.online/pokepedia/pokemon/doduo</x:v>
      </x:c>
    </x:row>
    <x:row r="778" ht="22" customHeight="1">
      <x:c r="A778" s="1" t="n">
        <x:v>84</x:v>
      </x:c>
      <x:c r="B778" s="1" t="str">
        <x:v>Doduo</x:v>
      </x:c>
      <x:c r="C778" s="1" t="n">
        <x:v>8</x:v>
      </x:c>
      <x:c r="D778" s="1" t="str">
        <x:v>Agility</x:v>
      </x:c>
      <x:c r="E778" s="1" t="str">
        <x:v>Psíquico</x:v>
      </x:c>
      <x:c r="F778" s="1" t="str">
        <x:v>Status</x:v>
      </x:c>
      <x:c r="G778" s="10" t="n">
        <x:v>0</x:v>
      </x:c>
      <x:c r="H778" s="10" t="str">
        <x:f>IF(F778="Física",'Pokémon'!G88,IF(F778="Especial",'Pokémon'!I88,""))</x:f>
      </x:c>
      <x:c r="I778" s="10" t="str">
        <x:f>IF(OR(F778="Status",G778=0),"",G778+H778)</x:f>
      </x:c>
      <x:c r="J778" s="10" t="n">
        <x:v>33</x:v>
      </x:c>
      <x:c r="K778" s="12" t="n">
        <x:v>50</x:v>
      </x:c>
      <x:c r="L778" s="1" t="str"/>
      <x:c r="M778" s="9" t="str">
        <x:v>https://poke.idleworld.online/pokepedia/pokemon/doduo</x:v>
      </x:c>
    </x:row>
    <x:row r="779" ht="22" customHeight="1">
      <x:c r="A779" s="1" t="n">
        <x:v>85</x:v>
      </x:c>
      <x:c r="B779" s="1" t="str">
        <x:v>Dodrio</x:v>
      </x:c>
      <x:c r="C779" s="1" t="n">
        <x:v>3</x:v>
      </x:c>
      <x:c r="D779" s="1" t="str">
        <x:v>Massive Hurricane</x:v>
      </x:c>
      <x:c r="E779" s="1" t="str">
        <x:v>Voador</x:v>
      </x:c>
      <x:c r="F779" s="1" t="str">
        <x:v>Física</x:v>
      </x:c>
      <x:c r="G779" s="10" t="n">
        <x:v>300</x:v>
      </x:c>
      <x:c r="H779" s="10" t="n">
        <x:f>IF(F779="Física",'Pokémon'!G89,IF(F779="Especial",'Pokémon'!I89,""))</x:f>
        <x:v>110</x:v>
      </x:c>
      <x:c r="I779" s="10" t="n">
        <x:f>IF(OR(F779="Status",G779=0),"",G779+H779)</x:f>
        <x:v>410</x:v>
      </x:c>
      <x:c r="J779" s="10" t="n">
        <x:v>1</x:v>
      </x:c>
      <x:c r="K779" s="12" t="n">
        <x:v>10</x:v>
      </x:c>
      <x:c r="L779" s="1" t="str">
        <x:v>Sim</x:v>
      </x:c>
      <x:c r="M779" s="9" t="str">
        <x:v>https://poke.idleworld.online/pokepedia/pokemon/dodrio</x:v>
      </x:c>
    </x:row>
    <x:row r="780" ht="22" customHeight="1">
      <x:c r="A780" s="1" t="n">
        <x:v>85</x:v>
      </x:c>
      <x:c r="B780" s="1" t="str">
        <x:v>Dodrio</x:v>
      </x:c>
      <x:c r="C780" s="1" t="n">
        <x:v>12</x:v>
      </x:c>
      <x:c r="D780" s="1" t="str">
        <x:v>Thrash</x:v>
      </x:c>
      <x:c r="E780" s="1" t="str">
        <x:v>Normal</x:v>
      </x:c>
      <x:c r="F780" s="1" t="str">
        <x:v>Física</x:v>
      </x:c>
      <x:c r="G780" s="10" t="n">
        <x:v>120</x:v>
      </x:c>
      <x:c r="H780" s="10" t="n">
        <x:f>IF(F780="Física",'Pokémon'!G89,IF(F780="Especial",'Pokémon'!I89,""))</x:f>
        <x:v>110</x:v>
      </x:c>
      <x:c r="I780" s="10" t="n">
        <x:f>IF(OR(F780="Status",G780=0),"",G780+H780)</x:f>
        <x:v>230</x:v>
      </x:c>
      <x:c r="J780" s="10" t="n">
        <x:v>59</x:v>
      </x:c>
      <x:c r="K780" s="12" t="n">
        <x:v>50</x:v>
      </x:c>
      <x:c r="L780" s="1" t="str"/>
      <x:c r="M780" s="9" t="str">
        <x:v>https://poke.idleworld.online/pokepedia/pokemon/dodrio</x:v>
      </x:c>
    </x:row>
    <x:row r="781" ht="22" customHeight="1">
      <x:c r="A781" s="1" t="n">
        <x:v>85</x:v>
      </x:c>
      <x:c r="B781" s="1" t="str">
        <x:v>Dodrio</x:v>
      </x:c>
      <x:c r="C781" s="1" t="n">
        <x:v>10</x:v>
      </x:c>
      <x:c r="D781" s="1" t="str">
        <x:v>Drill Peck</x:v>
      </x:c>
      <x:c r="E781" s="1" t="str">
        <x:v>Voador</x:v>
      </x:c>
      <x:c r="F781" s="1" t="str">
        <x:v>Física</x:v>
      </x:c>
      <x:c r="G781" s="10" t="n">
        <x:v>80</x:v>
      </x:c>
      <x:c r="H781" s="10" t="n">
        <x:f>IF(F781="Física",'Pokémon'!G89,IF(F781="Especial",'Pokémon'!I89,""))</x:f>
        <x:v>110</x:v>
      </x:c>
      <x:c r="I781" s="10" t="n">
        <x:f>IF(OR(F781="Status",G781=0),"",G781+H781)</x:f>
        <x:v>190</x:v>
      </x:c>
      <x:c r="J781" s="10" t="n">
        <x:v>41</x:v>
      </x:c>
      <x:c r="K781" s="12" t="n">
        <x:v>12</x:v>
      </x:c>
      <x:c r="L781" s="1" t="str"/>
      <x:c r="M781" s="9" t="str">
        <x:v>https://poke.idleworld.online/pokepedia/pokemon/dodrio</x:v>
      </x:c>
    </x:row>
    <x:row r="782" ht="22" customHeight="1">
      <x:c r="A782" s="1" t="n">
        <x:v>85</x:v>
      </x:c>
      <x:c r="B782" s="1" t="str">
        <x:v>Dodrio</x:v>
      </x:c>
      <x:c r="C782" s="1" t="n">
        <x:v>7</x:v>
      </x:c>
      <x:c r="D782" s="1" t="str">
        <x:v>Pluck</x:v>
      </x:c>
      <x:c r="E782" s="1" t="str">
        <x:v>Voador</x:v>
      </x:c>
      <x:c r="F782" s="1" t="str">
        <x:v>Física</x:v>
      </x:c>
      <x:c r="G782" s="10" t="n">
        <x:v>60</x:v>
      </x:c>
      <x:c r="H782" s="10" t="n">
        <x:f>IF(F782="Física",'Pokémon'!G89,IF(F782="Especial",'Pokémon'!I89,""))</x:f>
        <x:v>110</x:v>
      </x:c>
      <x:c r="I782" s="10" t="n">
        <x:f>IF(OR(F782="Status",G782=0),"",G782+H782)</x:f>
        <x:v>170</x:v>
      </x:c>
      <x:c r="J782" s="10" t="n">
        <x:v>21</x:v>
      </x:c>
      <x:c r="K782" s="12" t="n">
        <x:v>15</x:v>
      </x:c>
      <x:c r="L782" s="1" t="str"/>
      <x:c r="M782" s="9" t="str">
        <x:v>https://poke.idleworld.online/pokepedia/pokemon/dodrio</x:v>
      </x:c>
    </x:row>
    <x:row r="783" ht="22" customHeight="1">
      <x:c r="A783" s="1" t="n">
        <x:v>85</x:v>
      </x:c>
      <x:c r="B783" s="1" t="str">
        <x:v>Dodrio</x:v>
      </x:c>
      <x:c r="C783" s="1" t="n">
        <x:v>11</x:v>
      </x:c>
      <x:c r="D783" s="1" t="str">
        <x:v>Uproar</x:v>
      </x:c>
      <x:c r="E783" s="1" t="str">
        <x:v>Normal</x:v>
      </x:c>
      <x:c r="F783" s="1" t="str">
        <x:v>Especial</x:v>
      </x:c>
      <x:c r="G783" s="10" t="n">
        <x:v>90</x:v>
      </x:c>
      <x:c r="H783" s="10" t="n">
        <x:f>IF(F783="Física",'Pokémon'!G89,IF(F783="Especial",'Pokémon'!I89,""))</x:f>
        <x:v>60</x:v>
      </x:c>
      <x:c r="I783" s="10" t="n">
        <x:f>IF(OR(F783="Status",G783=0),"",G783+H783)</x:f>
        <x:v>150</x:v>
      </x:c>
      <x:c r="J783" s="10" t="n">
        <x:v>47</x:v>
      </x:c>
      <x:c r="K783" s="12" t="n">
        <x:v>22</x:v>
      </x:c>
      <x:c r="L783" s="1" t="str"/>
      <x:c r="M783" s="9" t="str">
        <x:v>https://poke.idleworld.online/pokepedia/pokemon/dodrio</x:v>
      </x:c>
    </x:row>
    <x:row r="784" ht="22" customHeight="1">
      <x:c r="A784" s="1" t="n">
        <x:v>85</x:v>
      </x:c>
      <x:c r="B784" s="1" t="str">
        <x:v>Dodrio</x:v>
      </x:c>
      <x:c r="C784" s="1" t="n">
        <x:v>4</x:v>
      </x:c>
      <x:c r="D784" s="1" t="str">
        <x:v>Quick Attack</x:v>
      </x:c>
      <x:c r="E784" s="1" t="str">
        <x:v>Normal</x:v>
      </x:c>
      <x:c r="F784" s="1" t="str">
        <x:v>Física</x:v>
      </x:c>
      <x:c r="G784" s="10" t="n">
        <x:v>40</x:v>
      </x:c>
      <x:c r="H784" s="10" t="n">
        <x:f>IF(F784="Física",'Pokémon'!G89,IF(F784="Especial",'Pokémon'!I89,""))</x:f>
        <x:v>110</x:v>
      </x:c>
      <x:c r="I784" s="10" t="n">
        <x:f>IF(OR(F784="Status",G784=0),"",G784+H784)</x:f>
        <x:v>150</x:v>
      </x:c>
      <x:c r="J784" s="10" t="n">
        <x:v>1</x:v>
      </x:c>
      <x:c r="K784" s="12" t="n">
        <x:v>15</x:v>
      </x:c>
      <x:c r="L784" s="1" t="str"/>
      <x:c r="M784" s="9" t="str">
        <x:v>https://poke.idleworld.online/pokepedia/pokemon/dodrio</x:v>
      </x:c>
    </x:row>
    <x:row r="785" ht="22" customHeight="1">
      <x:c r="A785" s="1" t="n">
        <x:v>85</x:v>
      </x:c>
      <x:c r="B785" s="1" t="str">
        <x:v>Dodrio</x:v>
      </x:c>
      <x:c r="C785" s="1" t="n">
        <x:v>6</x:v>
      </x:c>
      <x:c r="D785" s="1" t="str">
        <x:v>Pursuit</x:v>
      </x:c>
      <x:c r="E785" s="1" t="str">
        <x:v>Sombrio</x:v>
      </x:c>
      <x:c r="F785" s="1" t="str">
        <x:v>Física</x:v>
      </x:c>
      <x:c r="G785" s="10" t="n">
        <x:v>40</x:v>
      </x:c>
      <x:c r="H785" s="10" t="n">
        <x:f>IF(F785="Física",'Pokémon'!G89,IF(F785="Especial",'Pokémon'!I89,""))</x:f>
        <x:v>110</x:v>
      </x:c>
      <x:c r="I785" s="10" t="n">
        <x:f>IF(OR(F785="Status",G785=0),"",G785+H785)</x:f>
        <x:v>150</x:v>
      </x:c>
      <x:c r="J785" s="10" t="n">
        <x:v>17</x:v>
      </x:c>
      <x:c r="K785" s="12" t="n">
        <x:v>15</x:v>
      </x:c>
      <x:c r="L785" s="1" t="str"/>
      <x:c r="M785" s="9" t="str">
        <x:v>https://poke.idleworld.online/pokepedia/pokemon/dodrio</x:v>
      </x:c>
    </x:row>
    <x:row r="786" ht="22" customHeight="1">
      <x:c r="A786" s="1" t="n">
        <x:v>85</x:v>
      </x:c>
      <x:c r="B786" s="1" t="str">
        <x:v>Dodrio</x:v>
      </x:c>
      <x:c r="C786" s="1" t="n">
        <x:v>1</x:v>
      </x:c>
      <x:c r="D786" s="1" t="str">
        <x:v>Peck</x:v>
      </x:c>
      <x:c r="E786" s="1" t="str">
        <x:v>Voador</x:v>
      </x:c>
      <x:c r="F786" s="1" t="str">
        <x:v>Física</x:v>
      </x:c>
      <x:c r="G786" s="10" t="n">
        <x:v>35</x:v>
      </x:c>
      <x:c r="H786" s="10" t="n">
        <x:f>IF(F786="Física",'Pokémon'!G89,IF(F786="Especial",'Pokémon'!I89,""))</x:f>
        <x:v>110</x:v>
      </x:c>
      <x:c r="I786" s="10" t="n">
        <x:f>IF(OR(F786="Status",G786=0),"",G786+H786)</x:f>
        <x:v>145</x:v>
      </x:c>
      <x:c r="J786" s="10" t="n">
        <x:v>1</x:v>
      </x:c>
      <x:c r="K786" s="12" t="n">
        <x:v>10</x:v>
      </x:c>
      <x:c r="L786" s="1" t="str"/>
      <x:c r="M786" s="9" t="str">
        <x:v>https://poke.idleworld.online/pokepedia/pokemon/dodrio</x:v>
      </x:c>
    </x:row>
    <x:row r="787" ht="22" customHeight="1">
      <x:c r="A787" s="1" t="n">
        <x:v>85</x:v>
      </x:c>
      <x:c r="B787" s="1" t="str">
        <x:v>Dodrio</x:v>
      </x:c>
      <x:c r="C787" s="1" t="n">
        <x:v>8</x:v>
      </x:c>
      <x:c r="D787" s="1" t="str">
        <x:v>Tri-Attack</x:v>
      </x:c>
      <x:c r="E787" s="1" t="str">
        <x:v>Normal</x:v>
      </x:c>
      <x:c r="F787" s="1" t="str">
        <x:v>Especial</x:v>
      </x:c>
      <x:c r="G787" s="10" t="n">
        <x:v>80</x:v>
      </x:c>
      <x:c r="H787" s="10" t="n">
        <x:f>IF(F787="Física",'Pokémon'!G89,IF(F787="Especial",'Pokémon'!I89,""))</x:f>
        <x:v>60</x:v>
      </x:c>
      <x:c r="I787" s="10" t="n">
        <x:f>IF(OR(F787="Status",G787=0),"",G787+H787)</x:f>
        <x:v>140</x:v>
      </x:c>
      <x:c r="J787" s="10" t="n">
        <x:v>25</x:v>
      </x:c>
      <x:c r="K787" s="12" t="n">
        <x:v>30</x:v>
      </x:c>
      <x:c r="L787" s="1" t="str"/>
      <x:c r="M787" s="9" t="str">
        <x:v>https://poke.idleworld.online/pokepedia/pokemon/dodrio</x:v>
      </x:c>
    </x:row>
    <x:row r="788" ht="22" customHeight="1">
      <x:c r="A788" s="1" t="n">
        <x:v>85</x:v>
      </x:c>
      <x:c r="B788" s="1" t="str">
        <x:v>Dodrio</x:v>
      </x:c>
      <x:c r="C788" s="1" t="n">
        <x:v>2</x:v>
      </x:c>
      <x:c r="D788" s="1" t="str">
        <x:v>Rage</x:v>
      </x:c>
      <x:c r="E788" s="1" t="str">
        <x:v>Normal</x:v>
      </x:c>
      <x:c r="F788" s="1" t="str">
        <x:v>Física</x:v>
      </x:c>
      <x:c r="G788" s="10" t="n">
        <x:v>20</x:v>
      </x:c>
      <x:c r="H788" s="10" t="n">
        <x:f>IF(F788="Física",'Pokémon'!G89,IF(F788="Especial",'Pokémon'!I89,""))</x:f>
        <x:v>110</x:v>
      </x:c>
      <x:c r="I788" s="10" t="n">
        <x:f>IF(OR(F788="Status",G788=0),"",G788+H788)</x:f>
        <x:v>130</x:v>
      </x:c>
      <x:c r="J788" s="10" t="n">
        <x:v>1</x:v>
      </x:c>
      <x:c r="K788" s="12" t="n">
        <x:v>30</x:v>
      </x:c>
      <x:c r="L788" s="1" t="str"/>
      <x:c r="M788" s="9" t="str">
        <x:v>https://poke.idleworld.online/pokepedia/pokemon/dodrio</x:v>
      </x:c>
    </x:row>
    <x:row r="789" ht="22" customHeight="1">
      <x:c r="A789" s="1" t="n">
        <x:v>85</x:v>
      </x:c>
      <x:c r="B789" s="1" t="str">
        <x:v>Dodrio</x:v>
      </x:c>
      <x:c r="C789" s="1" t="n">
        <x:v>5</x:v>
      </x:c>
      <x:c r="D789" s="1" t="str">
        <x:v>Fury Attack</x:v>
      </x:c>
      <x:c r="E789" s="1" t="str">
        <x:v>Normal</x:v>
      </x:c>
      <x:c r="F789" s="1" t="str">
        <x:v>Física</x:v>
      </x:c>
      <x:c r="G789" s="10" t="n">
        <x:v>15</x:v>
      </x:c>
      <x:c r="H789" s="10" t="n">
        <x:f>IF(F789="Física",'Pokémon'!G89,IF(F789="Especial",'Pokémon'!I89,""))</x:f>
        <x:v>110</x:v>
      </x:c>
      <x:c r="I789" s="10" t="n">
        <x:f>IF(OR(F789="Status",G789=0),"",G789+H789)</x:f>
        <x:v>125</x:v>
      </x:c>
      <x:c r="J789" s="10" t="n">
        <x:v>13</x:v>
      </x:c>
      <x:c r="K789" s="12" t="n">
        <x:v>15</x:v>
      </x:c>
      <x:c r="L789" s="1" t="str"/>
      <x:c r="M789" s="9" t="str">
        <x:v>https://poke.idleworld.online/pokepedia/pokemon/dodrio</x:v>
      </x:c>
    </x:row>
    <x:row r="790" ht="22" customHeight="1">
      <x:c r="A790" s="1" t="n">
        <x:v>85</x:v>
      </x:c>
      <x:c r="B790" s="1" t="str">
        <x:v>Dodrio</x:v>
      </x:c>
      <x:c r="C790" s="1" t="n">
        <x:v>9</x:v>
      </x:c>
      <x:c r="D790" s="1" t="str">
        <x:v>Agility</x:v>
      </x:c>
      <x:c r="E790" s="1" t="str">
        <x:v>Psíquico</x:v>
      </x:c>
      <x:c r="F790" s="1" t="str">
        <x:v>Status</x:v>
      </x:c>
      <x:c r="G790" s="10" t="n">
        <x:v>0</x:v>
      </x:c>
      <x:c r="H790" s="10" t="str">
        <x:f>IF(F790="Física",'Pokémon'!G89,IF(F790="Especial",'Pokémon'!I89,""))</x:f>
      </x:c>
      <x:c r="I790" s="10" t="str">
        <x:f>IF(OR(F790="Status",G790=0),"",G790+H790)</x:f>
      </x:c>
      <x:c r="J790" s="10" t="n">
        <x:v>35</x:v>
      </x:c>
      <x:c r="K790" s="12" t="n">
        <x:v>50</x:v>
      </x:c>
      <x:c r="L790" s="1" t="str"/>
      <x:c r="M790" s="9" t="str">
        <x:v>https://poke.idleworld.online/pokepedia/pokemon/dodrio</x:v>
      </x:c>
    </x:row>
    <x:row r="791" ht="22" customHeight="1">
      <x:c r="A791" s="1" t="n">
        <x:v>86</x:v>
      </x:c>
      <x:c r="B791" s="1" t="str">
        <x:v>Seel</x:v>
      </x:c>
      <x:c r="C791" s="1" t="n">
        <x:v>7</x:v>
      </x:c>
      <x:c r="D791" s="1" t="str">
        <x:v>Take Down</x:v>
      </x:c>
      <x:c r="E791" s="1" t="str">
        <x:v>Normal</x:v>
      </x:c>
      <x:c r="F791" s="1" t="str">
        <x:v>Física</x:v>
      </x:c>
      <x:c r="G791" s="10" t="n">
        <x:v>90</x:v>
      </x:c>
      <x:c r="H791" s="10" t="n">
        <x:f>IF(F791="Física",'Pokémon'!G90,IF(F791="Especial",'Pokémon'!I90,""))</x:f>
        <x:v>45</x:v>
      </x:c>
      <x:c r="I791" s="10" t="n">
        <x:f>IF(OR(F791="Status",G791=0),"",G791+H791)</x:f>
        <x:v>135</x:v>
      </x:c>
      <x:c r="J791" s="10" t="n">
        <x:v>37</x:v>
      </x:c>
      <x:c r="K791" s="12" t="n">
        <x:v>22</x:v>
      </x:c>
      <x:c r="L791" s="1" t="str"/>
      <x:c r="M791" s="9" t="str">
        <x:v>https://poke.idleworld.online/pokepedia/pokemon/seel</x:v>
      </x:c>
    </x:row>
    <x:row r="792" ht="22" customHeight="1">
      <x:c r="A792" s="1" t="n">
        <x:v>86</x:v>
      </x:c>
      <x:c r="B792" s="1" t="str">
        <x:v>Seel</x:v>
      </x:c>
      <x:c r="C792" s="1" t="n">
        <x:v>9</x:v>
      </x:c>
      <x:c r="D792" s="1" t="str">
        <x:v>Aqua Tail</x:v>
      </x:c>
      <x:c r="E792" s="1" t="str">
        <x:v>Água</x:v>
      </x:c>
      <x:c r="F792" s="1" t="str">
        <x:v>Física</x:v>
      </x:c>
      <x:c r="G792" s="10" t="n">
        <x:v>90</x:v>
      </x:c>
      <x:c r="H792" s="10" t="n">
        <x:f>IF(F792="Física",'Pokémon'!G90,IF(F792="Especial",'Pokémon'!I90,""))</x:f>
        <x:v>45</x:v>
      </x:c>
      <x:c r="I792" s="10" t="n">
        <x:f>IF(OR(F792="Status",G792=0),"",G792+H792)</x:f>
        <x:v>135</x:v>
      </x:c>
      <x:c r="J792" s="10" t="n">
        <x:v>43</x:v>
      </x:c>
      <x:c r="K792" s="12" t="n">
        <x:v>15</x:v>
      </x:c>
      <x:c r="L792" s="1" t="str"/>
      <x:c r="M792" s="9" t="str">
        <x:v>https://poke.idleworld.online/pokepedia/pokemon/seel</x:v>
      </x:c>
    </x:row>
    <x:row r="793" ht="22" customHeight="1">
      <x:c r="A793" s="1" t="n">
        <x:v>86</x:v>
      </x:c>
      <x:c r="B793" s="1" t="str">
        <x:v>Seel</x:v>
      </x:c>
      <x:c r="C793" s="1" t="n">
        <x:v>10</x:v>
      </x:c>
      <x:c r="D793" s="1" t="str">
        <x:v>Ice Beam</x:v>
      </x:c>
      <x:c r="E793" s="1" t="str">
        <x:v>Gelo</x:v>
      </x:c>
      <x:c r="F793" s="1" t="str">
        <x:v>Especial</x:v>
      </x:c>
      <x:c r="G793" s="10" t="n">
        <x:v>90</x:v>
      </x:c>
      <x:c r="H793" s="10" t="n">
        <x:f>IF(F793="Física",'Pokémon'!G90,IF(F793="Especial",'Pokémon'!I90,""))</x:f>
        <x:v>45</x:v>
      </x:c>
      <x:c r="I793" s="10" t="n">
        <x:f>IF(OR(F793="Status",G793=0),"",G793+H793)</x:f>
        <x:v>135</x:v>
      </x:c>
      <x:c r="J793" s="10" t="n">
        <x:v>47</x:v>
      </x:c>
      <x:c r="K793" s="12" t="n">
        <x:v>18</x:v>
      </x:c>
      <x:c r="L793" s="1" t="str"/>
      <x:c r="M793" s="9" t="str">
        <x:v>https://poke.idleworld.online/pokepedia/pokemon/seel</x:v>
      </x:c>
    </x:row>
    <x:row r="794" ht="22" customHeight="1">
      <x:c r="A794" s="1" t="n">
        <x:v>86</x:v>
      </x:c>
      <x:c r="B794" s="1" t="str">
        <x:v>Seel</x:v>
      </x:c>
      <x:c r="C794" s="1" t="n">
        <x:v>8</x:v>
      </x:c>
      <x:c r="D794" s="1" t="str">
        <x:v>Dive</x:v>
      </x:c>
      <x:c r="E794" s="1" t="str">
        <x:v>Água</x:v>
      </x:c>
      <x:c r="F794" s="1" t="str">
        <x:v>Física</x:v>
      </x:c>
      <x:c r="G794" s="10" t="n">
        <x:v>80</x:v>
      </x:c>
      <x:c r="H794" s="10" t="n">
        <x:f>IF(F794="Física",'Pokémon'!G90,IF(F794="Especial",'Pokémon'!I90,""))</x:f>
        <x:v>45</x:v>
      </x:c>
      <x:c r="I794" s="10" t="n">
        <x:f>IF(OR(F794="Status",G794=0),"",G794+H794)</x:f>
        <x:v>125</x:v>
      </x:c>
      <x:c r="J794" s="10" t="n">
        <x:v>41</x:v>
      </x:c>
      <x:c r="K794" s="12" t="n">
        <x:v>22</x:v>
      </x:c>
      <x:c r="L794" s="1" t="str"/>
      <x:c r="M794" s="9" t="str">
        <x:v>https://poke.idleworld.online/pokepedia/pokemon/seel</x:v>
      </x:c>
    </x:row>
    <x:row r="795" ht="22" customHeight="1">
      <x:c r="A795" s="1" t="n">
        <x:v>86</x:v>
      </x:c>
      <x:c r="B795" s="1" t="str">
        <x:v>Seel</x:v>
      </x:c>
      <x:c r="C795" s="1" t="n">
        <x:v>1</x:v>
      </x:c>
      <x:c r="D795" s="1" t="str">
        <x:v>Headbutt</x:v>
      </x:c>
      <x:c r="E795" s="1" t="str">
        <x:v>Normal</x:v>
      </x:c>
      <x:c r="F795" s="1" t="str">
        <x:v>Física</x:v>
      </x:c>
      <x:c r="G795" s="10" t="n">
        <x:v>70</x:v>
      </x:c>
      <x:c r="H795" s="10" t="n">
        <x:f>IF(F795="Física",'Pokémon'!G90,IF(F795="Especial",'Pokémon'!I90,""))</x:f>
        <x:v>45</x:v>
      </x:c>
      <x:c r="I795" s="10" t="n">
        <x:f>IF(OR(F795="Status",G795=0),"",G795+H795)</x:f>
        <x:v>115</x:v>
      </x:c>
      <x:c r="J795" s="10" t="n">
        <x:v>1</x:v>
      </x:c>
      <x:c r="K795" s="12" t="n">
        <x:v>15</x:v>
      </x:c>
      <x:c r="L795" s="1" t="str"/>
      <x:c r="M795" s="9" t="str">
        <x:v>https://poke.idleworld.online/pokepedia/pokemon/seel</x:v>
      </x:c>
    </x:row>
    <x:row r="796" ht="22" customHeight="1">
      <x:c r="A796" s="1" t="n">
        <x:v>86</x:v>
      </x:c>
      <x:c r="B796" s="1" t="str">
        <x:v>Seel</x:v>
      </x:c>
      <x:c r="C796" s="1" t="n">
        <x:v>4</x:v>
      </x:c>
      <x:c r="D796" s="1" t="str">
        <x:v>Aurora Beam</x:v>
      </x:c>
      <x:c r="E796" s="1" t="str">
        <x:v>Gelo</x:v>
      </x:c>
      <x:c r="F796" s="1" t="str">
        <x:v>Especial</x:v>
      </x:c>
      <x:c r="G796" s="10" t="n">
        <x:v>65</x:v>
      </x:c>
      <x:c r="H796" s="10" t="n">
        <x:f>IF(F796="Física",'Pokémon'!G90,IF(F796="Especial",'Pokémon'!I90,""))</x:f>
        <x:v>45</x:v>
      </x:c>
      <x:c r="I796" s="10" t="n">
        <x:f>IF(OR(F796="Status",G796=0),"",G796+H796)</x:f>
        <x:v>110</x:v>
      </x:c>
      <x:c r="J796" s="10" t="n">
        <x:v>27</x:v>
      </x:c>
      <x:c r="K796" s="12" t="n">
        <x:v>60</x:v>
      </x:c>
      <x:c r="L796" s="1" t="str"/>
      <x:c r="M796" s="9" t="str">
        <x:v>https://poke.idleworld.online/pokepedia/pokemon/seel</x:v>
      </x:c>
    </x:row>
    <x:row r="797" ht="22" customHeight="1">
      <x:c r="A797" s="1" t="n">
        <x:v>86</x:v>
      </x:c>
      <x:c r="B797" s="1" t="str">
        <x:v>Seel</x:v>
      </x:c>
      <x:c r="C797" s="1" t="n">
        <x:v>6</x:v>
      </x:c>
      <x:c r="D797" s="1" t="str">
        <x:v>Brine</x:v>
      </x:c>
      <x:c r="E797" s="1" t="str">
        <x:v>Água</x:v>
      </x:c>
      <x:c r="F797" s="1" t="str">
        <x:v>Especial</x:v>
      </x:c>
      <x:c r="G797" s="10" t="n">
        <x:v>65</x:v>
      </x:c>
      <x:c r="H797" s="10" t="n">
        <x:f>IF(F797="Física",'Pokémon'!G90,IF(F797="Especial",'Pokémon'!I90,""))</x:f>
        <x:v>45</x:v>
      </x:c>
      <x:c r="I797" s="10" t="n">
        <x:f>IF(OR(F797="Status",G797=0),"",G797+H797)</x:f>
        <x:v>110</x:v>
      </x:c>
      <x:c r="J797" s="10" t="n">
        <x:v>33</x:v>
      </x:c>
      <x:c r="K797" s="12" t="n">
        <x:v>20</x:v>
      </x:c>
      <x:c r="L797" s="1" t="str"/>
      <x:c r="M797" s="9" t="str">
        <x:v>https://poke.idleworld.online/pokepedia/pokemon/seel</x:v>
      </x:c>
    </x:row>
    <x:row r="798" ht="22" customHeight="1">
      <x:c r="A798" s="1" t="n">
        <x:v>86</x:v>
      </x:c>
      <x:c r="B798" s="1" t="str">
        <x:v>Seel</x:v>
      </x:c>
      <x:c r="C798" s="1" t="n">
        <x:v>2</x:v>
      </x:c>
      <x:c r="D798" s="1" t="str">
        <x:v>Icy Wind</x:v>
      </x:c>
      <x:c r="E798" s="1" t="str">
        <x:v>Gelo</x:v>
      </x:c>
      <x:c r="F798" s="1" t="str">
        <x:v>Especial</x:v>
      </x:c>
      <x:c r="G798" s="10" t="n">
        <x:v>55</x:v>
      </x:c>
      <x:c r="H798" s="10" t="n">
        <x:f>IF(F798="Física",'Pokémon'!G90,IF(F798="Especial",'Pokémon'!I90,""))</x:f>
        <x:v>45</x:v>
      </x:c>
      <x:c r="I798" s="10" t="n">
        <x:f>IF(OR(F798="Status",G798=0),"",G798+H798)</x:f>
        <x:v>100</x:v>
      </x:c>
      <x:c r="J798" s="10" t="n">
        <x:v>11</x:v>
      </x:c>
      <x:c r="K798" s="12" t="n">
        <x:v>25</x:v>
      </x:c>
      <x:c r="L798" s="1" t="str"/>
      <x:c r="M798" s="9" t="str">
        <x:v>https://poke.idleworld.online/pokepedia/pokemon/seel</x:v>
      </x:c>
    </x:row>
    <x:row r="799" ht="22" customHeight="1">
      <x:c r="A799" s="1" t="n">
        <x:v>86</x:v>
      </x:c>
      <x:c r="B799" s="1" t="str">
        <x:v>Seel</x:v>
      </x:c>
      <x:c r="C799" s="1" t="n">
        <x:v>3</x:v>
      </x:c>
      <x:c r="D799" s="1" t="str">
        <x:v>Ice Shard</x:v>
      </x:c>
      <x:c r="E799" s="1" t="str">
        <x:v>Gelo</x:v>
      </x:c>
      <x:c r="F799" s="1" t="str">
        <x:v>Física</x:v>
      </x:c>
      <x:c r="G799" s="10" t="n">
        <x:v>40</x:v>
      </x:c>
      <x:c r="H799" s="10" t="n">
        <x:f>IF(F799="Física",'Pokémon'!G90,IF(F799="Especial",'Pokémon'!I90,""))</x:f>
        <x:v>45</x:v>
      </x:c>
      <x:c r="I799" s="10" t="n">
        <x:f>IF(OR(F799="Status",G799=0),"",G799+H799)</x:f>
        <x:v>85</x:v>
      </x:c>
      <x:c r="J799" s="10" t="n">
        <x:v>17</x:v>
      </x:c>
      <x:c r="K799" s="12" t="n">
        <x:v>10</x:v>
      </x:c>
      <x:c r="L799" s="1" t="str"/>
      <x:c r="M799" s="9" t="str">
        <x:v>https://poke.idleworld.online/pokepedia/pokemon/seel</x:v>
      </x:c>
    </x:row>
    <x:row r="800" ht="22" customHeight="1">
      <x:c r="A800" s="1" t="n">
        <x:v>86</x:v>
      </x:c>
      <x:c r="B800" s="1" t="str">
        <x:v>Seel</x:v>
      </x:c>
      <x:c r="C800" s="1" t="n">
        <x:v>5</x:v>
      </x:c>
      <x:c r="D800" s="1" t="str">
        <x:v>Aqua Jet</x:v>
      </x:c>
      <x:c r="E800" s="1" t="str">
        <x:v>Água</x:v>
      </x:c>
      <x:c r="F800" s="1" t="str">
        <x:v>Física</x:v>
      </x:c>
      <x:c r="G800" s="10" t="n">
        <x:v>40</x:v>
      </x:c>
      <x:c r="H800" s="10" t="n">
        <x:f>IF(F800="Física",'Pokémon'!G90,IF(F800="Especial",'Pokémon'!I90,""))</x:f>
        <x:v>45</x:v>
      </x:c>
      <x:c r="I800" s="10" t="n">
        <x:f>IF(OR(F800="Status",G800=0),"",G800+H800)</x:f>
        <x:v>85</x:v>
      </x:c>
      <x:c r="J800" s="10" t="n">
        <x:v>31</x:v>
      </x:c>
      <x:c r="K800" s="12" t="n">
        <x:v>15</x:v>
      </x:c>
      <x:c r="L800" s="1" t="str"/>
      <x:c r="M800" s="9" t="str">
        <x:v>https://poke.idleworld.online/pokepedia/pokemon/seel</x:v>
      </x:c>
    </x:row>
    <x:row r="801" ht="22" customHeight="1">
      <x:c r="A801" s="1" t="n">
        <x:v>87</x:v>
      </x:c>
      <x:c r="B801" s="1" t="str">
        <x:v>Dewgong</x:v>
      </x:c>
      <x:c r="C801" s="1" t="n">
        <x:v>3</x:v>
      </x:c>
      <x:c r="D801" s="1" t="str">
        <x:v>Cyclonic Tide</x:v>
      </x:c>
      <x:c r="E801" s="1" t="str">
        <x:v>Água</x:v>
      </x:c>
      <x:c r="F801" s="1" t="str">
        <x:v>Especial</x:v>
      </x:c>
      <x:c r="G801" s="10" t="n">
        <x:v>300</x:v>
      </x:c>
      <x:c r="H801" s="10" t="n">
        <x:f>IF(F801="Física",'Pokémon'!G91,IF(F801="Especial",'Pokémon'!I91,""))</x:f>
        <x:v>70</x:v>
      </x:c>
      <x:c r="I801" s="10" t="n">
        <x:f>IF(OR(F801="Status",G801=0),"",G801+H801)</x:f>
        <x:v>370</x:v>
      </x:c>
      <x:c r="J801" s="10" t="n">
        <x:v>1</x:v>
      </x:c>
      <x:c r="K801" s="12" t="n">
        <x:v>10</x:v>
      </x:c>
      <x:c r="L801" s="1" t="str">
        <x:v>Sim</x:v>
      </x:c>
      <x:c r="M801" s="9" t="str">
        <x:v>https://poke.idleworld.online/pokepedia/pokemon/dewgong</x:v>
      </x:c>
    </x:row>
    <x:row r="802" ht="22" customHeight="1">
      <x:c r="A802" s="1" t="n">
        <x:v>87</x:v>
      </x:c>
      <x:c r="B802" s="1" t="str">
        <x:v>Dewgong</x:v>
      </x:c>
      <x:c r="C802" s="1" t="n">
        <x:v>10</x:v>
      </x:c>
      <x:c r="D802" s="1" t="str">
        <x:v>Take Down</x:v>
      </x:c>
      <x:c r="E802" s="1" t="str">
        <x:v>Normal</x:v>
      </x:c>
      <x:c r="F802" s="1" t="str">
        <x:v>Física</x:v>
      </x:c>
      <x:c r="G802" s="10" t="n">
        <x:v>90</x:v>
      </x:c>
      <x:c r="H802" s="10" t="n">
        <x:f>IF(F802="Física",'Pokémon'!G91,IF(F802="Especial",'Pokémon'!I91,""))</x:f>
        <x:v>70</x:v>
      </x:c>
      <x:c r="I802" s="10" t="n">
        <x:f>IF(OR(F802="Status",G802=0),"",G802+H802)</x:f>
        <x:v>160</x:v>
      </x:c>
      <x:c r="J802" s="10" t="n">
        <x:v>39</x:v>
      </x:c>
      <x:c r="K802" s="12" t="n">
        <x:v>22</x:v>
      </x:c>
      <x:c r="L802" s="1" t="str"/>
      <x:c r="M802" s="9" t="str">
        <x:v>https://poke.idleworld.online/pokepedia/pokemon/dewgong</x:v>
      </x:c>
    </x:row>
    <x:row r="803" ht="22" customHeight="1">
      <x:c r="A803" s="1" t="n">
        <x:v>87</x:v>
      </x:c>
      <x:c r="B803" s="1" t="str">
        <x:v>Dewgong</x:v>
      </x:c>
      <x:c r="C803" s="1" t="n">
        <x:v>12</x:v>
      </x:c>
      <x:c r="D803" s="1" t="str">
        <x:v>Aqua Tail</x:v>
      </x:c>
      <x:c r="E803" s="1" t="str">
        <x:v>Água</x:v>
      </x:c>
      <x:c r="F803" s="1" t="str">
        <x:v>Física</x:v>
      </x:c>
      <x:c r="G803" s="10" t="n">
        <x:v>90</x:v>
      </x:c>
      <x:c r="H803" s="10" t="n">
        <x:f>IF(F803="Física",'Pokémon'!G91,IF(F803="Especial",'Pokémon'!I91,""))</x:f>
        <x:v>70</x:v>
      </x:c>
      <x:c r="I803" s="10" t="n">
        <x:f>IF(OR(F803="Status",G803=0),"",G803+H803)</x:f>
        <x:v>160</x:v>
      </x:c>
      <x:c r="J803" s="10" t="n">
        <x:v>49</x:v>
      </x:c>
      <x:c r="K803" s="12" t="n">
        <x:v>15</x:v>
      </x:c>
      <x:c r="L803" s="1" t="str"/>
      <x:c r="M803" s="9" t="str">
        <x:v>https://poke.idleworld.online/pokepedia/pokemon/dewgong</x:v>
      </x:c>
    </x:row>
    <x:row r="804" ht="22" customHeight="1">
      <x:c r="A804" s="1" t="n">
        <x:v>87</x:v>
      </x:c>
      <x:c r="B804" s="1" t="str">
        <x:v>Dewgong</x:v>
      </x:c>
      <x:c r="C804" s="1" t="n">
        <x:v>13</x:v>
      </x:c>
      <x:c r="D804" s="1" t="str">
        <x:v>Ice Beam</x:v>
      </x:c>
      <x:c r="E804" s="1" t="str">
        <x:v>Gelo</x:v>
      </x:c>
      <x:c r="F804" s="1" t="str">
        <x:v>Especial</x:v>
      </x:c>
      <x:c r="G804" s="10" t="n">
        <x:v>90</x:v>
      </x:c>
      <x:c r="H804" s="10" t="n">
        <x:f>IF(F804="Física",'Pokémon'!G91,IF(F804="Especial",'Pokémon'!I91,""))</x:f>
        <x:v>70</x:v>
      </x:c>
      <x:c r="I804" s="10" t="n">
        <x:f>IF(OR(F804="Status",G804=0),"",G804+H804)</x:f>
        <x:v>160</x:v>
      </x:c>
      <x:c r="J804" s="10" t="n">
        <x:v>55</x:v>
      </x:c>
      <x:c r="K804" s="12" t="n">
        <x:v>18</x:v>
      </x:c>
      <x:c r="L804" s="1" t="str"/>
      <x:c r="M804" s="9" t="str">
        <x:v>https://poke.idleworld.online/pokepedia/pokemon/dewgong</x:v>
      </x:c>
    </x:row>
    <x:row r="805" ht="22" customHeight="1">
      <x:c r="A805" s="1" t="n">
        <x:v>87</x:v>
      </x:c>
      <x:c r="B805" s="1" t="str">
        <x:v>Dewgong</x:v>
      </x:c>
      <x:c r="C805" s="1" t="n">
        <x:v>11</x:v>
      </x:c>
      <x:c r="D805" s="1" t="str">
        <x:v>Dive</x:v>
      </x:c>
      <x:c r="E805" s="1" t="str">
        <x:v>Água</x:v>
      </x:c>
      <x:c r="F805" s="1" t="str">
        <x:v>Física</x:v>
      </x:c>
      <x:c r="G805" s="10" t="n">
        <x:v>80</x:v>
      </x:c>
      <x:c r="H805" s="10" t="n">
        <x:f>IF(F805="Física",'Pokémon'!G91,IF(F805="Especial",'Pokémon'!I91,""))</x:f>
        <x:v>70</x:v>
      </x:c>
      <x:c r="I805" s="10" t="n">
        <x:f>IF(OR(F805="Status",G805=0),"",G805+H805)</x:f>
        <x:v>150</x:v>
      </x:c>
      <x:c r="J805" s="10" t="n">
        <x:v>45</x:v>
      </x:c>
      <x:c r="K805" s="12" t="n">
        <x:v>22</x:v>
      </x:c>
      <x:c r="L805" s="1" t="str"/>
      <x:c r="M805" s="9" t="str">
        <x:v>https://poke.idleworld.online/pokepedia/pokemon/dewgong</x:v>
      </x:c>
    </x:row>
    <x:row r="806" ht="22" customHeight="1">
      <x:c r="A806" s="1" t="n">
        <x:v>87</x:v>
      </x:c>
      <x:c r="B806" s="1" t="str">
        <x:v>Dewgong</x:v>
      </x:c>
      <x:c r="C806" s="1" t="n">
        <x:v>4</x:v>
      </x:c>
      <x:c r="D806" s="1" t="str">
        <x:v>Signal Beam</x:v>
      </x:c>
      <x:c r="E806" s="1" t="str">
        <x:v>Inseto</x:v>
      </x:c>
      <x:c r="F806" s="1" t="str">
        <x:v>Especial</x:v>
      </x:c>
      <x:c r="G806" s="10" t="n">
        <x:v>75</x:v>
      </x:c>
      <x:c r="H806" s="10" t="n">
        <x:f>IF(F806="Física",'Pokémon'!G91,IF(F806="Especial",'Pokémon'!I91,""))</x:f>
        <x:v>70</x:v>
      </x:c>
      <x:c r="I806" s="10" t="n">
        <x:f>IF(OR(F806="Status",G806=0),"",G806+H806)</x:f>
        <x:v>145</x:v>
      </x:c>
      <x:c r="J806" s="10" t="n">
        <x:v>1</x:v>
      </x:c>
      <x:c r="K806" s="12" t="n">
        <x:v>22</x:v>
      </x:c>
      <x:c r="L806" s="1" t="str"/>
      <x:c r="M806" s="9" t="str">
        <x:v>https://poke.idleworld.online/pokepedia/pokemon/dewgong</x:v>
      </x:c>
    </x:row>
    <x:row r="807" ht="22" customHeight="1">
      <x:c r="A807" s="1" t="n">
        <x:v>87</x:v>
      </x:c>
      <x:c r="B807" s="1" t="str">
        <x:v>Dewgong</x:v>
      </x:c>
      <x:c r="C807" s="1" t="n">
        <x:v>2</x:v>
      </x:c>
      <x:c r="D807" s="1" t="str">
        <x:v>Headbutt</x:v>
      </x:c>
      <x:c r="E807" s="1" t="str">
        <x:v>Normal</x:v>
      </x:c>
      <x:c r="F807" s="1" t="str">
        <x:v>Física</x:v>
      </x:c>
      <x:c r="G807" s="10" t="n">
        <x:v>70</x:v>
      </x:c>
      <x:c r="H807" s="10" t="n">
        <x:f>IF(F807="Física",'Pokémon'!G91,IF(F807="Especial",'Pokémon'!I91,""))</x:f>
        <x:v>70</x:v>
      </x:c>
      <x:c r="I807" s="10" t="n">
        <x:f>IF(OR(F807="Status",G807=0),"",G807+H807)</x:f>
        <x:v>140</x:v>
      </x:c>
      <x:c r="J807" s="10" t="n">
        <x:v>1</x:v>
      </x:c>
      <x:c r="K807" s="12" t="n">
        <x:v>15</x:v>
      </x:c>
      <x:c r="L807" s="1" t="str"/>
      <x:c r="M807" s="9" t="str">
        <x:v>https://poke.idleworld.online/pokepedia/pokemon/dewgong</x:v>
      </x:c>
    </x:row>
    <x:row r="808" ht="22" customHeight="1">
      <x:c r="A808" s="1" t="n">
        <x:v>87</x:v>
      </x:c>
      <x:c r="B808" s="1" t="str">
        <x:v>Dewgong</x:v>
      </x:c>
      <x:c r="C808" s="1" t="n">
        <x:v>7</x:v>
      </x:c>
      <x:c r="D808" s="1" t="str">
        <x:v>Aurora Beam</x:v>
      </x:c>
      <x:c r="E808" s="1" t="str">
        <x:v>Gelo</x:v>
      </x:c>
      <x:c r="F808" s="1" t="str">
        <x:v>Especial</x:v>
      </x:c>
      <x:c r="G808" s="10" t="n">
        <x:v>65</x:v>
      </x:c>
      <x:c r="H808" s="10" t="n">
        <x:f>IF(F808="Física",'Pokémon'!G91,IF(F808="Especial",'Pokémon'!I91,""))</x:f>
        <x:v>70</x:v>
      </x:c>
      <x:c r="I808" s="10" t="n">
        <x:f>IF(OR(F808="Status",G808=0),"",G808+H808)</x:f>
        <x:v>135</x:v>
      </x:c>
      <x:c r="J808" s="10" t="n">
        <x:v>27</x:v>
      </x:c>
      <x:c r="K808" s="12" t="n">
        <x:v>60</x:v>
      </x:c>
      <x:c r="L808" s="1" t="str"/>
      <x:c r="M808" s="9" t="str">
        <x:v>https://poke.idleworld.online/pokepedia/pokemon/dewgong</x:v>
      </x:c>
    </x:row>
    <x:row r="809" ht="22" customHeight="1">
      <x:c r="A809" s="1" t="n">
        <x:v>87</x:v>
      </x:c>
      <x:c r="B809" s="1" t="str">
        <x:v>Dewgong</x:v>
      </x:c>
      <x:c r="C809" s="1" t="n">
        <x:v>9</x:v>
      </x:c>
      <x:c r="D809" s="1" t="str">
        <x:v>Brine</x:v>
      </x:c>
      <x:c r="E809" s="1" t="str">
        <x:v>Água</x:v>
      </x:c>
      <x:c r="F809" s="1" t="str">
        <x:v>Especial</x:v>
      </x:c>
      <x:c r="G809" s="10" t="n">
        <x:v>65</x:v>
      </x:c>
      <x:c r="H809" s="10" t="n">
        <x:f>IF(F809="Física",'Pokémon'!G91,IF(F809="Especial",'Pokémon'!I91,""))</x:f>
        <x:v>70</x:v>
      </x:c>
      <x:c r="I809" s="10" t="n">
        <x:f>IF(OR(F809="Status",G809=0),"",G809+H809)</x:f>
        <x:v>135</x:v>
      </x:c>
      <x:c r="J809" s="10" t="n">
        <x:v>33</x:v>
      </x:c>
      <x:c r="K809" s="12" t="n">
        <x:v>35</x:v>
      </x:c>
      <x:c r="L809" s="1" t="str"/>
      <x:c r="M809" s="9" t="str">
        <x:v>https://poke.idleworld.online/pokepedia/pokemon/dewgong</x:v>
      </x:c>
    </x:row>
    <x:row r="810" ht="22" customHeight="1">
      <x:c r="A810" s="1" t="n">
        <x:v>87</x:v>
      </x:c>
      <x:c r="B810" s="1" t="str">
        <x:v>Dewgong</x:v>
      </x:c>
      <x:c r="C810" s="1" t="n">
        <x:v>1</x:v>
      </x:c>
      <x:c r="D810" s="1" t="str">
        <x:v>Icy Wind</x:v>
      </x:c>
      <x:c r="E810" s="1" t="str">
        <x:v>Gelo</x:v>
      </x:c>
      <x:c r="F810" s="1" t="str">
        <x:v>Especial</x:v>
      </x:c>
      <x:c r="G810" s="10" t="n">
        <x:v>55</x:v>
      </x:c>
      <x:c r="H810" s="10" t="n">
        <x:f>IF(F810="Física",'Pokémon'!G91,IF(F810="Especial",'Pokémon'!I91,""))</x:f>
        <x:v>70</x:v>
      </x:c>
      <x:c r="I810" s="10" t="n">
        <x:f>IF(OR(F810="Status",G810=0),"",G810+H810)</x:f>
        <x:v>125</x:v>
      </x:c>
      <x:c r="J810" s="10" t="n">
        <x:v>1</x:v>
      </x:c>
      <x:c r="K810" s="12" t="n">
        <x:v>25</x:v>
      </x:c>
      <x:c r="L810" s="1" t="str"/>
      <x:c r="M810" s="9" t="str">
        <x:v>https://poke.idleworld.online/pokepedia/pokemon/dewgong</x:v>
      </x:c>
    </x:row>
    <x:row r="811" ht="22" customHeight="1">
      <x:c r="A811" s="1" t="n">
        <x:v>87</x:v>
      </x:c>
      <x:c r="B811" s="1" t="str">
        <x:v>Dewgong</x:v>
      </x:c>
      <x:c r="C811" s="1" t="n">
        <x:v>5</x:v>
      </x:c>
      <x:c r="D811" s="1" t="str">
        <x:v>Ice Shard</x:v>
      </x:c>
      <x:c r="E811" s="1" t="str">
        <x:v>Gelo</x:v>
      </x:c>
      <x:c r="F811" s="1" t="str">
        <x:v>Física</x:v>
      </x:c>
      <x:c r="G811" s="10" t="n">
        <x:v>40</x:v>
      </x:c>
      <x:c r="H811" s="10" t="n">
        <x:f>IF(F811="Física",'Pokémon'!G91,IF(F811="Especial",'Pokémon'!I91,""))</x:f>
        <x:v>70</x:v>
      </x:c>
      <x:c r="I811" s="10" t="n">
        <x:f>IF(OR(F811="Status",G811=0),"",G811+H811)</x:f>
        <x:v>110</x:v>
      </x:c>
      <x:c r="J811" s="10" t="n">
        <x:v>17</x:v>
      </x:c>
      <x:c r="K811" s="12" t="n">
        <x:v>15</x:v>
      </x:c>
      <x:c r="L811" s="1" t="str"/>
      <x:c r="M811" s="9" t="str">
        <x:v>https://poke.idleworld.online/pokepedia/pokemon/dewgong</x:v>
      </x:c>
    </x:row>
    <x:row r="812" ht="22" customHeight="1">
      <x:c r="A812" s="1" t="n">
        <x:v>87</x:v>
      </x:c>
      <x:c r="B812" s="1" t="str">
        <x:v>Dewgong</x:v>
      </x:c>
      <x:c r="C812" s="1" t="n">
        <x:v>8</x:v>
      </x:c>
      <x:c r="D812" s="1" t="str">
        <x:v>Aqua Jet</x:v>
      </x:c>
      <x:c r="E812" s="1" t="str">
        <x:v>Água</x:v>
      </x:c>
      <x:c r="F812" s="1" t="str">
        <x:v>Física</x:v>
      </x:c>
      <x:c r="G812" s="10" t="n">
        <x:v>40</x:v>
      </x:c>
      <x:c r="H812" s="10" t="n">
        <x:f>IF(F812="Física",'Pokémon'!G91,IF(F812="Especial",'Pokémon'!I91,""))</x:f>
        <x:v>70</x:v>
      </x:c>
      <x:c r="I812" s="10" t="n">
        <x:f>IF(OR(F812="Status",G812=0),"",G812+H812)</x:f>
        <x:v>110</x:v>
      </x:c>
      <x:c r="J812" s="10" t="n">
        <x:v>31</x:v>
      </x:c>
      <x:c r="K812" s="12" t="n">
        <x:v>15</x:v>
      </x:c>
      <x:c r="L812" s="1" t="str"/>
      <x:c r="M812" s="9" t="str">
        <x:v>https://poke.idleworld.online/pokepedia/pokemon/dewgong</x:v>
      </x:c>
    </x:row>
    <x:row r="813" ht="22" customHeight="1">
      <x:c r="A813" s="1" t="n">
        <x:v>87</x:v>
      </x:c>
      <x:c r="B813" s="1" t="str">
        <x:v>Dewgong</x:v>
      </x:c>
      <x:c r="C813" s="1" t="n">
        <x:v>6</x:v>
      </x:c>
      <x:c r="D813" s="1" t="str">
        <x:v>Rest</x:v>
      </x:c>
      <x:c r="E813" s="1" t="str">
        <x:v>Psíquico</x:v>
      </x:c>
      <x:c r="F813" s="1" t="str">
        <x:v>Status</x:v>
      </x:c>
      <x:c r="G813" s="10" t="n">
        <x:v>0</x:v>
      </x:c>
      <x:c r="H813" s="10" t="str">
        <x:f>IF(F813="Física",'Pokémon'!G91,IF(F813="Especial",'Pokémon'!I91,""))</x:f>
      </x:c>
      <x:c r="I813" s="10" t="str">
        <x:f>IF(OR(F813="Status",G813=0),"",G813+H813)</x:f>
      </x:c>
      <x:c r="J813" s="10" t="n">
        <x:v>21</x:v>
      </x:c>
      <x:c r="K813" s="12" t="n">
        <x:v>60</x:v>
      </x:c>
      <x:c r="L813" s="1" t="str"/>
      <x:c r="M813" s="9" t="str">
        <x:v>https://poke.idleworld.online/pokepedia/pokemon/dewgong</x:v>
      </x:c>
    </x:row>
    <x:row r="814" ht="22" customHeight="1">
      <x:c r="A814" s="1" t="n">
        <x:v>87</x:v>
      </x:c>
      <x:c r="B814" s="1" t="str">
        <x:v>Dewgong</x:v>
      </x:c>
      <x:c r="C814" s="1" t="n">
        <x:v>14</x:v>
      </x:c>
      <x:c r="D814" s="1" t="str">
        <x:v>Safeguard</x:v>
      </x:c>
      <x:c r="E814" s="1" t="str">
        <x:v>Normal</x:v>
      </x:c>
      <x:c r="F814" s="1" t="str">
        <x:v>Status</x:v>
      </x:c>
      <x:c r="G814" s="10" t="n">
        <x:v>0</x:v>
      </x:c>
      <x:c r="H814" s="10" t="str">
        <x:f>IF(F814="Física",'Pokémon'!G91,IF(F814="Especial",'Pokémon'!I91,""))</x:f>
      </x:c>
      <x:c r="I814" s="10" t="str">
        <x:f>IF(OR(F814="Status",G814=0),"",G814+H814)</x:f>
      </x:c>
      <x:c r="J814" s="10" t="n">
        <x:v>61</x:v>
      </x:c>
      <x:c r="K814" s="12" t="n">
        <x:v>40</x:v>
      </x:c>
      <x:c r="L814" s="1" t="str"/>
      <x:c r="M814" s="9" t="str">
        <x:v>https://poke.idleworld.online/pokepedia/pokemon/dewgong</x:v>
      </x:c>
    </x:row>
    <x:row r="815" ht="22" customHeight="1">
      <x:c r="A815" s="1" t="n">
        <x:v>88</x:v>
      </x:c>
      <x:c r="B815" s="1" t="str">
        <x:v>Grimer</x:v>
      </x:c>
      <x:c r="C815" s="1" t="n">
        <x:v>8</x:v>
      </x:c>
      <x:c r="D815" s="1" t="str">
        <x:v>Gunk Shot</x:v>
      </x:c>
      <x:c r="E815" s="1" t="str">
        <x:v>Venenoso</x:v>
      </x:c>
      <x:c r="F815" s="1" t="str">
        <x:v>Física</x:v>
      </x:c>
      <x:c r="G815" s="10" t="n">
        <x:v>120</x:v>
      </x:c>
      <x:c r="H815" s="10" t="n">
        <x:f>IF(F815="Física",'Pokémon'!G92,IF(F815="Especial",'Pokémon'!I92,""))</x:f>
        <x:v>80</x:v>
      </x:c>
      <x:c r="I815" s="10" t="n">
        <x:f>IF(OR(F815="Status",G815=0),"",G815+H815)</x:f>
        <x:v>200</x:v>
      </x:c>
      <x:c r="J815" s="10" t="n">
        <x:v>40</x:v>
      </x:c>
      <x:c r="K815" s="12" t="n">
        <x:v>50</x:v>
      </x:c>
      <x:c r="L815" s="1" t="str"/>
      <x:c r="M815" s="9" t="str">
        <x:v>https://poke.idleworld.online/pokepedia/pokemon/grimer</x:v>
      </x:c>
    </x:row>
    <x:row r="816" ht="22" customHeight="1">
      <x:c r="A816" s="1" t="n">
        <x:v>88</x:v>
      </x:c>
      <x:c r="B816" s="1" t="str">
        <x:v>Grimer</x:v>
      </x:c>
      <x:c r="C816" s="1" t="n">
        <x:v>9</x:v>
      </x:c>
      <x:c r="D816" s="1" t="str">
        <x:v>Belch</x:v>
      </x:c>
      <x:c r="E816" s="1" t="str">
        <x:v>Venenoso</x:v>
      </x:c>
      <x:c r="F816" s="1" t="str">
        <x:v>Especial</x:v>
      </x:c>
      <x:c r="G816" s="10" t="n">
        <x:v>120</x:v>
      </x:c>
      <x:c r="H816" s="10" t="n">
        <x:f>IF(F816="Física",'Pokémon'!G92,IF(F816="Especial",'Pokémon'!I92,""))</x:f>
        <x:v>40</x:v>
      </x:c>
      <x:c r="I816" s="10" t="n">
        <x:f>IF(OR(F816="Status",G816=0),"",G816+H816)</x:f>
        <x:v>160</x:v>
      </x:c>
      <x:c r="J816" s="10" t="n">
        <x:v>46</x:v>
      </x:c>
      <x:c r="K816" s="12" t="n">
        <x:v>50</x:v>
      </x:c>
      <x:c r="L816" s="1" t="str"/>
      <x:c r="M816" s="9" t="str">
        <x:v>https://poke.idleworld.online/pokepedia/pokemon/grimer</x:v>
      </x:c>
    </x:row>
    <x:row r="817" ht="22" customHeight="1">
      <x:c r="A817" s="1" t="n">
        <x:v>88</x:v>
      </x:c>
      <x:c r="B817" s="1" t="str">
        <x:v>Grimer</x:v>
      </x:c>
      <x:c r="C817" s="1" t="n">
        <x:v>7</x:v>
      </x:c>
      <x:c r="D817" s="1" t="str">
        <x:v>Sludge Wave</x:v>
      </x:c>
      <x:c r="E817" s="1" t="str">
        <x:v>Venenoso</x:v>
      </x:c>
      <x:c r="F817" s="1" t="str">
        <x:v>Especial</x:v>
      </x:c>
      <x:c r="G817" s="10" t="n">
        <x:v>95</x:v>
      </x:c>
      <x:c r="H817" s="10" t="n">
        <x:f>IF(F817="Física",'Pokémon'!G92,IF(F817="Especial",'Pokémon'!I92,""))</x:f>
        <x:v>40</x:v>
      </x:c>
      <x:c r="I817" s="10" t="n">
        <x:f>IF(OR(F817="Status",G817=0),"",G817+H817)</x:f>
        <x:v>135</x:v>
      </x:c>
      <x:c r="J817" s="10" t="n">
        <x:v>32</x:v>
      </x:c>
      <x:c r="K817" s="12" t="n">
        <x:v>40</x:v>
      </x:c>
      <x:c r="L817" s="1" t="str"/>
      <x:c r="M817" s="9" t="str">
        <x:v>https://poke.idleworld.online/pokepedia/pokemon/grimer</x:v>
      </x:c>
    </x:row>
    <x:row r="818" ht="22" customHeight="1">
      <x:c r="A818" s="1" t="n">
        <x:v>88</x:v>
      </x:c>
      <x:c r="B818" s="1" t="str">
        <x:v>Grimer</x:v>
      </x:c>
      <x:c r="C818" s="1" t="n">
        <x:v>6</x:v>
      </x:c>
      <x:c r="D818" s="1" t="str">
        <x:v>Sludge Bomb</x:v>
      </x:c>
      <x:c r="E818" s="1" t="str">
        <x:v>Venenoso</x:v>
      </x:c>
      <x:c r="F818" s="1" t="str">
        <x:v>Especial</x:v>
      </x:c>
      <x:c r="G818" s="10" t="n">
        <x:v>90</x:v>
      </x:c>
      <x:c r="H818" s="10" t="n">
        <x:f>IF(F818="Física",'Pokémon'!G92,IF(F818="Especial",'Pokémon'!I92,""))</x:f>
        <x:v>40</x:v>
      </x:c>
      <x:c r="I818" s="10" t="n">
        <x:f>IF(OR(F818="Status",G818=0),"",G818+H818)</x:f>
        <x:v>130</x:v>
      </x:c>
      <x:c r="J818" s="10" t="n">
        <x:v>29</x:v>
      </x:c>
      <x:c r="K818" s="12" t="n">
        <x:v>22</x:v>
      </x:c>
      <x:c r="L818" s="1" t="str"/>
      <x:c r="M818" s="9" t="str">
        <x:v>https://poke.idleworld.online/pokepedia/pokemon/grimer</x:v>
      </x:c>
    </x:row>
    <x:row r="819" ht="22" customHeight="1">
      <x:c r="A819" s="1" t="n">
        <x:v>88</x:v>
      </x:c>
      <x:c r="B819" s="1" t="str">
        <x:v>Grimer</x:v>
      </x:c>
      <x:c r="C819" s="1" t="n">
        <x:v>1</x:v>
      </x:c>
      <x:c r="D819" s="1" t="str">
        <x:v>Pound</x:v>
      </x:c>
      <x:c r="E819" s="1" t="str">
        <x:v>Normal</x:v>
      </x:c>
      <x:c r="F819" s="1" t="str">
        <x:v>Física</x:v>
      </x:c>
      <x:c r="G819" s="10" t="n">
        <x:v>40</x:v>
      </x:c>
      <x:c r="H819" s="10" t="n">
        <x:f>IF(F819="Física",'Pokémon'!G92,IF(F819="Especial",'Pokémon'!I92,""))</x:f>
        <x:v>80</x:v>
      </x:c>
      <x:c r="I819" s="10" t="n">
        <x:f>IF(OR(F819="Status",G819=0),"",G819+H819)</x:f>
        <x:v>120</x:v>
      </x:c>
      <x:c r="J819" s="10" t="n">
        <x:v>1</x:v>
      </x:c>
      <x:c r="K819" s="12" t="n">
        <x:v>15</x:v>
      </x:c>
      <x:c r="L819" s="1" t="str"/>
      <x:c r="M819" s="9" t="str">
        <x:v>https://poke.idleworld.online/pokepedia/pokemon/grimer</x:v>
      </x:c>
    </x:row>
    <x:row r="820" ht="22" customHeight="1">
      <x:c r="A820" s="1" t="n">
        <x:v>88</x:v>
      </x:c>
      <x:c r="B820" s="1" t="str">
        <x:v>Grimer</x:v>
      </x:c>
      <x:c r="C820" s="1" t="n">
        <x:v>4</x:v>
      </x:c>
      <x:c r="D820" s="1" t="str">
        <x:v>Sludge</x:v>
      </x:c>
      <x:c r="E820" s="1" t="str">
        <x:v>Venenoso</x:v>
      </x:c>
      <x:c r="F820" s="1" t="str">
        <x:v>Especial</x:v>
      </x:c>
      <x:c r="G820" s="10" t="n">
        <x:v>65</x:v>
      </x:c>
      <x:c r="H820" s="10" t="n">
        <x:f>IF(F820="Física",'Pokémon'!G92,IF(F820="Especial",'Pokémon'!I92,""))</x:f>
        <x:v>40</x:v>
      </x:c>
      <x:c r="I820" s="10" t="n">
        <x:f>IF(OR(F820="Status",G820=0),"",G820+H820)</x:f>
        <x:v>105</x:v>
      </x:c>
      <x:c r="J820" s="10" t="n">
        <x:v>15</x:v>
      </x:c>
      <x:c r="K820" s="12" t="n">
        <x:v>20</x:v>
      </x:c>
      <x:c r="L820" s="1" t="str"/>
      <x:c r="M820" s="9" t="str">
        <x:v>https://poke.idleworld.online/pokepedia/pokemon/grimer</x:v>
      </x:c>
    </x:row>
    <x:row r="821" ht="22" customHeight="1">
      <x:c r="A821" s="1" t="n">
        <x:v>88</x:v>
      </x:c>
      <x:c r="B821" s="1" t="str">
        <x:v>Grimer</x:v>
      </x:c>
      <x:c r="C821" s="1" t="n">
        <x:v>5</x:v>
      </x:c>
      <x:c r="D821" s="1" t="str">
        <x:v>Mud Bomb</x:v>
      </x:c>
      <x:c r="E821" s="1" t="str">
        <x:v>Terrestre</x:v>
      </x:c>
      <x:c r="F821" s="1" t="str">
        <x:v>Especial</x:v>
      </x:c>
      <x:c r="G821" s="10" t="n">
        <x:v>65</x:v>
      </x:c>
      <x:c r="H821" s="10" t="n">
        <x:f>IF(F821="Física",'Pokémon'!G92,IF(F821="Especial",'Pokémon'!I92,""))</x:f>
        <x:v>40</x:v>
      </x:c>
      <x:c r="I821" s="10" t="n">
        <x:f>IF(OR(F821="Status",G821=0),"",G821+H821)</x:f>
        <x:v>105</x:v>
      </x:c>
      <x:c r="J821" s="10" t="n">
        <x:v>18</x:v>
      </x:c>
      <x:c r="K821" s="12" t="n">
        <x:v>25</x:v>
      </x:c>
      <x:c r="L821" s="1" t="str"/>
      <x:c r="M821" s="9" t="str">
        <x:v>https://poke.idleworld.online/pokepedia/pokemon/grimer</x:v>
      </x:c>
    </x:row>
    <x:row r="822" ht="22" customHeight="1">
      <x:c r="A822" s="1" t="n">
        <x:v>88</x:v>
      </x:c>
      <x:c r="B822" s="1" t="str">
        <x:v>Grimer</x:v>
      </x:c>
      <x:c r="C822" s="1" t="n">
        <x:v>3</x:v>
      </x:c>
      <x:c r="D822" s="1" t="str">
        <x:v>Mud-Slap</x:v>
      </x:c>
      <x:c r="E822" s="1" t="str">
        <x:v>Terrestre</x:v>
      </x:c>
      <x:c r="F822" s="1" t="str">
        <x:v>Especial</x:v>
      </x:c>
      <x:c r="G822" s="10" t="n">
        <x:v>20</x:v>
      </x:c>
      <x:c r="H822" s="10" t="n">
        <x:f>IF(F822="Física",'Pokémon'!G92,IF(F822="Especial",'Pokémon'!I92,""))</x:f>
        <x:v>40</x:v>
      </x:c>
      <x:c r="I822" s="10" t="n">
        <x:f>IF(OR(F822="Status",G822=0),"",G822+H822)</x:f>
        <x:v>60</x:v>
      </x:c>
      <x:c r="J822" s="10" t="n">
        <x:v>7</x:v>
      </x:c>
      <x:c r="K822" s="12" t="n">
        <x:v>15</x:v>
      </x:c>
      <x:c r="L822" s="1" t="str"/>
      <x:c r="M822" s="9" t="str">
        <x:v>https://poke.idleworld.online/pokepedia/pokemon/grimer</x:v>
      </x:c>
    </x:row>
    <x:row r="823" ht="22" customHeight="1">
      <x:c r="A823" s="1" t="n">
        <x:v>88</x:v>
      </x:c>
      <x:c r="B823" s="1" t="str">
        <x:v>Grimer</x:v>
      </x:c>
      <x:c r="C823" s="1" t="n">
        <x:v>2</x:v>
      </x:c>
      <x:c r="D823" s="1" t="str">
        <x:v>Harden</x:v>
      </x:c>
      <x:c r="E823" s="1" t="str">
        <x:v>Normal</x:v>
      </x:c>
      <x:c r="F823" s="1" t="str">
        <x:v>Status</x:v>
      </x:c>
      <x:c r="G823" s="10" t="n">
        <x:v>0</x:v>
      </x:c>
      <x:c r="H823" s="10" t="str">
        <x:f>IF(F823="Física",'Pokémon'!G92,IF(F823="Especial",'Pokémon'!I92,""))</x:f>
      </x:c>
      <x:c r="I823" s="10" t="str">
        <x:f>IF(OR(F823="Status",G823=0),"",G823+H823)</x:f>
      </x:c>
      <x:c r="J823" s="10" t="n">
        <x:v>4</x:v>
      </x:c>
      <x:c r="K823" s="12" t="n">
        <x:v>30</x:v>
      </x:c>
      <x:c r="L823" s="1" t="str"/>
      <x:c r="M823" s="9" t="str">
        <x:v>https://poke.idleworld.online/pokepedia/pokemon/grimer</x:v>
      </x:c>
    </x:row>
    <x:row r="824" ht="22" customHeight="1">
      <x:c r="A824" s="1" t="n">
        <x:v>89</x:v>
      </x:c>
      <x:c r="B824" s="1" t="str">
        <x:v>Muk</x:v>
      </x:c>
      <x:c r="C824" s="1" t="n">
        <x:v>2</x:v>
      </x:c>
      <x:c r="D824" s="1" t="str">
        <x:v>Toxic Deluge</x:v>
      </x:c>
      <x:c r="E824" s="1" t="str">
        <x:v>Venenoso</x:v>
      </x:c>
      <x:c r="F824" s="1" t="str">
        <x:v>Física</x:v>
      </x:c>
      <x:c r="G824" s="10" t="n">
        <x:v>300</x:v>
      </x:c>
      <x:c r="H824" s="10" t="n">
        <x:f>IF(F824="Física",'Pokémon'!G93,IF(F824="Especial",'Pokémon'!I93,""))</x:f>
        <x:v>105</x:v>
      </x:c>
      <x:c r="I824" s="10" t="n">
        <x:f>IF(OR(F824="Status",G824=0),"",G824+H824)</x:f>
        <x:v>405</x:v>
      </x:c>
      <x:c r="J824" s="10" t="n">
        <x:v>1</x:v>
      </x:c>
      <x:c r="K824" s="12" t="n">
        <x:v>10</x:v>
      </x:c>
      <x:c r="L824" s="1" t="str">
        <x:v>Sim</x:v>
      </x:c>
      <x:c r="M824" s="9" t="str">
        <x:v>https://poke.idleworld.online/pokepedia/pokemon/muk</x:v>
      </x:c>
    </x:row>
    <x:row r="825" ht="22" customHeight="1">
      <x:c r="A825" s="1" t="n">
        <x:v>89</x:v>
      </x:c>
      <x:c r="B825" s="1" t="str">
        <x:v>Muk</x:v>
      </x:c>
      <x:c r="C825" s="1" t="n">
        <x:v>9</x:v>
      </x:c>
      <x:c r="D825" s="1" t="str">
        <x:v>Gunk Shot</x:v>
      </x:c>
      <x:c r="E825" s="1" t="str">
        <x:v>Venenoso</x:v>
      </x:c>
      <x:c r="F825" s="1" t="str">
        <x:v>Física</x:v>
      </x:c>
      <x:c r="G825" s="10" t="n">
        <x:v>120</x:v>
      </x:c>
      <x:c r="H825" s="10" t="n">
        <x:f>IF(F825="Física",'Pokémon'!G93,IF(F825="Especial",'Pokémon'!I93,""))</x:f>
        <x:v>105</x:v>
      </x:c>
      <x:c r="I825" s="10" t="n">
        <x:f>IF(OR(F825="Status",G825=0),"",G825+H825)</x:f>
        <x:v>225</x:v>
      </x:c>
      <x:c r="J825" s="10" t="n">
        <x:v>40</x:v>
      </x:c>
      <x:c r="K825" s="12" t="n">
        <x:v>50</x:v>
      </x:c>
      <x:c r="L825" s="1" t="str"/>
      <x:c r="M825" s="9" t="str">
        <x:v>https://poke.idleworld.online/pokepedia/pokemon/muk</x:v>
      </x:c>
    </x:row>
    <x:row r="826" ht="22" customHeight="1">
      <x:c r="A826" s="1" t="n">
        <x:v>89</x:v>
      </x:c>
      <x:c r="B826" s="1" t="str">
        <x:v>Muk</x:v>
      </x:c>
      <x:c r="C826" s="1" t="n">
        <x:v>10</x:v>
      </x:c>
      <x:c r="D826" s="1" t="str">
        <x:v>Belch</x:v>
      </x:c>
      <x:c r="E826" s="1" t="str">
        <x:v>Venenoso</x:v>
      </x:c>
      <x:c r="F826" s="1" t="str">
        <x:v>Especial</x:v>
      </x:c>
      <x:c r="G826" s="10" t="n">
        <x:v>120</x:v>
      </x:c>
      <x:c r="H826" s="10" t="n">
        <x:f>IF(F826="Física",'Pokémon'!G93,IF(F826="Especial",'Pokémon'!I93,""))</x:f>
        <x:v>65</x:v>
      </x:c>
      <x:c r="I826" s="10" t="n">
        <x:f>IF(OR(F826="Status",G826=0),"",G826+H826)</x:f>
        <x:v>185</x:v>
      </x:c>
      <x:c r="J826" s="10" t="n">
        <x:v>52</x:v>
      </x:c>
      <x:c r="K826" s="12" t="n">
        <x:v>50</x:v>
      </x:c>
      <x:c r="L826" s="1" t="str"/>
      <x:c r="M826" s="9" t="str">
        <x:v>https://poke.idleworld.online/pokepedia/pokemon/muk</x:v>
      </x:c>
    </x:row>
    <x:row r="827" ht="22" customHeight="1">
      <x:c r="A827" s="1" t="n">
        <x:v>89</x:v>
      </x:c>
      <x:c r="B827" s="1" t="str">
        <x:v>Muk</x:v>
      </x:c>
      <x:c r="C827" s="1" t="n">
        <x:v>8</x:v>
      </x:c>
      <x:c r="D827" s="1" t="str">
        <x:v>Sludge Wave</x:v>
      </x:c>
      <x:c r="E827" s="1" t="str">
        <x:v>Venenoso</x:v>
      </x:c>
      <x:c r="F827" s="1" t="str">
        <x:v>Especial</x:v>
      </x:c>
      <x:c r="G827" s="10" t="n">
        <x:v>95</x:v>
      </x:c>
      <x:c r="H827" s="10" t="n">
        <x:f>IF(F827="Física",'Pokémon'!G93,IF(F827="Especial",'Pokémon'!I93,""))</x:f>
        <x:v>65</x:v>
      </x:c>
      <x:c r="I827" s="10" t="n">
        <x:f>IF(OR(F827="Status",G827=0),"",G827+H827)</x:f>
        <x:v>160</x:v>
      </x:c>
      <x:c r="J827" s="10" t="n">
        <x:v>32</x:v>
      </x:c>
      <x:c r="K827" s="12" t="n">
        <x:v>40</x:v>
      </x:c>
      <x:c r="L827" s="1" t="str"/>
      <x:c r="M827" s="9" t="str">
        <x:v>https://poke.idleworld.online/pokepedia/pokemon/muk</x:v>
      </x:c>
    </x:row>
    <x:row r="828" ht="22" customHeight="1">
      <x:c r="A828" s="1" t="n">
        <x:v>89</x:v>
      </x:c>
      <x:c r="B828" s="1" t="str">
        <x:v>Muk</x:v>
      </x:c>
      <x:c r="C828" s="1" t="n">
        <x:v>7</x:v>
      </x:c>
      <x:c r="D828" s="1" t="str">
        <x:v>Sludge Bomb</x:v>
      </x:c>
      <x:c r="E828" s="1" t="str">
        <x:v>Venenoso</x:v>
      </x:c>
      <x:c r="F828" s="1" t="str">
        <x:v>Especial</x:v>
      </x:c>
      <x:c r="G828" s="10" t="n">
        <x:v>90</x:v>
      </x:c>
      <x:c r="H828" s="10" t="n">
        <x:f>IF(F828="Física",'Pokémon'!G93,IF(F828="Especial",'Pokémon'!I93,""))</x:f>
        <x:v>65</x:v>
      </x:c>
      <x:c r="I828" s="10" t="n">
        <x:f>IF(OR(F828="Status",G828=0),"",G828+H828)</x:f>
        <x:v>155</x:v>
      </x:c>
      <x:c r="J828" s="10" t="n">
        <x:v>29</x:v>
      </x:c>
      <x:c r="K828" s="12" t="n">
        <x:v>50</x:v>
      </x:c>
      <x:c r="L828" s="1" t="str"/>
      <x:c r="M828" s="9" t="str">
        <x:v>https://poke.idleworld.online/pokepedia/pokemon/muk</x:v>
      </x:c>
    </x:row>
    <x:row r="829" ht="22" customHeight="1">
      <x:c r="A829" s="1" t="n">
        <x:v>89</x:v>
      </x:c>
      <x:c r="B829" s="1" t="str">
        <x:v>Muk</x:v>
      </x:c>
      <x:c r="C829" s="1" t="n">
        <x:v>4</x:v>
      </x:c>
      <x:c r="D829" s="1" t="str">
        <x:v>Pound</x:v>
      </x:c>
      <x:c r="E829" s="1" t="str">
        <x:v>Normal</x:v>
      </x:c>
      <x:c r="F829" s="1" t="str">
        <x:v>Física</x:v>
      </x:c>
      <x:c r="G829" s="10" t="n">
        <x:v>40</x:v>
      </x:c>
      <x:c r="H829" s="10" t="n">
        <x:f>IF(F829="Física",'Pokémon'!G93,IF(F829="Especial",'Pokémon'!I93,""))</x:f>
        <x:v>105</x:v>
      </x:c>
      <x:c r="I829" s="10" t="n">
        <x:f>IF(OR(F829="Status",G829=0),"",G829+H829)</x:f>
        <x:v>145</x:v>
      </x:c>
      <x:c r="J829" s="10" t="n">
        <x:v>1</x:v>
      </x:c>
      <x:c r="K829" s="12" t="n">
        <x:v>15</x:v>
      </x:c>
      <x:c r="L829" s="1" t="str"/>
      <x:c r="M829" s="9" t="str">
        <x:v>https://poke.idleworld.online/pokepedia/pokemon/muk</x:v>
      </x:c>
    </x:row>
    <x:row r="830" ht="22" customHeight="1">
      <x:c r="A830" s="1" t="n">
        <x:v>89</x:v>
      </x:c>
      <x:c r="B830" s="1" t="str">
        <x:v>Muk</x:v>
      </x:c>
      <x:c r="C830" s="1" t="n">
        <x:v>5</x:v>
      </x:c>
      <x:c r="D830" s="1" t="str">
        <x:v>Sludge</x:v>
      </x:c>
      <x:c r="E830" s="1" t="str">
        <x:v>Venenoso</x:v>
      </x:c>
      <x:c r="F830" s="1" t="str">
        <x:v>Especial</x:v>
      </x:c>
      <x:c r="G830" s="10" t="n">
        <x:v>65</x:v>
      </x:c>
      <x:c r="H830" s="10" t="n">
        <x:f>IF(F830="Física",'Pokémon'!G93,IF(F830="Especial",'Pokémon'!I93,""))</x:f>
        <x:v>65</x:v>
      </x:c>
      <x:c r="I830" s="10" t="n">
        <x:f>IF(OR(F830="Status",G830=0),"",G830+H830)</x:f>
        <x:v>130</x:v>
      </x:c>
      <x:c r="J830" s="10" t="n">
        <x:v>15</x:v>
      </x:c>
      <x:c r="K830" s="12" t="n">
        <x:v>20</x:v>
      </x:c>
      <x:c r="L830" s="1" t="str"/>
      <x:c r="M830" s="9" t="str">
        <x:v>https://poke.idleworld.online/pokepedia/pokemon/muk</x:v>
      </x:c>
    </x:row>
    <x:row r="831" ht="22" customHeight="1">
      <x:c r="A831" s="1" t="n">
        <x:v>89</x:v>
      </x:c>
      <x:c r="B831" s="1" t="str">
        <x:v>Muk</x:v>
      </x:c>
      <x:c r="C831" s="1" t="n">
        <x:v>6</x:v>
      </x:c>
      <x:c r="D831" s="1" t="str">
        <x:v>Mud Bomb</x:v>
      </x:c>
      <x:c r="E831" s="1" t="str">
        <x:v>Terrestre</x:v>
      </x:c>
      <x:c r="F831" s="1" t="str">
        <x:v>Especial</x:v>
      </x:c>
      <x:c r="G831" s="10" t="n">
        <x:v>65</x:v>
      </x:c>
      <x:c r="H831" s="10" t="n">
        <x:f>IF(F831="Física",'Pokémon'!G93,IF(F831="Especial",'Pokémon'!I93,""))</x:f>
        <x:v>65</x:v>
      </x:c>
      <x:c r="I831" s="10" t="n">
        <x:f>IF(OR(F831="Status",G831=0),"",G831+H831)</x:f>
        <x:v>130</x:v>
      </x:c>
      <x:c r="J831" s="10" t="n">
        <x:v>18</x:v>
      </x:c>
      <x:c r="K831" s="12" t="n">
        <x:v>20</x:v>
      </x:c>
      <x:c r="L831" s="1" t="str"/>
      <x:c r="M831" s="9" t="str">
        <x:v>https://poke.idleworld.online/pokepedia/pokemon/muk</x:v>
      </x:c>
    </x:row>
    <x:row r="832" ht="22" customHeight="1">
      <x:c r="A832" s="1" t="n">
        <x:v>89</x:v>
      </x:c>
      <x:c r="B832" s="1" t="str">
        <x:v>Muk</x:v>
      </x:c>
      <x:c r="C832" s="1" t="n">
        <x:v>3</x:v>
      </x:c>
      <x:c r="D832" s="1" t="str">
        <x:v>Mud-Slap</x:v>
      </x:c>
      <x:c r="E832" s="1" t="str">
        <x:v>Terrestre</x:v>
      </x:c>
      <x:c r="F832" s="1" t="str">
        <x:v>Especial</x:v>
      </x:c>
      <x:c r="G832" s="10" t="n">
        <x:v>20</x:v>
      </x:c>
      <x:c r="H832" s="10" t="n">
        <x:f>IF(F832="Física",'Pokémon'!G93,IF(F832="Especial",'Pokémon'!I93,""))</x:f>
        <x:v>65</x:v>
      </x:c>
      <x:c r="I832" s="10" t="n">
        <x:f>IF(OR(F832="Status",G832=0),"",G832+H832)</x:f>
        <x:v>85</x:v>
      </x:c>
      <x:c r="J832" s="10" t="n">
        <x:v>1</x:v>
      </x:c>
      <x:c r="K832" s="12" t="n">
        <x:v>15</x:v>
      </x:c>
      <x:c r="L832" s="1" t="str"/>
      <x:c r="M832" s="9" t="str">
        <x:v>https://poke.idleworld.online/pokepedia/pokemon/muk</x:v>
      </x:c>
    </x:row>
    <x:row r="833" ht="22" customHeight="1">
      <x:c r="A833" s="1" t="n">
        <x:v>89</x:v>
      </x:c>
      <x:c r="B833" s="1" t="str">
        <x:v>Muk</x:v>
      </x:c>
      <x:c r="C833" s="1" t="n">
        <x:v>1</x:v>
      </x:c>
      <x:c r="D833" s="1" t="str">
        <x:v>Harden</x:v>
      </x:c>
      <x:c r="E833" s="1" t="str">
        <x:v>Normal</x:v>
      </x:c>
      <x:c r="F833" s="1" t="str">
        <x:v>Status</x:v>
      </x:c>
      <x:c r="G833" s="10" t="n">
        <x:v>0</x:v>
      </x:c>
      <x:c r="H833" s="10" t="str">
        <x:f>IF(F833="Física",'Pokémon'!G93,IF(F833="Especial",'Pokémon'!I93,""))</x:f>
      </x:c>
      <x:c r="I833" s="10" t="str">
        <x:f>IF(OR(F833="Status",G833=0),"",G833+H833)</x:f>
      </x:c>
      <x:c r="J833" s="10" t="n">
        <x:v>1</x:v>
      </x:c>
      <x:c r="K833" s="12" t="n">
        <x:v>30</x:v>
      </x:c>
      <x:c r="L833" s="1" t="str"/>
      <x:c r="M833" s="9" t="str">
        <x:v>https://poke.idleworld.online/pokepedia/pokemon/muk</x:v>
      </x:c>
    </x:row>
    <x:row r="834" ht="22" customHeight="1">
      <x:c r="A834" s="1" t="n">
        <x:v>90</x:v>
      </x:c>
      <x:c r="B834" s="1" t="str">
        <x:v>Shellder</x:v>
      </x:c>
      <x:c r="C834" s="1" t="n">
        <x:v>11</x:v>
      </x:c>
      <x:c r="D834" s="1" t="str">
        <x:v>Hydro Pump</x:v>
      </x:c>
      <x:c r="E834" s="1" t="str">
        <x:v>Água</x:v>
      </x:c>
      <x:c r="F834" s="1" t="str">
        <x:v>Especial</x:v>
      </x:c>
      <x:c r="G834" s="10" t="n">
        <x:v>110</x:v>
      </x:c>
      <x:c r="H834" s="10" t="n">
        <x:f>IF(F834="Física",'Pokémon'!G94,IF(F834="Especial",'Pokémon'!I94,""))</x:f>
        <x:v>45</x:v>
      </x:c>
      <x:c r="I834" s="10" t="n">
        <x:f>IF(OR(F834="Status",G834=0),"",G834+H834)</x:f>
        <x:v>155</x:v>
      </x:c>
      <x:c r="J834" s="10" t="n">
        <x:v>61</x:v>
      </x:c>
      <x:c r="K834" s="12" t="n">
        <x:v>40</x:v>
      </x:c>
      <x:c r="L834" s="1" t="str"/>
      <x:c r="M834" s="9" t="str">
        <x:v>https://poke.idleworld.online/pokepedia/pokemon/shellder</x:v>
      </x:c>
    </x:row>
    <x:row r="835" ht="22" customHeight="1">
      <x:c r="A835" s="1" t="n">
        <x:v>90</x:v>
      </x:c>
      <x:c r="B835" s="1" t="str">
        <x:v>Shellder</x:v>
      </x:c>
      <x:c r="C835" s="1" t="n">
        <x:v>6</x:v>
      </x:c>
      <x:c r="D835" s="1" t="str">
        <x:v>Razor Shell</x:v>
      </x:c>
      <x:c r="E835" s="1" t="str">
        <x:v>Água</x:v>
      </x:c>
      <x:c r="F835" s="1" t="str">
        <x:v>Física</x:v>
      </x:c>
      <x:c r="G835" s="10" t="n">
        <x:v>75</x:v>
      </x:c>
      <x:c r="H835" s="10" t="n">
        <x:f>IF(F835="Física",'Pokémon'!G94,IF(F835="Especial",'Pokémon'!I94,""))</x:f>
        <x:v>65</x:v>
      </x:c>
      <x:c r="I835" s="10" t="n">
        <x:f>IF(OR(F835="Status",G835=0),"",G835+H835)</x:f>
        <x:v>140</x:v>
      </x:c>
      <x:c r="J835" s="10" t="n">
        <x:v>32</x:v>
      </x:c>
      <x:c r="K835" s="12" t="n">
        <x:v>22</x:v>
      </x:c>
      <x:c r="L835" s="1" t="str"/>
      <x:c r="M835" s="9" t="str">
        <x:v>https://poke.idleworld.online/pokepedia/pokemon/shellder</x:v>
      </x:c>
    </x:row>
    <x:row r="836" ht="22" customHeight="1">
      <x:c r="A836" s="1" t="n">
        <x:v>90</x:v>
      </x:c>
      <x:c r="B836" s="1" t="str">
        <x:v>Shellder</x:v>
      </x:c>
      <x:c r="C836" s="1" t="n">
        <x:v>10</x:v>
      </x:c>
      <x:c r="D836" s="1" t="str">
        <x:v>Ice Beam</x:v>
      </x:c>
      <x:c r="E836" s="1" t="str">
        <x:v>Gelo</x:v>
      </x:c>
      <x:c r="F836" s="1" t="str">
        <x:v>Especial</x:v>
      </x:c>
      <x:c r="G836" s="10" t="n">
        <x:v>90</x:v>
      </x:c>
      <x:c r="H836" s="10" t="n">
        <x:f>IF(F836="Física",'Pokémon'!G94,IF(F836="Especial",'Pokémon'!I94,""))</x:f>
        <x:v>45</x:v>
      </x:c>
      <x:c r="I836" s="10" t="n">
        <x:f>IF(OR(F836="Status",G836=0),"",G836+H836)</x:f>
        <x:v>135</x:v>
      </x:c>
      <x:c r="J836" s="10" t="n">
        <x:v>52</x:v>
      </x:c>
      <x:c r="K836" s="12" t="n">
        <x:v>18</x:v>
      </x:c>
      <x:c r="L836" s="1" t="str"/>
      <x:c r="M836" s="9" t="str">
        <x:v>https://poke.idleworld.online/pokepedia/pokemon/shellder</x:v>
      </x:c>
    </x:row>
    <x:row r="837" ht="22" customHeight="1">
      <x:c r="A837" s="1" t="n">
        <x:v>90</x:v>
      </x:c>
      <x:c r="B837" s="1" t="str">
        <x:v>Shellder</x:v>
      </x:c>
      <x:c r="C837" s="1" t="n">
        <x:v>1</x:v>
      </x:c>
      <x:c r="D837" s="1" t="str">
        <x:v>Tackle</x:v>
      </x:c>
      <x:c r="E837" s="1" t="str">
        <x:v>Normal</x:v>
      </x:c>
      <x:c r="F837" s="1" t="str">
        <x:v>Física</x:v>
      </x:c>
      <x:c r="G837" s="10" t="n">
        <x:v>50</x:v>
      </x:c>
      <x:c r="H837" s="10" t="n">
        <x:f>IF(F837="Física",'Pokémon'!G94,IF(F837="Especial",'Pokémon'!I94,""))</x:f>
        <x:v>65</x:v>
      </x:c>
      <x:c r="I837" s="10" t="n">
        <x:f>IF(OR(F837="Status",G837=0),"",G837+H837)</x:f>
        <x:v>115</x:v>
      </x:c>
      <x:c r="J837" s="10" t="n">
        <x:v>1</x:v>
      </x:c>
      <x:c r="K837" s="12" t="n">
        <x:v>15</x:v>
      </x:c>
      <x:c r="L837" s="1" t="str"/>
      <x:c r="M837" s="9" t="str">
        <x:v>https://poke.idleworld.online/pokepedia/pokemon/shellder</x:v>
      </x:c>
    </x:row>
    <x:row r="838" ht="22" customHeight="1">
      <x:c r="A838" s="1" t="n">
        <x:v>90</x:v>
      </x:c>
      <x:c r="B838" s="1" t="str">
        <x:v>Shellder</x:v>
      </x:c>
      <x:c r="C838" s="1" t="n">
        <x:v>7</x:v>
      </x:c>
      <x:c r="D838" s="1" t="str">
        <x:v>Aurora Beam</x:v>
      </x:c>
      <x:c r="E838" s="1" t="str">
        <x:v>Gelo</x:v>
      </x:c>
      <x:c r="F838" s="1" t="str">
        <x:v>Especial</x:v>
      </x:c>
      <x:c r="G838" s="10" t="n">
        <x:v>65</x:v>
      </x:c>
      <x:c r="H838" s="10" t="n">
        <x:f>IF(F838="Física",'Pokémon'!G94,IF(F838="Especial",'Pokémon'!I94,""))</x:f>
        <x:v>45</x:v>
      </x:c>
      <x:c r="I838" s="10" t="n">
        <x:f>IF(OR(F838="Status",G838=0),"",G838+H838)</x:f>
        <x:v>110</x:v>
      </x:c>
      <x:c r="J838" s="10" t="n">
        <x:v>37</x:v>
      </x:c>
      <x:c r="K838" s="12" t="n">
        <x:v>20</x:v>
      </x:c>
      <x:c r="L838" s="1" t="str"/>
      <x:c r="M838" s="9" t="str">
        <x:v>https://poke.idleworld.online/pokepedia/pokemon/shellder</x:v>
      </x:c>
    </x:row>
    <x:row r="839" ht="22" customHeight="1">
      <x:c r="A839" s="1" t="n">
        <x:v>90</x:v>
      </x:c>
      <x:c r="B839" s="1" t="str">
        <x:v>Shellder</x:v>
      </x:c>
      <x:c r="C839" s="1" t="n">
        <x:v>9</x:v>
      </x:c>
      <x:c r="D839" s="1" t="str">
        <x:v>Brine</x:v>
      </x:c>
      <x:c r="E839" s="1" t="str">
        <x:v>Água</x:v>
      </x:c>
      <x:c r="F839" s="1" t="str">
        <x:v>Especial</x:v>
      </x:c>
      <x:c r="G839" s="10" t="n">
        <x:v>65</x:v>
      </x:c>
      <x:c r="H839" s="10" t="n">
        <x:f>IF(F839="Física",'Pokémon'!G94,IF(F839="Especial",'Pokémon'!I94,""))</x:f>
        <x:v>45</x:v>
      </x:c>
      <x:c r="I839" s="10" t="n">
        <x:f>IF(OR(F839="Status",G839=0),"",G839+H839)</x:f>
        <x:v>110</x:v>
      </x:c>
      <x:c r="J839" s="10" t="n">
        <x:v>44</x:v>
      </x:c>
      <x:c r="K839" s="12" t="n">
        <x:v>20</x:v>
      </x:c>
      <x:c r="L839" s="1" t="str"/>
      <x:c r="M839" s="9" t="str">
        <x:v>https://poke.idleworld.online/pokepedia/pokemon/shellder</x:v>
      </x:c>
    </x:row>
    <x:row r="840" ht="22" customHeight="1">
      <x:c r="A840" s="1" t="n">
        <x:v>90</x:v>
      </x:c>
      <x:c r="B840" s="1" t="str">
        <x:v>Shellder</x:v>
      </x:c>
      <x:c r="C840" s="1" t="n">
        <x:v>5</x:v>
      </x:c>
      <x:c r="D840" s="1" t="str">
        <x:v>Ice Shard</x:v>
      </x:c>
      <x:c r="E840" s="1" t="str">
        <x:v>Gelo</x:v>
      </x:c>
      <x:c r="F840" s="1" t="str">
        <x:v>Física</x:v>
      </x:c>
      <x:c r="G840" s="10" t="n">
        <x:v>40</x:v>
      </x:c>
      <x:c r="H840" s="10" t="n">
        <x:f>IF(F840="Física",'Pokémon'!G94,IF(F840="Especial",'Pokémon'!I94,""))</x:f>
        <x:v>65</x:v>
      </x:c>
      <x:c r="I840" s="10" t="n">
        <x:f>IF(OR(F840="Status",G840=0),"",G840+H840)</x:f>
        <x:v>105</x:v>
      </x:c>
      <x:c r="J840" s="10" t="n">
        <x:v>28</x:v>
      </x:c>
      <x:c r="K840" s="12" t="n">
        <x:v>15</x:v>
      </x:c>
      <x:c r="L840" s="1" t="str"/>
      <x:c r="M840" s="9" t="str">
        <x:v>https://poke.idleworld.online/pokepedia/pokemon/shellder</x:v>
      </x:c>
    </x:row>
    <x:row r="841" ht="22" customHeight="1">
      <x:c r="A841" s="1" t="n">
        <x:v>90</x:v>
      </x:c>
      <x:c r="B841" s="1" t="str">
        <x:v>Shellder</x:v>
      </x:c>
      <x:c r="C841" s="1" t="n">
        <x:v>4</x:v>
      </x:c>
      <x:c r="D841" s="1" t="str">
        <x:v>Clamp</x:v>
      </x:c>
      <x:c r="E841" s="1" t="str">
        <x:v>Água</x:v>
      </x:c>
      <x:c r="F841" s="1" t="str">
        <x:v>Física</x:v>
      </x:c>
      <x:c r="G841" s="10" t="n">
        <x:v>35</x:v>
      </x:c>
      <x:c r="H841" s="10" t="n">
        <x:f>IF(F841="Física",'Pokémon'!G94,IF(F841="Especial",'Pokémon'!I94,""))</x:f>
        <x:v>65</x:v>
      </x:c>
      <x:c r="I841" s="10" t="n">
        <x:f>IF(OR(F841="Status",G841=0),"",G841+H841)</x:f>
        <x:v>100</x:v>
      </x:c>
      <x:c r="J841" s="10" t="n">
        <x:v>25</x:v>
      </x:c>
      <x:c r="K841" s="12" t="n">
        <x:v>15</x:v>
      </x:c>
      <x:c r="L841" s="1" t="str"/>
      <x:c r="M841" s="9" t="str">
        <x:v>https://poke.idleworld.online/pokepedia/pokemon/shellder</x:v>
      </x:c>
    </x:row>
    <x:row r="842" ht="22" customHeight="1">
      <x:c r="A842" s="1" t="n">
        <x:v>90</x:v>
      </x:c>
      <x:c r="B842" s="1" t="str">
        <x:v>Shellder</x:v>
      </x:c>
      <x:c r="C842" s="1" t="n">
        <x:v>3</x:v>
      </x:c>
      <x:c r="D842" s="1" t="str">
        <x:v>Icicle Spear</x:v>
      </x:c>
      <x:c r="E842" s="1" t="str">
        <x:v>Gelo</x:v>
      </x:c>
      <x:c r="F842" s="1" t="str">
        <x:v>Física</x:v>
      </x:c>
      <x:c r="G842" s="10" t="n">
        <x:v>25</x:v>
      </x:c>
      <x:c r="H842" s="10" t="n">
        <x:f>IF(F842="Física",'Pokémon'!G94,IF(F842="Especial",'Pokémon'!I94,""))</x:f>
        <x:v>65</x:v>
      </x:c>
      <x:c r="I842" s="10" t="n">
        <x:f>IF(OR(F842="Status",G842=0),"",G842+H842)</x:f>
        <x:v>90</x:v>
      </x:c>
      <x:c r="J842" s="10" t="n">
        <x:v>13</x:v>
      </x:c>
      <x:c r="K842" s="12" t="n">
        <x:v>15</x:v>
      </x:c>
      <x:c r="L842" s="1" t="str"/>
      <x:c r="M842" s="9" t="str">
        <x:v>https://poke.idleworld.online/pokepedia/pokemon/shellder</x:v>
      </x:c>
    </x:row>
    <x:row r="843" ht="22" customHeight="1">
      <x:c r="A843" s="1" t="n">
        <x:v>90</x:v>
      </x:c>
      <x:c r="B843" s="1" t="str">
        <x:v>Shellder</x:v>
      </x:c>
      <x:c r="C843" s="1" t="n">
        <x:v>8</x:v>
      </x:c>
      <x:c r="D843" s="1" t="str">
        <x:v>Whirlpool</x:v>
      </x:c>
      <x:c r="E843" s="1" t="str">
        <x:v>Água</x:v>
      </x:c>
      <x:c r="F843" s="1" t="str">
        <x:v>Especial</x:v>
      </x:c>
      <x:c r="G843" s="10" t="n">
        <x:v>35</x:v>
      </x:c>
      <x:c r="H843" s="10" t="n">
        <x:f>IF(F843="Física",'Pokémon'!G94,IF(F843="Especial",'Pokémon'!I94,""))</x:f>
        <x:v>45</x:v>
      </x:c>
      <x:c r="I843" s="10" t="n">
        <x:f>IF(OR(F843="Status",G843=0),"",G843+H843)</x:f>
        <x:v>80</x:v>
      </x:c>
      <x:c r="J843" s="10" t="n">
        <x:v>40</x:v>
      </x:c>
      <x:c r="K843" s="12" t="n">
        <x:v>15</x:v>
      </x:c>
      <x:c r="L843" s="1" t="str"/>
      <x:c r="M843" s="9" t="str">
        <x:v>https://poke.idleworld.online/pokepedia/pokemon/shellder</x:v>
      </x:c>
    </x:row>
    <x:row r="844" ht="22" customHeight="1">
      <x:c r="A844" s="1" t="n">
        <x:v>90</x:v>
      </x:c>
      <x:c r="B844" s="1" t="str">
        <x:v>Shellder</x:v>
      </x:c>
      <x:c r="C844" s="1" t="n">
        <x:v>2</x:v>
      </x:c>
      <x:c r="D844" s="1" t="str">
        <x:v>Super Sonic</x:v>
      </x:c>
      <x:c r="E844" s="1" t="str">
        <x:v>Normal</x:v>
      </x:c>
      <x:c r="F844" s="1" t="str">
        <x:v>Status</x:v>
      </x:c>
      <x:c r="G844" s="10" t="n">
        <x:v>0</x:v>
      </x:c>
      <x:c r="H844" s="10" t="str">
        <x:f>IF(F844="Física",'Pokémon'!G94,IF(F844="Especial",'Pokémon'!I94,""))</x:f>
      </x:c>
      <x:c r="I844" s="10" t="str">
        <x:f>IF(OR(F844="Status",G844=0),"",G844+H844)</x:f>
      </x:c>
      <x:c r="J844" s="10" t="n">
        <x:v>8</x:v>
      </x:c>
      <x:c r="K844" s="12" t="n">
        <x:v>30</x:v>
      </x:c>
      <x:c r="L844" s="1" t="str"/>
      <x:c r="M844" s="9" t="str">
        <x:v>https://poke.idleworld.online/pokepedia/pokemon/shellder</x:v>
      </x:c>
    </x:row>
    <x:row r="845" ht="22" customHeight="1">
      <x:c r="A845" s="1" t="n">
        <x:v>91</x:v>
      </x:c>
      <x:c r="B845" s="1" t="str">
        <x:v>Cloyster</x:v>
      </x:c>
      <x:c r="C845" s="1" t="n">
        <x:v>3</x:v>
      </x:c>
      <x:c r="D845" s="1" t="str">
        <x:v>Cyclonic Tide</x:v>
      </x:c>
      <x:c r="E845" s="1" t="str">
        <x:v>Água</x:v>
      </x:c>
      <x:c r="F845" s="1" t="str">
        <x:v>Especial</x:v>
      </x:c>
      <x:c r="G845" s="10" t="n">
        <x:v>300</x:v>
      </x:c>
      <x:c r="H845" s="10" t="n">
        <x:f>IF(F845="Física",'Pokémon'!G95,IF(F845="Especial",'Pokémon'!I95,""))</x:f>
        <x:v>85</x:v>
      </x:c>
      <x:c r="I845" s="10" t="n">
        <x:f>IF(OR(F845="Status",G845=0),"",G845+H845)</x:f>
        <x:v>385</x:v>
      </x:c>
      <x:c r="J845" s="10" t="n">
        <x:v>1</x:v>
      </x:c>
      <x:c r="K845" s="12" t="n">
        <x:v>10</x:v>
      </x:c>
      <x:c r="L845" s="1" t="str">
        <x:v>Sim</x:v>
      </x:c>
      <x:c r="M845" s="9" t="str">
        <x:v>https://poke.idleworld.online/pokepedia/pokemon/cloyster</x:v>
      </x:c>
    </x:row>
    <x:row r="846" ht="22" customHeight="1">
      <x:c r="A846" s="1" t="n">
        <x:v>91</x:v>
      </x:c>
      <x:c r="B846" s="1" t="str">
        <x:v>Cloyster</x:v>
      </x:c>
      <x:c r="C846" s="1" t="n">
        <x:v>4</x:v>
      </x:c>
      <x:c r="D846" s="1" t="str">
        <x:v>Hydro Pump</x:v>
      </x:c>
      <x:c r="E846" s="1" t="str">
        <x:v>Água</x:v>
      </x:c>
      <x:c r="F846" s="1" t="str">
        <x:v>Especial</x:v>
      </x:c>
      <x:c r="G846" s="10" t="n">
        <x:v>110</x:v>
      </x:c>
      <x:c r="H846" s="10" t="n">
        <x:f>IF(F846="Física",'Pokémon'!G95,IF(F846="Especial",'Pokémon'!I95,""))</x:f>
        <x:v>85</x:v>
      </x:c>
      <x:c r="I846" s="10" t="n">
        <x:f>IF(OR(F846="Status",G846=0),"",G846+H846)</x:f>
        <x:v>195</x:v>
      </x:c>
      <x:c r="J846" s="10" t="n">
        <x:v>1</x:v>
      </x:c>
      <x:c r="K846" s="12" t="n">
        <x:v>40</x:v>
      </x:c>
      <x:c r="L846" s="1" t="str"/>
      <x:c r="M846" s="9" t="str">
        <x:v>https://poke.idleworld.online/pokepedia/pokemon/cloyster</x:v>
      </x:c>
    </x:row>
    <x:row r="847" ht="22" customHeight="1">
      <x:c r="A847" s="1" t="n">
        <x:v>91</x:v>
      </x:c>
      <x:c r="B847" s="1" t="str">
        <x:v>Cloyster</x:v>
      </x:c>
      <x:c r="C847" s="1" t="n">
        <x:v>6</x:v>
      </x:c>
      <x:c r="D847" s="1" t="str">
        <x:v>Icicle Crash</x:v>
      </x:c>
      <x:c r="E847" s="1" t="str">
        <x:v>Gelo</x:v>
      </x:c>
      <x:c r="F847" s="1" t="str">
        <x:v>Física</x:v>
      </x:c>
      <x:c r="G847" s="10" t="n">
        <x:v>85</x:v>
      </x:c>
      <x:c r="H847" s="10" t="n">
        <x:f>IF(F847="Física",'Pokémon'!G95,IF(F847="Especial",'Pokémon'!I95,""))</x:f>
        <x:v>95</x:v>
      </x:c>
      <x:c r="I847" s="10" t="n">
        <x:f>IF(OR(F847="Status",G847=0),"",G847+H847)</x:f>
        <x:v>180</x:v>
      </x:c>
      <x:c r="J847" s="10" t="n">
        <x:v>50</x:v>
      </x:c>
      <x:c r="K847" s="12" t="n">
        <x:v>22</x:v>
      </x:c>
      <x:c r="L847" s="1" t="str"/>
      <x:c r="M847" s="9" t="str">
        <x:v>https://poke.idleworld.online/pokepedia/pokemon/cloyster</x:v>
      </x:c>
    </x:row>
    <x:row r="848" ht="22" customHeight="1">
      <x:c r="A848" s="1" t="n">
        <x:v>91</x:v>
      </x:c>
      <x:c r="B848" s="1" t="str">
        <x:v>Cloyster</x:v>
      </x:c>
      <x:c r="C848" s="1" t="n">
        <x:v>1</x:v>
      </x:c>
      <x:c r="D848" s="1" t="str">
        <x:v>Aurora Beam</x:v>
      </x:c>
      <x:c r="E848" s="1" t="str">
        <x:v>Gelo</x:v>
      </x:c>
      <x:c r="F848" s="1" t="str">
        <x:v>Especial</x:v>
      </x:c>
      <x:c r="G848" s="10" t="n">
        <x:v>65</x:v>
      </x:c>
      <x:c r="H848" s="10" t="n">
        <x:f>IF(F848="Física",'Pokémon'!G95,IF(F848="Especial",'Pokémon'!I95,""))</x:f>
        <x:v>85</x:v>
      </x:c>
      <x:c r="I848" s="10" t="n">
        <x:f>IF(OR(F848="Status",G848=0),"",G848+H848)</x:f>
        <x:v>150</x:v>
      </x:c>
      <x:c r="J848" s="10" t="n">
        <x:v>1</x:v>
      </x:c>
      <x:c r="K848" s="12" t="n">
        <x:v>60</x:v>
      </x:c>
      <x:c r="L848" s="1" t="str"/>
      <x:c r="M848" s="9" t="str">
        <x:v>https://poke.idleworld.online/pokepedia/pokemon/cloyster</x:v>
      </x:c>
    </x:row>
    <x:row r="849" ht="22" customHeight="1">
      <x:c r="A849" s="1" t="n">
        <x:v>91</x:v>
      </x:c>
      <x:c r="B849" s="1" t="str">
        <x:v>Cloyster</x:v>
      </x:c>
      <x:c r="C849" s="1" t="n">
        <x:v>5</x:v>
      </x:c>
      <x:c r="D849" s="1" t="str">
        <x:v>Spike Cannon</x:v>
      </x:c>
      <x:c r="E849" s="1" t="str">
        <x:v>Normal</x:v>
      </x:c>
      <x:c r="F849" s="1" t="str">
        <x:v>Física</x:v>
      </x:c>
      <x:c r="G849" s="10" t="n">
        <x:v>20</x:v>
      </x:c>
      <x:c r="H849" s="10" t="n">
        <x:f>IF(F849="Física",'Pokémon'!G95,IF(F849="Especial",'Pokémon'!I95,""))</x:f>
        <x:v>95</x:v>
      </x:c>
      <x:c r="I849" s="10" t="n">
        <x:f>IF(OR(F849="Status",G849=0),"",G849+H849)</x:f>
        <x:v>115</x:v>
      </x:c>
      <x:c r="J849" s="10" t="n">
        <x:v>13</x:v>
      </x:c>
      <x:c r="K849" s="12" t="n">
        <x:v>15</x:v>
      </x:c>
      <x:c r="L849" s="1" t="str"/>
      <x:c r="M849" s="9" t="str">
        <x:v>https://poke.idleworld.online/pokepedia/pokemon/cloyster</x:v>
      </x:c>
    </x:row>
    <x:row r="850" ht="22" customHeight="1">
      <x:c r="A850" s="1" t="n">
        <x:v>91</x:v>
      </x:c>
      <x:c r="B850" s="1" t="str">
        <x:v>Cloyster</x:v>
      </x:c>
      <x:c r="C850" s="1" t="n">
        <x:v>2</x:v>
      </x:c>
      <x:c r="D850" s="1" t="str">
        <x:v>Super Sonic</x:v>
      </x:c>
      <x:c r="E850" s="1" t="str">
        <x:v>Normal</x:v>
      </x:c>
      <x:c r="F850" s="1" t="str">
        <x:v>Status</x:v>
      </x:c>
      <x:c r="G850" s="10" t="n">
        <x:v>0</x:v>
      </x:c>
      <x:c r="H850" s="10" t="str">
        <x:f>IF(F850="Física",'Pokémon'!G95,IF(F850="Especial",'Pokémon'!I95,""))</x:f>
      </x:c>
      <x:c r="I850" s="10" t="str">
        <x:f>IF(OR(F850="Status",G850=0),"",G850+H850)</x:f>
      </x:c>
      <x:c r="J850" s="10" t="n">
        <x:v>1</x:v>
      </x:c>
      <x:c r="K850" s="12" t="n">
        <x:v>30</x:v>
      </x:c>
      <x:c r="L850" s="1" t="str"/>
      <x:c r="M850" s="9" t="str">
        <x:v>https://poke.idleworld.online/pokepedia/pokemon/cloyster</x:v>
      </x:c>
    </x:row>
    <x:row r="851" ht="22" customHeight="1">
      <x:c r="A851" s="1" t="n">
        <x:v>92</x:v>
      </x:c>
      <x:c r="B851" s="1" t="str">
        <x:v>Gastly</x:v>
      </x:c>
      <x:c r="C851" s="1" t="n">
        <x:v>7</x:v>
      </x:c>
      <x:c r="D851" s="1" t="str">
        <x:v>Dream Eater</x:v>
      </x:c>
      <x:c r="E851" s="1" t="str">
        <x:v>Psíquico</x:v>
      </x:c>
      <x:c r="F851" s="1" t="str">
        <x:v>Especial</x:v>
      </x:c>
      <x:c r="G851" s="10" t="n">
        <x:v>100</x:v>
      </x:c>
      <x:c r="H851" s="10" t="n">
        <x:f>IF(F851="Física",'Pokémon'!G96,IF(F851="Especial",'Pokémon'!I96,""))</x:f>
        <x:v>100</x:v>
      </x:c>
      <x:c r="I851" s="10" t="n">
        <x:f>IF(OR(F851="Status",G851=0),"",G851+H851)</x:f>
        <x:v>200</x:v>
      </x:c>
      <x:c r="J851" s="10" t="n">
        <x:v>33</x:v>
      </x:c>
      <x:c r="K851" s="12" t="n">
        <x:v>40</x:v>
      </x:c>
      <x:c r="L851" s="1" t="str"/>
      <x:c r="M851" s="9" t="str">
        <x:v>https://poke.idleworld.online/pokepedia/pokemon/gastly</x:v>
      </x:c>
    </x:row>
    <x:row r="852" ht="22" customHeight="1">
      <x:c r="A852" s="1" t="n">
        <x:v>92</x:v>
      </x:c>
      <x:c r="B852" s="1" t="str">
        <x:v>Gastly</x:v>
      </x:c>
      <x:c r="C852" s="1" t="n">
        <x:v>6</x:v>
      </x:c>
      <x:c r="D852" s="1" t="str">
        <x:v>Shadow Ball</x:v>
      </x:c>
      <x:c r="E852" s="1" t="str">
        <x:v>Fantasma</x:v>
      </x:c>
      <x:c r="F852" s="1" t="str">
        <x:v>Especial</x:v>
      </x:c>
      <x:c r="G852" s="10" t="n">
        <x:v>80</x:v>
      </x:c>
      <x:c r="H852" s="10" t="n">
        <x:f>IF(F852="Física",'Pokémon'!G96,IF(F852="Especial",'Pokémon'!I96,""))</x:f>
        <x:v>100</x:v>
      </x:c>
      <x:c r="I852" s="10" t="n">
        <x:f>IF(OR(F852="Status",G852=0),"",G852+H852)</x:f>
        <x:v>180</x:v>
      </x:c>
      <x:c r="J852" s="10" t="n">
        <x:v>29</x:v>
      </x:c>
      <x:c r="K852" s="12" t="n">
        <x:v>8</x:v>
      </x:c>
      <x:c r="L852" s="1" t="str"/>
      <x:c r="M852" s="9" t="str">
        <x:v>https://poke.idleworld.online/pokepedia/pokemon/gastly</x:v>
      </x:c>
    </x:row>
    <x:row r="853" ht="22" customHeight="1">
      <x:c r="A853" s="1" t="n">
        <x:v>92</x:v>
      </x:c>
      <x:c r="B853" s="1" t="str">
        <x:v>Gastly</x:v>
      </x:c>
      <x:c r="C853" s="1" t="n">
        <x:v>8</x:v>
      </x:c>
      <x:c r="D853" s="1" t="str">
        <x:v>Dark Pulse</x:v>
      </x:c>
      <x:c r="E853" s="1" t="str">
        <x:v>Sombrio</x:v>
      </x:c>
      <x:c r="F853" s="1" t="str">
        <x:v>Especial</x:v>
      </x:c>
      <x:c r="G853" s="10" t="n">
        <x:v>80</x:v>
      </x:c>
      <x:c r="H853" s="10" t="n">
        <x:f>IF(F853="Física",'Pokémon'!G96,IF(F853="Especial",'Pokémon'!I96,""))</x:f>
        <x:v>100</x:v>
      </x:c>
      <x:c r="I853" s="10" t="n">
        <x:f>IF(OR(F853="Status",G853=0),"",G853+H853)</x:f>
        <x:v>180</x:v>
      </x:c>
      <x:c r="J853" s="10" t="n">
        <x:v>36</x:v>
      </x:c>
      <x:c r="K853" s="12" t="n">
        <x:v>22</x:v>
      </x:c>
      <x:c r="L853" s="1" t="str"/>
      <x:c r="M853" s="9" t="str">
        <x:v>https://poke.idleworld.online/pokepedia/pokemon/gastly</x:v>
      </x:c>
    </x:row>
    <x:row r="854" ht="22" customHeight="1">
      <x:c r="A854" s="1" t="n">
        <x:v>92</x:v>
      </x:c>
      <x:c r="B854" s="1" t="str">
        <x:v>Gastly</x:v>
      </x:c>
      <x:c r="C854" s="1" t="n">
        <x:v>9</x:v>
      </x:c>
      <x:c r="D854" s="1" t="str">
        <x:v>Hex</x:v>
      </x:c>
      <x:c r="E854" s="1" t="str">
        <x:v>Fantasma</x:v>
      </x:c>
      <x:c r="F854" s="1" t="str">
        <x:v>Especial</x:v>
      </x:c>
      <x:c r="G854" s="10" t="n">
        <x:v>65</x:v>
      </x:c>
      <x:c r="H854" s="10" t="n">
        <x:f>IF(F854="Física",'Pokémon'!G96,IF(F854="Especial",'Pokémon'!I96,""))</x:f>
        <x:v>100</x:v>
      </x:c>
      <x:c r="I854" s="10" t="n">
        <x:f>IF(OR(F854="Status",G854=0),"",G854+H854)</x:f>
        <x:v>165</x:v>
      </x:c>
      <x:c r="J854" s="10" t="n">
        <x:v>43</x:v>
      </x:c>
      <x:c r="K854" s="12" t="n">
        <x:v>20</x:v>
      </x:c>
      <x:c r="L854" s="1" t="str"/>
      <x:c r="M854" s="9" t="str">
        <x:v>https://poke.idleworld.online/pokepedia/pokemon/gastly</x:v>
      </x:c>
    </x:row>
    <x:row r="855" ht="22" customHeight="1">
      <x:c r="A855" s="1" t="n">
        <x:v>92</x:v>
      </x:c>
      <x:c r="B855" s="1" t="str">
        <x:v>Gastly</x:v>
      </x:c>
      <x:c r="C855" s="1" t="n">
        <x:v>3</x:v>
      </x:c>
      <x:c r="D855" s="1" t="str">
        <x:v>Night Shade</x:v>
      </x:c>
      <x:c r="E855" s="1" t="str">
        <x:v>Fantasma</x:v>
      </x:c>
      <x:c r="F855" s="1" t="str">
        <x:v>Especial</x:v>
      </x:c>
      <x:c r="G855" s="10" t="n">
        <x:v>56</x:v>
      </x:c>
      <x:c r="H855" s="10" t="n">
        <x:f>IF(F855="Física",'Pokémon'!G96,IF(F855="Especial",'Pokémon'!I96,""))</x:f>
        <x:v>100</x:v>
      </x:c>
      <x:c r="I855" s="10" t="n">
        <x:f>IF(OR(F855="Status",G855=0),"",G855+H855)</x:f>
        <x:v>156</x:v>
      </x:c>
      <x:c r="J855" s="10" t="n">
        <x:v>15</x:v>
      </x:c>
      <x:c r="K855" s="12" t="n">
        <x:v>25</x:v>
      </x:c>
      <x:c r="L855" s="1" t="str"/>
      <x:c r="M855" s="9" t="str">
        <x:v>https://poke.idleworld.online/pokepedia/pokemon/gastly</x:v>
      </x:c>
    </x:row>
    <x:row r="856" ht="22" customHeight="1">
      <x:c r="A856" s="1" t="n">
        <x:v>92</x:v>
      </x:c>
      <x:c r="B856" s="1" t="str">
        <x:v>Gastly</x:v>
      </x:c>
      <x:c r="C856" s="1" t="n">
        <x:v>4</x:v>
      </x:c>
      <x:c r="D856" s="1" t="str">
        <x:v>Sucker Punch</x:v>
      </x:c>
      <x:c r="E856" s="1" t="str">
        <x:v>Sombrio</x:v>
      </x:c>
      <x:c r="F856" s="1" t="str">
        <x:v>Física</x:v>
      </x:c>
      <x:c r="G856" s="10" t="n">
        <x:v>80</x:v>
      </x:c>
      <x:c r="H856" s="10" t="n">
        <x:f>IF(F856="Física",'Pokémon'!G96,IF(F856="Especial",'Pokémon'!I96,""))</x:f>
        <x:v>35</x:v>
      </x:c>
      <x:c r="I856" s="10" t="n">
        <x:f>IF(OR(F856="Status",G856=0),"",G856+H856)</x:f>
        <x:v>115</x:v>
      </x:c>
      <x:c r="J856" s="10" t="n">
        <x:v>22</x:v>
      </x:c>
      <x:c r="K856" s="12" t="n">
        <x:v>22</x:v>
      </x:c>
      <x:c r="L856" s="1" t="str"/>
      <x:c r="M856" s="9" t="str">
        <x:v>https://poke.idleworld.online/pokepedia/pokemon/gastly</x:v>
      </x:c>
    </x:row>
    <x:row r="857" ht="22" customHeight="1">
      <x:c r="A857" s="1" t="n">
        <x:v>92</x:v>
      </x:c>
      <x:c r="B857" s="1" t="str">
        <x:v>Gastly</x:v>
      </x:c>
      <x:c r="C857" s="1" t="n">
        <x:v>5</x:v>
      </x:c>
      <x:c r="D857" s="1" t="str">
        <x:v>Payback</x:v>
      </x:c>
      <x:c r="E857" s="1" t="str">
        <x:v>Sombrio</x:v>
      </x:c>
      <x:c r="F857" s="1" t="str">
        <x:v>Física</x:v>
      </x:c>
      <x:c r="G857" s="10" t="n">
        <x:v>50</x:v>
      </x:c>
      <x:c r="H857" s="10" t="n">
        <x:f>IF(F857="Física",'Pokémon'!G96,IF(F857="Especial",'Pokémon'!I96,""))</x:f>
        <x:v>35</x:v>
      </x:c>
      <x:c r="I857" s="10" t="n">
        <x:f>IF(OR(F857="Status",G857=0),"",G857+H857)</x:f>
        <x:v>85</x:v>
      </x:c>
      <x:c r="J857" s="10" t="n">
        <x:v>26</x:v>
      </x:c>
      <x:c r="K857" s="12" t="n">
        <x:v>15</x:v>
      </x:c>
      <x:c r="L857" s="1" t="str"/>
      <x:c r="M857" s="9" t="str">
        <x:v>https://poke.idleworld.online/pokepedia/pokemon/gastly</x:v>
      </x:c>
    </x:row>
    <x:row r="858" ht="22" customHeight="1">
      <x:c r="A858" s="1" t="n">
        <x:v>92</x:v>
      </x:c>
      <x:c r="B858" s="1" t="str">
        <x:v>Gastly</x:v>
      </x:c>
      <x:c r="C858" s="1" t="n">
        <x:v>2</x:v>
      </x:c>
      <x:c r="D858" s="1" t="str">
        <x:v>Lick</x:v>
      </x:c>
      <x:c r="E858" s="1" t="str">
        <x:v>Fantasma</x:v>
      </x:c>
      <x:c r="F858" s="1" t="str">
        <x:v>Física</x:v>
      </x:c>
      <x:c r="G858" s="10" t="n">
        <x:v>30</x:v>
      </x:c>
      <x:c r="H858" s="10" t="n">
        <x:f>IF(F858="Física",'Pokémon'!G96,IF(F858="Especial",'Pokémon'!I96,""))</x:f>
        <x:v>35</x:v>
      </x:c>
      <x:c r="I858" s="10" t="n">
        <x:f>IF(OR(F858="Status",G858=0),"",G858+H858)</x:f>
        <x:v>65</x:v>
      </x:c>
      <x:c r="J858" s="10" t="n">
        <x:v>1</x:v>
      </x:c>
      <x:c r="K858" s="12" t="n">
        <x:v>40</x:v>
      </x:c>
      <x:c r="L858" s="1" t="str"/>
      <x:c r="M858" s="9" t="str">
        <x:v>https://poke.idleworld.online/pokepedia/pokemon/gastly</x:v>
      </x:c>
    </x:row>
    <x:row r="859" ht="22" customHeight="1">
      <x:c r="A859" s="1" t="n">
        <x:v>92</x:v>
      </x:c>
      <x:c r="B859" s="1" t="str">
        <x:v>Gastly</x:v>
      </x:c>
      <x:c r="C859" s="1" t="n">
        <x:v>1</x:v>
      </x:c>
      <x:c r="D859" s="1" t="str">
        <x:v>Hypnosis</x:v>
      </x:c>
      <x:c r="E859" s="1" t="str">
        <x:v>Psíquico</x:v>
      </x:c>
      <x:c r="F859" s="1" t="str">
        <x:v>Status</x:v>
      </x:c>
      <x:c r="G859" s="10" t="n">
        <x:v>0</x:v>
      </x:c>
      <x:c r="H859" s="10" t="str">
        <x:f>IF(F859="Física",'Pokémon'!G96,IF(F859="Especial",'Pokémon'!I96,""))</x:f>
      </x:c>
      <x:c r="I859" s="10" t="str">
        <x:f>IF(OR(F859="Status",G859=0),"",G859+H859)</x:f>
      </x:c>
      <x:c r="J859" s="10" t="n">
        <x:v>1</x:v>
      </x:c>
      <x:c r="K859" s="12" t="n">
        <x:v>30</x:v>
      </x:c>
      <x:c r="L859" s="1" t="str"/>
      <x:c r="M859" s="9" t="str">
        <x:v>https://poke.idleworld.online/pokepedia/pokemon/gastly</x:v>
      </x:c>
    </x:row>
    <x:row r="860" ht="22" customHeight="1">
      <x:c r="A860" s="1" t="n">
        <x:v>93</x:v>
      </x:c>
      <x:c r="B860" s="1" t="str">
        <x:v>Haunter</x:v>
      </x:c>
      <x:c r="C860" s="1" t="n">
        <x:v>8</x:v>
      </x:c>
      <x:c r="D860" s="1" t="str">
        <x:v>Dream Eater</x:v>
      </x:c>
      <x:c r="E860" s="1" t="str">
        <x:v>Psíquico</x:v>
      </x:c>
      <x:c r="F860" s="1" t="str">
        <x:v>Especial</x:v>
      </x:c>
      <x:c r="G860" s="10" t="n">
        <x:v>100</x:v>
      </x:c>
      <x:c r="H860" s="10" t="n">
        <x:f>IF(F860="Física",'Pokémon'!G97,IF(F860="Especial",'Pokémon'!I97,""))</x:f>
        <x:v>115</x:v>
      </x:c>
      <x:c r="I860" s="10" t="n">
        <x:f>IF(OR(F860="Status",G860=0),"",G860+H860)</x:f>
        <x:v>215</x:v>
      </x:c>
      <x:c r="J860" s="10" t="n">
        <x:v>39</x:v>
      </x:c>
      <x:c r="K860" s="12" t="n">
        <x:v>40</x:v>
      </x:c>
      <x:c r="L860" s="1" t="str"/>
      <x:c r="M860" s="9" t="str">
        <x:v>https://poke.idleworld.online/pokepedia/pokemon/haunter</x:v>
      </x:c>
    </x:row>
    <x:row r="861" ht="22" customHeight="1">
      <x:c r="A861" s="1" t="n">
        <x:v>93</x:v>
      </x:c>
      <x:c r="B861" s="1" t="str">
        <x:v>Haunter</x:v>
      </x:c>
      <x:c r="C861" s="1" t="n">
        <x:v>7</x:v>
      </x:c>
      <x:c r="D861" s="1" t="str">
        <x:v>Shadow Ball</x:v>
      </x:c>
      <x:c r="E861" s="1" t="str">
        <x:v>Fantasma</x:v>
      </x:c>
      <x:c r="F861" s="1" t="str">
        <x:v>Especial</x:v>
      </x:c>
      <x:c r="G861" s="10" t="n">
        <x:v>80</x:v>
      </x:c>
      <x:c r="H861" s="10" t="n">
        <x:f>IF(F861="Física",'Pokémon'!G97,IF(F861="Especial",'Pokémon'!I97,""))</x:f>
        <x:v>115</x:v>
      </x:c>
      <x:c r="I861" s="10" t="n">
        <x:f>IF(OR(F861="Status",G861=0),"",G861+H861)</x:f>
        <x:v>195</x:v>
      </x:c>
      <x:c r="J861" s="10" t="n">
        <x:v>33</x:v>
      </x:c>
      <x:c r="K861" s="12" t="n">
        <x:v>8</x:v>
      </x:c>
      <x:c r="L861" s="1" t="str"/>
      <x:c r="M861" s="9" t="str">
        <x:v>https://poke.idleworld.online/pokepedia/pokemon/haunter</x:v>
      </x:c>
    </x:row>
    <x:row r="862" ht="22" customHeight="1">
      <x:c r="A862" s="1" t="n">
        <x:v>93</x:v>
      </x:c>
      <x:c r="B862" s="1" t="str">
        <x:v>Haunter</x:v>
      </x:c>
      <x:c r="C862" s="1" t="n">
        <x:v>9</x:v>
      </x:c>
      <x:c r="D862" s="1" t="str">
        <x:v>Dark Pulse</x:v>
      </x:c>
      <x:c r="E862" s="1" t="str">
        <x:v>Sombrio</x:v>
      </x:c>
      <x:c r="F862" s="1" t="str">
        <x:v>Especial</x:v>
      </x:c>
      <x:c r="G862" s="10" t="n">
        <x:v>80</x:v>
      </x:c>
      <x:c r="H862" s="10" t="n">
        <x:f>IF(F862="Física",'Pokémon'!G97,IF(F862="Especial",'Pokémon'!I97,""))</x:f>
        <x:v>115</x:v>
      </x:c>
      <x:c r="I862" s="10" t="n">
        <x:f>IF(OR(F862="Status",G862=0),"",G862+H862)</x:f>
        <x:v>195</x:v>
      </x:c>
      <x:c r="J862" s="10" t="n">
        <x:v>44</x:v>
      </x:c>
      <x:c r="K862" s="12" t="n">
        <x:v>22</x:v>
      </x:c>
      <x:c r="L862" s="1" t="str"/>
      <x:c r="M862" s="9" t="str">
        <x:v>https://poke.idleworld.online/pokepedia/pokemon/haunter</x:v>
      </x:c>
    </x:row>
    <x:row r="863" ht="22" customHeight="1">
      <x:c r="A863" s="1" t="n">
        <x:v>93</x:v>
      </x:c>
      <x:c r="B863" s="1" t="str">
        <x:v>Haunter</x:v>
      </x:c>
      <x:c r="C863" s="1" t="n">
        <x:v>10</x:v>
      </x:c>
      <x:c r="D863" s="1" t="str">
        <x:v>Hex</x:v>
      </x:c>
      <x:c r="E863" s="1" t="str">
        <x:v>Fantasma</x:v>
      </x:c>
      <x:c r="F863" s="1" t="str">
        <x:v>Especial</x:v>
      </x:c>
      <x:c r="G863" s="10" t="n">
        <x:v>65</x:v>
      </x:c>
      <x:c r="H863" s="10" t="n">
        <x:f>IF(F863="Física",'Pokémon'!G97,IF(F863="Especial",'Pokémon'!I97,""))</x:f>
        <x:v>115</x:v>
      </x:c>
      <x:c r="I863" s="10" t="n">
        <x:f>IF(OR(F863="Status",G863=0),"",G863+H863)</x:f>
        <x:v>180</x:v>
      </x:c>
      <x:c r="J863" s="10" t="n">
        <x:v>55</x:v>
      </x:c>
      <x:c r="K863" s="12" t="n">
        <x:v>20</x:v>
      </x:c>
      <x:c r="L863" s="1" t="str"/>
      <x:c r="M863" s="9" t="str">
        <x:v>https://poke.idleworld.online/pokepedia/pokemon/haunter</x:v>
      </x:c>
    </x:row>
    <x:row r="864" ht="22" customHeight="1">
      <x:c r="A864" s="1" t="n">
        <x:v>93</x:v>
      </x:c>
      <x:c r="B864" s="1" t="str">
        <x:v>Haunter</x:v>
      </x:c>
      <x:c r="C864" s="1" t="n">
        <x:v>3</x:v>
      </x:c>
      <x:c r="D864" s="1" t="str">
        <x:v>Night Shade</x:v>
      </x:c>
      <x:c r="E864" s="1" t="str">
        <x:v>Fantasma</x:v>
      </x:c>
      <x:c r="F864" s="1" t="str">
        <x:v>Especial</x:v>
      </x:c>
      <x:c r="G864" s="10" t="n">
        <x:v>56</x:v>
      </x:c>
      <x:c r="H864" s="10" t="n">
        <x:f>IF(F864="Física",'Pokémon'!G97,IF(F864="Especial",'Pokémon'!I97,""))</x:f>
        <x:v>115</x:v>
      </x:c>
      <x:c r="I864" s="10" t="n">
        <x:f>IF(OR(F864="Status",G864=0),"",G864+H864)</x:f>
        <x:v>171</x:v>
      </x:c>
      <x:c r="J864" s="10" t="n">
        <x:v>15</x:v>
      </x:c>
      <x:c r="K864" s="12" t="n">
        <x:v>25</x:v>
      </x:c>
      <x:c r="L864" s="1" t="str"/>
      <x:c r="M864" s="9" t="str">
        <x:v>https://poke.idleworld.online/pokepedia/pokemon/haunter</x:v>
      </x:c>
    </x:row>
    <x:row r="865" ht="22" customHeight="1">
      <x:c r="A865" s="1" t="n">
        <x:v>93</x:v>
      </x:c>
      <x:c r="B865" s="1" t="str">
        <x:v>Haunter</x:v>
      </x:c>
      <x:c r="C865" s="1" t="n">
        <x:v>4</x:v>
      </x:c>
      <x:c r="D865" s="1" t="str">
        <x:v>Sucker Punch</x:v>
      </x:c>
      <x:c r="E865" s="1" t="str">
        <x:v>Sombrio</x:v>
      </x:c>
      <x:c r="F865" s="1" t="str">
        <x:v>Física</x:v>
      </x:c>
      <x:c r="G865" s="10" t="n">
        <x:v>80</x:v>
      </x:c>
      <x:c r="H865" s="10" t="n">
        <x:f>IF(F865="Física",'Pokémon'!G97,IF(F865="Especial",'Pokémon'!I97,""))</x:f>
        <x:v>50</x:v>
      </x:c>
      <x:c r="I865" s="10" t="n">
        <x:f>IF(OR(F865="Status",G865=0),"",G865+H865)</x:f>
        <x:v>130</x:v>
      </x:c>
      <x:c r="J865" s="10" t="n">
        <x:v>22</x:v>
      </x:c>
      <x:c r="K865" s="12" t="n">
        <x:v>22</x:v>
      </x:c>
      <x:c r="L865" s="1" t="str"/>
      <x:c r="M865" s="9" t="str">
        <x:v>https://poke.idleworld.online/pokepedia/pokemon/haunter</x:v>
      </x:c>
    </x:row>
    <x:row r="866" ht="22" customHeight="1">
      <x:c r="A866" s="1" t="n">
        <x:v>93</x:v>
      </x:c>
      <x:c r="B866" s="1" t="str">
        <x:v>Haunter</x:v>
      </x:c>
      <x:c r="C866" s="1" t="n">
        <x:v>5</x:v>
      </x:c>
      <x:c r="D866" s="1" t="str">
        <x:v>Shadow Punch</x:v>
      </x:c>
      <x:c r="E866" s="1" t="str">
        <x:v>Fantasma</x:v>
      </x:c>
      <x:c r="F866" s="1" t="str">
        <x:v>Física</x:v>
      </x:c>
      <x:c r="G866" s="10" t="n">
        <x:v>60</x:v>
      </x:c>
      <x:c r="H866" s="10" t="n">
        <x:f>IF(F866="Física",'Pokémon'!G97,IF(F866="Especial",'Pokémon'!I97,""))</x:f>
        <x:v>50</x:v>
      </x:c>
      <x:c r="I866" s="10" t="n">
        <x:f>IF(OR(F866="Status",G866=0),"",G866+H866)</x:f>
        <x:v>110</x:v>
      </x:c>
      <x:c r="J866" s="10" t="n">
        <x:v>25</x:v>
      </x:c>
      <x:c r="K866" s="12" t="n">
        <x:v>20</x:v>
      </x:c>
      <x:c r="L866" s="1" t="str"/>
      <x:c r="M866" s="9" t="str">
        <x:v>https://poke.idleworld.online/pokepedia/pokemon/haunter</x:v>
      </x:c>
    </x:row>
    <x:row r="867" ht="22" customHeight="1">
      <x:c r="A867" s="1" t="n">
        <x:v>93</x:v>
      </x:c>
      <x:c r="B867" s="1" t="str">
        <x:v>Haunter</x:v>
      </x:c>
      <x:c r="C867" s="1" t="n">
        <x:v>6</x:v>
      </x:c>
      <x:c r="D867" s="1" t="str">
        <x:v>Payback</x:v>
      </x:c>
      <x:c r="E867" s="1" t="str">
        <x:v>Sombrio</x:v>
      </x:c>
      <x:c r="F867" s="1" t="str">
        <x:v>Física</x:v>
      </x:c>
      <x:c r="G867" s="10" t="n">
        <x:v>50</x:v>
      </x:c>
      <x:c r="H867" s="10" t="n">
        <x:f>IF(F867="Física",'Pokémon'!G97,IF(F867="Especial",'Pokémon'!I97,""))</x:f>
        <x:v>50</x:v>
      </x:c>
      <x:c r="I867" s="10" t="n">
        <x:f>IF(OR(F867="Status",G867=0),"",G867+H867)</x:f>
        <x:v>100</x:v>
      </x:c>
      <x:c r="J867" s="10" t="n">
        <x:v>28</x:v>
      </x:c>
      <x:c r="K867" s="12" t="n">
        <x:v>15</x:v>
      </x:c>
      <x:c r="L867" s="1" t="str"/>
      <x:c r="M867" s="9" t="str">
        <x:v>https://poke.idleworld.online/pokepedia/pokemon/haunter</x:v>
      </x:c>
    </x:row>
    <x:row r="868" ht="22" customHeight="1">
      <x:c r="A868" s="1" t="n">
        <x:v>93</x:v>
      </x:c>
      <x:c r="B868" s="1" t="str">
        <x:v>Haunter</x:v>
      </x:c>
      <x:c r="C868" s="1" t="n">
        <x:v>2</x:v>
      </x:c>
      <x:c r="D868" s="1" t="str">
        <x:v>Lick</x:v>
      </x:c>
      <x:c r="E868" s="1" t="str">
        <x:v>Fantasma</x:v>
      </x:c>
      <x:c r="F868" s="1" t="str">
        <x:v>Física</x:v>
      </x:c>
      <x:c r="G868" s="10" t="n">
        <x:v>30</x:v>
      </x:c>
      <x:c r="H868" s="10" t="n">
        <x:f>IF(F868="Física",'Pokémon'!G97,IF(F868="Especial",'Pokémon'!I97,""))</x:f>
        <x:v>50</x:v>
      </x:c>
      <x:c r="I868" s="10" t="n">
        <x:f>IF(OR(F868="Status",G868=0),"",G868+H868)</x:f>
        <x:v>80</x:v>
      </x:c>
      <x:c r="J868" s="10" t="n">
        <x:v>1</x:v>
      </x:c>
      <x:c r="K868" s="12" t="n">
        <x:v>40</x:v>
      </x:c>
      <x:c r="L868" s="1" t="str"/>
      <x:c r="M868" s="9" t="str">
        <x:v>https://poke.idleworld.online/pokepedia/pokemon/haunter</x:v>
      </x:c>
    </x:row>
    <x:row r="869" ht="22" customHeight="1">
      <x:c r="A869" s="1" t="n">
        <x:v>93</x:v>
      </x:c>
      <x:c r="B869" s="1" t="str">
        <x:v>Haunter</x:v>
      </x:c>
      <x:c r="C869" s="1" t="n">
        <x:v>1</x:v>
      </x:c>
      <x:c r="D869" s="1" t="str">
        <x:v>Hypnosis</x:v>
      </x:c>
      <x:c r="E869" s="1" t="str">
        <x:v>Psíquico</x:v>
      </x:c>
      <x:c r="F869" s="1" t="str">
        <x:v>Status</x:v>
      </x:c>
      <x:c r="G869" s="10" t="n">
        <x:v>0</x:v>
      </x:c>
      <x:c r="H869" s="10" t="str">
        <x:f>IF(F869="Física",'Pokémon'!G97,IF(F869="Especial",'Pokémon'!I97,""))</x:f>
      </x:c>
      <x:c r="I869" s="10" t="str">
        <x:f>IF(OR(F869="Status",G869=0),"",G869+H869)</x:f>
      </x:c>
      <x:c r="J869" s="10" t="n">
        <x:v>1</x:v>
      </x:c>
      <x:c r="K869" s="12" t="n">
        <x:v>30</x:v>
      </x:c>
      <x:c r="L869" s="1" t="str"/>
      <x:c r="M869" s="9" t="str">
        <x:v>https://poke.idleworld.online/pokepedia/pokemon/haunter</x:v>
      </x:c>
    </x:row>
    <x:row r="870" ht="22" customHeight="1">
      <x:c r="A870" s="1" t="n">
        <x:v>93</x:v>
      </x:c>
      <x:c r="B870" s="1" t="str">
        <x:v>Haunter</x:v>
      </x:c>
      <x:c r="C870" s="1" t="n">
        <x:v>11</x:v>
      </x:c>
      <x:c r="D870" s="1" t="str">
        <x:v>Nightmare</x:v>
      </x:c>
      <x:c r="E870" s="1" t="str">
        <x:v>Fantasma</x:v>
      </x:c>
      <x:c r="F870" s="1" t="str">
        <x:v>Status</x:v>
      </x:c>
      <x:c r="G870" s="10" t="n">
        <x:v>0</x:v>
      </x:c>
      <x:c r="H870" s="10" t="str">
        <x:f>IF(F870="Física",'Pokémon'!G97,IF(F870="Especial",'Pokémon'!I97,""))</x:f>
      </x:c>
      <x:c r="I870" s="10" t="str">
        <x:f>IF(OR(F870="Status",G870=0),"",G870+H870)</x:f>
      </x:c>
      <x:c r="J870" s="10" t="n">
        <x:v>61</x:v>
      </x:c>
      <x:c r="K870" s="12" t="n">
        <x:v>60</x:v>
      </x:c>
      <x:c r="L870" s="1" t="str"/>
      <x:c r="M870" s="9" t="str">
        <x:v>https://poke.idleworld.online/pokepedia/pokemon/haunter</x:v>
      </x:c>
    </x:row>
    <x:row r="871" ht="22" customHeight="1">
      <x:c r="A871" s="1" t="n">
        <x:v>94</x:v>
      </x:c>
      <x:c r="B871" s="1" t="str">
        <x:v>Gengar</x:v>
      </x:c>
      <x:c r="C871" s="1" t="n">
        <x:v>2</x:v>
      </x:c>
      <x:c r="D871" s="1" t="str">
        <x:v>Untold Nightmare</x:v>
      </x:c>
      <x:c r="E871" s="1" t="str">
        <x:v>Fantasma</x:v>
      </x:c>
      <x:c r="F871" s="1" t="str">
        <x:v>Especial</x:v>
      </x:c>
      <x:c r="G871" s="10" t="n">
        <x:v>300</x:v>
      </x:c>
      <x:c r="H871" s="10" t="n">
        <x:f>IF(F871="Física",'Pokémon'!G98,IF(F871="Especial",'Pokémon'!I98,""))</x:f>
        <x:v>130</x:v>
      </x:c>
      <x:c r="I871" s="10" t="n">
        <x:f>IF(OR(F871="Status",G871=0),"",G871+H871)</x:f>
        <x:v>430</x:v>
      </x:c>
      <x:c r="J871" s="10" t="n">
        <x:v>1</x:v>
      </x:c>
      <x:c r="K871" s="12" t="n">
        <x:v>10</x:v>
      </x:c>
      <x:c r="L871" s="1" t="str">
        <x:v>Sim</x:v>
      </x:c>
      <x:c r="M871" s="9" t="str">
        <x:v>https://poke.idleworld.online/pokepedia/pokemon/gengar</x:v>
      </x:c>
    </x:row>
    <x:row r="872" ht="22" customHeight="1">
      <x:c r="A872" s="1" t="n">
        <x:v>94</x:v>
      </x:c>
      <x:c r="B872" s="1" t="str">
        <x:v>Gengar</x:v>
      </x:c>
      <x:c r="C872" s="1" t="n">
        <x:v>8</x:v>
      </x:c>
      <x:c r="D872" s="1" t="str">
        <x:v>Dream Eater</x:v>
      </x:c>
      <x:c r="E872" s="1" t="str">
        <x:v>Psíquico</x:v>
      </x:c>
      <x:c r="F872" s="1" t="str">
        <x:v>Especial</x:v>
      </x:c>
      <x:c r="G872" s="10" t="n">
        <x:v>100</x:v>
      </x:c>
      <x:c r="H872" s="10" t="n">
        <x:f>IF(F872="Física",'Pokémon'!G98,IF(F872="Especial",'Pokémon'!I98,""))</x:f>
        <x:v>130</x:v>
      </x:c>
      <x:c r="I872" s="10" t="n">
        <x:f>IF(OR(F872="Status",G872=0),"",G872+H872)</x:f>
        <x:v>230</x:v>
      </x:c>
      <x:c r="J872" s="10" t="n">
        <x:v>39</x:v>
      </x:c>
      <x:c r="K872" s="12" t="n">
        <x:v>40</x:v>
      </x:c>
      <x:c r="L872" s="1" t="str"/>
      <x:c r="M872" s="9" t="str">
        <x:v>https://poke.idleworld.online/pokepedia/pokemon/gengar</x:v>
      </x:c>
    </x:row>
    <x:row r="873" ht="22" customHeight="1">
      <x:c r="A873" s="1" t="n">
        <x:v>94</x:v>
      </x:c>
      <x:c r="B873" s="1" t="str">
        <x:v>Gengar</x:v>
      </x:c>
      <x:c r="C873" s="1" t="n">
        <x:v>7</x:v>
      </x:c>
      <x:c r="D873" s="1" t="str">
        <x:v>Shadow Ball</x:v>
      </x:c>
      <x:c r="E873" s="1" t="str">
        <x:v>Fantasma</x:v>
      </x:c>
      <x:c r="F873" s="1" t="str">
        <x:v>Especial</x:v>
      </x:c>
      <x:c r="G873" s="10" t="n">
        <x:v>80</x:v>
      </x:c>
      <x:c r="H873" s="10" t="n">
        <x:f>IF(F873="Física",'Pokémon'!G98,IF(F873="Especial",'Pokémon'!I98,""))</x:f>
        <x:v>130</x:v>
      </x:c>
      <x:c r="I873" s="10" t="n">
        <x:f>IF(OR(F873="Status",G873=0),"",G873+H873)</x:f>
        <x:v>210</x:v>
      </x:c>
      <x:c r="J873" s="10" t="n">
        <x:v>33</x:v>
      </x:c>
      <x:c r="K873" s="12" t="n">
        <x:v>8</x:v>
      </x:c>
      <x:c r="L873" s="1" t="str"/>
      <x:c r="M873" s="9" t="str">
        <x:v>https://poke.idleworld.online/pokepedia/pokemon/gengar</x:v>
      </x:c>
    </x:row>
    <x:row r="874" ht="22" customHeight="1">
      <x:c r="A874" s="1" t="n">
        <x:v>94</x:v>
      </x:c>
      <x:c r="B874" s="1" t="str">
        <x:v>Gengar</x:v>
      </x:c>
      <x:c r="C874" s="1" t="n">
        <x:v>9</x:v>
      </x:c>
      <x:c r="D874" s="1" t="str">
        <x:v>Dark Pulse</x:v>
      </x:c>
      <x:c r="E874" s="1" t="str">
        <x:v>Sombrio</x:v>
      </x:c>
      <x:c r="F874" s="1" t="str">
        <x:v>Especial</x:v>
      </x:c>
      <x:c r="G874" s="10" t="n">
        <x:v>80</x:v>
      </x:c>
      <x:c r="H874" s="10" t="n">
        <x:f>IF(F874="Física",'Pokémon'!G98,IF(F874="Especial",'Pokémon'!I98,""))</x:f>
        <x:v>130</x:v>
      </x:c>
      <x:c r="I874" s="10" t="n">
        <x:f>IF(OR(F874="Status",G874=0),"",G874+H874)</x:f>
        <x:v>210</x:v>
      </x:c>
      <x:c r="J874" s="10" t="n">
        <x:v>44</x:v>
      </x:c>
      <x:c r="K874" s="12" t="n">
        <x:v>22</x:v>
      </x:c>
      <x:c r="L874" s="1" t="str"/>
      <x:c r="M874" s="9" t="str">
        <x:v>https://poke.idleworld.online/pokepedia/pokemon/gengar</x:v>
      </x:c>
    </x:row>
    <x:row r="875" ht="22" customHeight="1">
      <x:c r="A875" s="1" t="n">
        <x:v>94</x:v>
      </x:c>
      <x:c r="B875" s="1" t="str">
        <x:v>Gengar</x:v>
      </x:c>
      <x:c r="C875" s="1" t="n">
        <x:v>10</x:v>
      </x:c>
      <x:c r="D875" s="1" t="str">
        <x:v>Hex</x:v>
      </x:c>
      <x:c r="E875" s="1" t="str">
        <x:v>Fantasma</x:v>
      </x:c>
      <x:c r="F875" s="1" t="str">
        <x:v>Especial</x:v>
      </x:c>
      <x:c r="G875" s="10" t="n">
        <x:v>65</x:v>
      </x:c>
      <x:c r="H875" s="10" t="n">
        <x:f>IF(F875="Física",'Pokémon'!G98,IF(F875="Especial",'Pokémon'!I98,""))</x:f>
        <x:v>130</x:v>
      </x:c>
      <x:c r="I875" s="10" t="n">
        <x:f>IF(OR(F875="Status",G875=0),"",G875+H875)</x:f>
        <x:v>195</x:v>
      </x:c>
      <x:c r="J875" s="10" t="n">
        <x:v>55</x:v>
      </x:c>
      <x:c r="K875" s="12" t="n">
        <x:v>20</x:v>
      </x:c>
      <x:c r="L875" s="1" t="str"/>
      <x:c r="M875" s="9" t="str">
        <x:v>https://poke.idleworld.online/pokepedia/pokemon/gengar</x:v>
      </x:c>
    </x:row>
    <x:row r="876" ht="22" customHeight="1">
      <x:c r="A876" s="1" t="n">
        <x:v>94</x:v>
      </x:c>
      <x:c r="B876" s="1" t="str">
        <x:v>Gengar</x:v>
      </x:c>
      <x:c r="C876" s="1" t="n">
        <x:v>4</x:v>
      </x:c>
      <x:c r="D876" s="1" t="str">
        <x:v>Sucker Punch</x:v>
      </x:c>
      <x:c r="E876" s="1" t="str">
        <x:v>Sombrio</x:v>
      </x:c>
      <x:c r="F876" s="1" t="str">
        <x:v>Física</x:v>
      </x:c>
      <x:c r="G876" s="10" t="n">
        <x:v>80</x:v>
      </x:c>
      <x:c r="H876" s="10" t="n">
        <x:f>IF(F876="Física",'Pokémon'!G98,IF(F876="Especial",'Pokémon'!I98,""))</x:f>
        <x:v>65</x:v>
      </x:c>
      <x:c r="I876" s="10" t="n">
        <x:f>IF(OR(F876="Status",G876=0),"",G876+H876)</x:f>
        <x:v>145</x:v>
      </x:c>
      <x:c r="J876" s="10" t="n">
        <x:v>22</x:v>
      </x:c>
      <x:c r="K876" s="12" t="n">
        <x:v>22</x:v>
      </x:c>
      <x:c r="L876" s="1" t="str"/>
      <x:c r="M876" s="9" t="str">
        <x:v>https://poke.idleworld.online/pokepedia/pokemon/gengar</x:v>
      </x:c>
    </x:row>
    <x:row r="877" ht="22" customHeight="1">
      <x:c r="A877" s="1" t="n">
        <x:v>94</x:v>
      </x:c>
      <x:c r="B877" s="1" t="str">
        <x:v>Gengar</x:v>
      </x:c>
      <x:c r="C877" s="1" t="n">
        <x:v>5</x:v>
      </x:c>
      <x:c r="D877" s="1" t="str">
        <x:v>Shadow Punch</x:v>
      </x:c>
      <x:c r="E877" s="1" t="str">
        <x:v>Fantasma</x:v>
      </x:c>
      <x:c r="F877" s="1" t="str">
        <x:v>Física</x:v>
      </x:c>
      <x:c r="G877" s="10" t="n">
        <x:v>60</x:v>
      </x:c>
      <x:c r="H877" s="10" t="n">
        <x:f>IF(F877="Física",'Pokémon'!G98,IF(F877="Especial",'Pokémon'!I98,""))</x:f>
        <x:v>65</x:v>
      </x:c>
      <x:c r="I877" s="10" t="n">
        <x:f>IF(OR(F877="Status",G877=0),"",G877+H877)</x:f>
        <x:v>125</x:v>
      </x:c>
      <x:c r="J877" s="10" t="n">
        <x:v>25</x:v>
      </x:c>
      <x:c r="K877" s="12" t="n">
        <x:v>20</x:v>
      </x:c>
      <x:c r="L877" s="1" t="str"/>
      <x:c r="M877" s="9" t="str">
        <x:v>https://poke.idleworld.online/pokepedia/pokemon/gengar</x:v>
      </x:c>
    </x:row>
    <x:row r="878" ht="22" customHeight="1">
      <x:c r="A878" s="1" t="n">
        <x:v>94</x:v>
      </x:c>
      <x:c r="B878" s="1" t="str">
        <x:v>Gengar</x:v>
      </x:c>
      <x:c r="C878" s="1" t="n">
        <x:v>6</x:v>
      </x:c>
      <x:c r="D878" s="1" t="str">
        <x:v>Payback</x:v>
      </x:c>
      <x:c r="E878" s="1" t="str">
        <x:v>Sombrio</x:v>
      </x:c>
      <x:c r="F878" s="1" t="str">
        <x:v>Física</x:v>
      </x:c>
      <x:c r="G878" s="10" t="n">
        <x:v>50</x:v>
      </x:c>
      <x:c r="H878" s="10" t="n">
        <x:f>IF(F878="Física",'Pokémon'!G98,IF(F878="Especial",'Pokémon'!I98,""))</x:f>
        <x:v>65</x:v>
      </x:c>
      <x:c r="I878" s="10" t="n">
        <x:f>IF(OR(F878="Status",G878=0),"",G878+H878)</x:f>
        <x:v>115</x:v>
      </x:c>
      <x:c r="J878" s="10" t="n">
        <x:v>28</x:v>
      </x:c>
      <x:c r="K878" s="12" t="n">
        <x:v>15</x:v>
      </x:c>
      <x:c r="L878" s="1" t="str"/>
      <x:c r="M878" s="9" t="str">
        <x:v>https://poke.idleworld.online/pokepedia/pokemon/gengar</x:v>
      </x:c>
    </x:row>
    <x:row r="879" ht="22" customHeight="1">
      <x:c r="A879" s="1" t="n">
        <x:v>94</x:v>
      </x:c>
      <x:c r="B879" s="1" t="str">
        <x:v>Gengar</x:v>
      </x:c>
      <x:c r="C879" s="1" t="n">
        <x:v>3</x:v>
      </x:c>
      <x:c r="D879" s="1" t="str">
        <x:v>Lick</x:v>
      </x:c>
      <x:c r="E879" s="1" t="str">
        <x:v>Fantasma</x:v>
      </x:c>
      <x:c r="F879" s="1" t="str">
        <x:v>Física</x:v>
      </x:c>
      <x:c r="G879" s="10" t="n">
        <x:v>30</x:v>
      </x:c>
      <x:c r="H879" s="10" t="n">
        <x:f>IF(F879="Física",'Pokémon'!G98,IF(F879="Especial",'Pokémon'!I98,""))</x:f>
        <x:v>65</x:v>
      </x:c>
      <x:c r="I879" s="10" t="n">
        <x:f>IF(OR(F879="Status",G879=0),"",G879+H879)</x:f>
        <x:v>95</x:v>
      </x:c>
      <x:c r="J879" s="10" t="n">
        <x:v>1</x:v>
      </x:c>
      <x:c r="K879" s="12" t="n">
        <x:v>15</x:v>
      </x:c>
      <x:c r="L879" s="1" t="str"/>
      <x:c r="M879" s="9" t="str">
        <x:v>https://poke.idleworld.online/pokepedia/pokemon/gengar</x:v>
      </x:c>
    </x:row>
    <x:row r="880" ht="22" customHeight="1">
      <x:c r="A880" s="1" t="n">
        <x:v>94</x:v>
      </x:c>
      <x:c r="B880" s="1" t="str">
        <x:v>Gengar</x:v>
      </x:c>
      <x:c r="C880" s="1" t="n">
        <x:v>1</x:v>
      </x:c>
      <x:c r="D880" s="1" t="str">
        <x:v>Hypnosis</x:v>
      </x:c>
      <x:c r="E880" s="1" t="str">
        <x:v>Psíquico</x:v>
      </x:c>
      <x:c r="F880" s="1" t="str">
        <x:v>Status</x:v>
      </x:c>
      <x:c r="G880" s="10" t="n">
        <x:v>0</x:v>
      </x:c>
      <x:c r="H880" s="10" t="str">
        <x:f>IF(F880="Física",'Pokémon'!G98,IF(F880="Especial",'Pokémon'!I98,""))</x:f>
      </x:c>
      <x:c r="I880" s="10" t="str">
        <x:f>IF(OR(F880="Status",G880=0),"",G880+H880)</x:f>
      </x:c>
      <x:c r="J880" s="10" t="n">
        <x:v>1</x:v>
      </x:c>
      <x:c r="K880" s="12" t="n">
        <x:v>30</x:v>
      </x:c>
      <x:c r="L880" s="1" t="str"/>
      <x:c r="M880" s="9" t="str">
        <x:v>https://poke.idleworld.online/pokepedia/pokemon/gengar</x:v>
      </x:c>
    </x:row>
    <x:row r="881" ht="22" customHeight="1">
      <x:c r="A881" s="1" t="n">
        <x:v>94</x:v>
      </x:c>
      <x:c r="B881" s="1" t="str">
        <x:v>Gengar</x:v>
      </x:c>
      <x:c r="C881" s="1" t="n">
        <x:v>11</x:v>
      </x:c>
      <x:c r="D881" s="1" t="str">
        <x:v>Nightmare</x:v>
      </x:c>
      <x:c r="E881" s="1" t="str">
        <x:v>Fantasma</x:v>
      </x:c>
      <x:c r="F881" s="1" t="str">
        <x:v>Status</x:v>
      </x:c>
      <x:c r="G881" s="10" t="n">
        <x:v>0</x:v>
      </x:c>
      <x:c r="H881" s="10" t="str">
        <x:f>IF(F881="Física",'Pokémon'!G98,IF(F881="Especial",'Pokémon'!I98,""))</x:f>
      </x:c>
      <x:c r="I881" s="10" t="str">
        <x:f>IF(OR(F881="Status",G881=0),"",G881+H881)</x:f>
      </x:c>
      <x:c r="J881" s="10" t="n">
        <x:v>61</x:v>
      </x:c>
      <x:c r="K881" s="12" t="n">
        <x:v>60</x:v>
      </x:c>
      <x:c r="L881" s="1" t="str"/>
      <x:c r="M881" s="9" t="str">
        <x:v>https://poke.idleworld.online/pokepedia/pokemon/gengar</x:v>
      </x:c>
    </x:row>
    <x:row r="882" ht="22" customHeight="1">
      <x:c r="A882" s="1" t="n">
        <x:v>95</x:v>
      </x:c>
      <x:c r="B882" s="1" t="str">
        <x:v>Onix</x:v>
      </x:c>
      <x:c r="C882" s="1" t="n">
        <x:v>16</x:v>
      </x:c>
      <x:c r="D882" s="1" t="str">
        <x:v>Double-Edge</x:v>
      </x:c>
      <x:c r="E882" s="1" t="str">
        <x:v>Normal</x:v>
      </x:c>
      <x:c r="F882" s="1" t="str">
        <x:v>Física</x:v>
      </x:c>
      <x:c r="G882" s="10" t="n">
        <x:v>120</x:v>
      </x:c>
      <x:c r="H882" s="10" t="n">
        <x:f>IF(F882="Física",'Pokémon'!G99,IF(F882="Especial",'Pokémon'!I99,""))</x:f>
        <x:v>45</x:v>
      </x:c>
      <x:c r="I882" s="10" t="n">
        <x:f>IF(OR(F882="Status",G882=0),"",G882+H882)</x:f>
        <x:v>165</x:v>
      </x:c>
      <x:c r="J882" s="10" t="n">
        <x:v>49</x:v>
      </x:c>
      <x:c r="K882" s="12" t="n">
        <x:v>50</x:v>
      </x:c>
      <x:c r="L882" s="1" t="str"/>
      <x:c r="M882" s="9" t="str">
        <x:v>https://poke.idleworld.online/pokepedia/pokemon/onix</x:v>
      </x:c>
    </x:row>
    <x:row r="883" ht="22" customHeight="1">
      <x:c r="A883" s="1" t="n">
        <x:v>95</x:v>
      </x:c>
      <x:c r="B883" s="1" t="str">
        <x:v>Onix</x:v>
      </x:c>
      <x:c r="C883" s="1" t="n">
        <x:v>13</x:v>
      </x:c>
      <x:c r="D883" s="1" t="str">
        <x:v>Iron Tail</x:v>
      </x:c>
      <x:c r="E883" s="1" t="str">
        <x:v>Aço</x:v>
      </x:c>
      <x:c r="F883" s="1" t="str">
        <x:v>Física</x:v>
      </x:c>
      <x:c r="G883" s="10" t="n">
        <x:v>100</x:v>
      </x:c>
      <x:c r="H883" s="10" t="n">
        <x:f>IF(F883="Física",'Pokémon'!G99,IF(F883="Especial",'Pokémon'!I99,""))</x:f>
        <x:v>45</x:v>
      </x:c>
      <x:c r="I883" s="10" t="n">
        <x:f>IF(OR(F883="Status",G883=0),"",G883+H883)</x:f>
        <x:v>145</x:v>
      </x:c>
      <x:c r="J883" s="10" t="n">
        <x:v>40</x:v>
      </x:c>
      <x:c r="K883" s="12" t="n">
        <x:v>20</x:v>
      </x:c>
      <x:c r="L883" s="1" t="str"/>
      <x:c r="M883" s="9" t="str">
        <x:v>https://poke.idleworld.online/pokepedia/pokemon/onix</x:v>
      </x:c>
    </x:row>
    <x:row r="884" ht="22" customHeight="1">
      <x:c r="A884" s="1" t="n">
        <x:v>95</x:v>
      </x:c>
      <x:c r="B884" s="1" t="str">
        <x:v>Onix</x:v>
      </x:c>
      <x:c r="C884" s="1" t="n">
        <x:v>15</x:v>
      </x:c>
      <x:c r="D884" s="1" t="str">
        <x:v>Stone Edge</x:v>
      </x:c>
      <x:c r="E884" s="1" t="str">
        <x:v>Pedra</x:v>
      </x:c>
      <x:c r="F884" s="1" t="str">
        <x:v>Física</x:v>
      </x:c>
      <x:c r="G884" s="10" t="n">
        <x:v>100</x:v>
      </x:c>
      <x:c r="H884" s="10" t="n">
        <x:f>IF(F884="Física",'Pokémon'!G99,IF(F884="Especial",'Pokémon'!I99,""))</x:f>
        <x:v>45</x:v>
      </x:c>
      <x:c r="I884" s="10" t="n">
        <x:f>IF(OR(F884="Status",G884=0),"",G884+H884)</x:f>
        <x:v>145</x:v>
      </x:c>
      <x:c r="J884" s="10" t="n">
        <x:v>46</x:v>
      </x:c>
      <x:c r="K884" s="12" t="n">
        <x:v>40</x:v>
      </x:c>
      <x:c r="L884" s="1" t="str"/>
      <x:c r="M884" s="9" t="str">
        <x:v>https://poke.idleworld.online/pokepedia/pokemon/onix</x:v>
      </x:c>
    </x:row>
    <x:row r="885" ht="22" customHeight="1">
      <x:c r="A885" s="1" t="n">
        <x:v>95</x:v>
      </x:c>
      <x:c r="B885" s="1" t="str">
        <x:v>Onix</x:v>
      </x:c>
      <x:c r="C885" s="1" t="n">
        <x:v>10</x:v>
      </x:c>
      <x:c r="D885" s="1" t="str">
        <x:v>Slam</x:v>
      </x:c>
      <x:c r="E885" s="1" t="str">
        <x:v>Normal</x:v>
      </x:c>
      <x:c r="F885" s="1" t="str">
        <x:v>Física</x:v>
      </x:c>
      <x:c r="G885" s="10" t="n">
        <x:v>80</x:v>
      </x:c>
      <x:c r="H885" s="10" t="n">
        <x:f>IF(F885="Física",'Pokémon'!G99,IF(F885="Especial",'Pokémon'!I99,""))</x:f>
        <x:v>45</x:v>
      </x:c>
      <x:c r="I885" s="10" t="n">
        <x:f>IF(OR(F885="Status",G885=0),"",G885+H885)</x:f>
        <x:v>125</x:v>
      </x:c>
      <x:c r="J885" s="10" t="n">
        <x:v>28</x:v>
      </x:c>
      <x:c r="K885" s="12" t="n">
        <x:v>15</x:v>
      </x:c>
      <x:c r="L885" s="1" t="str"/>
      <x:c r="M885" s="9" t="str">
        <x:v>https://poke.idleworld.online/pokepedia/pokemon/onix</x:v>
      </x:c>
    </x:row>
    <x:row r="886" ht="22" customHeight="1">
      <x:c r="A886" s="1" t="n">
        <x:v>95</x:v>
      </x:c>
      <x:c r="B886" s="1" t="str">
        <x:v>Onix</x:v>
      </x:c>
      <x:c r="C886" s="1" t="n">
        <x:v>14</x:v>
      </x:c>
      <x:c r="D886" s="1" t="str">
        <x:v>Dig</x:v>
      </x:c>
      <x:c r="E886" s="1" t="str">
        <x:v>Terrestre</x:v>
      </x:c>
      <x:c r="F886" s="1" t="str">
        <x:v>Física</x:v>
      </x:c>
      <x:c r="G886" s="10" t="n">
        <x:v>80</x:v>
      </x:c>
      <x:c r="H886" s="10" t="n">
        <x:f>IF(F886="Física",'Pokémon'!G99,IF(F886="Especial",'Pokémon'!I99,""))</x:f>
        <x:v>45</x:v>
      </x:c>
      <x:c r="I886" s="10" t="n">
        <x:f>IF(OR(F886="Status",G886=0),"",G886+H886)</x:f>
        <x:v>125</x:v>
      </x:c>
      <x:c r="J886" s="10" t="n">
        <x:v>43</x:v>
      </x:c>
      <x:c r="K886" s="12" t="n">
        <x:v>22</x:v>
      </x:c>
      <x:c r="L886" s="1" t="str"/>
      <x:c r="M886" s="9" t="str">
        <x:v>https://poke.idleworld.online/pokepedia/pokemon/onix</x:v>
      </x:c>
    </x:row>
    <x:row r="887" ht="22" customHeight="1">
      <x:c r="A887" s="1" t="n">
        <x:v>95</x:v>
      </x:c>
      <x:c r="B887" s="1" t="str">
        <x:v>Onix</x:v>
      </x:c>
      <x:c r="C887" s="1" t="n">
        <x:v>11</x:v>
      </x:c>
      <x:c r="D887" s="1" t="str">
        <x:v>Rock Slide</x:v>
      </x:c>
      <x:c r="E887" s="1" t="str">
        <x:v>Pedra</x:v>
      </x:c>
      <x:c r="F887" s="1" t="str">
        <x:v>Física</x:v>
      </x:c>
      <x:c r="G887" s="10" t="n">
        <x:v>75</x:v>
      </x:c>
      <x:c r="H887" s="10" t="n">
        <x:f>IF(F887="Física",'Pokémon'!G99,IF(F887="Especial",'Pokémon'!I99,""))</x:f>
        <x:v>45</x:v>
      </x:c>
      <x:c r="I887" s="10" t="n">
        <x:f>IF(OR(F887="Status",G887=0),"",G887+H887)</x:f>
        <x:v>120</x:v>
      </x:c>
      <x:c r="J887" s="10" t="n">
        <x:v>34</x:v>
      </x:c>
      <x:c r="K887" s="12" t="n">
        <x:v>22</x:v>
      </x:c>
      <x:c r="L887" s="1" t="str"/>
      <x:c r="M887" s="9" t="str">
        <x:v>https://poke.idleworld.online/pokepedia/pokemon/onix</x:v>
      </x:c>
    </x:row>
    <x:row r="888" ht="22" customHeight="1">
      <x:c r="A888" s="1" t="n">
        <x:v>95</x:v>
      </x:c>
      <x:c r="B888" s="1" t="str">
        <x:v>Onix</x:v>
      </x:c>
      <x:c r="C888" s="1" t="n">
        <x:v>5</x:v>
      </x:c>
      <x:c r="D888" s="1" t="str">
        <x:v>Rock Tomb</x:v>
      </x:c>
      <x:c r="E888" s="1" t="str">
        <x:v>Pedra</x:v>
      </x:c>
      <x:c r="F888" s="1" t="str">
        <x:v>Física</x:v>
      </x:c>
      <x:c r="G888" s="10" t="n">
        <x:v>60</x:v>
      </x:c>
      <x:c r="H888" s="10" t="n">
        <x:f>IF(F888="Física",'Pokémon'!G99,IF(F888="Especial",'Pokémon'!I99,""))</x:f>
        <x:v>45</x:v>
      </x:c>
      <x:c r="I888" s="10" t="n">
        <x:f>IF(OR(F888="Status",G888=0),"",G888+H888)</x:f>
        <x:v>105</x:v>
      </x:c>
      <x:c r="J888" s="10" t="n">
        <x:v>10</x:v>
      </x:c>
      <x:c r="K888" s="12" t="n">
        <x:v>20</x:v>
      </x:c>
      <x:c r="L888" s="1" t="str"/>
      <x:c r="M888" s="9" t="str">
        <x:v>https://poke.idleworld.online/pokepedia/pokemon/onix</x:v>
      </x:c>
    </x:row>
    <x:row r="889" ht="22" customHeight="1">
      <x:c r="A889" s="1" t="n">
        <x:v>95</x:v>
      </x:c>
      <x:c r="B889" s="1" t="str">
        <x:v>Onix</x:v>
      </x:c>
      <x:c r="C889" s="1" t="n">
        <x:v>1</x:v>
      </x:c>
      <x:c r="D889" s="1" t="str">
        <x:v>Tackle</x:v>
      </x:c>
      <x:c r="E889" s="1" t="str">
        <x:v>Normal</x:v>
      </x:c>
      <x:c r="F889" s="1" t="str">
        <x:v>Física</x:v>
      </x:c>
      <x:c r="G889" s="10" t="n">
        <x:v>50</x:v>
      </x:c>
      <x:c r="H889" s="10" t="n">
        <x:f>IF(F889="Física",'Pokémon'!G99,IF(F889="Especial",'Pokémon'!I99,""))</x:f>
        <x:v>45</x:v>
      </x:c>
      <x:c r="I889" s="10" t="n">
        <x:f>IF(OR(F889="Status",G889=0),"",G889+H889)</x:f>
        <x:v>95</x:v>
      </x:c>
      <x:c r="J889" s="10" t="n">
        <x:v>1</x:v>
      </x:c>
      <x:c r="K889" s="12" t="n">
        <x:v>15</x:v>
      </x:c>
      <x:c r="L889" s="1" t="str"/>
      <x:c r="M889" s="9" t="str">
        <x:v>https://poke.idleworld.online/pokepedia/pokemon/onix</x:v>
      </x:c>
    </x:row>
    <x:row r="890" ht="22" customHeight="1">
      <x:c r="A890" s="1" t="n">
        <x:v>95</x:v>
      </x:c>
      <x:c r="B890" s="1" t="str">
        <x:v>Onix</x:v>
      </x:c>
      <x:c r="C890" s="1" t="n">
        <x:v>4</x:v>
      </x:c>
      <x:c r="D890" s="1" t="str">
        <x:v>Rock Throw</x:v>
      </x:c>
      <x:c r="E890" s="1" t="str">
        <x:v>Pedra</x:v>
      </x:c>
      <x:c r="F890" s="1" t="str">
        <x:v>Física</x:v>
      </x:c>
      <x:c r="G890" s="10" t="n">
        <x:v>50</x:v>
      </x:c>
      <x:c r="H890" s="10" t="n">
        <x:f>IF(F890="Física",'Pokémon'!G99,IF(F890="Especial",'Pokémon'!I99,""))</x:f>
        <x:v>45</x:v>
      </x:c>
      <x:c r="I890" s="10" t="n">
        <x:f>IF(OR(F890="Status",G890=0),"",G890+H890)</x:f>
        <x:v>95</x:v>
      </x:c>
      <x:c r="J890" s="10" t="n">
        <x:v>7</x:v>
      </x:c>
      <x:c r="K890" s="12" t="n">
        <x:v>10</x:v>
      </x:c>
      <x:c r="L890" s="1" t="str"/>
      <x:c r="M890" s="9" t="str">
        <x:v>https://poke.idleworld.online/pokepedia/pokemon/onix</x:v>
      </x:c>
    </x:row>
    <x:row r="891" ht="22" customHeight="1">
      <x:c r="A891" s="1" t="n">
        <x:v>95</x:v>
      </x:c>
      <x:c r="B891" s="1" t="str">
        <x:v>Onix</x:v>
      </x:c>
      <x:c r="C891" s="1" t="n">
        <x:v>8</x:v>
      </x:c>
      <x:c r="D891" s="1" t="str">
        <x:v>Smack Down</x:v>
      </x:c>
      <x:c r="E891" s="1" t="str">
        <x:v>Pedra</x:v>
      </x:c>
      <x:c r="F891" s="1" t="str">
        <x:v>Física</x:v>
      </x:c>
      <x:c r="G891" s="10" t="n">
        <x:v>50</x:v>
      </x:c>
      <x:c r="H891" s="10" t="n">
        <x:f>IF(F891="Física",'Pokémon'!G99,IF(F891="Especial",'Pokémon'!I99,""))</x:f>
        <x:v>45</x:v>
      </x:c>
      <x:c r="I891" s="10" t="n">
        <x:f>IF(OR(F891="Status",G891=0),"",G891+H891)</x:f>
        <x:v>95</x:v>
      </x:c>
      <x:c r="J891" s="10" t="n">
        <x:v>22</x:v>
      </x:c>
      <x:c r="K891" s="12" t="n">
        <x:v>40</x:v>
      </x:c>
      <x:c r="L891" s="1" t="str"/>
      <x:c r="M891" s="9" t="str">
        <x:v>https://poke.idleworld.online/pokepedia/pokemon/onix</x:v>
      </x:c>
    </x:row>
    <x:row r="892" ht="22" customHeight="1">
      <x:c r="A892" s="1" t="n">
        <x:v>95</x:v>
      </x:c>
      <x:c r="B892" s="1" t="str">
        <x:v>Onix</x:v>
      </x:c>
      <x:c r="C892" s="1" t="n">
        <x:v>9</x:v>
      </x:c>
      <x:c r="D892" s="1" t="str">
        <x:v>Dragon Breath</x:v>
      </x:c>
      <x:c r="E892" s="1" t="str">
        <x:v>Dragão</x:v>
      </x:c>
      <x:c r="F892" s="1" t="str">
        <x:v>Especial</x:v>
      </x:c>
      <x:c r="G892" s="10" t="n">
        <x:v>60</x:v>
      </x:c>
      <x:c r="H892" s="10" t="n">
        <x:f>IF(F892="Física",'Pokémon'!G99,IF(F892="Especial",'Pokémon'!I99,""))</x:f>
        <x:v>30</x:v>
      </x:c>
      <x:c r="I892" s="10" t="n">
        <x:f>IF(OR(F892="Status",G892=0),"",G892+H892)</x:f>
        <x:v>90</x:v>
      </x:c>
      <x:c r="J892" s="10" t="n">
        <x:v>25</x:v>
      </x:c>
      <x:c r="K892" s="12" t="n">
        <x:v>20</x:v>
      </x:c>
      <x:c r="L892" s="1" t="str"/>
      <x:c r="M892" s="9" t="str">
        <x:v>https://poke.idleworld.online/pokepedia/pokemon/onix</x:v>
      </x:c>
    </x:row>
    <x:row r="893" ht="22" customHeight="1">
      <x:c r="A893" s="1" t="n">
        <x:v>95</x:v>
      </x:c>
      <x:c r="B893" s="1" t="str">
        <x:v>Onix</x:v>
      </x:c>
      <x:c r="C893" s="1" t="n">
        <x:v>12</x:v>
      </x:c>
      <x:c r="D893" s="1" t="str">
        <x:v>Sand Tomb</x:v>
      </x:c>
      <x:c r="E893" s="1" t="str">
        <x:v>Terrestre</x:v>
      </x:c>
      <x:c r="F893" s="1" t="str">
        <x:v>Física</x:v>
      </x:c>
      <x:c r="G893" s="10" t="n">
        <x:v>35</x:v>
      </x:c>
      <x:c r="H893" s="10" t="n">
        <x:f>IF(F893="Física",'Pokémon'!G99,IF(F893="Especial",'Pokémon'!I99,""))</x:f>
        <x:v>45</x:v>
      </x:c>
      <x:c r="I893" s="10" t="n">
        <x:f>IF(OR(F893="Status",G893=0),"",G893+H893)</x:f>
        <x:v>80</x:v>
      </x:c>
      <x:c r="J893" s="10" t="n">
        <x:v>37</x:v>
      </x:c>
      <x:c r="K893" s="12" t="n">
        <x:v>40</x:v>
      </x:c>
      <x:c r="L893" s="1" t="str"/>
      <x:c r="M893" s="9" t="str">
        <x:v>https://poke.idleworld.online/pokepedia/pokemon/onix</x:v>
      </x:c>
    </x:row>
    <x:row r="894" ht="22" customHeight="1">
      <x:c r="A894" s="1" t="n">
        <x:v>95</x:v>
      </x:c>
      <x:c r="B894" s="1" t="str">
        <x:v>Onix</x:v>
      </x:c>
      <x:c r="C894" s="1" t="n">
        <x:v>6</x:v>
      </x:c>
      <x:c r="D894" s="1" t="str">
        <x:v>Rage</x:v>
      </x:c>
      <x:c r="E894" s="1" t="str">
        <x:v>Normal</x:v>
      </x:c>
      <x:c r="F894" s="1" t="str">
        <x:v>Física</x:v>
      </x:c>
      <x:c r="G894" s="10" t="n">
        <x:v>20</x:v>
      </x:c>
      <x:c r="H894" s="10" t="n">
        <x:f>IF(F894="Física",'Pokémon'!G99,IF(F894="Especial",'Pokémon'!I99,""))</x:f>
        <x:v>45</x:v>
      </x:c>
      <x:c r="I894" s="10" t="n">
        <x:f>IF(OR(F894="Status",G894=0),"",G894+H894)</x:f>
        <x:v>65</x:v>
      </x:c>
      <x:c r="J894" s="10" t="n">
        <x:v>13</x:v>
      </x:c>
      <x:c r="K894" s="12" t="n">
        <x:v>30</x:v>
      </x:c>
      <x:c r="L894" s="1" t="str"/>
      <x:c r="M894" s="9" t="str">
        <x:v>https://poke.idleworld.online/pokepedia/pokemon/onix</x:v>
      </x:c>
    </x:row>
    <x:row r="895" ht="22" customHeight="1">
      <x:c r="A895" s="1" t="n">
        <x:v>95</x:v>
      </x:c>
      <x:c r="B895" s="1" t="str">
        <x:v>Onix</x:v>
      </x:c>
      <x:c r="C895" s="1" t="n">
        <x:v>3</x:v>
      </x:c>
      <x:c r="D895" s="1" t="str">
        <x:v>Bind</x:v>
      </x:c>
      <x:c r="E895" s="1" t="str">
        <x:v>Normal</x:v>
      </x:c>
      <x:c r="F895" s="1" t="str">
        <x:v>Física</x:v>
      </x:c>
      <x:c r="G895" s="10" t="n">
        <x:v>15</x:v>
      </x:c>
      <x:c r="H895" s="10" t="n">
        <x:f>IF(F895="Física",'Pokémon'!G99,IF(F895="Especial",'Pokémon'!I99,""))</x:f>
        <x:v>45</x:v>
      </x:c>
      <x:c r="I895" s="10" t="n">
        <x:f>IF(OR(F895="Status",G895=0),"",G895+H895)</x:f>
        <x:v>60</x:v>
      </x:c>
      <x:c r="J895" s="10" t="n">
        <x:v>1</x:v>
      </x:c>
      <x:c r="K895" s="12" t="n">
        <x:v>15</x:v>
      </x:c>
      <x:c r="L895" s="1" t="str"/>
      <x:c r="M895" s="9" t="str">
        <x:v>https://poke.idleworld.online/pokepedia/pokemon/onix</x:v>
      </x:c>
    </x:row>
    <x:row r="896" ht="22" customHeight="1">
      <x:c r="A896" s="1" t="n">
        <x:v>95</x:v>
      </x:c>
      <x:c r="B896" s="1" t="str">
        <x:v>Onix</x:v>
      </x:c>
      <x:c r="C896" s="1" t="n">
        <x:v>2</x:v>
      </x:c>
      <x:c r="D896" s="1" t="str">
        <x:v>Harden</x:v>
      </x:c>
      <x:c r="E896" s="1" t="str">
        <x:v>Normal</x:v>
      </x:c>
      <x:c r="F896" s="1" t="str">
        <x:v>Status</x:v>
      </x:c>
      <x:c r="G896" s="10" t="n">
        <x:v>0</x:v>
      </x:c>
      <x:c r="H896" s="10" t="str">
        <x:f>IF(F896="Física",'Pokémon'!G99,IF(F896="Especial",'Pokémon'!I99,""))</x:f>
      </x:c>
      <x:c r="I896" s="10" t="str">
        <x:f>IF(OR(F896="Status",G896=0),"",G896+H896)</x:f>
      </x:c>
      <x:c r="J896" s="10" t="n">
        <x:v>1</x:v>
      </x:c>
      <x:c r="K896" s="12" t="n">
        <x:v>30</x:v>
      </x:c>
      <x:c r="L896" s="1" t="str"/>
      <x:c r="M896" s="9" t="str">
        <x:v>https://poke.idleworld.online/pokepedia/pokemon/onix</x:v>
      </x:c>
    </x:row>
    <x:row r="897" ht="22" customHeight="1">
      <x:c r="A897" s="1" t="n">
        <x:v>95</x:v>
      </x:c>
      <x:c r="B897" s="1" t="str">
        <x:v>Onix</x:v>
      </x:c>
      <x:c r="C897" s="1" t="n">
        <x:v>7</x:v>
      </x:c>
      <x:c r="D897" s="1" t="str">
        <x:v>Stealth Rock</x:v>
      </x:c>
      <x:c r="E897" s="1" t="str">
        <x:v>Pedra</x:v>
      </x:c>
      <x:c r="F897" s="1" t="str">
        <x:v>Status</x:v>
      </x:c>
      <x:c r="G897" s="10" t="n">
        <x:v>0</x:v>
      </x:c>
      <x:c r="H897" s="10" t="str">
        <x:f>IF(F897="Física",'Pokémon'!G99,IF(F897="Especial",'Pokémon'!I99,""))</x:f>
      </x:c>
      <x:c r="I897" s="10" t="str">
        <x:f>IF(OR(F897="Status",G897=0),"",G897+H897)</x:f>
      </x:c>
      <x:c r="J897" s="10" t="n">
        <x:v>16</x:v>
      </x:c>
      <x:c r="K897" s="12" t="n">
        <x:v>3</x:v>
      </x:c>
      <x:c r="L897" s="1" t="str"/>
      <x:c r="M897" s="9" t="str">
        <x:v>https://poke.idleworld.online/pokepedia/pokemon/onix</x:v>
      </x:c>
    </x:row>
    <x:row r="898" ht="22" customHeight="1">
      <x:c r="A898" s="1" t="n">
        <x:v>96</x:v>
      </x:c>
      <x:c r="B898" s="1" t="str">
        <x:v>Drowzee</x:v>
      </x:c>
      <x:c r="C898" s="1" t="n">
        <x:v>6</x:v>
      </x:c>
      <x:c r="D898" s="1" t="str">
        <x:v>Synchronoise</x:v>
      </x:c>
      <x:c r="E898" s="1" t="str">
        <x:v>Psíquico</x:v>
      </x:c>
      <x:c r="F898" s="1" t="str">
        <x:v>Especial</x:v>
      </x:c>
      <x:c r="G898" s="10" t="n">
        <x:v>120</x:v>
      </x:c>
      <x:c r="H898" s="10" t="n">
        <x:f>IF(F898="Física",'Pokémon'!G100,IF(F898="Especial",'Pokémon'!I100,""))</x:f>
        <x:v>43</x:v>
      </x:c>
      <x:c r="I898" s="10" t="n">
        <x:f>IF(OR(F898="Status",G898=0),"",G898+H898)</x:f>
        <x:v>163</x:v>
      </x:c>
      <x:c r="J898" s="10" t="n">
        <x:v>37</x:v>
      </x:c>
      <x:c r="K898" s="12" t="n">
        <x:v>50</x:v>
      </x:c>
      <x:c r="L898" s="1" t="str"/>
      <x:c r="M898" s="9" t="str">
        <x:v>https://poke.idleworld.online/pokepedia/pokemon/drowzee</x:v>
      </x:c>
    </x:row>
    <x:row r="899" ht="22" customHeight="1">
      <x:c r="A899" s="1" t="n">
        <x:v>96</x:v>
      </x:c>
      <x:c r="B899" s="1" t="str">
        <x:v>Drowzee</x:v>
      </x:c>
      <x:c r="C899" s="1" t="n">
        <x:v>11</x:v>
      </x:c>
      <x:c r="D899" s="1" t="str">
        <x:v>Future Sight</x:v>
      </x:c>
      <x:c r="E899" s="1" t="str">
        <x:v>Psíquico</x:v>
      </x:c>
      <x:c r="F899" s="1" t="str">
        <x:v>Especial</x:v>
      </x:c>
      <x:c r="G899" s="10" t="n">
        <x:v>120</x:v>
      </x:c>
      <x:c r="H899" s="10" t="n">
        <x:f>IF(F899="Física",'Pokémon'!G100,IF(F899="Especial",'Pokémon'!I100,""))</x:f>
        <x:v>43</x:v>
      </x:c>
      <x:c r="I899" s="10" t="n">
        <x:f>IF(OR(F899="Status",G899=0),"",G899+H899)</x:f>
        <x:v>163</x:v>
      </x:c>
      <x:c r="J899" s="10" t="n">
        <x:v>61</x:v>
      </x:c>
      <x:c r="K899" s="12" t="n">
        <x:v>50</x:v>
      </x:c>
      <x:c r="L899" s="1" t="str"/>
      <x:c r="M899" s="9" t="str">
        <x:v>https://poke.idleworld.online/pokepedia/pokemon/drowzee</x:v>
      </x:c>
    </x:row>
    <x:row r="900" ht="22" customHeight="1">
      <x:c r="A900" s="1" t="n">
        <x:v>96</x:v>
      </x:c>
      <x:c r="B900" s="1" t="str">
        <x:v>Drowzee</x:v>
      </x:c>
      <x:c r="C900" s="1" t="n">
        <x:v>8</x:v>
      </x:c>
      <x:c r="D900" s="1" t="str">
        <x:v>Psychic</x:v>
      </x:c>
      <x:c r="E900" s="1" t="str">
        <x:v>Psíquico</x:v>
      </x:c>
      <x:c r="F900" s="1" t="str">
        <x:v>Especial</x:v>
      </x:c>
      <x:c r="G900" s="10" t="n">
        <x:v>90</x:v>
      </x:c>
      <x:c r="H900" s="10" t="n">
        <x:f>IF(F900="Física",'Pokémon'!G100,IF(F900="Especial",'Pokémon'!I100,""))</x:f>
        <x:v>43</x:v>
      </x:c>
      <x:c r="I900" s="10" t="n">
        <x:f>IF(OR(F900="Status",G900=0),"",G900+H900)</x:f>
        <x:v>133</x:v>
      </x:c>
      <x:c r="J900" s="10" t="n">
        <x:v>49</x:v>
      </x:c>
      <x:c r="K900" s="12" t="n">
        <x:v>22</x:v>
      </x:c>
      <x:c r="L900" s="1" t="str"/>
      <x:c r="M900" s="9" t="str">
        <x:v>https://poke.idleworld.online/pokepedia/pokemon/drowzee</x:v>
      </x:c>
    </x:row>
    <x:row r="901" ht="22" customHeight="1">
      <x:c r="A901" s="1" t="n">
        <x:v>96</x:v>
      </x:c>
      <x:c r="B901" s="1" t="str">
        <x:v>Drowzee</x:v>
      </x:c>
      <x:c r="C901" s="1" t="n">
        <x:v>7</x:v>
      </x:c>
      <x:c r="D901" s="1" t="str">
        <x:v>Zen Headbutt</x:v>
      </x:c>
      <x:c r="E901" s="1" t="str">
        <x:v>Psíquico</x:v>
      </x:c>
      <x:c r="F901" s="1" t="str">
        <x:v>Física</x:v>
      </x:c>
      <x:c r="G901" s="10" t="n">
        <x:v>80</x:v>
      </x:c>
      <x:c r="H901" s="10" t="n">
        <x:f>IF(F901="Física",'Pokémon'!G100,IF(F901="Especial",'Pokémon'!I100,""))</x:f>
        <x:v>48</x:v>
      </x:c>
      <x:c r="I901" s="10" t="n">
        <x:f>IF(OR(F901="Status",G901=0),"",G901+H901)</x:f>
        <x:v>128</x:v>
      </x:c>
      <x:c r="J901" s="10" t="n">
        <x:v>41</x:v>
      </x:c>
      <x:c r="K901" s="12" t="n">
        <x:v>22</x:v>
      </x:c>
      <x:c r="L901" s="1" t="str"/>
      <x:c r="M901" s="9" t="str">
        <x:v>https://poke.idleworld.online/pokepedia/pokemon/drowzee</x:v>
      </x:c>
    </x:row>
    <x:row r="902" ht="22" customHeight="1">
      <x:c r="A902" s="1" t="n">
        <x:v>96</x:v>
      </x:c>
      <x:c r="B902" s="1" t="str">
        <x:v>Drowzee</x:v>
      </x:c>
      <x:c r="C902" s="1" t="n">
        <x:v>10</x:v>
      </x:c>
      <x:c r="D902" s="1" t="str">
        <x:v>Psyshock</x:v>
      </x:c>
      <x:c r="E902" s="1" t="str">
        <x:v>Psíquico</x:v>
      </x:c>
      <x:c r="F902" s="1" t="str">
        <x:v>Especial</x:v>
      </x:c>
      <x:c r="G902" s="10" t="n">
        <x:v>80</x:v>
      </x:c>
      <x:c r="H902" s="10" t="n">
        <x:f>IF(F902="Física",'Pokémon'!G100,IF(F902="Especial",'Pokémon'!I100,""))</x:f>
        <x:v>43</x:v>
      </x:c>
      <x:c r="I902" s="10" t="n">
        <x:f>IF(OR(F902="Status",G902=0),"",G902+H902)</x:f>
        <x:v>123</x:v>
      </x:c>
      <x:c r="J902" s="10" t="n">
        <x:v>57</x:v>
      </x:c>
      <x:c r="K902" s="12" t="n">
        <x:v>22</x:v>
      </x:c>
      <x:c r="L902" s="1" t="str"/>
      <x:c r="M902" s="9" t="str">
        <x:v>https://poke.idleworld.online/pokepedia/pokemon/drowzee</x:v>
      </x:c>
    </x:row>
    <x:row r="903" ht="22" customHeight="1">
      <x:c r="A903" s="1" t="n">
        <x:v>96</x:v>
      </x:c>
      <x:c r="B903" s="1" t="str">
        <x:v>Drowzee</x:v>
      </x:c>
      <x:c r="C903" s="1" t="n">
        <x:v>4</x:v>
      </x:c>
      <x:c r="D903" s="1" t="str">
        <x:v>Headbutt</x:v>
      </x:c>
      <x:c r="E903" s="1" t="str">
        <x:v>Normal</x:v>
      </x:c>
      <x:c r="F903" s="1" t="str">
        <x:v>Física</x:v>
      </x:c>
      <x:c r="G903" s="10" t="n">
        <x:v>70</x:v>
      </x:c>
      <x:c r="H903" s="10" t="n">
        <x:f>IF(F903="Física",'Pokémon'!G100,IF(F903="Especial",'Pokémon'!I100,""))</x:f>
        <x:v>48</x:v>
      </x:c>
      <x:c r="I903" s="10" t="n">
        <x:f>IF(OR(F903="Status",G903=0),"",G903+H903)</x:f>
        <x:v>118</x:v>
      </x:c>
      <x:c r="J903" s="10" t="n">
        <x:v>13</x:v>
      </x:c>
      <x:c r="K903" s="12" t="n">
        <x:v>15</x:v>
      </x:c>
      <x:c r="L903" s="1" t="str"/>
      <x:c r="M903" s="9" t="str">
        <x:v>https://poke.idleworld.online/pokepedia/pokemon/drowzee</x:v>
      </x:c>
    </x:row>
    <x:row r="904" ht="22" customHeight="1">
      <x:c r="A904" s="1" t="n">
        <x:v>96</x:v>
      </x:c>
      <x:c r="B904" s="1" t="str">
        <x:v>Drowzee</x:v>
      </x:c>
      <x:c r="C904" s="1" t="n">
        <x:v>5</x:v>
      </x:c>
      <x:c r="D904" s="1" t="str">
        <x:v>Psybeam</x:v>
      </x:c>
      <x:c r="E904" s="1" t="str">
        <x:v>Psíquico</x:v>
      </x:c>
      <x:c r="F904" s="1" t="str">
        <x:v>Especial</x:v>
      </x:c>
      <x:c r="G904" s="10" t="n">
        <x:v>65</x:v>
      </x:c>
      <x:c r="H904" s="10" t="n">
        <x:f>IF(F904="Física",'Pokémon'!G100,IF(F904="Especial",'Pokémon'!I100,""))</x:f>
        <x:v>43</x:v>
      </x:c>
      <x:c r="I904" s="10" t="n">
        <x:f>IF(OR(F904="Status",G904=0),"",G904+H904)</x:f>
        <x:v>108</x:v>
      </x:c>
      <x:c r="J904" s="10" t="n">
        <x:v>25</x:v>
      </x:c>
      <x:c r="K904" s="12" t="n">
        <x:v>10</x:v>
      </x:c>
      <x:c r="L904" s="1" t="str"/>
      <x:c r="M904" s="9" t="str">
        <x:v>https://poke.idleworld.online/pokepedia/pokemon/drowzee</x:v>
      </x:c>
    </x:row>
    <x:row r="905" ht="22" customHeight="1">
      <x:c r="A905" s="1" t="n">
        <x:v>96</x:v>
      </x:c>
      <x:c r="B905" s="1" t="str">
        <x:v>Drowzee</x:v>
      </x:c>
      <x:c r="C905" s="1" t="n">
        <x:v>3</x:v>
      </x:c>
      <x:c r="D905" s="1" t="str">
        <x:v>Confusion</x:v>
      </x:c>
      <x:c r="E905" s="1" t="str">
        <x:v>Psíquico</x:v>
      </x:c>
      <x:c r="F905" s="1" t="str">
        <x:v>Especial</x:v>
      </x:c>
      <x:c r="G905" s="10" t="n">
        <x:v>50</x:v>
      </x:c>
      <x:c r="H905" s="10" t="n">
        <x:f>IF(F905="Física",'Pokémon'!G100,IF(F905="Especial",'Pokémon'!I100,""))</x:f>
        <x:v>43</x:v>
      </x:c>
      <x:c r="I905" s="10" t="n">
        <x:f>IF(OR(F905="Status",G905=0),"",G905+H905)</x:f>
        <x:v>93</x:v>
      </x:c>
      <x:c r="J905" s="10" t="n">
        <x:v>9</x:v>
      </x:c>
      <x:c r="K905" s="12" t="n">
        <x:v>30</x:v>
      </x:c>
      <x:c r="L905" s="1" t="str"/>
      <x:c r="M905" s="9" t="str">
        <x:v>https://poke.idleworld.online/pokepedia/pokemon/drowzee</x:v>
      </x:c>
    </x:row>
    <x:row r="906" ht="22" customHeight="1">
      <x:c r="A906" s="1" t="n">
        <x:v>96</x:v>
      </x:c>
      <x:c r="B906" s="1" t="str">
        <x:v>Drowzee</x:v>
      </x:c>
      <x:c r="C906" s="1" t="n">
        <x:v>2</x:v>
      </x:c>
      <x:c r="D906" s="1" t="str">
        <x:v>Pound</x:v>
      </x:c>
      <x:c r="E906" s="1" t="str">
        <x:v>Normal</x:v>
      </x:c>
      <x:c r="F906" s="1" t="str">
        <x:v>Física</x:v>
      </x:c>
      <x:c r="G906" s="10" t="n">
        <x:v>40</x:v>
      </x:c>
      <x:c r="H906" s="10" t="n">
        <x:f>IF(F906="Física",'Pokémon'!G100,IF(F906="Especial",'Pokémon'!I100,""))</x:f>
        <x:v>48</x:v>
      </x:c>
      <x:c r="I906" s="10" t="n">
        <x:f>IF(OR(F906="Status",G906=0),"",G906+H906)</x:f>
        <x:v>88</x:v>
      </x:c>
      <x:c r="J906" s="10" t="n">
        <x:v>1</x:v>
      </x:c>
      <x:c r="K906" s="12" t="n">
        <x:v>15</x:v>
      </x:c>
      <x:c r="L906" s="1" t="str"/>
      <x:c r="M906" s="9" t="str">
        <x:v>https://poke.idleworld.online/pokepedia/pokemon/drowzee</x:v>
      </x:c>
    </x:row>
    <x:row r="907" ht="22" customHeight="1">
      <x:c r="A907" s="1" t="n">
        <x:v>96</x:v>
      </x:c>
      <x:c r="B907" s="1" t="str">
        <x:v>Drowzee</x:v>
      </x:c>
      <x:c r="C907" s="1" t="n">
        <x:v>1</x:v>
      </x:c>
      <x:c r="D907" s="1" t="str">
        <x:v>Hypnosis</x:v>
      </x:c>
      <x:c r="E907" s="1" t="str">
        <x:v>Psíquico</x:v>
      </x:c>
      <x:c r="F907" s="1" t="str">
        <x:v>Status</x:v>
      </x:c>
      <x:c r="G907" s="10" t="n">
        <x:v>0</x:v>
      </x:c>
      <x:c r="H907" s="10" t="str">
        <x:f>IF(F907="Física",'Pokémon'!G100,IF(F907="Especial",'Pokémon'!I100,""))</x:f>
      </x:c>
      <x:c r="I907" s="10" t="str">
        <x:f>IF(OR(F907="Status",G907=0),"",G907+H907)</x:f>
      </x:c>
      <x:c r="J907" s="10" t="n">
        <x:v>1</x:v>
      </x:c>
      <x:c r="K907" s="12" t="n">
        <x:v>30</x:v>
      </x:c>
      <x:c r="L907" s="1" t="str"/>
      <x:c r="M907" s="9" t="str">
        <x:v>https://poke.idleworld.online/pokepedia/pokemon/drowzee</x:v>
      </x:c>
    </x:row>
    <x:row r="908" ht="22" customHeight="1">
      <x:c r="A908" s="1" t="n">
        <x:v>96</x:v>
      </x:c>
      <x:c r="B908" s="1" t="str">
        <x:v>Drowzee</x:v>
      </x:c>
      <x:c r="C908" s="1" t="n">
        <x:v>9</x:v>
      </x:c>
      <x:c r="D908" s="1" t="str">
        <x:v>Nasty Plot</x:v>
      </x:c>
      <x:c r="E908" s="1" t="str">
        <x:v>Sombrio</x:v>
      </x:c>
      <x:c r="F908" s="1" t="str">
        <x:v>Status</x:v>
      </x:c>
      <x:c r="G908" s="10" t="n">
        <x:v>0</x:v>
      </x:c>
      <x:c r="H908" s="10" t="str">
        <x:f>IF(F908="Física",'Pokémon'!G100,IF(F908="Especial",'Pokémon'!I100,""))</x:f>
      </x:c>
      <x:c r="I908" s="10" t="str">
        <x:f>IF(OR(F908="Status",G908=0),"",G908+H908)</x:f>
      </x:c>
      <x:c r="J908" s="10" t="n">
        <x:v>53</x:v>
      </x:c>
      <x:c r="K908" s="12" t="n">
        <x:v>40</x:v>
      </x:c>
      <x:c r="L908" s="1" t="str"/>
      <x:c r="M908" s="9" t="str">
        <x:v>https://poke.idleworld.online/pokepedia/pokemon/drowzee</x:v>
      </x:c>
    </x:row>
    <x:row r="909" ht="22" customHeight="1">
      <x:c r="A909" s="1" t="n">
        <x:v>97</x:v>
      </x:c>
      <x:c r="B909" s="1" t="str">
        <x:v>Hypno</x:v>
      </x:c>
      <x:c r="C909" s="1" t="n">
        <x:v>4</x:v>
      </x:c>
      <x:c r="D909" s="1" t="str">
        <x:v>Mental Singularity</x:v>
      </x:c>
      <x:c r="E909" s="1" t="str">
        <x:v>Psíquico</x:v>
      </x:c>
      <x:c r="F909" s="1" t="str">
        <x:v>Especial</x:v>
      </x:c>
      <x:c r="G909" s="10" t="n">
        <x:v>300</x:v>
      </x:c>
      <x:c r="H909" s="10" t="n">
        <x:f>IF(F909="Física",'Pokémon'!G101,IF(F909="Especial",'Pokémon'!I101,""))</x:f>
        <x:v>73</x:v>
      </x:c>
      <x:c r="I909" s="10" t="n">
        <x:f>IF(OR(F909="Status",G909=0),"",G909+H909)</x:f>
        <x:v>373</x:v>
      </x:c>
      <x:c r="J909" s="10" t="n">
        <x:v>1</x:v>
      </x:c>
      <x:c r="K909" s="12" t="n">
        <x:v>10</x:v>
      </x:c>
      <x:c r="L909" s="1" t="str">
        <x:v>Sim</x:v>
      </x:c>
      <x:c r="M909" s="9" t="str">
        <x:v>https://poke.idleworld.online/pokepedia/pokemon/hypno</x:v>
      </x:c>
    </x:row>
    <x:row r="910" ht="22" customHeight="1">
      <x:c r="A910" s="1" t="n">
        <x:v>97</x:v>
      </x:c>
      <x:c r="B910" s="1" t="str">
        <x:v>Hypno</x:v>
      </x:c>
      <x:c r="C910" s="1" t="n">
        <x:v>6</x:v>
      </x:c>
      <x:c r="D910" s="1" t="str">
        <x:v>Future Sight</x:v>
      </x:c>
      <x:c r="E910" s="1" t="str">
        <x:v>Psíquico</x:v>
      </x:c>
      <x:c r="F910" s="1" t="str">
        <x:v>Especial</x:v>
      </x:c>
      <x:c r="G910" s="10" t="n">
        <x:v>120</x:v>
      </x:c>
      <x:c r="H910" s="10" t="n">
        <x:f>IF(F910="Física",'Pokémon'!G101,IF(F910="Especial",'Pokémon'!I101,""))</x:f>
        <x:v>73</x:v>
      </x:c>
      <x:c r="I910" s="10" t="n">
        <x:f>IF(OR(F910="Status",G910=0),"",G910+H910)</x:f>
        <x:v>193</x:v>
      </x:c>
      <x:c r="J910" s="10" t="n">
        <x:v>1</x:v>
      </x:c>
      <x:c r="K910" s="12" t="n">
        <x:v>50</x:v>
      </x:c>
      <x:c r="L910" s="1" t="str"/>
      <x:c r="M910" s="9" t="str">
        <x:v>https://poke.idleworld.online/pokepedia/pokemon/hypno</x:v>
      </x:c>
    </x:row>
    <x:row r="911" ht="22" customHeight="1">
      <x:c r="A911" s="1" t="n">
        <x:v>97</x:v>
      </x:c>
      <x:c r="B911" s="1" t="str">
        <x:v>Hypno</x:v>
      </x:c>
      <x:c r="C911" s="1" t="n">
        <x:v>9</x:v>
      </x:c>
      <x:c r="D911" s="1" t="str">
        <x:v>Synchronoise</x:v>
      </x:c>
      <x:c r="E911" s="1" t="str">
        <x:v>Psíquico</x:v>
      </x:c>
      <x:c r="F911" s="1" t="str">
        <x:v>Especial</x:v>
      </x:c>
      <x:c r="G911" s="10" t="n">
        <x:v>120</x:v>
      </x:c>
      <x:c r="H911" s="10" t="n">
        <x:f>IF(F911="Física",'Pokémon'!G101,IF(F911="Especial",'Pokémon'!I101,""))</x:f>
        <x:v>73</x:v>
      </x:c>
      <x:c r="I911" s="10" t="n">
        <x:f>IF(OR(F911="Status",G911=0),"",G911+H911)</x:f>
        <x:v>193</x:v>
      </x:c>
      <x:c r="J911" s="10" t="n">
        <x:v>37</x:v>
      </x:c>
      <x:c r="K911" s="12" t="n">
        <x:v>35</x:v>
      </x:c>
      <x:c r="L911" s="1" t="str"/>
      <x:c r="M911" s="9" t="str">
        <x:v>https://poke.idleworld.online/pokepedia/pokemon/hypno</x:v>
      </x:c>
    </x:row>
    <x:row r="912" ht="22" customHeight="1">
      <x:c r="A912" s="1" t="n">
        <x:v>97</x:v>
      </x:c>
      <x:c r="B912" s="1" t="str">
        <x:v>Hypno</x:v>
      </x:c>
      <x:c r="C912" s="1" t="n">
        <x:v>11</x:v>
      </x:c>
      <x:c r="D912" s="1" t="str">
        <x:v>Psychic</x:v>
      </x:c>
      <x:c r="E912" s="1" t="str">
        <x:v>Psíquico</x:v>
      </x:c>
      <x:c r="F912" s="1" t="str">
        <x:v>Especial</x:v>
      </x:c>
      <x:c r="G912" s="10" t="n">
        <x:v>90</x:v>
      </x:c>
      <x:c r="H912" s="10" t="n">
        <x:f>IF(F912="Física",'Pokémon'!G101,IF(F912="Especial",'Pokémon'!I101,""))</x:f>
        <x:v>73</x:v>
      </x:c>
      <x:c r="I912" s="10" t="n">
        <x:f>IF(OR(F912="Status",G912=0),"",G912+H912)</x:f>
        <x:v>163</x:v>
      </x:c>
      <x:c r="J912" s="10" t="n">
        <x:v>49</x:v>
      </x:c>
      <x:c r="K912" s="12" t="n">
        <x:v>35</x:v>
      </x:c>
      <x:c r="L912" s="1" t="str"/>
      <x:c r="M912" s="9" t="str">
        <x:v>https://poke.idleworld.online/pokepedia/pokemon/hypno</x:v>
      </x:c>
    </x:row>
    <x:row r="913" ht="22" customHeight="1">
      <x:c r="A913" s="1" t="n">
        <x:v>97</x:v>
      </x:c>
      <x:c r="B913" s="1" t="str">
        <x:v>Hypno</x:v>
      </x:c>
      <x:c r="C913" s="1" t="n">
        <x:v>10</x:v>
      </x:c>
      <x:c r="D913" s="1" t="str">
        <x:v>Zen Headbutt</x:v>
      </x:c>
      <x:c r="E913" s="1" t="str">
        <x:v>Psíquico</x:v>
      </x:c>
      <x:c r="F913" s="1" t="str">
        <x:v>Física</x:v>
      </x:c>
      <x:c r="G913" s="10" t="n">
        <x:v>80</x:v>
      </x:c>
      <x:c r="H913" s="10" t="n">
        <x:f>IF(F913="Física",'Pokémon'!G101,IF(F913="Especial",'Pokémon'!I101,""))</x:f>
        <x:v>73</x:v>
      </x:c>
      <x:c r="I913" s="10" t="n">
        <x:f>IF(OR(F913="Status",G913=0),"",G913+H913)</x:f>
        <x:v>153</x:v>
      </x:c>
      <x:c r="J913" s="10" t="n">
        <x:v>41</x:v>
      </x:c>
      <x:c r="K913" s="12" t="n">
        <x:v>22</x:v>
      </x:c>
      <x:c r="L913" s="1" t="str"/>
      <x:c r="M913" s="9" t="str">
        <x:v>https://poke.idleworld.online/pokepedia/pokemon/hypno</x:v>
      </x:c>
    </x:row>
    <x:row r="914" ht="22" customHeight="1">
      <x:c r="A914" s="1" t="n">
        <x:v>97</x:v>
      </x:c>
      <x:c r="B914" s="1" t="str">
        <x:v>Hypno</x:v>
      </x:c>
      <x:c r="C914" s="1" t="n">
        <x:v>12</x:v>
      </x:c>
      <x:c r="D914" s="1" t="str">
        <x:v>Psyshock</x:v>
      </x:c>
      <x:c r="E914" s="1" t="str">
        <x:v>Psíquico</x:v>
      </x:c>
      <x:c r="F914" s="1" t="str">
        <x:v>Especial</x:v>
      </x:c>
      <x:c r="G914" s="10" t="n">
        <x:v>80</x:v>
      </x:c>
      <x:c r="H914" s="10" t="n">
        <x:f>IF(F914="Física",'Pokémon'!G101,IF(F914="Especial",'Pokémon'!I101,""))</x:f>
        <x:v>73</x:v>
      </x:c>
      <x:c r="I914" s="10" t="n">
        <x:f>IF(OR(F914="Status",G914=0),"",G914+H914)</x:f>
        <x:v>153</x:v>
      </x:c>
      <x:c r="J914" s="10" t="n">
        <x:v>57</x:v>
      </x:c>
      <x:c r="K914" s="12" t="n">
        <x:v>22</x:v>
      </x:c>
      <x:c r="L914" s="1" t="str"/>
      <x:c r="M914" s="9" t="str">
        <x:v>https://poke.idleworld.online/pokepedia/pokemon/hypno</x:v>
      </x:c>
    </x:row>
    <x:row r="915" ht="22" customHeight="1">
      <x:c r="A915" s="1" t="n">
        <x:v>97</x:v>
      </x:c>
      <x:c r="B915" s="1" t="str">
        <x:v>Hypno</x:v>
      </x:c>
      <x:c r="C915" s="1" t="n">
        <x:v>7</x:v>
      </x:c>
      <x:c r="D915" s="1" t="str">
        <x:v>Headbutt</x:v>
      </x:c>
      <x:c r="E915" s="1" t="str">
        <x:v>Normal</x:v>
      </x:c>
      <x:c r="F915" s="1" t="str">
        <x:v>Física</x:v>
      </x:c>
      <x:c r="G915" s="10" t="n">
        <x:v>70</x:v>
      </x:c>
      <x:c r="H915" s="10" t="n">
        <x:f>IF(F915="Física",'Pokémon'!G101,IF(F915="Especial",'Pokémon'!I101,""))</x:f>
        <x:v>73</x:v>
      </x:c>
      <x:c r="I915" s="10" t="n">
        <x:f>IF(OR(F915="Status",G915=0),"",G915+H915)</x:f>
        <x:v>143</x:v>
      </x:c>
      <x:c r="J915" s="10" t="n">
        <x:v>13</x:v>
      </x:c>
      <x:c r="K915" s="12" t="n">
        <x:v>20</x:v>
      </x:c>
      <x:c r="L915" s="1" t="str"/>
      <x:c r="M915" s="9" t="str">
        <x:v>https://poke.idleworld.online/pokepedia/pokemon/hypno</x:v>
      </x:c>
    </x:row>
    <x:row r="916" ht="22" customHeight="1">
      <x:c r="A916" s="1" t="n">
        <x:v>97</x:v>
      </x:c>
      <x:c r="B916" s="1" t="str">
        <x:v>Hypno</x:v>
      </x:c>
      <x:c r="C916" s="1" t="n">
        <x:v>8</x:v>
      </x:c>
      <x:c r="D916" s="1" t="str">
        <x:v>Psybeam</x:v>
      </x:c>
      <x:c r="E916" s="1" t="str">
        <x:v>Psíquico</x:v>
      </x:c>
      <x:c r="F916" s="1" t="str">
        <x:v>Especial</x:v>
      </x:c>
      <x:c r="G916" s="10" t="n">
        <x:v>65</x:v>
      </x:c>
      <x:c r="H916" s="10" t="n">
        <x:f>IF(F916="Física",'Pokémon'!G101,IF(F916="Especial",'Pokémon'!I101,""))</x:f>
        <x:v>73</x:v>
      </x:c>
      <x:c r="I916" s="10" t="n">
        <x:f>IF(OR(F916="Status",G916=0),"",G916+H916)</x:f>
        <x:v>138</x:v>
      </x:c>
      <x:c r="J916" s="10" t="n">
        <x:v>25</x:v>
      </x:c>
      <x:c r="K916" s="12" t="n">
        <x:v>10</x:v>
      </x:c>
      <x:c r="L916" s="1" t="str"/>
      <x:c r="M916" s="9" t="str">
        <x:v>https://poke.idleworld.online/pokepedia/pokemon/hypno</x:v>
      </x:c>
    </x:row>
    <x:row r="917" ht="22" customHeight="1">
      <x:c r="A917" s="1" t="n">
        <x:v>97</x:v>
      </x:c>
      <x:c r="B917" s="1" t="str">
        <x:v>Hypno</x:v>
      </x:c>
      <x:c r="C917" s="1" t="n">
        <x:v>2</x:v>
      </x:c>
      <x:c r="D917" s="1" t="str">
        <x:v>Confusion</x:v>
      </x:c>
      <x:c r="E917" s="1" t="str">
        <x:v>Psíquico</x:v>
      </x:c>
      <x:c r="F917" s="1" t="str">
        <x:v>Especial</x:v>
      </x:c>
      <x:c r="G917" s="10" t="n">
        <x:v>50</x:v>
      </x:c>
      <x:c r="H917" s="10" t="n">
        <x:f>IF(F917="Física",'Pokémon'!G101,IF(F917="Especial",'Pokémon'!I101,""))</x:f>
        <x:v>73</x:v>
      </x:c>
      <x:c r="I917" s="10" t="n">
        <x:f>IF(OR(F917="Status",G917=0),"",G917+H917)</x:f>
        <x:v>123</x:v>
      </x:c>
      <x:c r="J917" s="10" t="n">
        <x:v>1</x:v>
      </x:c>
      <x:c r="K917" s="12" t="n">
        <x:v>30</x:v>
      </x:c>
      <x:c r="L917" s="1" t="str"/>
      <x:c r="M917" s="9" t="str">
        <x:v>https://poke.idleworld.online/pokepedia/pokemon/hypno</x:v>
      </x:c>
    </x:row>
    <x:row r="918" ht="22" customHeight="1">
      <x:c r="A918" s="1" t="n">
        <x:v>97</x:v>
      </x:c>
      <x:c r="B918" s="1" t="str">
        <x:v>Hypno</x:v>
      </x:c>
      <x:c r="C918" s="1" t="n">
        <x:v>5</x:v>
      </x:c>
      <x:c r="D918" s="1" t="str">
        <x:v>Pound</x:v>
      </x:c>
      <x:c r="E918" s="1" t="str">
        <x:v>Normal</x:v>
      </x:c>
      <x:c r="F918" s="1" t="str">
        <x:v>Física</x:v>
      </x:c>
      <x:c r="G918" s="10" t="n">
        <x:v>40</x:v>
      </x:c>
      <x:c r="H918" s="10" t="n">
        <x:f>IF(F918="Física",'Pokémon'!G101,IF(F918="Especial",'Pokémon'!I101,""))</x:f>
        <x:v>73</x:v>
      </x:c>
      <x:c r="I918" s="10" t="n">
        <x:f>IF(OR(F918="Status",G918=0),"",G918+H918)</x:f>
        <x:v>113</x:v>
      </x:c>
      <x:c r="J918" s="10" t="n">
        <x:v>1</x:v>
      </x:c>
      <x:c r="K918" s="12" t="n">
        <x:v>15</x:v>
      </x:c>
      <x:c r="L918" s="1" t="str"/>
      <x:c r="M918" s="9" t="str">
        <x:v>https://poke.idleworld.online/pokepedia/pokemon/hypno</x:v>
      </x:c>
    </x:row>
    <x:row r="919" ht="22" customHeight="1">
      <x:c r="A919" s="1" t="n">
        <x:v>97</x:v>
      </x:c>
      <x:c r="B919" s="1" t="str">
        <x:v>Hypno</x:v>
      </x:c>
      <x:c r="C919" s="1" t="n">
        <x:v>1</x:v>
      </x:c>
      <x:c r="D919" s="1" t="str">
        <x:v>Hypnosis</x:v>
      </x:c>
      <x:c r="E919" s="1" t="str">
        <x:v>Psíquico</x:v>
      </x:c>
      <x:c r="F919" s="1" t="str">
        <x:v>Status</x:v>
      </x:c>
      <x:c r="G919" s="10" t="n">
        <x:v>0</x:v>
      </x:c>
      <x:c r="H919" s="10" t="str">
        <x:f>IF(F919="Física",'Pokémon'!G101,IF(F919="Especial",'Pokémon'!I101,""))</x:f>
      </x:c>
      <x:c r="I919" s="10" t="str">
        <x:f>IF(OR(F919="Status",G919=0),"",G919+H919)</x:f>
      </x:c>
      <x:c r="J919" s="10" t="n">
        <x:v>1</x:v>
      </x:c>
      <x:c r="K919" s="12" t="n">
        <x:v>30</x:v>
      </x:c>
      <x:c r="L919" s="1" t="str"/>
      <x:c r="M919" s="9" t="str">
        <x:v>https://poke.idleworld.online/pokepedia/pokemon/hypno</x:v>
      </x:c>
    </x:row>
    <x:row r="920" ht="22" customHeight="1">
      <x:c r="A920" s="1" t="n">
        <x:v>97</x:v>
      </x:c>
      <x:c r="B920" s="1" t="str">
        <x:v>Hypno</x:v>
      </x:c>
      <x:c r="C920" s="1" t="n">
        <x:v>3</x:v>
      </x:c>
      <x:c r="D920" s="1" t="str">
        <x:v>Nasty Plot</x:v>
      </x:c>
      <x:c r="E920" s="1" t="str">
        <x:v>Sombrio</x:v>
      </x:c>
      <x:c r="F920" s="1" t="str">
        <x:v>Status</x:v>
      </x:c>
      <x:c r="G920" s="10" t="n">
        <x:v>0</x:v>
      </x:c>
      <x:c r="H920" s="10" t="str">
        <x:f>IF(F920="Física",'Pokémon'!G101,IF(F920="Especial",'Pokémon'!I101,""))</x:f>
      </x:c>
      <x:c r="I920" s="10" t="str">
        <x:f>IF(OR(F920="Status",G920=0),"",G920+H920)</x:f>
      </x:c>
      <x:c r="J920" s="10" t="n">
        <x:v>1</x:v>
      </x:c>
      <x:c r="K920" s="12" t="n">
        <x:v>40</x:v>
      </x:c>
      <x:c r="L920" s="1" t="str"/>
      <x:c r="M920" s="9" t="str">
        <x:v>https://poke.idleworld.online/pokepedia/pokemon/hypno</x:v>
      </x:c>
    </x:row>
    <x:row r="921" ht="22" customHeight="1">
      <x:c r="A921" s="1" t="n">
        <x:v>98</x:v>
      </x:c>
      <x:c r="B921" s="1" t="str">
        <x:v>Krabby</x:v>
      </x:c>
      <x:c r="C921" s="1" t="n">
        <x:v>10</x:v>
      </x:c>
      <x:c r="D921" s="1" t="str">
        <x:v>Crabhammer</x:v>
      </x:c>
      <x:c r="E921" s="1" t="str">
        <x:v>Água</x:v>
      </x:c>
      <x:c r="F921" s="1" t="str">
        <x:v>Física</x:v>
      </x:c>
      <x:c r="G921" s="10" t="n">
        <x:v>100</x:v>
      </x:c>
      <x:c r="H921" s="10" t="n">
        <x:f>IF(F921="Física",'Pokémon'!G102,IF(F921="Especial",'Pokémon'!I102,""))</x:f>
        <x:v>105</x:v>
      </x:c>
      <x:c r="I921" s="10" t="n">
        <x:f>IF(OR(F921="Status",G921=0),"",G921+H921)</x:f>
        <x:v>205</x:v>
      </x:c>
      <x:c r="J921" s="10" t="n">
        <x:v>41</x:v>
      </x:c>
      <x:c r="K921" s="12" t="n">
        <x:v>20</x:v>
      </x:c>
      <x:c r="L921" s="1" t="str"/>
      <x:c r="M921" s="9" t="str">
        <x:v>https://poke.idleworld.online/pokepedia/pokemon/krabby</x:v>
      </x:c>
    </x:row>
    <x:row r="922" ht="22" customHeight="1">
      <x:c r="A922" s="1" t="n">
        <x:v>98</x:v>
      </x:c>
      <x:c r="B922" s="1" t="str">
        <x:v>Krabby</x:v>
      </x:c>
      <x:c r="C922" s="1" t="n">
        <x:v>8</x:v>
      </x:c>
      <x:c r="D922" s="1" t="str">
        <x:v>Slam</x:v>
      </x:c>
      <x:c r="E922" s="1" t="str">
        <x:v>Normal</x:v>
      </x:c>
      <x:c r="F922" s="1" t="str">
        <x:v>Física</x:v>
      </x:c>
      <x:c r="G922" s="10" t="n">
        <x:v>80</x:v>
      </x:c>
      <x:c r="H922" s="10" t="n">
        <x:f>IF(F922="Física",'Pokémon'!G102,IF(F922="Especial",'Pokémon'!I102,""))</x:f>
        <x:v>105</x:v>
      </x:c>
      <x:c r="I922" s="10" t="n">
        <x:f>IF(OR(F922="Status",G922=0),"",G922+H922)</x:f>
        <x:v>185</x:v>
      </x:c>
      <x:c r="J922" s="10" t="n">
        <x:v>35</x:v>
      </x:c>
      <x:c r="K922" s="12" t="n">
        <x:v>22</x:v>
      </x:c>
      <x:c r="L922" s="1" t="str"/>
      <x:c r="M922" s="9" t="str">
        <x:v>https://poke.idleworld.online/pokepedia/pokemon/krabby</x:v>
      </x:c>
    </x:row>
    <x:row r="923" ht="22" customHeight="1">
      <x:c r="A923" s="1" t="n">
        <x:v>98</x:v>
      </x:c>
      <x:c r="B923" s="1" t="str">
        <x:v>Krabby</x:v>
      </x:c>
      <x:c r="C923" s="1" t="n">
        <x:v>7</x:v>
      </x:c>
      <x:c r="D923" s="1" t="str">
        <x:v>Stomp</x:v>
      </x:c>
      <x:c r="E923" s="1" t="str">
        <x:v>Normal</x:v>
      </x:c>
      <x:c r="F923" s="1" t="str">
        <x:v>Física</x:v>
      </x:c>
      <x:c r="G923" s="10" t="n">
        <x:v>65</x:v>
      </x:c>
      <x:c r="H923" s="10" t="n">
        <x:f>IF(F923="Física",'Pokémon'!G102,IF(F923="Especial",'Pokémon'!I102,""))</x:f>
        <x:v>105</x:v>
      </x:c>
      <x:c r="I923" s="10" t="n">
        <x:f>IF(OR(F923="Status",G923=0),"",G923+H923)</x:f>
        <x:v>170</x:v>
      </x:c>
      <x:c r="J923" s="10" t="n">
        <x:v>25</x:v>
      </x:c>
      <x:c r="K923" s="12" t="n">
        <x:v>20</x:v>
      </x:c>
      <x:c r="L923" s="1" t="str"/>
      <x:c r="M923" s="9" t="str">
        <x:v>https://poke.idleworld.online/pokepedia/pokemon/krabby</x:v>
      </x:c>
    </x:row>
    <x:row r="924" ht="22" customHeight="1">
      <x:c r="A924" s="1" t="n">
        <x:v>98</x:v>
      </x:c>
      <x:c r="B924" s="1" t="str">
        <x:v>Krabby</x:v>
      </x:c>
      <x:c r="C924" s="1" t="n">
        <x:v>2</x:v>
      </x:c>
      <x:c r="D924" s="1" t="str">
        <x:v>Vise Grip</x:v>
      </x:c>
      <x:c r="E924" s="1" t="str">
        <x:v>Normal</x:v>
      </x:c>
      <x:c r="F924" s="1" t="str">
        <x:v>Física</x:v>
      </x:c>
      <x:c r="G924" s="10" t="n">
        <x:v>55</x:v>
      </x:c>
      <x:c r="H924" s="10" t="n">
        <x:f>IF(F924="Física",'Pokémon'!G102,IF(F924="Especial",'Pokémon'!I102,""))</x:f>
        <x:v>105</x:v>
      </x:c>
      <x:c r="I924" s="10" t="n">
        <x:f>IF(OR(F924="Status",G924=0),"",G924+H924)</x:f>
        <x:v>160</x:v>
      </x:c>
      <x:c r="J924" s="10" t="n">
        <x:v>5</x:v>
      </x:c>
      <x:c r="K924" s="12" t="n">
        <x:v>20</x:v>
      </x:c>
      <x:c r="L924" s="1" t="str"/>
      <x:c r="M924" s="9" t="str">
        <x:v>https://poke.idleworld.online/pokepedia/pokemon/krabby</x:v>
      </x:c>
    </x:row>
    <x:row r="925" ht="22" customHeight="1">
      <x:c r="A925" s="1" t="n">
        <x:v>98</x:v>
      </x:c>
      <x:c r="B925" s="1" t="str">
        <x:v>Krabby</x:v>
      </x:c>
      <x:c r="C925" s="1" t="n">
        <x:v>6</x:v>
      </x:c>
      <x:c r="D925" s="1" t="str">
        <x:v>Metal Claw</x:v>
      </x:c>
      <x:c r="E925" s="1" t="str">
        <x:v>Aço</x:v>
      </x:c>
      <x:c r="F925" s="1" t="str">
        <x:v>Física</x:v>
      </x:c>
      <x:c r="G925" s="10" t="n">
        <x:v>50</x:v>
      </x:c>
      <x:c r="H925" s="10" t="n">
        <x:f>IF(F925="Física",'Pokémon'!G102,IF(F925="Especial",'Pokémon'!I102,""))</x:f>
        <x:v>105</x:v>
      </x:c>
      <x:c r="I925" s="10" t="n">
        <x:f>IF(OR(F925="Status",G925=0),"",G925+H925)</x:f>
        <x:v>155</x:v>
      </x:c>
      <x:c r="J925" s="10" t="n">
        <x:v>21</x:v>
      </x:c>
      <x:c r="K925" s="12" t="n">
        <x:v>15</x:v>
      </x:c>
      <x:c r="L925" s="1" t="str"/>
      <x:c r="M925" s="9" t="str">
        <x:v>https://poke.idleworld.online/pokepedia/pokemon/krabby</x:v>
      </x:c>
    </x:row>
    <x:row r="926" ht="22" customHeight="1">
      <x:c r="A926" s="1" t="n">
        <x:v>98</x:v>
      </x:c>
      <x:c r="B926" s="1" t="str">
        <x:v>Krabby</x:v>
      </x:c>
      <x:c r="C926" s="1" t="n">
        <x:v>4</x:v>
      </x:c>
      <x:c r="D926" s="1" t="str">
        <x:v>Bubble Beam</x:v>
      </x:c>
      <x:c r="E926" s="1" t="str">
        <x:v>Água</x:v>
      </x:c>
      <x:c r="F926" s="1" t="str">
        <x:v>Especial</x:v>
      </x:c>
      <x:c r="G926" s="10" t="n">
        <x:v>65</x:v>
      </x:c>
      <x:c r="H926" s="10" t="n">
        <x:f>IF(F926="Física",'Pokémon'!G102,IF(F926="Especial",'Pokémon'!I102,""))</x:f>
        <x:v>25</x:v>
      </x:c>
      <x:c r="I926" s="10" t="n">
        <x:f>IF(OR(F926="Status",G926=0),"",G926+H926)</x:f>
        <x:v>90</x:v>
      </x:c>
      <x:c r="J926" s="10" t="n">
        <x:v>15</x:v>
      </x:c>
      <x:c r="K926" s="12" t="n">
        <x:v>30</x:v>
      </x:c>
      <x:c r="L926" s="1" t="str"/>
      <x:c r="M926" s="9" t="str">
        <x:v>https://poke.idleworld.online/pokepedia/pokemon/krabby</x:v>
      </x:c>
    </x:row>
    <x:row r="927" ht="22" customHeight="1">
      <x:c r="A927" s="1" t="n">
        <x:v>98</x:v>
      </x:c>
      <x:c r="B927" s="1" t="str">
        <x:v>Krabby</x:v>
      </x:c>
      <x:c r="C927" s="1" t="n">
        <x:v>9</x:v>
      </x:c>
      <x:c r="D927" s="1" t="str">
        <x:v>Brine</x:v>
      </x:c>
      <x:c r="E927" s="1" t="str">
        <x:v>Água</x:v>
      </x:c>
      <x:c r="F927" s="1" t="str">
        <x:v>Especial</x:v>
      </x:c>
      <x:c r="G927" s="10" t="n">
        <x:v>65</x:v>
      </x:c>
      <x:c r="H927" s="10" t="n">
        <x:f>IF(F927="Física",'Pokémon'!G102,IF(F927="Especial",'Pokémon'!I102,""))</x:f>
        <x:v>25</x:v>
      </x:c>
      <x:c r="I927" s="10" t="n">
        <x:f>IF(OR(F927="Status",G927=0),"",G927+H927)</x:f>
        <x:v>90</x:v>
      </x:c>
      <x:c r="J927" s="10" t="n">
        <x:v>39</x:v>
      </x:c>
      <x:c r="K927" s="12" t="n">
        <x:v>20</x:v>
      </x:c>
      <x:c r="L927" s="1" t="str"/>
      <x:c r="M927" s="9" t="str">
        <x:v>https://poke.idleworld.online/pokepedia/pokemon/krabby</x:v>
      </x:c>
    </x:row>
    <x:row r="928" ht="22" customHeight="1">
      <x:c r="A928" s="1" t="n">
        <x:v>98</x:v>
      </x:c>
      <x:c r="B928" s="1" t="str">
        <x:v>Krabby</x:v>
      </x:c>
      <x:c r="C928" s="1" t="n">
        <x:v>5</x:v>
      </x:c>
      <x:c r="D928" s="1" t="str">
        <x:v>Mud Shot</x:v>
      </x:c>
      <x:c r="E928" s="1" t="str">
        <x:v>Terrestre</x:v>
      </x:c>
      <x:c r="F928" s="1" t="str">
        <x:v>Especial</x:v>
      </x:c>
      <x:c r="G928" s="10" t="n">
        <x:v>55</x:v>
      </x:c>
      <x:c r="H928" s="10" t="n">
        <x:f>IF(F928="Física",'Pokémon'!G102,IF(F928="Especial",'Pokémon'!I102,""))</x:f>
        <x:v>25</x:v>
      </x:c>
      <x:c r="I928" s="10" t="n">
        <x:f>IF(OR(F928="Status",G928=0),"",G928+H928)</x:f>
        <x:v>80</x:v>
      </x:c>
      <x:c r="J928" s="10" t="n">
        <x:v>19</x:v>
      </x:c>
      <x:c r="K928" s="12" t="n">
        <x:v>15</x:v>
      </x:c>
      <x:c r="L928" s="1" t="str"/>
      <x:c r="M928" s="9" t="str">
        <x:v>https://poke.idleworld.online/pokepedia/pokemon/krabby</x:v>
      </x:c>
    </x:row>
    <x:row r="929" ht="22" customHeight="1">
      <x:c r="A929" s="1" t="n">
        <x:v>98</x:v>
      </x:c>
      <x:c r="B929" s="1" t="str">
        <x:v>Krabby</x:v>
      </x:c>
      <x:c r="C929" s="1" t="n">
        <x:v>1</x:v>
      </x:c>
      <x:c r="D929" s="1" t="str">
        <x:v>Bubble</x:v>
      </x:c>
      <x:c r="E929" s="1" t="str">
        <x:v>Água</x:v>
      </x:c>
      <x:c r="F929" s="1" t="str">
        <x:v>Especial</x:v>
      </x:c>
      <x:c r="G929" s="10" t="n">
        <x:v>40</x:v>
      </x:c>
      <x:c r="H929" s="10" t="n">
        <x:f>IF(F929="Física",'Pokémon'!G102,IF(F929="Especial",'Pokémon'!I102,""))</x:f>
        <x:v>25</x:v>
      </x:c>
      <x:c r="I929" s="10" t="n">
        <x:f>IF(OR(F929="Status",G929=0),"",G929+H929)</x:f>
        <x:v>65</x:v>
      </x:c>
      <x:c r="J929" s="10" t="n">
        <x:v>1</x:v>
      </x:c>
      <x:c r="K929" s="12" t="n">
        <x:v>15</x:v>
      </x:c>
      <x:c r="L929" s="1" t="str"/>
      <x:c r="M929" s="9" t="str">
        <x:v>https://poke.idleworld.online/pokepedia/pokemon/krabby</x:v>
      </x:c>
    </x:row>
    <x:row r="930" ht="22" customHeight="1">
      <x:c r="A930" s="1" t="n">
        <x:v>98</x:v>
      </x:c>
      <x:c r="B930" s="1" t="str">
        <x:v>Krabby</x:v>
      </x:c>
      <x:c r="C930" s="1" t="n">
        <x:v>3</x:v>
      </x:c>
      <x:c r="D930" s="1" t="str">
        <x:v>Harden</x:v>
      </x:c>
      <x:c r="E930" s="1" t="str">
        <x:v>Normal</x:v>
      </x:c>
      <x:c r="F930" s="1" t="str">
        <x:v>Status</x:v>
      </x:c>
      <x:c r="G930" s="10" t="n">
        <x:v>0</x:v>
      </x:c>
      <x:c r="H930" s="10" t="str">
        <x:f>IF(F930="Física",'Pokémon'!G102,IF(F930="Especial",'Pokémon'!I102,""))</x:f>
      </x:c>
      <x:c r="I930" s="10" t="str">
        <x:f>IF(OR(F930="Status",G930=0),"",G930+H930)</x:f>
      </x:c>
      <x:c r="J930" s="10" t="n">
        <x:v>11</x:v>
      </x:c>
      <x:c r="K930" s="12" t="n">
        <x:v>30</x:v>
      </x:c>
      <x:c r="L930" s="1" t="str"/>
      <x:c r="M930" s="9" t="str">
        <x:v>https://poke.idleworld.online/pokepedia/pokemon/krabby</x:v>
      </x:c>
    </x:row>
    <x:row r="931" ht="22" customHeight="1">
      <x:c r="A931" s="1" t="n">
        <x:v>99</x:v>
      </x:c>
      <x:c r="B931" s="1" t="str">
        <x:v>Kingler</x:v>
      </x:c>
      <x:c r="C931" s="1" t="n">
        <x:v>1</x:v>
      </x:c>
      <x:c r="D931" s="1" t="str">
        <x:v>Cyclonic Tide</x:v>
      </x:c>
      <x:c r="E931" s="1" t="str">
        <x:v>Água</x:v>
      </x:c>
      <x:c r="F931" s="1" t="str">
        <x:v>Especial</x:v>
      </x:c>
      <x:c r="G931" s="10" t="n">
        <x:v>300</x:v>
      </x:c>
      <x:c r="H931" s="10" t="n">
        <x:f>IF(F931="Física",'Pokémon'!G103,IF(F931="Especial",'Pokémon'!I103,""))</x:f>
        <x:v>50</x:v>
      </x:c>
      <x:c r="I931" s="10" t="n">
        <x:f>IF(OR(F931="Status",G931=0),"",G931+H931)</x:f>
        <x:v>350</x:v>
      </x:c>
      <x:c r="J931" s="10" t="n">
        <x:v>1</x:v>
      </x:c>
      <x:c r="K931" s="12" t="n">
        <x:v>10</x:v>
      </x:c>
      <x:c r="L931" s="1" t="str">
        <x:v>Sim</x:v>
      </x:c>
      <x:c r="M931" s="9" t="str">
        <x:v>https://poke.idleworld.online/pokepedia/pokemon/kingler</x:v>
      </x:c>
    </x:row>
    <x:row r="932" ht="22" customHeight="1">
      <x:c r="A932" s="1" t="n">
        <x:v>99</x:v>
      </x:c>
      <x:c r="B932" s="1" t="str">
        <x:v>Kingler</x:v>
      </x:c>
      <x:c r="C932" s="1" t="n">
        <x:v>12</x:v>
      </x:c>
      <x:c r="D932" s="1" t="str">
        <x:v>Crabhammer</x:v>
      </x:c>
      <x:c r="E932" s="1" t="str">
        <x:v>Água</x:v>
      </x:c>
      <x:c r="F932" s="1" t="str">
        <x:v>Física</x:v>
      </x:c>
      <x:c r="G932" s="10" t="n">
        <x:v>100</x:v>
      </x:c>
      <x:c r="H932" s="10" t="n">
        <x:f>IF(F932="Física",'Pokémon'!G103,IF(F932="Especial",'Pokémon'!I103,""))</x:f>
        <x:v>130</x:v>
      </x:c>
      <x:c r="I932" s="10" t="n">
        <x:f>IF(OR(F932="Status",G932=0),"",G932+H932)</x:f>
        <x:v>230</x:v>
      </x:c>
      <x:c r="J932" s="10" t="n">
        <x:v>56</x:v>
      </x:c>
      <x:c r="K932" s="12" t="n">
        <x:v>20</x:v>
      </x:c>
      <x:c r="L932" s="1" t="str"/>
      <x:c r="M932" s="9" t="str">
        <x:v>https://poke.idleworld.online/pokepedia/pokemon/kingler</x:v>
      </x:c>
    </x:row>
    <x:row r="933" ht="22" customHeight="1">
      <x:c r="A933" s="1" t="n">
        <x:v>99</x:v>
      </x:c>
      <x:c r="B933" s="1" t="str">
        <x:v>Kingler</x:v>
      </x:c>
      <x:c r="C933" s="1" t="n">
        <x:v>10</x:v>
      </x:c>
      <x:c r="D933" s="1" t="str">
        <x:v>Slam</x:v>
      </x:c>
      <x:c r="E933" s="1" t="str">
        <x:v>Normal</x:v>
      </x:c>
      <x:c r="F933" s="1" t="str">
        <x:v>Física</x:v>
      </x:c>
      <x:c r="G933" s="10" t="n">
        <x:v>80</x:v>
      </x:c>
      <x:c r="H933" s="10" t="n">
        <x:f>IF(F933="Física",'Pokémon'!G103,IF(F933="Especial",'Pokémon'!I103,""))</x:f>
        <x:v>130</x:v>
      </x:c>
      <x:c r="I933" s="10" t="n">
        <x:f>IF(OR(F933="Status",G933=0),"",G933+H933)</x:f>
        <x:v>210</x:v>
      </x:c>
      <x:c r="J933" s="10" t="n">
        <x:v>44</x:v>
      </x:c>
      <x:c r="K933" s="12" t="n">
        <x:v>22</x:v>
      </x:c>
      <x:c r="L933" s="1" t="str"/>
      <x:c r="M933" s="9" t="str">
        <x:v>https://poke.idleworld.online/pokepedia/pokemon/kingler</x:v>
      </x:c>
    </x:row>
    <x:row r="934" ht="22" customHeight="1">
      <x:c r="A934" s="1" t="n">
        <x:v>99</x:v>
      </x:c>
      <x:c r="B934" s="1" t="str">
        <x:v>Kingler</x:v>
      </x:c>
      <x:c r="C934" s="1" t="n">
        <x:v>8</x:v>
      </x:c>
      <x:c r="D934" s="1" t="str">
        <x:v>Stomp</x:v>
      </x:c>
      <x:c r="E934" s="1" t="str">
        <x:v>Normal</x:v>
      </x:c>
      <x:c r="F934" s="1" t="str">
        <x:v>Física</x:v>
      </x:c>
      <x:c r="G934" s="10" t="n">
        <x:v>65</x:v>
      </x:c>
      <x:c r="H934" s="10" t="n">
        <x:f>IF(F934="Física",'Pokémon'!G103,IF(F934="Especial",'Pokémon'!I103,""))</x:f>
        <x:v>130</x:v>
      </x:c>
      <x:c r="I934" s="10" t="n">
        <x:f>IF(OR(F934="Status",G934=0),"",G934+H934)</x:f>
        <x:v>195</x:v>
      </x:c>
      <x:c r="J934" s="10" t="n">
        <x:v>25</x:v>
      </x:c>
      <x:c r="K934" s="12" t="n">
        <x:v>20</x:v>
      </x:c>
      <x:c r="L934" s="1" t="str"/>
      <x:c r="M934" s="9" t="str">
        <x:v>https://poke.idleworld.online/pokepedia/pokemon/kingler</x:v>
      </x:c>
    </x:row>
    <x:row r="935" ht="22" customHeight="1">
      <x:c r="A935" s="1" t="n">
        <x:v>99</x:v>
      </x:c>
      <x:c r="B935" s="1" t="str">
        <x:v>Kingler</x:v>
      </x:c>
      <x:c r="C935" s="1" t="n">
        <x:v>9</x:v>
      </x:c>
      <x:c r="D935" s="1" t="str">
        <x:v>Guillotine</x:v>
      </x:c>
      <x:c r="E935" s="1" t="str">
        <x:v>Normal</x:v>
      </x:c>
      <x:c r="F935" s="1" t="str">
        <x:v>Física</x:v>
      </x:c>
      <x:c r="G935" s="10" t="n">
        <x:v>56</x:v>
      </x:c>
      <x:c r="H935" s="10" t="n">
        <x:f>IF(F935="Física",'Pokémon'!G103,IF(F935="Especial",'Pokémon'!I103,""))</x:f>
        <x:v>130</x:v>
      </x:c>
      <x:c r="I935" s="10" t="n">
        <x:f>IF(OR(F935="Status",G935=0),"",G935+H935)</x:f>
        <x:v>186</x:v>
      </x:c>
      <x:c r="J935" s="10" t="n">
        <x:v>37</x:v>
      </x:c>
      <x:c r="K935" s="12" t="n">
        <x:v>30</x:v>
      </x:c>
      <x:c r="L935" s="1" t="str"/>
      <x:c r="M935" s="9" t="str">
        <x:v>https://poke.idleworld.online/pokepedia/pokemon/kingler</x:v>
      </x:c>
    </x:row>
    <x:row r="936" ht="22" customHeight="1">
      <x:c r="A936" s="1" t="n">
        <x:v>99</x:v>
      </x:c>
      <x:c r="B936" s="1" t="str">
        <x:v>Kingler</x:v>
      </x:c>
      <x:c r="C936" s="1" t="n">
        <x:v>3</x:v>
      </x:c>
      <x:c r="D936" s="1" t="str">
        <x:v>Vise Grip</x:v>
      </x:c>
      <x:c r="E936" s="1" t="str">
        <x:v>Normal</x:v>
      </x:c>
      <x:c r="F936" s="1" t="str">
        <x:v>Física</x:v>
      </x:c>
      <x:c r="G936" s="10" t="n">
        <x:v>55</x:v>
      </x:c>
      <x:c r="H936" s="10" t="n">
        <x:f>IF(F936="Física",'Pokémon'!G103,IF(F936="Especial",'Pokémon'!I103,""))</x:f>
        <x:v>130</x:v>
      </x:c>
      <x:c r="I936" s="10" t="n">
        <x:f>IF(OR(F936="Status",G936=0),"",G936+H936)</x:f>
        <x:v>185</x:v>
      </x:c>
      <x:c r="J936" s="10" t="n">
        <x:v>1</x:v>
      </x:c>
      <x:c r="K936" s="12" t="n">
        <x:v>20</x:v>
      </x:c>
      <x:c r="L936" s="1" t="str"/>
      <x:c r="M936" s="9" t="str">
        <x:v>https://poke.idleworld.online/pokepedia/pokemon/kingler</x:v>
      </x:c>
    </x:row>
    <x:row r="937" ht="22" customHeight="1">
      <x:c r="A937" s="1" t="n">
        <x:v>99</x:v>
      </x:c>
      <x:c r="B937" s="1" t="str">
        <x:v>Kingler</x:v>
      </x:c>
      <x:c r="C937" s="1" t="n">
        <x:v>7</x:v>
      </x:c>
      <x:c r="D937" s="1" t="str">
        <x:v>Metal Claw</x:v>
      </x:c>
      <x:c r="E937" s="1" t="str">
        <x:v>Aço</x:v>
      </x:c>
      <x:c r="F937" s="1" t="str">
        <x:v>Física</x:v>
      </x:c>
      <x:c r="G937" s="10" t="n">
        <x:v>50</x:v>
      </x:c>
      <x:c r="H937" s="10" t="n">
        <x:f>IF(F937="Física",'Pokémon'!G103,IF(F937="Especial",'Pokémon'!I103,""))</x:f>
        <x:v>130</x:v>
      </x:c>
      <x:c r="I937" s="10" t="n">
        <x:f>IF(OR(F937="Status",G937=0),"",G937+H937)</x:f>
        <x:v>180</x:v>
      </x:c>
      <x:c r="J937" s="10" t="n">
        <x:v>21</x:v>
      </x:c>
      <x:c r="K937" s="12" t="n">
        <x:v>30</x:v>
      </x:c>
      <x:c r="L937" s="1" t="str"/>
      <x:c r="M937" s="9" t="str">
        <x:v>https://poke.idleworld.online/pokepedia/pokemon/kingler</x:v>
      </x:c>
    </x:row>
    <x:row r="938" ht="22" customHeight="1">
      <x:c r="A938" s="1" t="n">
        <x:v>99</x:v>
      </x:c>
      <x:c r="B938" s="1" t="str">
        <x:v>Kingler</x:v>
      </x:c>
      <x:c r="C938" s="1" t="n">
        <x:v>5</x:v>
      </x:c>
      <x:c r="D938" s="1" t="str">
        <x:v>Bubble Beam</x:v>
      </x:c>
      <x:c r="E938" s="1" t="str">
        <x:v>Água</x:v>
      </x:c>
      <x:c r="F938" s="1" t="str">
        <x:v>Especial</x:v>
      </x:c>
      <x:c r="G938" s="10" t="n">
        <x:v>65</x:v>
      </x:c>
      <x:c r="H938" s="10" t="n">
        <x:f>IF(F938="Física",'Pokémon'!G103,IF(F938="Especial",'Pokémon'!I103,""))</x:f>
        <x:v>50</x:v>
      </x:c>
      <x:c r="I938" s="10" t="n">
        <x:f>IF(OR(F938="Status",G938=0),"",G938+H938)</x:f>
        <x:v>115</x:v>
      </x:c>
      <x:c r="J938" s="10" t="n">
        <x:v>15</x:v>
      </x:c>
      <x:c r="K938" s="12" t="n">
        <x:v>30</x:v>
      </x:c>
      <x:c r="L938" s="1" t="str"/>
      <x:c r="M938" s="9" t="str">
        <x:v>https://poke.idleworld.online/pokepedia/pokemon/kingler</x:v>
      </x:c>
    </x:row>
    <x:row r="939" ht="22" customHeight="1">
      <x:c r="A939" s="1" t="n">
        <x:v>99</x:v>
      </x:c>
      <x:c r="B939" s="1" t="str">
        <x:v>Kingler</x:v>
      </x:c>
      <x:c r="C939" s="1" t="n">
        <x:v>11</x:v>
      </x:c>
      <x:c r="D939" s="1" t="str">
        <x:v>Brine</x:v>
      </x:c>
      <x:c r="E939" s="1" t="str">
        <x:v>Água</x:v>
      </x:c>
      <x:c r="F939" s="1" t="str">
        <x:v>Especial</x:v>
      </x:c>
      <x:c r="G939" s="10" t="n">
        <x:v>65</x:v>
      </x:c>
      <x:c r="H939" s="10" t="n">
        <x:f>IF(F939="Física",'Pokémon'!G103,IF(F939="Especial",'Pokémon'!I103,""))</x:f>
        <x:v>50</x:v>
      </x:c>
      <x:c r="I939" s="10" t="n">
        <x:f>IF(OR(F939="Status",G939=0),"",G939+H939)</x:f>
        <x:v>115</x:v>
      </x:c>
      <x:c r="J939" s="10" t="n">
        <x:v>51</x:v>
      </x:c>
      <x:c r="K939" s="12" t="n">
        <x:v>35</x:v>
      </x:c>
      <x:c r="L939" s="1" t="str"/>
      <x:c r="M939" s="9" t="str">
        <x:v>https://poke.idleworld.online/pokepedia/pokemon/kingler</x:v>
      </x:c>
    </x:row>
    <x:row r="940" ht="22" customHeight="1">
      <x:c r="A940" s="1" t="n">
        <x:v>99</x:v>
      </x:c>
      <x:c r="B940" s="1" t="str">
        <x:v>Kingler</x:v>
      </x:c>
      <x:c r="C940" s="1" t="n">
        <x:v>6</x:v>
      </x:c>
      <x:c r="D940" s="1" t="str">
        <x:v>Mud Shot</x:v>
      </x:c>
      <x:c r="E940" s="1" t="str">
        <x:v>Terrestre</x:v>
      </x:c>
      <x:c r="F940" s="1" t="str">
        <x:v>Especial</x:v>
      </x:c>
      <x:c r="G940" s="10" t="n">
        <x:v>55</x:v>
      </x:c>
      <x:c r="H940" s="10" t="n">
        <x:f>IF(F940="Física",'Pokémon'!G103,IF(F940="Especial",'Pokémon'!I103,""))</x:f>
        <x:v>50</x:v>
      </x:c>
      <x:c r="I940" s="10" t="n">
        <x:f>IF(OR(F940="Status",G940=0),"",G940+H940)</x:f>
        <x:v>105</x:v>
      </x:c>
      <x:c r="J940" s="10" t="n">
        <x:v>19</x:v>
      </x:c>
      <x:c r="K940" s="12" t="n">
        <x:v>15</x:v>
      </x:c>
      <x:c r="L940" s="1" t="str"/>
      <x:c r="M940" s="9" t="str">
        <x:v>https://poke.idleworld.online/pokepedia/pokemon/kingler</x:v>
      </x:c>
    </x:row>
    <x:row r="941" ht="22" customHeight="1">
      <x:c r="A941" s="1" t="n">
        <x:v>99</x:v>
      </x:c>
      <x:c r="B941" s="1" t="str">
        <x:v>Kingler</x:v>
      </x:c>
      <x:c r="C941" s="1" t="n">
        <x:v>2</x:v>
      </x:c>
      <x:c r="D941" s="1" t="str">
        <x:v>Bubble</x:v>
      </x:c>
      <x:c r="E941" s="1" t="str">
        <x:v>Água</x:v>
      </x:c>
      <x:c r="F941" s="1" t="str">
        <x:v>Especial</x:v>
      </x:c>
      <x:c r="G941" s="10" t="n">
        <x:v>40</x:v>
      </x:c>
      <x:c r="H941" s="10" t="n">
        <x:f>IF(F941="Física",'Pokémon'!G103,IF(F941="Especial",'Pokémon'!I103,""))</x:f>
        <x:v>50</x:v>
      </x:c>
      <x:c r="I941" s="10" t="n">
        <x:f>IF(OR(F941="Status",G941=0),"",G941+H941)</x:f>
        <x:v>90</x:v>
      </x:c>
      <x:c r="J941" s="10" t="n">
        <x:v>1</x:v>
      </x:c>
      <x:c r="K941" s="12" t="n">
        <x:v>15</x:v>
      </x:c>
      <x:c r="L941" s="1" t="str"/>
      <x:c r="M941" s="9" t="str">
        <x:v>https://poke.idleworld.online/pokepedia/pokemon/kingler</x:v>
      </x:c>
    </x:row>
    <x:row r="942" ht="22" customHeight="1">
      <x:c r="A942" s="1" t="n">
        <x:v>99</x:v>
      </x:c>
      <x:c r="B942" s="1" t="str">
        <x:v>Kingler</x:v>
      </x:c>
      <x:c r="C942" s="1" t="n">
        <x:v>4</x:v>
      </x:c>
      <x:c r="D942" s="1" t="str">
        <x:v>Harden</x:v>
      </x:c>
      <x:c r="E942" s="1" t="str">
        <x:v>Normal</x:v>
      </x:c>
      <x:c r="F942" s="1" t="str">
        <x:v>Status</x:v>
      </x:c>
      <x:c r="G942" s="10" t="n">
        <x:v>0</x:v>
      </x:c>
      <x:c r="H942" s="10" t="str">
        <x:f>IF(F942="Física",'Pokémon'!G103,IF(F942="Especial",'Pokémon'!I103,""))</x:f>
      </x:c>
      <x:c r="I942" s="10" t="str">
        <x:f>IF(OR(F942="Status",G942=0),"",G942+H942)</x:f>
      </x:c>
      <x:c r="J942" s="10" t="n">
        <x:v>11</x:v>
      </x:c>
      <x:c r="K942" s="12" t="n">
        <x:v>30</x:v>
      </x:c>
      <x:c r="L942" s="1" t="str"/>
      <x:c r="M942" s="9" t="str">
        <x:v>https://poke.idleworld.online/pokepedia/pokemon/kingler</x:v>
      </x:c>
    </x:row>
    <x:row r="943" ht="22" customHeight="1">
      <x:c r="A943" s="1" t="n">
        <x:v>100</x:v>
      </x:c>
      <x:c r="B943" s="1" t="str">
        <x:v>Voltorb</x:v>
      </x:c>
      <x:c r="C943" s="1" t="n">
        <x:v>6</x:v>
      </x:c>
      <x:c r="D943" s="1" t="str">
        <x:v>Discharge</x:v>
      </x:c>
      <x:c r="E943" s="1" t="str">
        <x:v>Elétrico</x:v>
      </x:c>
      <x:c r="F943" s="1" t="str">
        <x:v>Especial</x:v>
      </x:c>
      <x:c r="G943" s="10" t="n">
        <x:v>80</x:v>
      </x:c>
      <x:c r="H943" s="10" t="n">
        <x:f>IF(F943="Física",'Pokémon'!G104,IF(F943="Especial",'Pokémon'!I104,""))</x:f>
        <x:v>55</x:v>
      </x:c>
      <x:c r="I943" s="10" t="n">
        <x:f>IF(OR(F943="Status",G943=0),"",G943+H943)</x:f>
        <x:v>135</x:v>
      </x:c>
      <x:c r="J943" s="10" t="n">
        <x:v>37</x:v>
      </x:c>
      <x:c r="K943" s="12" t="n">
        <x:v>22</x:v>
      </x:c>
      <x:c r="L943" s="1" t="str"/>
      <x:c r="M943" s="9" t="str">
        <x:v>https://poke.idleworld.online/pokepedia/pokemon/voltorb</x:v>
      </x:c>
    </x:row>
    <x:row r="944" ht="22" customHeight="1">
      <x:c r="A944" s="1" t="n">
        <x:v>100</x:v>
      </x:c>
      <x:c r="B944" s="1" t="str">
        <x:v>Voltorb</x:v>
      </x:c>
      <x:c r="C944" s="1" t="n">
        <x:v>5</x:v>
      </x:c>
      <x:c r="D944" s="1" t="str">
        <x:v>Swift</x:v>
      </x:c>
      <x:c r="E944" s="1" t="str">
        <x:v>Normal</x:v>
      </x:c>
      <x:c r="F944" s="1" t="str">
        <x:v>Especial</x:v>
      </x:c>
      <x:c r="G944" s="10" t="n">
        <x:v>60</x:v>
      </x:c>
      <x:c r="H944" s="10" t="n">
        <x:f>IF(F944="Física",'Pokémon'!G104,IF(F944="Especial",'Pokémon'!I104,""))</x:f>
        <x:v>55</x:v>
      </x:c>
      <x:c r="I944" s="10" t="n">
        <x:f>IF(OR(F944="Status",G944=0),"",G944+H944)</x:f>
        <x:v>115</x:v>
      </x:c>
      <x:c r="J944" s="10" t="n">
        <x:v>20</x:v>
      </x:c>
      <x:c r="K944" s="12" t="n">
        <x:v>20</x:v>
      </x:c>
      <x:c r="L944" s="1" t="str"/>
      <x:c r="M944" s="9" t="str">
        <x:v>https://poke.idleworld.online/pokepedia/pokemon/voltorb</x:v>
      </x:c>
    </x:row>
    <x:row r="945" ht="22" customHeight="1">
      <x:c r="A945" s="1" t="n">
        <x:v>100</x:v>
      </x:c>
      <x:c r="B945" s="1" t="str">
        <x:v>Voltorb</x:v>
      </x:c>
      <x:c r="C945" s="1" t="n">
        <x:v>4</x:v>
      </x:c>
      <x:c r="D945" s="1" t="str">
        <x:v>Charge Beam</x:v>
      </x:c>
      <x:c r="E945" s="1" t="str">
        <x:v>Elétrico</x:v>
      </x:c>
      <x:c r="F945" s="1" t="str">
        <x:v>Especial</x:v>
      </x:c>
      <x:c r="G945" s="10" t="n">
        <x:v>50</x:v>
      </x:c>
      <x:c r="H945" s="10" t="n">
        <x:f>IF(F945="Física",'Pokémon'!G104,IF(F945="Especial",'Pokémon'!I104,""))</x:f>
        <x:v>55</x:v>
      </x:c>
      <x:c r="I945" s="10" t="n">
        <x:f>IF(OR(F945="Status",G945=0),"",G945+H945)</x:f>
        <x:v>105</x:v>
      </x:c>
      <x:c r="J945" s="10" t="n">
        <x:v>16</x:v>
      </x:c>
      <x:c r="K945" s="12" t="n">
        <x:v>15</x:v>
      </x:c>
      <x:c r="L945" s="1" t="str"/>
      <x:c r="M945" s="9" t="str">
        <x:v>https://poke.idleworld.online/pokepedia/pokemon/voltorb</x:v>
      </x:c>
    </x:row>
    <x:row r="946" ht="22" customHeight="1">
      <x:c r="A946" s="1" t="n">
        <x:v>100</x:v>
      </x:c>
      <x:c r="B946" s="1" t="str">
        <x:v>Voltorb</x:v>
      </x:c>
      <x:c r="C946" s="1" t="n">
        <x:v>2</x:v>
      </x:c>
      <x:c r="D946" s="1" t="str">
        <x:v>Spark</x:v>
      </x:c>
      <x:c r="E946" s="1" t="str">
        <x:v>Elétrico</x:v>
      </x:c>
      <x:c r="F946" s="1" t="str">
        <x:v>Física</x:v>
      </x:c>
      <x:c r="G946" s="10" t="n">
        <x:v>65</x:v>
      </x:c>
      <x:c r="H946" s="10" t="n">
        <x:f>IF(F946="Física",'Pokémon'!G104,IF(F946="Especial",'Pokémon'!I104,""))</x:f>
        <x:v>30</x:v>
      </x:c>
      <x:c r="I946" s="10" t="n">
        <x:f>IF(OR(F946="Status",G946=0),"",G946+H946)</x:f>
        <x:v>95</x:v>
      </x:c>
      <x:c r="J946" s="10" t="n">
        <x:v>9</x:v>
      </x:c>
      <x:c r="K946" s="12" t="n">
        <x:v>20</x:v>
      </x:c>
      <x:c r="L946" s="1" t="str"/>
      <x:c r="M946" s="9" t="str">
        <x:v>https://poke.idleworld.online/pokepedia/pokemon/voltorb</x:v>
      </x:c>
    </x:row>
    <x:row r="947" ht="22" customHeight="1">
      <x:c r="A947" s="1" t="n">
        <x:v>100</x:v>
      </x:c>
      <x:c r="B947" s="1" t="str">
        <x:v>Voltorb</x:v>
      </x:c>
      <x:c r="C947" s="1" t="n">
        <x:v>1</x:v>
      </x:c>
      <x:c r="D947" s="1" t="str">
        <x:v>Tackle</x:v>
      </x:c>
      <x:c r="E947" s="1" t="str">
        <x:v>Normal</x:v>
      </x:c>
      <x:c r="F947" s="1" t="str">
        <x:v>Física</x:v>
      </x:c>
      <x:c r="G947" s="10" t="n">
        <x:v>50</x:v>
      </x:c>
      <x:c r="H947" s="10" t="n">
        <x:f>IF(F947="Física",'Pokémon'!G104,IF(F947="Especial",'Pokémon'!I104,""))</x:f>
        <x:v>30</x:v>
      </x:c>
      <x:c r="I947" s="10" t="n">
        <x:f>IF(OR(F947="Status",G947=0),"",G947+H947)</x:f>
        <x:v>80</x:v>
      </x:c>
      <x:c r="J947" s="10" t="n">
        <x:v>1</x:v>
      </x:c>
      <x:c r="K947" s="12" t="n">
        <x:v>15</x:v>
      </x:c>
      <x:c r="L947" s="1" t="str"/>
      <x:c r="M947" s="9" t="str">
        <x:v>https://poke.idleworld.online/pokepedia/pokemon/voltorb</x:v>
      </x:c>
    </x:row>
    <x:row r="948" ht="22" customHeight="1">
      <x:c r="A948" s="1" t="n">
        <x:v>100</x:v>
      </x:c>
      <x:c r="B948" s="1" t="str">
        <x:v>Voltorb</x:v>
      </x:c>
      <x:c r="C948" s="1" t="n">
        <x:v>3</x:v>
      </x:c>
      <x:c r="D948" s="1" t="str">
        <x:v>Rollout</x:v>
      </x:c>
      <x:c r="E948" s="1" t="str">
        <x:v>Pedra</x:v>
      </x:c>
      <x:c r="F948" s="1" t="str">
        <x:v>Física</x:v>
      </x:c>
      <x:c r="G948" s="10" t="n">
        <x:v>30</x:v>
      </x:c>
      <x:c r="H948" s="10" t="n">
        <x:f>IF(F948="Física",'Pokémon'!G104,IF(F948="Especial",'Pokémon'!I104,""))</x:f>
        <x:v>30</x:v>
      </x:c>
      <x:c r="I948" s="10" t="n">
        <x:f>IF(OR(F948="Status",G948=0),"",G948+H948)</x:f>
        <x:v>60</x:v>
      </x:c>
      <x:c r="J948" s="10" t="n">
        <x:v>11</x:v>
      </x:c>
      <x:c r="K948" s="12" t="n">
        <x:v>25</x:v>
      </x:c>
      <x:c r="L948" s="1" t="str"/>
      <x:c r="M948" s="9" t="str">
        <x:v>https://poke.idleworld.online/pokepedia/pokemon/voltorb</x:v>
      </x:c>
    </x:row>
    <x:row r="949" ht="22" customHeight="1">
      <x:c r="A949" s="1" t="n">
        <x:v>101</x:v>
      </x:c>
      <x:c r="B949" s="1" t="str">
        <x:v>Electrode</x:v>
      </x:c>
      <x:c r="C949" s="1" t="n">
        <x:v>2</x:v>
      </x:c>
      <x:c r="D949" s="1" t="str">
        <x:v>Static Overload</x:v>
      </x:c>
      <x:c r="E949" s="1" t="str">
        <x:v>Elétrico</x:v>
      </x:c>
      <x:c r="F949" s="1" t="str">
        <x:v>Especial</x:v>
      </x:c>
      <x:c r="G949" s="10" t="n">
        <x:v>300</x:v>
      </x:c>
      <x:c r="H949" s="10" t="n">
        <x:f>IF(F949="Física",'Pokémon'!G105,IF(F949="Especial",'Pokémon'!I105,""))</x:f>
        <x:v>80</x:v>
      </x:c>
      <x:c r="I949" s="10" t="n">
        <x:f>IF(OR(F949="Status",G949=0),"",G949+H949)</x:f>
        <x:v>380</x:v>
      </x:c>
      <x:c r="J949" s="10" t="n">
        <x:v>1</x:v>
      </x:c>
      <x:c r="K949" s="12" t="n">
        <x:v>10</x:v>
      </x:c>
      <x:c r="L949" s="1" t="str">
        <x:v>Sim</x:v>
      </x:c>
      <x:c r="M949" s="9" t="str">
        <x:v>https://poke.idleworld.online/pokepedia/pokemon/electrode</x:v>
      </x:c>
    </x:row>
    <x:row r="950" ht="22" customHeight="1">
      <x:c r="A950" s="1" t="n">
        <x:v>101</x:v>
      </x:c>
      <x:c r="B950" s="1" t="str">
        <x:v>Electrode</x:v>
      </x:c>
      <x:c r="C950" s="1" t="n">
        <x:v>7</x:v>
      </x:c>
      <x:c r="D950" s="1" t="str">
        <x:v>Discharge</x:v>
      </x:c>
      <x:c r="E950" s="1" t="str">
        <x:v>Elétrico</x:v>
      </x:c>
      <x:c r="F950" s="1" t="str">
        <x:v>Especial</x:v>
      </x:c>
      <x:c r="G950" s="10" t="n">
        <x:v>80</x:v>
      </x:c>
      <x:c r="H950" s="10" t="n">
        <x:f>IF(F950="Física",'Pokémon'!G105,IF(F950="Especial",'Pokémon'!I105,""))</x:f>
        <x:v>80</x:v>
      </x:c>
      <x:c r="I950" s="10" t="n">
        <x:f>IF(OR(F950="Status",G950=0),"",G950+H950)</x:f>
        <x:v>160</x:v>
      </x:c>
      <x:c r="J950" s="10" t="n">
        <x:v>41</x:v>
      </x:c>
      <x:c r="K950" s="12" t="n">
        <x:v>22</x:v>
      </x:c>
      <x:c r="L950" s="1" t="str"/>
      <x:c r="M950" s="9" t="str">
        <x:v>https://poke.idleworld.online/pokepedia/pokemon/electrode</x:v>
      </x:c>
    </x:row>
    <x:row r="951" ht="22" customHeight="1">
      <x:c r="A951" s="1" t="n">
        <x:v>101</x:v>
      </x:c>
      <x:c r="B951" s="1" t="str">
        <x:v>Electrode</x:v>
      </x:c>
      <x:c r="C951" s="1" t="n">
        <x:v>6</x:v>
      </x:c>
      <x:c r="D951" s="1" t="str">
        <x:v>Swift</x:v>
      </x:c>
      <x:c r="E951" s="1" t="str">
        <x:v>Normal</x:v>
      </x:c>
      <x:c r="F951" s="1" t="str">
        <x:v>Especial</x:v>
      </x:c>
      <x:c r="G951" s="10" t="n">
        <x:v>60</x:v>
      </x:c>
      <x:c r="H951" s="10" t="n">
        <x:f>IF(F951="Física",'Pokémon'!G105,IF(F951="Especial",'Pokémon'!I105,""))</x:f>
        <x:v>80</x:v>
      </x:c>
      <x:c r="I951" s="10" t="n">
        <x:f>IF(OR(F951="Status",G951=0),"",G951+H951)</x:f>
        <x:v>140</x:v>
      </x:c>
      <x:c r="J951" s="10" t="n">
        <x:v>20</x:v>
      </x:c>
      <x:c r="K951" s="12" t="n">
        <x:v>20</x:v>
      </x:c>
      <x:c r="L951" s="1" t="str"/>
      <x:c r="M951" s="9" t="str">
        <x:v>https://poke.idleworld.online/pokepedia/pokemon/electrode</x:v>
      </x:c>
    </x:row>
    <x:row r="952" ht="22" customHeight="1">
      <x:c r="A952" s="1" t="n">
        <x:v>101</x:v>
      </x:c>
      <x:c r="B952" s="1" t="str">
        <x:v>Electrode</x:v>
      </x:c>
      <x:c r="C952" s="1" t="n">
        <x:v>5</x:v>
      </x:c>
      <x:c r="D952" s="1" t="str">
        <x:v>Charge Beam</x:v>
      </x:c>
      <x:c r="E952" s="1" t="str">
        <x:v>Elétrico</x:v>
      </x:c>
      <x:c r="F952" s="1" t="str">
        <x:v>Especial</x:v>
      </x:c>
      <x:c r="G952" s="10" t="n">
        <x:v>50</x:v>
      </x:c>
      <x:c r="H952" s="10" t="n">
        <x:f>IF(F952="Física",'Pokémon'!G105,IF(F952="Especial",'Pokémon'!I105,""))</x:f>
        <x:v>80</x:v>
      </x:c>
      <x:c r="I952" s="10" t="n">
        <x:f>IF(OR(F952="Status",G952=0),"",G952+H952)</x:f>
        <x:v>130</x:v>
      </x:c>
      <x:c r="J952" s="10" t="n">
        <x:v>16</x:v>
      </x:c>
      <x:c r="K952" s="12" t="n">
        <x:v>30</x:v>
      </x:c>
      <x:c r="L952" s="1" t="str"/>
      <x:c r="M952" s="9" t="str">
        <x:v>https://poke.idleworld.online/pokepedia/pokemon/electrode</x:v>
      </x:c>
    </x:row>
    <x:row r="953" ht="22" customHeight="1">
      <x:c r="A953" s="1" t="n">
        <x:v>101</x:v>
      </x:c>
      <x:c r="B953" s="1" t="str">
        <x:v>Electrode</x:v>
      </x:c>
      <x:c r="C953" s="1" t="n">
        <x:v>1</x:v>
      </x:c>
      <x:c r="D953" s="1" t="str">
        <x:v>Spark</x:v>
      </x:c>
      <x:c r="E953" s="1" t="str">
        <x:v>Elétrico</x:v>
      </x:c>
      <x:c r="F953" s="1" t="str">
        <x:v>Física</x:v>
      </x:c>
      <x:c r="G953" s="10" t="n">
        <x:v>65</x:v>
      </x:c>
      <x:c r="H953" s="10" t="n">
        <x:f>IF(F953="Física",'Pokémon'!G105,IF(F953="Especial",'Pokémon'!I105,""))</x:f>
        <x:v>50</x:v>
      </x:c>
      <x:c r="I953" s="10" t="n">
        <x:f>IF(OR(F953="Status",G953=0),"",G953+H953)</x:f>
        <x:v>115</x:v>
      </x:c>
      <x:c r="J953" s="10" t="n">
        <x:v>1</x:v>
      </x:c>
      <x:c r="K953" s="12" t="n">
        <x:v>20</x:v>
      </x:c>
      <x:c r="L953" s="1" t="str"/>
      <x:c r="M953" s="9" t="str">
        <x:v>https://poke.idleworld.online/pokepedia/pokemon/electrode</x:v>
      </x:c>
    </x:row>
    <x:row r="954" ht="22" customHeight="1">
      <x:c r="A954" s="1" t="n">
        <x:v>101</x:v>
      </x:c>
      <x:c r="B954" s="1" t="str">
        <x:v>Electrode</x:v>
      </x:c>
      <x:c r="C954" s="1" t="n">
        <x:v>3</x:v>
      </x:c>
      <x:c r="D954" s="1" t="str">
        <x:v>Tackle</x:v>
      </x:c>
      <x:c r="E954" s="1" t="str">
        <x:v>Normal</x:v>
      </x:c>
      <x:c r="F954" s="1" t="str">
        <x:v>Física</x:v>
      </x:c>
      <x:c r="G954" s="10" t="n">
        <x:v>50</x:v>
      </x:c>
      <x:c r="H954" s="10" t="n">
        <x:f>IF(F954="Física",'Pokémon'!G105,IF(F954="Especial",'Pokémon'!I105,""))</x:f>
        <x:v>50</x:v>
      </x:c>
      <x:c r="I954" s="10" t="n">
        <x:f>IF(OR(F954="Status",G954=0),"",G954+H954)</x:f>
        <x:v>100</x:v>
      </x:c>
      <x:c r="J954" s="10" t="n">
        <x:v>1</x:v>
      </x:c>
      <x:c r="K954" s="12" t="n">
        <x:v>15</x:v>
      </x:c>
      <x:c r="L954" s="1" t="str"/>
      <x:c r="M954" s="9" t="str">
        <x:v>https://poke.idleworld.online/pokepedia/pokemon/electrode</x:v>
      </x:c>
    </x:row>
    <x:row r="955" ht="22" customHeight="1">
      <x:c r="A955" s="1" t="n">
        <x:v>101</x:v>
      </x:c>
      <x:c r="B955" s="1" t="str">
        <x:v>Electrode</x:v>
      </x:c>
      <x:c r="C955" s="1" t="n">
        <x:v>4</x:v>
      </x:c>
      <x:c r="D955" s="1" t="str">
        <x:v>Rollout</x:v>
      </x:c>
      <x:c r="E955" s="1" t="str">
        <x:v>Pedra</x:v>
      </x:c>
      <x:c r="F955" s="1" t="str">
        <x:v>Física</x:v>
      </x:c>
      <x:c r="G955" s="10" t="n">
        <x:v>30</x:v>
      </x:c>
      <x:c r="H955" s="10" t="n">
        <x:f>IF(F955="Física",'Pokémon'!G105,IF(F955="Especial",'Pokémon'!I105,""))</x:f>
        <x:v>50</x:v>
      </x:c>
      <x:c r="I955" s="10" t="n">
        <x:f>IF(OR(F955="Status",G955=0),"",G955+H955)</x:f>
        <x:v>80</x:v>
      </x:c>
      <x:c r="J955" s="10" t="n">
        <x:v>11</x:v>
      </x:c>
      <x:c r="K955" s="12" t="n">
        <x:v>25</x:v>
      </x:c>
      <x:c r="L955" s="1" t="str"/>
      <x:c r="M955" s="9" t="str">
        <x:v>https://poke.idleworld.online/pokepedia/pokemon/electrode</x:v>
      </x:c>
    </x:row>
    <x:row r="956" ht="22" customHeight="1">
      <x:c r="A956" s="1" t="n">
        <x:v>102</x:v>
      </x:c>
      <x:c r="B956" s="1" t="str">
        <x:v>Exeggcute</x:v>
      </x:c>
      <x:c r="C956" s="1" t="n">
        <x:v>7</x:v>
      </x:c>
      <x:c r="D956" s="1" t="str">
        <x:v>Solar Beam</x:v>
      </x:c>
      <x:c r="E956" s="1" t="str">
        <x:v>Planta</x:v>
      </x:c>
      <x:c r="F956" s="1" t="str">
        <x:v>Especial</x:v>
      </x:c>
      <x:c r="G956" s="10" t="n">
        <x:v>120</x:v>
      </x:c>
      <x:c r="H956" s="10" t="n">
        <x:f>IF(F956="Física",'Pokémon'!G106,IF(F956="Especial",'Pokémon'!I106,""))</x:f>
        <x:v>60</x:v>
      </x:c>
      <x:c r="I956" s="10" t="n">
        <x:f>IF(OR(F956="Status",G956=0),"",G956+H956)</x:f>
        <x:v>180</x:v>
      </x:c>
      <x:c r="J956" s="10" t="n">
        <x:v>43</x:v>
      </x:c>
      <x:c r="K956" s="12" t="n">
        <x:v>50</x:v>
      </x:c>
      <x:c r="L956" s="1" t="str"/>
      <x:c r="M956" s="9" t="str">
        <x:v>https://poke.idleworld.online/pokepedia/pokemon/exeggcute</x:v>
      </x:c>
    </x:row>
    <x:row r="957" ht="22" customHeight="1">
      <x:c r="A957" s="1" t="n">
        <x:v>102</x:v>
      </x:c>
      <x:c r="B957" s="1" t="str">
        <x:v>Exeggcute</x:v>
      </x:c>
      <x:c r="C957" s="1" t="n">
        <x:v>3</x:v>
      </x:c>
      <x:c r="D957" s="1" t="str">
        <x:v>Uproar</x:v>
      </x:c>
      <x:c r="E957" s="1" t="str">
        <x:v>Normal</x:v>
      </x:c>
      <x:c r="F957" s="1" t="str">
        <x:v>Especial</x:v>
      </x:c>
      <x:c r="G957" s="10" t="n">
        <x:v>90</x:v>
      </x:c>
      <x:c r="H957" s="10" t="n">
        <x:f>IF(F957="Física",'Pokémon'!G106,IF(F957="Especial",'Pokémon'!I106,""))</x:f>
        <x:v>60</x:v>
      </x:c>
      <x:c r="I957" s="10" t="n">
        <x:f>IF(OR(F957="Status",G957=0),"",G957+H957)</x:f>
        <x:v>150</x:v>
      </x:c>
      <x:c r="J957" s="10" t="n">
        <x:v>1</x:v>
      </x:c>
      <x:c r="K957" s="12" t="n">
        <x:v>22</x:v>
      </x:c>
      <x:c r="L957" s="1" t="str"/>
      <x:c r="M957" s="9" t="str">
        <x:v>https://poke.idleworld.online/pokepedia/pokemon/exeggcute</x:v>
      </x:c>
    </x:row>
    <x:row r="958" ht="22" customHeight="1">
      <x:c r="A958" s="1" t="n">
        <x:v>102</x:v>
      </x:c>
      <x:c r="B958" s="1" t="str">
        <x:v>Exeggcute</x:v>
      </x:c>
      <x:c r="C958" s="1" t="n">
        <x:v>8</x:v>
      </x:c>
      <x:c r="D958" s="1" t="str">
        <x:v>Extrasensory</x:v>
      </x:c>
      <x:c r="E958" s="1" t="str">
        <x:v>Psíquico</x:v>
      </x:c>
      <x:c r="F958" s="1" t="str">
        <x:v>Especial</x:v>
      </x:c>
      <x:c r="G958" s="10" t="n">
        <x:v>80</x:v>
      </x:c>
      <x:c r="H958" s="10" t="n">
        <x:f>IF(F958="Física",'Pokémon'!G106,IF(F958="Especial",'Pokémon'!I106,""))</x:f>
        <x:v>60</x:v>
      </x:c>
      <x:c r="I958" s="10" t="n">
        <x:f>IF(OR(F958="Status",G958=0),"",G958+H958)</x:f>
        <x:v>140</x:v>
      </x:c>
      <x:c r="J958" s="10" t="n">
        <x:v>47</x:v>
      </x:c>
      <x:c r="K958" s="12" t="n">
        <x:v>22</x:v>
      </x:c>
      <x:c r="L958" s="1" t="str"/>
      <x:c r="M958" s="9" t="str">
        <x:v>https://poke.idleworld.online/pokepedia/pokemon/exeggcute</x:v>
      </x:c>
    </x:row>
    <x:row r="959" ht="22" customHeight="1">
      <x:c r="A959" s="1" t="n">
        <x:v>102</x:v>
      </x:c>
      <x:c r="B959" s="1" t="str">
        <x:v>Exeggcute</x:v>
      </x:c>
      <x:c r="C959" s="1" t="n">
        <x:v>6</x:v>
      </x:c>
      <x:c r="D959" s="1" t="str">
        <x:v>Confusion</x:v>
      </x:c>
      <x:c r="E959" s="1" t="str">
        <x:v>Psíquico</x:v>
      </x:c>
      <x:c r="F959" s="1" t="str">
        <x:v>Especial</x:v>
      </x:c>
      <x:c r="G959" s="10" t="n">
        <x:v>50</x:v>
      </x:c>
      <x:c r="H959" s="10" t="n">
        <x:f>IF(F959="Física",'Pokémon'!G106,IF(F959="Especial",'Pokémon'!I106,""))</x:f>
        <x:v>60</x:v>
      </x:c>
      <x:c r="I959" s="10" t="n">
        <x:f>IF(OR(F959="Status",G959=0),"",G959+H959)</x:f>
        <x:v>110</x:v>
      </x:c>
      <x:c r="J959" s="10" t="n">
        <x:v>27</x:v>
      </x:c>
      <x:c r="K959" s="12" t="n">
        <x:v>30</x:v>
      </x:c>
      <x:c r="L959" s="1" t="str"/>
      <x:c r="M959" s="9" t="str">
        <x:v>https://poke.idleworld.online/pokepedia/pokemon/exeggcute</x:v>
      </x:c>
    </x:row>
    <x:row r="960" ht="22" customHeight="1">
      <x:c r="A960" s="1" t="n">
        <x:v>102</x:v>
      </x:c>
      <x:c r="B960" s="1" t="str">
        <x:v>Exeggcute</x:v>
      </x:c>
      <x:c r="C960" s="1" t="n">
        <x:v>5</x:v>
      </x:c>
      <x:c r="D960" s="1" t="str">
        <x:v>Bullet Seed</x:v>
      </x:c>
      <x:c r="E960" s="1" t="str">
        <x:v>Planta</x:v>
      </x:c>
      <x:c r="F960" s="1" t="str">
        <x:v>Física</x:v>
      </x:c>
      <x:c r="G960" s="10" t="n">
        <x:v>25</x:v>
      </x:c>
      <x:c r="H960" s="10" t="n">
        <x:f>IF(F960="Física",'Pokémon'!G106,IF(F960="Especial",'Pokémon'!I106,""))</x:f>
        <x:v>40</x:v>
      </x:c>
      <x:c r="I960" s="10" t="n">
        <x:f>IF(OR(F960="Status",G960=0),"",G960+H960)</x:f>
        <x:v>65</x:v>
      </x:c>
      <x:c r="J960" s="10" t="n">
        <x:v>17</x:v>
      </x:c>
      <x:c r="K960" s="12" t="n">
        <x:v>15</x:v>
      </x:c>
      <x:c r="L960" s="1" t="str"/>
      <x:c r="M960" s="9" t="str">
        <x:v>https://poke.idleworld.online/pokepedia/pokemon/exeggcute</x:v>
      </x:c>
    </x:row>
    <x:row r="961" ht="22" customHeight="1">
      <x:c r="A961" s="1" t="n">
        <x:v>102</x:v>
      </x:c>
      <x:c r="B961" s="1" t="str">
        <x:v>Exeggcute</x:v>
      </x:c>
      <x:c r="C961" s="1" t="n">
        <x:v>2</x:v>
      </x:c>
      <x:c r="D961" s="1" t="str">
        <x:v>Barrage</x:v>
      </x:c>
      <x:c r="E961" s="1" t="str">
        <x:v>Normal</x:v>
      </x:c>
      <x:c r="F961" s="1" t="str">
        <x:v>Física</x:v>
      </x:c>
      <x:c r="G961" s="10" t="n">
        <x:v>15</x:v>
      </x:c>
      <x:c r="H961" s="10" t="n">
        <x:f>IF(F961="Física",'Pokémon'!G106,IF(F961="Especial",'Pokémon'!I106,""))</x:f>
        <x:v>40</x:v>
      </x:c>
      <x:c r="I961" s="10" t="n">
        <x:f>IF(OR(F961="Status",G961=0),"",G961+H961)</x:f>
        <x:v>55</x:v>
      </x:c>
      <x:c r="J961" s="10" t="n">
        <x:v>1</x:v>
      </x:c>
      <x:c r="K961" s="12" t="n">
        <x:v>15</x:v>
      </x:c>
      <x:c r="L961" s="1" t="str"/>
      <x:c r="M961" s="9" t="str">
        <x:v>https://poke.idleworld.online/pokepedia/pokemon/exeggcute</x:v>
      </x:c>
    </x:row>
    <x:row r="962" ht="22" customHeight="1">
      <x:c r="A962" s="1" t="n">
        <x:v>102</x:v>
      </x:c>
      <x:c r="B962" s="1" t="str">
        <x:v>Exeggcute</x:v>
      </x:c>
      <x:c r="C962" s="1" t="n">
        <x:v>1</x:v>
      </x:c>
      <x:c r="D962" s="1" t="str">
        <x:v>Hypnosis</x:v>
      </x:c>
      <x:c r="E962" s="1" t="str">
        <x:v>Psíquico</x:v>
      </x:c>
      <x:c r="F962" s="1" t="str">
        <x:v>Status</x:v>
      </x:c>
      <x:c r="G962" s="10" t="n">
        <x:v>0</x:v>
      </x:c>
      <x:c r="H962" s="10" t="str">
        <x:f>IF(F962="Física",'Pokémon'!G106,IF(F962="Especial",'Pokémon'!I106,""))</x:f>
      </x:c>
      <x:c r="I962" s="10" t="str">
        <x:f>IF(OR(F962="Status",G962=0),"",G962+H962)</x:f>
      </x:c>
      <x:c r="J962" s="10" t="n">
        <x:v>1</x:v>
      </x:c>
      <x:c r="K962" s="12" t="n">
        <x:v>30</x:v>
      </x:c>
      <x:c r="L962" s="1" t="str"/>
      <x:c r="M962" s="9" t="str">
        <x:v>https://poke.idleworld.online/pokepedia/pokemon/exeggcute</x:v>
      </x:c>
    </x:row>
    <x:row r="963" ht="22" customHeight="1">
      <x:c r="A963" s="1" t="n">
        <x:v>102</x:v>
      </x:c>
      <x:c r="B963" s="1" t="str">
        <x:v>Exeggcute</x:v>
      </x:c>
      <x:c r="C963" s="1" t="n">
        <x:v>4</x:v>
      </x:c>
      <x:c r="D963" s="1" t="str">
        <x:v>Leech Seed</x:v>
      </x:c>
      <x:c r="E963" s="1" t="str">
        <x:v>Planta</x:v>
      </x:c>
      <x:c r="F963" s="1" t="str">
        <x:v>Status</x:v>
      </x:c>
      <x:c r="G963" s="10" t="n">
        <x:v>0</x:v>
      </x:c>
      <x:c r="H963" s="10" t="str">
        <x:f>IF(F963="Física",'Pokémon'!G106,IF(F963="Especial",'Pokémon'!I106,""))</x:f>
      </x:c>
      <x:c r="I963" s="10" t="str">
        <x:f>IF(OR(F963="Status",G963=0),"",G963+H963)</x:f>
      </x:c>
      <x:c r="J963" s="10" t="n">
        <x:v>11</x:v>
      </x:c>
      <x:c r="K963" s="12" t="n">
        <x:v>20</x:v>
      </x:c>
      <x:c r="L963" s="1" t="str"/>
      <x:c r="M963" s="9" t="str">
        <x:v>https://poke.idleworld.online/pokepedia/pokemon/exeggcute</x:v>
      </x:c>
    </x:row>
    <x:row r="964" ht="22" customHeight="1">
      <x:c r="A964" s="1" t="n">
        <x:v>103</x:v>
      </x:c>
      <x:c r="B964" s="1" t="str">
        <x:v>Exeggutor</x:v>
      </x:c>
      <x:c r="C964" s="1" t="n">
        <x:v>4</x:v>
      </x:c>
      <x:c r="D964" s="1" t="str">
        <x:v>Petal Bloom</x:v>
      </x:c>
      <x:c r="E964" s="1" t="str">
        <x:v>Planta</x:v>
      </x:c>
      <x:c r="F964" s="1" t="str">
        <x:v>Especial</x:v>
      </x:c>
      <x:c r="G964" s="10" t="n">
        <x:v>300</x:v>
      </x:c>
      <x:c r="H964" s="10" t="n">
        <x:f>IF(F964="Física",'Pokémon'!G107,IF(F964="Especial",'Pokémon'!I107,""))</x:f>
        <x:v>125</x:v>
      </x:c>
      <x:c r="I964" s="10" t="n">
        <x:f>IF(OR(F964="Status",G964=0),"",G964+H964)</x:f>
        <x:v>425</x:v>
      </x:c>
      <x:c r="J964" s="10" t="n">
        <x:v>1</x:v>
      </x:c>
      <x:c r="K964" s="12" t="n">
        <x:v>10</x:v>
      </x:c>
      <x:c r="L964" s="1" t="str">
        <x:v>Sim</x:v>
      </x:c>
      <x:c r="M964" s="9" t="str">
        <x:v>https://poke.idleworld.online/pokepedia/pokemon/exeggutor</x:v>
      </x:c>
    </x:row>
    <x:row r="965" ht="22" customHeight="1">
      <x:c r="A965" s="1" t="n">
        <x:v>103</x:v>
      </x:c>
      <x:c r="B965" s="1" t="str">
        <x:v>Exeggutor</x:v>
      </x:c>
      <x:c r="C965" s="1" t="n">
        <x:v>10</x:v>
      </x:c>
      <x:c r="D965" s="1" t="str">
        <x:v>Leaf Storm</x:v>
      </x:c>
      <x:c r="E965" s="1" t="str">
        <x:v>Planta</x:v>
      </x:c>
      <x:c r="F965" s="1" t="str">
        <x:v>Especial</x:v>
      </x:c>
      <x:c r="G965" s="10" t="n">
        <x:v>130</x:v>
      </x:c>
      <x:c r="H965" s="10" t="n">
        <x:f>IF(F965="Física",'Pokémon'!G107,IF(F965="Especial",'Pokémon'!I107,""))</x:f>
        <x:v>125</x:v>
      </x:c>
      <x:c r="I965" s="10" t="n">
        <x:f>IF(OR(F965="Status",G965=0),"",G965+H965)</x:f>
        <x:v>255</x:v>
      </x:c>
      <x:c r="J965" s="10" t="n">
        <x:v>47</x:v>
      </x:c>
      <x:c r="K965" s="12" t="n">
        <x:v>80</x:v>
      </x:c>
      <x:c r="L965" s="1" t="str"/>
      <x:c r="M965" s="9" t="str">
        <x:v>https://poke.idleworld.online/pokepedia/pokemon/exeggutor</x:v>
      </x:c>
    </x:row>
    <x:row r="966" ht="22" customHeight="1">
      <x:c r="A966" s="1" t="n">
        <x:v>103</x:v>
      </x:c>
      <x:c r="B966" s="1" t="str">
        <x:v>Exeggutor</x:v>
      </x:c>
      <x:c r="C966" s="1" t="n">
        <x:v>9</x:v>
      </x:c>
      <x:c r="D966" s="1" t="str">
        <x:v>Wood Hammer</x:v>
      </x:c>
      <x:c r="E966" s="1" t="str">
        <x:v>Planta</x:v>
      </x:c>
      <x:c r="F966" s="1" t="str">
        <x:v>Física</x:v>
      </x:c>
      <x:c r="G966" s="10" t="n">
        <x:v>120</x:v>
      </x:c>
      <x:c r="H966" s="10" t="n">
        <x:f>IF(F966="Física",'Pokémon'!G107,IF(F966="Especial",'Pokémon'!I107,""))</x:f>
        <x:v>95</x:v>
      </x:c>
      <x:c r="I966" s="10" t="n">
        <x:f>IF(OR(F966="Status",G966=0),"",G966+H966)</x:f>
        <x:v>215</x:v>
      </x:c>
      <x:c r="J966" s="10" t="n">
        <x:v>37</x:v>
      </x:c>
      <x:c r="K966" s="12" t="n">
        <x:v>30</x:v>
      </x:c>
      <x:c r="L966" s="1" t="str"/>
      <x:c r="M966" s="9" t="str">
        <x:v>https://poke.idleworld.online/pokepedia/pokemon/exeggutor</x:v>
      </x:c>
    </x:row>
    <x:row r="967" ht="22" customHeight="1">
      <x:c r="A967" s="1" t="n">
        <x:v>103</x:v>
      </x:c>
      <x:c r="B967" s="1" t="str">
        <x:v>Exeggutor</x:v>
      </x:c>
      <x:c r="C967" s="1" t="n">
        <x:v>7</x:v>
      </x:c>
      <x:c r="D967" s="1" t="str">
        <x:v>Psyshock</x:v>
      </x:c>
      <x:c r="E967" s="1" t="str">
        <x:v>Psíquico</x:v>
      </x:c>
      <x:c r="F967" s="1" t="str">
        <x:v>Especial</x:v>
      </x:c>
      <x:c r="G967" s="10" t="n">
        <x:v>80</x:v>
      </x:c>
      <x:c r="H967" s="10" t="n">
        <x:f>IF(F967="Física",'Pokémon'!G107,IF(F967="Especial",'Pokémon'!I107,""))</x:f>
        <x:v>125</x:v>
      </x:c>
      <x:c r="I967" s="10" t="n">
        <x:f>IF(OR(F967="Status",G967=0),"",G967+H967)</x:f>
        <x:v>205</x:v>
      </x:c>
      <x:c r="J967" s="10" t="n">
        <x:v>17</x:v>
      </x:c>
      <x:c r="K967" s="12" t="n">
        <x:v>40</x:v>
      </x:c>
      <x:c r="L967" s="1" t="str"/>
      <x:c r="M967" s="9" t="str">
        <x:v>https://poke.idleworld.online/pokepedia/pokemon/exeggutor</x:v>
      </x:c>
    </x:row>
    <x:row r="968" ht="22" customHeight="1">
      <x:c r="A968" s="1" t="n">
        <x:v>103</x:v>
      </x:c>
      <x:c r="B968" s="1" t="str">
        <x:v>Exeggutor</x:v>
      </x:c>
      <x:c r="C968" s="1" t="n">
        <x:v>8</x:v>
      </x:c>
      <x:c r="D968" s="1" t="str">
        <x:v>Egg Bomb</x:v>
      </x:c>
      <x:c r="E968" s="1" t="str">
        <x:v>Normal</x:v>
      </x:c>
      <x:c r="F968" s="1" t="str">
        <x:v>Física</x:v>
      </x:c>
      <x:c r="G968" s="10" t="n">
        <x:v>100</x:v>
      </x:c>
      <x:c r="H968" s="10" t="n">
        <x:f>IF(F968="Física",'Pokémon'!G107,IF(F968="Especial",'Pokémon'!I107,""))</x:f>
        <x:v>95</x:v>
      </x:c>
      <x:c r="I968" s="10" t="n">
        <x:f>IF(OR(F968="Status",G968=0),"",G968+H968)</x:f>
        <x:v>195</x:v>
      </x:c>
      <x:c r="J968" s="10" t="n">
        <x:v>27</x:v>
      </x:c>
      <x:c r="K968" s="12" t="n">
        <x:v>10</x:v>
      </x:c>
      <x:c r="L968" s="1" t="str"/>
      <x:c r="M968" s="9" t="str">
        <x:v>https://poke.idleworld.online/pokepedia/pokemon/exeggutor</x:v>
      </x:c>
    </x:row>
    <x:row r="969" ht="22" customHeight="1">
      <x:c r="A969" s="1" t="n">
        <x:v>103</x:v>
      </x:c>
      <x:c r="B969" s="1" t="str">
        <x:v>Exeggutor</x:v>
      </x:c>
      <x:c r="C969" s="1" t="n">
        <x:v>2</x:v>
      </x:c>
      <x:c r="D969" s="1" t="str">
        <x:v>Seed Bomb</x:v>
      </x:c>
      <x:c r="E969" s="1" t="str">
        <x:v>Planta</x:v>
      </x:c>
      <x:c r="F969" s="1" t="str">
        <x:v>Física</x:v>
      </x:c>
      <x:c r="G969" s="10" t="n">
        <x:v>80</x:v>
      </x:c>
      <x:c r="H969" s="10" t="n">
        <x:f>IF(F969="Física",'Pokémon'!G107,IF(F969="Especial",'Pokémon'!I107,""))</x:f>
        <x:v>95</x:v>
      </x:c>
      <x:c r="I969" s="10" t="n">
        <x:f>IF(OR(F969="Status",G969=0),"",G969+H969)</x:f>
        <x:v>175</x:v>
      </x:c>
      <x:c r="J969" s="10" t="n">
        <x:v>1</x:v>
      </x:c>
      <x:c r="K969" s="12" t="n">
        <x:v>25</x:v>
      </x:c>
      <x:c r="L969" s="1" t="str"/>
      <x:c r="M969" s="9" t="str">
        <x:v>https://poke.idleworld.online/pokepedia/pokemon/exeggutor</x:v>
      </x:c>
    </x:row>
    <x:row r="970" ht="22" customHeight="1">
      <x:c r="A970" s="1" t="n">
        <x:v>103</x:v>
      </x:c>
      <x:c r="B970" s="1" t="str">
        <x:v>Exeggutor</x:v>
      </x:c>
      <x:c r="C970" s="1" t="n">
        <x:v>3</x:v>
      </x:c>
      <x:c r="D970" s="1" t="str">
        <x:v>Confusion</x:v>
      </x:c>
      <x:c r="E970" s="1" t="str">
        <x:v>Psíquico</x:v>
      </x:c>
      <x:c r="F970" s="1" t="str">
        <x:v>Especial</x:v>
      </x:c>
      <x:c r="G970" s="10" t="n">
        <x:v>50</x:v>
      </x:c>
      <x:c r="H970" s="10" t="n">
        <x:f>IF(F970="Física",'Pokémon'!G107,IF(F970="Especial",'Pokémon'!I107,""))</x:f>
        <x:v>125</x:v>
      </x:c>
      <x:c r="I970" s="10" t="n">
        <x:f>IF(OR(F970="Status",G970=0),"",G970+H970)</x:f>
        <x:v>175</x:v>
      </x:c>
      <x:c r="J970" s="10" t="n">
        <x:v>1</x:v>
      </x:c>
      <x:c r="K970" s="12" t="n">
        <x:v>30</x:v>
      </x:c>
      <x:c r="L970" s="1" t="str"/>
      <x:c r="M970" s="9" t="str">
        <x:v>https://poke.idleworld.online/pokepedia/pokemon/exeggutor</x:v>
      </x:c>
    </x:row>
    <x:row r="971" ht="22" customHeight="1">
      <x:c r="A971" s="1" t="n">
        <x:v>103</x:v>
      </x:c>
      <x:c r="B971" s="1" t="str">
        <x:v>Exeggutor</x:v>
      </x:c>
      <x:c r="C971" s="1" t="n">
        <x:v>6</x:v>
      </x:c>
      <x:c r="D971" s="1" t="str">
        <x:v>Stomp</x:v>
      </x:c>
      <x:c r="E971" s="1" t="str">
        <x:v>Normal</x:v>
      </x:c>
      <x:c r="F971" s="1" t="str">
        <x:v>Física</x:v>
      </x:c>
      <x:c r="G971" s="10" t="n">
        <x:v>65</x:v>
      </x:c>
      <x:c r="H971" s="10" t="n">
        <x:f>IF(F971="Física",'Pokémon'!G107,IF(F971="Especial",'Pokémon'!I107,""))</x:f>
        <x:v>95</x:v>
      </x:c>
      <x:c r="I971" s="10" t="n">
        <x:f>IF(OR(F971="Status",G971=0),"",G971+H971)</x:f>
        <x:v>160</x:v>
      </x:c>
      <x:c r="J971" s="10" t="n">
        <x:v>1</x:v>
      </x:c>
      <x:c r="K971" s="12" t="n">
        <x:v>20</x:v>
      </x:c>
      <x:c r="L971" s="1" t="str"/>
      <x:c r="M971" s="9" t="str">
        <x:v>https://poke.idleworld.online/pokepedia/pokemon/exeggutor</x:v>
      </x:c>
    </x:row>
    <x:row r="972" ht="22" customHeight="1">
      <x:c r="A972" s="1" t="n">
        <x:v>103</x:v>
      </x:c>
      <x:c r="B972" s="1" t="str">
        <x:v>Exeggutor</x:v>
      </x:c>
      <x:c r="C972" s="1" t="n">
        <x:v>5</x:v>
      </x:c>
      <x:c r="D972" s="1" t="str">
        <x:v>Barrage</x:v>
      </x:c>
      <x:c r="E972" s="1" t="str">
        <x:v>Normal</x:v>
      </x:c>
      <x:c r="F972" s="1" t="str">
        <x:v>Física</x:v>
      </x:c>
      <x:c r="G972" s="10" t="n">
        <x:v>15</x:v>
      </x:c>
      <x:c r="H972" s="10" t="n">
        <x:f>IF(F972="Física",'Pokémon'!G107,IF(F972="Especial",'Pokémon'!I107,""))</x:f>
        <x:v>95</x:v>
      </x:c>
      <x:c r="I972" s="10" t="n">
        <x:f>IF(OR(F972="Status",G972=0),"",G972+H972)</x:f>
        <x:v>110</x:v>
      </x:c>
      <x:c r="J972" s="10" t="n">
        <x:v>1</x:v>
      </x:c>
      <x:c r="K972" s="12" t="n">
        <x:v>15</x:v>
      </x:c>
      <x:c r="L972" s="1" t="str"/>
      <x:c r="M972" s="9" t="str">
        <x:v>https://poke.idleworld.online/pokepedia/pokemon/exeggutor</x:v>
      </x:c>
    </x:row>
    <x:row r="973" ht="22" customHeight="1">
      <x:c r="A973" s="1" t="n">
        <x:v>103</x:v>
      </x:c>
      <x:c r="B973" s="1" t="str">
        <x:v>Exeggutor</x:v>
      </x:c>
      <x:c r="C973" s="1" t="n">
        <x:v>1</x:v>
      </x:c>
      <x:c r="D973" s="1" t="str">
        <x:v>Hypnosis</x:v>
      </x:c>
      <x:c r="E973" s="1" t="str">
        <x:v>Psíquico</x:v>
      </x:c>
      <x:c r="F973" s="1" t="str">
        <x:v>Status</x:v>
      </x:c>
      <x:c r="G973" s="10" t="n">
        <x:v>0</x:v>
      </x:c>
      <x:c r="H973" s="10" t="str">
        <x:f>IF(F973="Física",'Pokémon'!G107,IF(F973="Especial",'Pokémon'!I107,""))</x:f>
      </x:c>
      <x:c r="I973" s="10" t="str">
        <x:f>IF(OR(F973="Status",G973=0),"",G973+H973)</x:f>
      </x:c>
      <x:c r="J973" s="10" t="n">
        <x:v>1</x:v>
      </x:c>
      <x:c r="K973" s="12" t="n">
        <x:v>30</x:v>
      </x:c>
      <x:c r="L973" s="1" t="str"/>
      <x:c r="M973" s="9" t="str">
        <x:v>https://poke.idleworld.online/pokepedia/pokemon/exeggutor</x:v>
      </x:c>
    </x:row>
    <x:row r="974" ht="22" customHeight="1">
      <x:c r="A974" s="1" t="n">
        <x:v>104</x:v>
      </x:c>
      <x:c r="B974" s="1" t="str">
        <x:v>Cubone</x:v>
      </x:c>
      <x:c r="C974" s="1" t="n">
        <x:v>6</x:v>
      </x:c>
      <x:c r="D974" s="1" t="str">
        <x:v>Thrash</x:v>
      </x:c>
      <x:c r="E974" s="1" t="str">
        <x:v>Normal</x:v>
      </x:c>
      <x:c r="F974" s="1" t="str">
        <x:v>Física</x:v>
      </x:c>
      <x:c r="G974" s="10" t="n">
        <x:v>120</x:v>
      </x:c>
      <x:c r="H974" s="10" t="n">
        <x:f>IF(F974="Física",'Pokémon'!G108,IF(F974="Especial",'Pokémon'!I108,""))</x:f>
        <x:v>50</x:v>
      </x:c>
      <x:c r="I974" s="10" t="n">
        <x:f>IF(OR(F974="Status",G974=0),"",G974+H974)</x:f>
        <x:v>170</x:v>
      </x:c>
      <x:c r="J974" s="10" t="n">
        <x:v>31</x:v>
      </x:c>
      <x:c r="K974" s="12" t="n">
        <x:v>50</x:v>
      </x:c>
      <x:c r="L974" s="1" t="str"/>
      <x:c r="M974" s="9" t="str">
        <x:v>https://poke.idleworld.online/pokepedia/pokemon/cubone</x:v>
      </x:c>
    </x:row>
    <x:row r="975" ht="22" customHeight="1">
      <x:c r="A975" s="1" t="n">
        <x:v>104</x:v>
      </x:c>
      <x:c r="B975" s="1" t="str">
        <x:v>Cubone</x:v>
      </x:c>
      <x:c r="C975" s="1" t="n">
        <x:v>8</x:v>
      </x:c>
      <x:c r="D975" s="1" t="str">
        <x:v>Double-Edge</x:v>
      </x:c>
      <x:c r="E975" s="1" t="str">
        <x:v>Normal</x:v>
      </x:c>
      <x:c r="F975" s="1" t="str">
        <x:v>Física</x:v>
      </x:c>
      <x:c r="G975" s="10" t="n">
        <x:v>120</x:v>
      </x:c>
      <x:c r="H975" s="10" t="n">
        <x:f>IF(F975="Física",'Pokémon'!G108,IF(F975="Especial",'Pokémon'!I108,""))</x:f>
        <x:v>50</x:v>
      </x:c>
      <x:c r="I975" s="10" t="n">
        <x:f>IF(OR(F975="Status",G975=0),"",G975+H975)</x:f>
        <x:v>170</x:v>
      </x:c>
      <x:c r="J975" s="10" t="n">
        <x:v>43</x:v>
      </x:c>
      <x:c r="K975" s="12" t="n">
        <x:v>50</x:v>
      </x:c>
      <x:c r="L975" s="1" t="str"/>
      <x:c r="M975" s="9" t="str">
        <x:v>https://poke.idleworld.online/pokepedia/pokemon/cubone</x:v>
      </x:c>
    </x:row>
    <x:row r="976" ht="22" customHeight="1">
      <x:c r="A976" s="1" t="n">
        <x:v>104</x:v>
      </x:c>
      <x:c r="B976" s="1" t="str">
        <x:v>Cubone</x:v>
      </x:c>
      <x:c r="C976" s="1" t="n">
        <x:v>2</x:v>
      </x:c>
      <x:c r="D976" s="1" t="str">
        <x:v>Headbutt</x:v>
      </x:c>
      <x:c r="E976" s="1" t="str">
        <x:v>Normal</x:v>
      </x:c>
      <x:c r="F976" s="1" t="str">
        <x:v>Física</x:v>
      </x:c>
      <x:c r="G976" s="10" t="n">
        <x:v>70</x:v>
      </x:c>
      <x:c r="H976" s="10" t="n">
        <x:f>IF(F976="Física",'Pokémon'!G108,IF(F976="Especial",'Pokémon'!I108,""))</x:f>
        <x:v>50</x:v>
      </x:c>
      <x:c r="I976" s="10" t="n">
        <x:f>IF(OR(F976="Status",G976=0),"",G976+H976)</x:f>
        <x:v>120</x:v>
      </x:c>
      <x:c r="J976" s="10" t="n">
        <x:v>11</x:v>
      </x:c>
      <x:c r="K976" s="12" t="n">
        <x:v>15</x:v>
      </x:c>
      <x:c r="L976" s="1" t="str"/>
      <x:c r="M976" s="9" t="str">
        <x:v>https://poke.idleworld.online/pokepedia/pokemon/cubone</x:v>
      </x:c>
    </x:row>
    <x:row r="977" ht="22" customHeight="1">
      <x:c r="A977" s="1" t="n">
        <x:v>104</x:v>
      </x:c>
      <x:c r="B977" s="1" t="str">
        <x:v>Cubone</x:v>
      </x:c>
      <x:c r="C977" s="1" t="n">
        <x:v>9</x:v>
      </x:c>
      <x:c r="D977" s="1" t="str">
        <x:v>Retaliate</x:v>
      </x:c>
      <x:c r="E977" s="1" t="str">
        <x:v>Normal</x:v>
      </x:c>
      <x:c r="F977" s="1" t="str">
        <x:v>Física</x:v>
      </x:c>
      <x:c r="G977" s="10" t="n">
        <x:v>70</x:v>
      </x:c>
      <x:c r="H977" s="10" t="n">
        <x:f>IF(F977="Física",'Pokémon'!G108,IF(F977="Especial",'Pokémon'!I108,""))</x:f>
        <x:v>50</x:v>
      </x:c>
      <x:c r="I977" s="10" t="n">
        <x:f>IF(OR(F977="Status",G977=0),"",G977+H977)</x:f>
        <x:v>120</x:v>
      </x:c>
      <x:c r="J977" s="10" t="n">
        <x:v>47</x:v>
      </x:c>
      <x:c r="K977" s="12" t="n">
        <x:v>20</x:v>
      </x:c>
      <x:c r="L977" s="1" t="str"/>
      <x:c r="M977" s="9" t="str">
        <x:v>https://poke.idleworld.online/pokepedia/pokemon/cubone</x:v>
      </x:c>
    </x:row>
    <x:row r="978" ht="22" customHeight="1">
      <x:c r="A978" s="1" t="n">
        <x:v>104</x:v>
      </x:c>
      <x:c r="B978" s="1" t="str">
        <x:v>Cubone</x:v>
      </x:c>
      <x:c r="C978" s="1" t="n">
        <x:v>1</x:v>
      </x:c>
      <x:c r="D978" s="1" t="str">
        <x:v>Bone club</x:v>
      </x:c>
      <x:c r="E978" s="1" t="str">
        <x:v>Terrestre</x:v>
      </x:c>
      <x:c r="F978" s="1" t="str">
        <x:v>Física</x:v>
      </x:c>
      <x:c r="G978" s="10" t="n">
        <x:v>65</x:v>
      </x:c>
      <x:c r="H978" s="10" t="n">
        <x:f>IF(F978="Física",'Pokémon'!G108,IF(F978="Especial",'Pokémon'!I108,""))</x:f>
        <x:v>50</x:v>
      </x:c>
      <x:c r="I978" s="10" t="n">
        <x:f>IF(OR(F978="Status",G978=0),"",G978+H978)</x:f>
        <x:v>115</x:v>
      </x:c>
      <x:c r="J978" s="10" t="n">
        <x:v>7</x:v>
      </x:c>
      <x:c r="K978" s="12" t="n">
        <x:v>12</x:v>
      </x:c>
      <x:c r="L978" s="1" t="str"/>
      <x:c r="M978" s="9" t="str">
        <x:v>https://poke.idleworld.online/pokepedia/pokemon/cubone</x:v>
      </x:c>
    </x:row>
    <x:row r="979" ht="22" customHeight="1">
      <x:c r="A979" s="1" t="n">
        <x:v>104</x:v>
      </x:c>
      <x:c r="B979" s="1" t="str">
        <x:v>Cubone</x:v>
      </x:c>
      <x:c r="C979" s="1" t="n">
        <x:v>3</x:v>
      </x:c>
      <x:c r="D979" s="1" t="str">
        <x:v>Bonemerang</x:v>
      </x:c>
      <x:c r="E979" s="1" t="str">
        <x:v>Terrestre</x:v>
      </x:c>
      <x:c r="F979" s="1" t="str">
        <x:v>Física</x:v>
      </x:c>
      <x:c r="G979" s="10" t="n">
        <x:v>50</x:v>
      </x:c>
      <x:c r="H979" s="10" t="n">
        <x:f>IF(F979="Física",'Pokémon'!G108,IF(F979="Especial",'Pokémon'!I108,""))</x:f>
        <x:v>50</x:v>
      </x:c>
      <x:c r="I979" s="10" t="n">
        <x:f>IF(OR(F979="Status",G979=0),"",G979+H979)</x:f>
        <x:v>100</x:v>
      </x:c>
      <x:c r="J979" s="10" t="n">
        <x:v>21</x:v>
      </x:c>
      <x:c r="K979" s="12" t="n">
        <x:v>15</x:v>
      </x:c>
      <x:c r="L979" s="1" t="str"/>
      <x:c r="M979" s="9" t="str">
        <x:v>https://poke.idleworld.online/pokepedia/pokemon/cubone</x:v>
      </x:c>
    </x:row>
    <x:row r="980" ht="22" customHeight="1">
      <x:c r="A980" s="1" t="n">
        <x:v>104</x:v>
      </x:c>
      <x:c r="B980" s="1" t="str">
        <x:v>Cubone</x:v>
      </x:c>
      <x:c r="C980" s="1" t="n">
        <x:v>5</x:v>
      </x:c>
      <x:c r="D980" s="1" t="str">
        <x:v>False Swipe</x:v>
      </x:c>
      <x:c r="E980" s="1" t="str">
        <x:v>Normal</x:v>
      </x:c>
      <x:c r="F980" s="1" t="str">
        <x:v>Física</x:v>
      </x:c>
      <x:c r="G980" s="10" t="n">
        <x:v>40</x:v>
      </x:c>
      <x:c r="H980" s="10" t="n">
        <x:f>IF(F980="Física",'Pokémon'!G108,IF(F980="Especial",'Pokémon'!I108,""))</x:f>
        <x:v>50</x:v>
      </x:c>
      <x:c r="I980" s="10" t="n">
        <x:f>IF(OR(F980="Status",G980=0),"",G980+H980)</x:f>
        <x:v>90</x:v>
      </x:c>
      <x:c r="J980" s="10" t="n">
        <x:v>27</x:v>
      </x:c>
      <x:c r="K980" s="12" t="n">
        <x:v>15</x:v>
      </x:c>
      <x:c r="L980" s="1" t="str"/>
      <x:c r="M980" s="9" t="str">
        <x:v>https://poke.idleworld.online/pokepedia/pokemon/cubone</x:v>
      </x:c>
    </x:row>
    <x:row r="981" ht="22" customHeight="1">
      <x:c r="A981" s="1" t="n">
        <x:v>104</x:v>
      </x:c>
      <x:c r="B981" s="1" t="str">
        <x:v>Cubone</x:v>
      </x:c>
      <x:c r="C981" s="1" t="n">
        <x:v>7</x:v>
      </x:c>
      <x:c r="D981" s="1" t="str">
        <x:v>Bone Rush</x:v>
      </x:c>
      <x:c r="E981" s="1" t="str">
        <x:v>Terrestre</x:v>
      </x:c>
      <x:c r="F981" s="1" t="str">
        <x:v>Física</x:v>
      </x:c>
      <x:c r="G981" s="10" t="n">
        <x:v>25</x:v>
      </x:c>
      <x:c r="H981" s="10" t="n">
        <x:f>IF(F981="Física",'Pokémon'!G108,IF(F981="Especial",'Pokémon'!I108,""))</x:f>
        <x:v>50</x:v>
      </x:c>
      <x:c r="I981" s="10" t="n">
        <x:f>IF(OR(F981="Status",G981=0),"",G981+H981)</x:f>
        <x:v>75</x:v>
      </x:c>
      <x:c r="J981" s="10" t="n">
        <x:v>37</x:v>
      </x:c>
      <x:c r="K981" s="12" t="n">
        <x:v>35</x:v>
      </x:c>
      <x:c r="L981" s="1" t="str"/>
      <x:c r="M981" s="9" t="str">
        <x:v>https://poke.idleworld.online/pokepedia/pokemon/cubone</x:v>
      </x:c>
    </x:row>
    <x:row r="982" ht="22" customHeight="1">
      <x:c r="A982" s="1" t="n">
        <x:v>104</x:v>
      </x:c>
      <x:c r="B982" s="1" t="str">
        <x:v>Cubone</x:v>
      </x:c>
      <x:c r="C982" s="1" t="n">
        <x:v>4</x:v>
      </x:c>
      <x:c r="D982" s="1" t="str">
        <x:v>Rage</x:v>
      </x:c>
      <x:c r="E982" s="1" t="str">
        <x:v>Normal</x:v>
      </x:c>
      <x:c r="F982" s="1" t="str">
        <x:v>Física</x:v>
      </x:c>
      <x:c r="G982" s="10" t="n">
        <x:v>20</x:v>
      </x:c>
      <x:c r="H982" s="10" t="n">
        <x:f>IF(F982="Física",'Pokémon'!G108,IF(F982="Especial",'Pokémon'!I108,""))</x:f>
        <x:v>50</x:v>
      </x:c>
      <x:c r="I982" s="10" t="n">
        <x:f>IF(OR(F982="Status",G982=0),"",G982+H982)</x:f>
        <x:v>70</x:v>
      </x:c>
      <x:c r="J982" s="10" t="n">
        <x:v>23</x:v>
      </x:c>
      <x:c r="K982" s="12" t="n">
        <x:v>30</x:v>
      </x:c>
      <x:c r="L982" s="1" t="str"/>
      <x:c r="M982" s="9" t="str">
        <x:v>https://poke.idleworld.online/pokepedia/pokemon/cubone</x:v>
      </x:c>
    </x:row>
    <x:row r="983" ht="22" customHeight="1">
      <x:c r="A983" s="1" t="n">
        <x:v>105</x:v>
      </x:c>
      <x:c r="B983" s="1" t="str">
        <x:v>Marowak</x:v>
      </x:c>
      <x:c r="C983" s="1" t="n">
        <x:v>3</x:v>
      </x:c>
      <x:c r="D983" s="1" t="str">
        <x:v>Crossing Fissure</x:v>
      </x:c>
      <x:c r="E983" s="1" t="str">
        <x:v>Terrestre</x:v>
      </x:c>
      <x:c r="F983" s="1" t="str">
        <x:v>Física</x:v>
      </x:c>
      <x:c r="G983" s="10" t="n">
        <x:v>300</x:v>
      </x:c>
      <x:c r="H983" s="10" t="n">
        <x:f>IF(F983="Física",'Pokémon'!G109,IF(F983="Especial",'Pokémon'!I109,""))</x:f>
        <x:v>80</x:v>
      </x:c>
      <x:c r="I983" s="10" t="n">
        <x:f>IF(OR(F983="Status",G983=0),"",G983+H983)</x:f>
        <x:v>380</x:v>
      </x:c>
      <x:c r="J983" s="10" t="n">
        <x:v>1</x:v>
      </x:c>
      <x:c r="K983" s="12" t="n">
        <x:v>10</x:v>
      </x:c>
      <x:c r="L983" s="1" t="str">
        <x:v>Sim</x:v>
      </x:c>
      <x:c r="M983" s="9" t="str">
        <x:v>https://poke.idleworld.online/pokepedia/pokemon/marowak</x:v>
      </x:c>
    </x:row>
    <x:row r="984" ht="22" customHeight="1">
      <x:c r="A984" s="1" t="n">
        <x:v>105</x:v>
      </x:c>
      <x:c r="B984" s="1" t="str">
        <x:v>Marowak</x:v>
      </x:c>
      <x:c r="C984" s="1" t="n">
        <x:v>7</x:v>
      </x:c>
      <x:c r="D984" s="1" t="str">
        <x:v>Thrash</x:v>
      </x:c>
      <x:c r="E984" s="1" t="str">
        <x:v>Normal</x:v>
      </x:c>
      <x:c r="F984" s="1" t="str">
        <x:v>Física</x:v>
      </x:c>
      <x:c r="G984" s="10" t="n">
        <x:v>120</x:v>
      </x:c>
      <x:c r="H984" s="10" t="n">
        <x:f>IF(F984="Física",'Pokémon'!G109,IF(F984="Especial",'Pokémon'!I109,""))</x:f>
        <x:v>80</x:v>
      </x:c>
      <x:c r="I984" s="10" t="n">
        <x:f>IF(OR(F984="Status",G984=0),"",G984+H984)</x:f>
        <x:v>200</x:v>
      </x:c>
      <x:c r="J984" s="10" t="n">
        <x:v>33</x:v>
      </x:c>
      <x:c r="K984" s="12" t="n">
        <x:v>50</x:v>
      </x:c>
      <x:c r="L984" s="1" t="str"/>
      <x:c r="M984" s="9" t="str">
        <x:v>https://poke.idleworld.online/pokepedia/pokemon/marowak</x:v>
      </x:c>
    </x:row>
    <x:row r="985" ht="22" customHeight="1">
      <x:c r="A985" s="1" t="n">
        <x:v>105</x:v>
      </x:c>
      <x:c r="B985" s="1" t="str">
        <x:v>Marowak</x:v>
      </x:c>
      <x:c r="C985" s="1" t="n">
        <x:v>9</x:v>
      </x:c>
      <x:c r="D985" s="1" t="str">
        <x:v>Double-Edge</x:v>
      </x:c>
      <x:c r="E985" s="1" t="str">
        <x:v>Normal</x:v>
      </x:c>
      <x:c r="F985" s="1" t="str">
        <x:v>Física</x:v>
      </x:c>
      <x:c r="G985" s="10" t="n">
        <x:v>120</x:v>
      </x:c>
      <x:c r="H985" s="10" t="n">
        <x:f>IF(F985="Física",'Pokémon'!G109,IF(F985="Especial",'Pokémon'!I109,""))</x:f>
        <x:v>80</x:v>
      </x:c>
      <x:c r="I985" s="10" t="n">
        <x:f>IF(OR(F985="Status",G985=0),"",G985+H985)</x:f>
        <x:v>200</x:v>
      </x:c>
      <x:c r="J985" s="10" t="n">
        <x:v>53</x:v>
      </x:c>
      <x:c r="K985" s="12" t="n">
        <x:v>50</x:v>
      </x:c>
      <x:c r="L985" s="1" t="str"/>
      <x:c r="M985" s="9" t="str">
        <x:v>https://poke.idleworld.online/pokepedia/pokemon/marowak</x:v>
      </x:c>
    </x:row>
    <x:row r="986" ht="22" customHeight="1">
      <x:c r="A986" s="1" t="n">
        <x:v>105</x:v>
      </x:c>
      <x:c r="B986" s="1" t="str">
        <x:v>Marowak</x:v>
      </x:c>
      <x:c r="C986" s="1" t="n">
        <x:v>2</x:v>
      </x:c>
      <x:c r="D986" s="1" t="str">
        <x:v>Headbutt</x:v>
      </x:c>
      <x:c r="E986" s="1" t="str">
        <x:v>Normal</x:v>
      </x:c>
      <x:c r="F986" s="1" t="str">
        <x:v>Física</x:v>
      </x:c>
      <x:c r="G986" s="10" t="n">
        <x:v>70</x:v>
      </x:c>
      <x:c r="H986" s="10" t="n">
        <x:f>IF(F986="Física",'Pokémon'!G109,IF(F986="Especial",'Pokémon'!I109,""))</x:f>
        <x:v>80</x:v>
      </x:c>
      <x:c r="I986" s="10" t="n">
        <x:f>IF(OR(F986="Status",G986=0),"",G986+H986)</x:f>
        <x:v>150</x:v>
      </x:c>
      <x:c r="J986" s="10" t="n">
        <x:v>1</x:v>
      </x:c>
      <x:c r="K986" s="12" t="n">
        <x:v>15</x:v>
      </x:c>
      <x:c r="L986" s="1" t="str"/>
      <x:c r="M986" s="9" t="str">
        <x:v>https://poke.idleworld.online/pokepedia/pokemon/marowak</x:v>
      </x:c>
    </x:row>
    <x:row r="987" ht="22" customHeight="1">
      <x:c r="A987" s="1" t="n">
        <x:v>105</x:v>
      </x:c>
      <x:c r="B987" s="1" t="str">
        <x:v>Marowak</x:v>
      </x:c>
      <x:c r="C987" s="1" t="n">
        <x:v>10</x:v>
      </x:c>
      <x:c r="D987" s="1" t="str">
        <x:v>Retaliate</x:v>
      </x:c>
      <x:c r="E987" s="1" t="str">
        <x:v>Normal</x:v>
      </x:c>
      <x:c r="F987" s="1" t="str">
        <x:v>Física</x:v>
      </x:c>
      <x:c r="G987" s="10" t="n">
        <x:v>70</x:v>
      </x:c>
      <x:c r="H987" s="10" t="n">
        <x:f>IF(F987="Física",'Pokémon'!G109,IF(F987="Especial",'Pokémon'!I109,""))</x:f>
        <x:v>80</x:v>
      </x:c>
      <x:c r="I987" s="10" t="n">
        <x:f>IF(OR(F987="Status",G987=0),"",G987+H987)</x:f>
        <x:v>150</x:v>
      </x:c>
      <x:c r="J987" s="10" t="n">
        <x:v>59</x:v>
      </x:c>
      <x:c r="K987" s="12" t="n">
        <x:v>20</x:v>
      </x:c>
      <x:c r="L987" s="1" t="str"/>
      <x:c r="M987" s="9" t="str">
        <x:v>https://poke.idleworld.online/pokepedia/pokemon/marowak</x:v>
      </x:c>
    </x:row>
    <x:row r="988" ht="22" customHeight="1">
      <x:c r="A988" s="1" t="n">
        <x:v>105</x:v>
      </x:c>
      <x:c r="B988" s="1" t="str">
        <x:v>Marowak</x:v>
      </x:c>
      <x:c r="C988" s="1" t="n">
        <x:v>1</x:v>
      </x:c>
      <x:c r="D988" s="1" t="str">
        <x:v>Bone club</x:v>
      </x:c>
      <x:c r="E988" s="1" t="str">
        <x:v>Terrestre</x:v>
      </x:c>
      <x:c r="F988" s="1" t="str">
        <x:v>Física</x:v>
      </x:c>
      <x:c r="G988" s="10" t="n">
        <x:v>65</x:v>
      </x:c>
      <x:c r="H988" s="10" t="n">
        <x:f>IF(F988="Física",'Pokémon'!G109,IF(F988="Especial",'Pokémon'!I109,""))</x:f>
        <x:v>80</x:v>
      </x:c>
      <x:c r="I988" s="10" t="n">
        <x:f>IF(OR(F988="Status",G988=0),"",G988+H988)</x:f>
        <x:v>145</x:v>
      </x:c>
      <x:c r="J988" s="10" t="n">
        <x:v>1</x:v>
      </x:c>
      <x:c r="K988" s="12" t="n">
        <x:v>12</x:v>
      </x:c>
      <x:c r="L988" s="1" t="str"/>
      <x:c r="M988" s="9" t="str">
        <x:v>https://poke.idleworld.online/pokepedia/pokemon/marowak</x:v>
      </x:c>
    </x:row>
    <x:row r="989" ht="22" customHeight="1">
      <x:c r="A989" s="1" t="n">
        <x:v>105</x:v>
      </x:c>
      <x:c r="B989" s="1" t="str">
        <x:v>Marowak</x:v>
      </x:c>
      <x:c r="C989" s="1" t="n">
        <x:v>4</x:v>
      </x:c>
      <x:c r="D989" s="1" t="str">
        <x:v>Bonemerang</x:v>
      </x:c>
      <x:c r="E989" s="1" t="str">
        <x:v>Terrestre</x:v>
      </x:c>
      <x:c r="F989" s="1" t="str">
        <x:v>Física</x:v>
      </x:c>
      <x:c r="G989" s="10" t="n">
        <x:v>50</x:v>
      </x:c>
      <x:c r="H989" s="10" t="n">
        <x:f>IF(F989="Física",'Pokémon'!G109,IF(F989="Especial",'Pokémon'!I109,""))</x:f>
        <x:v>80</x:v>
      </x:c>
      <x:c r="I989" s="10" t="n">
        <x:f>IF(OR(F989="Status",G989=0),"",G989+H989)</x:f>
        <x:v>130</x:v>
      </x:c>
      <x:c r="J989" s="10" t="n">
        <x:v>21</x:v>
      </x:c>
      <x:c r="K989" s="12" t="n">
        <x:v>15</x:v>
      </x:c>
      <x:c r="L989" s="1" t="str"/>
      <x:c r="M989" s="9" t="str">
        <x:v>https://poke.idleworld.online/pokepedia/pokemon/marowak</x:v>
      </x:c>
    </x:row>
    <x:row r="990" ht="22" customHeight="1">
      <x:c r="A990" s="1" t="n">
        <x:v>105</x:v>
      </x:c>
      <x:c r="B990" s="1" t="str">
        <x:v>Marowak</x:v>
      </x:c>
      <x:c r="C990" s="1" t="n">
        <x:v>6</x:v>
      </x:c>
      <x:c r="D990" s="1" t="str">
        <x:v>False Swipe</x:v>
      </x:c>
      <x:c r="E990" s="1" t="str">
        <x:v>Normal</x:v>
      </x:c>
      <x:c r="F990" s="1" t="str">
        <x:v>Física</x:v>
      </x:c>
      <x:c r="G990" s="10" t="n">
        <x:v>40</x:v>
      </x:c>
      <x:c r="H990" s="10" t="n">
        <x:f>IF(F990="Física",'Pokémon'!G109,IF(F990="Especial",'Pokémon'!I109,""))</x:f>
        <x:v>80</x:v>
      </x:c>
      <x:c r="I990" s="10" t="n">
        <x:f>IF(OR(F990="Status",G990=0),"",G990+H990)</x:f>
        <x:v>120</x:v>
      </x:c>
      <x:c r="J990" s="10" t="n">
        <x:v>27</x:v>
      </x:c>
      <x:c r="K990" s="12" t="n">
        <x:v>15</x:v>
      </x:c>
      <x:c r="L990" s="1" t="str"/>
      <x:c r="M990" s="9" t="str">
        <x:v>https://poke.idleworld.online/pokepedia/pokemon/marowak</x:v>
      </x:c>
    </x:row>
    <x:row r="991" ht="22" customHeight="1">
      <x:c r="A991" s="1" t="n">
        <x:v>105</x:v>
      </x:c>
      <x:c r="B991" s="1" t="str">
        <x:v>Marowak</x:v>
      </x:c>
      <x:c r="C991" s="1" t="n">
        <x:v>8</x:v>
      </x:c>
      <x:c r="D991" s="1" t="str">
        <x:v>Bone Rush</x:v>
      </x:c>
      <x:c r="E991" s="1" t="str">
        <x:v>Terrestre</x:v>
      </x:c>
      <x:c r="F991" s="1" t="str">
        <x:v>Física</x:v>
      </x:c>
      <x:c r="G991" s="10" t="n">
        <x:v>25</x:v>
      </x:c>
      <x:c r="H991" s="10" t="n">
        <x:f>IF(F991="Física",'Pokémon'!G109,IF(F991="Especial",'Pokémon'!I109,""))</x:f>
        <x:v>80</x:v>
      </x:c>
      <x:c r="I991" s="10" t="n">
        <x:f>IF(OR(F991="Status",G991=0),"",G991+H991)</x:f>
        <x:v>105</x:v>
      </x:c>
      <x:c r="J991" s="10" t="n">
        <x:v>43</x:v>
      </x:c>
      <x:c r="K991" s="12" t="n">
        <x:v>35</x:v>
      </x:c>
      <x:c r="L991" s="1" t="str"/>
      <x:c r="M991" s="9" t="str">
        <x:v>https://poke.idleworld.online/pokepedia/pokemon/marowak</x:v>
      </x:c>
    </x:row>
    <x:row r="992" ht="22" customHeight="1">
      <x:c r="A992" s="1" t="n">
        <x:v>105</x:v>
      </x:c>
      <x:c r="B992" s="1" t="str">
        <x:v>Marowak</x:v>
      </x:c>
      <x:c r="C992" s="1" t="n">
        <x:v>5</x:v>
      </x:c>
      <x:c r="D992" s="1" t="str">
        <x:v>Rage</x:v>
      </x:c>
      <x:c r="E992" s="1" t="str">
        <x:v>Normal</x:v>
      </x:c>
      <x:c r="F992" s="1" t="str">
        <x:v>Física</x:v>
      </x:c>
      <x:c r="G992" s="10" t="n">
        <x:v>20</x:v>
      </x:c>
      <x:c r="H992" s="10" t="n">
        <x:f>IF(F992="Física",'Pokémon'!G109,IF(F992="Especial",'Pokémon'!I109,""))</x:f>
        <x:v>80</x:v>
      </x:c>
      <x:c r="I992" s="10" t="n">
        <x:f>IF(OR(F992="Status",G992=0),"",G992+H992)</x:f>
        <x:v>100</x:v>
      </x:c>
      <x:c r="J992" s="10" t="n">
        <x:v>23</x:v>
      </x:c>
      <x:c r="K992" s="12" t="n">
        <x:v>30</x:v>
      </x:c>
      <x:c r="L992" s="1" t="str"/>
      <x:c r="M992" s="9" t="str">
        <x:v>https://poke.idleworld.online/pokepedia/pokemon/marowak</x:v>
      </x:c>
    </x:row>
    <x:row r="993" ht="22" customHeight="1">
      <x:c r="A993" s="1" t="n">
        <x:v>106</x:v>
      </x:c>
      <x:c r="B993" s="1" t="str">
        <x:v>Hitmonlee</x:v>
      </x:c>
      <x:c r="C993" s="1" t="n">
        <x:v>2</x:v>
      </x:c>
      <x:c r="D993" s="1" t="str">
        <x:v>Meteor Fists</x:v>
      </x:c>
      <x:c r="E993" s="1" t="str">
        <x:v>Lutador</x:v>
      </x:c>
      <x:c r="F993" s="1" t="str">
        <x:v>Física</x:v>
      </x:c>
      <x:c r="G993" s="10" t="n">
        <x:v>300</x:v>
      </x:c>
      <x:c r="H993" s="10" t="n">
        <x:f>IF(F993="Física",'Pokémon'!G110,IF(F993="Especial",'Pokémon'!I110,""))</x:f>
        <x:v>120</x:v>
      </x:c>
      <x:c r="I993" s="10" t="n">
        <x:f>IF(OR(F993="Status",G993=0),"",G993+H993)</x:f>
        <x:v>420</x:v>
      </x:c>
      <x:c r="J993" s="10" t="n">
        <x:v>1</x:v>
      </x:c>
      <x:c r="K993" s="12" t="n">
        <x:v>10</x:v>
      </x:c>
      <x:c r="L993" s="1" t="str">
        <x:v>Sim</x:v>
      </x:c>
      <x:c r="M993" s="9" t="str">
        <x:v>https://poke.idleworld.online/pokepedia/pokemon/hitmonlee</x:v>
      </x:c>
    </x:row>
    <x:row r="994" ht="22" customHeight="1">
      <x:c r="A994" s="1" t="n">
        <x:v>106</x:v>
      </x:c>
      <x:c r="B994" s="1" t="str">
        <x:v>Hitmonlee</x:v>
      </x:c>
      <x:c r="C994" s="1" t="n">
        <x:v>10</x:v>
      </x:c>
      <x:c r="D994" s="1" t="str">
        <x:v>Hi Jump Kick</x:v>
      </x:c>
      <x:c r="E994" s="1" t="str">
        <x:v>Lutador</x:v>
      </x:c>
      <x:c r="F994" s="1" t="str">
        <x:v>Física</x:v>
      </x:c>
      <x:c r="G994" s="10" t="n">
        <x:v>130</x:v>
      </x:c>
      <x:c r="H994" s="10" t="n">
        <x:f>IF(F994="Física",'Pokémon'!G110,IF(F994="Especial",'Pokémon'!I110,""))</x:f>
        <x:v>120</x:v>
      </x:c>
      <x:c r="I994" s="10" t="n">
        <x:f>IF(OR(F994="Status",G994=0),"",G994+H994)</x:f>
        <x:v>250</x:v>
      </x:c>
      <x:c r="J994" s="10" t="n">
        <x:v>29</x:v>
      </x:c>
      <x:c r="K994" s="12" t="n">
        <x:v>50</x:v>
      </x:c>
      <x:c r="L994" s="1" t="str"/>
      <x:c r="M994" s="9" t="str">
        <x:v>https://poke.idleworld.online/pokepedia/pokemon/hitmonlee</x:v>
      </x:c>
    </x:row>
    <x:row r="995" ht="22" customHeight="1">
      <x:c r="A995" s="1" t="n">
        <x:v>106</x:v>
      </x:c>
      <x:c r="B995" s="1" t="str">
        <x:v>Hitmonlee</x:v>
      </x:c>
      <x:c r="C995" s="1" t="n">
        <x:v>1</x:v>
      </x:c>
      <x:c r="D995" s="1" t="str">
        <x:v>Mega Kick</x:v>
      </x:c>
      <x:c r="E995" s="1" t="str">
        <x:v>Normal</x:v>
      </x:c>
      <x:c r="F995" s="1" t="str">
        <x:v>Física</x:v>
      </x:c>
      <x:c r="G995" s="10" t="n">
        <x:v>120</x:v>
      </x:c>
      <x:c r="H995" s="10" t="n">
        <x:f>IF(F995="Física",'Pokémon'!G110,IF(F995="Especial",'Pokémon'!I110,""))</x:f>
        <x:v>120</x:v>
      </x:c>
      <x:c r="I995" s="10" t="n">
        <x:f>IF(OR(F995="Status",G995=0),"",G995+H995)</x:f>
        <x:v>240</x:v>
      </x:c>
      <x:c r="J995" s="10" t="n">
        <x:v>1</x:v>
      </x:c>
      <x:c r="K995" s="12" t="n">
        <x:v>25</x:v>
      </x:c>
      <x:c r="L995" s="1" t="str"/>
      <x:c r="M995" s="9" t="str">
        <x:v>https://poke.idleworld.online/pokepedia/pokemon/hitmonlee</x:v>
      </x:c>
    </x:row>
    <x:row r="996" ht="22" customHeight="1">
      <x:c r="A996" s="1" t="n">
        <x:v>106</x:v>
      </x:c>
      <x:c r="B996" s="1" t="str">
        <x:v>Hitmonlee</x:v>
      </x:c>
      <x:c r="C996" s="1" t="n">
        <x:v>5</x:v>
      </x:c>
      <x:c r="D996" s="1" t="str">
        <x:v>Close Combat</x:v>
      </x:c>
      <x:c r="E996" s="1" t="str">
        <x:v>Lutador</x:v>
      </x:c>
      <x:c r="F996" s="1" t="str">
        <x:v>Física</x:v>
      </x:c>
      <x:c r="G996" s="10" t="n">
        <x:v>120</x:v>
      </x:c>
      <x:c r="H996" s="10" t="n">
        <x:f>IF(F996="Física",'Pokémon'!G110,IF(F996="Especial",'Pokémon'!I110,""))</x:f>
        <x:v>120</x:v>
      </x:c>
      <x:c r="I996" s="10" t="n">
        <x:f>IF(OR(F996="Status",G996=0),"",G996+H996)</x:f>
        <x:v>240</x:v>
      </x:c>
      <x:c r="J996" s="10" t="n">
        <x:v>1</x:v>
      </x:c>
      <x:c r="K996" s="12" t="n">
        <x:v>50</x:v>
      </x:c>
      <x:c r="L996" s="1" t="str"/>
      <x:c r="M996" s="9" t="str">
        <x:v>https://poke.idleworld.online/pokepedia/pokemon/hitmonlee</x:v>
      </x:c>
    </x:row>
    <x:row r="997" ht="22" customHeight="1">
      <x:c r="A997" s="1" t="n">
        <x:v>106</x:v>
      </x:c>
      <x:c r="B997" s="1" t="str">
        <x:v>Hitmonlee</x:v>
      </x:c>
      <x:c r="C997" s="1" t="n">
        <x:v>7</x:v>
      </x:c>
      <x:c r="D997" s="1" t="str">
        <x:v>Jump Kick</x:v>
      </x:c>
      <x:c r="E997" s="1" t="str">
        <x:v>Lutador</x:v>
      </x:c>
      <x:c r="F997" s="1" t="str">
        <x:v>Física</x:v>
      </x:c>
      <x:c r="G997" s="10" t="n">
        <x:v>100</x:v>
      </x:c>
      <x:c r="H997" s="10" t="n">
        <x:f>IF(F997="Física",'Pokémon'!G110,IF(F997="Especial",'Pokémon'!I110,""))</x:f>
        <x:v>120</x:v>
      </x:c>
      <x:c r="I997" s="10" t="n">
        <x:f>IF(OR(F997="Status",G997=0),"",G997+H997)</x:f>
        <x:v>220</x:v>
      </x:c>
      <x:c r="J997" s="10" t="n">
        <x:v>13</x:v>
      </x:c>
      <x:c r="K997" s="12" t="n">
        <x:v>40</x:v>
      </x:c>
      <x:c r="L997" s="1" t="str"/>
      <x:c r="M997" s="9" t="str">
        <x:v>https://poke.idleworld.online/pokepedia/pokemon/hitmonlee</x:v>
      </x:c>
    </x:row>
    <x:row r="998" ht="22" customHeight="1">
      <x:c r="A998" s="1" t="n">
        <x:v>106</x:v>
      </x:c>
      <x:c r="B998" s="1" t="str">
        <x:v>Hitmonlee</x:v>
      </x:c>
      <x:c r="C998" s="1" t="n">
        <x:v>11</x:v>
      </x:c>
      <x:c r="D998" s="1" t="str">
        <x:v>Blaze Kick</x:v>
      </x:c>
      <x:c r="E998" s="1" t="str">
        <x:v>Fogo</x:v>
      </x:c>
      <x:c r="F998" s="1" t="str">
        <x:v>Física</x:v>
      </x:c>
      <x:c r="G998" s="10" t="n">
        <x:v>85</x:v>
      </x:c>
      <x:c r="H998" s="10" t="n">
        <x:f>IF(F998="Física",'Pokémon'!G110,IF(F998="Especial",'Pokémon'!I110,""))</x:f>
        <x:v>120</x:v>
      </x:c>
      <x:c r="I998" s="10" t="n">
        <x:f>IF(OR(F998="Status",G998=0),"",G998+H998)</x:f>
        <x:v>205</x:v>
      </x:c>
      <x:c r="J998" s="10" t="n">
        <x:v>45</x:v>
      </x:c>
      <x:c r="K998" s="12" t="n">
        <x:v>22</x:v>
      </x:c>
      <x:c r="L998" s="1" t="str"/>
      <x:c r="M998" s="9" t="str">
        <x:v>https://poke.idleworld.online/pokepedia/pokemon/hitmonlee</x:v>
      </x:c>
    </x:row>
    <x:row r="999" ht="22" customHeight="1">
      <x:c r="A999" s="1" t="n">
        <x:v>106</x:v>
      </x:c>
      <x:c r="B999" s="1" t="str">
        <x:v>Hitmonlee</x:v>
      </x:c>
      <x:c r="C999" s="1" t="n">
        <x:v>8</x:v>
      </x:c>
      <x:c r="D999" s="1" t="str">
        <x:v>Brick Break</x:v>
      </x:c>
      <x:c r="E999" s="1" t="str">
        <x:v>Lutador</x:v>
      </x:c>
      <x:c r="F999" s="1" t="str">
        <x:v>Física</x:v>
      </x:c>
      <x:c r="G999" s="10" t="n">
        <x:v>75</x:v>
      </x:c>
      <x:c r="H999" s="10" t="n">
        <x:f>IF(F999="Física",'Pokémon'!G110,IF(F999="Especial",'Pokémon'!I110,""))</x:f>
        <x:v>120</x:v>
      </x:c>
      <x:c r="I999" s="10" t="n">
        <x:f>IF(OR(F999="Status",G999=0),"",G999+H999)</x:f>
        <x:v>195</x:v>
      </x:c>
      <x:c r="J999" s="10" t="n">
        <x:v>17</x:v>
      </x:c>
      <x:c r="K999" s="12" t="n">
        <x:v>22</x:v>
      </x:c>
      <x:c r="L999" s="1" t="str"/>
      <x:c r="M999" s="9" t="str">
        <x:v>https://poke.idleworld.online/pokepedia/pokemon/hitmonlee</x:v>
      </x:c>
    </x:row>
    <x:row r="1000" ht="22" customHeight="1">
      <x:c r="A1000" s="1" t="n">
        <x:v>106</x:v>
      </x:c>
      <x:c r="B1000" s="1" t="str">
        <x:v>Hitmonlee</x:v>
      </x:c>
      <x:c r="C1000" s="1" t="n">
        <x:v>4</x:v>
      </x:c>
      <x:c r="D1000" s="1" t="str">
        <x:v>Revenge</x:v>
      </x:c>
      <x:c r="E1000" s="1" t="str">
        <x:v>Lutador</x:v>
      </x:c>
      <x:c r="F1000" s="1" t="str">
        <x:v>Física</x:v>
      </x:c>
      <x:c r="G1000" s="10" t="n">
        <x:v>60</x:v>
      </x:c>
      <x:c r="H1000" s="10" t="n">
        <x:f>IF(F1000="Física",'Pokémon'!G110,IF(F1000="Especial",'Pokémon'!I110,""))</x:f>
        <x:v>120</x:v>
      </x:c>
      <x:c r="I1000" s="10" t="n">
        <x:f>IF(OR(F1000="Status",G1000=0),"",G1000+H1000)</x:f>
        <x:v>180</x:v>
      </x:c>
      <x:c r="J1000" s="10" t="n">
        <x:v>1</x:v>
      </x:c>
      <x:c r="K1000" s="12" t="n">
        <x:v>20</x:v>
      </x:c>
      <x:c r="L1000" s="1" t="str"/>
      <x:c r="M1000" s="9" t="str">
        <x:v>https://poke.idleworld.online/pokepedia/pokemon/hitmonlee</x:v>
      </x:c>
    </x:row>
    <x:row r="1001" ht="22" customHeight="1">
      <x:c r="A1001" s="1" t="n">
        <x:v>106</x:v>
      </x:c>
      <x:c r="B1001" s="1" t="str">
        <x:v>Hitmonlee</x:v>
      </x:c>
      <x:c r="C1001" s="1" t="n">
        <x:v>6</x:v>
      </x:c>
      <x:c r="D1001" s="1" t="str">
        <x:v>Rolling Kick</x:v>
      </x:c>
      <x:c r="E1001" s="1" t="str">
        <x:v>Lutador</x:v>
      </x:c>
      <x:c r="F1001" s="1" t="str">
        <x:v>Física</x:v>
      </x:c>
      <x:c r="G1001" s="10" t="n">
        <x:v>60</x:v>
      </x:c>
      <x:c r="H1001" s="10" t="n">
        <x:f>IF(F1001="Física",'Pokémon'!G110,IF(F1001="Especial",'Pokémon'!I110,""))</x:f>
        <x:v>120</x:v>
      </x:c>
      <x:c r="I1001" s="10" t="n">
        <x:f>IF(OR(F1001="Status",G1001=0),"",G1001+H1001)</x:f>
        <x:v>180</x:v>
      </x:c>
      <x:c r="J1001" s="10" t="n">
        <x:v>9</x:v>
      </x:c>
      <x:c r="K1001" s="12" t="n">
        <x:v>20</x:v>
      </x:c>
      <x:c r="L1001" s="1" t="str"/>
      <x:c r="M1001" s="9" t="str">
        <x:v>https://poke.idleworld.online/pokepedia/pokemon/hitmonlee</x:v>
      </x:c>
    </x:row>
    <x:row r="1002" ht="22" customHeight="1">
      <x:c r="A1002" s="1" t="n">
        <x:v>106</x:v>
      </x:c>
      <x:c r="B1002" s="1" t="str">
        <x:v>Hitmonlee</x:v>
      </x:c>
      <x:c r="C1002" s="1" t="n">
        <x:v>3</x:v>
      </x:c>
      <x:c r="D1002" s="1" t="str">
        <x:v>Double Kick</x:v>
      </x:c>
      <x:c r="E1002" s="1" t="str">
        <x:v>Lutador</x:v>
      </x:c>
      <x:c r="F1002" s="1" t="str">
        <x:v>Física</x:v>
      </x:c>
      <x:c r="G1002" s="10" t="n">
        <x:v>30</x:v>
      </x:c>
      <x:c r="H1002" s="10" t="n">
        <x:f>IF(F1002="Física",'Pokémon'!G110,IF(F1002="Especial",'Pokémon'!I110,""))</x:f>
        <x:v>120</x:v>
      </x:c>
      <x:c r="I1002" s="10" t="n">
        <x:f>IF(OR(F1002="Status",G1002=0),"",G1002+H1002)</x:f>
        <x:v>150</x:v>
      </x:c>
      <x:c r="J1002" s="10" t="n">
        <x:v>1</x:v>
      </x:c>
      <x:c r="K1002" s="12" t="n">
        <x:v>15</x:v>
      </x:c>
      <x:c r="L1002" s="1" t="str"/>
      <x:c r="M1002" s="9" t="str">
        <x:v>https://poke.idleworld.online/pokepedia/pokemon/hitmonlee</x:v>
      </x:c>
    </x:row>
    <x:row r="1003" ht="22" customHeight="1">
      <x:c r="A1003" s="1" t="n">
        <x:v>106</x:v>
      </x:c>
      <x:c r="B1003" s="1" t="str">
        <x:v>Hitmonlee</x:v>
      </x:c>
      <x:c r="C1003" s="1" t="n">
        <x:v>9</x:v>
      </x:c>
      <x:c r="D1003" s="1" t="str">
        <x:v>Feint</x:v>
      </x:c>
      <x:c r="E1003" s="1" t="str">
        <x:v>Normal</x:v>
      </x:c>
      <x:c r="F1003" s="1" t="str">
        <x:v>Física</x:v>
      </x:c>
      <x:c r="G1003" s="10" t="n">
        <x:v>30</x:v>
      </x:c>
      <x:c r="H1003" s="10" t="n">
        <x:f>IF(F1003="Física",'Pokémon'!G110,IF(F1003="Especial",'Pokémon'!I110,""))</x:f>
        <x:v>120</x:v>
      </x:c>
      <x:c r="I1003" s="10" t="n">
        <x:f>IF(OR(F1003="Status",G1003=0),"",G1003+H1003)</x:f>
        <x:v>150</x:v>
      </x:c>
      <x:c r="J1003" s="10" t="n">
        <x:v>25</x:v>
      </x:c>
      <x:c r="K1003" s="12" t="n">
        <x:v>15</x:v>
      </x:c>
      <x:c r="L1003" s="1" t="str"/>
      <x:c r="M1003" s="9" t="str">
        <x:v>https://poke.idleworld.online/pokepedia/pokemon/hitmonlee</x:v>
      </x:c>
    </x:row>
    <x:row r="1004" ht="22" customHeight="1">
      <x:c r="A1004" s="1" t="n">
        <x:v>107</x:v>
      </x:c>
      <x:c r="B1004" s="1" t="str">
        <x:v>Hitmonchan</x:v>
      </x:c>
      <x:c r="C1004" s="1" t="n">
        <x:v>3</x:v>
      </x:c>
      <x:c r="D1004" s="1" t="str">
        <x:v>Meteor Fists</x:v>
      </x:c>
      <x:c r="E1004" s="1" t="str">
        <x:v>Lutador</x:v>
      </x:c>
      <x:c r="F1004" s="1" t="str">
        <x:v>Física</x:v>
      </x:c>
      <x:c r="G1004" s="10" t="n">
        <x:v>300</x:v>
      </x:c>
      <x:c r="H1004" s="10" t="n">
        <x:f>IF(F1004="Física",'Pokémon'!G111,IF(F1004="Especial",'Pokémon'!I111,""))</x:f>
        <x:v>105</x:v>
      </x:c>
      <x:c r="I1004" s="10" t="n">
        <x:f>IF(OR(F1004="Status",G1004=0),"",G1004+H1004)</x:f>
        <x:v>405</x:v>
      </x:c>
      <x:c r="J1004" s="10" t="n">
        <x:v>1</x:v>
      </x:c>
      <x:c r="K1004" s="12" t="n">
        <x:v>10</x:v>
      </x:c>
      <x:c r="L1004" s="1" t="str">
        <x:v>Sim</x:v>
      </x:c>
      <x:c r="M1004" s="9" t="str">
        <x:v>https://poke.idleworld.online/pokepedia/pokemon/hitmonchan</x:v>
      </x:c>
    </x:row>
    <x:row r="1005" ht="22" customHeight="1">
      <x:c r="A1005" s="1" t="n">
        <x:v>107</x:v>
      </x:c>
      <x:c r="B1005" s="1" t="str">
        <x:v>Hitmonchan</x:v>
      </x:c>
      <x:c r="C1005" s="1" t="n">
        <x:v>1</x:v>
      </x:c>
      <x:c r="D1005" s="1" t="str">
        <x:v>Focus Punch</x:v>
      </x:c>
      <x:c r="E1005" s="1" t="str">
        <x:v>Lutador</x:v>
      </x:c>
      <x:c r="F1005" s="1" t="str">
        <x:v>Física</x:v>
      </x:c>
      <x:c r="G1005" s="10" t="n">
        <x:v>150</x:v>
      </x:c>
      <x:c r="H1005" s="10" t="n">
        <x:f>IF(F1005="Física",'Pokémon'!G111,IF(F1005="Especial",'Pokémon'!I111,""))</x:f>
        <x:v>105</x:v>
      </x:c>
      <x:c r="I1005" s="10" t="n">
        <x:f>IF(OR(F1005="Status",G1005=0),"",G1005+H1005)</x:f>
        <x:v>255</x:v>
      </x:c>
      <x:c r="J1005" s="10" t="n">
        <x:v>1</x:v>
      </x:c>
      <x:c r="K1005" s="12" t="n">
        <x:v>50</x:v>
      </x:c>
      <x:c r="L1005" s="1" t="str"/>
      <x:c r="M1005" s="9" t="str">
        <x:v>https://poke.idleworld.online/pokepedia/pokemon/hitmonchan</x:v>
      </x:c>
    </x:row>
    <x:row r="1006" ht="22" customHeight="1">
      <x:c r="A1006" s="1" t="n">
        <x:v>107</x:v>
      </x:c>
      <x:c r="B1006" s="1" t="str">
        <x:v>Hitmonchan</x:v>
      </x:c>
      <x:c r="C1006" s="1" t="n">
        <x:v>5</x:v>
      </x:c>
      <x:c r="D1006" s="1" t="str">
        <x:v>Close Combat</x:v>
      </x:c>
      <x:c r="E1006" s="1" t="str">
        <x:v>Lutador</x:v>
      </x:c>
      <x:c r="F1006" s="1" t="str">
        <x:v>Física</x:v>
      </x:c>
      <x:c r="G1006" s="10" t="n">
        <x:v>120</x:v>
      </x:c>
      <x:c r="H1006" s="10" t="n">
        <x:f>IF(F1006="Física",'Pokémon'!G111,IF(F1006="Especial",'Pokémon'!I111,""))</x:f>
        <x:v>105</x:v>
      </x:c>
      <x:c r="I1006" s="10" t="n">
        <x:f>IF(OR(F1006="Status",G1006=0),"",G1006+H1006)</x:f>
        <x:v>225</x:v>
      </x:c>
      <x:c r="J1006" s="10" t="n">
        <x:v>1</x:v>
      </x:c>
      <x:c r="K1006" s="12" t="n">
        <x:v>50</x:v>
      </x:c>
      <x:c r="L1006" s="1" t="str"/>
      <x:c r="M1006" s="9" t="str">
        <x:v>https://poke.idleworld.online/pokepedia/pokemon/hitmonchan</x:v>
      </x:c>
    </x:row>
    <x:row r="1007" ht="22" customHeight="1">
      <x:c r="A1007" s="1" t="n">
        <x:v>107</x:v>
      </x:c>
      <x:c r="B1007" s="1" t="str">
        <x:v>Hitmonchan</x:v>
      </x:c>
      <x:c r="C1007" s="1" t="n">
        <x:v>14</x:v>
      </x:c>
      <x:c r="D1007" s="1" t="str">
        <x:v>Sky Uppercut</x:v>
      </x:c>
      <x:c r="E1007" s="1" t="str">
        <x:v>Lutador</x:v>
      </x:c>
      <x:c r="F1007" s="1" t="str">
        <x:v>Física</x:v>
      </x:c>
      <x:c r="G1007" s="10" t="n">
        <x:v>85</x:v>
      </x:c>
      <x:c r="H1007" s="10" t="n">
        <x:f>IF(F1007="Física",'Pokémon'!G111,IF(F1007="Especial",'Pokémon'!I111,""))</x:f>
        <x:v>105</x:v>
      </x:c>
      <x:c r="I1007" s="10" t="n">
        <x:f>IF(OR(F1007="Status",G1007=0),"",G1007+H1007)</x:f>
        <x:v>190</x:v>
      </x:c>
      <x:c r="J1007" s="10" t="n">
        <x:v>41</x:v>
      </x:c>
      <x:c r="K1007" s="12" t="n">
        <x:v>22</x:v>
      </x:c>
      <x:c r="L1007" s="1" t="str"/>
      <x:c r="M1007" s="9" t="str">
        <x:v>https://poke.idleworld.online/pokepedia/pokemon/hitmonchan</x:v>
      </x:c>
    </x:row>
    <x:row r="1008" ht="22" customHeight="1">
      <x:c r="A1008" s="1" t="n">
        <x:v>107</x:v>
      </x:c>
      <x:c r="B1008" s="1" t="str">
        <x:v>Hitmonchan</x:v>
      </x:c>
      <x:c r="C1008" s="1" t="n">
        <x:v>15</x:v>
      </x:c>
      <x:c r="D1008" s="1" t="str">
        <x:v>Mega Punch</x:v>
      </x:c>
      <x:c r="E1008" s="1" t="str">
        <x:v>Normal</x:v>
      </x:c>
      <x:c r="F1008" s="1" t="str">
        <x:v>Física</x:v>
      </x:c>
      <x:c r="G1008" s="10" t="n">
        <x:v>80</x:v>
      </x:c>
      <x:c r="H1008" s="10" t="n">
        <x:f>IF(F1008="Física",'Pokémon'!G111,IF(F1008="Especial",'Pokémon'!I111,""))</x:f>
        <x:v>105</x:v>
      </x:c>
      <x:c r="I1008" s="10" t="n">
        <x:f>IF(OR(F1008="Status",G1008=0),"",G1008+H1008)</x:f>
        <x:v>185</x:v>
      </x:c>
      <x:c r="J1008" s="10" t="n">
        <x:v>46</x:v>
      </x:c>
      <x:c r="K1008" s="12" t="n">
        <x:v>25</x:v>
      </x:c>
      <x:c r="L1008" s="1" t="str"/>
      <x:c r="M1008" s="9" t="str">
        <x:v>https://poke.idleworld.online/pokepedia/pokemon/hitmonchan</x:v>
      </x:c>
    </x:row>
    <x:row r="1009" ht="22" customHeight="1">
      <x:c r="A1009" s="1" t="n">
        <x:v>107</x:v>
      </x:c>
      <x:c r="B1009" s="1" t="str">
        <x:v>Hitmonchan</x:v>
      </x:c>
      <x:c r="C1009" s="1" t="n">
        <x:v>11</x:v>
      </x:c>
      <x:c r="D1009" s="1" t="str">
        <x:v>Fire Punch</x:v>
      </x:c>
      <x:c r="E1009" s="1" t="str">
        <x:v>Fogo</x:v>
      </x:c>
      <x:c r="F1009" s="1" t="str">
        <x:v>Física</x:v>
      </x:c>
      <x:c r="G1009" s="10" t="n">
        <x:v>75</x:v>
      </x:c>
      <x:c r="H1009" s="10" t="n">
        <x:f>IF(F1009="Física",'Pokémon'!G111,IF(F1009="Especial",'Pokémon'!I111,""))</x:f>
        <x:v>105</x:v>
      </x:c>
      <x:c r="I1009" s="10" t="n">
        <x:f>IF(OR(F1009="Status",G1009=0),"",G1009+H1009)</x:f>
        <x:v>180</x:v>
      </x:c>
      <x:c r="J1009" s="10" t="n">
        <x:v>36</x:v>
      </x:c>
      <x:c r="K1009" s="12" t="n">
        <x:v>22</x:v>
      </x:c>
      <x:c r="L1009" s="1" t="str"/>
      <x:c r="M1009" s="9" t="str">
        <x:v>https://poke.idleworld.online/pokepedia/pokemon/hitmonchan</x:v>
      </x:c>
    </x:row>
    <x:row r="1010" ht="22" customHeight="1">
      <x:c r="A1010" s="1" t="n">
        <x:v>107</x:v>
      </x:c>
      <x:c r="B1010" s="1" t="str">
        <x:v>Hitmonchan</x:v>
      </x:c>
      <x:c r="C1010" s="1" t="n">
        <x:v>12</x:v>
      </x:c>
      <x:c r="D1010" s="1" t="str">
        <x:v>Ice Punch</x:v>
      </x:c>
      <x:c r="E1010" s="1" t="str">
        <x:v>Gelo</x:v>
      </x:c>
      <x:c r="F1010" s="1" t="str">
        <x:v>Física</x:v>
      </x:c>
      <x:c r="G1010" s="10" t="n">
        <x:v>75</x:v>
      </x:c>
      <x:c r="H1010" s="10" t="n">
        <x:f>IF(F1010="Física",'Pokémon'!G111,IF(F1010="Especial",'Pokémon'!I111,""))</x:f>
        <x:v>105</x:v>
      </x:c>
      <x:c r="I1010" s="10" t="n">
        <x:f>IF(OR(F1010="Status",G1010=0),"",G1010+H1010)</x:f>
        <x:v>180</x:v>
      </x:c>
      <x:c r="J1010" s="10" t="n">
        <x:v>36</x:v>
      </x:c>
      <x:c r="K1010" s="12" t="n">
        <x:v>22</x:v>
      </x:c>
      <x:c r="L1010" s="1" t="str"/>
      <x:c r="M1010" s="9" t="str">
        <x:v>https://poke.idleworld.online/pokepedia/pokemon/hitmonchan</x:v>
      </x:c>
    </x:row>
    <x:row r="1011" ht="22" customHeight="1">
      <x:c r="A1011" s="1" t="n">
        <x:v>107</x:v>
      </x:c>
      <x:c r="B1011" s="1" t="str">
        <x:v>Hitmonchan</x:v>
      </x:c>
      <x:c r="C1011" s="1" t="n">
        <x:v>13</x:v>
      </x:c>
      <x:c r="D1011" s="1" t="str">
        <x:v>Thunder Punch</x:v>
      </x:c>
      <x:c r="E1011" s="1" t="str">
        <x:v>Elétrico</x:v>
      </x:c>
      <x:c r="F1011" s="1" t="str">
        <x:v>Física</x:v>
      </x:c>
      <x:c r="G1011" s="10" t="n">
        <x:v>75</x:v>
      </x:c>
      <x:c r="H1011" s="10" t="n">
        <x:f>IF(F1011="Física",'Pokémon'!G111,IF(F1011="Especial",'Pokémon'!I111,""))</x:f>
        <x:v>105</x:v>
      </x:c>
      <x:c r="I1011" s="10" t="n">
        <x:f>IF(OR(F1011="Status",G1011=0),"",G1011+H1011)</x:f>
        <x:v>180</x:v>
      </x:c>
      <x:c r="J1011" s="10" t="n">
        <x:v>36</x:v>
      </x:c>
      <x:c r="K1011" s="12" t="n">
        <x:v>22</x:v>
      </x:c>
      <x:c r="L1011" s="1" t="str"/>
      <x:c r="M1011" s="9" t="str">
        <x:v>https://poke.idleworld.online/pokepedia/pokemon/hitmonchan</x:v>
      </x:c>
    </x:row>
    <x:row r="1012" ht="22" customHeight="1">
      <x:c r="A1012" s="1" t="n">
        <x:v>107</x:v>
      </x:c>
      <x:c r="B1012" s="1" t="str">
        <x:v>Hitmonchan</x:v>
      </x:c>
      <x:c r="C1012" s="1" t="n">
        <x:v>2</x:v>
      </x:c>
      <x:c r="D1012" s="1" t="str">
        <x:v>Revenge</x:v>
      </x:c>
      <x:c r="E1012" s="1" t="str">
        <x:v>Lutador</x:v>
      </x:c>
      <x:c r="F1012" s="1" t="str">
        <x:v>Física</x:v>
      </x:c>
      <x:c r="G1012" s="10" t="n">
        <x:v>60</x:v>
      </x:c>
      <x:c r="H1012" s="10" t="n">
        <x:f>IF(F1012="Física",'Pokémon'!G111,IF(F1012="Especial",'Pokémon'!I111,""))</x:f>
        <x:v>105</x:v>
      </x:c>
      <x:c r="I1012" s="10" t="n">
        <x:f>IF(OR(F1012="Status",G1012=0),"",G1012+H1012)</x:f>
        <x:v>165</x:v>
      </x:c>
      <x:c r="J1012" s="10" t="n">
        <x:v>1</x:v>
      </x:c>
      <x:c r="K1012" s="12" t="n">
        <x:v>30</x:v>
      </x:c>
      <x:c r="L1012" s="1" t="str"/>
      <x:c r="M1012" s="9" t="str">
        <x:v>https://poke.idleworld.online/pokepedia/pokemon/hitmonchan</x:v>
      </x:c>
    </x:row>
    <x:row r="1013" ht="22" customHeight="1">
      <x:c r="A1013" s="1" t="n">
        <x:v>107</x:v>
      </x:c>
      <x:c r="B1013" s="1" t="str">
        <x:v>Hitmonchan</x:v>
      </x:c>
      <x:c r="C1013" s="1" t="n">
        <x:v>6</x:v>
      </x:c>
      <x:c r="D1013" s="1" t="str">
        <x:v>Pursuit</x:v>
      </x:c>
      <x:c r="E1013" s="1" t="str">
        <x:v>Sombrio</x:v>
      </x:c>
      <x:c r="F1013" s="1" t="str">
        <x:v>Física</x:v>
      </x:c>
      <x:c r="G1013" s="10" t="n">
        <x:v>40</x:v>
      </x:c>
      <x:c r="H1013" s="10" t="n">
        <x:f>IF(F1013="Física",'Pokémon'!G111,IF(F1013="Especial",'Pokémon'!I111,""))</x:f>
        <x:v>105</x:v>
      </x:c>
      <x:c r="I1013" s="10" t="n">
        <x:f>IF(OR(F1013="Status",G1013=0),"",G1013+H1013)</x:f>
        <x:v>145</x:v>
      </x:c>
      <x:c r="J1013" s="10" t="n">
        <x:v>11</x:v>
      </x:c>
      <x:c r="K1013" s="12" t="n">
        <x:v>15</x:v>
      </x:c>
      <x:c r="L1013" s="1" t="str"/>
      <x:c r="M1013" s="9" t="str">
        <x:v>https://poke.idleworld.online/pokepedia/pokemon/hitmonchan</x:v>
      </x:c>
    </x:row>
    <x:row r="1014" ht="22" customHeight="1">
      <x:c r="A1014" s="1" t="n">
        <x:v>107</x:v>
      </x:c>
      <x:c r="B1014" s="1" t="str">
        <x:v>Hitmonchan</x:v>
      </x:c>
      <x:c r="C1014" s="1" t="n">
        <x:v>7</x:v>
      </x:c>
      <x:c r="D1014" s="1" t="str">
        <x:v>Mach Punch</x:v>
      </x:c>
      <x:c r="E1014" s="1" t="str">
        <x:v>Lutador</x:v>
      </x:c>
      <x:c r="F1014" s="1" t="str">
        <x:v>Física</x:v>
      </x:c>
      <x:c r="G1014" s="10" t="n">
        <x:v>40</x:v>
      </x:c>
      <x:c r="H1014" s="10" t="n">
        <x:f>IF(F1014="Física",'Pokémon'!G111,IF(F1014="Especial",'Pokémon'!I111,""))</x:f>
        <x:v>105</x:v>
      </x:c>
      <x:c r="I1014" s="10" t="n">
        <x:f>IF(OR(F1014="Status",G1014=0),"",G1014+H1014)</x:f>
        <x:v>145</x:v>
      </x:c>
      <x:c r="J1014" s="10" t="n">
        <x:v>16</x:v>
      </x:c>
      <x:c r="K1014" s="12" t="n">
        <x:v>15</x:v>
      </x:c>
      <x:c r="L1014" s="1" t="str"/>
      <x:c r="M1014" s="9" t="str">
        <x:v>https://poke.idleworld.online/pokepedia/pokemon/hitmonchan</x:v>
      </x:c>
    </x:row>
    <x:row r="1015" ht="22" customHeight="1">
      <x:c r="A1015" s="1" t="n">
        <x:v>107</x:v>
      </x:c>
      <x:c r="B1015" s="1" t="str">
        <x:v>Hitmonchan</x:v>
      </x:c>
      <x:c r="C1015" s="1" t="n">
        <x:v>8</x:v>
      </x:c>
      <x:c r="D1015" s="1" t="str">
        <x:v>Bullet Punch</x:v>
      </x:c>
      <x:c r="E1015" s="1" t="str">
        <x:v>Aço</x:v>
      </x:c>
      <x:c r="F1015" s="1" t="str">
        <x:v>Física</x:v>
      </x:c>
      <x:c r="G1015" s="10" t="n">
        <x:v>40</x:v>
      </x:c>
      <x:c r="H1015" s="10" t="n">
        <x:f>IF(F1015="Física",'Pokémon'!G111,IF(F1015="Especial",'Pokémon'!I111,""))</x:f>
        <x:v>105</x:v>
      </x:c>
      <x:c r="I1015" s="10" t="n">
        <x:f>IF(OR(F1015="Status",G1015=0),"",G1015+H1015)</x:f>
        <x:v>145</x:v>
      </x:c>
      <x:c r="J1015" s="10" t="n">
        <x:v>16</x:v>
      </x:c>
      <x:c r="K1015" s="12" t="n">
        <x:v>15</x:v>
      </x:c>
      <x:c r="L1015" s="1" t="str"/>
      <x:c r="M1015" s="9" t="str">
        <x:v>https://poke.idleworld.online/pokepedia/pokemon/hitmonchan</x:v>
      </x:c>
    </x:row>
    <x:row r="1016" ht="22" customHeight="1">
      <x:c r="A1016" s="1" t="n">
        <x:v>107</x:v>
      </x:c>
      <x:c r="B1016" s="1" t="str">
        <x:v>Hitmonchan</x:v>
      </x:c>
      <x:c r="C1016" s="1" t="n">
        <x:v>9</x:v>
      </x:c>
      <x:c r="D1016" s="1" t="str">
        <x:v>Feint</x:v>
      </x:c>
      <x:c r="E1016" s="1" t="str">
        <x:v>Normal</x:v>
      </x:c>
      <x:c r="F1016" s="1" t="str">
        <x:v>Física</x:v>
      </x:c>
      <x:c r="G1016" s="10" t="n">
        <x:v>30</x:v>
      </x:c>
      <x:c r="H1016" s="10" t="n">
        <x:f>IF(F1016="Física",'Pokémon'!G111,IF(F1016="Especial",'Pokémon'!I111,""))</x:f>
        <x:v>105</x:v>
      </x:c>
      <x:c r="I1016" s="10" t="n">
        <x:f>IF(OR(F1016="Status",G1016=0),"",G1016+H1016)</x:f>
        <x:v>135</x:v>
      </x:c>
      <x:c r="J1016" s="10" t="n">
        <x:v>21</x:v>
      </x:c>
      <x:c r="K1016" s="12" t="n">
        <x:v>15</x:v>
      </x:c>
      <x:c r="L1016" s="1" t="str"/>
      <x:c r="M1016" s="9" t="str">
        <x:v>https://poke.idleworld.online/pokepedia/pokemon/hitmonchan</x:v>
      </x:c>
    </x:row>
    <x:row r="1017" ht="22" customHeight="1">
      <x:c r="A1017" s="1" t="n">
        <x:v>107</x:v>
      </x:c>
      <x:c r="B1017" s="1" t="str">
        <x:v>Hitmonchan</x:v>
      </x:c>
      <x:c r="C1017" s="1" t="n">
        <x:v>4</x:v>
      </x:c>
      <x:c r="D1017" s="1" t="str">
        <x:v>Comet Punch</x:v>
      </x:c>
      <x:c r="E1017" s="1" t="str">
        <x:v>Normal</x:v>
      </x:c>
      <x:c r="F1017" s="1" t="str">
        <x:v>Física</x:v>
      </x:c>
      <x:c r="G1017" s="10" t="n">
        <x:v>18</x:v>
      </x:c>
      <x:c r="H1017" s="10" t="n">
        <x:f>IF(F1017="Física",'Pokémon'!G111,IF(F1017="Especial",'Pokémon'!I111,""))</x:f>
        <x:v>105</x:v>
      </x:c>
      <x:c r="I1017" s="10" t="n">
        <x:f>IF(OR(F1017="Status",G1017=0),"",G1017+H1017)</x:f>
        <x:v>123</x:v>
      </x:c>
      <x:c r="J1017" s="10" t="n">
        <x:v>1</x:v>
      </x:c>
      <x:c r="K1017" s="12" t="n">
        <x:v>15</x:v>
      </x:c>
      <x:c r="L1017" s="1" t="str"/>
      <x:c r="M1017" s="9" t="str">
        <x:v>https://poke.idleworld.online/pokepedia/pokemon/hitmonchan</x:v>
      </x:c>
    </x:row>
    <x:row r="1018" ht="22" customHeight="1">
      <x:c r="A1018" s="1" t="n">
        <x:v>107</x:v>
      </x:c>
      <x:c r="B1018" s="1" t="str">
        <x:v>Hitmonchan</x:v>
      </x:c>
      <x:c r="C1018" s="1" t="n">
        <x:v>10</x:v>
      </x:c>
      <x:c r="D1018" s="1" t="str">
        <x:v>Vacuum Wave</x:v>
      </x:c>
      <x:c r="E1018" s="1" t="str">
        <x:v>Lutador</x:v>
      </x:c>
      <x:c r="F1018" s="1" t="str">
        <x:v>Especial</x:v>
      </x:c>
      <x:c r="G1018" s="10" t="n">
        <x:v>40</x:v>
      </x:c>
      <x:c r="H1018" s="10" t="n">
        <x:f>IF(F1018="Física",'Pokémon'!G111,IF(F1018="Especial",'Pokémon'!I111,""))</x:f>
        <x:v>35</x:v>
      </x:c>
      <x:c r="I1018" s="10" t="n">
        <x:f>IF(OR(F1018="Status",G1018=0),"",G1018+H1018)</x:f>
        <x:v>75</x:v>
      </x:c>
      <x:c r="J1018" s="10" t="n">
        <x:v>26</x:v>
      </x:c>
      <x:c r="K1018" s="12" t="n">
        <x:v>15</x:v>
      </x:c>
      <x:c r="L1018" s="1" t="str"/>
      <x:c r="M1018" s="9" t="str">
        <x:v>https://poke.idleworld.online/pokepedia/pokemon/hitmonchan</x:v>
      </x:c>
    </x:row>
    <x:row r="1019" ht="22" customHeight="1">
      <x:c r="A1019" s="1" t="n">
        <x:v>107</x:v>
      </x:c>
      <x:c r="B1019" s="1" t="str">
        <x:v>Hitmonchan</x:v>
      </x:c>
      <x:c r="C1019" s="1" t="n">
        <x:v>16</x:v>
      </x:c>
      <x:c r="D1019" s="1" t="str">
        <x:v>Detect</x:v>
      </x:c>
      <x:c r="E1019" s="1" t="str">
        <x:v>Lutador</x:v>
      </x:c>
      <x:c r="F1019" s="1" t="str">
        <x:v>Status</x:v>
      </x:c>
      <x:c r="G1019" s="10" t="n">
        <x:v>0</x:v>
      </x:c>
      <x:c r="H1019" s="10" t="str">
        <x:f>IF(F1019="Física",'Pokémon'!G111,IF(F1019="Especial",'Pokémon'!I111,""))</x:f>
      </x:c>
      <x:c r="I1019" s="10" t="str">
        <x:f>IF(OR(F1019="Status",G1019=0),"",G1019+H1019)</x:f>
      </x:c>
      <x:c r="J1019" s="10" t="n">
        <x:v>50</x:v>
      </x:c>
      <x:c r="K1019" s="12" t="n">
        <x:v>3</x:v>
      </x:c>
      <x:c r="L1019" s="1" t="str"/>
      <x:c r="M1019" s="9" t="str">
        <x:v>https://poke.idleworld.online/pokepedia/pokemon/hitmonchan</x:v>
      </x:c>
    </x:row>
    <x:row r="1020" ht="22" customHeight="1">
      <x:c r="A1020" s="1" t="n">
        <x:v>108</x:v>
      </x:c>
      <x:c r="B1020" s="1" t="str">
        <x:v>Lickitung</x:v>
      </x:c>
      <x:c r="C1020" s="1" t="n">
        <x:v>10</x:v>
      </x:c>
      <x:c r="D1020" s="1" t="str">
        <x:v>Power Whip</x:v>
      </x:c>
      <x:c r="E1020" s="1" t="str">
        <x:v>Planta</x:v>
      </x:c>
      <x:c r="F1020" s="1" t="str">
        <x:v>Física</x:v>
      </x:c>
      <x:c r="G1020" s="10" t="n">
        <x:v>120</x:v>
      </x:c>
      <x:c r="H1020" s="10" t="n">
        <x:f>IF(F1020="Física",'Pokémon'!G112,IF(F1020="Especial",'Pokémon'!I112,""))</x:f>
        <x:v>55</x:v>
      </x:c>
      <x:c r="I1020" s="10" t="n">
        <x:f>IF(OR(F1020="Status",G1020=0),"",G1020+H1020)</x:f>
        <x:v>175</x:v>
      </x:c>
      <x:c r="J1020" s="10" t="n">
        <x:v>53</x:v>
      </x:c>
      <x:c r="K1020" s="12" t="n">
        <x:v>50</x:v>
      </x:c>
      <x:c r="L1020" s="1" t="str"/>
      <x:c r="M1020" s="9" t="str">
        <x:v>https://poke.idleworld.online/pokepedia/pokemon/lickitung</x:v>
      </x:c>
    </x:row>
    <x:row r="1021" ht="22" customHeight="1">
      <x:c r="A1021" s="1" t="n">
        <x:v>108</x:v>
      </x:c>
      <x:c r="B1021" s="1" t="str">
        <x:v>Lickitung</x:v>
      </x:c>
      <x:c r="C1021" s="1" t="n">
        <x:v>7</x:v>
      </x:c>
      <x:c r="D1021" s="1" t="str">
        <x:v>Slam</x:v>
      </x:c>
      <x:c r="E1021" s="1" t="str">
        <x:v>Normal</x:v>
      </x:c>
      <x:c r="F1021" s="1" t="str">
        <x:v>Física</x:v>
      </x:c>
      <x:c r="G1021" s="10" t="n">
        <x:v>80</x:v>
      </x:c>
      <x:c r="H1021" s="10" t="n">
        <x:f>IF(F1021="Física",'Pokémon'!G112,IF(F1021="Especial",'Pokémon'!I112,""))</x:f>
        <x:v>55</x:v>
      </x:c>
      <x:c r="I1021" s="10" t="n">
        <x:f>IF(OR(F1021="Status",G1021=0),"",G1021+H1021)</x:f>
        <x:v>135</x:v>
      </x:c>
      <x:c r="J1021" s="10" t="n">
        <x:v>29</x:v>
      </x:c>
      <x:c r="K1021" s="12" t="n">
        <x:v>15</x:v>
      </x:c>
      <x:c r="L1021" s="1" t="str"/>
      <x:c r="M1021" s="9" t="str">
        <x:v>https://poke.idleworld.online/pokepedia/pokemon/lickitung</x:v>
      </x:c>
    </x:row>
    <x:row r="1022" ht="22" customHeight="1">
      <x:c r="A1022" s="1" t="n">
        <x:v>108</x:v>
      </x:c>
      <x:c r="B1022" s="1" t="str">
        <x:v>Lickitung</x:v>
      </x:c>
      <x:c r="C1022" s="1" t="n">
        <x:v>9</x:v>
      </x:c>
      <x:c r="D1022" s="1" t="str">
        <x:v>Chip Away</x:v>
      </x:c>
      <x:c r="E1022" s="1" t="str">
        <x:v>Normal</x:v>
      </x:c>
      <x:c r="F1022" s="1" t="str">
        <x:v>Física</x:v>
      </x:c>
      <x:c r="G1022" s="10" t="n">
        <x:v>70</x:v>
      </x:c>
      <x:c r="H1022" s="10" t="n">
        <x:f>IF(F1022="Física",'Pokémon'!G112,IF(F1022="Especial",'Pokémon'!I112,""))</x:f>
        <x:v>55</x:v>
      </x:c>
      <x:c r="I1022" s="10" t="n">
        <x:f>IF(OR(F1022="Status",G1022=0),"",G1022+H1022)</x:f>
        <x:v>125</x:v>
      </x:c>
      <x:c r="J1022" s="10" t="n">
        <x:v>37</x:v>
      </x:c>
      <x:c r="K1022" s="12" t="n">
        <x:v>20</x:v>
      </x:c>
      <x:c r="L1022" s="1" t="str"/>
      <x:c r="M1022" s="9" t="str">
        <x:v>https://poke.idleworld.online/pokepedia/pokemon/lickitung</x:v>
      </x:c>
    </x:row>
    <x:row r="1023" ht="22" customHeight="1">
      <x:c r="A1023" s="1" t="n">
        <x:v>108</x:v>
      </x:c>
      <x:c r="B1023" s="1" t="str">
        <x:v>Lickitung</x:v>
      </x:c>
      <x:c r="C1023" s="1" t="n">
        <x:v>4</x:v>
      </x:c>
      <x:c r="D1023" s="1" t="str">
        <x:v>Knock Off</x:v>
      </x:c>
      <x:c r="E1023" s="1" t="str">
        <x:v>Sombrio</x:v>
      </x:c>
      <x:c r="F1023" s="1" t="str">
        <x:v>Física</x:v>
      </x:c>
      <x:c r="G1023" s="10" t="n">
        <x:v>65</x:v>
      </x:c>
      <x:c r="H1023" s="10" t="n">
        <x:f>IF(F1023="Física",'Pokémon'!G112,IF(F1023="Especial",'Pokémon'!I112,""))</x:f>
        <x:v>55</x:v>
      </x:c>
      <x:c r="I1023" s="10" t="n">
        <x:f>IF(OR(F1023="Status",G1023=0),"",G1023+H1023)</x:f>
        <x:v>120</x:v>
      </x:c>
      <x:c r="J1023" s="10" t="n">
        <x:v>13</x:v>
      </x:c>
      <x:c r="K1023" s="12" t="n">
        <x:v>20</x:v>
      </x:c>
      <x:c r="L1023" s="1" t="str"/>
      <x:c r="M1023" s="9" t="str">
        <x:v>https://poke.idleworld.online/pokepedia/pokemon/lickitung</x:v>
      </x:c>
    </x:row>
    <x:row r="1024" ht="22" customHeight="1">
      <x:c r="A1024" s="1" t="n">
        <x:v>108</x:v>
      </x:c>
      <x:c r="B1024" s="1" t="str">
        <x:v>Lickitung</x:v>
      </x:c>
      <x:c r="C1024" s="1" t="n">
        <x:v>6</x:v>
      </x:c>
      <x:c r="D1024" s="1" t="str">
        <x:v>Stomp</x:v>
      </x:c>
      <x:c r="E1024" s="1" t="str">
        <x:v>Normal</x:v>
      </x:c>
      <x:c r="F1024" s="1" t="str">
        <x:v>Física</x:v>
      </x:c>
      <x:c r="G1024" s="10" t="n">
        <x:v>65</x:v>
      </x:c>
      <x:c r="H1024" s="10" t="n">
        <x:f>IF(F1024="Física",'Pokémon'!G112,IF(F1024="Especial",'Pokémon'!I112,""))</x:f>
        <x:v>55</x:v>
      </x:c>
      <x:c r="I1024" s="10" t="n">
        <x:f>IF(OR(F1024="Status",G1024=0),"",G1024+H1024)</x:f>
        <x:v>120</x:v>
      </x:c>
      <x:c r="J1024" s="10" t="n">
        <x:v>21</x:v>
      </x:c>
      <x:c r="K1024" s="12" t="n">
        <x:v>20</x:v>
      </x:c>
      <x:c r="L1024" s="1" t="str"/>
      <x:c r="M1024" s="9" t="str">
        <x:v>https://poke.idleworld.online/pokepedia/pokemon/lickitung</x:v>
      </x:c>
    </x:row>
    <x:row r="1025" ht="22" customHeight="1">
      <x:c r="A1025" s="1" t="n">
        <x:v>108</x:v>
      </x:c>
      <x:c r="B1025" s="1" t="str">
        <x:v>Lickitung</x:v>
      </x:c>
      <x:c r="C1025" s="1" t="n">
        <x:v>1</x:v>
      </x:c>
      <x:c r="D1025" s="1" t="str">
        <x:v>Lick</x:v>
      </x:c>
      <x:c r="E1025" s="1" t="str">
        <x:v>Fantasma</x:v>
      </x:c>
      <x:c r="F1025" s="1" t="str">
        <x:v>Física</x:v>
      </x:c>
      <x:c r="G1025" s="10" t="n">
        <x:v>30</x:v>
      </x:c>
      <x:c r="H1025" s="10" t="n">
        <x:f>IF(F1025="Física",'Pokémon'!G112,IF(F1025="Especial",'Pokémon'!I112,""))</x:f>
        <x:v>55</x:v>
      </x:c>
      <x:c r="I1025" s="10" t="n">
        <x:f>IF(OR(F1025="Status",G1025=0),"",G1025+H1025)</x:f>
        <x:v>85</x:v>
      </x:c>
      <x:c r="J1025" s="10" t="n">
        <x:v>1</x:v>
      </x:c>
      <x:c r="K1025" s="12" t="n">
        <x:v>40</x:v>
      </x:c>
      <x:c r="L1025" s="1" t="str"/>
      <x:c r="M1025" s="9" t="str">
        <x:v>https://poke.idleworld.online/pokepedia/pokemon/lickitung</x:v>
      </x:c>
    </x:row>
    <x:row r="1026" ht="22" customHeight="1">
      <x:c r="A1026" s="1" t="n">
        <x:v>108</x:v>
      </x:c>
      <x:c r="B1026" s="1" t="str">
        <x:v>Lickitung</x:v>
      </x:c>
      <x:c r="C1026" s="1" t="n">
        <x:v>8</x:v>
      </x:c>
      <x:c r="D1026" s="1" t="str">
        <x:v>Rollout</x:v>
      </x:c>
      <x:c r="E1026" s="1" t="str">
        <x:v>Pedra</x:v>
      </x:c>
      <x:c r="F1026" s="1" t="str">
        <x:v>Física</x:v>
      </x:c>
      <x:c r="G1026" s="10" t="n">
        <x:v>30</x:v>
      </x:c>
      <x:c r="H1026" s="10" t="n">
        <x:f>IF(F1026="Física",'Pokémon'!G112,IF(F1026="Especial",'Pokémon'!I112,""))</x:f>
        <x:v>55</x:v>
      </x:c>
      <x:c r="I1026" s="10" t="n">
        <x:f>IF(OR(F1026="Status",G1026=0),"",G1026+H1026)</x:f>
        <x:v>85</x:v>
      </x:c>
      <x:c r="J1026" s="10" t="n">
        <x:v>33</x:v>
      </x:c>
      <x:c r="K1026" s="12" t="n">
        <x:v>15</x:v>
      </x:c>
      <x:c r="L1026" s="1" t="str"/>
      <x:c r="M1026" s="9" t="str">
        <x:v>https://poke.idleworld.online/pokepedia/pokemon/lickitung</x:v>
      </x:c>
    </x:row>
    <x:row r="1027" ht="22" customHeight="1">
      <x:c r="A1027" s="1" t="n">
        <x:v>108</x:v>
      </x:c>
      <x:c r="B1027" s="1" t="str">
        <x:v>Lickitung</x:v>
      </x:c>
      <x:c r="C1027" s="1" t="n">
        <x:v>5</x:v>
      </x:c>
      <x:c r="D1027" s="1" t="str">
        <x:v>Wrap</x:v>
      </x:c>
      <x:c r="E1027" s="1" t="str">
        <x:v>Normal</x:v>
      </x:c>
      <x:c r="F1027" s="1" t="str">
        <x:v>Física</x:v>
      </x:c>
      <x:c r="G1027" s="10" t="n">
        <x:v>15</x:v>
      </x:c>
      <x:c r="H1027" s="10" t="n">
        <x:f>IF(F1027="Física",'Pokémon'!G112,IF(F1027="Especial",'Pokémon'!I112,""))</x:f>
        <x:v>55</x:v>
      </x:c>
      <x:c r="I1027" s="10" t="n">
        <x:f>IF(OR(F1027="Status",G1027=0),"",G1027+H1027)</x:f>
        <x:v>70</x:v>
      </x:c>
      <x:c r="J1027" s="10" t="n">
        <x:v>17</x:v>
      </x:c>
      <x:c r="K1027" s="12" t="n">
        <x:v>15</x:v>
      </x:c>
      <x:c r="L1027" s="1" t="str"/>
      <x:c r="M1027" s="9" t="str">
        <x:v>https://poke.idleworld.online/pokepedia/pokemon/lickitung</x:v>
      </x:c>
    </x:row>
    <x:row r="1028" ht="22" customHeight="1">
      <x:c r="A1028" s="1" t="n">
        <x:v>108</x:v>
      </x:c>
      <x:c r="B1028" s="1" t="str">
        <x:v>Lickitung</x:v>
      </x:c>
      <x:c r="C1028" s="1" t="n">
        <x:v>2</x:v>
      </x:c>
      <x:c r="D1028" s="1" t="str">
        <x:v>Super Sonic</x:v>
      </x:c>
      <x:c r="E1028" s="1" t="str">
        <x:v>Normal</x:v>
      </x:c>
      <x:c r="F1028" s="1" t="str">
        <x:v>Status</x:v>
      </x:c>
      <x:c r="G1028" s="10" t="n">
        <x:v>0</x:v>
      </x:c>
      <x:c r="H1028" s="10" t="str">
        <x:f>IF(F1028="Física",'Pokémon'!G112,IF(F1028="Especial",'Pokémon'!I112,""))</x:f>
      </x:c>
      <x:c r="I1028" s="10" t="str">
        <x:f>IF(OR(F1028="Status",G1028=0),"",G1028+H1028)</x:f>
      </x:c>
      <x:c r="J1028" s="10" t="n">
        <x:v>5</x:v>
      </x:c>
      <x:c r="K1028" s="12" t="n">
        <x:v>30</x:v>
      </x:c>
      <x:c r="L1028" s="1" t="str"/>
      <x:c r="M1028" s="9" t="str">
        <x:v>https://poke.idleworld.online/pokepedia/pokemon/lickitung</x:v>
      </x:c>
    </x:row>
    <x:row r="1029" ht="22" customHeight="1">
      <x:c r="A1029" s="1" t="n">
        <x:v>108</x:v>
      </x:c>
      <x:c r="B1029" s="1" t="str">
        <x:v>Lickitung</x:v>
      </x:c>
      <x:c r="C1029" s="1" t="n">
        <x:v>3</x:v>
      </x:c>
      <x:c r="D1029" s="1" t="str">
        <x:v>Defense Curl</x:v>
      </x:c>
      <x:c r="E1029" s="1" t="str">
        <x:v>Normal</x:v>
      </x:c>
      <x:c r="F1029" s="1" t="str">
        <x:v>Status</x:v>
      </x:c>
      <x:c r="G1029" s="10" t="n">
        <x:v>0</x:v>
      </x:c>
      <x:c r="H1029" s="10" t="str">
        <x:f>IF(F1029="Física",'Pokémon'!G112,IF(F1029="Especial",'Pokémon'!I112,""))</x:f>
      </x:c>
      <x:c r="I1029" s="10" t="str">
        <x:f>IF(OR(F1029="Status",G1029=0),"",G1029+H1029)</x:f>
      </x:c>
      <x:c r="J1029" s="10" t="n">
        <x:v>9</x:v>
      </x:c>
      <x:c r="K1029" s="12" t="n">
        <x:v>60</x:v>
      </x:c>
      <x:c r="L1029" s="1" t="str"/>
      <x:c r="M1029" s="9" t="str">
        <x:v>https://poke.idleworld.online/pokepedia/pokemon/lickitung</x:v>
      </x:c>
    </x:row>
    <x:row r="1030" ht="22" customHeight="1">
      <x:c r="A1030" s="1" t="n">
        <x:v>109</x:v>
      </x:c>
      <x:c r="B1030" s="1" t="str">
        <x:v>Koffing</x:v>
      </x:c>
      <x:c r="C1030" s="1" t="n">
        <x:v>8</x:v>
      </x:c>
      <x:c r="D1030" s="1" t="str">
        <x:v>Belch</x:v>
      </x:c>
      <x:c r="E1030" s="1" t="str">
        <x:v>Venenoso</x:v>
      </x:c>
      <x:c r="F1030" s="1" t="str">
        <x:v>Especial</x:v>
      </x:c>
      <x:c r="G1030" s="10" t="n">
        <x:v>120</x:v>
      </x:c>
      <x:c r="H1030" s="10" t="n">
        <x:f>IF(F1030="Física",'Pokémon'!G113,IF(F1030="Especial",'Pokémon'!I113,""))</x:f>
        <x:v>60</x:v>
      </x:c>
      <x:c r="I1030" s="10" t="n">
        <x:f>IF(OR(F1030="Status",G1030=0),"",G1030+H1030)</x:f>
        <x:v>180</x:v>
      </x:c>
      <x:c r="J1030" s="10" t="n">
        <x:v>42</x:v>
      </x:c>
      <x:c r="K1030" s="12" t="n">
        <x:v>50</x:v>
      </x:c>
      <x:c r="L1030" s="1" t="str"/>
      <x:c r="M1030" s="9" t="str">
        <x:v>https://poke.idleworld.online/pokepedia/pokemon/koffing</x:v>
      </x:c>
    </x:row>
    <x:row r="1031" ht="22" customHeight="1">
      <x:c r="A1031" s="1" t="n">
        <x:v>109</x:v>
      </x:c>
      <x:c r="B1031" s="1" t="str">
        <x:v>Koffing</x:v>
      </x:c>
      <x:c r="C1031" s="1" t="n">
        <x:v>7</x:v>
      </x:c>
      <x:c r="D1031" s="1" t="str">
        <x:v>Sludge Bomb</x:v>
      </x:c>
      <x:c r="E1031" s="1" t="str">
        <x:v>Venenoso</x:v>
      </x:c>
      <x:c r="F1031" s="1" t="str">
        <x:v>Especial</x:v>
      </x:c>
      <x:c r="G1031" s="10" t="n">
        <x:v>90</x:v>
      </x:c>
      <x:c r="H1031" s="10" t="n">
        <x:f>IF(F1031="Física",'Pokémon'!G113,IF(F1031="Especial",'Pokémon'!I113,""))</x:f>
        <x:v>60</x:v>
      </x:c>
      <x:c r="I1031" s="10" t="n">
        <x:f>IF(OR(F1031="Status",G1031=0),"",G1031+H1031)</x:f>
        <x:v>150</x:v>
      </x:c>
      <x:c r="J1031" s="10" t="n">
        <x:v>34</x:v>
      </x:c>
      <x:c r="K1031" s="12" t="n">
        <x:v>22</x:v>
      </x:c>
      <x:c r="L1031" s="1" t="str"/>
      <x:c r="M1031" s="9" t="str">
        <x:v>https://poke.idleworld.online/pokepedia/pokemon/koffing</x:v>
      </x:c>
    </x:row>
    <x:row r="1032" ht="22" customHeight="1">
      <x:c r="A1032" s="1" t="n">
        <x:v>109</x:v>
      </x:c>
      <x:c r="B1032" s="1" t="str">
        <x:v>Koffing</x:v>
      </x:c>
      <x:c r="C1032" s="1" t="n">
        <x:v>6</x:v>
      </x:c>
      <x:c r="D1032" s="1" t="str">
        <x:v>Sludge</x:v>
      </x:c>
      <x:c r="E1032" s="1" t="str">
        <x:v>Venenoso</x:v>
      </x:c>
      <x:c r="F1032" s="1" t="str">
        <x:v>Especial</x:v>
      </x:c>
      <x:c r="G1032" s="10" t="n">
        <x:v>65</x:v>
      </x:c>
      <x:c r="H1032" s="10" t="n">
        <x:f>IF(F1032="Física",'Pokémon'!G113,IF(F1032="Especial",'Pokémon'!I113,""))</x:f>
        <x:v>60</x:v>
      </x:c>
      <x:c r="I1032" s="10" t="n">
        <x:f>IF(OR(F1032="Status",G1032=0),"",G1032+H1032)</x:f>
        <x:v>125</x:v>
      </x:c>
      <x:c r="J1032" s="10" t="n">
        <x:v>18</x:v>
      </x:c>
      <x:c r="K1032" s="12" t="n">
        <x:v>20</x:v>
      </x:c>
      <x:c r="L1032" s="1" t="str"/>
      <x:c r="M1032" s="9" t="str">
        <x:v>https://poke.idleworld.online/pokepedia/pokemon/koffing</x:v>
      </x:c>
    </x:row>
    <x:row r="1033" ht="22" customHeight="1">
      <x:c r="A1033" s="1" t="n">
        <x:v>109</x:v>
      </x:c>
      <x:c r="B1033" s="1" t="str">
        <x:v>Koffing</x:v>
      </x:c>
      <x:c r="C1033" s="1" t="n">
        <x:v>4</x:v>
      </x:c>
      <x:c r="D1033" s="1" t="str">
        <x:v>Assurance</x:v>
      </x:c>
      <x:c r="E1033" s="1" t="str">
        <x:v>Sombrio</x:v>
      </x:c>
      <x:c r="F1033" s="1" t="str">
        <x:v>Física</x:v>
      </x:c>
      <x:c r="G1033" s="10" t="n">
        <x:v>60</x:v>
      </x:c>
      <x:c r="H1033" s="10" t="n">
        <x:f>IF(F1033="Física",'Pokémon'!G113,IF(F1033="Especial",'Pokémon'!I113,""))</x:f>
        <x:v>65</x:v>
      </x:c>
      <x:c r="I1033" s="10" t="n">
        <x:f>IF(OR(F1033="Status",G1033=0),"",G1033+H1033)</x:f>
        <x:v>125</x:v>
      </x:c>
      <x:c r="J1033" s="10" t="n">
        <x:v>12</x:v>
      </x:c>
      <x:c r="K1033" s="12" t="n">
        <x:v>20</x:v>
      </x:c>
      <x:c r="L1033" s="1" t="str"/>
      <x:c r="M1033" s="9" t="str">
        <x:v>https://poke.idleworld.online/pokepedia/pokemon/koffing</x:v>
      </x:c>
    </x:row>
    <x:row r="1034" ht="22" customHeight="1">
      <x:c r="A1034" s="1" t="n">
        <x:v>109</x:v>
      </x:c>
      <x:c r="B1034" s="1" t="str">
        <x:v>Koffing</x:v>
      </x:c>
      <x:c r="C1034" s="1" t="n">
        <x:v>2</x:v>
      </x:c>
      <x:c r="D1034" s="1" t="str">
        <x:v>Tackle</x:v>
      </x:c>
      <x:c r="E1034" s="1" t="str">
        <x:v>Normal</x:v>
      </x:c>
      <x:c r="F1034" s="1" t="str">
        <x:v>Física</x:v>
      </x:c>
      <x:c r="G1034" s="10" t="n">
        <x:v>50</x:v>
      </x:c>
      <x:c r="H1034" s="10" t="n">
        <x:f>IF(F1034="Física",'Pokémon'!G113,IF(F1034="Especial",'Pokémon'!I113,""))</x:f>
        <x:v>65</x:v>
      </x:c>
      <x:c r="I1034" s="10" t="n">
        <x:f>IF(OR(F1034="Status",G1034=0),"",G1034+H1034)</x:f>
        <x:v>115</x:v>
      </x:c>
      <x:c r="J1034" s="10" t="n">
        <x:v>1</x:v>
      </x:c>
      <x:c r="K1034" s="12" t="n">
        <x:v>15</x:v>
      </x:c>
      <x:c r="L1034" s="1" t="str"/>
      <x:c r="M1034" s="9" t="str">
        <x:v>https://poke.idleworld.online/pokepedia/pokemon/koffing</x:v>
      </x:c>
    </x:row>
    <x:row r="1035" ht="22" customHeight="1">
      <x:c r="A1035" s="1" t="n">
        <x:v>109</x:v>
      </x:c>
      <x:c r="B1035" s="1" t="str">
        <x:v>Koffing</x:v>
      </x:c>
      <x:c r="C1035" s="1" t="n">
        <x:v>5</x:v>
      </x:c>
      <x:c r="D1035" s="1" t="str">
        <x:v>Clear Smog</x:v>
      </x:c>
      <x:c r="E1035" s="1" t="str">
        <x:v>Venenoso</x:v>
      </x:c>
      <x:c r="F1035" s="1" t="str">
        <x:v>Especial</x:v>
      </x:c>
      <x:c r="G1035" s="10" t="n">
        <x:v>50</x:v>
      </x:c>
      <x:c r="H1035" s="10" t="n">
        <x:f>IF(F1035="Física",'Pokémon'!G113,IF(F1035="Especial",'Pokémon'!I113,""))</x:f>
        <x:v>60</x:v>
      </x:c>
      <x:c r="I1035" s="10" t="n">
        <x:f>IF(OR(F1035="Status",G1035=0),"",G1035+H1035)</x:f>
        <x:v>110</x:v>
      </x:c>
      <x:c r="J1035" s="10" t="n">
        <x:v>15</x:v>
      </x:c>
      <x:c r="K1035" s="12" t="n">
        <x:v>15</x:v>
      </x:c>
      <x:c r="L1035" s="1" t="str"/>
      <x:c r="M1035" s="9" t="str">
        <x:v>https://poke.idleworld.online/pokepedia/pokemon/koffing</x:v>
      </x:c>
    </x:row>
    <x:row r="1036" ht="22" customHeight="1">
      <x:c r="A1036" s="1" t="n">
        <x:v>109</x:v>
      </x:c>
      <x:c r="B1036" s="1" t="str">
        <x:v>Koffing</x:v>
      </x:c>
      <x:c r="C1036" s="1" t="n">
        <x:v>3</x:v>
      </x:c>
      <x:c r="D1036" s="1" t="str">
        <x:v>Smog</x:v>
      </x:c>
      <x:c r="E1036" s="1" t="str">
        <x:v>Venenoso</x:v>
      </x:c>
      <x:c r="F1036" s="1" t="str">
        <x:v>Especial</x:v>
      </x:c>
      <x:c r="G1036" s="10" t="n">
        <x:v>30</x:v>
      </x:c>
      <x:c r="H1036" s="10" t="n">
        <x:f>IF(F1036="Física",'Pokémon'!G113,IF(F1036="Especial",'Pokémon'!I113,""))</x:f>
        <x:v>60</x:v>
      </x:c>
      <x:c r="I1036" s="10" t="n">
        <x:f>IF(OR(F1036="Status",G1036=0),"",G1036+H1036)</x:f>
        <x:v>90</x:v>
      </x:c>
      <x:c r="J1036" s="10" t="n">
        <x:v>4</x:v>
      </x:c>
      <x:c r="K1036" s="12" t="n">
        <x:v>15</x:v>
      </x:c>
      <x:c r="L1036" s="1" t="str"/>
      <x:c r="M1036" s="9" t="str">
        <x:v>https://poke.idleworld.online/pokepedia/pokemon/koffing</x:v>
      </x:c>
    </x:row>
    <x:row r="1037" ht="22" customHeight="1">
      <x:c r="A1037" s="1" t="n">
        <x:v>109</x:v>
      </x:c>
      <x:c r="B1037" s="1" t="str">
        <x:v>Koffing</x:v>
      </x:c>
      <x:c r="C1037" s="1" t="n">
        <x:v>1</x:v>
      </x:c>
      <x:c r="D1037" s="1" t="str">
        <x:v>Poison Gas</x:v>
      </x:c>
      <x:c r="E1037" s="1" t="str">
        <x:v>Venenoso</x:v>
      </x:c>
      <x:c r="F1037" s="1" t="str">
        <x:v>Status</x:v>
      </x:c>
      <x:c r="G1037" s="10" t="n">
        <x:v>0</x:v>
      </x:c>
      <x:c r="H1037" s="10" t="str">
        <x:f>IF(F1037="Física",'Pokémon'!G113,IF(F1037="Especial",'Pokémon'!I113,""))</x:f>
      </x:c>
      <x:c r="I1037" s="10" t="str">
        <x:f>IF(OR(F1037="Status",G1037=0),"",G1037+H1037)</x:f>
      </x:c>
      <x:c r="J1037" s="10" t="n">
        <x:v>1</x:v>
      </x:c>
      <x:c r="K1037" s="12" t="n">
        <x:v>50</x:v>
      </x:c>
      <x:c r="L1037" s="1" t="str"/>
      <x:c r="M1037" s="9" t="str">
        <x:v>https://poke.idleworld.online/pokepedia/pokemon/koffing</x:v>
      </x:c>
    </x:row>
    <x:row r="1038" ht="22" customHeight="1">
      <x:c r="A1038" s="1" t="n">
        <x:v>110</x:v>
      </x:c>
      <x:c r="B1038" s="1" t="str">
        <x:v>Weezing</x:v>
      </x:c>
      <x:c r="C1038" s="1" t="n">
        <x:v>2</x:v>
      </x:c>
      <x:c r="D1038" s="1" t="str">
        <x:v>Toxic Deluge</x:v>
      </x:c>
      <x:c r="E1038" s="1" t="str">
        <x:v>Venenoso</x:v>
      </x:c>
      <x:c r="F1038" s="1" t="str">
        <x:v>Física</x:v>
      </x:c>
      <x:c r="G1038" s="10" t="n">
        <x:v>300</x:v>
      </x:c>
      <x:c r="H1038" s="10" t="n">
        <x:f>IF(F1038="Física",'Pokémon'!G114,IF(F1038="Especial",'Pokémon'!I114,""))</x:f>
        <x:v>90</x:v>
      </x:c>
      <x:c r="I1038" s="10" t="n">
        <x:f>IF(OR(F1038="Status",G1038=0),"",G1038+H1038)</x:f>
        <x:v>390</x:v>
      </x:c>
      <x:c r="J1038" s="10" t="n">
        <x:v>1</x:v>
      </x:c>
      <x:c r="K1038" s="12" t="n">
        <x:v>10</x:v>
      </x:c>
      <x:c r="L1038" s="1" t="str">
        <x:v>Sim</x:v>
      </x:c>
      <x:c r="M1038" s="9" t="str">
        <x:v>https://poke.idleworld.online/pokepedia/pokemon/weezing</x:v>
      </x:c>
    </x:row>
    <x:row r="1039" ht="22" customHeight="1">
      <x:c r="A1039" s="1" t="n">
        <x:v>110</x:v>
      </x:c>
      <x:c r="B1039" s="1" t="str">
        <x:v>Weezing</x:v>
      </x:c>
      <x:c r="C1039" s="1" t="n">
        <x:v>10</x:v>
      </x:c>
      <x:c r="D1039" s="1" t="str">
        <x:v>Belch</x:v>
      </x:c>
      <x:c r="E1039" s="1" t="str">
        <x:v>Venenoso</x:v>
      </x:c>
      <x:c r="F1039" s="1" t="str">
        <x:v>Especial</x:v>
      </x:c>
      <x:c r="G1039" s="10" t="n">
        <x:v>120</x:v>
      </x:c>
      <x:c r="H1039" s="10" t="n">
        <x:f>IF(F1039="Física",'Pokémon'!G114,IF(F1039="Especial",'Pokémon'!I114,""))</x:f>
        <x:v>85</x:v>
      </x:c>
      <x:c r="I1039" s="10" t="n">
        <x:f>IF(OR(F1039="Status",G1039=0),"",G1039+H1039)</x:f>
        <x:v>205</x:v>
      </x:c>
      <x:c r="J1039" s="10" t="n">
        <x:v>51</x:v>
      </x:c>
      <x:c r="K1039" s="12" t="n">
        <x:v>50</x:v>
      </x:c>
      <x:c r="L1039" s="1" t="str"/>
      <x:c r="M1039" s="9" t="str">
        <x:v>https://poke.idleworld.online/pokepedia/pokemon/weezing</x:v>
      </x:c>
    </x:row>
    <x:row r="1040" ht="22" customHeight="1">
      <x:c r="A1040" s="1" t="n">
        <x:v>110</x:v>
      </x:c>
      <x:c r="B1040" s="1" t="str">
        <x:v>Weezing</x:v>
      </x:c>
      <x:c r="C1040" s="1" t="n">
        <x:v>9</x:v>
      </x:c>
      <x:c r="D1040" s="1" t="str">
        <x:v>Sludge Bomb</x:v>
      </x:c>
      <x:c r="E1040" s="1" t="str">
        <x:v>Venenoso</x:v>
      </x:c>
      <x:c r="F1040" s="1" t="str">
        <x:v>Especial</x:v>
      </x:c>
      <x:c r="G1040" s="10" t="n">
        <x:v>90</x:v>
      </x:c>
      <x:c r="H1040" s="10" t="n">
        <x:f>IF(F1040="Física",'Pokémon'!G114,IF(F1040="Especial",'Pokémon'!I114,""))</x:f>
        <x:v>85</x:v>
      </x:c>
      <x:c r="I1040" s="10" t="n">
        <x:f>IF(OR(F1040="Status",G1040=0),"",G1040+H1040)</x:f>
        <x:v>175</x:v>
      </x:c>
      <x:c r="J1040" s="10" t="n">
        <x:v>34</x:v>
      </x:c>
      <x:c r="K1040" s="12" t="n">
        <x:v>22</x:v>
      </x:c>
      <x:c r="L1040" s="1" t="str"/>
      <x:c r="M1040" s="9" t="str">
        <x:v>https://poke.idleworld.online/pokepedia/pokemon/weezing</x:v>
      </x:c>
    </x:row>
    <x:row r="1041" ht="22" customHeight="1">
      <x:c r="A1041" s="1" t="n">
        <x:v>110</x:v>
      </x:c>
      <x:c r="B1041" s="1" t="str">
        <x:v>Weezing</x:v>
      </x:c>
      <x:c r="C1041" s="1" t="n">
        <x:v>7</x:v>
      </x:c>
      <x:c r="D1041" s="1" t="str">
        <x:v>Sludge</x:v>
      </x:c>
      <x:c r="E1041" s="1" t="str">
        <x:v>Venenoso</x:v>
      </x:c>
      <x:c r="F1041" s="1" t="str">
        <x:v>Especial</x:v>
      </x:c>
      <x:c r="G1041" s="10" t="n">
        <x:v>65</x:v>
      </x:c>
      <x:c r="H1041" s="10" t="n">
        <x:f>IF(F1041="Física",'Pokémon'!G114,IF(F1041="Especial",'Pokémon'!I114,""))</x:f>
        <x:v>85</x:v>
      </x:c>
      <x:c r="I1041" s="10" t="n">
        <x:f>IF(OR(F1041="Status",G1041=0),"",G1041+H1041)</x:f>
        <x:v>150</x:v>
      </x:c>
      <x:c r="J1041" s="10" t="n">
        <x:v>18</x:v>
      </x:c>
      <x:c r="K1041" s="12" t="n">
        <x:v>20</x:v>
      </x:c>
      <x:c r="L1041" s="1" t="str"/>
      <x:c r="M1041" s="9" t="str">
        <x:v>https://poke.idleworld.online/pokepedia/pokemon/weezing</x:v>
      </x:c>
    </x:row>
    <x:row r="1042" ht="22" customHeight="1">
      <x:c r="A1042" s="1" t="n">
        <x:v>110</x:v>
      </x:c>
      <x:c r="B1042" s="1" t="str">
        <x:v>Weezing</x:v>
      </x:c>
      <x:c r="C1042" s="1" t="n">
        <x:v>5</x:v>
      </x:c>
      <x:c r="D1042" s="1" t="str">
        <x:v>Assurance</x:v>
      </x:c>
      <x:c r="E1042" s="1" t="str">
        <x:v>Sombrio</x:v>
      </x:c>
      <x:c r="F1042" s="1" t="str">
        <x:v>Física</x:v>
      </x:c>
      <x:c r="G1042" s="10" t="n">
        <x:v>60</x:v>
      </x:c>
      <x:c r="H1042" s="10" t="n">
        <x:f>IF(F1042="Física",'Pokémon'!G114,IF(F1042="Especial",'Pokémon'!I114,""))</x:f>
        <x:v>90</x:v>
      </x:c>
      <x:c r="I1042" s="10" t="n">
        <x:f>IF(OR(F1042="Status",G1042=0),"",G1042+H1042)</x:f>
        <x:v>150</x:v>
      </x:c>
      <x:c r="J1042" s="10" t="n">
        <x:v>12</x:v>
      </x:c>
      <x:c r="K1042" s="12" t="n">
        <x:v>20</x:v>
      </x:c>
      <x:c r="L1042" s="1" t="str"/>
      <x:c r="M1042" s="9" t="str">
        <x:v>https://poke.idleworld.online/pokepedia/pokemon/weezing</x:v>
      </x:c>
    </x:row>
    <x:row r="1043" ht="22" customHeight="1">
      <x:c r="A1043" s="1" t="n">
        <x:v>110</x:v>
      </x:c>
      <x:c r="B1043" s="1" t="str">
        <x:v>Weezing</x:v>
      </x:c>
      <x:c r="C1043" s="1" t="n">
        <x:v>4</x:v>
      </x:c>
      <x:c r="D1043" s="1" t="str">
        <x:v>Tackle</x:v>
      </x:c>
      <x:c r="E1043" s="1" t="str">
        <x:v>Normal</x:v>
      </x:c>
      <x:c r="F1043" s="1" t="str">
        <x:v>Física</x:v>
      </x:c>
      <x:c r="G1043" s="10" t="n">
        <x:v>50</x:v>
      </x:c>
      <x:c r="H1043" s="10" t="n">
        <x:f>IF(F1043="Física",'Pokémon'!G114,IF(F1043="Especial",'Pokémon'!I114,""))</x:f>
        <x:v>90</x:v>
      </x:c>
      <x:c r="I1043" s="10" t="n">
        <x:f>IF(OR(F1043="Status",G1043=0),"",G1043+H1043)</x:f>
        <x:v>140</x:v>
      </x:c>
      <x:c r="J1043" s="10" t="n">
        <x:v>1</x:v>
      </x:c>
      <x:c r="K1043" s="12" t="n">
        <x:v>15</x:v>
      </x:c>
      <x:c r="L1043" s="1" t="str"/>
      <x:c r="M1043" s="9" t="str">
        <x:v>https://poke.idleworld.online/pokepedia/pokemon/weezing</x:v>
      </x:c>
    </x:row>
    <x:row r="1044" ht="22" customHeight="1">
      <x:c r="A1044" s="1" t="n">
        <x:v>110</x:v>
      </x:c>
      <x:c r="B1044" s="1" t="str">
        <x:v>Weezing</x:v>
      </x:c>
      <x:c r="C1044" s="1" t="n">
        <x:v>6</x:v>
      </x:c>
      <x:c r="D1044" s="1" t="str">
        <x:v>Clear Smog</x:v>
      </x:c>
      <x:c r="E1044" s="1" t="str">
        <x:v>Venenoso</x:v>
      </x:c>
      <x:c r="F1044" s="1" t="str">
        <x:v>Especial</x:v>
      </x:c>
      <x:c r="G1044" s="10" t="n">
        <x:v>50</x:v>
      </x:c>
      <x:c r="H1044" s="10" t="n">
        <x:f>IF(F1044="Física",'Pokémon'!G114,IF(F1044="Especial",'Pokémon'!I114,""))</x:f>
        <x:v>85</x:v>
      </x:c>
      <x:c r="I1044" s="10" t="n">
        <x:f>IF(OR(F1044="Status",G1044=0),"",G1044+H1044)</x:f>
        <x:v>135</x:v>
      </x:c>
      <x:c r="J1044" s="10" t="n">
        <x:v>15</x:v>
      </x:c>
      <x:c r="K1044" s="12" t="n">
        <x:v>15</x:v>
      </x:c>
      <x:c r="L1044" s="1" t="str"/>
      <x:c r="M1044" s="9" t="str">
        <x:v>https://poke.idleworld.online/pokepedia/pokemon/weezing</x:v>
      </x:c>
    </x:row>
    <x:row r="1045" ht="22" customHeight="1">
      <x:c r="A1045" s="1" t="n">
        <x:v>110</x:v>
      </x:c>
      <x:c r="B1045" s="1" t="str">
        <x:v>Weezing</x:v>
      </x:c>
      <x:c r="C1045" s="1" t="n">
        <x:v>8</x:v>
      </x:c>
      <x:c r="D1045" s="1" t="str">
        <x:v>Double Hit</x:v>
      </x:c>
      <x:c r="E1045" s="1" t="str">
        <x:v>Normal</x:v>
      </x:c>
      <x:c r="F1045" s="1" t="str">
        <x:v>Física</x:v>
      </x:c>
      <x:c r="G1045" s="10" t="n">
        <x:v>35</x:v>
      </x:c>
      <x:c r="H1045" s="10" t="n">
        <x:f>IF(F1045="Física",'Pokémon'!G114,IF(F1045="Especial",'Pokémon'!I114,""))</x:f>
        <x:v>90</x:v>
      </x:c>
      <x:c r="I1045" s="10" t="n">
        <x:f>IF(OR(F1045="Status",G1045=0),"",G1045+H1045)</x:f>
        <x:v>125</x:v>
      </x:c>
      <x:c r="J1045" s="10" t="n">
        <x:v>29</x:v>
      </x:c>
      <x:c r="K1045" s="12" t="n">
        <x:v>15</x:v>
      </x:c>
      <x:c r="L1045" s="1" t="str"/>
      <x:c r="M1045" s="9" t="str">
        <x:v>https://poke.idleworld.online/pokepedia/pokemon/weezing</x:v>
      </x:c>
    </x:row>
    <x:row r="1046" ht="22" customHeight="1">
      <x:c r="A1046" s="1" t="n">
        <x:v>110</x:v>
      </x:c>
      <x:c r="B1046" s="1" t="str">
        <x:v>Weezing</x:v>
      </x:c>
      <x:c r="C1046" s="1" t="n">
        <x:v>3</x:v>
      </x:c>
      <x:c r="D1046" s="1" t="str">
        <x:v>Smog</x:v>
      </x:c>
      <x:c r="E1046" s="1" t="str">
        <x:v>Venenoso</x:v>
      </x:c>
      <x:c r="F1046" s="1" t="str">
        <x:v>Especial</x:v>
      </x:c>
      <x:c r="G1046" s="10" t="n">
        <x:v>30</x:v>
      </x:c>
      <x:c r="H1046" s="10" t="n">
        <x:f>IF(F1046="Física",'Pokémon'!G114,IF(F1046="Especial",'Pokémon'!I114,""))</x:f>
        <x:v>85</x:v>
      </x:c>
      <x:c r="I1046" s="10" t="n">
        <x:f>IF(OR(F1046="Status",G1046=0),"",G1046+H1046)</x:f>
        <x:v>115</x:v>
      </x:c>
      <x:c r="J1046" s="10" t="n">
        <x:v>1</x:v>
      </x:c>
      <x:c r="K1046" s="12" t="n">
        <x:v>15</x:v>
      </x:c>
      <x:c r="L1046" s="1" t="str"/>
      <x:c r="M1046" s="9" t="str">
        <x:v>https://poke.idleworld.online/pokepedia/pokemon/weezing</x:v>
      </x:c>
    </x:row>
    <x:row r="1047" ht="22" customHeight="1">
      <x:c r="A1047" s="1" t="n">
        <x:v>110</x:v>
      </x:c>
      <x:c r="B1047" s="1" t="str">
        <x:v>Weezing</x:v>
      </x:c>
      <x:c r="C1047" s="1" t="n">
        <x:v>1</x:v>
      </x:c>
      <x:c r="D1047" s="1" t="str">
        <x:v>Poison Gas</x:v>
      </x:c>
      <x:c r="E1047" s="1" t="str">
        <x:v>Venenoso</x:v>
      </x:c>
      <x:c r="F1047" s="1" t="str">
        <x:v>Status</x:v>
      </x:c>
      <x:c r="G1047" s="10" t="n">
        <x:v>0</x:v>
      </x:c>
      <x:c r="H1047" s="10" t="str">
        <x:f>IF(F1047="Física",'Pokémon'!G114,IF(F1047="Especial",'Pokémon'!I114,""))</x:f>
      </x:c>
      <x:c r="I1047" s="10" t="str">
        <x:f>IF(OR(F1047="Status",G1047=0),"",G1047+H1047)</x:f>
      </x:c>
      <x:c r="J1047" s="10" t="n">
        <x:v>1</x:v>
      </x:c>
      <x:c r="K1047" s="12" t="n">
        <x:v>50</x:v>
      </x:c>
      <x:c r="L1047" s="1" t="str"/>
      <x:c r="M1047" s="9" t="str">
        <x:v>https://poke.idleworld.online/pokepedia/pokemon/weezing</x:v>
      </x:c>
    </x:row>
    <x:row r="1048" ht="22" customHeight="1">
      <x:c r="A1048" s="1" t="n">
        <x:v>111</x:v>
      </x:c>
      <x:c r="B1048" s="1" t="str">
        <x:v>Rhyhorn</x:v>
      </x:c>
      <x:c r="C1048" s="1" t="n">
        <x:v>12</x:v>
      </x:c>
      <x:c r="D1048" s="1" t="str">
        <x:v>Megahorn</x:v>
      </x:c>
      <x:c r="E1048" s="1" t="str">
        <x:v>Inseto</x:v>
      </x:c>
      <x:c r="F1048" s="1" t="str">
        <x:v>Física</x:v>
      </x:c>
      <x:c r="G1048" s="10" t="n">
        <x:v>120</x:v>
      </x:c>
      <x:c r="H1048" s="10" t="n">
        <x:f>IF(F1048="Física",'Pokémon'!G115,IF(F1048="Especial",'Pokémon'!I115,""))</x:f>
        <x:v>85</x:v>
      </x:c>
      <x:c r="I1048" s="10" t="n">
        <x:f>IF(OR(F1048="Status",G1048=0),"",G1048+H1048)</x:f>
        <x:v>205</x:v>
      </x:c>
      <x:c r="J1048" s="10" t="n">
        <x:v>49</x:v>
      </x:c>
      <x:c r="K1048" s="12" t="n">
        <x:v>50</x:v>
      </x:c>
      <x:c r="L1048" s="1" t="str"/>
      <x:c r="M1048" s="9" t="str">
        <x:v>https://poke.idleworld.online/pokepedia/pokemon/rhyhorn</x:v>
      </x:c>
    </x:row>
    <x:row r="1049" ht="22" customHeight="1">
      <x:c r="A1049" s="1" t="n">
        <x:v>111</x:v>
      </x:c>
      <x:c r="B1049" s="1" t="str">
        <x:v>Rhyhorn</x:v>
      </x:c>
      <x:c r="C1049" s="1" t="n">
        <x:v>10</x:v>
      </x:c>
      <x:c r="D1049" s="1" t="str">
        <x:v>Stone Edge</x:v>
      </x:c>
      <x:c r="E1049" s="1" t="str">
        <x:v>Pedra</x:v>
      </x:c>
      <x:c r="F1049" s="1" t="str">
        <x:v>Física</x:v>
      </x:c>
      <x:c r="G1049" s="10" t="n">
        <x:v>100</x:v>
      </x:c>
      <x:c r="H1049" s="10" t="n">
        <x:f>IF(F1049="Física",'Pokémon'!G115,IF(F1049="Especial",'Pokémon'!I115,""))</x:f>
        <x:v>85</x:v>
      </x:c>
      <x:c r="I1049" s="10" t="n">
        <x:f>IF(OR(F1049="Status",G1049=0),"",G1049+H1049)</x:f>
        <x:v>185</x:v>
      </x:c>
      <x:c r="J1049" s="10" t="n">
        <x:v>41</x:v>
      </x:c>
      <x:c r="K1049" s="12" t="n">
        <x:v>20</x:v>
      </x:c>
      <x:c r="L1049" s="1" t="str"/>
      <x:c r="M1049" s="9" t="str">
        <x:v>https://poke.idleworld.online/pokepedia/pokemon/rhyhorn</x:v>
      </x:c>
    </x:row>
    <x:row r="1050" ht="22" customHeight="1">
      <x:c r="A1050" s="1" t="n">
        <x:v>111</x:v>
      </x:c>
      <x:c r="B1050" s="1" t="str">
        <x:v>Rhyhorn</x:v>
      </x:c>
      <x:c r="C1050" s="1" t="n">
        <x:v>11</x:v>
      </x:c>
      <x:c r="D1050" s="1" t="str">
        <x:v>Earthquake</x:v>
      </x:c>
      <x:c r="E1050" s="1" t="str">
        <x:v>Terrestre</x:v>
      </x:c>
      <x:c r="F1050" s="1" t="str">
        <x:v>Física</x:v>
      </x:c>
      <x:c r="G1050" s="10" t="n">
        <x:v>100</x:v>
      </x:c>
      <x:c r="H1050" s="10" t="n">
        <x:f>IF(F1050="Física",'Pokémon'!G115,IF(F1050="Especial",'Pokémon'!I115,""))</x:f>
        <x:v>85</x:v>
      </x:c>
      <x:c r="I1050" s="10" t="n">
        <x:f>IF(OR(F1050="Status",G1050=0),"",G1050+H1050)</x:f>
        <x:v>185</x:v>
      </x:c>
      <x:c r="J1050" s="10" t="n">
        <x:v>45</x:v>
      </x:c>
      <x:c r="K1050" s="12" t="n">
        <x:v>40</x:v>
      </x:c>
      <x:c r="L1050" s="1" t="str"/>
      <x:c r="M1050" s="9" t="str">
        <x:v>https://poke.idleworld.online/pokepedia/pokemon/rhyhorn</x:v>
      </x:c>
    </x:row>
    <x:row r="1051" ht="22" customHeight="1">
      <x:c r="A1051" s="1" t="n">
        <x:v>111</x:v>
      </x:c>
      <x:c r="B1051" s="1" t="str">
        <x:v>Rhyhorn</x:v>
      </x:c>
      <x:c r="C1051" s="1" t="n">
        <x:v>9</x:v>
      </x:c>
      <x:c r="D1051" s="1" t="str">
        <x:v>Take Down</x:v>
      </x:c>
      <x:c r="E1051" s="1" t="str">
        <x:v>Normal</x:v>
      </x:c>
      <x:c r="F1051" s="1" t="str">
        <x:v>Física</x:v>
      </x:c>
      <x:c r="G1051" s="10" t="n">
        <x:v>90</x:v>
      </x:c>
      <x:c r="H1051" s="10" t="n">
        <x:f>IF(F1051="Física",'Pokémon'!G115,IF(F1051="Especial",'Pokémon'!I115,""))</x:f>
        <x:v>85</x:v>
      </x:c>
      <x:c r="I1051" s="10" t="n">
        <x:f>IF(OR(F1051="Status",G1051=0),"",G1051+H1051)</x:f>
        <x:v>175</x:v>
      </x:c>
      <x:c r="J1051" s="10" t="n">
        <x:v>37</x:v>
      </x:c>
      <x:c r="K1051" s="12" t="n">
        <x:v>22</x:v>
      </x:c>
      <x:c r="L1051" s="1" t="str"/>
      <x:c r="M1051" s="9" t="str">
        <x:v>https://poke.idleworld.online/pokepedia/pokemon/rhyhorn</x:v>
      </x:c>
    </x:row>
    <x:row r="1052" ht="22" customHeight="1">
      <x:c r="A1052" s="1" t="n">
        <x:v>111</x:v>
      </x:c>
      <x:c r="B1052" s="1" t="str">
        <x:v>Rhyhorn</x:v>
      </x:c>
      <x:c r="C1052" s="1" t="n">
        <x:v>8</x:v>
      </x:c>
      <x:c r="D1052" s="1" t="str">
        <x:v>Drill Run</x:v>
      </x:c>
      <x:c r="E1052" s="1" t="str">
        <x:v>Terrestre</x:v>
      </x:c>
      <x:c r="F1052" s="1" t="str">
        <x:v>Física</x:v>
      </x:c>
      <x:c r="G1052" s="10" t="n">
        <x:v>80</x:v>
      </x:c>
      <x:c r="H1052" s="10" t="n">
        <x:f>IF(F1052="Física",'Pokémon'!G115,IF(F1052="Especial",'Pokémon'!I115,""))</x:f>
        <x:v>85</x:v>
      </x:c>
      <x:c r="I1052" s="10" t="n">
        <x:f>IF(OR(F1052="Status",G1052=0),"",G1052+H1052)</x:f>
        <x:v>165</x:v>
      </x:c>
      <x:c r="J1052" s="10" t="n">
        <x:v>33</x:v>
      </x:c>
      <x:c r="K1052" s="12" t="n">
        <x:v>35</x:v>
      </x:c>
      <x:c r="L1052" s="1" t="str"/>
      <x:c r="M1052" s="9" t="str">
        <x:v>https://poke.idleworld.online/pokepedia/pokemon/rhyhorn</x:v>
      </x:c>
    </x:row>
    <x:row r="1053" ht="22" customHeight="1">
      <x:c r="A1053" s="1" t="n">
        <x:v>111</x:v>
      </x:c>
      <x:c r="B1053" s="1" t="str">
        <x:v>Rhyhorn</x:v>
      </x:c>
      <x:c r="C1053" s="1" t="n">
        <x:v>6</x:v>
      </x:c>
      <x:c r="D1053" s="1" t="str">
        <x:v>Chip Away</x:v>
      </x:c>
      <x:c r="E1053" s="1" t="str">
        <x:v>Normal</x:v>
      </x:c>
      <x:c r="F1053" s="1" t="str">
        <x:v>Física</x:v>
      </x:c>
      <x:c r="G1053" s="10" t="n">
        <x:v>70</x:v>
      </x:c>
      <x:c r="H1053" s="10" t="n">
        <x:f>IF(F1053="Física",'Pokémon'!G115,IF(F1053="Especial",'Pokémon'!I115,""))</x:f>
        <x:v>85</x:v>
      </x:c>
      <x:c r="I1053" s="10" t="n">
        <x:f>IF(OR(F1053="Status",G1053=0),"",G1053+H1053)</x:f>
        <x:v>155</x:v>
      </x:c>
      <x:c r="J1053" s="10" t="n">
        <x:v>25</x:v>
      </x:c>
      <x:c r="K1053" s="12" t="n">
        <x:v>20</x:v>
      </x:c>
      <x:c r="L1053" s="1" t="str"/>
      <x:c r="M1053" s="9" t="str">
        <x:v>https://poke.idleworld.online/pokepedia/pokemon/rhyhorn</x:v>
      </x:c>
    </x:row>
    <x:row r="1054" ht="22" customHeight="1">
      <x:c r="A1054" s="1" t="n">
        <x:v>111</x:v>
      </x:c>
      <x:c r="B1054" s="1" t="str">
        <x:v>Rhyhorn</x:v>
      </x:c>
      <x:c r="C1054" s="1" t="n">
        <x:v>1</x:v>
      </x:c>
      <x:c r="D1054" s="1" t="str">
        <x:v>Horn Attack</x:v>
      </x:c>
      <x:c r="E1054" s="1" t="str">
        <x:v>Normal</x:v>
      </x:c>
      <x:c r="F1054" s="1" t="str">
        <x:v>Física</x:v>
      </x:c>
      <x:c r="G1054" s="10" t="n">
        <x:v>65</x:v>
      </x:c>
      <x:c r="H1054" s="10" t="n">
        <x:f>IF(F1054="Física",'Pokémon'!G115,IF(F1054="Especial",'Pokémon'!I115,""))</x:f>
        <x:v>85</x:v>
      </x:c>
      <x:c r="I1054" s="10" t="n">
        <x:f>IF(OR(F1054="Status",G1054=0),"",G1054+H1054)</x:f>
        <x:v>150</x:v>
      </x:c>
      <x:c r="J1054" s="10" t="n">
        <x:v>1</x:v>
      </x:c>
      <x:c r="K1054" s="12" t="n">
        <x:v>20</x:v>
      </x:c>
      <x:c r="L1054" s="1" t="str"/>
      <x:c r="M1054" s="9" t="str">
        <x:v>https://poke.idleworld.online/pokepedia/pokemon/rhyhorn</x:v>
      </x:c>
    </x:row>
    <x:row r="1055" ht="22" customHeight="1">
      <x:c r="A1055" s="1" t="n">
        <x:v>111</x:v>
      </x:c>
      <x:c r="B1055" s="1" t="str">
        <x:v>Rhyhorn</x:v>
      </x:c>
      <x:c r="C1055" s="1" t="n">
        <x:v>4</x:v>
      </x:c>
      <x:c r="D1055" s="1" t="str">
        <x:v>Stomp</x:v>
      </x:c>
      <x:c r="E1055" s="1" t="str">
        <x:v>Normal</x:v>
      </x:c>
      <x:c r="F1055" s="1" t="str">
        <x:v>Física</x:v>
      </x:c>
      <x:c r="G1055" s="10" t="n">
        <x:v>65</x:v>
      </x:c>
      <x:c r="H1055" s="10" t="n">
        <x:f>IF(F1055="Física",'Pokémon'!G115,IF(F1055="Especial",'Pokémon'!I115,""))</x:f>
        <x:v>85</x:v>
      </x:c>
      <x:c r="I1055" s="10" t="n">
        <x:f>IF(OR(F1055="Status",G1055=0),"",G1055+H1055)</x:f>
        <x:v>150</x:v>
      </x:c>
      <x:c r="J1055" s="10" t="n">
        <x:v>17</x:v>
      </x:c>
      <x:c r="K1055" s="12" t="n">
        <x:v>20</x:v>
      </x:c>
      <x:c r="L1055" s="1" t="str"/>
      <x:c r="M1055" s="9" t="str">
        <x:v>https://poke.idleworld.online/pokepedia/pokemon/rhyhorn</x:v>
      </x:c>
    </x:row>
    <x:row r="1056" ht="22" customHeight="1">
      <x:c r="A1056" s="1" t="n">
        <x:v>111</x:v>
      </x:c>
      <x:c r="B1056" s="1" t="str">
        <x:v>Rhyhorn</x:v>
      </x:c>
      <x:c r="C1056" s="1" t="n">
        <x:v>5</x:v>
      </x:c>
      <x:c r="D1056" s="1" t="str">
        <x:v>Bulldoze</x:v>
      </x:c>
      <x:c r="E1056" s="1" t="str">
        <x:v>Terrestre</x:v>
      </x:c>
      <x:c r="F1056" s="1" t="str">
        <x:v>Física</x:v>
      </x:c>
      <x:c r="G1056" s="10" t="n">
        <x:v>60</x:v>
      </x:c>
      <x:c r="H1056" s="10" t="n">
        <x:f>IF(F1056="Física",'Pokémon'!G115,IF(F1056="Especial",'Pokémon'!I115,""))</x:f>
        <x:v>85</x:v>
      </x:c>
      <x:c r="I1056" s="10" t="n">
        <x:f>IF(OR(F1056="Status",G1056=0),"",G1056+H1056)</x:f>
        <x:v>145</x:v>
      </x:c>
      <x:c r="J1056" s="10" t="n">
        <x:v>21</x:v>
      </x:c>
      <x:c r="K1056" s="12" t="n">
        <x:v>50</x:v>
      </x:c>
      <x:c r="L1056" s="1" t="str"/>
      <x:c r="M1056" s="9" t="str">
        <x:v>https://poke.idleworld.online/pokepedia/pokemon/rhyhorn</x:v>
      </x:c>
    </x:row>
    <x:row r="1057" ht="22" customHeight="1">
      <x:c r="A1057" s="1" t="n">
        <x:v>111</x:v>
      </x:c>
      <x:c r="B1057" s="1" t="str">
        <x:v>Rhyhorn</x:v>
      </x:c>
      <x:c r="C1057" s="1" t="n">
        <x:v>3</x:v>
      </x:c>
      <x:c r="D1057" s="1" t="str">
        <x:v>Smack Down</x:v>
      </x:c>
      <x:c r="E1057" s="1" t="str">
        <x:v>Pedra</x:v>
      </x:c>
      <x:c r="F1057" s="1" t="str">
        <x:v>Física</x:v>
      </x:c>
      <x:c r="G1057" s="10" t="n">
        <x:v>50</x:v>
      </x:c>
      <x:c r="H1057" s="10" t="n">
        <x:f>IF(F1057="Física",'Pokémon'!G115,IF(F1057="Especial",'Pokémon'!I115,""))</x:f>
        <x:v>85</x:v>
      </x:c>
      <x:c r="I1057" s="10" t="n">
        <x:f>IF(OR(F1057="Status",G1057=0),"",G1057+H1057)</x:f>
        <x:v>135</x:v>
      </x:c>
      <x:c r="J1057" s="10" t="n">
        <x:v>13</x:v>
      </x:c>
      <x:c r="K1057" s="12" t="n">
        <x:v>15</x:v>
      </x:c>
      <x:c r="L1057" s="1" t="str"/>
      <x:c r="M1057" s="9" t="str">
        <x:v>https://poke.idleworld.online/pokepedia/pokemon/rhyhorn</x:v>
      </x:c>
    </x:row>
    <x:row r="1058" ht="22" customHeight="1">
      <x:c r="A1058" s="1" t="n">
        <x:v>111</x:v>
      </x:c>
      <x:c r="B1058" s="1" t="str">
        <x:v>Rhyhorn</x:v>
      </x:c>
      <x:c r="C1058" s="1" t="n">
        <x:v>7</x:v>
      </x:c>
      <x:c r="D1058" s="1" t="str">
        <x:v>Rock Blast</x:v>
      </x:c>
      <x:c r="E1058" s="1" t="str">
        <x:v>Pedra</x:v>
      </x:c>
      <x:c r="F1058" s="1" t="str">
        <x:v>Física</x:v>
      </x:c>
      <x:c r="G1058" s="10" t="n">
        <x:v>25</x:v>
      </x:c>
      <x:c r="H1058" s="10" t="n">
        <x:f>IF(F1058="Física",'Pokémon'!G115,IF(F1058="Especial",'Pokémon'!I115,""))</x:f>
        <x:v>85</x:v>
      </x:c>
      <x:c r="I1058" s="10" t="n">
        <x:f>IF(OR(F1058="Status",G1058=0),"",G1058+H1058)</x:f>
        <x:v>110</x:v>
      </x:c>
      <x:c r="J1058" s="10" t="n">
        <x:v>29</x:v>
      </x:c>
      <x:c r="K1058" s="12" t="n">
        <x:v>15</x:v>
      </x:c>
      <x:c r="L1058" s="1" t="str"/>
      <x:c r="M1058" s="9" t="str">
        <x:v>https://poke.idleworld.online/pokepedia/pokemon/rhyhorn</x:v>
      </x:c>
    </x:row>
    <x:row r="1059" ht="22" customHeight="1">
      <x:c r="A1059" s="1" t="n">
        <x:v>111</x:v>
      </x:c>
      <x:c r="B1059" s="1" t="str">
        <x:v>Rhyhorn</x:v>
      </x:c>
      <x:c r="C1059" s="1" t="n">
        <x:v>2</x:v>
      </x:c>
      <x:c r="D1059" s="1" t="str">
        <x:v>Fury Attack</x:v>
      </x:c>
      <x:c r="E1059" s="1" t="str">
        <x:v>Normal</x:v>
      </x:c>
      <x:c r="F1059" s="1" t="str">
        <x:v>Física</x:v>
      </x:c>
      <x:c r="G1059" s="10" t="n">
        <x:v>15</x:v>
      </x:c>
      <x:c r="H1059" s="10" t="n">
        <x:f>IF(F1059="Física",'Pokémon'!G115,IF(F1059="Especial",'Pokémon'!I115,""))</x:f>
        <x:v>85</x:v>
      </x:c>
      <x:c r="I1059" s="10" t="n">
        <x:f>IF(OR(F1059="Status",G1059=0),"",G1059+H1059)</x:f>
        <x:v>100</x:v>
      </x:c>
      <x:c r="J1059" s="10" t="n">
        <x:v>5</x:v>
      </x:c>
      <x:c r="K1059" s="12" t="n">
        <x:v>15</x:v>
      </x:c>
      <x:c r="L1059" s="1" t="str"/>
      <x:c r="M1059" s="9" t="str">
        <x:v>https://poke.idleworld.online/pokepedia/pokemon/rhyhorn</x:v>
      </x:c>
    </x:row>
    <x:row r="1060" ht="22" customHeight="1">
      <x:c r="A1060" s="1" t="n">
        <x:v>112</x:v>
      </x:c>
      <x:c r="B1060" s="1" t="str">
        <x:v>Rhydon</x:v>
      </x:c>
      <x:c r="C1060" s="1" t="n">
        <x:v>4</x:v>
      </x:c>
      <x:c r="D1060" s="1" t="str">
        <x:v>Crossing Fissure</x:v>
      </x:c>
      <x:c r="E1060" s="1" t="str">
        <x:v>Terrestre</x:v>
      </x:c>
      <x:c r="F1060" s="1" t="str">
        <x:v>Física</x:v>
      </x:c>
      <x:c r="G1060" s="10" t="n">
        <x:v>300</x:v>
      </x:c>
      <x:c r="H1060" s="10" t="n">
        <x:f>IF(F1060="Física",'Pokémon'!G116,IF(F1060="Especial",'Pokémon'!I116,""))</x:f>
        <x:v>130</x:v>
      </x:c>
      <x:c r="I1060" s="10" t="n">
        <x:f>IF(OR(F1060="Status",G1060=0),"",G1060+H1060)</x:f>
        <x:v>430</x:v>
      </x:c>
      <x:c r="J1060" s="10" t="n">
        <x:v>1</x:v>
      </x:c>
      <x:c r="K1060" s="12" t="n">
        <x:v>10</x:v>
      </x:c>
      <x:c r="L1060" s="1" t="str">
        <x:v>Sim</x:v>
      </x:c>
      <x:c r="M1060" s="9" t="str">
        <x:v>https://poke.idleworld.online/pokepedia/pokemon/rhydon</x:v>
      </x:c>
    </x:row>
    <x:row r="1061" ht="22" customHeight="1">
      <x:c r="A1061" s="1" t="n">
        <x:v>112</x:v>
      </x:c>
      <x:c r="B1061" s="1" t="str">
        <x:v>Rhydon</x:v>
      </x:c>
      <x:c r="C1061" s="1" t="n">
        <x:v>16</x:v>
      </x:c>
      <x:c r="D1061" s="1" t="str">
        <x:v>Megahorn</x:v>
      </x:c>
      <x:c r="E1061" s="1" t="str">
        <x:v>Inseto</x:v>
      </x:c>
      <x:c r="F1061" s="1" t="str">
        <x:v>Física</x:v>
      </x:c>
      <x:c r="G1061" s="10" t="n">
        <x:v>120</x:v>
      </x:c>
      <x:c r="H1061" s="10" t="n">
        <x:f>IF(F1061="Física",'Pokémon'!G116,IF(F1061="Especial",'Pokémon'!I116,""))</x:f>
        <x:v>130</x:v>
      </x:c>
      <x:c r="I1061" s="10" t="n">
        <x:f>IF(OR(F1061="Status",G1061=0),"",G1061+H1061)</x:f>
        <x:v>250</x:v>
      </x:c>
      <x:c r="J1061" s="10" t="n">
        <x:v>55</x:v>
      </x:c>
      <x:c r="K1061" s="12" t="n">
        <x:v>50</x:v>
      </x:c>
      <x:c r="L1061" s="1" t="str"/>
      <x:c r="M1061" s="9" t="str">
        <x:v>https://poke.idleworld.online/pokepedia/pokemon/rhydon</x:v>
      </x:c>
    </x:row>
    <x:row r="1062" ht="22" customHeight="1">
      <x:c r="A1062" s="1" t="n">
        <x:v>112</x:v>
      </x:c>
      <x:c r="B1062" s="1" t="str">
        <x:v>Rhydon</x:v>
      </x:c>
      <x:c r="C1062" s="1" t="n">
        <x:v>13</x:v>
      </x:c>
      <x:c r="D1062" s="1" t="str">
        <x:v>Stone Edge</x:v>
      </x:c>
      <x:c r="E1062" s="1" t="str">
        <x:v>Pedra</x:v>
      </x:c>
      <x:c r="F1062" s="1" t="str">
        <x:v>Física</x:v>
      </x:c>
      <x:c r="G1062" s="10" t="n">
        <x:v>100</x:v>
      </x:c>
      <x:c r="H1062" s="10" t="n">
        <x:f>IF(F1062="Física",'Pokémon'!G116,IF(F1062="Especial",'Pokémon'!I116,""))</x:f>
        <x:v>130</x:v>
      </x:c>
      <x:c r="I1062" s="10" t="n">
        <x:f>IF(OR(F1062="Status",G1062=0),"",G1062+H1062)</x:f>
        <x:v>230</x:v>
      </x:c>
      <x:c r="J1062" s="10" t="n">
        <x:v>41</x:v>
      </x:c>
      <x:c r="K1062" s="12" t="n">
        <x:v>40</x:v>
      </x:c>
      <x:c r="L1062" s="1" t="str"/>
      <x:c r="M1062" s="9" t="str">
        <x:v>https://poke.idleworld.online/pokepedia/pokemon/rhydon</x:v>
      </x:c>
    </x:row>
    <x:row r="1063" ht="22" customHeight="1">
      <x:c r="A1063" s="1" t="n">
        <x:v>112</x:v>
      </x:c>
      <x:c r="B1063" s="1" t="str">
        <x:v>Rhydon</x:v>
      </x:c>
      <x:c r="C1063" s="1" t="n">
        <x:v>14</x:v>
      </x:c>
      <x:c r="D1063" s="1" t="str">
        <x:v>Hammer Arm</x:v>
      </x:c>
      <x:c r="E1063" s="1" t="str">
        <x:v>Lutador</x:v>
      </x:c>
      <x:c r="F1063" s="1" t="str">
        <x:v>Física</x:v>
      </x:c>
      <x:c r="G1063" s="10" t="n">
        <x:v>100</x:v>
      </x:c>
      <x:c r="H1063" s="10" t="n">
        <x:f>IF(F1063="Física",'Pokémon'!G116,IF(F1063="Especial",'Pokémon'!I116,""))</x:f>
        <x:v>130</x:v>
      </x:c>
      <x:c r="I1063" s="10" t="n">
        <x:f>IF(OR(F1063="Status",G1063=0),"",G1063+H1063)</x:f>
        <x:v>230</x:v>
      </x:c>
      <x:c r="J1063" s="10" t="n">
        <x:v>42</x:v>
      </x:c>
      <x:c r="K1063" s="12" t="n">
        <x:v>40</x:v>
      </x:c>
      <x:c r="L1063" s="1" t="str"/>
      <x:c r="M1063" s="9" t="str">
        <x:v>https://poke.idleworld.online/pokepedia/pokemon/rhydon</x:v>
      </x:c>
    </x:row>
    <x:row r="1064" ht="22" customHeight="1">
      <x:c r="A1064" s="1" t="n">
        <x:v>112</x:v>
      </x:c>
      <x:c r="B1064" s="1" t="str">
        <x:v>Rhydon</x:v>
      </x:c>
      <x:c r="C1064" s="1" t="n">
        <x:v>15</x:v>
      </x:c>
      <x:c r="D1064" s="1" t="str">
        <x:v>Earthquake</x:v>
      </x:c>
      <x:c r="E1064" s="1" t="str">
        <x:v>Terrestre</x:v>
      </x:c>
      <x:c r="F1064" s="1" t="str">
        <x:v>Física</x:v>
      </x:c>
      <x:c r="G1064" s="10" t="n">
        <x:v>100</x:v>
      </x:c>
      <x:c r="H1064" s="10" t="n">
        <x:f>IF(F1064="Física",'Pokémon'!G116,IF(F1064="Especial",'Pokémon'!I116,""))</x:f>
        <x:v>130</x:v>
      </x:c>
      <x:c r="I1064" s="10" t="n">
        <x:f>IF(OR(F1064="Status",G1064=0),"",G1064+H1064)</x:f>
        <x:v>230</x:v>
      </x:c>
      <x:c r="J1064" s="10" t="n">
        <x:v>48</x:v>
      </x:c>
      <x:c r="K1064" s="12" t="n">
        <x:v>40</x:v>
      </x:c>
      <x:c r="L1064" s="1" t="str"/>
      <x:c r="M1064" s="9" t="str">
        <x:v>https://poke.idleworld.online/pokepedia/pokemon/rhydon</x:v>
      </x:c>
    </x:row>
    <x:row r="1065" ht="22" customHeight="1">
      <x:c r="A1065" s="1" t="n">
        <x:v>112</x:v>
      </x:c>
      <x:c r="B1065" s="1" t="str">
        <x:v>Rhydon</x:v>
      </x:c>
      <x:c r="C1065" s="1" t="n">
        <x:v>3</x:v>
      </x:c>
      <x:c r="D1065" s="1" t="str">
        <x:v>Horn Drill</x:v>
      </x:c>
      <x:c r="E1065" s="1" t="str">
        <x:v>Normal</x:v>
      </x:c>
      <x:c r="F1065" s="1" t="str">
        <x:v>Física</x:v>
      </x:c>
      <x:c r="G1065" s="10" t="n">
        <x:v>96</x:v>
      </x:c>
      <x:c r="H1065" s="10" t="n">
        <x:f>IF(F1065="Física",'Pokémon'!G116,IF(F1065="Especial",'Pokémon'!I116,""))</x:f>
        <x:v>130</x:v>
      </x:c>
      <x:c r="I1065" s="10" t="n">
        <x:f>IF(OR(F1065="Status",G1065=0),"",G1065+H1065)</x:f>
        <x:v>226</x:v>
      </x:c>
      <x:c r="J1065" s="10" t="n">
        <x:v>1</x:v>
      </x:c>
      <x:c r="K1065" s="12" t="n">
        <x:v>30</x:v>
      </x:c>
      <x:c r="L1065" s="1" t="str"/>
      <x:c r="M1065" s="9" t="str">
        <x:v>https://poke.idleworld.online/pokepedia/pokemon/rhydon</x:v>
      </x:c>
    </x:row>
    <x:row r="1066" ht="22" customHeight="1">
      <x:c r="A1066" s="1" t="n">
        <x:v>112</x:v>
      </x:c>
      <x:c r="B1066" s="1" t="str">
        <x:v>Rhydon</x:v>
      </x:c>
      <x:c r="C1066" s="1" t="n">
        <x:v>12</x:v>
      </x:c>
      <x:c r="D1066" s="1" t="str">
        <x:v>Take Down</x:v>
      </x:c>
      <x:c r="E1066" s="1" t="str">
        <x:v>Normal</x:v>
      </x:c>
      <x:c r="F1066" s="1" t="str">
        <x:v>Física</x:v>
      </x:c>
      <x:c r="G1066" s="10" t="n">
        <x:v>90</x:v>
      </x:c>
      <x:c r="H1066" s="10" t="n">
        <x:f>IF(F1066="Física",'Pokémon'!G116,IF(F1066="Especial",'Pokémon'!I116,""))</x:f>
        <x:v>130</x:v>
      </x:c>
      <x:c r="I1066" s="10" t="n">
        <x:f>IF(OR(F1066="Status",G1066=0),"",G1066+H1066)</x:f>
        <x:v>220</x:v>
      </x:c>
      <x:c r="J1066" s="10" t="n">
        <x:v>37</x:v>
      </x:c>
      <x:c r="K1066" s="12" t="n">
        <x:v>22</x:v>
      </x:c>
      <x:c r="L1066" s="1" t="str"/>
      <x:c r="M1066" s="9" t="str">
        <x:v>https://poke.idleworld.online/pokepedia/pokemon/rhydon</x:v>
      </x:c>
    </x:row>
    <x:row r="1067" ht="22" customHeight="1">
      <x:c r="A1067" s="1" t="n">
        <x:v>112</x:v>
      </x:c>
      <x:c r="B1067" s="1" t="str">
        <x:v>Rhydon</x:v>
      </x:c>
      <x:c r="C1067" s="1" t="n">
        <x:v>11</x:v>
      </x:c>
      <x:c r="D1067" s="1" t="str">
        <x:v>Drill Run</x:v>
      </x:c>
      <x:c r="E1067" s="1" t="str">
        <x:v>Terrestre</x:v>
      </x:c>
      <x:c r="F1067" s="1" t="str">
        <x:v>Física</x:v>
      </x:c>
      <x:c r="G1067" s="10" t="n">
        <x:v>80</x:v>
      </x:c>
      <x:c r="H1067" s="10" t="n">
        <x:f>IF(F1067="Física",'Pokémon'!G116,IF(F1067="Especial",'Pokémon'!I116,""))</x:f>
        <x:v>130</x:v>
      </x:c>
      <x:c r="I1067" s="10" t="n">
        <x:f>IF(OR(F1067="Status",G1067=0),"",G1067+H1067)</x:f>
        <x:v>210</x:v>
      </x:c>
      <x:c r="J1067" s="10" t="n">
        <x:v>33</x:v>
      </x:c>
      <x:c r="K1067" s="12" t="n">
        <x:v>22</x:v>
      </x:c>
      <x:c r="L1067" s="1" t="str"/>
      <x:c r="M1067" s="9" t="str">
        <x:v>https://poke.idleworld.online/pokepedia/pokemon/rhydon</x:v>
      </x:c>
    </x:row>
    <x:row r="1068" ht="22" customHeight="1">
      <x:c r="A1068" s="1" t="n">
        <x:v>112</x:v>
      </x:c>
      <x:c r="B1068" s="1" t="str">
        <x:v>Rhydon</x:v>
      </x:c>
      <x:c r="C1068" s="1" t="n">
        <x:v>9</x:v>
      </x:c>
      <x:c r="D1068" s="1" t="str">
        <x:v>Chip Away</x:v>
      </x:c>
      <x:c r="E1068" s="1" t="str">
        <x:v>Normal</x:v>
      </x:c>
      <x:c r="F1068" s="1" t="str">
        <x:v>Física</x:v>
      </x:c>
      <x:c r="G1068" s="10" t="n">
        <x:v>70</x:v>
      </x:c>
      <x:c r="H1068" s="10" t="n">
        <x:f>IF(F1068="Física",'Pokémon'!G116,IF(F1068="Especial",'Pokémon'!I116,""))</x:f>
        <x:v>130</x:v>
      </x:c>
      <x:c r="I1068" s="10" t="n">
        <x:f>IF(OR(F1068="Status",G1068=0),"",G1068+H1068)</x:f>
        <x:v>200</x:v>
      </x:c>
      <x:c r="J1068" s="10" t="n">
        <x:v>25</x:v>
      </x:c>
      <x:c r="K1068" s="12" t="n">
        <x:v>20</x:v>
      </x:c>
      <x:c r="L1068" s="1" t="str"/>
      <x:c r="M1068" s="9" t="str">
        <x:v>https://poke.idleworld.online/pokepedia/pokemon/rhydon</x:v>
      </x:c>
    </x:row>
    <x:row r="1069" ht="22" customHeight="1">
      <x:c r="A1069" s="1" t="n">
        <x:v>112</x:v>
      </x:c>
      <x:c r="B1069" s="1" t="str">
        <x:v>Rhydon</x:v>
      </x:c>
      <x:c r="C1069" s="1" t="n">
        <x:v>2</x:v>
      </x:c>
      <x:c r="D1069" s="1" t="str">
        <x:v>Horn Attack</x:v>
      </x:c>
      <x:c r="E1069" s="1" t="str">
        <x:v>Normal</x:v>
      </x:c>
      <x:c r="F1069" s="1" t="str">
        <x:v>Física</x:v>
      </x:c>
      <x:c r="G1069" s="10" t="n">
        <x:v>65</x:v>
      </x:c>
      <x:c r="H1069" s="10" t="n">
        <x:f>IF(F1069="Física",'Pokémon'!G116,IF(F1069="Especial",'Pokémon'!I116,""))</x:f>
        <x:v>130</x:v>
      </x:c>
      <x:c r="I1069" s="10" t="n">
        <x:f>IF(OR(F1069="Status",G1069=0),"",G1069+H1069)</x:f>
        <x:v>195</x:v>
      </x:c>
      <x:c r="J1069" s="10" t="n">
        <x:v>1</x:v>
      </x:c>
      <x:c r="K1069" s="12" t="n">
        <x:v>20</x:v>
      </x:c>
      <x:c r="L1069" s="1" t="str"/>
      <x:c r="M1069" s="9" t="str">
        <x:v>https://poke.idleworld.online/pokepedia/pokemon/rhydon</x:v>
      </x:c>
    </x:row>
    <x:row r="1070" ht="22" customHeight="1">
      <x:c r="A1070" s="1" t="n">
        <x:v>112</x:v>
      </x:c>
      <x:c r="B1070" s="1" t="str">
        <x:v>Rhydon</x:v>
      </x:c>
      <x:c r="C1070" s="1" t="n">
        <x:v>7</x:v>
      </x:c>
      <x:c r="D1070" s="1" t="str">
        <x:v>Stomp</x:v>
      </x:c>
      <x:c r="E1070" s="1" t="str">
        <x:v>Normal</x:v>
      </x:c>
      <x:c r="F1070" s="1" t="str">
        <x:v>Física</x:v>
      </x:c>
      <x:c r="G1070" s="10" t="n">
        <x:v>65</x:v>
      </x:c>
      <x:c r="H1070" s="10" t="n">
        <x:f>IF(F1070="Física",'Pokémon'!G116,IF(F1070="Especial",'Pokémon'!I116,""))</x:f>
        <x:v>130</x:v>
      </x:c>
      <x:c r="I1070" s="10" t="n">
        <x:f>IF(OR(F1070="Status",G1070=0),"",G1070+H1070)</x:f>
        <x:v>195</x:v>
      </x:c>
      <x:c r="J1070" s="10" t="n">
        <x:v>17</x:v>
      </x:c>
      <x:c r="K1070" s="12" t="n">
        <x:v>20</x:v>
      </x:c>
      <x:c r="L1070" s="1" t="str"/>
      <x:c r="M1070" s="9" t="str">
        <x:v>https://poke.idleworld.online/pokepedia/pokemon/rhydon</x:v>
      </x:c>
    </x:row>
    <x:row r="1071" ht="22" customHeight="1">
      <x:c r="A1071" s="1" t="n">
        <x:v>112</x:v>
      </x:c>
      <x:c r="B1071" s="1" t="str">
        <x:v>Rhydon</x:v>
      </x:c>
      <x:c r="C1071" s="1" t="n">
        <x:v>8</x:v>
      </x:c>
      <x:c r="D1071" s="1" t="str">
        <x:v>Bulldoze</x:v>
      </x:c>
      <x:c r="E1071" s="1" t="str">
        <x:v>Terrestre</x:v>
      </x:c>
      <x:c r="F1071" s="1" t="str">
        <x:v>Física</x:v>
      </x:c>
      <x:c r="G1071" s="10" t="n">
        <x:v>60</x:v>
      </x:c>
      <x:c r="H1071" s="10" t="n">
        <x:f>IF(F1071="Física",'Pokémon'!G116,IF(F1071="Especial",'Pokémon'!I116,""))</x:f>
        <x:v>130</x:v>
      </x:c>
      <x:c r="I1071" s="10" t="n">
        <x:f>IF(OR(F1071="Status",G1071=0),"",G1071+H1071)</x:f>
        <x:v>190</x:v>
      </x:c>
      <x:c r="J1071" s="10" t="n">
        <x:v>21</x:v>
      </x:c>
      <x:c r="K1071" s="12" t="n">
        <x:v>50</x:v>
      </x:c>
      <x:c r="L1071" s="1" t="str"/>
      <x:c r="M1071" s="9" t="str">
        <x:v>https://poke.idleworld.online/pokepedia/pokemon/rhydon</x:v>
      </x:c>
    </x:row>
    <x:row r="1072" ht="22" customHeight="1">
      <x:c r="A1072" s="1" t="n">
        <x:v>112</x:v>
      </x:c>
      <x:c r="B1072" s="1" t="str">
        <x:v>Rhydon</x:v>
      </x:c>
      <x:c r="C1072" s="1" t="n">
        <x:v>6</x:v>
      </x:c>
      <x:c r="D1072" s="1" t="str">
        <x:v>Smack Down</x:v>
      </x:c>
      <x:c r="E1072" s="1" t="str">
        <x:v>Pedra</x:v>
      </x:c>
      <x:c r="F1072" s="1" t="str">
        <x:v>Física</x:v>
      </x:c>
      <x:c r="G1072" s="10" t="n">
        <x:v>50</x:v>
      </x:c>
      <x:c r="H1072" s="10" t="n">
        <x:f>IF(F1072="Física",'Pokémon'!G116,IF(F1072="Especial",'Pokémon'!I116,""))</x:f>
        <x:v>130</x:v>
      </x:c>
      <x:c r="I1072" s="10" t="n">
        <x:f>IF(OR(F1072="Status",G1072=0),"",G1072+H1072)</x:f>
        <x:v>180</x:v>
      </x:c>
      <x:c r="J1072" s="10" t="n">
        <x:v>13</x:v>
      </x:c>
      <x:c r="K1072" s="12" t="n">
        <x:v>40</x:v>
      </x:c>
      <x:c r="L1072" s="1" t="str"/>
      <x:c r="M1072" s="9" t="str">
        <x:v>https://poke.idleworld.online/pokepedia/pokemon/rhydon</x:v>
      </x:c>
    </x:row>
    <x:row r="1073" ht="22" customHeight="1">
      <x:c r="A1073" s="1" t="n">
        <x:v>112</x:v>
      </x:c>
      <x:c r="B1073" s="1" t="str">
        <x:v>Rhydon</x:v>
      </x:c>
      <x:c r="C1073" s="1" t="n">
        <x:v>10</x:v>
      </x:c>
      <x:c r="D1073" s="1" t="str">
        <x:v>Rock Blast</x:v>
      </x:c>
      <x:c r="E1073" s="1" t="str">
        <x:v>Pedra</x:v>
      </x:c>
      <x:c r="F1073" s="1" t="str">
        <x:v>Física</x:v>
      </x:c>
      <x:c r="G1073" s="10" t="n">
        <x:v>25</x:v>
      </x:c>
      <x:c r="H1073" s="10" t="n">
        <x:f>IF(F1073="Física",'Pokémon'!G116,IF(F1073="Especial",'Pokémon'!I116,""))</x:f>
        <x:v>130</x:v>
      </x:c>
      <x:c r="I1073" s="10" t="n">
        <x:f>IF(OR(F1073="Status",G1073=0),"",G1073+H1073)</x:f>
        <x:v>155</x:v>
      </x:c>
      <x:c r="J1073" s="10" t="n">
        <x:v>29</x:v>
      </x:c>
      <x:c r="K1073" s="12" t="n">
        <x:v>15</x:v>
      </x:c>
      <x:c r="L1073" s="1" t="str"/>
      <x:c r="M1073" s="9" t="str">
        <x:v>https://poke.idleworld.online/pokepedia/pokemon/rhydon</x:v>
      </x:c>
    </x:row>
    <x:row r="1074" ht="22" customHeight="1">
      <x:c r="A1074" s="1" t="n">
        <x:v>112</x:v>
      </x:c>
      <x:c r="B1074" s="1" t="str">
        <x:v>Rhydon</x:v>
      </x:c>
      <x:c r="C1074" s="1" t="n">
        <x:v>5</x:v>
      </x:c>
      <x:c r="D1074" s="1" t="str">
        <x:v>Fury Attack</x:v>
      </x:c>
      <x:c r="E1074" s="1" t="str">
        <x:v>Normal</x:v>
      </x:c>
      <x:c r="F1074" s="1" t="str">
        <x:v>Física</x:v>
      </x:c>
      <x:c r="G1074" s="10" t="n">
        <x:v>15</x:v>
      </x:c>
      <x:c r="H1074" s="10" t="n">
        <x:f>IF(F1074="Física",'Pokémon'!G116,IF(F1074="Especial",'Pokémon'!I116,""))</x:f>
        <x:v>130</x:v>
      </x:c>
      <x:c r="I1074" s="10" t="n">
        <x:f>IF(OR(F1074="Status",G1074=0),"",G1074+H1074)</x:f>
        <x:v>145</x:v>
      </x:c>
      <x:c r="J1074" s="10" t="n">
        <x:v>1</x:v>
      </x:c>
      <x:c r="K1074" s="12" t="n">
        <x:v>15</x:v>
      </x:c>
      <x:c r="L1074" s="1" t="str"/>
      <x:c r="M1074" s="9" t="str">
        <x:v>https://poke.idleworld.online/pokepedia/pokemon/rhydon</x:v>
      </x:c>
    </x:row>
    <x:row r="1075" ht="22" customHeight="1">
      <x:c r="A1075" s="1" t="n">
        <x:v>112</x:v>
      </x:c>
      <x:c r="B1075" s="1" t="str">
        <x:v>Rhydon</x:v>
      </x:c>
      <x:c r="C1075" s="1" t="n">
        <x:v>1</x:v>
      </x:c>
      <x:c r="D1075" s="1" t="str">
        <x:v>Scary Face</x:v>
      </x:c>
      <x:c r="E1075" s="1" t="str">
        <x:v>Normal</x:v>
      </x:c>
      <x:c r="F1075" s="1" t="str">
        <x:v>Status</x:v>
      </x:c>
      <x:c r="G1075" s="10" t="n">
        <x:v>0</x:v>
      </x:c>
      <x:c r="H1075" s="10" t="str">
        <x:f>IF(F1075="Física",'Pokémon'!G116,IF(F1075="Especial",'Pokémon'!I116,""))</x:f>
      </x:c>
      <x:c r="I1075" s="10" t="str">
        <x:f>IF(OR(F1075="Status",G1075=0),"",G1075+H1075)</x:f>
      </x:c>
      <x:c r="J1075" s="10" t="n">
        <x:v>1</x:v>
      </x:c>
      <x:c r="K1075" s="12" t="n">
        <x:v>35</x:v>
      </x:c>
      <x:c r="L1075" s="1" t="str"/>
      <x:c r="M1075" s="9" t="str">
        <x:v>https://poke.idleworld.online/pokepedia/pokemon/rhydon</x:v>
      </x:c>
    </x:row>
    <x:row r="1076" ht="22" customHeight="1">
      <x:c r="A1076" s="1" t="n">
        <x:v>113</x:v>
      </x:c>
      <x:c r="B1076" s="1" t="str">
        <x:v>Chansey</x:v>
      </x:c>
      <x:c r="C1076" s="1" t="n">
        <x:v>2</x:v>
      </x:c>
      <x:c r="D1076" s="1" t="str">
        <x:v>Double-Edge</x:v>
      </x:c>
      <x:c r="E1076" s="1" t="str">
        <x:v>Normal</x:v>
      </x:c>
      <x:c r="F1076" s="1" t="str">
        <x:v>Física</x:v>
      </x:c>
      <x:c r="G1076" s="10" t="n">
        <x:v>120</x:v>
      </x:c>
      <x:c r="H1076" s="10" t="n">
        <x:f>IF(F1076="Física",'Pokémon'!G117,IF(F1076="Especial",'Pokémon'!I117,""))</x:f>
        <x:v>5</x:v>
      </x:c>
      <x:c r="I1076" s="10" t="n">
        <x:f>IF(OR(F1076="Status",G1076=0),"",G1076+H1076)</x:f>
        <x:v>125</x:v>
      </x:c>
      <x:c r="J1076" s="10" t="n">
        <x:v>1</x:v>
      </x:c>
      <x:c r="K1076" s="12" t="n">
        <x:v>50</x:v>
      </x:c>
      <x:c r="L1076" s="1" t="str"/>
      <x:c r="M1076" s="9" t="str">
        <x:v>https://poke.idleworld.online/pokepedia/pokemon/chansey</x:v>
      </x:c>
    </x:row>
    <x:row r="1077" ht="22" customHeight="1">
      <x:c r="A1077" s="1" t="n">
        <x:v>113</x:v>
      </x:c>
      <x:c r="B1077" s="1" t="str">
        <x:v>Chansey</x:v>
      </x:c>
      <x:c r="C1077" s="1" t="n">
        <x:v>5</x:v>
      </x:c>
      <x:c r="D1077" s="1" t="str">
        <x:v>Egg Bomb</x:v>
      </x:c>
      <x:c r="E1077" s="1" t="str">
        <x:v>Normal</x:v>
      </x:c>
      <x:c r="F1077" s="1" t="str">
        <x:v>Física</x:v>
      </x:c>
      <x:c r="G1077" s="10" t="n">
        <x:v>100</x:v>
      </x:c>
      <x:c r="H1077" s="10" t="n">
        <x:f>IF(F1077="Física",'Pokémon'!G117,IF(F1077="Especial",'Pokémon'!I117,""))</x:f>
        <x:v>5</x:v>
      </x:c>
      <x:c r="I1077" s="10" t="n">
        <x:f>IF(OR(F1077="Status",G1077=0),"",G1077+H1077)</x:f>
        <x:v>105</x:v>
      </x:c>
      <x:c r="J1077" s="10" t="n">
        <x:v>42</x:v>
      </x:c>
      <x:c r="K1077" s="12" t="n">
        <x:v>10</x:v>
      </x:c>
      <x:c r="L1077" s="1" t="str"/>
      <x:c r="M1077" s="9" t="str">
        <x:v>https://poke.idleworld.online/pokepedia/pokemon/chansey</x:v>
      </x:c>
    </x:row>
    <x:row r="1078" ht="22" customHeight="1">
      <x:c r="A1078" s="1" t="n">
        <x:v>113</x:v>
      </x:c>
      <x:c r="B1078" s="1" t="str">
        <x:v>Chansey</x:v>
      </x:c>
      <x:c r="C1078" s="1" t="n">
        <x:v>4</x:v>
      </x:c>
      <x:c r="D1078" s="1" t="str">
        <x:v>Take Down</x:v>
      </x:c>
      <x:c r="E1078" s="1" t="str">
        <x:v>Normal</x:v>
      </x:c>
      <x:c r="F1078" s="1" t="str">
        <x:v>Física</x:v>
      </x:c>
      <x:c r="G1078" s="10" t="n">
        <x:v>90</x:v>
      </x:c>
      <x:c r="H1078" s="10" t="n">
        <x:f>IF(F1078="Física",'Pokémon'!G117,IF(F1078="Especial",'Pokémon'!I117,""))</x:f>
        <x:v>5</x:v>
      </x:c>
      <x:c r="I1078" s="10" t="n">
        <x:f>IF(OR(F1078="Status",G1078=0),"",G1078+H1078)</x:f>
        <x:v>95</x:v>
      </x:c>
      <x:c r="J1078" s="10" t="n">
        <x:v>27</x:v>
      </x:c>
      <x:c r="K1078" s="12" t="n">
        <x:v>22</x:v>
      </x:c>
      <x:c r="L1078" s="1" t="str"/>
      <x:c r="M1078" s="9" t="str">
        <x:v>https://poke.idleworld.online/pokepedia/pokemon/chansey</x:v>
      </x:c>
    </x:row>
    <x:row r="1079" ht="22" customHeight="1">
      <x:c r="A1079" s="1" t="n">
        <x:v>113</x:v>
      </x:c>
      <x:c r="B1079" s="1" t="str">
        <x:v>Chansey</x:v>
      </x:c>
      <x:c r="C1079" s="1" t="n">
        <x:v>1</x:v>
      </x:c>
      <x:c r="D1079" s="1" t="str">
        <x:v>Pound</x:v>
      </x:c>
      <x:c r="E1079" s="1" t="str">
        <x:v>Normal</x:v>
      </x:c>
      <x:c r="F1079" s="1" t="str">
        <x:v>Física</x:v>
      </x:c>
      <x:c r="G1079" s="10" t="n">
        <x:v>40</x:v>
      </x:c>
      <x:c r="H1079" s="10" t="n">
        <x:f>IF(F1079="Física",'Pokémon'!G117,IF(F1079="Especial",'Pokémon'!I117,""))</x:f>
        <x:v>5</x:v>
      </x:c>
      <x:c r="I1079" s="10" t="n">
        <x:f>IF(OR(F1079="Status",G1079=0),"",G1079+H1079)</x:f>
        <x:v>45</x:v>
      </x:c>
      <x:c r="J1079" s="10" t="n">
        <x:v>1</x:v>
      </x:c>
      <x:c r="K1079" s="12" t="n">
        <x:v>15</x:v>
      </x:c>
      <x:c r="L1079" s="1" t="str"/>
      <x:c r="M1079" s="9" t="str">
        <x:v>https://poke.idleworld.online/pokepedia/pokemon/chansey</x:v>
      </x:c>
    </x:row>
    <x:row r="1080" ht="22" customHeight="1">
      <x:c r="A1080" s="1" t="n">
        <x:v>113</x:v>
      </x:c>
      <x:c r="B1080" s="1" t="str">
        <x:v>Chansey</x:v>
      </x:c>
      <x:c r="C1080" s="1" t="n">
        <x:v>3</x:v>
      </x:c>
      <x:c r="D1080" s="1" t="str">
        <x:v>Doubleslap</x:v>
      </x:c>
      <x:c r="E1080" s="1" t="str">
        <x:v>Normal</x:v>
      </x:c>
      <x:c r="F1080" s="1" t="str">
        <x:v>Física</x:v>
      </x:c>
      <x:c r="G1080" s="10" t="n">
        <x:v>15</x:v>
      </x:c>
      <x:c r="H1080" s="10" t="n">
        <x:f>IF(F1080="Física",'Pokémon'!G117,IF(F1080="Especial",'Pokémon'!I117,""))</x:f>
        <x:v>5</x:v>
      </x:c>
      <x:c r="I1080" s="10" t="n">
        <x:f>IF(OR(F1080="Status",G1080=0),"",G1080+H1080)</x:f>
        <x:v>20</x:v>
      </x:c>
      <x:c r="J1080" s="10" t="n">
        <x:v>12</x:v>
      </x:c>
      <x:c r="K1080" s="12" t="n">
        <x:v>5</x:v>
      </x:c>
      <x:c r="L1080" s="1" t="str"/>
      <x:c r="M1080" s="9" t="str">
        <x:v>https://poke.idleworld.online/pokepedia/pokemon/chansey</x:v>
      </x:c>
    </x:row>
    <x:row r="1081" ht="22" customHeight="1">
      <x:c r="A1081" s="1" t="n">
        <x:v>113</x:v>
      </x:c>
      <x:c r="B1081" s="1" t="str">
        <x:v>Chansey</x:v>
      </x:c>
      <x:c r="C1081" s="1" t="n">
        <x:v>6</x:v>
      </x:c>
      <x:c r="D1081" s="1" t="str">
        <x:v>Healing Wish</x:v>
      </x:c>
      <x:c r="E1081" s="1" t="str">
        <x:v>Psíquico</x:v>
      </x:c>
      <x:c r="F1081" s="1" t="str">
        <x:v>Status</x:v>
      </x:c>
      <x:c r="G1081" s="10" t="n">
        <x:v>0</x:v>
      </x:c>
      <x:c r="H1081" s="10" t="str">
        <x:f>IF(F1081="Física",'Pokémon'!G117,IF(F1081="Especial",'Pokémon'!I117,""))</x:f>
      </x:c>
      <x:c r="I1081" s="10" t="str">
        <x:f>IF(OR(F1081="Status",G1081=0),"",G1081+H1081)</x:f>
      </x:c>
      <x:c r="J1081" s="10" t="n">
        <x:v>50</x:v>
      </x:c>
      <x:c r="K1081" s="12" t="n">
        <x:v>100</x:v>
      </x:c>
      <x:c r="L1081" s="1" t="str"/>
      <x:c r="M1081" s="9" t="str">
        <x:v>https://poke.idleworld.online/pokepedia/pokemon/chansey</x:v>
      </x:c>
    </x:row>
    <x:row r="1082" ht="22" customHeight="1">
      <x:c r="A1082" s="1" t="n">
        <x:v>114</x:v>
      </x:c>
      <x:c r="B1082" s="1" t="str">
        <x:v>Tangela</x:v>
      </x:c>
      <x:c r="C1082" s="1" t="n">
        <x:v>1</x:v>
      </x:c>
      <x:c r="D1082" s="1" t="str">
        <x:v>Petal Bloom</x:v>
      </x:c>
      <x:c r="E1082" s="1" t="str">
        <x:v>Planta</x:v>
      </x:c>
      <x:c r="F1082" s="1" t="str">
        <x:v>Especial</x:v>
      </x:c>
      <x:c r="G1082" s="10" t="n">
        <x:v>300</x:v>
      </x:c>
      <x:c r="H1082" s="10" t="n">
        <x:f>IF(F1082="Física",'Pokémon'!G118,IF(F1082="Especial",'Pokémon'!I118,""))</x:f>
        <x:v>100</x:v>
      </x:c>
      <x:c r="I1082" s="10" t="n">
        <x:f>IF(OR(F1082="Status",G1082=0),"",G1082+H1082)</x:f>
        <x:v>400</x:v>
      </x:c>
      <x:c r="J1082" s="10" t="n">
        <x:v>1</x:v>
      </x:c>
      <x:c r="K1082" s="12" t="n">
        <x:v>10</x:v>
      </x:c>
      <x:c r="L1082" s="1" t="str">
        <x:v>Sim</x:v>
      </x:c>
      <x:c r="M1082" s="9" t="str">
        <x:v>https://poke.idleworld.online/pokepedia/pokemon/tangela</x:v>
      </x:c>
    </x:row>
    <x:row r="1083" ht="22" customHeight="1">
      <x:c r="A1083" s="1" t="n">
        <x:v>114</x:v>
      </x:c>
      <x:c r="B1083" s="1" t="str">
        <x:v>Tangela</x:v>
      </x:c>
      <x:c r="C1083" s="1" t="n">
        <x:v>14</x:v>
      </x:c>
      <x:c r="D1083" s="1" t="str">
        <x:v>Power Whip</x:v>
      </x:c>
      <x:c r="E1083" s="1" t="str">
        <x:v>Planta</x:v>
      </x:c>
      <x:c r="F1083" s="1" t="str">
        <x:v>Física</x:v>
      </x:c>
      <x:c r="G1083" s="10" t="n">
        <x:v>120</x:v>
      </x:c>
      <x:c r="H1083" s="10" t="n">
        <x:f>IF(F1083="Física",'Pokémon'!G118,IF(F1083="Especial",'Pokémon'!I118,""))</x:f>
        <x:v>55</x:v>
      </x:c>
      <x:c r="I1083" s="10" t="n">
        <x:f>IF(OR(F1083="Status",G1083=0),"",G1083+H1083)</x:f>
        <x:v>175</x:v>
      </x:c>
      <x:c r="J1083" s="10" t="n">
        <x:v>50</x:v>
      </x:c>
      <x:c r="K1083" s="12" t="n">
        <x:v>22</x:v>
      </x:c>
      <x:c r="L1083" s="1" t="str"/>
      <x:c r="M1083" s="9" t="str">
        <x:v>https://poke.idleworld.online/pokepedia/pokemon/tangela</x:v>
      </x:c>
    </x:row>
    <x:row r="1084" ht="22" customHeight="1">
      <x:c r="A1084" s="1" t="n">
        <x:v>114</x:v>
      </x:c>
      <x:c r="B1084" s="1" t="str">
        <x:v>Tangela</x:v>
      </x:c>
      <x:c r="C1084" s="1" t="n">
        <x:v>11</x:v>
      </x:c>
      <x:c r="D1084" s="1" t="str">
        <x:v>Giga Drain</x:v>
      </x:c>
      <x:c r="E1084" s="1" t="str">
        <x:v>Planta</x:v>
      </x:c>
      <x:c r="F1084" s="1" t="str">
        <x:v>Especial</x:v>
      </x:c>
      <x:c r="G1084" s="10" t="n">
        <x:v>75</x:v>
      </x:c>
      <x:c r="H1084" s="10" t="n">
        <x:f>IF(F1084="Física",'Pokémon'!G118,IF(F1084="Especial",'Pokémon'!I118,""))</x:f>
        <x:v>100</x:v>
      </x:c>
      <x:c r="I1084" s="10" t="n">
        <x:f>IF(OR(F1084="Status",G1084=0),"",G1084+H1084)</x:f>
        <x:v>175</x:v>
      </x:c>
      <x:c r="J1084" s="10" t="n">
        <x:v>36</x:v>
      </x:c>
      <x:c r="K1084" s="12" t="n">
        <x:v>22</x:v>
      </x:c>
      <x:c r="L1084" s="1" t="str"/>
      <x:c r="M1084" s="9" t="str">
        <x:v>https://poke.idleworld.online/pokepedia/pokemon/tangela</x:v>
      </x:c>
    </x:row>
    <x:row r="1085" ht="22" customHeight="1">
      <x:c r="A1085" s="1" t="n">
        <x:v>114</x:v>
      </x:c>
      <x:c r="B1085" s="1" t="str">
        <x:v>Tangela</x:v>
      </x:c>
      <x:c r="C1085" s="1" t="n">
        <x:v>12</x:v>
      </x:c>
      <x:c r="D1085" s="1" t="str">
        <x:v>Ancient Power</x:v>
      </x:c>
      <x:c r="E1085" s="1" t="str">
        <x:v>Pedra</x:v>
      </x:c>
      <x:c r="F1085" s="1" t="str">
        <x:v>Especial</x:v>
      </x:c>
      <x:c r="G1085" s="10" t="n">
        <x:v>60</x:v>
      </x:c>
      <x:c r="H1085" s="10" t="n">
        <x:f>IF(F1085="Física",'Pokémon'!G118,IF(F1085="Especial",'Pokémon'!I118,""))</x:f>
        <x:v>100</x:v>
      </x:c>
      <x:c r="I1085" s="10" t="n">
        <x:f>IF(OR(F1085="Status",G1085=0),"",G1085+H1085)</x:f>
        <x:v>160</x:v>
      </x:c>
      <x:c r="J1085" s="10" t="n">
        <x:v>38</x:v>
      </x:c>
      <x:c r="K1085" s="12" t="n">
        <x:v>20</x:v>
      </x:c>
      <x:c r="L1085" s="1" t="str"/>
      <x:c r="M1085" s="9" t="str">
        <x:v>https://poke.idleworld.online/pokepedia/pokemon/tangela</x:v>
      </x:c>
    </x:row>
    <x:row r="1086" ht="22" customHeight="1">
      <x:c r="A1086" s="1" t="n">
        <x:v>114</x:v>
      </x:c>
      <x:c r="B1086" s="1" t="str">
        <x:v>Tangela</x:v>
      </x:c>
      <x:c r="C1086" s="1" t="n">
        <x:v>8</x:v>
      </x:c>
      <x:c r="D1086" s="1" t="str">
        <x:v>Mega Drain</x:v>
      </x:c>
      <x:c r="E1086" s="1" t="str">
        <x:v>Planta</x:v>
      </x:c>
      <x:c r="F1086" s="1" t="str">
        <x:v>Especial</x:v>
      </x:c>
      <x:c r="G1086" s="10" t="n">
        <x:v>40</x:v>
      </x:c>
      <x:c r="H1086" s="10" t="n">
        <x:f>IF(F1086="Física",'Pokémon'!G118,IF(F1086="Especial",'Pokémon'!I118,""))</x:f>
        <x:v>100</x:v>
      </x:c>
      <x:c r="I1086" s="10" t="n">
        <x:f>IF(OR(F1086="Status",G1086=0),"",G1086+H1086)</x:f>
        <x:v>140</x:v>
      </x:c>
      <x:c r="J1086" s="10" t="n">
        <x:v>23</x:v>
      </x:c>
      <x:c r="K1086" s="12" t="n">
        <x:v>15</x:v>
      </x:c>
      <x:c r="L1086" s="1" t="str"/>
      <x:c r="M1086" s="9" t="str">
        <x:v>https://poke.idleworld.online/pokepedia/pokemon/tangela</x:v>
      </x:c>
    </x:row>
    <x:row r="1087" ht="22" customHeight="1">
      <x:c r="A1087" s="1" t="n">
        <x:v>114</x:v>
      </x:c>
      <x:c r="B1087" s="1" t="str">
        <x:v>Tangela</x:v>
      </x:c>
      <x:c r="C1087" s="1" t="n">
        <x:v>13</x:v>
      </x:c>
      <x:c r="D1087" s="1" t="str">
        <x:v>Slam</x:v>
      </x:c>
      <x:c r="E1087" s="1" t="str">
        <x:v>Normal</x:v>
      </x:c>
      <x:c r="F1087" s="1" t="str">
        <x:v>Física</x:v>
      </x:c>
      <x:c r="G1087" s="10" t="n">
        <x:v>80</x:v>
      </x:c>
      <x:c r="H1087" s="10" t="n">
        <x:f>IF(F1087="Física",'Pokémon'!G118,IF(F1087="Especial",'Pokémon'!I118,""))</x:f>
        <x:v>55</x:v>
      </x:c>
      <x:c r="I1087" s="10" t="n">
        <x:f>IF(OR(F1087="Status",G1087=0),"",G1087+H1087)</x:f>
        <x:v>135</x:v>
      </x:c>
      <x:c r="J1087" s="10" t="n">
        <x:v>41</x:v>
      </x:c>
      <x:c r="K1087" s="12" t="n">
        <x:v>22</x:v>
      </x:c>
      <x:c r="L1087" s="1" t="str"/>
      <x:c r="M1087" s="9" t="str">
        <x:v>https://poke.idleworld.online/pokepedia/pokemon/tangela</x:v>
      </x:c>
    </x:row>
    <x:row r="1088" ht="22" customHeight="1">
      <x:c r="A1088" s="1" t="n">
        <x:v>114</x:v>
      </x:c>
      <x:c r="B1088" s="1" t="str">
        <x:v>Tangela</x:v>
      </x:c>
      <x:c r="C1088" s="1" t="n">
        <x:v>9</x:v>
      </x:c>
      <x:c r="D1088" s="1" t="str">
        <x:v>Knock Off</x:v>
      </x:c>
      <x:c r="E1088" s="1" t="str">
        <x:v>Sombrio</x:v>
      </x:c>
      <x:c r="F1088" s="1" t="str">
        <x:v>Física</x:v>
      </x:c>
      <x:c r="G1088" s="10" t="n">
        <x:v>65</x:v>
      </x:c>
      <x:c r="H1088" s="10" t="n">
        <x:f>IF(F1088="Física",'Pokémon'!G118,IF(F1088="Especial",'Pokémon'!I118,""))</x:f>
        <x:v>55</x:v>
      </x:c>
      <x:c r="I1088" s="10" t="n">
        <x:f>IF(OR(F1088="Status",G1088=0),"",G1088+H1088)</x:f>
        <x:v>120</x:v>
      </x:c>
      <x:c r="J1088" s="10" t="n">
        <x:v>27</x:v>
      </x:c>
      <x:c r="K1088" s="12" t="n">
        <x:v>20</x:v>
      </x:c>
      <x:c r="L1088" s="1" t="str"/>
      <x:c r="M1088" s="9" t="str">
        <x:v>https://poke.idleworld.online/pokepedia/pokemon/tangela</x:v>
      </x:c>
    </x:row>
    <x:row r="1089" ht="22" customHeight="1">
      <x:c r="A1089" s="1" t="n">
        <x:v>114</x:v>
      </x:c>
      <x:c r="B1089" s="1" t="str">
        <x:v>Tangela</x:v>
      </x:c>
      <x:c r="C1089" s="1" t="n">
        <x:v>5</x:v>
      </x:c>
      <x:c r="D1089" s="1" t="str">
        <x:v>Absorb</x:v>
      </x:c>
      <x:c r="E1089" s="1" t="str">
        <x:v>Planta</x:v>
      </x:c>
      <x:c r="F1089" s="1" t="str">
        <x:v>Especial</x:v>
      </x:c>
      <x:c r="G1089" s="10" t="n">
        <x:v>20</x:v>
      </x:c>
      <x:c r="H1089" s="10" t="n">
        <x:f>IF(F1089="Física",'Pokémon'!G118,IF(F1089="Especial",'Pokémon'!I118,""))</x:f>
        <x:v>100</x:v>
      </x:c>
      <x:c r="I1089" s="10" t="n">
        <x:f>IF(OR(F1089="Status",G1089=0),"",G1089+H1089)</x:f>
        <x:v>120</x:v>
      </x:c>
      <x:c r="J1089" s="10" t="n">
        <x:v>10</x:v>
      </x:c>
      <x:c r="K1089" s="12" t="n">
        <x:v>10</x:v>
      </x:c>
      <x:c r="L1089" s="1" t="str"/>
      <x:c r="M1089" s="9" t="str">
        <x:v>https://poke.idleworld.online/pokepedia/pokemon/tangela</x:v>
      </x:c>
    </x:row>
    <x:row r="1090" ht="22" customHeight="1">
      <x:c r="A1090" s="1" t="n">
        <x:v>114</x:v>
      </x:c>
      <x:c r="B1090" s="1" t="str">
        <x:v>Tangela</x:v>
      </x:c>
      <x:c r="C1090" s="1" t="n">
        <x:v>4</x:v>
      </x:c>
      <x:c r="D1090" s="1" t="str">
        <x:v>Vine Whip</x:v>
      </x:c>
      <x:c r="E1090" s="1" t="str">
        <x:v>Planta</x:v>
      </x:c>
      <x:c r="F1090" s="1" t="str">
        <x:v>Física</x:v>
      </x:c>
      <x:c r="G1090" s="10" t="n">
        <x:v>45</x:v>
      </x:c>
      <x:c r="H1090" s="10" t="n">
        <x:f>IF(F1090="Física",'Pokémon'!G118,IF(F1090="Especial",'Pokémon'!I118,""))</x:f>
        <x:v>55</x:v>
      </x:c>
      <x:c r="I1090" s="10" t="n">
        <x:f>IF(OR(F1090="Status",G1090=0),"",G1090+H1090)</x:f>
        <x:v>100</x:v>
      </x:c>
      <x:c r="J1090" s="10" t="n">
        <x:v>7</x:v>
      </x:c>
      <x:c r="K1090" s="12" t="n">
        <x:v>12</x:v>
      </x:c>
      <x:c r="L1090" s="1" t="str"/>
      <x:c r="M1090" s="9" t="str">
        <x:v>https://poke.idleworld.online/pokepedia/pokemon/tangela</x:v>
      </x:c>
    </x:row>
    <x:row r="1091" ht="22" customHeight="1">
      <x:c r="A1091" s="1" t="n">
        <x:v>114</x:v>
      </x:c>
      <x:c r="B1091" s="1" t="str">
        <x:v>Tangela</x:v>
      </x:c>
      <x:c r="C1091" s="1" t="n">
        <x:v>7</x:v>
      </x:c>
      <x:c r="D1091" s="1" t="str">
        <x:v>Bind</x:v>
      </x:c>
      <x:c r="E1091" s="1" t="str">
        <x:v>Normal</x:v>
      </x:c>
      <x:c r="F1091" s="1" t="str">
        <x:v>Física</x:v>
      </x:c>
      <x:c r="G1091" s="10" t="n">
        <x:v>15</x:v>
      </x:c>
      <x:c r="H1091" s="10" t="n">
        <x:f>IF(F1091="Física",'Pokémon'!G118,IF(F1091="Especial",'Pokémon'!I118,""))</x:f>
        <x:v>55</x:v>
      </x:c>
      <x:c r="I1091" s="10" t="n">
        <x:f>IF(OR(F1091="Status",G1091=0),"",G1091+H1091)</x:f>
        <x:v>70</x:v>
      </x:c>
      <x:c r="J1091" s="10" t="n">
        <x:v>17</x:v>
      </x:c>
      <x:c r="K1091" s="12" t="n">
        <x:v>15</x:v>
      </x:c>
      <x:c r="L1091" s="1" t="str"/>
      <x:c r="M1091" s="9" t="str">
        <x:v>https://poke.idleworld.online/pokepedia/pokemon/tangela</x:v>
      </x:c>
    </x:row>
    <x:row r="1092" ht="22" customHeight="1">
      <x:c r="A1092" s="1" t="n">
        <x:v>114</x:v>
      </x:c>
      <x:c r="B1092" s="1" t="str">
        <x:v>Tangela</x:v>
      </x:c>
      <x:c r="C1092" s="1" t="n">
        <x:v>2</x:v>
      </x:c>
      <x:c r="D1092" s="1" t="str">
        <x:v>Constrict</x:v>
      </x:c>
      <x:c r="E1092" s="1" t="str">
        <x:v>Normal</x:v>
      </x:c>
      <x:c r="F1092" s="1" t="str">
        <x:v>Física</x:v>
      </x:c>
      <x:c r="G1092" s="10" t="n">
        <x:v>10</x:v>
      </x:c>
      <x:c r="H1092" s="10" t="n">
        <x:f>IF(F1092="Física",'Pokémon'!G118,IF(F1092="Especial",'Pokémon'!I118,""))</x:f>
        <x:v>55</x:v>
      </x:c>
      <x:c r="I1092" s="10" t="n">
        <x:f>IF(OR(F1092="Status",G1092=0),"",G1092+H1092)</x:f>
        <x:v>65</x:v>
      </x:c>
      <x:c r="J1092" s="10" t="n">
        <x:v>1</x:v>
      </x:c>
      <x:c r="K1092" s="12" t="n">
        <x:v>15</x:v>
      </x:c>
      <x:c r="L1092" s="1" t="str"/>
      <x:c r="M1092" s="9" t="str">
        <x:v>https://poke.idleworld.online/pokepedia/pokemon/tangela</x:v>
      </x:c>
    </x:row>
    <x:row r="1093" ht="22" customHeight="1">
      <x:c r="A1093" s="1" t="n">
        <x:v>114</x:v>
      </x:c>
      <x:c r="B1093" s="1" t="str">
        <x:v>Tangela</x:v>
      </x:c>
      <x:c r="C1093" s="1" t="n">
        <x:v>3</x:v>
      </x:c>
      <x:c r="D1093" s="1" t="str">
        <x:v>Sleep Powder</x:v>
      </x:c>
      <x:c r="E1093" s="1" t="str">
        <x:v>Planta</x:v>
      </x:c>
      <x:c r="F1093" s="1" t="str">
        <x:v>Status</x:v>
      </x:c>
      <x:c r="G1093" s="10" t="n">
        <x:v>0</x:v>
      </x:c>
      <x:c r="H1093" s="10" t="str">
        <x:f>IF(F1093="Física",'Pokémon'!G118,IF(F1093="Especial",'Pokémon'!I118,""))</x:f>
      </x:c>
      <x:c r="I1093" s="10" t="str">
        <x:f>IF(OR(F1093="Status",G1093=0),"",G1093+H1093)</x:f>
      </x:c>
      <x:c r="J1093" s="10" t="n">
        <x:v>4</x:v>
      </x:c>
      <x:c r="K1093" s="12" t="n">
        <x:v>30</x:v>
      </x:c>
      <x:c r="L1093" s="1" t="str"/>
      <x:c r="M1093" s="9" t="str">
        <x:v>https://poke.idleworld.online/pokepedia/pokemon/tangela</x:v>
      </x:c>
    </x:row>
    <x:row r="1094" ht="22" customHeight="1">
      <x:c r="A1094" s="1" t="n">
        <x:v>114</x:v>
      </x:c>
      <x:c r="B1094" s="1" t="str">
        <x:v>Tangela</x:v>
      </x:c>
      <x:c r="C1094" s="1" t="n">
        <x:v>6</x:v>
      </x:c>
      <x:c r="D1094" s="1" t="str">
        <x:v>Poison Powder</x:v>
      </x:c>
      <x:c r="E1094" s="1" t="str">
        <x:v>Venenoso</x:v>
      </x:c>
      <x:c r="F1094" s="1" t="str">
        <x:v>Status</x:v>
      </x:c>
      <x:c r="G1094" s="10" t="n">
        <x:v>0</x:v>
      </x:c>
      <x:c r="H1094" s="10" t="str">
        <x:f>IF(F1094="Física",'Pokémon'!G118,IF(F1094="Especial",'Pokémon'!I118,""))</x:f>
      </x:c>
      <x:c r="I1094" s="10" t="str">
        <x:f>IF(OR(F1094="Status",G1094=0),"",G1094+H1094)</x:f>
      </x:c>
      <x:c r="J1094" s="10" t="n">
        <x:v>14</x:v>
      </x:c>
      <x:c r="K1094" s="12" t="n">
        <x:v>20</x:v>
      </x:c>
      <x:c r="L1094" s="1" t="str"/>
      <x:c r="M1094" s="9" t="str">
        <x:v>https://poke.idleworld.online/pokepedia/pokemon/tangela</x:v>
      </x:c>
    </x:row>
    <x:row r="1095" ht="22" customHeight="1">
      <x:c r="A1095" s="1" t="n">
        <x:v>114</x:v>
      </x:c>
      <x:c r="B1095" s="1" t="str">
        <x:v>Tangela</x:v>
      </x:c>
      <x:c r="C1095" s="1" t="n">
        <x:v>10</x:v>
      </x:c>
      <x:c r="D1095" s="1" t="str">
        <x:v>Stun Spore</x:v>
      </x:c>
      <x:c r="E1095" s="1" t="str">
        <x:v>Planta</x:v>
      </x:c>
      <x:c r="F1095" s="1" t="str">
        <x:v>Status</x:v>
      </x:c>
      <x:c r="G1095" s="10" t="n">
        <x:v>0</x:v>
      </x:c>
      <x:c r="H1095" s="10" t="str">
        <x:f>IF(F1095="Física",'Pokémon'!G118,IF(F1095="Especial",'Pokémon'!I118,""))</x:f>
      </x:c>
      <x:c r="I1095" s="10" t="str">
        <x:f>IF(OR(F1095="Status",G1095=0),"",G1095+H1095)</x:f>
      </x:c>
      <x:c r="J1095" s="10" t="n">
        <x:v>30</x:v>
      </x:c>
      <x:c r="K1095" s="12" t="n">
        <x:v>40</x:v>
      </x:c>
      <x:c r="L1095" s="1" t="str"/>
      <x:c r="M1095" s="9" t="str">
        <x:v>https://poke.idleworld.online/pokepedia/pokemon/tangela</x:v>
      </x:c>
    </x:row>
    <x:row r="1096" ht="22" customHeight="1">
      <x:c r="A1096" s="1" t="n">
        <x:v>115</x:v>
      </x:c>
      <x:c r="B1096" s="1" t="str">
        <x:v>Kangaskhan</x:v>
      </x:c>
      <x:c r="C1096" s="1" t="n">
        <x:v>10</x:v>
      </x:c>
      <x:c r="D1096" s="1" t="str">
        <x:v>Outrage</x:v>
      </x:c>
      <x:c r="E1096" s="1" t="str">
        <x:v>Dragão</x:v>
      </x:c>
      <x:c r="F1096" s="1" t="str">
        <x:v>Física</x:v>
      </x:c>
      <x:c r="G1096" s="10" t="n">
        <x:v>120</x:v>
      </x:c>
      <x:c r="H1096" s="10" t="n">
        <x:f>IF(F1096="Física",'Pokémon'!G119,IF(F1096="Especial",'Pokémon'!I119,""))</x:f>
        <x:v>95</x:v>
      </x:c>
      <x:c r="I1096" s="10" t="n">
        <x:f>IF(OR(F1096="Status",G1096=0),"",G1096+H1096)</x:f>
        <x:v>215</x:v>
      </x:c>
      <x:c r="J1096" s="10" t="n">
        <x:v>46</x:v>
      </x:c>
      <x:c r="K1096" s="12" t="n">
        <x:v>50</x:v>
      </x:c>
      <x:c r="L1096" s="1" t="str"/>
      <x:c r="M1096" s="9" t="str">
        <x:v>https://poke.idleworld.online/pokepedia/pokemon/kangaskhan</x:v>
      </x:c>
    </x:row>
    <x:row r="1097" ht="22" customHeight="1">
      <x:c r="A1097" s="1" t="n">
        <x:v>115</x:v>
      </x:c>
      <x:c r="B1097" s="1" t="str">
        <x:v>Kangaskhan</x:v>
      </x:c>
      <x:c r="C1097" s="1" t="n">
        <x:v>6</x:v>
      </x:c>
      <x:c r="D1097" s="1" t="str">
        <x:v>Mega Punch</x:v>
      </x:c>
      <x:c r="E1097" s="1" t="str">
        <x:v>Normal</x:v>
      </x:c>
      <x:c r="F1097" s="1" t="str">
        <x:v>Física</x:v>
      </x:c>
      <x:c r="G1097" s="10" t="n">
        <x:v>80</x:v>
      </x:c>
      <x:c r="H1097" s="10" t="n">
        <x:f>IF(F1097="Física",'Pokémon'!G119,IF(F1097="Especial",'Pokémon'!I119,""))</x:f>
        <x:v>95</x:v>
      </x:c>
      <x:c r="I1097" s="10" t="n">
        <x:f>IF(OR(F1097="Status",G1097=0),"",G1097+H1097)</x:f>
        <x:v>175</x:v>
      </x:c>
      <x:c r="J1097" s="10" t="n">
        <x:v>25</x:v>
      </x:c>
      <x:c r="K1097" s="12" t="n">
        <x:v>25</x:v>
      </x:c>
      <x:c r="L1097" s="1" t="str"/>
      <x:c r="M1097" s="9" t="str">
        <x:v>https://poke.idleworld.online/pokepedia/pokemon/kangaskhan</x:v>
      </x:c>
    </x:row>
    <x:row r="1098" ht="22" customHeight="1">
      <x:c r="A1098" s="1" t="n">
        <x:v>115</x:v>
      </x:c>
      <x:c r="B1098" s="1" t="str">
        <x:v>Kangaskhan</x:v>
      </x:c>
      <x:c r="C1098" s="1" t="n">
        <x:v>9</x:v>
      </x:c>
      <x:c r="D1098" s="1" t="str">
        <x:v>Crunch</x:v>
      </x:c>
      <x:c r="E1098" s="1" t="str">
        <x:v>Sombrio</x:v>
      </x:c>
      <x:c r="F1098" s="1" t="str">
        <x:v>Física</x:v>
      </x:c>
      <x:c r="G1098" s="10" t="n">
        <x:v>80</x:v>
      </x:c>
      <x:c r="H1098" s="10" t="n">
        <x:f>IF(F1098="Física",'Pokémon'!G119,IF(F1098="Especial",'Pokémon'!I119,""))</x:f>
        <x:v>95</x:v>
      </x:c>
      <x:c r="I1098" s="10" t="n">
        <x:f>IF(OR(F1098="Status",G1098=0),"",G1098+H1098)</x:f>
        <x:v>175</x:v>
      </x:c>
      <x:c r="J1098" s="10" t="n">
        <x:v>37</x:v>
      </x:c>
      <x:c r="K1098" s="12" t="n">
        <x:v>15</x:v>
      </x:c>
      <x:c r="L1098" s="1" t="str"/>
      <x:c r="M1098" s="9" t="str">
        <x:v>https://poke.idleworld.online/pokepedia/pokemon/kangaskhan</x:v>
      </x:c>
    </x:row>
    <x:row r="1099" ht="22" customHeight="1">
      <x:c r="A1099" s="1" t="n">
        <x:v>115</x:v>
      </x:c>
      <x:c r="B1099" s="1" t="str">
        <x:v>Kangaskhan</x:v>
      </x:c>
      <x:c r="C1099" s="1" t="n">
        <x:v>11</x:v>
      </x:c>
      <x:c r="D1099" s="1" t="str">
        <x:v>Sucker Punch</x:v>
      </x:c>
      <x:c r="E1099" s="1" t="str">
        <x:v>Sombrio</x:v>
      </x:c>
      <x:c r="F1099" s="1" t="str">
        <x:v>Física</x:v>
      </x:c>
      <x:c r="G1099" s="10" t="n">
        <x:v>80</x:v>
      </x:c>
      <x:c r="H1099" s="10" t="n">
        <x:f>IF(F1099="Física",'Pokémon'!G119,IF(F1099="Especial",'Pokémon'!I119,""))</x:f>
        <x:v>95</x:v>
      </x:c>
      <x:c r="I1099" s="10" t="n">
        <x:f>IF(OR(F1099="Status",G1099=0),"",G1099+H1099)</x:f>
        <x:v>175</x:v>
      </x:c>
      <x:c r="J1099" s="10" t="n">
        <x:v>49</x:v>
      </x:c>
      <x:c r="K1099" s="12" t="n">
        <x:v>30</x:v>
      </x:c>
      <x:c r="L1099" s="1" t="str"/>
      <x:c r="M1099" s="9" t="str">
        <x:v>https://poke.idleworld.online/pokepedia/pokemon/kangaskhan</x:v>
      </x:c>
    </x:row>
    <x:row r="1100" ht="22" customHeight="1">
      <x:c r="A1100" s="1" t="n">
        <x:v>115</x:v>
      </x:c>
      <x:c r="B1100" s="1" t="str">
        <x:v>Kangaskhan</x:v>
      </x:c>
      <x:c r="C1100" s="1" t="n">
        <x:v>7</x:v>
      </x:c>
      <x:c r="D1100" s="1" t="str">
        <x:v>Chip Away</x:v>
      </x:c>
      <x:c r="E1100" s="1" t="str">
        <x:v>Normal</x:v>
      </x:c>
      <x:c r="F1100" s="1" t="str">
        <x:v>Física</x:v>
      </x:c>
      <x:c r="G1100" s="10" t="n">
        <x:v>70</x:v>
      </x:c>
      <x:c r="H1100" s="10" t="n">
        <x:f>IF(F1100="Física",'Pokémon'!G119,IF(F1100="Especial",'Pokémon'!I119,""))</x:f>
        <x:v>95</x:v>
      </x:c>
      <x:c r="I1100" s="10" t="n">
        <x:f>IF(OR(F1100="Status",G1100=0),"",G1100+H1100)</x:f>
        <x:v>165</x:v>
      </x:c>
      <x:c r="J1100" s="10" t="n">
        <x:v>31</x:v>
      </x:c>
      <x:c r="K1100" s="12" t="n">
        <x:v>20</x:v>
      </x:c>
      <x:c r="L1100" s="1" t="str"/>
      <x:c r="M1100" s="9" t="str">
        <x:v>https://poke.idleworld.online/pokepedia/pokemon/kangaskhan</x:v>
      </x:c>
    </x:row>
    <x:row r="1101" ht="22" customHeight="1">
      <x:c r="A1101" s="1" t="n">
        <x:v>115</x:v>
      </x:c>
      <x:c r="B1101" s="1" t="str">
        <x:v>Kangaskhan</x:v>
      </x:c>
      <x:c r="C1101" s="1" t="n">
        <x:v>8</x:v>
      </x:c>
      <x:c r="D1101" s="1" t="str">
        <x:v>Dizzy Punch</x:v>
      </x:c>
      <x:c r="E1101" s="1" t="str">
        <x:v>Normal</x:v>
      </x:c>
      <x:c r="F1101" s="1" t="str">
        <x:v>Física</x:v>
      </x:c>
      <x:c r="G1101" s="10" t="n">
        <x:v>70</x:v>
      </x:c>
      <x:c r="H1101" s="10" t="n">
        <x:f>IF(F1101="Física",'Pokémon'!G119,IF(F1101="Especial",'Pokémon'!I119,""))</x:f>
        <x:v>95</x:v>
      </x:c>
      <x:c r="I1101" s="10" t="n">
        <x:f>IF(OR(F1101="Status",G1101=0),"",G1101+H1101)</x:f>
        <x:v>165</x:v>
      </x:c>
      <x:c r="J1101" s="10" t="n">
        <x:v>34</x:v>
      </x:c>
      <x:c r="K1101" s="12" t="n">
        <x:v>30</x:v>
      </x:c>
      <x:c r="L1101" s="1" t="str"/>
      <x:c r="M1101" s="9" t="str">
        <x:v>https://poke.idleworld.online/pokepedia/pokemon/kangaskhan</x:v>
      </x:c>
    </x:row>
    <x:row r="1102" ht="22" customHeight="1">
      <x:c r="A1102" s="1" t="n">
        <x:v>115</x:v>
      </x:c>
      <x:c r="B1102" s="1" t="str">
        <x:v>Kangaskhan</x:v>
      </x:c>
      <x:c r="C1102" s="1" t="n">
        <x:v>3</x:v>
      </x:c>
      <x:c r="D1102" s="1" t="str">
        <x:v>Bite</x:v>
      </x:c>
      <x:c r="E1102" s="1" t="str">
        <x:v>Sombrio</x:v>
      </x:c>
      <x:c r="F1102" s="1" t="str">
        <x:v>Física</x:v>
      </x:c>
      <x:c r="G1102" s="10" t="n">
        <x:v>60</x:v>
      </x:c>
      <x:c r="H1102" s="10" t="n">
        <x:f>IF(F1102="Física",'Pokémon'!G119,IF(F1102="Especial",'Pokémon'!I119,""))</x:f>
        <x:v>95</x:v>
      </x:c>
      <x:c r="I1102" s="10" t="n">
        <x:f>IF(OR(F1102="Status",G1102=0),"",G1102+H1102)</x:f>
        <x:v>155</x:v>
      </x:c>
      <x:c r="J1102" s="10" t="n">
        <x:v>13</x:v>
      </x:c>
      <x:c r="K1102" s="12" t="n">
        <x:v>15</x:v>
      </x:c>
      <x:c r="L1102" s="1" t="str"/>
      <x:c r="M1102" s="9" t="str">
        <x:v>https://poke.idleworld.online/pokepedia/pokemon/kangaskhan</x:v>
      </x:c>
    </x:row>
    <x:row r="1103" ht="22" customHeight="1">
      <x:c r="A1103" s="1" t="n">
        <x:v>115</x:v>
      </x:c>
      <x:c r="B1103" s="1" t="str">
        <x:v>Kangaskhan</x:v>
      </x:c>
      <x:c r="C1103" s="1" t="n">
        <x:v>2</x:v>
      </x:c>
      <x:c r="D1103" s="1" t="str">
        <x:v>Fake Out</x:v>
      </x:c>
      <x:c r="E1103" s="1" t="str">
        <x:v>Normal</x:v>
      </x:c>
      <x:c r="F1103" s="1" t="str">
        <x:v>Física</x:v>
      </x:c>
      <x:c r="G1103" s="10" t="n">
        <x:v>40</x:v>
      </x:c>
      <x:c r="H1103" s="10" t="n">
        <x:f>IF(F1103="Física",'Pokémon'!G119,IF(F1103="Especial",'Pokémon'!I119,""))</x:f>
        <x:v>95</x:v>
      </x:c>
      <x:c r="I1103" s="10" t="n">
        <x:f>IF(OR(F1103="Status",G1103=0),"",G1103+H1103)</x:f>
        <x:v>135</x:v>
      </x:c>
      <x:c r="J1103" s="10" t="n">
        <x:v>7</x:v>
      </x:c>
      <x:c r="K1103" s="12" t="n">
        <x:v>15</x:v>
      </x:c>
      <x:c r="L1103" s="1" t="str"/>
      <x:c r="M1103" s="9" t="str">
        <x:v>https://poke.idleworld.online/pokepedia/pokemon/kangaskhan</x:v>
      </x:c>
    </x:row>
    <x:row r="1104" ht="22" customHeight="1">
      <x:c r="A1104" s="1" t="n">
        <x:v>115</x:v>
      </x:c>
      <x:c r="B1104" s="1" t="str">
        <x:v>Kangaskhan</x:v>
      </x:c>
      <x:c r="C1104" s="1" t="n">
        <x:v>4</x:v>
      </x:c>
      <x:c r="D1104" s="1" t="str">
        <x:v>Double Hit</x:v>
      </x:c>
      <x:c r="E1104" s="1" t="str">
        <x:v>Normal</x:v>
      </x:c>
      <x:c r="F1104" s="1" t="str">
        <x:v>Física</x:v>
      </x:c>
      <x:c r="G1104" s="10" t="n">
        <x:v>35</x:v>
      </x:c>
      <x:c r="H1104" s="10" t="n">
        <x:f>IF(F1104="Física",'Pokémon'!G119,IF(F1104="Especial",'Pokémon'!I119,""))</x:f>
        <x:v>95</x:v>
      </x:c>
      <x:c r="I1104" s="10" t="n">
        <x:f>IF(OR(F1104="Status",G1104=0),"",G1104+H1104)</x:f>
        <x:v>130</x:v>
      </x:c>
      <x:c r="J1104" s="10" t="n">
        <x:v>19</x:v>
      </x:c>
      <x:c r="K1104" s="12" t="n">
        <x:v>15</x:v>
      </x:c>
      <x:c r="L1104" s="1" t="str"/>
      <x:c r="M1104" s="9" t="str">
        <x:v>https://poke.idleworld.online/pokepedia/pokemon/kangaskhan</x:v>
      </x:c>
    </x:row>
    <x:row r="1105" ht="22" customHeight="1">
      <x:c r="A1105" s="1" t="n">
        <x:v>115</x:v>
      </x:c>
      <x:c r="B1105" s="1" t="str">
        <x:v>Kangaskhan</x:v>
      </x:c>
      <x:c r="C1105" s="1" t="n">
        <x:v>5</x:v>
      </x:c>
      <x:c r="D1105" s="1" t="str">
        <x:v>Rage</x:v>
      </x:c>
      <x:c r="E1105" s="1" t="str">
        <x:v>Normal</x:v>
      </x:c>
      <x:c r="F1105" s="1" t="str">
        <x:v>Física</x:v>
      </x:c>
      <x:c r="G1105" s="10" t="n">
        <x:v>20</x:v>
      </x:c>
      <x:c r="H1105" s="10" t="n">
        <x:f>IF(F1105="Física",'Pokémon'!G119,IF(F1105="Especial",'Pokémon'!I119,""))</x:f>
        <x:v>95</x:v>
      </x:c>
      <x:c r="I1105" s="10" t="n">
        <x:f>IF(OR(F1105="Status",G1105=0),"",G1105+H1105)</x:f>
        <x:v>115</x:v>
      </x:c>
      <x:c r="J1105" s="10" t="n">
        <x:v>22</x:v>
      </x:c>
      <x:c r="K1105" s="12" t="n">
        <x:v>30</x:v>
      </x:c>
      <x:c r="L1105" s="1" t="str"/>
      <x:c r="M1105" s="9" t="str">
        <x:v>https://poke.idleworld.online/pokepedia/pokemon/kangaskhan</x:v>
      </x:c>
    </x:row>
    <x:row r="1106" ht="22" customHeight="1">
      <x:c r="A1106" s="1" t="n">
        <x:v>115</x:v>
      </x:c>
      <x:c r="B1106" s="1" t="str">
        <x:v>Kangaskhan</x:v>
      </x:c>
      <x:c r="C1106" s="1" t="n">
        <x:v>1</x:v>
      </x:c>
      <x:c r="D1106" s="1" t="str">
        <x:v>Comet Punch</x:v>
      </x:c>
      <x:c r="E1106" s="1" t="str">
        <x:v>Normal</x:v>
      </x:c>
      <x:c r="F1106" s="1" t="str">
        <x:v>Física</x:v>
      </x:c>
      <x:c r="G1106" s="10" t="n">
        <x:v>18</x:v>
      </x:c>
      <x:c r="H1106" s="10" t="n">
        <x:f>IF(F1106="Física",'Pokémon'!G119,IF(F1106="Especial",'Pokémon'!I119,""))</x:f>
        <x:v>95</x:v>
      </x:c>
      <x:c r="I1106" s="10" t="n">
        <x:f>IF(OR(F1106="Status",G1106=0),"",G1106+H1106)</x:f>
        <x:v>113</x:v>
      </x:c>
      <x:c r="J1106" s="10" t="n">
        <x:v>1</x:v>
      </x:c>
      <x:c r="K1106" s="12" t="n">
        <x:v>35</x:v>
      </x:c>
      <x:c r="L1106" s="1" t="str"/>
      <x:c r="M1106" s="9" t="str">
        <x:v>https://poke.idleworld.online/pokepedia/pokemon/kangaskhan</x:v>
      </x:c>
    </x:row>
    <x:row r="1107" ht="22" customHeight="1">
      <x:c r="A1107" s="1" t="n">
        <x:v>116</x:v>
      </x:c>
      <x:c r="B1107" s="1" t="str">
        <x:v>Horsea</x:v>
      </x:c>
      <x:c r="C1107" s="1" t="n">
        <x:v>7</x:v>
      </x:c>
      <x:c r="D1107" s="1" t="str">
        <x:v>Hydro Pump</x:v>
      </x:c>
      <x:c r="E1107" s="1" t="str">
        <x:v>Água</x:v>
      </x:c>
      <x:c r="F1107" s="1" t="str">
        <x:v>Especial</x:v>
      </x:c>
      <x:c r="G1107" s="10" t="n">
        <x:v>110</x:v>
      </x:c>
      <x:c r="H1107" s="10" t="n">
        <x:f>IF(F1107="Física",'Pokémon'!G120,IF(F1107="Especial",'Pokémon'!I120,""))</x:f>
        <x:v>70</x:v>
      </x:c>
      <x:c r="I1107" s="10" t="n">
        <x:f>IF(OR(F1107="Status",G1107=0),"",G1107+H1107)</x:f>
        <x:v>180</x:v>
      </x:c>
      <x:c r="J1107" s="10" t="n">
        <x:v>52</x:v>
      </x:c>
      <x:c r="K1107" s="12" t="n">
        <x:v>40</x:v>
      </x:c>
      <x:c r="L1107" s="1" t="str"/>
      <x:c r="M1107" s="9" t="str">
        <x:v>https://poke.idleworld.online/pokepedia/pokemon/horsea</x:v>
      </x:c>
    </x:row>
    <x:row r="1108" ht="22" customHeight="1">
      <x:c r="A1108" s="1" t="n">
        <x:v>116</x:v>
      </x:c>
      <x:c r="B1108" s="1" t="str">
        <x:v>Horsea</x:v>
      </x:c>
      <x:c r="C1108" s="1" t="n">
        <x:v>6</x:v>
      </x:c>
      <x:c r="D1108" s="1" t="str">
        <x:v>Dragon Pulse</x:v>
      </x:c>
      <x:c r="E1108" s="1" t="str">
        <x:v>Dragão</x:v>
      </x:c>
      <x:c r="F1108" s="1" t="str">
        <x:v>Especial</x:v>
      </x:c>
      <x:c r="G1108" s="10" t="n">
        <x:v>85</x:v>
      </x:c>
      <x:c r="H1108" s="10" t="n">
        <x:f>IF(F1108="Física",'Pokémon'!G120,IF(F1108="Especial",'Pokémon'!I120,""))</x:f>
        <x:v>70</x:v>
      </x:c>
      <x:c r="I1108" s="10" t="n">
        <x:f>IF(OR(F1108="Status",G1108=0),"",G1108+H1108)</x:f>
        <x:v>155</x:v>
      </x:c>
      <x:c r="J1108" s="10" t="n">
        <x:v>41</x:v>
      </x:c>
      <x:c r="K1108" s="12" t="n">
        <x:v>22</x:v>
      </x:c>
      <x:c r="L1108" s="1" t="str"/>
      <x:c r="M1108" s="9" t="str">
        <x:v>https://poke.idleworld.online/pokepedia/pokemon/horsea</x:v>
      </x:c>
    </x:row>
    <x:row r="1109" ht="22" customHeight="1">
      <x:c r="A1109" s="1" t="n">
        <x:v>116</x:v>
      </x:c>
      <x:c r="B1109" s="1" t="str">
        <x:v>Horsea</x:v>
      </x:c>
      <x:c r="C1109" s="1" t="n">
        <x:v>4</x:v>
      </x:c>
      <x:c r="D1109" s="1" t="str">
        <x:v>Bubble Beam</x:v>
      </x:c>
      <x:c r="E1109" s="1" t="str">
        <x:v>Água</x:v>
      </x:c>
      <x:c r="F1109" s="1" t="str">
        <x:v>Especial</x:v>
      </x:c>
      <x:c r="G1109" s="10" t="n">
        <x:v>65</x:v>
      </x:c>
      <x:c r="H1109" s="10" t="n">
        <x:f>IF(F1109="Física",'Pokémon'!G120,IF(F1109="Especial",'Pokémon'!I120,""))</x:f>
        <x:v>70</x:v>
      </x:c>
      <x:c r="I1109" s="10" t="n">
        <x:f>IF(OR(F1109="Status",G1109=0),"",G1109+H1109)</x:f>
        <x:v>135</x:v>
      </x:c>
      <x:c r="J1109" s="10" t="n">
        <x:v>21</x:v>
      </x:c>
      <x:c r="K1109" s="12" t="n">
        <x:v>30</x:v>
      </x:c>
      <x:c r="L1109" s="1" t="str"/>
      <x:c r="M1109" s="9" t="str">
        <x:v>https://poke.idleworld.online/pokepedia/pokemon/horsea</x:v>
      </x:c>
    </x:row>
    <x:row r="1110" ht="22" customHeight="1">
      <x:c r="A1110" s="1" t="n">
        <x:v>116</x:v>
      </x:c>
      <x:c r="B1110" s="1" t="str">
        <x:v>Horsea</x:v>
      </x:c>
      <x:c r="C1110" s="1" t="n">
        <x:v>5</x:v>
      </x:c>
      <x:c r="D1110" s="1" t="str">
        <x:v>Brine</x:v>
      </x:c>
      <x:c r="E1110" s="1" t="str">
        <x:v>Água</x:v>
      </x:c>
      <x:c r="F1110" s="1" t="str">
        <x:v>Especial</x:v>
      </x:c>
      <x:c r="G1110" s="10" t="n">
        <x:v>65</x:v>
      </x:c>
      <x:c r="H1110" s="10" t="n">
        <x:f>IF(F1110="Física",'Pokémon'!G120,IF(F1110="Especial",'Pokémon'!I120,""))</x:f>
        <x:v>70</x:v>
      </x:c>
      <x:c r="I1110" s="10" t="n">
        <x:f>IF(OR(F1110="Status",G1110=0),"",G1110+H1110)</x:f>
        <x:v>135</x:v>
      </x:c>
      <x:c r="J1110" s="10" t="n">
        <x:v>31</x:v>
      </x:c>
      <x:c r="K1110" s="12" t="n">
        <x:v>20</x:v>
      </x:c>
      <x:c r="L1110" s="1" t="str"/>
      <x:c r="M1110" s="9" t="str">
        <x:v>https://poke.idleworld.online/pokepedia/pokemon/horsea</x:v>
      </x:c>
    </x:row>
    <x:row r="1111" ht="22" customHeight="1">
      <x:c r="A1111" s="1" t="n">
        <x:v>116</x:v>
      </x:c>
      <x:c r="B1111" s="1" t="str">
        <x:v>Horsea</x:v>
      </x:c>
      <x:c r="C1111" s="1" t="n">
        <x:v>1</x:v>
      </x:c>
      <x:c r="D1111" s="1" t="str">
        <x:v>Bubble</x:v>
      </x:c>
      <x:c r="E1111" s="1" t="str">
        <x:v>Água</x:v>
      </x:c>
      <x:c r="F1111" s="1" t="str">
        <x:v>Especial</x:v>
      </x:c>
      <x:c r="G1111" s="10" t="n">
        <x:v>40</x:v>
      </x:c>
      <x:c r="H1111" s="10" t="n">
        <x:f>IF(F1111="Física",'Pokémon'!G120,IF(F1111="Especial",'Pokémon'!I120,""))</x:f>
        <x:v>70</x:v>
      </x:c>
      <x:c r="I1111" s="10" t="n">
        <x:f>IF(OR(F1111="Status",G1111=0),"",G1111+H1111)</x:f>
        <x:v>110</x:v>
      </x:c>
      <x:c r="J1111" s="10" t="n">
        <x:v>1</x:v>
      </x:c>
      <x:c r="K1111" s="12" t="n">
        <x:v>15</x:v>
      </x:c>
      <x:c r="L1111" s="1" t="str"/>
      <x:c r="M1111" s="9" t="str">
        <x:v>https://poke.idleworld.online/pokepedia/pokemon/horsea</x:v>
      </x:c>
    </x:row>
    <x:row r="1112" ht="22" customHeight="1">
      <x:c r="A1112" s="1" t="n">
        <x:v>116</x:v>
      </x:c>
      <x:c r="B1112" s="1" t="str">
        <x:v>Horsea</x:v>
      </x:c>
      <x:c r="C1112" s="1" t="n">
        <x:v>2</x:v>
      </x:c>
      <x:c r="D1112" s="1" t="str">
        <x:v>Water Gun</x:v>
      </x:c>
      <x:c r="E1112" s="1" t="str">
        <x:v>Água</x:v>
      </x:c>
      <x:c r="F1112" s="1" t="str">
        <x:v>Especial</x:v>
      </x:c>
      <x:c r="G1112" s="10" t="n">
        <x:v>40</x:v>
      </x:c>
      <x:c r="H1112" s="10" t="n">
        <x:f>IF(F1112="Física",'Pokémon'!G120,IF(F1112="Especial",'Pokémon'!I120,""))</x:f>
        <x:v>70</x:v>
      </x:c>
      <x:c r="I1112" s="10" t="n">
        <x:f>IF(OR(F1112="Status",G1112=0),"",G1112+H1112)</x:f>
        <x:v>110</x:v>
      </x:c>
      <x:c r="J1112" s="10" t="n">
        <x:v>13</x:v>
      </x:c>
      <x:c r="K1112" s="12" t="n">
        <x:v>18</x:v>
      </x:c>
      <x:c r="L1112" s="1" t="str"/>
      <x:c r="M1112" s="9" t="str">
        <x:v>https://poke.idleworld.online/pokepedia/pokemon/horsea</x:v>
      </x:c>
    </x:row>
    <x:row r="1113" ht="22" customHeight="1">
      <x:c r="A1113" s="1" t="n">
        <x:v>116</x:v>
      </x:c>
      <x:c r="B1113" s="1" t="str">
        <x:v>Horsea</x:v>
      </x:c>
      <x:c r="C1113" s="1" t="n">
        <x:v>3</x:v>
      </x:c>
      <x:c r="D1113" s="1" t="str">
        <x:v>Twister</x:v>
      </x:c>
      <x:c r="E1113" s="1" t="str">
        <x:v>Dragão</x:v>
      </x:c>
      <x:c r="F1113" s="1" t="str">
        <x:v>Especial</x:v>
      </x:c>
      <x:c r="G1113" s="10" t="n">
        <x:v>40</x:v>
      </x:c>
      <x:c r="H1113" s="10" t="n">
        <x:f>IF(F1113="Física",'Pokémon'!G120,IF(F1113="Especial",'Pokémon'!I120,""))</x:f>
        <x:v>70</x:v>
      </x:c>
      <x:c r="I1113" s="10" t="n">
        <x:f>IF(OR(F1113="Status",G1113=0),"",G1113+H1113)</x:f>
        <x:v>110</x:v>
      </x:c>
      <x:c r="J1113" s="10" t="n">
        <x:v>17</x:v>
      </x:c>
      <x:c r="K1113" s="12" t="n">
        <x:v>15</x:v>
      </x:c>
      <x:c r="L1113" s="1" t="str"/>
      <x:c r="M1113" s="9" t="str">
        <x:v>https://poke.idleworld.online/pokepedia/pokemon/horsea</x:v>
      </x:c>
    </x:row>
    <x:row r="1114" ht="22" customHeight="1">
      <x:c r="A1114" s="1" t="n">
        <x:v>117</x:v>
      </x:c>
      <x:c r="B1114" s="1" t="str">
        <x:v>Seadra</x:v>
      </x:c>
      <x:c r="C1114" s="1" t="n">
        <x:v>4</x:v>
      </x:c>
      <x:c r="D1114" s="1" t="str">
        <x:v>Hydro Pump</x:v>
      </x:c>
      <x:c r="E1114" s="1" t="str">
        <x:v>Água</x:v>
      </x:c>
      <x:c r="F1114" s="1" t="str">
        <x:v>Especial</x:v>
      </x:c>
      <x:c r="G1114" s="10" t="n">
        <x:v>110</x:v>
      </x:c>
      <x:c r="H1114" s="10" t="n">
        <x:f>IF(F1114="Física",'Pokémon'!G121,IF(F1114="Especial",'Pokémon'!I121,""))</x:f>
        <x:v>95</x:v>
      </x:c>
      <x:c r="I1114" s="10" t="n">
        <x:f>IF(OR(F1114="Status",G1114=0),"",G1114+H1114)</x:f>
        <x:v>205</x:v>
      </x:c>
      <x:c r="J1114" s="10" t="n">
        <x:v>1</x:v>
      </x:c>
      <x:c r="K1114" s="12" t="n">
        <x:v>40</x:v>
      </x:c>
      <x:c r="L1114" s="1" t="str"/>
      <x:c r="M1114" s="9" t="str">
        <x:v>https://poke.idleworld.online/pokepedia/pokemon/seadra</x:v>
      </x:c>
    </x:row>
    <x:row r="1115" ht="22" customHeight="1">
      <x:c r="A1115" s="1" t="n">
        <x:v>117</x:v>
      </x:c>
      <x:c r="B1115" s="1" t="str">
        <x:v>Seadra</x:v>
      </x:c>
      <x:c r="C1115" s="1" t="n">
        <x:v>8</x:v>
      </x:c>
      <x:c r="D1115" s="1" t="str">
        <x:v>Dragon Pulse</x:v>
      </x:c>
      <x:c r="E1115" s="1" t="str">
        <x:v>Dragão</x:v>
      </x:c>
      <x:c r="F1115" s="1" t="str">
        <x:v>Especial</x:v>
      </x:c>
      <x:c r="G1115" s="10" t="n">
        <x:v>85</x:v>
      </x:c>
      <x:c r="H1115" s="10" t="n">
        <x:f>IF(F1115="Física",'Pokémon'!G121,IF(F1115="Especial",'Pokémon'!I121,""))</x:f>
        <x:v>95</x:v>
      </x:c>
      <x:c r="I1115" s="10" t="n">
        <x:f>IF(OR(F1115="Status",G1115=0),"",G1115+H1115)</x:f>
        <x:v>180</x:v>
      </x:c>
      <x:c r="J1115" s="10" t="n">
        <x:v>45</x:v>
      </x:c>
      <x:c r="K1115" s="12" t="n">
        <x:v>40</x:v>
      </x:c>
      <x:c r="L1115" s="1" t="str"/>
      <x:c r="M1115" s="9" t="str">
        <x:v>https://poke.idleworld.online/pokepedia/pokemon/seadra</x:v>
      </x:c>
    </x:row>
    <x:row r="1116" ht="22" customHeight="1">
      <x:c r="A1116" s="1" t="n">
        <x:v>117</x:v>
      </x:c>
      <x:c r="B1116" s="1" t="str">
        <x:v>Seadra</x:v>
      </x:c>
      <x:c r="C1116" s="1" t="n">
        <x:v>6</x:v>
      </x:c>
      <x:c r="D1116" s="1" t="str">
        <x:v>Bubble Beam</x:v>
      </x:c>
      <x:c r="E1116" s="1" t="str">
        <x:v>Água</x:v>
      </x:c>
      <x:c r="F1116" s="1" t="str">
        <x:v>Especial</x:v>
      </x:c>
      <x:c r="G1116" s="10" t="n">
        <x:v>65</x:v>
      </x:c>
      <x:c r="H1116" s="10" t="n">
        <x:f>IF(F1116="Física",'Pokémon'!G121,IF(F1116="Especial",'Pokémon'!I121,""))</x:f>
        <x:v>95</x:v>
      </x:c>
      <x:c r="I1116" s="10" t="n">
        <x:f>IF(OR(F1116="Status",G1116=0),"",G1116+H1116)</x:f>
        <x:v>160</x:v>
      </x:c>
      <x:c r="J1116" s="10" t="n">
        <x:v>21</x:v>
      </x:c>
      <x:c r="K1116" s="12" t="n">
        <x:v>30</x:v>
      </x:c>
      <x:c r="L1116" s="1" t="str"/>
      <x:c r="M1116" s="9" t="str">
        <x:v>https://poke.idleworld.online/pokepedia/pokemon/seadra</x:v>
      </x:c>
    </x:row>
    <x:row r="1117" ht="22" customHeight="1">
      <x:c r="A1117" s="1" t="n">
        <x:v>117</x:v>
      </x:c>
      <x:c r="B1117" s="1" t="str">
        <x:v>Seadra</x:v>
      </x:c>
      <x:c r="C1117" s="1" t="n">
        <x:v>7</x:v>
      </x:c>
      <x:c r="D1117" s="1" t="str">
        <x:v>Brine</x:v>
      </x:c>
      <x:c r="E1117" s="1" t="str">
        <x:v>Água</x:v>
      </x:c>
      <x:c r="F1117" s="1" t="str">
        <x:v>Especial</x:v>
      </x:c>
      <x:c r="G1117" s="10" t="n">
        <x:v>65</x:v>
      </x:c>
      <x:c r="H1117" s="10" t="n">
        <x:f>IF(F1117="Física",'Pokémon'!G121,IF(F1117="Especial",'Pokémon'!I121,""))</x:f>
        <x:v>95</x:v>
      </x:c>
      <x:c r="I1117" s="10" t="n">
        <x:f>IF(OR(F1117="Status",G1117=0),"",G1117+H1117)</x:f>
        <x:v>160</x:v>
      </x:c>
      <x:c r="J1117" s="10" t="n">
        <x:v>31</x:v>
      </x:c>
      <x:c r="K1117" s="12" t="n">
        <x:v>20</x:v>
      </x:c>
      <x:c r="L1117" s="1" t="str"/>
      <x:c r="M1117" s="9" t="str">
        <x:v>https://poke.idleworld.online/pokepedia/pokemon/seadra</x:v>
      </x:c>
    </x:row>
    <x:row r="1118" ht="22" customHeight="1">
      <x:c r="A1118" s="1" t="n">
        <x:v>117</x:v>
      </x:c>
      <x:c r="B1118" s="1" t="str">
        <x:v>Seadra</x:v>
      </x:c>
      <x:c r="C1118" s="1" t="n">
        <x:v>2</x:v>
      </x:c>
      <x:c r="D1118" s="1" t="str">
        <x:v>Water Gun</x:v>
      </x:c>
      <x:c r="E1118" s="1" t="str">
        <x:v>Água</x:v>
      </x:c>
      <x:c r="F1118" s="1" t="str">
        <x:v>Especial</x:v>
      </x:c>
      <x:c r="G1118" s="10" t="n">
        <x:v>40</x:v>
      </x:c>
      <x:c r="H1118" s="10" t="n">
        <x:f>IF(F1118="Física",'Pokémon'!G121,IF(F1118="Especial",'Pokémon'!I121,""))</x:f>
        <x:v>95</x:v>
      </x:c>
      <x:c r="I1118" s="10" t="n">
        <x:f>IF(OR(F1118="Status",G1118=0),"",G1118+H1118)</x:f>
        <x:v>135</x:v>
      </x:c>
      <x:c r="J1118" s="10" t="n">
        <x:v>1</x:v>
      </x:c>
      <x:c r="K1118" s="12" t="n">
        <x:v>18</x:v>
      </x:c>
      <x:c r="L1118" s="1" t="str"/>
      <x:c r="M1118" s="9" t="str">
        <x:v>https://poke.idleworld.online/pokepedia/pokemon/seadra</x:v>
      </x:c>
    </x:row>
    <x:row r="1119" ht="22" customHeight="1">
      <x:c r="A1119" s="1" t="n">
        <x:v>117</x:v>
      </x:c>
      <x:c r="B1119" s="1" t="str">
        <x:v>Seadra</x:v>
      </x:c>
      <x:c r="C1119" s="1" t="n">
        <x:v>3</x:v>
      </x:c>
      <x:c r="D1119" s="1" t="str">
        <x:v>Bubble</x:v>
      </x:c>
      <x:c r="E1119" s="1" t="str">
        <x:v>Água</x:v>
      </x:c>
      <x:c r="F1119" s="1" t="str">
        <x:v>Especial</x:v>
      </x:c>
      <x:c r="G1119" s="10" t="n">
        <x:v>40</x:v>
      </x:c>
      <x:c r="H1119" s="10" t="n">
        <x:f>IF(F1119="Física",'Pokémon'!G121,IF(F1119="Especial",'Pokémon'!I121,""))</x:f>
        <x:v>95</x:v>
      </x:c>
      <x:c r="I1119" s="10" t="n">
        <x:f>IF(OR(F1119="Status",G1119=0),"",G1119+H1119)</x:f>
        <x:v>135</x:v>
      </x:c>
      <x:c r="J1119" s="10" t="n">
        <x:v>1</x:v>
      </x:c>
      <x:c r="K1119" s="12" t="n">
        <x:v>15</x:v>
      </x:c>
      <x:c r="L1119" s="1" t="str"/>
      <x:c r="M1119" s="9" t="str">
        <x:v>https://poke.idleworld.online/pokepedia/pokemon/seadra</x:v>
      </x:c>
    </x:row>
    <x:row r="1120" ht="22" customHeight="1">
      <x:c r="A1120" s="1" t="n">
        <x:v>117</x:v>
      </x:c>
      <x:c r="B1120" s="1" t="str">
        <x:v>Seadra</x:v>
      </x:c>
      <x:c r="C1120" s="1" t="n">
        <x:v>5</x:v>
      </x:c>
      <x:c r="D1120" s="1" t="str">
        <x:v>Twister</x:v>
      </x:c>
      <x:c r="E1120" s="1" t="str">
        <x:v>Dragão</x:v>
      </x:c>
      <x:c r="F1120" s="1" t="str">
        <x:v>Especial</x:v>
      </x:c>
      <x:c r="G1120" s="10" t="n">
        <x:v>40</x:v>
      </x:c>
      <x:c r="H1120" s="10" t="n">
        <x:f>IF(F1120="Física",'Pokémon'!G121,IF(F1120="Especial",'Pokémon'!I121,""))</x:f>
        <x:v>95</x:v>
      </x:c>
      <x:c r="I1120" s="10" t="n">
        <x:f>IF(OR(F1120="Status",G1120=0),"",G1120+H1120)</x:f>
        <x:v>135</x:v>
      </x:c>
      <x:c r="J1120" s="10" t="n">
        <x:v>17</x:v>
      </x:c>
      <x:c r="K1120" s="12" t="n">
        <x:v>15</x:v>
      </x:c>
      <x:c r="L1120" s="1" t="str"/>
      <x:c r="M1120" s="9" t="str">
        <x:v>https://poke.idleworld.online/pokepedia/pokemon/seadra</x:v>
      </x:c>
    </x:row>
    <x:row r="1121" ht="22" customHeight="1">
      <x:c r="A1121" s="1" t="n">
        <x:v>117</x:v>
      </x:c>
      <x:c r="B1121" s="1" t="str">
        <x:v>Seadra</x:v>
      </x:c>
      <x:c r="C1121" s="1" t="n">
        <x:v>1</x:v>
      </x:c>
      <x:c r="D1121" s="1" t="str">
        <x:v>Smokescreen</x:v>
      </x:c>
      <x:c r="E1121" s="1" t="str">
        <x:v>Normal</x:v>
      </x:c>
      <x:c r="F1121" s="1" t="str">
        <x:v>Status</x:v>
      </x:c>
      <x:c r="G1121" s="10" t="n">
        <x:v>0</x:v>
      </x:c>
      <x:c r="H1121" s="10" t="str">
        <x:f>IF(F1121="Física",'Pokémon'!G121,IF(F1121="Especial",'Pokémon'!I121,""))</x:f>
      </x:c>
      <x:c r="I1121" s="10" t="str">
        <x:f>IF(OR(F1121="Status",G1121=0),"",G1121+H1121)</x:f>
      </x:c>
      <x:c r="J1121" s="10" t="n">
        <x:v>1</x:v>
      </x:c>
      <x:c r="K1121" s="12" t="n">
        <x:v>35</x:v>
      </x:c>
      <x:c r="L1121" s="1" t="str"/>
      <x:c r="M1121" s="9" t="str">
        <x:v>https://poke.idleworld.online/pokepedia/pokemon/seadra</x:v>
      </x:c>
    </x:row>
    <x:row r="1122" ht="22" customHeight="1">
      <x:c r="A1122" s="1" t="n">
        <x:v>118</x:v>
      </x:c>
      <x:c r="B1122" s="1" t="str">
        <x:v>Goldeen</x:v>
      </x:c>
      <x:c r="C1122" s="1" t="n">
        <x:v>7</x:v>
      </x:c>
      <x:c r="D1122" s="1" t="str">
        <x:v>Megahorn</x:v>
      </x:c>
      <x:c r="E1122" s="1" t="str">
        <x:v>Inseto</x:v>
      </x:c>
      <x:c r="F1122" s="1" t="str">
        <x:v>Física</x:v>
      </x:c>
      <x:c r="G1122" s="10" t="n">
        <x:v>120</x:v>
      </x:c>
      <x:c r="H1122" s="10" t="n">
        <x:f>IF(F1122="Física",'Pokémon'!G122,IF(F1122="Especial",'Pokémon'!I122,""))</x:f>
        <x:v>67</x:v>
      </x:c>
      <x:c r="I1122" s="10" t="n">
        <x:f>IF(OR(F1122="Status",G1122=0),"",G1122+H1122)</x:f>
        <x:v>187</x:v>
      </x:c>
      <x:c r="J1122" s="10" t="n">
        <x:v>45</x:v>
      </x:c>
      <x:c r="K1122" s="12" t="n">
        <x:v>50</x:v>
      </x:c>
      <x:c r="L1122" s="1" t="str"/>
      <x:c r="M1122" s="9" t="str">
        <x:v>https://poke.idleworld.online/pokepedia/pokemon/goldeen</x:v>
      </x:c>
    </x:row>
    <x:row r="1123" ht="22" customHeight="1">
      <x:c r="A1123" s="1" t="n">
        <x:v>118</x:v>
      </x:c>
      <x:c r="B1123" s="1" t="str">
        <x:v>Goldeen</x:v>
      </x:c>
      <x:c r="C1123" s="1" t="n">
        <x:v>6</x:v>
      </x:c>
      <x:c r="D1123" s="1" t="str">
        <x:v>Waterfall</x:v>
      </x:c>
      <x:c r="E1123" s="1" t="str">
        <x:v>Água</x:v>
      </x:c>
      <x:c r="F1123" s="1" t="str">
        <x:v>Física</x:v>
      </x:c>
      <x:c r="G1123" s="10" t="n">
        <x:v>80</x:v>
      </x:c>
      <x:c r="H1123" s="10" t="n">
        <x:f>IF(F1123="Física",'Pokémon'!G122,IF(F1123="Especial",'Pokémon'!I122,""))</x:f>
        <x:v>67</x:v>
      </x:c>
      <x:c r="I1123" s="10" t="n">
        <x:f>IF(OR(F1123="Status",G1123=0),"",G1123+H1123)</x:f>
        <x:v>147</x:v>
      </x:c>
      <x:c r="J1123" s="10" t="n">
        <x:v>32</x:v>
      </x:c>
      <x:c r="K1123" s="12" t="n">
        <x:v>22</x:v>
      </x:c>
      <x:c r="L1123" s="1" t="str"/>
      <x:c r="M1123" s="9" t="str">
        <x:v>https://poke.idleworld.online/pokepedia/pokemon/goldeen</x:v>
      </x:c>
    </x:row>
    <x:row r="1124" ht="22" customHeight="1">
      <x:c r="A1124" s="1" t="n">
        <x:v>118</x:v>
      </x:c>
      <x:c r="B1124" s="1" t="str">
        <x:v>Goldeen</x:v>
      </x:c>
      <x:c r="C1124" s="1" t="n">
        <x:v>3</x:v>
      </x:c>
      <x:c r="D1124" s="1" t="str">
        <x:v>Horn Attack</x:v>
      </x:c>
      <x:c r="E1124" s="1" t="str">
        <x:v>Normal</x:v>
      </x:c>
      <x:c r="F1124" s="1" t="str">
        <x:v>Física</x:v>
      </x:c>
      <x:c r="G1124" s="10" t="n">
        <x:v>65</x:v>
      </x:c>
      <x:c r="H1124" s="10" t="n">
        <x:f>IF(F1124="Física",'Pokémon'!G122,IF(F1124="Especial",'Pokémon'!I122,""))</x:f>
        <x:v>67</x:v>
      </x:c>
      <x:c r="I1124" s="10" t="n">
        <x:f>IF(OR(F1124="Status",G1124=0),"",G1124+H1124)</x:f>
        <x:v>132</x:v>
      </x:c>
      <x:c r="J1124" s="10" t="n">
        <x:v>8</x:v>
      </x:c>
      <x:c r="K1124" s="12" t="n">
        <x:v>20</x:v>
      </x:c>
      <x:c r="L1124" s="1" t="str"/>
      <x:c r="M1124" s="9" t="str">
        <x:v>https://poke.idleworld.online/pokepedia/pokemon/goldeen</x:v>
      </x:c>
    </x:row>
    <x:row r="1125" ht="22" customHeight="1">
      <x:c r="A1125" s="1" t="n">
        <x:v>118</x:v>
      </x:c>
      <x:c r="B1125" s="1" t="str">
        <x:v>Goldeen</x:v>
      </x:c>
      <x:c r="C1125" s="1" t="n">
        <x:v>1</x:v>
      </x:c>
      <x:c r="D1125" s="1" t="str">
        <x:v>Peck</x:v>
      </x:c>
      <x:c r="E1125" s="1" t="str">
        <x:v>Voador</x:v>
      </x:c>
      <x:c r="F1125" s="1" t="str">
        <x:v>Física</x:v>
      </x:c>
      <x:c r="G1125" s="10" t="n">
        <x:v>35</x:v>
      </x:c>
      <x:c r="H1125" s="10" t="n">
        <x:f>IF(F1125="Física",'Pokémon'!G122,IF(F1125="Especial",'Pokémon'!I122,""))</x:f>
        <x:v>67</x:v>
      </x:c>
      <x:c r="I1125" s="10" t="n">
        <x:f>IF(OR(F1125="Status",G1125=0),"",G1125+H1125)</x:f>
        <x:v>102</x:v>
      </x:c>
      <x:c r="J1125" s="10" t="n">
        <x:v>1</x:v>
      </x:c>
      <x:c r="K1125" s="12" t="n">
        <x:v>15</x:v>
      </x:c>
      <x:c r="L1125" s="1" t="str"/>
      <x:c r="M1125" s="9" t="str">
        <x:v>https://poke.idleworld.online/pokepedia/pokemon/goldeen</x:v>
      </x:c>
    </x:row>
    <x:row r="1126" ht="22" customHeight="1">
      <x:c r="A1126" s="1" t="n">
        <x:v>118</x:v>
      </x:c>
      <x:c r="B1126" s="1" t="str">
        <x:v>Goldeen</x:v>
      </x:c>
      <x:c r="C1126" s="1" t="n">
        <x:v>4</x:v>
      </x:c>
      <x:c r="D1126" s="1" t="str">
        <x:v>Water Pulse</x:v>
      </x:c>
      <x:c r="E1126" s="1" t="str">
        <x:v>Água</x:v>
      </x:c>
      <x:c r="F1126" s="1" t="str">
        <x:v>Especial</x:v>
      </x:c>
      <x:c r="G1126" s="10" t="n">
        <x:v>60</x:v>
      </x:c>
      <x:c r="H1126" s="10" t="n">
        <x:f>IF(F1126="Física",'Pokémon'!G122,IF(F1126="Especial",'Pokémon'!I122,""))</x:f>
        <x:v>35</x:v>
      </x:c>
      <x:c r="I1126" s="10" t="n">
        <x:f>IF(OR(F1126="Status",G1126=0),"",G1126+H1126)</x:f>
        <x:v>95</x:v>
      </x:c>
      <x:c r="J1126" s="10" t="n">
        <x:v>16</x:v>
      </x:c>
      <x:c r="K1126" s="12" t="n">
        <x:v>60</x:v>
      </x:c>
      <x:c r="L1126" s="1" t="str"/>
      <x:c r="M1126" s="9" t="str">
        <x:v>https://poke.idleworld.online/pokepedia/pokemon/goldeen</x:v>
      </x:c>
    </x:row>
    <x:row r="1127" ht="22" customHeight="1">
      <x:c r="A1127" s="1" t="n">
        <x:v>118</x:v>
      </x:c>
      <x:c r="B1127" s="1" t="str">
        <x:v>Goldeen</x:v>
      </x:c>
      <x:c r="C1127" s="1" t="n">
        <x:v>5</x:v>
      </x:c>
      <x:c r="D1127" s="1" t="str">
        <x:v>Fury Attack</x:v>
      </x:c>
      <x:c r="E1127" s="1" t="str">
        <x:v>Normal</x:v>
      </x:c>
      <x:c r="F1127" s="1" t="str">
        <x:v>Física</x:v>
      </x:c>
      <x:c r="G1127" s="10" t="n">
        <x:v>15</x:v>
      </x:c>
      <x:c r="H1127" s="10" t="n">
        <x:f>IF(F1127="Física",'Pokémon'!G122,IF(F1127="Especial",'Pokémon'!I122,""))</x:f>
        <x:v>67</x:v>
      </x:c>
      <x:c r="I1127" s="10" t="n">
        <x:f>IF(OR(F1127="Status",G1127=0),"",G1127+H1127)</x:f>
        <x:v>82</x:v>
      </x:c>
      <x:c r="J1127" s="10" t="n">
        <x:v>24</x:v>
      </x:c>
      <x:c r="K1127" s="12" t="n">
        <x:v>15</x:v>
      </x:c>
      <x:c r="L1127" s="1" t="str"/>
      <x:c r="M1127" s="9" t="str">
        <x:v>https://poke.idleworld.online/pokepedia/pokemon/goldeen</x:v>
      </x:c>
    </x:row>
    <x:row r="1128" ht="22" customHeight="1">
      <x:c r="A1128" s="1" t="n">
        <x:v>118</x:v>
      </x:c>
      <x:c r="B1128" s="1" t="str">
        <x:v>Goldeen</x:v>
      </x:c>
      <x:c r="C1128" s="1" t="n">
        <x:v>2</x:v>
      </x:c>
      <x:c r="D1128" s="1" t="str">
        <x:v>Super Sonic</x:v>
      </x:c>
      <x:c r="E1128" s="1" t="str">
        <x:v>Normal</x:v>
      </x:c>
      <x:c r="F1128" s="1" t="str">
        <x:v>Status</x:v>
      </x:c>
      <x:c r="G1128" s="10" t="n">
        <x:v>0</x:v>
      </x:c>
      <x:c r="H1128" s="10" t="str">
        <x:f>IF(F1128="Física",'Pokémon'!G122,IF(F1128="Especial",'Pokémon'!I122,""))</x:f>
      </x:c>
      <x:c r="I1128" s="10" t="str">
        <x:f>IF(OR(F1128="Status",G1128=0),"",G1128+H1128)</x:f>
      </x:c>
      <x:c r="J1128" s="10" t="n">
        <x:v>5</x:v>
      </x:c>
      <x:c r="K1128" s="12" t="n">
        <x:v>30</x:v>
      </x:c>
      <x:c r="L1128" s="1" t="str"/>
      <x:c r="M1128" s="9" t="str">
        <x:v>https://poke.idleworld.online/pokepedia/pokemon/goldeen</x:v>
      </x:c>
    </x:row>
    <x:row r="1129" ht="22" customHeight="1">
      <x:c r="A1129" s="1" t="n">
        <x:v>119</x:v>
      </x:c>
      <x:c r="B1129" s="1" t="str">
        <x:v>Seaking</x:v>
      </x:c>
      <x:c r="C1129" s="1" t="n">
        <x:v>2</x:v>
      </x:c>
      <x:c r="D1129" s="1" t="str">
        <x:v>Cyclonic Tide</x:v>
      </x:c>
      <x:c r="E1129" s="1" t="str">
        <x:v>Água</x:v>
      </x:c>
      <x:c r="F1129" s="1" t="str">
        <x:v>Especial</x:v>
      </x:c>
      <x:c r="G1129" s="10" t="n">
        <x:v>300</x:v>
      </x:c>
      <x:c r="H1129" s="10" t="n">
        <x:f>IF(F1129="Física",'Pokémon'!G123,IF(F1129="Especial",'Pokémon'!I123,""))</x:f>
        <x:v>65</x:v>
      </x:c>
      <x:c r="I1129" s="10" t="n">
        <x:f>IF(OR(F1129="Status",G1129=0),"",G1129+H1129)</x:f>
        <x:v>365</x:v>
      </x:c>
      <x:c r="J1129" s="10" t="n">
        <x:v>1</x:v>
      </x:c>
      <x:c r="K1129" s="12" t="n">
        <x:v>10</x:v>
      </x:c>
      <x:c r="L1129" s="1" t="str">
        <x:v>Sim</x:v>
      </x:c>
      <x:c r="M1129" s="9" t="str">
        <x:v>https://poke.idleworld.online/pokepedia/pokemon/seaking</x:v>
      </x:c>
    </x:row>
    <x:row r="1130" ht="22" customHeight="1">
      <x:c r="A1130" s="1" t="n">
        <x:v>119</x:v>
      </x:c>
      <x:c r="B1130" s="1" t="str">
        <x:v>Seaking</x:v>
      </x:c>
      <x:c r="C1130" s="1" t="n">
        <x:v>5</x:v>
      </x:c>
      <x:c r="D1130" s="1" t="str">
        <x:v>Megahorn</x:v>
      </x:c>
      <x:c r="E1130" s="1" t="str">
        <x:v>Inseto</x:v>
      </x:c>
      <x:c r="F1130" s="1" t="str">
        <x:v>Física</x:v>
      </x:c>
      <x:c r="G1130" s="10" t="n">
        <x:v>120</x:v>
      </x:c>
      <x:c r="H1130" s="10" t="n">
        <x:f>IF(F1130="Física",'Pokémon'!G123,IF(F1130="Especial",'Pokémon'!I123,""))</x:f>
        <x:v>92</x:v>
      </x:c>
      <x:c r="I1130" s="10" t="n">
        <x:f>IF(OR(F1130="Status",G1130=0),"",G1130+H1130)</x:f>
        <x:v>212</x:v>
      </x:c>
      <x:c r="J1130" s="10" t="n">
        <x:v>1</x:v>
      </x:c>
      <x:c r="K1130" s="12" t="n">
        <x:v>50</x:v>
      </x:c>
      <x:c r="L1130" s="1" t="str"/>
      <x:c r="M1130" s="9" t="str">
        <x:v>https://poke.idleworld.online/pokepedia/pokemon/seaking</x:v>
      </x:c>
    </x:row>
    <x:row r="1131" ht="22" customHeight="1">
      <x:c r="A1131" s="1" t="n">
        <x:v>119</x:v>
      </x:c>
      <x:c r="B1131" s="1" t="str">
        <x:v>Seaking</x:v>
      </x:c>
      <x:c r="C1131" s="1" t="n">
        <x:v>11</x:v>
      </x:c>
      <x:c r="D1131" s="1" t="str">
        <x:v>Horn Drill</x:v>
      </x:c>
      <x:c r="E1131" s="1" t="str">
        <x:v>Normal</x:v>
      </x:c>
      <x:c r="F1131" s="1" t="str">
        <x:v>Física</x:v>
      </x:c>
      <x:c r="G1131" s="10" t="n">
        <x:v>96</x:v>
      </x:c>
      <x:c r="H1131" s="10" t="n">
        <x:f>IF(F1131="Física",'Pokémon'!G123,IF(F1131="Especial",'Pokémon'!I123,""))</x:f>
        <x:v>92</x:v>
      </x:c>
      <x:c r="I1131" s="10" t="n">
        <x:f>IF(OR(F1131="Status",G1131=0),"",G1131+H1131)</x:f>
        <x:v>188</x:v>
      </x:c>
      <x:c r="J1131" s="10" t="n">
        <x:v>40</x:v>
      </x:c>
      <x:c r="K1131" s="12" t="n">
        <x:v>30</x:v>
      </x:c>
      <x:c r="L1131" s="1" t="str"/>
      <x:c r="M1131" s="9" t="str">
        <x:v>https://poke.idleworld.online/pokepedia/pokemon/seaking</x:v>
      </x:c>
    </x:row>
    <x:row r="1132" ht="22" customHeight="1">
      <x:c r="A1132" s="1" t="n">
        <x:v>119</x:v>
      </x:c>
      <x:c r="B1132" s="1" t="str">
        <x:v>Seaking</x:v>
      </x:c>
      <x:c r="C1132" s="1" t="n">
        <x:v>4</x:v>
      </x:c>
      <x:c r="D1132" s="1" t="str">
        <x:v>Poison Jab</x:v>
      </x:c>
      <x:c r="E1132" s="1" t="str">
        <x:v>Venenoso</x:v>
      </x:c>
      <x:c r="F1132" s="1" t="str">
        <x:v>Física</x:v>
      </x:c>
      <x:c r="G1132" s="10" t="n">
        <x:v>80</x:v>
      </x:c>
      <x:c r="H1132" s="10" t="n">
        <x:f>IF(F1132="Física",'Pokémon'!G123,IF(F1132="Especial",'Pokémon'!I123,""))</x:f>
        <x:v>92</x:v>
      </x:c>
      <x:c r="I1132" s="10" t="n">
        <x:f>IF(OR(F1132="Status",G1132=0),"",G1132+H1132)</x:f>
        <x:v>172</x:v>
      </x:c>
      <x:c r="J1132" s="10" t="n">
        <x:v>1</x:v>
      </x:c>
      <x:c r="K1132" s="12" t="n">
        <x:v>22</x:v>
      </x:c>
      <x:c r="L1132" s="1" t="str"/>
      <x:c r="M1132" s="9" t="str">
        <x:v>https://poke.idleworld.online/pokepedia/pokemon/seaking</x:v>
      </x:c>
    </x:row>
    <x:row r="1133" ht="22" customHeight="1">
      <x:c r="A1133" s="1" t="n">
        <x:v>119</x:v>
      </x:c>
      <x:c r="B1133" s="1" t="str">
        <x:v>Seaking</x:v>
      </x:c>
      <x:c r="C1133" s="1" t="n">
        <x:v>10</x:v>
      </x:c>
      <x:c r="D1133" s="1" t="str">
        <x:v>Waterfall</x:v>
      </x:c>
      <x:c r="E1133" s="1" t="str">
        <x:v>Água</x:v>
      </x:c>
      <x:c r="F1133" s="1" t="str">
        <x:v>Física</x:v>
      </x:c>
      <x:c r="G1133" s="10" t="n">
        <x:v>80</x:v>
      </x:c>
      <x:c r="H1133" s="10" t="n">
        <x:f>IF(F1133="Física",'Pokémon'!G123,IF(F1133="Especial",'Pokémon'!I123,""))</x:f>
        <x:v>92</x:v>
      </x:c>
      <x:c r="I1133" s="10" t="n">
        <x:f>IF(OR(F1133="Status",G1133=0),"",G1133+H1133)</x:f>
        <x:v>172</x:v>
      </x:c>
      <x:c r="J1133" s="10" t="n">
        <x:v>32</x:v>
      </x:c>
      <x:c r="K1133" s="12" t="n">
        <x:v>35</x:v>
      </x:c>
      <x:c r="L1133" s="1" t="str"/>
      <x:c r="M1133" s="9" t="str">
        <x:v>https://poke.idleworld.online/pokepedia/pokemon/seaking</x:v>
      </x:c>
    </x:row>
    <x:row r="1134" ht="22" customHeight="1">
      <x:c r="A1134" s="1" t="n">
        <x:v>119</x:v>
      </x:c>
      <x:c r="B1134" s="1" t="str">
        <x:v>Seaking</x:v>
      </x:c>
      <x:c r="C1134" s="1" t="n">
        <x:v>6</x:v>
      </x:c>
      <x:c r="D1134" s="1" t="str">
        <x:v>Horn Attack</x:v>
      </x:c>
      <x:c r="E1134" s="1" t="str">
        <x:v>Normal</x:v>
      </x:c>
      <x:c r="F1134" s="1" t="str">
        <x:v>Física</x:v>
      </x:c>
      <x:c r="G1134" s="10" t="n">
        <x:v>65</x:v>
      </x:c>
      <x:c r="H1134" s="10" t="n">
        <x:f>IF(F1134="Física",'Pokémon'!G123,IF(F1134="Especial",'Pokémon'!I123,""))</x:f>
        <x:v>92</x:v>
      </x:c>
      <x:c r="I1134" s="10" t="n">
        <x:f>IF(OR(F1134="Status",G1134=0),"",G1134+H1134)</x:f>
        <x:v>157</x:v>
      </x:c>
      <x:c r="J1134" s="10" t="n">
        <x:v>8</x:v>
      </x:c>
      <x:c r="K1134" s="12" t="n">
        <x:v>20</x:v>
      </x:c>
      <x:c r="L1134" s="1" t="str"/>
      <x:c r="M1134" s="9" t="str">
        <x:v>https://poke.idleworld.online/pokepedia/pokemon/seaking</x:v>
      </x:c>
    </x:row>
    <x:row r="1135" ht="22" customHeight="1">
      <x:c r="A1135" s="1" t="n">
        <x:v>119</x:v>
      </x:c>
      <x:c r="B1135" s="1" t="str">
        <x:v>Seaking</x:v>
      </x:c>
      <x:c r="C1135" s="1" t="n">
        <x:v>3</x:v>
      </x:c>
      <x:c r="D1135" s="1" t="str">
        <x:v>Peck</x:v>
      </x:c>
      <x:c r="E1135" s="1" t="str">
        <x:v>Voador</x:v>
      </x:c>
      <x:c r="F1135" s="1" t="str">
        <x:v>Física</x:v>
      </x:c>
      <x:c r="G1135" s="10" t="n">
        <x:v>35</x:v>
      </x:c>
      <x:c r="H1135" s="10" t="n">
        <x:f>IF(F1135="Física",'Pokémon'!G123,IF(F1135="Especial",'Pokémon'!I123,""))</x:f>
        <x:v>92</x:v>
      </x:c>
      <x:c r="I1135" s="10" t="n">
        <x:f>IF(OR(F1135="Status",G1135=0),"",G1135+H1135)</x:f>
        <x:v>127</x:v>
      </x:c>
      <x:c r="J1135" s="10" t="n">
        <x:v>1</x:v>
      </x:c>
      <x:c r="K1135" s="12" t="n">
        <x:v>15</x:v>
      </x:c>
      <x:c r="L1135" s="1" t="str"/>
      <x:c r="M1135" s="9" t="str">
        <x:v>https://poke.idleworld.online/pokepedia/pokemon/seaking</x:v>
      </x:c>
    </x:row>
    <x:row r="1136" ht="22" customHeight="1">
      <x:c r="A1136" s="1" t="n">
        <x:v>119</x:v>
      </x:c>
      <x:c r="B1136" s="1" t="str">
        <x:v>Seaking</x:v>
      </x:c>
      <x:c r="C1136" s="1" t="n">
        <x:v>7</x:v>
      </x:c>
      <x:c r="D1136" s="1" t="str">
        <x:v>Water Pulse</x:v>
      </x:c>
      <x:c r="E1136" s="1" t="str">
        <x:v>Água</x:v>
      </x:c>
      <x:c r="F1136" s="1" t="str">
        <x:v>Especial</x:v>
      </x:c>
      <x:c r="G1136" s="10" t="n">
        <x:v>60</x:v>
      </x:c>
      <x:c r="H1136" s="10" t="n">
        <x:f>IF(F1136="Física",'Pokémon'!G123,IF(F1136="Especial",'Pokémon'!I123,""))</x:f>
        <x:v>65</x:v>
      </x:c>
      <x:c r="I1136" s="10" t="n">
        <x:f>IF(OR(F1136="Status",G1136=0),"",G1136+H1136)</x:f>
        <x:v>125</x:v>
      </x:c>
      <x:c r="J1136" s="10" t="n">
        <x:v>16</x:v>
      </x:c>
      <x:c r="K1136" s="12" t="n">
        <x:v>60</x:v>
      </x:c>
      <x:c r="L1136" s="1" t="str"/>
      <x:c r="M1136" s="9" t="str">
        <x:v>https://poke.idleworld.online/pokepedia/pokemon/seaking</x:v>
      </x:c>
    </x:row>
    <x:row r="1137" ht="22" customHeight="1">
      <x:c r="A1137" s="1" t="n">
        <x:v>119</x:v>
      </x:c>
      <x:c r="B1137" s="1" t="str">
        <x:v>Seaking</x:v>
      </x:c>
      <x:c r="C1137" s="1" t="n">
        <x:v>9</x:v>
      </x:c>
      <x:c r="D1137" s="1" t="str">
        <x:v>Fury Attack</x:v>
      </x:c>
      <x:c r="E1137" s="1" t="str">
        <x:v>Normal</x:v>
      </x:c>
      <x:c r="F1137" s="1" t="str">
        <x:v>Física</x:v>
      </x:c>
      <x:c r="G1137" s="10" t="n">
        <x:v>15</x:v>
      </x:c>
      <x:c r="H1137" s="10" t="n">
        <x:f>IF(F1137="Física",'Pokémon'!G123,IF(F1137="Especial",'Pokémon'!I123,""))</x:f>
        <x:v>92</x:v>
      </x:c>
      <x:c r="I1137" s="10" t="n">
        <x:f>IF(OR(F1137="Status",G1137=0),"",G1137+H1137)</x:f>
        <x:v>107</x:v>
      </x:c>
      <x:c r="J1137" s="10" t="n">
        <x:v>24</x:v>
      </x:c>
      <x:c r="K1137" s="12" t="n">
        <x:v>15</x:v>
      </x:c>
      <x:c r="L1137" s="1" t="str"/>
      <x:c r="M1137" s="9" t="str">
        <x:v>https://poke.idleworld.online/pokepedia/pokemon/seaking</x:v>
      </x:c>
    </x:row>
    <x:row r="1138" ht="22" customHeight="1">
      <x:c r="A1138" s="1" t="n">
        <x:v>119</x:v>
      </x:c>
      <x:c r="B1138" s="1" t="str">
        <x:v>Seaking</x:v>
      </x:c>
      <x:c r="C1138" s="1" t="n">
        <x:v>1</x:v>
      </x:c>
      <x:c r="D1138" s="1" t="str">
        <x:v>Super Sonic</x:v>
      </x:c>
      <x:c r="E1138" s="1" t="str">
        <x:v>Normal</x:v>
      </x:c>
      <x:c r="F1138" s="1" t="str">
        <x:v>Status</x:v>
      </x:c>
      <x:c r="G1138" s="10" t="n">
        <x:v>0</x:v>
      </x:c>
      <x:c r="H1138" s="10" t="str">
        <x:f>IF(F1138="Física",'Pokémon'!G123,IF(F1138="Especial",'Pokémon'!I123,""))</x:f>
      </x:c>
      <x:c r="I1138" s="10" t="str">
        <x:f>IF(OR(F1138="Status",G1138=0),"",G1138+H1138)</x:f>
      </x:c>
      <x:c r="J1138" s="10" t="n">
        <x:v>1</x:v>
      </x:c>
      <x:c r="K1138" s="12" t="n">
        <x:v>30</x:v>
      </x:c>
      <x:c r="L1138" s="1" t="str"/>
      <x:c r="M1138" s="9" t="str">
        <x:v>https://poke.idleworld.online/pokepedia/pokemon/seaking</x:v>
      </x:c>
    </x:row>
    <x:row r="1139" ht="22" customHeight="1">
      <x:c r="A1139" s="1" t="n">
        <x:v>119</x:v>
      </x:c>
      <x:c r="B1139" s="1" t="str">
        <x:v>Seaking</x:v>
      </x:c>
      <x:c r="C1139" s="1" t="n">
        <x:v>8</x:v>
      </x:c>
      <x:c r="D1139" s="1" t="str">
        <x:v>Aqua Ring</x:v>
      </x:c>
      <x:c r="E1139" s="1" t="str">
        <x:v>Água</x:v>
      </x:c>
      <x:c r="F1139" s="1" t="str">
        <x:v>Status</x:v>
      </x:c>
      <x:c r="G1139" s="10" t="n">
        <x:v>0</x:v>
      </x:c>
      <x:c r="H1139" s="10" t="str">
        <x:f>IF(F1139="Física",'Pokémon'!G123,IF(F1139="Especial",'Pokémon'!I123,""))</x:f>
      </x:c>
      <x:c r="I1139" s="10" t="str">
        <x:f>IF(OR(F1139="Status",G1139=0),"",G1139+H1139)</x:f>
      </x:c>
      <x:c r="J1139" s="10" t="n">
        <x:v>21</x:v>
      </x:c>
      <x:c r="K1139" s="12" t="n">
        <x:v>80</x:v>
      </x:c>
      <x:c r="L1139" s="1" t="str"/>
      <x:c r="M1139" s="9" t="str">
        <x:v>https://poke.idleworld.online/pokepedia/pokemon/seaking</x:v>
      </x:c>
    </x:row>
    <x:row r="1140" ht="22" customHeight="1">
      <x:c r="A1140" s="1" t="n">
        <x:v>120</x:v>
      </x:c>
      <x:c r="B1140" s="1" t="str">
        <x:v>Staryu</x:v>
      </x:c>
      <x:c r="C1140" s="1" t="n">
        <x:v>11</x:v>
      </x:c>
      <x:c r="D1140" s="1" t="str">
        <x:v>Hydro Pump</x:v>
      </x:c>
      <x:c r="E1140" s="1" t="str">
        <x:v>Água</x:v>
      </x:c>
      <x:c r="F1140" s="1" t="str">
        <x:v>Especial</x:v>
      </x:c>
      <x:c r="G1140" s="10" t="n">
        <x:v>110</x:v>
      </x:c>
      <x:c r="H1140" s="10" t="n">
        <x:f>IF(F1140="Física",'Pokémon'!G124,IF(F1140="Especial",'Pokémon'!I124,""))</x:f>
        <x:v>70</x:v>
      </x:c>
      <x:c r="I1140" s="10" t="n">
        <x:f>IF(OR(F1140="Status",G1140=0),"",G1140+H1140)</x:f>
        <x:v>180</x:v>
      </x:c>
      <x:c r="J1140" s="10" t="n">
        <x:v>53</x:v>
      </x:c>
      <x:c r="K1140" s="12" t="n">
        <x:v>40</x:v>
      </x:c>
      <x:c r="L1140" s="1" t="str"/>
      <x:c r="M1140" s="9" t="str">
        <x:v>https://poke.idleworld.online/pokepedia/pokemon/staryu</x:v>
      </x:c>
    </x:row>
    <x:row r="1141" ht="22" customHeight="1">
      <x:c r="A1141" s="1" t="n">
        <x:v>120</x:v>
      </x:c>
      <x:c r="B1141" s="1" t="str">
        <x:v>Staryu</x:v>
      </x:c>
      <x:c r="C1141" s="1" t="n">
        <x:v>10</x:v>
      </x:c>
      <x:c r="D1141" s="1" t="str">
        <x:v>Psychic</x:v>
      </x:c>
      <x:c r="E1141" s="1" t="str">
        <x:v>Psíquico</x:v>
      </x:c>
      <x:c r="F1141" s="1" t="str">
        <x:v>Especial</x:v>
      </x:c>
      <x:c r="G1141" s="10" t="n">
        <x:v>90</x:v>
      </x:c>
      <x:c r="H1141" s="10" t="n">
        <x:f>IF(F1141="Física",'Pokémon'!G124,IF(F1141="Especial",'Pokémon'!I124,""))</x:f>
        <x:v>70</x:v>
      </x:c>
      <x:c r="I1141" s="10" t="n">
        <x:f>IF(OR(F1141="Status",G1141=0),"",G1141+H1141)</x:f>
        <x:v>160</x:v>
      </x:c>
      <x:c r="J1141" s="10" t="n">
        <x:v>42</x:v>
      </x:c>
      <x:c r="K1141" s="12" t="n">
        <x:v>35</x:v>
      </x:c>
      <x:c r="L1141" s="1" t="str"/>
      <x:c r="M1141" s="9" t="str">
        <x:v>https://poke.idleworld.online/pokepedia/pokemon/staryu</x:v>
      </x:c>
    </x:row>
    <x:row r="1142" ht="22" customHeight="1">
      <x:c r="A1142" s="1" t="n">
        <x:v>120</x:v>
      </x:c>
      <x:c r="B1142" s="1" t="str">
        <x:v>Staryu</x:v>
      </x:c>
      <x:c r="C1142" s="1" t="n">
        <x:v>9</x:v>
      </x:c>
      <x:c r="D1142" s="1" t="str">
        <x:v>Power Gem</x:v>
      </x:c>
      <x:c r="E1142" s="1" t="str">
        <x:v>Pedra</x:v>
      </x:c>
      <x:c r="F1142" s="1" t="str">
        <x:v>Especial</x:v>
      </x:c>
      <x:c r="G1142" s="10" t="n">
        <x:v>80</x:v>
      </x:c>
      <x:c r="H1142" s="10" t="n">
        <x:f>IF(F1142="Física",'Pokémon'!G124,IF(F1142="Especial",'Pokémon'!I124,""))</x:f>
        <x:v>70</x:v>
      </x:c>
      <x:c r="I1142" s="10" t="n">
        <x:f>IF(OR(F1142="Status",G1142=0),"",G1142+H1142)</x:f>
        <x:v>150</x:v>
      </x:c>
      <x:c r="J1142" s="10" t="n">
        <x:v>37</x:v>
      </x:c>
      <x:c r="K1142" s="12" t="n">
        <x:v>22</x:v>
      </x:c>
      <x:c r="L1142" s="1" t="str"/>
      <x:c r="M1142" s="9" t="str">
        <x:v>https://poke.idleworld.online/pokepedia/pokemon/staryu</x:v>
      </x:c>
    </x:row>
    <x:row r="1143" ht="22" customHeight="1">
      <x:c r="A1143" s="1" t="n">
        <x:v>120</x:v>
      </x:c>
      <x:c r="B1143" s="1" t="str">
        <x:v>Staryu</x:v>
      </x:c>
      <x:c r="C1143" s="1" t="n">
        <x:v>7</x:v>
      </x:c>
      <x:c r="D1143" s="1" t="str">
        <x:v>Bubble Beam</x:v>
      </x:c>
      <x:c r="E1143" s="1" t="str">
        <x:v>Água</x:v>
      </x:c>
      <x:c r="F1143" s="1" t="str">
        <x:v>Especial</x:v>
      </x:c>
      <x:c r="G1143" s="10" t="n">
        <x:v>65</x:v>
      </x:c>
      <x:c r="H1143" s="10" t="n">
        <x:f>IF(F1143="Física",'Pokémon'!G124,IF(F1143="Especial",'Pokémon'!I124,""))</x:f>
        <x:v>70</x:v>
      </x:c>
      <x:c r="I1143" s="10" t="n">
        <x:f>IF(OR(F1143="Status",G1143=0),"",G1143+H1143)</x:f>
        <x:v>135</x:v>
      </x:c>
      <x:c r="J1143" s="10" t="n">
        <x:v>18</x:v>
      </x:c>
      <x:c r="K1143" s="12" t="n">
        <x:v>30</x:v>
      </x:c>
      <x:c r="L1143" s="1" t="str"/>
      <x:c r="M1143" s="9" t="str">
        <x:v>https://poke.idleworld.online/pokepedia/pokemon/staryu</x:v>
      </x:c>
    </x:row>
    <x:row r="1144" ht="22" customHeight="1">
      <x:c r="A1144" s="1" t="n">
        <x:v>120</x:v>
      </x:c>
      <x:c r="B1144" s="1" t="str">
        <x:v>Staryu</x:v>
      </x:c>
      <x:c r="C1144" s="1" t="n">
        <x:v>8</x:v>
      </x:c>
      <x:c r="D1144" s="1" t="str">
        <x:v>Brine</x:v>
      </x:c>
      <x:c r="E1144" s="1" t="str">
        <x:v>Água</x:v>
      </x:c>
      <x:c r="F1144" s="1" t="str">
        <x:v>Especial</x:v>
      </x:c>
      <x:c r="G1144" s="10" t="n">
        <x:v>65</x:v>
      </x:c>
      <x:c r="H1144" s="10" t="n">
        <x:f>IF(F1144="Física",'Pokémon'!G124,IF(F1144="Especial",'Pokémon'!I124,""))</x:f>
        <x:v>70</x:v>
      </x:c>
      <x:c r="I1144" s="10" t="n">
        <x:f>IF(OR(F1144="Status",G1144=0),"",G1144+H1144)</x:f>
        <x:v>135</x:v>
      </x:c>
      <x:c r="J1144" s="10" t="n">
        <x:v>28</x:v>
      </x:c>
      <x:c r="K1144" s="12" t="n">
        <x:v>20</x:v>
      </x:c>
      <x:c r="L1144" s="1" t="str"/>
      <x:c r="M1144" s="9" t="str">
        <x:v>https://poke.idleworld.online/pokepedia/pokemon/staryu</x:v>
      </x:c>
    </x:row>
    <x:row r="1145" ht="22" customHeight="1">
      <x:c r="A1145" s="1" t="n">
        <x:v>120</x:v>
      </x:c>
      <x:c r="B1145" s="1" t="str">
        <x:v>Staryu</x:v>
      </x:c>
      <x:c r="C1145" s="1" t="n">
        <x:v>6</x:v>
      </x:c>
      <x:c r="D1145" s="1" t="str">
        <x:v>Swift</x:v>
      </x:c>
      <x:c r="E1145" s="1" t="str">
        <x:v>Normal</x:v>
      </x:c>
      <x:c r="F1145" s="1" t="str">
        <x:v>Especial</x:v>
      </x:c>
      <x:c r="G1145" s="10" t="n">
        <x:v>60</x:v>
      </x:c>
      <x:c r="H1145" s="10" t="n">
        <x:f>IF(F1145="Física",'Pokémon'!G124,IF(F1145="Especial",'Pokémon'!I124,""))</x:f>
        <x:v>70</x:v>
      </x:c>
      <x:c r="I1145" s="10" t="n">
        <x:f>IF(OR(F1145="Status",G1145=0),"",G1145+H1145)</x:f>
        <x:v>130</x:v>
      </x:c>
      <x:c r="J1145" s="10" t="n">
        <x:v>16</x:v>
      </x:c>
      <x:c r="K1145" s="12" t="n">
        <x:v>15</x:v>
      </x:c>
      <x:c r="L1145" s="1" t="str"/>
      <x:c r="M1145" s="9" t="str">
        <x:v>https://poke.idleworld.online/pokepedia/pokemon/staryu</x:v>
      </x:c>
    </x:row>
    <x:row r="1146" ht="22" customHeight="1">
      <x:c r="A1146" s="1" t="n">
        <x:v>120</x:v>
      </x:c>
      <x:c r="B1146" s="1" t="str">
        <x:v>Staryu</x:v>
      </x:c>
      <x:c r="C1146" s="1" t="n">
        <x:v>3</x:v>
      </x:c>
      <x:c r="D1146" s="1" t="str">
        <x:v>Water Gun</x:v>
      </x:c>
      <x:c r="E1146" s="1" t="str">
        <x:v>Água</x:v>
      </x:c>
      <x:c r="F1146" s="1" t="str">
        <x:v>Especial</x:v>
      </x:c>
      <x:c r="G1146" s="10" t="n">
        <x:v>40</x:v>
      </x:c>
      <x:c r="H1146" s="10" t="n">
        <x:f>IF(F1146="Física",'Pokémon'!G124,IF(F1146="Especial",'Pokémon'!I124,""))</x:f>
        <x:v>70</x:v>
      </x:c>
      <x:c r="I1146" s="10" t="n">
        <x:f>IF(OR(F1146="Status",G1146=0),"",G1146+H1146)</x:f>
        <x:v>110</x:v>
      </x:c>
      <x:c r="J1146" s="10" t="n">
        <x:v>4</x:v>
      </x:c>
      <x:c r="K1146" s="12" t="n">
        <x:v>18</x:v>
      </x:c>
      <x:c r="L1146" s="1" t="str"/>
      <x:c r="M1146" s="9" t="str">
        <x:v>https://poke.idleworld.online/pokepedia/pokemon/staryu</x:v>
      </x:c>
    </x:row>
    <x:row r="1147" ht="22" customHeight="1">
      <x:c r="A1147" s="1" t="n">
        <x:v>120</x:v>
      </x:c>
      <x:c r="B1147" s="1" t="str">
        <x:v>Staryu</x:v>
      </x:c>
      <x:c r="C1147" s="1" t="n">
        <x:v>2</x:v>
      </x:c>
      <x:c r="D1147" s="1" t="str">
        <x:v>Tackle</x:v>
      </x:c>
      <x:c r="E1147" s="1" t="str">
        <x:v>Normal</x:v>
      </x:c>
      <x:c r="F1147" s="1" t="str">
        <x:v>Física</x:v>
      </x:c>
      <x:c r="G1147" s="10" t="n">
        <x:v>50</x:v>
      </x:c>
      <x:c r="H1147" s="10" t="n">
        <x:f>IF(F1147="Física",'Pokémon'!G124,IF(F1147="Especial",'Pokémon'!I124,""))</x:f>
        <x:v>45</x:v>
      </x:c>
      <x:c r="I1147" s="10" t="n">
        <x:f>IF(OR(F1147="Status",G1147=0),"",G1147+H1147)</x:f>
        <x:v>95</x:v>
      </x:c>
      <x:c r="J1147" s="10" t="n">
        <x:v>1</x:v>
      </x:c>
      <x:c r="K1147" s="12" t="n">
        <x:v>15</x:v>
      </x:c>
      <x:c r="L1147" s="1" t="str"/>
      <x:c r="M1147" s="9" t="str">
        <x:v>https://poke.idleworld.online/pokepedia/pokemon/staryu</x:v>
      </x:c>
    </x:row>
    <x:row r="1148" ht="22" customHeight="1">
      <x:c r="A1148" s="1" t="n">
        <x:v>120</x:v>
      </x:c>
      <x:c r="B1148" s="1" t="str">
        <x:v>Staryu</x:v>
      </x:c>
      <x:c r="C1148" s="1" t="n">
        <x:v>4</x:v>
      </x:c>
      <x:c r="D1148" s="1" t="str">
        <x:v>Rapid Spin</x:v>
      </x:c>
      <x:c r="E1148" s="1" t="str">
        <x:v>Normal</x:v>
      </x:c>
      <x:c r="F1148" s="1" t="str">
        <x:v>Física</x:v>
      </x:c>
      <x:c r="G1148" s="10" t="n">
        <x:v>20</x:v>
      </x:c>
      <x:c r="H1148" s="10" t="n">
        <x:f>IF(F1148="Física",'Pokémon'!G124,IF(F1148="Especial",'Pokémon'!I124,""))</x:f>
        <x:v>45</x:v>
      </x:c>
      <x:c r="I1148" s="10" t="n">
        <x:f>IF(OR(F1148="Status",G1148=0),"",G1148+H1148)</x:f>
        <x:v>65</x:v>
      </x:c>
      <x:c r="J1148" s="10" t="n">
        <x:v>7</x:v>
      </x:c>
      <x:c r="K1148" s="12" t="n">
        <x:v>15</x:v>
      </x:c>
      <x:c r="L1148" s="1" t="str"/>
      <x:c r="M1148" s="9" t="str">
        <x:v>https://poke.idleworld.online/pokepedia/pokemon/staryu</x:v>
      </x:c>
    </x:row>
    <x:row r="1149" ht="22" customHeight="1">
      <x:c r="A1149" s="1" t="n">
        <x:v>120</x:v>
      </x:c>
      <x:c r="B1149" s="1" t="str">
        <x:v>Staryu</x:v>
      </x:c>
      <x:c r="C1149" s="1" t="n">
        <x:v>1</x:v>
      </x:c>
      <x:c r="D1149" s="1" t="str">
        <x:v>Harden</x:v>
      </x:c>
      <x:c r="E1149" s="1" t="str">
        <x:v>Normal</x:v>
      </x:c>
      <x:c r="F1149" s="1" t="str">
        <x:v>Status</x:v>
      </x:c>
      <x:c r="G1149" s="10" t="n">
        <x:v>0</x:v>
      </x:c>
      <x:c r="H1149" s="10" t="str">
        <x:f>IF(F1149="Física",'Pokémon'!G124,IF(F1149="Especial",'Pokémon'!I124,""))</x:f>
      </x:c>
      <x:c r="I1149" s="10" t="str">
        <x:f>IF(OR(F1149="Status",G1149=0),"",G1149+H1149)</x:f>
      </x:c>
      <x:c r="J1149" s="10" t="n">
        <x:v>1</x:v>
      </x:c>
      <x:c r="K1149" s="12" t="n">
        <x:v>30</x:v>
      </x:c>
      <x:c r="L1149" s="1" t="str"/>
      <x:c r="M1149" s="9" t="str">
        <x:v>https://poke.idleworld.online/pokepedia/pokemon/staryu</x:v>
      </x:c>
    </x:row>
    <x:row r="1150" ht="22" customHeight="1">
      <x:c r="A1150" s="1" t="n">
        <x:v>120</x:v>
      </x:c>
      <x:c r="B1150" s="1" t="str">
        <x:v>Staryu</x:v>
      </x:c>
      <x:c r="C1150" s="1" t="n">
        <x:v>5</x:v>
      </x:c>
      <x:c r="D1150" s="1" t="str">
        <x:v>Recover</x:v>
      </x:c>
      <x:c r="E1150" s="1" t="str">
        <x:v>Normal</x:v>
      </x:c>
      <x:c r="F1150" s="1" t="str">
        <x:v>Status</x:v>
      </x:c>
      <x:c r="G1150" s="10" t="n">
        <x:v>0</x:v>
      </x:c>
      <x:c r="H1150" s="10" t="str">
        <x:f>IF(F1150="Física",'Pokémon'!G124,IF(F1150="Especial",'Pokémon'!I124,""))</x:f>
      </x:c>
      <x:c r="I1150" s="10" t="str">
        <x:f>IF(OR(F1150="Status",G1150=0),"",G1150+H1150)</x:f>
      </x:c>
      <x:c r="J1150" s="10" t="n">
        <x:v>10</x:v>
      </x:c>
      <x:c r="K1150" s="12" t="n">
        <x:v>80</x:v>
      </x:c>
      <x:c r="L1150" s="1" t="str"/>
      <x:c r="M1150" s="9" t="str">
        <x:v>https://poke.idleworld.online/pokepedia/pokemon/staryu</x:v>
      </x:c>
    </x:row>
    <x:row r="1151" ht="22" customHeight="1">
      <x:c r="A1151" s="1" t="n">
        <x:v>121</x:v>
      </x:c>
      <x:c r="B1151" s="1" t="str">
        <x:v>Starmie</x:v>
      </x:c>
      <x:c r="C1151" s="1" t="n">
        <x:v>5</x:v>
      </x:c>
      <x:c r="D1151" s="1" t="str">
        <x:v>Cyclonic Tide</x:v>
      </x:c>
      <x:c r="E1151" s="1" t="str">
        <x:v>Água</x:v>
      </x:c>
      <x:c r="F1151" s="1" t="str">
        <x:v>Especial</x:v>
      </x:c>
      <x:c r="G1151" s="10" t="n">
        <x:v>300</x:v>
      </x:c>
      <x:c r="H1151" s="10" t="n">
        <x:f>IF(F1151="Física",'Pokémon'!G125,IF(F1151="Especial",'Pokémon'!I125,""))</x:f>
        <x:v>100</x:v>
      </x:c>
      <x:c r="I1151" s="10" t="n">
        <x:f>IF(OR(F1151="Status",G1151=0),"",G1151+H1151)</x:f>
        <x:v>400</x:v>
      </x:c>
      <x:c r="J1151" s="10" t="n">
        <x:v>1</x:v>
      </x:c>
      <x:c r="K1151" s="12" t="n">
        <x:v>10</x:v>
      </x:c>
      <x:c r="L1151" s="1" t="str">
        <x:v>Sim</x:v>
      </x:c>
      <x:c r="M1151" s="9" t="str">
        <x:v>https://poke.idleworld.online/pokepedia/pokemon/starmie</x:v>
      </x:c>
    </x:row>
    <x:row r="1152" ht="22" customHeight="1">
      <x:c r="A1152" s="1" t="n">
        <x:v>121</x:v>
      </x:c>
      <x:c r="B1152" s="1" t="str">
        <x:v>Starmie</x:v>
      </x:c>
      <x:c r="C1152" s="1" t="n">
        <x:v>3</x:v>
      </x:c>
      <x:c r="D1152" s="1" t="str">
        <x:v>Hydro Pump</x:v>
      </x:c>
      <x:c r="E1152" s="1" t="str">
        <x:v>Água</x:v>
      </x:c>
      <x:c r="F1152" s="1" t="str">
        <x:v>Especial</x:v>
      </x:c>
      <x:c r="G1152" s="10" t="n">
        <x:v>110</x:v>
      </x:c>
      <x:c r="H1152" s="10" t="n">
        <x:f>IF(F1152="Física",'Pokémon'!G125,IF(F1152="Especial",'Pokémon'!I125,""))</x:f>
        <x:v>100</x:v>
      </x:c>
      <x:c r="I1152" s="10" t="n">
        <x:f>IF(OR(F1152="Status",G1152=0),"",G1152+H1152)</x:f>
        <x:v>210</x:v>
      </x:c>
      <x:c r="J1152" s="10" t="n">
        <x:v>1</x:v>
      </x:c>
      <x:c r="K1152" s="12" t="n">
        <x:v>50</x:v>
      </x:c>
      <x:c r="L1152" s="1" t="str"/>
      <x:c r="M1152" s="9" t="str">
        <x:v>https://poke.idleworld.online/pokepedia/pokemon/starmie</x:v>
      </x:c>
    </x:row>
    <x:row r="1153" ht="22" customHeight="1">
      <x:c r="A1153" s="1" t="n">
        <x:v>121</x:v>
      </x:c>
      <x:c r="B1153" s="1" t="str">
        <x:v>Starmie</x:v>
      </x:c>
      <x:c r="C1153" s="1" t="n">
        <x:v>1</x:v>
      </x:c>
      <x:c r="D1153" s="1" t="str">
        <x:v>Swift</x:v>
      </x:c>
      <x:c r="E1153" s="1" t="str">
        <x:v>Normal</x:v>
      </x:c>
      <x:c r="F1153" s="1" t="str">
        <x:v>Especial</x:v>
      </x:c>
      <x:c r="G1153" s="10" t="n">
        <x:v>60</x:v>
      </x:c>
      <x:c r="H1153" s="10" t="n">
        <x:f>IF(F1153="Física",'Pokémon'!G125,IF(F1153="Especial",'Pokémon'!I125,""))</x:f>
        <x:v>100</x:v>
      </x:c>
      <x:c r="I1153" s="10" t="n">
        <x:f>IF(OR(F1153="Status",G1153=0),"",G1153+H1153)</x:f>
        <x:v>160</x:v>
      </x:c>
      <x:c r="J1153" s="10" t="n">
        <x:v>1</x:v>
      </x:c>
      <x:c r="K1153" s="12" t="n">
        <x:v>15</x:v>
      </x:c>
      <x:c r="L1153" s="1" t="str"/>
      <x:c r="M1153" s="9" t="str">
        <x:v>https://poke.idleworld.online/pokepedia/pokemon/starmie</x:v>
      </x:c>
    </x:row>
    <x:row r="1154" ht="22" customHeight="1">
      <x:c r="A1154" s="1" t="n">
        <x:v>121</x:v>
      </x:c>
      <x:c r="B1154" s="1" t="str">
        <x:v>Starmie</x:v>
      </x:c>
      <x:c r="C1154" s="1" t="n">
        <x:v>6</x:v>
      </x:c>
      <x:c r="D1154" s="1" t="str">
        <x:v>Water Gun</x:v>
      </x:c>
      <x:c r="E1154" s="1" t="str">
        <x:v>Água</x:v>
      </x:c>
      <x:c r="F1154" s="1" t="str">
        <x:v>Especial</x:v>
      </x:c>
      <x:c r="G1154" s="10" t="n">
        <x:v>40</x:v>
      </x:c>
      <x:c r="H1154" s="10" t="n">
        <x:f>IF(F1154="Física",'Pokémon'!G125,IF(F1154="Especial",'Pokémon'!I125,""))</x:f>
        <x:v>100</x:v>
      </x:c>
      <x:c r="I1154" s="10" t="n">
        <x:f>IF(OR(F1154="Status",G1154=0),"",G1154+H1154)</x:f>
        <x:v>140</x:v>
      </x:c>
      <x:c r="J1154" s="10" t="n">
        <x:v>1</x:v>
      </x:c>
      <x:c r="K1154" s="12" t="n">
        <x:v>15</x:v>
      </x:c>
      <x:c r="L1154" s="1" t="str"/>
      <x:c r="M1154" s="9" t="str">
        <x:v>https://poke.idleworld.online/pokepedia/pokemon/starmie</x:v>
      </x:c>
    </x:row>
    <x:row r="1155" ht="22" customHeight="1">
      <x:c r="A1155" s="1" t="n">
        <x:v>121</x:v>
      </x:c>
      <x:c r="B1155" s="1" t="str">
        <x:v>Starmie</x:v>
      </x:c>
      <x:c r="C1155" s="1" t="n">
        <x:v>2</x:v>
      </x:c>
      <x:c r="D1155" s="1" t="str">
        <x:v>Rapid Spin</x:v>
      </x:c>
      <x:c r="E1155" s="1" t="str">
        <x:v>Normal</x:v>
      </x:c>
      <x:c r="F1155" s="1" t="str">
        <x:v>Física</x:v>
      </x:c>
      <x:c r="G1155" s="10" t="n">
        <x:v>20</x:v>
      </x:c>
      <x:c r="H1155" s="10" t="n">
        <x:f>IF(F1155="Física",'Pokémon'!G125,IF(F1155="Especial",'Pokémon'!I125,""))</x:f>
        <x:v>75</x:v>
      </x:c>
      <x:c r="I1155" s="10" t="n">
        <x:f>IF(OR(F1155="Status",G1155=0),"",G1155+H1155)</x:f>
        <x:v>95</x:v>
      </x:c>
      <x:c r="J1155" s="10" t="n">
        <x:v>1</x:v>
      </x:c>
      <x:c r="K1155" s="12" t="n">
        <x:v>40</x:v>
      </x:c>
      <x:c r="L1155" s="1" t="str"/>
      <x:c r="M1155" s="9" t="str">
        <x:v>https://poke.idleworld.online/pokepedia/pokemon/starmie</x:v>
      </x:c>
    </x:row>
    <x:row r="1156" ht="22" customHeight="1">
      <x:c r="A1156" s="1" t="n">
        <x:v>121</x:v>
      </x:c>
      <x:c r="B1156" s="1" t="str">
        <x:v>Starmie</x:v>
      </x:c>
      <x:c r="C1156" s="1" t="n">
        <x:v>4</x:v>
      </x:c>
      <x:c r="D1156" s="1" t="str">
        <x:v>Recover</x:v>
      </x:c>
      <x:c r="E1156" s="1" t="str">
        <x:v>Normal</x:v>
      </x:c>
      <x:c r="F1156" s="1" t="str">
        <x:v>Status</x:v>
      </x:c>
      <x:c r="G1156" s="10" t="n">
        <x:v>0</x:v>
      </x:c>
      <x:c r="H1156" s="10" t="str">
        <x:f>IF(F1156="Física",'Pokémon'!G125,IF(F1156="Especial",'Pokémon'!I125,""))</x:f>
      </x:c>
      <x:c r="I1156" s="10" t="str">
        <x:f>IF(OR(F1156="Status",G1156=0),"",G1156+H1156)</x:f>
      </x:c>
      <x:c r="J1156" s="10" t="n">
        <x:v>1</x:v>
      </x:c>
      <x:c r="K1156" s="12" t="n">
        <x:v>80</x:v>
      </x:c>
      <x:c r="L1156" s="1" t="str"/>
      <x:c r="M1156" s="9" t="str">
        <x:v>https://poke.idleworld.online/pokepedia/pokemon/starmie</x:v>
      </x:c>
    </x:row>
    <x:row r="1157" ht="22" customHeight="1">
      <x:c r="A1157" s="1" t="n">
        <x:v>122</x:v>
      </x:c>
      <x:c r="B1157" s="1" t="str">
        <x:v>Mr. Mime</x:v>
      </x:c>
      <x:c r="C1157" s="1" t="n">
        <x:v>4</x:v>
      </x:c>
      <x:c r="D1157" s="1" t="str">
        <x:v>Mental Singularity</x:v>
      </x:c>
      <x:c r="E1157" s="1" t="str">
        <x:v>Psíquico</x:v>
      </x:c>
      <x:c r="F1157" s="1" t="str">
        <x:v>Especial</x:v>
      </x:c>
      <x:c r="G1157" s="10" t="n">
        <x:v>300</x:v>
      </x:c>
      <x:c r="H1157" s="10" t="n">
        <x:f>IF(F1157="Física",'Pokémon'!G126,IF(F1157="Especial",'Pokémon'!I126,""))</x:f>
        <x:v>100</x:v>
      </x:c>
      <x:c r="I1157" s="10" t="n">
        <x:f>IF(OR(F1157="Status",G1157=0),"",G1157+H1157)</x:f>
        <x:v>400</x:v>
      </x:c>
      <x:c r="J1157" s="10" t="n">
        <x:v>1</x:v>
      </x:c>
      <x:c r="K1157" s="12" t="n">
        <x:v>10</x:v>
      </x:c>
      <x:c r="L1157" s="1" t="str">
        <x:v>Sim</x:v>
      </x:c>
      <x:c r="M1157" s="9" t="str">
        <x:v>https://poke.idleworld.online/pokepedia/pokemon/mrmime</x:v>
      </x:c>
    </x:row>
    <x:row r="1158" ht="22" customHeight="1">
      <x:c r="A1158" s="1" t="n">
        <x:v>122</x:v>
      </x:c>
      <x:c r="B1158" s="1" t="str">
        <x:v>Mr. Mime</x:v>
      </x:c>
      <x:c r="C1158" s="1" t="n">
        <x:v>11</x:v>
      </x:c>
      <x:c r="D1158" s="1" t="str">
        <x:v>Psychic</x:v>
      </x:c>
      <x:c r="E1158" s="1" t="str">
        <x:v>Psíquico</x:v>
      </x:c>
      <x:c r="F1158" s="1" t="str">
        <x:v>Especial</x:v>
      </x:c>
      <x:c r="G1158" s="10" t="n">
        <x:v>90</x:v>
      </x:c>
      <x:c r="H1158" s="10" t="n">
        <x:f>IF(F1158="Física",'Pokémon'!G126,IF(F1158="Especial",'Pokémon'!I126,""))</x:f>
        <x:v>100</x:v>
      </x:c>
      <x:c r="I1158" s="10" t="n">
        <x:f>IF(OR(F1158="Status",G1158=0),"",G1158+H1158)</x:f>
        <x:v>190</x:v>
      </x:c>
      <x:c r="J1158" s="10" t="n">
        <x:v>39</x:v>
      </x:c>
      <x:c r="K1158" s="12" t="n">
        <x:v>35</x:v>
      </x:c>
      <x:c r="L1158" s="1" t="str"/>
      <x:c r="M1158" s="9" t="str">
        <x:v>https://poke.idleworld.online/pokepedia/pokemon/mrmime</x:v>
      </x:c>
    </x:row>
    <x:row r="1159" ht="22" customHeight="1">
      <x:c r="A1159" s="1" t="n">
        <x:v>122</x:v>
      </x:c>
      <x:c r="B1159" s="1" t="str">
        <x:v>Mr. Mime</x:v>
      </x:c>
      <x:c r="C1159" s="1" t="n">
        <x:v>9</x:v>
      </x:c>
      <x:c r="D1159" s="1" t="str">
        <x:v>Psybeam</x:v>
      </x:c>
      <x:c r="E1159" s="1" t="str">
        <x:v>Psíquico</x:v>
      </x:c>
      <x:c r="F1159" s="1" t="str">
        <x:v>Especial</x:v>
      </x:c>
      <x:c r="G1159" s="10" t="n">
        <x:v>65</x:v>
      </x:c>
      <x:c r="H1159" s="10" t="n">
        <x:f>IF(F1159="Física",'Pokémon'!G126,IF(F1159="Especial",'Pokémon'!I126,""))</x:f>
        <x:v>100</x:v>
      </x:c>
      <x:c r="I1159" s="10" t="n">
        <x:f>IF(OR(F1159="Status",G1159=0),"",G1159+H1159)</x:f>
        <x:v>165</x:v>
      </x:c>
      <x:c r="J1159" s="10" t="n">
        <x:v>25</x:v>
      </x:c>
      <x:c r="K1159" s="12" t="n">
        <x:v>10</x:v>
      </x:c>
      <x:c r="L1159" s="1" t="str"/>
      <x:c r="M1159" s="9" t="str">
        <x:v>https://poke.idleworld.online/pokepedia/pokemon/mrmime</x:v>
      </x:c>
    </x:row>
    <x:row r="1160" ht="22" customHeight="1">
      <x:c r="A1160" s="1" t="n">
        <x:v>122</x:v>
      </x:c>
      <x:c r="B1160" s="1" t="str">
        <x:v>Mr. Mime</x:v>
      </x:c>
      <x:c r="C1160" s="1" t="n">
        <x:v>1</x:v>
      </x:c>
      <x:c r="D1160" s="1" t="str">
        <x:v>Magical Leaf</x:v>
      </x:c>
      <x:c r="E1160" s="1" t="str">
        <x:v>Planta</x:v>
      </x:c>
      <x:c r="F1160" s="1" t="str">
        <x:v>Especial</x:v>
      </x:c>
      <x:c r="G1160" s="10" t="n">
        <x:v>60</x:v>
      </x:c>
      <x:c r="H1160" s="10" t="n">
        <x:f>IF(F1160="Física",'Pokémon'!G126,IF(F1160="Especial",'Pokémon'!I126,""))</x:f>
        <x:v>100</x:v>
      </x:c>
      <x:c r="I1160" s="10" t="n">
        <x:f>IF(OR(F1160="Status",G1160=0),"",G1160+H1160)</x:f>
        <x:v>160</x:v>
      </x:c>
      <x:c r="J1160" s="10" t="n">
        <x:v>1</x:v>
      </x:c>
      <x:c r="K1160" s="12" t="n">
        <x:v>25</x:v>
      </x:c>
      <x:c r="L1160" s="1" t="str"/>
      <x:c r="M1160" s="9" t="str">
        <x:v>https://poke.idleworld.online/pokepedia/pokemon/mrmime</x:v>
      </x:c>
    </x:row>
    <x:row r="1161" ht="22" customHeight="1">
      <x:c r="A1161" s="1" t="n">
        <x:v>122</x:v>
      </x:c>
      <x:c r="B1161" s="1" t="str">
        <x:v>Mr. Mime</x:v>
      </x:c>
      <x:c r="C1161" s="1" t="n">
        <x:v>7</x:v>
      </x:c>
      <x:c r="D1161" s="1" t="str">
        <x:v>Psywave</x:v>
      </x:c>
      <x:c r="E1161" s="1" t="str">
        <x:v>Psíquico</x:v>
      </x:c>
      <x:c r="F1161" s="1" t="str">
        <x:v>Especial</x:v>
      </x:c>
      <x:c r="G1161" s="10" t="n">
        <x:v>56</x:v>
      </x:c>
      <x:c r="H1161" s="10" t="n">
        <x:f>IF(F1161="Física",'Pokémon'!G126,IF(F1161="Especial",'Pokémon'!I126,""))</x:f>
        <x:v>100</x:v>
      </x:c>
      <x:c r="I1161" s="10" t="n">
        <x:f>IF(OR(F1161="Status",G1161=0),"",G1161+H1161)</x:f>
        <x:v>156</x:v>
      </x:c>
      <x:c r="J1161" s="10" t="n">
        <x:v>15</x:v>
      </x:c>
      <x:c r="K1161" s="12" t="n">
        <x:v>20</x:v>
      </x:c>
      <x:c r="L1161" s="1" t="str"/>
      <x:c r="M1161" s="9" t="str">
        <x:v>https://poke.idleworld.online/pokepedia/pokemon/mrmime</x:v>
      </x:c>
    </x:row>
    <x:row r="1162" ht="22" customHeight="1">
      <x:c r="A1162" s="1" t="n">
        <x:v>122</x:v>
      </x:c>
      <x:c r="B1162" s="1" t="str">
        <x:v>Mr. Mime</x:v>
      </x:c>
      <x:c r="C1162" s="1" t="n">
        <x:v>2</x:v>
      </x:c>
      <x:c r="D1162" s="1" t="str">
        <x:v>Confusion</x:v>
      </x:c>
      <x:c r="E1162" s="1" t="str">
        <x:v>Psíquico</x:v>
      </x:c>
      <x:c r="F1162" s="1" t="str">
        <x:v>Especial</x:v>
      </x:c>
      <x:c r="G1162" s="10" t="n">
        <x:v>50</x:v>
      </x:c>
      <x:c r="H1162" s="10" t="n">
        <x:f>IF(F1162="Física",'Pokémon'!G126,IF(F1162="Especial",'Pokémon'!I126,""))</x:f>
        <x:v>100</x:v>
      </x:c>
      <x:c r="I1162" s="10" t="n">
        <x:f>IF(OR(F1162="Status",G1162=0),"",G1162+H1162)</x:f>
        <x:v>150</x:v>
      </x:c>
      <x:c r="J1162" s="10" t="n">
        <x:v>1</x:v>
      </x:c>
      <x:c r="K1162" s="12" t="n">
        <x:v>30</x:v>
      </x:c>
      <x:c r="L1162" s="1" t="str"/>
      <x:c r="M1162" s="9" t="str">
        <x:v>https://poke.idleworld.online/pokepedia/pokemon/mrmime</x:v>
      </x:c>
    </x:row>
    <x:row r="1163" ht="22" customHeight="1">
      <x:c r="A1163" s="1" t="n">
        <x:v>122</x:v>
      </x:c>
      <x:c r="B1163" s="1" t="str">
        <x:v>Mr. Mime</x:v>
      </x:c>
      <x:c r="C1163" s="1" t="n">
        <x:v>5</x:v>
      </x:c>
      <x:c r="D1163" s="1" t="str">
        <x:v>Double Slap</x:v>
      </x:c>
      <x:c r="E1163" s="1" t="str">
        <x:v>Normal</x:v>
      </x:c>
      <x:c r="F1163" s="1" t="str">
        <x:v>Física</x:v>
      </x:c>
      <x:c r="G1163" s="10" t="n">
        <x:v>15</x:v>
      </x:c>
      <x:c r="H1163" s="10" t="n">
        <x:f>IF(F1163="Física",'Pokémon'!G126,IF(F1163="Especial",'Pokémon'!I126,""))</x:f>
        <x:v>45</x:v>
      </x:c>
      <x:c r="I1163" s="10" t="n">
        <x:f>IF(OR(F1163="Status",G1163=0),"",G1163+H1163)</x:f>
        <x:v>60</x:v>
      </x:c>
      <x:c r="J1163" s="10" t="n">
        <x:v>11</x:v>
      </x:c>
      <x:c r="K1163" s="12" t="n">
        <x:v>15</x:v>
      </x:c>
      <x:c r="L1163" s="1" t="str"/>
      <x:c r="M1163" s="9" t="str">
        <x:v>https://poke.idleworld.online/pokepedia/pokemon/mrmime</x:v>
      </x:c>
    </x:row>
    <x:row r="1164" ht="22" customHeight="1">
      <x:c r="A1164" s="1" t="n">
        <x:v>122</x:v>
      </x:c>
      <x:c r="B1164" s="1" t="str">
        <x:v>Mr. Mime</x:v>
      </x:c>
      <x:c r="C1164" s="1" t="n">
        <x:v>3</x:v>
      </x:c>
      <x:c r="D1164" s="1" t="str">
        <x:v>Barrier</x:v>
      </x:c>
      <x:c r="E1164" s="1" t="str">
        <x:v>Psíquico</x:v>
      </x:c>
      <x:c r="F1164" s="1" t="str">
        <x:v>Status</x:v>
      </x:c>
      <x:c r="G1164" s="10" t="n">
        <x:v>0</x:v>
      </x:c>
      <x:c r="H1164" s="10" t="str">
        <x:f>IF(F1164="Física",'Pokémon'!G126,IF(F1164="Especial",'Pokémon'!I126,""))</x:f>
      </x:c>
      <x:c r="I1164" s="10" t="str">
        <x:f>IF(OR(F1164="Status",G1164=0),"",G1164+H1164)</x:f>
      </x:c>
      <x:c r="J1164" s="10" t="n">
        <x:v>1</x:v>
      </x:c>
      <x:c r="K1164" s="12" t="n">
        <x:v>3</x:v>
      </x:c>
      <x:c r="L1164" s="1" t="str"/>
      <x:c r="M1164" s="9" t="str">
        <x:v>https://poke.idleworld.online/pokepedia/pokemon/mrmime</x:v>
      </x:c>
    </x:row>
    <x:row r="1165" ht="22" customHeight="1">
      <x:c r="A1165" s="1" t="n">
        <x:v>122</x:v>
      </x:c>
      <x:c r="B1165" s="1" t="str">
        <x:v>Mr. Mime</x:v>
      </x:c>
      <x:c r="C1165" s="1" t="n">
        <x:v>6</x:v>
      </x:c>
      <x:c r="D1165" s="1" t="str">
        <x:v>Mimic</x:v>
      </x:c>
      <x:c r="E1165" s="1" t="str">
        <x:v>Normal</x:v>
      </x:c>
      <x:c r="F1165" s="1" t="str">
        <x:v>Status</x:v>
      </x:c>
      <x:c r="G1165" s="10" t="n">
        <x:v>0</x:v>
      </x:c>
      <x:c r="H1165" s="10" t="str">
        <x:f>IF(F1165="Física",'Pokémon'!G126,IF(F1165="Especial",'Pokémon'!I126,""))</x:f>
      </x:c>
      <x:c r="I1165" s="10" t="str">
        <x:f>IF(OR(F1165="Status",G1165=0),"",G1165+H1165)</x:f>
      </x:c>
      <x:c r="J1165" s="10" t="n">
        <x:v>15</x:v>
      </x:c>
      <x:c r="K1165" s="12" t="n">
        <x:v>3</x:v>
      </x:c>
      <x:c r="L1165" s="1" t="str"/>
      <x:c r="M1165" s="9" t="str">
        <x:v>https://poke.idleworld.online/pokepedia/pokemon/mrmime</x:v>
      </x:c>
    </x:row>
    <x:row r="1166" ht="22" customHeight="1">
      <x:c r="A1166" s="1" t="n">
        <x:v>122</x:v>
      </x:c>
      <x:c r="B1166" s="1" t="str">
        <x:v>Mr. Mime</x:v>
      </x:c>
      <x:c r="C1166" s="1" t="n">
        <x:v>8</x:v>
      </x:c>
      <x:c r="D1166" s="1" t="str">
        <x:v>Reflect</x:v>
      </x:c>
      <x:c r="E1166" s="1" t="str">
        <x:v>Psíquico</x:v>
      </x:c>
      <x:c r="F1166" s="1" t="str">
        <x:v>Status</x:v>
      </x:c>
      <x:c r="G1166" s="10" t="n">
        <x:v>0</x:v>
      </x:c>
      <x:c r="H1166" s="10" t="str">
        <x:f>IF(F1166="Física",'Pokémon'!G126,IF(F1166="Especial",'Pokémon'!I126,""))</x:f>
      </x:c>
      <x:c r="I1166" s="10" t="str">
        <x:f>IF(OR(F1166="Status",G1166=0),"",G1166+H1166)</x:f>
      </x:c>
      <x:c r="J1166" s="10" t="n">
        <x:v>22</x:v>
      </x:c>
      <x:c r="K1166" s="12" t="n">
        <x:v>60</x:v>
      </x:c>
      <x:c r="L1166" s="1" t="str"/>
      <x:c r="M1166" s="9" t="str">
        <x:v>https://poke.idleworld.online/pokepedia/pokemon/mrmime</x:v>
      </x:c>
    </x:row>
    <x:row r="1167" ht="22" customHeight="1">
      <x:c r="A1167" s="1" t="n">
        <x:v>122</x:v>
      </x:c>
      <x:c r="B1167" s="1" t="str">
        <x:v>Mr. Mime</x:v>
      </x:c>
      <x:c r="C1167" s="1" t="n">
        <x:v>10</x:v>
      </x:c>
      <x:c r="D1167" s="1" t="str">
        <x:v>Substitute</x:v>
      </x:c>
      <x:c r="E1167" s="1" t="str">
        <x:v>Normal</x:v>
      </x:c>
      <x:c r="F1167" s="1" t="str">
        <x:v>Status</x:v>
      </x:c>
      <x:c r="G1167" s="10" t="n">
        <x:v>0</x:v>
      </x:c>
      <x:c r="H1167" s="10" t="str">
        <x:f>IF(F1167="Física",'Pokémon'!G126,IF(F1167="Especial",'Pokémon'!I126,""))</x:f>
      </x:c>
      <x:c r="I1167" s="10" t="str">
        <x:f>IF(OR(F1167="Status",G1167=0),"",G1167+H1167)</x:f>
      </x:c>
      <x:c r="J1167" s="10" t="n">
        <x:v>29</x:v>
      </x:c>
      <x:c r="K1167" s="12" t="n">
        <x:v>3</x:v>
      </x:c>
      <x:c r="L1167" s="1" t="str"/>
      <x:c r="M1167" s="9" t="str">
        <x:v>https://poke.idleworld.online/pokepedia/pokemon/mrmime</x:v>
      </x:c>
    </x:row>
    <x:row r="1168" ht="22" customHeight="1">
      <x:c r="A1168" s="1" t="n">
        <x:v>122</x:v>
      </x:c>
      <x:c r="B1168" s="1" t="str">
        <x:v>Mr. Mime</x:v>
      </x:c>
      <x:c r="C1168" s="1" t="n">
        <x:v>12</x:v>
      </x:c>
      <x:c r="D1168" s="1" t="str">
        <x:v>Safeguard</x:v>
      </x:c>
      <x:c r="E1168" s="1" t="str">
        <x:v>Normal</x:v>
      </x:c>
      <x:c r="F1168" s="1" t="str">
        <x:v>Status</x:v>
      </x:c>
      <x:c r="G1168" s="10" t="n">
        <x:v>0</x:v>
      </x:c>
      <x:c r="H1168" s="10" t="str">
        <x:f>IF(F1168="Física",'Pokémon'!G126,IF(F1168="Especial",'Pokémon'!I126,""))</x:f>
      </x:c>
      <x:c r="I1168" s="10" t="str">
        <x:f>IF(OR(F1168="Status",G1168=0),"",G1168+H1168)</x:f>
      </x:c>
      <x:c r="J1168" s="10" t="n">
        <x:v>50</x:v>
      </x:c>
      <x:c r="K1168" s="12" t="n">
        <x:v>40</x:v>
      </x:c>
      <x:c r="L1168" s="1" t="str"/>
      <x:c r="M1168" s="9" t="str">
        <x:v>https://poke.idleworld.online/pokepedia/pokemon/mrmime</x:v>
      </x:c>
    </x:row>
    <x:row r="1169" ht="22" customHeight="1">
      <x:c r="A1169" s="1" t="n">
        <x:v>123</x:v>
      </x:c>
      <x:c r="B1169" s="1" t="str">
        <x:v>Scyther</x:v>
      </x:c>
      <x:c r="C1169" s="1" t="n">
        <x:v>2</x:v>
      </x:c>
      <x:c r="D1169" s="1" t="str">
        <x:v>Hive Crush</x:v>
      </x:c>
      <x:c r="E1169" s="1" t="str">
        <x:v>Inseto</x:v>
      </x:c>
      <x:c r="F1169" s="1" t="str">
        <x:v>Física</x:v>
      </x:c>
      <x:c r="G1169" s="10" t="n">
        <x:v>300</x:v>
      </x:c>
      <x:c r="H1169" s="10" t="n">
        <x:f>IF(F1169="Física",'Pokémon'!G127,IF(F1169="Especial",'Pokémon'!I127,""))</x:f>
        <x:v>110</x:v>
      </x:c>
      <x:c r="I1169" s="10" t="n">
        <x:f>IF(OR(F1169="Status",G1169=0),"",G1169+H1169)</x:f>
        <x:v>410</x:v>
      </x:c>
      <x:c r="J1169" s="10" t="n">
        <x:v>1</x:v>
      </x:c>
      <x:c r="K1169" s="12" t="n">
        <x:v>10</x:v>
      </x:c>
      <x:c r="L1169" s="1" t="str">
        <x:v>Sim</x:v>
      </x:c>
      <x:c r="M1169" s="9" t="str">
        <x:v>https://poke.idleworld.online/pokepedia/pokemon/scyther</x:v>
      </x:c>
    </x:row>
    <x:row r="1170" ht="22" customHeight="1">
      <x:c r="A1170" s="1" t="n">
        <x:v>123</x:v>
      </x:c>
      <x:c r="B1170" s="1" t="str">
        <x:v>Scyther</x:v>
      </x:c>
      <x:c r="C1170" s="1" t="n">
        <x:v>11</x:v>
      </x:c>
      <x:c r="D1170" s="1" t="str">
        <x:v>X-Scissor</x:v>
      </x:c>
      <x:c r="E1170" s="1" t="str">
        <x:v>Inseto</x:v>
      </x:c>
      <x:c r="F1170" s="1" t="str">
        <x:v>Física</x:v>
      </x:c>
      <x:c r="G1170" s="10" t="n">
        <x:v>80</x:v>
      </x:c>
      <x:c r="H1170" s="10" t="n">
        <x:f>IF(F1170="Física",'Pokémon'!G127,IF(F1170="Especial",'Pokémon'!I127,""))</x:f>
        <x:v>110</x:v>
      </x:c>
      <x:c r="I1170" s="10" t="n">
        <x:f>IF(OR(F1170="Status",G1170=0),"",G1170+H1170)</x:f>
        <x:v>190</x:v>
      </x:c>
      <x:c r="J1170" s="10" t="n">
        <x:v>41</x:v>
      </x:c>
      <x:c r="K1170" s="12" t="n">
        <x:v>22</x:v>
      </x:c>
      <x:c r="L1170" s="1" t="str"/>
      <x:c r="M1170" s="9" t="str">
        <x:v>https://poke.idleworld.online/pokepedia/pokemon/scyther</x:v>
      </x:c>
    </x:row>
    <x:row r="1171" ht="22" customHeight="1">
      <x:c r="A1171" s="1" t="n">
        <x:v>123</x:v>
      </x:c>
      <x:c r="B1171" s="1" t="str">
        <x:v>Scyther</x:v>
      </x:c>
      <x:c r="C1171" s="1" t="n">
        <x:v>9</x:v>
      </x:c>
      <x:c r="D1171" s="1" t="str">
        <x:v>Slash</x:v>
      </x:c>
      <x:c r="E1171" s="1" t="str">
        <x:v>Normal</x:v>
      </x:c>
      <x:c r="F1171" s="1" t="str">
        <x:v>Física</x:v>
      </x:c>
      <x:c r="G1171" s="10" t="n">
        <x:v>70</x:v>
      </x:c>
      <x:c r="H1171" s="10" t="n">
        <x:f>IF(F1171="Física",'Pokémon'!G127,IF(F1171="Especial",'Pokémon'!I127,""))</x:f>
        <x:v>110</x:v>
      </x:c>
      <x:c r="I1171" s="10" t="n">
        <x:f>IF(OR(F1171="Status",G1171=0),"",G1171+H1171)</x:f>
        <x:v>180</x:v>
      </x:c>
      <x:c r="J1171" s="10" t="n">
        <x:v>29</x:v>
      </x:c>
      <x:c r="K1171" s="12" t="n">
        <x:v>20</x:v>
      </x:c>
      <x:c r="L1171" s="1" t="str"/>
      <x:c r="M1171" s="9" t="str">
        <x:v>https://poke.idleworld.online/pokepedia/pokemon/scyther</x:v>
      </x:c>
    </x:row>
    <x:row r="1172" ht="22" customHeight="1">
      <x:c r="A1172" s="1" t="n">
        <x:v>123</x:v>
      </x:c>
      <x:c r="B1172" s="1" t="str">
        <x:v>Scyther</x:v>
      </x:c>
      <x:c r="C1172" s="1" t="n">
        <x:v>12</x:v>
      </x:c>
      <x:c r="D1172" s="1" t="str">
        <x:v>Night Slash</x:v>
      </x:c>
      <x:c r="E1172" s="1" t="str">
        <x:v>Sombrio</x:v>
      </x:c>
      <x:c r="F1172" s="1" t="str">
        <x:v>Física</x:v>
      </x:c>
      <x:c r="G1172" s="10" t="n">
        <x:v>70</x:v>
      </x:c>
      <x:c r="H1172" s="10" t="n">
        <x:f>IF(F1172="Física",'Pokémon'!G127,IF(F1172="Especial",'Pokémon'!I127,""))</x:f>
        <x:v>110</x:v>
      </x:c>
      <x:c r="I1172" s="10" t="n">
        <x:f>IF(OR(F1172="Status",G1172=0),"",G1172+H1172)</x:f>
        <x:v>180</x:v>
      </x:c>
      <x:c r="J1172" s="10" t="n">
        <x:v>45</x:v>
      </x:c>
      <x:c r="K1172" s="12" t="n">
        <x:v>20</x:v>
      </x:c>
      <x:c r="L1172" s="1" t="str"/>
      <x:c r="M1172" s="9" t="str">
        <x:v>https://poke.idleworld.online/pokepedia/pokemon/scyther</x:v>
      </x:c>
    </x:row>
    <x:row r="1173" ht="22" customHeight="1">
      <x:c r="A1173" s="1" t="n">
        <x:v>123</x:v>
      </x:c>
      <x:c r="B1173" s="1" t="str">
        <x:v>Scyther</x:v>
      </x:c>
      <x:c r="C1173" s="1" t="n">
        <x:v>7</x:v>
      </x:c>
      <x:c r="D1173" s="1" t="str">
        <x:v>Wing Attack</x:v>
      </x:c>
      <x:c r="E1173" s="1" t="str">
        <x:v>Voador</x:v>
      </x:c>
      <x:c r="F1173" s="1" t="str">
        <x:v>Física</x:v>
      </x:c>
      <x:c r="G1173" s="10" t="n">
        <x:v>60</x:v>
      </x:c>
      <x:c r="H1173" s="10" t="n">
        <x:f>IF(F1173="Física",'Pokémon'!G127,IF(F1173="Especial",'Pokémon'!I127,""))</x:f>
        <x:v>110</x:v>
      </x:c>
      <x:c r="I1173" s="10" t="n">
        <x:f>IF(OR(F1173="Status",G1173=0),"",G1173+H1173)</x:f>
        <x:v>170</x:v>
      </x:c>
      <x:c r="J1173" s="10" t="n">
        <x:v>21</x:v>
      </x:c>
      <x:c r="K1173" s="12" t="n">
        <x:v>35</x:v>
      </x:c>
      <x:c r="L1173" s="1" t="str"/>
      <x:c r="M1173" s="9" t="str">
        <x:v>https://poke.idleworld.online/pokepedia/pokemon/scyther</x:v>
      </x:c>
    </x:row>
    <x:row r="1174" ht="22" customHeight="1">
      <x:c r="A1174" s="1" t="n">
        <x:v>123</x:v>
      </x:c>
      <x:c r="B1174" s="1" t="str">
        <x:v>Scyther</x:v>
      </x:c>
      <x:c r="C1174" s="1" t="n">
        <x:v>1</x:v>
      </x:c>
      <x:c r="D1174" s="1" t="str">
        <x:v>Quick Attack</x:v>
      </x:c>
      <x:c r="E1174" s="1" t="str">
        <x:v>Normal</x:v>
      </x:c>
      <x:c r="F1174" s="1" t="str">
        <x:v>Física</x:v>
      </x:c>
      <x:c r="G1174" s="10" t="n">
        <x:v>40</x:v>
      </x:c>
      <x:c r="H1174" s="10" t="n">
        <x:f>IF(F1174="Física",'Pokémon'!G127,IF(F1174="Especial",'Pokémon'!I127,""))</x:f>
        <x:v>110</x:v>
      </x:c>
      <x:c r="I1174" s="10" t="n">
        <x:f>IF(OR(F1174="Status",G1174=0),"",G1174+H1174)</x:f>
        <x:v>150</x:v>
      </x:c>
      <x:c r="J1174" s="10" t="n">
        <x:v>1</x:v>
      </x:c>
      <x:c r="K1174" s="12" t="n">
        <x:v>10</x:v>
      </x:c>
      <x:c r="L1174" s="1" t="str"/>
      <x:c r="M1174" s="9" t="str">
        <x:v>https://poke.idleworld.online/pokepedia/pokemon/scyther</x:v>
      </x:c>
    </x:row>
    <x:row r="1175" ht="22" customHeight="1">
      <x:c r="A1175" s="1" t="n">
        <x:v>123</x:v>
      </x:c>
      <x:c r="B1175" s="1" t="str">
        <x:v>Scyther</x:v>
      </x:c>
      <x:c r="C1175" s="1" t="n">
        <x:v>4</x:v>
      </x:c>
      <x:c r="D1175" s="1" t="str">
        <x:v>Pursuit</x:v>
      </x:c>
      <x:c r="E1175" s="1" t="str">
        <x:v>Sombrio</x:v>
      </x:c>
      <x:c r="F1175" s="1" t="str">
        <x:v>Física</x:v>
      </x:c>
      <x:c r="G1175" s="10" t="n">
        <x:v>40</x:v>
      </x:c>
      <x:c r="H1175" s="10" t="n">
        <x:f>IF(F1175="Física",'Pokémon'!G127,IF(F1175="Especial",'Pokémon'!I127,""))</x:f>
        <x:v>110</x:v>
      </x:c>
      <x:c r="I1175" s="10" t="n">
        <x:f>IF(OR(F1175="Status",G1175=0),"",G1175+H1175)</x:f>
        <x:v>150</x:v>
      </x:c>
      <x:c r="J1175" s="10" t="n">
        <x:v>9</x:v>
      </x:c>
      <x:c r="K1175" s="12" t="n">
        <x:v>15</x:v>
      </x:c>
      <x:c r="L1175" s="1" t="str"/>
      <x:c r="M1175" s="9" t="str">
        <x:v>https://poke.idleworld.online/pokepedia/pokemon/scyther</x:v>
      </x:c>
    </x:row>
    <x:row r="1176" ht="22" customHeight="1">
      <x:c r="A1176" s="1" t="n">
        <x:v>123</x:v>
      </x:c>
      <x:c r="B1176" s="1" t="str">
        <x:v>Scyther</x:v>
      </x:c>
      <x:c r="C1176" s="1" t="n">
        <x:v>5</x:v>
      </x:c>
      <x:c r="D1176" s="1" t="str">
        <x:v>False Swipe</x:v>
      </x:c>
      <x:c r="E1176" s="1" t="str">
        <x:v>Normal</x:v>
      </x:c>
      <x:c r="F1176" s="1" t="str">
        <x:v>Física</x:v>
      </x:c>
      <x:c r="G1176" s="10" t="n">
        <x:v>40</x:v>
      </x:c>
      <x:c r="H1176" s="10" t="n">
        <x:f>IF(F1176="Física",'Pokémon'!G127,IF(F1176="Especial",'Pokémon'!I127,""))</x:f>
        <x:v>110</x:v>
      </x:c>
      <x:c r="I1176" s="10" t="n">
        <x:f>IF(OR(F1176="Status",G1176=0),"",G1176+H1176)</x:f>
        <x:v>150</x:v>
      </x:c>
      <x:c r="J1176" s="10" t="n">
        <x:v>13</x:v>
      </x:c>
      <x:c r="K1176" s="12" t="n">
        <x:v>15</x:v>
      </x:c>
      <x:c r="L1176" s="1" t="str"/>
      <x:c r="M1176" s="9" t="str">
        <x:v>https://poke.idleworld.online/pokepedia/pokemon/scyther</x:v>
      </x:c>
    </x:row>
    <x:row r="1177" ht="22" customHeight="1">
      <x:c r="A1177" s="1" t="n">
        <x:v>123</x:v>
      </x:c>
      <x:c r="B1177" s="1" t="str">
        <x:v>Scyther</x:v>
      </x:c>
      <x:c r="C1177" s="1" t="n">
        <x:v>8</x:v>
      </x:c>
      <x:c r="D1177" s="1" t="str">
        <x:v>Fury Cutter</x:v>
      </x:c>
      <x:c r="E1177" s="1" t="str">
        <x:v>Inseto</x:v>
      </x:c>
      <x:c r="F1177" s="1" t="str">
        <x:v>Física</x:v>
      </x:c>
      <x:c r="G1177" s="10" t="n">
        <x:v>40</x:v>
      </x:c>
      <x:c r="H1177" s="10" t="n">
        <x:f>IF(F1177="Física",'Pokémon'!G127,IF(F1177="Especial",'Pokémon'!I127,""))</x:f>
        <x:v>110</x:v>
      </x:c>
      <x:c r="I1177" s="10" t="n">
        <x:f>IF(OR(F1177="Status",G1177=0),"",G1177+H1177)</x:f>
        <x:v>150</x:v>
      </x:c>
      <x:c r="J1177" s="10" t="n">
        <x:v>25</x:v>
      </x:c>
      <x:c r="K1177" s="12" t="n">
        <x:v>20</x:v>
      </x:c>
      <x:c r="L1177" s="1" t="str"/>
      <x:c r="M1177" s="9" t="str">
        <x:v>https://poke.idleworld.online/pokepedia/pokemon/scyther</x:v>
      </x:c>
    </x:row>
    <x:row r="1178" ht="22" customHeight="1">
      <x:c r="A1178" s="1" t="n">
        <x:v>123</x:v>
      </x:c>
      <x:c r="B1178" s="1" t="str">
        <x:v>Scyther</x:v>
      </x:c>
      <x:c r="C1178" s="1" t="n">
        <x:v>13</x:v>
      </x:c>
      <x:c r="D1178" s="1" t="str">
        <x:v>Double Hit</x:v>
      </x:c>
      <x:c r="E1178" s="1" t="str">
        <x:v>Normal</x:v>
      </x:c>
      <x:c r="F1178" s="1" t="str">
        <x:v>Física</x:v>
      </x:c>
      <x:c r="G1178" s="10" t="n">
        <x:v>35</x:v>
      </x:c>
      <x:c r="H1178" s="10" t="n">
        <x:f>IF(F1178="Física",'Pokémon'!G127,IF(F1178="Especial",'Pokémon'!I127,""))</x:f>
        <x:v>110</x:v>
      </x:c>
      <x:c r="I1178" s="10" t="n">
        <x:f>IF(OR(F1178="Status",G1178=0),"",G1178+H1178)</x:f>
        <x:v>145</x:v>
      </x:c>
      <x:c r="J1178" s="10" t="n">
        <x:v>49</x:v>
      </x:c>
      <x:c r="K1178" s="12" t="n">
        <x:v>15</x:v>
      </x:c>
      <x:c r="L1178" s="1" t="str"/>
      <x:c r="M1178" s="9" t="str">
        <x:v>https://poke.idleworld.online/pokepedia/pokemon/scyther</x:v>
      </x:c>
    </x:row>
    <x:row r="1179" ht="22" customHeight="1">
      <x:c r="A1179" s="1" t="n">
        <x:v>123</x:v>
      </x:c>
      <x:c r="B1179" s="1" t="str">
        <x:v>Scyther</x:v>
      </x:c>
      <x:c r="C1179" s="1" t="n">
        <x:v>16</x:v>
      </x:c>
      <x:c r="D1179" s="1" t="str">
        <x:v>Feint</x:v>
      </x:c>
      <x:c r="E1179" s="1" t="str">
        <x:v>Normal</x:v>
      </x:c>
      <x:c r="F1179" s="1" t="str">
        <x:v>Física</x:v>
      </x:c>
      <x:c r="G1179" s="10" t="n">
        <x:v>30</x:v>
      </x:c>
      <x:c r="H1179" s="10" t="n">
        <x:f>IF(F1179="Física",'Pokémon'!G127,IF(F1179="Especial",'Pokémon'!I127,""))</x:f>
        <x:v>110</x:v>
      </x:c>
      <x:c r="I1179" s="10" t="n">
        <x:f>IF(OR(F1179="Status",G1179=0),"",G1179+H1179)</x:f>
        <x:v>140</x:v>
      </x:c>
      <x:c r="J1179" s="10" t="n">
        <x:v>61</x:v>
      </x:c>
      <x:c r="K1179" s="12" t="n">
        <x:v>15</x:v>
      </x:c>
      <x:c r="L1179" s="1" t="str"/>
      <x:c r="M1179" s="9" t="str">
        <x:v>https://poke.idleworld.online/pokepedia/pokemon/scyther</x:v>
      </x:c>
    </x:row>
    <x:row r="1180" ht="22" customHeight="1">
      <x:c r="A1180" s="1" t="n">
        <x:v>123</x:v>
      </x:c>
      <x:c r="B1180" s="1" t="str">
        <x:v>Scyther</x:v>
      </x:c>
      <x:c r="C1180" s="1" t="n">
        <x:v>10</x:v>
      </x:c>
      <x:c r="D1180" s="1" t="str">
        <x:v>Razor Wind</x:v>
      </x:c>
      <x:c r="E1180" s="1" t="str">
        <x:v>Normal</x:v>
      </x:c>
      <x:c r="F1180" s="1" t="str">
        <x:v>Especial</x:v>
      </x:c>
      <x:c r="G1180" s="10" t="n">
        <x:v>80</x:v>
      </x:c>
      <x:c r="H1180" s="10" t="n">
        <x:f>IF(F1180="Física",'Pokémon'!G127,IF(F1180="Especial",'Pokémon'!I127,""))</x:f>
        <x:v>55</x:v>
      </x:c>
      <x:c r="I1180" s="10" t="n">
        <x:f>IF(OR(F1180="Status",G1180=0),"",G1180+H1180)</x:f>
        <x:v>135</x:v>
      </x:c>
      <x:c r="J1180" s="10" t="n">
        <x:v>33</x:v>
      </x:c>
      <x:c r="K1180" s="12" t="n">
        <x:v>22</x:v>
      </x:c>
      <x:c r="L1180" s="1" t="str"/>
      <x:c r="M1180" s="9" t="str">
        <x:v>https://poke.idleworld.online/pokepedia/pokemon/scyther</x:v>
      </x:c>
    </x:row>
    <x:row r="1181" ht="22" customHeight="1">
      <x:c r="A1181" s="1" t="n">
        <x:v>123</x:v>
      </x:c>
      <x:c r="B1181" s="1" t="str">
        <x:v>Scyther</x:v>
      </x:c>
      <x:c r="C1181" s="1" t="n">
        <x:v>14</x:v>
      </x:c>
      <x:c r="D1181" s="1" t="str">
        <x:v>Air Slash</x:v>
      </x:c>
      <x:c r="E1181" s="1" t="str">
        <x:v>Voador</x:v>
      </x:c>
      <x:c r="F1181" s="1" t="str">
        <x:v>Especial</x:v>
      </x:c>
      <x:c r="G1181" s="10" t="n">
        <x:v>75</x:v>
      </x:c>
      <x:c r="H1181" s="10" t="n">
        <x:f>IF(F1181="Física",'Pokémon'!G127,IF(F1181="Especial",'Pokémon'!I127,""))</x:f>
        <x:v>55</x:v>
      </x:c>
      <x:c r="I1181" s="10" t="n">
        <x:f>IF(OR(F1181="Status",G1181=0),"",G1181+H1181)</x:f>
        <x:v>130</x:v>
      </x:c>
      <x:c r="J1181" s="10" t="n">
        <x:v>50</x:v>
      </x:c>
      <x:c r="K1181" s="12" t="n">
        <x:v>35</x:v>
      </x:c>
      <x:c r="L1181" s="1" t="str"/>
      <x:c r="M1181" s="9" t="str">
        <x:v>https://poke.idleworld.online/pokepedia/pokemon/scyther</x:v>
      </x:c>
    </x:row>
    <x:row r="1182" ht="22" customHeight="1">
      <x:c r="A1182" s="1" t="n">
        <x:v>123</x:v>
      </x:c>
      <x:c r="B1182" s="1" t="str">
        <x:v>Scyther</x:v>
      </x:c>
      <x:c r="C1182" s="1" t="n">
        <x:v>3</x:v>
      </x:c>
      <x:c r="D1182" s="1" t="str">
        <x:v>Vacuum Wave</x:v>
      </x:c>
      <x:c r="E1182" s="1" t="str">
        <x:v>Lutador</x:v>
      </x:c>
      <x:c r="F1182" s="1" t="str">
        <x:v>Especial</x:v>
      </x:c>
      <x:c r="G1182" s="10" t="n">
        <x:v>40</x:v>
      </x:c>
      <x:c r="H1182" s="10" t="n">
        <x:f>IF(F1182="Física",'Pokémon'!G127,IF(F1182="Especial",'Pokémon'!I127,""))</x:f>
        <x:v>55</x:v>
      </x:c>
      <x:c r="I1182" s="10" t="n">
        <x:f>IF(OR(F1182="Status",G1182=0),"",G1182+H1182)</x:f>
        <x:v>95</x:v>
      </x:c>
      <x:c r="J1182" s="10" t="n">
        <x:v>1</x:v>
      </x:c>
      <x:c r="K1182" s="12" t="n">
        <x:v>15</x:v>
      </x:c>
      <x:c r="L1182" s="1" t="str"/>
      <x:c r="M1182" s="9" t="str">
        <x:v>https://poke.idleworld.online/pokepedia/pokemon/scyther</x:v>
      </x:c>
    </x:row>
    <x:row r="1183" ht="22" customHeight="1">
      <x:c r="A1183" s="1" t="n">
        <x:v>123</x:v>
      </x:c>
      <x:c r="B1183" s="1" t="str">
        <x:v>Scyther</x:v>
      </x:c>
      <x:c r="C1183" s="1" t="n">
        <x:v>6</x:v>
      </x:c>
      <x:c r="D1183" s="1" t="str">
        <x:v>Agility</x:v>
      </x:c>
      <x:c r="E1183" s="1" t="str">
        <x:v>Psíquico</x:v>
      </x:c>
      <x:c r="F1183" s="1" t="str">
        <x:v>Status</x:v>
      </x:c>
      <x:c r="G1183" s="10" t="n">
        <x:v>0</x:v>
      </x:c>
      <x:c r="H1183" s="10" t="str">
        <x:f>IF(F1183="Física",'Pokémon'!G127,IF(F1183="Especial",'Pokémon'!I127,""))</x:f>
      </x:c>
      <x:c r="I1183" s="10" t="str">
        <x:f>IF(OR(F1183="Status",G1183=0),"",G1183+H1183)</x:f>
      </x:c>
      <x:c r="J1183" s="10" t="n">
        <x:v>17</x:v>
      </x:c>
      <x:c r="K1183" s="12" t="n">
        <x:v>50</x:v>
      </x:c>
      <x:c r="L1183" s="1" t="str"/>
      <x:c r="M1183" s="9" t="str">
        <x:v>https://poke.idleworld.online/pokepedia/pokemon/scyther</x:v>
      </x:c>
    </x:row>
    <x:row r="1184" ht="22" customHeight="1">
      <x:c r="A1184" s="1" t="n">
        <x:v>123</x:v>
      </x:c>
      <x:c r="B1184" s="1" t="str">
        <x:v>Scyther</x:v>
      </x:c>
      <x:c r="C1184" s="1" t="n">
        <x:v>15</x:v>
      </x:c>
      <x:c r="D1184" s="1" t="str">
        <x:v>Swords Dance</x:v>
      </x:c>
      <x:c r="E1184" s="1" t="str">
        <x:v>Normal</x:v>
      </x:c>
      <x:c r="F1184" s="1" t="str">
        <x:v>Status</x:v>
      </x:c>
      <x:c r="G1184" s="10" t="n">
        <x:v>0</x:v>
      </x:c>
      <x:c r="H1184" s="10" t="str">
        <x:f>IF(F1184="Física",'Pokémon'!G127,IF(F1184="Especial",'Pokémon'!I127,""))</x:f>
      </x:c>
      <x:c r="I1184" s="10" t="str">
        <x:f>IF(OR(F1184="Status",G1184=0),"",G1184+H1184)</x:f>
      </x:c>
      <x:c r="J1184" s="10" t="n">
        <x:v>57</x:v>
      </x:c>
      <x:c r="K1184" s="12" t="n">
        <x:v>60</x:v>
      </x:c>
      <x:c r="L1184" s="1" t="str"/>
      <x:c r="M1184" s="9" t="str">
        <x:v>https://poke.idleworld.online/pokepedia/pokemon/scyther</x:v>
      </x:c>
    </x:row>
    <x:row r="1185" ht="22" customHeight="1">
      <x:c r="A1185" s="1" t="n">
        <x:v>124</x:v>
      </x:c>
      <x:c r="B1185" s="1" t="str">
        <x:v>Jynx</x:v>
      </x:c>
      <x:c r="C1185" s="1" t="n">
        <x:v>3</x:v>
      </x:c>
      <x:c r="D1185" s="1" t="str">
        <x:v>Ice Time</x:v>
      </x:c>
      <x:c r="E1185" s="1" t="str">
        <x:v>Gelo</x:v>
      </x:c>
      <x:c r="F1185" s="1" t="str">
        <x:v>Especial</x:v>
      </x:c>
      <x:c r="G1185" s="10" t="n">
        <x:v>300</x:v>
      </x:c>
      <x:c r="H1185" s="10" t="n">
        <x:f>IF(F1185="Física",'Pokémon'!G128,IF(F1185="Especial",'Pokémon'!I128,""))</x:f>
        <x:v>115</x:v>
      </x:c>
      <x:c r="I1185" s="10" t="n">
        <x:f>IF(OR(F1185="Status",G1185=0),"",G1185+H1185)</x:f>
        <x:v>415</x:v>
      </x:c>
      <x:c r="J1185" s="10" t="n">
        <x:v>1</x:v>
      </x:c>
      <x:c r="K1185" s="12" t="n">
        <x:v>10</x:v>
      </x:c>
      <x:c r="L1185" s="1" t="str">
        <x:v>Sim</x:v>
      </x:c>
      <x:c r="M1185" s="9" t="str">
        <x:v>https://poke.idleworld.online/pokepedia/pokemon/jynx</x:v>
      </x:c>
    </x:row>
    <x:row r="1186" ht="22" customHeight="1">
      <x:c r="A1186" s="1" t="n">
        <x:v>124</x:v>
      </x:c>
      <x:c r="B1186" s="1" t="str">
        <x:v>Jynx</x:v>
      </x:c>
      <x:c r="C1186" s="1" t="n">
        <x:v>14</x:v>
      </x:c>
      <x:c r="D1186" s="1" t="str">
        <x:v>Blizzard</x:v>
      </x:c>
      <x:c r="E1186" s="1" t="str">
        <x:v>Gelo</x:v>
      </x:c>
      <x:c r="F1186" s="1" t="str">
        <x:v>Especial</x:v>
      </x:c>
      <x:c r="G1186" s="10" t="n">
        <x:v>110</x:v>
      </x:c>
      <x:c r="H1186" s="10" t="n">
        <x:f>IF(F1186="Física",'Pokémon'!G128,IF(F1186="Especial",'Pokémon'!I128,""))</x:f>
        <x:v>115</x:v>
      </x:c>
      <x:c r="I1186" s="10" t="n">
        <x:f>IF(OR(F1186="Status",G1186=0),"",G1186+H1186)</x:f>
        <x:v>225</x:v>
      </x:c>
      <x:c r="J1186" s="10" t="n">
        <x:v>60</x:v>
      </x:c>
      <x:c r="K1186" s="12" t="n">
        <x:v>80</x:v>
      </x:c>
      <x:c r="L1186" s="1" t="str"/>
      <x:c r="M1186" s="9" t="str">
        <x:v>https://poke.idleworld.online/pokepedia/pokemon/jynx</x:v>
      </x:c>
    </x:row>
    <x:row r="1187" ht="22" customHeight="1">
      <x:c r="A1187" s="1" t="n">
        <x:v>124</x:v>
      </x:c>
      <x:c r="B1187" s="1" t="str">
        <x:v>Jynx</x:v>
      </x:c>
      <x:c r="C1187" s="1" t="n">
        <x:v>1</x:v>
      </x:c>
      <x:c r="D1187" s="1" t="str">
        <x:v>Draining Kiss</x:v>
      </x:c>
      <x:c r="E1187" s="1" t="str">
        <x:v>Fada</x:v>
      </x:c>
      <x:c r="F1187" s="1" t="str">
        <x:v>Especial</x:v>
      </x:c>
      <x:c r="G1187" s="10" t="n">
        <x:v>50</x:v>
      </x:c>
      <x:c r="H1187" s="10" t="n">
        <x:f>IF(F1187="Física",'Pokémon'!G128,IF(F1187="Especial",'Pokémon'!I128,""))</x:f>
        <x:v>115</x:v>
      </x:c>
      <x:c r="I1187" s="10" t="n">
        <x:f>IF(OR(F1187="Status",G1187=0),"",G1187+H1187)</x:f>
        <x:v>165</x:v>
      </x:c>
      <x:c r="J1187" s="10" t="n">
        <x:v>1</x:v>
      </x:c>
      <x:c r="K1187" s="12" t="n">
        <x:v>40</x:v>
      </x:c>
      <x:c r="L1187" s="1" t="str"/>
      <x:c r="M1187" s="9" t="str">
        <x:v>https://poke.idleworld.online/pokepedia/pokemon/jynx</x:v>
      </x:c>
    </x:row>
    <x:row r="1188" ht="22" customHeight="1">
      <x:c r="A1188" s="1" t="n">
        <x:v>124</x:v>
      </x:c>
      <x:c r="B1188" s="1" t="str">
        <x:v>Jynx</x:v>
      </x:c>
      <x:c r="C1188" s="1" t="n">
        <x:v>6</x:v>
      </x:c>
      <x:c r="D1188" s="1" t="str">
        <x:v>Powder Snow</x:v>
      </x:c>
      <x:c r="E1188" s="1" t="str">
        <x:v>Gelo</x:v>
      </x:c>
      <x:c r="F1188" s="1" t="str">
        <x:v>Especial</x:v>
      </x:c>
      <x:c r="G1188" s="10" t="n">
        <x:v>40</x:v>
      </x:c>
      <x:c r="H1188" s="10" t="n">
        <x:f>IF(F1188="Física",'Pokémon'!G128,IF(F1188="Especial",'Pokémon'!I128,""))</x:f>
        <x:v>115</x:v>
      </x:c>
      <x:c r="I1188" s="10" t="n">
        <x:f>IF(OR(F1188="Status",G1188=0),"",G1188+H1188)</x:f>
        <x:v>155</x:v>
      </x:c>
      <x:c r="J1188" s="10" t="n">
        <x:v>1</x:v>
      </x:c>
      <x:c r="K1188" s="12" t="n">
        <x:v>15</x:v>
      </x:c>
      <x:c r="L1188" s="1" t="str"/>
      <x:c r="M1188" s="9" t="str">
        <x:v>https://poke.idleworld.online/pokepedia/pokemon/jynx</x:v>
      </x:c>
    </x:row>
    <x:row r="1189" ht="22" customHeight="1">
      <x:c r="A1189" s="1" t="n">
        <x:v>124</x:v>
      </x:c>
      <x:c r="B1189" s="1" t="str">
        <x:v>Jynx</x:v>
      </x:c>
      <x:c r="C1189" s="1" t="n">
        <x:v>13</x:v>
      </x:c>
      <x:c r="D1189" s="1" t="str">
        <x:v>Body Slam</x:v>
      </x:c>
      <x:c r="E1189" s="1" t="str">
        <x:v>Normal</x:v>
      </x:c>
      <x:c r="F1189" s="1" t="str">
        <x:v>Física</x:v>
      </x:c>
      <x:c r="G1189" s="10" t="n">
        <x:v>85</x:v>
      </x:c>
      <x:c r="H1189" s="10" t="n">
        <x:f>IF(F1189="Física",'Pokémon'!G128,IF(F1189="Especial",'Pokémon'!I128,""))</x:f>
        <x:v>50</x:v>
      </x:c>
      <x:c r="I1189" s="10" t="n">
        <x:f>IF(OR(F1189="Status",G1189=0),"",G1189+H1189)</x:f>
        <x:v>135</x:v>
      </x:c>
      <x:c r="J1189" s="10" t="n">
        <x:v>44</x:v>
      </x:c>
      <x:c r="K1189" s="12" t="n">
        <x:v>22</x:v>
      </x:c>
      <x:c r="L1189" s="1" t="str"/>
      <x:c r="M1189" s="9" t="str">
        <x:v>https://poke.idleworld.online/pokepedia/pokemon/jynx</x:v>
      </x:c>
    </x:row>
    <x:row r="1190" ht="22" customHeight="1">
      <x:c r="A1190" s="1" t="n">
        <x:v>124</x:v>
      </x:c>
      <x:c r="B1190" s="1" t="str">
        <x:v>Jynx</x:v>
      </x:c>
      <x:c r="C1190" s="1" t="n">
        <x:v>8</x:v>
      </x:c>
      <x:c r="D1190" s="1" t="str">
        <x:v>Ice Punch</x:v>
      </x:c>
      <x:c r="E1190" s="1" t="str">
        <x:v>Gelo</x:v>
      </x:c>
      <x:c r="F1190" s="1" t="str">
        <x:v>Física</x:v>
      </x:c>
      <x:c r="G1190" s="10" t="n">
        <x:v>75</x:v>
      </x:c>
      <x:c r="H1190" s="10" t="n">
        <x:f>IF(F1190="Física",'Pokémon'!G128,IF(F1190="Especial",'Pokémon'!I128,""))</x:f>
        <x:v>50</x:v>
      </x:c>
      <x:c r="I1190" s="10" t="n">
        <x:f>IF(OR(F1190="Status",G1190=0),"",G1190+H1190)</x:f>
        <x:v>125</x:v>
      </x:c>
      <x:c r="J1190" s="10" t="n">
        <x:v>18</x:v>
      </x:c>
      <x:c r="K1190" s="12" t="n">
        <x:v>30</x:v>
      </x:c>
      <x:c r="L1190" s="1" t="str"/>
      <x:c r="M1190" s="9" t="str">
        <x:v>https://poke.idleworld.online/pokepedia/pokemon/jynx</x:v>
      </x:c>
    </x:row>
    <x:row r="1191" ht="22" customHeight="1">
      <x:c r="A1191" s="1" t="n">
        <x:v>124</x:v>
      </x:c>
      <x:c r="B1191" s="1" t="str">
        <x:v>Jynx</x:v>
      </x:c>
      <x:c r="C1191" s="1" t="n">
        <x:v>11</x:v>
      </x:c>
      <x:c r="D1191" s="1" t="str">
        <x:v>Wake-Up Slap</x:v>
      </x:c>
      <x:c r="E1191" s="1" t="str">
        <x:v>Lutador</x:v>
      </x:c>
      <x:c r="F1191" s="1" t="str">
        <x:v>Física</x:v>
      </x:c>
      <x:c r="G1191" s="10" t="n">
        <x:v>70</x:v>
      </x:c>
      <x:c r="H1191" s="10" t="n">
        <x:f>IF(F1191="Física",'Pokémon'!G128,IF(F1191="Especial",'Pokémon'!I128,""))</x:f>
        <x:v>50</x:v>
      </x:c>
      <x:c r="I1191" s="10" t="n">
        <x:f>IF(OR(F1191="Status",G1191=0),"",G1191+H1191)</x:f>
        <x:v>120</x:v>
      </x:c>
      <x:c r="J1191" s="10" t="n">
        <x:v>33</x:v>
      </x:c>
      <x:c r="K1191" s="12" t="n">
        <x:v>20</x:v>
      </x:c>
      <x:c r="L1191" s="1" t="str"/>
      <x:c r="M1191" s="9" t="str">
        <x:v>https://poke.idleworld.online/pokepedia/pokemon/jynx</x:v>
      </x:c>
    </x:row>
    <x:row r="1192" ht="22" customHeight="1">
      <x:c r="A1192" s="1" t="n">
        <x:v>124</x:v>
      </x:c>
      <x:c r="B1192" s="1" t="str">
        <x:v>Jynx</x:v>
      </x:c>
      <x:c r="C1192" s="1" t="n">
        <x:v>9</x:v>
      </x:c>
      <x:c r="D1192" s="1" t="str">
        <x:v>Heart Stamp</x:v>
      </x:c>
      <x:c r="E1192" s="1" t="str">
        <x:v>Psíquico</x:v>
      </x:c>
      <x:c r="F1192" s="1" t="str">
        <x:v>Física</x:v>
      </x:c>
      <x:c r="G1192" s="10" t="n">
        <x:v>60</x:v>
      </x:c>
      <x:c r="H1192" s="10" t="n">
        <x:f>IF(F1192="Física",'Pokémon'!G128,IF(F1192="Especial",'Pokémon'!I128,""))</x:f>
        <x:v>50</x:v>
      </x:c>
      <x:c r="I1192" s="10" t="n">
        <x:f>IF(OR(F1192="Status",G1192=0),"",G1192+H1192)</x:f>
        <x:v>110</x:v>
      </x:c>
      <x:c r="J1192" s="10" t="n">
        <x:v>21</x:v>
      </x:c>
      <x:c r="K1192" s="12" t="n">
        <x:v>30</x:v>
      </x:c>
      <x:c r="L1192" s="1" t="str"/>
      <x:c r="M1192" s="9" t="str">
        <x:v>https://poke.idleworld.online/pokepedia/pokemon/jynx</x:v>
      </x:c>
    </x:row>
    <x:row r="1193" ht="22" customHeight="1">
      <x:c r="A1193" s="1" t="n">
        <x:v>124</x:v>
      </x:c>
      <x:c r="B1193" s="1" t="str">
        <x:v>Jynx</x:v>
      </x:c>
      <x:c r="C1193" s="1" t="n">
        <x:v>12</x:v>
      </x:c>
      <x:c r="D1193" s="1" t="str">
        <x:v>Avalanche</x:v>
      </x:c>
      <x:c r="E1193" s="1" t="str">
        <x:v>Gelo</x:v>
      </x:c>
      <x:c r="F1193" s="1" t="str">
        <x:v>Física</x:v>
      </x:c>
      <x:c r="G1193" s="10" t="n">
        <x:v>60</x:v>
      </x:c>
      <x:c r="H1193" s="10" t="n">
        <x:f>IF(F1193="Física",'Pokémon'!G128,IF(F1193="Especial",'Pokémon'!I128,""))</x:f>
        <x:v>50</x:v>
      </x:c>
      <x:c r="I1193" s="10" t="n">
        <x:f>IF(OR(F1193="Status",G1193=0),"",G1193+H1193)</x:f>
        <x:v>110</x:v>
      </x:c>
      <x:c r="J1193" s="10" t="n">
        <x:v>39</x:v>
      </x:c>
      <x:c r="K1193" s="12" t="n">
        <x:v>20</x:v>
      </x:c>
      <x:c r="L1193" s="1" t="str"/>
      <x:c r="M1193" s="9" t="str">
        <x:v>https://poke.idleworld.online/pokepedia/pokemon/jynx</x:v>
      </x:c>
    </x:row>
    <x:row r="1194" ht="22" customHeight="1">
      <x:c r="A1194" s="1" t="n">
        <x:v>124</x:v>
      </x:c>
      <x:c r="B1194" s="1" t="str">
        <x:v>Jynx</x:v>
      </x:c>
      <x:c r="C1194" s="1" t="n">
        <x:v>5</x:v>
      </x:c>
      <x:c r="D1194" s="1" t="str">
        <x:v>Pound</x:v>
      </x:c>
      <x:c r="E1194" s="1" t="str">
        <x:v>Normal</x:v>
      </x:c>
      <x:c r="F1194" s="1" t="str">
        <x:v>Física</x:v>
      </x:c>
      <x:c r="G1194" s="10" t="n">
        <x:v>40</x:v>
      </x:c>
      <x:c r="H1194" s="10" t="n">
        <x:f>IF(F1194="Física",'Pokémon'!G128,IF(F1194="Especial",'Pokémon'!I128,""))</x:f>
        <x:v>50</x:v>
      </x:c>
      <x:c r="I1194" s="10" t="n">
        <x:f>IF(OR(F1194="Status",G1194=0),"",G1194+H1194)</x:f>
        <x:v>90</x:v>
      </x:c>
      <x:c r="J1194" s="10" t="n">
        <x:v>1</x:v>
      </x:c>
      <x:c r="K1194" s="12" t="n">
        <x:v>15</x:v>
      </x:c>
      <x:c r="L1194" s="1" t="str"/>
      <x:c r="M1194" s="9" t="str">
        <x:v>https://poke.idleworld.online/pokepedia/pokemon/jynx</x:v>
      </x:c>
    </x:row>
    <x:row r="1195" ht="22" customHeight="1">
      <x:c r="A1195" s="1" t="n">
        <x:v>124</x:v>
      </x:c>
      <x:c r="B1195" s="1" t="str">
        <x:v>Jynx</x:v>
      </x:c>
      <x:c r="C1195" s="1" t="n">
        <x:v>4</x:v>
      </x:c>
      <x:c r="D1195" s="1" t="str">
        <x:v>Lick</x:v>
      </x:c>
      <x:c r="E1195" s="1" t="str">
        <x:v>Fantasma</x:v>
      </x:c>
      <x:c r="F1195" s="1" t="str">
        <x:v>Física</x:v>
      </x:c>
      <x:c r="G1195" s="10" t="n">
        <x:v>30</x:v>
      </x:c>
      <x:c r="H1195" s="10" t="n">
        <x:f>IF(F1195="Física",'Pokémon'!G128,IF(F1195="Especial",'Pokémon'!I128,""))</x:f>
        <x:v>50</x:v>
      </x:c>
      <x:c r="I1195" s="10" t="n">
        <x:f>IF(OR(F1195="Status",G1195=0),"",G1195+H1195)</x:f>
        <x:v>80</x:v>
      </x:c>
      <x:c r="J1195" s="10" t="n">
        <x:v>1</x:v>
      </x:c>
      <x:c r="K1195" s="12" t="n">
        <x:v>15</x:v>
      </x:c>
      <x:c r="L1195" s="1" t="str"/>
      <x:c r="M1195" s="9" t="str">
        <x:v>https://poke.idleworld.online/pokepedia/pokemon/jynx</x:v>
      </x:c>
    </x:row>
    <x:row r="1196" ht="22" customHeight="1">
      <x:c r="A1196" s="1" t="n">
        <x:v>124</x:v>
      </x:c>
      <x:c r="B1196" s="1" t="str">
        <x:v>Jynx</x:v>
      </x:c>
      <x:c r="C1196" s="1" t="n">
        <x:v>7</x:v>
      </x:c>
      <x:c r="D1196" s="1" t="str">
        <x:v>Double Slap</x:v>
      </x:c>
      <x:c r="E1196" s="1" t="str">
        <x:v>Normal</x:v>
      </x:c>
      <x:c r="F1196" s="1" t="str">
        <x:v>Física</x:v>
      </x:c>
      <x:c r="G1196" s="10" t="n">
        <x:v>15</x:v>
      </x:c>
      <x:c r="H1196" s="10" t="n">
        <x:f>IF(F1196="Física",'Pokémon'!G128,IF(F1196="Especial",'Pokémon'!I128,""))</x:f>
        <x:v>50</x:v>
      </x:c>
      <x:c r="I1196" s="10" t="n">
        <x:f>IF(OR(F1196="Status",G1196=0),"",G1196+H1196)</x:f>
        <x:v>65</x:v>
      </x:c>
      <x:c r="J1196" s="10" t="n">
        <x:v>15</x:v>
      </x:c>
      <x:c r="K1196" s="12" t="n">
        <x:v>15</x:v>
      </x:c>
      <x:c r="L1196" s="1" t="str"/>
      <x:c r="M1196" s="9" t="str">
        <x:v>https://poke.idleworld.online/pokepedia/pokemon/jynx</x:v>
      </x:c>
    </x:row>
    <x:row r="1197" ht="22" customHeight="1">
      <x:c r="A1197" s="1" t="n">
        <x:v>124</x:v>
      </x:c>
      <x:c r="B1197" s="1" t="str">
        <x:v>Jynx</x:v>
      </x:c>
      <x:c r="C1197" s="1" t="n">
        <x:v>2</x:v>
      </x:c>
      <x:c r="D1197" s="1" t="str">
        <x:v>Lovely Kiss</x:v>
      </x:c>
      <x:c r="E1197" s="1" t="str">
        <x:v>Normal</x:v>
      </x:c>
      <x:c r="F1197" s="1" t="str">
        <x:v>Status</x:v>
      </x:c>
      <x:c r="G1197" s="10" t="n">
        <x:v>0</x:v>
      </x:c>
      <x:c r="H1197" s="10" t="str">
        <x:f>IF(F1197="Física",'Pokémon'!G128,IF(F1197="Especial",'Pokémon'!I128,""))</x:f>
      </x:c>
      <x:c r="I1197" s="10" t="str">
        <x:f>IF(OR(F1197="Status",G1197=0),"",G1197+H1197)</x:f>
      </x:c>
      <x:c r="J1197" s="10" t="n">
        <x:v>1</x:v>
      </x:c>
      <x:c r="K1197" s="12" t="n">
        <x:v>40</x:v>
      </x:c>
      <x:c r="L1197" s="1" t="str"/>
      <x:c r="M1197" s="9" t="str">
        <x:v>https://poke.idleworld.online/pokepedia/pokemon/jynx</x:v>
      </x:c>
    </x:row>
    <x:row r="1198" ht="22" customHeight="1">
      <x:c r="A1198" s="1" t="n">
        <x:v>124</x:v>
      </x:c>
      <x:c r="B1198" s="1" t="str">
        <x:v>Jynx</x:v>
      </x:c>
      <x:c r="C1198" s="1" t="n">
        <x:v>10</x:v>
      </x:c>
      <x:c r="D1198" s="1" t="str">
        <x:v>Mean Look</x:v>
      </x:c>
      <x:c r="E1198" s="1" t="str">
        <x:v>Normal</x:v>
      </x:c>
      <x:c r="F1198" s="1" t="str">
        <x:v>Status</x:v>
      </x:c>
      <x:c r="G1198" s="10" t="n">
        <x:v>0</x:v>
      </x:c>
      <x:c r="H1198" s="10" t="str">
        <x:f>IF(F1198="Física",'Pokémon'!G128,IF(F1198="Especial",'Pokémon'!I128,""))</x:f>
      </x:c>
      <x:c r="I1198" s="10" t="str">
        <x:f>IF(OR(F1198="Status",G1198=0),"",G1198+H1198)</x:f>
      </x:c>
      <x:c r="J1198" s="10" t="n">
        <x:v>25</x:v>
      </x:c>
      <x:c r="K1198" s="12" t="n">
        <x:v>80</x:v>
      </x:c>
      <x:c r="L1198" s="1" t="str"/>
      <x:c r="M1198" s="9" t="str">
        <x:v>https://poke.idleworld.online/pokepedia/pokemon/jynx</x:v>
      </x:c>
    </x:row>
    <x:row r="1199" ht="22" customHeight="1">
      <x:c r="A1199" s="1" t="n">
        <x:v>125</x:v>
      </x:c>
      <x:c r="B1199" s="1" t="str">
        <x:v>Electabuzz</x:v>
      </x:c>
      <x:c r="C1199" s="1" t="n">
        <x:v>2</x:v>
      </x:c>
      <x:c r="D1199" s="1" t="str">
        <x:v>Static Overload</x:v>
      </x:c>
      <x:c r="E1199" s="1" t="str">
        <x:v>Elétrico</x:v>
      </x:c>
      <x:c r="F1199" s="1" t="str">
        <x:v>Especial</x:v>
      </x:c>
      <x:c r="G1199" s="10" t="n">
        <x:v>300</x:v>
      </x:c>
      <x:c r="H1199" s="10" t="n">
        <x:f>IF(F1199="Física",'Pokémon'!G129,IF(F1199="Especial",'Pokémon'!I129,""))</x:f>
        <x:v>95</x:v>
      </x:c>
      <x:c r="I1199" s="10" t="n">
        <x:f>IF(OR(F1199="Status",G1199=0),"",G1199+H1199)</x:f>
        <x:v>395</x:v>
      </x:c>
      <x:c r="J1199" s="10" t="n">
        <x:v>1</x:v>
      </x:c>
      <x:c r="K1199" s="12" t="n">
        <x:v>10</x:v>
      </x:c>
      <x:c r="L1199" s="1" t="str">
        <x:v>Sim</x:v>
      </x:c>
      <x:c r="M1199" s="9" t="str">
        <x:v>https://poke.idleworld.online/pokepedia/pokemon/electabuzz</x:v>
      </x:c>
    </x:row>
    <x:row r="1200" ht="22" customHeight="1">
      <x:c r="A1200" s="1" t="n">
        <x:v>125</x:v>
      </x:c>
      <x:c r="B1200" s="1" t="str">
        <x:v>Electabuzz</x:v>
      </x:c>
      <x:c r="C1200" s="1" t="n">
        <x:v>9</x:v>
      </x:c>
      <x:c r="D1200" s="1" t="str">
        <x:v>Thunder</x:v>
      </x:c>
      <x:c r="E1200" s="1" t="str">
        <x:v>Elétrico</x:v>
      </x:c>
      <x:c r="F1200" s="1" t="str">
        <x:v>Especial</x:v>
      </x:c>
      <x:c r="G1200" s="10" t="n">
        <x:v>110</x:v>
      </x:c>
      <x:c r="H1200" s="10" t="n">
        <x:f>IF(F1200="Física",'Pokémon'!G129,IF(F1200="Especial",'Pokémon'!I129,""))</x:f>
        <x:v>95</x:v>
      </x:c>
      <x:c r="I1200" s="10" t="n">
        <x:f>IF(OR(F1200="Status",G1200=0),"",G1200+H1200)</x:f>
        <x:v>205</x:v>
      </x:c>
      <x:c r="J1200" s="10" t="n">
        <x:v>55</x:v>
      </x:c>
      <x:c r="K1200" s="12" t="n">
        <x:v>40</x:v>
      </x:c>
      <x:c r="L1200" s="1" t="str"/>
      <x:c r="M1200" s="9" t="str">
        <x:v>https://poke.idleworld.online/pokepedia/pokemon/electabuzz</x:v>
      </x:c>
    </x:row>
    <x:row r="1201" ht="22" customHeight="1">
      <x:c r="A1201" s="1" t="n">
        <x:v>125</x:v>
      </x:c>
      <x:c r="B1201" s="1" t="str">
        <x:v>Electabuzz</x:v>
      </x:c>
      <x:c r="C1201" s="1" t="n">
        <x:v>8</x:v>
      </x:c>
      <x:c r="D1201" s="1" t="str">
        <x:v>Thunderbolt</x:v>
      </x:c>
      <x:c r="E1201" s="1" t="str">
        <x:v>Elétrico</x:v>
      </x:c>
      <x:c r="F1201" s="1" t="str">
        <x:v>Especial</x:v>
      </x:c>
      <x:c r="G1201" s="10" t="n">
        <x:v>90</x:v>
      </x:c>
      <x:c r="H1201" s="10" t="n">
        <x:f>IF(F1201="Física",'Pokémon'!G129,IF(F1201="Especial",'Pokémon'!I129,""))</x:f>
        <x:v>95</x:v>
      </x:c>
      <x:c r="I1201" s="10" t="n">
        <x:f>IF(OR(F1201="Status",G1201=0),"",G1201+H1201)</x:f>
        <x:v>185</x:v>
      </x:c>
      <x:c r="J1201" s="10" t="n">
        <x:v>49</x:v>
      </x:c>
      <x:c r="K1201" s="12" t="n">
        <x:v>20</x:v>
      </x:c>
      <x:c r="L1201" s="1" t="str"/>
      <x:c r="M1201" s="9" t="str">
        <x:v>https://poke.idleworld.online/pokepedia/pokemon/electabuzz</x:v>
      </x:c>
    </x:row>
    <x:row r="1202" ht="22" customHeight="1">
      <x:c r="A1202" s="1" t="n">
        <x:v>125</x:v>
      </x:c>
      <x:c r="B1202" s="1" t="str">
        <x:v>Electabuzz</x:v>
      </x:c>
      <x:c r="C1202" s="1" t="n">
        <x:v>7</x:v>
      </x:c>
      <x:c r="D1202" s="1" t="str">
        <x:v>Discharge</x:v>
      </x:c>
      <x:c r="E1202" s="1" t="str">
        <x:v>Elétrico</x:v>
      </x:c>
      <x:c r="F1202" s="1" t="str">
        <x:v>Especial</x:v>
      </x:c>
      <x:c r="G1202" s="10" t="n">
        <x:v>80</x:v>
      </x:c>
      <x:c r="H1202" s="10" t="n">
        <x:f>IF(F1202="Física",'Pokémon'!G129,IF(F1202="Especial",'Pokémon'!I129,""))</x:f>
        <x:v>95</x:v>
      </x:c>
      <x:c r="I1202" s="10" t="n">
        <x:f>IF(OR(F1202="Status",G1202=0),"",G1202+H1202)</x:f>
        <x:v>175</x:v>
      </x:c>
      <x:c r="J1202" s="10" t="n">
        <x:v>36</x:v>
      </x:c>
      <x:c r="K1202" s="12" t="n">
        <x:v>22</x:v>
      </x:c>
      <x:c r="L1202" s="1" t="str"/>
      <x:c r="M1202" s="9" t="str">
        <x:v>https://poke.idleworld.online/pokepedia/pokemon/electabuzz</x:v>
      </x:c>
    </x:row>
    <x:row r="1203" ht="22" customHeight="1">
      <x:c r="A1203" s="1" t="n">
        <x:v>125</x:v>
      </x:c>
      <x:c r="B1203" s="1" t="str">
        <x:v>Electabuzz</x:v>
      </x:c>
      <x:c r="C1203" s="1" t="n">
        <x:v>6</x:v>
      </x:c>
      <x:c r="D1203" s="1" t="str">
        <x:v>Thunder Punch</x:v>
      </x:c>
      <x:c r="E1203" s="1" t="str">
        <x:v>Elétrico</x:v>
      </x:c>
      <x:c r="F1203" s="1" t="str">
        <x:v>Física</x:v>
      </x:c>
      <x:c r="G1203" s="10" t="n">
        <x:v>75</x:v>
      </x:c>
      <x:c r="H1203" s="10" t="n">
        <x:f>IF(F1203="Física",'Pokémon'!G129,IF(F1203="Especial",'Pokémon'!I129,""))</x:f>
        <x:v>83</x:v>
      </x:c>
      <x:c r="I1203" s="10" t="n">
        <x:f>IF(OR(F1203="Status",G1203=0),"",G1203+H1203)</x:f>
        <x:v>158</x:v>
      </x:c>
      <x:c r="J1203" s="10" t="n">
        <x:v>29</x:v>
      </x:c>
      <x:c r="K1203" s="12" t="n">
        <x:v>30</x:v>
      </x:c>
      <x:c r="L1203" s="1" t="str"/>
      <x:c r="M1203" s="9" t="str">
        <x:v>https://poke.idleworld.online/pokepedia/pokemon/electabuzz</x:v>
      </x:c>
    </x:row>
    <x:row r="1204" ht="22" customHeight="1">
      <x:c r="A1204" s="1" t="n">
        <x:v>125</x:v>
      </x:c>
      <x:c r="B1204" s="1" t="str">
        <x:v>Electabuzz</x:v>
      </x:c>
      <x:c r="C1204" s="1" t="n">
        <x:v>4</x:v>
      </x:c>
      <x:c r="D1204" s="1" t="str">
        <x:v>Swift</x:v>
      </x:c>
      <x:c r="E1204" s="1" t="str">
        <x:v>Normal</x:v>
      </x:c>
      <x:c r="F1204" s="1" t="str">
        <x:v>Especial</x:v>
      </x:c>
      <x:c r="G1204" s="10" t="n">
        <x:v>60</x:v>
      </x:c>
      <x:c r="H1204" s="10" t="n">
        <x:f>IF(F1204="Física",'Pokémon'!G129,IF(F1204="Especial",'Pokémon'!I129,""))</x:f>
        <x:v>95</x:v>
      </x:c>
      <x:c r="I1204" s="10" t="n">
        <x:f>IF(OR(F1204="Status",G1204=0),"",G1204+H1204)</x:f>
        <x:v>155</x:v>
      </x:c>
      <x:c r="J1204" s="10" t="n">
        <x:v>12</x:v>
      </x:c>
      <x:c r="K1204" s="12" t="n">
        <x:v>15</x:v>
      </x:c>
      <x:c r="L1204" s="1" t="str"/>
      <x:c r="M1204" s="9" t="str">
        <x:v>https://poke.idleworld.online/pokepedia/pokemon/electabuzz</x:v>
      </x:c>
    </x:row>
    <x:row r="1205" ht="22" customHeight="1">
      <x:c r="A1205" s="1" t="n">
        <x:v>125</x:v>
      </x:c>
      <x:c r="B1205" s="1" t="str">
        <x:v>Electabuzz</x:v>
      </x:c>
      <x:c r="C1205" s="1" t="n">
        <x:v>5</x:v>
      </x:c>
      <x:c r="D1205" s="1" t="str">
        <x:v>Shock Wave</x:v>
      </x:c>
      <x:c r="E1205" s="1" t="str">
        <x:v>Elétrico</x:v>
      </x:c>
      <x:c r="F1205" s="1" t="str">
        <x:v>Especial</x:v>
      </x:c>
      <x:c r="G1205" s="10" t="n">
        <x:v>60</x:v>
      </x:c>
      <x:c r="H1205" s="10" t="n">
        <x:f>IF(F1205="Física",'Pokémon'!G129,IF(F1205="Especial",'Pokémon'!I129,""))</x:f>
        <x:v>95</x:v>
      </x:c>
      <x:c r="I1205" s="10" t="n">
        <x:f>IF(OR(F1205="Status",G1205=0),"",G1205+H1205)</x:f>
        <x:v>155</x:v>
      </x:c>
      <x:c r="J1205" s="10" t="n">
        <x:v>15</x:v>
      </x:c>
      <x:c r="K1205" s="12" t="n">
        <x:v>20</x:v>
      </x:c>
      <x:c r="L1205" s="1" t="str"/>
      <x:c r="M1205" s="9" t="str">
        <x:v>https://poke.idleworld.online/pokepedia/pokemon/electabuzz</x:v>
      </x:c>
    </x:row>
    <x:row r="1206" ht="22" customHeight="1">
      <x:c r="A1206" s="1" t="n">
        <x:v>125</x:v>
      </x:c>
      <x:c r="B1206" s="1" t="str">
        <x:v>Electabuzz</x:v>
      </x:c>
      <x:c r="C1206" s="1" t="n">
        <x:v>1</x:v>
      </x:c>
      <x:c r="D1206" s="1" t="str">
        <x:v>Thunder Shock</x:v>
      </x:c>
      <x:c r="E1206" s="1" t="str">
        <x:v>Elétrico</x:v>
      </x:c>
      <x:c r="F1206" s="1" t="str">
        <x:v>Especial</x:v>
      </x:c>
      <x:c r="G1206" s="10" t="n">
        <x:v>40</x:v>
      </x:c>
      <x:c r="H1206" s="10" t="n">
        <x:f>IF(F1206="Física",'Pokémon'!G129,IF(F1206="Especial",'Pokémon'!I129,""))</x:f>
        <x:v>95</x:v>
      </x:c>
      <x:c r="I1206" s="10" t="n">
        <x:f>IF(OR(F1206="Status",G1206=0),"",G1206+H1206)</x:f>
        <x:v>135</x:v>
      </x:c>
      <x:c r="J1206" s="10" t="n">
        <x:v>1</x:v>
      </x:c>
      <x:c r="K1206" s="12" t="n">
        <x:v>10</x:v>
      </x:c>
      <x:c r="L1206" s="1" t="str"/>
      <x:c r="M1206" s="9" t="str">
        <x:v>https://poke.idleworld.online/pokepedia/pokemon/electabuzz</x:v>
      </x:c>
    </x:row>
    <x:row r="1207" ht="22" customHeight="1">
      <x:c r="A1207" s="1" t="n">
        <x:v>125</x:v>
      </x:c>
      <x:c r="B1207" s="1" t="str">
        <x:v>Electabuzz</x:v>
      </x:c>
      <x:c r="C1207" s="1" t="n">
        <x:v>3</x:v>
      </x:c>
      <x:c r="D1207" s="1" t="str">
        <x:v>Quick Attack</x:v>
      </x:c>
      <x:c r="E1207" s="1" t="str">
        <x:v>Normal</x:v>
      </x:c>
      <x:c r="F1207" s="1" t="str">
        <x:v>Física</x:v>
      </x:c>
      <x:c r="G1207" s="10" t="n">
        <x:v>40</x:v>
      </x:c>
      <x:c r="H1207" s="10" t="n">
        <x:f>IF(F1207="Física",'Pokémon'!G129,IF(F1207="Especial",'Pokémon'!I129,""))</x:f>
        <x:v>83</x:v>
      </x:c>
      <x:c r="I1207" s="10" t="n">
        <x:f>IF(OR(F1207="Status",G1207=0),"",G1207+H1207)</x:f>
        <x:v>123</x:v>
      </x:c>
      <x:c r="J1207" s="10" t="n">
        <x:v>1</x:v>
      </x:c>
      <x:c r="K1207" s="12" t="n">
        <x:v>15</x:v>
      </x:c>
      <x:c r="L1207" s="1" t="str"/>
      <x:c r="M1207" s="9" t="str">
        <x:v>https://poke.idleworld.online/pokepedia/pokemon/electabuzz</x:v>
      </x:c>
    </x:row>
    <x:row r="1208" ht="22" customHeight="1">
      <x:c r="A1208" s="1" t="n">
        <x:v>126</x:v>
      </x:c>
      <x:c r="B1208" s="1" t="str">
        <x:v>Magmar</x:v>
      </x:c>
      <x:c r="C1208" s="1" t="n">
        <x:v>3</x:v>
      </x:c>
      <x:c r="D1208" s="1" t="str">
        <x:v>Ignition Point</x:v>
      </x:c>
      <x:c r="E1208" s="1" t="str">
        <x:v>Fogo</x:v>
      </x:c>
      <x:c r="F1208" s="1" t="str">
        <x:v>Especial</x:v>
      </x:c>
      <x:c r="G1208" s="10" t="n">
        <x:v>300</x:v>
      </x:c>
      <x:c r="H1208" s="10" t="n">
        <x:f>IF(F1208="Física",'Pokémon'!G130,IF(F1208="Especial",'Pokémon'!I130,""))</x:f>
        <x:v>100</x:v>
      </x:c>
      <x:c r="I1208" s="10" t="n">
        <x:f>IF(OR(F1208="Status",G1208=0),"",G1208+H1208)</x:f>
        <x:v>400</x:v>
      </x:c>
      <x:c r="J1208" s="10" t="n">
        <x:v>1</x:v>
      </x:c>
      <x:c r="K1208" s="12" t="n">
        <x:v>10</x:v>
      </x:c>
      <x:c r="L1208" s="1" t="str">
        <x:v>Sim</x:v>
      </x:c>
      <x:c r="M1208" s="9" t="str">
        <x:v>https://poke.idleworld.online/pokepedia/pokemon/magmar</x:v>
      </x:c>
    </x:row>
    <x:row r="1209" ht="22" customHeight="1">
      <x:c r="A1209" s="1" t="n">
        <x:v>126</x:v>
      </x:c>
      <x:c r="B1209" s="1" t="str">
        <x:v>Magmar</x:v>
      </x:c>
      <x:c r="C1209" s="1" t="n">
        <x:v>12</x:v>
      </x:c>
      <x:c r="D1209" s="1" t="str">
        <x:v>Fire Blast</x:v>
      </x:c>
      <x:c r="E1209" s="1" t="str">
        <x:v>Fogo</x:v>
      </x:c>
      <x:c r="F1209" s="1" t="str">
        <x:v>Especial</x:v>
      </x:c>
      <x:c r="G1209" s="10" t="n">
        <x:v>110</x:v>
      </x:c>
      <x:c r="H1209" s="10" t="n">
        <x:f>IF(F1209="Física",'Pokémon'!G130,IF(F1209="Especial",'Pokémon'!I130,""))</x:f>
        <x:v>100</x:v>
      </x:c>
      <x:c r="I1209" s="10" t="n">
        <x:f>IF(OR(F1209="Status",G1209=0),"",G1209+H1209)</x:f>
        <x:v>210</x:v>
      </x:c>
      <x:c r="J1209" s="10" t="n">
        <x:v>55</x:v>
      </x:c>
      <x:c r="K1209" s="12" t="n">
        <x:v>40</x:v>
      </x:c>
      <x:c r="L1209" s="1" t="str"/>
      <x:c r="M1209" s="9" t="str">
        <x:v>https://poke.idleworld.online/pokepedia/pokemon/magmar</x:v>
      </x:c>
    </x:row>
    <x:row r="1210" ht="22" customHeight="1">
      <x:c r="A1210" s="1" t="n">
        <x:v>126</x:v>
      </x:c>
      <x:c r="B1210" s="1" t="str">
        <x:v>Magmar</x:v>
      </x:c>
      <x:c r="C1210" s="1" t="n">
        <x:v>11</x:v>
      </x:c>
      <x:c r="D1210" s="1" t="str">
        <x:v>Flamethrower</x:v>
      </x:c>
      <x:c r="E1210" s="1" t="str">
        <x:v>Fogo</x:v>
      </x:c>
      <x:c r="F1210" s="1" t="str">
        <x:v>Especial</x:v>
      </x:c>
      <x:c r="G1210" s="10" t="n">
        <x:v>90</x:v>
      </x:c>
      <x:c r="H1210" s="10" t="n">
        <x:f>IF(F1210="Física",'Pokémon'!G130,IF(F1210="Especial",'Pokémon'!I130,""))</x:f>
        <x:v>100</x:v>
      </x:c>
      <x:c r="I1210" s="10" t="n">
        <x:f>IF(OR(F1210="Status",G1210=0),"",G1210+H1210)</x:f>
        <x:v>190</x:v>
      </x:c>
      <x:c r="J1210" s="10" t="n">
        <x:v>49</x:v>
      </x:c>
      <x:c r="K1210" s="12" t="n">
        <x:v>22</x:v>
      </x:c>
      <x:c r="L1210" s="1" t="str"/>
      <x:c r="M1210" s="9" t="str">
        <x:v>https://poke.idleworld.online/pokepedia/pokemon/magmar</x:v>
      </x:c>
    </x:row>
    <x:row r="1211" ht="22" customHeight="1">
      <x:c r="A1211" s="1" t="n">
        <x:v>126</x:v>
      </x:c>
      <x:c r="B1211" s="1" t="str">
        <x:v>Magmar</x:v>
      </x:c>
      <x:c r="C1211" s="1" t="n">
        <x:v>9</x:v>
      </x:c>
      <x:c r="D1211" s="1" t="str">
        <x:v>Lava Plume</x:v>
      </x:c>
      <x:c r="E1211" s="1" t="str">
        <x:v>Fogo</x:v>
      </x:c>
      <x:c r="F1211" s="1" t="str">
        <x:v>Especial</x:v>
      </x:c>
      <x:c r="G1211" s="10" t="n">
        <x:v>80</x:v>
      </x:c>
      <x:c r="H1211" s="10" t="n">
        <x:f>IF(F1211="Física",'Pokémon'!G130,IF(F1211="Especial",'Pokémon'!I130,""))</x:f>
        <x:v>100</x:v>
      </x:c>
      <x:c r="I1211" s="10" t="n">
        <x:f>IF(OR(F1211="Status",G1211=0),"",G1211+H1211)</x:f>
        <x:v>180</x:v>
      </x:c>
      <x:c r="J1211" s="10" t="n">
        <x:v>36</x:v>
      </x:c>
      <x:c r="K1211" s="12" t="n">
        <x:v>40</x:v>
      </x:c>
      <x:c r="L1211" s="1" t="str"/>
      <x:c r="M1211" s="9" t="str">
        <x:v>https://poke.idleworld.online/pokepedia/pokemon/magmar</x:v>
      </x:c>
    </x:row>
    <x:row r="1212" ht="22" customHeight="1">
      <x:c r="A1212" s="1" t="n">
        <x:v>126</x:v>
      </x:c>
      <x:c r="B1212" s="1" t="str">
        <x:v>Magmar</x:v>
      </x:c>
      <x:c r="C1212" s="1" t="n">
        <x:v>8</x:v>
      </x:c>
      <x:c r="D1212" s="1" t="str">
        <x:v>Fire Punch</x:v>
      </x:c>
      <x:c r="E1212" s="1" t="str">
        <x:v>Fogo</x:v>
      </x:c>
      <x:c r="F1212" s="1" t="str">
        <x:v>Física</x:v>
      </x:c>
      <x:c r="G1212" s="10" t="n">
        <x:v>75</x:v>
      </x:c>
      <x:c r="H1212" s="10" t="n">
        <x:f>IF(F1212="Física",'Pokémon'!G130,IF(F1212="Especial",'Pokémon'!I130,""))</x:f>
        <x:v>95</x:v>
      </x:c>
      <x:c r="I1212" s="10" t="n">
        <x:f>IF(OR(F1212="Status",G1212=0),"",G1212+H1212)</x:f>
        <x:v>170</x:v>
      </x:c>
      <x:c r="J1212" s="10" t="n">
        <x:v>29</x:v>
      </x:c>
      <x:c r="K1212" s="12" t="n">
        <x:v>20</x:v>
      </x:c>
      <x:c r="L1212" s="1" t="str"/>
      <x:c r="M1212" s="9" t="str">
        <x:v>https://poke.idleworld.online/pokepedia/pokemon/magmar</x:v>
      </x:c>
    </x:row>
    <x:row r="1213" ht="22" customHeight="1">
      <x:c r="A1213" s="1" t="n">
        <x:v>126</x:v>
      </x:c>
      <x:c r="B1213" s="1" t="str">
        <x:v>Magmar</x:v>
      </x:c>
      <x:c r="C1213" s="1" t="n">
        <x:v>7</x:v>
      </x:c>
      <x:c r="D1213" s="1" t="str">
        <x:v>Flame Burst</x:v>
      </x:c>
      <x:c r="E1213" s="1" t="str">
        <x:v>Fogo</x:v>
      </x:c>
      <x:c r="F1213" s="1" t="str">
        <x:v>Especial</x:v>
      </x:c>
      <x:c r="G1213" s="10" t="n">
        <x:v>70</x:v>
      </x:c>
      <x:c r="H1213" s="10" t="n">
        <x:f>IF(F1213="Física",'Pokémon'!G130,IF(F1213="Especial",'Pokémon'!I130,""))</x:f>
        <x:v>100</x:v>
      </x:c>
      <x:c r="I1213" s="10" t="n">
        <x:f>IF(OR(F1213="Status",G1213=0),"",G1213+H1213)</x:f>
        <x:v>170</x:v>
      </x:c>
      <x:c r="J1213" s="10" t="n">
        <x:v>22</x:v>
      </x:c>
      <x:c r="K1213" s="12" t="n">
        <x:v>20</x:v>
      </x:c>
      <x:c r="L1213" s="1" t="str"/>
      <x:c r="M1213" s="9" t="str">
        <x:v>https://poke.idleworld.online/pokepedia/pokemon/magmar</x:v>
      </x:c>
    </x:row>
    <x:row r="1214" ht="22" customHeight="1">
      <x:c r="A1214" s="1" t="n">
        <x:v>126</x:v>
      </x:c>
      <x:c r="B1214" s="1" t="str">
        <x:v>Magmar</x:v>
      </x:c>
      <x:c r="C1214" s="1" t="n">
        <x:v>4</x:v>
      </x:c>
      <x:c r="D1214" s="1" t="str">
        <x:v>Feint Attack</x:v>
      </x:c>
      <x:c r="E1214" s="1" t="str">
        <x:v>Sombrio</x:v>
      </x:c>
      <x:c r="F1214" s="1" t="str">
        <x:v>Física</x:v>
      </x:c>
      <x:c r="G1214" s="10" t="n">
        <x:v>60</x:v>
      </x:c>
      <x:c r="H1214" s="10" t="n">
        <x:f>IF(F1214="Física",'Pokémon'!G130,IF(F1214="Especial",'Pokémon'!I130,""))</x:f>
        <x:v>95</x:v>
      </x:c>
      <x:c r="I1214" s="10" t="n">
        <x:f>IF(OR(F1214="Status",G1214=0),"",G1214+H1214)</x:f>
        <x:v>155</x:v>
      </x:c>
      <x:c r="J1214" s="10" t="n">
        <x:v>12</x:v>
      </x:c>
      <x:c r="K1214" s="12" t="n">
        <x:v>20</x:v>
      </x:c>
      <x:c r="L1214" s="1" t="str"/>
      <x:c r="M1214" s="9" t="str">
        <x:v>https://poke.idleworld.online/pokepedia/pokemon/magmar</x:v>
      </x:c>
    </x:row>
    <x:row r="1215" ht="22" customHeight="1">
      <x:c r="A1215" s="1" t="n">
        <x:v>126</x:v>
      </x:c>
      <x:c r="B1215" s="1" t="str">
        <x:v>Magmar</x:v>
      </x:c>
      <x:c r="C1215" s="1" t="n">
        <x:v>6</x:v>
      </x:c>
      <x:c r="D1215" s="1" t="str">
        <x:v>Clear Smog</x:v>
      </x:c>
      <x:c r="E1215" s="1" t="str">
        <x:v>Venenoso</x:v>
      </x:c>
      <x:c r="F1215" s="1" t="str">
        <x:v>Especial</x:v>
      </x:c>
      <x:c r="G1215" s="10" t="n">
        <x:v>50</x:v>
      </x:c>
      <x:c r="H1215" s="10" t="n">
        <x:f>IF(F1215="Física",'Pokémon'!G130,IF(F1215="Especial",'Pokémon'!I130,""))</x:f>
        <x:v>100</x:v>
      </x:c>
      <x:c r="I1215" s="10" t="n">
        <x:f>IF(OR(F1215="Status",G1215=0),"",G1215+H1215)</x:f>
        <x:v>150</x:v>
      </x:c>
      <x:c r="J1215" s="10" t="n">
        <x:v>19</x:v>
      </x:c>
      <x:c r="K1215" s="12" t="n">
        <x:v>100</x:v>
      </x:c>
      <x:c r="L1215" s="1" t="str"/>
      <x:c r="M1215" s="9" t="str">
        <x:v>https://poke.idleworld.online/pokepedia/pokemon/magmar</x:v>
      </x:c>
    </x:row>
    <x:row r="1216" ht="22" customHeight="1">
      <x:c r="A1216" s="1" t="n">
        <x:v>126</x:v>
      </x:c>
      <x:c r="B1216" s="1" t="str">
        <x:v>Magmar</x:v>
      </x:c>
      <x:c r="C1216" s="1" t="n">
        <x:v>2</x:v>
      </x:c>
      <x:c r="D1216" s="1" t="str">
        <x:v>Ember</x:v>
      </x:c>
      <x:c r="E1216" s="1" t="str">
        <x:v>Fogo</x:v>
      </x:c>
      <x:c r="F1216" s="1" t="str">
        <x:v>Especial</x:v>
      </x:c>
      <x:c r="G1216" s="10" t="n">
        <x:v>40</x:v>
      </x:c>
      <x:c r="H1216" s="10" t="n">
        <x:f>IF(F1216="Física",'Pokémon'!G130,IF(F1216="Especial",'Pokémon'!I130,""))</x:f>
        <x:v>100</x:v>
      </x:c>
      <x:c r="I1216" s="10" t="n">
        <x:f>IF(OR(F1216="Status",G1216=0),"",G1216+H1216)</x:f>
        <x:v>140</x:v>
      </x:c>
      <x:c r="J1216" s="10" t="n">
        <x:v>1</x:v>
      </x:c>
      <x:c r="K1216" s="12" t="n">
        <x:v>10</x:v>
      </x:c>
      <x:c r="L1216" s="1" t="str"/>
      <x:c r="M1216" s="9" t="str">
        <x:v>https://poke.idleworld.online/pokepedia/pokemon/magmar</x:v>
      </x:c>
    </x:row>
    <x:row r="1217" ht="22" customHeight="1">
      <x:c r="A1217" s="1" t="n">
        <x:v>126</x:v>
      </x:c>
      <x:c r="B1217" s="1" t="str">
        <x:v>Magmar</x:v>
      </x:c>
      <x:c r="C1217" s="1" t="n">
        <x:v>5</x:v>
      </x:c>
      <x:c r="D1217" s="1" t="str">
        <x:v>Fire Spin</x:v>
      </x:c>
      <x:c r="E1217" s="1" t="str">
        <x:v>Fogo</x:v>
      </x:c>
      <x:c r="F1217" s="1" t="str">
        <x:v>Especial</x:v>
      </x:c>
      <x:c r="G1217" s="10" t="n">
        <x:v>35</x:v>
      </x:c>
      <x:c r="H1217" s="10" t="n">
        <x:f>IF(F1217="Física",'Pokémon'!G130,IF(F1217="Especial",'Pokémon'!I130,""))</x:f>
        <x:v>100</x:v>
      </x:c>
      <x:c r="I1217" s="10" t="n">
        <x:f>IF(OR(F1217="Status",G1217=0),"",G1217+H1217)</x:f>
        <x:v>135</x:v>
      </x:c>
      <x:c r="J1217" s="10" t="n">
        <x:v>15</x:v>
      </x:c>
      <x:c r="K1217" s="12" t="n">
        <x:v>15</x:v>
      </x:c>
      <x:c r="L1217" s="1" t="str"/>
      <x:c r="M1217" s="9" t="str">
        <x:v>https://poke.idleworld.online/pokepedia/pokemon/magmar</x:v>
      </x:c>
    </x:row>
    <x:row r="1218" ht="22" customHeight="1">
      <x:c r="A1218" s="1" t="n">
        <x:v>126</x:v>
      </x:c>
      <x:c r="B1218" s="1" t="str">
        <x:v>Magmar</x:v>
      </x:c>
      <x:c r="C1218" s="1" t="n">
        <x:v>1</x:v>
      </x:c>
      <x:c r="D1218" s="1" t="str">
        <x:v>Smog</x:v>
      </x:c>
      <x:c r="E1218" s="1" t="str">
        <x:v>Venenoso</x:v>
      </x:c>
      <x:c r="F1218" s="1" t="str">
        <x:v>Especial</x:v>
      </x:c>
      <x:c r="G1218" s="10" t="n">
        <x:v>30</x:v>
      </x:c>
      <x:c r="H1218" s="10" t="n">
        <x:f>IF(F1218="Física",'Pokémon'!G130,IF(F1218="Especial",'Pokémon'!I130,""))</x:f>
        <x:v>100</x:v>
      </x:c>
      <x:c r="I1218" s="10" t="n">
        <x:f>IF(OR(F1218="Status",G1218=0),"",G1218+H1218)</x:f>
        <x:v>130</x:v>
      </x:c>
      <x:c r="J1218" s="10" t="n">
        <x:v>1</x:v>
      </x:c>
      <x:c r="K1218" s="12" t="n">
        <x:v>20</x:v>
      </x:c>
      <x:c r="L1218" s="1" t="str"/>
      <x:c r="M1218" s="9" t="str">
        <x:v>https://poke.idleworld.online/pokepedia/pokemon/magmar</x:v>
      </x:c>
    </x:row>
    <x:row r="1219" ht="22" customHeight="1">
      <x:c r="A1219" s="1" t="n">
        <x:v>126</x:v>
      </x:c>
      <x:c r="B1219" s="1" t="str">
        <x:v>Magmar</x:v>
      </x:c>
      <x:c r="C1219" s="1" t="n">
        <x:v>10</x:v>
      </x:c>
      <x:c r="D1219" s="1" t="str">
        <x:v>Sunny Day</x:v>
      </x:c>
      <x:c r="E1219" s="1" t="str">
        <x:v>Fogo</x:v>
      </x:c>
      <x:c r="F1219" s="1" t="str">
        <x:v>Status</x:v>
      </x:c>
      <x:c r="G1219" s="10" t="n">
        <x:v>0</x:v>
      </x:c>
      <x:c r="H1219" s="10" t="str">
        <x:f>IF(F1219="Física",'Pokémon'!G130,IF(F1219="Especial",'Pokémon'!I130,""))</x:f>
      </x:c>
      <x:c r="I1219" s="10" t="str">
        <x:f>IF(OR(F1219="Status",G1219=0),"",G1219+H1219)</x:f>
      </x:c>
      <x:c r="J1219" s="10" t="n">
        <x:v>42</x:v>
      </x:c>
      <x:c r="K1219" s="12" t="n">
        <x:v>60</x:v>
      </x:c>
      <x:c r="L1219" s="1" t="str"/>
      <x:c r="M1219" s="9" t="str">
        <x:v>https://poke.idleworld.online/pokepedia/pokemon/magmar</x:v>
      </x:c>
    </x:row>
    <x:row r="1220" ht="22" customHeight="1">
      <x:c r="A1220" s="1" t="n">
        <x:v>127</x:v>
      </x:c>
      <x:c r="B1220" s="1" t="str">
        <x:v>Pinsir</x:v>
      </x:c>
      <x:c r="C1220" s="1" t="n">
        <x:v>1</x:v>
      </x:c>
      <x:c r="D1220" s="1" t="str">
        <x:v>Hive Crush</x:v>
      </x:c>
      <x:c r="E1220" s="1" t="str">
        <x:v>Inseto</x:v>
      </x:c>
      <x:c r="F1220" s="1" t="str">
        <x:v>Física</x:v>
      </x:c>
      <x:c r="G1220" s="10" t="n">
        <x:v>300</x:v>
      </x:c>
      <x:c r="H1220" s="10" t="n">
        <x:f>IF(F1220="Física",'Pokémon'!G131,IF(F1220="Especial",'Pokémon'!I131,""))</x:f>
        <x:v>125</x:v>
      </x:c>
      <x:c r="I1220" s="10" t="n">
        <x:f>IF(OR(F1220="Status",G1220=0),"",G1220+H1220)</x:f>
        <x:v>425</x:v>
      </x:c>
      <x:c r="J1220" s="10" t="n">
        <x:v>1</x:v>
      </x:c>
      <x:c r="K1220" s="12" t="n">
        <x:v>10</x:v>
      </x:c>
      <x:c r="L1220" s="1" t="str">
        <x:v>Sim</x:v>
      </x:c>
      <x:c r="M1220" s="9" t="str">
        <x:v>https://poke.idleworld.online/pokepedia/pokemon/pinsir</x:v>
      </x:c>
    </x:row>
    <x:row r="1221" ht="22" customHeight="1">
      <x:c r="A1221" s="1" t="n">
        <x:v>127</x:v>
      </x:c>
      <x:c r="B1221" s="1" t="str">
        <x:v>Pinsir</x:v>
      </x:c>
      <x:c r="C1221" s="1" t="n">
        <x:v>13</x:v>
      </x:c>
      <x:c r="D1221" s="1" t="str">
        <x:v>Thrash</x:v>
      </x:c>
      <x:c r="E1221" s="1" t="str">
        <x:v>Normal</x:v>
      </x:c>
      <x:c r="F1221" s="1" t="str">
        <x:v>Física</x:v>
      </x:c>
      <x:c r="G1221" s="10" t="n">
        <x:v>120</x:v>
      </x:c>
      <x:c r="H1221" s="10" t="n">
        <x:f>IF(F1221="Física",'Pokémon'!G131,IF(F1221="Especial",'Pokémon'!I131,""))</x:f>
        <x:v>125</x:v>
      </x:c>
      <x:c r="I1221" s="10" t="n">
        <x:f>IF(OR(F1221="Status",G1221=0),"",G1221+H1221)</x:f>
        <x:v>245</x:v>
      </x:c>
      <x:c r="J1221" s="10" t="n">
        <x:v>43</x:v>
      </x:c>
      <x:c r="K1221" s="12" t="n">
        <x:v>50</x:v>
      </x:c>
      <x:c r="L1221" s="1" t="str"/>
      <x:c r="M1221" s="9" t="str">
        <x:v>https://poke.idleworld.online/pokepedia/pokemon/pinsir</x:v>
      </x:c>
    </x:row>
    <x:row r="1222" ht="22" customHeight="1">
      <x:c r="A1222" s="1" t="n">
        <x:v>127</x:v>
      </x:c>
      <x:c r="B1222" s="1" t="str">
        <x:v>Pinsir</x:v>
      </x:c>
      <x:c r="C1222" s="1" t="n">
        <x:v>14</x:v>
      </x:c>
      <x:c r="D1222" s="1" t="str">
        <x:v>Superpower</x:v>
      </x:c>
      <x:c r="E1222" s="1" t="str">
        <x:v>Lutador</x:v>
      </x:c>
      <x:c r="F1222" s="1" t="str">
        <x:v>Física</x:v>
      </x:c>
      <x:c r="G1222" s="10" t="n">
        <x:v>120</x:v>
      </x:c>
      <x:c r="H1222" s="10" t="n">
        <x:f>IF(F1222="Física",'Pokémon'!G131,IF(F1222="Especial",'Pokémon'!I131,""))</x:f>
        <x:v>125</x:v>
      </x:c>
      <x:c r="I1222" s="10" t="n">
        <x:f>IF(OR(F1222="Status",G1222=0),"",G1222+H1222)</x:f>
        <x:v>245</x:v>
      </x:c>
      <x:c r="J1222" s="10" t="n">
        <x:v>47</x:v>
      </x:c>
      <x:c r="K1222" s="12" t="n">
        <x:v>50</x:v>
      </x:c>
      <x:c r="L1222" s="1" t="str"/>
      <x:c r="M1222" s="9" t="str">
        <x:v>https://poke.idleworld.online/pokepedia/pokemon/pinsir</x:v>
      </x:c>
    </x:row>
    <x:row r="1223" ht="22" customHeight="1">
      <x:c r="A1223" s="1" t="n">
        <x:v>127</x:v>
      </x:c>
      <x:c r="B1223" s="1" t="str">
        <x:v>Pinsir</x:v>
      </x:c>
      <x:c r="C1223" s="1" t="n">
        <x:v>9</x:v>
      </x:c>
      <x:c r="D1223" s="1" t="str">
        <x:v>Submission</x:v>
      </x:c>
      <x:c r="E1223" s="1" t="str">
        <x:v>Lutador</x:v>
      </x:c>
      <x:c r="F1223" s="1" t="str">
        <x:v>Física</x:v>
      </x:c>
      <x:c r="G1223" s="10" t="n">
        <x:v>80</x:v>
      </x:c>
      <x:c r="H1223" s="10" t="n">
        <x:f>IF(F1223="Física",'Pokémon'!G131,IF(F1223="Especial",'Pokémon'!I131,""))</x:f>
        <x:v>125</x:v>
      </x:c>
      <x:c r="I1223" s="10" t="n">
        <x:f>IF(OR(F1223="Status",G1223=0),"",G1223+H1223)</x:f>
        <x:v>205</x:v>
      </x:c>
      <x:c r="J1223" s="10" t="n">
        <x:v>29</x:v>
      </x:c>
      <x:c r="K1223" s="12" t="n">
        <x:v>22</x:v>
      </x:c>
      <x:c r="L1223" s="1" t="str"/>
      <x:c r="M1223" s="9" t="str">
        <x:v>https://poke.idleworld.online/pokepedia/pokemon/pinsir</x:v>
      </x:c>
    </x:row>
    <x:row r="1224" ht="22" customHeight="1">
      <x:c r="A1224" s="1" t="n">
        <x:v>127</x:v>
      </x:c>
      <x:c r="B1224" s="1" t="str">
        <x:v>Pinsir</x:v>
      </x:c>
      <x:c r="C1224" s="1" t="n">
        <x:v>10</x:v>
      </x:c>
      <x:c r="D1224" s="1" t="str">
        <x:v>X-Scissor</x:v>
      </x:c>
      <x:c r="E1224" s="1" t="str">
        <x:v>Inseto</x:v>
      </x:c>
      <x:c r="F1224" s="1" t="str">
        <x:v>Física</x:v>
      </x:c>
      <x:c r="G1224" s="10" t="n">
        <x:v>80</x:v>
      </x:c>
      <x:c r="H1224" s="10" t="n">
        <x:f>IF(F1224="Física",'Pokémon'!G131,IF(F1224="Especial",'Pokémon'!I131,""))</x:f>
        <x:v>125</x:v>
      </x:c>
      <x:c r="I1224" s="10" t="n">
        <x:f>IF(OR(F1224="Status",G1224=0),"",G1224+H1224)</x:f>
        <x:v>205</x:v>
      </x:c>
      <x:c r="J1224" s="10" t="n">
        <x:v>33</x:v>
      </x:c>
      <x:c r="K1224" s="12" t="n">
        <x:v>22</x:v>
      </x:c>
      <x:c r="L1224" s="1" t="str"/>
      <x:c r="M1224" s="9" t="str">
        <x:v>https://poke.idleworld.online/pokepedia/pokemon/pinsir</x:v>
      </x:c>
    </x:row>
    <x:row r="1225" ht="22" customHeight="1">
      <x:c r="A1225" s="1" t="n">
        <x:v>127</x:v>
      </x:c>
      <x:c r="B1225" s="1" t="str">
        <x:v>Pinsir</x:v>
      </x:c>
      <x:c r="C1225" s="1" t="n">
        <x:v>8</x:v>
      </x:c>
      <x:c r="D1225" s="1" t="str">
        <x:v>Brick Break</x:v>
      </x:c>
      <x:c r="E1225" s="1" t="str">
        <x:v>Lutador</x:v>
      </x:c>
      <x:c r="F1225" s="1" t="str">
        <x:v>Física</x:v>
      </x:c>
      <x:c r="G1225" s="10" t="n">
        <x:v>75</x:v>
      </x:c>
      <x:c r="H1225" s="10" t="n">
        <x:f>IF(F1225="Física",'Pokémon'!G131,IF(F1225="Especial",'Pokémon'!I131,""))</x:f>
        <x:v>125</x:v>
      </x:c>
      <x:c r="I1225" s="10" t="n">
        <x:f>IF(OR(F1225="Status",G1225=0),"",G1225+H1225)</x:f>
        <x:v>200</x:v>
      </x:c>
      <x:c r="J1225" s="10" t="n">
        <x:v>26</x:v>
      </x:c>
      <x:c r="K1225" s="12" t="n">
        <x:v>30</x:v>
      </x:c>
      <x:c r="L1225" s="1" t="str"/>
      <x:c r="M1225" s="9" t="str">
        <x:v>https://poke.idleworld.online/pokepedia/pokemon/pinsir</x:v>
      </x:c>
    </x:row>
    <x:row r="1226" ht="22" customHeight="1">
      <x:c r="A1226" s="1" t="n">
        <x:v>127</x:v>
      </x:c>
      <x:c r="B1226" s="1" t="str">
        <x:v>Pinsir</x:v>
      </x:c>
      <x:c r="C1226" s="1" t="n">
        <x:v>6</x:v>
      </x:c>
      <x:c r="D1226" s="1" t="str">
        <x:v>Vital Throw</x:v>
      </x:c>
      <x:c r="E1226" s="1" t="str">
        <x:v>Lutador</x:v>
      </x:c>
      <x:c r="F1226" s="1" t="str">
        <x:v>Física</x:v>
      </x:c>
      <x:c r="G1226" s="10" t="n">
        <x:v>70</x:v>
      </x:c>
      <x:c r="H1226" s="10" t="n">
        <x:f>IF(F1226="Física",'Pokémon'!G131,IF(F1226="Especial",'Pokémon'!I131,""))</x:f>
        <x:v>125</x:v>
      </x:c>
      <x:c r="I1226" s="10" t="n">
        <x:f>IF(OR(F1226="Status",G1226=0),"",G1226+H1226)</x:f>
        <x:v>195</x:v>
      </x:c>
      <x:c r="J1226" s="10" t="n">
        <x:v>18</x:v>
      </x:c>
      <x:c r="K1226" s="12" t="n">
        <x:v>20</x:v>
      </x:c>
      <x:c r="L1226" s="1" t="str"/>
      <x:c r="M1226" s="9" t="str">
        <x:v>https://poke.idleworld.online/pokepedia/pokemon/pinsir</x:v>
      </x:c>
    </x:row>
    <x:row r="1227" ht="22" customHeight="1">
      <x:c r="A1227" s="1" t="n">
        <x:v>127</x:v>
      </x:c>
      <x:c r="B1227" s="1" t="str">
        <x:v>Pinsir</x:v>
      </x:c>
      <x:c r="C1227" s="1" t="n">
        <x:v>5</x:v>
      </x:c>
      <x:c r="D1227" s="1" t="str">
        <x:v>Revenge</x:v>
      </x:c>
      <x:c r="E1227" s="1" t="str">
        <x:v>Lutador</x:v>
      </x:c>
      <x:c r="F1227" s="1" t="str">
        <x:v>Física</x:v>
      </x:c>
      <x:c r="G1227" s="10" t="n">
        <x:v>60</x:v>
      </x:c>
      <x:c r="H1227" s="10" t="n">
        <x:f>IF(F1227="Física",'Pokémon'!G131,IF(F1227="Especial",'Pokémon'!I131,""))</x:f>
        <x:v>125</x:v>
      </x:c>
      <x:c r="I1227" s="10" t="n">
        <x:f>IF(OR(F1227="Status",G1227=0),"",G1227+H1227)</x:f>
        <x:v>185</x:v>
      </x:c>
      <x:c r="J1227" s="10" t="n">
        <x:v>15</x:v>
      </x:c>
      <x:c r="K1227" s="12" t="n">
        <x:v>30</x:v>
      </x:c>
      <x:c r="L1227" s="1" t="str"/>
      <x:c r="M1227" s="9" t="str">
        <x:v>https://poke.idleworld.online/pokepedia/pokemon/pinsir</x:v>
      </x:c>
    </x:row>
    <x:row r="1228" ht="22" customHeight="1">
      <x:c r="A1228" s="1" t="n">
        <x:v>127</x:v>
      </x:c>
      <x:c r="B1228" s="1" t="str">
        <x:v>Pinsir</x:v>
      </x:c>
      <x:c r="C1228" s="1" t="n">
        <x:v>11</x:v>
      </x:c>
      <x:c r="D1228" s="1" t="str">
        <x:v>Storm Throw</x:v>
      </x:c>
      <x:c r="E1228" s="1" t="str">
        <x:v>Lutador</x:v>
      </x:c>
      <x:c r="F1228" s="1" t="str">
        <x:v>Física</x:v>
      </x:c>
      <x:c r="G1228" s="10" t="n">
        <x:v>60</x:v>
      </x:c>
      <x:c r="H1228" s="10" t="n">
        <x:f>IF(F1228="Física",'Pokémon'!G131,IF(F1228="Especial",'Pokémon'!I131,""))</x:f>
        <x:v>125</x:v>
      </x:c>
      <x:c r="I1228" s="10" t="n">
        <x:f>IF(OR(F1228="Status",G1228=0),"",G1228+H1228)</x:f>
        <x:v>185</x:v>
      </x:c>
      <x:c r="J1228" s="10" t="n">
        <x:v>36</x:v>
      </x:c>
      <x:c r="K1228" s="12" t="n">
        <x:v>20</x:v>
      </x:c>
      <x:c r="L1228" s="1" t="str"/>
      <x:c r="M1228" s="9" t="str">
        <x:v>https://poke.idleworld.online/pokepedia/pokemon/pinsir</x:v>
      </x:c>
    </x:row>
    <x:row r="1229" ht="22" customHeight="1">
      <x:c r="A1229" s="1" t="n">
        <x:v>127</x:v>
      </x:c>
      <x:c r="B1229" s="1" t="str">
        <x:v>Pinsir</x:v>
      </x:c>
      <x:c r="C1229" s="1" t="n">
        <x:v>15</x:v>
      </x:c>
      <x:c r="D1229" s="1" t="str">
        <x:v>Guillotine</x:v>
      </x:c>
      <x:c r="E1229" s="1" t="str">
        <x:v>Normal</x:v>
      </x:c>
      <x:c r="F1229" s="1" t="str">
        <x:v>Física</x:v>
      </x:c>
      <x:c r="G1229" s="10" t="n">
        <x:v>56</x:v>
      </x:c>
      <x:c r="H1229" s="10" t="n">
        <x:f>IF(F1229="Física",'Pokémon'!G131,IF(F1229="Especial",'Pokémon'!I131,""))</x:f>
        <x:v>125</x:v>
      </x:c>
      <x:c r="I1229" s="10" t="n">
        <x:f>IF(OR(F1229="Status",G1229=0),"",G1229+H1229)</x:f>
        <x:v>181</x:v>
      </x:c>
      <x:c r="J1229" s="10" t="n">
        <x:v>50</x:v>
      </x:c>
      <x:c r="K1229" s="12" t="n">
        <x:v>30</x:v>
      </x:c>
      <x:c r="L1229" s="1" t="str"/>
      <x:c r="M1229" s="9" t="str">
        <x:v>https://poke.idleworld.online/pokepedia/pokemon/pinsir</x:v>
      </x:c>
    </x:row>
    <x:row r="1230" ht="22" customHeight="1">
      <x:c r="A1230" s="1" t="n">
        <x:v>127</x:v>
      </x:c>
      <x:c r="B1230" s="1" t="str">
        <x:v>Pinsir</x:v>
      </x:c>
      <x:c r="C1230" s="1" t="n">
        <x:v>2</x:v>
      </x:c>
      <x:c r="D1230" s="1" t="str">
        <x:v>Vise Grip</x:v>
      </x:c>
      <x:c r="E1230" s="1" t="str">
        <x:v>Normal</x:v>
      </x:c>
      <x:c r="F1230" s="1" t="str">
        <x:v>Física</x:v>
      </x:c>
      <x:c r="G1230" s="10" t="n">
        <x:v>55</x:v>
      </x:c>
      <x:c r="H1230" s="10" t="n">
        <x:f>IF(F1230="Física",'Pokémon'!G131,IF(F1230="Especial",'Pokémon'!I131,""))</x:f>
        <x:v>125</x:v>
      </x:c>
      <x:c r="I1230" s="10" t="n">
        <x:f>IF(OR(F1230="Status",G1230=0),"",G1230+H1230)</x:f>
        <x:v>180</x:v>
      </x:c>
      <x:c r="J1230" s="10" t="n">
        <x:v>1</x:v>
      </x:c>
      <x:c r="K1230" s="12" t="n">
        <x:v>20</x:v>
      </x:c>
      <x:c r="L1230" s="1" t="str"/>
      <x:c r="M1230" s="9" t="str">
        <x:v>https://poke.idleworld.online/pokepedia/pokemon/pinsir</x:v>
      </x:c>
    </x:row>
    <x:row r="1231" ht="22" customHeight="1">
      <x:c r="A1231" s="1" t="n">
        <x:v>127</x:v>
      </x:c>
      <x:c r="B1231" s="1" t="str">
        <x:v>Pinsir</x:v>
      </x:c>
      <x:c r="C1231" s="1" t="n">
        <x:v>7</x:v>
      </x:c>
      <x:c r="D1231" s="1" t="str">
        <x:v>Double Hit</x:v>
      </x:c>
      <x:c r="E1231" s="1" t="str">
        <x:v>Normal</x:v>
      </x:c>
      <x:c r="F1231" s="1" t="str">
        <x:v>Física</x:v>
      </x:c>
      <x:c r="G1231" s="10" t="n">
        <x:v>35</x:v>
      </x:c>
      <x:c r="H1231" s="10" t="n">
        <x:f>IF(F1231="Física",'Pokémon'!G131,IF(F1231="Especial",'Pokémon'!I131,""))</x:f>
        <x:v>125</x:v>
      </x:c>
      <x:c r="I1231" s="10" t="n">
        <x:f>IF(OR(F1231="Status",G1231=0),"",G1231+H1231)</x:f>
        <x:v>160</x:v>
      </x:c>
      <x:c r="J1231" s="10" t="n">
        <x:v>22</x:v>
      </x:c>
      <x:c r="K1231" s="12" t="n">
        <x:v>15</x:v>
      </x:c>
      <x:c r="L1231" s="1" t="str"/>
      <x:c r="M1231" s="9" t="str">
        <x:v>https://poke.idleworld.online/pokepedia/pokemon/pinsir</x:v>
      </x:c>
    </x:row>
    <x:row r="1232" ht="22" customHeight="1">
      <x:c r="A1232" s="1" t="n">
        <x:v>127</x:v>
      </x:c>
      <x:c r="B1232" s="1" t="str">
        <x:v>Pinsir</x:v>
      </x:c>
      <x:c r="C1232" s="1" t="n">
        <x:v>3</x:v>
      </x:c>
      <x:c r="D1232" s="1" t="str">
        <x:v>Bind</x:v>
      </x:c>
      <x:c r="E1232" s="1" t="str">
        <x:v>Normal</x:v>
      </x:c>
      <x:c r="F1232" s="1" t="str">
        <x:v>Física</x:v>
      </x:c>
      <x:c r="G1232" s="10" t="n">
        <x:v>15</x:v>
      </x:c>
      <x:c r="H1232" s="10" t="n">
        <x:f>IF(F1232="Física",'Pokémon'!G131,IF(F1232="Especial",'Pokémon'!I131,""))</x:f>
        <x:v>125</x:v>
      </x:c>
      <x:c r="I1232" s="10" t="n">
        <x:f>IF(OR(F1232="Status",G1232=0),"",G1232+H1232)</x:f>
        <x:v>140</x:v>
      </x:c>
      <x:c r="J1232" s="10" t="n">
        <x:v>4</x:v>
      </x:c>
      <x:c r="K1232" s="12" t="n">
        <x:v>35</x:v>
      </x:c>
      <x:c r="L1232" s="1" t="str"/>
      <x:c r="M1232" s="9" t="str">
        <x:v>https://poke.idleworld.online/pokepedia/pokemon/pinsir</x:v>
      </x:c>
    </x:row>
    <x:row r="1233" ht="22" customHeight="1">
      <x:c r="A1233" s="1" t="n">
        <x:v>127</x:v>
      </x:c>
      <x:c r="B1233" s="1" t="str">
        <x:v>Pinsir</x:v>
      </x:c>
      <x:c r="C1233" s="1" t="n">
        <x:v>4</x:v>
      </x:c>
      <x:c r="D1233" s="1" t="str">
        <x:v>Harden</x:v>
      </x:c>
      <x:c r="E1233" s="1" t="str">
        <x:v>Normal</x:v>
      </x:c>
      <x:c r="F1233" s="1" t="str">
        <x:v>Status</x:v>
      </x:c>
      <x:c r="G1233" s="10" t="n">
        <x:v>0</x:v>
      </x:c>
      <x:c r="H1233" s="10" t="str">
        <x:f>IF(F1233="Física",'Pokémon'!G131,IF(F1233="Especial",'Pokémon'!I131,""))</x:f>
      </x:c>
      <x:c r="I1233" s="10" t="str">
        <x:f>IF(OR(F1233="Status",G1233=0),"",G1233+H1233)</x:f>
      </x:c>
      <x:c r="J1233" s="10" t="n">
        <x:v>11</x:v>
      </x:c>
      <x:c r="K1233" s="12" t="n">
        <x:v>30</x:v>
      </x:c>
      <x:c r="L1233" s="1" t="str"/>
      <x:c r="M1233" s="9" t="str">
        <x:v>https://poke.idleworld.online/pokepedia/pokemon/pinsir</x:v>
      </x:c>
    </x:row>
    <x:row r="1234" ht="22" customHeight="1">
      <x:c r="A1234" s="1" t="n">
        <x:v>127</x:v>
      </x:c>
      <x:c r="B1234" s="1" t="str">
        <x:v>Pinsir</x:v>
      </x:c>
      <x:c r="C1234" s="1" t="n">
        <x:v>12</x:v>
      </x:c>
      <x:c r="D1234" s="1" t="str">
        <x:v>Swords Dance</x:v>
      </x:c>
      <x:c r="E1234" s="1" t="str">
        <x:v>Normal</x:v>
      </x:c>
      <x:c r="F1234" s="1" t="str">
        <x:v>Status</x:v>
      </x:c>
      <x:c r="G1234" s="10" t="n">
        <x:v>0</x:v>
      </x:c>
      <x:c r="H1234" s="10" t="str">
        <x:f>IF(F1234="Física",'Pokémon'!G131,IF(F1234="Especial",'Pokémon'!I131,""))</x:f>
      </x:c>
      <x:c r="I1234" s="10" t="str">
        <x:f>IF(OR(F1234="Status",G1234=0),"",G1234+H1234)</x:f>
      </x:c>
      <x:c r="J1234" s="10" t="n">
        <x:v>40</x:v>
      </x:c>
      <x:c r="K1234" s="12" t="n">
        <x:v>60</x:v>
      </x:c>
      <x:c r="L1234" s="1" t="str"/>
      <x:c r="M1234" s="9" t="str">
        <x:v>https://poke.idleworld.online/pokepedia/pokemon/pinsir</x:v>
      </x:c>
    </x:row>
    <x:row r="1235" ht="22" customHeight="1">
      <x:c r="A1235" s="1" t="n">
        <x:v>128</x:v>
      </x:c>
      <x:c r="B1235" s="1" t="str">
        <x:v>Tauros</x:v>
      </x:c>
      <x:c r="C1235" s="1" t="n">
        <x:v>11</x:v>
      </x:c>
      <x:c r="D1235" s="1" t="str">
        <x:v>Giga Impact</x:v>
      </x:c>
      <x:c r="E1235" s="1" t="str">
        <x:v>Normal</x:v>
      </x:c>
      <x:c r="F1235" s="1" t="str">
        <x:v>Física</x:v>
      </x:c>
      <x:c r="G1235" s="10" t="n">
        <x:v>150</x:v>
      </x:c>
      <x:c r="H1235" s="10" t="n">
        <x:f>IF(F1235="Física",'Pokémon'!G132,IF(F1235="Especial",'Pokémon'!I132,""))</x:f>
        <x:v>100</x:v>
      </x:c>
      <x:c r="I1235" s="10" t="n">
        <x:f>IF(OR(F1235="Status",G1235=0),"",G1235+H1235)</x:f>
        <x:v>250</x:v>
      </x:c>
      <x:c r="J1235" s="10" t="n">
        <x:v>63</x:v>
      </x:c>
      <x:c r="K1235" s="12" t="n">
        <x:v>50</x:v>
      </x:c>
      <x:c r="L1235" s="1" t="str"/>
      <x:c r="M1235" s="9" t="str">
        <x:v>https://poke.idleworld.online/pokepedia/pokemon/tauros</x:v>
      </x:c>
    </x:row>
    <x:row r="1236" ht="22" customHeight="1">
      <x:c r="A1236" s="1" t="n">
        <x:v>128</x:v>
      </x:c>
      <x:c r="B1236" s="1" t="str">
        <x:v>Tauros</x:v>
      </x:c>
      <x:c r="C1236" s="1" t="n">
        <x:v>10</x:v>
      </x:c>
      <x:c r="D1236" s="1" t="str">
        <x:v>Thrash</x:v>
      </x:c>
      <x:c r="E1236" s="1" t="str">
        <x:v>Normal</x:v>
      </x:c>
      <x:c r="F1236" s="1" t="str">
        <x:v>Física</x:v>
      </x:c>
      <x:c r="G1236" s="10" t="n">
        <x:v>120</x:v>
      </x:c>
      <x:c r="H1236" s="10" t="n">
        <x:f>IF(F1236="Física",'Pokémon'!G132,IF(F1236="Especial",'Pokémon'!I132,""))</x:f>
        <x:v>100</x:v>
      </x:c>
      <x:c r="I1236" s="10" t="n">
        <x:f>IF(OR(F1236="Status",G1236=0),"",G1236+H1236)</x:f>
        <x:v>220</x:v>
      </x:c>
      <x:c r="J1236" s="10" t="n">
        <x:v>50</x:v>
      </x:c>
      <x:c r="K1236" s="12" t="n">
        <x:v>30</x:v>
      </x:c>
      <x:c r="L1236" s="1" t="str"/>
      <x:c r="M1236" s="9" t="str">
        <x:v>https://poke.idleworld.online/pokepedia/pokemon/tauros</x:v>
      </x:c>
    </x:row>
    <x:row r="1237" ht="22" customHeight="1">
      <x:c r="A1237" s="1" t="n">
        <x:v>128</x:v>
      </x:c>
      <x:c r="B1237" s="1" t="str">
        <x:v>Tauros</x:v>
      </x:c>
      <x:c r="C1237" s="1" t="n">
        <x:v>9</x:v>
      </x:c>
      <x:c r="D1237" s="1" t="str">
        <x:v>Take Down</x:v>
      </x:c>
      <x:c r="E1237" s="1" t="str">
        <x:v>Normal</x:v>
      </x:c>
      <x:c r="F1237" s="1" t="str">
        <x:v>Física</x:v>
      </x:c>
      <x:c r="G1237" s="10" t="n">
        <x:v>90</x:v>
      </x:c>
      <x:c r="H1237" s="10" t="n">
        <x:f>IF(F1237="Física",'Pokémon'!G132,IF(F1237="Especial",'Pokémon'!I132,""))</x:f>
        <x:v>100</x:v>
      </x:c>
      <x:c r="I1237" s="10" t="n">
        <x:f>IF(OR(F1237="Status",G1237=0),"",G1237+H1237)</x:f>
        <x:v>190</x:v>
      </x:c>
      <x:c r="J1237" s="10" t="n">
        <x:v>41</x:v>
      </x:c>
      <x:c r="K1237" s="12" t="n">
        <x:v>22</x:v>
      </x:c>
      <x:c r="L1237" s="1" t="str"/>
      <x:c r="M1237" s="9" t="str">
        <x:v>https://poke.idleworld.online/pokepedia/pokemon/tauros</x:v>
      </x:c>
    </x:row>
    <x:row r="1238" ht="22" customHeight="1">
      <x:c r="A1238" s="1" t="n">
        <x:v>128</x:v>
      </x:c>
      <x:c r="B1238" s="1" t="str">
        <x:v>Tauros</x:v>
      </x:c>
      <x:c r="C1238" s="1" t="n">
        <x:v>8</x:v>
      </x:c>
      <x:c r="D1238" s="1" t="str">
        <x:v>Zen Headbutt</x:v>
      </x:c>
      <x:c r="E1238" s="1" t="str">
        <x:v>Psíquico</x:v>
      </x:c>
      <x:c r="F1238" s="1" t="str">
        <x:v>Física</x:v>
      </x:c>
      <x:c r="G1238" s="10" t="n">
        <x:v>80</x:v>
      </x:c>
      <x:c r="H1238" s="10" t="n">
        <x:f>IF(F1238="Física",'Pokémon'!G132,IF(F1238="Especial",'Pokémon'!I132,""))</x:f>
        <x:v>100</x:v>
      </x:c>
      <x:c r="I1238" s="10" t="n">
        <x:f>IF(OR(F1238="Status",G1238=0),"",G1238+H1238)</x:f>
        <x:v>180</x:v>
      </x:c>
      <x:c r="J1238" s="10" t="n">
        <x:v>35</x:v>
      </x:c>
      <x:c r="K1238" s="12" t="n">
        <x:v>22</x:v>
      </x:c>
      <x:c r="L1238" s="1" t="str"/>
      <x:c r="M1238" s="9" t="str">
        <x:v>https://poke.idleworld.online/pokepedia/pokemon/tauros</x:v>
      </x:c>
    </x:row>
    <x:row r="1239" ht="22" customHeight="1">
      <x:c r="A1239" s="1" t="n">
        <x:v>128</x:v>
      </x:c>
      <x:c r="B1239" s="1" t="str">
        <x:v>Tauros</x:v>
      </x:c>
      <x:c r="C1239" s="1" t="n">
        <x:v>3</x:v>
      </x:c>
      <x:c r="D1239" s="1" t="str">
        <x:v>Horn Attack</x:v>
      </x:c>
      <x:c r="E1239" s="1" t="str">
        <x:v>Normal</x:v>
      </x:c>
      <x:c r="F1239" s="1" t="str">
        <x:v>Física</x:v>
      </x:c>
      <x:c r="G1239" s="10" t="n">
        <x:v>65</x:v>
      </x:c>
      <x:c r="H1239" s="10" t="n">
        <x:f>IF(F1239="Física",'Pokémon'!G132,IF(F1239="Especial",'Pokémon'!I132,""))</x:f>
        <x:v>100</x:v>
      </x:c>
      <x:c r="I1239" s="10" t="n">
        <x:f>IF(OR(F1239="Status",G1239=0),"",G1239+H1239)</x:f>
        <x:v>165</x:v>
      </x:c>
      <x:c r="J1239" s="10" t="n">
        <x:v>8</x:v>
      </x:c>
      <x:c r="K1239" s="12" t="n">
        <x:v>20</x:v>
      </x:c>
      <x:c r="L1239" s="1" t="str"/>
      <x:c r="M1239" s="9" t="str">
        <x:v>https://poke.idleworld.online/pokepedia/pokemon/tauros</x:v>
      </x:c>
    </x:row>
    <x:row r="1240" ht="22" customHeight="1">
      <x:c r="A1240" s="1" t="n">
        <x:v>128</x:v>
      </x:c>
      <x:c r="B1240" s="1" t="str">
        <x:v>Tauros</x:v>
      </x:c>
      <x:c r="C1240" s="1" t="n">
        <x:v>1</x:v>
      </x:c>
      <x:c r="D1240" s="1" t="str">
        <x:v>Tackle</x:v>
      </x:c>
      <x:c r="E1240" s="1" t="str">
        <x:v>Normal</x:v>
      </x:c>
      <x:c r="F1240" s="1" t="str">
        <x:v>Física</x:v>
      </x:c>
      <x:c r="G1240" s="10" t="n">
        <x:v>50</x:v>
      </x:c>
      <x:c r="H1240" s="10" t="n">
        <x:f>IF(F1240="Física",'Pokémon'!G132,IF(F1240="Especial",'Pokémon'!I132,""))</x:f>
        <x:v>100</x:v>
      </x:c>
      <x:c r="I1240" s="10" t="n">
        <x:f>IF(OR(F1240="Status",G1240=0),"",G1240+H1240)</x:f>
        <x:v>150</x:v>
      </x:c>
      <x:c r="J1240" s="10" t="n">
        <x:v>1</x:v>
      </x:c>
      <x:c r="K1240" s="12" t="n">
        <x:v>15</x:v>
      </x:c>
      <x:c r="L1240" s="1" t="str"/>
      <x:c r="M1240" s="9" t="str">
        <x:v>https://poke.idleworld.online/pokepedia/pokemon/tauros</x:v>
      </x:c>
    </x:row>
    <x:row r="1241" ht="22" customHeight="1">
      <x:c r="A1241" s="1" t="n">
        <x:v>128</x:v>
      </x:c>
      <x:c r="B1241" s="1" t="str">
        <x:v>Tauros</x:v>
      </x:c>
      <x:c r="C1241" s="1" t="n">
        <x:v>7</x:v>
      </x:c>
      <x:c r="D1241" s="1" t="str">
        <x:v>Payback</x:v>
      </x:c>
      <x:c r="E1241" s="1" t="str">
        <x:v>Sombrio</x:v>
      </x:c>
      <x:c r="F1241" s="1" t="str">
        <x:v>Física</x:v>
      </x:c>
      <x:c r="G1241" s="10" t="n">
        <x:v>50</x:v>
      </x:c>
      <x:c r="H1241" s="10" t="n">
        <x:f>IF(F1241="Física",'Pokémon'!G132,IF(F1241="Especial",'Pokémon'!I132,""))</x:f>
        <x:v>100</x:v>
      </x:c>
      <x:c r="I1241" s="10" t="n">
        <x:f>IF(OR(F1241="Status",G1241=0),"",G1241+H1241)</x:f>
        <x:v>150</x:v>
      </x:c>
      <x:c r="J1241" s="10" t="n">
        <x:v>24</x:v>
      </x:c>
      <x:c r="K1241" s="12" t="n">
        <x:v>15</x:v>
      </x:c>
      <x:c r="L1241" s="1" t="str"/>
      <x:c r="M1241" s="9" t="str">
        <x:v>https://poke.idleworld.online/pokepedia/pokemon/tauros</x:v>
      </x:c>
    </x:row>
    <x:row r="1242" ht="22" customHeight="1">
      <x:c r="A1242" s="1" t="n">
        <x:v>128</x:v>
      </x:c>
      <x:c r="B1242" s="1" t="str">
        <x:v>Tauros</x:v>
      </x:c>
      <x:c r="C1242" s="1" t="n">
        <x:v>5</x:v>
      </x:c>
      <x:c r="D1242" s="1" t="str">
        <x:v>Pursuit</x:v>
      </x:c>
      <x:c r="E1242" s="1" t="str">
        <x:v>Sombrio</x:v>
      </x:c>
      <x:c r="F1242" s="1" t="str">
        <x:v>Física</x:v>
      </x:c>
      <x:c r="G1242" s="10" t="n">
        <x:v>40</x:v>
      </x:c>
      <x:c r="H1242" s="10" t="n">
        <x:f>IF(F1242="Física",'Pokémon'!G132,IF(F1242="Especial",'Pokémon'!I132,""))</x:f>
        <x:v>100</x:v>
      </x:c>
      <x:c r="I1242" s="10" t="n">
        <x:f>IF(OR(F1242="Status",G1242=0),"",G1242+H1242)</x:f>
        <x:v>140</x:v>
      </x:c>
      <x:c r="J1242" s="10" t="n">
        <x:v>15</x:v>
      </x:c>
      <x:c r="K1242" s="12" t="n">
        <x:v>15</x:v>
      </x:c>
      <x:c r="L1242" s="1" t="str"/>
      <x:c r="M1242" s="9" t="str">
        <x:v>https://poke.idleworld.online/pokepedia/pokemon/tauros</x:v>
      </x:c>
    </x:row>
    <x:row r="1243" ht="22" customHeight="1">
      <x:c r="A1243" s="1" t="n">
        <x:v>128</x:v>
      </x:c>
      <x:c r="B1243" s="1" t="str">
        <x:v>Tauros</x:v>
      </x:c>
      <x:c r="C1243" s="1" t="n">
        <x:v>2</x:v>
      </x:c>
      <x:c r="D1243" s="1" t="str">
        <x:v>Rage</x:v>
      </x:c>
      <x:c r="E1243" s="1" t="str">
        <x:v>Normal</x:v>
      </x:c>
      <x:c r="F1243" s="1" t="str">
        <x:v>Física</x:v>
      </x:c>
      <x:c r="G1243" s="10" t="n">
        <x:v>20</x:v>
      </x:c>
      <x:c r="H1243" s="10" t="n">
        <x:f>IF(F1243="Física",'Pokémon'!G132,IF(F1243="Especial",'Pokémon'!I132,""))</x:f>
        <x:v>100</x:v>
      </x:c>
      <x:c r="I1243" s="10" t="n">
        <x:f>IF(OR(F1243="Status",G1243=0),"",G1243+H1243)</x:f>
        <x:v>120</x:v>
      </x:c>
      <x:c r="J1243" s="10" t="n">
        <x:v>5</x:v>
      </x:c>
      <x:c r="K1243" s="12" t="n">
        <x:v>30</x:v>
      </x:c>
      <x:c r="L1243" s="1" t="str"/>
      <x:c r="M1243" s="9" t="str">
        <x:v>https://poke.idleworld.online/pokepedia/pokemon/tauros</x:v>
      </x:c>
    </x:row>
    <x:row r="1244" ht="22" customHeight="1">
      <x:c r="A1244" s="1" t="n">
        <x:v>128</x:v>
      </x:c>
      <x:c r="B1244" s="1" t="str">
        <x:v>Tauros</x:v>
      </x:c>
      <x:c r="C1244" s="1" t="n">
        <x:v>4</x:v>
      </x:c>
      <x:c r="D1244" s="1" t="str">
        <x:v>Scary Face</x:v>
      </x:c>
      <x:c r="E1244" s="1" t="str">
        <x:v>Normal</x:v>
      </x:c>
      <x:c r="F1244" s="1" t="str">
        <x:v>Status</x:v>
      </x:c>
      <x:c r="G1244" s="10" t="n">
        <x:v>0</x:v>
      </x:c>
      <x:c r="H1244" s="10" t="str">
        <x:f>IF(F1244="Física",'Pokémon'!G132,IF(F1244="Especial",'Pokémon'!I132,""))</x:f>
      </x:c>
      <x:c r="I1244" s="10" t="str">
        <x:f>IF(OR(F1244="Status",G1244=0),"",G1244+H1244)</x:f>
      </x:c>
      <x:c r="J1244" s="10" t="n">
        <x:v>11</x:v>
      </x:c>
      <x:c r="K1244" s="12" t="n">
        <x:v>35</x:v>
      </x:c>
      <x:c r="L1244" s="1" t="str"/>
      <x:c r="M1244" s="9" t="str">
        <x:v>https://poke.idleworld.online/pokepedia/pokemon/tauros</x:v>
      </x:c>
    </x:row>
    <x:row r="1245" ht="22" customHeight="1">
      <x:c r="A1245" s="1" t="n">
        <x:v>128</x:v>
      </x:c>
      <x:c r="B1245" s="1" t="str">
        <x:v>Tauros</x:v>
      </x:c>
      <x:c r="C1245" s="1" t="n">
        <x:v>6</x:v>
      </x:c>
      <x:c r="D1245" s="1" t="str">
        <x:v>Rest</x:v>
      </x:c>
      <x:c r="E1245" s="1" t="str">
        <x:v>Psíquico</x:v>
      </x:c>
      <x:c r="F1245" s="1" t="str">
        <x:v>Status</x:v>
      </x:c>
      <x:c r="G1245" s="10" t="n">
        <x:v>0</x:v>
      </x:c>
      <x:c r="H1245" s="10" t="str">
        <x:f>IF(F1245="Física",'Pokémon'!G132,IF(F1245="Especial",'Pokémon'!I132,""))</x:f>
      </x:c>
      <x:c r="I1245" s="10" t="str">
        <x:f>IF(OR(F1245="Status",G1245=0),"",G1245+H1245)</x:f>
      </x:c>
      <x:c r="J1245" s="10" t="n">
        <x:v>19</x:v>
      </x:c>
      <x:c r="K1245" s="12" t="n">
        <x:v>60</x:v>
      </x:c>
      <x:c r="L1245" s="1" t="str"/>
      <x:c r="M1245" s="9" t="str">
        <x:v>https://poke.idleworld.online/pokepedia/pokemon/tauros</x:v>
      </x:c>
    </x:row>
    <x:row r="1246" ht="22" customHeight="1">
      <x:c r="A1246" s="1" t="n">
        <x:v>129</x:v>
      </x:c>
      <x:c r="B1246" s="1" t="str">
        <x:v>Magikarp</x:v>
      </x:c>
      <x:c r="C1246" s="1" t="n">
        <x:v>2</x:v>
      </x:c>
      <x:c r="D1246" s="1" t="str">
        <x:v>Tackle</x:v>
      </x:c>
      <x:c r="E1246" s="1" t="str">
        <x:v>Normal</x:v>
      </x:c>
      <x:c r="F1246" s="1" t="str">
        <x:v>Física</x:v>
      </x:c>
      <x:c r="G1246" s="10" t="n">
        <x:v>50</x:v>
      </x:c>
      <x:c r="H1246" s="10" t="n">
        <x:f>IF(F1246="Física",'Pokémon'!G133,IF(F1246="Especial",'Pokémon'!I133,""))</x:f>
        <x:v>10</x:v>
      </x:c>
      <x:c r="I1246" s="10" t="n">
        <x:f>IF(OR(F1246="Status",G1246=0),"",G1246+H1246)</x:f>
        <x:v>60</x:v>
      </x:c>
      <x:c r="J1246" s="10" t="n">
        <x:v>15</x:v>
      </x:c>
      <x:c r="K1246" s="12" t="n">
        <x:v>15</x:v>
      </x:c>
      <x:c r="L1246" s="1" t="str"/>
      <x:c r="M1246" s="9" t="str">
        <x:v>https://poke.idleworld.online/pokepedia/pokemon/magikarp</x:v>
      </x:c>
    </x:row>
    <x:row r="1247" ht="22" customHeight="1">
      <x:c r="A1247" s="1" t="n">
        <x:v>129</x:v>
      </x:c>
      <x:c r="B1247" s="1" t="str">
        <x:v>Magikarp</x:v>
      </x:c>
      <x:c r="C1247" s="1" t="n">
        <x:v>1</x:v>
      </x:c>
      <x:c r="D1247" s="1" t="str">
        <x:v>Splash</x:v>
      </x:c>
      <x:c r="E1247" s="1" t="str">
        <x:v>Normal</x:v>
      </x:c>
      <x:c r="F1247" s="1" t="str">
        <x:v>Status</x:v>
      </x:c>
      <x:c r="G1247" s="10" t="n">
        <x:v>0</x:v>
      </x:c>
      <x:c r="H1247" s="10" t="str">
        <x:f>IF(F1247="Física",'Pokémon'!G133,IF(F1247="Especial",'Pokémon'!I133,""))</x:f>
      </x:c>
      <x:c r="I1247" s="10" t="str">
        <x:f>IF(OR(F1247="Status",G1247=0),"",G1247+H1247)</x:f>
      </x:c>
      <x:c r="J1247" s="10" t="n">
        <x:v>1</x:v>
      </x:c>
      <x:c r="K1247" s="12" t="n">
        <x:v>15</x:v>
      </x:c>
      <x:c r="L1247" s="1" t="str"/>
      <x:c r="M1247" s="9" t="str">
        <x:v>https://poke.idleworld.online/pokepedia/pokemon/magikarp</x:v>
      </x:c>
    </x:row>
    <x:row r="1248" ht="22" customHeight="1">
      <x:c r="A1248" s="1" t="n">
        <x:v>130</x:v>
      </x:c>
      <x:c r="B1248" s="1" t="str">
        <x:v>Gyarados</x:v>
      </x:c>
      <x:c r="C1248" s="1" t="n">
        <x:v>1</x:v>
      </x:c>
      <x:c r="D1248" s="1" t="str">
        <x:v>Massive Hurricane</x:v>
      </x:c>
      <x:c r="E1248" s="1" t="str">
        <x:v>Voador</x:v>
      </x:c>
      <x:c r="F1248" s="1" t="str">
        <x:v>Física</x:v>
      </x:c>
      <x:c r="G1248" s="10" t="n">
        <x:v>300</x:v>
      </x:c>
      <x:c r="H1248" s="10" t="n">
        <x:f>IF(F1248="Física",'Pokémon'!G134,IF(F1248="Especial",'Pokémon'!I134,""))</x:f>
        <x:v>125</x:v>
      </x:c>
      <x:c r="I1248" s="10" t="n">
        <x:f>IF(OR(F1248="Status",G1248=0),"",G1248+H1248)</x:f>
        <x:v>425</x:v>
      </x:c>
      <x:c r="J1248" s="10" t="n">
        <x:v>1</x:v>
      </x:c>
      <x:c r="K1248" s="12" t="n">
        <x:v>10</x:v>
      </x:c>
      <x:c r="L1248" s="1" t="str">
        <x:v>Sim</x:v>
      </x:c>
      <x:c r="M1248" s="9" t="str">
        <x:v>https://poke.idleworld.online/pokepedia/pokemon/gyarados</x:v>
      </x:c>
    </x:row>
    <x:row r="1249" ht="22" customHeight="1">
      <x:c r="A1249" s="1" t="n">
        <x:v>130</x:v>
      </x:c>
      <x:c r="B1249" s="1" t="str">
        <x:v>Gyarados</x:v>
      </x:c>
      <x:c r="C1249" s="1" t="n">
        <x:v>2</x:v>
      </x:c>
      <x:c r="D1249" s="1" t="str">
        <x:v>Cyclonic Tide</x:v>
      </x:c>
      <x:c r="E1249" s="1" t="str">
        <x:v>Água</x:v>
      </x:c>
      <x:c r="F1249" s="1" t="str">
        <x:v>Especial</x:v>
      </x:c>
      <x:c r="G1249" s="10" t="n">
        <x:v>300</x:v>
      </x:c>
      <x:c r="H1249" s="10" t="n">
        <x:f>IF(F1249="Física",'Pokémon'!G134,IF(F1249="Especial",'Pokémon'!I134,""))</x:f>
        <x:v>60</x:v>
      </x:c>
      <x:c r="I1249" s="10" t="n">
        <x:f>IF(OR(F1249="Status",G1249=0),"",G1249+H1249)</x:f>
        <x:v>360</x:v>
      </x:c>
      <x:c r="J1249" s="10" t="n">
        <x:v>1</x:v>
      </x:c>
      <x:c r="K1249" s="12" t="n">
        <x:v>10</x:v>
      </x:c>
      <x:c r="L1249" s="1" t="str">
        <x:v>Sim</x:v>
      </x:c>
      <x:c r="M1249" s="9" t="str">
        <x:v>https://poke.idleworld.online/pokepedia/pokemon/gyarados</x:v>
      </x:c>
    </x:row>
    <x:row r="1250" ht="22" customHeight="1">
      <x:c r="A1250" s="1" t="n">
        <x:v>130</x:v>
      </x:c>
      <x:c r="B1250" s="1" t="str">
        <x:v>Gyarados</x:v>
      </x:c>
      <x:c r="C1250" s="1" t="n">
        <x:v>3</x:v>
      </x:c>
      <x:c r="D1250" s="1" t="str">
        <x:v>Thrash</x:v>
      </x:c>
      <x:c r="E1250" s="1" t="str">
        <x:v>Normal</x:v>
      </x:c>
      <x:c r="F1250" s="1" t="str">
        <x:v>Física</x:v>
      </x:c>
      <x:c r="G1250" s="10" t="n">
        <x:v>120</x:v>
      </x:c>
      <x:c r="H1250" s="10" t="n">
        <x:f>IF(F1250="Física",'Pokémon'!G134,IF(F1250="Especial",'Pokémon'!I134,""))</x:f>
        <x:v>125</x:v>
      </x:c>
      <x:c r="I1250" s="10" t="n">
        <x:f>IF(OR(F1250="Status",G1250=0),"",G1250+H1250)</x:f>
        <x:v>245</x:v>
      </x:c>
      <x:c r="J1250" s="10" t="n">
        <x:v>1</x:v>
      </x:c>
      <x:c r="K1250" s="12" t="n">
        <x:v>50</x:v>
      </x:c>
      <x:c r="L1250" s="1" t="str"/>
      <x:c r="M1250" s="9" t="str">
        <x:v>https://poke.idleworld.online/pokepedia/pokemon/gyarados</x:v>
      </x:c>
    </x:row>
    <x:row r="1251" ht="22" customHeight="1">
      <x:c r="A1251" s="1" t="n">
        <x:v>130</x:v>
      </x:c>
      <x:c r="B1251" s="1" t="str">
        <x:v>Gyarados</x:v>
      </x:c>
      <x:c r="C1251" s="1" t="n">
        <x:v>7</x:v>
      </x:c>
      <x:c r="D1251" s="1" t="str">
        <x:v>Aqua Tail</x:v>
      </x:c>
      <x:c r="E1251" s="1" t="str">
        <x:v>Água</x:v>
      </x:c>
      <x:c r="F1251" s="1" t="str">
        <x:v>Física</x:v>
      </x:c>
      <x:c r="G1251" s="10" t="n">
        <x:v>90</x:v>
      </x:c>
      <x:c r="H1251" s="10" t="n">
        <x:f>IF(F1251="Física",'Pokémon'!G134,IF(F1251="Especial",'Pokémon'!I134,""))</x:f>
        <x:v>125</x:v>
      </x:c>
      <x:c r="I1251" s="10" t="n">
        <x:f>IF(OR(F1251="Status",G1251=0),"",G1251+H1251)</x:f>
        <x:v>215</x:v>
      </x:c>
      <x:c r="J1251" s="10" t="n">
        <x:v>35</x:v>
      </x:c>
      <x:c r="K1251" s="12" t="n">
        <x:v>15</x:v>
      </x:c>
      <x:c r="L1251" s="1" t="str"/>
      <x:c r="M1251" s="9" t="str">
        <x:v>https://poke.idleworld.online/pokepedia/pokemon/gyarados</x:v>
      </x:c>
    </x:row>
    <x:row r="1252" ht="22" customHeight="1">
      <x:c r="A1252" s="1" t="n">
        <x:v>130</x:v>
      </x:c>
      <x:c r="B1252" s="1" t="str">
        <x:v>Gyarados</x:v>
      </x:c>
      <x:c r="C1252" s="1" t="n">
        <x:v>10</x:v>
      </x:c>
      <x:c r="D1252" s="1" t="str">
        <x:v>Hyper Beam</x:v>
      </x:c>
      <x:c r="E1252" s="1" t="str">
        <x:v>Normal</x:v>
      </x:c>
      <x:c r="F1252" s="1" t="str">
        <x:v>Especial</x:v>
      </x:c>
      <x:c r="G1252" s="10" t="n">
        <x:v>150</x:v>
      </x:c>
      <x:c r="H1252" s="10" t="n">
        <x:f>IF(F1252="Física",'Pokémon'!G134,IF(F1252="Especial",'Pokémon'!I134,""))</x:f>
        <x:v>60</x:v>
      </x:c>
      <x:c r="I1252" s="10" t="n">
        <x:f>IF(OR(F1252="Status",G1252=0),"",G1252+H1252)</x:f>
        <x:v>210</x:v>
      </x:c>
      <x:c r="J1252" s="10" t="n">
        <x:v>50</x:v>
      </x:c>
      <x:c r="K1252" s="12" t="n">
        <x:v>50</x:v>
      </x:c>
      <x:c r="L1252" s="1" t="str"/>
      <x:c r="M1252" s="9" t="str">
        <x:v>https://poke.idleworld.online/pokepedia/pokemon/gyarados</x:v>
      </x:c>
    </x:row>
    <x:row r="1253" ht="22" customHeight="1">
      <x:c r="A1253" s="1" t="n">
        <x:v>130</x:v>
      </x:c>
      <x:c r="B1253" s="1" t="str">
        <x:v>Gyarados</x:v>
      </x:c>
      <x:c r="C1253" s="1" t="n">
        <x:v>8</x:v>
      </x:c>
      <x:c r="D1253" s="1" t="str">
        <x:v>Crunch</x:v>
      </x:c>
      <x:c r="E1253" s="1" t="str">
        <x:v>Sombrio</x:v>
      </x:c>
      <x:c r="F1253" s="1" t="str">
        <x:v>Física</x:v>
      </x:c>
      <x:c r="G1253" s="10" t="n">
        <x:v>80</x:v>
      </x:c>
      <x:c r="H1253" s="10" t="n">
        <x:f>IF(F1253="Física",'Pokémon'!G134,IF(F1253="Especial",'Pokémon'!I134,""))</x:f>
        <x:v>125</x:v>
      </x:c>
      <x:c r="I1253" s="10" t="n">
        <x:f>IF(OR(F1253="Status",G1253=0),"",G1253+H1253)</x:f>
        <x:v>205</x:v>
      </x:c>
      <x:c r="J1253" s="10" t="n">
        <x:v>41</x:v>
      </x:c>
      <x:c r="K1253" s="12" t="n">
        <x:v>15</x:v>
      </x:c>
      <x:c r="L1253" s="1" t="str"/>
      <x:c r="M1253" s="9" t="str">
        <x:v>https://poke.idleworld.online/pokepedia/pokemon/gyarados</x:v>
      </x:c>
    </x:row>
    <x:row r="1254" ht="22" customHeight="1">
      <x:c r="A1254" s="1" t="n">
        <x:v>130</x:v>
      </x:c>
      <x:c r="B1254" s="1" t="str">
        <x:v>Gyarados</x:v>
      </x:c>
      <x:c r="C1254" s="1" t="n">
        <x:v>6</x:v>
      </x:c>
      <x:c r="D1254" s="1" t="str">
        <x:v>Ice Fang</x:v>
      </x:c>
      <x:c r="E1254" s="1" t="str">
        <x:v>Gelo</x:v>
      </x:c>
      <x:c r="F1254" s="1" t="str">
        <x:v>Física</x:v>
      </x:c>
      <x:c r="G1254" s="10" t="n">
        <x:v>65</x:v>
      </x:c>
      <x:c r="H1254" s="10" t="n">
        <x:f>IF(F1254="Física",'Pokémon'!G134,IF(F1254="Especial",'Pokémon'!I134,""))</x:f>
        <x:v>125</x:v>
      </x:c>
      <x:c r="I1254" s="10" t="n">
        <x:f>IF(OR(F1254="Status",G1254=0),"",G1254+H1254)</x:f>
        <x:v>190</x:v>
      </x:c>
      <x:c r="J1254" s="10" t="n">
        <x:v>32</x:v>
      </x:c>
      <x:c r="K1254" s="12" t="n">
        <x:v>20</x:v>
      </x:c>
      <x:c r="L1254" s="1" t="str"/>
      <x:c r="M1254" s="9" t="str">
        <x:v>https://poke.idleworld.online/pokepedia/pokemon/gyarados</x:v>
      </x:c>
    </x:row>
    <x:row r="1255" ht="22" customHeight="1">
      <x:c r="A1255" s="1" t="n">
        <x:v>130</x:v>
      </x:c>
      <x:c r="B1255" s="1" t="str">
        <x:v>Gyarados</x:v>
      </x:c>
      <x:c r="C1255" s="1" t="n">
        <x:v>4</x:v>
      </x:c>
      <x:c r="D1255" s="1" t="str">
        <x:v>Bite</x:v>
      </x:c>
      <x:c r="E1255" s="1" t="str">
        <x:v>Sombrio</x:v>
      </x:c>
      <x:c r="F1255" s="1" t="str">
        <x:v>Física</x:v>
      </x:c>
      <x:c r="G1255" s="10" t="n">
        <x:v>60</x:v>
      </x:c>
      <x:c r="H1255" s="10" t="n">
        <x:f>IF(F1255="Física",'Pokémon'!G134,IF(F1255="Especial",'Pokémon'!I134,""))</x:f>
        <x:v>125</x:v>
      </x:c>
      <x:c r="I1255" s="10" t="n">
        <x:f>IF(OR(F1255="Status",G1255=0),"",G1255+H1255)</x:f>
        <x:v>185</x:v>
      </x:c>
      <x:c r="J1255" s="10" t="n">
        <x:v>20</x:v>
      </x:c>
      <x:c r="K1255" s="12" t="n">
        <x:v>20</x:v>
      </x:c>
      <x:c r="L1255" s="1" t="str"/>
      <x:c r="M1255" s="9" t="str">
        <x:v>https://poke.idleworld.online/pokepedia/pokemon/gyarados</x:v>
      </x:c>
    </x:row>
    <x:row r="1256" ht="22" customHeight="1">
      <x:c r="A1256" s="1" t="n">
        <x:v>130</x:v>
      </x:c>
      <x:c r="B1256" s="1" t="str">
        <x:v>Gyarados</x:v>
      </x:c>
      <x:c r="C1256" s="1" t="n">
        <x:v>9</x:v>
      </x:c>
      <x:c r="D1256" s="1" t="str">
        <x:v>Hydro Pump</x:v>
      </x:c>
      <x:c r="E1256" s="1" t="str">
        <x:v>Água</x:v>
      </x:c>
      <x:c r="F1256" s="1" t="str">
        <x:v>Especial</x:v>
      </x:c>
      <x:c r="G1256" s="10" t="n">
        <x:v>110</x:v>
      </x:c>
      <x:c r="H1256" s="10" t="n">
        <x:f>IF(F1256="Física",'Pokémon'!G134,IF(F1256="Especial",'Pokémon'!I134,""))</x:f>
        <x:v>60</x:v>
      </x:c>
      <x:c r="I1256" s="10" t="n">
        <x:f>IF(OR(F1256="Status",G1256=0),"",G1256+H1256)</x:f>
        <x:v>170</x:v>
      </x:c>
      <x:c r="J1256" s="10" t="n">
        <x:v>44</x:v>
      </x:c>
      <x:c r="K1256" s="12" t="n">
        <x:v>50</x:v>
      </x:c>
      <x:c r="L1256" s="1" t="str"/>
      <x:c r="M1256" s="9" t="str">
        <x:v>https://poke.idleworld.online/pokepedia/pokemon/gyarados</x:v>
      </x:c>
    </x:row>
    <x:row r="1257" ht="22" customHeight="1">
      <x:c r="A1257" s="1" t="n">
        <x:v>130</x:v>
      </x:c>
      <x:c r="B1257" s="1" t="str">
        <x:v>Gyarados</x:v>
      </x:c>
      <x:c r="C1257" s="1" t="n">
        <x:v>5</x:v>
      </x:c>
      <x:c r="D1257" s="1" t="str">
        <x:v>Twister</x:v>
      </x:c>
      <x:c r="E1257" s="1" t="str">
        <x:v>Dragão</x:v>
      </x:c>
      <x:c r="F1257" s="1" t="str">
        <x:v>Especial</x:v>
      </x:c>
      <x:c r="G1257" s="10" t="n">
        <x:v>40</x:v>
      </x:c>
      <x:c r="H1257" s="10" t="n">
        <x:f>IF(F1257="Física",'Pokémon'!G134,IF(F1257="Especial",'Pokémon'!I134,""))</x:f>
        <x:v>60</x:v>
      </x:c>
      <x:c r="I1257" s="10" t="n">
        <x:f>IF(OR(F1257="Status",G1257=0),"",G1257+H1257)</x:f>
        <x:v>100</x:v>
      </x:c>
      <x:c r="J1257" s="10" t="n">
        <x:v>29</x:v>
      </x:c>
      <x:c r="K1257" s="12" t="n">
        <x:v>15</x:v>
      </x:c>
      <x:c r="L1257" s="1" t="str"/>
      <x:c r="M1257" s="9" t="str">
        <x:v>https://poke.idleworld.online/pokepedia/pokemon/gyarados</x:v>
      </x:c>
    </x:row>
    <x:row r="1258" ht="22" customHeight="1">
      <x:c r="A1258" s="1" t="n">
        <x:v>131</x:v>
      </x:c>
      <x:c r="B1258" s="1" t="str">
        <x:v>Lapras</x:v>
      </x:c>
      <x:c r="C1258" s="1" t="n">
        <x:v>2</x:v>
      </x:c>
      <x:c r="D1258" s="1" t="str">
        <x:v>Cyclonic Tide</x:v>
      </x:c>
      <x:c r="E1258" s="1" t="str">
        <x:v>Água</x:v>
      </x:c>
      <x:c r="F1258" s="1" t="str">
        <x:v>Especial</x:v>
      </x:c>
      <x:c r="G1258" s="10" t="n">
        <x:v>300</x:v>
      </x:c>
      <x:c r="H1258" s="10" t="n">
        <x:f>IF(F1258="Física",'Pokémon'!G135,IF(F1258="Especial",'Pokémon'!I135,""))</x:f>
        <x:v>85</x:v>
      </x:c>
      <x:c r="I1258" s="10" t="n">
        <x:f>IF(OR(F1258="Status",G1258=0),"",G1258+H1258)</x:f>
        <x:v>385</x:v>
      </x:c>
      <x:c r="J1258" s="10" t="n">
        <x:v>1</x:v>
      </x:c>
      <x:c r="K1258" s="12" t="n">
        <x:v>10</x:v>
      </x:c>
      <x:c r="L1258" s="1" t="str">
        <x:v>Sim</x:v>
      </x:c>
      <x:c r="M1258" s="9" t="str">
        <x:v>https://poke.idleworld.online/pokepedia/pokemon/lapras</x:v>
      </x:c>
    </x:row>
    <x:row r="1259" ht="22" customHeight="1">
      <x:c r="A1259" s="1" t="n">
        <x:v>131</x:v>
      </x:c>
      <x:c r="B1259" s="1" t="str">
        <x:v>Lapras</x:v>
      </x:c>
      <x:c r="C1259" s="1" t="n">
        <x:v>9</x:v>
      </x:c>
      <x:c r="D1259" s="1" t="str">
        <x:v>Hydro Pump</x:v>
      </x:c>
      <x:c r="E1259" s="1" t="str">
        <x:v>Água</x:v>
      </x:c>
      <x:c r="F1259" s="1" t="str">
        <x:v>Especial</x:v>
      </x:c>
      <x:c r="G1259" s="10" t="n">
        <x:v>110</x:v>
      </x:c>
      <x:c r="H1259" s="10" t="n">
        <x:f>IF(F1259="Física",'Pokémon'!G135,IF(F1259="Especial",'Pokémon'!I135,""))</x:f>
        <x:v>85</x:v>
      </x:c>
      <x:c r="I1259" s="10" t="n">
        <x:f>IF(OR(F1259="Status",G1259=0),"",G1259+H1259)</x:f>
        <x:v>195</x:v>
      </x:c>
      <x:c r="J1259" s="10" t="n">
        <x:v>47</x:v>
      </x:c>
      <x:c r="K1259" s="12" t="n">
        <x:v>40</x:v>
      </x:c>
      <x:c r="L1259" s="1" t="str"/>
      <x:c r="M1259" s="9" t="str">
        <x:v>https://poke.idleworld.online/pokepedia/pokemon/lapras</x:v>
      </x:c>
    </x:row>
    <x:row r="1260" ht="22" customHeight="1">
      <x:c r="A1260" s="1" t="n">
        <x:v>131</x:v>
      </x:c>
      <x:c r="B1260" s="1" t="str">
        <x:v>Lapras</x:v>
      </x:c>
      <x:c r="C1260" s="1" t="n">
        <x:v>7</x:v>
      </x:c>
      <x:c r="D1260" s="1" t="str">
        <x:v>Ice Beam</x:v>
      </x:c>
      <x:c r="E1260" s="1" t="str">
        <x:v>Gelo</x:v>
      </x:c>
      <x:c r="F1260" s="1" t="str">
        <x:v>Especial</x:v>
      </x:c>
      <x:c r="G1260" s="10" t="n">
        <x:v>90</x:v>
      </x:c>
      <x:c r="H1260" s="10" t="n">
        <x:f>IF(F1260="Física",'Pokémon'!G135,IF(F1260="Especial",'Pokémon'!I135,""))</x:f>
        <x:v>85</x:v>
      </x:c>
      <x:c r="I1260" s="10" t="n">
        <x:f>IF(OR(F1260="Status",G1260=0),"",G1260+H1260)</x:f>
        <x:v>175</x:v>
      </x:c>
      <x:c r="J1260" s="10" t="n">
        <x:v>32</x:v>
      </x:c>
      <x:c r="K1260" s="12" t="n">
        <x:v>18</x:v>
      </x:c>
      <x:c r="L1260" s="1" t="str"/>
      <x:c r="M1260" s="9" t="str">
        <x:v>https://poke.idleworld.online/pokepedia/pokemon/lapras</x:v>
      </x:c>
    </x:row>
    <x:row r="1261" ht="22" customHeight="1">
      <x:c r="A1261" s="1" t="n">
        <x:v>131</x:v>
      </x:c>
      <x:c r="B1261" s="1" t="str">
        <x:v>Lapras</x:v>
      </x:c>
      <x:c r="C1261" s="1" t="n">
        <x:v>6</x:v>
      </x:c>
      <x:c r="D1261" s="1" t="str">
        <x:v>Body Slam</x:v>
      </x:c>
      <x:c r="E1261" s="1" t="str">
        <x:v>Normal</x:v>
      </x:c>
      <x:c r="F1261" s="1" t="str">
        <x:v>Física</x:v>
      </x:c>
      <x:c r="G1261" s="10" t="n">
        <x:v>85</x:v>
      </x:c>
      <x:c r="H1261" s="10" t="n">
        <x:f>IF(F1261="Física",'Pokémon'!G135,IF(F1261="Especial",'Pokémon'!I135,""))</x:f>
        <x:v>85</x:v>
      </x:c>
      <x:c r="I1261" s="10" t="n">
        <x:f>IF(OR(F1261="Status",G1261=0),"",G1261+H1261)</x:f>
        <x:v>170</x:v>
      </x:c>
      <x:c r="J1261" s="10" t="n">
        <x:v>18</x:v>
      </x:c>
      <x:c r="K1261" s="12" t="n">
        <x:v>30</x:v>
      </x:c>
      <x:c r="L1261" s="1" t="str"/>
      <x:c r="M1261" s="9" t="str">
        <x:v>https://poke.idleworld.online/pokepedia/pokemon/lapras</x:v>
      </x:c>
    </x:row>
    <x:row r="1262" ht="22" customHeight="1">
      <x:c r="A1262" s="1" t="n">
        <x:v>131</x:v>
      </x:c>
      <x:c r="B1262" s="1" t="str">
        <x:v>Lapras</x:v>
      </x:c>
      <x:c r="C1262" s="1" t="n">
        <x:v>8</x:v>
      </x:c>
      <x:c r="D1262" s="1" t="str">
        <x:v>Brine</x:v>
      </x:c>
      <x:c r="E1262" s="1" t="str">
        <x:v>Água</x:v>
      </x:c>
      <x:c r="F1262" s="1" t="str">
        <x:v>Especial</x:v>
      </x:c>
      <x:c r="G1262" s="10" t="n">
        <x:v>65</x:v>
      </x:c>
      <x:c r="H1262" s="10" t="n">
        <x:f>IF(F1262="Física",'Pokémon'!G135,IF(F1262="Especial",'Pokémon'!I135,""))</x:f>
        <x:v>85</x:v>
      </x:c>
      <x:c r="I1262" s="10" t="n">
        <x:f>IF(OR(F1262="Status",G1262=0),"",G1262+H1262)</x:f>
        <x:v>150</x:v>
      </x:c>
      <x:c r="J1262" s="10" t="n">
        <x:v>37</x:v>
      </x:c>
      <x:c r="K1262" s="12" t="n">
        <x:v>20</x:v>
      </x:c>
      <x:c r="L1262" s="1" t="str"/>
      <x:c r="M1262" s="9" t="str">
        <x:v>https://poke.idleworld.online/pokepedia/pokemon/lapras</x:v>
      </x:c>
    </x:row>
    <x:row r="1263" ht="22" customHeight="1">
      <x:c r="A1263" s="1" t="n">
        <x:v>131</x:v>
      </x:c>
      <x:c r="B1263" s="1" t="str">
        <x:v>Lapras</x:v>
      </x:c>
      <x:c r="C1263" s="1" t="n">
        <x:v>5</x:v>
      </x:c>
      <x:c r="D1263" s="1" t="str">
        <x:v>Water Pulse</x:v>
      </x:c>
      <x:c r="E1263" s="1" t="str">
        <x:v>Água</x:v>
      </x:c>
      <x:c r="F1263" s="1" t="str">
        <x:v>Especial</x:v>
      </x:c>
      <x:c r="G1263" s="10" t="n">
        <x:v>60</x:v>
      </x:c>
      <x:c r="H1263" s="10" t="n">
        <x:f>IF(F1263="Física",'Pokémon'!G135,IF(F1263="Especial",'Pokémon'!I135,""))</x:f>
        <x:v>85</x:v>
      </x:c>
      <x:c r="I1263" s="10" t="n">
        <x:f>IF(OR(F1263="Status",G1263=0),"",G1263+H1263)</x:f>
        <x:v>145</x:v>
      </x:c>
      <x:c r="J1263" s="10" t="n">
        <x:v>14</x:v>
      </x:c>
      <x:c r="K1263" s="12" t="n">
        <x:v>20</x:v>
      </x:c>
      <x:c r="L1263" s="1" t="str"/>
      <x:c r="M1263" s="9" t="str">
        <x:v>https://poke.idleworld.online/pokepedia/pokemon/lapras</x:v>
      </x:c>
    </x:row>
    <x:row r="1264" ht="22" customHeight="1">
      <x:c r="A1264" s="1" t="n">
        <x:v>131</x:v>
      </x:c>
      <x:c r="B1264" s="1" t="str">
        <x:v>Lapras</x:v>
      </x:c>
      <x:c r="C1264" s="1" t="n">
        <x:v>3</x:v>
      </x:c>
      <x:c r="D1264" s="1" t="str">
        <x:v>Water Gun</x:v>
      </x:c>
      <x:c r="E1264" s="1" t="str">
        <x:v>Água</x:v>
      </x:c>
      <x:c r="F1264" s="1" t="str">
        <x:v>Especial</x:v>
      </x:c>
      <x:c r="G1264" s="10" t="n">
        <x:v>40</x:v>
      </x:c>
      <x:c r="H1264" s="10" t="n">
        <x:f>IF(F1264="Física",'Pokémon'!G135,IF(F1264="Especial",'Pokémon'!I135,""))</x:f>
        <x:v>85</x:v>
      </x:c>
      <x:c r="I1264" s="10" t="n">
        <x:f>IF(OR(F1264="Status",G1264=0),"",G1264+H1264)</x:f>
        <x:v>125</x:v>
      </x:c>
      <x:c r="J1264" s="10" t="n">
        <x:v>1</x:v>
      </x:c>
      <x:c r="K1264" s="12" t="n">
        <x:v>15</x:v>
      </x:c>
      <x:c r="L1264" s="1" t="str"/>
      <x:c r="M1264" s="9" t="str">
        <x:v>https://poke.idleworld.online/pokepedia/pokemon/lapras</x:v>
      </x:c>
    </x:row>
    <x:row r="1265" ht="22" customHeight="1">
      <x:c r="A1265" s="1" t="n">
        <x:v>131</x:v>
      </x:c>
      <x:c r="B1265" s="1" t="str">
        <x:v>Lapras</x:v>
      </x:c>
      <x:c r="C1265" s="1" t="n">
        <x:v>4</x:v>
      </x:c>
      <x:c r="D1265" s="1" t="str">
        <x:v>Ice Shard</x:v>
      </x:c>
      <x:c r="E1265" s="1" t="str">
        <x:v>Gelo</x:v>
      </x:c>
      <x:c r="F1265" s="1" t="str">
        <x:v>Física</x:v>
      </x:c>
      <x:c r="G1265" s="10" t="n">
        <x:v>40</x:v>
      </x:c>
      <x:c r="H1265" s="10" t="n">
        <x:f>IF(F1265="Física",'Pokémon'!G135,IF(F1265="Especial",'Pokémon'!I135,""))</x:f>
        <x:v>85</x:v>
      </x:c>
      <x:c r="I1265" s="10" t="n">
        <x:f>IF(OR(F1265="Status",G1265=0),"",G1265+H1265)</x:f>
        <x:v>125</x:v>
      </x:c>
      <x:c r="J1265" s="10" t="n">
        <x:v>10</x:v>
      </x:c>
      <x:c r="K1265" s="12" t="n">
        <x:v>15</x:v>
      </x:c>
      <x:c r="L1265" s="1" t="str"/>
      <x:c r="M1265" s="9" t="str">
        <x:v>https://poke.idleworld.online/pokepedia/pokemon/lapras</x:v>
      </x:c>
    </x:row>
    <x:row r="1266" ht="22" customHeight="1">
      <x:c r="A1266" s="1" t="n">
        <x:v>131</x:v>
      </x:c>
      <x:c r="B1266" s="1" t="str">
        <x:v>Lapras</x:v>
      </x:c>
      <x:c r="C1266" s="1" t="n">
        <x:v>1</x:v>
      </x:c>
      <x:c r="D1266" s="1" t="str">
        <x:v>Sing</x:v>
      </x:c>
      <x:c r="E1266" s="1" t="str">
        <x:v>Normal</x:v>
      </x:c>
      <x:c r="F1266" s="1" t="str">
        <x:v>Status</x:v>
      </x:c>
      <x:c r="G1266" s="10" t="n">
        <x:v>0</x:v>
      </x:c>
      <x:c r="H1266" s="10" t="str">
        <x:f>IF(F1266="Física",'Pokémon'!G135,IF(F1266="Especial",'Pokémon'!I135,""))</x:f>
      </x:c>
      <x:c r="I1266" s="10" t="str">
        <x:f>IF(OR(F1266="Status",G1266=0),"",G1266+H1266)</x:f>
      </x:c>
      <x:c r="J1266" s="10" t="n">
        <x:v>1</x:v>
      </x:c>
      <x:c r="K1266" s="12" t="n">
        <x:v>70</x:v>
      </x:c>
      <x:c r="L1266" s="1" t="str"/>
      <x:c r="M1266" s="9" t="str">
        <x:v>https://poke.idleworld.online/pokepedia/pokemon/lapras</x:v>
      </x:c>
    </x:row>
    <x:row r="1267" ht="22" customHeight="1">
      <x:c r="A1267" s="1" t="n">
        <x:v>133</x:v>
      </x:c>
      <x:c r="B1267" s="1" t="str">
        <x:v>Eevee</x:v>
      </x:c>
      <x:c r="C1267" s="1" t="n">
        <x:v>9</x:v>
      </x:c>
      <x:c r="D1267" s="1" t="str">
        <x:v>Last Resort</x:v>
      </x:c>
      <x:c r="E1267" s="1" t="str">
        <x:v>Normal</x:v>
      </x:c>
      <x:c r="F1267" s="1" t="str">
        <x:v>Física</x:v>
      </x:c>
      <x:c r="G1267" s="10" t="n">
        <x:v>140</x:v>
      </x:c>
      <x:c r="H1267" s="10" t="n">
        <x:f>IF(F1267="Física",'Pokémon'!G137,IF(F1267="Especial",'Pokémon'!I137,""))</x:f>
        <x:v>55</x:v>
      </x:c>
      <x:c r="I1267" s="10" t="n">
        <x:f>IF(OR(F1267="Status",G1267=0),"",G1267+H1267)</x:f>
        <x:v>195</x:v>
      </x:c>
      <x:c r="J1267" s="10" t="n">
        <x:v>41</x:v>
      </x:c>
      <x:c r="K1267" s="12" t="n">
        <x:v>50</x:v>
      </x:c>
      <x:c r="L1267" s="1" t="str"/>
      <x:c r="M1267" s="9" t="str">
        <x:v>https://poke.idleworld.online/pokepedia/pokemon/eevee</x:v>
      </x:c>
    </x:row>
    <x:row r="1268" ht="22" customHeight="1">
      <x:c r="A1268" s="1" t="n">
        <x:v>133</x:v>
      </x:c>
      <x:c r="B1268" s="1" t="str">
        <x:v>Eevee</x:v>
      </x:c>
      <x:c r="C1268" s="1" t="n">
        <x:v>8</x:v>
      </x:c>
      <x:c r="D1268" s="1" t="str">
        <x:v>Double-Edge</x:v>
      </x:c>
      <x:c r="E1268" s="1" t="str">
        <x:v>Normal</x:v>
      </x:c>
      <x:c r="F1268" s="1" t="str">
        <x:v>Física</x:v>
      </x:c>
      <x:c r="G1268" s="10" t="n">
        <x:v>120</x:v>
      </x:c>
      <x:c r="H1268" s="10" t="n">
        <x:f>IF(F1268="Física",'Pokémon'!G137,IF(F1268="Especial",'Pokémon'!I137,""))</x:f>
        <x:v>55</x:v>
      </x:c>
      <x:c r="I1268" s="10" t="n">
        <x:f>IF(OR(F1268="Status",G1268=0),"",G1268+H1268)</x:f>
        <x:v>175</x:v>
      </x:c>
      <x:c r="J1268" s="10" t="n">
        <x:v>37</x:v>
      </x:c>
      <x:c r="K1268" s="12" t="n">
        <x:v>50</x:v>
      </x:c>
      <x:c r="L1268" s="1" t="str"/>
      <x:c r="M1268" s="9" t="str">
        <x:v>https://poke.idleworld.online/pokepedia/pokemon/eevee</x:v>
      </x:c>
    </x:row>
    <x:row r="1269" ht="22" customHeight="1">
      <x:c r="A1269" s="1" t="n">
        <x:v>133</x:v>
      </x:c>
      <x:c r="B1269" s="1" t="str">
        <x:v>Eevee</x:v>
      </x:c>
      <x:c r="C1269" s="1" t="n">
        <x:v>7</x:v>
      </x:c>
      <x:c r="D1269" s="1" t="str">
        <x:v>Take Down</x:v>
      </x:c>
      <x:c r="E1269" s="1" t="str">
        <x:v>Normal</x:v>
      </x:c>
      <x:c r="F1269" s="1" t="str">
        <x:v>Física</x:v>
      </x:c>
      <x:c r="G1269" s="10" t="n">
        <x:v>90</x:v>
      </x:c>
      <x:c r="H1269" s="10" t="n">
        <x:f>IF(F1269="Física",'Pokémon'!G137,IF(F1269="Especial",'Pokémon'!I137,""))</x:f>
        <x:v>55</x:v>
      </x:c>
      <x:c r="I1269" s="10" t="n">
        <x:f>IF(OR(F1269="Status",G1269=0),"",G1269+H1269)</x:f>
        <x:v>145</x:v>
      </x:c>
      <x:c r="J1269" s="10" t="n">
        <x:v>25</x:v>
      </x:c>
      <x:c r="K1269" s="12" t="n">
        <x:v>22</x:v>
      </x:c>
      <x:c r="L1269" s="1" t="str"/>
      <x:c r="M1269" s="9" t="str">
        <x:v>https://poke.idleworld.online/pokepedia/pokemon/eevee</x:v>
      </x:c>
    </x:row>
    <x:row r="1270" ht="22" customHeight="1">
      <x:c r="A1270" s="1" t="n">
        <x:v>133</x:v>
      </x:c>
      <x:c r="B1270" s="1" t="str">
        <x:v>Eevee</x:v>
      </x:c>
      <x:c r="C1270" s="1" t="n">
        <x:v>5</x:v>
      </x:c>
      <x:c r="D1270" s="1" t="str">
        <x:v>Bite</x:v>
      </x:c>
      <x:c r="E1270" s="1" t="str">
        <x:v>Sombrio</x:v>
      </x:c>
      <x:c r="F1270" s="1" t="str">
        <x:v>Física</x:v>
      </x:c>
      <x:c r="G1270" s="10" t="n">
        <x:v>60</x:v>
      </x:c>
      <x:c r="H1270" s="10" t="n">
        <x:f>IF(F1270="Física",'Pokémon'!G137,IF(F1270="Especial",'Pokémon'!I137,""))</x:f>
        <x:v>55</x:v>
      </x:c>
      <x:c r="I1270" s="10" t="n">
        <x:f>IF(OR(F1270="Status",G1270=0),"",G1270+H1270)</x:f>
        <x:v>115</x:v>
      </x:c>
      <x:c r="J1270" s="10" t="n">
        <x:v>17</x:v>
      </x:c>
      <x:c r="K1270" s="12" t="n">
        <x:v>15</x:v>
      </x:c>
      <x:c r="L1270" s="1" t="str"/>
      <x:c r="M1270" s="9" t="str">
        <x:v>https://poke.idleworld.online/pokepedia/pokemon/eevee</x:v>
      </x:c>
    </x:row>
    <x:row r="1271" ht="22" customHeight="1">
      <x:c r="A1271" s="1" t="n">
        <x:v>133</x:v>
      </x:c>
      <x:c r="B1271" s="1" t="str">
        <x:v>Eevee</x:v>
      </x:c>
      <x:c r="C1271" s="1" t="n">
        <x:v>6</x:v>
      </x:c>
      <x:c r="D1271" s="1" t="str">
        <x:v>Covet</x:v>
      </x:c>
      <x:c r="E1271" s="1" t="str">
        <x:v>Normal</x:v>
      </x:c>
      <x:c r="F1271" s="1" t="str">
        <x:v>Física</x:v>
      </x:c>
      <x:c r="G1271" s="10" t="n">
        <x:v>60</x:v>
      </x:c>
      <x:c r="H1271" s="10" t="n">
        <x:f>IF(F1271="Física",'Pokémon'!G137,IF(F1271="Especial",'Pokémon'!I137,""))</x:f>
        <x:v>55</x:v>
      </x:c>
      <x:c r="I1271" s="10" t="n">
        <x:f>IF(OR(F1271="Status",G1271=0),"",G1271+H1271)</x:f>
        <x:v>115</x:v>
      </x:c>
      <x:c r="J1271" s="10" t="n">
        <x:v>23</x:v>
      </x:c>
      <x:c r="K1271" s="12" t="n">
        <x:v>20</x:v>
      </x:c>
      <x:c r="L1271" s="1" t="str"/>
      <x:c r="M1271" s="9" t="str">
        <x:v>https://poke.idleworld.online/pokepedia/pokemon/eevee</x:v>
      </x:c>
    </x:row>
    <x:row r="1272" ht="22" customHeight="1">
      <x:c r="A1272" s="1" t="n">
        <x:v>133</x:v>
      </x:c>
      <x:c r="B1272" s="1" t="str">
        <x:v>Eevee</x:v>
      </x:c>
      <x:c r="C1272" s="1" t="n">
        <x:v>3</x:v>
      </x:c>
      <x:c r="D1272" s="1" t="str">
        <x:v>Swift</x:v>
      </x:c>
      <x:c r="E1272" s="1" t="str">
        <x:v>Normal</x:v>
      </x:c>
      <x:c r="F1272" s="1" t="str">
        <x:v>Especial</x:v>
      </x:c>
      <x:c r="G1272" s="10" t="n">
        <x:v>60</x:v>
      </x:c>
      <x:c r="H1272" s="10" t="n">
        <x:f>IF(F1272="Física",'Pokémon'!G137,IF(F1272="Especial",'Pokémon'!I137,""))</x:f>
        <x:v>45</x:v>
      </x:c>
      <x:c r="I1272" s="10" t="n">
        <x:f>IF(OR(F1272="Status",G1272=0),"",G1272+H1272)</x:f>
        <x:v>105</x:v>
      </x:c>
      <x:c r="J1272" s="10" t="n">
        <x:v>10</x:v>
      </x:c>
      <x:c r="K1272" s="12" t="n">
        <x:v>20</x:v>
      </x:c>
      <x:c r="L1272" s="1" t="str"/>
      <x:c r="M1272" s="9" t="str">
        <x:v>https://poke.idleworld.online/pokepedia/pokemon/eevee</x:v>
      </x:c>
    </x:row>
    <x:row r="1273" ht="22" customHeight="1">
      <x:c r="A1273" s="1" t="n">
        <x:v>133</x:v>
      </x:c>
      <x:c r="B1273" s="1" t="str">
        <x:v>Eevee</x:v>
      </x:c>
      <x:c r="C1273" s="1" t="n">
        <x:v>1</x:v>
      </x:c>
      <x:c r="D1273" s="1" t="str">
        <x:v>Tackle</x:v>
      </x:c>
      <x:c r="E1273" s="1" t="str">
        <x:v>Normal</x:v>
      </x:c>
      <x:c r="F1273" s="1" t="str">
        <x:v>Física</x:v>
      </x:c>
      <x:c r="G1273" s="10" t="n">
        <x:v>50</x:v>
      </x:c>
      <x:c r="H1273" s="10" t="n">
        <x:f>IF(F1273="Física",'Pokémon'!G137,IF(F1273="Especial",'Pokémon'!I137,""))</x:f>
        <x:v>55</x:v>
      </x:c>
      <x:c r="I1273" s="10" t="n">
        <x:f>IF(OR(F1273="Status",G1273=0),"",G1273+H1273)</x:f>
        <x:v>105</x:v>
      </x:c>
      <x:c r="J1273" s="10" t="n">
        <x:v>1</x:v>
      </x:c>
      <x:c r="K1273" s="12" t="n">
        <x:v>15</x:v>
      </x:c>
      <x:c r="L1273" s="1" t="str"/>
      <x:c r="M1273" s="9" t="str">
        <x:v>https://poke.idleworld.online/pokepedia/pokemon/eevee</x:v>
      </x:c>
    </x:row>
    <x:row r="1274" ht="22" customHeight="1">
      <x:c r="A1274" s="1" t="n">
        <x:v>133</x:v>
      </x:c>
      <x:c r="B1274" s="1" t="str">
        <x:v>Eevee</x:v>
      </x:c>
      <x:c r="C1274" s="1" t="n">
        <x:v>4</x:v>
      </x:c>
      <x:c r="D1274" s="1" t="str">
        <x:v>Quick Attack</x:v>
      </x:c>
      <x:c r="E1274" s="1" t="str">
        <x:v>Normal</x:v>
      </x:c>
      <x:c r="F1274" s="1" t="str">
        <x:v>Física</x:v>
      </x:c>
      <x:c r="G1274" s="10" t="n">
        <x:v>40</x:v>
      </x:c>
      <x:c r="H1274" s="10" t="n">
        <x:f>IF(F1274="Física",'Pokémon'!G137,IF(F1274="Especial",'Pokémon'!I137,""))</x:f>
        <x:v>55</x:v>
      </x:c>
      <x:c r="I1274" s="10" t="n">
        <x:f>IF(OR(F1274="Status",G1274=0),"",G1274+H1274)</x:f>
        <x:v>95</x:v>
      </x:c>
      <x:c r="J1274" s="10" t="n">
        <x:v>13</x:v>
      </x:c>
      <x:c r="K1274" s="12" t="n">
        <x:v>10</x:v>
      </x:c>
      <x:c r="L1274" s="1" t="str"/>
      <x:c r="M1274" s="9" t="str">
        <x:v>https://poke.idleworld.online/pokepedia/pokemon/eevee</x:v>
      </x:c>
    </x:row>
    <x:row r="1275" ht="22" customHeight="1">
      <x:c r="A1275" s="1" t="n">
        <x:v>133</x:v>
      </x:c>
      <x:c r="B1275" s="1" t="str">
        <x:v>Eevee</x:v>
      </x:c>
      <x:c r="C1275" s="1" t="n">
        <x:v>2</x:v>
      </x:c>
      <x:c r="D1275" s="1" t="str">
        <x:v>Sand Attack</x:v>
      </x:c>
      <x:c r="E1275" s="1" t="str">
        <x:v>Terrestre</x:v>
      </x:c>
      <x:c r="F1275" s="1" t="str">
        <x:v>Status</x:v>
      </x:c>
      <x:c r="G1275" s="10" t="n">
        <x:v>0</x:v>
      </x:c>
      <x:c r="H1275" s="10" t="str">
        <x:f>IF(F1275="Física",'Pokémon'!G137,IF(F1275="Especial",'Pokémon'!I137,""))</x:f>
      </x:c>
      <x:c r="I1275" s="10" t="str">
        <x:f>IF(OR(F1275="Status",G1275=0),"",G1275+H1275)</x:f>
      </x:c>
      <x:c r="J1275" s="10" t="n">
        <x:v>5</x:v>
      </x:c>
      <x:c r="K1275" s="12" t="n">
        <x:v>12</x:v>
      </x:c>
      <x:c r="L1275" s="1" t="str"/>
      <x:c r="M1275" s="9" t="str">
        <x:v>https://poke.idleworld.online/pokepedia/pokemon/eevee</x:v>
      </x:c>
    </x:row>
    <x:row r="1276" ht="22" customHeight="1">
      <x:c r="A1276" s="1" t="n">
        <x:v>134</x:v>
      </x:c>
      <x:c r="B1276" s="1" t="str">
        <x:v>Vaporeon</x:v>
      </x:c>
      <x:c r="C1276" s="1" t="n">
        <x:v>2</x:v>
      </x:c>
      <x:c r="D1276" s="1" t="str">
        <x:v>Cyclonic Tide</x:v>
      </x:c>
      <x:c r="E1276" s="1" t="str">
        <x:v>Água</x:v>
      </x:c>
      <x:c r="F1276" s="1" t="str">
        <x:v>Especial</x:v>
      </x:c>
      <x:c r="G1276" s="10" t="n">
        <x:v>300</x:v>
      </x:c>
      <x:c r="H1276" s="10" t="n">
        <x:f>IF(F1276="Física",'Pokémon'!G138,IF(F1276="Especial",'Pokémon'!I138,""))</x:f>
        <x:v>110</x:v>
      </x:c>
      <x:c r="I1276" s="10" t="n">
        <x:f>IF(OR(F1276="Status",G1276=0),"",G1276+H1276)</x:f>
        <x:v>410</x:v>
      </x:c>
      <x:c r="J1276" s="10" t="n">
        <x:v>1</x:v>
      </x:c>
      <x:c r="K1276" s="12" t="n">
        <x:v>10</x:v>
      </x:c>
      <x:c r="L1276" s="1" t="str">
        <x:v>Sim</x:v>
      </x:c>
      <x:c r="M1276" s="9" t="str">
        <x:v>https://poke.idleworld.online/pokepedia/pokemon/vaporeon</x:v>
      </x:c>
    </x:row>
    <x:row r="1277" ht="22" customHeight="1">
      <x:c r="A1277" s="1" t="n">
        <x:v>134</x:v>
      </x:c>
      <x:c r="B1277" s="1" t="str">
        <x:v>Vaporeon</x:v>
      </x:c>
      <x:c r="C1277" s="1" t="n">
        <x:v>9</x:v>
      </x:c>
      <x:c r="D1277" s="1" t="str">
        <x:v>Hydro Pump</x:v>
      </x:c>
      <x:c r="E1277" s="1" t="str">
        <x:v>Água</x:v>
      </x:c>
      <x:c r="F1277" s="1" t="str">
        <x:v>Especial</x:v>
      </x:c>
      <x:c r="G1277" s="10" t="n">
        <x:v>110</x:v>
      </x:c>
      <x:c r="H1277" s="10" t="n">
        <x:f>IF(F1277="Física",'Pokémon'!G138,IF(F1277="Especial",'Pokémon'!I138,""))</x:f>
        <x:v>110</x:v>
      </x:c>
      <x:c r="I1277" s="10" t="n">
        <x:f>IF(OR(F1277="Status",G1277=0),"",G1277+H1277)</x:f>
        <x:v>220</x:v>
      </x:c>
      <x:c r="J1277" s="10" t="n">
        <x:v>45</x:v>
      </x:c>
      <x:c r="K1277" s="12" t="n">
        <x:v>50</x:v>
      </x:c>
      <x:c r="L1277" s="1" t="str"/>
      <x:c r="M1277" s="9" t="str">
        <x:v>https://poke.idleworld.online/pokepedia/pokemon/vaporeon</x:v>
      </x:c>
    </x:row>
    <x:row r="1278" ht="22" customHeight="1">
      <x:c r="A1278" s="1" t="n">
        <x:v>134</x:v>
      </x:c>
      <x:c r="B1278" s="1" t="str">
        <x:v>Vaporeon</x:v>
      </x:c>
      <x:c r="C1278" s="1" t="n">
        <x:v>8</x:v>
      </x:c>
      <x:c r="D1278" s="1" t="str">
        <x:v>Last Resort</x:v>
      </x:c>
      <x:c r="E1278" s="1" t="str">
        <x:v>Normal</x:v>
      </x:c>
      <x:c r="F1278" s="1" t="str">
        <x:v>Física</x:v>
      </x:c>
      <x:c r="G1278" s="10" t="n">
        <x:v>140</x:v>
      </x:c>
      <x:c r="H1278" s="10" t="n">
        <x:f>IF(F1278="Física",'Pokémon'!G138,IF(F1278="Especial",'Pokémon'!I138,""))</x:f>
        <x:v>65</x:v>
      </x:c>
      <x:c r="I1278" s="10" t="n">
        <x:f>IF(OR(F1278="Status",G1278=0),"",G1278+H1278)</x:f>
        <x:v>205</x:v>
      </x:c>
      <x:c r="J1278" s="10" t="n">
        <x:v>41</x:v>
      </x:c>
      <x:c r="K1278" s="12" t="n">
        <x:v>50</x:v>
      </x:c>
      <x:c r="L1278" s="1" t="str"/>
      <x:c r="M1278" s="9" t="str">
        <x:v>https://poke.idleworld.online/pokepedia/pokemon/vaporeon</x:v>
      </x:c>
    </x:row>
    <x:row r="1279" ht="22" customHeight="1">
      <x:c r="A1279" s="1" t="n">
        <x:v>134</x:v>
      </x:c>
      <x:c r="B1279" s="1" t="str">
        <x:v>Vaporeon</x:v>
      </x:c>
      <x:c r="C1279" s="1" t="n">
        <x:v>7</x:v>
      </x:c>
      <x:c r="D1279" s="1" t="str">
        <x:v>Muddy Water</x:v>
      </x:c>
      <x:c r="E1279" s="1" t="str">
        <x:v>Água</x:v>
      </x:c>
      <x:c r="F1279" s="1" t="str">
        <x:v>Especial</x:v>
      </x:c>
      <x:c r="G1279" s="10" t="n">
        <x:v>90</x:v>
      </x:c>
      <x:c r="H1279" s="10" t="n">
        <x:f>IF(F1279="Física",'Pokémon'!G138,IF(F1279="Especial",'Pokémon'!I138,""))</x:f>
        <x:v>110</x:v>
      </x:c>
      <x:c r="I1279" s="10" t="n">
        <x:f>IF(OR(F1279="Status",G1279=0),"",G1279+H1279)</x:f>
        <x:v>200</x:v>
      </x:c>
      <x:c r="J1279" s="10" t="n">
        <x:v>37</x:v>
      </x:c>
      <x:c r="K1279" s="12" t="n">
        <x:v>22</x:v>
      </x:c>
      <x:c r="L1279" s="1" t="str"/>
      <x:c r="M1279" s="9" t="str">
        <x:v>https://poke.idleworld.online/pokepedia/pokemon/vaporeon</x:v>
      </x:c>
    </x:row>
    <x:row r="1280" ht="22" customHeight="1">
      <x:c r="A1280" s="1" t="n">
        <x:v>134</x:v>
      </x:c>
      <x:c r="B1280" s="1" t="str">
        <x:v>Vaporeon</x:v>
      </x:c>
      <x:c r="C1280" s="1" t="n">
        <x:v>6</x:v>
      </x:c>
      <x:c r="D1280" s="1" t="str">
        <x:v>Aurora Beam</x:v>
      </x:c>
      <x:c r="E1280" s="1" t="str">
        <x:v>Gelo</x:v>
      </x:c>
      <x:c r="F1280" s="1" t="str">
        <x:v>Especial</x:v>
      </x:c>
      <x:c r="G1280" s="10" t="n">
        <x:v>65</x:v>
      </x:c>
      <x:c r="H1280" s="10" t="n">
        <x:f>IF(F1280="Física",'Pokémon'!G138,IF(F1280="Especial",'Pokémon'!I138,""))</x:f>
        <x:v>110</x:v>
      </x:c>
      <x:c r="I1280" s="10" t="n">
        <x:f>IF(OR(F1280="Status",G1280=0),"",G1280+H1280)</x:f>
        <x:v>175</x:v>
      </x:c>
      <x:c r="J1280" s="10" t="n">
        <x:v>20</x:v>
      </x:c>
      <x:c r="K1280" s="12" t="n">
        <x:v>20</x:v>
      </x:c>
      <x:c r="L1280" s="1" t="str"/>
      <x:c r="M1280" s="9" t="str">
        <x:v>https://poke.idleworld.online/pokepedia/pokemon/vaporeon</x:v>
      </x:c>
    </x:row>
    <x:row r="1281" ht="22" customHeight="1">
      <x:c r="A1281" s="1" t="n">
        <x:v>134</x:v>
      </x:c>
      <x:c r="B1281" s="1" t="str">
        <x:v>Vaporeon</x:v>
      </x:c>
      <x:c r="C1281" s="1" t="n">
        <x:v>5</x:v>
      </x:c>
      <x:c r="D1281" s="1" t="str">
        <x:v>Water Pulse</x:v>
      </x:c>
      <x:c r="E1281" s="1" t="str">
        <x:v>Água</x:v>
      </x:c>
      <x:c r="F1281" s="1" t="str">
        <x:v>Especial</x:v>
      </x:c>
      <x:c r="G1281" s="10" t="n">
        <x:v>60</x:v>
      </x:c>
      <x:c r="H1281" s="10" t="n">
        <x:f>IF(F1281="Física",'Pokémon'!G138,IF(F1281="Especial",'Pokémon'!I138,""))</x:f>
        <x:v>110</x:v>
      </x:c>
      <x:c r="I1281" s="10" t="n">
        <x:f>IF(OR(F1281="Status",G1281=0),"",G1281+H1281)</x:f>
        <x:v>170</x:v>
      </x:c>
      <x:c r="J1281" s="10" t="n">
        <x:v>17</x:v>
      </x:c>
      <x:c r="K1281" s="12" t="n">
        <x:v>60</x:v>
      </x:c>
      <x:c r="L1281" s="1" t="str"/>
      <x:c r="M1281" s="9" t="str">
        <x:v>https://poke.idleworld.online/pokepedia/pokemon/vaporeon</x:v>
      </x:c>
    </x:row>
    <x:row r="1282" ht="22" customHeight="1">
      <x:c r="A1282" s="1" t="n">
        <x:v>134</x:v>
      </x:c>
      <x:c r="B1282" s="1" t="str">
        <x:v>Vaporeon</x:v>
      </x:c>
      <x:c r="C1282" s="1" t="n">
        <x:v>3</x:v>
      </x:c>
      <x:c r="D1282" s="1" t="str">
        <x:v>Water Gun</x:v>
      </x:c>
      <x:c r="E1282" s="1" t="str">
        <x:v>Água</x:v>
      </x:c>
      <x:c r="F1282" s="1" t="str">
        <x:v>Especial</x:v>
      </x:c>
      <x:c r="G1282" s="10" t="n">
        <x:v>40</x:v>
      </x:c>
      <x:c r="H1282" s="10" t="n">
        <x:f>IF(F1282="Física",'Pokémon'!G138,IF(F1282="Especial",'Pokémon'!I138,""))</x:f>
        <x:v>110</x:v>
      </x:c>
      <x:c r="I1282" s="10" t="n">
        <x:f>IF(OR(F1282="Status",G1282=0),"",G1282+H1282)</x:f>
        <x:v>150</x:v>
      </x:c>
      <x:c r="J1282" s="10" t="n">
        <x:v>9</x:v>
      </x:c>
      <x:c r="K1282" s="12" t="n">
        <x:v>18</x:v>
      </x:c>
      <x:c r="L1282" s="1" t="str"/>
      <x:c r="M1282" s="9" t="str">
        <x:v>https://poke.idleworld.online/pokepedia/pokemon/vaporeon</x:v>
      </x:c>
    </x:row>
    <x:row r="1283" ht="22" customHeight="1">
      <x:c r="A1283" s="1" t="n">
        <x:v>134</x:v>
      </x:c>
      <x:c r="B1283" s="1" t="str">
        <x:v>Vaporeon</x:v>
      </x:c>
      <x:c r="C1283" s="1" t="n">
        <x:v>1</x:v>
      </x:c>
      <x:c r="D1283" s="1" t="str">
        <x:v>Tackle</x:v>
      </x:c>
      <x:c r="E1283" s="1" t="str">
        <x:v>Normal</x:v>
      </x:c>
      <x:c r="F1283" s="1" t="str">
        <x:v>Física</x:v>
      </x:c>
      <x:c r="G1283" s="10" t="n">
        <x:v>50</x:v>
      </x:c>
      <x:c r="H1283" s="10" t="n">
        <x:f>IF(F1283="Física",'Pokémon'!G138,IF(F1283="Especial",'Pokémon'!I138,""))</x:f>
        <x:v>65</x:v>
      </x:c>
      <x:c r="I1283" s="10" t="n">
        <x:f>IF(OR(F1283="Status",G1283=0),"",G1283+H1283)</x:f>
        <x:v>115</x:v>
      </x:c>
      <x:c r="J1283" s="10" t="n">
        <x:v>1</x:v>
      </x:c>
      <x:c r="K1283" s="12" t="n">
        <x:v>15</x:v>
      </x:c>
      <x:c r="L1283" s="1" t="str"/>
      <x:c r="M1283" s="9" t="str">
        <x:v>https://poke.idleworld.online/pokepedia/pokemon/vaporeon</x:v>
      </x:c>
    </x:row>
    <x:row r="1284" ht="22" customHeight="1">
      <x:c r="A1284" s="1" t="n">
        <x:v>134</x:v>
      </x:c>
      <x:c r="B1284" s="1" t="str">
        <x:v>Vaporeon</x:v>
      </x:c>
      <x:c r="C1284" s="1" t="n">
        <x:v>4</x:v>
      </x:c>
      <x:c r="D1284" s="1" t="str">
        <x:v>Quick Attack</x:v>
      </x:c>
      <x:c r="E1284" s="1" t="str">
        <x:v>Normal</x:v>
      </x:c>
      <x:c r="F1284" s="1" t="str">
        <x:v>Física</x:v>
      </x:c>
      <x:c r="G1284" s="10" t="n">
        <x:v>40</x:v>
      </x:c>
      <x:c r="H1284" s="10" t="n">
        <x:f>IF(F1284="Física",'Pokémon'!G138,IF(F1284="Especial",'Pokémon'!I138,""))</x:f>
        <x:v>65</x:v>
      </x:c>
      <x:c r="I1284" s="10" t="n">
        <x:f>IF(OR(F1284="Status",G1284=0),"",G1284+H1284)</x:f>
        <x:v>105</x:v>
      </x:c>
      <x:c r="J1284" s="10" t="n">
        <x:v>13</x:v>
      </x:c>
      <x:c r="K1284" s="12" t="n">
        <x:v>15</x:v>
      </x:c>
      <x:c r="L1284" s="1" t="str"/>
      <x:c r="M1284" s="9" t="str">
        <x:v>https://poke.idleworld.online/pokepedia/pokemon/vaporeon</x:v>
      </x:c>
    </x:row>
    <x:row r="1285" ht="22" customHeight="1">
      <x:c r="A1285" s="1" t="n">
        <x:v>135</x:v>
      </x:c>
      <x:c r="B1285" s="1" t="str">
        <x:v>Jolteon</x:v>
      </x:c>
      <x:c r="C1285" s="1" t="n">
        <x:v>1</x:v>
      </x:c>
      <x:c r="D1285" s="1" t="str">
        <x:v>Static Overload</x:v>
      </x:c>
      <x:c r="E1285" s="1" t="str">
        <x:v>Elétrico</x:v>
      </x:c>
      <x:c r="F1285" s="1" t="str">
        <x:v>Especial</x:v>
      </x:c>
      <x:c r="G1285" s="10" t="n">
        <x:v>300</x:v>
      </x:c>
      <x:c r="H1285" s="10" t="n">
        <x:f>IF(F1285="Física",'Pokémon'!G139,IF(F1285="Especial",'Pokémon'!I139,""))</x:f>
        <x:v>110</x:v>
      </x:c>
      <x:c r="I1285" s="10" t="n">
        <x:f>IF(OR(F1285="Status",G1285=0),"",G1285+H1285)</x:f>
        <x:v>410</x:v>
      </x:c>
      <x:c r="J1285" s="10" t="n">
        <x:v>1</x:v>
      </x:c>
      <x:c r="K1285" s="12" t="n">
        <x:v>10</x:v>
      </x:c>
      <x:c r="L1285" s="1" t="str">
        <x:v>Sim</x:v>
      </x:c>
      <x:c r="M1285" s="9" t="str">
        <x:v>https://poke.idleworld.online/pokepedia/pokemon/jolteon</x:v>
      </x:c>
    </x:row>
    <x:row r="1286" ht="22" customHeight="1">
      <x:c r="A1286" s="1" t="n">
        <x:v>135</x:v>
      </x:c>
      <x:c r="B1286" s="1" t="str">
        <x:v>Jolteon</x:v>
      </x:c>
      <x:c r="C1286" s="1" t="n">
        <x:v>11</x:v>
      </x:c>
      <x:c r="D1286" s="1" t="str">
        <x:v>Thunder</x:v>
      </x:c>
      <x:c r="E1286" s="1" t="str">
        <x:v>Elétrico</x:v>
      </x:c>
      <x:c r="F1286" s="1" t="str">
        <x:v>Especial</x:v>
      </x:c>
      <x:c r="G1286" s="10" t="n">
        <x:v>110</x:v>
      </x:c>
      <x:c r="H1286" s="10" t="n">
        <x:f>IF(F1286="Física",'Pokémon'!G139,IF(F1286="Especial",'Pokémon'!I139,""))</x:f>
        <x:v>110</x:v>
      </x:c>
      <x:c r="I1286" s="10" t="n">
        <x:f>IF(OR(F1286="Status",G1286=0),"",G1286+H1286)</x:f>
        <x:v>220</x:v>
      </x:c>
      <x:c r="J1286" s="10" t="n">
        <x:v>45</x:v>
      </x:c>
      <x:c r="K1286" s="12" t="n">
        <x:v>60</x:v>
      </x:c>
      <x:c r="L1286" s="1" t="str"/>
      <x:c r="M1286" s="9" t="str">
        <x:v>https://poke.idleworld.online/pokepedia/pokemon/jolteon</x:v>
      </x:c>
    </x:row>
    <x:row r="1287" ht="22" customHeight="1">
      <x:c r="A1287" s="1" t="n">
        <x:v>135</x:v>
      </x:c>
      <x:c r="B1287" s="1" t="str">
        <x:v>Jolteon</x:v>
      </x:c>
      <x:c r="C1287" s="1" t="n">
        <x:v>10</x:v>
      </x:c>
      <x:c r="D1287" s="1" t="str">
        <x:v>Last Resort</x:v>
      </x:c>
      <x:c r="E1287" s="1" t="str">
        <x:v>Normal</x:v>
      </x:c>
      <x:c r="F1287" s="1" t="str">
        <x:v>Física</x:v>
      </x:c>
      <x:c r="G1287" s="10" t="n">
        <x:v>140</x:v>
      </x:c>
      <x:c r="H1287" s="10" t="n">
        <x:f>IF(F1287="Física",'Pokémon'!G139,IF(F1287="Especial",'Pokémon'!I139,""))</x:f>
        <x:v>65</x:v>
      </x:c>
      <x:c r="I1287" s="10" t="n">
        <x:f>IF(OR(F1287="Status",G1287=0),"",G1287+H1287)</x:f>
        <x:v>205</x:v>
      </x:c>
      <x:c r="J1287" s="10" t="n">
        <x:v>41</x:v>
      </x:c>
      <x:c r="K1287" s="12" t="n">
        <x:v>50</x:v>
      </x:c>
      <x:c r="L1287" s="1" t="str"/>
      <x:c r="M1287" s="9" t="str">
        <x:v>https://poke.idleworld.online/pokepedia/pokemon/jolteon</x:v>
      </x:c>
    </x:row>
    <x:row r="1288" ht="22" customHeight="1">
      <x:c r="A1288" s="1" t="n">
        <x:v>135</x:v>
      </x:c>
      <x:c r="B1288" s="1" t="str">
        <x:v>Jolteon</x:v>
      </x:c>
      <x:c r="C1288" s="1" t="n">
        <x:v>9</x:v>
      </x:c>
      <x:c r="D1288" s="1" t="str">
        <x:v>Discharge</x:v>
      </x:c>
      <x:c r="E1288" s="1" t="str">
        <x:v>Elétrico</x:v>
      </x:c>
      <x:c r="F1288" s="1" t="str">
        <x:v>Especial</x:v>
      </x:c>
      <x:c r="G1288" s="10" t="n">
        <x:v>80</x:v>
      </x:c>
      <x:c r="H1288" s="10" t="n">
        <x:f>IF(F1288="Física",'Pokémon'!G139,IF(F1288="Especial",'Pokémon'!I139,""))</x:f>
        <x:v>110</x:v>
      </x:c>
      <x:c r="I1288" s="10" t="n">
        <x:f>IF(OR(F1288="Status",G1288=0),"",G1288+H1288)</x:f>
        <x:v>190</x:v>
      </x:c>
      <x:c r="J1288" s="10" t="n">
        <x:v>37</x:v>
      </x:c>
      <x:c r="K1288" s="12" t="n">
        <x:v>22</x:v>
      </x:c>
      <x:c r="L1288" s="1" t="str"/>
      <x:c r="M1288" s="9" t="str">
        <x:v>https://poke.idleworld.online/pokepedia/pokemon/jolteon</x:v>
      </x:c>
    </x:row>
    <x:row r="1289" ht="22" customHeight="1">
      <x:c r="A1289" s="1" t="n">
        <x:v>135</x:v>
      </x:c>
      <x:c r="B1289" s="1" t="str">
        <x:v>Jolteon</x:v>
      </x:c>
      <x:c r="C1289" s="1" t="n">
        <x:v>3</x:v>
      </x:c>
      <x:c r="D1289" s="1" t="str">
        <x:v>Thunder Shock</x:v>
      </x:c>
      <x:c r="E1289" s="1" t="str">
        <x:v>Elétrico</x:v>
      </x:c>
      <x:c r="F1289" s="1" t="str">
        <x:v>Especial</x:v>
      </x:c>
      <x:c r="G1289" s="10" t="n">
        <x:v>40</x:v>
      </x:c>
      <x:c r="H1289" s="10" t="n">
        <x:f>IF(F1289="Física",'Pokémon'!G139,IF(F1289="Especial",'Pokémon'!I139,""))</x:f>
        <x:v>110</x:v>
      </x:c>
      <x:c r="I1289" s="10" t="n">
        <x:f>IF(OR(F1289="Status",G1289=0),"",G1289+H1289)</x:f>
        <x:v>150</x:v>
      </x:c>
      <x:c r="J1289" s="10" t="n">
        <x:v>9</x:v>
      </x:c>
      <x:c r="K1289" s="12" t="n">
        <x:v>15</x:v>
      </x:c>
      <x:c r="L1289" s="1" t="str"/>
      <x:c r="M1289" s="9" t="str">
        <x:v>https://poke.idleworld.online/pokepedia/pokemon/jolteon</x:v>
      </x:c>
    </x:row>
    <x:row r="1290" ht="22" customHeight="1">
      <x:c r="A1290" s="1" t="n">
        <x:v>135</x:v>
      </x:c>
      <x:c r="B1290" s="1" t="str">
        <x:v>Jolteon</x:v>
      </x:c>
      <x:c r="C1290" s="1" t="n">
        <x:v>6</x:v>
      </x:c>
      <x:c r="D1290" s="1" t="str">
        <x:v>Thunder Fang</x:v>
      </x:c>
      <x:c r="E1290" s="1" t="str">
        <x:v>Elétrico</x:v>
      </x:c>
      <x:c r="F1290" s="1" t="str">
        <x:v>Física</x:v>
      </x:c>
      <x:c r="G1290" s="10" t="n">
        <x:v>65</x:v>
      </x:c>
      <x:c r="H1290" s="10" t="n">
        <x:f>IF(F1290="Física",'Pokémon'!G139,IF(F1290="Especial",'Pokémon'!I139,""))</x:f>
        <x:v>65</x:v>
      </x:c>
      <x:c r="I1290" s="10" t="n">
        <x:f>IF(OR(F1290="Status",G1290=0),"",G1290+H1290)</x:f>
        <x:v>130</x:v>
      </x:c>
      <x:c r="J1290" s="10" t="n">
        <x:v>20</x:v>
      </x:c>
      <x:c r="K1290" s="12" t="n">
        <x:v>20</x:v>
      </x:c>
      <x:c r="L1290" s="1" t="str"/>
      <x:c r="M1290" s="9" t="str">
        <x:v>https://poke.idleworld.online/pokepedia/pokemon/jolteon</x:v>
      </x:c>
    </x:row>
    <x:row r="1291" ht="22" customHeight="1">
      <x:c r="A1291" s="1" t="n">
        <x:v>135</x:v>
      </x:c>
      <x:c r="B1291" s="1" t="str">
        <x:v>Jolteon</x:v>
      </x:c>
      <x:c r="C1291" s="1" t="n">
        <x:v>2</x:v>
      </x:c>
      <x:c r="D1291" s="1" t="str">
        <x:v>Tackle</x:v>
      </x:c>
      <x:c r="E1291" s="1" t="str">
        <x:v>Normal</x:v>
      </x:c>
      <x:c r="F1291" s="1" t="str">
        <x:v>Física</x:v>
      </x:c>
      <x:c r="G1291" s="10" t="n">
        <x:v>50</x:v>
      </x:c>
      <x:c r="H1291" s="10" t="n">
        <x:f>IF(F1291="Física",'Pokémon'!G139,IF(F1291="Especial",'Pokémon'!I139,""))</x:f>
        <x:v>65</x:v>
      </x:c>
      <x:c r="I1291" s="10" t="n">
        <x:f>IF(OR(F1291="Status",G1291=0),"",G1291+H1291)</x:f>
        <x:v>115</x:v>
      </x:c>
      <x:c r="J1291" s="10" t="n">
        <x:v>1</x:v>
      </x:c>
      <x:c r="K1291" s="12" t="n">
        <x:v>15</x:v>
      </x:c>
      <x:c r="L1291" s="1" t="str"/>
      <x:c r="M1291" s="9" t="str">
        <x:v>https://poke.idleworld.online/pokepedia/pokemon/jolteon</x:v>
      </x:c>
    </x:row>
    <x:row r="1292" ht="22" customHeight="1">
      <x:c r="A1292" s="1" t="n">
        <x:v>135</x:v>
      </x:c>
      <x:c r="B1292" s="1" t="str">
        <x:v>Jolteon</x:v>
      </x:c>
      <x:c r="C1292" s="1" t="n">
        <x:v>4</x:v>
      </x:c>
      <x:c r="D1292" s="1" t="str">
        <x:v>Quick Attack</x:v>
      </x:c>
      <x:c r="E1292" s="1" t="str">
        <x:v>Normal</x:v>
      </x:c>
      <x:c r="F1292" s="1" t="str">
        <x:v>Física</x:v>
      </x:c>
      <x:c r="G1292" s="10" t="n">
        <x:v>40</x:v>
      </x:c>
      <x:c r="H1292" s="10" t="n">
        <x:f>IF(F1292="Física",'Pokémon'!G139,IF(F1292="Especial",'Pokémon'!I139,""))</x:f>
        <x:v>65</x:v>
      </x:c>
      <x:c r="I1292" s="10" t="n">
        <x:f>IF(OR(F1292="Status",G1292=0),"",G1292+H1292)</x:f>
        <x:v>105</x:v>
      </x:c>
      <x:c r="J1292" s="10" t="n">
        <x:v>13</x:v>
      </x:c>
      <x:c r="K1292" s="12" t="n">
        <x:v>15</x:v>
      </x:c>
      <x:c r="L1292" s="1" t="str"/>
      <x:c r="M1292" s="9" t="str">
        <x:v>https://poke.idleworld.online/pokepedia/pokemon/jolteon</x:v>
      </x:c>
    </x:row>
    <x:row r="1293" ht="22" customHeight="1">
      <x:c r="A1293" s="1" t="n">
        <x:v>135</x:v>
      </x:c>
      <x:c r="B1293" s="1" t="str">
        <x:v>Jolteon</x:v>
      </x:c>
      <x:c r="C1293" s="1" t="n">
        <x:v>5</x:v>
      </x:c>
      <x:c r="D1293" s="1" t="str">
        <x:v>Double Kick</x:v>
      </x:c>
      <x:c r="E1293" s="1" t="str">
        <x:v>Lutador</x:v>
      </x:c>
      <x:c r="F1293" s="1" t="str">
        <x:v>Física</x:v>
      </x:c>
      <x:c r="G1293" s="10" t="n">
        <x:v>30</x:v>
      </x:c>
      <x:c r="H1293" s="10" t="n">
        <x:f>IF(F1293="Física",'Pokémon'!G139,IF(F1293="Especial",'Pokémon'!I139,""))</x:f>
        <x:v>65</x:v>
      </x:c>
      <x:c r="I1293" s="10" t="n">
        <x:f>IF(OR(F1293="Status",G1293=0),"",G1293+H1293)</x:f>
        <x:v>95</x:v>
      </x:c>
      <x:c r="J1293" s="10" t="n">
        <x:v>17</x:v>
      </x:c>
      <x:c r="K1293" s="12" t="n">
        <x:v>15</x:v>
      </x:c>
      <x:c r="L1293" s="1" t="str"/>
      <x:c r="M1293" s="9" t="str">
        <x:v>https://poke.idleworld.online/pokepedia/pokemon/jolteon</x:v>
      </x:c>
    </x:row>
    <x:row r="1294" ht="22" customHeight="1">
      <x:c r="A1294" s="1" t="n">
        <x:v>135</x:v>
      </x:c>
      <x:c r="B1294" s="1" t="str">
        <x:v>Jolteon</x:v>
      </x:c>
      <x:c r="C1294" s="1" t="n">
        <x:v>7</x:v>
      </x:c>
      <x:c r="D1294" s="1" t="str">
        <x:v>Pin Missile</x:v>
      </x:c>
      <x:c r="E1294" s="1" t="str">
        <x:v>Inseto</x:v>
      </x:c>
      <x:c r="F1294" s="1" t="str">
        <x:v>Física</x:v>
      </x:c>
      <x:c r="G1294" s="10" t="n">
        <x:v>25</x:v>
      </x:c>
      <x:c r="H1294" s="10" t="n">
        <x:f>IF(F1294="Física",'Pokémon'!G139,IF(F1294="Especial",'Pokémon'!I139,""))</x:f>
        <x:v>65</x:v>
      </x:c>
      <x:c r="I1294" s="10" t="n">
        <x:f>IF(OR(F1294="Status",G1294=0),"",G1294+H1294)</x:f>
        <x:v>90</x:v>
      </x:c>
      <x:c r="J1294" s="10" t="n">
        <x:v>25</x:v>
      </x:c>
      <x:c r="K1294" s="12" t="n">
        <x:v>15</x:v>
      </x:c>
      <x:c r="L1294" s="1" t="str"/>
      <x:c r="M1294" s="9" t="str">
        <x:v>https://poke.idleworld.online/pokepedia/pokemon/jolteon</x:v>
      </x:c>
    </x:row>
    <x:row r="1295" ht="22" customHeight="1">
      <x:c r="A1295" s="1" t="n">
        <x:v>135</x:v>
      </x:c>
      <x:c r="B1295" s="1" t="str">
        <x:v>Jolteon</x:v>
      </x:c>
      <x:c r="C1295" s="1" t="n">
        <x:v>8</x:v>
      </x:c>
      <x:c r="D1295" s="1" t="str">
        <x:v>Agility</x:v>
      </x:c>
      <x:c r="E1295" s="1" t="str">
        <x:v>Psíquico</x:v>
      </x:c>
      <x:c r="F1295" s="1" t="str">
        <x:v>Status</x:v>
      </x:c>
      <x:c r="G1295" s="10" t="n">
        <x:v>0</x:v>
      </x:c>
      <x:c r="H1295" s="10" t="str">
        <x:f>IF(F1295="Física",'Pokémon'!G139,IF(F1295="Especial",'Pokémon'!I139,""))</x:f>
      </x:c>
      <x:c r="I1295" s="10" t="str">
        <x:f>IF(OR(F1295="Status",G1295=0),"",G1295+H1295)</x:f>
      </x:c>
      <x:c r="J1295" s="10" t="n">
        <x:v>29</x:v>
      </x:c>
      <x:c r="K1295" s="12" t="n">
        <x:v>50</x:v>
      </x:c>
      <x:c r="L1295" s="1" t="str"/>
      <x:c r="M1295" s="9" t="str">
        <x:v>https://poke.idleworld.online/pokepedia/pokemon/jolteon</x:v>
      </x:c>
    </x:row>
    <x:row r="1296" ht="22" customHeight="1">
      <x:c r="A1296" s="1" t="n">
        <x:v>136</x:v>
      </x:c>
      <x:c r="B1296" s="1" t="str">
        <x:v>Flareon</x:v>
      </x:c>
      <x:c r="C1296" s="1" t="n">
        <x:v>1</x:v>
      </x:c>
      <x:c r="D1296" s="1" t="str">
        <x:v>Ignition Point</x:v>
      </x:c>
      <x:c r="E1296" s="1" t="str">
        <x:v>Fogo</x:v>
      </x:c>
      <x:c r="F1296" s="1" t="str">
        <x:v>Especial</x:v>
      </x:c>
      <x:c r="G1296" s="10" t="n">
        <x:v>300</x:v>
      </x:c>
      <x:c r="H1296" s="10" t="n">
        <x:f>IF(F1296="Física",'Pokémon'!G140,IF(F1296="Especial",'Pokémon'!I140,""))</x:f>
        <x:v>95</x:v>
      </x:c>
      <x:c r="I1296" s="10" t="n">
        <x:f>IF(OR(F1296="Status",G1296=0),"",G1296+H1296)</x:f>
        <x:v>395</x:v>
      </x:c>
      <x:c r="J1296" s="10" t="n">
        <x:v>1</x:v>
      </x:c>
      <x:c r="K1296" s="12" t="n">
        <x:v>10</x:v>
      </x:c>
      <x:c r="L1296" s="1" t="str">
        <x:v>Sim</x:v>
      </x:c>
      <x:c r="M1296" s="9" t="str">
        <x:v>https://poke.idleworld.online/pokepedia/pokemon/flareon</x:v>
      </x:c>
    </x:row>
    <x:row r="1297" ht="22" customHeight="1">
      <x:c r="A1297" s="1" t="n">
        <x:v>136</x:v>
      </x:c>
      <x:c r="B1297" s="1" t="str">
        <x:v>Flareon</x:v>
      </x:c>
      <x:c r="C1297" s="1" t="n">
        <x:v>10</x:v>
      </x:c>
      <x:c r="D1297" s="1" t="str">
        <x:v>Last Resort</x:v>
      </x:c>
      <x:c r="E1297" s="1" t="str">
        <x:v>Normal</x:v>
      </x:c>
      <x:c r="F1297" s="1" t="str">
        <x:v>Física</x:v>
      </x:c>
      <x:c r="G1297" s="10" t="n">
        <x:v>140</x:v>
      </x:c>
      <x:c r="H1297" s="10" t="n">
        <x:f>IF(F1297="Física",'Pokémon'!G140,IF(F1297="Especial",'Pokémon'!I140,""))</x:f>
        <x:v>130</x:v>
      </x:c>
      <x:c r="I1297" s="10" t="n">
        <x:f>IF(OR(F1297="Status",G1297=0),"",G1297+H1297)</x:f>
        <x:v>270</x:v>
      </x:c>
      <x:c r="J1297" s="10" t="n">
        <x:v>41</x:v>
      </x:c>
      <x:c r="K1297" s="12" t="n">
        <x:v>50</x:v>
      </x:c>
      <x:c r="L1297" s="1" t="str"/>
      <x:c r="M1297" s="9" t="str">
        <x:v>https://poke.idleworld.online/pokepedia/pokemon/flareon</x:v>
      </x:c>
    </x:row>
    <x:row r="1298" ht="22" customHeight="1">
      <x:c r="A1298" s="1" t="n">
        <x:v>136</x:v>
      </x:c>
      <x:c r="B1298" s="1" t="str">
        <x:v>Flareon</x:v>
      </x:c>
      <x:c r="C1298" s="1" t="n">
        <x:v>11</x:v>
      </x:c>
      <x:c r="D1298" s="1" t="str">
        <x:v>Flare Blitz</x:v>
      </x:c>
      <x:c r="E1298" s="1" t="str">
        <x:v>Fogo</x:v>
      </x:c>
      <x:c r="F1298" s="1" t="str">
        <x:v>Física</x:v>
      </x:c>
      <x:c r="G1298" s="10" t="n">
        <x:v>120</x:v>
      </x:c>
      <x:c r="H1298" s="10" t="n">
        <x:f>IF(F1298="Física",'Pokémon'!G140,IF(F1298="Especial",'Pokémon'!I140,""))</x:f>
        <x:v>130</x:v>
      </x:c>
      <x:c r="I1298" s="10" t="n">
        <x:f>IF(OR(F1298="Status",G1298=0),"",G1298+H1298)</x:f>
        <x:v>250</x:v>
      </x:c>
      <x:c r="J1298" s="10" t="n">
        <x:v>45</x:v>
      </x:c>
      <x:c r="K1298" s="12" t="n">
        <x:v>50</x:v>
      </x:c>
      <x:c r="L1298" s="1" t="str"/>
      <x:c r="M1298" s="9" t="str">
        <x:v>https://poke.idleworld.online/pokepedia/pokemon/flareon</x:v>
      </x:c>
    </x:row>
    <x:row r="1299" ht="22" customHeight="1">
      <x:c r="A1299" s="1" t="n">
        <x:v>136</x:v>
      </x:c>
      <x:c r="B1299" s="1" t="str">
        <x:v>Flareon</x:v>
      </x:c>
      <x:c r="C1299" s="1" t="n">
        <x:v>6</x:v>
      </x:c>
      <x:c r="D1299" s="1" t="str">
        <x:v>Fire Fang</x:v>
      </x:c>
      <x:c r="E1299" s="1" t="str">
        <x:v>Fogo</x:v>
      </x:c>
      <x:c r="F1299" s="1" t="str">
        <x:v>Física</x:v>
      </x:c>
      <x:c r="G1299" s="10" t="n">
        <x:v>65</x:v>
      </x:c>
      <x:c r="H1299" s="10" t="n">
        <x:f>IF(F1299="Física",'Pokémon'!G140,IF(F1299="Especial",'Pokémon'!I140,""))</x:f>
        <x:v>130</x:v>
      </x:c>
      <x:c r="I1299" s="10" t="n">
        <x:f>IF(OR(F1299="Status",G1299=0),"",G1299+H1299)</x:f>
        <x:v>195</x:v>
      </x:c>
      <x:c r="J1299" s="10" t="n">
        <x:v>20</x:v>
      </x:c>
      <x:c r="K1299" s="12" t="n">
        <x:v>20</x:v>
      </x:c>
      <x:c r="L1299" s="1" t="str"/>
      <x:c r="M1299" s="9" t="str">
        <x:v>https://poke.idleworld.online/pokepedia/pokemon/flareon</x:v>
      </x:c>
    </x:row>
    <x:row r="1300" ht="22" customHeight="1">
      <x:c r="A1300" s="1" t="n">
        <x:v>136</x:v>
      </x:c>
      <x:c r="B1300" s="1" t="str">
        <x:v>Flareon</x:v>
      </x:c>
      <x:c r="C1300" s="1" t="n">
        <x:v>5</x:v>
      </x:c>
      <x:c r="D1300" s="1" t="str">
        <x:v>Bite</x:v>
      </x:c>
      <x:c r="E1300" s="1" t="str">
        <x:v>Sombrio</x:v>
      </x:c>
      <x:c r="F1300" s="1" t="str">
        <x:v>Física</x:v>
      </x:c>
      <x:c r="G1300" s="10" t="n">
        <x:v>60</x:v>
      </x:c>
      <x:c r="H1300" s="10" t="n">
        <x:f>IF(F1300="Física",'Pokémon'!G140,IF(F1300="Especial",'Pokémon'!I140,""))</x:f>
        <x:v>130</x:v>
      </x:c>
      <x:c r="I1300" s="10" t="n">
        <x:f>IF(OR(F1300="Status",G1300=0),"",G1300+H1300)</x:f>
        <x:v>190</x:v>
      </x:c>
      <x:c r="J1300" s="10" t="n">
        <x:v>17</x:v>
      </x:c>
      <x:c r="K1300" s="12" t="n">
        <x:v>20</x:v>
      </x:c>
      <x:c r="L1300" s="1" t="str"/>
      <x:c r="M1300" s="9" t="str">
        <x:v>https://poke.idleworld.online/pokepedia/pokemon/flareon</x:v>
      </x:c>
    </x:row>
    <x:row r="1301" ht="22" customHeight="1">
      <x:c r="A1301" s="1" t="n">
        <x:v>136</x:v>
      </x:c>
      <x:c r="B1301" s="1" t="str">
        <x:v>Flareon</x:v>
      </x:c>
      <x:c r="C1301" s="1" t="n">
        <x:v>2</x:v>
      </x:c>
      <x:c r="D1301" s="1" t="str">
        <x:v>Tackle</x:v>
      </x:c>
      <x:c r="E1301" s="1" t="str">
        <x:v>Normal</x:v>
      </x:c>
      <x:c r="F1301" s="1" t="str">
        <x:v>Física</x:v>
      </x:c>
      <x:c r="G1301" s="10" t="n">
        <x:v>50</x:v>
      </x:c>
      <x:c r="H1301" s="10" t="n">
        <x:f>IF(F1301="Física",'Pokémon'!G140,IF(F1301="Especial",'Pokémon'!I140,""))</x:f>
        <x:v>130</x:v>
      </x:c>
      <x:c r="I1301" s="10" t="n">
        <x:f>IF(OR(F1301="Status",G1301=0),"",G1301+H1301)</x:f>
        <x:v>180</x:v>
      </x:c>
      <x:c r="J1301" s="10" t="n">
        <x:v>1</x:v>
      </x:c>
      <x:c r="K1301" s="12" t="n">
        <x:v>15</x:v>
      </x:c>
      <x:c r="L1301" s="1" t="str"/>
      <x:c r="M1301" s="9" t="str">
        <x:v>https://poke.idleworld.online/pokepedia/pokemon/flareon</x:v>
      </x:c>
    </x:row>
    <x:row r="1302" ht="22" customHeight="1">
      <x:c r="A1302" s="1" t="n">
        <x:v>136</x:v>
      </x:c>
      <x:c r="B1302" s="1" t="str">
        <x:v>Flareon</x:v>
      </x:c>
      <x:c r="C1302" s="1" t="n">
        <x:v>9</x:v>
      </x:c>
      <x:c r="D1302" s="1" t="str">
        <x:v>Lava Plume</x:v>
      </x:c>
      <x:c r="E1302" s="1" t="str">
        <x:v>Fogo</x:v>
      </x:c>
      <x:c r="F1302" s="1" t="str">
        <x:v>Especial</x:v>
      </x:c>
      <x:c r="G1302" s="10" t="n">
        <x:v>80</x:v>
      </x:c>
      <x:c r="H1302" s="10" t="n">
        <x:f>IF(F1302="Física",'Pokémon'!G140,IF(F1302="Especial",'Pokémon'!I140,""))</x:f>
        <x:v>95</x:v>
      </x:c>
      <x:c r="I1302" s="10" t="n">
        <x:f>IF(OR(F1302="Status",G1302=0),"",G1302+H1302)</x:f>
        <x:v>175</x:v>
      </x:c>
      <x:c r="J1302" s="10" t="n">
        <x:v>37</x:v>
      </x:c>
      <x:c r="K1302" s="12" t="n">
        <x:v>40</x:v>
      </x:c>
      <x:c r="L1302" s="1" t="str"/>
      <x:c r="M1302" s="9" t="str">
        <x:v>https://poke.idleworld.online/pokepedia/pokemon/flareon</x:v>
      </x:c>
    </x:row>
    <x:row r="1303" ht="22" customHeight="1">
      <x:c r="A1303" s="1" t="n">
        <x:v>136</x:v>
      </x:c>
      <x:c r="B1303" s="1" t="str">
        <x:v>Flareon</x:v>
      </x:c>
      <x:c r="C1303" s="1" t="n">
        <x:v>4</x:v>
      </x:c>
      <x:c r="D1303" s="1" t="str">
        <x:v>Quick Attack</x:v>
      </x:c>
      <x:c r="E1303" s="1" t="str">
        <x:v>Normal</x:v>
      </x:c>
      <x:c r="F1303" s="1" t="str">
        <x:v>Física</x:v>
      </x:c>
      <x:c r="G1303" s="10" t="n">
        <x:v>40</x:v>
      </x:c>
      <x:c r="H1303" s="10" t="n">
        <x:f>IF(F1303="Física",'Pokémon'!G140,IF(F1303="Especial",'Pokémon'!I140,""))</x:f>
        <x:v>130</x:v>
      </x:c>
      <x:c r="I1303" s="10" t="n">
        <x:f>IF(OR(F1303="Status",G1303=0),"",G1303+H1303)</x:f>
        <x:v>170</x:v>
      </x:c>
      <x:c r="J1303" s="10" t="n">
        <x:v>13</x:v>
      </x:c>
      <x:c r="K1303" s="12" t="n">
        <x:v>10</x:v>
      </x:c>
      <x:c r="L1303" s="1" t="str"/>
      <x:c r="M1303" s="9" t="str">
        <x:v>https://poke.idleworld.online/pokepedia/pokemon/flareon</x:v>
      </x:c>
    </x:row>
    <x:row r="1304" ht="22" customHeight="1">
      <x:c r="A1304" s="1" t="n">
        <x:v>136</x:v>
      </x:c>
      <x:c r="B1304" s="1" t="str">
        <x:v>Flareon</x:v>
      </x:c>
      <x:c r="C1304" s="1" t="n">
        <x:v>3</x:v>
      </x:c>
      <x:c r="D1304" s="1" t="str">
        <x:v>Ember</x:v>
      </x:c>
      <x:c r="E1304" s="1" t="str">
        <x:v>Fogo</x:v>
      </x:c>
      <x:c r="F1304" s="1" t="str">
        <x:v>Especial</x:v>
      </x:c>
      <x:c r="G1304" s="10" t="n">
        <x:v>40</x:v>
      </x:c>
      <x:c r="H1304" s="10" t="n">
        <x:f>IF(F1304="Física",'Pokémon'!G140,IF(F1304="Especial",'Pokémon'!I140,""))</x:f>
        <x:v>95</x:v>
      </x:c>
      <x:c r="I1304" s="10" t="n">
        <x:f>IF(OR(F1304="Status",G1304=0),"",G1304+H1304)</x:f>
        <x:v>135</x:v>
      </x:c>
      <x:c r="J1304" s="10" t="n">
        <x:v>9</x:v>
      </x:c>
      <x:c r="K1304" s="12" t="n">
        <x:v>10</x:v>
      </x:c>
      <x:c r="L1304" s="1" t="str"/>
      <x:c r="M1304" s="9" t="str">
        <x:v>https://poke.idleworld.online/pokepedia/pokemon/flareon</x:v>
      </x:c>
    </x:row>
    <x:row r="1305" ht="22" customHeight="1">
      <x:c r="A1305" s="1" t="n">
        <x:v>136</x:v>
      </x:c>
      <x:c r="B1305" s="1" t="str">
        <x:v>Flareon</x:v>
      </x:c>
      <x:c r="C1305" s="1" t="n">
        <x:v>7</x:v>
      </x:c>
      <x:c r="D1305" s="1" t="str">
        <x:v>Fire Spin</x:v>
      </x:c>
      <x:c r="E1305" s="1" t="str">
        <x:v>Fogo</x:v>
      </x:c>
      <x:c r="F1305" s="1" t="str">
        <x:v>Especial</x:v>
      </x:c>
      <x:c r="G1305" s="10" t="n">
        <x:v>35</x:v>
      </x:c>
      <x:c r="H1305" s="10" t="n">
        <x:f>IF(F1305="Física",'Pokémon'!G140,IF(F1305="Especial",'Pokémon'!I140,""))</x:f>
        <x:v>95</x:v>
      </x:c>
      <x:c r="I1305" s="10" t="n">
        <x:f>IF(OR(F1305="Status",G1305=0),"",G1305+H1305)</x:f>
        <x:v>130</x:v>
      </x:c>
      <x:c r="J1305" s="10" t="n">
        <x:v>25</x:v>
      </x:c>
      <x:c r="K1305" s="12" t="n">
        <x:v>15</x:v>
      </x:c>
      <x:c r="L1305" s="1" t="str"/>
      <x:c r="M1305" s="9" t="str">
        <x:v>https://poke.idleworld.online/pokepedia/pokemon/flareon</x:v>
      </x:c>
    </x:row>
    <x:row r="1306" ht="22" customHeight="1">
      <x:c r="A1306" s="1" t="n">
        <x:v>136</x:v>
      </x:c>
      <x:c r="B1306" s="1" t="str">
        <x:v>Flareon</x:v>
      </x:c>
      <x:c r="C1306" s="1" t="n">
        <x:v>8</x:v>
      </x:c>
      <x:c r="D1306" s="1" t="str">
        <x:v>Smog</x:v>
      </x:c>
      <x:c r="E1306" s="1" t="str">
        <x:v>Venenoso</x:v>
      </x:c>
      <x:c r="F1306" s="1" t="str">
        <x:v>Especial</x:v>
      </x:c>
      <x:c r="G1306" s="10" t="n">
        <x:v>30</x:v>
      </x:c>
      <x:c r="H1306" s="10" t="n">
        <x:f>IF(F1306="Física",'Pokémon'!G140,IF(F1306="Especial",'Pokémon'!I140,""))</x:f>
        <x:v>95</x:v>
      </x:c>
      <x:c r="I1306" s="10" t="n">
        <x:f>IF(OR(F1306="Status",G1306=0),"",G1306+H1306)</x:f>
        <x:v>125</x:v>
      </x:c>
      <x:c r="J1306" s="10" t="n">
        <x:v>33</x:v>
      </x:c>
      <x:c r="K1306" s="12" t="n">
        <x:v>15</x:v>
      </x:c>
      <x:c r="L1306" s="1" t="str"/>
      <x:c r="M1306" s="9" t="str">
        <x:v>https://poke.idleworld.online/pokepedia/pokemon/flareon</x:v>
      </x:c>
    </x:row>
    <x:row r="1307" ht="22" customHeight="1">
      <x:c r="A1307" s="1" t="n">
        <x:v>137</x:v>
      </x:c>
      <x:c r="B1307" s="1" t="str">
        <x:v>Porygon</x:v>
      </x:c>
      <x:c r="C1307" s="1" t="n">
        <x:v>8</x:v>
      </x:c>
      <x:c r="D1307" s="1" t="str">
        <x:v>Zap Cannon</x:v>
      </x:c>
      <x:c r="E1307" s="1" t="str">
        <x:v>Elétrico</x:v>
      </x:c>
      <x:c r="F1307" s="1" t="str">
        <x:v>Especial</x:v>
      </x:c>
      <x:c r="G1307" s="10" t="n">
        <x:v>120</x:v>
      </x:c>
      <x:c r="H1307" s="10" t="n">
        <x:f>IF(F1307="Física",'Pokémon'!G141,IF(F1307="Especial",'Pokémon'!I141,""))</x:f>
        <x:v>85</x:v>
      </x:c>
      <x:c r="I1307" s="10" t="n">
        <x:f>IF(OR(F1307="Status",G1307=0),"",G1307+H1307)</x:f>
        <x:v>205</x:v>
      </x:c>
      <x:c r="J1307" s="10" t="n">
        <x:v>62</x:v>
      </x:c>
      <x:c r="K1307" s="12" t="n">
        <x:v>20</x:v>
      </x:c>
      <x:c r="L1307" s="1" t="str"/>
      <x:c r="M1307" s="9" t="str">
        <x:v>https://poke.idleworld.online/pokepedia/pokemon/porygon</x:v>
      </x:c>
    </x:row>
    <x:row r="1308" ht="22" customHeight="1">
      <x:c r="A1308" s="1" t="n">
        <x:v>137</x:v>
      </x:c>
      <x:c r="B1308" s="1" t="str">
        <x:v>Porygon</x:v>
      </x:c>
      <x:c r="C1308" s="1" t="n">
        <x:v>5</x:v>
      </x:c>
      <x:c r="D1308" s="1" t="str">
        <x:v>Discharge</x:v>
      </x:c>
      <x:c r="E1308" s="1" t="str">
        <x:v>Elétrico</x:v>
      </x:c>
      <x:c r="F1308" s="1" t="str">
        <x:v>Especial</x:v>
      </x:c>
      <x:c r="G1308" s="10" t="n">
        <x:v>80</x:v>
      </x:c>
      <x:c r="H1308" s="10" t="n">
        <x:f>IF(F1308="Física",'Pokémon'!G141,IF(F1308="Especial",'Pokémon'!I141,""))</x:f>
        <x:v>85</x:v>
      </x:c>
      <x:c r="I1308" s="10" t="n">
        <x:f>IF(OR(F1308="Status",G1308=0),"",G1308+H1308)</x:f>
        <x:v>165</x:v>
      </x:c>
      <x:c r="J1308" s="10" t="n">
        <x:v>40</x:v>
      </x:c>
      <x:c r="K1308" s="12" t="n">
        <x:v>22</x:v>
      </x:c>
      <x:c r="L1308" s="1" t="str"/>
      <x:c r="M1308" s="9" t="str">
        <x:v>https://poke.idleworld.online/pokepedia/pokemon/porygon</x:v>
      </x:c>
    </x:row>
    <x:row r="1309" ht="22" customHeight="1">
      <x:c r="A1309" s="1" t="n">
        <x:v>137</x:v>
      </x:c>
      <x:c r="B1309" s="1" t="str">
        <x:v>Porygon</x:v>
      </x:c>
      <x:c r="C1309" s="1" t="n">
        <x:v>6</x:v>
      </x:c>
      <x:c r="D1309" s="1" t="str">
        <x:v>Tri Attack</x:v>
      </x:c>
      <x:c r="E1309" s="1" t="str">
        <x:v>Normal</x:v>
      </x:c>
      <x:c r="F1309" s="1" t="str">
        <x:v>Especial</x:v>
      </x:c>
      <x:c r="G1309" s="10" t="n">
        <x:v>80</x:v>
      </x:c>
      <x:c r="H1309" s="10" t="n">
        <x:f>IF(F1309="Física",'Pokémon'!G141,IF(F1309="Especial",'Pokémon'!I141,""))</x:f>
        <x:v>85</x:v>
      </x:c>
      <x:c r="I1309" s="10" t="n">
        <x:f>IF(OR(F1309="Status",G1309=0),"",G1309+H1309)</x:f>
        <x:v>165</x:v>
      </x:c>
      <x:c r="J1309" s="10" t="n">
        <x:v>50</x:v>
      </x:c>
      <x:c r="K1309" s="12" t="n">
        <x:v>22</x:v>
      </x:c>
      <x:c r="L1309" s="1" t="str"/>
      <x:c r="M1309" s="9" t="str">
        <x:v>https://poke.idleworld.online/pokepedia/pokemon/porygon</x:v>
      </x:c>
    </x:row>
    <x:row r="1310" ht="22" customHeight="1">
      <x:c r="A1310" s="1" t="n">
        <x:v>137</x:v>
      </x:c>
      <x:c r="B1310" s="1" t="str">
        <x:v>Porygon</x:v>
      </x:c>
      <x:c r="C1310" s="1" t="n">
        <x:v>4</x:v>
      </x:c>
      <x:c r="D1310" s="1" t="str">
        <x:v>Signal Beam</x:v>
      </x:c>
      <x:c r="E1310" s="1" t="str">
        <x:v>Inseto</x:v>
      </x:c>
      <x:c r="F1310" s="1" t="str">
        <x:v>Especial</x:v>
      </x:c>
      <x:c r="G1310" s="10" t="n">
        <x:v>75</x:v>
      </x:c>
      <x:c r="H1310" s="10" t="n">
        <x:f>IF(F1310="Física",'Pokémon'!G141,IF(F1310="Especial",'Pokémon'!I141,""))</x:f>
        <x:v>85</x:v>
      </x:c>
      <x:c r="I1310" s="10" t="n">
        <x:f>IF(OR(F1310="Status",G1310=0),"",G1310+H1310)</x:f>
        <x:v>160</x:v>
      </x:c>
      <x:c r="J1310" s="10" t="n">
        <x:v>29</x:v>
      </x:c>
      <x:c r="K1310" s="12" t="n">
        <x:v>22</x:v>
      </x:c>
      <x:c r="L1310" s="1" t="str"/>
      <x:c r="M1310" s="9" t="str">
        <x:v>https://poke.idleworld.online/pokepedia/pokemon/porygon</x:v>
      </x:c>
    </x:row>
    <x:row r="1311" ht="22" customHeight="1">
      <x:c r="A1311" s="1" t="n">
        <x:v>137</x:v>
      </x:c>
      <x:c r="B1311" s="1" t="str">
        <x:v>Porygon</x:v>
      </x:c>
      <x:c r="C1311" s="1" t="n">
        <x:v>2</x:v>
      </x:c>
      <x:c r="D1311" s="1" t="str">
        <x:v>Psybeam</x:v>
      </x:c>
      <x:c r="E1311" s="1" t="str">
        <x:v>Psíquico</x:v>
      </x:c>
      <x:c r="F1311" s="1" t="str">
        <x:v>Especial</x:v>
      </x:c>
      <x:c r="G1311" s="10" t="n">
        <x:v>65</x:v>
      </x:c>
      <x:c r="H1311" s="10" t="n">
        <x:f>IF(F1311="Física",'Pokémon'!G141,IF(F1311="Especial",'Pokémon'!I141,""))</x:f>
        <x:v>85</x:v>
      </x:c>
      <x:c r="I1311" s="10" t="n">
        <x:f>IF(OR(F1311="Status",G1311=0),"",G1311+H1311)</x:f>
        <x:v>150</x:v>
      </x:c>
      <x:c r="J1311" s="10" t="n">
        <x:v>7</x:v>
      </x:c>
      <x:c r="K1311" s="12" t="n">
        <x:v>10</x:v>
      </x:c>
      <x:c r="L1311" s="1" t="str"/>
      <x:c r="M1311" s="9" t="str">
        <x:v>https://poke.idleworld.online/pokepedia/pokemon/porygon</x:v>
      </x:c>
    </x:row>
    <x:row r="1312" ht="22" customHeight="1">
      <x:c r="A1312" s="1" t="n">
        <x:v>137</x:v>
      </x:c>
      <x:c r="B1312" s="1" t="str">
        <x:v>Porygon</x:v>
      </x:c>
      <x:c r="C1312" s="1" t="n">
        <x:v>1</x:v>
      </x:c>
      <x:c r="D1312" s="1" t="str">
        <x:v>Tackle</x:v>
      </x:c>
      <x:c r="E1312" s="1" t="str">
        <x:v>Normal</x:v>
      </x:c>
      <x:c r="F1312" s="1" t="str">
        <x:v>Física</x:v>
      </x:c>
      <x:c r="G1312" s="10" t="n">
        <x:v>50</x:v>
      </x:c>
      <x:c r="H1312" s="10" t="n">
        <x:f>IF(F1312="Física",'Pokémon'!G141,IF(F1312="Especial",'Pokémon'!I141,""))</x:f>
        <x:v>60</x:v>
      </x:c>
      <x:c r="I1312" s="10" t="n">
        <x:f>IF(OR(F1312="Status",G1312=0),"",G1312+H1312)</x:f>
        <x:v>110</x:v>
      </x:c>
      <x:c r="J1312" s="10" t="n">
        <x:v>1</x:v>
      </x:c>
      <x:c r="K1312" s="12" t="n">
        <x:v>15</x:v>
      </x:c>
      <x:c r="L1312" s="1" t="str"/>
      <x:c r="M1312" s="9" t="str">
        <x:v>https://poke.idleworld.online/pokepedia/pokemon/porygon</x:v>
      </x:c>
    </x:row>
    <x:row r="1313" ht="22" customHeight="1">
      <x:c r="A1313" s="1" t="n">
        <x:v>137</x:v>
      </x:c>
      <x:c r="B1313" s="1" t="str">
        <x:v>Porygon</x:v>
      </x:c>
      <x:c r="C1313" s="1" t="n">
        <x:v>3</x:v>
      </x:c>
      <x:c r="D1313" s="1" t="str">
        <x:v>Recover</x:v>
      </x:c>
      <x:c r="E1313" s="1" t="str">
        <x:v>Normal</x:v>
      </x:c>
      <x:c r="F1313" s="1" t="str">
        <x:v>Status</x:v>
      </x:c>
      <x:c r="G1313" s="10" t="n">
        <x:v>0</x:v>
      </x:c>
      <x:c r="H1313" s="10" t="str">
        <x:f>IF(F1313="Física",'Pokémon'!G141,IF(F1313="Especial",'Pokémon'!I141,""))</x:f>
      </x:c>
      <x:c r="I1313" s="10" t="str">
        <x:f>IF(OR(F1313="Status",G1313=0),"",G1313+H1313)</x:f>
      </x:c>
      <x:c r="J1313" s="10" t="n">
        <x:v>18</x:v>
      </x:c>
      <x:c r="K1313" s="12" t="n">
        <x:v>80</x:v>
      </x:c>
      <x:c r="L1313" s="1" t="str"/>
      <x:c r="M1313" s="9" t="str">
        <x:v>https://poke.idleworld.online/pokepedia/pokemon/porygon</x:v>
      </x:c>
    </x:row>
    <x:row r="1314" ht="22" customHeight="1">
      <x:c r="A1314" s="1" t="n">
        <x:v>137</x:v>
      </x:c>
      <x:c r="B1314" s="1" t="str">
        <x:v>Porygon</x:v>
      </x:c>
      <x:c r="C1314" s="1" t="n">
        <x:v>7</x:v>
      </x:c>
      <x:c r="D1314" s="1" t="str">
        <x:v>Magic Coat</x:v>
      </x:c>
      <x:c r="E1314" s="1" t="str">
        <x:v>Psíquico</x:v>
      </x:c>
      <x:c r="F1314" s="1" t="str">
        <x:v>Status</x:v>
      </x:c>
      <x:c r="G1314" s="10" t="n">
        <x:v>0</x:v>
      </x:c>
      <x:c r="H1314" s="10" t="str">
        <x:f>IF(F1314="Física",'Pokémon'!G141,IF(F1314="Especial",'Pokémon'!I141,""))</x:f>
      </x:c>
      <x:c r="I1314" s="10" t="str">
        <x:f>IF(OR(F1314="Status",G1314=0),"",G1314+H1314)</x:f>
      </x:c>
      <x:c r="J1314" s="10" t="n">
        <x:v>56</x:v>
      </x:c>
      <x:c r="K1314" s="12" t="n">
        <x:v>60</x:v>
      </x:c>
      <x:c r="L1314" s="1" t="str"/>
      <x:c r="M1314" s="9" t="str">
        <x:v>https://poke.idleworld.online/pokepedia/pokemon/porygon</x:v>
      </x:c>
    </x:row>
    <x:row r="1315" ht="22" customHeight="1">
      <x:c r="A1315" s="1" t="n">
        <x:v>138</x:v>
      </x:c>
      <x:c r="B1315" s="1" t="str">
        <x:v>Omanyte</x:v>
      </x:c>
      <x:c r="C1315" s="1" t="n">
        <x:v>9</x:v>
      </x:c>
      <x:c r="D1315" s="1" t="str">
        <x:v>Hydro Pump</x:v>
      </x:c>
      <x:c r="E1315" s="1" t="str">
        <x:v>Água</x:v>
      </x:c>
      <x:c r="F1315" s="1" t="str">
        <x:v>Especial</x:v>
      </x:c>
      <x:c r="G1315" s="10" t="n">
        <x:v>110</x:v>
      </x:c>
      <x:c r="H1315" s="10" t="n">
        <x:f>IF(F1315="Física",'Pokémon'!G142,IF(F1315="Especial",'Pokémon'!I142,""))</x:f>
        <x:v>90</x:v>
      </x:c>
      <x:c r="I1315" s="10" t="n">
        <x:f>IF(OR(F1315="Status",G1315=0),"",G1315+H1315)</x:f>
        <x:v>200</x:v>
      </x:c>
      <x:c r="J1315" s="10" t="n">
        <x:v>55</x:v>
      </x:c>
      <x:c r="K1315" s="12" t="n">
        <x:v>40</x:v>
      </x:c>
      <x:c r="L1315" s="1" t="str"/>
      <x:c r="M1315" s="9" t="str">
        <x:v>https://poke.idleworld.online/pokepedia/pokemon/omanyte</x:v>
      </x:c>
    </x:row>
    <x:row r="1316" ht="22" customHeight="1">
      <x:c r="A1316" s="1" t="n">
        <x:v>138</x:v>
      </x:c>
      <x:c r="B1316" s="1" t="str">
        <x:v>Omanyte</x:v>
      </x:c>
      <x:c r="C1316" s="1" t="n">
        <x:v>6</x:v>
      </x:c>
      <x:c r="D1316" s="1" t="str">
        <x:v>Brine</x:v>
      </x:c>
      <x:c r="E1316" s="1" t="str">
        <x:v>Água</x:v>
      </x:c>
      <x:c r="F1316" s="1" t="str">
        <x:v>Especial</x:v>
      </x:c>
      <x:c r="G1316" s="10" t="n">
        <x:v>65</x:v>
      </x:c>
      <x:c r="H1316" s="10" t="n">
        <x:f>IF(F1316="Física",'Pokémon'!G142,IF(F1316="Especial",'Pokémon'!I142,""))</x:f>
        <x:v>90</x:v>
      </x:c>
      <x:c r="I1316" s="10" t="n">
        <x:f>IF(OR(F1316="Status",G1316=0),"",G1316+H1316)</x:f>
        <x:v>155</x:v>
      </x:c>
      <x:c r="J1316" s="10" t="n">
        <x:v>28</x:v>
      </x:c>
      <x:c r="K1316" s="12" t="n">
        <x:v>35</x:v>
      </x:c>
      <x:c r="L1316" s="1" t="str"/>
      <x:c r="M1316" s="9" t="str">
        <x:v>https://poke.idleworld.online/pokepedia/pokemon/omanyte</x:v>
      </x:c>
    </x:row>
    <x:row r="1317" ht="22" customHeight="1">
      <x:c r="A1317" s="1" t="n">
        <x:v>138</x:v>
      </x:c>
      <x:c r="B1317" s="1" t="str">
        <x:v>Omanyte</x:v>
      </x:c>
      <x:c r="C1317" s="1" t="n">
        <x:v>7</x:v>
      </x:c>
      <x:c r="D1317" s="1" t="str">
        <x:v>Ancient Power</x:v>
      </x:c>
      <x:c r="E1317" s="1" t="str">
        <x:v>Pedra</x:v>
      </x:c>
      <x:c r="F1317" s="1" t="str">
        <x:v>Especial</x:v>
      </x:c>
      <x:c r="G1317" s="10" t="n">
        <x:v>60</x:v>
      </x:c>
      <x:c r="H1317" s="10" t="n">
        <x:f>IF(F1317="Física",'Pokémon'!G142,IF(F1317="Especial",'Pokémon'!I142,""))</x:f>
        <x:v>90</x:v>
      </x:c>
      <x:c r="I1317" s="10" t="n">
        <x:f>IF(OR(F1317="Status",G1317=0),"",G1317+H1317)</x:f>
        <x:v>150</x:v>
      </x:c>
      <x:c r="J1317" s="10" t="n">
        <x:v>37</x:v>
      </x:c>
      <x:c r="K1317" s="12" t="n">
        <x:v>40</x:v>
      </x:c>
      <x:c r="L1317" s="1" t="str"/>
      <x:c r="M1317" s="9" t="str">
        <x:v>https://poke.idleworld.online/pokepedia/pokemon/omanyte</x:v>
      </x:c>
    </x:row>
    <x:row r="1318" ht="22" customHeight="1">
      <x:c r="A1318" s="1" t="n">
        <x:v>138</x:v>
      </x:c>
      <x:c r="B1318" s="1" t="str">
        <x:v>Omanyte</x:v>
      </x:c>
      <x:c r="C1318" s="1" t="n">
        <x:v>5</x:v>
      </x:c>
      <x:c r="D1318" s="1" t="str">
        <x:v>Mud Shot</x:v>
      </x:c>
      <x:c r="E1318" s="1" t="str">
        <x:v>Terrestre</x:v>
      </x:c>
      <x:c r="F1318" s="1" t="str">
        <x:v>Especial</x:v>
      </x:c>
      <x:c r="G1318" s="10" t="n">
        <x:v>55</x:v>
      </x:c>
      <x:c r="H1318" s="10" t="n">
        <x:f>IF(F1318="Física",'Pokémon'!G142,IF(F1318="Especial",'Pokémon'!I142,""))</x:f>
        <x:v>90</x:v>
      </x:c>
      <x:c r="I1318" s="10" t="n">
        <x:f>IF(OR(F1318="Status",G1318=0),"",G1318+H1318)</x:f>
        <x:v>145</x:v>
      </x:c>
      <x:c r="J1318" s="10" t="n">
        <x:v>25</x:v>
      </x:c>
      <x:c r="K1318" s="12" t="n">
        <x:v>15</x:v>
      </x:c>
      <x:c r="L1318" s="1" t="str"/>
      <x:c r="M1318" s="9" t="str">
        <x:v>https://poke.idleworld.online/pokepedia/pokemon/omanyte</x:v>
      </x:c>
    </x:row>
    <x:row r="1319" ht="22" customHeight="1">
      <x:c r="A1319" s="1" t="n">
        <x:v>138</x:v>
      </x:c>
      <x:c r="B1319" s="1" t="str">
        <x:v>Omanyte</x:v>
      </x:c>
      <x:c r="C1319" s="1" t="n">
        <x:v>3</x:v>
      </x:c>
      <x:c r="D1319" s="1" t="str">
        <x:v>Water Gun</x:v>
      </x:c>
      <x:c r="E1319" s="1" t="str">
        <x:v>Água</x:v>
      </x:c>
      <x:c r="F1319" s="1" t="str">
        <x:v>Especial</x:v>
      </x:c>
      <x:c r="G1319" s="10" t="n">
        <x:v>40</x:v>
      </x:c>
      <x:c r="H1319" s="10" t="n">
        <x:f>IF(F1319="Física",'Pokémon'!G142,IF(F1319="Especial",'Pokémon'!I142,""))</x:f>
        <x:v>90</x:v>
      </x:c>
      <x:c r="I1319" s="10" t="n">
        <x:f>IF(OR(F1319="Status",G1319=0),"",G1319+H1319)</x:f>
        <x:v>130</x:v>
      </x:c>
      <x:c r="J1319" s="10" t="n">
        <x:v>10</x:v>
      </x:c>
      <x:c r="K1319" s="12" t="n">
        <x:v>18</x:v>
      </x:c>
      <x:c r="L1319" s="1" t="str"/>
      <x:c r="M1319" s="9" t="str">
        <x:v>https://poke.idleworld.online/pokepedia/pokemon/omanyte</x:v>
      </x:c>
    </x:row>
    <x:row r="1320" ht="22" customHeight="1">
      <x:c r="A1320" s="1" t="n">
        <x:v>138</x:v>
      </x:c>
      <x:c r="B1320" s="1" t="str">
        <x:v>Omanyte</x:v>
      </x:c>
      <x:c r="C1320" s="1" t="n">
        <x:v>2</x:v>
      </x:c>
      <x:c r="D1320" s="1" t="str">
        <x:v>Bite</x:v>
      </x:c>
      <x:c r="E1320" s="1" t="str">
        <x:v>Sombrio</x:v>
      </x:c>
      <x:c r="F1320" s="1" t="str">
        <x:v>Física</x:v>
      </x:c>
      <x:c r="G1320" s="10" t="n">
        <x:v>60</x:v>
      </x:c>
      <x:c r="H1320" s="10" t="n">
        <x:f>IF(F1320="Física",'Pokémon'!G142,IF(F1320="Especial",'Pokémon'!I142,""))</x:f>
        <x:v>40</x:v>
      </x:c>
      <x:c r="I1320" s="10" t="n">
        <x:f>IF(OR(F1320="Status",G1320=0),"",G1320+H1320)</x:f>
        <x:v>100</x:v>
      </x:c>
      <x:c r="J1320" s="10" t="n">
        <x:v>7</x:v>
      </x:c>
      <x:c r="K1320" s="12" t="n">
        <x:v>15</x:v>
      </x:c>
      <x:c r="L1320" s="1" t="str"/>
      <x:c r="M1320" s="9" t="str">
        <x:v>https://poke.idleworld.online/pokepedia/pokemon/omanyte</x:v>
      </x:c>
    </x:row>
    <x:row r="1321" ht="22" customHeight="1">
      <x:c r="A1321" s="1" t="n">
        <x:v>138</x:v>
      </x:c>
      <x:c r="B1321" s="1" t="str">
        <x:v>Omanyte</x:v>
      </x:c>
      <x:c r="C1321" s="1" t="n">
        <x:v>4</x:v>
      </x:c>
      <x:c r="D1321" s="1" t="str">
        <x:v>Rollout</x:v>
      </x:c>
      <x:c r="E1321" s="1" t="str">
        <x:v>Pedra</x:v>
      </x:c>
      <x:c r="F1321" s="1" t="str">
        <x:v>Física</x:v>
      </x:c>
      <x:c r="G1321" s="10" t="n">
        <x:v>30</x:v>
      </x:c>
      <x:c r="H1321" s="10" t="n">
        <x:f>IF(F1321="Física",'Pokémon'!G142,IF(F1321="Especial",'Pokémon'!I142,""))</x:f>
        <x:v>40</x:v>
      </x:c>
      <x:c r="I1321" s="10" t="n">
        <x:f>IF(OR(F1321="Status",G1321=0),"",G1321+H1321)</x:f>
        <x:v>70</x:v>
      </x:c>
      <x:c r="J1321" s="10" t="n">
        <x:v>16</x:v>
      </x:c>
      <x:c r="K1321" s="12" t="n">
        <x:v>15</x:v>
      </x:c>
      <x:c r="L1321" s="1" t="str"/>
      <x:c r="M1321" s="9" t="str">
        <x:v>https://poke.idleworld.online/pokepedia/pokemon/omanyte</x:v>
      </x:c>
    </x:row>
    <x:row r="1322" ht="22" customHeight="1">
      <x:c r="A1322" s="1" t="n">
        <x:v>138</x:v>
      </x:c>
      <x:c r="B1322" s="1" t="str">
        <x:v>Omanyte</x:v>
      </x:c>
      <x:c r="C1322" s="1" t="n">
        <x:v>8</x:v>
      </x:c>
      <x:c r="D1322" s="1" t="str">
        <x:v>Rock Blast</x:v>
      </x:c>
      <x:c r="E1322" s="1" t="str">
        <x:v>Pedra</x:v>
      </x:c>
      <x:c r="F1322" s="1" t="str">
        <x:v>Física</x:v>
      </x:c>
      <x:c r="G1322" s="10" t="n">
        <x:v>25</x:v>
      </x:c>
      <x:c r="H1322" s="10" t="n">
        <x:f>IF(F1322="Física",'Pokémon'!G142,IF(F1322="Especial",'Pokémon'!I142,""))</x:f>
        <x:v>40</x:v>
      </x:c>
      <x:c r="I1322" s="10" t="n">
        <x:f>IF(OR(F1322="Status",G1322=0),"",G1322+H1322)</x:f>
        <x:v>65</x:v>
      </x:c>
      <x:c r="J1322" s="10" t="n">
        <x:v>46</x:v>
      </x:c>
      <x:c r="K1322" s="12" t="n">
        <x:v>15</x:v>
      </x:c>
      <x:c r="L1322" s="1" t="str"/>
      <x:c r="M1322" s="9" t="str">
        <x:v>https://poke.idleworld.online/pokepedia/pokemon/omanyte</x:v>
      </x:c>
    </x:row>
    <x:row r="1323" ht="22" customHeight="1">
      <x:c r="A1323" s="1" t="n">
        <x:v>138</x:v>
      </x:c>
      <x:c r="B1323" s="1" t="str">
        <x:v>Omanyte</x:v>
      </x:c>
      <x:c r="C1323" s="1" t="n">
        <x:v>1</x:v>
      </x:c>
      <x:c r="D1323" s="1" t="str">
        <x:v>Constrict</x:v>
      </x:c>
      <x:c r="E1323" s="1" t="str">
        <x:v>Normal</x:v>
      </x:c>
      <x:c r="F1323" s="1" t="str">
        <x:v>Física</x:v>
      </x:c>
      <x:c r="G1323" s="10" t="n">
        <x:v>10</x:v>
      </x:c>
      <x:c r="H1323" s="10" t="n">
        <x:f>IF(F1323="Física",'Pokémon'!G142,IF(F1323="Especial",'Pokémon'!I142,""))</x:f>
        <x:v>40</x:v>
      </x:c>
      <x:c r="I1323" s="10" t="n">
        <x:f>IF(OR(F1323="Status",G1323=0),"",G1323+H1323)</x:f>
        <x:v>50</x:v>
      </x:c>
      <x:c r="J1323" s="10" t="n">
        <x:v>1</x:v>
      </x:c>
      <x:c r="K1323" s="12" t="n">
        <x:v>15</x:v>
      </x:c>
      <x:c r="L1323" s="1" t="str"/>
      <x:c r="M1323" s="9" t="str">
        <x:v>https://poke.idleworld.online/pokepedia/pokemon/omanyte</x:v>
      </x:c>
    </x:row>
    <x:row r="1324" ht="22" customHeight="1">
      <x:c r="A1324" s="1" t="n">
        <x:v>139</x:v>
      </x:c>
      <x:c r="B1324" s="1" t="str">
        <x:v>Omastar</x:v>
      </x:c>
      <x:c r="C1324" s="1" t="n">
        <x:v>1</x:v>
      </x:c>
      <x:c r="D1324" s="1" t="str">
        <x:v>Crumbling Rain</x:v>
      </x:c>
      <x:c r="E1324" s="1" t="str">
        <x:v>Pedra</x:v>
      </x:c>
      <x:c r="F1324" s="1" t="str">
        <x:v>Física</x:v>
      </x:c>
      <x:c r="G1324" s="10" t="n">
        <x:v>300</x:v>
      </x:c>
      <x:c r="H1324" s="10" t="n">
        <x:f>IF(F1324="Física",'Pokémon'!G143,IF(F1324="Especial",'Pokémon'!I143,""))</x:f>
        <x:v>60</x:v>
      </x:c>
      <x:c r="I1324" s="10" t="n">
        <x:f>IF(OR(F1324="Status",G1324=0),"",G1324+H1324)</x:f>
        <x:v>360</x:v>
      </x:c>
      <x:c r="J1324" s="10" t="n">
        <x:v>1</x:v>
      </x:c>
      <x:c r="K1324" s="12" t="n">
        <x:v>10</x:v>
      </x:c>
      <x:c r="L1324" s="1" t="str">
        <x:v>Sim</x:v>
      </x:c>
      <x:c r="M1324" s="9" t="str">
        <x:v>https://poke.idleworld.online/pokepedia/pokemon/omastar</x:v>
      </x:c>
    </x:row>
    <x:row r="1325" ht="22" customHeight="1">
      <x:c r="A1325" s="1" t="n">
        <x:v>139</x:v>
      </x:c>
      <x:c r="B1325" s="1" t="str">
        <x:v>Omastar</x:v>
      </x:c>
      <x:c r="C1325" s="1" t="n">
        <x:v>4</x:v>
      </x:c>
      <x:c r="D1325" s="1" t="str">
        <x:v>Hydro Pump</x:v>
      </x:c>
      <x:c r="E1325" s="1" t="str">
        <x:v>Água</x:v>
      </x:c>
      <x:c r="F1325" s="1" t="str">
        <x:v>Especial</x:v>
      </x:c>
      <x:c r="G1325" s="10" t="n">
        <x:v>110</x:v>
      </x:c>
      <x:c r="H1325" s="10" t="n">
        <x:f>IF(F1325="Física",'Pokémon'!G143,IF(F1325="Especial",'Pokémon'!I143,""))</x:f>
        <x:v>115</x:v>
      </x:c>
      <x:c r="I1325" s="10" t="n">
        <x:f>IF(OR(F1325="Status",G1325=0),"",G1325+H1325)</x:f>
        <x:v>225</x:v>
      </x:c>
      <x:c r="J1325" s="10" t="n">
        <x:v>1</x:v>
      </x:c>
      <x:c r="K1325" s="12" t="n">
        <x:v>40</x:v>
      </x:c>
      <x:c r="L1325" s="1" t="str"/>
      <x:c r="M1325" s="9" t="str">
        <x:v>https://poke.idleworld.online/pokepedia/pokemon/omastar</x:v>
      </x:c>
    </x:row>
    <x:row r="1326" ht="22" customHeight="1">
      <x:c r="A1326" s="1" t="n">
        <x:v>139</x:v>
      </x:c>
      <x:c r="B1326" s="1" t="str">
        <x:v>Omastar</x:v>
      </x:c>
      <x:c r="C1326" s="1" t="n">
        <x:v>8</x:v>
      </x:c>
      <x:c r="D1326" s="1" t="str">
        <x:v>Brine</x:v>
      </x:c>
      <x:c r="E1326" s="1" t="str">
        <x:v>Água</x:v>
      </x:c>
      <x:c r="F1326" s="1" t="str">
        <x:v>Especial</x:v>
      </x:c>
      <x:c r="G1326" s="10" t="n">
        <x:v>65</x:v>
      </x:c>
      <x:c r="H1326" s="10" t="n">
        <x:f>IF(F1326="Física",'Pokémon'!G143,IF(F1326="Especial",'Pokémon'!I143,""))</x:f>
        <x:v>115</x:v>
      </x:c>
      <x:c r="I1326" s="10" t="n">
        <x:f>IF(OR(F1326="Status",G1326=0),"",G1326+H1326)</x:f>
        <x:v>180</x:v>
      </x:c>
      <x:c r="J1326" s="10" t="n">
        <x:v>28</x:v>
      </x:c>
      <x:c r="K1326" s="12" t="n">
        <x:v>20</x:v>
      </x:c>
      <x:c r="L1326" s="1" t="str"/>
      <x:c r="M1326" s="9" t="str">
        <x:v>https://poke.idleworld.online/pokepedia/pokemon/omastar</x:v>
      </x:c>
    </x:row>
    <x:row r="1327" ht="22" customHeight="1">
      <x:c r="A1327" s="1" t="n">
        <x:v>139</x:v>
      </x:c>
      <x:c r="B1327" s="1" t="str">
        <x:v>Omastar</x:v>
      </x:c>
      <x:c r="C1327" s="1" t="n">
        <x:v>9</x:v>
      </x:c>
      <x:c r="D1327" s="1" t="str">
        <x:v>Ancient Power</x:v>
      </x:c>
      <x:c r="E1327" s="1" t="str">
        <x:v>Pedra</x:v>
      </x:c>
      <x:c r="F1327" s="1" t="str">
        <x:v>Especial</x:v>
      </x:c>
      <x:c r="G1327" s="10" t="n">
        <x:v>60</x:v>
      </x:c>
      <x:c r="H1327" s="10" t="n">
        <x:f>IF(F1327="Física",'Pokémon'!G143,IF(F1327="Especial",'Pokémon'!I143,""))</x:f>
        <x:v>115</x:v>
      </x:c>
      <x:c r="I1327" s="10" t="n">
        <x:f>IF(OR(F1327="Status",G1327=0),"",G1327+H1327)</x:f>
        <x:v>175</x:v>
      </x:c>
      <x:c r="J1327" s="10" t="n">
        <x:v>37</x:v>
      </x:c>
      <x:c r="K1327" s="12" t="n">
        <x:v>40</x:v>
      </x:c>
      <x:c r="L1327" s="1" t="str"/>
      <x:c r="M1327" s="9" t="str">
        <x:v>https://poke.idleworld.online/pokepedia/pokemon/omastar</x:v>
      </x:c>
    </x:row>
    <x:row r="1328" ht="22" customHeight="1">
      <x:c r="A1328" s="1" t="n">
        <x:v>139</x:v>
      </x:c>
      <x:c r="B1328" s="1" t="str">
        <x:v>Omastar</x:v>
      </x:c>
      <x:c r="C1328" s="1" t="n">
        <x:v>7</x:v>
      </x:c>
      <x:c r="D1328" s="1" t="str">
        <x:v>Mud Shot</x:v>
      </x:c>
      <x:c r="E1328" s="1" t="str">
        <x:v>Terrestre</x:v>
      </x:c>
      <x:c r="F1328" s="1" t="str">
        <x:v>Especial</x:v>
      </x:c>
      <x:c r="G1328" s="10" t="n">
        <x:v>55</x:v>
      </x:c>
      <x:c r="H1328" s="10" t="n">
        <x:f>IF(F1328="Física",'Pokémon'!G143,IF(F1328="Especial",'Pokémon'!I143,""))</x:f>
        <x:v>115</x:v>
      </x:c>
      <x:c r="I1328" s="10" t="n">
        <x:f>IF(OR(F1328="Status",G1328=0),"",G1328+H1328)</x:f>
        <x:v>170</x:v>
      </x:c>
      <x:c r="J1328" s="10" t="n">
        <x:v>25</x:v>
      </x:c>
      <x:c r="K1328" s="12" t="n">
        <x:v>20</x:v>
      </x:c>
      <x:c r="L1328" s="1" t="str"/>
      <x:c r="M1328" s="9" t="str">
        <x:v>https://poke.idleworld.online/pokepedia/pokemon/omastar</x:v>
      </x:c>
    </x:row>
    <x:row r="1329" ht="22" customHeight="1">
      <x:c r="A1329" s="1" t="n">
        <x:v>139</x:v>
      </x:c>
      <x:c r="B1329" s="1" t="str">
        <x:v>Omastar</x:v>
      </x:c>
      <x:c r="C1329" s="1" t="n">
        <x:v>5</x:v>
      </x:c>
      <x:c r="D1329" s="1" t="str">
        <x:v>Water Gun</x:v>
      </x:c>
      <x:c r="E1329" s="1" t="str">
        <x:v>Água</x:v>
      </x:c>
      <x:c r="F1329" s="1" t="str">
        <x:v>Especial</x:v>
      </x:c>
      <x:c r="G1329" s="10" t="n">
        <x:v>40</x:v>
      </x:c>
      <x:c r="H1329" s="10" t="n">
        <x:f>IF(F1329="Física",'Pokémon'!G143,IF(F1329="Especial",'Pokémon'!I143,""))</x:f>
        <x:v>115</x:v>
      </x:c>
      <x:c r="I1329" s="10" t="n">
        <x:f>IF(OR(F1329="Status",G1329=0),"",G1329+H1329)</x:f>
        <x:v>155</x:v>
      </x:c>
      <x:c r="J1329" s="10" t="n">
        <x:v>10</x:v>
      </x:c>
      <x:c r="K1329" s="12" t="n">
        <x:v>15</x:v>
      </x:c>
      <x:c r="L1329" s="1" t="str"/>
      <x:c r="M1329" s="9" t="str">
        <x:v>https://poke.idleworld.online/pokepedia/pokemon/omastar</x:v>
      </x:c>
    </x:row>
    <x:row r="1330" ht="22" customHeight="1">
      <x:c r="A1330" s="1" t="n">
        <x:v>139</x:v>
      </x:c>
      <x:c r="B1330" s="1" t="str">
        <x:v>Omastar</x:v>
      </x:c>
      <x:c r="C1330" s="1" t="n">
        <x:v>3</x:v>
      </x:c>
      <x:c r="D1330" s="1" t="str">
        <x:v>Bite</x:v>
      </x:c>
      <x:c r="E1330" s="1" t="str">
        <x:v>Sombrio</x:v>
      </x:c>
      <x:c r="F1330" s="1" t="str">
        <x:v>Física</x:v>
      </x:c>
      <x:c r="G1330" s="10" t="n">
        <x:v>60</x:v>
      </x:c>
      <x:c r="H1330" s="10" t="n">
        <x:f>IF(F1330="Física",'Pokémon'!G143,IF(F1330="Especial",'Pokémon'!I143,""))</x:f>
        <x:v>60</x:v>
      </x:c>
      <x:c r="I1330" s="10" t="n">
        <x:f>IF(OR(F1330="Status",G1330=0),"",G1330+H1330)</x:f>
        <x:v>120</x:v>
      </x:c>
      <x:c r="J1330" s="10" t="n">
        <x:v>1</x:v>
      </x:c>
      <x:c r="K1330" s="12" t="n">
        <x:v>20</x:v>
      </x:c>
      <x:c r="L1330" s="1" t="str"/>
      <x:c r="M1330" s="9" t="str">
        <x:v>https://poke.idleworld.online/pokepedia/pokemon/omastar</x:v>
      </x:c>
    </x:row>
    <x:row r="1331" ht="22" customHeight="1">
      <x:c r="A1331" s="1" t="n">
        <x:v>139</x:v>
      </x:c>
      <x:c r="B1331" s="1" t="str">
        <x:v>Omastar</x:v>
      </x:c>
      <x:c r="C1331" s="1" t="n">
        <x:v>6</x:v>
      </x:c>
      <x:c r="D1331" s="1" t="str">
        <x:v>Rollout</x:v>
      </x:c>
      <x:c r="E1331" s="1" t="str">
        <x:v>Pedra</x:v>
      </x:c>
      <x:c r="F1331" s="1" t="str">
        <x:v>Física</x:v>
      </x:c>
      <x:c r="G1331" s="10" t="n">
        <x:v>30</x:v>
      </x:c>
      <x:c r="H1331" s="10" t="n">
        <x:f>IF(F1331="Física",'Pokémon'!G143,IF(F1331="Especial",'Pokémon'!I143,""))</x:f>
        <x:v>60</x:v>
      </x:c>
      <x:c r="I1331" s="10" t="n">
        <x:f>IF(OR(F1331="Status",G1331=0),"",G1331+H1331)</x:f>
        <x:v>90</x:v>
      </x:c>
      <x:c r="J1331" s="10" t="n">
        <x:v>16</x:v>
      </x:c>
      <x:c r="K1331" s="12" t="n">
        <x:v>25</x:v>
      </x:c>
      <x:c r="L1331" s="1" t="str"/>
      <x:c r="M1331" s="9" t="str">
        <x:v>https://poke.idleworld.online/pokepedia/pokemon/omastar</x:v>
      </x:c>
    </x:row>
    <x:row r="1332" ht="22" customHeight="1">
      <x:c r="A1332" s="1" t="n">
        <x:v>139</x:v>
      </x:c>
      <x:c r="B1332" s="1" t="str">
        <x:v>Omastar</x:v>
      </x:c>
      <x:c r="C1332" s="1" t="n">
        <x:v>11</x:v>
      </x:c>
      <x:c r="D1332" s="1" t="str">
        <x:v>Rock Blast</x:v>
      </x:c>
      <x:c r="E1332" s="1" t="str">
        <x:v>Pedra</x:v>
      </x:c>
      <x:c r="F1332" s="1" t="str">
        <x:v>Física</x:v>
      </x:c>
      <x:c r="G1332" s="10" t="n">
        <x:v>25</x:v>
      </x:c>
      <x:c r="H1332" s="10" t="n">
        <x:f>IF(F1332="Física",'Pokémon'!G143,IF(F1332="Especial",'Pokémon'!I143,""))</x:f>
        <x:v>60</x:v>
      </x:c>
      <x:c r="I1332" s="10" t="n">
        <x:f>IF(OR(F1332="Status",G1332=0),"",G1332+H1332)</x:f>
        <x:v>85</x:v>
      </x:c>
      <x:c r="J1332" s="10" t="n">
        <x:v>56</x:v>
      </x:c>
      <x:c r="K1332" s="12" t="n">
        <x:v>15</x:v>
      </x:c>
      <x:c r="L1332" s="1" t="str"/>
      <x:c r="M1332" s="9" t="str">
        <x:v>https://poke.idleworld.online/pokepedia/pokemon/omastar</x:v>
      </x:c>
    </x:row>
    <x:row r="1333" ht="22" customHeight="1">
      <x:c r="A1333" s="1" t="n">
        <x:v>139</x:v>
      </x:c>
      <x:c r="B1333" s="1" t="str">
        <x:v>Omastar</x:v>
      </x:c>
      <x:c r="C1333" s="1" t="n">
        <x:v>10</x:v>
      </x:c>
      <x:c r="D1333" s="1" t="str">
        <x:v>Spike Cannon</x:v>
      </x:c>
      <x:c r="E1333" s="1" t="str">
        <x:v>Normal</x:v>
      </x:c>
      <x:c r="F1333" s="1" t="str">
        <x:v>Física</x:v>
      </x:c>
      <x:c r="G1333" s="10" t="n">
        <x:v>20</x:v>
      </x:c>
      <x:c r="H1333" s="10" t="n">
        <x:f>IF(F1333="Física",'Pokémon'!G143,IF(F1333="Especial",'Pokémon'!I143,""))</x:f>
        <x:v>60</x:v>
      </x:c>
      <x:c r="I1333" s="10" t="n">
        <x:f>IF(OR(F1333="Status",G1333=0),"",G1333+H1333)</x:f>
        <x:v>80</x:v>
      </x:c>
      <x:c r="J1333" s="10" t="n">
        <x:v>40</x:v>
      </x:c>
      <x:c r="K1333" s="12" t="n">
        <x:v>15</x:v>
      </x:c>
      <x:c r="L1333" s="1" t="str"/>
      <x:c r="M1333" s="9" t="str">
        <x:v>https://poke.idleworld.online/pokepedia/pokemon/omastar</x:v>
      </x:c>
    </x:row>
    <x:row r="1334" ht="22" customHeight="1">
      <x:c r="A1334" s="1" t="n">
        <x:v>139</x:v>
      </x:c>
      <x:c r="B1334" s="1" t="str">
        <x:v>Omastar</x:v>
      </x:c>
      <x:c r="C1334" s="1" t="n">
        <x:v>2</x:v>
      </x:c>
      <x:c r="D1334" s="1" t="str">
        <x:v>Constrict</x:v>
      </x:c>
      <x:c r="E1334" s="1" t="str">
        <x:v>Normal</x:v>
      </x:c>
      <x:c r="F1334" s="1" t="str">
        <x:v>Física</x:v>
      </x:c>
      <x:c r="G1334" s="10" t="n">
        <x:v>10</x:v>
      </x:c>
      <x:c r="H1334" s="10" t="n">
        <x:f>IF(F1334="Física",'Pokémon'!G143,IF(F1334="Especial",'Pokémon'!I143,""))</x:f>
        <x:v>60</x:v>
      </x:c>
      <x:c r="I1334" s="10" t="n">
        <x:f>IF(OR(F1334="Status",G1334=0),"",G1334+H1334)</x:f>
        <x:v>70</x:v>
      </x:c>
      <x:c r="J1334" s="10" t="n">
        <x:v>1</x:v>
      </x:c>
      <x:c r="K1334" s="12" t="n">
        <x:v>15</x:v>
      </x:c>
      <x:c r="L1334" s="1" t="str"/>
      <x:c r="M1334" s="9" t="str">
        <x:v>https://poke.idleworld.online/pokepedia/pokemon/omastar</x:v>
      </x:c>
    </x:row>
    <x:row r="1335" ht="22" customHeight="1">
      <x:c r="A1335" s="1" t="n">
        <x:v>140</x:v>
      </x:c>
      <x:c r="B1335" s="1" t="str">
        <x:v>Kabuto</x:v>
      </x:c>
      <x:c r="C1335" s="1" t="n">
        <x:v>2</x:v>
      </x:c>
      <x:c r="D1335" s="1" t="str">
        <x:v>Scratch</x:v>
      </x:c>
      <x:c r="E1335" s="1" t="str">
        <x:v>Normal</x:v>
      </x:c>
      <x:c r="F1335" s="1" t="str">
        <x:v>Física</x:v>
      </x:c>
      <x:c r="G1335" s="10" t="n">
        <x:v>40</x:v>
      </x:c>
      <x:c r="H1335" s="10" t="n">
        <x:f>IF(F1335="Física",'Pokémon'!G144,IF(F1335="Especial",'Pokémon'!I144,""))</x:f>
        <x:v>80</x:v>
      </x:c>
      <x:c r="I1335" s="10" t="n">
        <x:f>IF(OR(F1335="Status",G1335=0),"",G1335+H1335)</x:f>
        <x:v>120</x:v>
      </x:c>
      <x:c r="J1335" s="10" t="n">
        <x:v>1</x:v>
      </x:c>
      <x:c r="K1335" s="12" t="n">
        <x:v>12</x:v>
      </x:c>
      <x:c r="L1335" s="1" t="str"/>
      <x:c r="M1335" s="9" t="str">
        <x:v>https://poke.idleworld.online/pokepedia/pokemon/kabuto</x:v>
      </x:c>
    </x:row>
    <x:row r="1336" ht="22" customHeight="1">
      <x:c r="A1336" s="1" t="n">
        <x:v>140</x:v>
      </x:c>
      <x:c r="B1336" s="1" t="str">
        <x:v>Kabuto</x:v>
      </x:c>
      <x:c r="C1336" s="1" t="n">
        <x:v>5</x:v>
      </x:c>
      <x:c r="D1336" s="1" t="str">
        <x:v>Aqua Jet</x:v>
      </x:c>
      <x:c r="E1336" s="1" t="str">
        <x:v>Água</x:v>
      </x:c>
      <x:c r="F1336" s="1" t="str">
        <x:v>Física</x:v>
      </x:c>
      <x:c r="G1336" s="10" t="n">
        <x:v>40</x:v>
      </x:c>
      <x:c r="H1336" s="10" t="n">
        <x:f>IF(F1336="Física",'Pokémon'!G144,IF(F1336="Especial",'Pokémon'!I144,""))</x:f>
        <x:v>80</x:v>
      </x:c>
      <x:c r="I1336" s="10" t="n">
        <x:f>IF(OR(F1336="Status",G1336=0),"",G1336+H1336)</x:f>
        <x:v>120</x:v>
      </x:c>
      <x:c r="J1336" s="10" t="n">
        <x:v>31</x:v>
      </x:c>
      <x:c r="K1336" s="12" t="n">
        <x:v>15</x:v>
      </x:c>
      <x:c r="L1336" s="1" t="str"/>
      <x:c r="M1336" s="9" t="str">
        <x:v>https://poke.idleworld.online/pokepedia/pokemon/kabuto</x:v>
      </x:c>
    </x:row>
    <x:row r="1337" ht="22" customHeight="1">
      <x:c r="A1337" s="1" t="n">
        <x:v>140</x:v>
      </x:c>
      <x:c r="B1337" s="1" t="str">
        <x:v>Kabuto</x:v>
      </x:c>
      <x:c r="C1337" s="1" t="n">
        <x:v>7</x:v>
      </x:c>
      <x:c r="D1337" s="1" t="str">
        <x:v>Ancient Power</x:v>
      </x:c>
      <x:c r="E1337" s="1" t="str">
        <x:v>Pedra</x:v>
      </x:c>
      <x:c r="F1337" s="1" t="str">
        <x:v>Especial</x:v>
      </x:c>
      <x:c r="G1337" s="10" t="n">
        <x:v>60</x:v>
      </x:c>
      <x:c r="H1337" s="10" t="n">
        <x:f>IF(F1337="Física",'Pokémon'!G144,IF(F1337="Especial",'Pokémon'!I144,""))</x:f>
        <x:v>55</x:v>
      </x:c>
      <x:c r="I1337" s="10" t="n">
        <x:f>IF(OR(F1337="Status",G1337=0),"",G1337+H1337)</x:f>
        <x:v>115</x:v>
      </x:c>
      <x:c r="J1337" s="10" t="n">
        <x:v>46</x:v>
      </x:c>
      <x:c r="K1337" s="12" t="n">
        <x:v>40</x:v>
      </x:c>
      <x:c r="L1337" s="1" t="str"/>
      <x:c r="M1337" s="9" t="str">
        <x:v>https://poke.idleworld.online/pokepedia/pokemon/kabuto</x:v>
      </x:c>
    </x:row>
    <x:row r="1338" ht="22" customHeight="1">
      <x:c r="A1338" s="1" t="n">
        <x:v>140</x:v>
      </x:c>
      <x:c r="B1338" s="1" t="str">
        <x:v>Kabuto</x:v>
      </x:c>
      <x:c r="C1338" s="1" t="n">
        <x:v>4</x:v>
      </x:c>
      <x:c r="D1338" s="1" t="str">
        <x:v>Mud Shot</x:v>
      </x:c>
      <x:c r="E1338" s="1" t="str">
        <x:v>Terrestre</x:v>
      </x:c>
      <x:c r="F1338" s="1" t="str">
        <x:v>Especial</x:v>
      </x:c>
      <x:c r="G1338" s="10" t="n">
        <x:v>55</x:v>
      </x:c>
      <x:c r="H1338" s="10" t="n">
        <x:f>IF(F1338="Física",'Pokémon'!G144,IF(F1338="Especial",'Pokémon'!I144,""))</x:f>
        <x:v>55</x:v>
      </x:c>
      <x:c r="I1338" s="10" t="n">
        <x:f>IF(OR(F1338="Status",G1338=0),"",G1338+H1338)</x:f>
        <x:v>110</x:v>
      </x:c>
      <x:c r="J1338" s="10" t="n">
        <x:v>16</x:v>
      </x:c>
      <x:c r="K1338" s="12" t="n">
        <x:v>15</x:v>
      </x:c>
      <x:c r="L1338" s="1" t="str"/>
      <x:c r="M1338" s="9" t="str">
        <x:v>https://poke.idleworld.online/pokepedia/pokemon/kabuto</x:v>
      </x:c>
    </x:row>
    <x:row r="1339" ht="22" customHeight="1">
      <x:c r="A1339" s="1" t="n">
        <x:v>140</x:v>
      </x:c>
      <x:c r="B1339" s="1" t="str">
        <x:v>Kabuto</x:v>
      </x:c>
      <x:c r="C1339" s="1" t="n">
        <x:v>6</x:v>
      </x:c>
      <x:c r="D1339" s="1" t="str">
        <x:v>Mega Drain</x:v>
      </x:c>
      <x:c r="E1339" s="1" t="str">
        <x:v>Planta</x:v>
      </x:c>
      <x:c r="F1339" s="1" t="str">
        <x:v>Especial</x:v>
      </x:c>
      <x:c r="G1339" s="10" t="n">
        <x:v>40</x:v>
      </x:c>
      <x:c r="H1339" s="10" t="n">
        <x:f>IF(F1339="Física",'Pokémon'!G144,IF(F1339="Especial",'Pokémon'!I144,""))</x:f>
        <x:v>55</x:v>
      </x:c>
      <x:c r="I1339" s="10" t="n">
        <x:f>IF(OR(F1339="Status",G1339=0),"",G1339+H1339)</x:f>
        <x:v>95</x:v>
      </x:c>
      <x:c r="J1339" s="10" t="n">
        <x:v>36</x:v>
      </x:c>
      <x:c r="K1339" s="12" t="n">
        <x:v>15</x:v>
      </x:c>
      <x:c r="L1339" s="1" t="str"/>
      <x:c r="M1339" s="9" t="str">
        <x:v>https://poke.idleworld.online/pokepedia/pokemon/kabuto</x:v>
      </x:c>
    </x:row>
    <x:row r="1340" ht="22" customHeight="1">
      <x:c r="A1340" s="1" t="n">
        <x:v>140</x:v>
      </x:c>
      <x:c r="B1340" s="1" t="str">
        <x:v>Kabuto</x:v>
      </x:c>
      <x:c r="C1340" s="1" t="n">
        <x:v>3</x:v>
      </x:c>
      <x:c r="D1340" s="1" t="str">
        <x:v>Absorb</x:v>
      </x:c>
      <x:c r="E1340" s="1" t="str">
        <x:v>Planta</x:v>
      </x:c>
      <x:c r="F1340" s="1" t="str">
        <x:v>Especial</x:v>
      </x:c>
      <x:c r="G1340" s="10" t="n">
        <x:v>20</x:v>
      </x:c>
      <x:c r="H1340" s="10" t="n">
        <x:f>IF(F1340="Física",'Pokémon'!G144,IF(F1340="Especial",'Pokémon'!I144,""))</x:f>
        <x:v>55</x:v>
      </x:c>
      <x:c r="I1340" s="10" t="n">
        <x:f>IF(OR(F1340="Status",G1340=0),"",G1340+H1340)</x:f>
        <x:v>75</x:v>
      </x:c>
      <x:c r="J1340" s="10" t="n">
        <x:v>6</x:v>
      </x:c>
      <x:c r="K1340" s="12" t="n">
        <x:v>15</x:v>
      </x:c>
      <x:c r="L1340" s="1" t="str"/>
      <x:c r="M1340" s="9" t="str">
        <x:v>https://poke.idleworld.online/pokepedia/pokemon/kabuto</x:v>
      </x:c>
    </x:row>
    <x:row r="1341" ht="22" customHeight="1">
      <x:c r="A1341" s="1" t="n">
        <x:v>140</x:v>
      </x:c>
      <x:c r="B1341" s="1" t="str">
        <x:v>Kabuto</x:v>
      </x:c>
      <x:c r="C1341" s="1" t="n">
        <x:v>1</x:v>
      </x:c>
      <x:c r="D1341" s="1" t="str">
        <x:v>Harden</x:v>
      </x:c>
      <x:c r="E1341" s="1" t="str">
        <x:v>Normal</x:v>
      </x:c>
      <x:c r="F1341" s="1" t="str">
        <x:v>Status</x:v>
      </x:c>
      <x:c r="G1341" s="10" t="n">
        <x:v>0</x:v>
      </x:c>
      <x:c r="H1341" s="10" t="str">
        <x:f>IF(F1341="Física",'Pokémon'!G144,IF(F1341="Especial",'Pokémon'!I144,""))</x:f>
      </x:c>
      <x:c r="I1341" s="10" t="str">
        <x:f>IF(OR(F1341="Status",G1341=0),"",G1341+H1341)</x:f>
      </x:c>
      <x:c r="J1341" s="10" t="n">
        <x:v>1</x:v>
      </x:c>
      <x:c r="K1341" s="12" t="n">
        <x:v>30</x:v>
      </x:c>
      <x:c r="L1341" s="1" t="str"/>
      <x:c r="M1341" s="9" t="str">
        <x:v>https://poke.idleworld.online/pokepedia/pokemon/kabuto</x:v>
      </x:c>
    </x:row>
    <x:row r="1342" ht="22" customHeight="1">
      <x:c r="A1342" s="1" t="n">
        <x:v>141</x:v>
      </x:c>
      <x:c r="B1342" s="1" t="str">
        <x:v>Kabutops</x:v>
      </x:c>
      <x:c r="C1342" s="1" t="n">
        <x:v>1</x:v>
      </x:c>
      <x:c r="D1342" s="1" t="str">
        <x:v>Crumbling Rain</x:v>
      </x:c>
      <x:c r="E1342" s="1" t="str">
        <x:v>Pedra</x:v>
      </x:c>
      <x:c r="F1342" s="1" t="str">
        <x:v>Física</x:v>
      </x:c>
      <x:c r="G1342" s="10" t="n">
        <x:v>300</x:v>
      </x:c>
      <x:c r="H1342" s="10" t="n">
        <x:f>IF(F1342="Física",'Pokémon'!G145,IF(F1342="Especial",'Pokémon'!I145,""))</x:f>
        <x:v>115</x:v>
      </x:c>
      <x:c r="I1342" s="10" t="n">
        <x:f>IF(OR(F1342="Status",G1342=0),"",G1342+H1342)</x:f>
        <x:v>415</x:v>
      </x:c>
      <x:c r="J1342" s="10" t="n">
        <x:v>1</x:v>
      </x:c>
      <x:c r="K1342" s="12" t="n">
        <x:v>10</x:v>
      </x:c>
      <x:c r="L1342" s="1" t="str">
        <x:v>Sim</x:v>
      </x:c>
      <x:c r="M1342" s="9" t="str">
        <x:v>https://poke.idleworld.online/pokepedia/pokemon/kabutops</x:v>
      </x:c>
    </x:row>
    <x:row r="1343" ht="22" customHeight="1">
      <x:c r="A1343" s="1" t="n">
        <x:v>141</x:v>
      </x:c>
      <x:c r="B1343" s="1" t="str">
        <x:v>Kabutops</x:v>
      </x:c>
      <x:c r="C1343" s="1" t="n">
        <x:v>5</x:v>
      </x:c>
      <x:c r="D1343" s="1" t="str">
        <x:v>Night Slash</x:v>
      </x:c>
      <x:c r="E1343" s="1" t="str">
        <x:v>Sombrio</x:v>
      </x:c>
      <x:c r="F1343" s="1" t="str">
        <x:v>Física</x:v>
      </x:c>
      <x:c r="G1343" s="10" t="n">
        <x:v>70</x:v>
      </x:c>
      <x:c r="H1343" s="10" t="n">
        <x:f>IF(F1343="Física",'Pokémon'!G145,IF(F1343="Especial",'Pokémon'!I145,""))</x:f>
        <x:v>115</x:v>
      </x:c>
      <x:c r="I1343" s="10" t="n">
        <x:f>IF(OR(F1343="Status",G1343=0),"",G1343+H1343)</x:f>
        <x:v>185</x:v>
      </x:c>
      <x:c r="J1343" s="10" t="n">
        <x:v>1</x:v>
      </x:c>
      <x:c r="K1343" s="12" t="n">
        <x:v>20</x:v>
      </x:c>
      <x:c r="L1343" s="1" t="str"/>
      <x:c r="M1343" s="9" t="str">
        <x:v>https://poke.idleworld.online/pokepedia/pokemon/kabutops</x:v>
      </x:c>
    </x:row>
    <x:row r="1344" ht="22" customHeight="1">
      <x:c r="A1344" s="1" t="n">
        <x:v>141</x:v>
      </x:c>
      <x:c r="B1344" s="1" t="str">
        <x:v>Kabutops</x:v>
      </x:c>
      <x:c r="C1344" s="1" t="n">
        <x:v>9</x:v>
      </x:c>
      <x:c r="D1344" s="1" t="str">
        <x:v>Slash</x:v>
      </x:c>
      <x:c r="E1344" s="1" t="str">
        <x:v>Normal</x:v>
      </x:c>
      <x:c r="F1344" s="1" t="str">
        <x:v>Física</x:v>
      </x:c>
      <x:c r="G1344" s="10" t="n">
        <x:v>70</x:v>
      </x:c>
      <x:c r="H1344" s="10" t="n">
        <x:f>IF(F1344="Física",'Pokémon'!G145,IF(F1344="Especial",'Pokémon'!I145,""))</x:f>
        <x:v>115</x:v>
      </x:c>
      <x:c r="I1344" s="10" t="n">
        <x:f>IF(OR(F1344="Status",G1344=0),"",G1344+H1344)</x:f>
        <x:v>185</x:v>
      </x:c>
      <x:c r="J1344" s="10" t="n">
        <x:v>40</x:v>
      </x:c>
      <x:c r="K1344" s="12" t="n">
        <x:v>20</x:v>
      </x:c>
      <x:c r="L1344" s="1" t="str"/>
      <x:c r="M1344" s="9" t="str">
        <x:v>https://poke.idleworld.online/pokepedia/pokemon/kabutops</x:v>
      </x:c>
    </x:row>
    <x:row r="1345" ht="22" customHeight="1">
      <x:c r="A1345" s="1" t="n">
        <x:v>141</x:v>
      </x:c>
      <x:c r="B1345" s="1" t="str">
        <x:v>Kabutops</x:v>
      </x:c>
      <x:c r="C1345" s="1" t="n">
        <x:v>4</x:v>
      </x:c>
      <x:c r="D1345" s="1" t="str">
        <x:v>Scratch</x:v>
      </x:c>
      <x:c r="E1345" s="1" t="str">
        <x:v>Normal</x:v>
      </x:c>
      <x:c r="F1345" s="1" t="str">
        <x:v>Física</x:v>
      </x:c>
      <x:c r="G1345" s="10" t="n">
        <x:v>40</x:v>
      </x:c>
      <x:c r="H1345" s="10" t="n">
        <x:f>IF(F1345="Física",'Pokémon'!G145,IF(F1345="Especial",'Pokémon'!I145,""))</x:f>
        <x:v>115</x:v>
      </x:c>
      <x:c r="I1345" s="10" t="n">
        <x:f>IF(OR(F1345="Status",G1345=0),"",G1345+H1345)</x:f>
        <x:v>155</x:v>
      </x:c>
      <x:c r="J1345" s="10" t="n">
        <x:v>1</x:v>
      </x:c>
      <x:c r="K1345" s="12" t="n">
        <x:v>15</x:v>
      </x:c>
      <x:c r="L1345" s="1" t="str"/>
      <x:c r="M1345" s="9" t="str">
        <x:v>https://poke.idleworld.online/pokepedia/pokemon/kabutops</x:v>
      </x:c>
    </x:row>
    <x:row r="1346" ht="22" customHeight="1">
      <x:c r="A1346" s="1" t="n">
        <x:v>141</x:v>
      </x:c>
      <x:c r="B1346" s="1" t="str">
        <x:v>Kabutops</x:v>
      </x:c>
      <x:c r="C1346" s="1" t="n">
        <x:v>7</x:v>
      </x:c>
      <x:c r="D1346" s="1" t="str">
        <x:v>Aqua Jet</x:v>
      </x:c>
      <x:c r="E1346" s="1" t="str">
        <x:v>Água</x:v>
      </x:c>
      <x:c r="F1346" s="1" t="str">
        <x:v>Física</x:v>
      </x:c>
      <x:c r="G1346" s="10" t="n">
        <x:v>40</x:v>
      </x:c>
      <x:c r="H1346" s="10" t="n">
        <x:f>IF(F1346="Física",'Pokémon'!G145,IF(F1346="Especial",'Pokémon'!I145,""))</x:f>
        <x:v>115</x:v>
      </x:c>
      <x:c r="I1346" s="10" t="n">
        <x:f>IF(OR(F1346="Status",G1346=0),"",G1346+H1346)</x:f>
        <x:v>155</x:v>
      </x:c>
      <x:c r="J1346" s="10" t="n">
        <x:v>31</x:v>
      </x:c>
      <x:c r="K1346" s="12" t="n">
        <x:v>30</x:v>
      </x:c>
      <x:c r="L1346" s="1" t="str"/>
      <x:c r="M1346" s="9" t="str">
        <x:v>https://poke.idleworld.online/pokepedia/pokemon/kabutops</x:v>
      </x:c>
    </x:row>
    <x:row r="1347" ht="22" customHeight="1">
      <x:c r="A1347" s="1" t="n">
        <x:v>141</x:v>
      </x:c>
      <x:c r="B1347" s="1" t="str">
        <x:v>Kabutops</x:v>
      </x:c>
      <x:c r="C1347" s="1" t="n">
        <x:v>3</x:v>
      </x:c>
      <x:c r="D1347" s="1" t="str">
        <x:v>Feint</x:v>
      </x:c>
      <x:c r="E1347" s="1" t="str">
        <x:v>Normal</x:v>
      </x:c>
      <x:c r="F1347" s="1" t="str">
        <x:v>Física</x:v>
      </x:c>
      <x:c r="G1347" s="10" t="n">
        <x:v>30</x:v>
      </x:c>
      <x:c r="H1347" s="10" t="n">
        <x:f>IF(F1347="Física",'Pokémon'!G145,IF(F1347="Especial",'Pokémon'!I145,""))</x:f>
        <x:v>115</x:v>
      </x:c>
      <x:c r="I1347" s="10" t="n">
        <x:f>IF(OR(F1347="Status",G1347=0),"",G1347+H1347)</x:f>
        <x:v>145</x:v>
      </x:c>
      <x:c r="J1347" s="10" t="n">
        <x:v>1</x:v>
      </x:c>
      <x:c r="K1347" s="12" t="n">
        <x:v>15</x:v>
      </x:c>
      <x:c r="L1347" s="1" t="str"/>
      <x:c r="M1347" s="9" t="str">
        <x:v>https://poke.idleworld.online/pokepedia/pokemon/kabutops</x:v>
      </x:c>
    </x:row>
    <x:row r="1348" ht="22" customHeight="1">
      <x:c r="A1348" s="1" t="n">
        <x:v>141</x:v>
      </x:c>
      <x:c r="B1348" s="1" t="str">
        <x:v>Kabutops</x:v>
      </x:c>
      <x:c r="C1348" s="1" t="n">
        <x:v>10</x:v>
      </x:c>
      <x:c r="D1348" s="1" t="str">
        <x:v>Ancient Power</x:v>
      </x:c>
      <x:c r="E1348" s="1" t="str">
        <x:v>Pedra</x:v>
      </x:c>
      <x:c r="F1348" s="1" t="str">
        <x:v>Especial</x:v>
      </x:c>
      <x:c r="G1348" s="10" t="n">
        <x:v>60</x:v>
      </x:c>
      <x:c r="H1348" s="10" t="n">
        <x:f>IF(F1348="Física",'Pokémon'!G145,IF(F1348="Especial",'Pokémon'!I145,""))</x:f>
        <x:v>65</x:v>
      </x:c>
      <x:c r="I1348" s="10" t="n">
        <x:f>IF(OR(F1348="Status",G1348=0),"",G1348+H1348)</x:f>
        <x:v>125</x:v>
      </x:c>
      <x:c r="J1348" s="10" t="n">
        <x:v>54</x:v>
      </x:c>
      <x:c r="K1348" s="12" t="n">
        <x:v>40</x:v>
      </x:c>
      <x:c r="L1348" s="1" t="str"/>
      <x:c r="M1348" s="9" t="str">
        <x:v>https://poke.idleworld.online/pokepedia/pokemon/kabutops</x:v>
      </x:c>
    </x:row>
    <x:row r="1349" ht="22" customHeight="1">
      <x:c r="A1349" s="1" t="n">
        <x:v>141</x:v>
      </x:c>
      <x:c r="B1349" s="1" t="str">
        <x:v>Kabutops</x:v>
      </x:c>
      <x:c r="C1349" s="1" t="n">
        <x:v>6</x:v>
      </x:c>
      <x:c r="D1349" s="1" t="str">
        <x:v>Mud Shot</x:v>
      </x:c>
      <x:c r="E1349" s="1" t="str">
        <x:v>Terrestre</x:v>
      </x:c>
      <x:c r="F1349" s="1" t="str">
        <x:v>Especial</x:v>
      </x:c>
      <x:c r="G1349" s="10" t="n">
        <x:v>55</x:v>
      </x:c>
      <x:c r="H1349" s="10" t="n">
        <x:f>IF(F1349="Física",'Pokémon'!G145,IF(F1349="Especial",'Pokémon'!I145,""))</x:f>
        <x:v>65</x:v>
      </x:c>
      <x:c r="I1349" s="10" t="n">
        <x:f>IF(OR(F1349="Status",G1349=0),"",G1349+H1349)</x:f>
        <x:v>120</x:v>
      </x:c>
      <x:c r="J1349" s="10" t="n">
        <x:v>16</x:v>
      </x:c>
      <x:c r="K1349" s="12" t="n">
        <x:v>15</x:v>
      </x:c>
      <x:c r="L1349" s="1" t="str"/>
      <x:c r="M1349" s="9" t="str">
        <x:v>https://poke.idleworld.online/pokepedia/pokemon/kabutops</x:v>
      </x:c>
    </x:row>
    <x:row r="1350" ht="22" customHeight="1">
      <x:c r="A1350" s="1" t="n">
        <x:v>141</x:v>
      </x:c>
      <x:c r="B1350" s="1" t="str">
        <x:v>Kabutops</x:v>
      </x:c>
      <x:c r="C1350" s="1" t="n">
        <x:v>8</x:v>
      </x:c>
      <x:c r="D1350" s="1" t="str">
        <x:v>Mega Drain</x:v>
      </x:c>
      <x:c r="E1350" s="1" t="str">
        <x:v>Planta</x:v>
      </x:c>
      <x:c r="F1350" s="1" t="str">
        <x:v>Especial</x:v>
      </x:c>
      <x:c r="G1350" s="10" t="n">
        <x:v>40</x:v>
      </x:c>
      <x:c r="H1350" s="10" t="n">
        <x:f>IF(F1350="Física",'Pokémon'!G145,IF(F1350="Especial",'Pokémon'!I145,""))</x:f>
        <x:v>65</x:v>
      </x:c>
      <x:c r="I1350" s="10" t="n">
        <x:f>IF(OR(F1350="Status",G1350=0),"",G1350+H1350)</x:f>
        <x:v>105</x:v>
      </x:c>
      <x:c r="J1350" s="10" t="n">
        <x:v>36</x:v>
      </x:c>
      <x:c r="K1350" s="12" t="n">
        <x:v>15</x:v>
      </x:c>
      <x:c r="L1350" s="1" t="str"/>
      <x:c r="M1350" s="9" t="str">
        <x:v>https://poke.idleworld.online/pokepedia/pokemon/kabutops</x:v>
      </x:c>
    </x:row>
    <x:row r="1351" ht="22" customHeight="1">
      <x:c r="A1351" s="1" t="n">
        <x:v>141</x:v>
      </x:c>
      <x:c r="B1351" s="1" t="str">
        <x:v>Kabutops</x:v>
      </x:c>
      <x:c r="C1351" s="1" t="n">
        <x:v>2</x:v>
      </x:c>
      <x:c r="D1351" s="1" t="str">
        <x:v>Absorb</x:v>
      </x:c>
      <x:c r="E1351" s="1" t="str">
        <x:v>Planta</x:v>
      </x:c>
      <x:c r="F1351" s="1" t="str">
        <x:v>Especial</x:v>
      </x:c>
      <x:c r="G1351" s="10" t="n">
        <x:v>20</x:v>
      </x:c>
      <x:c r="H1351" s="10" t="n">
        <x:f>IF(F1351="Física",'Pokémon'!G145,IF(F1351="Especial",'Pokémon'!I145,""))</x:f>
        <x:v>65</x:v>
      </x:c>
      <x:c r="I1351" s="10" t="n">
        <x:f>IF(OR(F1351="Status",G1351=0),"",G1351+H1351)</x:f>
        <x:v>85</x:v>
      </x:c>
      <x:c r="J1351" s="10" t="n">
        <x:v>1</x:v>
      </x:c>
      <x:c r="K1351" s="12" t="n">
        <x:v>15</x:v>
      </x:c>
      <x:c r="L1351" s="1" t="str"/>
      <x:c r="M1351" s="9" t="str">
        <x:v>https://poke.idleworld.online/pokepedia/pokemon/kabutops</x:v>
      </x:c>
    </x:row>
    <x:row r="1352" ht="22" customHeight="1">
      <x:c r="A1352" s="1" t="n">
        <x:v>142</x:v>
      </x:c>
      <x:c r="B1352" s="1" t="str">
        <x:v>Aerodactyl</x:v>
      </x:c>
      <x:c r="C1352" s="1" t="n">
        <x:v>4</x:v>
      </x:c>
      <x:c r="D1352" s="1" t="str">
        <x:v>Massive Hurricane</x:v>
      </x:c>
      <x:c r="E1352" s="1" t="str">
        <x:v>Voador</x:v>
      </x:c>
      <x:c r="F1352" s="1" t="str">
        <x:v>Física</x:v>
      </x:c>
      <x:c r="G1352" s="10" t="n">
        <x:v>300</x:v>
      </x:c>
      <x:c r="H1352" s="10" t="n">
        <x:f>IF(F1352="Física",'Pokémon'!G146,IF(F1352="Especial",'Pokémon'!I146,""))</x:f>
        <x:v>105</x:v>
      </x:c>
      <x:c r="I1352" s="10" t="n">
        <x:f>IF(OR(F1352="Status",G1352=0),"",G1352+H1352)</x:f>
        <x:v>405</x:v>
      </x:c>
      <x:c r="J1352" s="10" t="n">
        <x:v>1</x:v>
      </x:c>
      <x:c r="K1352" s="12" t="n">
        <x:v>10</x:v>
      </x:c>
      <x:c r="L1352" s="1" t="str">
        <x:v>Sim</x:v>
      </x:c>
      <x:c r="M1352" s="9" t="str">
        <x:v>https://poke.idleworld.online/pokepedia/pokemon/aerodactyl</x:v>
      </x:c>
    </x:row>
    <x:row r="1353" ht="22" customHeight="1">
      <x:c r="A1353" s="1" t="n">
        <x:v>142</x:v>
      </x:c>
      <x:c r="B1353" s="1" t="str">
        <x:v>Aerodactyl</x:v>
      </x:c>
      <x:c r="C1353" s="1" t="n">
        <x:v>5</x:v>
      </x:c>
      <x:c r="D1353" s="1" t="str">
        <x:v>Crumbling Rain</x:v>
      </x:c>
      <x:c r="E1353" s="1" t="str">
        <x:v>Pedra</x:v>
      </x:c>
      <x:c r="F1353" s="1" t="str">
        <x:v>Física</x:v>
      </x:c>
      <x:c r="G1353" s="10" t="n">
        <x:v>300</x:v>
      </x:c>
      <x:c r="H1353" s="10" t="n">
        <x:f>IF(F1353="Física",'Pokémon'!G146,IF(F1353="Especial",'Pokémon'!I146,""))</x:f>
        <x:v>105</x:v>
      </x:c>
      <x:c r="I1353" s="10" t="n">
        <x:f>IF(OR(F1353="Status",G1353=0),"",G1353+H1353)</x:f>
        <x:v>405</x:v>
      </x:c>
      <x:c r="J1353" s="10" t="n">
        <x:v>1</x:v>
      </x:c>
      <x:c r="K1353" s="12" t="n">
        <x:v>10</x:v>
      </x:c>
      <x:c r="L1353" s="1" t="str">
        <x:v>Sim</x:v>
      </x:c>
      <x:c r="M1353" s="9" t="str">
        <x:v>https://poke.idleworld.online/pokepedia/pokemon/aerodactyl</x:v>
      </x:c>
    </x:row>
    <x:row r="1354" ht="22" customHeight="1">
      <x:c r="A1354" s="1" t="n">
        <x:v>142</x:v>
      </x:c>
      <x:c r="B1354" s="1" t="str">
        <x:v>Aerodactyl</x:v>
      </x:c>
      <x:c r="C1354" s="1" t="n">
        <x:v>17</x:v>
      </x:c>
      <x:c r="D1354" s="1" t="str">
        <x:v>Giga Impact</x:v>
      </x:c>
      <x:c r="E1354" s="1" t="str">
        <x:v>Normal</x:v>
      </x:c>
      <x:c r="F1354" s="1" t="str">
        <x:v>Física</x:v>
      </x:c>
      <x:c r="G1354" s="10" t="n">
        <x:v>150</x:v>
      </x:c>
      <x:c r="H1354" s="10" t="n">
        <x:f>IF(F1354="Física",'Pokémon'!G146,IF(F1354="Especial",'Pokémon'!I146,""))</x:f>
        <x:v>105</x:v>
      </x:c>
      <x:c r="I1354" s="10" t="n">
        <x:f>IF(OR(F1354="Status",G1354=0),"",G1354+H1354)</x:f>
        <x:v>255</x:v>
      </x:c>
      <x:c r="J1354" s="10" t="n">
        <x:v>81</x:v>
      </x:c>
      <x:c r="K1354" s="12" t="n">
        <x:v>50</x:v>
      </x:c>
      <x:c r="L1354" s="1" t="str"/>
      <x:c r="M1354" s="9" t="str">
        <x:v>https://poke.idleworld.online/pokepedia/pokemon/aerodactyl</x:v>
      </x:c>
    </x:row>
    <x:row r="1355" ht="22" customHeight="1">
      <x:c r="A1355" s="1" t="n">
        <x:v>142</x:v>
      </x:c>
      <x:c r="B1355" s="1" t="str">
        <x:v>Aerodactyl</x:v>
      </x:c>
      <x:c r="C1355" s="1" t="n">
        <x:v>15</x:v>
      </x:c>
      <x:c r="D1355" s="1" t="str">
        <x:v>Hyper Beam</x:v>
      </x:c>
      <x:c r="E1355" s="1" t="str">
        <x:v>Normal</x:v>
      </x:c>
      <x:c r="F1355" s="1" t="str">
        <x:v>Especial</x:v>
      </x:c>
      <x:c r="G1355" s="10" t="n">
        <x:v>150</x:v>
      </x:c>
      <x:c r="H1355" s="10" t="n">
        <x:f>IF(F1355="Física",'Pokémon'!G146,IF(F1355="Especial",'Pokémon'!I146,""))</x:f>
        <x:v>60</x:v>
      </x:c>
      <x:c r="I1355" s="10" t="n">
        <x:f>IF(OR(F1355="Status",G1355=0),"",G1355+H1355)</x:f>
        <x:v>210</x:v>
      </x:c>
      <x:c r="J1355" s="10" t="n">
        <x:v>65</x:v>
      </x:c>
      <x:c r="K1355" s="12" t="n">
        <x:v>50</x:v>
      </x:c>
      <x:c r="L1355" s="1" t="str"/>
      <x:c r="M1355" s="9" t="str">
        <x:v>https://poke.idleworld.online/pokepedia/pokemon/aerodactyl</x:v>
      </x:c>
    </x:row>
    <x:row r="1356" ht="22" customHeight="1">
      <x:c r="A1356" s="1" t="n">
        <x:v>142</x:v>
      </x:c>
      <x:c r="B1356" s="1" t="str">
        <x:v>Aerodactyl</x:v>
      </x:c>
      <x:c r="C1356" s="1" t="n">
        <x:v>13</x:v>
      </x:c>
      <x:c r="D1356" s="1" t="str">
        <x:v>Take Down</x:v>
      </x:c>
      <x:c r="E1356" s="1" t="str">
        <x:v>Normal</x:v>
      </x:c>
      <x:c r="F1356" s="1" t="str">
        <x:v>Física</x:v>
      </x:c>
      <x:c r="G1356" s="10" t="n">
        <x:v>90</x:v>
      </x:c>
      <x:c r="H1356" s="10" t="n">
        <x:f>IF(F1356="Física",'Pokémon'!G146,IF(F1356="Especial",'Pokémon'!I146,""))</x:f>
        <x:v>105</x:v>
      </x:c>
      <x:c r="I1356" s="10" t="n">
        <x:f>IF(OR(F1356="Status",G1356=0),"",G1356+H1356)</x:f>
        <x:v>195</x:v>
      </x:c>
      <x:c r="J1356" s="10" t="n">
        <x:v>41</x:v>
      </x:c>
      <x:c r="K1356" s="12" t="n">
        <x:v>22</x:v>
      </x:c>
      <x:c r="L1356" s="1" t="str"/>
      <x:c r="M1356" s="9" t="str">
        <x:v>https://poke.idleworld.online/pokepedia/pokemon/aerodactyl</x:v>
      </x:c>
    </x:row>
    <x:row r="1357" ht="22" customHeight="1">
      <x:c r="A1357" s="1" t="n">
        <x:v>142</x:v>
      </x:c>
      <x:c r="B1357" s="1" t="str">
        <x:v>Aerodactyl</x:v>
      </x:c>
      <x:c r="C1357" s="1" t="n">
        <x:v>9</x:v>
      </x:c>
      <x:c r="D1357" s="1" t="str">
        <x:v>Iron Head</x:v>
      </x:c>
      <x:c r="E1357" s="1" t="str">
        <x:v>Aço</x:v>
      </x:c>
      <x:c r="F1357" s="1" t="str">
        <x:v>Física</x:v>
      </x:c>
      <x:c r="G1357" s="10" t="n">
        <x:v>80</x:v>
      </x:c>
      <x:c r="H1357" s="10" t="n">
        <x:f>IF(F1357="Física",'Pokémon'!G146,IF(F1357="Especial",'Pokémon'!I146,""))</x:f>
        <x:v>105</x:v>
      </x:c>
      <x:c r="I1357" s="10" t="n">
        <x:f>IF(OR(F1357="Status",G1357=0),"",G1357+H1357)</x:f>
        <x:v>185</x:v>
      </x:c>
      <x:c r="J1357" s="10" t="n">
        <x:v>1</x:v>
      </x:c>
      <x:c r="K1357" s="12" t="n">
        <x:v>22</x:v>
      </x:c>
      <x:c r="L1357" s="1" t="str"/>
      <x:c r="M1357" s="9" t="str">
        <x:v>https://poke.idleworld.online/pokepedia/pokemon/aerodactyl</x:v>
      </x:c>
    </x:row>
    <x:row r="1358" ht="22" customHeight="1">
      <x:c r="A1358" s="1" t="n">
        <x:v>142</x:v>
      </x:c>
      <x:c r="B1358" s="1" t="str">
        <x:v>Aerodactyl</x:v>
      </x:c>
      <x:c r="C1358" s="1" t="n">
        <x:v>12</x:v>
      </x:c>
      <x:c r="D1358" s="1" t="str">
        <x:v>Crunch</x:v>
      </x:c>
      <x:c r="E1358" s="1" t="str">
        <x:v>Sombrio</x:v>
      </x:c>
      <x:c r="F1358" s="1" t="str">
        <x:v>Física</x:v>
      </x:c>
      <x:c r="G1358" s="10" t="n">
        <x:v>80</x:v>
      </x:c>
      <x:c r="H1358" s="10" t="n">
        <x:f>IF(F1358="Física",'Pokémon'!G146,IF(F1358="Especial",'Pokémon'!I146,""))</x:f>
        <x:v>105</x:v>
      </x:c>
      <x:c r="I1358" s="10" t="n">
        <x:f>IF(OR(F1358="Status",G1358=0),"",G1358+H1358)</x:f>
        <x:v>185</x:v>
      </x:c>
      <x:c r="J1358" s="10" t="n">
        <x:v>33</x:v>
      </x:c>
      <x:c r="K1358" s="12" t="n">
        <x:v>22</x:v>
      </x:c>
      <x:c r="L1358" s="1" t="str"/>
      <x:c r="M1358" s="9" t="str">
        <x:v>https://poke.idleworld.online/pokepedia/pokemon/aerodactyl</x:v>
      </x:c>
    </x:row>
    <x:row r="1359" ht="22" customHeight="1">
      <x:c r="A1359" s="1" t="n">
        <x:v>142</x:v>
      </x:c>
      <x:c r="B1359" s="1" t="str">
        <x:v>Aerodactyl</x:v>
      </x:c>
      <x:c r="C1359" s="1" t="n">
        <x:v>16</x:v>
      </x:c>
      <x:c r="D1359" s="1" t="str">
        <x:v>Rock Slide</x:v>
      </x:c>
      <x:c r="E1359" s="1" t="str">
        <x:v>Pedra</x:v>
      </x:c>
      <x:c r="F1359" s="1" t="str">
        <x:v>Física</x:v>
      </x:c>
      <x:c r="G1359" s="10" t="n">
        <x:v>75</x:v>
      </x:c>
      <x:c r="H1359" s="10" t="n">
        <x:f>IF(F1359="Física",'Pokémon'!G146,IF(F1359="Especial",'Pokémon'!I146,""))</x:f>
        <x:v>105</x:v>
      </x:c>
      <x:c r="I1359" s="10" t="n">
        <x:f>IF(OR(F1359="Status",G1359=0),"",G1359+H1359)</x:f>
        <x:v>180</x:v>
      </x:c>
      <x:c r="J1359" s="10" t="n">
        <x:v>73</x:v>
      </x:c>
      <x:c r="K1359" s="12" t="n">
        <x:v>15</x:v>
      </x:c>
      <x:c r="L1359" s="1" t="str"/>
      <x:c r="M1359" s="9" t="str">
        <x:v>https://poke.idleworld.online/pokepedia/pokemon/aerodactyl</x:v>
      </x:c>
    </x:row>
    <x:row r="1360" ht="22" customHeight="1">
      <x:c r="A1360" s="1" t="n">
        <x:v>142</x:v>
      </x:c>
      <x:c r="B1360" s="1" t="str">
        <x:v>Aerodactyl</x:v>
      </x:c>
      <x:c r="C1360" s="1" t="n">
        <x:v>6</x:v>
      </x:c>
      <x:c r="D1360" s="1" t="str">
        <x:v>Thunder Fang</x:v>
      </x:c>
      <x:c r="E1360" s="1" t="str">
        <x:v>Elétrico</x:v>
      </x:c>
      <x:c r="F1360" s="1" t="str">
        <x:v>Física</x:v>
      </x:c>
      <x:c r="G1360" s="10" t="n">
        <x:v>65</x:v>
      </x:c>
      <x:c r="H1360" s="10" t="n">
        <x:f>IF(F1360="Física",'Pokémon'!G146,IF(F1360="Especial",'Pokémon'!I146,""))</x:f>
        <x:v>105</x:v>
      </x:c>
      <x:c r="I1360" s="10" t="n">
        <x:f>IF(OR(F1360="Status",G1360=0),"",G1360+H1360)</x:f>
        <x:v>170</x:v>
      </x:c>
      <x:c r="J1360" s="10" t="n">
        <x:v>1</x:v>
      </x:c>
      <x:c r="K1360" s="12" t="n">
        <x:v>20</x:v>
      </x:c>
      <x:c r="L1360" s="1" t="str"/>
      <x:c r="M1360" s="9" t="str">
        <x:v>https://poke.idleworld.online/pokepedia/pokemon/aerodactyl</x:v>
      </x:c>
    </x:row>
    <x:row r="1361" ht="22" customHeight="1">
      <x:c r="A1361" s="1" t="n">
        <x:v>142</x:v>
      </x:c>
      <x:c r="B1361" s="1" t="str">
        <x:v>Aerodactyl</x:v>
      </x:c>
      <x:c r="C1361" s="1" t="n">
        <x:v>7</x:v>
      </x:c>
      <x:c r="D1361" s="1" t="str">
        <x:v>Ice Fang</x:v>
      </x:c>
      <x:c r="E1361" s="1" t="str">
        <x:v>Gelo</x:v>
      </x:c>
      <x:c r="F1361" s="1" t="str">
        <x:v>Física</x:v>
      </x:c>
      <x:c r="G1361" s="10" t="n">
        <x:v>65</x:v>
      </x:c>
      <x:c r="H1361" s="10" t="n">
        <x:f>IF(F1361="Física",'Pokémon'!G146,IF(F1361="Especial",'Pokémon'!I146,""))</x:f>
        <x:v>105</x:v>
      </x:c>
      <x:c r="I1361" s="10" t="n">
        <x:f>IF(OR(F1361="Status",G1361=0),"",G1361+H1361)</x:f>
        <x:v>170</x:v>
      </x:c>
      <x:c r="J1361" s="10" t="n">
        <x:v>1</x:v>
      </x:c>
      <x:c r="K1361" s="12" t="n">
        <x:v>20</x:v>
      </x:c>
      <x:c r="L1361" s="1" t="str"/>
      <x:c r="M1361" s="9" t="str">
        <x:v>https://poke.idleworld.online/pokepedia/pokemon/aerodactyl</x:v>
      </x:c>
    </x:row>
    <x:row r="1362" ht="22" customHeight="1">
      <x:c r="A1362" s="1" t="n">
        <x:v>142</x:v>
      </x:c>
      <x:c r="B1362" s="1" t="str">
        <x:v>Aerodactyl</x:v>
      </x:c>
      <x:c r="C1362" s="1" t="n">
        <x:v>8</x:v>
      </x:c>
      <x:c r="D1362" s="1" t="str">
        <x:v>Fire Fang</x:v>
      </x:c>
      <x:c r="E1362" s="1" t="str">
        <x:v>Fogo</x:v>
      </x:c>
      <x:c r="F1362" s="1" t="str">
        <x:v>Física</x:v>
      </x:c>
      <x:c r="G1362" s="10" t="n">
        <x:v>65</x:v>
      </x:c>
      <x:c r="H1362" s="10" t="n">
        <x:f>IF(F1362="Física",'Pokémon'!G146,IF(F1362="Especial",'Pokémon'!I146,""))</x:f>
        <x:v>105</x:v>
      </x:c>
      <x:c r="I1362" s="10" t="n">
        <x:f>IF(OR(F1362="Status",G1362=0),"",G1362+H1362)</x:f>
        <x:v>170</x:v>
      </x:c>
      <x:c r="J1362" s="10" t="n">
        <x:v>1</x:v>
      </x:c>
      <x:c r="K1362" s="12" t="n">
        <x:v>20</x:v>
      </x:c>
      <x:c r="L1362" s="1" t="str"/>
      <x:c r="M1362" s="9" t="str">
        <x:v>https://poke.idleworld.online/pokepedia/pokemon/aerodactyl</x:v>
      </x:c>
    </x:row>
    <x:row r="1363" ht="22" customHeight="1">
      <x:c r="A1363" s="1" t="n">
        <x:v>142</x:v>
      </x:c>
      <x:c r="B1363" s="1" t="str">
        <x:v>Aerodactyl</x:v>
      </x:c>
      <x:c r="C1363" s="1" t="n">
        <x:v>2</x:v>
      </x:c>
      <x:c r="D1363" s="1" t="str">
        <x:v>Bite</x:v>
      </x:c>
      <x:c r="E1363" s="1" t="str">
        <x:v>Sombrio</x:v>
      </x:c>
      <x:c r="F1363" s="1" t="str">
        <x:v>Física</x:v>
      </x:c>
      <x:c r="G1363" s="10" t="n">
        <x:v>60</x:v>
      </x:c>
      <x:c r="H1363" s="10" t="n">
        <x:f>IF(F1363="Física",'Pokémon'!G146,IF(F1363="Especial",'Pokémon'!I146,""))</x:f>
        <x:v>105</x:v>
      </x:c>
      <x:c r="I1363" s="10" t="n">
        <x:f>IF(OR(F1363="Status",G1363=0),"",G1363+H1363)</x:f>
        <x:v>165</x:v>
      </x:c>
      <x:c r="J1363" s="10" t="n">
        <x:v>1</x:v>
      </x:c>
      <x:c r="K1363" s="12" t="n">
        <x:v>15</x:v>
      </x:c>
      <x:c r="L1363" s="1" t="str"/>
      <x:c r="M1363" s="9" t="str">
        <x:v>https://poke.idleworld.online/pokepedia/pokemon/aerodactyl</x:v>
      </x:c>
    </x:row>
    <x:row r="1364" ht="22" customHeight="1">
      <x:c r="A1364" s="1" t="n">
        <x:v>142</x:v>
      </x:c>
      <x:c r="B1364" s="1" t="str">
        <x:v>Aerodactyl</x:v>
      </x:c>
      <x:c r="C1364" s="1" t="n">
        <x:v>3</x:v>
      </x:c>
      <x:c r="D1364" s="1" t="str">
        <x:v>Wing Attack</x:v>
      </x:c>
      <x:c r="E1364" s="1" t="str">
        <x:v>Voador</x:v>
      </x:c>
      <x:c r="F1364" s="1" t="str">
        <x:v>Física</x:v>
      </x:c>
      <x:c r="G1364" s="10" t="n">
        <x:v>60</x:v>
      </x:c>
      <x:c r="H1364" s="10" t="n">
        <x:f>IF(F1364="Física",'Pokémon'!G146,IF(F1364="Especial",'Pokémon'!I146,""))</x:f>
        <x:v>105</x:v>
      </x:c>
      <x:c r="I1364" s="10" t="n">
        <x:f>IF(OR(F1364="Status",G1364=0),"",G1364+H1364)</x:f>
        <x:v>165</x:v>
      </x:c>
      <x:c r="J1364" s="10" t="n">
        <x:v>1</x:v>
      </x:c>
      <x:c r="K1364" s="12" t="n">
        <x:v>35</x:v>
      </x:c>
      <x:c r="L1364" s="1" t="str"/>
      <x:c r="M1364" s="9" t="str">
        <x:v>https://poke.idleworld.online/pokepedia/pokemon/aerodactyl</x:v>
      </x:c>
    </x:row>
    <x:row r="1365" ht="22" customHeight="1">
      <x:c r="A1365" s="1" t="n">
        <x:v>142</x:v>
      </x:c>
      <x:c r="B1365" s="1" t="str">
        <x:v>Aerodactyl</x:v>
      </x:c>
      <x:c r="C1365" s="1" t="n">
        <x:v>14</x:v>
      </x:c>
      <x:c r="D1365" s="1" t="str">
        <x:v>Sky Drop</x:v>
      </x:c>
      <x:c r="E1365" s="1" t="str">
        <x:v>Voador</x:v>
      </x:c>
      <x:c r="F1365" s="1" t="str">
        <x:v>Física</x:v>
      </x:c>
      <x:c r="G1365" s="10" t="n">
        <x:v>60</x:v>
      </x:c>
      <x:c r="H1365" s="10" t="n">
        <x:f>IF(F1365="Física",'Pokémon'!G146,IF(F1365="Especial",'Pokémon'!I146,""))</x:f>
        <x:v>105</x:v>
      </x:c>
      <x:c r="I1365" s="10" t="n">
        <x:f>IF(OR(F1365="Status",G1365=0),"",G1365+H1365)</x:f>
        <x:v>165</x:v>
      </x:c>
      <x:c r="J1365" s="10" t="n">
        <x:v>49</x:v>
      </x:c>
      <x:c r="K1365" s="12" t="n">
        <x:v>20</x:v>
      </x:c>
      <x:c r="L1365" s="1" t="str"/>
      <x:c r="M1365" s="9" t="str">
        <x:v>https://poke.idleworld.online/pokepedia/pokemon/aerodactyl</x:v>
      </x:c>
    </x:row>
    <x:row r="1366" ht="22" customHeight="1">
      <x:c r="A1366" s="1" t="n">
        <x:v>142</x:v>
      </x:c>
      <x:c r="B1366" s="1" t="str">
        <x:v>Aerodactyl</x:v>
      </x:c>
      <x:c r="C1366" s="1" t="n">
        <x:v>11</x:v>
      </x:c>
      <x:c r="D1366" s="1" t="str">
        <x:v>Ancient Power</x:v>
      </x:c>
      <x:c r="E1366" s="1" t="str">
        <x:v>Pedra</x:v>
      </x:c>
      <x:c r="F1366" s="1" t="str">
        <x:v>Especial</x:v>
      </x:c>
      <x:c r="G1366" s="10" t="n">
        <x:v>60</x:v>
      </x:c>
      <x:c r="H1366" s="10" t="n">
        <x:f>IF(F1366="Física",'Pokémon'!G146,IF(F1366="Especial",'Pokémon'!I146,""))</x:f>
        <x:v>60</x:v>
      </x:c>
      <x:c r="I1366" s="10" t="n">
        <x:f>IF(OR(F1366="Status",G1366=0),"",G1366+H1366)</x:f>
        <x:v>120</x:v>
      </x:c>
      <x:c r="J1366" s="10" t="n">
        <x:v>25</x:v>
      </x:c>
      <x:c r="K1366" s="12" t="n">
        <x:v>40</x:v>
      </x:c>
      <x:c r="L1366" s="1" t="str"/>
      <x:c r="M1366" s="9" t="str">
        <x:v>https://poke.idleworld.online/pokepedia/pokemon/aerodactyl</x:v>
      </x:c>
    </x:row>
    <x:row r="1367" ht="22" customHeight="1">
      <x:c r="A1367" s="1" t="n">
        <x:v>142</x:v>
      </x:c>
      <x:c r="B1367" s="1" t="str">
        <x:v>Aerodactyl</x:v>
      </x:c>
      <x:c r="C1367" s="1" t="n">
        <x:v>1</x:v>
      </x:c>
      <x:c r="D1367" s="1" t="str">
        <x:v>Super Sonic</x:v>
      </x:c>
      <x:c r="E1367" s="1" t="str">
        <x:v>Normal</x:v>
      </x:c>
      <x:c r="F1367" s="1" t="str">
        <x:v>Status</x:v>
      </x:c>
      <x:c r="G1367" s="10" t="n">
        <x:v>0</x:v>
      </x:c>
      <x:c r="H1367" s="10" t="str">
        <x:f>IF(F1367="Física",'Pokémon'!G146,IF(F1367="Especial",'Pokémon'!I146,""))</x:f>
      </x:c>
      <x:c r="I1367" s="10" t="str">
        <x:f>IF(OR(F1367="Status",G1367=0),"",G1367+H1367)</x:f>
      </x:c>
      <x:c r="J1367" s="10" t="n">
        <x:v>1</x:v>
      </x:c>
      <x:c r="K1367" s="12" t="n">
        <x:v>30</x:v>
      </x:c>
      <x:c r="L1367" s="1" t="str"/>
      <x:c r="M1367" s="9" t="str">
        <x:v>https://poke.idleworld.online/pokepedia/pokemon/aerodactyl</x:v>
      </x:c>
    </x:row>
    <x:row r="1368" ht="22" customHeight="1">
      <x:c r="A1368" s="1" t="n">
        <x:v>142</x:v>
      </x:c>
      <x:c r="B1368" s="1" t="str">
        <x:v>Aerodactyl</x:v>
      </x:c>
      <x:c r="C1368" s="1" t="n">
        <x:v>10</x:v>
      </x:c>
      <x:c r="D1368" s="1" t="str">
        <x:v>Roar</x:v>
      </x:c>
      <x:c r="E1368" s="1" t="str">
        <x:v>Normal</x:v>
      </x:c>
      <x:c r="F1368" s="1" t="str">
        <x:v>Status</x:v>
      </x:c>
      <x:c r="G1368" s="10" t="n">
        <x:v>0</x:v>
      </x:c>
      <x:c r="H1368" s="10" t="str">
        <x:f>IF(F1368="Física",'Pokémon'!G146,IF(F1368="Especial",'Pokémon'!I146,""))</x:f>
      </x:c>
      <x:c r="I1368" s="10" t="str">
        <x:f>IF(OR(F1368="Status",G1368=0),"",G1368+H1368)</x:f>
      </x:c>
      <x:c r="J1368" s="10" t="n">
        <x:v>9</x:v>
      </x:c>
      <x:c r="K1368" s="12" t="n">
        <x:v>40</x:v>
      </x:c>
      <x:c r="L1368" s="1" t="str"/>
      <x:c r="M1368" s="9" t="str">
        <x:v>https://poke.idleworld.online/pokepedia/pokemon/aerodactyl</x:v>
      </x:c>
    </x:row>
    <x:row r="1369" ht="22" customHeight="1">
      <x:c r="A1369" s="1" t="n">
        <x:v>143</x:v>
      </x:c>
      <x:c r="B1369" s="1" t="str">
        <x:v>Snorlax</x:v>
      </x:c>
      <x:c r="C1369" s="1" t="n">
        <x:v>9</x:v>
      </x:c>
      <x:c r="D1369" s="1" t="str">
        <x:v>Giga Impact</x:v>
      </x:c>
      <x:c r="E1369" s="1" t="str">
        <x:v>Normal</x:v>
      </x:c>
      <x:c r="F1369" s="1" t="str">
        <x:v>Física</x:v>
      </x:c>
      <x:c r="G1369" s="10" t="n">
        <x:v>150</x:v>
      </x:c>
      <x:c r="H1369" s="10" t="n">
        <x:f>IF(F1369="Física",'Pokémon'!G147,IF(F1369="Especial",'Pokémon'!I147,""))</x:f>
        <x:v>110</x:v>
      </x:c>
      <x:c r="I1369" s="10" t="n">
        <x:f>IF(OR(F1369="Status",G1369=0),"",G1369+H1369)</x:f>
        <x:v>260</x:v>
      </x:c>
      <x:c r="J1369" s="10" t="n">
        <x:v>57</x:v>
      </x:c>
      <x:c r="K1369" s="12" t="n">
        <x:v>40</x:v>
      </x:c>
      <x:c r="L1369" s="1" t="str"/>
      <x:c r="M1369" s="9" t="str">
        <x:v>https://poke.idleworld.online/pokepedia/pokemon/snorlax</x:v>
      </x:c>
    </x:row>
    <x:row r="1370" ht="22" customHeight="1">
      <x:c r="A1370" s="1" t="n">
        <x:v>143</x:v>
      </x:c>
      <x:c r="B1370" s="1" t="str">
        <x:v>Snorlax</x:v>
      </x:c>
      <x:c r="C1370" s="1" t="n">
        <x:v>4</x:v>
      </x:c>
      <x:c r="D1370" s="1" t="str">
        <x:v>Body Slam</x:v>
      </x:c>
      <x:c r="E1370" s="1" t="str">
        <x:v>Normal</x:v>
      </x:c>
      <x:c r="F1370" s="1" t="str">
        <x:v>Física</x:v>
      </x:c>
      <x:c r="G1370" s="10" t="n">
        <x:v>85</x:v>
      </x:c>
      <x:c r="H1370" s="10" t="n">
        <x:f>IF(F1370="Física",'Pokémon'!G147,IF(F1370="Especial",'Pokémon'!I147,""))</x:f>
        <x:v>110</x:v>
      </x:c>
      <x:c r="I1370" s="10" t="n">
        <x:f>IF(OR(F1370="Status",G1370=0),"",G1370+H1370)</x:f>
        <x:v>195</x:v>
      </x:c>
      <x:c r="J1370" s="10" t="n">
        <x:v>25</x:v>
      </x:c>
      <x:c r="K1370" s="12" t="n">
        <x:v>30</x:v>
      </x:c>
      <x:c r="L1370" s="1" t="str"/>
      <x:c r="M1370" s="9" t="str">
        <x:v>https://poke.idleworld.online/pokepedia/pokemon/snorlax</x:v>
      </x:c>
    </x:row>
    <x:row r="1371" ht="22" customHeight="1">
      <x:c r="A1371" s="1" t="n">
        <x:v>143</x:v>
      </x:c>
      <x:c r="B1371" s="1" t="str">
        <x:v>Snorlax</x:v>
      </x:c>
      <x:c r="C1371" s="1" t="n">
        <x:v>8</x:v>
      </x:c>
      <x:c r="D1371" s="1" t="str">
        <x:v>Crunch</x:v>
      </x:c>
      <x:c r="E1371" s="1" t="str">
        <x:v>Sombrio</x:v>
      </x:c>
      <x:c r="F1371" s="1" t="str">
        <x:v>Física</x:v>
      </x:c>
      <x:c r="G1371" s="10" t="n">
        <x:v>80</x:v>
      </x:c>
      <x:c r="H1371" s="10" t="n">
        <x:f>IF(F1371="Física",'Pokémon'!G147,IF(F1371="Especial",'Pokémon'!I147,""))</x:f>
        <x:v>110</x:v>
      </x:c>
      <x:c r="I1371" s="10" t="n">
        <x:f>IF(OR(F1371="Status",G1371=0),"",G1371+H1371)</x:f>
        <x:v>190</x:v>
      </x:c>
      <x:c r="J1371" s="10" t="n">
        <x:v>49</x:v>
      </x:c>
      <x:c r="K1371" s="12" t="n">
        <x:v>15</x:v>
      </x:c>
      <x:c r="L1371" s="1" t="str"/>
      <x:c r="M1371" s="9" t="str">
        <x:v>https://poke.idleworld.online/pokepedia/pokemon/snorlax</x:v>
      </x:c>
    </x:row>
    <x:row r="1372" ht="22" customHeight="1">
      <x:c r="A1372" s="1" t="n">
        <x:v>143</x:v>
      </x:c>
      <x:c r="B1372" s="1" t="str">
        <x:v>Snorlax</x:v>
      </x:c>
      <x:c r="C1372" s="1" t="n">
        <x:v>3</x:v>
      </x:c>
      <x:c r="D1372" s="1" t="str">
        <x:v>Chip Away</x:v>
      </x:c>
      <x:c r="E1372" s="1" t="str">
        <x:v>Normal</x:v>
      </x:c>
      <x:c r="F1372" s="1" t="str">
        <x:v>Física</x:v>
      </x:c>
      <x:c r="G1372" s="10" t="n">
        <x:v>70</x:v>
      </x:c>
      <x:c r="H1372" s="10" t="n">
        <x:f>IF(F1372="Física",'Pokémon'!G147,IF(F1372="Especial",'Pokémon'!I147,""))</x:f>
        <x:v>110</x:v>
      </x:c>
      <x:c r="I1372" s="10" t="n">
        <x:f>IF(OR(F1372="Status",G1372=0),"",G1372+H1372)</x:f>
        <x:v>180</x:v>
      </x:c>
      <x:c r="J1372" s="10" t="n">
        <x:v>17</x:v>
      </x:c>
      <x:c r="K1372" s="12" t="n">
        <x:v>20</x:v>
      </x:c>
      <x:c r="L1372" s="1" t="str"/>
      <x:c r="M1372" s="9" t="str">
        <x:v>https://poke.idleworld.online/pokepedia/pokemon/snorlax</x:v>
      </x:c>
    </x:row>
    <x:row r="1373" ht="22" customHeight="1">
      <x:c r="A1373" s="1" t="n">
        <x:v>143</x:v>
      </x:c>
      <x:c r="B1373" s="1" t="str">
        <x:v>Snorlax</x:v>
      </x:c>
      <x:c r="C1373" s="1" t="n">
        <x:v>1</x:v>
      </x:c>
      <x:c r="D1373" s="1" t="str">
        <x:v>Tackle</x:v>
      </x:c>
      <x:c r="E1373" s="1" t="str">
        <x:v>Normal</x:v>
      </x:c>
      <x:c r="F1373" s="1" t="str">
        <x:v>Física</x:v>
      </x:c>
      <x:c r="G1373" s="10" t="n">
        <x:v>50</x:v>
      </x:c>
      <x:c r="H1373" s="10" t="n">
        <x:f>IF(F1373="Física",'Pokémon'!G147,IF(F1373="Especial",'Pokémon'!I147,""))</x:f>
        <x:v>110</x:v>
      </x:c>
      <x:c r="I1373" s="10" t="n">
        <x:f>IF(OR(F1373="Status",G1373=0),"",G1373+H1373)</x:f>
        <x:v>160</x:v>
      </x:c>
      <x:c r="J1373" s="10" t="n">
        <x:v>1</x:v>
      </x:c>
      <x:c r="K1373" s="12" t="n">
        <x:v>15</x:v>
      </x:c>
      <x:c r="L1373" s="1" t="str"/>
      <x:c r="M1373" s="9" t="str">
        <x:v>https://poke.idleworld.online/pokepedia/pokemon/snorlax</x:v>
      </x:c>
    </x:row>
    <x:row r="1374" ht="22" customHeight="1">
      <x:c r="A1374" s="1" t="n">
        <x:v>143</x:v>
      </x:c>
      <x:c r="B1374" s="1" t="str">
        <x:v>Snorlax</x:v>
      </x:c>
      <x:c r="C1374" s="1" t="n">
        <x:v>2</x:v>
      </x:c>
      <x:c r="D1374" s="1" t="str">
        <x:v>Lick</x:v>
      </x:c>
      <x:c r="E1374" s="1" t="str">
        <x:v>Fantasma</x:v>
      </x:c>
      <x:c r="F1374" s="1" t="str">
        <x:v>Física</x:v>
      </x:c>
      <x:c r="G1374" s="10" t="n">
        <x:v>30</x:v>
      </x:c>
      <x:c r="H1374" s="10" t="n">
        <x:f>IF(F1374="Física",'Pokémon'!G147,IF(F1374="Especial",'Pokémon'!I147,""))</x:f>
        <x:v>110</x:v>
      </x:c>
      <x:c r="I1374" s="10" t="n">
        <x:f>IF(OR(F1374="Status",G1374=0),"",G1374+H1374)</x:f>
        <x:v>140</x:v>
      </x:c>
      <x:c r="J1374" s="10" t="n">
        <x:v>12</x:v>
      </x:c>
      <x:c r="K1374" s="12" t="n">
        <x:v>40</x:v>
      </x:c>
      <x:c r="L1374" s="1" t="str"/>
      <x:c r="M1374" s="9" t="str">
        <x:v>https://poke.idleworld.online/pokepedia/pokemon/snorlax</x:v>
      </x:c>
    </x:row>
    <x:row r="1375" ht="22" customHeight="1">
      <x:c r="A1375" s="1" t="n">
        <x:v>143</x:v>
      </x:c>
      <x:c r="B1375" s="1" t="str">
        <x:v>Snorlax</x:v>
      </x:c>
      <x:c r="C1375" s="1" t="n">
        <x:v>7</x:v>
      </x:c>
      <x:c r="D1375" s="1" t="str">
        <x:v>Rollout</x:v>
      </x:c>
      <x:c r="E1375" s="1" t="str">
        <x:v>Pedra</x:v>
      </x:c>
      <x:c r="F1375" s="1" t="str">
        <x:v>Física</x:v>
      </x:c>
      <x:c r="G1375" s="10" t="n">
        <x:v>30</x:v>
      </x:c>
      <x:c r="H1375" s="10" t="n">
        <x:f>IF(F1375="Física",'Pokémon'!G147,IF(F1375="Especial",'Pokémon'!I147,""))</x:f>
        <x:v>110</x:v>
      </x:c>
      <x:c r="I1375" s="10" t="n">
        <x:f>IF(OR(F1375="Status",G1375=0),"",G1375+H1375)</x:f>
        <x:v>140</x:v>
      </x:c>
      <x:c r="J1375" s="10" t="n">
        <x:v>36</x:v>
      </x:c>
      <x:c r="K1375" s="12" t="n">
        <x:v>15</x:v>
      </x:c>
      <x:c r="L1375" s="1" t="str"/>
      <x:c r="M1375" s="9" t="str">
        <x:v>https://poke.idleworld.online/pokepedia/pokemon/snorlax</x:v>
      </x:c>
    </x:row>
    <x:row r="1376" ht="22" customHeight="1">
      <x:c r="A1376" s="1" t="n">
        <x:v>143</x:v>
      </x:c>
      <x:c r="B1376" s="1" t="str">
        <x:v>Snorlax</x:v>
      </x:c>
      <x:c r="C1376" s="1" t="n">
        <x:v>6</x:v>
      </x:c>
      <x:c r="D1376" s="1" t="str">
        <x:v>Snore</x:v>
      </x:c>
      <x:c r="E1376" s="1" t="str">
        <x:v>Normal</x:v>
      </x:c>
      <x:c r="F1376" s="1" t="str">
        <x:v>Especial</x:v>
      </x:c>
      <x:c r="G1376" s="10" t="n">
        <x:v>50</x:v>
      </x:c>
      <x:c r="H1376" s="10" t="n">
        <x:f>IF(F1376="Física",'Pokémon'!G147,IF(F1376="Especial",'Pokémon'!I147,""))</x:f>
        <x:v>65</x:v>
      </x:c>
      <x:c r="I1376" s="10" t="n">
        <x:f>IF(OR(F1376="Status",G1376=0),"",G1376+H1376)</x:f>
        <x:v>115</x:v>
      </x:c>
      <x:c r="J1376" s="10" t="n">
        <x:v>28</x:v>
      </x:c>
      <x:c r="K1376" s="12" t="n">
        <x:v>15</x:v>
      </x:c>
      <x:c r="L1376" s="1" t="str"/>
      <x:c r="M1376" s="9" t="str">
        <x:v>https://poke.idleworld.online/pokepedia/pokemon/snorlax</x:v>
      </x:c>
    </x:row>
    <x:row r="1377" ht="22" customHeight="1">
      <x:c r="A1377" s="1" t="n">
        <x:v>143</x:v>
      </x:c>
      <x:c r="B1377" s="1" t="str">
        <x:v>Snorlax</x:v>
      </x:c>
      <x:c r="C1377" s="1" t="n">
        <x:v>5</x:v>
      </x:c>
      <x:c r="D1377" s="1" t="str">
        <x:v>Rest</x:v>
      </x:c>
      <x:c r="E1377" s="1" t="str">
        <x:v>Psíquico</x:v>
      </x:c>
      <x:c r="F1377" s="1" t="str">
        <x:v>Status</x:v>
      </x:c>
      <x:c r="G1377" s="10" t="n">
        <x:v>0</x:v>
      </x:c>
      <x:c r="H1377" s="10" t="str">
        <x:f>IF(F1377="Física",'Pokémon'!G147,IF(F1377="Especial",'Pokémon'!I147,""))</x:f>
      </x:c>
      <x:c r="I1377" s="10" t="str">
        <x:f>IF(OR(F1377="Status",G1377=0),"",G1377+H1377)</x:f>
      </x:c>
      <x:c r="J1377" s="10" t="n">
        <x:v>28</x:v>
      </x:c>
      <x:c r="K1377" s="12" t="n">
        <x:v>60</x:v>
      </x:c>
      <x:c r="L1377" s="1" t="str"/>
      <x:c r="M1377" s="9" t="str">
        <x:v>https://poke.idleworld.online/pokepedia/pokemon/snorlax</x:v>
      </x:c>
    </x:row>
    <x:row r="1378" ht="22" customHeight="1">
      <x:c r="A1378" s="1" t="n">
        <x:v>144</x:v>
      </x:c>
      <x:c r="B1378" s="1" t="str">
        <x:v>Articuno</x:v>
      </x:c>
      <x:c r="C1378" s="1" t="n">
        <x:v>3</x:v>
      </x:c>
      <x:c r="D1378" s="1" t="str">
        <x:v>Ice Time</x:v>
      </x:c>
      <x:c r="E1378" s="1" t="str">
        <x:v>Gelo</x:v>
      </x:c>
      <x:c r="F1378" s="1" t="str">
        <x:v>Especial</x:v>
      </x:c>
      <x:c r="G1378" s="10" t="n">
        <x:v>300</x:v>
      </x:c>
      <x:c r="H1378" s="10" t="n">
        <x:f>IF(F1378="Física",'Pokémon'!G148,IF(F1378="Especial",'Pokémon'!I148,""))</x:f>
        <x:v>95</x:v>
      </x:c>
      <x:c r="I1378" s="10" t="n">
        <x:f>IF(OR(F1378="Status",G1378=0),"",G1378+H1378)</x:f>
        <x:v>395</x:v>
      </x:c>
      <x:c r="J1378" s="10" t="n">
        <x:v>1</x:v>
      </x:c>
      <x:c r="K1378" s="12" t="n">
        <x:v>10</x:v>
      </x:c>
      <x:c r="L1378" s="1" t="str">
        <x:v>Sim</x:v>
      </x:c>
      <x:c r="M1378" s="9" t="str">
        <x:v>https://poke.idleworld.online/pokepedia/pokemon/articuno</x:v>
      </x:c>
    </x:row>
    <x:row r="1379" ht="22" customHeight="1">
      <x:c r="A1379" s="1" t="n">
        <x:v>144</x:v>
      </x:c>
      <x:c r="B1379" s="1" t="str">
        <x:v>Articuno</x:v>
      </x:c>
      <x:c r="C1379" s="1" t="n">
        <x:v>2</x:v>
      </x:c>
      <x:c r="D1379" s="1" t="str">
        <x:v>Massive Hurricane</x:v>
      </x:c>
      <x:c r="E1379" s="1" t="str">
        <x:v>Voador</x:v>
      </x:c>
      <x:c r="F1379" s="1" t="str">
        <x:v>Física</x:v>
      </x:c>
      <x:c r="G1379" s="10" t="n">
        <x:v>300</x:v>
      </x:c>
      <x:c r="H1379" s="10" t="n">
        <x:f>IF(F1379="Física",'Pokémon'!G148,IF(F1379="Especial",'Pokémon'!I148,""))</x:f>
        <x:v>85</x:v>
      </x:c>
      <x:c r="I1379" s="10" t="n">
        <x:f>IF(OR(F1379="Status",G1379=0),"",G1379+H1379)</x:f>
        <x:v>385</x:v>
      </x:c>
      <x:c r="J1379" s="10" t="n">
        <x:v>1</x:v>
      </x:c>
      <x:c r="K1379" s="12" t="n">
        <x:v>10</x:v>
      </x:c>
      <x:c r="L1379" s="1" t="str">
        <x:v>Sim</x:v>
      </x:c>
      <x:c r="M1379" s="9" t="str">
        <x:v>https://poke.idleworld.online/pokepedia/pokemon/articuno</x:v>
      </x:c>
    </x:row>
    <x:row r="1380" ht="22" customHeight="1">
      <x:c r="A1380" s="1" t="n">
        <x:v>144</x:v>
      </x:c>
      <x:c r="B1380" s="1" t="str">
        <x:v>Articuno</x:v>
      </x:c>
      <x:c r="C1380" s="1" t="n">
        <x:v>6</x:v>
      </x:c>
      <x:c r="D1380" s="1" t="str">
        <x:v>Hurricane</x:v>
      </x:c>
      <x:c r="E1380" s="1" t="str">
        <x:v>Voador</x:v>
      </x:c>
      <x:c r="F1380" s="1" t="str">
        <x:v>Especial</x:v>
      </x:c>
      <x:c r="G1380" s="10" t="n">
        <x:v>110</x:v>
      </x:c>
      <x:c r="H1380" s="10" t="n">
        <x:f>IF(F1380="Física",'Pokémon'!G148,IF(F1380="Especial",'Pokémon'!I148,""))</x:f>
        <x:v>95</x:v>
      </x:c>
      <x:c r="I1380" s="10" t="n">
        <x:f>IF(OR(F1380="Status",G1380=0),"",G1380+H1380)</x:f>
        <x:v>205</x:v>
      </x:c>
      <x:c r="J1380" s="10" t="n">
        <x:v>1</x:v>
      </x:c>
      <x:c r="K1380" s="12" t="n">
        <x:v>40</x:v>
      </x:c>
      <x:c r="L1380" s="1" t="str"/>
      <x:c r="M1380" s="9" t="str">
        <x:v>https://poke.idleworld.online/pokepedia/pokemon/articuno</x:v>
      </x:c>
    </x:row>
    <x:row r="1381" ht="22" customHeight="1">
      <x:c r="A1381" s="1" t="n">
        <x:v>144</x:v>
      </x:c>
      <x:c r="B1381" s="1" t="str">
        <x:v>Articuno</x:v>
      </x:c>
      <x:c r="C1381" s="1" t="n">
        <x:v>10</x:v>
      </x:c>
      <x:c r="D1381" s="1" t="str">
        <x:v>Blizzard</x:v>
      </x:c>
      <x:c r="E1381" s="1" t="str">
        <x:v>Gelo</x:v>
      </x:c>
      <x:c r="F1381" s="1" t="str">
        <x:v>Especial</x:v>
      </x:c>
      <x:c r="G1381" s="10" t="n">
        <x:v>110</x:v>
      </x:c>
      <x:c r="H1381" s="10" t="n">
        <x:f>IF(F1381="Física",'Pokémon'!G148,IF(F1381="Especial",'Pokémon'!I148,""))</x:f>
        <x:v>95</x:v>
      </x:c>
      <x:c r="I1381" s="10" t="n">
        <x:f>IF(OR(F1381="Status",G1381=0),"",G1381+H1381)</x:f>
        <x:v>205</x:v>
      </x:c>
      <x:c r="J1381" s="10" t="n">
        <x:v>71</x:v>
      </x:c>
      <x:c r="K1381" s="12" t="n">
        <x:v>80</x:v>
      </x:c>
      <x:c r="L1381" s="1" t="str"/>
      <x:c r="M1381" s="9" t="str">
        <x:v>https://poke.idleworld.online/pokepedia/pokemon/articuno</x:v>
      </x:c>
    </x:row>
    <x:row r="1382" ht="22" customHeight="1">
      <x:c r="A1382" s="1" t="n">
        <x:v>144</x:v>
      </x:c>
      <x:c r="B1382" s="1" t="str">
        <x:v>Articuno</x:v>
      </x:c>
      <x:c r="C1382" s="1" t="n">
        <x:v>9</x:v>
      </x:c>
      <x:c r="D1382" s="1" t="str">
        <x:v>Ice Beam</x:v>
      </x:c>
      <x:c r="E1382" s="1" t="str">
        <x:v>Gelo</x:v>
      </x:c>
      <x:c r="F1382" s="1" t="str">
        <x:v>Especial</x:v>
      </x:c>
      <x:c r="G1382" s="10" t="n">
        <x:v>90</x:v>
      </x:c>
      <x:c r="H1382" s="10" t="n">
        <x:f>IF(F1382="Física",'Pokémon'!G148,IF(F1382="Especial",'Pokémon'!I148,""))</x:f>
        <x:v>95</x:v>
      </x:c>
      <x:c r="I1382" s="10" t="n">
        <x:f>IF(OR(F1382="Status",G1382=0),"",G1382+H1382)</x:f>
        <x:v>185</x:v>
      </x:c>
      <x:c r="J1382" s="10" t="n">
        <x:v>43</x:v>
      </x:c>
      <x:c r="K1382" s="12" t="n">
        <x:v>18</x:v>
      </x:c>
      <x:c r="L1382" s="1" t="str"/>
      <x:c r="M1382" s="9" t="str">
        <x:v>https://poke.idleworld.online/pokepedia/pokemon/articuno</x:v>
      </x:c>
    </x:row>
    <x:row r="1383" ht="22" customHeight="1">
      <x:c r="A1383" s="1" t="n">
        <x:v>144</x:v>
      </x:c>
      <x:c r="B1383" s="1" t="str">
        <x:v>Articuno</x:v>
      </x:c>
      <x:c r="C1383" s="1" t="n">
        <x:v>5</x:v>
      </x:c>
      <x:c r="D1383" s="1" t="str">
        <x:v>Freeze-Dry</x:v>
      </x:c>
      <x:c r="E1383" s="1" t="str">
        <x:v>Gelo</x:v>
      </x:c>
      <x:c r="F1383" s="1" t="str">
        <x:v>Especial</x:v>
      </x:c>
      <x:c r="G1383" s="10" t="n">
        <x:v>70</x:v>
      </x:c>
      <x:c r="H1383" s="10" t="n">
        <x:f>IF(F1383="Física",'Pokémon'!G148,IF(F1383="Especial",'Pokémon'!I148,""))</x:f>
        <x:v>95</x:v>
      </x:c>
      <x:c r="I1383" s="10" t="n">
        <x:f>IF(OR(F1383="Status",G1383=0),"",G1383+H1383)</x:f>
        <x:v>165</x:v>
      </x:c>
      <x:c r="J1383" s="10" t="n">
        <x:v>1</x:v>
      </x:c>
      <x:c r="K1383" s="12" t="n">
        <x:v>20</x:v>
      </x:c>
      <x:c r="L1383" s="1" t="str"/>
      <x:c r="M1383" s="9" t="str">
        <x:v>https://poke.idleworld.online/pokepedia/pokemon/articuno</x:v>
      </x:c>
    </x:row>
    <x:row r="1384" ht="22" customHeight="1">
      <x:c r="A1384" s="1" t="n">
        <x:v>144</x:v>
      </x:c>
      <x:c r="B1384" s="1" t="str">
        <x:v>Articuno</x:v>
      </x:c>
      <x:c r="C1384" s="1" t="n">
        <x:v>8</x:v>
      </x:c>
      <x:c r="D1384" s="1" t="str">
        <x:v>Ancient Power</x:v>
      </x:c>
      <x:c r="E1384" s="1" t="str">
        <x:v>Pedra</x:v>
      </x:c>
      <x:c r="F1384" s="1" t="str">
        <x:v>Especial</x:v>
      </x:c>
      <x:c r="G1384" s="10" t="n">
        <x:v>60</x:v>
      </x:c>
      <x:c r="H1384" s="10" t="n">
        <x:f>IF(F1384="Física",'Pokémon'!G148,IF(F1384="Especial",'Pokémon'!I148,""))</x:f>
        <x:v>95</x:v>
      </x:c>
      <x:c r="I1384" s="10" t="n">
        <x:f>IF(OR(F1384="Status",G1384=0),"",G1384+H1384)</x:f>
        <x:v>155</x:v>
      </x:c>
      <x:c r="J1384" s="10" t="n">
        <x:v>29</x:v>
      </x:c>
      <x:c r="K1384" s="12" t="n">
        <x:v>40</x:v>
      </x:c>
      <x:c r="L1384" s="1" t="str"/>
      <x:c r="M1384" s="9" t="str">
        <x:v>https://poke.idleworld.online/pokepedia/pokemon/articuno</x:v>
      </x:c>
    </x:row>
    <x:row r="1385" ht="22" customHeight="1">
      <x:c r="A1385" s="1" t="n">
        <x:v>144</x:v>
      </x:c>
      <x:c r="B1385" s="1" t="str">
        <x:v>Articuno</x:v>
      </x:c>
      <x:c r="C1385" s="1" t="n">
        <x:v>1</x:v>
      </x:c>
      <x:c r="D1385" s="1" t="str">
        <x:v>Powder Snow</x:v>
      </x:c>
      <x:c r="E1385" s="1" t="str">
        <x:v>Gelo</x:v>
      </x:c>
      <x:c r="F1385" s="1" t="str">
        <x:v>Especial</x:v>
      </x:c>
      <x:c r="G1385" s="10" t="n">
        <x:v>40</x:v>
      </x:c>
      <x:c r="H1385" s="10" t="n">
        <x:f>IF(F1385="Física",'Pokémon'!G148,IF(F1385="Especial",'Pokémon'!I148,""))</x:f>
        <x:v>95</x:v>
      </x:c>
      <x:c r="I1385" s="10" t="n">
        <x:f>IF(OR(F1385="Status",G1385=0),"",G1385+H1385)</x:f>
        <x:v>135</x:v>
      </x:c>
      <x:c r="J1385" s="10" t="n">
        <x:v>1</x:v>
      </x:c>
      <x:c r="K1385" s="12" t="n">
        <x:v>30</x:v>
      </x:c>
      <x:c r="L1385" s="1" t="str"/>
      <x:c r="M1385" s="9" t="str">
        <x:v>https://poke.idleworld.online/pokepedia/pokemon/articuno</x:v>
      </x:c>
    </x:row>
    <x:row r="1386" ht="22" customHeight="1">
      <x:c r="A1386" s="1" t="n">
        <x:v>144</x:v>
      </x:c>
      <x:c r="B1386" s="1" t="str">
        <x:v>Articuno</x:v>
      </x:c>
      <x:c r="C1386" s="1" t="n">
        <x:v>4</x:v>
      </x:c>
      <x:c r="D1386" s="1" t="str">
        <x:v>Gust</x:v>
      </x:c>
      <x:c r="E1386" s="1" t="str">
        <x:v>Voador</x:v>
      </x:c>
      <x:c r="F1386" s="1" t="str">
        <x:v>Especial</x:v>
      </x:c>
      <x:c r="G1386" s="10" t="n">
        <x:v>40</x:v>
      </x:c>
      <x:c r="H1386" s="10" t="n">
        <x:f>IF(F1386="Física",'Pokémon'!G148,IF(F1386="Especial",'Pokémon'!I148,""))</x:f>
        <x:v>95</x:v>
      </x:c>
      <x:c r="I1386" s="10" t="n">
        <x:f>IF(OR(F1386="Status",G1386=0),"",G1386+H1386)</x:f>
        <x:v>135</x:v>
      </x:c>
      <x:c r="J1386" s="10" t="n">
        <x:v>1</x:v>
      </x:c>
      <x:c r="K1386" s="12" t="n">
        <x:v>15</x:v>
      </x:c>
      <x:c r="L1386" s="1" t="str"/>
      <x:c r="M1386" s="9" t="str">
        <x:v>https://poke.idleworld.online/pokepedia/pokemon/articuno</x:v>
      </x:c>
    </x:row>
    <x:row r="1387" ht="22" customHeight="1">
      <x:c r="A1387" s="1" t="n">
        <x:v>144</x:v>
      </x:c>
      <x:c r="B1387" s="1" t="str">
        <x:v>Articuno</x:v>
      </x:c>
      <x:c r="C1387" s="1" t="n">
        <x:v>7</x:v>
      </x:c>
      <x:c r="D1387" s="1" t="str">
        <x:v>Ice Shard</x:v>
      </x:c>
      <x:c r="E1387" s="1" t="str">
        <x:v>Gelo</x:v>
      </x:c>
      <x:c r="F1387" s="1" t="str">
        <x:v>Física</x:v>
      </x:c>
      <x:c r="G1387" s="10" t="n">
        <x:v>40</x:v>
      </x:c>
      <x:c r="H1387" s="10" t="n">
        <x:f>IF(F1387="Física",'Pokémon'!G148,IF(F1387="Especial",'Pokémon'!I148,""))</x:f>
        <x:v>85</x:v>
      </x:c>
      <x:c r="I1387" s="10" t="n">
        <x:f>IF(OR(F1387="Status",G1387=0),"",G1387+H1387)</x:f>
        <x:v>125</x:v>
      </x:c>
      <x:c r="J1387" s="10" t="n">
        <x:v>15</x:v>
      </x:c>
      <x:c r="K1387" s="12" t="n">
        <x:v>10</x:v>
      </x:c>
      <x:c r="L1387" s="1" t="str"/>
      <x:c r="M1387" s="9" t="str">
        <x:v>https://poke.idleworld.online/pokepedia/pokemon/articuno</x:v>
      </x:c>
    </x:row>
    <x:row r="1388" ht="22" customHeight="1">
      <x:c r="A1388" s="1" t="n">
        <x:v>145</x:v>
      </x:c>
      <x:c r="B1388" s="1" t="str">
        <x:v>Zapdos</x:v>
      </x:c>
      <x:c r="C1388" s="1" t="n">
        <x:v>5</x:v>
      </x:c>
      <x:c r="D1388" s="1" t="str">
        <x:v>Static Overload</x:v>
      </x:c>
      <x:c r="E1388" s="1" t="str">
        <x:v>Elétrico</x:v>
      </x:c>
      <x:c r="F1388" s="1" t="str">
        <x:v>Especial</x:v>
      </x:c>
      <x:c r="G1388" s="10" t="n">
        <x:v>300</x:v>
      </x:c>
      <x:c r="H1388" s="10" t="n">
        <x:f>IF(F1388="Física",'Pokémon'!G149,IF(F1388="Especial",'Pokémon'!I149,""))</x:f>
        <x:v>125</x:v>
      </x:c>
      <x:c r="I1388" s="10" t="n">
        <x:f>IF(OR(F1388="Status",G1388=0),"",G1388+H1388)</x:f>
        <x:v>425</x:v>
      </x:c>
      <x:c r="J1388" s="10" t="n">
        <x:v>1</x:v>
      </x:c>
      <x:c r="K1388" s="12" t="n">
        <x:v>10</x:v>
      </x:c>
      <x:c r="L1388" s="1" t="str">
        <x:v>Sim</x:v>
      </x:c>
      <x:c r="M1388" s="9" t="str">
        <x:v>https://poke.idleworld.online/pokepedia/pokemon/zapdos</x:v>
      </x:c>
    </x:row>
    <x:row r="1389" ht="22" customHeight="1">
      <x:c r="A1389" s="1" t="n">
        <x:v>145</x:v>
      </x:c>
      <x:c r="B1389" s="1" t="str">
        <x:v>Zapdos</x:v>
      </x:c>
      <x:c r="C1389" s="1" t="n">
        <x:v>4</x:v>
      </x:c>
      <x:c r="D1389" s="1" t="str">
        <x:v>Massive Hurricane</x:v>
      </x:c>
      <x:c r="E1389" s="1" t="str">
        <x:v>Voador</x:v>
      </x:c>
      <x:c r="F1389" s="1" t="str">
        <x:v>Física</x:v>
      </x:c>
      <x:c r="G1389" s="10" t="n">
        <x:v>300</x:v>
      </x:c>
      <x:c r="H1389" s="10" t="n">
        <x:f>IF(F1389="Física",'Pokémon'!G149,IF(F1389="Especial",'Pokémon'!I149,""))</x:f>
        <x:v>90</x:v>
      </x:c>
      <x:c r="I1389" s="10" t="n">
        <x:f>IF(OR(F1389="Status",G1389=0),"",G1389+H1389)</x:f>
        <x:v>390</x:v>
      </x:c>
      <x:c r="J1389" s="10" t="n">
        <x:v>1</x:v>
      </x:c>
      <x:c r="K1389" s="12" t="n">
        <x:v>10</x:v>
      </x:c>
      <x:c r="L1389" s="1" t="str">
        <x:v>Sim</x:v>
      </x:c>
      <x:c r="M1389" s="9" t="str">
        <x:v>https://poke.idleworld.online/pokepedia/pokemon/zapdos</x:v>
      </x:c>
    </x:row>
    <x:row r="1390" ht="22" customHeight="1">
      <x:c r="A1390" s="1" t="n">
        <x:v>145</x:v>
      </x:c>
      <x:c r="B1390" s="1" t="str">
        <x:v>Zapdos</x:v>
      </x:c>
      <x:c r="C1390" s="1" t="n">
        <x:v>6</x:v>
      </x:c>
      <x:c r="D1390" s="1" t="str">
        <x:v>Zap Cannon</x:v>
      </x:c>
      <x:c r="E1390" s="1" t="str">
        <x:v>Elétrico</x:v>
      </x:c>
      <x:c r="F1390" s="1" t="str">
        <x:v>Especial</x:v>
      </x:c>
      <x:c r="G1390" s="10" t="n">
        <x:v>120</x:v>
      </x:c>
      <x:c r="H1390" s="10" t="n">
        <x:f>IF(F1390="Física",'Pokémon'!G149,IF(F1390="Especial",'Pokémon'!I149,""))</x:f>
        <x:v>125</x:v>
      </x:c>
      <x:c r="I1390" s="10" t="n">
        <x:f>IF(OR(F1390="Status",G1390=0),"",G1390+H1390)</x:f>
        <x:v>245</x:v>
      </x:c>
      <x:c r="J1390" s="10" t="n">
        <x:v>1</x:v>
      </x:c>
      <x:c r="K1390" s="12" t="n">
        <x:v>50</x:v>
      </x:c>
      <x:c r="L1390" s="1" t="str"/>
      <x:c r="M1390" s="9" t="str">
        <x:v>https://poke.idleworld.online/pokepedia/pokemon/zapdos</x:v>
      </x:c>
    </x:row>
    <x:row r="1391" ht="22" customHeight="1">
      <x:c r="A1391" s="1" t="n">
        <x:v>145</x:v>
      </x:c>
      <x:c r="B1391" s="1" t="str">
        <x:v>Zapdos</x:v>
      </x:c>
      <x:c r="C1391" s="1" t="n">
        <x:v>11</x:v>
      </x:c>
      <x:c r="D1391" s="1" t="str">
        <x:v>Thunder</x:v>
      </x:c>
      <x:c r="E1391" s="1" t="str">
        <x:v>Elétrico</x:v>
      </x:c>
      <x:c r="F1391" s="1" t="str">
        <x:v>Especial</x:v>
      </x:c>
      <x:c r="G1391" s="10" t="n">
        <x:v>110</x:v>
      </x:c>
      <x:c r="H1391" s="10" t="n">
        <x:f>IF(F1391="Física",'Pokémon'!G149,IF(F1391="Especial",'Pokémon'!I149,""))</x:f>
        <x:v>125</x:v>
      </x:c>
      <x:c r="I1391" s="10" t="n">
        <x:f>IF(OR(F1391="Status",G1391=0),"",G1391+H1391)</x:f>
        <x:v>235</x:v>
      </x:c>
      <x:c r="J1391" s="10" t="n">
        <x:v>78</x:v>
      </x:c>
      <x:c r="K1391" s="12" t="n">
        <x:v>60</x:v>
      </x:c>
      <x:c r="L1391" s="1" t="str"/>
      <x:c r="M1391" s="9" t="str">
        <x:v>https://poke.idleworld.online/pokepedia/pokemon/zapdos</x:v>
      </x:c>
    </x:row>
    <x:row r="1392" ht="22" customHeight="1">
      <x:c r="A1392" s="1" t="n">
        <x:v>145</x:v>
      </x:c>
      <x:c r="B1392" s="1" t="str">
        <x:v>Zapdos</x:v>
      </x:c>
      <x:c r="C1392" s="1" t="n">
        <x:v>10</x:v>
      </x:c>
      <x:c r="D1392" s="1" t="str">
        <x:v>Discharge</x:v>
      </x:c>
      <x:c r="E1392" s="1" t="str">
        <x:v>Elétrico</x:v>
      </x:c>
      <x:c r="F1392" s="1" t="str">
        <x:v>Especial</x:v>
      </x:c>
      <x:c r="G1392" s="10" t="n">
        <x:v>80</x:v>
      </x:c>
      <x:c r="H1392" s="10" t="n">
        <x:f>IF(F1392="Física",'Pokémon'!G149,IF(F1392="Especial",'Pokémon'!I149,""))</x:f>
        <x:v>125</x:v>
      </x:c>
      <x:c r="I1392" s="10" t="n">
        <x:f>IF(OR(F1392="Status",G1392=0),"",G1392+H1392)</x:f>
        <x:v>205</x:v>
      </x:c>
      <x:c r="J1392" s="10" t="n">
        <x:v>50</x:v>
      </x:c>
      <x:c r="K1392" s="12" t="n">
        <x:v>22</x:v>
      </x:c>
      <x:c r="L1392" s="1" t="str"/>
      <x:c r="M1392" s="9" t="str">
        <x:v>https://poke.idleworld.online/pokepedia/pokemon/zapdos</x:v>
      </x:c>
    </x:row>
    <x:row r="1393" ht="22" customHeight="1">
      <x:c r="A1393" s="1" t="n">
        <x:v>145</x:v>
      </x:c>
      <x:c r="B1393" s="1" t="str">
        <x:v>Zapdos</x:v>
      </x:c>
      <x:c r="C1393" s="1" t="n">
        <x:v>9</x:v>
      </x:c>
      <x:c r="D1393" s="1" t="str">
        <x:v>Ancient Power</x:v>
      </x:c>
      <x:c r="E1393" s="1" t="str">
        <x:v>Pedra</x:v>
      </x:c>
      <x:c r="F1393" s="1" t="str">
        <x:v>Especial</x:v>
      </x:c>
      <x:c r="G1393" s="10" t="n">
        <x:v>60</x:v>
      </x:c>
      <x:c r="H1393" s="10" t="n">
        <x:f>IF(F1393="Física",'Pokémon'!G149,IF(F1393="Especial",'Pokémon'!I149,""))</x:f>
        <x:v>125</x:v>
      </x:c>
      <x:c r="I1393" s="10" t="n">
        <x:f>IF(OR(F1393="Status",G1393=0),"",G1393+H1393)</x:f>
        <x:v>185</x:v>
      </x:c>
      <x:c r="J1393" s="10" t="n">
        <x:v>29</x:v>
      </x:c>
      <x:c r="K1393" s="12" t="n">
        <x:v>40</x:v>
      </x:c>
      <x:c r="L1393" s="1" t="str"/>
      <x:c r="M1393" s="9" t="str">
        <x:v>https://poke.idleworld.online/pokepedia/pokemon/zapdos</x:v>
      </x:c>
    </x:row>
    <x:row r="1394" ht="22" customHeight="1">
      <x:c r="A1394" s="1" t="n">
        <x:v>145</x:v>
      </x:c>
      <x:c r="B1394" s="1" t="str">
        <x:v>Zapdos</x:v>
      </x:c>
      <x:c r="C1394" s="1" t="n">
        <x:v>1</x:v>
      </x:c>
      <x:c r="D1394" s="1" t="str">
        <x:v>Drill Peck</x:v>
      </x:c>
      <x:c r="E1394" s="1" t="str">
        <x:v>Voador</x:v>
      </x:c>
      <x:c r="F1394" s="1" t="str">
        <x:v>Física</x:v>
      </x:c>
      <x:c r="G1394" s="10" t="n">
        <x:v>80</x:v>
      </x:c>
      <x:c r="H1394" s="10" t="n">
        <x:f>IF(F1394="Física",'Pokémon'!G149,IF(F1394="Especial",'Pokémon'!I149,""))</x:f>
        <x:v>90</x:v>
      </x:c>
      <x:c r="I1394" s="10" t="n">
        <x:f>IF(OR(F1394="Status",G1394=0),"",G1394+H1394)</x:f>
        <x:v>170</x:v>
      </x:c>
      <x:c r="J1394" s="10" t="n">
        <x:v>1</x:v>
      </x:c>
      <x:c r="K1394" s="12" t="n">
        <x:v>12</x:v>
      </x:c>
      <x:c r="L1394" s="1" t="str"/>
      <x:c r="M1394" s="9" t="str">
        <x:v>https://poke.idleworld.online/pokepedia/pokemon/zapdos</x:v>
      </x:c>
    </x:row>
    <x:row r="1395" ht="22" customHeight="1">
      <x:c r="A1395" s="1" t="n">
        <x:v>145</x:v>
      </x:c>
      <x:c r="B1395" s="1" t="str">
        <x:v>Zapdos</x:v>
      </x:c>
      <x:c r="C1395" s="1" t="n">
        <x:v>3</x:v>
      </x:c>
      <x:c r="D1395" s="1" t="str">
        <x:v>Thunder Shock</x:v>
      </x:c>
      <x:c r="E1395" s="1" t="str">
        <x:v>Elétrico</x:v>
      </x:c>
      <x:c r="F1395" s="1" t="str">
        <x:v>Especial</x:v>
      </x:c>
      <x:c r="G1395" s="10" t="n">
        <x:v>40</x:v>
      </x:c>
      <x:c r="H1395" s="10" t="n">
        <x:f>IF(F1395="Física",'Pokémon'!G149,IF(F1395="Especial",'Pokémon'!I149,""))</x:f>
        <x:v>125</x:v>
      </x:c>
      <x:c r="I1395" s="10" t="n">
        <x:f>IF(OR(F1395="Status",G1395=0),"",G1395+H1395)</x:f>
        <x:v>165</x:v>
      </x:c>
      <x:c r="J1395" s="10" t="n">
        <x:v>1</x:v>
      </x:c>
      <x:c r="K1395" s="12" t="n">
        <x:v>10</x:v>
      </x:c>
      <x:c r="L1395" s="1" t="str"/>
      <x:c r="M1395" s="9" t="str">
        <x:v>https://poke.idleworld.online/pokepedia/pokemon/zapdos</x:v>
      </x:c>
    </x:row>
    <x:row r="1396" ht="22" customHeight="1">
      <x:c r="A1396" s="1" t="n">
        <x:v>145</x:v>
      </x:c>
      <x:c r="B1396" s="1" t="str">
        <x:v>Zapdos</x:v>
      </x:c>
      <x:c r="C1396" s="1" t="n">
        <x:v>8</x:v>
      </x:c>
      <x:c r="D1396" s="1" t="str">
        <x:v>Pluck</x:v>
      </x:c>
      <x:c r="E1396" s="1" t="str">
        <x:v>Voador</x:v>
      </x:c>
      <x:c r="F1396" s="1" t="str">
        <x:v>Física</x:v>
      </x:c>
      <x:c r="G1396" s="10" t="n">
        <x:v>60</x:v>
      </x:c>
      <x:c r="H1396" s="10" t="n">
        <x:f>IF(F1396="Física",'Pokémon'!G149,IF(F1396="Especial",'Pokémon'!I149,""))</x:f>
        <x:v>90</x:v>
      </x:c>
      <x:c r="I1396" s="10" t="n">
        <x:f>IF(OR(F1396="Status",G1396=0),"",G1396+H1396)</x:f>
        <x:v>150</x:v>
      </x:c>
      <x:c r="J1396" s="10" t="n">
        <x:v>22</x:v>
      </x:c>
      <x:c r="K1396" s="12" t="n">
        <x:v>20</x:v>
      </x:c>
      <x:c r="L1396" s="1" t="str"/>
      <x:c r="M1396" s="9" t="str">
        <x:v>https://poke.idleworld.online/pokepedia/pokemon/zapdos</x:v>
      </x:c>
    </x:row>
    <x:row r="1397" ht="22" customHeight="1">
      <x:c r="A1397" s="1" t="n">
        <x:v>145</x:v>
      </x:c>
      <x:c r="B1397" s="1" t="str">
        <x:v>Zapdos</x:v>
      </x:c>
      <x:c r="C1397" s="1" t="n">
        <x:v>2</x:v>
      </x:c>
      <x:c r="D1397" s="1" t="str">
        <x:v>Peck</x:v>
      </x:c>
      <x:c r="E1397" s="1" t="str">
        <x:v>Voador</x:v>
      </x:c>
      <x:c r="F1397" s="1" t="str">
        <x:v>Física</x:v>
      </x:c>
      <x:c r="G1397" s="10" t="n">
        <x:v>35</x:v>
      </x:c>
      <x:c r="H1397" s="10" t="n">
        <x:f>IF(F1397="Física",'Pokémon'!G149,IF(F1397="Especial",'Pokémon'!I149,""))</x:f>
        <x:v>90</x:v>
      </x:c>
      <x:c r="I1397" s="10" t="n">
        <x:f>IF(OR(F1397="Status",G1397=0),"",G1397+H1397)</x:f>
        <x:v>125</x:v>
      </x:c>
      <x:c r="J1397" s="10" t="n">
        <x:v>1</x:v>
      </x:c>
      <x:c r="K1397" s="12" t="n">
        <x:v>10</x:v>
      </x:c>
      <x:c r="L1397" s="1" t="str"/>
      <x:c r="M1397" s="9" t="str">
        <x:v>https://poke.idleworld.online/pokepedia/pokemon/zapdos</x:v>
      </x:c>
    </x:row>
    <x:row r="1398" ht="22" customHeight="1">
      <x:c r="A1398" s="1" t="n">
        <x:v>145</x:v>
      </x:c>
      <x:c r="B1398" s="1" t="str">
        <x:v>Zapdos</x:v>
      </x:c>
      <x:c r="C1398" s="1" t="n">
        <x:v>7</x:v>
      </x:c>
      <x:c r="D1398" s="1" t="str">
        <x:v>Thunder Wave</x:v>
      </x:c>
      <x:c r="E1398" s="1" t="str">
        <x:v>Elétrico</x:v>
      </x:c>
      <x:c r="F1398" s="1" t="str">
        <x:v>Status</x:v>
      </x:c>
      <x:c r="G1398" s="10" t="n">
        <x:v>0</x:v>
      </x:c>
      <x:c r="H1398" s="10" t="str">
        <x:f>IF(F1398="Física",'Pokémon'!G149,IF(F1398="Especial",'Pokémon'!I149,""))</x:f>
      </x:c>
      <x:c r="I1398" s="10" t="str">
        <x:f>IF(OR(F1398="Status",G1398=0),"",G1398+H1398)</x:f>
      </x:c>
      <x:c r="J1398" s="10" t="n">
        <x:v>8</x:v>
      </x:c>
      <x:c r="K1398" s="12" t="n">
        <x:v>25</x:v>
      </x:c>
      <x:c r="L1398" s="1" t="str"/>
      <x:c r="M1398" s="9" t="str">
        <x:v>https://poke.idleworld.online/pokepedia/pokemon/zapdos</x:v>
      </x:c>
    </x:row>
    <x:row r="1399" ht="22" customHeight="1">
      <x:c r="A1399" s="1" t="n">
        <x:v>146</x:v>
      </x:c>
      <x:c r="B1399" s="1" t="str">
        <x:v>Moltres</x:v>
      </x:c>
      <x:c r="C1399" s="1" t="n">
        <x:v>2</x:v>
      </x:c>
      <x:c r="D1399" s="1" t="str">
        <x:v>Ignition Point</x:v>
      </x:c>
      <x:c r="E1399" s="1" t="str">
        <x:v>Fogo</x:v>
      </x:c>
      <x:c r="F1399" s="1" t="str">
        <x:v>Especial</x:v>
      </x:c>
      <x:c r="G1399" s="10" t="n">
        <x:v>300</x:v>
      </x:c>
      <x:c r="H1399" s="10" t="n">
        <x:f>IF(F1399="Física",'Pokémon'!G150,IF(F1399="Especial",'Pokémon'!I150,""))</x:f>
        <x:v>125</x:v>
      </x:c>
      <x:c r="I1399" s="10" t="n">
        <x:f>IF(OR(F1399="Status",G1399=0),"",G1399+H1399)</x:f>
        <x:v>425</x:v>
      </x:c>
      <x:c r="J1399" s="10" t="n">
        <x:v>1</x:v>
      </x:c>
      <x:c r="K1399" s="12" t="n">
        <x:v>10</x:v>
      </x:c>
      <x:c r="L1399" s="1" t="str">
        <x:v>Sim</x:v>
      </x:c>
      <x:c r="M1399" s="9" t="str">
        <x:v>https://poke.idleworld.online/pokepedia/pokemon/moltres</x:v>
      </x:c>
    </x:row>
    <x:row r="1400" ht="22" customHeight="1">
      <x:c r="A1400" s="1" t="n">
        <x:v>146</x:v>
      </x:c>
      <x:c r="B1400" s="1" t="str">
        <x:v>Moltres</x:v>
      </x:c>
      <x:c r="C1400" s="1" t="n">
        <x:v>3</x:v>
      </x:c>
      <x:c r="D1400" s="1" t="str">
        <x:v>Massive Hurricane</x:v>
      </x:c>
      <x:c r="E1400" s="1" t="str">
        <x:v>Voador</x:v>
      </x:c>
      <x:c r="F1400" s="1" t="str">
        <x:v>Física</x:v>
      </x:c>
      <x:c r="G1400" s="10" t="n">
        <x:v>300</x:v>
      </x:c>
      <x:c r="H1400" s="10" t="n">
        <x:f>IF(F1400="Física",'Pokémon'!G150,IF(F1400="Especial",'Pokémon'!I150,""))</x:f>
        <x:v>100</x:v>
      </x:c>
      <x:c r="I1400" s="10" t="n">
        <x:f>IF(OR(F1400="Status",G1400=0),"",G1400+H1400)</x:f>
        <x:v>400</x:v>
      </x:c>
      <x:c r="J1400" s="10" t="n">
        <x:v>1</x:v>
      </x:c>
      <x:c r="K1400" s="12" t="n">
        <x:v>10</x:v>
      </x:c>
      <x:c r="L1400" s="1" t="str">
        <x:v>Sim</x:v>
      </x:c>
      <x:c r="M1400" s="9" t="str">
        <x:v>https://poke.idleworld.online/pokepedia/pokemon/moltres</x:v>
      </x:c>
    </x:row>
    <x:row r="1401" ht="22" customHeight="1">
      <x:c r="A1401" s="1" t="n">
        <x:v>146</x:v>
      </x:c>
      <x:c r="B1401" s="1" t="str">
        <x:v>Moltres</x:v>
      </x:c>
      <x:c r="C1401" s="1" t="n">
        <x:v>12</x:v>
      </x:c>
      <x:c r="D1401" s="1" t="str">
        <x:v>Solar Beam</x:v>
      </x:c>
      <x:c r="E1401" s="1" t="str">
        <x:v>Planta</x:v>
      </x:c>
      <x:c r="F1401" s="1" t="str">
        <x:v>Especial</x:v>
      </x:c>
      <x:c r="G1401" s="10" t="n">
        <x:v>120</x:v>
      </x:c>
      <x:c r="H1401" s="10" t="n">
        <x:f>IF(F1401="Física",'Pokémon'!G150,IF(F1401="Especial",'Pokémon'!I150,""))</x:f>
        <x:v>125</x:v>
      </x:c>
      <x:c r="I1401" s="10" t="n">
        <x:f>IF(OR(F1401="Status",G1401=0),"",G1401+H1401)</x:f>
        <x:v>245</x:v>
      </x:c>
      <x:c r="J1401" s="10" t="n">
        <x:v>71</x:v>
      </x:c>
      <x:c r="K1401" s="12" t="n">
        <x:v>30</x:v>
      </x:c>
      <x:c r="L1401" s="1" t="str"/>
      <x:c r="M1401" s="9" t="str">
        <x:v>https://poke.idleworld.online/pokepedia/pokemon/moltres</x:v>
      </x:c>
    </x:row>
    <x:row r="1402" ht="22" customHeight="1">
      <x:c r="A1402" s="1" t="n">
        <x:v>146</x:v>
      </x:c>
      <x:c r="B1402" s="1" t="str">
        <x:v>Moltres</x:v>
      </x:c>
      <x:c r="C1402" s="1" t="n">
        <x:v>7</x:v>
      </x:c>
      <x:c r="D1402" s="1" t="str">
        <x:v>Sky Attack</x:v>
      </x:c>
      <x:c r="E1402" s="1" t="str">
        <x:v>Voador</x:v>
      </x:c>
      <x:c r="F1402" s="1" t="str">
        <x:v>Física</x:v>
      </x:c>
      <x:c r="G1402" s="10" t="n">
        <x:v>140</x:v>
      </x:c>
      <x:c r="H1402" s="10" t="n">
        <x:f>IF(F1402="Física",'Pokémon'!G150,IF(F1402="Especial",'Pokémon'!I150,""))</x:f>
        <x:v>100</x:v>
      </x:c>
      <x:c r="I1402" s="10" t="n">
        <x:f>IF(OR(F1402="Status",G1402=0),"",G1402+H1402)</x:f>
        <x:v>240</x:v>
      </x:c>
      <x:c r="J1402" s="10" t="n">
        <x:v>1</x:v>
      </x:c>
      <x:c r="K1402" s="12" t="n">
        <x:v>50</x:v>
      </x:c>
      <x:c r="L1402" s="1" t="str"/>
      <x:c r="M1402" s="9" t="str">
        <x:v>https://poke.idleworld.online/pokepedia/pokemon/moltres</x:v>
      </x:c>
    </x:row>
    <x:row r="1403" ht="22" customHeight="1">
      <x:c r="A1403" s="1" t="n">
        <x:v>146</x:v>
      </x:c>
      <x:c r="B1403" s="1" t="str">
        <x:v>Moltres</x:v>
      </x:c>
      <x:c r="C1403" s="1" t="n">
        <x:v>6</x:v>
      </x:c>
      <x:c r="D1403" s="1" t="str">
        <x:v>Hurricane</x:v>
      </x:c>
      <x:c r="E1403" s="1" t="str">
        <x:v>Voador</x:v>
      </x:c>
      <x:c r="F1403" s="1" t="str">
        <x:v>Especial</x:v>
      </x:c>
      <x:c r="G1403" s="10" t="n">
        <x:v>110</x:v>
      </x:c>
      <x:c r="H1403" s="10" t="n">
        <x:f>IF(F1403="Física",'Pokémon'!G150,IF(F1403="Especial",'Pokémon'!I150,""))</x:f>
        <x:v>125</x:v>
      </x:c>
      <x:c r="I1403" s="10" t="n">
        <x:f>IF(OR(F1403="Status",G1403=0),"",G1403+H1403)</x:f>
        <x:v>235</x:v>
      </x:c>
      <x:c r="J1403" s="10" t="n">
        <x:v>1</x:v>
      </x:c>
      <x:c r="K1403" s="12" t="n">
        <x:v>40</x:v>
      </x:c>
      <x:c r="L1403" s="1" t="str"/>
      <x:c r="M1403" s="9" t="str">
        <x:v>https://poke.idleworld.online/pokepedia/pokemon/moltres</x:v>
      </x:c>
    </x:row>
    <x:row r="1404" ht="22" customHeight="1">
      <x:c r="A1404" s="1" t="n">
        <x:v>146</x:v>
      </x:c>
      <x:c r="B1404" s="1" t="str">
        <x:v>Moltres</x:v>
      </x:c>
      <x:c r="C1404" s="1" t="n">
        <x:v>5</x:v>
      </x:c>
      <x:c r="D1404" s="1" t="str">
        <x:v>Heat Wave</x:v>
      </x:c>
      <x:c r="E1404" s="1" t="str">
        <x:v>Fogo</x:v>
      </x:c>
      <x:c r="F1404" s="1" t="str">
        <x:v>Especial</x:v>
      </x:c>
      <x:c r="G1404" s="10" t="n">
        <x:v>95</x:v>
      </x:c>
      <x:c r="H1404" s="10" t="n">
        <x:f>IF(F1404="Física",'Pokémon'!G150,IF(F1404="Especial",'Pokémon'!I150,""))</x:f>
        <x:v>125</x:v>
      </x:c>
      <x:c r="I1404" s="10" t="n">
        <x:f>IF(OR(F1404="Status",G1404=0),"",G1404+H1404)</x:f>
        <x:v>220</x:v>
      </x:c>
      <x:c r="J1404" s="10" t="n">
        <x:v>1</x:v>
      </x:c>
      <x:c r="K1404" s="12" t="n">
        <x:v>40</x:v>
      </x:c>
      <x:c r="L1404" s="1" t="str"/>
      <x:c r="M1404" s="9" t="str">
        <x:v>https://poke.idleworld.online/pokepedia/pokemon/moltres</x:v>
      </x:c>
    </x:row>
    <x:row r="1405" ht="22" customHeight="1">
      <x:c r="A1405" s="1" t="n">
        <x:v>146</x:v>
      </x:c>
      <x:c r="B1405" s="1" t="str">
        <x:v>Moltres</x:v>
      </x:c>
      <x:c r="C1405" s="1" t="n">
        <x:v>10</x:v>
      </x:c>
      <x:c r="D1405" s="1" t="str">
        <x:v>Flamethrower</x:v>
      </x:c>
      <x:c r="E1405" s="1" t="str">
        <x:v>Fogo</x:v>
      </x:c>
      <x:c r="F1405" s="1" t="str">
        <x:v>Especial</x:v>
      </x:c>
      <x:c r="G1405" s="10" t="n">
        <x:v>90</x:v>
      </x:c>
      <x:c r="H1405" s="10" t="n">
        <x:f>IF(F1405="Física",'Pokémon'!G150,IF(F1405="Especial",'Pokémon'!I150,""))</x:f>
        <x:v>125</x:v>
      </x:c>
      <x:c r="I1405" s="10" t="n">
        <x:f>IF(OR(F1405="Status",G1405=0),"",G1405+H1405)</x:f>
        <x:v>215</x:v>
      </x:c>
      <x:c r="J1405" s="10" t="n">
        <x:v>36</x:v>
      </x:c>
      <x:c r="K1405" s="12" t="n">
        <x:v>18</x:v>
      </x:c>
      <x:c r="L1405" s="1" t="str"/>
      <x:c r="M1405" s="9" t="str">
        <x:v>https://poke.idleworld.online/pokepedia/pokemon/moltres</x:v>
      </x:c>
    </x:row>
    <x:row r="1406" ht="22" customHeight="1">
      <x:c r="A1406" s="1" t="n">
        <x:v>146</x:v>
      </x:c>
      <x:c r="B1406" s="1" t="str">
        <x:v>Moltres</x:v>
      </x:c>
      <x:c r="C1406" s="1" t="n">
        <x:v>11</x:v>
      </x:c>
      <x:c r="D1406" s="1" t="str">
        <x:v>Air Slash</x:v>
      </x:c>
      <x:c r="E1406" s="1" t="str">
        <x:v>Voador</x:v>
      </x:c>
      <x:c r="F1406" s="1" t="str">
        <x:v>Especial</x:v>
      </x:c>
      <x:c r="G1406" s="10" t="n">
        <x:v>75</x:v>
      </x:c>
      <x:c r="H1406" s="10" t="n">
        <x:f>IF(F1406="Física",'Pokémon'!G150,IF(F1406="Especial",'Pokémon'!I150,""))</x:f>
        <x:v>125</x:v>
      </x:c>
      <x:c r="I1406" s="10" t="n">
        <x:f>IF(OR(F1406="Status",G1406=0),"",G1406+H1406)</x:f>
        <x:v>200</x:v>
      </x:c>
      <x:c r="J1406" s="10" t="n">
        <x:v>50</x:v>
      </x:c>
      <x:c r="K1406" s="12" t="n">
        <x:v>35</x:v>
      </x:c>
      <x:c r="L1406" s="1" t="str"/>
      <x:c r="M1406" s="9" t="str">
        <x:v>https://poke.idleworld.online/pokepedia/pokemon/moltres</x:v>
      </x:c>
    </x:row>
    <x:row r="1407" ht="22" customHeight="1">
      <x:c r="A1407" s="1" t="n">
        <x:v>146</x:v>
      </x:c>
      <x:c r="B1407" s="1" t="str">
        <x:v>Moltres</x:v>
      </x:c>
      <x:c r="C1407" s="1" t="n">
        <x:v>9</x:v>
      </x:c>
      <x:c r="D1407" s="1" t="str">
        <x:v>Ancient Power</x:v>
      </x:c>
      <x:c r="E1407" s="1" t="str">
        <x:v>Pedra</x:v>
      </x:c>
      <x:c r="F1407" s="1" t="str">
        <x:v>Especial</x:v>
      </x:c>
      <x:c r="G1407" s="10" t="n">
        <x:v>60</x:v>
      </x:c>
      <x:c r="H1407" s="10" t="n">
        <x:f>IF(F1407="Física",'Pokémon'!G150,IF(F1407="Especial",'Pokémon'!I150,""))</x:f>
        <x:v>125</x:v>
      </x:c>
      <x:c r="I1407" s="10" t="n">
        <x:f>IF(OR(F1407="Status",G1407=0),"",G1407+H1407)</x:f>
        <x:v>185</x:v>
      </x:c>
      <x:c r="J1407" s="10" t="n">
        <x:v>29</x:v>
      </x:c>
      <x:c r="K1407" s="12" t="n">
        <x:v>40</x:v>
      </x:c>
      <x:c r="L1407" s="1" t="str"/>
      <x:c r="M1407" s="9" t="str">
        <x:v>https://poke.idleworld.online/pokepedia/pokemon/moltres</x:v>
      </x:c>
    </x:row>
    <x:row r="1408" ht="22" customHeight="1">
      <x:c r="A1408" s="1" t="n">
        <x:v>146</x:v>
      </x:c>
      <x:c r="B1408" s="1" t="str">
        <x:v>Moltres</x:v>
      </x:c>
      <x:c r="C1408" s="1" t="n">
        <x:v>1</x:v>
      </x:c>
      <x:c r="D1408" s="1" t="str">
        <x:v>Ember</x:v>
      </x:c>
      <x:c r="E1408" s="1" t="str">
        <x:v>Fogo</x:v>
      </x:c>
      <x:c r="F1408" s="1" t="str">
        <x:v>Especial</x:v>
      </x:c>
      <x:c r="G1408" s="10" t="n">
        <x:v>40</x:v>
      </x:c>
      <x:c r="H1408" s="10" t="n">
        <x:f>IF(F1408="Física",'Pokémon'!G150,IF(F1408="Especial",'Pokémon'!I150,""))</x:f>
        <x:v>125</x:v>
      </x:c>
      <x:c r="I1408" s="10" t="n">
        <x:f>IF(OR(F1408="Status",G1408=0),"",G1408+H1408)</x:f>
        <x:v>165</x:v>
      </x:c>
      <x:c r="J1408" s="10" t="n">
        <x:v>1</x:v>
      </x:c>
      <x:c r="K1408" s="12" t="n">
        <x:v>10</x:v>
      </x:c>
      <x:c r="L1408" s="1" t="str"/>
      <x:c r="M1408" s="9" t="str">
        <x:v>https://poke.idleworld.online/pokepedia/pokemon/moltres</x:v>
      </x:c>
    </x:row>
    <x:row r="1409" ht="22" customHeight="1">
      <x:c r="A1409" s="1" t="n">
        <x:v>146</x:v>
      </x:c>
      <x:c r="B1409" s="1" t="str">
        <x:v>Moltres</x:v>
      </x:c>
      <x:c r="C1409" s="1" t="n">
        <x:v>4</x:v>
      </x:c>
      <x:c r="D1409" s="1" t="str">
        <x:v>Wing Attack</x:v>
      </x:c>
      <x:c r="E1409" s="1" t="str">
        <x:v>Voador</x:v>
      </x:c>
      <x:c r="F1409" s="1" t="str">
        <x:v>Física</x:v>
      </x:c>
      <x:c r="G1409" s="10" t="n">
        <x:v>60</x:v>
      </x:c>
      <x:c r="H1409" s="10" t="n">
        <x:f>IF(F1409="Física",'Pokémon'!G150,IF(F1409="Especial",'Pokémon'!I150,""))</x:f>
        <x:v>100</x:v>
      </x:c>
      <x:c r="I1409" s="10" t="n">
        <x:f>IF(OR(F1409="Status",G1409=0),"",G1409+H1409)</x:f>
        <x:v>160</x:v>
      </x:c>
      <x:c r="J1409" s="10" t="n">
        <x:v>1</x:v>
      </x:c>
      <x:c r="K1409" s="12" t="n">
        <x:v>20</x:v>
      </x:c>
      <x:c r="L1409" s="1" t="str"/>
      <x:c r="M1409" s="9" t="str">
        <x:v>https://poke.idleworld.online/pokepedia/pokemon/moltres</x:v>
      </x:c>
    </x:row>
    <x:row r="1410" ht="22" customHeight="1">
      <x:c r="A1410" s="1" t="n">
        <x:v>146</x:v>
      </x:c>
      <x:c r="B1410" s="1" t="str">
        <x:v>Moltres</x:v>
      </x:c>
      <x:c r="C1410" s="1" t="n">
        <x:v>8</x:v>
      </x:c>
      <x:c r="D1410" s="1" t="str">
        <x:v>Fire Spin</x:v>
      </x:c>
      <x:c r="E1410" s="1" t="str">
        <x:v>Fogo</x:v>
      </x:c>
      <x:c r="F1410" s="1" t="str">
        <x:v>Especial</x:v>
      </x:c>
      <x:c r="G1410" s="10" t="n">
        <x:v>35</x:v>
      </x:c>
      <x:c r="H1410" s="10" t="n">
        <x:f>IF(F1410="Física",'Pokémon'!G150,IF(F1410="Especial",'Pokémon'!I150,""))</x:f>
        <x:v>125</x:v>
      </x:c>
      <x:c r="I1410" s="10" t="n">
        <x:f>IF(OR(F1410="Status",G1410=0),"",G1410+H1410)</x:f>
        <x:v>160</x:v>
      </x:c>
      <x:c r="J1410" s="10" t="n">
        <x:v>8</x:v>
      </x:c>
      <x:c r="K1410" s="12" t="n">
        <x:v>15</x:v>
      </x:c>
      <x:c r="L1410" s="1" t="str"/>
      <x:c r="M1410" s="9" t="str">
        <x:v>https://poke.idleworld.online/pokepedia/pokemon/moltres</x:v>
      </x:c>
    </x:row>
    <x:row r="1411" ht="22" customHeight="1">
      <x:c r="A1411" s="1" t="n">
        <x:v>147</x:v>
      </x:c>
      <x:c r="B1411" s="1" t="str">
        <x:v>Dratini</x:v>
      </x:c>
      <x:c r="C1411" s="1" t="n">
        <x:v>9</x:v>
      </x:c>
      <x:c r="D1411" s="1" t="str">
        <x:v>Hyper Beam</x:v>
      </x:c>
      <x:c r="E1411" s="1" t="str">
        <x:v>Normal</x:v>
      </x:c>
      <x:c r="F1411" s="1" t="str">
        <x:v>Especial</x:v>
      </x:c>
      <x:c r="G1411" s="10" t="n">
        <x:v>150</x:v>
      </x:c>
      <x:c r="H1411" s="10" t="n">
        <x:f>IF(F1411="Física",'Pokémon'!G151,IF(F1411="Especial",'Pokémon'!I151,""))</x:f>
        <x:v>50</x:v>
      </x:c>
      <x:c r="I1411" s="10" t="n">
        <x:f>IF(OR(F1411="Status",G1411=0),"",G1411+H1411)</x:f>
        <x:v>200</x:v>
      </x:c>
      <x:c r="J1411" s="10" t="n">
        <x:v>61</x:v>
      </x:c>
      <x:c r="K1411" s="12" t="n">
        <x:v>50</x:v>
      </x:c>
      <x:c r="L1411" s="1" t="str"/>
      <x:c r="M1411" s="9" t="str">
        <x:v>https://poke.idleworld.online/pokepedia/pokemon/dratini</x:v>
      </x:c>
    </x:row>
    <x:row r="1412" ht="22" customHeight="1">
      <x:c r="A1412" s="1" t="n">
        <x:v>147</x:v>
      </x:c>
      <x:c r="B1412" s="1" t="str">
        <x:v>Dratini</x:v>
      </x:c>
      <x:c r="C1412" s="1" t="n">
        <x:v>8</x:v>
      </x:c>
      <x:c r="D1412" s="1" t="str">
        <x:v>Outrage</x:v>
      </x:c>
      <x:c r="E1412" s="1" t="str">
        <x:v>Dragão</x:v>
      </x:c>
      <x:c r="F1412" s="1" t="str">
        <x:v>Física</x:v>
      </x:c>
      <x:c r="G1412" s="10" t="n">
        <x:v>120</x:v>
      </x:c>
      <x:c r="H1412" s="10" t="n">
        <x:f>IF(F1412="Física",'Pokémon'!G151,IF(F1412="Especial",'Pokémon'!I151,""))</x:f>
        <x:v>64</x:v>
      </x:c>
      <x:c r="I1412" s="10" t="n">
        <x:f>IF(OR(F1412="Status",G1412=0),"",G1412+H1412)</x:f>
        <x:v>184</x:v>
      </x:c>
      <x:c r="J1412" s="10" t="n">
        <x:v>55</x:v>
      </x:c>
      <x:c r="K1412" s="12" t="n">
        <x:v>50</x:v>
      </x:c>
      <x:c r="L1412" s="1" t="str"/>
      <x:c r="M1412" s="9" t="str">
        <x:v>https://poke.idleworld.online/pokepedia/pokemon/dratini</x:v>
      </x:c>
    </x:row>
    <x:row r="1413" ht="22" customHeight="1">
      <x:c r="A1413" s="1" t="n">
        <x:v>147</x:v>
      </x:c>
      <x:c r="B1413" s="1" t="str">
        <x:v>Dratini</x:v>
      </x:c>
      <x:c r="C1413" s="1" t="n">
        <x:v>7</x:v>
      </x:c>
      <x:c r="D1413" s="1" t="str">
        <x:v>Dragon Rush</x:v>
      </x:c>
      <x:c r="E1413" s="1" t="str">
        <x:v>Dragão</x:v>
      </x:c>
      <x:c r="F1413" s="1" t="str">
        <x:v>Física</x:v>
      </x:c>
      <x:c r="G1413" s="10" t="n">
        <x:v>100</x:v>
      </x:c>
      <x:c r="H1413" s="10" t="n">
        <x:f>IF(F1413="Física",'Pokémon'!G151,IF(F1413="Especial",'Pokémon'!I151,""))</x:f>
        <x:v>64</x:v>
      </x:c>
      <x:c r="I1413" s="10" t="n">
        <x:f>IF(OR(F1413="Status",G1413=0),"",G1413+H1413)</x:f>
        <x:v>164</x:v>
      </x:c>
      <x:c r="J1413" s="10" t="n">
        <x:v>41</x:v>
      </x:c>
      <x:c r="K1413" s="12" t="n">
        <x:v>40</x:v>
      </x:c>
      <x:c r="L1413" s="1" t="str"/>
      <x:c r="M1413" s="9" t="str">
        <x:v>https://poke.idleworld.online/pokepedia/pokemon/dratini</x:v>
      </x:c>
    </x:row>
    <x:row r="1414" ht="22" customHeight="1">
      <x:c r="A1414" s="1" t="n">
        <x:v>147</x:v>
      </x:c>
      <x:c r="B1414" s="1" t="str">
        <x:v>Dratini</x:v>
      </x:c>
      <x:c r="C1414" s="1" t="n">
        <x:v>6</x:v>
      </x:c>
      <x:c r="D1414" s="1" t="str">
        <x:v>Aqua Tail</x:v>
      </x:c>
      <x:c r="E1414" s="1" t="str">
        <x:v>Água</x:v>
      </x:c>
      <x:c r="F1414" s="1" t="str">
        <x:v>Física</x:v>
      </x:c>
      <x:c r="G1414" s="10" t="n">
        <x:v>90</x:v>
      </x:c>
      <x:c r="H1414" s="10" t="n">
        <x:f>IF(F1414="Física",'Pokémon'!G151,IF(F1414="Especial",'Pokémon'!I151,""))</x:f>
        <x:v>64</x:v>
      </x:c>
      <x:c r="I1414" s="10" t="n">
        <x:f>IF(OR(F1414="Status",G1414=0),"",G1414+H1414)</x:f>
        <x:v>154</x:v>
      </x:c>
      <x:c r="J1414" s="10" t="n">
        <x:v>35</x:v>
      </x:c>
      <x:c r="K1414" s="12" t="n">
        <x:v>15</x:v>
      </x:c>
      <x:c r="L1414" s="1" t="str"/>
      <x:c r="M1414" s="9" t="str">
        <x:v>https://poke.idleworld.online/pokepedia/pokemon/dratini</x:v>
      </x:c>
    </x:row>
    <x:row r="1415" ht="22" customHeight="1">
      <x:c r="A1415" s="1" t="n">
        <x:v>147</x:v>
      </x:c>
      <x:c r="B1415" s="1" t="str">
        <x:v>Dratini</x:v>
      </x:c>
      <x:c r="C1415" s="1" t="n">
        <x:v>4</x:v>
      </x:c>
      <x:c r="D1415" s="1" t="str">
        <x:v>Slam</x:v>
      </x:c>
      <x:c r="E1415" s="1" t="str">
        <x:v>Normal</x:v>
      </x:c>
      <x:c r="F1415" s="1" t="str">
        <x:v>Física</x:v>
      </x:c>
      <x:c r="G1415" s="10" t="n">
        <x:v>80</x:v>
      </x:c>
      <x:c r="H1415" s="10" t="n">
        <x:f>IF(F1415="Física",'Pokémon'!G151,IF(F1415="Especial",'Pokémon'!I151,""))</x:f>
        <x:v>64</x:v>
      </x:c>
      <x:c r="I1415" s="10" t="n">
        <x:f>IF(OR(F1415="Status",G1415=0),"",G1415+H1415)</x:f>
        <x:v>144</x:v>
      </x:c>
      <x:c r="J1415" s="10" t="n">
        <x:v>21</x:v>
      </x:c>
      <x:c r="K1415" s="12" t="n">
        <x:v>15</x:v>
      </x:c>
      <x:c r="L1415" s="1" t="str"/>
      <x:c r="M1415" s="9" t="str">
        <x:v>https://poke.idleworld.online/pokepedia/pokemon/dratini</x:v>
      </x:c>
    </x:row>
    <x:row r="1416" ht="22" customHeight="1">
      <x:c r="A1416" s="1" t="n">
        <x:v>147</x:v>
      </x:c>
      <x:c r="B1416" s="1" t="str">
        <x:v>Dratini</x:v>
      </x:c>
      <x:c r="C1416" s="1" t="n">
        <x:v>5</x:v>
      </x:c>
      <x:c r="D1416" s="1" t="str">
        <x:v>Dragon Tail</x:v>
      </x:c>
      <x:c r="E1416" s="1" t="str">
        <x:v>Dragão</x:v>
      </x:c>
      <x:c r="F1416" s="1" t="str">
        <x:v>Física</x:v>
      </x:c>
      <x:c r="G1416" s="10" t="n">
        <x:v>60</x:v>
      </x:c>
      <x:c r="H1416" s="10" t="n">
        <x:f>IF(F1416="Física",'Pokémon'!G151,IF(F1416="Especial",'Pokémon'!I151,""))</x:f>
        <x:v>64</x:v>
      </x:c>
      <x:c r="I1416" s="10" t="n">
        <x:f>IF(OR(F1416="Status",G1416=0),"",G1416+H1416)</x:f>
        <x:v>124</x:v>
      </x:c>
      <x:c r="J1416" s="10" t="n">
        <x:v>31</x:v>
      </x:c>
      <x:c r="K1416" s="12" t="n">
        <x:v>20</x:v>
      </x:c>
      <x:c r="L1416" s="1" t="str"/>
      <x:c r="M1416" s="9" t="str">
        <x:v>https://poke.idleworld.online/pokepedia/pokemon/dratini</x:v>
      </x:c>
    </x:row>
    <x:row r="1417" ht="22" customHeight="1">
      <x:c r="A1417" s="1" t="n">
        <x:v>147</x:v>
      </x:c>
      <x:c r="B1417" s="1" t="str">
        <x:v>Dratini</x:v>
      </x:c>
      <x:c r="C1417" s="1" t="n">
        <x:v>3</x:v>
      </x:c>
      <x:c r="D1417" s="1" t="str">
        <x:v>Twister</x:v>
      </x:c>
      <x:c r="E1417" s="1" t="str">
        <x:v>Dragão</x:v>
      </x:c>
      <x:c r="F1417" s="1" t="str">
        <x:v>Especial</x:v>
      </x:c>
      <x:c r="G1417" s="10" t="n">
        <x:v>40</x:v>
      </x:c>
      <x:c r="H1417" s="10" t="n">
        <x:f>IF(F1417="Física",'Pokémon'!G151,IF(F1417="Especial",'Pokémon'!I151,""))</x:f>
        <x:v>50</x:v>
      </x:c>
      <x:c r="I1417" s="10" t="n">
        <x:f>IF(OR(F1417="Status",G1417=0),"",G1417+H1417)</x:f>
        <x:v>90</x:v>
      </x:c>
      <x:c r="J1417" s="10" t="n">
        <x:v>11</x:v>
      </x:c>
      <x:c r="K1417" s="12" t="n">
        <x:v>35</x:v>
      </x:c>
      <x:c r="L1417" s="1" t="str"/>
      <x:c r="M1417" s="9" t="str">
        <x:v>https://poke.idleworld.online/pokepedia/pokemon/dratini</x:v>
      </x:c>
    </x:row>
    <x:row r="1418" ht="22" customHeight="1">
      <x:c r="A1418" s="1" t="n">
        <x:v>147</x:v>
      </x:c>
      <x:c r="B1418" s="1" t="str">
        <x:v>Dratini</x:v>
      </x:c>
      <x:c r="C1418" s="1" t="n">
        <x:v>1</x:v>
      </x:c>
      <x:c r="D1418" s="1" t="str">
        <x:v>Wrap</x:v>
      </x:c>
      <x:c r="E1418" s="1" t="str">
        <x:v>Normal</x:v>
      </x:c>
      <x:c r="F1418" s="1" t="str">
        <x:v>Física</x:v>
      </x:c>
      <x:c r="G1418" s="10" t="n">
        <x:v>15</x:v>
      </x:c>
      <x:c r="H1418" s="10" t="n">
        <x:f>IF(F1418="Física",'Pokémon'!G151,IF(F1418="Especial",'Pokémon'!I151,""))</x:f>
        <x:v>64</x:v>
      </x:c>
      <x:c r="I1418" s="10" t="n">
        <x:f>IF(OR(F1418="Status",G1418=0),"",G1418+H1418)</x:f>
        <x:v>79</x:v>
      </x:c>
      <x:c r="J1418" s="10" t="n">
        <x:v>1</x:v>
      </x:c>
      <x:c r="K1418" s="12" t="n">
        <x:v>15</x:v>
      </x:c>
      <x:c r="L1418" s="1" t="str"/>
      <x:c r="M1418" s="9" t="str">
        <x:v>https://poke.idleworld.online/pokepedia/pokemon/dratini</x:v>
      </x:c>
    </x:row>
    <x:row r="1419" ht="22" customHeight="1">
      <x:c r="A1419" s="1" t="n">
        <x:v>147</x:v>
      </x:c>
      <x:c r="B1419" s="1" t="str">
        <x:v>Dratini</x:v>
      </x:c>
      <x:c r="C1419" s="1" t="n">
        <x:v>2</x:v>
      </x:c>
      <x:c r="D1419" s="1" t="str">
        <x:v>Thunder Wave</x:v>
      </x:c>
      <x:c r="E1419" s="1" t="str">
        <x:v>Elétrico</x:v>
      </x:c>
      <x:c r="F1419" s="1" t="str">
        <x:v>Status</x:v>
      </x:c>
      <x:c r="G1419" s="10" t="n">
        <x:v>0</x:v>
      </x:c>
      <x:c r="H1419" s="10" t="str">
        <x:f>IF(F1419="Física",'Pokémon'!G151,IF(F1419="Especial",'Pokémon'!I151,""))</x:f>
      </x:c>
      <x:c r="I1419" s="10" t="str">
        <x:f>IF(OR(F1419="Status",G1419=0),"",G1419+H1419)</x:f>
      </x:c>
      <x:c r="J1419" s="10" t="n">
        <x:v>5</x:v>
      </x:c>
      <x:c r="K1419" s="12" t="n">
        <x:v>25</x:v>
      </x:c>
      <x:c r="L1419" s="1" t="str"/>
      <x:c r="M1419" s="9" t="str">
        <x:v>https://poke.idleworld.online/pokepedia/pokemon/dratini</x:v>
      </x:c>
    </x:row>
    <x:row r="1420" ht="22" customHeight="1">
      <x:c r="A1420" s="1" t="n">
        <x:v>148</x:v>
      </x:c>
      <x:c r="B1420" s="1" t="str">
        <x:v>Dragonair</x:v>
      </x:c>
      <x:c r="C1420" s="1" t="n">
        <x:v>9</x:v>
      </x:c>
      <x:c r="D1420" s="1" t="str">
        <x:v>Hyper Beam</x:v>
      </x:c>
      <x:c r="E1420" s="1" t="str">
        <x:v>Normal</x:v>
      </x:c>
      <x:c r="F1420" s="1" t="str">
        <x:v>Especial</x:v>
      </x:c>
      <x:c r="G1420" s="10" t="n">
        <x:v>150</x:v>
      </x:c>
      <x:c r="H1420" s="10" t="n">
        <x:f>IF(F1420="Física",'Pokémon'!G152,IF(F1420="Especial",'Pokémon'!I152,""))</x:f>
        <x:v>70</x:v>
      </x:c>
      <x:c r="I1420" s="10" t="n">
        <x:f>IF(OR(F1420="Status",G1420=0),"",G1420+H1420)</x:f>
        <x:v>220</x:v>
      </x:c>
      <x:c r="J1420" s="10" t="n">
        <x:v>75</x:v>
      </x:c>
      <x:c r="K1420" s="12" t="n">
        <x:v>50</x:v>
      </x:c>
      <x:c r="L1420" s="1" t="str"/>
      <x:c r="M1420" s="9" t="str">
        <x:v>https://poke.idleworld.online/pokepedia/pokemon/dragonair</x:v>
      </x:c>
    </x:row>
    <x:row r="1421" ht="22" customHeight="1">
      <x:c r="A1421" s="1" t="n">
        <x:v>148</x:v>
      </x:c>
      <x:c r="B1421" s="1" t="str">
        <x:v>Dragonair</x:v>
      </x:c>
      <x:c r="C1421" s="1" t="n">
        <x:v>8</x:v>
      </x:c>
      <x:c r="D1421" s="1" t="str">
        <x:v>Outrage</x:v>
      </x:c>
      <x:c r="E1421" s="1" t="str">
        <x:v>Dragão</x:v>
      </x:c>
      <x:c r="F1421" s="1" t="str">
        <x:v>Física</x:v>
      </x:c>
      <x:c r="G1421" s="10" t="n">
        <x:v>120</x:v>
      </x:c>
      <x:c r="H1421" s="10" t="n">
        <x:f>IF(F1421="Física",'Pokémon'!G152,IF(F1421="Especial",'Pokémon'!I152,""))</x:f>
        <x:v>84</x:v>
      </x:c>
      <x:c r="I1421" s="10" t="n">
        <x:f>IF(OR(F1421="Status",G1421=0),"",G1421+H1421)</x:f>
        <x:v>204</x:v>
      </x:c>
      <x:c r="J1421" s="10" t="n">
        <x:v>67</x:v>
      </x:c>
      <x:c r="K1421" s="12" t="n">
        <x:v>50</x:v>
      </x:c>
      <x:c r="L1421" s="1" t="str"/>
      <x:c r="M1421" s="9" t="str">
        <x:v>https://poke.idleworld.online/pokepedia/pokemon/dragonair</x:v>
      </x:c>
    </x:row>
    <x:row r="1422" ht="22" customHeight="1">
      <x:c r="A1422" s="1" t="n">
        <x:v>148</x:v>
      </x:c>
      <x:c r="B1422" s="1" t="str">
        <x:v>Dragonair</x:v>
      </x:c>
      <x:c r="C1422" s="1" t="n">
        <x:v>7</x:v>
      </x:c>
      <x:c r="D1422" s="1" t="str">
        <x:v>Dragon Rush</x:v>
      </x:c>
      <x:c r="E1422" s="1" t="str">
        <x:v>Dragão</x:v>
      </x:c>
      <x:c r="F1422" s="1" t="str">
        <x:v>Física</x:v>
      </x:c>
      <x:c r="G1422" s="10" t="n">
        <x:v>100</x:v>
      </x:c>
      <x:c r="H1422" s="10" t="n">
        <x:f>IF(F1422="Física",'Pokémon'!G152,IF(F1422="Especial",'Pokémon'!I152,""))</x:f>
        <x:v>84</x:v>
      </x:c>
      <x:c r="I1422" s="10" t="n">
        <x:f>IF(OR(F1422="Status",G1422=0),"",G1422+H1422)</x:f>
        <x:v>184</x:v>
      </x:c>
      <x:c r="J1422" s="10" t="n">
        <x:v>47</x:v>
      </x:c>
      <x:c r="K1422" s="12" t="n">
        <x:v>40</x:v>
      </x:c>
      <x:c r="L1422" s="1" t="str"/>
      <x:c r="M1422" s="9" t="str">
        <x:v>https://poke.idleworld.online/pokepedia/pokemon/dragonair</x:v>
      </x:c>
    </x:row>
    <x:row r="1423" ht="22" customHeight="1">
      <x:c r="A1423" s="1" t="n">
        <x:v>148</x:v>
      </x:c>
      <x:c r="B1423" s="1" t="str">
        <x:v>Dragonair</x:v>
      </x:c>
      <x:c r="C1423" s="1" t="n">
        <x:v>6</x:v>
      </x:c>
      <x:c r="D1423" s="1" t="str">
        <x:v>Aqua Tail</x:v>
      </x:c>
      <x:c r="E1423" s="1" t="str">
        <x:v>Água</x:v>
      </x:c>
      <x:c r="F1423" s="1" t="str">
        <x:v>Física</x:v>
      </x:c>
      <x:c r="G1423" s="10" t="n">
        <x:v>90</x:v>
      </x:c>
      <x:c r="H1423" s="10" t="n">
        <x:f>IF(F1423="Física",'Pokémon'!G152,IF(F1423="Especial",'Pokémon'!I152,""))</x:f>
        <x:v>84</x:v>
      </x:c>
      <x:c r="I1423" s="10" t="n">
        <x:f>IF(OR(F1423="Status",G1423=0),"",G1423+H1423)</x:f>
        <x:v>174</x:v>
      </x:c>
      <x:c r="J1423" s="10" t="n">
        <x:v>39</x:v>
      </x:c>
      <x:c r="K1423" s="12" t="n">
        <x:v>15</x:v>
      </x:c>
      <x:c r="L1423" s="1" t="str"/>
      <x:c r="M1423" s="9" t="str">
        <x:v>https://poke.idleworld.online/pokepedia/pokemon/dragonair</x:v>
      </x:c>
    </x:row>
    <x:row r="1424" ht="22" customHeight="1">
      <x:c r="A1424" s="1" t="n">
        <x:v>148</x:v>
      </x:c>
      <x:c r="B1424" s="1" t="str">
        <x:v>Dragonair</x:v>
      </x:c>
      <x:c r="C1424" s="1" t="n">
        <x:v>4</x:v>
      </x:c>
      <x:c r="D1424" s="1" t="str">
        <x:v>Slam</x:v>
      </x:c>
      <x:c r="E1424" s="1" t="str">
        <x:v>Normal</x:v>
      </x:c>
      <x:c r="F1424" s="1" t="str">
        <x:v>Física</x:v>
      </x:c>
      <x:c r="G1424" s="10" t="n">
        <x:v>80</x:v>
      </x:c>
      <x:c r="H1424" s="10" t="n">
        <x:f>IF(F1424="Física",'Pokémon'!G152,IF(F1424="Especial",'Pokémon'!I152,""))</x:f>
        <x:v>84</x:v>
      </x:c>
      <x:c r="I1424" s="10" t="n">
        <x:f>IF(OR(F1424="Status",G1424=0),"",G1424+H1424)</x:f>
        <x:v>164</x:v>
      </x:c>
      <x:c r="J1424" s="10" t="n">
        <x:v>21</x:v>
      </x:c>
      <x:c r="K1424" s="12" t="n">
        <x:v>15</x:v>
      </x:c>
      <x:c r="L1424" s="1" t="str"/>
      <x:c r="M1424" s="9" t="str">
        <x:v>https://poke.idleworld.online/pokepedia/pokemon/dragonair</x:v>
      </x:c>
    </x:row>
    <x:row r="1425" ht="22" customHeight="1">
      <x:c r="A1425" s="1" t="n">
        <x:v>148</x:v>
      </x:c>
      <x:c r="B1425" s="1" t="str">
        <x:v>Dragonair</x:v>
      </x:c>
      <x:c r="C1425" s="1" t="n">
        <x:v>5</x:v>
      </x:c>
      <x:c r="D1425" s="1" t="str">
        <x:v>Dragon Tail</x:v>
      </x:c>
      <x:c r="E1425" s="1" t="str">
        <x:v>Dragão</x:v>
      </x:c>
      <x:c r="F1425" s="1" t="str">
        <x:v>Física</x:v>
      </x:c>
      <x:c r="G1425" s="10" t="n">
        <x:v>60</x:v>
      </x:c>
      <x:c r="H1425" s="10" t="n">
        <x:f>IF(F1425="Física",'Pokémon'!G152,IF(F1425="Especial",'Pokémon'!I152,""))</x:f>
        <x:v>84</x:v>
      </x:c>
      <x:c r="I1425" s="10" t="n">
        <x:f>IF(OR(F1425="Status",G1425=0),"",G1425+H1425)</x:f>
        <x:v>144</x:v>
      </x:c>
      <x:c r="J1425" s="10" t="n">
        <x:v>33</x:v>
      </x:c>
      <x:c r="K1425" s="12" t="n">
        <x:v>15</x:v>
      </x:c>
      <x:c r="L1425" s="1" t="str"/>
      <x:c r="M1425" s="9" t="str">
        <x:v>https://poke.idleworld.online/pokepedia/pokemon/dragonair</x:v>
      </x:c>
    </x:row>
    <x:row r="1426" ht="22" customHeight="1">
      <x:c r="A1426" s="1" t="n">
        <x:v>148</x:v>
      </x:c>
      <x:c r="B1426" s="1" t="str">
        <x:v>Dragonair</x:v>
      </x:c>
      <x:c r="C1426" s="1" t="n">
        <x:v>1</x:v>
      </x:c>
      <x:c r="D1426" s="1" t="str">
        <x:v>Twister</x:v>
      </x:c>
      <x:c r="E1426" s="1" t="str">
        <x:v>Dragão</x:v>
      </x:c>
      <x:c r="F1426" s="1" t="str">
        <x:v>Especial</x:v>
      </x:c>
      <x:c r="G1426" s="10" t="n">
        <x:v>40</x:v>
      </x:c>
      <x:c r="H1426" s="10" t="n">
        <x:f>IF(F1426="Física",'Pokémon'!G152,IF(F1426="Especial",'Pokémon'!I152,""))</x:f>
        <x:v>70</x:v>
      </x:c>
      <x:c r="I1426" s="10" t="n">
        <x:f>IF(OR(F1426="Status",G1426=0),"",G1426+H1426)</x:f>
        <x:v>110</x:v>
      </x:c>
      <x:c r="J1426" s="10" t="n">
        <x:v>1</x:v>
      </x:c>
      <x:c r="K1426" s="12" t="n">
        <x:v>35</x:v>
      </x:c>
      <x:c r="L1426" s="1" t="str"/>
      <x:c r="M1426" s="9" t="str">
        <x:v>https://poke.idleworld.online/pokepedia/pokemon/dragonair</x:v>
      </x:c>
    </x:row>
    <x:row r="1427" ht="22" customHeight="1">
      <x:c r="A1427" s="1" t="n">
        <x:v>148</x:v>
      </x:c>
      <x:c r="B1427" s="1" t="str">
        <x:v>Dragonair</x:v>
      </x:c>
      <x:c r="C1427" s="1" t="n">
        <x:v>2</x:v>
      </x:c>
      <x:c r="D1427" s="1" t="str">
        <x:v>Wrap</x:v>
      </x:c>
      <x:c r="E1427" s="1" t="str">
        <x:v>Normal</x:v>
      </x:c>
      <x:c r="F1427" s="1" t="str">
        <x:v>Física</x:v>
      </x:c>
      <x:c r="G1427" s="10" t="n">
        <x:v>15</x:v>
      </x:c>
      <x:c r="H1427" s="10" t="n">
        <x:f>IF(F1427="Física",'Pokémon'!G152,IF(F1427="Especial",'Pokémon'!I152,""))</x:f>
        <x:v>84</x:v>
      </x:c>
      <x:c r="I1427" s="10" t="n">
        <x:f>IF(OR(F1427="Status",G1427=0),"",G1427+H1427)</x:f>
        <x:v>99</x:v>
      </x:c>
      <x:c r="J1427" s="10" t="n">
        <x:v>1</x:v>
      </x:c>
      <x:c r="K1427" s="12" t="n">
        <x:v>20</x:v>
      </x:c>
      <x:c r="L1427" s="1" t="str"/>
      <x:c r="M1427" s="9" t="str">
        <x:v>https://poke.idleworld.online/pokepedia/pokemon/dragonair</x:v>
      </x:c>
    </x:row>
    <x:row r="1428" ht="22" customHeight="1">
      <x:c r="A1428" s="1" t="n">
        <x:v>148</x:v>
      </x:c>
      <x:c r="B1428" s="1" t="str">
        <x:v>Dragonair</x:v>
      </x:c>
      <x:c r="C1428" s="1" t="n">
        <x:v>3</x:v>
      </x:c>
      <x:c r="D1428" s="1" t="str">
        <x:v>Thunder Wave</x:v>
      </x:c>
      <x:c r="E1428" s="1" t="str">
        <x:v>Elétrico</x:v>
      </x:c>
      <x:c r="F1428" s="1" t="str">
        <x:v>Status</x:v>
      </x:c>
      <x:c r="G1428" s="10" t="n">
        <x:v>0</x:v>
      </x:c>
      <x:c r="H1428" s="10" t="str">
        <x:f>IF(F1428="Física",'Pokémon'!G152,IF(F1428="Especial",'Pokémon'!I152,""))</x:f>
      </x:c>
      <x:c r="I1428" s="10" t="str">
        <x:f>IF(OR(F1428="Status",G1428=0),"",G1428+H1428)</x:f>
      </x:c>
      <x:c r="J1428" s="10" t="n">
        <x:v>1</x:v>
      </x:c>
      <x:c r="K1428" s="12" t="n">
        <x:v>25</x:v>
      </x:c>
      <x:c r="L1428" s="1" t="str"/>
      <x:c r="M1428" s="9" t="str">
        <x:v>https://poke.idleworld.online/pokepedia/pokemon/dragonair</x:v>
      </x:c>
    </x:row>
    <x:row r="1429" ht="22" customHeight="1">
      <x:c r="A1429" s="1" t="n">
        <x:v>149</x:v>
      </x:c>
      <x:c r="B1429" s="1" t="str">
        <x:v>Dragonite</x:v>
      </x:c>
      <x:c r="C1429" s="1" t="n">
        <x:v>2</x:v>
      </x:c>
      <x:c r="D1429" s="1" t="str">
        <x:v>Massive Hurricane</x:v>
      </x:c>
      <x:c r="E1429" s="1" t="str">
        <x:v>Voador</x:v>
      </x:c>
      <x:c r="F1429" s="1" t="str">
        <x:v>Física</x:v>
      </x:c>
      <x:c r="G1429" s="10" t="n">
        <x:v>300</x:v>
      </x:c>
      <x:c r="H1429" s="10" t="n">
        <x:f>IF(F1429="Física",'Pokémon'!G153,IF(F1429="Especial",'Pokémon'!I153,""))</x:f>
        <x:v>134</x:v>
      </x:c>
      <x:c r="I1429" s="10" t="n">
        <x:f>IF(OR(F1429="Status",G1429=0),"",G1429+H1429)</x:f>
        <x:v>434</x:v>
      </x:c>
      <x:c r="J1429" s="10" t="n">
        <x:v>1</x:v>
      </x:c>
      <x:c r="K1429" s="12" t="n">
        <x:v>10</x:v>
      </x:c>
      <x:c r="L1429" s="1" t="str">
        <x:v>Sim</x:v>
      </x:c>
      <x:c r="M1429" s="9" t="str">
        <x:v>https://poke.idleworld.online/pokepedia/pokemon/dragonite</x:v>
      </x:c>
    </x:row>
    <x:row r="1430" ht="22" customHeight="1">
      <x:c r="A1430" s="1" t="n">
        <x:v>149</x:v>
      </x:c>
      <x:c r="B1430" s="1" t="str">
        <x:v>Dragonite</x:v>
      </x:c>
      <x:c r="C1430" s="1" t="n">
        <x:v>3</x:v>
      </x:c>
      <x:c r="D1430" s="1" t="str">
        <x:v>Draconic Soul</x:v>
      </x:c>
      <x:c r="E1430" s="1" t="str">
        <x:v>Dragão</x:v>
      </x:c>
      <x:c r="F1430" s="1" t="str">
        <x:v>Especial</x:v>
      </x:c>
      <x:c r="G1430" s="10" t="n">
        <x:v>300</x:v>
      </x:c>
      <x:c r="H1430" s="10" t="n">
        <x:f>IF(F1430="Física",'Pokémon'!G153,IF(F1430="Especial",'Pokémon'!I153,""))</x:f>
        <x:v>100</x:v>
      </x:c>
      <x:c r="I1430" s="10" t="n">
        <x:f>IF(OR(F1430="Status",G1430=0),"",G1430+H1430)</x:f>
        <x:v>400</x:v>
      </x:c>
      <x:c r="J1430" s="10" t="n">
        <x:v>1</x:v>
      </x:c>
      <x:c r="K1430" s="12" t="n">
        <x:v>10</x:v>
      </x:c>
      <x:c r="L1430" s="1" t="str">
        <x:v>Sim</x:v>
      </x:c>
      <x:c r="M1430" s="9" t="str">
        <x:v>https://poke.idleworld.online/pokepedia/pokemon/dragonite</x:v>
      </x:c>
    </x:row>
    <x:row r="1431" ht="22" customHeight="1">
      <x:c r="A1431" s="1" t="n">
        <x:v>149</x:v>
      </x:c>
      <x:c r="B1431" s="1" t="str">
        <x:v>Dragonite</x:v>
      </x:c>
      <x:c r="C1431" s="1" t="n">
        <x:v>13</x:v>
      </x:c>
      <x:c r="D1431" s="1" t="str">
        <x:v>Outrage</x:v>
      </x:c>
      <x:c r="E1431" s="1" t="str">
        <x:v>Dragão</x:v>
      </x:c>
      <x:c r="F1431" s="1" t="str">
        <x:v>Física</x:v>
      </x:c>
      <x:c r="G1431" s="10" t="n">
        <x:v>120</x:v>
      </x:c>
      <x:c r="H1431" s="10" t="n">
        <x:f>IF(F1431="Física",'Pokémon'!G153,IF(F1431="Especial",'Pokémon'!I153,""))</x:f>
        <x:v>134</x:v>
      </x:c>
      <x:c r="I1431" s="10" t="n">
        <x:f>IF(OR(F1431="Status",G1431=0),"",G1431+H1431)</x:f>
        <x:v>254</x:v>
      </x:c>
      <x:c r="J1431" s="10" t="n">
        <x:v>67</x:v>
      </x:c>
      <x:c r="K1431" s="12" t="n">
        <x:v>60</x:v>
      </x:c>
      <x:c r="L1431" s="1" t="str"/>
      <x:c r="M1431" s="9" t="str">
        <x:v>https://poke.idleworld.online/pokepedia/pokemon/dragonite</x:v>
      </x:c>
    </x:row>
    <x:row r="1432" ht="22" customHeight="1">
      <x:c r="A1432" s="1" t="n">
        <x:v>149</x:v>
      </x:c>
      <x:c r="B1432" s="1" t="str">
        <x:v>Dragonite</x:v>
      </x:c>
      <x:c r="C1432" s="1" t="n">
        <x:v>14</x:v>
      </x:c>
      <x:c r="D1432" s="1" t="str">
        <x:v>Hyper Beam</x:v>
      </x:c>
      <x:c r="E1432" s="1" t="str">
        <x:v>Normal</x:v>
      </x:c>
      <x:c r="F1432" s="1" t="str">
        <x:v>Especial</x:v>
      </x:c>
      <x:c r="G1432" s="10" t="n">
        <x:v>150</x:v>
      </x:c>
      <x:c r="H1432" s="10" t="n">
        <x:f>IF(F1432="Física",'Pokémon'!G153,IF(F1432="Especial",'Pokémon'!I153,""))</x:f>
        <x:v>100</x:v>
      </x:c>
      <x:c r="I1432" s="10" t="n">
        <x:f>IF(OR(F1432="Status",G1432=0),"",G1432+H1432)</x:f>
        <x:v>250</x:v>
      </x:c>
      <x:c r="J1432" s="10" t="n">
        <x:v>75</x:v>
      </x:c>
      <x:c r="K1432" s="12" t="n">
        <x:v>50</x:v>
      </x:c>
      <x:c r="L1432" s="1" t="str"/>
      <x:c r="M1432" s="9" t="str">
        <x:v>https://poke.idleworld.online/pokepedia/pokemon/dragonite</x:v>
      </x:c>
    </x:row>
    <x:row r="1433" ht="22" customHeight="1">
      <x:c r="A1433" s="1" t="n">
        <x:v>149</x:v>
      </x:c>
      <x:c r="B1433" s="1" t="str">
        <x:v>Dragonite</x:v>
      </x:c>
      <x:c r="C1433" s="1" t="n">
        <x:v>11</x:v>
      </x:c>
      <x:c r="D1433" s="1" t="str">
        <x:v>Dragon Rush</x:v>
      </x:c>
      <x:c r="E1433" s="1" t="str">
        <x:v>Dragão</x:v>
      </x:c>
      <x:c r="F1433" s="1" t="str">
        <x:v>Física</x:v>
      </x:c>
      <x:c r="G1433" s="10" t="n">
        <x:v>100</x:v>
      </x:c>
      <x:c r="H1433" s="10" t="n">
        <x:f>IF(F1433="Física",'Pokémon'!G153,IF(F1433="Especial",'Pokémon'!I153,""))</x:f>
        <x:v>134</x:v>
      </x:c>
      <x:c r="I1433" s="10" t="n">
        <x:f>IF(OR(F1433="Status",G1433=0),"",G1433+H1433)</x:f>
        <x:v>234</x:v>
      </x:c>
      <x:c r="J1433" s="10" t="n">
        <x:v>47</x:v>
      </x:c>
      <x:c r="K1433" s="12" t="n">
        <x:v>40</x:v>
      </x:c>
      <x:c r="L1433" s="1" t="str"/>
      <x:c r="M1433" s="9" t="str">
        <x:v>https://poke.idleworld.online/pokepedia/pokemon/dragonite</x:v>
      </x:c>
    </x:row>
    <x:row r="1434" ht="22" customHeight="1">
      <x:c r="A1434" s="1" t="n">
        <x:v>149</x:v>
      </x:c>
      <x:c r="B1434" s="1" t="str">
        <x:v>Dragonite</x:v>
      </x:c>
      <x:c r="C1434" s="1" t="n">
        <x:v>10</x:v>
      </x:c>
      <x:c r="D1434" s="1" t="str">
        <x:v>Aqua Tail</x:v>
      </x:c>
      <x:c r="E1434" s="1" t="str">
        <x:v>Água</x:v>
      </x:c>
      <x:c r="F1434" s="1" t="str">
        <x:v>Física</x:v>
      </x:c>
      <x:c r="G1434" s="10" t="n">
        <x:v>90</x:v>
      </x:c>
      <x:c r="H1434" s="10" t="n">
        <x:f>IF(F1434="Física",'Pokémon'!G153,IF(F1434="Especial",'Pokémon'!I153,""))</x:f>
        <x:v>134</x:v>
      </x:c>
      <x:c r="I1434" s="10" t="n">
        <x:f>IF(OR(F1434="Status",G1434=0),"",G1434+H1434)</x:f>
        <x:v>224</x:v>
      </x:c>
      <x:c r="J1434" s="10" t="n">
        <x:v>39</x:v>
      </x:c>
      <x:c r="K1434" s="12" t="n">
        <x:v>22</x:v>
      </x:c>
      <x:c r="L1434" s="1" t="str"/>
      <x:c r="M1434" s="9" t="str">
        <x:v>https://poke.idleworld.online/pokepedia/pokemon/dragonite</x:v>
      </x:c>
    </x:row>
    <x:row r="1435" ht="22" customHeight="1">
      <x:c r="A1435" s="1" t="n">
        <x:v>149</x:v>
      </x:c>
      <x:c r="B1435" s="1" t="str">
        <x:v>Dragonite</x:v>
      </x:c>
      <x:c r="C1435" s="1" t="n">
        <x:v>8</x:v>
      </x:c>
      <x:c r="D1435" s="1" t="str">
        <x:v>Slam</x:v>
      </x:c>
      <x:c r="E1435" s="1" t="str">
        <x:v>Normal</x:v>
      </x:c>
      <x:c r="F1435" s="1" t="str">
        <x:v>Física</x:v>
      </x:c>
      <x:c r="G1435" s="10" t="n">
        <x:v>80</x:v>
      </x:c>
      <x:c r="H1435" s="10" t="n">
        <x:f>IF(F1435="Física",'Pokémon'!G153,IF(F1435="Especial",'Pokémon'!I153,""))</x:f>
        <x:v>134</x:v>
      </x:c>
      <x:c r="I1435" s="10" t="n">
        <x:f>IF(OR(F1435="Status",G1435=0),"",G1435+H1435)</x:f>
        <x:v>214</x:v>
      </x:c>
      <x:c r="J1435" s="10" t="n">
        <x:v>21</x:v>
      </x:c>
      <x:c r="K1435" s="12" t="n">
        <x:v>15</x:v>
      </x:c>
      <x:c r="L1435" s="1" t="str"/>
      <x:c r="M1435" s="9" t="str">
        <x:v>https://poke.idleworld.online/pokepedia/pokemon/dragonite</x:v>
      </x:c>
    </x:row>
    <x:row r="1436" ht="22" customHeight="1">
      <x:c r="A1436" s="1" t="n">
        <x:v>149</x:v>
      </x:c>
      <x:c r="B1436" s="1" t="str">
        <x:v>Dragonite</x:v>
      </x:c>
      <x:c r="C1436" s="1" t="n">
        <x:v>7</x:v>
      </x:c>
      <x:c r="D1436" s="1" t="str">
        <x:v>Hurricane</x:v>
      </x:c>
      <x:c r="E1436" s="1" t="str">
        <x:v>Voador</x:v>
      </x:c>
      <x:c r="F1436" s="1" t="str">
        <x:v>Especial</x:v>
      </x:c>
      <x:c r="G1436" s="10" t="n">
        <x:v>110</x:v>
      </x:c>
      <x:c r="H1436" s="10" t="n">
        <x:f>IF(F1436="Física",'Pokémon'!G153,IF(F1436="Especial",'Pokémon'!I153,""))</x:f>
        <x:v>100</x:v>
      </x:c>
      <x:c r="I1436" s="10" t="n">
        <x:f>IF(OR(F1436="Status",G1436=0),"",G1436+H1436)</x:f>
        <x:v>210</x:v>
      </x:c>
      <x:c r="J1436" s="10" t="n">
        <x:v>1</x:v>
      </x:c>
      <x:c r="K1436" s="12" t="n">
        <x:v>40</x:v>
      </x:c>
      <x:c r="L1436" s="1" t="str"/>
      <x:c r="M1436" s="9" t="str">
        <x:v>https://poke.idleworld.online/pokepedia/pokemon/dragonite</x:v>
      </x:c>
    </x:row>
    <x:row r="1437" ht="22" customHeight="1">
      <x:c r="A1437" s="1" t="n">
        <x:v>149</x:v>
      </x:c>
      <x:c r="B1437" s="1" t="str">
        <x:v>Dragonite</x:v>
      </x:c>
      <x:c r="C1437" s="1" t="n">
        <x:v>5</x:v>
      </x:c>
      <x:c r="D1437" s="1" t="str">
        <x:v>Fire Punch</x:v>
      </x:c>
      <x:c r="E1437" s="1" t="str">
        <x:v>Fogo</x:v>
      </x:c>
      <x:c r="F1437" s="1" t="str">
        <x:v>Física</x:v>
      </x:c>
      <x:c r="G1437" s="10" t="n">
        <x:v>75</x:v>
      </x:c>
      <x:c r="H1437" s="10" t="n">
        <x:f>IF(F1437="Física",'Pokémon'!G153,IF(F1437="Especial",'Pokémon'!I153,""))</x:f>
        <x:v>134</x:v>
      </x:c>
      <x:c r="I1437" s="10" t="n">
        <x:f>IF(OR(F1437="Status",G1437=0),"",G1437+H1437)</x:f>
        <x:v>209</x:v>
      </x:c>
      <x:c r="J1437" s="10" t="n">
        <x:v>1</x:v>
      </x:c>
      <x:c r="K1437" s="12" t="n">
        <x:v>22</x:v>
      </x:c>
      <x:c r="L1437" s="1" t="str"/>
      <x:c r="M1437" s="9" t="str">
        <x:v>https://poke.idleworld.online/pokepedia/pokemon/dragonite</x:v>
      </x:c>
    </x:row>
    <x:row r="1438" ht="22" customHeight="1">
      <x:c r="A1438" s="1" t="n">
        <x:v>149</x:v>
      </x:c>
      <x:c r="B1438" s="1" t="str">
        <x:v>Dragonite</x:v>
      </x:c>
      <x:c r="C1438" s="1" t="n">
        <x:v>6</x:v>
      </x:c>
      <x:c r="D1438" s="1" t="str">
        <x:v>Thunder Punch</x:v>
      </x:c>
      <x:c r="E1438" s="1" t="str">
        <x:v>Elétrico</x:v>
      </x:c>
      <x:c r="F1438" s="1" t="str">
        <x:v>Física</x:v>
      </x:c>
      <x:c r="G1438" s="10" t="n">
        <x:v>75</x:v>
      </x:c>
      <x:c r="H1438" s="10" t="n">
        <x:f>IF(F1438="Física",'Pokémon'!G153,IF(F1438="Especial",'Pokémon'!I153,""))</x:f>
        <x:v>134</x:v>
      </x:c>
      <x:c r="I1438" s="10" t="n">
        <x:f>IF(OR(F1438="Status",G1438=0),"",G1438+H1438)</x:f>
        <x:v>209</x:v>
      </x:c>
      <x:c r="J1438" s="10" t="n">
        <x:v>1</x:v>
      </x:c>
      <x:c r="K1438" s="12" t="n">
        <x:v>22</x:v>
      </x:c>
      <x:c r="L1438" s="1" t="str"/>
      <x:c r="M1438" s="9" t="str">
        <x:v>https://poke.idleworld.online/pokepedia/pokemon/dragonite</x:v>
      </x:c>
    </x:row>
    <x:row r="1439" ht="22" customHeight="1">
      <x:c r="A1439" s="1" t="n">
        <x:v>149</x:v>
      </x:c>
      <x:c r="B1439" s="1" t="str">
        <x:v>Dragonite</x:v>
      </x:c>
      <x:c r="C1439" s="1" t="n">
        <x:v>9</x:v>
      </x:c>
      <x:c r="D1439" s="1" t="str">
        <x:v>Dragon Tail</x:v>
      </x:c>
      <x:c r="E1439" s="1" t="str">
        <x:v>Dragão</x:v>
      </x:c>
      <x:c r="F1439" s="1" t="str">
        <x:v>Física</x:v>
      </x:c>
      <x:c r="G1439" s="10" t="n">
        <x:v>60</x:v>
      </x:c>
      <x:c r="H1439" s="10" t="n">
        <x:f>IF(F1439="Física",'Pokémon'!G153,IF(F1439="Especial",'Pokémon'!I153,""))</x:f>
        <x:v>134</x:v>
      </x:c>
      <x:c r="I1439" s="10" t="n">
        <x:f>IF(OR(F1439="Status",G1439=0),"",G1439+H1439)</x:f>
        <x:v>194</x:v>
      </x:c>
      <x:c r="J1439" s="10" t="n">
        <x:v>33</x:v>
      </x:c>
      <x:c r="K1439" s="12" t="n">
        <x:v>15</x:v>
      </x:c>
      <x:c r="L1439" s="1" t="str"/>
      <x:c r="M1439" s="9" t="str">
        <x:v>https://poke.idleworld.online/pokepedia/pokemon/dragonite</x:v>
      </x:c>
    </x:row>
    <x:row r="1440" ht="22" customHeight="1">
      <x:c r="A1440" s="1" t="n">
        <x:v>149</x:v>
      </x:c>
      <x:c r="B1440" s="1" t="str">
        <x:v>Dragonite</x:v>
      </x:c>
      <x:c r="C1440" s="1" t="n">
        <x:v>12</x:v>
      </x:c>
      <x:c r="D1440" s="1" t="str">
        <x:v>Wing Attack</x:v>
      </x:c>
      <x:c r="E1440" s="1" t="str">
        <x:v>Voador</x:v>
      </x:c>
      <x:c r="F1440" s="1" t="str">
        <x:v>Física</x:v>
      </x:c>
      <x:c r="G1440" s="10" t="n">
        <x:v>60</x:v>
      </x:c>
      <x:c r="H1440" s="10" t="n">
        <x:f>IF(F1440="Física",'Pokémon'!G153,IF(F1440="Especial",'Pokémon'!I153,""))</x:f>
        <x:v>134</x:v>
      </x:c>
      <x:c r="I1440" s="10" t="n">
        <x:f>IF(OR(F1440="Status",G1440=0),"",G1440+H1440)</x:f>
        <x:v>194</x:v>
      </x:c>
      <x:c r="J1440" s="10" t="n">
        <x:v>55</x:v>
      </x:c>
      <x:c r="K1440" s="12" t="n">
        <x:v>20</x:v>
      </x:c>
      <x:c r="L1440" s="1" t="str"/>
      <x:c r="M1440" s="9" t="str">
        <x:v>https://poke.idleworld.online/pokepedia/pokemon/dragonite</x:v>
      </x:c>
    </x:row>
    <x:row r="1441" ht="22" customHeight="1">
      <x:c r="A1441" s="1" t="n">
        <x:v>149</x:v>
      </x:c>
      <x:c r="B1441" s="1" t="str">
        <x:v>Dragonite</x:v>
      </x:c>
      <x:c r="C1441" s="1" t="n">
        <x:v>4</x:v>
      </x:c>
      <x:c r="D1441" s="1" t="str">
        <x:v>Wrap</x:v>
      </x:c>
      <x:c r="E1441" s="1" t="str">
        <x:v>Normal</x:v>
      </x:c>
      <x:c r="F1441" s="1" t="str">
        <x:v>Física</x:v>
      </x:c>
      <x:c r="G1441" s="10" t="n">
        <x:v>15</x:v>
      </x:c>
      <x:c r="H1441" s="10" t="n">
        <x:f>IF(F1441="Física",'Pokémon'!G153,IF(F1441="Especial",'Pokémon'!I153,""))</x:f>
        <x:v>134</x:v>
      </x:c>
      <x:c r="I1441" s="10" t="n">
        <x:f>IF(OR(F1441="Status",G1441=0),"",G1441+H1441)</x:f>
        <x:v>149</x:v>
      </x:c>
      <x:c r="J1441" s="10" t="n">
        <x:v>1</x:v>
      </x:c>
      <x:c r="K1441" s="12" t="n">
        <x:v>15</x:v>
      </x:c>
      <x:c r="L1441" s="1" t="str"/>
      <x:c r="M1441" s="9" t="str">
        <x:v>https://poke.idleworld.online/pokepedia/pokemon/dragonite</x:v>
      </x:c>
    </x:row>
    <x:row r="1442" ht="22" customHeight="1">
      <x:c r="A1442" s="1" t="n">
        <x:v>149</x:v>
      </x:c>
      <x:c r="B1442" s="1" t="str">
        <x:v>Dragonite</x:v>
      </x:c>
      <x:c r="C1442" s="1" t="n">
        <x:v>1</x:v>
      </x:c>
      <x:c r="D1442" s="1" t="str">
        <x:v>Twister</x:v>
      </x:c>
      <x:c r="E1442" s="1" t="str">
        <x:v>Dragão</x:v>
      </x:c>
      <x:c r="F1442" s="1" t="str">
        <x:v>Especial</x:v>
      </x:c>
      <x:c r="G1442" s="10" t="n">
        <x:v>40</x:v>
      </x:c>
      <x:c r="H1442" s="10" t="n">
        <x:f>IF(F1442="Física",'Pokémon'!G153,IF(F1442="Especial",'Pokémon'!I153,""))</x:f>
        <x:v>100</x:v>
      </x:c>
      <x:c r="I1442" s="10" t="n">
        <x:f>IF(OR(F1442="Status",G1442=0),"",G1442+H1442)</x:f>
        <x:v>140</x:v>
      </x:c>
      <x:c r="J1442" s="10" t="n">
        <x:v>1</x:v>
      </x:c>
      <x:c r="K1442" s="12" t="n">
        <x:v>35</x:v>
      </x:c>
      <x:c r="L1442" s="1" t="str"/>
      <x:c r="M1442" s="9" t="str">
        <x:v>https://poke.idleworld.online/pokepedia/pokemon/dragonite</x:v>
      </x:c>
    </x:row>
    <x:row r="1443" ht="22" customHeight="1">
      <x:c r="A1443" s="1" t="n">
        <x:v>150</x:v>
      </x:c>
      <x:c r="B1443" s="1" t="str">
        <x:v>Mewtwo</x:v>
      </x:c>
      <x:c r="C1443" s="1" t="n">
        <x:v>4</x:v>
      </x:c>
      <x:c r="D1443" s="1" t="str">
        <x:v>Mental Singularity</x:v>
      </x:c>
      <x:c r="E1443" s="1" t="str">
        <x:v>Psíquico</x:v>
      </x:c>
      <x:c r="F1443" s="1" t="str">
        <x:v>Especial</x:v>
      </x:c>
      <x:c r="G1443" s="10" t="n">
        <x:v>300</x:v>
      </x:c>
      <x:c r="H1443" s="10" t="n">
        <x:f>IF(F1443="Física",'Pokémon'!G154,IF(F1443="Especial",'Pokémon'!I154,""))</x:f>
        <x:v>154</x:v>
      </x:c>
      <x:c r="I1443" s="10" t="n">
        <x:f>IF(OR(F1443="Status",G1443=0),"",G1443+H1443)</x:f>
        <x:v>454</x:v>
      </x:c>
      <x:c r="J1443" s="10" t="n">
        <x:v>1</x:v>
      </x:c>
      <x:c r="K1443" s="12" t="n">
        <x:v>10</x:v>
      </x:c>
      <x:c r="L1443" s="1" t="str">
        <x:v>Sim</x:v>
      </x:c>
      <x:c r="M1443" s="9" t="str">
        <x:v>https://poke.idleworld.online/pokepedia/pokemon/mewtwo</x:v>
      </x:c>
    </x:row>
    <x:row r="1444" ht="22" customHeight="1">
      <x:c r="A1444" s="1" t="n">
        <x:v>150</x:v>
      </x:c>
      <x:c r="B1444" s="1" t="str">
        <x:v>Mewtwo</x:v>
      </x:c>
      <x:c r="C1444" s="1" t="n">
        <x:v>6</x:v>
      </x:c>
      <x:c r="D1444" s="1" t="str">
        <x:v>Future Sight</x:v>
      </x:c>
      <x:c r="E1444" s="1" t="str">
        <x:v>Psíquico</x:v>
      </x:c>
      <x:c r="F1444" s="1" t="str">
        <x:v>Especial</x:v>
      </x:c>
      <x:c r="G1444" s="10" t="n">
        <x:v>120</x:v>
      </x:c>
      <x:c r="H1444" s="10" t="n">
        <x:f>IF(F1444="Física",'Pokémon'!G154,IF(F1444="Especial",'Pokémon'!I154,""))</x:f>
        <x:v>154</x:v>
      </x:c>
      <x:c r="I1444" s="10" t="n">
        <x:f>IF(OR(F1444="Status",G1444=0),"",G1444+H1444)</x:f>
        <x:v>274</x:v>
      </x:c>
      <x:c r="J1444" s="10" t="n">
        <x:v>15</x:v>
      </x:c>
      <x:c r="K1444" s="12" t="n">
        <x:v>30</x:v>
      </x:c>
      <x:c r="L1444" s="1" t="str"/>
      <x:c r="M1444" s="9" t="str">
        <x:v>https://poke.idleworld.online/pokepedia/pokemon/mewtwo</x:v>
      </x:c>
    </x:row>
    <x:row r="1445" ht="22" customHeight="1">
      <x:c r="A1445" s="1" t="n">
        <x:v>150</x:v>
      </x:c>
      <x:c r="B1445" s="1" t="str">
        <x:v>Mewtwo</x:v>
      </x:c>
      <x:c r="C1445" s="1" t="n">
        <x:v>13</x:v>
      </x:c>
      <x:c r="D1445" s="1" t="str">
        <x:v>Psystrike</x:v>
      </x:c>
      <x:c r="E1445" s="1" t="str">
        <x:v>Psíquico</x:v>
      </x:c>
      <x:c r="F1445" s="1" t="str">
        <x:v>Especial</x:v>
      </x:c>
      <x:c r="G1445" s="10" t="n">
        <x:v>100</x:v>
      </x:c>
      <x:c r="H1445" s="10" t="n">
        <x:f>IF(F1445="Física",'Pokémon'!G154,IF(F1445="Especial",'Pokémon'!I154,""))</x:f>
        <x:v>154</x:v>
      </x:c>
      <x:c r="I1445" s="10" t="n">
        <x:f>IF(OR(F1445="Status",G1445=0),"",G1445+H1445)</x:f>
        <x:v>254</x:v>
      </x:c>
      <x:c r="J1445" s="10" t="n">
        <x:v>100</x:v>
      </x:c>
      <x:c r="K1445" s="12" t="n">
        <x:v>3</x:v>
      </x:c>
      <x:c r="L1445" s="1" t="str"/>
      <x:c r="M1445" s="9" t="str">
        <x:v>https://poke.idleworld.online/pokepedia/pokemon/mewtwo</x:v>
      </x:c>
    </x:row>
    <x:row r="1446" ht="22" customHeight="1">
      <x:c r="A1446" s="1" t="n">
        <x:v>150</x:v>
      </x:c>
      <x:c r="B1446" s="1" t="str">
        <x:v>Mewtwo</x:v>
      </x:c>
      <x:c r="C1446" s="1" t="n">
        <x:v>9</x:v>
      </x:c>
      <x:c r="D1446" s="1" t="str">
        <x:v>Psychic</x:v>
      </x:c>
      <x:c r="E1446" s="1" t="str">
        <x:v>Psíquico</x:v>
      </x:c>
      <x:c r="F1446" s="1" t="str">
        <x:v>Especial</x:v>
      </x:c>
      <x:c r="G1446" s="10" t="n">
        <x:v>90</x:v>
      </x:c>
      <x:c r="H1446" s="10" t="n">
        <x:f>IF(F1446="Física",'Pokémon'!G154,IF(F1446="Especial",'Pokémon'!I154,""))</x:f>
        <x:v>154</x:v>
      </x:c>
      <x:c r="I1446" s="10" t="n">
        <x:f>IF(OR(F1446="Status",G1446=0),"",G1446+H1446)</x:f>
        <x:v>244</x:v>
      </x:c>
      <x:c r="J1446" s="10" t="n">
        <x:v>57</x:v>
      </x:c>
      <x:c r="K1446" s="12" t="n">
        <x:v>35</x:v>
      </x:c>
      <x:c r="L1446" s="1" t="str"/>
      <x:c r="M1446" s="9" t="str">
        <x:v>https://poke.idleworld.online/pokepedia/pokemon/mewtwo</x:v>
      </x:c>
    </x:row>
    <x:row r="1447" ht="22" customHeight="1">
      <x:c r="A1447" s="1" t="n">
        <x:v>150</x:v>
      </x:c>
      <x:c r="B1447" s="1" t="str">
        <x:v>Mewtwo</x:v>
      </x:c>
      <x:c r="C1447" s="1" t="n">
        <x:v>11</x:v>
      </x:c>
      <x:c r="D1447" s="1" t="str">
        <x:v>Aura Sphere</x:v>
      </x:c>
      <x:c r="E1447" s="1" t="str">
        <x:v>Lutador</x:v>
      </x:c>
      <x:c r="F1447" s="1" t="str">
        <x:v>Especial</x:v>
      </x:c>
      <x:c r="G1447" s="10" t="n">
        <x:v>80</x:v>
      </x:c>
      <x:c r="H1447" s="10" t="n">
        <x:f>IF(F1447="Física",'Pokémon'!G154,IF(F1447="Especial",'Pokémon'!I154,""))</x:f>
        <x:v>154</x:v>
      </x:c>
      <x:c r="I1447" s="10" t="n">
        <x:f>IF(OR(F1447="Status",G1447=0),"",G1447+H1447)</x:f>
        <x:v>234</x:v>
      </x:c>
      <x:c r="J1447" s="10" t="n">
        <x:v>70</x:v>
      </x:c>
      <x:c r="K1447" s="12" t="n">
        <x:v>2.6</x:v>
      </x:c>
      <x:c r="L1447" s="1" t="str"/>
      <x:c r="M1447" s="9" t="str">
        <x:v>https://poke.idleworld.online/pokepedia/pokemon/mewtwo</x:v>
      </x:c>
    </x:row>
    <x:row r="1448" ht="22" customHeight="1">
      <x:c r="A1448" s="1" t="n">
        <x:v>150</x:v>
      </x:c>
      <x:c r="B1448" s="1" t="str">
        <x:v>Mewtwo</x:v>
      </x:c>
      <x:c r="C1448" s="1" t="n">
        <x:v>5</x:v>
      </x:c>
      <x:c r="D1448" s="1" t="str">
        <x:v>Swift</x:v>
      </x:c>
      <x:c r="E1448" s="1" t="str">
        <x:v>Normal</x:v>
      </x:c>
      <x:c r="F1448" s="1" t="str">
        <x:v>Especial</x:v>
      </x:c>
      <x:c r="G1448" s="10" t="n">
        <x:v>60</x:v>
      </x:c>
      <x:c r="H1448" s="10" t="n">
        <x:f>IF(F1448="Física",'Pokémon'!G154,IF(F1448="Especial",'Pokémon'!I154,""))</x:f>
        <x:v>154</x:v>
      </x:c>
      <x:c r="I1448" s="10" t="n">
        <x:f>IF(OR(F1448="Status",G1448=0),"",G1448+H1448)</x:f>
        <x:v>214</x:v>
      </x:c>
      <x:c r="J1448" s="10" t="n">
        <x:v>8</x:v>
      </x:c>
      <x:c r="K1448" s="12" t="n">
        <x:v>15</x:v>
      </x:c>
      <x:c r="L1448" s="1" t="str"/>
      <x:c r="M1448" s="9" t="str">
        <x:v>https://poke.idleworld.online/pokepedia/pokemon/mewtwo</x:v>
      </x:c>
    </x:row>
    <x:row r="1449" ht="22" customHeight="1">
      <x:c r="A1449" s="1" t="n">
        <x:v>150</x:v>
      </x:c>
      <x:c r="B1449" s="1" t="str">
        <x:v>Mewtwo</x:v>
      </x:c>
      <x:c r="C1449" s="1" t="n">
        <x:v>1</x:v>
      </x:c>
      <x:c r="D1449" s="1" t="str">
        <x:v>Confusion</x:v>
      </x:c>
      <x:c r="E1449" s="1" t="str">
        <x:v>Psíquico</x:v>
      </x:c>
      <x:c r="F1449" s="1" t="str">
        <x:v>Especial</x:v>
      </x:c>
      <x:c r="G1449" s="10" t="n">
        <x:v>50</x:v>
      </x:c>
      <x:c r="H1449" s="10" t="n">
        <x:f>IF(F1449="Física",'Pokémon'!G154,IF(F1449="Especial",'Pokémon'!I154,""))</x:f>
        <x:v>154</x:v>
      </x:c>
      <x:c r="I1449" s="10" t="n">
        <x:f>IF(OR(F1449="Status",G1449=0),"",G1449+H1449)</x:f>
        <x:v>204</x:v>
      </x:c>
      <x:c r="J1449" s="10" t="n">
        <x:v>1</x:v>
      </x:c>
      <x:c r="K1449" s="12" t="n">
        <x:v>30</x:v>
      </x:c>
      <x:c r="L1449" s="1" t="str"/>
      <x:c r="M1449" s="9" t="str">
        <x:v>https://poke.idleworld.online/pokepedia/pokemon/mewtwo</x:v>
      </x:c>
    </x:row>
    <x:row r="1450" ht="22" customHeight="1">
      <x:c r="A1450" s="1" t="n">
        <x:v>150</x:v>
      </x:c>
      <x:c r="B1450" s="1" t="str">
        <x:v>Mewtwo</x:v>
      </x:c>
      <x:c r="C1450" s="1" t="n">
        <x:v>7</x:v>
      </x:c>
      <x:c r="D1450" s="1" t="str">
        <x:v>Psycho Cut</x:v>
      </x:c>
      <x:c r="E1450" s="1" t="str">
        <x:v>Psíquico</x:v>
      </x:c>
      <x:c r="F1450" s="1" t="str">
        <x:v>Física</x:v>
      </x:c>
      <x:c r="G1450" s="10" t="n">
        <x:v>70</x:v>
      </x:c>
      <x:c r="H1450" s="10" t="n">
        <x:f>IF(F1450="Física",'Pokémon'!G154,IF(F1450="Especial",'Pokémon'!I154,""))</x:f>
        <x:v>110</x:v>
      </x:c>
      <x:c r="I1450" s="10" t="n">
        <x:f>IF(OR(F1450="Status",G1450=0),"",G1450+H1450)</x:f>
        <x:v>180</x:v>
      </x:c>
      <x:c r="J1450" s="10" t="n">
        <x:v>36</x:v>
      </x:c>
      <x:c r="K1450" s="12" t="n">
        <x:v>60</x:v>
      </x:c>
      <x:c r="L1450" s="1" t="str"/>
      <x:c r="M1450" s="9" t="str">
        <x:v>https://poke.idleworld.online/pokepedia/pokemon/mewtwo</x:v>
      </x:c>
    </x:row>
    <x:row r="1451" ht="22" customHeight="1">
      <x:c r="A1451" s="1" t="n">
        <x:v>150</x:v>
      </x:c>
      <x:c r="B1451" s="1" t="str">
        <x:v>Mewtwo</x:v>
      </x:c>
      <x:c r="C1451" s="1" t="n">
        <x:v>2</x:v>
      </x:c>
      <x:c r="D1451" s="1" t="str">
        <x:v>Safeguard</x:v>
      </x:c>
      <x:c r="E1451" s="1" t="str">
        <x:v>Normal</x:v>
      </x:c>
      <x:c r="F1451" s="1" t="str">
        <x:v>Status</x:v>
      </x:c>
      <x:c r="G1451" s="10" t="n">
        <x:v>0</x:v>
      </x:c>
      <x:c r="H1451" s="10" t="str">
        <x:f>IF(F1451="Física",'Pokémon'!G154,IF(F1451="Especial",'Pokémon'!I154,""))</x:f>
      </x:c>
      <x:c r="I1451" s="10" t="str">
        <x:f>IF(OR(F1451="Status",G1451=0),"",G1451+H1451)</x:f>
      </x:c>
      <x:c r="J1451" s="10" t="n">
        <x:v>1</x:v>
      </x:c>
      <x:c r="K1451" s="12" t="n">
        <x:v>40</x:v>
      </x:c>
      <x:c r="L1451" s="1" t="str"/>
      <x:c r="M1451" s="9" t="str">
        <x:v>https://poke.idleworld.online/pokepedia/pokemon/mewtwo</x:v>
      </x:c>
    </x:row>
    <x:row r="1452" ht="22" customHeight="1">
      <x:c r="A1452" s="1" t="n">
        <x:v>150</x:v>
      </x:c>
      <x:c r="B1452" s="1" t="str">
        <x:v>Mewtwo</x:v>
      </x:c>
      <x:c r="C1452" s="1" t="n">
        <x:v>3</x:v>
      </x:c>
      <x:c r="D1452" s="1" t="str">
        <x:v>Disable</x:v>
      </x:c>
      <x:c r="E1452" s="1" t="str">
        <x:v>Normal</x:v>
      </x:c>
      <x:c r="F1452" s="1" t="str">
        <x:v>Status</x:v>
      </x:c>
      <x:c r="G1452" s="10" t="n">
        <x:v>0</x:v>
      </x:c>
      <x:c r="H1452" s="10" t="str">
        <x:f>IF(F1452="Física",'Pokémon'!G154,IF(F1452="Especial",'Pokémon'!I154,""))</x:f>
      </x:c>
      <x:c r="I1452" s="10" t="str">
        <x:f>IF(OR(F1452="Status",G1452=0),"",G1452+H1452)</x:f>
      </x:c>
      <x:c r="J1452" s="10" t="n">
        <x:v>1</x:v>
      </x:c>
      <x:c r="K1452" s="12" t="n">
        <x:v>3</x:v>
      </x:c>
      <x:c r="L1452" s="1" t="str"/>
      <x:c r="M1452" s="9" t="str">
        <x:v>https://poke.idleworld.online/pokepedia/pokemon/mewtwo</x:v>
      </x:c>
    </x:row>
    <x:row r="1453" ht="22" customHeight="1">
      <x:c r="A1453" s="1" t="n">
        <x:v>150</x:v>
      </x:c>
      <x:c r="B1453" s="1" t="str">
        <x:v>Mewtwo</x:v>
      </x:c>
      <x:c r="C1453" s="1" t="n">
        <x:v>8</x:v>
      </x:c>
      <x:c r="D1453" s="1" t="str">
        <x:v>Recover</x:v>
      </x:c>
      <x:c r="E1453" s="1" t="str">
        <x:v>Normal</x:v>
      </x:c>
      <x:c r="F1453" s="1" t="str">
        <x:v>Status</x:v>
      </x:c>
      <x:c r="G1453" s="10" t="n">
        <x:v>0</x:v>
      </x:c>
      <x:c r="H1453" s="10" t="str">
        <x:f>IF(F1453="Física",'Pokémon'!G154,IF(F1453="Especial",'Pokémon'!I154,""))</x:f>
      </x:c>
      <x:c r="I1453" s="10" t="str">
        <x:f>IF(OR(F1453="Status",G1453=0),"",G1453+H1453)</x:f>
      </x:c>
      <x:c r="J1453" s="10" t="n">
        <x:v>50</x:v>
      </x:c>
      <x:c r="K1453" s="12" t="n">
        <x:v>80</x:v>
      </x:c>
      <x:c r="L1453" s="1" t="str"/>
      <x:c r="M1453" s="9" t="str">
        <x:v>https://poke.idleworld.online/pokepedia/pokemon/mewtwo</x:v>
      </x:c>
    </x:row>
    <x:row r="1454" ht="22" customHeight="1">
      <x:c r="A1454" s="1" t="n">
        <x:v>150</x:v>
      </x:c>
      <x:c r="B1454" s="1" t="str">
        <x:v>Mewtwo</x:v>
      </x:c>
      <x:c r="C1454" s="1" t="n">
        <x:v>10</x:v>
      </x:c>
      <x:c r="D1454" s="1" t="str">
        <x:v>Barrier</x:v>
      </x:c>
      <x:c r="E1454" s="1" t="str">
        <x:v>Psíquico</x:v>
      </x:c>
      <x:c r="F1454" s="1" t="str">
        <x:v>Status</x:v>
      </x:c>
      <x:c r="G1454" s="10" t="n">
        <x:v>0</x:v>
      </x:c>
      <x:c r="H1454" s="10" t="str">
        <x:f>IF(F1454="Física",'Pokémon'!G154,IF(F1454="Especial",'Pokémon'!I154,""))</x:f>
      </x:c>
      <x:c r="I1454" s="10" t="str">
        <x:f>IF(OR(F1454="Status",G1454=0),"",G1454+H1454)</x:f>
      </x:c>
      <x:c r="J1454" s="10" t="n">
        <x:v>64</x:v>
      </x:c>
      <x:c r="K1454" s="12" t="n">
        <x:v>3</x:v>
      </x:c>
      <x:c r="L1454" s="1" t="str"/>
      <x:c r="M1454" s="9" t="str">
        <x:v>https://poke.idleworld.online/pokepedia/pokemon/mewtwo</x:v>
      </x:c>
    </x:row>
    <x:row r="1455" ht="22" customHeight="1">
      <x:c r="A1455" s="1" t="n">
        <x:v>150</x:v>
      </x:c>
      <x:c r="B1455" s="1" t="str">
        <x:v>Mewtwo</x:v>
      </x:c>
      <x:c r="C1455" s="1" t="n">
        <x:v>12</x:v>
      </x:c>
      <x:c r="D1455" s="1" t="str">
        <x:v>Amnesia</x:v>
      </x:c>
      <x:c r="E1455" s="1" t="str">
        <x:v>Psíquico</x:v>
      </x:c>
      <x:c r="F1455" s="1" t="str">
        <x:v>Status</x:v>
      </x:c>
      <x:c r="G1455" s="10" t="n">
        <x:v>0</x:v>
      </x:c>
      <x:c r="H1455" s="10" t="str">
        <x:f>IF(F1455="Física",'Pokémon'!G154,IF(F1455="Especial",'Pokémon'!I154,""))</x:f>
      </x:c>
      <x:c r="I1455" s="10" t="str">
        <x:f>IF(OR(F1455="Status",G1455=0),"",G1455+H1455)</x:f>
      </x:c>
      <x:c r="J1455" s="10" t="n">
        <x:v>79</x:v>
      </x:c>
      <x:c r="K1455" s="12" t="n">
        <x:v>3</x:v>
      </x:c>
      <x:c r="L1455" s="1" t="str"/>
      <x:c r="M1455" s="9" t="str">
        <x:v>https://poke.idleworld.online/pokepedia/pokemon/mewtwo</x:v>
      </x:c>
    </x:row>
    <x:row r="1456" ht="22" customHeight="1">
      <x:c r="A1456" s="1" t="n">
        <x:v>151</x:v>
      </x:c>
      <x:c r="B1456" s="1" t="str">
        <x:v>Mew</x:v>
      </x:c>
      <x:c r="C1456" s="1" t="n">
        <x:v>4</x:v>
      </x:c>
      <x:c r="D1456" s="1" t="str">
        <x:v>Mental Singularity</x:v>
      </x:c>
      <x:c r="E1456" s="1" t="str">
        <x:v>Psíquico</x:v>
      </x:c>
      <x:c r="F1456" s="1" t="str">
        <x:v>Especial</x:v>
      </x:c>
      <x:c r="G1456" s="10" t="n">
        <x:v>300</x:v>
      </x:c>
      <x:c r="H1456" s="10" t="n">
        <x:f>IF(F1456="Física",'Pokémon'!G155,IF(F1456="Especial",'Pokémon'!I155,""))</x:f>
        <x:v>100</x:v>
      </x:c>
      <x:c r="I1456" s="10" t="n">
        <x:f>IF(OR(F1456="Status",G1456=0),"",G1456+H1456)</x:f>
        <x:v>400</x:v>
      </x:c>
      <x:c r="J1456" s="10" t="n">
        <x:v>1</x:v>
      </x:c>
      <x:c r="K1456" s="12" t="n">
        <x:v>10</x:v>
      </x:c>
      <x:c r="L1456" s="1" t="str">
        <x:v>Sim</x:v>
      </x:c>
      <x:c r="M1456" s="9" t="str">
        <x:v>https://poke.idleworld.online/pokepedia/pokemon/mew</x:v>
      </x:c>
    </x:row>
    <x:row r="1457" ht="22" customHeight="1">
      <x:c r="A1457" s="1" t="n">
        <x:v>151</x:v>
      </x:c>
      <x:c r="B1457" s="1" t="str">
        <x:v>Mew</x:v>
      </x:c>
      <x:c r="C1457" s="1" t="n">
        <x:v>7</x:v>
      </x:c>
      <x:c r="D1457" s="1" t="str">
        <x:v>Psychic</x:v>
      </x:c>
      <x:c r="E1457" s="1" t="str">
        <x:v>Psíquico</x:v>
      </x:c>
      <x:c r="F1457" s="1" t="str">
        <x:v>Especial</x:v>
      </x:c>
      <x:c r="G1457" s="10" t="n">
        <x:v>90</x:v>
      </x:c>
      <x:c r="H1457" s="10" t="n">
        <x:f>IF(F1457="Física",'Pokémon'!G155,IF(F1457="Especial",'Pokémon'!I155,""))</x:f>
        <x:v>100</x:v>
      </x:c>
      <x:c r="I1457" s="10" t="n">
        <x:f>IF(OR(F1457="Status",G1457=0),"",G1457+H1457)</x:f>
        <x:v>190</x:v>
      </x:c>
      <x:c r="J1457" s="10" t="n">
        <x:v>30</x:v>
      </x:c>
      <x:c r="K1457" s="12" t="n">
        <x:v>35</x:v>
      </x:c>
      <x:c r="L1457" s="1" t="str"/>
      <x:c r="M1457" s="9" t="str">
        <x:v>https://poke.idleworld.online/pokepedia/pokemon/mew</x:v>
      </x:c>
    </x:row>
    <x:row r="1458" ht="22" customHeight="1">
      <x:c r="A1458" s="1" t="n">
        <x:v>151</x:v>
      </x:c>
      <x:c r="B1458" s="1" t="str">
        <x:v>Mew</x:v>
      </x:c>
      <x:c r="C1458" s="1" t="n">
        <x:v>5</x:v>
      </x:c>
      <x:c r="D1458" s="1" t="str">
        <x:v>Mega Punch</x:v>
      </x:c>
      <x:c r="E1458" s="1" t="str">
        <x:v>Normal</x:v>
      </x:c>
      <x:c r="F1458" s="1" t="str">
        <x:v>Física</x:v>
      </x:c>
      <x:c r="G1458" s="10" t="n">
        <x:v>80</x:v>
      </x:c>
      <x:c r="H1458" s="10" t="n">
        <x:f>IF(F1458="Física",'Pokémon'!G155,IF(F1458="Especial",'Pokémon'!I155,""))</x:f>
        <x:v>100</x:v>
      </x:c>
      <x:c r="I1458" s="10" t="n">
        <x:f>IF(OR(F1458="Status",G1458=0),"",G1458+H1458)</x:f>
        <x:v>180</x:v>
      </x:c>
      <x:c r="J1458" s="10" t="n">
        <x:v>10</x:v>
      </x:c>
      <x:c r="K1458" s="12" t="n">
        <x:v>25</x:v>
      </x:c>
      <x:c r="L1458" s="1" t="str"/>
      <x:c r="M1458" s="9" t="str">
        <x:v>https://poke.idleworld.online/pokepedia/pokemon/mew</x:v>
      </x:c>
    </x:row>
    <x:row r="1459" ht="22" customHeight="1">
      <x:c r="A1459" s="1" t="n">
        <x:v>151</x:v>
      </x:c>
      <x:c r="B1459" s="1" t="str">
        <x:v>Mew</x:v>
      </x:c>
      <x:c r="C1459" s="1" t="n">
        <x:v>11</x:v>
      </x:c>
      <x:c r="D1459" s="1" t="str">
        <x:v>Aura Sphere</x:v>
      </x:c>
      <x:c r="E1459" s="1" t="str">
        <x:v>Lutador</x:v>
      </x:c>
      <x:c r="F1459" s="1" t="str">
        <x:v>Especial</x:v>
      </x:c>
      <x:c r="G1459" s="10" t="n">
        <x:v>80</x:v>
      </x:c>
      <x:c r="H1459" s="10" t="n">
        <x:f>IF(F1459="Física",'Pokémon'!G155,IF(F1459="Especial",'Pokémon'!I155,""))</x:f>
        <x:v>100</x:v>
      </x:c>
      <x:c r="I1459" s="10" t="n">
        <x:f>IF(OR(F1459="Status",G1459=0),"",G1459+H1459)</x:f>
        <x:v>180</x:v>
      </x:c>
      <x:c r="J1459" s="10" t="n">
        <x:v>100</x:v>
      </x:c>
      <x:c r="K1459" s="12" t="n">
        <x:v>22</x:v>
      </x:c>
      <x:c r="L1459" s="1" t="str"/>
      <x:c r="M1459" s="9" t="str">
        <x:v>https://poke.idleworld.online/pokepedia/pokemon/mew</x:v>
      </x:c>
    </x:row>
    <x:row r="1460" ht="22" customHeight="1">
      <x:c r="A1460" s="1" t="n">
        <x:v>151</x:v>
      </x:c>
      <x:c r="B1460" s="1" t="str">
        <x:v>Mew</x:v>
      </x:c>
      <x:c r="C1460" s="1" t="n">
        <x:v>9</x:v>
      </x:c>
      <x:c r="D1460" s="1" t="str">
        <x:v>Ancient Power</x:v>
      </x:c>
      <x:c r="E1460" s="1" t="str">
        <x:v>Pedra</x:v>
      </x:c>
      <x:c r="F1460" s="1" t="str">
        <x:v>Especial</x:v>
      </x:c>
      <x:c r="G1460" s="10" t="n">
        <x:v>60</x:v>
      </x:c>
      <x:c r="H1460" s="10" t="n">
        <x:f>IF(F1460="Física",'Pokémon'!G155,IF(F1460="Especial",'Pokémon'!I155,""))</x:f>
        <x:v>100</x:v>
      </x:c>
      <x:c r="I1460" s="10" t="n">
        <x:f>IF(OR(F1460="Status",G1460=0),"",G1460+H1460)</x:f>
        <x:v>160</x:v>
      </x:c>
      <x:c r="J1460" s="10" t="n">
        <x:v>50</x:v>
      </x:c>
      <x:c r="K1460" s="12" t="n">
        <x:v>40</x:v>
      </x:c>
      <x:c r="L1460" s="1" t="str"/>
      <x:c r="M1460" s="9" t="str">
        <x:v>https://poke.idleworld.online/pokepedia/pokemon/mew</x:v>
      </x:c>
    </x:row>
    <x:row r="1461" ht="22" customHeight="1">
      <x:c r="A1461" s="1" t="n">
        <x:v>151</x:v>
      </x:c>
      <x:c r="B1461" s="1" t="str">
        <x:v>Mew</x:v>
      </x:c>
      <x:c r="C1461" s="1" t="n">
        <x:v>1</x:v>
      </x:c>
      <x:c r="D1461" s="1" t="str">
        <x:v>Pound</x:v>
      </x:c>
      <x:c r="E1461" s="1" t="str">
        <x:v>Normal</x:v>
      </x:c>
      <x:c r="F1461" s="1" t="str">
        <x:v>Física</x:v>
      </x:c>
      <x:c r="G1461" s="10" t="n">
        <x:v>40</x:v>
      </x:c>
      <x:c r="H1461" s="10" t="n">
        <x:f>IF(F1461="Física",'Pokémon'!G155,IF(F1461="Especial",'Pokémon'!I155,""))</x:f>
        <x:v>100</x:v>
      </x:c>
      <x:c r="I1461" s="10" t="n">
        <x:f>IF(OR(F1461="Status",G1461=0),"",G1461+H1461)</x:f>
        <x:v>140</x:v>
      </x:c>
      <x:c r="J1461" s="10" t="n">
        <x:v>1</x:v>
      </x:c>
      <x:c r="K1461" s="12" t="n">
        <x:v>1.2</x:v>
      </x:c>
      <x:c r="L1461" s="1" t="str"/>
      <x:c r="M1461" s="9" t="str">
        <x:v>https://poke.idleworld.online/pokepedia/pokemon/mew</x:v>
      </x:c>
    </x:row>
    <x:row r="1462" ht="22" customHeight="1">
      <x:c r="A1462" s="1" t="n">
        <x:v>151</x:v>
      </x:c>
      <x:c r="B1462" s="1" t="str">
        <x:v>Mew</x:v>
      </x:c>
      <x:c r="C1462" s="1" t="n">
        <x:v>2</x:v>
      </x:c>
      <x:c r="D1462" s="1" t="str">
        <x:v>Transform</x:v>
      </x:c>
      <x:c r="E1462" s="1" t="str">
        <x:v>Normal</x:v>
      </x:c>
      <x:c r="F1462" s="1" t="str">
        <x:v>Status</x:v>
      </x:c>
      <x:c r="G1462" s="10" t="n">
        <x:v>0</x:v>
      </x:c>
      <x:c r="H1462" s="10" t="str">
        <x:f>IF(F1462="Física",'Pokémon'!G155,IF(F1462="Especial",'Pokémon'!I155,""))</x:f>
      </x:c>
      <x:c r="I1462" s="10" t="str">
        <x:f>IF(OR(F1462="Status",G1462=0),"",G1462+H1462)</x:f>
      </x:c>
      <x:c r="J1462" s="10" t="n">
        <x:v>1</x:v>
      </x:c>
      <x:c r="K1462" s="12" t="n">
        <x:v>3</x:v>
      </x:c>
      <x:c r="L1462" s="1" t="str"/>
      <x:c r="M1462" s="9" t="str">
        <x:v>https://poke.idleworld.online/pokepedia/pokemon/mew</x:v>
      </x:c>
    </x:row>
    <x:row r="1463" ht="22" customHeight="1">
      <x:c r="A1463" s="1" t="n">
        <x:v>151</x:v>
      </x:c>
      <x:c r="B1463" s="1" t="str">
        <x:v>Mew</x:v>
      </x:c>
      <x:c r="C1463" s="1" t="n">
        <x:v>3</x:v>
      </x:c>
      <x:c r="D1463" s="1" t="str">
        <x:v>Reflect Type</x:v>
      </x:c>
      <x:c r="E1463" s="1" t="str">
        <x:v>Normal</x:v>
      </x:c>
      <x:c r="F1463" s="1" t="str">
        <x:v>Status</x:v>
      </x:c>
      <x:c r="G1463" s="10" t="n">
        <x:v>0</x:v>
      </x:c>
      <x:c r="H1463" s="10" t="str">
        <x:f>IF(F1463="Física",'Pokémon'!G155,IF(F1463="Especial",'Pokémon'!I155,""))</x:f>
      </x:c>
      <x:c r="I1463" s="10" t="str">
        <x:f>IF(OR(F1463="Status",G1463=0),"",G1463+H1463)</x:f>
      </x:c>
      <x:c r="J1463" s="10" t="n">
        <x:v>1</x:v>
      </x:c>
      <x:c r="K1463" s="12" t="n">
        <x:v>3</x:v>
      </x:c>
      <x:c r="L1463" s="1" t="str"/>
      <x:c r="M1463" s="9" t="str">
        <x:v>https://poke.idleworld.online/pokepedia/pokemon/mew</x:v>
      </x:c>
    </x:row>
    <x:row r="1464" ht="22" customHeight="1">
      <x:c r="A1464" s="1" t="n">
        <x:v>151</x:v>
      </x:c>
      <x:c r="B1464" s="1" t="str">
        <x:v>Mew</x:v>
      </x:c>
      <x:c r="C1464" s="1" t="n">
        <x:v>6</x:v>
      </x:c>
      <x:c r="D1464" s="1" t="str">
        <x:v>Metronome</x:v>
      </x:c>
      <x:c r="E1464" s="1" t="str">
        <x:v>Normal</x:v>
      </x:c>
      <x:c r="F1464" s="1" t="str">
        <x:v>Status</x:v>
      </x:c>
      <x:c r="G1464" s="10" t="n">
        <x:v>0</x:v>
      </x:c>
      <x:c r="H1464" s="10" t="str">
        <x:f>IF(F1464="Física",'Pokémon'!G155,IF(F1464="Especial",'Pokémon'!I155,""))</x:f>
      </x:c>
      <x:c r="I1464" s="10" t="str">
        <x:f>IF(OR(F1464="Status",G1464=0),"",G1464+H1464)</x:f>
      </x:c>
      <x:c r="J1464" s="10" t="n">
        <x:v>20</x:v>
      </x:c>
      <x:c r="K1464" s="12" t="n">
        <x:v>40</x:v>
      </x:c>
      <x:c r="L1464" s="1" t="str"/>
      <x:c r="M1464" s="9" t="str">
        <x:v>https://poke.idleworld.online/pokepedia/pokemon/mew</x:v>
      </x:c>
    </x:row>
    <x:row r="1465" ht="22" customHeight="1">
      <x:c r="A1465" s="1" t="n">
        <x:v>151</x:v>
      </x:c>
      <x:c r="B1465" s="1" t="str">
        <x:v>Mew</x:v>
      </x:c>
      <x:c r="C1465" s="1" t="n">
        <x:v>8</x:v>
      </x:c>
      <x:c r="D1465" s="1" t="str">
        <x:v>Barrier</x:v>
      </x:c>
      <x:c r="E1465" s="1" t="str">
        <x:v>Psíquico</x:v>
      </x:c>
      <x:c r="F1465" s="1" t="str">
        <x:v>Status</x:v>
      </x:c>
      <x:c r="G1465" s="10" t="n">
        <x:v>0</x:v>
      </x:c>
      <x:c r="H1465" s="10" t="str">
        <x:f>IF(F1465="Física",'Pokémon'!G155,IF(F1465="Especial",'Pokémon'!I155,""))</x:f>
      </x:c>
      <x:c r="I1465" s="10" t="str">
        <x:f>IF(OR(F1465="Status",G1465=0),"",G1465+H1465)</x:f>
      </x:c>
      <x:c r="J1465" s="10" t="n">
        <x:v>40</x:v>
      </x:c>
      <x:c r="K1465" s="12" t="n">
        <x:v>3</x:v>
      </x:c>
      <x:c r="L1465" s="1" t="str"/>
      <x:c r="M1465" s="9" t="str">
        <x:v>https://poke.idleworld.online/pokepedia/pokemon/mew</x:v>
      </x:c>
    </x:row>
    <x:row r="1466" ht="22" customHeight="1">
      <x:c r="A1466" s="1" t="n">
        <x:v>151</x:v>
      </x:c>
      <x:c r="B1466" s="1" t="str">
        <x:v>Mew</x:v>
      </x:c>
      <x:c r="C1466" s="1" t="n">
        <x:v>10</x:v>
      </x:c>
      <x:c r="D1466" s="1" t="str">
        <x:v>Amnesia</x:v>
      </x:c>
      <x:c r="E1466" s="1" t="str">
        <x:v>Psíquico</x:v>
      </x:c>
      <x:c r="F1466" s="1" t="str">
        <x:v>Status</x:v>
      </x:c>
      <x:c r="G1466" s="10" t="n">
        <x:v>0</x:v>
      </x:c>
      <x:c r="H1466" s="10" t="str">
        <x:f>IF(F1466="Física",'Pokémon'!G155,IF(F1466="Especial",'Pokémon'!I155,""))</x:f>
      </x:c>
      <x:c r="I1466" s="10" t="str">
        <x:f>IF(OR(F1466="Status",G1466=0),"",G1466+H1466)</x:f>
      </x:c>
      <x:c r="J1466" s="10" t="n">
        <x:v>60</x:v>
      </x:c>
      <x:c r="K1466" s="12" t="n">
        <x:v>3</x:v>
      </x:c>
      <x:c r="L1466" s="1" t="str"/>
      <x:c r="M1466" s="9" t="str">
        <x:v>https://poke.idleworld.online/pokepedia/pokemon/mew</x:v>
      </x:c>
    </x:row>
    <x:row r="1467" ht="22" customHeight="1">
      <x:c r="A1467" s="1" t="n">
        <x:v>152</x:v>
      </x:c>
      <x:c r="B1467" s="1" t="str">
        <x:v>Chikorita</x:v>
      </x:c>
      <x:c r="C1467" s="1" t="n">
        <x:v>5</x:v>
      </x:c>
      <x:c r="D1467" s="1" t="str">
        <x:v>Solar Beam</x:v>
      </x:c>
      <x:c r="E1467" s="1" t="str">
        <x:v>Planta</x:v>
      </x:c>
      <x:c r="F1467" s="1" t="str">
        <x:v>Especial</x:v>
      </x:c>
      <x:c r="G1467" s="10" t="n">
        <x:v>120</x:v>
      </x:c>
      <x:c r="H1467" s="10" t="n">
        <x:f>IF(F1467="Física",'Pokémon'!G156,IF(F1467="Especial",'Pokémon'!I156,""))</x:f>
        <x:v>49</x:v>
      </x:c>
      <x:c r="I1467" s="10" t="n">
        <x:f>IF(OR(F1467="Status",G1467=0),"",G1467+H1467)</x:f>
        <x:v>169</x:v>
      </x:c>
      <x:c r="J1467" s="10" t="n">
        <x:v>45</x:v>
      </x:c>
      <x:c r="K1467" s="12" t="n">
        <x:v>30</x:v>
      </x:c>
      <x:c r="L1467" s="1" t="str"/>
      <x:c r="M1467" s="9" t="str">
        <x:v>https://poke.idleworld.online/pokepedia/pokemon/chikorita</x:v>
      </x:c>
    </x:row>
    <x:row r="1468" ht="22" customHeight="1">
      <x:c r="A1468" s="1" t="n">
        <x:v>152</x:v>
      </x:c>
      <x:c r="B1468" s="1" t="str">
        <x:v>Chikorita</x:v>
      </x:c>
      <x:c r="C1468" s="1" t="n">
        <x:v>4</x:v>
      </x:c>
      <x:c r="D1468" s="1" t="str">
        <x:v>Body Slam</x:v>
      </x:c>
      <x:c r="E1468" s="1" t="str">
        <x:v>Normal</x:v>
      </x:c>
      <x:c r="F1468" s="1" t="str">
        <x:v>Física</x:v>
      </x:c>
      <x:c r="G1468" s="10" t="n">
        <x:v>85</x:v>
      </x:c>
      <x:c r="H1468" s="10" t="n">
        <x:f>IF(F1468="Física",'Pokémon'!G156,IF(F1468="Especial",'Pokémon'!I156,""))</x:f>
        <x:v>49</x:v>
      </x:c>
      <x:c r="I1468" s="10" t="n">
        <x:f>IF(OR(F1468="Status",G1468=0),"",G1468+H1468)</x:f>
        <x:v>134</x:v>
      </x:c>
      <x:c r="J1468" s="10" t="n">
        <x:v>34</x:v>
      </x:c>
      <x:c r="K1468" s="12" t="n">
        <x:v>22</x:v>
      </x:c>
      <x:c r="L1468" s="1" t="str"/>
      <x:c r="M1468" s="9" t="str">
        <x:v>https://poke.idleworld.online/pokepedia/pokemon/chikorita</x:v>
      </x:c>
    </x:row>
    <x:row r="1469" ht="22" customHeight="1">
      <x:c r="A1469" s="1" t="n">
        <x:v>152</x:v>
      </x:c>
      <x:c r="B1469" s="1" t="str">
        <x:v>Chikorita</x:v>
      </x:c>
      <x:c r="C1469" s="1" t="n">
        <x:v>3</x:v>
      </x:c>
      <x:c r="D1469" s="1" t="str">
        <x:v>Magical Leaf</x:v>
      </x:c>
      <x:c r="E1469" s="1" t="str">
        <x:v>Planta</x:v>
      </x:c>
      <x:c r="F1469" s="1" t="str">
        <x:v>Especial</x:v>
      </x:c>
      <x:c r="G1469" s="10" t="n">
        <x:v>60</x:v>
      </x:c>
      <x:c r="H1469" s="10" t="n">
        <x:f>IF(F1469="Física",'Pokémon'!G156,IF(F1469="Especial",'Pokémon'!I156,""))</x:f>
        <x:v>49</x:v>
      </x:c>
      <x:c r="I1469" s="10" t="n">
        <x:f>IF(OR(F1469="Status",G1469=0),"",G1469+H1469)</x:f>
        <x:v>109</x:v>
      </x:c>
      <x:c r="J1469" s="10" t="n">
        <x:v>20</x:v>
      </x:c>
      <x:c r="K1469" s="12" t="n">
        <x:v>20</x:v>
      </x:c>
      <x:c r="L1469" s="1" t="str"/>
      <x:c r="M1469" s="9" t="str">
        <x:v>https://poke.idleworld.online/pokepedia/pokemon/chikorita</x:v>
      </x:c>
    </x:row>
    <x:row r="1470" ht="22" customHeight="1">
      <x:c r="A1470" s="1" t="n">
        <x:v>152</x:v>
      </x:c>
      <x:c r="B1470" s="1" t="str">
        <x:v>Chikorita</x:v>
      </x:c>
      <x:c r="C1470" s="1" t="n">
        <x:v>2</x:v>
      </x:c>
      <x:c r="D1470" s="1" t="str">
        <x:v>Razor Leaf</x:v>
      </x:c>
      <x:c r="E1470" s="1" t="str">
        <x:v>Planta</x:v>
      </x:c>
      <x:c r="F1470" s="1" t="str">
        <x:v>Física</x:v>
      </x:c>
      <x:c r="G1470" s="10" t="n">
        <x:v>55</x:v>
      </x:c>
      <x:c r="H1470" s="10" t="n">
        <x:f>IF(F1470="Física",'Pokémon'!G156,IF(F1470="Especial",'Pokémon'!I156,""))</x:f>
        <x:v>49</x:v>
      </x:c>
      <x:c r="I1470" s="10" t="n">
        <x:f>IF(OR(F1470="Status",G1470=0),"",G1470+H1470)</x:f>
        <x:v>104</x:v>
      </x:c>
      <x:c r="J1470" s="10" t="n">
        <x:v>6</x:v>
      </x:c>
      <x:c r="K1470" s="12" t="n">
        <x:v>20</x:v>
      </x:c>
      <x:c r="L1470" s="1" t="str"/>
      <x:c r="M1470" s="9" t="str">
        <x:v>https://poke.idleworld.online/pokepedia/pokemon/chikorita</x:v>
      </x:c>
    </x:row>
    <x:row r="1471" ht="22" customHeight="1">
      <x:c r="A1471" s="1" t="n">
        <x:v>152</x:v>
      </x:c>
      <x:c r="B1471" s="1" t="str">
        <x:v>Chikorita</x:v>
      </x:c>
      <x:c r="C1471" s="1" t="n">
        <x:v>1</x:v>
      </x:c>
      <x:c r="D1471" s="1" t="str">
        <x:v>Tackle</x:v>
      </x:c>
      <x:c r="E1471" s="1" t="str">
        <x:v>Normal</x:v>
      </x:c>
      <x:c r="F1471" s="1" t="str">
        <x:v>Física</x:v>
      </x:c>
      <x:c r="G1471" s="10" t="n">
        <x:v>50</x:v>
      </x:c>
      <x:c r="H1471" s="10" t="n">
        <x:f>IF(F1471="Física",'Pokémon'!G156,IF(F1471="Especial",'Pokémon'!I156,""))</x:f>
        <x:v>49</x:v>
      </x:c>
      <x:c r="I1471" s="10" t="n">
        <x:f>IF(OR(F1471="Status",G1471=0),"",G1471+H1471)</x:f>
        <x:v>99</x:v>
      </x:c>
      <x:c r="J1471" s="10" t="n">
        <x:v>1</x:v>
      </x:c>
      <x:c r="K1471" s="12" t="n">
        <x:v>15</x:v>
      </x:c>
      <x:c r="L1471" s="1" t="str"/>
      <x:c r="M1471" s="9" t="str">
        <x:v>https://poke.idleworld.online/pokepedia/pokemon/chikorita</x:v>
      </x:c>
    </x:row>
    <x:row r="1472" ht="22" customHeight="1">
      <x:c r="A1472" s="1" t="n">
        <x:v>153</x:v>
      </x:c>
      <x:c r="B1472" s="1" t="str">
        <x:v>Bayleef</x:v>
      </x:c>
      <x:c r="C1472" s="1" t="n">
        <x:v>5</x:v>
      </x:c>
      <x:c r="D1472" s="1" t="str">
        <x:v>Solar Beam</x:v>
      </x:c>
      <x:c r="E1472" s="1" t="str">
        <x:v>Planta</x:v>
      </x:c>
      <x:c r="F1472" s="1" t="str">
        <x:v>Especial</x:v>
      </x:c>
      <x:c r="G1472" s="10" t="n">
        <x:v>120</x:v>
      </x:c>
      <x:c r="H1472" s="10" t="n">
        <x:f>IF(F1472="Física",'Pokémon'!G157,IF(F1472="Especial",'Pokémon'!I157,""))</x:f>
        <x:v>63</x:v>
      </x:c>
      <x:c r="I1472" s="10" t="n">
        <x:f>IF(OR(F1472="Status",G1472=0),"",G1472+H1472)</x:f>
        <x:v>183</x:v>
      </x:c>
      <x:c r="J1472" s="10" t="n">
        <x:v>54</x:v>
      </x:c>
      <x:c r="K1472" s="12" t="n">
        <x:v>30</x:v>
      </x:c>
      <x:c r="L1472" s="1" t="str"/>
      <x:c r="M1472" s="9" t="str">
        <x:v>https://poke.idleworld.online/pokepedia/pokemon/bayleef</x:v>
      </x:c>
    </x:row>
    <x:row r="1473" ht="22" customHeight="1">
      <x:c r="A1473" s="1" t="n">
        <x:v>153</x:v>
      </x:c>
      <x:c r="B1473" s="1" t="str">
        <x:v>Bayleef</x:v>
      </x:c>
      <x:c r="C1473" s="1" t="n">
        <x:v>4</x:v>
      </x:c>
      <x:c r="D1473" s="1" t="str">
        <x:v>Body Slam</x:v>
      </x:c>
      <x:c r="E1473" s="1" t="str">
        <x:v>Normal</x:v>
      </x:c>
      <x:c r="F1473" s="1" t="str">
        <x:v>Física</x:v>
      </x:c>
      <x:c r="G1473" s="10" t="n">
        <x:v>85</x:v>
      </x:c>
      <x:c r="H1473" s="10" t="n">
        <x:f>IF(F1473="Física",'Pokémon'!G157,IF(F1473="Especial",'Pokémon'!I157,""))</x:f>
        <x:v>62</x:v>
      </x:c>
      <x:c r="I1473" s="10" t="n">
        <x:f>IF(OR(F1473="Status",G1473=0),"",G1473+H1473)</x:f>
        <x:v>147</x:v>
      </x:c>
      <x:c r="J1473" s="10" t="n">
        <x:v>40</x:v>
      </x:c>
      <x:c r="K1473" s="12" t="n">
        <x:v>22</x:v>
      </x:c>
      <x:c r="L1473" s="1" t="str"/>
      <x:c r="M1473" s="9" t="str">
        <x:v>https://poke.idleworld.online/pokepedia/pokemon/bayleef</x:v>
      </x:c>
    </x:row>
    <x:row r="1474" ht="22" customHeight="1">
      <x:c r="A1474" s="1" t="n">
        <x:v>153</x:v>
      </x:c>
      <x:c r="B1474" s="1" t="str">
        <x:v>Bayleef</x:v>
      </x:c>
      <x:c r="C1474" s="1" t="n">
        <x:v>3</x:v>
      </x:c>
      <x:c r="D1474" s="1" t="str">
        <x:v>Magical Leaf</x:v>
      </x:c>
      <x:c r="E1474" s="1" t="str">
        <x:v>Planta</x:v>
      </x:c>
      <x:c r="F1474" s="1" t="str">
        <x:v>Especial</x:v>
      </x:c>
      <x:c r="G1474" s="10" t="n">
        <x:v>60</x:v>
      </x:c>
      <x:c r="H1474" s="10" t="n">
        <x:f>IF(F1474="Física",'Pokémon'!G157,IF(F1474="Especial",'Pokémon'!I157,""))</x:f>
        <x:v>63</x:v>
      </x:c>
      <x:c r="I1474" s="10" t="n">
        <x:f>IF(OR(F1474="Status",G1474=0),"",G1474+H1474)</x:f>
        <x:v>123</x:v>
      </x:c>
      <x:c r="J1474" s="10" t="n">
        <x:v>22</x:v>
      </x:c>
      <x:c r="K1474" s="12" t="n">
        <x:v>20</x:v>
      </x:c>
      <x:c r="L1474" s="1" t="str"/>
      <x:c r="M1474" s="9" t="str">
        <x:v>https://poke.idleworld.online/pokepedia/pokemon/bayleef</x:v>
      </x:c>
    </x:row>
    <x:row r="1475" ht="22" customHeight="1">
      <x:c r="A1475" s="1" t="n">
        <x:v>153</x:v>
      </x:c>
      <x:c r="B1475" s="1" t="str">
        <x:v>Bayleef</x:v>
      </x:c>
      <x:c r="C1475" s="1" t="n">
        <x:v>2</x:v>
      </x:c>
      <x:c r="D1475" s="1" t="str">
        <x:v>Razor Leaf</x:v>
      </x:c>
      <x:c r="E1475" s="1" t="str">
        <x:v>Planta</x:v>
      </x:c>
      <x:c r="F1475" s="1" t="str">
        <x:v>Física</x:v>
      </x:c>
      <x:c r="G1475" s="10" t="n">
        <x:v>55</x:v>
      </x:c>
      <x:c r="H1475" s="10" t="n">
        <x:f>IF(F1475="Física",'Pokémon'!G157,IF(F1475="Especial",'Pokémon'!I157,""))</x:f>
        <x:v>62</x:v>
      </x:c>
      <x:c r="I1475" s="10" t="n">
        <x:f>IF(OR(F1475="Status",G1475=0),"",G1475+H1475)</x:f>
        <x:v>117</x:v>
      </x:c>
      <x:c r="J1475" s="10" t="n">
        <x:v>1</x:v>
      </x:c>
      <x:c r="K1475" s="12" t="n">
        <x:v>20</x:v>
      </x:c>
      <x:c r="L1475" s="1" t="str"/>
      <x:c r="M1475" s="9" t="str">
        <x:v>https://poke.idleworld.online/pokepedia/pokemon/bayleef</x:v>
      </x:c>
    </x:row>
    <x:row r="1476" ht="22" customHeight="1">
      <x:c r="A1476" s="1" t="n">
        <x:v>153</x:v>
      </x:c>
      <x:c r="B1476" s="1" t="str">
        <x:v>Bayleef</x:v>
      </x:c>
      <x:c r="C1476" s="1" t="n">
        <x:v>1</x:v>
      </x:c>
      <x:c r="D1476" s="1" t="str">
        <x:v>Tackle</x:v>
      </x:c>
      <x:c r="E1476" s="1" t="str">
        <x:v>Normal</x:v>
      </x:c>
      <x:c r="F1476" s="1" t="str">
        <x:v>Física</x:v>
      </x:c>
      <x:c r="G1476" s="10" t="n">
        <x:v>50</x:v>
      </x:c>
      <x:c r="H1476" s="10" t="n">
        <x:f>IF(F1476="Física",'Pokémon'!G157,IF(F1476="Especial",'Pokémon'!I157,""))</x:f>
        <x:v>62</x:v>
      </x:c>
      <x:c r="I1476" s="10" t="n">
        <x:f>IF(OR(F1476="Status",G1476=0),"",G1476+H1476)</x:f>
        <x:v>112</x:v>
      </x:c>
      <x:c r="J1476" s="10" t="n">
        <x:v>1</x:v>
      </x:c>
      <x:c r="K1476" s="12" t="n">
        <x:v>15</x:v>
      </x:c>
      <x:c r="L1476" s="1" t="str"/>
      <x:c r="M1476" s="9" t="str">
        <x:v>https://poke.idleworld.online/pokepedia/pokemon/bayleef</x:v>
      </x:c>
    </x:row>
    <x:row r="1477" ht="22" customHeight="1">
      <x:c r="A1477" s="1" t="n">
        <x:v>154</x:v>
      </x:c>
      <x:c r="B1477" s="1" t="str">
        <x:v>Meganium</x:v>
      </x:c>
      <x:c r="C1477" s="1" t="n">
        <x:v>2</x:v>
      </x:c>
      <x:c r="D1477" s="1" t="str">
        <x:v>Petal Bloom</x:v>
      </x:c>
      <x:c r="E1477" s="1" t="str">
        <x:v>Planta</x:v>
      </x:c>
      <x:c r="F1477" s="1" t="str">
        <x:v>Especial</x:v>
      </x:c>
      <x:c r="G1477" s="10" t="n">
        <x:v>300</x:v>
      </x:c>
      <x:c r="H1477" s="10" t="n">
        <x:f>IF(F1477="Física",'Pokémon'!G158,IF(F1477="Especial",'Pokémon'!I158,""))</x:f>
        <x:v>83</x:v>
      </x:c>
      <x:c r="I1477" s="10" t="n">
        <x:f>IF(OR(F1477="Status",G1477=0),"",G1477+H1477)</x:f>
        <x:v>383</x:v>
      </x:c>
      <x:c r="J1477" s="10" t="n">
        <x:v>1</x:v>
      </x:c>
      <x:c r="K1477" s="12" t="n">
        <x:v>10</x:v>
      </x:c>
      <x:c r="L1477" s="1" t="str">
        <x:v>Sim</x:v>
      </x:c>
      <x:c r="M1477" s="9" t="str">
        <x:v>https://poke.idleworld.online/pokepedia/pokemon/meganium</x:v>
      </x:c>
    </x:row>
    <x:row r="1478" ht="22" customHeight="1">
      <x:c r="A1478" s="1" t="n">
        <x:v>154</x:v>
      </x:c>
      <x:c r="B1478" s="1" t="str">
        <x:v>Meganium</x:v>
      </x:c>
      <x:c r="C1478" s="1" t="n">
        <x:v>6</x:v>
      </x:c>
      <x:c r="D1478" s="1" t="str">
        <x:v>Petal Dance</x:v>
      </x:c>
      <x:c r="E1478" s="1" t="str">
        <x:v>Planta</x:v>
      </x:c>
      <x:c r="F1478" s="1" t="str">
        <x:v>Especial</x:v>
      </x:c>
      <x:c r="G1478" s="10" t="n">
        <x:v>120</x:v>
      </x:c>
      <x:c r="H1478" s="10" t="n">
        <x:f>IF(F1478="Física",'Pokémon'!G158,IF(F1478="Especial",'Pokémon'!I158,""))</x:f>
        <x:v>83</x:v>
      </x:c>
      <x:c r="I1478" s="10" t="n">
        <x:f>IF(OR(F1478="Status",G1478=0),"",G1478+H1478)</x:f>
        <x:v>203</x:v>
      </x:c>
      <x:c r="J1478" s="10" t="n">
        <x:v>32</x:v>
      </x:c>
      <x:c r="K1478" s="12" t="n">
        <x:v>50</x:v>
      </x:c>
      <x:c r="L1478" s="1" t="str"/>
      <x:c r="M1478" s="9" t="str">
        <x:v>https://poke.idleworld.online/pokepedia/pokemon/meganium</x:v>
      </x:c>
    </x:row>
    <x:row r="1479" ht="22" customHeight="1">
      <x:c r="A1479" s="1" t="n">
        <x:v>154</x:v>
      </x:c>
      <x:c r="B1479" s="1" t="str">
        <x:v>Meganium</x:v>
      </x:c>
      <x:c r="C1479" s="1" t="n">
        <x:v>8</x:v>
      </x:c>
      <x:c r="D1479" s="1" t="str">
        <x:v>Solar Beam</x:v>
      </x:c>
      <x:c r="E1479" s="1" t="str">
        <x:v>Planta</x:v>
      </x:c>
      <x:c r="F1479" s="1" t="str">
        <x:v>Especial</x:v>
      </x:c>
      <x:c r="G1479" s="10" t="n">
        <x:v>120</x:v>
      </x:c>
      <x:c r="H1479" s="10" t="n">
        <x:f>IF(F1479="Física",'Pokémon'!G158,IF(F1479="Especial",'Pokémon'!I158,""))</x:f>
        <x:v>83</x:v>
      </x:c>
      <x:c r="I1479" s="10" t="n">
        <x:f>IF(OR(F1479="Status",G1479=0),"",G1479+H1479)</x:f>
        <x:v>203</x:v>
      </x:c>
      <x:c r="J1479" s="10" t="n">
        <x:v>66</x:v>
      </x:c>
      <x:c r="K1479" s="12" t="n">
        <x:v>30</x:v>
      </x:c>
      <x:c r="L1479" s="1" t="str"/>
      <x:c r="M1479" s="9" t="str">
        <x:v>https://poke.idleworld.online/pokepedia/pokemon/meganium</x:v>
      </x:c>
    </x:row>
    <x:row r="1480" ht="22" customHeight="1">
      <x:c r="A1480" s="1" t="n">
        <x:v>154</x:v>
      </x:c>
      <x:c r="B1480" s="1" t="str">
        <x:v>Meganium</x:v>
      </x:c>
      <x:c r="C1480" s="1" t="n">
        <x:v>4</x:v>
      </x:c>
      <x:c r="D1480" s="1" t="str">
        <x:v>Petal Blizzard</x:v>
      </x:c>
      <x:c r="E1480" s="1" t="str">
        <x:v>Planta</x:v>
      </x:c>
      <x:c r="F1480" s="1" t="str">
        <x:v>Física</x:v>
      </x:c>
      <x:c r="G1480" s="10" t="n">
        <x:v>90</x:v>
      </x:c>
      <x:c r="H1480" s="10" t="n">
        <x:f>IF(F1480="Física",'Pokémon'!G158,IF(F1480="Especial",'Pokémon'!I158,""))</x:f>
        <x:v>82</x:v>
      </x:c>
      <x:c r="I1480" s="10" t="n">
        <x:f>IF(OR(F1480="Status",G1480=0),"",G1480+H1480)</x:f>
        <x:v>172</x:v>
      </x:c>
      <x:c r="J1480" s="10" t="n">
        <x:v>1</x:v>
      </x:c>
      <x:c r="K1480" s="12" t="n">
        <x:v>22</x:v>
      </x:c>
      <x:c r="L1480" s="1" t="str"/>
      <x:c r="M1480" s="9" t="str">
        <x:v>https://poke.idleworld.online/pokepedia/pokemon/meganium</x:v>
      </x:c>
    </x:row>
    <x:row r="1481" ht="22" customHeight="1">
      <x:c r="A1481" s="1" t="n">
        <x:v>154</x:v>
      </x:c>
      <x:c r="B1481" s="1" t="str">
        <x:v>Meganium</x:v>
      </x:c>
      <x:c r="C1481" s="1" t="n">
        <x:v>7</x:v>
      </x:c>
      <x:c r="D1481" s="1" t="str">
        <x:v>Body Slam</x:v>
      </x:c>
      <x:c r="E1481" s="1" t="str">
        <x:v>Normal</x:v>
      </x:c>
      <x:c r="F1481" s="1" t="str">
        <x:v>Física</x:v>
      </x:c>
      <x:c r="G1481" s="10" t="n">
        <x:v>85</x:v>
      </x:c>
      <x:c r="H1481" s="10" t="n">
        <x:f>IF(F1481="Física",'Pokémon'!G158,IF(F1481="Especial",'Pokémon'!I158,""))</x:f>
        <x:v>82</x:v>
      </x:c>
      <x:c r="I1481" s="10" t="n">
        <x:f>IF(OR(F1481="Status",G1481=0),"",G1481+H1481)</x:f>
        <x:v>167</x:v>
      </x:c>
      <x:c r="J1481" s="10" t="n">
        <x:v>46</x:v>
      </x:c>
      <x:c r="K1481" s="12" t="n">
        <x:v>22</x:v>
      </x:c>
      <x:c r="L1481" s="1" t="str"/>
      <x:c r="M1481" s="9" t="str">
        <x:v>https://poke.idleworld.online/pokepedia/pokemon/meganium</x:v>
      </x:c>
    </x:row>
    <x:row r="1482" ht="22" customHeight="1">
      <x:c r="A1482" s="1" t="n">
        <x:v>154</x:v>
      </x:c>
      <x:c r="B1482" s="1" t="str">
        <x:v>Meganium</x:v>
      </x:c>
      <x:c r="C1482" s="1" t="n">
        <x:v>5</x:v>
      </x:c>
      <x:c r="D1482" s="1" t="str">
        <x:v>Magical Leaf</x:v>
      </x:c>
      <x:c r="E1482" s="1" t="str">
        <x:v>Planta</x:v>
      </x:c>
      <x:c r="F1482" s="1" t="str">
        <x:v>Especial</x:v>
      </x:c>
      <x:c r="G1482" s="10" t="n">
        <x:v>60</x:v>
      </x:c>
      <x:c r="H1482" s="10" t="n">
        <x:f>IF(F1482="Física",'Pokémon'!G158,IF(F1482="Especial",'Pokémon'!I158,""))</x:f>
        <x:v>83</x:v>
      </x:c>
      <x:c r="I1482" s="10" t="n">
        <x:f>IF(OR(F1482="Status",G1482=0),"",G1482+H1482)</x:f>
        <x:v>143</x:v>
      </x:c>
      <x:c r="J1482" s="10" t="n">
        <x:v>22</x:v>
      </x:c>
      <x:c r="K1482" s="12" t="n">
        <x:v>20</x:v>
      </x:c>
      <x:c r="L1482" s="1" t="str"/>
      <x:c r="M1482" s="9" t="str">
        <x:v>https://poke.idleworld.online/pokepedia/pokemon/meganium</x:v>
      </x:c>
    </x:row>
    <x:row r="1483" ht="22" customHeight="1">
      <x:c r="A1483" s="1" t="n">
        <x:v>154</x:v>
      </x:c>
      <x:c r="B1483" s="1" t="str">
        <x:v>Meganium</x:v>
      </x:c>
      <x:c r="C1483" s="1" t="n">
        <x:v>3</x:v>
      </x:c>
      <x:c r="D1483" s="1" t="str">
        <x:v>Razor Leaf</x:v>
      </x:c>
      <x:c r="E1483" s="1" t="str">
        <x:v>Planta</x:v>
      </x:c>
      <x:c r="F1483" s="1" t="str">
        <x:v>Física</x:v>
      </x:c>
      <x:c r="G1483" s="10" t="n">
        <x:v>55</x:v>
      </x:c>
      <x:c r="H1483" s="10" t="n">
        <x:f>IF(F1483="Física",'Pokémon'!G158,IF(F1483="Especial",'Pokémon'!I158,""))</x:f>
        <x:v>82</x:v>
      </x:c>
      <x:c r="I1483" s="10" t="n">
        <x:f>IF(OR(F1483="Status",G1483=0),"",G1483+H1483)</x:f>
        <x:v>137</x:v>
      </x:c>
      <x:c r="J1483" s="10" t="n">
        <x:v>1</x:v>
      </x:c>
      <x:c r="K1483" s="12" t="n">
        <x:v>20</x:v>
      </x:c>
      <x:c r="L1483" s="1" t="str"/>
      <x:c r="M1483" s="9" t="str">
        <x:v>https://poke.idleworld.online/pokepedia/pokemon/meganium</x:v>
      </x:c>
    </x:row>
    <x:row r="1484" ht="22" customHeight="1">
      <x:c r="A1484" s="1" t="n">
        <x:v>154</x:v>
      </x:c>
      <x:c r="B1484" s="1" t="str">
        <x:v>Meganium</x:v>
      </x:c>
      <x:c r="C1484" s="1" t="n">
        <x:v>1</x:v>
      </x:c>
      <x:c r="D1484" s="1" t="str">
        <x:v>Tackle</x:v>
      </x:c>
      <x:c r="E1484" s="1" t="str">
        <x:v>Normal</x:v>
      </x:c>
      <x:c r="F1484" s="1" t="str">
        <x:v>Física</x:v>
      </x:c>
      <x:c r="G1484" s="10" t="n">
        <x:v>50</x:v>
      </x:c>
      <x:c r="H1484" s="10" t="n">
        <x:f>IF(F1484="Física",'Pokémon'!G158,IF(F1484="Especial",'Pokémon'!I158,""))</x:f>
        <x:v>82</x:v>
      </x:c>
      <x:c r="I1484" s="10" t="n">
        <x:f>IF(OR(F1484="Status",G1484=0),"",G1484+H1484)</x:f>
        <x:v>132</x:v>
      </x:c>
      <x:c r="J1484" s="10" t="n">
        <x:v>1</x:v>
      </x:c>
      <x:c r="K1484" s="12" t="n">
        <x:v>15</x:v>
      </x:c>
      <x:c r="L1484" s="1" t="str"/>
      <x:c r="M1484" s="9" t="str">
        <x:v>https://poke.idleworld.online/pokepedia/pokemon/meganium</x:v>
      </x:c>
    </x:row>
    <x:row r="1485" ht="22" customHeight="1">
      <x:c r="A1485" s="1" t="n">
        <x:v>155</x:v>
      </x:c>
      <x:c r="B1485" s="1" t="str">
        <x:v>Cyndaquil</x:v>
      </x:c>
      <x:c r="C1485" s="1" t="n">
        <x:v>12</x:v>
      </x:c>
      <x:c r="D1485" s="1" t="str">
        <x:v>Eruption</x:v>
      </x:c>
      <x:c r="E1485" s="1" t="str">
        <x:v>Fogo</x:v>
      </x:c>
      <x:c r="F1485" s="1" t="str">
        <x:v>Especial</x:v>
      </x:c>
      <x:c r="G1485" s="10" t="n">
        <x:v>150</x:v>
      </x:c>
      <x:c r="H1485" s="10" t="n">
        <x:f>IF(F1485="Física",'Pokémon'!G159,IF(F1485="Especial",'Pokémon'!I159,""))</x:f>
        <x:v>60</x:v>
      </x:c>
      <x:c r="I1485" s="10" t="n">
        <x:f>IF(OR(F1485="Status",G1485=0),"",G1485+H1485)</x:f>
        <x:v>210</x:v>
      </x:c>
      <x:c r="J1485" s="10" t="n">
        <x:v>58</x:v>
      </x:c>
      <x:c r="K1485" s="12" t="n">
        <x:v>50</x:v>
      </x:c>
      <x:c r="L1485" s="1" t="str"/>
      <x:c r="M1485" s="9" t="str">
        <x:v>https://poke.idleworld.online/pokepedia/pokemon/cyndaquil</x:v>
      </x:c>
    </x:row>
    <x:row r="1486" ht="22" customHeight="1">
      <x:c r="A1486" s="1" t="n">
        <x:v>155</x:v>
      </x:c>
      <x:c r="B1486" s="1" t="str">
        <x:v>Cyndaquil</x:v>
      </x:c>
      <x:c r="C1486" s="1" t="n">
        <x:v>11</x:v>
      </x:c>
      <x:c r="D1486" s="1" t="str">
        <x:v>Double-Edge</x:v>
      </x:c>
      <x:c r="E1486" s="1" t="str">
        <x:v>Normal</x:v>
      </x:c>
      <x:c r="F1486" s="1" t="str">
        <x:v>Física</x:v>
      </x:c>
      <x:c r="G1486" s="10" t="n">
        <x:v>120</x:v>
      </x:c>
      <x:c r="H1486" s="10" t="n">
        <x:f>IF(F1486="Física",'Pokémon'!G159,IF(F1486="Especial",'Pokémon'!I159,""))</x:f>
        <x:v>52</x:v>
      </x:c>
      <x:c r="I1486" s="10" t="n">
        <x:f>IF(OR(F1486="Status",G1486=0),"",G1486+H1486)</x:f>
        <x:v>172</x:v>
      </x:c>
      <x:c r="J1486" s="10" t="n">
        <x:v>55</x:v>
      </x:c>
      <x:c r="K1486" s="12" t="n">
        <x:v>3</x:v>
      </x:c>
      <x:c r="L1486" s="1" t="str"/>
      <x:c r="M1486" s="9" t="str">
        <x:v>https://poke.idleworld.online/pokepedia/pokemon/cyndaquil</x:v>
      </x:c>
    </x:row>
    <x:row r="1487" ht="22" customHeight="1">
      <x:c r="A1487" s="1" t="n">
        <x:v>155</x:v>
      </x:c>
      <x:c r="B1487" s="1" t="str">
        <x:v>Cyndaquil</x:v>
      </x:c>
      <x:c r="C1487" s="1" t="n">
        <x:v>9</x:v>
      </x:c>
      <x:c r="D1487" s="1" t="str">
        <x:v>Inferno</x:v>
      </x:c>
      <x:c r="E1487" s="1" t="str">
        <x:v>Fogo</x:v>
      </x:c>
      <x:c r="F1487" s="1" t="str">
        <x:v>Especial</x:v>
      </x:c>
      <x:c r="G1487" s="10" t="n">
        <x:v>100</x:v>
      </x:c>
      <x:c r="H1487" s="10" t="n">
        <x:f>IF(F1487="Física",'Pokémon'!G159,IF(F1487="Especial",'Pokémon'!I159,""))</x:f>
        <x:v>60</x:v>
      </x:c>
      <x:c r="I1487" s="10" t="n">
        <x:f>IF(OR(F1487="Status",G1487=0),"",G1487+H1487)</x:f>
        <x:v>160</x:v>
      </x:c>
      <x:c r="J1487" s="10" t="n">
        <x:v>46</x:v>
      </x:c>
      <x:c r="K1487" s="12" t="n">
        <x:v>40</x:v>
      </x:c>
      <x:c r="L1487" s="1" t="str"/>
      <x:c r="M1487" s="9" t="str">
        <x:v>https://poke.idleworld.online/pokepedia/pokemon/cyndaquil</x:v>
      </x:c>
    </x:row>
    <x:row r="1488" ht="22" customHeight="1">
      <x:c r="A1488" s="1" t="n">
        <x:v>155</x:v>
      </x:c>
      <x:c r="B1488" s="1" t="str">
        <x:v>Cyndaquil</x:v>
      </x:c>
      <x:c r="C1488" s="1" t="n">
        <x:v>8</x:v>
      </x:c>
      <x:c r="D1488" s="1" t="str">
        <x:v>Flamethrower</x:v>
      </x:c>
      <x:c r="E1488" s="1" t="str">
        <x:v>Fogo</x:v>
      </x:c>
      <x:c r="F1488" s="1" t="str">
        <x:v>Especial</x:v>
      </x:c>
      <x:c r="G1488" s="10" t="n">
        <x:v>90</x:v>
      </x:c>
      <x:c r="H1488" s="10" t="n">
        <x:f>IF(F1488="Física",'Pokémon'!G159,IF(F1488="Especial",'Pokémon'!I159,""))</x:f>
        <x:v>60</x:v>
      </x:c>
      <x:c r="I1488" s="10" t="n">
        <x:f>IF(OR(F1488="Status",G1488=0),"",G1488+H1488)</x:f>
        <x:v>150</x:v>
      </x:c>
      <x:c r="J1488" s="10" t="n">
        <x:v>40</x:v>
      </x:c>
      <x:c r="K1488" s="12" t="n">
        <x:v>18</x:v>
      </x:c>
      <x:c r="L1488" s="1" t="str"/>
      <x:c r="M1488" s="9" t="str">
        <x:v>https://poke.idleworld.online/pokepedia/pokemon/cyndaquil</x:v>
      </x:c>
    </x:row>
    <x:row r="1489" ht="22" customHeight="1">
      <x:c r="A1489" s="1" t="n">
        <x:v>155</x:v>
      </x:c>
      <x:c r="B1489" s="1" t="str">
        <x:v>Cyndaquil</x:v>
      </x:c>
      <x:c r="C1489" s="1" t="n">
        <x:v>7</x:v>
      </x:c>
      <x:c r="D1489" s="1" t="str">
        <x:v>Lava Plume</x:v>
      </x:c>
      <x:c r="E1489" s="1" t="str">
        <x:v>Fogo</x:v>
      </x:c>
      <x:c r="F1489" s="1" t="str">
        <x:v>Especial</x:v>
      </x:c>
      <x:c r="G1489" s="10" t="n">
        <x:v>80</x:v>
      </x:c>
      <x:c r="H1489" s="10" t="n">
        <x:f>IF(F1489="Física",'Pokémon'!G159,IF(F1489="Especial",'Pokémon'!I159,""))</x:f>
        <x:v>60</x:v>
      </x:c>
      <x:c r="I1489" s="10" t="n">
        <x:f>IF(OR(F1489="Status",G1489=0),"",G1489+H1489)</x:f>
        <x:v>140</x:v>
      </x:c>
      <x:c r="J1489" s="10" t="n">
        <x:v>37</x:v>
      </x:c>
      <x:c r="K1489" s="12" t="n">
        <x:v>22</x:v>
      </x:c>
      <x:c r="L1489" s="1" t="str"/>
      <x:c r="M1489" s="9" t="str">
        <x:v>https://poke.idleworld.online/pokepedia/pokemon/cyndaquil</x:v>
      </x:c>
    </x:row>
    <x:row r="1490" ht="22" customHeight="1">
      <x:c r="A1490" s="1" t="n">
        <x:v>155</x:v>
      </x:c>
      <x:c r="B1490" s="1" t="str">
        <x:v>Cyndaquil</x:v>
      </x:c>
      <x:c r="C1490" s="1" t="n">
        <x:v>6</x:v>
      </x:c>
      <x:c r="D1490" s="1" t="str">
        <x:v>Swift</x:v>
      </x:c>
      <x:c r="E1490" s="1" t="str">
        <x:v>Normal</x:v>
      </x:c>
      <x:c r="F1490" s="1" t="str">
        <x:v>Especial</x:v>
      </x:c>
      <x:c r="G1490" s="10" t="n">
        <x:v>60</x:v>
      </x:c>
      <x:c r="H1490" s="10" t="n">
        <x:f>IF(F1490="Física",'Pokémon'!G159,IF(F1490="Especial",'Pokémon'!I159,""))</x:f>
        <x:v>60</x:v>
      </x:c>
      <x:c r="I1490" s="10" t="n">
        <x:f>IF(OR(F1490="Status",G1490=0),"",G1490+H1490)</x:f>
        <x:v>120</x:v>
      </x:c>
      <x:c r="J1490" s="10" t="n">
        <x:v>31</x:v>
      </x:c>
      <x:c r="K1490" s="12" t="n">
        <x:v>20</x:v>
      </x:c>
      <x:c r="L1490" s="1" t="str"/>
      <x:c r="M1490" s="9" t="str">
        <x:v>https://poke.idleworld.online/pokepedia/pokemon/cyndaquil</x:v>
      </x:c>
    </x:row>
    <x:row r="1491" ht="22" customHeight="1">
      <x:c r="A1491" s="1" t="n">
        <x:v>155</x:v>
      </x:c>
      <x:c r="B1491" s="1" t="str">
        <x:v>Cyndaquil</x:v>
      </x:c>
      <x:c r="C1491" s="1" t="n">
        <x:v>4</x:v>
      </x:c>
      <x:c r="D1491" s="1" t="str">
        <x:v>Flame Wheel</x:v>
      </x:c>
      <x:c r="E1491" s="1" t="str">
        <x:v>Fogo</x:v>
      </x:c>
      <x:c r="F1491" s="1" t="str">
        <x:v>Física</x:v>
      </x:c>
      <x:c r="G1491" s="10" t="n">
        <x:v>60</x:v>
      </x:c>
      <x:c r="H1491" s="10" t="n">
        <x:f>IF(F1491="Física",'Pokémon'!G159,IF(F1491="Especial",'Pokémon'!I159,""))</x:f>
        <x:v>52</x:v>
      </x:c>
      <x:c r="I1491" s="10" t="n">
        <x:f>IF(OR(F1491="Status",G1491=0),"",G1491+H1491)</x:f>
        <x:v>112</x:v>
      </x:c>
      <x:c r="J1491" s="10" t="n">
        <x:v>19</x:v>
      </x:c>
      <x:c r="K1491" s="12" t="n">
        <x:v>20</x:v>
      </x:c>
      <x:c r="L1491" s="1" t="str"/>
      <x:c r="M1491" s="9" t="str">
        <x:v>https://poke.idleworld.online/pokepedia/pokemon/cyndaquil</x:v>
      </x:c>
    </x:row>
    <x:row r="1492" ht="22" customHeight="1">
      <x:c r="A1492" s="1" t="n">
        <x:v>155</x:v>
      </x:c>
      <x:c r="B1492" s="1" t="str">
        <x:v>Cyndaquil</x:v>
      </x:c>
      <x:c r="C1492" s="1" t="n">
        <x:v>1</x:v>
      </x:c>
      <x:c r="D1492" s="1" t="str">
        <x:v>Tackle</x:v>
      </x:c>
      <x:c r="E1492" s="1" t="str">
        <x:v>Normal</x:v>
      </x:c>
      <x:c r="F1492" s="1" t="str">
        <x:v>Física</x:v>
      </x:c>
      <x:c r="G1492" s="10" t="n">
        <x:v>50</x:v>
      </x:c>
      <x:c r="H1492" s="10" t="n">
        <x:f>IF(F1492="Física",'Pokémon'!G159,IF(F1492="Especial",'Pokémon'!I159,""))</x:f>
        <x:v>52</x:v>
      </x:c>
      <x:c r="I1492" s="10" t="n">
        <x:f>IF(OR(F1492="Status",G1492=0),"",G1492+H1492)</x:f>
        <x:v>102</x:v>
      </x:c>
      <x:c r="J1492" s="10" t="n">
        <x:v>1</x:v>
      </x:c>
      <x:c r="K1492" s="12" t="n">
        <x:v>15</x:v>
      </x:c>
      <x:c r="L1492" s="1" t="str"/>
      <x:c r="M1492" s="9" t="str">
        <x:v>https://poke.idleworld.online/pokepedia/pokemon/cyndaquil</x:v>
      </x:c>
    </x:row>
    <x:row r="1493" ht="22" customHeight="1">
      <x:c r="A1493" s="1" t="n">
        <x:v>155</x:v>
      </x:c>
      <x:c r="B1493" s="1" t="str">
        <x:v>Cyndaquil</x:v>
      </x:c>
      <x:c r="C1493" s="1" t="n">
        <x:v>5</x:v>
      </x:c>
      <x:c r="D1493" s="1" t="str">
        <x:v>Flame Charge</x:v>
      </x:c>
      <x:c r="E1493" s="1" t="str">
        <x:v>Fogo</x:v>
      </x:c>
      <x:c r="F1493" s="1" t="str">
        <x:v>Física</x:v>
      </x:c>
      <x:c r="G1493" s="10" t="n">
        <x:v>50</x:v>
      </x:c>
      <x:c r="H1493" s="10" t="n">
        <x:f>IF(F1493="Física",'Pokémon'!G159,IF(F1493="Especial",'Pokémon'!I159,""))</x:f>
        <x:v>52</x:v>
      </x:c>
      <x:c r="I1493" s="10" t="n">
        <x:f>IF(OR(F1493="Status",G1493=0),"",G1493+H1493)</x:f>
        <x:v>102</x:v>
      </x:c>
      <x:c r="J1493" s="10" t="n">
        <x:v>28</x:v>
      </x:c>
      <x:c r="K1493" s="12" t="n">
        <x:v>15</x:v>
      </x:c>
      <x:c r="L1493" s="1" t="str"/>
      <x:c r="M1493" s="9" t="str">
        <x:v>https://poke.idleworld.online/pokepedia/pokemon/cyndaquil</x:v>
      </x:c>
    </x:row>
    <x:row r="1494" ht="22" customHeight="1">
      <x:c r="A1494" s="1" t="n">
        <x:v>155</x:v>
      </x:c>
      <x:c r="B1494" s="1" t="str">
        <x:v>Cyndaquil</x:v>
      </x:c>
      <x:c r="C1494" s="1" t="n">
        <x:v>2</x:v>
      </x:c>
      <x:c r="D1494" s="1" t="str">
        <x:v>Ember</x:v>
      </x:c>
      <x:c r="E1494" s="1" t="str">
        <x:v>Fogo</x:v>
      </x:c>
      <x:c r="F1494" s="1" t="str">
        <x:v>Especial</x:v>
      </x:c>
      <x:c r="G1494" s="10" t="n">
        <x:v>40</x:v>
      </x:c>
      <x:c r="H1494" s="10" t="n">
        <x:f>IF(F1494="Física",'Pokémon'!G159,IF(F1494="Especial",'Pokémon'!I159,""))</x:f>
        <x:v>60</x:v>
      </x:c>
      <x:c r="I1494" s="10" t="n">
        <x:f>IF(OR(F1494="Status",G1494=0),"",G1494+H1494)</x:f>
        <x:v>100</x:v>
      </x:c>
      <x:c r="J1494" s="10" t="n">
        <x:v>10</x:v>
      </x:c>
      <x:c r="K1494" s="12" t="n">
        <x:v>10</x:v>
      </x:c>
      <x:c r="L1494" s="1" t="str"/>
      <x:c r="M1494" s="9" t="str">
        <x:v>https://poke.idleworld.online/pokepedia/pokemon/cyndaquil</x:v>
      </x:c>
    </x:row>
    <x:row r="1495" ht="22" customHeight="1">
      <x:c r="A1495" s="1" t="n">
        <x:v>155</x:v>
      </x:c>
      <x:c r="B1495" s="1" t="str">
        <x:v>Cyndaquil</x:v>
      </x:c>
      <x:c r="C1495" s="1" t="n">
        <x:v>3</x:v>
      </x:c>
      <x:c r="D1495" s="1" t="str">
        <x:v>Quick Attack</x:v>
      </x:c>
      <x:c r="E1495" s="1" t="str">
        <x:v>Normal</x:v>
      </x:c>
      <x:c r="F1495" s="1" t="str">
        <x:v>Física</x:v>
      </x:c>
      <x:c r="G1495" s="10" t="n">
        <x:v>40</x:v>
      </x:c>
      <x:c r="H1495" s="10" t="n">
        <x:f>IF(F1495="Física",'Pokémon'!G159,IF(F1495="Especial",'Pokémon'!I159,""))</x:f>
        <x:v>52</x:v>
      </x:c>
      <x:c r="I1495" s="10" t="n">
        <x:f>IF(OR(F1495="Status",G1495=0),"",G1495+H1495)</x:f>
        <x:v>92</x:v>
      </x:c>
      <x:c r="J1495" s="10" t="n">
        <x:v>13</x:v>
      </x:c>
      <x:c r="K1495" s="12" t="n">
        <x:v>15</x:v>
      </x:c>
      <x:c r="L1495" s="1" t="str"/>
      <x:c r="M1495" s="9" t="str">
        <x:v>https://poke.idleworld.online/pokepedia/pokemon/cyndaquil</x:v>
      </x:c>
    </x:row>
    <x:row r="1496" ht="22" customHeight="1">
      <x:c r="A1496" s="1" t="n">
        <x:v>155</x:v>
      </x:c>
      <x:c r="B1496" s="1" t="str">
        <x:v>Cyndaquil</x:v>
      </x:c>
      <x:c r="C1496" s="1" t="n">
        <x:v>10</x:v>
      </x:c>
      <x:c r="D1496" s="1" t="str">
        <x:v>Rollout</x:v>
      </x:c>
      <x:c r="E1496" s="1" t="str">
        <x:v>Pedra</x:v>
      </x:c>
      <x:c r="F1496" s="1" t="str">
        <x:v>Física</x:v>
      </x:c>
      <x:c r="G1496" s="10" t="n">
        <x:v>30</x:v>
      </x:c>
      <x:c r="H1496" s="10" t="n">
        <x:f>IF(F1496="Física",'Pokémon'!G159,IF(F1496="Especial",'Pokémon'!I159,""))</x:f>
        <x:v>52</x:v>
      </x:c>
      <x:c r="I1496" s="10" t="n">
        <x:f>IF(OR(F1496="Status",G1496=0),"",G1496+H1496)</x:f>
        <x:v>82</x:v>
      </x:c>
      <x:c r="J1496" s="10" t="n">
        <x:v>49</x:v>
      </x:c>
      <x:c r="K1496" s="12" t="n">
        <x:v>15</x:v>
      </x:c>
      <x:c r="L1496" s="1" t="str"/>
      <x:c r="M1496" s="9" t="str">
        <x:v>https://poke.idleworld.online/pokepedia/pokemon/cyndaquil</x:v>
      </x:c>
    </x:row>
    <x:row r="1497" ht="22" customHeight="1">
      <x:c r="A1497" s="1" t="n">
        <x:v>156</x:v>
      </x:c>
      <x:c r="B1497" s="1" t="str">
        <x:v>Quilava</x:v>
      </x:c>
      <x:c r="C1497" s="1" t="n">
        <x:v>12</x:v>
      </x:c>
      <x:c r="D1497" s="1" t="str">
        <x:v>Eruption</x:v>
      </x:c>
      <x:c r="E1497" s="1" t="str">
        <x:v>Fogo</x:v>
      </x:c>
      <x:c r="F1497" s="1" t="str">
        <x:v>Especial</x:v>
      </x:c>
      <x:c r="G1497" s="10" t="n">
        <x:v>150</x:v>
      </x:c>
      <x:c r="H1497" s="10" t="n">
        <x:f>IF(F1497="Física",'Pokémon'!G160,IF(F1497="Especial",'Pokémon'!I160,""))</x:f>
        <x:v>80</x:v>
      </x:c>
      <x:c r="I1497" s="10" t="n">
        <x:f>IF(OR(F1497="Status",G1497=0),"",G1497+H1497)</x:f>
        <x:v>230</x:v>
      </x:c>
      <x:c r="J1497" s="10" t="n">
        <x:v>68</x:v>
      </x:c>
      <x:c r="K1497" s="12" t="n">
        <x:v>50</x:v>
      </x:c>
      <x:c r="L1497" s="1" t="str"/>
      <x:c r="M1497" s="9" t="str">
        <x:v>https://poke.idleworld.online/pokepedia/pokemon/quilava</x:v>
      </x:c>
    </x:row>
    <x:row r="1498" ht="22" customHeight="1">
      <x:c r="A1498" s="1" t="n">
        <x:v>156</x:v>
      </x:c>
      <x:c r="B1498" s="1" t="str">
        <x:v>Quilava</x:v>
      </x:c>
      <x:c r="C1498" s="1" t="n">
        <x:v>11</x:v>
      </x:c>
      <x:c r="D1498" s="1" t="str">
        <x:v>Double-Edge</x:v>
      </x:c>
      <x:c r="E1498" s="1" t="str">
        <x:v>Normal</x:v>
      </x:c>
      <x:c r="F1498" s="1" t="str">
        <x:v>Física</x:v>
      </x:c>
      <x:c r="G1498" s="10" t="n">
        <x:v>120</x:v>
      </x:c>
      <x:c r="H1498" s="10" t="n">
        <x:f>IF(F1498="Física",'Pokémon'!G160,IF(F1498="Especial",'Pokémon'!I160,""))</x:f>
        <x:v>64</x:v>
      </x:c>
      <x:c r="I1498" s="10" t="n">
        <x:f>IF(OR(F1498="Status",G1498=0),"",G1498+H1498)</x:f>
        <x:v>184</x:v>
      </x:c>
      <x:c r="J1498" s="10" t="n">
        <x:v>64</x:v>
      </x:c>
      <x:c r="K1498" s="12" t="n">
        <x:v>3</x:v>
      </x:c>
      <x:c r="L1498" s="1" t="str"/>
      <x:c r="M1498" s="9" t="str">
        <x:v>https://poke.idleworld.online/pokepedia/pokemon/quilava</x:v>
      </x:c>
    </x:row>
    <x:row r="1499" ht="22" customHeight="1">
      <x:c r="A1499" s="1" t="n">
        <x:v>156</x:v>
      </x:c>
      <x:c r="B1499" s="1" t="str">
        <x:v>Quilava</x:v>
      </x:c>
      <x:c r="C1499" s="1" t="n">
        <x:v>9</x:v>
      </x:c>
      <x:c r="D1499" s="1" t="str">
        <x:v>Inferno</x:v>
      </x:c>
      <x:c r="E1499" s="1" t="str">
        <x:v>Fogo</x:v>
      </x:c>
      <x:c r="F1499" s="1" t="str">
        <x:v>Especial</x:v>
      </x:c>
      <x:c r="G1499" s="10" t="n">
        <x:v>100</x:v>
      </x:c>
      <x:c r="H1499" s="10" t="n">
        <x:f>IF(F1499="Física",'Pokémon'!G160,IF(F1499="Especial",'Pokémon'!I160,""))</x:f>
        <x:v>80</x:v>
      </x:c>
      <x:c r="I1499" s="10" t="n">
        <x:f>IF(OR(F1499="Status",G1499=0),"",G1499+H1499)</x:f>
        <x:v>180</x:v>
      </x:c>
      <x:c r="J1499" s="10" t="n">
        <x:v>53</x:v>
      </x:c>
      <x:c r="K1499" s="12" t="n">
        <x:v>40</x:v>
      </x:c>
      <x:c r="L1499" s="1" t="str"/>
      <x:c r="M1499" s="9" t="str">
        <x:v>https://poke.idleworld.online/pokepedia/pokemon/quilava</x:v>
      </x:c>
    </x:row>
    <x:row r="1500" ht="22" customHeight="1">
      <x:c r="A1500" s="1" t="n">
        <x:v>156</x:v>
      </x:c>
      <x:c r="B1500" s="1" t="str">
        <x:v>Quilava</x:v>
      </x:c>
      <x:c r="C1500" s="1" t="n">
        <x:v>8</x:v>
      </x:c>
      <x:c r="D1500" s="1" t="str">
        <x:v>Flamethrower</x:v>
      </x:c>
      <x:c r="E1500" s="1" t="str">
        <x:v>Fogo</x:v>
      </x:c>
      <x:c r="F1500" s="1" t="str">
        <x:v>Especial</x:v>
      </x:c>
      <x:c r="G1500" s="10" t="n">
        <x:v>90</x:v>
      </x:c>
      <x:c r="H1500" s="10" t="n">
        <x:f>IF(F1500="Física",'Pokémon'!G160,IF(F1500="Especial",'Pokémon'!I160,""))</x:f>
        <x:v>80</x:v>
      </x:c>
      <x:c r="I1500" s="10" t="n">
        <x:f>IF(OR(F1500="Status",G1500=0),"",G1500+H1500)</x:f>
        <x:v>170</x:v>
      </x:c>
      <x:c r="J1500" s="10" t="n">
        <x:v>46</x:v>
      </x:c>
      <x:c r="K1500" s="12" t="n">
        <x:v>18</x:v>
      </x:c>
      <x:c r="L1500" s="1" t="str"/>
      <x:c r="M1500" s="9" t="str">
        <x:v>https://poke.idleworld.online/pokepedia/pokemon/quilava</x:v>
      </x:c>
    </x:row>
    <x:row r="1501" ht="22" customHeight="1">
      <x:c r="A1501" s="1" t="n">
        <x:v>156</x:v>
      </x:c>
      <x:c r="B1501" s="1" t="str">
        <x:v>Quilava</x:v>
      </x:c>
      <x:c r="C1501" s="1" t="n">
        <x:v>7</x:v>
      </x:c>
      <x:c r="D1501" s="1" t="str">
        <x:v>Lava Plume</x:v>
      </x:c>
      <x:c r="E1501" s="1" t="str">
        <x:v>Fogo</x:v>
      </x:c>
      <x:c r="F1501" s="1" t="str">
        <x:v>Especial</x:v>
      </x:c>
      <x:c r="G1501" s="10" t="n">
        <x:v>80</x:v>
      </x:c>
      <x:c r="H1501" s="10" t="n">
        <x:f>IF(F1501="Física",'Pokémon'!G160,IF(F1501="Especial",'Pokémon'!I160,""))</x:f>
        <x:v>80</x:v>
      </x:c>
      <x:c r="I1501" s="10" t="n">
        <x:f>IF(OR(F1501="Status",G1501=0),"",G1501+H1501)</x:f>
        <x:v>160</x:v>
      </x:c>
      <x:c r="J1501" s="10" t="n">
        <x:v>42</x:v>
      </x:c>
      <x:c r="K1501" s="12" t="n">
        <x:v>22</x:v>
      </x:c>
      <x:c r="L1501" s="1" t="str"/>
      <x:c r="M1501" s="9" t="str">
        <x:v>https://poke.idleworld.online/pokepedia/pokemon/quilava</x:v>
      </x:c>
    </x:row>
    <x:row r="1502" ht="22" customHeight="1">
      <x:c r="A1502" s="1" t="n">
        <x:v>156</x:v>
      </x:c>
      <x:c r="B1502" s="1" t="str">
        <x:v>Quilava</x:v>
      </x:c>
      <x:c r="C1502" s="1" t="n">
        <x:v>5</x:v>
      </x:c>
      <x:c r="D1502" s="1" t="str">
        <x:v>Swift</x:v>
      </x:c>
      <x:c r="E1502" s="1" t="str">
        <x:v>Normal</x:v>
      </x:c>
      <x:c r="F1502" s="1" t="str">
        <x:v>Especial</x:v>
      </x:c>
      <x:c r="G1502" s="10" t="n">
        <x:v>60</x:v>
      </x:c>
      <x:c r="H1502" s="10" t="n">
        <x:f>IF(F1502="Física",'Pokémon'!G160,IF(F1502="Especial",'Pokémon'!I160,""))</x:f>
        <x:v>80</x:v>
      </x:c>
      <x:c r="I1502" s="10" t="n">
        <x:f>IF(OR(F1502="Status",G1502=0),"",G1502+H1502)</x:f>
        <x:v>140</x:v>
      </x:c>
      <x:c r="J1502" s="10" t="n">
        <x:v>31</x:v>
      </x:c>
      <x:c r="K1502" s="12" t="n">
        <x:v>20</x:v>
      </x:c>
      <x:c r="L1502" s="1" t="str"/>
      <x:c r="M1502" s="9" t="str">
        <x:v>https://poke.idleworld.online/pokepedia/pokemon/quilava</x:v>
      </x:c>
    </x:row>
    <x:row r="1503" ht="22" customHeight="1">
      <x:c r="A1503" s="1" t="n">
        <x:v>156</x:v>
      </x:c>
      <x:c r="B1503" s="1" t="str">
        <x:v>Quilava</x:v>
      </x:c>
      <x:c r="C1503" s="1" t="n">
        <x:v>4</x:v>
      </x:c>
      <x:c r="D1503" s="1" t="str">
        <x:v>Flame Wheel</x:v>
      </x:c>
      <x:c r="E1503" s="1" t="str">
        <x:v>Fogo</x:v>
      </x:c>
      <x:c r="F1503" s="1" t="str">
        <x:v>Física</x:v>
      </x:c>
      <x:c r="G1503" s="10" t="n">
        <x:v>60</x:v>
      </x:c>
      <x:c r="H1503" s="10" t="n">
        <x:f>IF(F1503="Física",'Pokémon'!G160,IF(F1503="Especial",'Pokémon'!I160,""))</x:f>
        <x:v>64</x:v>
      </x:c>
      <x:c r="I1503" s="10" t="n">
        <x:f>IF(OR(F1503="Status",G1503=0),"",G1503+H1503)</x:f>
        <x:v>124</x:v>
      </x:c>
      <x:c r="J1503" s="10" t="n">
        <x:v>20</x:v>
      </x:c>
      <x:c r="K1503" s="12" t="n">
        <x:v>20</x:v>
      </x:c>
      <x:c r="L1503" s="1" t="str"/>
      <x:c r="M1503" s="9" t="str">
        <x:v>https://poke.idleworld.online/pokepedia/pokemon/quilava</x:v>
      </x:c>
    </x:row>
    <x:row r="1504" ht="22" customHeight="1">
      <x:c r="A1504" s="1" t="n">
        <x:v>156</x:v>
      </x:c>
      <x:c r="B1504" s="1" t="str">
        <x:v>Quilava</x:v>
      </x:c>
      <x:c r="C1504" s="1" t="n">
        <x:v>2</x:v>
      </x:c>
      <x:c r="D1504" s="1" t="str">
        <x:v>Ember</x:v>
      </x:c>
      <x:c r="E1504" s="1" t="str">
        <x:v>Fogo</x:v>
      </x:c>
      <x:c r="F1504" s="1" t="str">
        <x:v>Especial</x:v>
      </x:c>
      <x:c r="G1504" s="10" t="n">
        <x:v>40</x:v>
      </x:c>
      <x:c r="H1504" s="10" t="n">
        <x:f>IF(F1504="Física",'Pokémon'!G160,IF(F1504="Especial",'Pokémon'!I160,""))</x:f>
        <x:v>80</x:v>
      </x:c>
      <x:c r="I1504" s="10" t="n">
        <x:f>IF(OR(F1504="Status",G1504=0),"",G1504+H1504)</x:f>
        <x:v>120</x:v>
      </x:c>
      <x:c r="J1504" s="10" t="n">
        <x:v>10</x:v>
      </x:c>
      <x:c r="K1504" s="12" t="n">
        <x:v>10</x:v>
      </x:c>
      <x:c r="L1504" s="1" t="str"/>
      <x:c r="M1504" s="9" t="str">
        <x:v>https://poke.idleworld.online/pokepedia/pokemon/quilava</x:v>
      </x:c>
    </x:row>
    <x:row r="1505" ht="22" customHeight="1">
      <x:c r="A1505" s="1" t="n">
        <x:v>156</x:v>
      </x:c>
      <x:c r="B1505" s="1" t="str">
        <x:v>Quilava</x:v>
      </x:c>
      <x:c r="C1505" s="1" t="n">
        <x:v>1</x:v>
      </x:c>
      <x:c r="D1505" s="1" t="str">
        <x:v>Tackle</x:v>
      </x:c>
      <x:c r="E1505" s="1" t="str">
        <x:v>Normal</x:v>
      </x:c>
      <x:c r="F1505" s="1" t="str">
        <x:v>Física</x:v>
      </x:c>
      <x:c r="G1505" s="10" t="n">
        <x:v>50</x:v>
      </x:c>
      <x:c r="H1505" s="10" t="n">
        <x:f>IF(F1505="Física",'Pokémon'!G160,IF(F1505="Especial",'Pokémon'!I160,""))</x:f>
        <x:v>64</x:v>
      </x:c>
      <x:c r="I1505" s="10" t="n">
        <x:f>IF(OR(F1505="Status",G1505=0),"",G1505+H1505)</x:f>
        <x:v>114</x:v>
      </x:c>
      <x:c r="J1505" s="10" t="n">
        <x:v>1</x:v>
      </x:c>
      <x:c r="K1505" s="12" t="n">
        <x:v>15</x:v>
      </x:c>
      <x:c r="L1505" s="1" t="str"/>
      <x:c r="M1505" s="9" t="str">
        <x:v>https://poke.idleworld.online/pokepedia/pokemon/quilava</x:v>
      </x:c>
    </x:row>
    <x:row r="1506" ht="22" customHeight="1">
      <x:c r="A1506" s="1" t="n">
        <x:v>156</x:v>
      </x:c>
      <x:c r="B1506" s="1" t="str">
        <x:v>Quilava</x:v>
      </x:c>
      <x:c r="C1506" s="1" t="n">
        <x:v>6</x:v>
      </x:c>
      <x:c r="D1506" s="1" t="str">
        <x:v>Flame Charge</x:v>
      </x:c>
      <x:c r="E1506" s="1" t="str">
        <x:v>Fogo</x:v>
      </x:c>
      <x:c r="F1506" s="1" t="str">
        <x:v>Física</x:v>
      </x:c>
      <x:c r="G1506" s="10" t="n">
        <x:v>50</x:v>
      </x:c>
      <x:c r="H1506" s="10" t="n">
        <x:f>IF(F1506="Física",'Pokémon'!G160,IF(F1506="Especial",'Pokémon'!I160,""))</x:f>
        <x:v>64</x:v>
      </x:c>
      <x:c r="I1506" s="10" t="n">
        <x:f>IF(OR(F1506="Status",G1506=0),"",G1506+H1506)</x:f>
        <x:v>114</x:v>
      </x:c>
      <x:c r="J1506" s="10" t="n">
        <x:v>35</x:v>
      </x:c>
      <x:c r="K1506" s="12" t="n">
        <x:v>15</x:v>
      </x:c>
      <x:c r="L1506" s="1" t="str"/>
      <x:c r="M1506" s="9" t="str">
        <x:v>https://poke.idleworld.online/pokepedia/pokemon/quilava</x:v>
      </x:c>
    </x:row>
    <x:row r="1507" ht="22" customHeight="1">
      <x:c r="A1507" s="1" t="n">
        <x:v>156</x:v>
      </x:c>
      <x:c r="B1507" s="1" t="str">
        <x:v>Quilava</x:v>
      </x:c>
      <x:c r="C1507" s="1" t="n">
        <x:v>3</x:v>
      </x:c>
      <x:c r="D1507" s="1" t="str">
        <x:v>Quick Attack</x:v>
      </x:c>
      <x:c r="E1507" s="1" t="str">
        <x:v>Normal</x:v>
      </x:c>
      <x:c r="F1507" s="1" t="str">
        <x:v>Física</x:v>
      </x:c>
      <x:c r="G1507" s="10" t="n">
        <x:v>40</x:v>
      </x:c>
      <x:c r="H1507" s="10" t="n">
        <x:f>IF(F1507="Física",'Pokémon'!G160,IF(F1507="Especial",'Pokémon'!I160,""))</x:f>
        <x:v>64</x:v>
      </x:c>
      <x:c r="I1507" s="10" t="n">
        <x:f>IF(OR(F1507="Status",G1507=0),"",G1507+H1507)</x:f>
        <x:v>104</x:v>
      </x:c>
      <x:c r="J1507" s="10" t="n">
        <x:v>13</x:v>
      </x:c>
      <x:c r="K1507" s="12" t="n">
        <x:v>15</x:v>
      </x:c>
      <x:c r="L1507" s="1" t="str"/>
      <x:c r="M1507" s="9" t="str">
        <x:v>https://poke.idleworld.online/pokepedia/pokemon/quilava</x:v>
      </x:c>
    </x:row>
    <x:row r="1508" ht="22" customHeight="1">
      <x:c r="A1508" s="1" t="n">
        <x:v>156</x:v>
      </x:c>
      <x:c r="B1508" s="1" t="str">
        <x:v>Quilava</x:v>
      </x:c>
      <x:c r="C1508" s="1" t="n">
        <x:v>10</x:v>
      </x:c>
      <x:c r="D1508" s="1" t="str">
        <x:v>Rollout</x:v>
      </x:c>
      <x:c r="E1508" s="1" t="str">
        <x:v>Pedra</x:v>
      </x:c>
      <x:c r="F1508" s="1" t="str">
        <x:v>Física</x:v>
      </x:c>
      <x:c r="G1508" s="10" t="n">
        <x:v>30</x:v>
      </x:c>
      <x:c r="H1508" s="10" t="n">
        <x:f>IF(F1508="Física",'Pokémon'!G160,IF(F1508="Especial",'Pokémon'!I160,""))</x:f>
        <x:v>64</x:v>
      </x:c>
      <x:c r="I1508" s="10" t="n">
        <x:f>IF(OR(F1508="Status",G1508=0),"",G1508+H1508)</x:f>
        <x:v>94</x:v>
      </x:c>
      <x:c r="J1508" s="10" t="n">
        <x:v>57</x:v>
      </x:c>
      <x:c r="K1508" s="12" t="n">
        <x:v>15</x:v>
      </x:c>
      <x:c r="L1508" s="1" t="str"/>
      <x:c r="M1508" s="9" t="str">
        <x:v>https://poke.idleworld.online/pokepedia/pokemon/quilava</x:v>
      </x:c>
    </x:row>
    <x:row r="1509" ht="22" customHeight="1">
      <x:c r="A1509" s="1" t="n">
        <x:v>157</x:v>
      </x:c>
      <x:c r="B1509" s="1" t="str">
        <x:v>Typhlosion</x:v>
      </x:c>
      <x:c r="C1509" s="1" t="n">
        <x:v>4</x:v>
      </x:c>
      <x:c r="D1509" s="1" t="str">
        <x:v>Ignition Point</x:v>
      </x:c>
      <x:c r="E1509" s="1" t="str">
        <x:v>Fogo</x:v>
      </x:c>
      <x:c r="F1509" s="1" t="str">
        <x:v>Especial</x:v>
      </x:c>
      <x:c r="G1509" s="10" t="n">
        <x:v>300</x:v>
      </x:c>
      <x:c r="H1509" s="10" t="n">
        <x:f>IF(F1509="Física",'Pokémon'!G161,IF(F1509="Especial",'Pokémon'!I161,""))</x:f>
        <x:v>109</x:v>
      </x:c>
      <x:c r="I1509" s="10" t="n">
        <x:f>IF(OR(F1509="Status",G1509=0),"",G1509+H1509)</x:f>
        <x:v>409</x:v>
      </x:c>
      <x:c r="J1509" s="10" t="n">
        <x:v>1</x:v>
      </x:c>
      <x:c r="K1509" s="12" t="n">
        <x:v>10</x:v>
      </x:c>
      <x:c r="L1509" s="1" t="str">
        <x:v>Sim</x:v>
      </x:c>
      <x:c r="M1509" s="9" t="str">
        <x:v>https://poke.idleworld.online/pokepedia/pokemon/typhlosion</x:v>
      </x:c>
    </x:row>
    <x:row r="1510" ht="22" customHeight="1">
      <x:c r="A1510" s="1" t="n">
        <x:v>157</x:v>
      </x:c>
      <x:c r="B1510" s="1" t="str">
        <x:v>Typhlosion</x:v>
      </x:c>
      <x:c r="C1510" s="1" t="n">
        <x:v>5</x:v>
      </x:c>
      <x:c r="D1510" s="1" t="str">
        <x:v>Eruption</x:v>
      </x:c>
      <x:c r="E1510" s="1" t="str">
        <x:v>Fogo</x:v>
      </x:c>
      <x:c r="F1510" s="1" t="str">
        <x:v>Especial</x:v>
      </x:c>
      <x:c r="G1510" s="10" t="n">
        <x:v>150</x:v>
      </x:c>
      <x:c r="H1510" s="10" t="n">
        <x:f>IF(F1510="Física",'Pokémon'!G161,IF(F1510="Especial",'Pokémon'!I161,""))</x:f>
        <x:v>109</x:v>
      </x:c>
      <x:c r="I1510" s="10" t="n">
        <x:f>IF(OR(F1510="Status",G1510=0),"",G1510+H1510)</x:f>
        <x:v>259</x:v>
      </x:c>
      <x:c r="J1510" s="10" t="n">
        <x:v>1</x:v>
      </x:c>
      <x:c r="K1510" s="12" t="n">
        <x:v>50</x:v>
      </x:c>
      <x:c r="L1510" s="1" t="str"/>
      <x:c r="M1510" s="9" t="str">
        <x:v>https://poke.idleworld.online/pokepedia/pokemon/typhlosion</x:v>
      </x:c>
    </x:row>
    <x:row r="1511" ht="22" customHeight="1">
      <x:c r="A1511" s="1" t="n">
        <x:v>157</x:v>
      </x:c>
      <x:c r="B1511" s="1" t="str">
        <x:v>Typhlosion</x:v>
      </x:c>
      <x:c r="C1511" s="1" t="n">
        <x:v>12</x:v>
      </x:c>
      <x:c r="D1511" s="1" t="str">
        <x:v>Inferno</x:v>
      </x:c>
      <x:c r="E1511" s="1" t="str">
        <x:v>Fogo</x:v>
      </x:c>
      <x:c r="F1511" s="1" t="str">
        <x:v>Especial</x:v>
      </x:c>
      <x:c r="G1511" s="10" t="n">
        <x:v>100</x:v>
      </x:c>
      <x:c r="H1511" s="10" t="n">
        <x:f>IF(F1511="Física",'Pokémon'!G161,IF(F1511="Especial",'Pokémon'!I161,""))</x:f>
        <x:v>109</x:v>
      </x:c>
      <x:c r="I1511" s="10" t="n">
        <x:f>IF(OR(F1511="Status",G1511=0),"",G1511+H1511)</x:f>
        <x:v>209</x:v>
      </x:c>
      <x:c r="J1511" s="10" t="n">
        <x:v>56</x:v>
      </x:c>
      <x:c r="K1511" s="12" t="n">
        <x:v>40</x:v>
      </x:c>
      <x:c r="L1511" s="1" t="str"/>
      <x:c r="M1511" s="9" t="str">
        <x:v>https://poke.idleworld.online/pokepedia/pokemon/typhlosion</x:v>
      </x:c>
    </x:row>
    <x:row r="1512" ht="22" customHeight="1">
      <x:c r="A1512" s="1" t="n">
        <x:v>157</x:v>
      </x:c>
      <x:c r="B1512" s="1" t="str">
        <x:v>Typhlosion</x:v>
      </x:c>
      <x:c r="C1512" s="1" t="n">
        <x:v>3</x:v>
      </x:c>
      <x:c r="D1512" s="1" t="str">
        <x:v>Double-Edge</x:v>
      </x:c>
      <x:c r="E1512" s="1" t="str">
        <x:v>Normal</x:v>
      </x:c>
      <x:c r="F1512" s="1" t="str">
        <x:v>Física</x:v>
      </x:c>
      <x:c r="G1512" s="10" t="n">
        <x:v>120</x:v>
      </x:c>
      <x:c r="H1512" s="10" t="n">
        <x:f>IF(F1512="Física",'Pokémon'!G161,IF(F1512="Especial",'Pokémon'!I161,""))</x:f>
        <x:v>84</x:v>
      </x:c>
      <x:c r="I1512" s="10" t="n">
        <x:f>IF(OR(F1512="Status",G1512=0),"",G1512+H1512)</x:f>
        <x:v>204</x:v>
      </x:c>
      <x:c r="J1512" s="10" t="n">
        <x:v>1</x:v>
      </x:c>
      <x:c r="K1512" s="12" t="n">
        <x:v>3</x:v>
      </x:c>
      <x:c r="L1512" s="1" t="str"/>
      <x:c r="M1512" s="9" t="str">
        <x:v>https://poke.idleworld.online/pokepedia/pokemon/typhlosion</x:v>
      </x:c>
    </x:row>
    <x:row r="1513" ht="22" customHeight="1">
      <x:c r="A1513" s="1" t="n">
        <x:v>157</x:v>
      </x:c>
      <x:c r="B1513" s="1" t="str">
        <x:v>Typhlosion</x:v>
      </x:c>
      <x:c r="C1513" s="1" t="n">
        <x:v>11</x:v>
      </x:c>
      <x:c r="D1513" s="1" t="str">
        <x:v>Flamethrower</x:v>
      </x:c>
      <x:c r="E1513" s="1" t="str">
        <x:v>Fogo</x:v>
      </x:c>
      <x:c r="F1513" s="1" t="str">
        <x:v>Especial</x:v>
      </x:c>
      <x:c r="G1513" s="10" t="n">
        <x:v>90</x:v>
      </x:c>
      <x:c r="H1513" s="10" t="n">
        <x:f>IF(F1513="Física",'Pokémon'!G161,IF(F1513="Especial",'Pokémon'!I161,""))</x:f>
        <x:v>109</x:v>
      </x:c>
      <x:c r="I1513" s="10" t="n">
        <x:f>IF(OR(F1513="Status",G1513=0),"",G1513+H1513)</x:f>
        <x:v>199</x:v>
      </x:c>
      <x:c r="J1513" s="10" t="n">
        <x:v>48</x:v>
      </x:c>
      <x:c r="K1513" s="12" t="n">
        <x:v>18</x:v>
      </x:c>
      <x:c r="L1513" s="1" t="str"/>
      <x:c r="M1513" s="9" t="str">
        <x:v>https://poke.idleworld.online/pokepedia/pokemon/typhlosion</x:v>
      </x:c>
    </x:row>
    <x:row r="1514" ht="22" customHeight="1">
      <x:c r="A1514" s="1" t="n">
        <x:v>157</x:v>
      </x:c>
      <x:c r="B1514" s="1" t="str">
        <x:v>Typhlosion</x:v>
      </x:c>
      <x:c r="C1514" s="1" t="n">
        <x:v>10</x:v>
      </x:c>
      <x:c r="D1514" s="1" t="str">
        <x:v>Lava Plume</x:v>
      </x:c>
      <x:c r="E1514" s="1" t="str">
        <x:v>Fogo</x:v>
      </x:c>
      <x:c r="F1514" s="1" t="str">
        <x:v>Especial</x:v>
      </x:c>
      <x:c r="G1514" s="10" t="n">
        <x:v>80</x:v>
      </x:c>
      <x:c r="H1514" s="10" t="n">
        <x:f>IF(F1514="Física",'Pokémon'!G161,IF(F1514="Especial",'Pokémon'!I161,""))</x:f>
        <x:v>109</x:v>
      </x:c>
      <x:c r="I1514" s="10" t="n">
        <x:f>IF(OR(F1514="Status",G1514=0),"",G1514+H1514)</x:f>
        <x:v>189</x:v>
      </x:c>
      <x:c r="J1514" s="10" t="n">
        <x:v>43</x:v>
      </x:c>
      <x:c r="K1514" s="12" t="n">
        <x:v>22</x:v>
      </x:c>
      <x:c r="L1514" s="1" t="str"/>
      <x:c r="M1514" s="9" t="str">
        <x:v>https://poke.idleworld.online/pokepedia/pokemon/typhlosion</x:v>
      </x:c>
    </x:row>
    <x:row r="1515" ht="22" customHeight="1">
      <x:c r="A1515" s="1" t="n">
        <x:v>157</x:v>
      </x:c>
      <x:c r="B1515" s="1" t="str">
        <x:v>Typhlosion</x:v>
      </x:c>
      <x:c r="C1515" s="1" t="n">
        <x:v>8</x:v>
      </x:c>
      <x:c r="D1515" s="1" t="str">
        <x:v>Swift</x:v>
      </x:c>
      <x:c r="E1515" s="1" t="str">
        <x:v>Normal</x:v>
      </x:c>
      <x:c r="F1515" s="1" t="str">
        <x:v>Especial</x:v>
      </x:c>
      <x:c r="G1515" s="10" t="n">
        <x:v>60</x:v>
      </x:c>
      <x:c r="H1515" s="10" t="n">
        <x:f>IF(F1515="Física",'Pokémon'!G161,IF(F1515="Especial",'Pokémon'!I161,""))</x:f>
        <x:v>109</x:v>
      </x:c>
      <x:c r="I1515" s="10" t="n">
        <x:f>IF(OR(F1515="Status",G1515=0),"",G1515+H1515)</x:f>
        <x:v>169</x:v>
      </x:c>
      <x:c r="J1515" s="10" t="n">
        <x:v>31</x:v>
      </x:c>
      <x:c r="K1515" s="12" t="n">
        <x:v>20</x:v>
      </x:c>
      <x:c r="L1515" s="1" t="str"/>
      <x:c r="M1515" s="9" t="str">
        <x:v>https://poke.idleworld.online/pokepedia/pokemon/typhlosion</x:v>
      </x:c>
    </x:row>
    <x:row r="1516" ht="22" customHeight="1">
      <x:c r="A1516" s="1" t="n">
        <x:v>157</x:v>
      </x:c>
      <x:c r="B1516" s="1" t="str">
        <x:v>Typhlosion</x:v>
      </x:c>
      <x:c r="C1516" s="1" t="n">
        <x:v>1</x:v>
      </x:c>
      <x:c r="D1516" s="1" t="str">
        <x:v>Ember</x:v>
      </x:c>
      <x:c r="E1516" s="1" t="str">
        <x:v>Fogo</x:v>
      </x:c>
      <x:c r="F1516" s="1" t="str">
        <x:v>Especial</x:v>
      </x:c>
      <x:c r="G1516" s="10" t="n">
        <x:v>40</x:v>
      </x:c>
      <x:c r="H1516" s="10" t="n">
        <x:f>IF(F1516="Física",'Pokémon'!G161,IF(F1516="Especial",'Pokémon'!I161,""))</x:f>
        <x:v>109</x:v>
      </x:c>
      <x:c r="I1516" s="10" t="n">
        <x:f>IF(OR(F1516="Status",G1516=0),"",G1516+H1516)</x:f>
        <x:v>149</x:v>
      </x:c>
      <x:c r="J1516" s="10" t="n">
        <x:v>1</x:v>
      </x:c>
      <x:c r="K1516" s="12" t="n">
        <x:v>10</x:v>
      </x:c>
      <x:c r="L1516" s="1" t="str"/>
      <x:c r="M1516" s="9" t="str">
        <x:v>https://poke.idleworld.online/pokepedia/pokemon/typhlosion</x:v>
      </x:c>
    </x:row>
    <x:row r="1517" ht="22" customHeight="1">
      <x:c r="A1517" s="1" t="n">
        <x:v>157</x:v>
      </x:c>
      <x:c r="B1517" s="1" t="str">
        <x:v>Typhlosion</x:v>
      </x:c>
      <x:c r="C1517" s="1" t="n">
        <x:v>7</x:v>
      </x:c>
      <x:c r="D1517" s="1" t="str">
        <x:v>Flame Wheel</x:v>
      </x:c>
      <x:c r="E1517" s="1" t="str">
        <x:v>Fogo</x:v>
      </x:c>
      <x:c r="F1517" s="1" t="str">
        <x:v>Física</x:v>
      </x:c>
      <x:c r="G1517" s="10" t="n">
        <x:v>60</x:v>
      </x:c>
      <x:c r="H1517" s="10" t="n">
        <x:f>IF(F1517="Física",'Pokémon'!G161,IF(F1517="Especial",'Pokémon'!I161,""))</x:f>
        <x:v>84</x:v>
      </x:c>
      <x:c r="I1517" s="10" t="n">
        <x:f>IF(OR(F1517="Status",G1517=0),"",G1517+H1517)</x:f>
        <x:v>144</x:v>
      </x:c>
      <x:c r="J1517" s="10" t="n">
        <x:v>20</x:v>
      </x:c>
      <x:c r="K1517" s="12" t="n">
        <x:v>20</x:v>
      </x:c>
      <x:c r="L1517" s="1" t="str"/>
      <x:c r="M1517" s="9" t="str">
        <x:v>https://poke.idleworld.online/pokepedia/pokemon/typhlosion</x:v>
      </x:c>
    </x:row>
    <x:row r="1518" ht="22" customHeight="1">
      <x:c r="A1518" s="1" t="n">
        <x:v>157</x:v>
      </x:c>
      <x:c r="B1518" s="1" t="str">
        <x:v>Typhlosion</x:v>
      </x:c>
      <x:c r="C1518" s="1" t="n">
        <x:v>2</x:v>
      </x:c>
      <x:c r="D1518" s="1" t="str">
        <x:v>Tackle</x:v>
      </x:c>
      <x:c r="E1518" s="1" t="str">
        <x:v>Normal</x:v>
      </x:c>
      <x:c r="F1518" s="1" t="str">
        <x:v>Física</x:v>
      </x:c>
      <x:c r="G1518" s="10" t="n">
        <x:v>50</x:v>
      </x:c>
      <x:c r="H1518" s="10" t="n">
        <x:f>IF(F1518="Física",'Pokémon'!G161,IF(F1518="Especial",'Pokémon'!I161,""))</x:f>
        <x:v>84</x:v>
      </x:c>
      <x:c r="I1518" s="10" t="n">
        <x:f>IF(OR(F1518="Status",G1518=0),"",G1518+H1518)</x:f>
        <x:v>134</x:v>
      </x:c>
      <x:c r="J1518" s="10" t="n">
        <x:v>1</x:v>
      </x:c>
      <x:c r="K1518" s="12" t="n">
        <x:v>15</x:v>
      </x:c>
      <x:c r="L1518" s="1" t="str"/>
      <x:c r="M1518" s="9" t="str">
        <x:v>https://poke.idleworld.online/pokepedia/pokemon/typhlosion</x:v>
      </x:c>
    </x:row>
    <x:row r="1519" ht="22" customHeight="1">
      <x:c r="A1519" s="1" t="n">
        <x:v>157</x:v>
      </x:c>
      <x:c r="B1519" s="1" t="str">
        <x:v>Typhlosion</x:v>
      </x:c>
      <x:c r="C1519" s="1" t="n">
        <x:v>9</x:v>
      </x:c>
      <x:c r="D1519" s="1" t="str">
        <x:v>Flame Charge</x:v>
      </x:c>
      <x:c r="E1519" s="1" t="str">
        <x:v>Fogo</x:v>
      </x:c>
      <x:c r="F1519" s="1" t="str">
        <x:v>Física</x:v>
      </x:c>
      <x:c r="G1519" s="10" t="n">
        <x:v>50</x:v>
      </x:c>
      <x:c r="H1519" s="10" t="n">
        <x:f>IF(F1519="Física",'Pokémon'!G161,IF(F1519="Especial",'Pokémon'!I161,""))</x:f>
        <x:v>84</x:v>
      </x:c>
      <x:c r="I1519" s="10" t="n">
        <x:f>IF(OR(F1519="Status",G1519=0),"",G1519+H1519)</x:f>
        <x:v>134</x:v>
      </x:c>
      <x:c r="J1519" s="10" t="n">
        <x:v>35</x:v>
      </x:c>
      <x:c r="K1519" s="12" t="n">
        <x:v>15</x:v>
      </x:c>
      <x:c r="L1519" s="1" t="str"/>
      <x:c r="M1519" s="9" t="str">
        <x:v>https://poke.idleworld.online/pokepedia/pokemon/typhlosion</x:v>
      </x:c>
    </x:row>
    <x:row r="1520" ht="22" customHeight="1">
      <x:c r="A1520" s="1" t="n">
        <x:v>157</x:v>
      </x:c>
      <x:c r="B1520" s="1" t="str">
        <x:v>Typhlosion</x:v>
      </x:c>
      <x:c r="C1520" s="1" t="n">
        <x:v>6</x:v>
      </x:c>
      <x:c r="D1520" s="1" t="str">
        <x:v>Quick Attack</x:v>
      </x:c>
      <x:c r="E1520" s="1" t="str">
        <x:v>Normal</x:v>
      </x:c>
      <x:c r="F1520" s="1" t="str">
        <x:v>Física</x:v>
      </x:c>
      <x:c r="G1520" s="10" t="n">
        <x:v>40</x:v>
      </x:c>
      <x:c r="H1520" s="10" t="n">
        <x:f>IF(F1520="Física",'Pokémon'!G161,IF(F1520="Especial",'Pokémon'!I161,""))</x:f>
        <x:v>84</x:v>
      </x:c>
      <x:c r="I1520" s="10" t="n">
        <x:f>IF(OR(F1520="Status",G1520=0),"",G1520+H1520)</x:f>
        <x:v>124</x:v>
      </x:c>
      <x:c r="J1520" s="10" t="n">
        <x:v>13</x:v>
      </x:c>
      <x:c r="K1520" s="12" t="n">
        <x:v>15</x:v>
      </x:c>
      <x:c r="L1520" s="1" t="str"/>
      <x:c r="M1520" s="9" t="str">
        <x:v>https://poke.idleworld.online/pokepedia/pokemon/typhlosion</x:v>
      </x:c>
    </x:row>
    <x:row r="1521" ht="22" customHeight="1">
      <x:c r="A1521" s="1" t="n">
        <x:v>157</x:v>
      </x:c>
      <x:c r="B1521" s="1" t="str">
        <x:v>Typhlosion</x:v>
      </x:c>
      <x:c r="C1521" s="1" t="n">
        <x:v>13</x:v>
      </x:c>
      <x:c r="D1521" s="1" t="str">
        <x:v>Rollout</x:v>
      </x:c>
      <x:c r="E1521" s="1" t="str">
        <x:v>Pedra</x:v>
      </x:c>
      <x:c r="F1521" s="1" t="str">
        <x:v>Física</x:v>
      </x:c>
      <x:c r="G1521" s="10" t="n">
        <x:v>30</x:v>
      </x:c>
      <x:c r="H1521" s="10" t="n">
        <x:f>IF(F1521="Física",'Pokémon'!G161,IF(F1521="Especial",'Pokémon'!I161,""))</x:f>
        <x:v>84</x:v>
      </x:c>
      <x:c r="I1521" s="10" t="n">
        <x:f>IF(OR(F1521="Status",G1521=0),"",G1521+H1521)</x:f>
        <x:v>114</x:v>
      </x:c>
      <x:c r="J1521" s="10" t="n">
        <x:v>61</x:v>
      </x:c>
      <x:c r="K1521" s="12" t="n">
        <x:v>15</x:v>
      </x:c>
      <x:c r="L1521" s="1" t="str"/>
      <x:c r="M1521" s="9" t="str">
        <x:v>https://poke.idleworld.online/pokepedia/pokemon/typhlosion</x:v>
      </x:c>
    </x:row>
    <x:row r="1522" ht="22" customHeight="1">
      <x:c r="A1522" s="1" t="n">
        <x:v>158</x:v>
      </x:c>
      <x:c r="B1522" s="1" t="str">
        <x:v>Totodile</x:v>
      </x:c>
      <x:c r="C1522" s="1" t="n">
        <x:v>9</x:v>
      </x:c>
      <x:c r="D1522" s="1" t="str">
        <x:v>Thrash</x:v>
      </x:c>
      <x:c r="E1522" s="1" t="str">
        <x:v>Normal</x:v>
      </x:c>
      <x:c r="F1522" s="1" t="str">
        <x:v>Física</x:v>
      </x:c>
      <x:c r="G1522" s="10" t="n">
        <x:v>120</x:v>
      </x:c>
      <x:c r="H1522" s="10" t="n">
        <x:f>IF(F1522="Física",'Pokémon'!G162,IF(F1522="Especial",'Pokémon'!I162,""))</x:f>
        <x:v>65</x:v>
      </x:c>
      <x:c r="I1522" s="10" t="n">
        <x:f>IF(OR(F1522="Status",G1522=0),"",G1522+H1522)</x:f>
        <x:v>185</x:v>
      </x:c>
      <x:c r="J1522" s="10" t="n">
        <x:v>41</x:v>
      </x:c>
      <x:c r="K1522" s="12" t="n">
        <x:v>50</x:v>
      </x:c>
      <x:c r="L1522" s="1" t="str"/>
      <x:c r="M1522" s="9" t="str">
        <x:v>https://poke.idleworld.online/pokepedia/pokemon/totodile</x:v>
      </x:c>
    </x:row>
    <x:row r="1523" ht="22" customHeight="1">
      <x:c r="A1523" s="1" t="n">
        <x:v>158</x:v>
      </x:c>
      <x:c r="B1523" s="1" t="str">
        <x:v>Totodile</x:v>
      </x:c>
      <x:c r="C1523" s="1" t="n">
        <x:v>11</x:v>
      </x:c>
      <x:c r="D1523" s="1" t="str">
        <x:v>Superpower</x:v>
      </x:c>
      <x:c r="E1523" s="1" t="str">
        <x:v>Lutador</x:v>
      </x:c>
      <x:c r="F1523" s="1" t="str">
        <x:v>Física</x:v>
      </x:c>
      <x:c r="G1523" s="10" t="n">
        <x:v>120</x:v>
      </x:c>
      <x:c r="H1523" s="10" t="n">
        <x:f>IF(F1523="Física",'Pokémon'!G162,IF(F1523="Especial",'Pokémon'!I162,""))</x:f>
        <x:v>65</x:v>
      </x:c>
      <x:c r="I1523" s="10" t="n">
        <x:f>IF(OR(F1523="Status",G1523=0),"",G1523+H1523)</x:f>
        <x:v>185</x:v>
      </x:c>
      <x:c r="J1523" s="10" t="n">
        <x:v>48</x:v>
      </x:c>
      <x:c r="K1523" s="12" t="n">
        <x:v>50</x:v>
      </x:c>
      <x:c r="L1523" s="1" t="str"/>
      <x:c r="M1523" s="9" t="str">
        <x:v>https://poke.idleworld.online/pokepedia/pokemon/totodile</x:v>
      </x:c>
    </x:row>
    <x:row r="1524" ht="22" customHeight="1">
      <x:c r="A1524" s="1" t="n">
        <x:v>158</x:v>
      </x:c>
      <x:c r="B1524" s="1" t="str">
        <x:v>Totodile</x:v>
      </x:c>
      <x:c r="C1524" s="1" t="n">
        <x:v>10</x:v>
      </x:c>
      <x:c r="D1524" s="1" t="str">
        <x:v>Aqua Tail</x:v>
      </x:c>
      <x:c r="E1524" s="1" t="str">
        <x:v>Água</x:v>
      </x:c>
      <x:c r="F1524" s="1" t="str">
        <x:v>Física</x:v>
      </x:c>
      <x:c r="G1524" s="10" t="n">
        <x:v>90</x:v>
      </x:c>
      <x:c r="H1524" s="10" t="n">
        <x:f>IF(F1524="Física",'Pokémon'!G162,IF(F1524="Especial",'Pokémon'!I162,""))</x:f>
        <x:v>65</x:v>
      </x:c>
      <x:c r="I1524" s="10" t="n">
        <x:f>IF(OR(F1524="Status",G1524=0),"",G1524+H1524)</x:f>
        <x:v>155</x:v>
      </x:c>
      <x:c r="J1524" s="10" t="n">
        <x:v>43</x:v>
      </x:c>
      <x:c r="K1524" s="12" t="n">
        <x:v>22</x:v>
      </x:c>
      <x:c r="L1524" s="1" t="str"/>
      <x:c r="M1524" s="9" t="str">
        <x:v>https://poke.idleworld.online/pokepedia/pokemon/totodile</x:v>
      </x:c>
    </x:row>
    <x:row r="1525" ht="22" customHeight="1">
      <x:c r="A1525" s="1" t="n">
        <x:v>158</x:v>
      </x:c>
      <x:c r="B1525" s="1" t="str">
        <x:v>Totodile</x:v>
      </x:c>
      <x:c r="C1525" s="1" t="n">
        <x:v>12</x:v>
      </x:c>
      <x:c r="D1525" s="1" t="str">
        <x:v>Hydro Pump</x:v>
      </x:c>
      <x:c r="E1525" s="1" t="str">
        <x:v>Água</x:v>
      </x:c>
      <x:c r="F1525" s="1" t="str">
        <x:v>Especial</x:v>
      </x:c>
      <x:c r="G1525" s="10" t="n">
        <x:v>110</x:v>
      </x:c>
      <x:c r="H1525" s="10" t="n">
        <x:f>IF(F1525="Física",'Pokémon'!G162,IF(F1525="Especial",'Pokémon'!I162,""))</x:f>
        <x:v>44</x:v>
      </x:c>
      <x:c r="I1525" s="10" t="n">
        <x:f>IF(OR(F1525="Status",G1525=0),"",G1525+H1525)</x:f>
        <x:v>154</x:v>
      </x:c>
      <x:c r="J1525" s="10" t="n">
        <x:v>50</x:v>
      </x:c>
      <x:c r="K1525" s="12" t="n">
        <x:v>40</x:v>
      </x:c>
      <x:c r="L1525" s="1" t="str"/>
      <x:c r="M1525" s="9" t="str">
        <x:v>https://poke.idleworld.online/pokepedia/pokemon/totodile</x:v>
      </x:c>
    </x:row>
    <x:row r="1526" ht="22" customHeight="1">
      <x:c r="A1526" s="1" t="n">
        <x:v>158</x:v>
      </x:c>
      <x:c r="B1526" s="1" t="str">
        <x:v>Totodile</x:v>
      </x:c>
      <x:c r="C1526" s="1" t="n">
        <x:v>6</x:v>
      </x:c>
      <x:c r="D1526" s="1" t="str">
        <x:v>Crunch</x:v>
      </x:c>
      <x:c r="E1526" s="1" t="str">
        <x:v>Sombrio</x:v>
      </x:c>
      <x:c r="F1526" s="1" t="str">
        <x:v>Física</x:v>
      </x:c>
      <x:c r="G1526" s="10" t="n">
        <x:v>80</x:v>
      </x:c>
      <x:c r="H1526" s="10" t="n">
        <x:f>IF(F1526="Física",'Pokémon'!G162,IF(F1526="Especial",'Pokémon'!I162,""))</x:f>
        <x:v>65</x:v>
      </x:c>
      <x:c r="I1526" s="10" t="n">
        <x:f>IF(OR(F1526="Status",G1526=0),"",G1526+H1526)</x:f>
        <x:v>145</x:v>
      </x:c>
      <x:c r="J1526" s="10" t="n">
        <x:v>27</x:v>
      </x:c>
      <x:c r="K1526" s="12" t="n">
        <x:v>22</x:v>
      </x:c>
      <x:c r="L1526" s="1" t="str"/>
      <x:c r="M1526" s="9" t="str">
        <x:v>https://poke.idleworld.online/pokepedia/pokemon/totodile</x:v>
      </x:c>
    </x:row>
    <x:row r="1527" ht="22" customHeight="1">
      <x:c r="A1527" s="1" t="n">
        <x:v>158</x:v>
      </x:c>
      <x:c r="B1527" s="1" t="str">
        <x:v>Totodile</x:v>
      </x:c>
      <x:c r="C1527" s="1" t="n">
        <x:v>7</x:v>
      </x:c>
      <x:c r="D1527" s="1" t="str">
        <x:v>Chip Away</x:v>
      </x:c>
      <x:c r="E1527" s="1" t="str">
        <x:v>Normal</x:v>
      </x:c>
      <x:c r="F1527" s="1" t="str">
        <x:v>Física</x:v>
      </x:c>
      <x:c r="G1527" s="10" t="n">
        <x:v>70</x:v>
      </x:c>
      <x:c r="H1527" s="10" t="n">
        <x:f>IF(F1527="Física",'Pokémon'!G162,IF(F1527="Especial",'Pokémon'!I162,""))</x:f>
        <x:v>65</x:v>
      </x:c>
      <x:c r="I1527" s="10" t="n">
        <x:f>IF(OR(F1527="Status",G1527=0),"",G1527+H1527)</x:f>
        <x:v>135</x:v>
      </x:c>
      <x:c r="J1527" s="10" t="n">
        <x:v>29</x:v>
      </x:c>
      <x:c r="K1527" s="12" t="n">
        <x:v>20</x:v>
      </x:c>
      <x:c r="L1527" s="1" t="str"/>
      <x:c r="M1527" s="9" t="str">
        <x:v>https://poke.idleworld.online/pokepedia/pokemon/totodile</x:v>
      </x:c>
    </x:row>
    <x:row r="1528" ht="22" customHeight="1">
      <x:c r="A1528" s="1" t="n">
        <x:v>158</x:v>
      </x:c>
      <x:c r="B1528" s="1" t="str">
        <x:v>Totodile</x:v>
      </x:c>
      <x:c r="C1528" s="1" t="n">
        <x:v>8</x:v>
      </x:c>
      <x:c r="D1528" s="1" t="str">
        <x:v>Slash</x:v>
      </x:c>
      <x:c r="E1528" s="1" t="str">
        <x:v>Normal</x:v>
      </x:c>
      <x:c r="F1528" s="1" t="str">
        <x:v>Física</x:v>
      </x:c>
      <x:c r="G1528" s="10" t="n">
        <x:v>70</x:v>
      </x:c>
      <x:c r="H1528" s="10" t="n">
        <x:f>IF(F1528="Física",'Pokémon'!G162,IF(F1528="Especial",'Pokémon'!I162,""))</x:f>
        <x:v>65</x:v>
      </x:c>
      <x:c r="I1528" s="10" t="n">
        <x:f>IF(OR(F1528="Status",G1528=0),"",G1528+H1528)</x:f>
        <x:v>135</x:v>
      </x:c>
      <x:c r="J1528" s="10" t="n">
        <x:v>34</x:v>
      </x:c>
      <x:c r="K1528" s="12" t="n">
        <x:v>20</x:v>
      </x:c>
      <x:c r="L1528" s="1" t="str"/>
      <x:c r="M1528" s="9" t="str">
        <x:v>https://poke.idleworld.online/pokepedia/pokemon/totodile</x:v>
      </x:c>
    </x:row>
    <x:row r="1529" ht="22" customHeight="1">
      <x:c r="A1529" s="1" t="n">
        <x:v>158</x:v>
      </x:c>
      <x:c r="B1529" s="1" t="str">
        <x:v>Totodile</x:v>
      </x:c>
      <x:c r="C1529" s="1" t="n">
        <x:v>5</x:v>
      </x:c>
      <x:c r="D1529" s="1" t="str">
        <x:v>Ice Fang</x:v>
      </x:c>
      <x:c r="E1529" s="1" t="str">
        <x:v>Gelo</x:v>
      </x:c>
      <x:c r="F1529" s="1" t="str">
        <x:v>Física</x:v>
      </x:c>
      <x:c r="G1529" s="10" t="n">
        <x:v>65</x:v>
      </x:c>
      <x:c r="H1529" s="10" t="n">
        <x:f>IF(F1529="Física",'Pokémon'!G162,IF(F1529="Especial",'Pokémon'!I162,""))</x:f>
        <x:v>65</x:v>
      </x:c>
      <x:c r="I1529" s="10" t="n">
        <x:f>IF(OR(F1529="Status",G1529=0),"",G1529+H1529)</x:f>
        <x:v>130</x:v>
      </x:c>
      <x:c r="J1529" s="10" t="n">
        <x:v>20</x:v>
      </x:c>
      <x:c r="K1529" s="12" t="n">
        <x:v>20</x:v>
      </x:c>
      <x:c r="L1529" s="1" t="str"/>
      <x:c r="M1529" s="9" t="str">
        <x:v>https://poke.idleworld.online/pokepedia/pokemon/totodile</x:v>
      </x:c>
    </x:row>
    <x:row r="1530" ht="22" customHeight="1">
      <x:c r="A1530" s="1" t="n">
        <x:v>158</x:v>
      </x:c>
      <x:c r="B1530" s="1" t="str">
        <x:v>Totodile</x:v>
      </x:c>
      <x:c r="C1530" s="1" t="n">
        <x:v>4</x:v>
      </x:c>
      <x:c r="D1530" s="1" t="str">
        <x:v>Bite</x:v>
      </x:c>
      <x:c r="E1530" s="1" t="str">
        <x:v>Sombrio</x:v>
      </x:c>
      <x:c r="F1530" s="1" t="str">
        <x:v>Física</x:v>
      </x:c>
      <x:c r="G1530" s="10" t="n">
        <x:v>60</x:v>
      </x:c>
      <x:c r="H1530" s="10" t="n">
        <x:f>IF(F1530="Física",'Pokémon'!G162,IF(F1530="Especial",'Pokémon'!I162,""))</x:f>
        <x:v>65</x:v>
      </x:c>
      <x:c r="I1530" s="10" t="n">
        <x:f>IF(OR(F1530="Status",G1530=0),"",G1530+H1530)</x:f>
        <x:v>125</x:v>
      </x:c>
      <x:c r="J1530" s="10" t="n">
        <x:v>13</x:v>
      </x:c>
      <x:c r="K1530" s="12" t="n">
        <x:v>20</x:v>
      </x:c>
      <x:c r="L1530" s="1" t="str"/>
      <x:c r="M1530" s="9" t="str">
        <x:v>https://poke.idleworld.online/pokepedia/pokemon/totodile</x:v>
      </x:c>
    </x:row>
    <x:row r="1531" ht="22" customHeight="1">
      <x:c r="A1531" s="1" t="n">
        <x:v>158</x:v>
      </x:c>
      <x:c r="B1531" s="1" t="str">
        <x:v>Totodile</x:v>
      </x:c>
      <x:c r="C1531" s="1" t="n">
        <x:v>1</x:v>
      </x:c>
      <x:c r="D1531" s="1" t="str">
        <x:v>Scratch</x:v>
      </x:c>
      <x:c r="E1531" s="1" t="str">
        <x:v>Normal</x:v>
      </x:c>
      <x:c r="F1531" s="1" t="str">
        <x:v>Física</x:v>
      </x:c>
      <x:c r="G1531" s="10" t="n">
        <x:v>40</x:v>
      </x:c>
      <x:c r="H1531" s="10" t="n">
        <x:f>IF(F1531="Física",'Pokémon'!G162,IF(F1531="Especial",'Pokémon'!I162,""))</x:f>
        <x:v>65</x:v>
      </x:c>
      <x:c r="I1531" s="10" t="n">
        <x:f>IF(OR(F1531="Status",G1531=0),"",G1531+H1531)</x:f>
        <x:v>105</x:v>
      </x:c>
      <x:c r="J1531" s="10" t="n">
        <x:v>1</x:v>
      </x:c>
      <x:c r="K1531" s="12" t="n">
        <x:v>15</x:v>
      </x:c>
      <x:c r="L1531" s="1" t="str"/>
      <x:c r="M1531" s="9" t="str">
        <x:v>https://poke.idleworld.online/pokepedia/pokemon/totodile</x:v>
      </x:c>
    </x:row>
    <x:row r="1532" ht="22" customHeight="1">
      <x:c r="A1532" s="1" t="n">
        <x:v>158</x:v>
      </x:c>
      <x:c r="B1532" s="1" t="str">
        <x:v>Totodile</x:v>
      </x:c>
      <x:c r="C1532" s="1" t="n">
        <x:v>3</x:v>
      </x:c>
      <x:c r="D1532" s="1" t="str">
        <x:v>Rage</x:v>
      </x:c>
      <x:c r="E1532" s="1" t="str">
        <x:v>Normal</x:v>
      </x:c>
      <x:c r="F1532" s="1" t="str">
        <x:v>Física</x:v>
      </x:c>
      <x:c r="G1532" s="10" t="n">
        <x:v>20</x:v>
      </x:c>
      <x:c r="H1532" s="10" t="n">
        <x:f>IF(F1532="Física",'Pokémon'!G162,IF(F1532="Especial",'Pokémon'!I162,""))</x:f>
        <x:v>65</x:v>
      </x:c>
      <x:c r="I1532" s="10" t="n">
        <x:f>IF(OR(F1532="Status",G1532=0),"",G1532+H1532)</x:f>
        <x:v>85</x:v>
      </x:c>
      <x:c r="J1532" s="10" t="n">
        <x:v>8</x:v>
      </x:c>
      <x:c r="K1532" s="12" t="n">
        <x:v>15</x:v>
      </x:c>
      <x:c r="L1532" s="1" t="str"/>
      <x:c r="M1532" s="9" t="str">
        <x:v>https://poke.idleworld.online/pokepedia/pokemon/totodile</x:v>
      </x:c>
    </x:row>
    <x:row r="1533" ht="22" customHeight="1">
      <x:c r="A1533" s="1" t="n">
        <x:v>158</x:v>
      </x:c>
      <x:c r="B1533" s="1" t="str">
        <x:v>Totodile</x:v>
      </x:c>
      <x:c r="C1533" s="1" t="n">
        <x:v>2</x:v>
      </x:c>
      <x:c r="D1533" s="1" t="str">
        <x:v>Water Gun</x:v>
      </x:c>
      <x:c r="E1533" s="1" t="str">
        <x:v>Água</x:v>
      </x:c>
      <x:c r="F1533" s="1" t="str">
        <x:v>Especial</x:v>
      </x:c>
      <x:c r="G1533" s="10" t="n">
        <x:v>40</x:v>
      </x:c>
      <x:c r="H1533" s="10" t="n">
        <x:f>IF(F1533="Física",'Pokémon'!G162,IF(F1533="Especial",'Pokémon'!I162,""))</x:f>
        <x:v>44</x:v>
      </x:c>
      <x:c r="I1533" s="10" t="n">
        <x:f>IF(OR(F1533="Status",G1533=0),"",G1533+H1533)</x:f>
        <x:v>84</x:v>
      </x:c>
      <x:c r="J1533" s="10" t="n">
        <x:v>6</x:v>
      </x:c>
      <x:c r="K1533" s="12" t="n">
        <x:v>18</x:v>
      </x:c>
      <x:c r="L1533" s="1" t="str"/>
      <x:c r="M1533" s="9" t="str">
        <x:v>https://poke.idleworld.online/pokepedia/pokemon/totodile</x:v>
      </x:c>
    </x:row>
    <x:row r="1534" ht="22" customHeight="1">
      <x:c r="A1534" s="1" t="n">
        <x:v>159</x:v>
      </x:c>
      <x:c r="B1534" s="1" t="str">
        <x:v>Croconaw</x:v>
      </x:c>
      <x:c r="C1534" s="1" t="n">
        <x:v>9</x:v>
      </x:c>
      <x:c r="D1534" s="1" t="str">
        <x:v>Thrash</x:v>
      </x:c>
      <x:c r="E1534" s="1" t="str">
        <x:v>Normal</x:v>
      </x:c>
      <x:c r="F1534" s="1" t="str">
        <x:v>Física</x:v>
      </x:c>
      <x:c r="G1534" s="10" t="n">
        <x:v>120</x:v>
      </x:c>
      <x:c r="H1534" s="10" t="n">
        <x:f>IF(F1534="Física",'Pokémon'!G163,IF(F1534="Especial",'Pokémon'!I163,""))</x:f>
        <x:v>80</x:v>
      </x:c>
      <x:c r="I1534" s="10" t="n">
        <x:f>IF(OR(F1534="Status",G1534=0),"",G1534+H1534)</x:f>
        <x:v>200</x:v>
      </x:c>
      <x:c r="J1534" s="10" t="n">
        <x:v>48</x:v>
      </x:c>
      <x:c r="K1534" s="12" t="n">
        <x:v>50</x:v>
      </x:c>
      <x:c r="L1534" s="1" t="str"/>
      <x:c r="M1534" s="9" t="str">
        <x:v>https://poke.idleworld.online/pokepedia/pokemon/croconaw</x:v>
      </x:c>
    </x:row>
    <x:row r="1535" ht="22" customHeight="1">
      <x:c r="A1535" s="1" t="n">
        <x:v>159</x:v>
      </x:c>
      <x:c r="B1535" s="1" t="str">
        <x:v>Croconaw</x:v>
      </x:c>
      <x:c r="C1535" s="1" t="n">
        <x:v>11</x:v>
      </x:c>
      <x:c r="D1535" s="1" t="str">
        <x:v>Superpower</x:v>
      </x:c>
      <x:c r="E1535" s="1" t="str">
        <x:v>Lutador</x:v>
      </x:c>
      <x:c r="F1535" s="1" t="str">
        <x:v>Física</x:v>
      </x:c>
      <x:c r="G1535" s="10" t="n">
        <x:v>120</x:v>
      </x:c>
      <x:c r="H1535" s="10" t="n">
        <x:f>IF(F1535="Física",'Pokémon'!G163,IF(F1535="Especial",'Pokémon'!I163,""))</x:f>
        <x:v>80</x:v>
      </x:c>
      <x:c r="I1535" s="10" t="n">
        <x:f>IF(OR(F1535="Status",G1535=0),"",G1535+H1535)</x:f>
        <x:v>200</x:v>
      </x:c>
      <x:c r="J1535" s="10" t="n">
        <x:v>57</x:v>
      </x:c>
      <x:c r="K1535" s="12" t="n">
        <x:v>50</x:v>
      </x:c>
      <x:c r="L1535" s="1" t="str"/>
      <x:c r="M1535" s="9" t="str">
        <x:v>https://poke.idleworld.online/pokepedia/pokemon/croconaw</x:v>
      </x:c>
    </x:row>
    <x:row r="1536" ht="22" customHeight="1">
      <x:c r="A1536" s="1" t="n">
        <x:v>159</x:v>
      </x:c>
      <x:c r="B1536" s="1" t="str">
        <x:v>Croconaw</x:v>
      </x:c>
      <x:c r="C1536" s="1" t="n">
        <x:v>10</x:v>
      </x:c>
      <x:c r="D1536" s="1" t="str">
        <x:v>Aqua Tail</x:v>
      </x:c>
      <x:c r="E1536" s="1" t="str">
        <x:v>Água</x:v>
      </x:c>
      <x:c r="F1536" s="1" t="str">
        <x:v>Física</x:v>
      </x:c>
      <x:c r="G1536" s="10" t="n">
        <x:v>90</x:v>
      </x:c>
      <x:c r="H1536" s="10" t="n">
        <x:f>IF(F1536="Física",'Pokémon'!G163,IF(F1536="Especial",'Pokémon'!I163,""))</x:f>
        <x:v>80</x:v>
      </x:c>
      <x:c r="I1536" s="10" t="n">
        <x:f>IF(OR(F1536="Status",G1536=0),"",G1536+H1536)</x:f>
        <x:v>170</x:v>
      </x:c>
      <x:c r="J1536" s="10" t="n">
        <x:v>51</x:v>
      </x:c>
      <x:c r="K1536" s="12" t="n">
        <x:v>22</x:v>
      </x:c>
      <x:c r="L1536" s="1" t="str"/>
      <x:c r="M1536" s="9" t="str">
        <x:v>https://poke.idleworld.online/pokepedia/pokemon/croconaw</x:v>
      </x:c>
    </x:row>
    <x:row r="1537" ht="22" customHeight="1">
      <x:c r="A1537" s="1" t="n">
        <x:v>159</x:v>
      </x:c>
      <x:c r="B1537" s="1" t="str">
        <x:v>Croconaw</x:v>
      </x:c>
      <x:c r="C1537" s="1" t="n">
        <x:v>12</x:v>
      </x:c>
      <x:c r="D1537" s="1" t="str">
        <x:v>Hydro Pump</x:v>
      </x:c>
      <x:c r="E1537" s="1" t="str">
        <x:v>Água</x:v>
      </x:c>
      <x:c r="F1537" s="1" t="str">
        <x:v>Especial</x:v>
      </x:c>
      <x:c r="G1537" s="10" t="n">
        <x:v>110</x:v>
      </x:c>
      <x:c r="H1537" s="10" t="n">
        <x:f>IF(F1537="Física",'Pokémon'!G163,IF(F1537="Especial",'Pokémon'!I163,""))</x:f>
        <x:v>59</x:v>
      </x:c>
      <x:c r="I1537" s="10" t="n">
        <x:f>IF(OR(F1537="Status",G1537=0),"",G1537+H1537)</x:f>
        <x:v>169</x:v>
      </x:c>
      <x:c r="J1537" s="10" t="n">
        <x:v>60</x:v>
      </x:c>
      <x:c r="K1537" s="12" t="n">
        <x:v>40</x:v>
      </x:c>
      <x:c r="L1537" s="1" t="str"/>
      <x:c r="M1537" s="9" t="str">
        <x:v>https://poke.idleworld.online/pokepedia/pokemon/croconaw</x:v>
      </x:c>
    </x:row>
    <x:row r="1538" ht="22" customHeight="1">
      <x:c r="A1538" s="1" t="n">
        <x:v>159</x:v>
      </x:c>
      <x:c r="B1538" s="1" t="str">
        <x:v>Croconaw</x:v>
      </x:c>
      <x:c r="C1538" s="1" t="n">
        <x:v>6</x:v>
      </x:c>
      <x:c r="D1538" s="1" t="str">
        <x:v>Crunch</x:v>
      </x:c>
      <x:c r="E1538" s="1" t="str">
        <x:v>Sombrio</x:v>
      </x:c>
      <x:c r="F1538" s="1" t="str">
        <x:v>Física</x:v>
      </x:c>
      <x:c r="G1538" s="10" t="n">
        <x:v>80</x:v>
      </x:c>
      <x:c r="H1538" s="10" t="n">
        <x:f>IF(F1538="Física",'Pokémon'!G163,IF(F1538="Especial",'Pokémon'!I163,""))</x:f>
        <x:v>80</x:v>
      </x:c>
      <x:c r="I1538" s="10" t="n">
        <x:f>IF(OR(F1538="Status",G1538=0),"",G1538+H1538)</x:f>
        <x:v>160</x:v>
      </x:c>
      <x:c r="J1538" s="10" t="n">
        <x:v>30</x:v>
      </x:c>
      <x:c r="K1538" s="12" t="n">
        <x:v>22</x:v>
      </x:c>
      <x:c r="L1538" s="1" t="str"/>
      <x:c r="M1538" s="9" t="str">
        <x:v>https://poke.idleworld.online/pokepedia/pokemon/croconaw</x:v>
      </x:c>
    </x:row>
    <x:row r="1539" ht="22" customHeight="1">
      <x:c r="A1539" s="1" t="n">
        <x:v>159</x:v>
      </x:c>
      <x:c r="B1539" s="1" t="str">
        <x:v>Croconaw</x:v>
      </x:c>
      <x:c r="C1539" s="1" t="n">
        <x:v>7</x:v>
      </x:c>
      <x:c r="D1539" s="1" t="str">
        <x:v>Chip Away</x:v>
      </x:c>
      <x:c r="E1539" s="1" t="str">
        <x:v>Normal</x:v>
      </x:c>
      <x:c r="F1539" s="1" t="str">
        <x:v>Física</x:v>
      </x:c>
      <x:c r="G1539" s="10" t="n">
        <x:v>70</x:v>
      </x:c>
      <x:c r="H1539" s="10" t="n">
        <x:f>IF(F1539="Física",'Pokémon'!G163,IF(F1539="Especial",'Pokémon'!I163,""))</x:f>
        <x:v>80</x:v>
      </x:c>
      <x:c r="I1539" s="10" t="n">
        <x:f>IF(OR(F1539="Status",G1539=0),"",G1539+H1539)</x:f>
        <x:v>150</x:v>
      </x:c>
      <x:c r="J1539" s="10" t="n">
        <x:v>33</x:v>
      </x:c>
      <x:c r="K1539" s="12" t="n">
        <x:v>20</x:v>
      </x:c>
      <x:c r="L1539" s="1" t="str"/>
      <x:c r="M1539" s="9" t="str">
        <x:v>https://poke.idleworld.online/pokepedia/pokemon/croconaw</x:v>
      </x:c>
    </x:row>
    <x:row r="1540" ht="22" customHeight="1">
      <x:c r="A1540" s="1" t="n">
        <x:v>159</x:v>
      </x:c>
      <x:c r="B1540" s="1" t="str">
        <x:v>Croconaw</x:v>
      </x:c>
      <x:c r="C1540" s="1" t="n">
        <x:v>8</x:v>
      </x:c>
      <x:c r="D1540" s="1" t="str">
        <x:v>Slash</x:v>
      </x:c>
      <x:c r="E1540" s="1" t="str">
        <x:v>Normal</x:v>
      </x:c>
      <x:c r="F1540" s="1" t="str">
        <x:v>Física</x:v>
      </x:c>
      <x:c r="G1540" s="10" t="n">
        <x:v>70</x:v>
      </x:c>
      <x:c r="H1540" s="10" t="n">
        <x:f>IF(F1540="Física",'Pokémon'!G163,IF(F1540="Especial",'Pokémon'!I163,""))</x:f>
        <x:v>80</x:v>
      </x:c>
      <x:c r="I1540" s="10" t="n">
        <x:f>IF(OR(F1540="Status",G1540=0),"",G1540+H1540)</x:f>
        <x:v>150</x:v>
      </x:c>
      <x:c r="J1540" s="10" t="n">
        <x:v>39</x:v>
      </x:c>
      <x:c r="K1540" s="12" t="n">
        <x:v>20</x:v>
      </x:c>
      <x:c r="L1540" s="1" t="str"/>
      <x:c r="M1540" s="9" t="str">
        <x:v>https://poke.idleworld.online/pokepedia/pokemon/croconaw</x:v>
      </x:c>
    </x:row>
    <x:row r="1541" ht="22" customHeight="1">
      <x:c r="A1541" s="1" t="n">
        <x:v>159</x:v>
      </x:c>
      <x:c r="B1541" s="1" t="str">
        <x:v>Croconaw</x:v>
      </x:c>
      <x:c r="C1541" s="1" t="n">
        <x:v>5</x:v>
      </x:c>
      <x:c r="D1541" s="1" t="str">
        <x:v>Ice Fang</x:v>
      </x:c>
      <x:c r="E1541" s="1" t="str">
        <x:v>Gelo</x:v>
      </x:c>
      <x:c r="F1541" s="1" t="str">
        <x:v>Física</x:v>
      </x:c>
      <x:c r="G1541" s="10" t="n">
        <x:v>65</x:v>
      </x:c>
      <x:c r="H1541" s="10" t="n">
        <x:f>IF(F1541="Física",'Pokémon'!G163,IF(F1541="Especial",'Pokémon'!I163,""))</x:f>
        <x:v>80</x:v>
      </x:c>
      <x:c r="I1541" s="10" t="n">
        <x:f>IF(OR(F1541="Status",G1541=0),"",G1541+H1541)</x:f>
        <x:v>145</x:v>
      </x:c>
      <x:c r="J1541" s="10" t="n">
        <x:v>21</x:v>
      </x:c>
      <x:c r="K1541" s="12" t="n">
        <x:v>20</x:v>
      </x:c>
      <x:c r="L1541" s="1" t="str"/>
      <x:c r="M1541" s="9" t="str">
        <x:v>https://poke.idleworld.online/pokepedia/pokemon/croconaw</x:v>
      </x:c>
    </x:row>
    <x:row r="1542" ht="22" customHeight="1">
      <x:c r="A1542" s="1" t="n">
        <x:v>159</x:v>
      </x:c>
      <x:c r="B1542" s="1" t="str">
        <x:v>Croconaw</x:v>
      </x:c>
      <x:c r="C1542" s="1" t="n">
        <x:v>4</x:v>
      </x:c>
      <x:c r="D1542" s="1" t="str">
        <x:v>Bite</x:v>
      </x:c>
      <x:c r="E1542" s="1" t="str">
        <x:v>Sombrio</x:v>
      </x:c>
      <x:c r="F1542" s="1" t="str">
        <x:v>Física</x:v>
      </x:c>
      <x:c r="G1542" s="10" t="n">
        <x:v>60</x:v>
      </x:c>
      <x:c r="H1542" s="10" t="n">
        <x:f>IF(F1542="Física",'Pokémon'!G163,IF(F1542="Especial",'Pokémon'!I163,""))</x:f>
        <x:v>80</x:v>
      </x:c>
      <x:c r="I1542" s="10" t="n">
        <x:f>IF(OR(F1542="Status",G1542=0),"",G1542+H1542)</x:f>
        <x:v>140</x:v>
      </x:c>
      <x:c r="J1542" s="10" t="n">
        <x:v>13</x:v>
      </x:c>
      <x:c r="K1542" s="12" t="n">
        <x:v>20</x:v>
      </x:c>
      <x:c r="L1542" s="1" t="str"/>
      <x:c r="M1542" s="9" t="str">
        <x:v>https://poke.idleworld.online/pokepedia/pokemon/croconaw</x:v>
      </x:c>
    </x:row>
    <x:row r="1543" ht="22" customHeight="1">
      <x:c r="A1543" s="1" t="n">
        <x:v>159</x:v>
      </x:c>
      <x:c r="B1543" s="1" t="str">
        <x:v>Croconaw</x:v>
      </x:c>
      <x:c r="C1543" s="1" t="n">
        <x:v>2</x:v>
      </x:c>
      <x:c r="D1543" s="1" t="str">
        <x:v>Scratch</x:v>
      </x:c>
      <x:c r="E1543" s="1" t="str">
        <x:v>Normal</x:v>
      </x:c>
      <x:c r="F1543" s="1" t="str">
        <x:v>Física</x:v>
      </x:c>
      <x:c r="G1543" s="10" t="n">
        <x:v>40</x:v>
      </x:c>
      <x:c r="H1543" s="10" t="n">
        <x:f>IF(F1543="Física",'Pokémon'!G163,IF(F1543="Especial",'Pokémon'!I163,""))</x:f>
        <x:v>80</x:v>
      </x:c>
      <x:c r="I1543" s="10" t="n">
        <x:f>IF(OR(F1543="Status",G1543=0),"",G1543+H1543)</x:f>
        <x:v>120</x:v>
      </x:c>
      <x:c r="J1543" s="10" t="n">
        <x:v>1</x:v>
      </x:c>
      <x:c r="K1543" s="12" t="n">
        <x:v>15</x:v>
      </x:c>
      <x:c r="L1543" s="1" t="str"/>
      <x:c r="M1543" s="9" t="str">
        <x:v>https://poke.idleworld.online/pokepedia/pokemon/croconaw</x:v>
      </x:c>
    </x:row>
    <x:row r="1544" ht="22" customHeight="1">
      <x:c r="A1544" s="1" t="n">
        <x:v>159</x:v>
      </x:c>
      <x:c r="B1544" s="1" t="str">
        <x:v>Croconaw</x:v>
      </x:c>
      <x:c r="C1544" s="1" t="n">
        <x:v>3</x:v>
      </x:c>
      <x:c r="D1544" s="1" t="str">
        <x:v>Rage</x:v>
      </x:c>
      <x:c r="E1544" s="1" t="str">
        <x:v>Normal</x:v>
      </x:c>
      <x:c r="F1544" s="1" t="str">
        <x:v>Física</x:v>
      </x:c>
      <x:c r="G1544" s="10" t="n">
        <x:v>20</x:v>
      </x:c>
      <x:c r="H1544" s="10" t="n">
        <x:f>IF(F1544="Física",'Pokémon'!G163,IF(F1544="Especial",'Pokémon'!I163,""))</x:f>
        <x:v>80</x:v>
      </x:c>
      <x:c r="I1544" s="10" t="n">
        <x:f>IF(OR(F1544="Status",G1544=0),"",G1544+H1544)</x:f>
        <x:v>100</x:v>
      </x:c>
      <x:c r="J1544" s="10" t="n">
        <x:v>8</x:v>
      </x:c>
      <x:c r="K1544" s="12" t="n">
        <x:v>15</x:v>
      </x:c>
      <x:c r="L1544" s="1" t="str"/>
      <x:c r="M1544" s="9" t="str">
        <x:v>https://poke.idleworld.online/pokepedia/pokemon/croconaw</x:v>
      </x:c>
    </x:row>
    <x:row r="1545" ht="22" customHeight="1">
      <x:c r="A1545" s="1" t="n">
        <x:v>159</x:v>
      </x:c>
      <x:c r="B1545" s="1" t="str">
        <x:v>Croconaw</x:v>
      </x:c>
      <x:c r="C1545" s="1" t="n">
        <x:v>1</x:v>
      </x:c>
      <x:c r="D1545" s="1" t="str">
        <x:v>Water Gun</x:v>
      </x:c>
      <x:c r="E1545" s="1" t="str">
        <x:v>Água</x:v>
      </x:c>
      <x:c r="F1545" s="1" t="str">
        <x:v>Especial</x:v>
      </x:c>
      <x:c r="G1545" s="10" t="n">
        <x:v>40</x:v>
      </x:c>
      <x:c r="H1545" s="10" t="n">
        <x:f>IF(F1545="Física",'Pokémon'!G163,IF(F1545="Especial",'Pokémon'!I163,""))</x:f>
        <x:v>59</x:v>
      </x:c>
      <x:c r="I1545" s="10" t="n">
        <x:f>IF(OR(F1545="Status",G1545=0),"",G1545+H1545)</x:f>
        <x:v>99</x:v>
      </x:c>
      <x:c r="J1545" s="10" t="n">
        <x:v>1</x:v>
      </x:c>
      <x:c r="K1545" s="12" t="n">
        <x:v>18</x:v>
      </x:c>
      <x:c r="L1545" s="1" t="str"/>
      <x:c r="M1545" s="9" t="str">
        <x:v>https://poke.idleworld.online/pokepedia/pokemon/croconaw</x:v>
      </x:c>
    </x:row>
    <x:row r="1546" ht="22" customHeight="1">
      <x:c r="A1546" s="1" t="n">
        <x:v>160</x:v>
      </x:c>
      <x:c r="B1546" s="1" t="str">
        <x:v>Feraligatr</x:v>
      </x:c>
      <x:c r="C1546" s="1" t="n">
        <x:v>2</x:v>
      </x:c>
      <x:c r="D1546" s="1" t="str">
        <x:v>Cyclonic Tide</x:v>
      </x:c>
      <x:c r="E1546" s="1" t="str">
        <x:v>Água</x:v>
      </x:c>
      <x:c r="F1546" s="1" t="str">
        <x:v>Especial</x:v>
      </x:c>
      <x:c r="G1546" s="10" t="n">
        <x:v>300</x:v>
      </x:c>
      <x:c r="H1546" s="10" t="n">
        <x:f>IF(F1546="Física",'Pokémon'!G164,IF(F1546="Especial",'Pokémon'!I164,""))</x:f>
        <x:v>79</x:v>
      </x:c>
      <x:c r="I1546" s="10" t="n">
        <x:f>IF(OR(F1546="Status",G1546=0),"",G1546+H1546)</x:f>
        <x:v>379</x:v>
      </x:c>
      <x:c r="J1546" s="10" t="n">
        <x:v>1</x:v>
      </x:c>
      <x:c r="K1546" s="12" t="n">
        <x:v>10</x:v>
      </x:c>
      <x:c r="L1546" s="1" t="str">
        <x:v>Sim</x:v>
      </x:c>
      <x:c r="M1546" s="9" t="str">
        <x:v>https://poke.idleworld.online/pokepedia/pokemon/feraligatr</x:v>
      </x:c>
    </x:row>
    <x:row r="1547" ht="22" customHeight="1">
      <x:c r="A1547" s="1" t="n">
        <x:v>160</x:v>
      </x:c>
      <x:c r="B1547" s="1" t="str">
        <x:v>Feraligatr</x:v>
      </x:c>
      <x:c r="C1547" s="1" t="n">
        <x:v>10</x:v>
      </x:c>
      <x:c r="D1547" s="1" t="str">
        <x:v>Thrash</x:v>
      </x:c>
      <x:c r="E1547" s="1" t="str">
        <x:v>Normal</x:v>
      </x:c>
      <x:c r="F1547" s="1" t="str">
        <x:v>Física</x:v>
      </x:c>
      <x:c r="G1547" s="10" t="n">
        <x:v>120</x:v>
      </x:c>
      <x:c r="H1547" s="10" t="n">
        <x:f>IF(F1547="Física",'Pokémon'!G164,IF(F1547="Especial",'Pokémon'!I164,""))</x:f>
        <x:v>105</x:v>
      </x:c>
      <x:c r="I1547" s="10" t="n">
        <x:f>IF(OR(F1547="Status",G1547=0),"",G1547+H1547)</x:f>
        <x:v>225</x:v>
      </x:c>
      <x:c r="J1547" s="10" t="n">
        <x:v>58</x:v>
      </x:c>
      <x:c r="K1547" s="12" t="n">
        <x:v>50</x:v>
      </x:c>
      <x:c r="L1547" s="1" t="str"/>
      <x:c r="M1547" s="9" t="str">
        <x:v>https://poke.idleworld.online/pokepedia/pokemon/feraligatr</x:v>
      </x:c>
    </x:row>
    <x:row r="1548" ht="22" customHeight="1">
      <x:c r="A1548" s="1" t="n">
        <x:v>160</x:v>
      </x:c>
      <x:c r="B1548" s="1" t="str">
        <x:v>Feraligatr</x:v>
      </x:c>
      <x:c r="C1548" s="1" t="n">
        <x:v>12</x:v>
      </x:c>
      <x:c r="D1548" s="1" t="str">
        <x:v>Superpower</x:v>
      </x:c>
      <x:c r="E1548" s="1" t="str">
        <x:v>Lutador</x:v>
      </x:c>
      <x:c r="F1548" s="1" t="str">
        <x:v>Física</x:v>
      </x:c>
      <x:c r="G1548" s="10" t="n">
        <x:v>120</x:v>
      </x:c>
      <x:c r="H1548" s="10" t="n">
        <x:f>IF(F1548="Física",'Pokémon'!G164,IF(F1548="Especial",'Pokémon'!I164,""))</x:f>
        <x:v>105</x:v>
      </x:c>
      <x:c r="I1548" s="10" t="n">
        <x:f>IF(OR(F1548="Status",G1548=0),"",G1548+H1548)</x:f>
        <x:v>225</x:v>
      </x:c>
      <x:c r="J1548" s="10" t="n">
        <x:v>71</x:v>
      </x:c>
      <x:c r="K1548" s="12" t="n">
        <x:v>50</x:v>
      </x:c>
      <x:c r="L1548" s="1" t="str"/>
      <x:c r="M1548" s="9" t="str">
        <x:v>https://poke.idleworld.online/pokepedia/pokemon/feraligatr</x:v>
      </x:c>
    </x:row>
    <x:row r="1549" ht="22" customHeight="1">
      <x:c r="A1549" s="1" t="n">
        <x:v>160</x:v>
      </x:c>
      <x:c r="B1549" s="1" t="str">
        <x:v>Feraligatr</x:v>
      </x:c>
      <x:c r="C1549" s="1" t="n">
        <x:v>11</x:v>
      </x:c>
      <x:c r="D1549" s="1" t="str">
        <x:v>Aqua Tail</x:v>
      </x:c>
      <x:c r="E1549" s="1" t="str">
        <x:v>Água</x:v>
      </x:c>
      <x:c r="F1549" s="1" t="str">
        <x:v>Física</x:v>
      </x:c>
      <x:c r="G1549" s="10" t="n">
        <x:v>90</x:v>
      </x:c>
      <x:c r="H1549" s="10" t="n">
        <x:f>IF(F1549="Física",'Pokémon'!G164,IF(F1549="Especial",'Pokémon'!I164,""))</x:f>
        <x:v>105</x:v>
      </x:c>
      <x:c r="I1549" s="10" t="n">
        <x:f>IF(OR(F1549="Status",G1549=0),"",G1549+H1549)</x:f>
        <x:v>195</x:v>
      </x:c>
      <x:c r="J1549" s="10" t="n">
        <x:v>63</x:v>
      </x:c>
      <x:c r="K1549" s="12" t="n">
        <x:v>22</x:v>
      </x:c>
      <x:c r="L1549" s="1" t="str"/>
      <x:c r="M1549" s="9" t="str">
        <x:v>https://poke.idleworld.online/pokepedia/pokemon/feraligatr</x:v>
      </x:c>
    </x:row>
    <x:row r="1550" ht="22" customHeight="1">
      <x:c r="A1550" s="1" t="n">
        <x:v>160</x:v>
      </x:c>
      <x:c r="B1550" s="1" t="str">
        <x:v>Feraligatr</x:v>
      </x:c>
      <x:c r="C1550" s="1" t="n">
        <x:v>13</x:v>
      </x:c>
      <x:c r="D1550" s="1" t="str">
        <x:v>Hydro Pump</x:v>
      </x:c>
      <x:c r="E1550" s="1" t="str">
        <x:v>Água</x:v>
      </x:c>
      <x:c r="F1550" s="1" t="str">
        <x:v>Especial</x:v>
      </x:c>
      <x:c r="G1550" s="10" t="n">
        <x:v>110</x:v>
      </x:c>
      <x:c r="H1550" s="10" t="n">
        <x:f>IF(F1550="Física",'Pokémon'!G164,IF(F1550="Especial",'Pokémon'!I164,""))</x:f>
        <x:v>79</x:v>
      </x:c>
      <x:c r="I1550" s="10" t="n">
        <x:f>IF(OR(F1550="Status",G1550=0),"",G1550+H1550)</x:f>
        <x:v>189</x:v>
      </x:c>
      <x:c r="J1550" s="10" t="n">
        <x:v>76</x:v>
      </x:c>
      <x:c r="K1550" s="12" t="n">
        <x:v>40</x:v>
      </x:c>
      <x:c r="L1550" s="1" t="str"/>
      <x:c r="M1550" s="9" t="str">
        <x:v>https://poke.idleworld.online/pokepedia/pokemon/feraligatr</x:v>
      </x:c>
    </x:row>
    <x:row r="1551" ht="22" customHeight="1">
      <x:c r="A1551" s="1" t="n">
        <x:v>160</x:v>
      </x:c>
      <x:c r="B1551" s="1" t="str">
        <x:v>Feraligatr</x:v>
      </x:c>
      <x:c r="C1551" s="1" t="n">
        <x:v>7</x:v>
      </x:c>
      <x:c r="D1551" s="1" t="str">
        <x:v>Crunch</x:v>
      </x:c>
      <x:c r="E1551" s="1" t="str">
        <x:v>Sombrio</x:v>
      </x:c>
      <x:c r="F1551" s="1" t="str">
        <x:v>Física</x:v>
      </x:c>
      <x:c r="G1551" s="10" t="n">
        <x:v>80</x:v>
      </x:c>
      <x:c r="H1551" s="10" t="n">
        <x:f>IF(F1551="Física",'Pokémon'!G164,IF(F1551="Especial",'Pokémon'!I164,""))</x:f>
        <x:v>105</x:v>
      </x:c>
      <x:c r="I1551" s="10" t="n">
        <x:f>IF(OR(F1551="Status",G1551=0),"",G1551+H1551)</x:f>
        <x:v>185</x:v>
      </x:c>
      <x:c r="J1551" s="10" t="n">
        <x:v>32</x:v>
      </x:c>
      <x:c r="K1551" s="12" t="n">
        <x:v>22</x:v>
      </x:c>
      <x:c r="L1551" s="1" t="str"/>
      <x:c r="M1551" s="9" t="str">
        <x:v>https://poke.idleworld.online/pokepedia/pokemon/feraligatr</x:v>
      </x:c>
    </x:row>
    <x:row r="1552" ht="22" customHeight="1">
      <x:c r="A1552" s="1" t="n">
        <x:v>160</x:v>
      </x:c>
      <x:c r="B1552" s="1" t="str">
        <x:v>Feraligatr</x:v>
      </x:c>
      <x:c r="C1552" s="1" t="n">
        <x:v>8</x:v>
      </x:c>
      <x:c r="D1552" s="1" t="str">
        <x:v>Chip Away</x:v>
      </x:c>
      <x:c r="E1552" s="1" t="str">
        <x:v>Normal</x:v>
      </x:c>
      <x:c r="F1552" s="1" t="str">
        <x:v>Física</x:v>
      </x:c>
      <x:c r="G1552" s="10" t="n">
        <x:v>70</x:v>
      </x:c>
      <x:c r="H1552" s="10" t="n">
        <x:f>IF(F1552="Física",'Pokémon'!G164,IF(F1552="Especial",'Pokémon'!I164,""))</x:f>
        <x:v>105</x:v>
      </x:c>
      <x:c r="I1552" s="10" t="n">
        <x:f>IF(OR(F1552="Status",G1552=0),"",G1552+H1552)</x:f>
        <x:v>175</x:v>
      </x:c>
      <x:c r="J1552" s="10" t="n">
        <x:v>37</x:v>
      </x:c>
      <x:c r="K1552" s="12" t="n">
        <x:v>20</x:v>
      </x:c>
      <x:c r="L1552" s="1" t="str"/>
      <x:c r="M1552" s="9" t="str">
        <x:v>https://poke.idleworld.online/pokepedia/pokemon/feraligatr</x:v>
      </x:c>
    </x:row>
    <x:row r="1553" ht="22" customHeight="1">
      <x:c r="A1553" s="1" t="n">
        <x:v>160</x:v>
      </x:c>
      <x:c r="B1553" s="1" t="str">
        <x:v>Feraligatr</x:v>
      </x:c>
      <x:c r="C1553" s="1" t="n">
        <x:v>9</x:v>
      </x:c>
      <x:c r="D1553" s="1" t="str">
        <x:v>Slash</x:v>
      </x:c>
      <x:c r="E1553" s="1" t="str">
        <x:v>Normal</x:v>
      </x:c>
      <x:c r="F1553" s="1" t="str">
        <x:v>Física</x:v>
      </x:c>
      <x:c r="G1553" s="10" t="n">
        <x:v>70</x:v>
      </x:c>
      <x:c r="H1553" s="10" t="n">
        <x:f>IF(F1553="Física",'Pokémon'!G164,IF(F1553="Especial",'Pokémon'!I164,""))</x:f>
        <x:v>105</x:v>
      </x:c>
      <x:c r="I1553" s="10" t="n">
        <x:f>IF(OR(F1553="Status",G1553=0),"",G1553+H1553)</x:f>
        <x:v>175</x:v>
      </x:c>
      <x:c r="J1553" s="10" t="n">
        <x:v>45</x:v>
      </x:c>
      <x:c r="K1553" s="12" t="n">
        <x:v>20</x:v>
      </x:c>
      <x:c r="L1553" s="1" t="str"/>
      <x:c r="M1553" s="9" t="str">
        <x:v>https://poke.idleworld.online/pokepedia/pokemon/feraligatr</x:v>
      </x:c>
    </x:row>
    <x:row r="1554" ht="22" customHeight="1">
      <x:c r="A1554" s="1" t="n">
        <x:v>160</x:v>
      </x:c>
      <x:c r="B1554" s="1" t="str">
        <x:v>Feraligatr</x:v>
      </x:c>
      <x:c r="C1554" s="1" t="n">
        <x:v>6</x:v>
      </x:c>
      <x:c r="D1554" s="1" t="str">
        <x:v>Ice Fang</x:v>
      </x:c>
      <x:c r="E1554" s="1" t="str">
        <x:v>Gelo</x:v>
      </x:c>
      <x:c r="F1554" s="1" t="str">
        <x:v>Física</x:v>
      </x:c>
      <x:c r="G1554" s="10" t="n">
        <x:v>65</x:v>
      </x:c>
      <x:c r="H1554" s="10" t="n">
        <x:f>IF(F1554="Física",'Pokémon'!G164,IF(F1554="Especial",'Pokémon'!I164,""))</x:f>
        <x:v>105</x:v>
      </x:c>
      <x:c r="I1554" s="10" t="n">
        <x:f>IF(OR(F1554="Status",G1554=0),"",G1554+H1554)</x:f>
        <x:v>170</x:v>
      </x:c>
      <x:c r="J1554" s="10" t="n">
        <x:v>21</x:v>
      </x:c>
      <x:c r="K1554" s="12" t="n">
        <x:v>20</x:v>
      </x:c>
      <x:c r="L1554" s="1" t="str"/>
      <x:c r="M1554" s="9" t="str">
        <x:v>https://poke.idleworld.online/pokepedia/pokemon/feraligatr</x:v>
      </x:c>
    </x:row>
    <x:row r="1555" ht="22" customHeight="1">
      <x:c r="A1555" s="1" t="n">
        <x:v>160</x:v>
      </x:c>
      <x:c r="B1555" s="1" t="str">
        <x:v>Feraligatr</x:v>
      </x:c>
      <x:c r="C1555" s="1" t="n">
        <x:v>5</x:v>
      </x:c>
      <x:c r="D1555" s="1" t="str">
        <x:v>Bite</x:v>
      </x:c>
      <x:c r="E1555" s="1" t="str">
        <x:v>Sombrio</x:v>
      </x:c>
      <x:c r="F1555" s="1" t="str">
        <x:v>Física</x:v>
      </x:c>
      <x:c r="G1555" s="10" t="n">
        <x:v>60</x:v>
      </x:c>
      <x:c r="H1555" s="10" t="n">
        <x:f>IF(F1555="Física",'Pokémon'!G164,IF(F1555="Especial",'Pokémon'!I164,""))</x:f>
        <x:v>105</x:v>
      </x:c>
      <x:c r="I1555" s="10" t="n">
        <x:f>IF(OR(F1555="Status",G1555=0),"",G1555+H1555)</x:f>
        <x:v>165</x:v>
      </x:c>
      <x:c r="J1555" s="10" t="n">
        <x:v>13</x:v>
      </x:c>
      <x:c r="K1555" s="12" t="n">
        <x:v>20</x:v>
      </x:c>
      <x:c r="L1555" s="1" t="str"/>
      <x:c r="M1555" s="9" t="str">
        <x:v>https://poke.idleworld.online/pokepedia/pokemon/feraligatr</x:v>
      </x:c>
    </x:row>
    <x:row r="1556" ht="22" customHeight="1">
      <x:c r="A1556" s="1" t="n">
        <x:v>160</x:v>
      </x:c>
      <x:c r="B1556" s="1" t="str">
        <x:v>Feraligatr</x:v>
      </x:c>
      <x:c r="C1556" s="1" t="n">
        <x:v>4</x:v>
      </x:c>
      <x:c r="D1556" s="1" t="str">
        <x:v>Scratch</x:v>
      </x:c>
      <x:c r="E1556" s="1" t="str">
        <x:v>Normal</x:v>
      </x:c>
      <x:c r="F1556" s="1" t="str">
        <x:v>Física</x:v>
      </x:c>
      <x:c r="G1556" s="10" t="n">
        <x:v>40</x:v>
      </x:c>
      <x:c r="H1556" s="10" t="n">
        <x:f>IF(F1556="Física",'Pokémon'!G164,IF(F1556="Especial",'Pokémon'!I164,""))</x:f>
        <x:v>105</x:v>
      </x:c>
      <x:c r="I1556" s="10" t="n">
        <x:f>IF(OR(F1556="Status",G1556=0),"",G1556+H1556)</x:f>
        <x:v>145</x:v>
      </x:c>
      <x:c r="J1556" s="10" t="n">
        <x:v>1</x:v>
      </x:c>
      <x:c r="K1556" s="12" t="n">
        <x:v>15</x:v>
      </x:c>
      <x:c r="L1556" s="1" t="str"/>
      <x:c r="M1556" s="9" t="str">
        <x:v>https://poke.idleworld.online/pokepedia/pokemon/feraligatr</x:v>
      </x:c>
    </x:row>
    <x:row r="1557" ht="22" customHeight="1">
      <x:c r="A1557" s="1" t="n">
        <x:v>160</x:v>
      </x:c>
      <x:c r="B1557" s="1" t="str">
        <x:v>Feraligatr</x:v>
      </x:c>
      <x:c r="C1557" s="1" t="n">
        <x:v>3</x:v>
      </x:c>
      <x:c r="D1557" s="1" t="str">
        <x:v>Rage</x:v>
      </x:c>
      <x:c r="E1557" s="1" t="str">
        <x:v>Normal</x:v>
      </x:c>
      <x:c r="F1557" s="1" t="str">
        <x:v>Física</x:v>
      </x:c>
      <x:c r="G1557" s="10" t="n">
        <x:v>20</x:v>
      </x:c>
      <x:c r="H1557" s="10" t="n">
        <x:f>IF(F1557="Física",'Pokémon'!G164,IF(F1557="Especial",'Pokémon'!I164,""))</x:f>
        <x:v>105</x:v>
      </x:c>
      <x:c r="I1557" s="10" t="n">
        <x:f>IF(OR(F1557="Status",G1557=0),"",G1557+H1557)</x:f>
        <x:v>125</x:v>
      </x:c>
      <x:c r="J1557" s="10" t="n">
        <x:v>1</x:v>
      </x:c>
      <x:c r="K1557" s="12" t="n">
        <x:v>15</x:v>
      </x:c>
      <x:c r="L1557" s="1" t="str"/>
      <x:c r="M1557" s="9" t="str">
        <x:v>https://poke.idleworld.online/pokepedia/pokemon/feraligatr</x:v>
      </x:c>
    </x:row>
    <x:row r="1558" ht="22" customHeight="1">
      <x:c r="A1558" s="1" t="n">
        <x:v>160</x:v>
      </x:c>
      <x:c r="B1558" s="1" t="str">
        <x:v>Feraligatr</x:v>
      </x:c>
      <x:c r="C1558" s="1" t="n">
        <x:v>1</x:v>
      </x:c>
      <x:c r="D1558" s="1" t="str">
        <x:v>Water Gun</x:v>
      </x:c>
      <x:c r="E1558" s="1" t="str">
        <x:v>Água</x:v>
      </x:c>
      <x:c r="F1558" s="1" t="str">
        <x:v>Especial</x:v>
      </x:c>
      <x:c r="G1558" s="10" t="n">
        <x:v>40</x:v>
      </x:c>
      <x:c r="H1558" s="10" t="n">
        <x:f>IF(F1558="Física",'Pokémon'!G164,IF(F1558="Especial",'Pokémon'!I164,""))</x:f>
        <x:v>79</x:v>
      </x:c>
      <x:c r="I1558" s="10" t="n">
        <x:f>IF(OR(F1558="Status",G1558=0),"",G1558+H1558)</x:f>
        <x:v>119</x:v>
      </x:c>
      <x:c r="J1558" s="10" t="n">
        <x:v>1</x:v>
      </x:c>
      <x:c r="K1558" s="12" t="n">
        <x:v>18</x:v>
      </x:c>
      <x:c r="L1558" s="1" t="str"/>
      <x:c r="M1558" s="9" t="str">
        <x:v>https://poke.idleworld.online/pokepedia/pokemon/feraligatr</x:v>
      </x:c>
    </x:row>
    <x:row r="1559" ht="22" customHeight="1">
      <x:c r="A1559" s="1" t="n">
        <x:v>161</x:v>
      </x:c>
      <x:c r="B1559" s="1" t="str">
        <x:v>Sentret</x:v>
      </x:c>
      <x:c r="C1559" s="1" t="n">
        <x:v>4</x:v>
      </x:c>
      <x:c r="D1559" s="1" t="str">
        <x:v>Slam</x:v>
      </x:c>
      <x:c r="E1559" s="1" t="str">
        <x:v>Normal</x:v>
      </x:c>
      <x:c r="F1559" s="1" t="str">
        <x:v>Física</x:v>
      </x:c>
      <x:c r="G1559" s="10" t="n">
        <x:v>80</x:v>
      </x:c>
      <x:c r="H1559" s="10" t="n">
        <x:f>IF(F1559="Física",'Pokémon'!G165,IF(F1559="Especial",'Pokémon'!I165,""))</x:f>
        <x:v>46</x:v>
      </x:c>
      <x:c r="I1559" s="10" t="n">
        <x:f>IF(OR(F1559="Status",G1559=0),"",G1559+H1559)</x:f>
        <x:v>126</x:v>
      </x:c>
      <x:c r="J1559" s="10" t="n">
        <x:v>25</x:v>
      </x:c>
      <x:c r="K1559" s="12" t="n">
        <x:v>22</x:v>
      </x:c>
      <x:c r="L1559" s="1" t="str"/>
      <x:c r="M1559" s="9" t="str">
        <x:v>https://poke.idleworld.online/pokepedia/pokemon/sentret</x:v>
      </x:c>
    </x:row>
    <x:row r="1560" ht="22" customHeight="1">
      <x:c r="A1560" s="1" t="n">
        <x:v>161</x:v>
      </x:c>
      <x:c r="B1560" s="1" t="str">
        <x:v>Sentret</x:v>
      </x:c>
      <x:c r="C1560" s="1" t="n">
        <x:v>5</x:v>
      </x:c>
      <x:c r="D1560" s="1" t="str">
        <x:v>Sucker Punch</x:v>
      </x:c>
      <x:c r="E1560" s="1" t="str">
        <x:v>Sombrio</x:v>
      </x:c>
      <x:c r="F1560" s="1" t="str">
        <x:v>Física</x:v>
      </x:c>
      <x:c r="G1560" s="10" t="n">
        <x:v>80</x:v>
      </x:c>
      <x:c r="H1560" s="10" t="n">
        <x:f>IF(F1560="Física",'Pokémon'!G165,IF(F1560="Especial",'Pokémon'!I165,""))</x:f>
        <x:v>46</x:v>
      </x:c>
      <x:c r="I1560" s="10" t="n">
        <x:f>IF(OR(F1560="Status",G1560=0),"",G1560+H1560)</x:f>
        <x:v>126</x:v>
      </x:c>
      <x:c r="J1560" s="10" t="n">
        <x:v>31</x:v>
      </x:c>
      <x:c r="K1560" s="12" t="n">
        <x:v>22</x:v>
      </x:c>
      <x:c r="L1560" s="1" t="str"/>
      <x:c r="M1560" s="9" t="str">
        <x:v>https://poke.idleworld.online/pokepedia/pokemon/sentret</x:v>
      </x:c>
    </x:row>
    <x:row r="1561" ht="22" customHeight="1">
      <x:c r="A1561" s="1" t="n">
        <x:v>161</x:v>
      </x:c>
      <x:c r="B1561" s="1" t="str">
        <x:v>Sentret</x:v>
      </x:c>
      <x:c r="C1561" s="1" t="n">
        <x:v>6</x:v>
      </x:c>
      <x:c r="D1561" s="1" t="str">
        <x:v>Hyper Voice</x:v>
      </x:c>
      <x:c r="E1561" s="1" t="str">
        <x:v>Normal</x:v>
      </x:c>
      <x:c r="F1561" s="1" t="str">
        <x:v>Especial</x:v>
      </x:c>
      <x:c r="G1561" s="10" t="n">
        <x:v>90</x:v>
      </x:c>
      <x:c r="H1561" s="10" t="n">
        <x:f>IF(F1561="Física",'Pokémon'!G165,IF(F1561="Especial",'Pokémon'!I165,""))</x:f>
        <x:v>35</x:v>
      </x:c>
      <x:c r="I1561" s="10" t="n">
        <x:f>IF(OR(F1561="Status",G1561=0),"",G1561+H1561)</x:f>
        <x:v>125</x:v>
      </x:c>
      <x:c r="J1561" s="10" t="n">
        <x:v>47</x:v>
      </x:c>
      <x:c r="K1561" s="12" t="n">
        <x:v>22</x:v>
      </x:c>
      <x:c r="L1561" s="1" t="str"/>
      <x:c r="M1561" s="9" t="str">
        <x:v>https://poke.idleworld.online/pokepedia/pokemon/sentret</x:v>
      </x:c>
    </x:row>
    <x:row r="1562" ht="22" customHeight="1">
      <x:c r="A1562" s="1" t="n">
        <x:v>161</x:v>
      </x:c>
      <x:c r="B1562" s="1" t="str">
        <x:v>Sentret</x:v>
      </x:c>
      <x:c r="C1562" s="1" t="n">
        <x:v>1</x:v>
      </x:c>
      <x:c r="D1562" s="1" t="str">
        <x:v>Scratch</x:v>
      </x:c>
      <x:c r="E1562" s="1" t="str">
        <x:v>Normal</x:v>
      </x:c>
      <x:c r="F1562" s="1" t="str">
        <x:v>Física</x:v>
      </x:c>
      <x:c r="G1562" s="10" t="n">
        <x:v>40</x:v>
      </x:c>
      <x:c r="H1562" s="10" t="n">
        <x:f>IF(F1562="Física",'Pokémon'!G165,IF(F1562="Especial",'Pokémon'!I165,""))</x:f>
        <x:v>46</x:v>
      </x:c>
      <x:c r="I1562" s="10" t="n">
        <x:f>IF(OR(F1562="Status",G1562=0),"",G1562+H1562)</x:f>
        <x:v>86</x:v>
      </x:c>
      <x:c r="J1562" s="10" t="n">
        <x:v>1</x:v>
      </x:c>
      <x:c r="K1562" s="12" t="n">
        <x:v>12</x:v>
      </x:c>
      <x:c r="L1562" s="1" t="str"/>
      <x:c r="M1562" s="9" t="str">
        <x:v>https://poke.idleworld.online/pokepedia/pokemon/sentret</x:v>
      </x:c>
    </x:row>
    <x:row r="1563" ht="22" customHeight="1">
      <x:c r="A1563" s="1" t="n">
        <x:v>161</x:v>
      </x:c>
      <x:c r="B1563" s="1" t="str">
        <x:v>Sentret</x:v>
      </x:c>
      <x:c r="C1563" s="1" t="n">
        <x:v>2</x:v>
      </x:c>
      <x:c r="D1563" s="1" t="str">
        <x:v>Quick Attack</x:v>
      </x:c>
      <x:c r="E1563" s="1" t="str">
        <x:v>Normal</x:v>
      </x:c>
      <x:c r="F1563" s="1" t="str">
        <x:v>Física</x:v>
      </x:c>
      <x:c r="G1563" s="10" t="n">
        <x:v>40</x:v>
      </x:c>
      <x:c r="H1563" s="10" t="n">
        <x:f>IF(F1563="Física",'Pokémon'!G165,IF(F1563="Especial",'Pokémon'!I165,""))</x:f>
        <x:v>46</x:v>
      </x:c>
      <x:c r="I1563" s="10" t="n">
        <x:f>IF(OR(F1563="Status",G1563=0),"",G1563+H1563)</x:f>
        <x:v>86</x:v>
      </x:c>
      <x:c r="J1563" s="10" t="n">
        <x:v>7</x:v>
      </x:c>
      <x:c r="K1563" s="12" t="n">
        <x:v>15</x:v>
      </x:c>
      <x:c r="L1563" s="1" t="str"/>
      <x:c r="M1563" s="9" t="str">
        <x:v>https://poke.idleworld.online/pokepedia/pokemon/sentret</x:v>
      </x:c>
    </x:row>
    <x:row r="1564" ht="22" customHeight="1">
      <x:c r="A1564" s="1" t="n">
        <x:v>161</x:v>
      </x:c>
      <x:c r="B1564" s="1" t="str">
        <x:v>Sentret</x:v>
      </x:c>
      <x:c r="C1564" s="1" t="n">
        <x:v>3</x:v>
      </x:c>
      <x:c r="D1564" s="1" t="str">
        <x:v>Fury Swipes</x:v>
      </x:c>
      <x:c r="E1564" s="1" t="str">
        <x:v>Normal</x:v>
      </x:c>
      <x:c r="F1564" s="1" t="str">
        <x:v>Física</x:v>
      </x:c>
      <x:c r="G1564" s="10" t="n">
        <x:v>18</x:v>
      </x:c>
      <x:c r="H1564" s="10" t="n">
        <x:f>IF(F1564="Física",'Pokémon'!G165,IF(F1564="Especial",'Pokémon'!I165,""))</x:f>
        <x:v>46</x:v>
      </x:c>
      <x:c r="I1564" s="10" t="n">
        <x:f>IF(OR(F1564="Status",G1564=0),"",G1564+H1564)</x:f>
        <x:v>64</x:v>
      </x:c>
      <x:c r="J1564" s="10" t="n">
        <x:v>13</x:v>
      </x:c>
      <x:c r="K1564" s="12" t="n">
        <x:v>15</x:v>
      </x:c>
      <x:c r="L1564" s="1" t="str"/>
      <x:c r="M1564" s="9" t="str">
        <x:v>https://poke.idleworld.online/pokepedia/pokemon/sentret</x:v>
      </x:c>
    </x:row>
    <x:row r="1565" ht="22" customHeight="1">
      <x:c r="A1565" s="1" t="n">
        <x:v>162</x:v>
      </x:c>
      <x:c r="B1565" s="1" t="str">
        <x:v>Furret</x:v>
      </x:c>
      <x:c r="C1565" s="1" t="n">
        <x:v>4</x:v>
      </x:c>
      <x:c r="D1565" s="1" t="str">
        <x:v>Slam</x:v>
      </x:c>
      <x:c r="E1565" s="1" t="str">
        <x:v>Normal</x:v>
      </x:c>
      <x:c r="F1565" s="1" t="str">
        <x:v>Física</x:v>
      </x:c>
      <x:c r="G1565" s="10" t="n">
        <x:v>80</x:v>
      </x:c>
      <x:c r="H1565" s="10" t="n">
        <x:f>IF(F1565="Física",'Pokémon'!G166,IF(F1565="Especial",'Pokémon'!I166,""))</x:f>
        <x:v>76</x:v>
      </x:c>
      <x:c r="I1565" s="10" t="n">
        <x:f>IF(OR(F1565="Status",G1565=0),"",G1565+H1565)</x:f>
        <x:v>156</x:v>
      </x:c>
      <x:c r="J1565" s="10" t="n">
        <x:v>28</x:v>
      </x:c>
      <x:c r="K1565" s="12" t="n">
        <x:v>22</x:v>
      </x:c>
      <x:c r="L1565" s="1" t="str"/>
      <x:c r="M1565" s="9" t="str">
        <x:v>https://poke.idleworld.online/pokepedia/pokemon/furret</x:v>
      </x:c>
    </x:row>
    <x:row r="1566" ht="22" customHeight="1">
      <x:c r="A1566" s="1" t="n">
        <x:v>162</x:v>
      </x:c>
      <x:c r="B1566" s="1" t="str">
        <x:v>Furret</x:v>
      </x:c>
      <x:c r="C1566" s="1" t="n">
        <x:v>5</x:v>
      </x:c>
      <x:c r="D1566" s="1" t="str">
        <x:v>Sucker Punch</x:v>
      </x:c>
      <x:c r="E1566" s="1" t="str">
        <x:v>Sombrio</x:v>
      </x:c>
      <x:c r="F1566" s="1" t="str">
        <x:v>Física</x:v>
      </x:c>
      <x:c r="G1566" s="10" t="n">
        <x:v>80</x:v>
      </x:c>
      <x:c r="H1566" s="10" t="n">
        <x:f>IF(F1566="Física",'Pokémon'!G166,IF(F1566="Especial",'Pokémon'!I166,""))</x:f>
        <x:v>76</x:v>
      </x:c>
      <x:c r="I1566" s="10" t="n">
        <x:f>IF(OR(F1566="Status",G1566=0),"",G1566+H1566)</x:f>
        <x:v>156</x:v>
      </x:c>
      <x:c r="J1566" s="10" t="n">
        <x:v>36</x:v>
      </x:c>
      <x:c r="K1566" s="12" t="n">
        <x:v>22</x:v>
      </x:c>
      <x:c r="L1566" s="1" t="str"/>
      <x:c r="M1566" s="9" t="str">
        <x:v>https://poke.idleworld.online/pokepedia/pokemon/furret</x:v>
      </x:c>
    </x:row>
    <x:row r="1567" ht="22" customHeight="1">
      <x:c r="A1567" s="1" t="n">
        <x:v>162</x:v>
      </x:c>
      <x:c r="B1567" s="1" t="str">
        <x:v>Furret</x:v>
      </x:c>
      <x:c r="C1567" s="1" t="n">
        <x:v>6</x:v>
      </x:c>
      <x:c r="D1567" s="1" t="str">
        <x:v>Hyper Voice</x:v>
      </x:c>
      <x:c r="E1567" s="1" t="str">
        <x:v>Normal</x:v>
      </x:c>
      <x:c r="F1567" s="1" t="str">
        <x:v>Especial</x:v>
      </x:c>
      <x:c r="G1567" s="10" t="n">
        <x:v>90</x:v>
      </x:c>
      <x:c r="H1567" s="10" t="n">
        <x:f>IF(F1567="Física",'Pokémon'!G166,IF(F1567="Especial",'Pokémon'!I166,""))</x:f>
        <x:v>45</x:v>
      </x:c>
      <x:c r="I1567" s="10" t="n">
        <x:f>IF(OR(F1567="Status",G1567=0),"",G1567+H1567)</x:f>
        <x:v>135</x:v>
      </x:c>
      <x:c r="J1567" s="10" t="n">
        <x:v>56</x:v>
      </x:c>
      <x:c r="K1567" s="12" t="n">
        <x:v>22</x:v>
      </x:c>
      <x:c r="L1567" s="1" t="str"/>
      <x:c r="M1567" s="9" t="str">
        <x:v>https://poke.idleworld.online/pokepedia/pokemon/furret</x:v>
      </x:c>
    </x:row>
    <x:row r="1568" ht="22" customHeight="1">
      <x:c r="A1568" s="1" t="n">
        <x:v>162</x:v>
      </x:c>
      <x:c r="B1568" s="1" t="str">
        <x:v>Furret</x:v>
      </x:c>
      <x:c r="C1568" s="1" t="n">
        <x:v>1</x:v>
      </x:c>
      <x:c r="D1568" s="1" t="str">
        <x:v>Scratch</x:v>
      </x:c>
      <x:c r="E1568" s="1" t="str">
        <x:v>Normal</x:v>
      </x:c>
      <x:c r="F1568" s="1" t="str">
        <x:v>Física</x:v>
      </x:c>
      <x:c r="G1568" s="10" t="n">
        <x:v>40</x:v>
      </x:c>
      <x:c r="H1568" s="10" t="n">
        <x:f>IF(F1568="Física",'Pokémon'!G166,IF(F1568="Especial",'Pokémon'!I166,""))</x:f>
        <x:v>76</x:v>
      </x:c>
      <x:c r="I1568" s="10" t="n">
        <x:f>IF(OR(F1568="Status",G1568=0),"",G1568+H1568)</x:f>
        <x:v>116</x:v>
      </x:c>
      <x:c r="J1568" s="10" t="n">
        <x:v>1</x:v>
      </x:c>
      <x:c r="K1568" s="12" t="n">
        <x:v>12</x:v>
      </x:c>
      <x:c r="L1568" s="1" t="str"/>
      <x:c r="M1568" s="9" t="str">
        <x:v>https://poke.idleworld.online/pokepedia/pokemon/furret</x:v>
      </x:c>
    </x:row>
    <x:row r="1569" ht="22" customHeight="1">
      <x:c r="A1569" s="1" t="n">
        <x:v>162</x:v>
      </x:c>
      <x:c r="B1569" s="1" t="str">
        <x:v>Furret</x:v>
      </x:c>
      <x:c r="C1569" s="1" t="n">
        <x:v>2</x:v>
      </x:c>
      <x:c r="D1569" s="1" t="str">
        <x:v>Quick Attack</x:v>
      </x:c>
      <x:c r="E1569" s="1" t="str">
        <x:v>Normal</x:v>
      </x:c>
      <x:c r="F1569" s="1" t="str">
        <x:v>Física</x:v>
      </x:c>
      <x:c r="G1569" s="10" t="n">
        <x:v>40</x:v>
      </x:c>
      <x:c r="H1569" s="10" t="n">
        <x:f>IF(F1569="Física",'Pokémon'!G166,IF(F1569="Especial",'Pokémon'!I166,""))</x:f>
        <x:v>76</x:v>
      </x:c>
      <x:c r="I1569" s="10" t="n">
        <x:f>IF(OR(F1569="Status",G1569=0),"",G1569+H1569)</x:f>
        <x:v>116</x:v>
      </x:c>
      <x:c r="J1569" s="10" t="n">
        <x:v>1</x:v>
      </x:c>
      <x:c r="K1569" s="12" t="n">
        <x:v>15</x:v>
      </x:c>
      <x:c r="L1569" s="1" t="str"/>
      <x:c r="M1569" s="9" t="str">
        <x:v>https://poke.idleworld.online/pokepedia/pokemon/furret</x:v>
      </x:c>
    </x:row>
    <x:row r="1570" ht="22" customHeight="1">
      <x:c r="A1570" s="1" t="n">
        <x:v>162</x:v>
      </x:c>
      <x:c r="B1570" s="1" t="str">
        <x:v>Furret</x:v>
      </x:c>
      <x:c r="C1570" s="1" t="n">
        <x:v>3</x:v>
      </x:c>
      <x:c r="D1570" s="1" t="str">
        <x:v>Fury Swipes</x:v>
      </x:c>
      <x:c r="E1570" s="1" t="str">
        <x:v>Normal</x:v>
      </x:c>
      <x:c r="F1570" s="1" t="str">
        <x:v>Física</x:v>
      </x:c>
      <x:c r="G1570" s="10" t="n">
        <x:v>18</x:v>
      </x:c>
      <x:c r="H1570" s="10" t="n">
        <x:f>IF(F1570="Física",'Pokémon'!G166,IF(F1570="Especial",'Pokémon'!I166,""))</x:f>
        <x:v>76</x:v>
      </x:c>
      <x:c r="I1570" s="10" t="n">
        <x:f>IF(OR(F1570="Status",G1570=0),"",G1570+H1570)</x:f>
        <x:v>94</x:v>
      </x:c>
      <x:c r="J1570" s="10" t="n">
        <x:v>13</x:v>
      </x:c>
      <x:c r="K1570" s="12" t="n">
        <x:v>15</x:v>
      </x:c>
      <x:c r="L1570" s="1" t="str"/>
      <x:c r="M1570" s="9" t="str">
        <x:v>https://poke.idleworld.online/pokepedia/pokemon/furret</x:v>
      </x:c>
    </x:row>
    <x:row r="1571" ht="22" customHeight="1">
      <x:c r="A1571" s="1" t="n">
        <x:v>163</x:v>
      </x:c>
      <x:c r="B1571" s="1" t="str">
        <x:v>Hoothoot</x:v>
      </x:c>
      <x:c r="C1571" s="1" t="n">
        <x:v>9</x:v>
      </x:c>
      <x:c r="D1571" s="1" t="str">
        <x:v>Synchronoise</x:v>
      </x:c>
      <x:c r="E1571" s="1" t="str">
        <x:v>Psíquico</x:v>
      </x:c>
      <x:c r="F1571" s="1" t="str">
        <x:v>Especial</x:v>
      </x:c>
      <x:c r="G1571" s="10" t="n">
        <x:v>120</x:v>
      </x:c>
      <x:c r="H1571" s="10" t="n">
        <x:f>IF(F1571="Física",'Pokémon'!G167,IF(F1571="Especial",'Pokémon'!I167,""))</x:f>
        <x:v>36</x:v>
      </x:c>
      <x:c r="I1571" s="10" t="n">
        <x:f>IF(OR(F1571="Status",G1571=0),"",G1571+H1571)</x:f>
        <x:v>156</x:v>
      </x:c>
      <x:c r="J1571" s="10" t="n">
        <x:v>41</x:v>
      </x:c>
      <x:c r="K1571" s="12" t="n">
        <x:v>50</x:v>
      </x:c>
      <x:c r="L1571" s="1" t="str"/>
      <x:c r="M1571" s="9" t="str">
        <x:v>https://poke.idleworld.online/pokepedia/pokemon/hoothoot</x:v>
      </x:c>
    </x:row>
    <x:row r="1572" ht="22" customHeight="1">
      <x:c r="A1572" s="1" t="n">
        <x:v>163</x:v>
      </x:c>
      <x:c r="B1572" s="1" t="str">
        <x:v>Hoothoot</x:v>
      </x:c>
      <x:c r="C1572" s="1" t="n">
        <x:v>11</x:v>
      </x:c>
      <x:c r="D1572" s="1" t="str">
        <x:v>Dream Eater</x:v>
      </x:c>
      <x:c r="E1572" s="1" t="str">
        <x:v>Psíquico</x:v>
      </x:c>
      <x:c r="F1572" s="1" t="str">
        <x:v>Especial</x:v>
      </x:c>
      <x:c r="G1572" s="10" t="n">
        <x:v>100</x:v>
      </x:c>
      <x:c r="H1572" s="10" t="n">
        <x:f>IF(F1572="Física",'Pokémon'!G167,IF(F1572="Especial",'Pokémon'!I167,""))</x:f>
        <x:v>36</x:v>
      </x:c>
      <x:c r="I1572" s="10" t="n">
        <x:f>IF(OR(F1572="Status",G1572=0),"",G1572+H1572)</x:f>
        <x:v>136</x:v>
      </x:c>
      <x:c r="J1572" s="10" t="n">
        <x:v>57</x:v>
      </x:c>
      <x:c r="K1572" s="12" t="n">
        <x:v>40</x:v>
      </x:c>
      <x:c r="L1572" s="1" t="str"/>
      <x:c r="M1572" s="9" t="str">
        <x:v>https://poke.idleworld.online/pokepedia/pokemon/hoothoot</x:v>
      </x:c>
    </x:row>
    <x:row r="1573" ht="22" customHeight="1">
      <x:c r="A1573" s="1" t="n">
        <x:v>163</x:v>
      </x:c>
      <x:c r="B1573" s="1" t="str">
        <x:v>Hoothoot</x:v>
      </x:c>
      <x:c r="C1573" s="1" t="n">
        <x:v>3</x:v>
      </x:c>
      <x:c r="D1573" s="1" t="str">
        <x:v>Uproar</x:v>
      </x:c>
      <x:c r="E1573" s="1" t="str">
        <x:v>Normal</x:v>
      </x:c>
      <x:c r="F1573" s="1" t="str">
        <x:v>Especial</x:v>
      </x:c>
      <x:c r="G1573" s="10" t="n">
        <x:v>90</x:v>
      </x:c>
      <x:c r="H1573" s="10" t="n">
        <x:f>IF(F1573="Física",'Pokémon'!G167,IF(F1573="Especial",'Pokémon'!I167,""))</x:f>
        <x:v>36</x:v>
      </x:c>
      <x:c r="I1573" s="10" t="n">
        <x:f>IF(OR(F1573="Status",G1573=0),"",G1573+H1573)</x:f>
        <x:v>126</x:v>
      </x:c>
      <x:c r="J1573" s="10" t="n">
        <x:v>13</x:v>
      </x:c>
      <x:c r="K1573" s="12" t="n">
        <x:v>22</x:v>
      </x:c>
      <x:c r="L1573" s="1" t="str"/>
      <x:c r="M1573" s="9" t="str">
        <x:v>https://poke.idleworld.online/pokepedia/pokemon/hoothoot</x:v>
      </x:c>
    </x:row>
    <x:row r="1574" ht="22" customHeight="1">
      <x:c r="A1574" s="1" t="n">
        <x:v>163</x:v>
      </x:c>
      <x:c r="B1574" s="1" t="str">
        <x:v>Hoothoot</x:v>
      </x:c>
      <x:c r="C1574" s="1" t="n">
        <x:v>6</x:v>
      </x:c>
      <x:c r="D1574" s="1" t="str">
        <x:v>Take Down</x:v>
      </x:c>
      <x:c r="E1574" s="1" t="str">
        <x:v>Normal</x:v>
      </x:c>
      <x:c r="F1574" s="1" t="str">
        <x:v>Física</x:v>
      </x:c>
      <x:c r="G1574" s="10" t="n">
        <x:v>90</x:v>
      </x:c>
      <x:c r="H1574" s="10" t="n">
        <x:f>IF(F1574="Física",'Pokémon'!G167,IF(F1574="Especial",'Pokémon'!I167,""))</x:f>
        <x:v>30</x:v>
      </x:c>
      <x:c r="I1574" s="10" t="n">
        <x:f>IF(OR(F1574="Status",G1574=0),"",G1574+H1574)</x:f>
        <x:v>120</x:v>
      </x:c>
      <x:c r="J1574" s="10" t="n">
        <x:v>29</x:v>
      </x:c>
      <x:c r="K1574" s="12" t="n">
        <x:v>22</x:v>
      </x:c>
      <x:c r="L1574" s="1" t="str"/>
      <x:c r="M1574" s="9" t="str">
        <x:v>https://poke.idleworld.online/pokepedia/pokemon/hoothoot</x:v>
      </x:c>
    </x:row>
    <x:row r="1575" ht="22" customHeight="1">
      <x:c r="A1575" s="1" t="n">
        <x:v>163</x:v>
      </x:c>
      <x:c r="B1575" s="1" t="str">
        <x:v>Hoothoot</x:v>
      </x:c>
      <x:c r="C1575" s="1" t="n">
        <x:v>10</x:v>
      </x:c>
      <x:c r="D1575" s="1" t="str">
        <x:v>Extrasensory</x:v>
      </x:c>
      <x:c r="E1575" s="1" t="str">
        <x:v>Psíquico</x:v>
      </x:c>
      <x:c r="F1575" s="1" t="str">
        <x:v>Especial</x:v>
      </x:c>
      <x:c r="G1575" s="10" t="n">
        <x:v>80</x:v>
      </x:c>
      <x:c r="H1575" s="10" t="n">
        <x:f>IF(F1575="Física",'Pokémon'!G167,IF(F1575="Especial",'Pokémon'!I167,""))</x:f>
        <x:v>36</x:v>
      </x:c>
      <x:c r="I1575" s="10" t="n">
        <x:f>IF(OR(F1575="Status",G1575=0),"",G1575+H1575)</x:f>
        <x:v>116</x:v>
      </x:c>
      <x:c r="J1575" s="10" t="n">
        <x:v>45</x:v>
      </x:c>
      <x:c r="K1575" s="12" t="n">
        <x:v>22</x:v>
      </x:c>
      <x:c r="L1575" s="1" t="str"/>
      <x:c r="M1575" s="9" t="str">
        <x:v>https://poke.idleworld.online/pokepedia/pokemon/hoothoot</x:v>
      </x:c>
    </x:row>
    <x:row r="1576" ht="22" customHeight="1">
      <x:c r="A1576" s="1" t="n">
        <x:v>163</x:v>
      </x:c>
      <x:c r="B1576" s="1" t="str">
        <x:v>Hoothoot</x:v>
      </x:c>
      <x:c r="C1576" s="1" t="n">
        <x:v>7</x:v>
      </x:c>
      <x:c r="D1576" s="1" t="str">
        <x:v>Air Slash</x:v>
      </x:c>
      <x:c r="E1576" s="1" t="str">
        <x:v>Voador</x:v>
      </x:c>
      <x:c r="F1576" s="1" t="str">
        <x:v>Especial</x:v>
      </x:c>
      <x:c r="G1576" s="10" t="n">
        <x:v>75</x:v>
      </x:c>
      <x:c r="H1576" s="10" t="n">
        <x:f>IF(F1576="Física",'Pokémon'!G167,IF(F1576="Especial",'Pokémon'!I167,""))</x:f>
        <x:v>36</x:v>
      </x:c>
      <x:c r="I1576" s="10" t="n">
        <x:f>IF(OR(F1576="Status",G1576=0),"",G1576+H1576)</x:f>
        <x:v>111</x:v>
      </x:c>
      <x:c r="J1576" s="10" t="n">
        <x:v>33</x:v>
      </x:c>
      <x:c r="K1576" s="12" t="n">
        <x:v>22</x:v>
      </x:c>
      <x:c r="L1576" s="1" t="str"/>
      <x:c r="M1576" s="9" t="str">
        <x:v>https://poke.idleworld.online/pokepedia/pokemon/hoothoot</x:v>
      </x:c>
    </x:row>
    <x:row r="1577" ht="22" customHeight="1">
      <x:c r="A1577" s="1" t="n">
        <x:v>163</x:v>
      </x:c>
      <x:c r="B1577" s="1" t="str">
        <x:v>Hoothoot</x:v>
      </x:c>
      <x:c r="C1577" s="1" t="n">
        <x:v>8</x:v>
      </x:c>
      <x:c r="D1577" s="1" t="str">
        <x:v>Zen Headbutt</x:v>
      </x:c>
      <x:c r="E1577" s="1" t="str">
        <x:v>Psíquico</x:v>
      </x:c>
      <x:c r="F1577" s="1" t="str">
        <x:v>Física</x:v>
      </x:c>
      <x:c r="G1577" s="10" t="n">
        <x:v>80</x:v>
      </x:c>
      <x:c r="H1577" s="10" t="n">
        <x:f>IF(F1577="Física",'Pokémon'!G167,IF(F1577="Especial",'Pokémon'!I167,""))</x:f>
        <x:v>30</x:v>
      </x:c>
      <x:c r="I1577" s="10" t="n">
        <x:f>IF(OR(F1577="Status",G1577=0),"",G1577+H1577)</x:f>
        <x:v>110</x:v>
      </x:c>
      <x:c r="J1577" s="10" t="n">
        <x:v>37</x:v>
      </x:c>
      <x:c r="K1577" s="12" t="n">
        <x:v>22</x:v>
      </x:c>
      <x:c r="L1577" s="1" t="str"/>
      <x:c r="M1577" s="9" t="str">
        <x:v>https://poke.idleworld.online/pokepedia/pokemon/hoothoot</x:v>
      </x:c>
    </x:row>
    <x:row r="1578" ht="22" customHeight="1">
      <x:c r="A1578" s="1" t="n">
        <x:v>163</x:v>
      </x:c>
      <x:c r="B1578" s="1" t="str">
        <x:v>Hoothoot</x:v>
      </x:c>
      <x:c r="C1578" s="1" t="n">
        <x:v>4</x:v>
      </x:c>
      <x:c r="D1578" s="1" t="str">
        <x:v>Confusion</x:v>
      </x:c>
      <x:c r="E1578" s="1" t="str">
        <x:v>Psíquico</x:v>
      </x:c>
      <x:c r="F1578" s="1" t="str">
        <x:v>Especial</x:v>
      </x:c>
      <x:c r="G1578" s="10" t="n">
        <x:v>50</x:v>
      </x:c>
      <x:c r="H1578" s="10" t="n">
        <x:f>IF(F1578="Física",'Pokémon'!G167,IF(F1578="Especial",'Pokémon'!I167,""))</x:f>
        <x:v>36</x:v>
      </x:c>
      <x:c r="I1578" s="10" t="n">
        <x:f>IF(OR(F1578="Status",G1578=0),"",G1578+H1578)</x:f>
        <x:v>86</x:v>
      </x:c>
      <x:c r="J1578" s="10" t="n">
        <x:v>21</x:v>
      </x:c>
      <x:c r="K1578" s="12" t="n">
        <x:v>15</x:v>
      </x:c>
      <x:c r="L1578" s="1" t="str"/>
      <x:c r="M1578" s="9" t="str">
        <x:v>https://poke.idleworld.online/pokepedia/pokemon/hoothoot</x:v>
      </x:c>
    </x:row>
    <x:row r="1579" ht="22" customHeight="1">
      <x:c r="A1579" s="1" t="n">
        <x:v>163</x:v>
      </x:c>
      <x:c r="B1579" s="1" t="str">
        <x:v>Hoothoot</x:v>
      </x:c>
      <x:c r="C1579" s="1" t="n">
        <x:v>1</x:v>
      </x:c>
      <x:c r="D1579" s="1" t="str">
        <x:v>Tackle</x:v>
      </x:c>
      <x:c r="E1579" s="1" t="str">
        <x:v>Normal</x:v>
      </x:c>
      <x:c r="F1579" s="1" t="str">
        <x:v>Física</x:v>
      </x:c>
      <x:c r="G1579" s="10" t="n">
        <x:v>50</x:v>
      </x:c>
      <x:c r="H1579" s="10" t="n">
        <x:f>IF(F1579="Física",'Pokémon'!G167,IF(F1579="Especial",'Pokémon'!I167,""))</x:f>
        <x:v>30</x:v>
      </x:c>
      <x:c r="I1579" s="10" t="n">
        <x:f>IF(OR(F1579="Status",G1579=0),"",G1579+H1579)</x:f>
        <x:v>80</x:v>
      </x:c>
      <x:c r="J1579" s="10" t="n">
        <x:v>1</x:v>
      </x:c>
      <x:c r="K1579" s="12" t="n">
        <x:v>15</x:v>
      </x:c>
      <x:c r="L1579" s="1" t="str"/>
      <x:c r="M1579" s="9" t="str">
        <x:v>https://poke.idleworld.online/pokepedia/pokemon/hoothoot</x:v>
      </x:c>
    </x:row>
    <x:row r="1580" ht="22" customHeight="1">
      <x:c r="A1580" s="1" t="n">
        <x:v>163</x:v>
      </x:c>
      <x:c r="B1580" s="1" t="str">
        <x:v>Hoothoot</x:v>
      </x:c>
      <x:c r="C1580" s="1" t="n">
        <x:v>5</x:v>
      </x:c>
      <x:c r="D1580" s="1" t="str">
        <x:v>Echoed Voice</x:v>
      </x:c>
      <x:c r="E1580" s="1" t="str">
        <x:v>Normal</x:v>
      </x:c>
      <x:c r="F1580" s="1" t="str">
        <x:v>Especial</x:v>
      </x:c>
      <x:c r="G1580" s="10" t="n">
        <x:v>40</x:v>
      </x:c>
      <x:c r="H1580" s="10" t="n">
        <x:f>IF(F1580="Física",'Pokémon'!G167,IF(F1580="Especial",'Pokémon'!I167,""))</x:f>
        <x:v>36</x:v>
      </x:c>
      <x:c r="I1580" s="10" t="n">
        <x:f>IF(OR(F1580="Status",G1580=0),"",G1580+H1580)</x:f>
        <x:v>76</x:v>
      </x:c>
      <x:c r="J1580" s="10" t="n">
        <x:v>25</x:v>
      </x:c>
      <x:c r="K1580" s="12" t="n">
        <x:v>15</x:v>
      </x:c>
      <x:c r="L1580" s="1" t="str"/>
      <x:c r="M1580" s="9" t="str">
        <x:v>https://poke.idleworld.online/pokepedia/pokemon/hoothoot</x:v>
      </x:c>
    </x:row>
    <x:row r="1581" ht="22" customHeight="1">
      <x:c r="A1581" s="1" t="n">
        <x:v>163</x:v>
      </x:c>
      <x:c r="B1581" s="1" t="str">
        <x:v>Hoothoot</x:v>
      </x:c>
      <x:c r="C1581" s="1" t="n">
        <x:v>2</x:v>
      </x:c>
      <x:c r="D1581" s="1" t="str">
        <x:v>Peck</x:v>
      </x:c>
      <x:c r="E1581" s="1" t="str">
        <x:v>Voador</x:v>
      </x:c>
      <x:c r="F1581" s="1" t="str">
        <x:v>Física</x:v>
      </x:c>
      <x:c r="G1581" s="10" t="n">
        <x:v>35</x:v>
      </x:c>
      <x:c r="H1581" s="10" t="n">
        <x:f>IF(F1581="Física",'Pokémon'!G167,IF(F1581="Especial",'Pokémon'!I167,""))</x:f>
        <x:v>30</x:v>
      </x:c>
      <x:c r="I1581" s="10" t="n">
        <x:f>IF(OR(F1581="Status",G1581=0),"",G1581+H1581)</x:f>
        <x:v>65</x:v>
      </x:c>
      <x:c r="J1581" s="10" t="n">
        <x:v>9</x:v>
      </x:c>
      <x:c r="K1581" s="12" t="n">
        <x:v>10</x:v>
      </x:c>
      <x:c r="L1581" s="1" t="str"/>
      <x:c r="M1581" s="9" t="str">
        <x:v>https://poke.idleworld.online/pokepedia/pokemon/hoothoot</x:v>
      </x:c>
    </x:row>
    <x:row r="1582" ht="22" customHeight="1">
      <x:c r="A1582" s="1" t="n">
        <x:v>164</x:v>
      </x:c>
      <x:c r="B1582" s="1" t="str">
        <x:v>Noctowl</x:v>
      </x:c>
      <x:c r="C1582" s="1" t="n">
        <x:v>2</x:v>
      </x:c>
      <x:c r="D1582" s="1" t="str">
        <x:v>Massive Hurricane</x:v>
      </x:c>
      <x:c r="E1582" s="1" t="str">
        <x:v>Voador</x:v>
      </x:c>
      <x:c r="F1582" s="1" t="str">
        <x:v>Física</x:v>
      </x:c>
      <x:c r="G1582" s="10" t="n">
        <x:v>300</x:v>
      </x:c>
      <x:c r="H1582" s="10" t="n">
        <x:f>IF(F1582="Física",'Pokémon'!G168,IF(F1582="Especial",'Pokémon'!I168,""))</x:f>
        <x:v>50</x:v>
      </x:c>
      <x:c r="I1582" s="10" t="n">
        <x:f>IF(OR(F1582="Status",G1582=0),"",G1582+H1582)</x:f>
        <x:v>350</x:v>
      </x:c>
      <x:c r="J1582" s="10" t="n">
        <x:v>1</x:v>
      </x:c>
      <x:c r="K1582" s="12" t="n">
        <x:v>10</x:v>
      </x:c>
      <x:c r="L1582" s="1" t="str">
        <x:v>Sim</x:v>
      </x:c>
      <x:c r="M1582" s="9" t="str">
        <x:v>https://poke.idleworld.online/pokepedia/pokemon/noctowl</x:v>
      </x:c>
    </x:row>
    <x:row r="1583" ht="22" customHeight="1">
      <x:c r="A1583" s="1" t="n">
        <x:v>164</x:v>
      </x:c>
      <x:c r="B1583" s="1" t="str">
        <x:v>Noctowl</x:v>
      </x:c>
      <x:c r="C1583" s="1" t="n">
        <x:v>12</x:v>
      </x:c>
      <x:c r="D1583" s="1" t="str">
        <x:v>Synchronoise</x:v>
      </x:c>
      <x:c r="E1583" s="1" t="str">
        <x:v>Psíquico</x:v>
      </x:c>
      <x:c r="F1583" s="1" t="str">
        <x:v>Especial</x:v>
      </x:c>
      <x:c r="G1583" s="10" t="n">
        <x:v>120</x:v>
      </x:c>
      <x:c r="H1583" s="10" t="n">
        <x:f>IF(F1583="Física",'Pokémon'!G168,IF(F1583="Especial",'Pokémon'!I168,""))</x:f>
        <x:v>76</x:v>
      </x:c>
      <x:c r="I1583" s="10" t="n">
        <x:f>IF(OR(F1583="Status",G1583=0),"",G1583+H1583)</x:f>
        <x:v>196</x:v>
      </x:c>
      <x:c r="J1583" s="10" t="n">
        <x:v>47</x:v>
      </x:c>
      <x:c r="K1583" s="12" t="n">
        <x:v>50</x:v>
      </x:c>
      <x:c r="L1583" s="1" t="str"/>
      <x:c r="M1583" s="9" t="str">
        <x:v>https://poke.idleworld.online/pokepedia/pokemon/noctowl</x:v>
      </x:c>
    </x:row>
    <x:row r="1584" ht="22" customHeight="1">
      <x:c r="A1584" s="1" t="n">
        <x:v>164</x:v>
      </x:c>
      <x:c r="B1584" s="1" t="str">
        <x:v>Noctowl</x:v>
      </x:c>
      <x:c r="C1584" s="1" t="n">
        <x:v>4</x:v>
      </x:c>
      <x:c r="D1584" s="1" t="str">
        <x:v>Sky Attack</x:v>
      </x:c>
      <x:c r="E1584" s="1" t="str">
        <x:v>Voador</x:v>
      </x:c>
      <x:c r="F1584" s="1" t="str">
        <x:v>Física</x:v>
      </x:c>
      <x:c r="G1584" s="10" t="n">
        <x:v>140</x:v>
      </x:c>
      <x:c r="H1584" s="10" t="n">
        <x:f>IF(F1584="Física",'Pokémon'!G168,IF(F1584="Especial",'Pokémon'!I168,""))</x:f>
        <x:v>50</x:v>
      </x:c>
      <x:c r="I1584" s="10" t="n">
        <x:f>IF(OR(F1584="Status",G1584=0),"",G1584+H1584)</x:f>
        <x:v>190</x:v>
      </x:c>
      <x:c r="J1584" s="10" t="n">
        <x:v>1</x:v>
      </x:c>
      <x:c r="K1584" s="12" t="n">
        <x:v>50</x:v>
      </x:c>
      <x:c r="L1584" s="1" t="str"/>
      <x:c r="M1584" s="9" t="str">
        <x:v>https://poke.idleworld.online/pokepedia/pokemon/noctowl</x:v>
      </x:c>
    </x:row>
    <x:row r="1585" ht="22" customHeight="1">
      <x:c r="A1585" s="1" t="n">
        <x:v>164</x:v>
      </x:c>
      <x:c r="B1585" s="1" t="str">
        <x:v>Noctowl</x:v>
      </x:c>
      <x:c r="C1585" s="1" t="n">
        <x:v>3</x:v>
      </x:c>
      <x:c r="D1585" s="1" t="str">
        <x:v>Dream Eater</x:v>
      </x:c>
      <x:c r="E1585" s="1" t="str">
        <x:v>Psíquico</x:v>
      </x:c>
      <x:c r="F1585" s="1" t="str">
        <x:v>Especial</x:v>
      </x:c>
      <x:c r="G1585" s="10" t="n">
        <x:v>100</x:v>
      </x:c>
      <x:c r="H1585" s="10" t="n">
        <x:f>IF(F1585="Física",'Pokémon'!G168,IF(F1585="Especial",'Pokémon'!I168,""))</x:f>
        <x:v>76</x:v>
      </x:c>
      <x:c r="I1585" s="10" t="n">
        <x:f>IF(OR(F1585="Status",G1585=0),"",G1585+H1585)</x:f>
        <x:v>176</x:v>
      </x:c>
      <x:c r="J1585" s="10" t="n">
        <x:v>1</x:v>
      </x:c>
      <x:c r="K1585" s="12" t="n">
        <x:v>40</x:v>
      </x:c>
      <x:c r="L1585" s="1" t="str"/>
      <x:c r="M1585" s="9" t="str">
        <x:v>https://poke.idleworld.online/pokepedia/pokemon/noctowl</x:v>
      </x:c>
    </x:row>
    <x:row r="1586" ht="22" customHeight="1">
      <x:c r="A1586" s="1" t="n">
        <x:v>164</x:v>
      </x:c>
      <x:c r="B1586" s="1" t="str">
        <x:v>Noctowl</x:v>
      </x:c>
      <x:c r="C1586" s="1" t="n">
        <x:v>6</x:v>
      </x:c>
      <x:c r="D1586" s="1" t="str">
        <x:v>Uproar</x:v>
      </x:c>
      <x:c r="E1586" s="1" t="str">
        <x:v>Normal</x:v>
      </x:c>
      <x:c r="F1586" s="1" t="str">
        <x:v>Especial</x:v>
      </x:c>
      <x:c r="G1586" s="10" t="n">
        <x:v>90</x:v>
      </x:c>
      <x:c r="H1586" s="10" t="n">
        <x:f>IF(F1586="Física",'Pokémon'!G168,IF(F1586="Especial",'Pokémon'!I168,""))</x:f>
        <x:v>76</x:v>
      </x:c>
      <x:c r="I1586" s="10" t="n">
        <x:f>IF(OR(F1586="Status",G1586=0),"",G1586+H1586)</x:f>
        <x:v>166</x:v>
      </x:c>
      <x:c r="J1586" s="10" t="n">
        <x:v>13</x:v>
      </x:c>
      <x:c r="K1586" s="12" t="n">
        <x:v>22</x:v>
      </x:c>
      <x:c r="L1586" s="1" t="str"/>
      <x:c r="M1586" s="9" t="str">
        <x:v>https://poke.idleworld.online/pokepedia/pokemon/noctowl</x:v>
      </x:c>
    </x:row>
    <x:row r="1587" ht="22" customHeight="1">
      <x:c r="A1587" s="1" t="n">
        <x:v>164</x:v>
      </x:c>
      <x:c r="B1587" s="1" t="str">
        <x:v>Noctowl</x:v>
      </x:c>
      <x:c r="C1587" s="1" t="n">
        <x:v>13</x:v>
      </x:c>
      <x:c r="D1587" s="1" t="str">
        <x:v>Extrasensory</x:v>
      </x:c>
      <x:c r="E1587" s="1" t="str">
        <x:v>Psíquico</x:v>
      </x:c>
      <x:c r="F1587" s="1" t="str">
        <x:v>Especial</x:v>
      </x:c>
      <x:c r="G1587" s="10" t="n">
        <x:v>80</x:v>
      </x:c>
      <x:c r="H1587" s="10" t="n">
        <x:f>IF(F1587="Física",'Pokémon'!G168,IF(F1587="Especial",'Pokémon'!I168,""))</x:f>
        <x:v>76</x:v>
      </x:c>
      <x:c r="I1587" s="10" t="n">
        <x:f>IF(OR(F1587="Status",G1587=0),"",G1587+H1587)</x:f>
        <x:v>156</x:v>
      </x:c>
      <x:c r="J1587" s="10" t="n">
        <x:v>52</x:v>
      </x:c>
      <x:c r="K1587" s="12" t="n">
        <x:v>22</x:v>
      </x:c>
      <x:c r="L1587" s="1" t="str"/>
      <x:c r="M1587" s="9" t="str">
        <x:v>https://poke.idleworld.online/pokepedia/pokemon/noctowl</x:v>
      </x:c>
    </x:row>
    <x:row r="1588" ht="22" customHeight="1">
      <x:c r="A1588" s="1" t="n">
        <x:v>164</x:v>
      </x:c>
      <x:c r="B1588" s="1" t="str">
        <x:v>Noctowl</x:v>
      </x:c>
      <x:c r="C1588" s="1" t="n">
        <x:v>10</x:v>
      </x:c>
      <x:c r="D1588" s="1" t="str">
        <x:v>Air Slash</x:v>
      </x:c>
      <x:c r="E1588" s="1" t="str">
        <x:v>Voador</x:v>
      </x:c>
      <x:c r="F1588" s="1" t="str">
        <x:v>Especial</x:v>
      </x:c>
      <x:c r="G1588" s="10" t="n">
        <x:v>75</x:v>
      </x:c>
      <x:c r="H1588" s="10" t="n">
        <x:f>IF(F1588="Física",'Pokémon'!G168,IF(F1588="Especial",'Pokémon'!I168,""))</x:f>
        <x:v>76</x:v>
      </x:c>
      <x:c r="I1588" s="10" t="n">
        <x:f>IF(OR(F1588="Status",G1588=0),"",G1588+H1588)</x:f>
        <x:v>151</x:v>
      </x:c>
      <x:c r="J1588" s="10" t="n">
        <x:v>37</x:v>
      </x:c>
      <x:c r="K1588" s="12" t="n">
        <x:v>22</x:v>
      </x:c>
      <x:c r="L1588" s="1" t="str"/>
      <x:c r="M1588" s="9" t="str">
        <x:v>https://poke.idleworld.online/pokepedia/pokemon/noctowl</x:v>
      </x:c>
    </x:row>
    <x:row r="1589" ht="22" customHeight="1">
      <x:c r="A1589" s="1" t="n">
        <x:v>164</x:v>
      </x:c>
      <x:c r="B1589" s="1" t="str">
        <x:v>Noctowl</x:v>
      </x:c>
      <x:c r="C1589" s="1" t="n">
        <x:v>9</x:v>
      </x:c>
      <x:c r="D1589" s="1" t="str">
        <x:v>Take Down</x:v>
      </x:c>
      <x:c r="E1589" s="1" t="str">
        <x:v>Normal</x:v>
      </x:c>
      <x:c r="F1589" s="1" t="str">
        <x:v>Física</x:v>
      </x:c>
      <x:c r="G1589" s="10" t="n">
        <x:v>90</x:v>
      </x:c>
      <x:c r="H1589" s="10" t="n">
        <x:f>IF(F1589="Física",'Pokémon'!G168,IF(F1589="Especial",'Pokémon'!I168,""))</x:f>
        <x:v>50</x:v>
      </x:c>
      <x:c r="I1589" s="10" t="n">
        <x:f>IF(OR(F1589="Status",G1589=0),"",G1589+H1589)</x:f>
        <x:v>140</x:v>
      </x:c>
      <x:c r="J1589" s="10" t="n">
        <x:v>32</x:v>
      </x:c>
      <x:c r="K1589" s="12" t="n">
        <x:v>22</x:v>
      </x:c>
      <x:c r="L1589" s="1" t="str"/>
      <x:c r="M1589" s="9" t="str">
        <x:v>https://poke.idleworld.online/pokepedia/pokemon/noctowl</x:v>
      </x:c>
    </x:row>
    <x:row r="1590" ht="22" customHeight="1">
      <x:c r="A1590" s="1" t="n">
        <x:v>164</x:v>
      </x:c>
      <x:c r="B1590" s="1" t="str">
        <x:v>Noctowl</x:v>
      </x:c>
      <x:c r="C1590" s="1" t="n">
        <x:v>11</x:v>
      </x:c>
      <x:c r="D1590" s="1" t="str">
        <x:v>Zen Headbutt</x:v>
      </x:c>
      <x:c r="E1590" s="1" t="str">
        <x:v>Psíquico</x:v>
      </x:c>
      <x:c r="F1590" s="1" t="str">
        <x:v>Física</x:v>
      </x:c>
      <x:c r="G1590" s="10" t="n">
        <x:v>80</x:v>
      </x:c>
      <x:c r="H1590" s="10" t="n">
        <x:f>IF(F1590="Física",'Pokémon'!G168,IF(F1590="Especial",'Pokémon'!I168,""))</x:f>
        <x:v>50</x:v>
      </x:c>
      <x:c r="I1590" s="10" t="n">
        <x:f>IF(OR(F1590="Status",G1590=0),"",G1590+H1590)</x:f>
        <x:v>130</x:v>
      </x:c>
      <x:c r="J1590" s="10" t="n">
        <x:v>42</x:v>
      </x:c>
      <x:c r="K1590" s="12" t="n">
        <x:v>22</x:v>
      </x:c>
      <x:c r="L1590" s="1" t="str"/>
      <x:c r="M1590" s="9" t="str">
        <x:v>https://poke.idleworld.online/pokepedia/pokemon/noctowl</x:v>
      </x:c>
    </x:row>
    <x:row r="1591" ht="22" customHeight="1">
      <x:c r="A1591" s="1" t="n">
        <x:v>164</x:v>
      </x:c>
      <x:c r="B1591" s="1" t="str">
        <x:v>Noctowl</x:v>
      </x:c>
      <x:c r="C1591" s="1" t="n">
        <x:v>7</x:v>
      </x:c>
      <x:c r="D1591" s="1" t="str">
        <x:v>Confusion</x:v>
      </x:c>
      <x:c r="E1591" s="1" t="str">
        <x:v>Psíquico</x:v>
      </x:c>
      <x:c r="F1591" s="1" t="str">
        <x:v>Especial</x:v>
      </x:c>
      <x:c r="G1591" s="10" t="n">
        <x:v>50</x:v>
      </x:c>
      <x:c r="H1591" s="10" t="n">
        <x:f>IF(F1591="Física",'Pokémon'!G168,IF(F1591="Especial",'Pokémon'!I168,""))</x:f>
        <x:v>76</x:v>
      </x:c>
      <x:c r="I1591" s="10" t="n">
        <x:f>IF(OR(F1591="Status",G1591=0),"",G1591+H1591)</x:f>
        <x:v>126</x:v>
      </x:c>
      <x:c r="J1591" s="10" t="n">
        <x:v>22</x:v>
      </x:c>
      <x:c r="K1591" s="12" t="n">
        <x:v>15</x:v>
      </x:c>
      <x:c r="L1591" s="1" t="str"/>
      <x:c r="M1591" s="9" t="str">
        <x:v>https://poke.idleworld.online/pokepedia/pokemon/noctowl</x:v>
      </x:c>
    </x:row>
    <x:row r="1592" ht="22" customHeight="1">
      <x:c r="A1592" s="1" t="n">
        <x:v>164</x:v>
      </x:c>
      <x:c r="B1592" s="1" t="str">
        <x:v>Noctowl</x:v>
      </x:c>
      <x:c r="C1592" s="1" t="n">
        <x:v>8</x:v>
      </x:c>
      <x:c r="D1592" s="1" t="str">
        <x:v>Echoed Voice</x:v>
      </x:c>
      <x:c r="E1592" s="1" t="str">
        <x:v>Normal</x:v>
      </x:c>
      <x:c r="F1592" s="1" t="str">
        <x:v>Especial</x:v>
      </x:c>
      <x:c r="G1592" s="10" t="n">
        <x:v>40</x:v>
      </x:c>
      <x:c r="H1592" s="10" t="n">
        <x:f>IF(F1592="Física",'Pokémon'!G168,IF(F1592="Especial",'Pokémon'!I168,""))</x:f>
        <x:v>76</x:v>
      </x:c>
      <x:c r="I1592" s="10" t="n">
        <x:f>IF(OR(F1592="Status",G1592=0),"",G1592+H1592)</x:f>
        <x:v>116</x:v>
      </x:c>
      <x:c r="J1592" s="10" t="n">
        <x:v>27</x:v>
      </x:c>
      <x:c r="K1592" s="12" t="n">
        <x:v>15</x:v>
      </x:c>
      <x:c r="L1592" s="1" t="str"/>
      <x:c r="M1592" s="9" t="str">
        <x:v>https://poke.idleworld.online/pokepedia/pokemon/noctowl</x:v>
      </x:c>
    </x:row>
    <x:row r="1593" ht="22" customHeight="1">
      <x:c r="A1593" s="1" t="n">
        <x:v>164</x:v>
      </x:c>
      <x:c r="B1593" s="1" t="str">
        <x:v>Noctowl</x:v>
      </x:c>
      <x:c r="C1593" s="1" t="n">
        <x:v>1</x:v>
      </x:c>
      <x:c r="D1593" s="1" t="str">
        <x:v>Tackle</x:v>
      </x:c>
      <x:c r="E1593" s="1" t="str">
        <x:v>Normal</x:v>
      </x:c>
      <x:c r="F1593" s="1" t="str">
        <x:v>Física</x:v>
      </x:c>
      <x:c r="G1593" s="10" t="n">
        <x:v>50</x:v>
      </x:c>
      <x:c r="H1593" s="10" t="n">
        <x:f>IF(F1593="Física",'Pokémon'!G168,IF(F1593="Especial",'Pokémon'!I168,""))</x:f>
        <x:v>50</x:v>
      </x:c>
      <x:c r="I1593" s="10" t="n">
        <x:f>IF(OR(F1593="Status",G1593=0),"",G1593+H1593)</x:f>
        <x:v>100</x:v>
      </x:c>
      <x:c r="J1593" s="10" t="n">
        <x:v>1</x:v>
      </x:c>
      <x:c r="K1593" s="12" t="n">
        <x:v>15</x:v>
      </x:c>
      <x:c r="L1593" s="1" t="str"/>
      <x:c r="M1593" s="9" t="str">
        <x:v>https://poke.idleworld.online/pokepedia/pokemon/noctowl</x:v>
      </x:c>
    </x:row>
    <x:row r="1594" ht="22" customHeight="1">
      <x:c r="A1594" s="1" t="n">
        <x:v>164</x:v>
      </x:c>
      <x:c r="B1594" s="1" t="str">
        <x:v>Noctowl</x:v>
      </x:c>
      <x:c r="C1594" s="1" t="n">
        <x:v>5</x:v>
      </x:c>
      <x:c r="D1594" s="1" t="str">
        <x:v>Peck</x:v>
      </x:c>
      <x:c r="E1594" s="1" t="str">
        <x:v>Voador</x:v>
      </x:c>
      <x:c r="F1594" s="1" t="str">
        <x:v>Física</x:v>
      </x:c>
      <x:c r="G1594" s="10" t="n">
        <x:v>35</x:v>
      </x:c>
      <x:c r="H1594" s="10" t="n">
        <x:f>IF(F1594="Física",'Pokémon'!G168,IF(F1594="Especial",'Pokémon'!I168,""))</x:f>
        <x:v>50</x:v>
      </x:c>
      <x:c r="I1594" s="10" t="n">
        <x:f>IF(OR(F1594="Status",G1594=0),"",G1594+H1594)</x:f>
        <x:v>85</x:v>
      </x:c>
      <x:c r="J1594" s="10" t="n">
        <x:v>9</x:v>
      </x:c>
      <x:c r="K1594" s="12" t="n">
        <x:v>10</x:v>
      </x:c>
      <x:c r="L1594" s="1" t="str"/>
      <x:c r="M1594" s="9" t="str">
        <x:v>https://poke.idleworld.online/pokepedia/pokemon/noctowl</x:v>
      </x:c>
    </x:row>
    <x:row r="1595" ht="22" customHeight="1">
      <x:c r="A1595" s="1" t="n">
        <x:v>165</x:v>
      </x:c>
      <x:c r="B1595" s="1" t="str">
        <x:v>Ledyba</x:v>
      </x:c>
      <x:c r="C1595" s="1" t="n">
        <x:v>6</x:v>
      </x:c>
      <x:c r="D1595" s="1" t="str">
        <x:v>Double-Edge</x:v>
      </x:c>
      <x:c r="E1595" s="1" t="str">
        <x:v>Normal</x:v>
      </x:c>
      <x:c r="F1595" s="1" t="str">
        <x:v>Física</x:v>
      </x:c>
      <x:c r="G1595" s="10" t="n">
        <x:v>120</x:v>
      </x:c>
      <x:c r="H1595" s="10" t="n">
        <x:f>IF(F1595="Física",'Pokémon'!G169,IF(F1595="Especial",'Pokémon'!I169,""))</x:f>
        <x:v>20</x:v>
      </x:c>
      <x:c r="I1595" s="10" t="n">
        <x:f>IF(OR(F1595="Status",G1595=0),"",G1595+H1595)</x:f>
        <x:v>140</x:v>
      </x:c>
      <x:c r="J1595" s="10" t="n">
        <x:v>38</x:v>
      </x:c>
      <x:c r="K1595" s="12" t="n">
        <x:v>3</x:v>
      </x:c>
      <x:c r="L1595" s="1" t="str"/>
      <x:c r="M1595" s="9" t="str">
        <x:v>https://poke.idleworld.online/pokepedia/pokemon/ledyba</x:v>
      </x:c>
    </x:row>
    <x:row r="1596" ht="22" customHeight="1">
      <x:c r="A1596" s="1" t="n">
        <x:v>165</x:v>
      </x:c>
      <x:c r="B1596" s="1" t="str">
        <x:v>Ledyba</x:v>
      </x:c>
      <x:c r="C1596" s="1" t="n">
        <x:v>7</x:v>
      </x:c>
      <x:c r="D1596" s="1" t="str">
        <x:v>Bug Buzz</x:v>
      </x:c>
      <x:c r="E1596" s="1" t="str">
        <x:v>Inseto</x:v>
      </x:c>
      <x:c r="F1596" s="1" t="str">
        <x:v>Especial</x:v>
      </x:c>
      <x:c r="G1596" s="10" t="n">
        <x:v>90</x:v>
      </x:c>
      <x:c r="H1596" s="10" t="n">
        <x:f>IF(F1596="Física",'Pokémon'!G169,IF(F1596="Especial",'Pokémon'!I169,""))</x:f>
        <x:v>40</x:v>
      </x:c>
      <x:c r="I1596" s="10" t="n">
        <x:f>IF(OR(F1596="Status",G1596=0),"",G1596+H1596)</x:f>
        <x:v>130</x:v>
      </x:c>
      <x:c r="J1596" s="10" t="n">
        <x:v>41</x:v>
      </x:c>
      <x:c r="K1596" s="12" t="n">
        <x:v>22</x:v>
      </x:c>
      <x:c r="L1596" s="1" t="str"/>
      <x:c r="M1596" s="9" t="str">
        <x:v>https://poke.idleworld.online/pokepedia/pokemon/ledyba</x:v>
      </x:c>
    </x:row>
    <x:row r="1597" ht="22" customHeight="1">
      <x:c r="A1597" s="1" t="n">
        <x:v>165</x:v>
      </x:c>
      <x:c r="B1597" s="1" t="str">
        <x:v>Ledyba</x:v>
      </x:c>
      <x:c r="C1597" s="1" t="n">
        <x:v>4</x:v>
      </x:c>
      <x:c r="D1597" s="1" t="str">
        <x:v>Silver Wind</x:v>
      </x:c>
      <x:c r="E1597" s="1" t="str">
        <x:v>Inseto</x:v>
      </x:c>
      <x:c r="F1597" s="1" t="str">
        <x:v>Especial</x:v>
      </x:c>
      <x:c r="G1597" s="10" t="n">
        <x:v>60</x:v>
      </x:c>
      <x:c r="H1597" s="10" t="n">
        <x:f>IF(F1597="Física",'Pokémon'!G169,IF(F1597="Especial",'Pokémon'!I169,""))</x:f>
        <x:v>40</x:v>
      </x:c>
      <x:c r="I1597" s="10" t="n">
        <x:f>IF(OR(F1597="Status",G1597=0),"",G1597+H1597)</x:f>
        <x:v>100</x:v>
      </x:c>
      <x:c r="J1597" s="10" t="n">
        <x:v>25</x:v>
      </x:c>
      <x:c r="K1597" s="12" t="n">
        <x:v>20</x:v>
      </x:c>
      <x:c r="L1597" s="1" t="str"/>
      <x:c r="M1597" s="9" t="str">
        <x:v>https://poke.idleworld.online/pokepedia/pokemon/ledyba</x:v>
      </x:c>
    </x:row>
    <x:row r="1598" ht="22" customHeight="1">
      <x:c r="A1598" s="1" t="n">
        <x:v>165</x:v>
      </x:c>
      <x:c r="B1598" s="1" t="str">
        <x:v>Ledyba</x:v>
      </x:c>
      <x:c r="C1598" s="1" t="n">
        <x:v>5</x:v>
      </x:c>
      <x:c r="D1598" s="1" t="str">
        <x:v>Swift</x:v>
      </x:c>
      <x:c r="E1598" s="1" t="str">
        <x:v>Normal</x:v>
      </x:c>
      <x:c r="F1598" s="1" t="str">
        <x:v>Especial</x:v>
      </x:c>
      <x:c r="G1598" s="10" t="n">
        <x:v>60</x:v>
      </x:c>
      <x:c r="H1598" s="10" t="n">
        <x:f>IF(F1598="Física",'Pokémon'!G169,IF(F1598="Especial",'Pokémon'!I169,""))</x:f>
        <x:v>40</x:v>
      </x:c>
      <x:c r="I1598" s="10" t="n">
        <x:f>IF(OR(F1598="Status",G1598=0),"",G1598+H1598)</x:f>
        <x:v>100</x:v>
      </x:c>
      <x:c r="J1598" s="10" t="n">
        <x:v>33</x:v>
      </x:c>
      <x:c r="K1598" s="12" t="n">
        <x:v>20</x:v>
      </x:c>
      <x:c r="L1598" s="1" t="str"/>
      <x:c r="M1598" s="9" t="str">
        <x:v>https://poke.idleworld.online/pokepedia/pokemon/ledyba</x:v>
      </x:c>
    </x:row>
    <x:row r="1599" ht="22" customHeight="1">
      <x:c r="A1599" s="1" t="n">
        <x:v>165</x:v>
      </x:c>
      <x:c r="B1599" s="1" t="str">
        <x:v>Ledyba</x:v>
      </x:c>
      <x:c r="C1599" s="1" t="n">
        <x:v>1</x:v>
      </x:c>
      <x:c r="D1599" s="1" t="str">
        <x:v>Tackle</x:v>
      </x:c>
      <x:c r="E1599" s="1" t="str">
        <x:v>Normal</x:v>
      </x:c>
      <x:c r="F1599" s="1" t="str">
        <x:v>Física</x:v>
      </x:c>
      <x:c r="G1599" s="10" t="n">
        <x:v>50</x:v>
      </x:c>
      <x:c r="H1599" s="10" t="n">
        <x:f>IF(F1599="Física",'Pokémon'!G169,IF(F1599="Especial",'Pokémon'!I169,""))</x:f>
        <x:v>20</x:v>
      </x:c>
      <x:c r="I1599" s="10" t="n">
        <x:f>IF(OR(F1599="Status",G1599=0),"",G1599+H1599)</x:f>
        <x:v>70</x:v>
      </x:c>
      <x:c r="J1599" s="10" t="n">
        <x:v>1</x:v>
      </x:c>
      <x:c r="K1599" s="12" t="n">
        <x:v>15</x:v>
      </x:c>
      <x:c r="L1599" s="1" t="str"/>
      <x:c r="M1599" s="9" t="str">
        <x:v>https://poke.idleworld.online/pokepedia/pokemon/ledyba</x:v>
      </x:c>
    </x:row>
    <x:row r="1600" ht="22" customHeight="1">
      <x:c r="A1600" s="1" t="n">
        <x:v>165</x:v>
      </x:c>
      <x:c r="B1600" s="1" t="str">
        <x:v>Ledyba</x:v>
      </x:c>
      <x:c r="C1600" s="1" t="n">
        <x:v>3</x:v>
      </x:c>
      <x:c r="D1600" s="1" t="str">
        <x:v>Mach Punch</x:v>
      </x:c>
      <x:c r="E1600" s="1" t="str">
        <x:v>Lutador</x:v>
      </x:c>
      <x:c r="F1600" s="1" t="str">
        <x:v>Física</x:v>
      </x:c>
      <x:c r="G1600" s="10" t="n">
        <x:v>40</x:v>
      </x:c>
      <x:c r="H1600" s="10" t="n">
        <x:f>IF(F1600="Física",'Pokémon'!G169,IF(F1600="Especial",'Pokémon'!I169,""))</x:f>
        <x:v>20</x:v>
      </x:c>
      <x:c r="I1600" s="10" t="n">
        <x:f>IF(OR(F1600="Status",G1600=0),"",G1600+H1600)</x:f>
        <x:v>60</x:v>
      </x:c>
      <x:c r="J1600" s="10" t="n">
        <x:v>17</x:v>
      </x:c>
      <x:c r="K1600" s="12" t="n">
        <x:v>15</x:v>
      </x:c>
      <x:c r="L1600" s="1" t="str"/>
      <x:c r="M1600" s="9" t="str">
        <x:v>https://poke.idleworld.online/pokepedia/pokemon/ledyba</x:v>
      </x:c>
    </x:row>
    <x:row r="1601" ht="22" customHeight="1">
      <x:c r="A1601" s="1" t="n">
        <x:v>165</x:v>
      </x:c>
      <x:c r="B1601" s="1" t="str">
        <x:v>Ledyba</x:v>
      </x:c>
      <x:c r="C1601" s="1" t="n">
        <x:v>2</x:v>
      </x:c>
      <x:c r="D1601" s="1" t="str">
        <x:v>Comet Punch</x:v>
      </x:c>
      <x:c r="E1601" s="1" t="str">
        <x:v>Normal</x:v>
      </x:c>
      <x:c r="F1601" s="1" t="str">
        <x:v>Física</x:v>
      </x:c>
      <x:c r="G1601" s="10" t="n">
        <x:v>18</x:v>
      </x:c>
      <x:c r="H1601" s="10" t="n">
        <x:f>IF(F1601="Física",'Pokémon'!G169,IF(F1601="Especial",'Pokémon'!I169,""))</x:f>
        <x:v>20</x:v>
      </x:c>
      <x:c r="I1601" s="10" t="n">
        <x:f>IF(OR(F1601="Status",G1601=0),"",G1601+H1601)</x:f>
        <x:v>38</x:v>
      </x:c>
      <x:c r="J1601" s="10" t="n">
        <x:v>9</x:v>
      </x:c>
      <x:c r="K1601" s="12" t="n">
        <x:v>15</x:v>
      </x:c>
      <x:c r="L1601" s="1" t="str"/>
      <x:c r="M1601" s="9" t="str">
        <x:v>https://poke.idleworld.online/pokepedia/pokemon/ledyba</x:v>
      </x:c>
    </x:row>
    <x:row r="1602" ht="22" customHeight="1">
      <x:c r="A1602" s="1" t="n">
        <x:v>166</x:v>
      </x:c>
      <x:c r="B1602" s="1" t="str">
        <x:v>Ledian</x:v>
      </x:c>
      <x:c r="C1602" s="1" t="n">
        <x:v>2</x:v>
      </x:c>
      <x:c r="D1602" s="1" t="str">
        <x:v>Massive Hurricane</x:v>
      </x:c>
      <x:c r="E1602" s="1" t="str">
        <x:v>Voador</x:v>
      </x:c>
      <x:c r="F1602" s="1" t="str">
        <x:v>Física</x:v>
      </x:c>
      <x:c r="G1602" s="10" t="n">
        <x:v>300</x:v>
      </x:c>
      <x:c r="H1602" s="10" t="n">
        <x:f>IF(F1602="Física",'Pokémon'!G170,IF(F1602="Especial",'Pokémon'!I170,""))</x:f>
        <x:v>35</x:v>
      </x:c>
      <x:c r="I1602" s="10" t="n">
        <x:f>IF(OR(F1602="Status",G1602=0),"",G1602+H1602)</x:f>
        <x:v>335</x:v>
      </x:c>
      <x:c r="J1602" s="10" t="n">
        <x:v>1</x:v>
      </x:c>
      <x:c r="K1602" s="12" t="n">
        <x:v>10</x:v>
      </x:c>
      <x:c r="L1602" s="1" t="str">
        <x:v>Sim</x:v>
      </x:c>
      <x:c r="M1602" s="9" t="str">
        <x:v>https://poke.idleworld.online/pokepedia/pokemon/ledian</x:v>
      </x:c>
    </x:row>
    <x:row r="1603" ht="22" customHeight="1">
      <x:c r="A1603" s="1" t="n">
        <x:v>166</x:v>
      </x:c>
      <x:c r="B1603" s="1" t="str">
        <x:v>Ledian</x:v>
      </x:c>
      <x:c r="C1603" s="1" t="n">
        <x:v>3</x:v>
      </x:c>
      <x:c r="D1603" s="1" t="str">
        <x:v>Hive Crush</x:v>
      </x:c>
      <x:c r="E1603" s="1" t="str">
        <x:v>Inseto</x:v>
      </x:c>
      <x:c r="F1603" s="1" t="str">
        <x:v>Física</x:v>
      </x:c>
      <x:c r="G1603" s="10" t="n">
        <x:v>300</x:v>
      </x:c>
      <x:c r="H1603" s="10" t="n">
        <x:f>IF(F1603="Física",'Pokémon'!G170,IF(F1603="Especial",'Pokémon'!I170,""))</x:f>
        <x:v>35</x:v>
      </x:c>
      <x:c r="I1603" s="10" t="n">
        <x:f>IF(OR(F1603="Status",G1603=0),"",G1603+H1603)</x:f>
        <x:v>335</x:v>
      </x:c>
      <x:c r="J1603" s="10" t="n">
        <x:v>1</x:v>
      </x:c>
      <x:c r="K1603" s="12" t="n">
        <x:v>10</x:v>
      </x:c>
      <x:c r="L1603" s="1" t="str">
        <x:v>Sim</x:v>
      </x:c>
      <x:c r="M1603" s="9" t="str">
        <x:v>https://poke.idleworld.online/pokepedia/pokemon/ledian</x:v>
      </x:c>
    </x:row>
    <x:row r="1604" ht="22" customHeight="1">
      <x:c r="A1604" s="1" t="n">
        <x:v>166</x:v>
      </x:c>
      <x:c r="B1604" s="1" t="str">
        <x:v>Ledian</x:v>
      </x:c>
      <x:c r="C1604" s="1" t="n">
        <x:v>8</x:v>
      </x:c>
      <x:c r="D1604" s="1" t="str">
        <x:v>Double-Edge</x:v>
      </x:c>
      <x:c r="E1604" s="1" t="str">
        <x:v>Normal</x:v>
      </x:c>
      <x:c r="F1604" s="1" t="str">
        <x:v>Física</x:v>
      </x:c>
      <x:c r="G1604" s="10" t="n">
        <x:v>120</x:v>
      </x:c>
      <x:c r="H1604" s="10" t="n">
        <x:f>IF(F1604="Física",'Pokémon'!G170,IF(F1604="Especial",'Pokémon'!I170,""))</x:f>
        <x:v>35</x:v>
      </x:c>
      <x:c r="I1604" s="10" t="n">
        <x:f>IF(OR(F1604="Status",G1604=0),"",G1604+H1604)</x:f>
        <x:v>155</x:v>
      </x:c>
      <x:c r="J1604" s="10" t="n">
        <x:v>48</x:v>
      </x:c>
      <x:c r="K1604" s="12" t="n">
        <x:v>3</x:v>
      </x:c>
      <x:c r="L1604" s="1" t="str"/>
      <x:c r="M1604" s="9" t="str">
        <x:v>https://poke.idleworld.online/pokepedia/pokemon/ledian</x:v>
      </x:c>
    </x:row>
    <x:row r="1605" ht="22" customHeight="1">
      <x:c r="A1605" s="1" t="n">
        <x:v>166</x:v>
      </x:c>
      <x:c r="B1605" s="1" t="str">
        <x:v>Ledian</x:v>
      </x:c>
      <x:c r="C1605" s="1" t="n">
        <x:v>9</x:v>
      </x:c>
      <x:c r="D1605" s="1" t="str">
        <x:v>Bug Buzz</x:v>
      </x:c>
      <x:c r="E1605" s="1" t="str">
        <x:v>Inseto</x:v>
      </x:c>
      <x:c r="F1605" s="1" t="str">
        <x:v>Especial</x:v>
      </x:c>
      <x:c r="G1605" s="10" t="n">
        <x:v>90</x:v>
      </x:c>
      <x:c r="H1605" s="10" t="n">
        <x:f>IF(F1605="Física",'Pokémon'!G170,IF(F1605="Especial",'Pokémon'!I170,""))</x:f>
        <x:v>55</x:v>
      </x:c>
      <x:c r="I1605" s="10" t="n">
        <x:f>IF(OR(F1605="Status",G1605=0),"",G1605+H1605)</x:f>
        <x:v>145</x:v>
      </x:c>
      <x:c r="J1605" s="10" t="n">
        <x:v>53</x:v>
      </x:c>
      <x:c r="K1605" s="12" t="n">
        <x:v>22</x:v>
      </x:c>
      <x:c r="L1605" s="1" t="str"/>
      <x:c r="M1605" s="9" t="str">
        <x:v>https://poke.idleworld.online/pokepedia/pokemon/ledian</x:v>
      </x:c>
    </x:row>
    <x:row r="1606" ht="22" customHeight="1">
      <x:c r="A1606" s="1" t="n">
        <x:v>166</x:v>
      </x:c>
      <x:c r="B1606" s="1" t="str">
        <x:v>Ledian</x:v>
      </x:c>
      <x:c r="C1606" s="1" t="n">
        <x:v>6</x:v>
      </x:c>
      <x:c r="D1606" s="1" t="str">
        <x:v>Silver Wind</x:v>
      </x:c>
      <x:c r="E1606" s="1" t="str">
        <x:v>Inseto</x:v>
      </x:c>
      <x:c r="F1606" s="1" t="str">
        <x:v>Especial</x:v>
      </x:c>
      <x:c r="G1606" s="10" t="n">
        <x:v>60</x:v>
      </x:c>
      <x:c r="H1606" s="10" t="n">
        <x:f>IF(F1606="Física",'Pokémon'!G170,IF(F1606="Especial",'Pokémon'!I170,""))</x:f>
        <x:v>55</x:v>
      </x:c>
      <x:c r="I1606" s="10" t="n">
        <x:f>IF(OR(F1606="Status",G1606=0),"",G1606+H1606)</x:f>
        <x:v>115</x:v>
      </x:c>
      <x:c r="J1606" s="10" t="n">
        <x:v>29</x:v>
      </x:c>
      <x:c r="K1606" s="12" t="n">
        <x:v>20</x:v>
      </x:c>
      <x:c r="L1606" s="1" t="str"/>
      <x:c r="M1606" s="9" t="str">
        <x:v>https://poke.idleworld.online/pokepedia/pokemon/ledian</x:v>
      </x:c>
    </x:row>
    <x:row r="1607" ht="22" customHeight="1">
      <x:c r="A1607" s="1" t="n">
        <x:v>166</x:v>
      </x:c>
      <x:c r="B1607" s="1" t="str">
        <x:v>Ledian</x:v>
      </x:c>
      <x:c r="C1607" s="1" t="n">
        <x:v>7</x:v>
      </x:c>
      <x:c r="D1607" s="1" t="str">
        <x:v>Swift</x:v>
      </x:c>
      <x:c r="E1607" s="1" t="str">
        <x:v>Normal</x:v>
      </x:c>
      <x:c r="F1607" s="1" t="str">
        <x:v>Especial</x:v>
      </x:c>
      <x:c r="G1607" s="10" t="n">
        <x:v>60</x:v>
      </x:c>
      <x:c r="H1607" s="10" t="n">
        <x:f>IF(F1607="Física",'Pokémon'!G170,IF(F1607="Especial",'Pokémon'!I170,""))</x:f>
        <x:v>55</x:v>
      </x:c>
      <x:c r="I1607" s="10" t="n">
        <x:f>IF(OR(F1607="Status",G1607=0),"",G1607+H1607)</x:f>
        <x:v>115</x:v>
      </x:c>
      <x:c r="J1607" s="10" t="n">
        <x:v>41</x:v>
      </x:c>
      <x:c r="K1607" s="12" t="n">
        <x:v>20</x:v>
      </x:c>
      <x:c r="L1607" s="1" t="str"/>
      <x:c r="M1607" s="9" t="str">
        <x:v>https://poke.idleworld.online/pokepedia/pokemon/ledian</x:v>
      </x:c>
    </x:row>
    <x:row r="1608" ht="22" customHeight="1">
      <x:c r="A1608" s="1" t="n">
        <x:v>166</x:v>
      </x:c>
      <x:c r="B1608" s="1" t="str">
        <x:v>Ledian</x:v>
      </x:c>
      <x:c r="C1608" s="1" t="n">
        <x:v>1</x:v>
      </x:c>
      <x:c r="D1608" s="1" t="str">
        <x:v>Tackle</x:v>
      </x:c>
      <x:c r="E1608" s="1" t="str">
        <x:v>Normal</x:v>
      </x:c>
      <x:c r="F1608" s="1" t="str">
        <x:v>Física</x:v>
      </x:c>
      <x:c r="G1608" s="10" t="n">
        <x:v>50</x:v>
      </x:c>
      <x:c r="H1608" s="10" t="n">
        <x:f>IF(F1608="Física",'Pokémon'!G170,IF(F1608="Especial",'Pokémon'!I170,""))</x:f>
        <x:v>35</x:v>
      </x:c>
      <x:c r="I1608" s="10" t="n">
        <x:f>IF(OR(F1608="Status",G1608=0),"",G1608+H1608)</x:f>
        <x:v>85</x:v>
      </x:c>
      <x:c r="J1608" s="10" t="n">
        <x:v>1</x:v>
      </x:c>
      <x:c r="K1608" s="12" t="n">
        <x:v>15</x:v>
      </x:c>
      <x:c r="L1608" s="1" t="str"/>
      <x:c r="M1608" s="9" t="str">
        <x:v>https://poke.idleworld.online/pokepedia/pokemon/ledian</x:v>
      </x:c>
    </x:row>
    <x:row r="1609" ht="22" customHeight="1">
      <x:c r="A1609" s="1" t="n">
        <x:v>166</x:v>
      </x:c>
      <x:c r="B1609" s="1" t="str">
        <x:v>Ledian</x:v>
      </x:c>
      <x:c r="C1609" s="1" t="n">
        <x:v>5</x:v>
      </x:c>
      <x:c r="D1609" s="1" t="str">
        <x:v>Mach Punch</x:v>
      </x:c>
      <x:c r="E1609" s="1" t="str">
        <x:v>Lutador</x:v>
      </x:c>
      <x:c r="F1609" s="1" t="str">
        <x:v>Física</x:v>
      </x:c>
      <x:c r="G1609" s="10" t="n">
        <x:v>40</x:v>
      </x:c>
      <x:c r="H1609" s="10" t="n">
        <x:f>IF(F1609="Física",'Pokémon'!G170,IF(F1609="Especial",'Pokémon'!I170,""))</x:f>
        <x:v>35</x:v>
      </x:c>
      <x:c r="I1609" s="10" t="n">
        <x:f>IF(OR(F1609="Status",G1609=0),"",G1609+H1609)</x:f>
        <x:v>75</x:v>
      </x:c>
      <x:c r="J1609" s="10" t="n">
        <x:v>17</x:v>
      </x:c>
      <x:c r="K1609" s="12" t="n">
        <x:v>15</x:v>
      </x:c>
      <x:c r="L1609" s="1" t="str"/>
      <x:c r="M1609" s="9" t="str">
        <x:v>https://poke.idleworld.online/pokepedia/pokemon/ledian</x:v>
      </x:c>
    </x:row>
    <x:row r="1610" ht="22" customHeight="1">
      <x:c r="A1610" s="1" t="n">
        <x:v>166</x:v>
      </x:c>
      <x:c r="B1610" s="1" t="str">
        <x:v>Ledian</x:v>
      </x:c>
      <x:c r="C1610" s="1" t="n">
        <x:v>4</x:v>
      </x:c>
      <x:c r="D1610" s="1" t="str">
        <x:v>Comet Punch</x:v>
      </x:c>
      <x:c r="E1610" s="1" t="str">
        <x:v>Normal</x:v>
      </x:c>
      <x:c r="F1610" s="1" t="str">
        <x:v>Física</x:v>
      </x:c>
      <x:c r="G1610" s="10" t="n">
        <x:v>18</x:v>
      </x:c>
      <x:c r="H1610" s="10" t="n">
        <x:f>IF(F1610="Física",'Pokémon'!G170,IF(F1610="Especial",'Pokémon'!I170,""))</x:f>
        <x:v>35</x:v>
      </x:c>
      <x:c r="I1610" s="10" t="n">
        <x:f>IF(OR(F1610="Status",G1610=0),"",G1610+H1610)</x:f>
        <x:v>53</x:v>
      </x:c>
      <x:c r="J1610" s="10" t="n">
        <x:v>1</x:v>
      </x:c>
      <x:c r="K1610" s="12" t="n">
        <x:v>15</x:v>
      </x:c>
      <x:c r="L1610" s="1" t="str"/>
      <x:c r="M1610" s="9" t="str">
        <x:v>https://poke.idleworld.online/pokepedia/pokemon/ledian</x:v>
      </x:c>
    </x:row>
    <x:row r="1611" ht="22" customHeight="1">
      <x:c r="A1611" s="1" t="n">
        <x:v>167</x:v>
      </x:c>
      <x:c r="B1611" s="1" t="str">
        <x:v>Spinarak</x:v>
      </x:c>
      <x:c r="C1611" s="1" t="n">
        <x:v>6</x:v>
      </x:c>
      <x:c r="D1611" s="1" t="str">
        <x:v>Sucker Punch</x:v>
      </x:c>
      <x:c r="E1611" s="1" t="str">
        <x:v>Sombrio</x:v>
      </x:c>
      <x:c r="F1611" s="1" t="str">
        <x:v>Física</x:v>
      </x:c>
      <x:c r="G1611" s="10" t="n">
        <x:v>80</x:v>
      </x:c>
      <x:c r="H1611" s="10" t="n">
        <x:f>IF(F1611="Física",'Pokémon'!G171,IF(F1611="Especial",'Pokémon'!I171,""))</x:f>
        <x:v>60</x:v>
      </x:c>
      <x:c r="I1611" s="10" t="n">
        <x:f>IF(OR(F1611="Status",G1611=0),"",G1611+H1611)</x:f>
        <x:v>140</x:v>
      </x:c>
      <x:c r="J1611" s="10" t="n">
        <x:v>26</x:v>
      </x:c>
      <x:c r="K1611" s="12" t="n">
        <x:v>22</x:v>
      </x:c>
      <x:c r="L1611" s="1" t="str"/>
      <x:c r="M1611" s="9" t="str">
        <x:v>https://poke.idleworld.online/pokepedia/pokemon/spinarak</x:v>
      </x:c>
    </x:row>
    <x:row r="1612" ht="22" customHeight="1">
      <x:c r="A1612" s="1" t="n">
        <x:v>167</x:v>
      </x:c>
      <x:c r="B1612" s="1" t="str">
        <x:v>Spinarak</x:v>
      </x:c>
      <x:c r="C1612" s="1" t="n">
        <x:v>9</x:v>
      </x:c>
      <x:c r="D1612" s="1" t="str">
        <x:v>Poison Jab</x:v>
      </x:c>
      <x:c r="E1612" s="1" t="str">
        <x:v>Venenoso</x:v>
      </x:c>
      <x:c r="F1612" s="1" t="str">
        <x:v>Física</x:v>
      </x:c>
      <x:c r="G1612" s="10" t="n">
        <x:v>80</x:v>
      </x:c>
      <x:c r="H1612" s="10" t="n">
        <x:f>IF(F1612="Física",'Pokémon'!G171,IF(F1612="Especial",'Pokémon'!I171,""))</x:f>
        <x:v>60</x:v>
      </x:c>
      <x:c r="I1612" s="10" t="n">
        <x:f>IF(OR(F1612="Status",G1612=0),"",G1612+H1612)</x:f>
        <x:v>140</x:v>
      </x:c>
      <x:c r="J1612" s="10" t="n">
        <x:v>43</x:v>
      </x:c>
      <x:c r="K1612" s="12" t="n">
        <x:v>22</x:v>
      </x:c>
      <x:c r="L1612" s="1" t="str"/>
      <x:c r="M1612" s="9" t="str">
        <x:v>https://poke.idleworld.online/pokepedia/pokemon/spinarak</x:v>
      </x:c>
    </x:row>
    <x:row r="1613" ht="22" customHeight="1">
      <x:c r="A1613" s="1" t="n">
        <x:v>167</x:v>
      </x:c>
      <x:c r="B1613" s="1" t="str">
        <x:v>Spinarak</x:v>
      </x:c>
      <x:c r="C1613" s="1" t="n">
        <x:v>8</x:v>
      </x:c>
      <x:c r="D1613" s="1" t="str">
        <x:v>Psychic</x:v>
      </x:c>
      <x:c r="E1613" s="1" t="str">
        <x:v>Psíquico</x:v>
      </x:c>
      <x:c r="F1613" s="1" t="str">
        <x:v>Especial</x:v>
      </x:c>
      <x:c r="G1613" s="10" t="n">
        <x:v>90</x:v>
      </x:c>
      <x:c r="H1613" s="10" t="n">
        <x:f>IF(F1613="Física",'Pokémon'!G171,IF(F1613="Especial",'Pokémon'!I171,""))</x:f>
        <x:v>40</x:v>
      </x:c>
      <x:c r="I1613" s="10" t="n">
        <x:f>IF(OR(F1613="Status",G1613=0),"",G1613+H1613)</x:f>
        <x:v>130</x:v>
      </x:c>
      <x:c r="J1613" s="10" t="n">
        <x:v>40</x:v>
      </x:c>
      <x:c r="K1613" s="12" t="n">
        <x:v>22</x:v>
      </x:c>
      <x:c r="L1613" s="1" t="str"/>
      <x:c r="M1613" s="9" t="str">
        <x:v>https://poke.idleworld.online/pokepedia/pokemon/spinarak</x:v>
      </x:c>
    </x:row>
    <x:row r="1614" ht="22" customHeight="1">
      <x:c r="A1614" s="1" t="n">
        <x:v>167</x:v>
      </x:c>
      <x:c r="B1614" s="1" t="str">
        <x:v>Spinarak</x:v>
      </x:c>
      <x:c r="C1614" s="1" t="n">
        <x:v>10</x:v>
      </x:c>
      <x:c r="D1614" s="1" t="str">
        <x:v>Cross Poison</x:v>
      </x:c>
      <x:c r="E1614" s="1" t="str">
        <x:v>Venenoso</x:v>
      </x:c>
      <x:c r="F1614" s="1" t="str">
        <x:v>Física</x:v>
      </x:c>
      <x:c r="G1614" s="10" t="n">
        <x:v>70</x:v>
      </x:c>
      <x:c r="H1614" s="10" t="n">
        <x:f>IF(F1614="Física",'Pokémon'!G171,IF(F1614="Especial",'Pokémon'!I171,""))</x:f>
        <x:v>60</x:v>
      </x:c>
      <x:c r="I1614" s="10" t="n">
        <x:f>IF(OR(F1614="Status",G1614=0),"",G1614+H1614)</x:f>
        <x:v>130</x:v>
      </x:c>
      <x:c r="J1614" s="10" t="n">
        <x:v>47</x:v>
      </x:c>
      <x:c r="K1614" s="12" t="n">
        <x:v>20</x:v>
      </x:c>
      <x:c r="L1614" s="1" t="str"/>
      <x:c r="M1614" s="9" t="str">
        <x:v>https://poke.idleworld.online/pokepedia/pokemon/spinarak</x:v>
      </x:c>
    </x:row>
    <x:row r="1615" ht="22" customHeight="1">
      <x:c r="A1615" s="1" t="n">
        <x:v>167</x:v>
      </x:c>
      <x:c r="B1615" s="1" t="str">
        <x:v>Spinarak</x:v>
      </x:c>
      <x:c r="C1615" s="1" t="n">
        <x:v>4</x:v>
      </x:c>
      <x:c r="D1615" s="1" t="str">
        <x:v>Shadow Sneak</x:v>
      </x:c>
      <x:c r="E1615" s="1" t="str">
        <x:v>Fantasma</x:v>
      </x:c>
      <x:c r="F1615" s="1" t="str">
        <x:v>Física</x:v>
      </x:c>
      <x:c r="G1615" s="10" t="n">
        <x:v>40</x:v>
      </x:c>
      <x:c r="H1615" s="10" t="n">
        <x:f>IF(F1615="Física",'Pokémon'!G171,IF(F1615="Especial",'Pokémon'!I171,""))</x:f>
        <x:v>60</x:v>
      </x:c>
      <x:c r="I1615" s="10" t="n">
        <x:f>IF(OR(F1615="Status",G1615=0),"",G1615+H1615)</x:f>
        <x:v>100</x:v>
      </x:c>
      <x:c r="J1615" s="10" t="n">
        <x:v>19</x:v>
      </x:c>
      <x:c r="K1615" s="12" t="n">
        <x:v>15</x:v>
      </x:c>
      <x:c r="L1615" s="1" t="str"/>
      <x:c r="M1615" s="9" t="str">
        <x:v>https://poke.idleworld.online/pokepedia/pokemon/spinarak</x:v>
      </x:c>
    </x:row>
    <x:row r="1616" ht="22" customHeight="1">
      <x:c r="A1616" s="1" t="n">
        <x:v>167</x:v>
      </x:c>
      <x:c r="B1616" s="1" t="str">
        <x:v>Spinarak</x:v>
      </x:c>
      <x:c r="C1616" s="1" t="n">
        <x:v>7</x:v>
      </x:c>
      <x:c r="D1616" s="1" t="str">
        <x:v>Pin Missile</x:v>
      </x:c>
      <x:c r="E1616" s="1" t="str">
        <x:v>Inseto</x:v>
      </x:c>
      <x:c r="F1616" s="1" t="str">
        <x:v>Física</x:v>
      </x:c>
      <x:c r="G1616" s="10" t="n">
        <x:v>25</x:v>
      </x:c>
      <x:c r="H1616" s="10" t="n">
        <x:f>IF(F1616="Física",'Pokémon'!G171,IF(F1616="Especial",'Pokémon'!I171,""))</x:f>
        <x:v>60</x:v>
      </x:c>
      <x:c r="I1616" s="10" t="n">
        <x:f>IF(OR(F1616="Status",G1616=0),"",G1616+H1616)</x:f>
        <x:v>85</x:v>
      </x:c>
      <x:c r="J1616" s="10" t="n">
        <x:v>36</x:v>
      </x:c>
      <x:c r="K1616" s="12" t="n">
        <x:v>15</x:v>
      </x:c>
      <x:c r="L1616" s="1" t="str"/>
      <x:c r="M1616" s="9" t="str">
        <x:v>https://poke.idleworld.online/pokepedia/pokemon/spinarak</x:v>
      </x:c>
    </x:row>
    <x:row r="1617" ht="22" customHeight="1">
      <x:c r="A1617" s="1" t="n">
        <x:v>167</x:v>
      </x:c>
      <x:c r="B1617" s="1" t="str">
        <x:v>Spinarak</x:v>
      </x:c>
      <x:c r="C1617" s="1" t="n">
        <x:v>3</x:v>
      </x:c>
      <x:c r="D1617" s="1" t="str">
        <x:v>Leech Life</x:v>
      </x:c>
      <x:c r="E1617" s="1" t="str">
        <x:v>Inseto</x:v>
      </x:c>
      <x:c r="F1617" s="1" t="str">
        <x:v>Física</x:v>
      </x:c>
      <x:c r="G1617" s="10" t="n">
        <x:v>20</x:v>
      </x:c>
      <x:c r="H1617" s="10" t="n">
        <x:f>IF(F1617="Física",'Pokémon'!G171,IF(F1617="Especial",'Pokémon'!I171,""))</x:f>
        <x:v>60</x:v>
      </x:c>
      <x:c r="I1617" s="10" t="n">
        <x:f>IF(OR(F1617="Status",G1617=0),"",G1617+H1617)</x:f>
        <x:v>80</x:v>
      </x:c>
      <x:c r="J1617" s="10" t="n">
        <x:v>12</x:v>
      </x:c>
      <x:c r="K1617" s="12" t="n">
        <x:v>15</x:v>
      </x:c>
      <x:c r="L1617" s="1" t="str"/>
      <x:c r="M1617" s="9" t="str">
        <x:v>https://poke.idleworld.online/pokepedia/pokemon/spinarak</x:v>
      </x:c>
    </x:row>
    <x:row r="1618" ht="22" customHeight="1">
      <x:c r="A1618" s="1" t="n">
        <x:v>167</x:v>
      </x:c>
      <x:c r="B1618" s="1" t="str">
        <x:v>Spinarak</x:v>
      </x:c>
      <x:c r="C1618" s="1" t="n">
        <x:v>5</x:v>
      </x:c>
      <x:c r="D1618" s="1" t="str">
        <x:v>Fury Swipes</x:v>
      </x:c>
      <x:c r="E1618" s="1" t="str">
        <x:v>Normal</x:v>
      </x:c>
      <x:c r="F1618" s="1" t="str">
        <x:v>Física</x:v>
      </x:c>
      <x:c r="G1618" s="10" t="n">
        <x:v>18</x:v>
      </x:c>
      <x:c r="H1618" s="10" t="n">
        <x:f>IF(F1618="Física",'Pokémon'!G171,IF(F1618="Especial",'Pokémon'!I171,""))</x:f>
        <x:v>60</x:v>
      </x:c>
      <x:c r="I1618" s="10" t="n">
        <x:f>IF(OR(F1618="Status",G1618=0),"",G1618+H1618)</x:f>
        <x:v>78</x:v>
      </x:c>
      <x:c r="J1618" s="10" t="n">
        <x:v>22</x:v>
      </x:c>
      <x:c r="K1618" s="12" t="n">
        <x:v>15</x:v>
      </x:c>
      <x:c r="L1618" s="1" t="str"/>
      <x:c r="M1618" s="9" t="str">
        <x:v>https://poke.idleworld.online/pokepedia/pokemon/spinarak</x:v>
      </x:c>
    </x:row>
    <x:row r="1619" ht="22" customHeight="1">
      <x:c r="A1619" s="1" t="n">
        <x:v>167</x:v>
      </x:c>
      <x:c r="B1619" s="1" t="str">
        <x:v>Spinarak</x:v>
      </x:c>
      <x:c r="C1619" s="1" t="n">
        <x:v>1</x:v>
      </x:c>
      <x:c r="D1619" s="1" t="str">
        <x:v>Poison Sting</x:v>
      </x:c>
      <x:c r="E1619" s="1" t="str">
        <x:v>Venenoso</x:v>
      </x:c>
      <x:c r="F1619" s="1" t="str">
        <x:v>Física</x:v>
      </x:c>
      <x:c r="G1619" s="10" t="n">
        <x:v>15</x:v>
      </x:c>
      <x:c r="H1619" s="10" t="n">
        <x:f>IF(F1619="Física",'Pokémon'!G171,IF(F1619="Especial",'Pokémon'!I171,""))</x:f>
        <x:v>60</x:v>
      </x:c>
      <x:c r="I1619" s="10" t="n">
        <x:f>IF(OR(F1619="Status",G1619=0),"",G1619+H1619)</x:f>
        <x:v>75</x:v>
      </x:c>
      <x:c r="J1619" s="10" t="n">
        <x:v>1</x:v>
      </x:c>
      <x:c r="K1619" s="12" t="n">
        <x:v>10</x:v>
      </x:c>
      <x:c r="L1619" s="1" t="str"/>
      <x:c r="M1619" s="9" t="str">
        <x:v>https://poke.idleworld.online/pokepedia/pokemon/spinarak</x:v>
      </x:c>
    </x:row>
    <x:row r="1620" ht="22" customHeight="1">
      <x:c r="A1620" s="1" t="n">
        <x:v>167</x:v>
      </x:c>
      <x:c r="B1620" s="1" t="str">
        <x:v>Spinarak</x:v>
      </x:c>
      <x:c r="C1620" s="1" t="n">
        <x:v>2</x:v>
      </x:c>
      <x:c r="D1620" s="1" t="str">
        <x:v>Constrict</x:v>
      </x:c>
      <x:c r="E1620" s="1" t="str">
        <x:v>Normal</x:v>
      </x:c>
      <x:c r="F1620" s="1" t="str">
        <x:v>Física</x:v>
      </x:c>
      <x:c r="G1620" s="10" t="n">
        <x:v>10</x:v>
      </x:c>
      <x:c r="H1620" s="10" t="n">
        <x:f>IF(F1620="Física",'Pokémon'!G171,IF(F1620="Especial",'Pokémon'!I171,""))</x:f>
        <x:v>60</x:v>
      </x:c>
      <x:c r="I1620" s="10" t="n">
        <x:f>IF(OR(F1620="Status",G1620=0),"",G1620+H1620)</x:f>
        <x:v>70</x:v>
      </x:c>
      <x:c r="J1620" s="10" t="n">
        <x:v>8</x:v>
      </x:c>
      <x:c r="K1620" s="12" t="n">
        <x:v>15</x:v>
      </x:c>
      <x:c r="L1620" s="1" t="str"/>
      <x:c r="M1620" s="9" t="str">
        <x:v>https://poke.idleworld.online/pokepedia/pokemon/spinarak</x:v>
      </x:c>
    </x:row>
    <x:row r="1621" ht="22" customHeight="1">
      <x:c r="A1621" s="1" t="n">
        <x:v>168</x:v>
      </x:c>
      <x:c r="B1621" s="1" t="str">
        <x:v>Ariados</x:v>
      </x:c>
      <x:c r="C1621" s="1" t="n">
        <x:v>2</x:v>
      </x:c>
      <x:c r="D1621" s="1" t="str">
        <x:v>Hive Crush</x:v>
      </x:c>
      <x:c r="E1621" s="1" t="str">
        <x:v>Inseto</x:v>
      </x:c>
      <x:c r="F1621" s="1" t="str">
        <x:v>Física</x:v>
      </x:c>
      <x:c r="G1621" s="10" t="n">
        <x:v>300</x:v>
      </x:c>
      <x:c r="H1621" s="10" t="n">
        <x:f>IF(F1621="Física",'Pokémon'!G172,IF(F1621="Especial",'Pokémon'!I172,""))</x:f>
        <x:v>90</x:v>
      </x:c>
      <x:c r="I1621" s="10" t="n">
        <x:f>IF(OR(F1621="Status",G1621=0),"",G1621+H1621)</x:f>
        <x:v>390</x:v>
      </x:c>
      <x:c r="J1621" s="10" t="n">
        <x:v>1</x:v>
      </x:c>
      <x:c r="K1621" s="12" t="n">
        <x:v>10</x:v>
      </x:c>
      <x:c r="L1621" s="1" t="str">
        <x:v>Sim</x:v>
      </x:c>
      <x:c r="M1621" s="9" t="str">
        <x:v>https://poke.idleworld.online/pokepedia/pokemon/ariados</x:v>
      </x:c>
    </x:row>
    <x:row r="1622" ht="22" customHeight="1">
      <x:c r="A1622" s="1" t="n">
        <x:v>168</x:v>
      </x:c>
      <x:c r="B1622" s="1" t="str">
        <x:v>Ariados</x:v>
      </x:c>
      <x:c r="C1622" s="1" t="n">
        <x:v>9</x:v>
      </x:c>
      <x:c r="D1622" s="1" t="str">
        <x:v>Sucker Punch</x:v>
      </x:c>
      <x:c r="E1622" s="1" t="str">
        <x:v>Sombrio</x:v>
      </x:c>
      <x:c r="F1622" s="1" t="str">
        <x:v>Física</x:v>
      </x:c>
      <x:c r="G1622" s="10" t="n">
        <x:v>80</x:v>
      </x:c>
      <x:c r="H1622" s="10" t="n">
        <x:f>IF(F1622="Física",'Pokémon'!G172,IF(F1622="Especial",'Pokémon'!I172,""))</x:f>
        <x:v>90</x:v>
      </x:c>
      <x:c r="I1622" s="10" t="n">
        <x:f>IF(OR(F1622="Status",G1622=0),"",G1622+H1622)</x:f>
        <x:v>170</x:v>
      </x:c>
      <x:c r="J1622" s="10" t="n">
        <x:v>28</x:v>
      </x:c>
      <x:c r="K1622" s="12" t="n">
        <x:v>22</x:v>
      </x:c>
      <x:c r="L1622" s="1" t="str"/>
      <x:c r="M1622" s="9" t="str">
        <x:v>https://poke.idleworld.online/pokepedia/pokemon/ariados</x:v>
      </x:c>
    </x:row>
    <x:row r="1623" ht="22" customHeight="1">
      <x:c r="A1623" s="1" t="n">
        <x:v>168</x:v>
      </x:c>
      <x:c r="B1623" s="1" t="str">
        <x:v>Ariados</x:v>
      </x:c>
      <x:c r="C1623" s="1" t="n">
        <x:v>12</x:v>
      </x:c>
      <x:c r="D1623" s="1" t="str">
        <x:v>Poison Jab</x:v>
      </x:c>
      <x:c r="E1623" s="1" t="str">
        <x:v>Venenoso</x:v>
      </x:c>
      <x:c r="F1623" s="1" t="str">
        <x:v>Física</x:v>
      </x:c>
      <x:c r="G1623" s="10" t="n">
        <x:v>80</x:v>
      </x:c>
      <x:c r="H1623" s="10" t="n">
        <x:f>IF(F1623="Física",'Pokémon'!G172,IF(F1623="Especial",'Pokémon'!I172,""))</x:f>
        <x:v>90</x:v>
      </x:c>
      <x:c r="I1623" s="10" t="n">
        <x:f>IF(OR(F1623="Status",G1623=0),"",G1623+H1623)</x:f>
        <x:v>170</x:v>
      </x:c>
      <x:c r="J1623" s="10" t="n">
        <x:v>50</x:v>
      </x:c>
      <x:c r="K1623" s="12" t="n">
        <x:v>22</x:v>
      </x:c>
      <x:c r="L1623" s="1" t="str"/>
      <x:c r="M1623" s="9" t="str">
        <x:v>https://poke.idleworld.online/pokepedia/pokemon/ariados</x:v>
      </x:c>
    </x:row>
    <x:row r="1624" ht="22" customHeight="1">
      <x:c r="A1624" s="1" t="n">
        <x:v>168</x:v>
      </x:c>
      <x:c r="B1624" s="1" t="str">
        <x:v>Ariados</x:v>
      </x:c>
      <x:c r="C1624" s="1" t="n">
        <x:v>13</x:v>
      </x:c>
      <x:c r="D1624" s="1" t="str">
        <x:v>Cross Poison</x:v>
      </x:c>
      <x:c r="E1624" s="1" t="str">
        <x:v>Venenoso</x:v>
      </x:c>
      <x:c r="F1624" s="1" t="str">
        <x:v>Física</x:v>
      </x:c>
      <x:c r="G1624" s="10" t="n">
        <x:v>70</x:v>
      </x:c>
      <x:c r="H1624" s="10" t="n">
        <x:f>IF(F1624="Física",'Pokémon'!G172,IF(F1624="Especial",'Pokémon'!I172,""))</x:f>
        <x:v>90</x:v>
      </x:c>
      <x:c r="I1624" s="10" t="n">
        <x:f>IF(OR(F1624="Status",G1624=0),"",G1624+H1624)</x:f>
        <x:v>160</x:v>
      </x:c>
      <x:c r="J1624" s="10" t="n">
        <x:v>55</x:v>
      </x:c>
      <x:c r="K1624" s="12" t="n">
        <x:v>20</x:v>
      </x:c>
      <x:c r="L1624" s="1" t="str"/>
      <x:c r="M1624" s="9" t="str">
        <x:v>https://poke.idleworld.online/pokepedia/pokemon/ariados</x:v>
      </x:c>
    </x:row>
    <x:row r="1625" ht="22" customHeight="1">
      <x:c r="A1625" s="1" t="n">
        <x:v>168</x:v>
      </x:c>
      <x:c r="B1625" s="1" t="str">
        <x:v>Ariados</x:v>
      </x:c>
      <x:c r="C1625" s="1" t="n">
        <x:v>11</x:v>
      </x:c>
      <x:c r="D1625" s="1" t="str">
        <x:v>Psychic</x:v>
      </x:c>
      <x:c r="E1625" s="1" t="str">
        <x:v>Psíquico</x:v>
      </x:c>
      <x:c r="F1625" s="1" t="str">
        <x:v>Especial</x:v>
      </x:c>
      <x:c r="G1625" s="10" t="n">
        <x:v>90</x:v>
      </x:c>
      <x:c r="H1625" s="10" t="n">
        <x:f>IF(F1625="Física",'Pokémon'!G172,IF(F1625="Especial",'Pokémon'!I172,""))</x:f>
        <x:v>60</x:v>
      </x:c>
      <x:c r="I1625" s="10" t="n">
        <x:f>IF(OR(F1625="Status",G1625=0),"",G1625+H1625)</x:f>
        <x:v>150</x:v>
      </x:c>
      <x:c r="J1625" s="10" t="n">
        <x:v>46</x:v>
      </x:c>
      <x:c r="K1625" s="12" t="n">
        <x:v>22</x:v>
      </x:c>
      <x:c r="L1625" s="1" t="str"/>
      <x:c r="M1625" s="9" t="str">
        <x:v>https://poke.idleworld.online/pokepedia/pokemon/ariados</x:v>
      </x:c>
    </x:row>
    <x:row r="1626" ht="22" customHeight="1">
      <x:c r="A1626" s="1" t="n">
        <x:v>168</x:v>
      </x:c>
      <x:c r="B1626" s="1" t="str">
        <x:v>Ariados</x:v>
      </x:c>
      <x:c r="C1626" s="1" t="n">
        <x:v>5</x:v>
      </x:c>
      <x:c r="D1626" s="1" t="str">
        <x:v>Bug Bite</x:v>
      </x:c>
      <x:c r="E1626" s="1" t="str">
        <x:v>Inseto</x:v>
      </x:c>
      <x:c r="F1626" s="1" t="str">
        <x:v>Física</x:v>
      </x:c>
      <x:c r="G1626" s="10" t="n">
        <x:v>60</x:v>
      </x:c>
      <x:c r="H1626" s="10" t="n">
        <x:f>IF(F1626="Física",'Pokémon'!G172,IF(F1626="Especial",'Pokémon'!I172,""))</x:f>
        <x:v>90</x:v>
      </x:c>
      <x:c r="I1626" s="10" t="n">
        <x:f>IF(OR(F1626="Status",G1626=0),"",G1626+H1626)</x:f>
        <x:v>150</x:v>
      </x:c>
      <x:c r="J1626" s="10" t="n">
        <x:v>1</x:v>
      </x:c>
      <x:c r="K1626" s="12" t="n">
        <x:v>20</x:v>
      </x:c>
      <x:c r="L1626" s="1" t="str"/>
      <x:c r="M1626" s="9" t="str">
        <x:v>https://poke.idleworld.online/pokepedia/pokemon/ariados</x:v>
      </x:c>
    </x:row>
    <x:row r="1627" ht="22" customHeight="1">
      <x:c r="A1627" s="1" t="n">
        <x:v>168</x:v>
      </x:c>
      <x:c r="B1627" s="1" t="str">
        <x:v>Ariados</x:v>
      </x:c>
      <x:c r="C1627" s="1" t="n">
        <x:v>7</x:v>
      </x:c>
      <x:c r="D1627" s="1" t="str">
        <x:v>Shadow Sneak</x:v>
      </x:c>
      <x:c r="E1627" s="1" t="str">
        <x:v>Fantasma</x:v>
      </x:c>
      <x:c r="F1627" s="1" t="str">
        <x:v>Física</x:v>
      </x:c>
      <x:c r="G1627" s="10" t="n">
        <x:v>40</x:v>
      </x:c>
      <x:c r="H1627" s="10" t="n">
        <x:f>IF(F1627="Física",'Pokémon'!G172,IF(F1627="Especial",'Pokémon'!I172,""))</x:f>
        <x:v>90</x:v>
      </x:c>
      <x:c r="I1627" s="10" t="n">
        <x:f>IF(OR(F1627="Status",G1627=0),"",G1627+H1627)</x:f>
        <x:v>130</x:v>
      </x:c>
      <x:c r="J1627" s="10" t="n">
        <x:v>19</x:v>
      </x:c>
      <x:c r="K1627" s="12" t="n">
        <x:v>15</x:v>
      </x:c>
      <x:c r="L1627" s="1" t="str"/>
      <x:c r="M1627" s="9" t="str">
        <x:v>https://poke.idleworld.online/pokepedia/pokemon/ariados</x:v>
      </x:c>
    </x:row>
    <x:row r="1628" ht="22" customHeight="1">
      <x:c r="A1628" s="1" t="n">
        <x:v>168</x:v>
      </x:c>
      <x:c r="B1628" s="1" t="str">
        <x:v>Ariados</x:v>
      </x:c>
      <x:c r="C1628" s="1" t="n">
        <x:v>4</x:v>
      </x:c>
      <x:c r="D1628" s="1" t="str">
        <x:v>Fell Stinger</x:v>
      </x:c>
      <x:c r="E1628" s="1" t="str">
        <x:v>Inseto</x:v>
      </x:c>
      <x:c r="F1628" s="1" t="str">
        <x:v>Física</x:v>
      </x:c>
      <x:c r="G1628" s="10" t="n">
        <x:v>30</x:v>
      </x:c>
      <x:c r="H1628" s="10" t="n">
        <x:f>IF(F1628="Física",'Pokémon'!G172,IF(F1628="Especial",'Pokémon'!I172,""))</x:f>
        <x:v>90</x:v>
      </x:c>
      <x:c r="I1628" s="10" t="n">
        <x:f>IF(OR(F1628="Status",G1628=0),"",G1628+H1628)</x:f>
        <x:v>120</x:v>
      </x:c>
      <x:c r="J1628" s="10" t="n">
        <x:v>1</x:v>
      </x:c>
      <x:c r="K1628" s="12" t="n">
        <x:v>15</x:v>
      </x:c>
      <x:c r="L1628" s="1" t="str"/>
      <x:c r="M1628" s="9" t="str">
        <x:v>https://poke.idleworld.online/pokepedia/pokemon/ariados</x:v>
      </x:c>
    </x:row>
    <x:row r="1629" ht="22" customHeight="1">
      <x:c r="A1629" s="1" t="n">
        <x:v>168</x:v>
      </x:c>
      <x:c r="B1629" s="1" t="str">
        <x:v>Ariados</x:v>
      </x:c>
      <x:c r="C1629" s="1" t="n">
        <x:v>10</x:v>
      </x:c>
      <x:c r="D1629" s="1" t="str">
        <x:v>Pin Missile</x:v>
      </x:c>
      <x:c r="E1629" s="1" t="str">
        <x:v>Inseto</x:v>
      </x:c>
      <x:c r="F1629" s="1" t="str">
        <x:v>Física</x:v>
      </x:c>
      <x:c r="G1629" s="10" t="n">
        <x:v>25</x:v>
      </x:c>
      <x:c r="H1629" s="10" t="n">
        <x:f>IF(F1629="Física",'Pokémon'!G172,IF(F1629="Especial",'Pokémon'!I172,""))</x:f>
        <x:v>90</x:v>
      </x:c>
      <x:c r="I1629" s="10" t="n">
        <x:f>IF(OR(F1629="Status",G1629=0),"",G1629+H1629)</x:f>
        <x:v>115</x:v>
      </x:c>
      <x:c r="J1629" s="10" t="n">
        <x:v>41</x:v>
      </x:c>
      <x:c r="K1629" s="12" t="n">
        <x:v>15</x:v>
      </x:c>
      <x:c r="L1629" s="1" t="str"/>
      <x:c r="M1629" s="9" t="str">
        <x:v>https://poke.idleworld.online/pokepedia/pokemon/ariados</x:v>
      </x:c>
    </x:row>
    <x:row r="1630" ht="22" customHeight="1">
      <x:c r="A1630" s="1" t="n">
        <x:v>168</x:v>
      </x:c>
      <x:c r="B1630" s="1" t="str">
        <x:v>Ariados</x:v>
      </x:c>
      <x:c r="C1630" s="1" t="n">
        <x:v>6</x:v>
      </x:c>
      <x:c r="D1630" s="1" t="str">
        <x:v>Leech Life</x:v>
      </x:c>
      <x:c r="E1630" s="1" t="str">
        <x:v>Inseto</x:v>
      </x:c>
      <x:c r="F1630" s="1" t="str">
        <x:v>Física</x:v>
      </x:c>
      <x:c r="G1630" s="10" t="n">
        <x:v>20</x:v>
      </x:c>
      <x:c r="H1630" s="10" t="n">
        <x:f>IF(F1630="Física",'Pokémon'!G172,IF(F1630="Especial",'Pokémon'!I172,""))</x:f>
        <x:v>90</x:v>
      </x:c>
      <x:c r="I1630" s="10" t="n">
        <x:f>IF(OR(F1630="Status",G1630=0),"",G1630+H1630)</x:f>
        <x:v>110</x:v>
      </x:c>
      <x:c r="J1630" s="10" t="n">
        <x:v>12</x:v>
      </x:c>
      <x:c r="K1630" s="12" t="n">
        <x:v>15</x:v>
      </x:c>
      <x:c r="L1630" s="1" t="str"/>
      <x:c r="M1630" s="9" t="str">
        <x:v>https://poke.idleworld.online/pokepedia/pokemon/ariados</x:v>
      </x:c>
    </x:row>
    <x:row r="1631" ht="22" customHeight="1">
      <x:c r="A1631" s="1" t="n">
        <x:v>168</x:v>
      </x:c>
      <x:c r="B1631" s="1" t="str">
        <x:v>Ariados</x:v>
      </x:c>
      <x:c r="C1631" s="1" t="n">
        <x:v>8</x:v>
      </x:c>
      <x:c r="D1631" s="1" t="str">
        <x:v>Fury Swipes</x:v>
      </x:c>
      <x:c r="E1631" s="1" t="str">
        <x:v>Normal</x:v>
      </x:c>
      <x:c r="F1631" s="1" t="str">
        <x:v>Física</x:v>
      </x:c>
      <x:c r="G1631" s="10" t="n">
        <x:v>18</x:v>
      </x:c>
      <x:c r="H1631" s="10" t="n">
        <x:f>IF(F1631="Física",'Pokémon'!G172,IF(F1631="Especial",'Pokémon'!I172,""))</x:f>
        <x:v>90</x:v>
      </x:c>
      <x:c r="I1631" s="10" t="n">
        <x:f>IF(OR(F1631="Status",G1631=0),"",G1631+H1631)</x:f>
        <x:v>108</x:v>
      </x:c>
      <x:c r="J1631" s="10" t="n">
        <x:v>23</x:v>
      </x:c>
      <x:c r="K1631" s="12" t="n">
        <x:v>15</x:v>
      </x:c>
      <x:c r="L1631" s="1" t="str"/>
      <x:c r="M1631" s="9" t="str">
        <x:v>https://poke.idleworld.online/pokepedia/pokemon/ariados</x:v>
      </x:c>
    </x:row>
    <x:row r="1632" ht="22" customHeight="1">
      <x:c r="A1632" s="1" t="n">
        <x:v>168</x:v>
      </x:c>
      <x:c r="B1632" s="1" t="str">
        <x:v>Ariados</x:v>
      </x:c>
      <x:c r="C1632" s="1" t="n">
        <x:v>1</x:v>
      </x:c>
      <x:c r="D1632" s="1" t="str">
        <x:v>Poison Sting</x:v>
      </x:c>
      <x:c r="E1632" s="1" t="str">
        <x:v>Venenoso</x:v>
      </x:c>
      <x:c r="F1632" s="1" t="str">
        <x:v>Física</x:v>
      </x:c>
      <x:c r="G1632" s="10" t="n">
        <x:v>15</x:v>
      </x:c>
      <x:c r="H1632" s="10" t="n">
        <x:f>IF(F1632="Física",'Pokémon'!G172,IF(F1632="Especial",'Pokémon'!I172,""))</x:f>
        <x:v>90</x:v>
      </x:c>
      <x:c r="I1632" s="10" t="n">
        <x:f>IF(OR(F1632="Status",G1632=0),"",G1632+H1632)</x:f>
        <x:v>105</x:v>
      </x:c>
      <x:c r="J1632" s="10" t="n">
        <x:v>1</x:v>
      </x:c>
      <x:c r="K1632" s="12" t="n">
        <x:v>10</x:v>
      </x:c>
      <x:c r="L1632" s="1" t="str"/>
      <x:c r="M1632" s="9" t="str">
        <x:v>https://poke.idleworld.online/pokepedia/pokemon/ariados</x:v>
      </x:c>
    </x:row>
    <x:row r="1633" ht="22" customHeight="1">
      <x:c r="A1633" s="1" t="n">
        <x:v>168</x:v>
      </x:c>
      <x:c r="B1633" s="1" t="str">
        <x:v>Ariados</x:v>
      </x:c>
      <x:c r="C1633" s="1" t="n">
        <x:v>3</x:v>
      </x:c>
      <x:c r="D1633" s="1" t="str">
        <x:v>Constrict</x:v>
      </x:c>
      <x:c r="E1633" s="1" t="str">
        <x:v>Normal</x:v>
      </x:c>
      <x:c r="F1633" s="1" t="str">
        <x:v>Física</x:v>
      </x:c>
      <x:c r="G1633" s="10" t="n">
        <x:v>10</x:v>
      </x:c>
      <x:c r="H1633" s="10" t="n">
        <x:f>IF(F1633="Física",'Pokémon'!G172,IF(F1633="Especial",'Pokémon'!I172,""))</x:f>
        <x:v>90</x:v>
      </x:c>
      <x:c r="I1633" s="10" t="n">
        <x:f>IF(OR(F1633="Status",G1633=0),"",G1633+H1633)</x:f>
        <x:v>100</x:v>
      </x:c>
      <x:c r="J1633" s="10" t="n">
        <x:v>1</x:v>
      </x:c>
      <x:c r="K1633" s="12" t="n">
        <x:v>15</x:v>
      </x:c>
      <x:c r="L1633" s="1" t="str"/>
      <x:c r="M1633" s="9" t="str">
        <x:v>https://poke.idleworld.online/pokepedia/pokemon/ariados</x:v>
      </x:c>
    </x:row>
    <x:row r="1634" ht="22" customHeight="1">
      <x:c r="A1634" s="1" t="n">
        <x:v>169</x:v>
      </x:c>
      <x:c r="B1634" s="1" t="str">
        <x:v>Crobat</x:v>
      </x:c>
      <x:c r="C1634" s="1" t="n">
        <x:v>1</x:v>
      </x:c>
      <x:c r="D1634" s="1" t="str">
        <x:v>Toxic Deluge</x:v>
      </x:c>
      <x:c r="E1634" s="1" t="str">
        <x:v>Venenoso</x:v>
      </x:c>
      <x:c r="F1634" s="1" t="str">
        <x:v>Física</x:v>
      </x:c>
      <x:c r="G1634" s="10" t="n">
        <x:v>300</x:v>
      </x:c>
      <x:c r="H1634" s="10" t="n">
        <x:f>IF(F1634="Física",'Pokémon'!G173,IF(F1634="Especial",'Pokémon'!I173,""))</x:f>
        <x:v>90</x:v>
      </x:c>
      <x:c r="I1634" s="10" t="n">
        <x:f>IF(OR(F1634="Status",G1634=0),"",G1634+H1634)</x:f>
        <x:v>390</x:v>
      </x:c>
      <x:c r="J1634" s="10" t="n">
        <x:v>1</x:v>
      </x:c>
      <x:c r="K1634" s="12" t="n">
        <x:v>10</x:v>
      </x:c>
      <x:c r="L1634" s="1" t="str">
        <x:v>Sim</x:v>
      </x:c>
      <x:c r="M1634" s="9" t="str">
        <x:v>https://poke.idleworld.online/pokepedia/pokemon/crobat</x:v>
      </x:c>
    </x:row>
    <x:row r="1635" ht="22" customHeight="1">
      <x:c r="A1635" s="1" t="n">
        <x:v>169</x:v>
      </x:c>
      <x:c r="B1635" s="1" t="str">
        <x:v>Crobat</x:v>
      </x:c>
      <x:c r="C1635" s="1" t="n">
        <x:v>2</x:v>
      </x:c>
      <x:c r="D1635" s="1" t="str">
        <x:v>Massive Hurricane</x:v>
      </x:c>
      <x:c r="E1635" s="1" t="str">
        <x:v>Voador</x:v>
      </x:c>
      <x:c r="F1635" s="1" t="str">
        <x:v>Física</x:v>
      </x:c>
      <x:c r="G1635" s="10" t="n">
        <x:v>300</x:v>
      </x:c>
      <x:c r="H1635" s="10" t="n">
        <x:f>IF(F1635="Física",'Pokémon'!G173,IF(F1635="Especial",'Pokémon'!I173,""))</x:f>
        <x:v>90</x:v>
      </x:c>
      <x:c r="I1635" s="10" t="n">
        <x:f>IF(OR(F1635="Status",G1635=0),"",G1635+H1635)</x:f>
        <x:v>390</x:v>
      </x:c>
      <x:c r="J1635" s="10" t="n">
        <x:v>1</x:v>
      </x:c>
      <x:c r="K1635" s="12" t="n">
        <x:v>10</x:v>
      </x:c>
      <x:c r="L1635" s="1" t="str">
        <x:v>Sim</x:v>
      </x:c>
      <x:c r="M1635" s="9" t="str">
        <x:v>https://poke.idleworld.online/pokepedia/pokemon/crobat</x:v>
      </x:c>
    </x:row>
    <x:row r="1636" ht="22" customHeight="1">
      <x:c r="A1636" s="1" t="n">
        <x:v>169</x:v>
      </x:c>
      <x:c r="B1636" s="1" t="str">
        <x:v>Crobat</x:v>
      </x:c>
      <x:c r="C1636" s="1" t="n">
        <x:v>6</x:v>
      </x:c>
      <x:c r="D1636" s="1" t="str">
        <x:v>Cross Poison</x:v>
      </x:c>
      <x:c r="E1636" s="1" t="str">
        <x:v>Venenoso</x:v>
      </x:c>
      <x:c r="F1636" s="1" t="str">
        <x:v>Física</x:v>
      </x:c>
      <x:c r="G1636" s="10" t="n">
        <x:v>70</x:v>
      </x:c>
      <x:c r="H1636" s="10" t="n">
        <x:f>IF(F1636="Física",'Pokémon'!G173,IF(F1636="Especial",'Pokémon'!I173,""))</x:f>
        <x:v>90</x:v>
      </x:c>
      <x:c r="I1636" s="10" t="n">
        <x:f>IF(OR(F1636="Status",G1636=0),"",G1636+H1636)</x:f>
        <x:v>160</x:v>
      </x:c>
      <x:c r="J1636" s="10" t="n">
        <x:v>1</x:v>
      </x:c>
      <x:c r="K1636" s="12" t="n">
        <x:v>20</x:v>
      </x:c>
      <x:c r="L1636" s="1" t="str"/>
      <x:c r="M1636" s="9" t="str">
        <x:v>https://poke.idleworld.online/pokepedia/pokemon/crobat</x:v>
      </x:c>
    </x:row>
    <x:row r="1637" ht="22" customHeight="1">
      <x:c r="A1637" s="1" t="n">
        <x:v>169</x:v>
      </x:c>
      <x:c r="B1637" s="1" t="str">
        <x:v>Crobat</x:v>
      </x:c>
      <x:c r="C1637" s="1" t="n">
        <x:v>5</x:v>
      </x:c>
      <x:c r="D1637" s="1" t="str">
        <x:v>Bite</x:v>
      </x:c>
      <x:c r="E1637" s="1" t="str">
        <x:v>Sombrio</x:v>
      </x:c>
      <x:c r="F1637" s="1" t="str">
        <x:v>Física</x:v>
      </x:c>
      <x:c r="G1637" s="10" t="n">
        <x:v>60</x:v>
      </x:c>
      <x:c r="H1637" s="10" t="n">
        <x:f>IF(F1637="Física",'Pokémon'!G173,IF(F1637="Especial",'Pokémon'!I173,""))</x:f>
        <x:v>90</x:v>
      </x:c>
      <x:c r="I1637" s="10" t="n">
        <x:f>IF(OR(F1637="Status",G1637=0),"",G1637+H1637)</x:f>
        <x:v>150</x:v>
      </x:c>
      <x:c r="J1637" s="10" t="n">
        <x:v>1</x:v>
      </x:c>
      <x:c r="K1637" s="12" t="n">
        <x:v>20</x:v>
      </x:c>
      <x:c r="L1637" s="1" t="str"/>
      <x:c r="M1637" s="9" t="str">
        <x:v>https://poke.idleworld.online/pokepedia/pokemon/crobat</x:v>
      </x:c>
    </x:row>
    <x:row r="1638" ht="22" customHeight="1">
      <x:c r="A1638" s="1" t="n">
        <x:v>169</x:v>
      </x:c>
      <x:c r="B1638" s="1" t="str">
        <x:v>Crobat</x:v>
      </x:c>
      <x:c r="C1638" s="1" t="n">
        <x:v>7</x:v>
      </x:c>
      <x:c r="D1638" s="1" t="str">
        <x:v>Wing Attack</x:v>
      </x:c>
      <x:c r="E1638" s="1" t="str">
        <x:v>Voador</x:v>
      </x:c>
      <x:c r="F1638" s="1" t="str">
        <x:v>Física</x:v>
      </x:c>
      <x:c r="G1638" s="10" t="n">
        <x:v>60</x:v>
      </x:c>
      <x:c r="H1638" s="10" t="n">
        <x:f>IF(F1638="Física",'Pokémon'!G173,IF(F1638="Especial",'Pokémon'!I173,""))</x:f>
        <x:v>90</x:v>
      </x:c>
      <x:c r="I1638" s="10" t="n">
        <x:f>IF(OR(F1638="Status",G1638=0),"",G1638+H1638)</x:f>
        <x:v>150</x:v>
      </x:c>
      <x:c r="J1638" s="10" t="n">
        <x:v>13</x:v>
      </x:c>
      <x:c r="K1638" s="12" t="n">
        <x:v>20</x:v>
      </x:c>
      <x:c r="L1638" s="1" t="str"/>
      <x:c r="M1638" s="9" t="str">
        <x:v>https://poke.idleworld.online/pokepedia/pokemon/crobat</x:v>
      </x:c>
    </x:row>
    <x:row r="1639" ht="22" customHeight="1">
      <x:c r="A1639" s="1" t="n">
        <x:v>169</x:v>
      </x:c>
      <x:c r="B1639" s="1" t="str">
        <x:v>Crobat</x:v>
      </x:c>
      <x:c r="C1639" s="1" t="n">
        <x:v>13</x:v>
      </x:c>
      <x:c r="D1639" s="1" t="str">
        <x:v>Air Slash</x:v>
      </x:c>
      <x:c r="E1639" s="1" t="str">
        <x:v>Voador</x:v>
      </x:c>
      <x:c r="F1639" s="1" t="str">
        <x:v>Especial</x:v>
      </x:c>
      <x:c r="G1639" s="10" t="n">
        <x:v>75</x:v>
      </x:c>
      <x:c r="H1639" s="10" t="n">
        <x:f>IF(F1639="Física",'Pokémon'!G173,IF(F1639="Especial",'Pokémon'!I173,""))</x:f>
        <x:v>70</x:v>
      </x:c>
      <x:c r="I1639" s="10" t="n">
        <x:f>IF(OR(F1639="Status",G1639=0),"",G1639+H1639)</x:f>
        <x:v>145</x:v>
      </x:c>
      <x:c r="J1639" s="10" t="n">
        <x:v>48</x:v>
      </x:c>
      <x:c r="K1639" s="12" t="n">
        <x:v>22</x:v>
      </x:c>
      <x:c r="L1639" s="1" t="str"/>
      <x:c r="M1639" s="9" t="str">
        <x:v>https://poke.idleworld.online/pokepedia/pokemon/crobat</x:v>
      </x:c>
    </x:row>
    <x:row r="1640" ht="22" customHeight="1">
      <x:c r="A1640" s="1" t="n">
        <x:v>169</x:v>
      </x:c>
      <x:c r="B1640" s="1" t="str">
        <x:v>Crobat</x:v>
      </x:c>
      <x:c r="C1640" s="1" t="n">
        <x:v>11</x:v>
      </x:c>
      <x:c r="D1640" s="1" t="str">
        <x:v>Acrobatics</x:v>
      </x:c>
      <x:c r="E1640" s="1" t="str">
        <x:v>Voador</x:v>
      </x:c>
      <x:c r="F1640" s="1" t="str">
        <x:v>Física</x:v>
      </x:c>
      <x:c r="G1640" s="10" t="n">
        <x:v>55</x:v>
      </x:c>
      <x:c r="H1640" s="10" t="n">
        <x:f>IF(F1640="Física",'Pokémon'!G173,IF(F1640="Especial",'Pokémon'!I173,""))</x:f>
        <x:v>90</x:v>
      </x:c>
      <x:c r="I1640" s="10" t="n">
        <x:f>IF(OR(F1640="Status",G1640=0),"",G1640+H1640)</x:f>
        <x:v>145</x:v>
      </x:c>
      <x:c r="J1640" s="10" t="n">
        <x:v>35</x:v>
      </x:c>
      <x:c r="K1640" s="12" t="n">
        <x:v>20</x:v>
      </x:c>
      <x:c r="L1640" s="1" t="str"/>
      <x:c r="M1640" s="9" t="str">
        <x:v>https://poke.idleworld.online/pokepedia/pokemon/crobat</x:v>
      </x:c>
    </x:row>
    <x:row r="1641" ht="22" customHeight="1">
      <x:c r="A1641" s="1" t="n">
        <x:v>169</x:v>
      </x:c>
      <x:c r="B1641" s="1" t="str">
        <x:v>Crobat</x:v>
      </x:c>
      <x:c r="C1641" s="1" t="n">
        <x:v>10</x:v>
      </x:c>
      <x:c r="D1641" s="1" t="str">
        <x:v>Poison Fang</x:v>
      </x:c>
      <x:c r="E1641" s="1" t="str">
        <x:v>Venenoso</x:v>
      </x:c>
      <x:c r="F1641" s="1" t="str">
        <x:v>Física</x:v>
      </x:c>
      <x:c r="G1641" s="10" t="n">
        <x:v>50</x:v>
      </x:c>
      <x:c r="H1641" s="10" t="n">
        <x:f>IF(F1641="Física",'Pokémon'!G173,IF(F1641="Especial",'Pokémon'!I173,""))</x:f>
        <x:v>90</x:v>
      </x:c>
      <x:c r="I1641" s="10" t="n">
        <x:f>IF(OR(F1641="Status",G1641=0),"",G1641+H1641)</x:f>
        <x:v>140</x:v>
      </x:c>
      <x:c r="J1641" s="10" t="n">
        <x:v>27</x:v>
      </x:c>
      <x:c r="K1641" s="12" t="n">
        <x:v>15</x:v>
      </x:c>
      <x:c r="L1641" s="1" t="str"/>
      <x:c r="M1641" s="9" t="str">
        <x:v>https://poke.idleworld.online/pokepedia/pokemon/crobat</x:v>
      </x:c>
    </x:row>
    <x:row r="1642" ht="22" customHeight="1">
      <x:c r="A1642" s="1" t="n">
        <x:v>169</x:v>
      </x:c>
      <x:c r="B1642" s="1" t="str">
        <x:v>Crobat</x:v>
      </x:c>
      <x:c r="C1642" s="1" t="n">
        <x:v>12</x:v>
      </x:c>
      <x:c r="D1642" s="1" t="str">
        <x:v>Venoshock</x:v>
      </x:c>
      <x:c r="E1642" s="1" t="str">
        <x:v>Venenoso</x:v>
      </x:c>
      <x:c r="F1642" s="1" t="str">
        <x:v>Especial</x:v>
      </x:c>
      <x:c r="G1642" s="10" t="n">
        <x:v>65</x:v>
      </x:c>
      <x:c r="H1642" s="10" t="n">
        <x:f>IF(F1642="Física",'Pokémon'!G173,IF(F1642="Especial",'Pokémon'!I173,""))</x:f>
        <x:v>70</x:v>
      </x:c>
      <x:c r="I1642" s="10" t="n">
        <x:f>IF(OR(F1642="Status",G1642=0),"",G1642+H1642)</x:f>
        <x:v>135</x:v>
      </x:c>
      <x:c r="J1642" s="10" t="n">
        <x:v>43</x:v>
      </x:c>
      <x:c r="K1642" s="12" t="n">
        <x:v>20</x:v>
      </x:c>
      <x:c r="L1642" s="1" t="str"/>
      <x:c r="M1642" s="9" t="str">
        <x:v>https://poke.idleworld.online/pokepedia/pokemon/crobat</x:v>
      </x:c>
    </x:row>
    <x:row r="1643" ht="22" customHeight="1">
      <x:c r="A1643" s="1" t="n">
        <x:v>169</x:v>
      </x:c>
      <x:c r="B1643" s="1" t="str">
        <x:v>Crobat</x:v>
      </x:c>
      <x:c r="C1643" s="1" t="n">
        <x:v>8</x:v>
      </x:c>
      <x:c r="D1643" s="1" t="str">
        <x:v>Air Cutter</x:v>
      </x:c>
      <x:c r="E1643" s="1" t="str">
        <x:v>Voador</x:v>
      </x:c>
      <x:c r="F1643" s="1" t="str">
        <x:v>Especial</x:v>
      </x:c>
      <x:c r="G1643" s="10" t="n">
        <x:v>60</x:v>
      </x:c>
      <x:c r="H1643" s="10" t="n">
        <x:f>IF(F1643="Física",'Pokémon'!G173,IF(F1643="Especial",'Pokémon'!I173,""))</x:f>
        <x:v>70</x:v>
      </x:c>
      <x:c r="I1643" s="10" t="n">
        <x:f>IF(OR(F1643="Status",G1643=0),"",G1643+H1643)</x:f>
        <x:v>130</x:v>
      </x:c>
      <x:c r="J1643" s="10" t="n">
        <x:v>19</x:v>
      </x:c>
      <x:c r="K1643" s="12" t="n">
        <x:v>20</x:v>
      </x:c>
      <x:c r="L1643" s="1" t="str"/>
      <x:c r="M1643" s="9" t="str">
        <x:v>https://poke.idleworld.online/pokepedia/pokemon/crobat</x:v>
      </x:c>
    </x:row>
    <x:row r="1644" ht="22" customHeight="1">
      <x:c r="A1644" s="1" t="n">
        <x:v>169</x:v>
      </x:c>
      <x:c r="B1644" s="1" t="str">
        <x:v>Crobat</x:v>
      </x:c>
      <x:c r="C1644" s="1" t="n">
        <x:v>9</x:v>
      </x:c>
      <x:c r="D1644" s="1" t="str">
        <x:v>Swift</x:v>
      </x:c>
      <x:c r="E1644" s="1" t="str">
        <x:v>Normal</x:v>
      </x:c>
      <x:c r="F1644" s="1" t="str">
        <x:v>Especial</x:v>
      </x:c>
      <x:c r="G1644" s="10" t="n">
        <x:v>60</x:v>
      </x:c>
      <x:c r="H1644" s="10" t="n">
        <x:f>IF(F1644="Física",'Pokémon'!G173,IF(F1644="Especial",'Pokémon'!I173,""))</x:f>
        <x:v>70</x:v>
      </x:c>
      <x:c r="I1644" s="10" t="n">
        <x:f>IF(OR(F1644="Status",G1644=0),"",G1644+H1644)</x:f>
        <x:v>130</x:v>
      </x:c>
      <x:c r="J1644" s="10" t="n">
        <x:v>24</x:v>
      </x:c>
      <x:c r="K1644" s="12" t="n">
        <x:v>20</x:v>
      </x:c>
      <x:c r="L1644" s="1" t="str"/>
      <x:c r="M1644" s="9" t="str">
        <x:v>https://poke.idleworld.online/pokepedia/pokemon/crobat</x:v>
      </x:c>
    </x:row>
    <x:row r="1645" ht="22" customHeight="1">
      <x:c r="A1645" s="1" t="n">
        <x:v>169</x:v>
      </x:c>
      <x:c r="B1645" s="1" t="str">
        <x:v>Crobat</x:v>
      </x:c>
      <x:c r="C1645" s="1" t="n">
        <x:v>4</x:v>
      </x:c>
      <x:c r="D1645" s="1" t="str">
        <x:v>Astonish</x:v>
      </x:c>
      <x:c r="E1645" s="1" t="str">
        <x:v>Fantasma</x:v>
      </x:c>
      <x:c r="F1645" s="1" t="str">
        <x:v>Física</x:v>
      </x:c>
      <x:c r="G1645" s="10" t="n">
        <x:v>30</x:v>
      </x:c>
      <x:c r="H1645" s="10" t="n">
        <x:f>IF(F1645="Física",'Pokémon'!G173,IF(F1645="Especial",'Pokémon'!I173,""))</x:f>
        <x:v>90</x:v>
      </x:c>
      <x:c r="I1645" s="10" t="n">
        <x:f>IF(OR(F1645="Status",G1645=0),"",G1645+H1645)</x:f>
        <x:v>120</x:v>
      </x:c>
      <x:c r="J1645" s="10" t="n">
        <x:v>1</x:v>
      </x:c>
      <x:c r="K1645" s="12" t="n">
        <x:v>15</x:v>
      </x:c>
      <x:c r="L1645" s="1" t="str"/>
      <x:c r="M1645" s="9" t="str">
        <x:v>https://poke.idleworld.online/pokepedia/pokemon/crobat</x:v>
      </x:c>
    </x:row>
    <x:row r="1646" ht="22" customHeight="1">
      <x:c r="A1646" s="1" t="n">
        <x:v>169</x:v>
      </x:c>
      <x:c r="B1646" s="1" t="str">
        <x:v>Crobat</x:v>
      </x:c>
      <x:c r="C1646" s="1" t="n">
        <x:v>3</x:v>
      </x:c>
      <x:c r="D1646" s="1" t="str">
        <x:v>Leech Life</x:v>
      </x:c>
      <x:c r="E1646" s="1" t="str">
        <x:v>Inseto</x:v>
      </x:c>
      <x:c r="F1646" s="1" t="str">
        <x:v>Física</x:v>
      </x:c>
      <x:c r="G1646" s="10" t="n">
        <x:v>20</x:v>
      </x:c>
      <x:c r="H1646" s="10" t="n">
        <x:f>IF(F1646="Física",'Pokémon'!G173,IF(F1646="Especial",'Pokémon'!I173,""))</x:f>
        <x:v>90</x:v>
      </x:c>
      <x:c r="I1646" s="10" t="n">
        <x:f>IF(OR(F1646="Status",G1646=0),"",G1646+H1646)</x:f>
        <x:v>110</x:v>
      </x:c>
      <x:c r="J1646" s="10" t="n">
        <x:v>1</x:v>
      </x:c>
      <x:c r="K1646" s="12" t="n">
        <x:v>15</x:v>
      </x:c>
      <x:c r="L1646" s="1" t="str"/>
      <x:c r="M1646" s="9" t="str">
        <x:v>https://poke.idleworld.online/pokepedia/pokemon/crobat</x:v>
      </x:c>
    </x:row>
    <x:row r="1647" ht="22" customHeight="1">
      <x:c r="A1647" s="1" t="n">
        <x:v>170</x:v>
      </x:c>
      <x:c r="B1647" s="1" t="str">
        <x:v>Chinchou</x:v>
      </x:c>
      <x:c r="C1647" s="1" t="n">
        <x:v>8</x:v>
      </x:c>
      <x:c r="D1647" s="1" t="str">
        <x:v>Hydro Pump</x:v>
      </x:c>
      <x:c r="E1647" s="1" t="str">
        <x:v>Água</x:v>
      </x:c>
      <x:c r="F1647" s="1" t="str">
        <x:v>Especial</x:v>
      </x:c>
      <x:c r="G1647" s="10" t="n">
        <x:v>110</x:v>
      </x:c>
      <x:c r="H1647" s="10" t="n">
        <x:f>IF(F1647="Física",'Pokémon'!G174,IF(F1647="Especial",'Pokémon'!I174,""))</x:f>
        <x:v>56</x:v>
      </x:c>
      <x:c r="I1647" s="10" t="n">
        <x:f>IF(OR(F1647="Status",G1647=0),"",G1647+H1647)</x:f>
        <x:v>166</x:v>
      </x:c>
      <x:c r="J1647" s="10" t="n">
        <x:v>45</x:v>
      </x:c>
      <x:c r="K1647" s="12" t="n">
        <x:v>40</x:v>
      </x:c>
      <x:c r="L1647" s="1" t="str"/>
      <x:c r="M1647" s="9" t="str">
        <x:v>https://poke.idleworld.online/pokepedia/pokemon/chinchou</x:v>
      </x:c>
    </x:row>
    <x:row r="1648" ht="22" customHeight="1">
      <x:c r="A1648" s="1" t="n">
        <x:v>170</x:v>
      </x:c>
      <x:c r="B1648" s="1" t="str">
        <x:v>Chinchou</x:v>
      </x:c>
      <x:c r="C1648" s="1" t="n">
        <x:v>6</x:v>
      </x:c>
      <x:c r="D1648" s="1" t="str">
        <x:v>Discharge</x:v>
      </x:c>
      <x:c r="E1648" s="1" t="str">
        <x:v>Elétrico</x:v>
      </x:c>
      <x:c r="F1648" s="1" t="str">
        <x:v>Especial</x:v>
      </x:c>
      <x:c r="G1648" s="10" t="n">
        <x:v>80</x:v>
      </x:c>
      <x:c r="H1648" s="10" t="n">
        <x:f>IF(F1648="Física",'Pokémon'!G174,IF(F1648="Especial",'Pokémon'!I174,""))</x:f>
        <x:v>56</x:v>
      </x:c>
      <x:c r="I1648" s="10" t="n">
        <x:f>IF(OR(F1648="Status",G1648=0),"",G1648+H1648)</x:f>
        <x:v>136</x:v>
      </x:c>
      <x:c r="J1648" s="10" t="n">
        <x:v>34</x:v>
      </x:c>
      <x:c r="K1648" s="12" t="n">
        <x:v>22</x:v>
      </x:c>
      <x:c r="L1648" s="1" t="str"/>
      <x:c r="M1648" s="9" t="str">
        <x:v>https://poke.idleworld.online/pokepedia/pokemon/chinchou</x:v>
      </x:c>
    </x:row>
    <x:row r="1649" ht="22" customHeight="1">
      <x:c r="A1649" s="1" t="n">
        <x:v>170</x:v>
      </x:c>
      <x:c r="B1649" s="1" t="str">
        <x:v>Chinchou</x:v>
      </x:c>
      <x:c r="C1649" s="1" t="n">
        <x:v>5</x:v>
      </x:c>
      <x:c r="D1649" s="1" t="str">
        <x:v>Signal Beam</x:v>
      </x:c>
      <x:c r="E1649" s="1" t="str">
        <x:v>Inseto</x:v>
      </x:c>
      <x:c r="F1649" s="1" t="str">
        <x:v>Especial</x:v>
      </x:c>
      <x:c r="G1649" s="10" t="n">
        <x:v>75</x:v>
      </x:c>
      <x:c r="H1649" s="10" t="n">
        <x:f>IF(F1649="Física",'Pokémon'!G174,IF(F1649="Especial",'Pokémon'!I174,""))</x:f>
        <x:v>56</x:v>
      </x:c>
      <x:c r="I1649" s="10" t="n">
        <x:f>IF(OR(F1649="Status",G1649=0),"",G1649+H1649)</x:f>
        <x:v>131</x:v>
      </x:c>
      <x:c r="J1649" s="10" t="n">
        <x:v>28</x:v>
      </x:c>
      <x:c r="K1649" s="12" t="n">
        <x:v>22</x:v>
      </x:c>
      <x:c r="L1649" s="1" t="str"/>
      <x:c r="M1649" s="9" t="str">
        <x:v>https://poke.idleworld.online/pokepedia/pokemon/chinchou</x:v>
      </x:c>
    </x:row>
    <x:row r="1650" ht="22" customHeight="1">
      <x:c r="A1650" s="1" t="n">
        <x:v>170</x:v>
      </x:c>
      <x:c r="B1650" s="1" t="str">
        <x:v>Chinchou</x:v>
      </x:c>
      <x:c r="C1650" s="1" t="n">
        <x:v>7</x:v>
      </x:c>
      <x:c r="D1650" s="1" t="str">
        <x:v>Take Down</x:v>
      </x:c>
      <x:c r="E1650" s="1" t="str">
        <x:v>Normal</x:v>
      </x:c>
      <x:c r="F1650" s="1" t="str">
        <x:v>Física</x:v>
      </x:c>
      <x:c r="G1650" s="10" t="n">
        <x:v>90</x:v>
      </x:c>
      <x:c r="H1650" s="10" t="n">
        <x:f>IF(F1650="Física",'Pokémon'!G174,IF(F1650="Especial",'Pokémon'!I174,""))</x:f>
        <x:v>38</x:v>
      </x:c>
      <x:c r="I1650" s="10" t="n">
        <x:f>IF(OR(F1650="Status",G1650=0),"",G1650+H1650)</x:f>
        <x:v>128</x:v>
      </x:c>
      <x:c r="J1650" s="10" t="n">
        <x:v>39</x:v>
      </x:c>
      <x:c r="K1650" s="12" t="n">
        <x:v>22</x:v>
      </x:c>
      <x:c r="L1650" s="1" t="str"/>
      <x:c r="M1650" s="9" t="str">
        <x:v>https://poke.idleworld.online/pokepedia/pokemon/chinchou</x:v>
      </x:c>
    </x:row>
    <x:row r="1651" ht="22" customHeight="1">
      <x:c r="A1651" s="1" t="n">
        <x:v>170</x:v>
      </x:c>
      <x:c r="B1651" s="1" t="str">
        <x:v>Chinchou</x:v>
      </x:c>
      <x:c r="C1651" s="1" t="n">
        <x:v>3</x:v>
      </x:c>
      <x:c r="D1651" s="1" t="str">
        <x:v>Bubble Beam</x:v>
      </x:c>
      <x:c r="E1651" s="1" t="str">
        <x:v>Água</x:v>
      </x:c>
      <x:c r="F1651" s="1" t="str">
        <x:v>Especial</x:v>
      </x:c>
      <x:c r="G1651" s="10" t="n">
        <x:v>65</x:v>
      </x:c>
      <x:c r="H1651" s="10" t="n">
        <x:f>IF(F1651="Física",'Pokémon'!G174,IF(F1651="Especial",'Pokémon'!I174,""))</x:f>
        <x:v>56</x:v>
      </x:c>
      <x:c r="I1651" s="10" t="n">
        <x:f>IF(OR(F1651="Status",G1651=0),"",G1651+H1651)</x:f>
        <x:v>121</x:v>
      </x:c>
      <x:c r="J1651" s="10" t="n">
        <x:v>20</x:v>
      </x:c>
      <x:c r="K1651" s="12" t="n">
        <x:v>20</x:v>
      </x:c>
      <x:c r="L1651" s="1" t="str"/>
      <x:c r="M1651" s="9" t="str">
        <x:v>https://poke.idleworld.online/pokepedia/pokemon/chinchou</x:v>
      </x:c>
    </x:row>
    <x:row r="1652" ht="22" customHeight="1">
      <x:c r="A1652" s="1" t="n">
        <x:v>170</x:v>
      </x:c>
      <x:c r="B1652" s="1" t="str">
        <x:v>Chinchou</x:v>
      </x:c>
      <x:c r="C1652" s="1" t="n">
        <x:v>4</x:v>
      </x:c>
      <x:c r="D1652" s="1" t="str">
        <x:v>Spark</x:v>
      </x:c>
      <x:c r="E1652" s="1" t="str">
        <x:v>Elétrico</x:v>
      </x:c>
      <x:c r="F1652" s="1" t="str">
        <x:v>Física</x:v>
      </x:c>
      <x:c r="G1652" s="10" t="n">
        <x:v>65</x:v>
      </x:c>
      <x:c r="H1652" s="10" t="n">
        <x:f>IF(F1652="Física",'Pokémon'!G174,IF(F1652="Especial",'Pokémon'!I174,""))</x:f>
        <x:v>38</x:v>
      </x:c>
      <x:c r="I1652" s="10" t="n">
        <x:f>IF(OR(F1652="Status",G1652=0),"",G1652+H1652)</x:f>
        <x:v>103</x:v>
      </x:c>
      <x:c r="J1652" s="10" t="n">
        <x:v>23</x:v>
      </x:c>
      <x:c r="K1652" s="12" t="n">
        <x:v>20</x:v>
      </x:c>
      <x:c r="L1652" s="1" t="str"/>
      <x:c r="M1652" s="9" t="str">
        <x:v>https://poke.idleworld.online/pokepedia/pokemon/chinchou</x:v>
      </x:c>
    </x:row>
    <x:row r="1653" ht="22" customHeight="1">
      <x:c r="A1653" s="1" t="n">
        <x:v>170</x:v>
      </x:c>
      <x:c r="B1653" s="1" t="str">
        <x:v>Chinchou</x:v>
      </x:c>
      <x:c r="C1653" s="1" t="n">
        <x:v>1</x:v>
      </x:c>
      <x:c r="D1653" s="1" t="str">
        <x:v>Bubble</x:v>
      </x:c>
      <x:c r="E1653" s="1" t="str">
        <x:v>Água</x:v>
      </x:c>
      <x:c r="F1653" s="1" t="str">
        <x:v>Especial</x:v>
      </x:c>
      <x:c r="G1653" s="10" t="n">
        <x:v>40</x:v>
      </x:c>
      <x:c r="H1653" s="10" t="n">
        <x:f>IF(F1653="Física",'Pokémon'!G174,IF(F1653="Especial",'Pokémon'!I174,""))</x:f>
        <x:v>56</x:v>
      </x:c>
      <x:c r="I1653" s="10" t="n">
        <x:f>IF(OR(F1653="Status",G1653=0),"",G1653+H1653)</x:f>
        <x:v>96</x:v>
      </x:c>
      <x:c r="J1653" s="10" t="n">
        <x:v>1</x:v>
      </x:c>
      <x:c r="K1653" s="12" t="n">
        <x:v>15</x:v>
      </x:c>
      <x:c r="L1653" s="1" t="str"/>
      <x:c r="M1653" s="9" t="str">
        <x:v>https://poke.idleworld.online/pokepedia/pokemon/chinchou</x:v>
      </x:c>
    </x:row>
    <x:row r="1654" ht="22" customHeight="1">
      <x:c r="A1654" s="1" t="n">
        <x:v>170</x:v>
      </x:c>
      <x:c r="B1654" s="1" t="str">
        <x:v>Chinchou</x:v>
      </x:c>
      <x:c r="C1654" s="1" t="n">
        <x:v>2</x:v>
      </x:c>
      <x:c r="D1654" s="1" t="str">
        <x:v>Water Gun</x:v>
      </x:c>
      <x:c r="E1654" s="1" t="str">
        <x:v>Água</x:v>
      </x:c>
      <x:c r="F1654" s="1" t="str">
        <x:v>Especial</x:v>
      </x:c>
      <x:c r="G1654" s="10" t="n">
        <x:v>40</x:v>
      </x:c>
      <x:c r="H1654" s="10" t="n">
        <x:f>IF(F1654="Física",'Pokémon'!G174,IF(F1654="Especial",'Pokémon'!I174,""))</x:f>
        <x:v>56</x:v>
      </x:c>
      <x:c r="I1654" s="10" t="n">
        <x:f>IF(OR(F1654="Status",G1654=0),"",G1654+H1654)</x:f>
        <x:v>96</x:v>
      </x:c>
      <x:c r="J1654" s="10" t="n">
        <x:v>12</x:v>
      </x:c>
      <x:c r="K1654" s="12" t="n">
        <x:v>18</x:v>
      </x:c>
      <x:c r="L1654" s="1" t="str"/>
      <x:c r="M1654" s="9" t="str">
        <x:v>https://poke.idleworld.online/pokepedia/pokemon/chinchou</x:v>
      </x:c>
    </x:row>
    <x:row r="1655" ht="22" customHeight="1">
      <x:c r="A1655" s="1" t="n">
        <x:v>171</x:v>
      </x:c>
      <x:c r="B1655" s="1" t="str">
        <x:v>Lanturn</x:v>
      </x:c>
      <x:c r="C1655" s="1" t="n">
        <x:v>1</x:v>
      </x:c>
      <x:c r="D1655" s="1" t="str">
        <x:v>Cyclonic Tide</x:v>
      </x:c>
      <x:c r="E1655" s="1" t="str">
        <x:v>Água</x:v>
      </x:c>
      <x:c r="F1655" s="1" t="str">
        <x:v>Especial</x:v>
      </x:c>
      <x:c r="G1655" s="10" t="n">
        <x:v>300</x:v>
      </x:c>
      <x:c r="H1655" s="10" t="n">
        <x:f>IF(F1655="Física",'Pokémon'!G175,IF(F1655="Especial",'Pokémon'!I175,""))</x:f>
        <x:v>76</x:v>
      </x:c>
      <x:c r="I1655" s="10" t="n">
        <x:f>IF(OR(F1655="Status",G1655=0),"",G1655+H1655)</x:f>
        <x:v>376</x:v>
      </x:c>
      <x:c r="J1655" s="10" t="n">
        <x:v>1</x:v>
      </x:c>
      <x:c r="K1655" s="12" t="n">
        <x:v>10</x:v>
      </x:c>
      <x:c r="L1655" s="1" t="str">
        <x:v>Sim</x:v>
      </x:c>
      <x:c r="M1655" s="9" t="str">
        <x:v>https://poke.idleworld.online/pokepedia/pokemon/lanturn</x:v>
      </x:c>
    </x:row>
    <x:row r="1656" ht="22" customHeight="1">
      <x:c r="A1656" s="1" t="n">
        <x:v>171</x:v>
      </x:c>
      <x:c r="B1656" s="1" t="str">
        <x:v>Lanturn</x:v>
      </x:c>
      <x:c r="C1656" s="1" t="n">
        <x:v>9</x:v>
      </x:c>
      <x:c r="D1656" s="1" t="str">
        <x:v>Hydro Pump</x:v>
      </x:c>
      <x:c r="E1656" s="1" t="str">
        <x:v>Água</x:v>
      </x:c>
      <x:c r="F1656" s="1" t="str">
        <x:v>Especial</x:v>
      </x:c>
      <x:c r="G1656" s="10" t="n">
        <x:v>110</x:v>
      </x:c>
      <x:c r="H1656" s="10" t="n">
        <x:f>IF(F1656="Física",'Pokémon'!G175,IF(F1656="Especial",'Pokémon'!I175,""))</x:f>
        <x:v>76</x:v>
      </x:c>
      <x:c r="I1656" s="10" t="n">
        <x:f>IF(OR(F1656="Status",G1656=0),"",G1656+H1656)</x:f>
        <x:v>186</x:v>
      </x:c>
      <x:c r="J1656" s="10" t="n">
        <x:v>51</x:v>
      </x:c>
      <x:c r="K1656" s="12" t="n">
        <x:v>40</x:v>
      </x:c>
      <x:c r="L1656" s="1" t="str"/>
      <x:c r="M1656" s="9" t="str">
        <x:v>https://poke.idleworld.online/pokepedia/pokemon/lanturn</x:v>
      </x:c>
    </x:row>
    <x:row r="1657" ht="22" customHeight="1">
      <x:c r="A1657" s="1" t="n">
        <x:v>171</x:v>
      </x:c>
      <x:c r="B1657" s="1" t="str">
        <x:v>Lanturn</x:v>
      </x:c>
      <x:c r="C1657" s="1" t="n">
        <x:v>7</x:v>
      </x:c>
      <x:c r="D1657" s="1" t="str">
        <x:v>Discharge</x:v>
      </x:c>
      <x:c r="E1657" s="1" t="str">
        <x:v>Elétrico</x:v>
      </x:c>
      <x:c r="F1657" s="1" t="str">
        <x:v>Especial</x:v>
      </x:c>
      <x:c r="G1657" s="10" t="n">
        <x:v>80</x:v>
      </x:c>
      <x:c r="H1657" s="10" t="n">
        <x:f>IF(F1657="Física",'Pokémon'!G175,IF(F1657="Especial",'Pokémon'!I175,""))</x:f>
        <x:v>76</x:v>
      </x:c>
      <x:c r="I1657" s="10" t="n">
        <x:f>IF(OR(F1657="Status",G1657=0),"",G1657+H1657)</x:f>
        <x:v>156</x:v>
      </x:c>
      <x:c r="J1657" s="10" t="n">
        <x:v>37</x:v>
      </x:c>
      <x:c r="K1657" s="12" t="n">
        <x:v>22</x:v>
      </x:c>
      <x:c r="L1657" s="1" t="str"/>
      <x:c r="M1657" s="9" t="str">
        <x:v>https://poke.idleworld.online/pokepedia/pokemon/lanturn</x:v>
      </x:c>
    </x:row>
    <x:row r="1658" ht="22" customHeight="1">
      <x:c r="A1658" s="1" t="n">
        <x:v>171</x:v>
      </x:c>
      <x:c r="B1658" s="1" t="str">
        <x:v>Lanturn</x:v>
      </x:c>
      <x:c r="C1658" s="1" t="n">
        <x:v>6</x:v>
      </x:c>
      <x:c r="D1658" s="1" t="str">
        <x:v>Signal Beam</x:v>
      </x:c>
      <x:c r="E1658" s="1" t="str">
        <x:v>Inseto</x:v>
      </x:c>
      <x:c r="F1658" s="1" t="str">
        <x:v>Especial</x:v>
      </x:c>
      <x:c r="G1658" s="10" t="n">
        <x:v>75</x:v>
      </x:c>
      <x:c r="H1658" s="10" t="n">
        <x:f>IF(F1658="Física",'Pokémon'!G175,IF(F1658="Especial",'Pokémon'!I175,""))</x:f>
        <x:v>76</x:v>
      </x:c>
      <x:c r="I1658" s="10" t="n">
        <x:f>IF(OR(F1658="Status",G1658=0),"",G1658+H1658)</x:f>
        <x:v>151</x:v>
      </x:c>
      <x:c r="J1658" s="10" t="n">
        <x:v>29</x:v>
      </x:c>
      <x:c r="K1658" s="12" t="n">
        <x:v>22</x:v>
      </x:c>
      <x:c r="L1658" s="1" t="str"/>
      <x:c r="M1658" s="9" t="str">
        <x:v>https://poke.idleworld.online/pokepedia/pokemon/lanturn</x:v>
      </x:c>
    </x:row>
    <x:row r="1659" ht="22" customHeight="1">
      <x:c r="A1659" s="1" t="n">
        <x:v>171</x:v>
      </x:c>
      <x:c r="B1659" s="1" t="str">
        <x:v>Lanturn</x:v>
      </x:c>
      <x:c r="C1659" s="1" t="n">
        <x:v>8</x:v>
      </x:c>
      <x:c r="D1659" s="1" t="str">
        <x:v>Take Down</x:v>
      </x:c>
      <x:c r="E1659" s="1" t="str">
        <x:v>Normal</x:v>
      </x:c>
      <x:c r="F1659" s="1" t="str">
        <x:v>Física</x:v>
      </x:c>
      <x:c r="G1659" s="10" t="n">
        <x:v>90</x:v>
      </x:c>
      <x:c r="H1659" s="10" t="n">
        <x:f>IF(F1659="Física",'Pokémon'!G175,IF(F1659="Especial",'Pokémon'!I175,""))</x:f>
        <x:v>58</x:v>
      </x:c>
      <x:c r="I1659" s="10" t="n">
        <x:f>IF(OR(F1659="Status",G1659=0),"",G1659+H1659)</x:f>
        <x:v>148</x:v>
      </x:c>
      <x:c r="J1659" s="10" t="n">
        <x:v>43</x:v>
      </x:c>
      <x:c r="K1659" s="12" t="n">
        <x:v>22</x:v>
      </x:c>
      <x:c r="L1659" s="1" t="str"/>
      <x:c r="M1659" s="9" t="str">
        <x:v>https://poke.idleworld.online/pokepedia/pokemon/lanturn</x:v>
      </x:c>
    </x:row>
    <x:row r="1660" ht="22" customHeight="1">
      <x:c r="A1660" s="1" t="n">
        <x:v>171</x:v>
      </x:c>
      <x:c r="B1660" s="1" t="str">
        <x:v>Lanturn</x:v>
      </x:c>
      <x:c r="C1660" s="1" t="n">
        <x:v>4</x:v>
      </x:c>
      <x:c r="D1660" s="1" t="str">
        <x:v>Bubble Beam</x:v>
      </x:c>
      <x:c r="E1660" s="1" t="str">
        <x:v>Água</x:v>
      </x:c>
      <x:c r="F1660" s="1" t="str">
        <x:v>Especial</x:v>
      </x:c>
      <x:c r="G1660" s="10" t="n">
        <x:v>65</x:v>
      </x:c>
      <x:c r="H1660" s="10" t="n">
        <x:f>IF(F1660="Física",'Pokémon'!G175,IF(F1660="Especial",'Pokémon'!I175,""))</x:f>
        <x:v>76</x:v>
      </x:c>
      <x:c r="I1660" s="10" t="n">
        <x:f>IF(OR(F1660="Status",G1660=0),"",G1660+H1660)</x:f>
        <x:v>141</x:v>
      </x:c>
      <x:c r="J1660" s="10" t="n">
        <x:v>20</x:v>
      </x:c>
      <x:c r="K1660" s="12" t="n">
        <x:v>20</x:v>
      </x:c>
      <x:c r="L1660" s="1" t="str"/>
      <x:c r="M1660" s="9" t="str">
        <x:v>https://poke.idleworld.online/pokepedia/pokemon/lanturn</x:v>
      </x:c>
    </x:row>
    <x:row r="1661" ht="22" customHeight="1">
      <x:c r="A1661" s="1" t="n">
        <x:v>171</x:v>
      </x:c>
      <x:c r="B1661" s="1" t="str">
        <x:v>Lanturn</x:v>
      </x:c>
      <x:c r="C1661" s="1" t="n">
        <x:v>5</x:v>
      </x:c>
      <x:c r="D1661" s="1" t="str">
        <x:v>Spark</x:v>
      </x:c>
      <x:c r="E1661" s="1" t="str">
        <x:v>Elétrico</x:v>
      </x:c>
      <x:c r="F1661" s="1" t="str">
        <x:v>Física</x:v>
      </x:c>
      <x:c r="G1661" s="10" t="n">
        <x:v>65</x:v>
      </x:c>
      <x:c r="H1661" s="10" t="n">
        <x:f>IF(F1661="Física",'Pokémon'!G175,IF(F1661="Especial",'Pokémon'!I175,""))</x:f>
        <x:v>58</x:v>
      </x:c>
      <x:c r="I1661" s="10" t="n">
        <x:f>IF(OR(F1661="Status",G1661=0),"",G1661+H1661)</x:f>
        <x:v>123</x:v>
      </x:c>
      <x:c r="J1661" s="10" t="n">
        <x:v>23</x:v>
      </x:c>
      <x:c r="K1661" s="12" t="n">
        <x:v>20</x:v>
      </x:c>
      <x:c r="L1661" s="1" t="str"/>
      <x:c r="M1661" s="9" t="str">
        <x:v>https://poke.idleworld.online/pokepedia/pokemon/lanturn</x:v>
      </x:c>
    </x:row>
    <x:row r="1662" ht="22" customHeight="1">
      <x:c r="A1662" s="1" t="n">
        <x:v>171</x:v>
      </x:c>
      <x:c r="B1662" s="1" t="str">
        <x:v>Lanturn</x:v>
      </x:c>
      <x:c r="C1662" s="1" t="n">
        <x:v>2</x:v>
      </x:c>
      <x:c r="D1662" s="1" t="str">
        <x:v>Bubble</x:v>
      </x:c>
      <x:c r="E1662" s="1" t="str">
        <x:v>Água</x:v>
      </x:c>
      <x:c r="F1662" s="1" t="str">
        <x:v>Especial</x:v>
      </x:c>
      <x:c r="G1662" s="10" t="n">
        <x:v>40</x:v>
      </x:c>
      <x:c r="H1662" s="10" t="n">
        <x:f>IF(F1662="Física",'Pokémon'!G175,IF(F1662="Especial",'Pokémon'!I175,""))</x:f>
        <x:v>76</x:v>
      </x:c>
      <x:c r="I1662" s="10" t="n">
        <x:f>IF(OR(F1662="Status",G1662=0),"",G1662+H1662)</x:f>
        <x:v>116</x:v>
      </x:c>
      <x:c r="J1662" s="10" t="n">
        <x:v>1</x:v>
      </x:c>
      <x:c r="K1662" s="12" t="n">
        <x:v>15</x:v>
      </x:c>
      <x:c r="L1662" s="1" t="str"/>
      <x:c r="M1662" s="9" t="str">
        <x:v>https://poke.idleworld.online/pokepedia/pokemon/lanturn</x:v>
      </x:c>
    </x:row>
    <x:row r="1663" ht="22" customHeight="1">
      <x:c r="A1663" s="1" t="n">
        <x:v>171</x:v>
      </x:c>
      <x:c r="B1663" s="1" t="str">
        <x:v>Lanturn</x:v>
      </x:c>
      <x:c r="C1663" s="1" t="n">
        <x:v>3</x:v>
      </x:c>
      <x:c r="D1663" s="1" t="str">
        <x:v>Water Gun</x:v>
      </x:c>
      <x:c r="E1663" s="1" t="str">
        <x:v>Água</x:v>
      </x:c>
      <x:c r="F1663" s="1" t="str">
        <x:v>Especial</x:v>
      </x:c>
      <x:c r="G1663" s="10" t="n">
        <x:v>40</x:v>
      </x:c>
      <x:c r="H1663" s="10" t="n">
        <x:f>IF(F1663="Física",'Pokémon'!G175,IF(F1663="Especial",'Pokémon'!I175,""))</x:f>
        <x:v>76</x:v>
      </x:c>
      <x:c r="I1663" s="10" t="n">
        <x:f>IF(OR(F1663="Status",G1663=0),"",G1663+H1663)</x:f>
        <x:v>116</x:v>
      </x:c>
      <x:c r="J1663" s="10" t="n">
        <x:v>12</x:v>
      </x:c>
      <x:c r="K1663" s="12" t="n">
        <x:v>18</x:v>
      </x:c>
      <x:c r="L1663" s="1" t="str"/>
      <x:c r="M1663" s="9" t="str">
        <x:v>https://poke.idleworld.online/pokepedia/pokemon/lanturn</x:v>
      </x:c>
    </x:row>
    <x:row r="1664" ht="22" customHeight="1">
      <x:c r="A1664" s="1" t="n">
        <x:v>172</x:v>
      </x:c>
      <x:c r="B1664" s="1" t="str">
        <x:v>Pichu</x:v>
      </x:c>
      <x:c r="C1664" s="1" t="n">
        <x:v>1</x:v>
      </x:c>
      <x:c r="D1664" s="1" t="str">
        <x:v>Thunder Shock</x:v>
      </x:c>
      <x:c r="E1664" s="1" t="str">
        <x:v>Elétrico</x:v>
      </x:c>
      <x:c r="F1664" s="1" t="str">
        <x:v>Especial</x:v>
      </x:c>
      <x:c r="G1664" s="10" t="n">
        <x:v>40</x:v>
      </x:c>
      <x:c r="H1664" s="10" t="n">
        <x:f>IF(F1664="Física",'Pokémon'!G176,IF(F1664="Especial",'Pokémon'!I176,""))</x:f>
        <x:v>35</x:v>
      </x:c>
      <x:c r="I1664" s="10" t="n">
        <x:f>IF(OR(F1664="Status",G1664=0),"",G1664+H1664)</x:f>
        <x:v>75</x:v>
      </x:c>
      <x:c r="J1664" s="10" t="n">
        <x:v>1</x:v>
      </x:c>
      <x:c r="K1664" s="12" t="n">
        <x:v>10</x:v>
      </x:c>
      <x:c r="L1664" s="1" t="str"/>
      <x:c r="M1664" s="9" t="str">
        <x:v>https://poke.idleworld.online/pokepedia/pokemon/pichu</x:v>
      </x:c>
    </x:row>
    <x:row r="1665" ht="22" customHeight="1">
      <x:c r="A1665" s="1" t="n">
        <x:v>173</x:v>
      </x:c>
      <x:c r="B1665" s="1" t="str">
        <x:v>Cleffa</x:v>
      </x:c>
      <x:c r="C1665" s="1" t="n">
        <x:v>2</x:v>
      </x:c>
      <x:c r="D1665" s="1" t="str">
        <x:v>Magical Leaf</x:v>
      </x:c>
      <x:c r="E1665" s="1" t="str">
        <x:v>Planta</x:v>
      </x:c>
      <x:c r="F1665" s="1" t="str">
        <x:v>Especial</x:v>
      </x:c>
      <x:c r="G1665" s="10" t="n">
        <x:v>60</x:v>
      </x:c>
      <x:c r="H1665" s="10" t="n">
        <x:f>IF(F1665="Física",'Pokémon'!G177,IF(F1665="Especial",'Pokémon'!I177,""))</x:f>
        <x:v>45</x:v>
      </x:c>
      <x:c r="I1665" s="10" t="n">
        <x:f>IF(OR(F1665="Status",G1665=0),"",G1665+H1665)</x:f>
        <x:v>105</x:v>
      </x:c>
      <x:c r="J1665" s="10" t="n">
        <x:v>16</x:v>
      </x:c>
      <x:c r="K1665" s="12" t="n">
        <x:v>20</x:v>
      </x:c>
      <x:c r="L1665" s="1" t="str"/>
      <x:c r="M1665" s="9" t="str">
        <x:v>https://poke.idleworld.online/pokepedia/pokemon/cleffa</x:v>
      </x:c>
    </x:row>
    <x:row r="1666" ht="22" customHeight="1">
      <x:c r="A1666" s="1" t="n">
        <x:v>173</x:v>
      </x:c>
      <x:c r="B1666" s="1" t="str">
        <x:v>Cleffa</x:v>
      </x:c>
      <x:c r="C1666" s="1" t="n">
        <x:v>1</x:v>
      </x:c>
      <x:c r="D1666" s="1" t="str">
        <x:v>Pound</x:v>
      </x:c>
      <x:c r="E1666" s="1" t="str">
        <x:v>Normal</x:v>
      </x:c>
      <x:c r="F1666" s="1" t="str">
        <x:v>Física</x:v>
      </x:c>
      <x:c r="G1666" s="10" t="n">
        <x:v>40</x:v>
      </x:c>
      <x:c r="H1666" s="10" t="n">
        <x:f>IF(F1666="Física",'Pokémon'!G177,IF(F1666="Especial",'Pokémon'!I177,""))</x:f>
        <x:v>25</x:v>
      </x:c>
      <x:c r="I1666" s="10" t="n">
        <x:f>IF(OR(F1666="Status",G1666=0),"",G1666+H1666)</x:f>
        <x:v>65</x:v>
      </x:c>
      <x:c r="J1666" s="10" t="n">
        <x:v>1</x:v>
      </x:c>
      <x:c r="K1666" s="12" t="n">
        <x:v>15</x:v>
      </x:c>
      <x:c r="L1666" s="1" t="str"/>
      <x:c r="M1666" s="9" t="str">
        <x:v>https://poke.idleworld.online/pokepedia/pokemon/cleffa</x:v>
      </x:c>
    </x:row>
    <x:row r="1667" ht="22" customHeight="1">
      <x:c r="A1667" s="1" t="n">
        <x:v>174</x:v>
      </x:c>
      <x:c r="B1667" s="1" t="str">
        <x:v>Igglybuff</x:v>
      </x:c>
      <x:c r="C1667" s="1" t="n">
        <x:v>1</x:v>
      </x:c>
      <x:c r="D1667" s="1" t="str">
        <x:v>Pound</x:v>
      </x:c>
      <x:c r="E1667" s="1" t="str">
        <x:v>Normal</x:v>
      </x:c>
      <x:c r="F1667" s="1" t="str">
        <x:v>Física</x:v>
      </x:c>
      <x:c r="G1667" s="10" t="n">
        <x:v>40</x:v>
      </x:c>
      <x:c r="H1667" s="10" t="n">
        <x:f>IF(F1667="Física",'Pokémon'!G178,IF(F1667="Especial",'Pokémon'!I178,""))</x:f>
        <x:v>30</x:v>
      </x:c>
      <x:c r="I1667" s="10" t="n">
        <x:f>IF(OR(F1667="Status",G1667=0),"",G1667+H1667)</x:f>
        <x:v>70</x:v>
      </x:c>
      <x:c r="J1667" s="10" t="n">
        <x:v>5</x:v>
      </x:c>
      <x:c r="K1667" s="12" t="n">
        <x:v>15</x:v>
      </x:c>
      <x:c r="L1667" s="1" t="str"/>
      <x:c r="M1667" s="9" t="str">
        <x:v>https://poke.idleworld.online/pokepedia/pokemon/igglybuff</x:v>
      </x:c>
    </x:row>
    <x:row r="1668" ht="22" customHeight="1">
      <x:c r="A1668" s="1" t="n">
        <x:v>175</x:v>
      </x:c>
      <x:c r="B1668" s="1" t="str">
        <x:v>Togepi</x:v>
      </x:c>
      <x:c r="C1668" s="1" t="n">
        <x:v>3</x:v>
      </x:c>
      <x:c r="D1668" s="1" t="str">
        <x:v>Last Resort</x:v>
      </x:c>
      <x:c r="E1668" s="1" t="str">
        <x:v>Normal</x:v>
      </x:c>
      <x:c r="F1668" s="1" t="str">
        <x:v>Física</x:v>
      </x:c>
      <x:c r="G1668" s="10" t="n">
        <x:v>140</x:v>
      </x:c>
      <x:c r="H1668" s="10" t="n">
        <x:f>IF(F1668="Física",'Pokémon'!G179,IF(F1668="Especial",'Pokémon'!I179,""))</x:f>
        <x:v>20</x:v>
      </x:c>
      <x:c r="I1668" s="10" t="n">
        <x:f>IF(OR(F1668="Status",G1668=0),"",G1668+H1668)</x:f>
        <x:v>160</x:v>
      </x:c>
      <x:c r="J1668" s="10" t="n">
        <x:v>49</x:v>
      </x:c>
      <x:c r="K1668" s="12" t="n">
        <x:v>50</x:v>
      </x:c>
      <x:c r="L1668" s="1" t="str"/>
      <x:c r="M1668" s="9" t="str">
        <x:v>https://poke.idleworld.online/pokepedia/pokemon/togepi</x:v>
      </x:c>
    </x:row>
    <x:row r="1669" ht="22" customHeight="1">
      <x:c r="A1669" s="1" t="n">
        <x:v>175</x:v>
      </x:c>
      <x:c r="B1669" s="1" t="str">
        <x:v>Togepi</x:v>
      </x:c>
      <x:c r="C1669" s="1" t="n">
        <x:v>2</x:v>
      </x:c>
      <x:c r="D1669" s="1" t="str">
        <x:v>Double-Edge</x:v>
      </x:c>
      <x:c r="E1669" s="1" t="str">
        <x:v>Normal</x:v>
      </x:c>
      <x:c r="F1669" s="1" t="str">
        <x:v>Física</x:v>
      </x:c>
      <x:c r="G1669" s="10" t="n">
        <x:v>120</x:v>
      </x:c>
      <x:c r="H1669" s="10" t="n">
        <x:f>IF(F1669="Física",'Pokémon'!G179,IF(F1669="Especial",'Pokémon'!I179,""))</x:f>
        <x:v>20</x:v>
      </x:c>
      <x:c r="I1669" s="10" t="n">
        <x:f>IF(OR(F1669="Status",G1669=0),"",G1669+H1669)</x:f>
        <x:v>140</x:v>
      </x:c>
      <x:c r="J1669" s="10" t="n">
        <x:v>45</x:v>
      </x:c>
      <x:c r="K1669" s="12" t="n">
        <x:v>3</x:v>
      </x:c>
      <x:c r="L1669" s="1" t="str"/>
      <x:c r="M1669" s="9" t="str">
        <x:v>https://poke.idleworld.online/pokepedia/pokemon/togepi</x:v>
      </x:c>
    </x:row>
    <x:row r="1670" ht="22" customHeight="1">
      <x:c r="A1670" s="1" t="n">
        <x:v>175</x:v>
      </x:c>
      <x:c r="B1670" s="1" t="str">
        <x:v>Togepi</x:v>
      </x:c>
      <x:c r="C1670" s="1" t="n">
        <x:v>1</x:v>
      </x:c>
      <x:c r="D1670" s="1" t="str">
        <x:v>Ancient Power</x:v>
      </x:c>
      <x:c r="E1670" s="1" t="str">
        <x:v>Pedra</x:v>
      </x:c>
      <x:c r="F1670" s="1" t="str">
        <x:v>Especial</x:v>
      </x:c>
      <x:c r="G1670" s="10" t="n">
        <x:v>60</x:v>
      </x:c>
      <x:c r="H1670" s="10" t="n">
        <x:f>IF(F1670="Física",'Pokémon'!G179,IF(F1670="Especial",'Pokémon'!I179,""))</x:f>
        <x:v>40</x:v>
      </x:c>
      <x:c r="I1670" s="10" t="n">
        <x:f>IF(OR(F1670="Status",G1670=0),"",G1670+H1670)</x:f>
        <x:v>100</x:v>
      </x:c>
      <x:c r="J1670" s="10" t="n">
        <x:v>33</x:v>
      </x:c>
      <x:c r="K1670" s="12" t="n">
        <x:v>20</x:v>
      </x:c>
      <x:c r="L1670" s="1" t="str"/>
      <x:c r="M1670" s="9" t="str">
        <x:v>https://poke.idleworld.online/pokepedia/pokemon/togepi</x:v>
      </x:c>
    </x:row>
    <x:row r="1671" ht="22" customHeight="1">
      <x:c r="A1671" s="1" t="n">
        <x:v>176</x:v>
      </x:c>
      <x:c r="B1671" s="1" t="str">
        <x:v>Togetic</x:v>
      </x:c>
      <x:c r="C1671" s="1" t="n">
        <x:v>5</x:v>
      </x:c>
      <x:c r="D1671" s="1" t="str">
        <x:v>Last Resort</x:v>
      </x:c>
      <x:c r="E1671" s="1" t="str">
        <x:v>Normal</x:v>
      </x:c>
      <x:c r="F1671" s="1" t="str">
        <x:v>Física</x:v>
      </x:c>
      <x:c r="G1671" s="10" t="n">
        <x:v>140</x:v>
      </x:c>
      <x:c r="H1671" s="10" t="n">
        <x:f>IF(F1671="Física",'Pokémon'!G180,IF(F1671="Especial",'Pokémon'!I180,""))</x:f>
        <x:v>40</x:v>
      </x:c>
      <x:c r="I1671" s="10" t="n">
        <x:f>IF(OR(F1671="Status",G1671=0),"",G1671+H1671)</x:f>
        <x:v>180</x:v>
      </x:c>
      <x:c r="J1671" s="10" t="n">
        <x:v>49</x:v>
      </x:c>
      <x:c r="K1671" s="12" t="n">
        <x:v>50</x:v>
      </x:c>
      <x:c r="L1671" s="1" t="str"/>
      <x:c r="M1671" s="9" t="str">
        <x:v>https://poke.idleworld.online/pokepedia/pokemon/togetic</x:v>
      </x:c>
    </x:row>
    <x:row r="1672" ht="22" customHeight="1">
      <x:c r="A1672" s="1" t="n">
        <x:v>176</x:v>
      </x:c>
      <x:c r="B1672" s="1" t="str">
        <x:v>Togetic</x:v>
      </x:c>
      <x:c r="C1672" s="1" t="n">
        <x:v>4</x:v>
      </x:c>
      <x:c r="D1672" s="1" t="str">
        <x:v>Double-Edge</x:v>
      </x:c>
      <x:c r="E1672" s="1" t="str">
        <x:v>Normal</x:v>
      </x:c>
      <x:c r="F1672" s="1" t="str">
        <x:v>Física</x:v>
      </x:c>
      <x:c r="G1672" s="10" t="n">
        <x:v>120</x:v>
      </x:c>
      <x:c r="H1672" s="10" t="n">
        <x:f>IF(F1672="Física",'Pokémon'!G180,IF(F1672="Especial",'Pokémon'!I180,""))</x:f>
        <x:v>40</x:v>
      </x:c>
      <x:c r="I1672" s="10" t="n">
        <x:f>IF(OR(F1672="Status",G1672=0),"",G1672+H1672)</x:f>
        <x:v>160</x:v>
      </x:c>
      <x:c r="J1672" s="10" t="n">
        <x:v>45</x:v>
      </x:c>
      <x:c r="K1672" s="12" t="n">
        <x:v>3</x:v>
      </x:c>
      <x:c r="L1672" s="1" t="str"/>
      <x:c r="M1672" s="9" t="str">
        <x:v>https://poke.idleworld.online/pokepedia/pokemon/togetic</x:v>
      </x:c>
    </x:row>
    <x:row r="1673" ht="22" customHeight="1">
      <x:c r="A1673" s="1" t="n">
        <x:v>176</x:v>
      </x:c>
      <x:c r="B1673" s="1" t="str">
        <x:v>Togetic</x:v>
      </x:c>
      <x:c r="C1673" s="1" t="n">
        <x:v>1</x:v>
      </x:c>
      <x:c r="D1673" s="1" t="str">
        <x:v>Magical Leaf</x:v>
      </x:c>
      <x:c r="E1673" s="1" t="str">
        <x:v>Planta</x:v>
      </x:c>
      <x:c r="F1673" s="1" t="str">
        <x:v>Especial</x:v>
      </x:c>
      <x:c r="G1673" s="10" t="n">
        <x:v>60</x:v>
      </x:c>
      <x:c r="H1673" s="10" t="n">
        <x:f>IF(F1673="Física",'Pokémon'!G180,IF(F1673="Especial",'Pokémon'!I180,""))</x:f>
        <x:v>80</x:v>
      </x:c>
      <x:c r="I1673" s="10" t="n">
        <x:f>IF(OR(F1673="Status",G1673=0),"",G1673+H1673)</x:f>
        <x:v>140</x:v>
      </x:c>
      <x:c r="J1673" s="10" t="n">
        <x:v>1</x:v>
      </x:c>
      <x:c r="K1673" s="12" t="n">
        <x:v>20</x:v>
      </x:c>
      <x:c r="L1673" s="1" t="str"/>
      <x:c r="M1673" s="9" t="str">
        <x:v>https://poke.idleworld.online/pokepedia/pokemon/togetic</x:v>
      </x:c>
    </x:row>
    <x:row r="1674" ht="22" customHeight="1">
      <x:c r="A1674" s="1" t="n">
        <x:v>176</x:v>
      </x:c>
      <x:c r="B1674" s="1" t="str">
        <x:v>Togetic</x:v>
      </x:c>
      <x:c r="C1674" s="1" t="n">
        <x:v>3</x:v>
      </x:c>
      <x:c r="D1674" s="1" t="str">
        <x:v>Ancient Power</x:v>
      </x:c>
      <x:c r="E1674" s="1" t="str">
        <x:v>Pedra</x:v>
      </x:c>
      <x:c r="F1674" s="1" t="str">
        <x:v>Especial</x:v>
      </x:c>
      <x:c r="G1674" s="10" t="n">
        <x:v>60</x:v>
      </x:c>
      <x:c r="H1674" s="10" t="n">
        <x:f>IF(F1674="Física",'Pokémon'!G180,IF(F1674="Especial",'Pokémon'!I180,""))</x:f>
        <x:v>80</x:v>
      </x:c>
      <x:c r="I1674" s="10" t="n">
        <x:f>IF(OR(F1674="Status",G1674=0),"",G1674+H1674)</x:f>
        <x:v>140</x:v>
      </x:c>
      <x:c r="J1674" s="10" t="n">
        <x:v>33</x:v>
      </x:c>
      <x:c r="K1674" s="12" t="n">
        <x:v>20</x:v>
      </x:c>
      <x:c r="L1674" s="1" t="str"/>
      <x:c r="M1674" s="9" t="str">
        <x:v>https://poke.idleworld.online/pokepedia/pokemon/togetic</x:v>
      </x:c>
    </x:row>
    <x:row r="1675" ht="22" customHeight="1">
      <x:c r="A1675" s="1" t="n">
        <x:v>176</x:v>
      </x:c>
      <x:c r="B1675" s="1" t="str">
        <x:v>Togetic</x:v>
      </x:c>
      <x:c r="C1675" s="1" t="n">
        <x:v>2</x:v>
      </x:c>
      <x:c r="D1675" s="1" t="str">
        <x:v>Fairy Wind</x:v>
      </x:c>
      <x:c r="E1675" s="1" t="str">
        <x:v>Fada</x:v>
      </x:c>
      <x:c r="F1675" s="1" t="str">
        <x:v>Especial</x:v>
      </x:c>
      <x:c r="G1675" s="10" t="n">
        <x:v>40</x:v>
      </x:c>
      <x:c r="H1675" s="10" t="n">
        <x:f>IF(F1675="Física",'Pokémon'!G180,IF(F1675="Especial",'Pokémon'!I180,""))</x:f>
        <x:v>80</x:v>
      </x:c>
      <x:c r="I1675" s="10" t="n">
        <x:f>IF(OR(F1675="Status",G1675=0),"",G1675+H1675)</x:f>
        <x:v>120</x:v>
      </x:c>
      <x:c r="J1675" s="10" t="n">
        <x:v>14</x:v>
      </x:c>
      <x:c r="K1675" s="12" t="n">
        <x:v>1.8</x:v>
      </x:c>
      <x:c r="L1675" s="1" t="str"/>
      <x:c r="M1675" s="9" t="str">
        <x:v>https://poke.idleworld.online/pokepedia/pokemon/togetic</x:v>
      </x:c>
    </x:row>
    <x:row r="1676" ht="22" customHeight="1">
      <x:c r="A1676" s="1" t="n">
        <x:v>177</x:v>
      </x:c>
      <x:c r="B1676" s="1" t="str">
        <x:v>Natu</x:v>
      </x:c>
      <x:c r="C1676" s="1" t="n">
        <x:v>5</x:v>
      </x:c>
      <x:c r="D1676" s="1" t="str">
        <x:v>Future Sight</x:v>
      </x:c>
      <x:c r="E1676" s="1" t="str">
        <x:v>Psíquico</x:v>
      </x:c>
      <x:c r="F1676" s="1" t="str">
        <x:v>Especial</x:v>
      </x:c>
      <x:c r="G1676" s="10" t="n">
        <x:v>120</x:v>
      </x:c>
      <x:c r="H1676" s="10" t="n">
        <x:f>IF(F1676="Física",'Pokémon'!G181,IF(F1676="Especial",'Pokémon'!I181,""))</x:f>
        <x:v>70</x:v>
      </x:c>
      <x:c r="I1676" s="10" t="n">
        <x:f>IF(OR(F1676="Status",G1676=0),"",G1676+H1676)</x:f>
        <x:v>190</x:v>
      </x:c>
      <x:c r="J1676" s="10" t="n">
        <x:v>44</x:v>
      </x:c>
      <x:c r="K1676" s="12" t="n">
        <x:v>50</x:v>
      </x:c>
      <x:c r="L1676" s="1" t="str"/>
      <x:c r="M1676" s="9" t="str">
        <x:v>https://poke.idleworld.online/pokepedia/pokemon/natu</x:v>
      </x:c>
    </x:row>
    <x:row r="1677" ht="22" customHeight="1">
      <x:c r="A1677" s="1" t="n">
        <x:v>177</x:v>
      </x:c>
      <x:c r="B1677" s="1" t="str">
        <x:v>Natu</x:v>
      </x:c>
      <x:c r="C1677" s="1" t="n">
        <x:v>4</x:v>
      </x:c>
      <x:c r="D1677" s="1" t="str">
        <x:v>Psychic</x:v>
      </x:c>
      <x:c r="E1677" s="1" t="str">
        <x:v>Psíquico</x:v>
      </x:c>
      <x:c r="F1677" s="1" t="str">
        <x:v>Especial</x:v>
      </x:c>
      <x:c r="G1677" s="10" t="n">
        <x:v>90</x:v>
      </x:c>
      <x:c r="H1677" s="10" t="n">
        <x:f>IF(F1677="Física",'Pokémon'!G181,IF(F1677="Especial",'Pokémon'!I181,""))</x:f>
        <x:v>70</x:v>
      </x:c>
      <x:c r="I1677" s="10" t="n">
        <x:f>IF(OR(F1677="Status",G1677=0),"",G1677+H1677)</x:f>
        <x:v>160</x:v>
      </x:c>
      <x:c r="J1677" s="10" t="n">
        <x:v>33</x:v>
      </x:c>
      <x:c r="K1677" s="12" t="n">
        <x:v>35</x:v>
      </x:c>
      <x:c r="L1677" s="1" t="str"/>
      <x:c r="M1677" s="9" t="str">
        <x:v>https://poke.idleworld.online/pokepedia/pokemon/natu</x:v>
      </x:c>
    </x:row>
    <x:row r="1678" ht="22" customHeight="1">
      <x:c r="A1678" s="1" t="n">
        <x:v>177</x:v>
      </x:c>
      <x:c r="B1678" s="1" t="str">
        <x:v>Natu</x:v>
      </x:c>
      <x:c r="C1678" s="1" t="n">
        <x:v>3</x:v>
      </x:c>
      <x:c r="D1678" s="1" t="str">
        <x:v>Ominous Wind</x:v>
      </x:c>
      <x:c r="E1678" s="1" t="str">
        <x:v>Fantasma</x:v>
      </x:c>
      <x:c r="F1678" s="1" t="str">
        <x:v>Especial</x:v>
      </x:c>
      <x:c r="G1678" s="10" t="n">
        <x:v>60</x:v>
      </x:c>
      <x:c r="H1678" s="10" t="n">
        <x:f>IF(F1678="Física",'Pokémon'!G181,IF(F1678="Especial",'Pokémon'!I181,""))</x:f>
        <x:v>70</x:v>
      </x:c>
      <x:c r="I1678" s="10" t="n">
        <x:f>IF(OR(F1678="Status",G1678=0),"",G1678+H1678)</x:f>
        <x:v>130</x:v>
      </x:c>
      <x:c r="J1678" s="10" t="n">
        <x:v>20</x:v>
      </x:c>
      <x:c r="K1678" s="12" t="n">
        <x:v>20</x:v>
      </x:c>
      <x:c r="L1678" s="1" t="str"/>
      <x:c r="M1678" s="9" t="str">
        <x:v>https://poke.idleworld.online/pokepedia/pokemon/natu</x:v>
      </x:c>
    </x:row>
    <x:row r="1679" ht="22" customHeight="1">
      <x:c r="A1679" s="1" t="n">
        <x:v>177</x:v>
      </x:c>
      <x:c r="B1679" s="1" t="str">
        <x:v>Natu</x:v>
      </x:c>
      <x:c r="C1679" s="1" t="n">
        <x:v>2</x:v>
      </x:c>
      <x:c r="D1679" s="1" t="str">
        <x:v>Stored Power</x:v>
      </x:c>
      <x:c r="E1679" s="1" t="str">
        <x:v>Psíquico</x:v>
      </x:c>
      <x:c r="F1679" s="1" t="str">
        <x:v>Especial</x:v>
      </x:c>
      <x:c r="G1679" s="10" t="n">
        <x:v>20</x:v>
      </x:c>
      <x:c r="H1679" s="10" t="n">
        <x:f>IF(F1679="Física",'Pokémon'!G181,IF(F1679="Especial",'Pokémon'!I181,""))</x:f>
        <x:v>70</x:v>
      </x:c>
      <x:c r="I1679" s="10" t="n">
        <x:f>IF(OR(F1679="Status",G1679=0),"",G1679+H1679)</x:f>
        <x:v>90</x:v>
      </x:c>
      <x:c r="J1679" s="10" t="n">
        <x:v>17</x:v>
      </x:c>
      <x:c r="K1679" s="12" t="n">
        <x:v>15</x:v>
      </x:c>
      <x:c r="L1679" s="1" t="str"/>
      <x:c r="M1679" s="9" t="str">
        <x:v>https://poke.idleworld.online/pokepedia/pokemon/natu</x:v>
      </x:c>
    </x:row>
    <x:row r="1680" ht="22" customHeight="1">
      <x:c r="A1680" s="1" t="n">
        <x:v>177</x:v>
      </x:c>
      <x:c r="B1680" s="1" t="str">
        <x:v>Natu</x:v>
      </x:c>
      <x:c r="C1680" s="1" t="n">
        <x:v>1</x:v>
      </x:c>
      <x:c r="D1680" s="1" t="str">
        <x:v>Peck</x:v>
      </x:c>
      <x:c r="E1680" s="1" t="str">
        <x:v>Voador</x:v>
      </x:c>
      <x:c r="F1680" s="1" t="str">
        <x:v>Física</x:v>
      </x:c>
      <x:c r="G1680" s="10" t="n">
        <x:v>35</x:v>
      </x:c>
      <x:c r="H1680" s="10" t="n">
        <x:f>IF(F1680="Física",'Pokémon'!G181,IF(F1680="Especial",'Pokémon'!I181,""))</x:f>
        <x:v>50</x:v>
      </x:c>
      <x:c r="I1680" s="10" t="n">
        <x:f>IF(OR(F1680="Status",G1680=0),"",G1680+H1680)</x:f>
        <x:v>85</x:v>
      </x:c>
      <x:c r="J1680" s="10" t="n">
        <x:v>1</x:v>
      </x:c>
      <x:c r="K1680" s="12" t="n">
        <x:v>10</x:v>
      </x:c>
      <x:c r="L1680" s="1" t="str"/>
      <x:c r="M1680" s="9" t="str">
        <x:v>https://poke.idleworld.online/pokepedia/pokemon/natu</x:v>
      </x:c>
    </x:row>
    <x:row r="1681" ht="22" customHeight="1">
      <x:c r="A1681" s="1" t="n">
        <x:v>178</x:v>
      </x:c>
      <x:c r="B1681" s="1" t="str">
        <x:v>Xatu</x:v>
      </x:c>
      <x:c r="C1681" s="1" t="n">
        <x:v>3</x:v>
      </x:c>
      <x:c r="D1681" s="1" t="str">
        <x:v>Mental Singularity</x:v>
      </x:c>
      <x:c r="E1681" s="1" t="str">
        <x:v>Psíquico</x:v>
      </x:c>
      <x:c r="F1681" s="1" t="str">
        <x:v>Especial</x:v>
      </x:c>
      <x:c r="G1681" s="10" t="n">
        <x:v>300</x:v>
      </x:c>
      <x:c r="H1681" s="10" t="n">
        <x:f>IF(F1681="Física",'Pokémon'!G182,IF(F1681="Especial",'Pokémon'!I182,""))</x:f>
        <x:v>95</x:v>
      </x:c>
      <x:c r="I1681" s="10" t="n">
        <x:f>IF(OR(F1681="Status",G1681=0),"",G1681+H1681)</x:f>
        <x:v>395</x:v>
      </x:c>
      <x:c r="J1681" s="10" t="n">
        <x:v>1</x:v>
      </x:c>
      <x:c r="K1681" s="12" t="n">
        <x:v>10</x:v>
      </x:c>
      <x:c r="L1681" s="1" t="str">
        <x:v>Sim</x:v>
      </x:c>
      <x:c r="M1681" s="9" t="str">
        <x:v>https://poke.idleworld.online/pokepedia/pokemon/xatu</x:v>
      </x:c>
    </x:row>
    <x:row r="1682" ht="22" customHeight="1">
      <x:c r="A1682" s="1" t="n">
        <x:v>178</x:v>
      </x:c>
      <x:c r="B1682" s="1" t="str">
        <x:v>Xatu</x:v>
      </x:c>
      <x:c r="C1682" s="1" t="n">
        <x:v>2</x:v>
      </x:c>
      <x:c r="D1682" s="1" t="str">
        <x:v>Massive Hurricane</x:v>
      </x:c>
      <x:c r="E1682" s="1" t="str">
        <x:v>Voador</x:v>
      </x:c>
      <x:c r="F1682" s="1" t="str">
        <x:v>Física</x:v>
      </x:c>
      <x:c r="G1682" s="10" t="n">
        <x:v>300</x:v>
      </x:c>
      <x:c r="H1682" s="10" t="n">
        <x:f>IF(F1682="Física",'Pokémon'!G182,IF(F1682="Especial",'Pokémon'!I182,""))</x:f>
        <x:v>75</x:v>
      </x:c>
      <x:c r="I1682" s="10" t="n">
        <x:f>IF(OR(F1682="Status",G1682=0),"",G1682+H1682)</x:f>
        <x:v>375</x:v>
      </x:c>
      <x:c r="J1682" s="10" t="n">
        <x:v>1</x:v>
      </x:c>
      <x:c r="K1682" s="12" t="n">
        <x:v>10</x:v>
      </x:c>
      <x:c r="L1682" s="1" t="str">
        <x:v>Sim</x:v>
      </x:c>
      <x:c r="M1682" s="9" t="str">
        <x:v>https://poke.idleworld.online/pokepedia/pokemon/xatu</x:v>
      </x:c>
    </x:row>
    <x:row r="1683" ht="22" customHeight="1">
      <x:c r="A1683" s="1" t="n">
        <x:v>178</x:v>
      </x:c>
      <x:c r="B1683" s="1" t="str">
        <x:v>Xatu</x:v>
      </x:c>
      <x:c r="C1683" s="1" t="n">
        <x:v>8</x:v>
      </x:c>
      <x:c r="D1683" s="1" t="str">
        <x:v>Future Sight</x:v>
      </x:c>
      <x:c r="E1683" s="1" t="str">
        <x:v>Psíquico</x:v>
      </x:c>
      <x:c r="F1683" s="1" t="str">
        <x:v>Especial</x:v>
      </x:c>
      <x:c r="G1683" s="10" t="n">
        <x:v>120</x:v>
      </x:c>
      <x:c r="H1683" s="10" t="n">
        <x:f>IF(F1683="Física",'Pokémon'!G182,IF(F1683="Especial",'Pokémon'!I182,""))</x:f>
        <x:v>95</x:v>
      </x:c>
      <x:c r="I1683" s="10" t="n">
        <x:f>IF(OR(F1683="Status",G1683=0),"",G1683+H1683)</x:f>
        <x:v>215</x:v>
      </x:c>
      <x:c r="J1683" s="10" t="n">
        <x:v>49</x:v>
      </x:c>
      <x:c r="K1683" s="12" t="n">
        <x:v>50</x:v>
      </x:c>
      <x:c r="L1683" s="1" t="str"/>
      <x:c r="M1683" s="9" t="str">
        <x:v>https://poke.idleworld.online/pokepedia/pokemon/xatu</x:v>
      </x:c>
    </x:row>
    <x:row r="1684" ht="22" customHeight="1">
      <x:c r="A1684" s="1" t="n">
        <x:v>178</x:v>
      </x:c>
      <x:c r="B1684" s="1" t="str">
        <x:v>Xatu</x:v>
      </x:c>
      <x:c r="C1684" s="1" t="n">
        <x:v>7</x:v>
      </x:c>
      <x:c r="D1684" s="1" t="str">
        <x:v>Psychic</x:v>
      </x:c>
      <x:c r="E1684" s="1" t="str">
        <x:v>Psíquico</x:v>
      </x:c>
      <x:c r="F1684" s="1" t="str">
        <x:v>Especial</x:v>
      </x:c>
      <x:c r="G1684" s="10" t="n">
        <x:v>90</x:v>
      </x:c>
      <x:c r="H1684" s="10" t="n">
        <x:f>IF(F1684="Física",'Pokémon'!G182,IF(F1684="Especial",'Pokémon'!I182,""))</x:f>
        <x:v>95</x:v>
      </x:c>
      <x:c r="I1684" s="10" t="n">
        <x:f>IF(OR(F1684="Status",G1684=0),"",G1684+H1684)</x:f>
        <x:v>185</x:v>
      </x:c>
      <x:c r="J1684" s="10" t="n">
        <x:v>35</x:v>
      </x:c>
      <x:c r="K1684" s="12" t="n">
        <x:v>35</x:v>
      </x:c>
      <x:c r="L1684" s="1" t="str"/>
      <x:c r="M1684" s="9" t="str">
        <x:v>https://poke.idleworld.online/pokepedia/pokemon/xatu</x:v>
      </x:c>
    </x:row>
    <x:row r="1685" ht="22" customHeight="1">
      <x:c r="A1685" s="1" t="n">
        <x:v>178</x:v>
      </x:c>
      <x:c r="B1685" s="1" t="str">
        <x:v>Xatu</x:v>
      </x:c>
      <x:c r="C1685" s="1" t="n">
        <x:v>6</x:v>
      </x:c>
      <x:c r="D1685" s="1" t="str">
        <x:v>Air Slash</x:v>
      </x:c>
      <x:c r="E1685" s="1" t="str">
        <x:v>Voador</x:v>
      </x:c>
      <x:c r="F1685" s="1" t="str">
        <x:v>Especial</x:v>
      </x:c>
      <x:c r="G1685" s="10" t="n">
        <x:v>75</x:v>
      </x:c>
      <x:c r="H1685" s="10" t="n">
        <x:f>IF(F1685="Física",'Pokémon'!G182,IF(F1685="Especial",'Pokémon'!I182,""))</x:f>
        <x:v>95</x:v>
      </x:c>
      <x:c r="I1685" s="10" t="n">
        <x:f>IF(OR(F1685="Status",G1685=0),"",G1685+H1685)</x:f>
        <x:v>170</x:v>
      </x:c>
      <x:c r="J1685" s="10" t="n">
        <x:v>25</x:v>
      </x:c>
      <x:c r="K1685" s="12" t="n">
        <x:v>22</x:v>
      </x:c>
      <x:c r="L1685" s="1" t="str"/>
      <x:c r="M1685" s="9" t="str">
        <x:v>https://poke.idleworld.online/pokepedia/pokemon/xatu</x:v>
      </x:c>
    </x:row>
    <x:row r="1686" ht="22" customHeight="1">
      <x:c r="A1686" s="1" t="n">
        <x:v>178</x:v>
      </x:c>
      <x:c r="B1686" s="1" t="str">
        <x:v>Xatu</x:v>
      </x:c>
      <x:c r="C1686" s="1" t="n">
        <x:v>5</x:v>
      </x:c>
      <x:c r="D1686" s="1" t="str">
        <x:v>Ominous Wind</x:v>
      </x:c>
      <x:c r="E1686" s="1" t="str">
        <x:v>Fantasma</x:v>
      </x:c>
      <x:c r="F1686" s="1" t="str">
        <x:v>Especial</x:v>
      </x:c>
      <x:c r="G1686" s="10" t="n">
        <x:v>60</x:v>
      </x:c>
      <x:c r="H1686" s="10" t="n">
        <x:f>IF(F1686="Física",'Pokémon'!G182,IF(F1686="Especial",'Pokémon'!I182,""))</x:f>
        <x:v>95</x:v>
      </x:c>
      <x:c r="I1686" s="10" t="n">
        <x:f>IF(OR(F1686="Status",G1686=0),"",G1686+H1686)</x:f>
        <x:v>155</x:v>
      </x:c>
      <x:c r="J1686" s="10" t="n">
        <x:v>20</x:v>
      </x:c>
      <x:c r="K1686" s="12" t="n">
        <x:v>20</x:v>
      </x:c>
      <x:c r="L1686" s="1" t="str"/>
      <x:c r="M1686" s="9" t="str">
        <x:v>https://poke.idleworld.online/pokepedia/pokemon/xatu</x:v>
      </x:c>
    </x:row>
    <x:row r="1687" ht="22" customHeight="1">
      <x:c r="A1687" s="1" t="n">
        <x:v>178</x:v>
      </x:c>
      <x:c r="B1687" s="1" t="str">
        <x:v>Xatu</x:v>
      </x:c>
      <x:c r="C1687" s="1" t="n">
        <x:v>4</x:v>
      </x:c>
      <x:c r="D1687" s="1" t="str">
        <x:v>Stored Power</x:v>
      </x:c>
      <x:c r="E1687" s="1" t="str">
        <x:v>Psíquico</x:v>
      </x:c>
      <x:c r="F1687" s="1" t="str">
        <x:v>Especial</x:v>
      </x:c>
      <x:c r="G1687" s="10" t="n">
        <x:v>20</x:v>
      </x:c>
      <x:c r="H1687" s="10" t="n">
        <x:f>IF(F1687="Física",'Pokémon'!G182,IF(F1687="Especial",'Pokémon'!I182,""))</x:f>
        <x:v>95</x:v>
      </x:c>
      <x:c r="I1687" s="10" t="n">
        <x:f>IF(OR(F1687="Status",G1687=0),"",G1687+H1687)</x:f>
        <x:v>115</x:v>
      </x:c>
      <x:c r="J1687" s="10" t="n">
        <x:v>17</x:v>
      </x:c>
      <x:c r="K1687" s="12" t="n">
        <x:v>15</x:v>
      </x:c>
      <x:c r="L1687" s="1" t="str"/>
      <x:c r="M1687" s="9" t="str">
        <x:v>https://poke.idleworld.online/pokepedia/pokemon/xatu</x:v>
      </x:c>
    </x:row>
    <x:row r="1688" ht="22" customHeight="1">
      <x:c r="A1688" s="1" t="n">
        <x:v>178</x:v>
      </x:c>
      <x:c r="B1688" s="1" t="str">
        <x:v>Xatu</x:v>
      </x:c>
      <x:c r="C1688" s="1" t="n">
        <x:v>1</x:v>
      </x:c>
      <x:c r="D1688" s="1" t="str">
        <x:v>Peck</x:v>
      </x:c>
      <x:c r="E1688" s="1" t="str">
        <x:v>Voador</x:v>
      </x:c>
      <x:c r="F1688" s="1" t="str">
        <x:v>Física</x:v>
      </x:c>
      <x:c r="G1688" s="10" t="n">
        <x:v>35</x:v>
      </x:c>
      <x:c r="H1688" s="10" t="n">
        <x:f>IF(F1688="Física",'Pokémon'!G182,IF(F1688="Especial",'Pokémon'!I182,""))</x:f>
        <x:v>75</x:v>
      </x:c>
      <x:c r="I1688" s="10" t="n">
        <x:f>IF(OR(F1688="Status",G1688=0),"",G1688+H1688)</x:f>
        <x:v>110</x:v>
      </x:c>
      <x:c r="J1688" s="10" t="n">
        <x:v>1</x:v>
      </x:c>
      <x:c r="K1688" s="12" t="n">
        <x:v>10</x:v>
      </x:c>
      <x:c r="L1688" s="1" t="str"/>
      <x:c r="M1688" s="9" t="str">
        <x:v>https://poke.idleworld.online/pokepedia/pokemon/xatu</x:v>
      </x:c>
    </x:row>
    <x:row r="1689" ht="22" customHeight="1">
      <x:c r="A1689" s="1" t="n">
        <x:v>179</x:v>
      </x:c>
      <x:c r="B1689" s="1" t="str">
        <x:v>Mareep</x:v>
      </x:c>
      <x:c r="C1689" s="1" t="n">
        <x:v>7</x:v>
      </x:c>
      <x:c r="D1689" s="1" t="str">
        <x:v>Thunder</x:v>
      </x:c>
      <x:c r="E1689" s="1" t="str">
        <x:v>Elétrico</x:v>
      </x:c>
      <x:c r="F1689" s="1" t="str">
        <x:v>Especial</x:v>
      </x:c>
      <x:c r="G1689" s="10" t="n">
        <x:v>110</x:v>
      </x:c>
      <x:c r="H1689" s="10" t="n">
        <x:f>IF(F1689="Física",'Pokémon'!G183,IF(F1689="Especial",'Pokémon'!I183,""))</x:f>
        <x:v>65</x:v>
      </x:c>
      <x:c r="I1689" s="10" t="n">
        <x:f>IF(OR(F1689="Status",G1689=0),"",G1689+H1689)</x:f>
        <x:v>175</x:v>
      </x:c>
      <x:c r="J1689" s="10" t="n">
        <x:v>46</x:v>
      </x:c>
      <x:c r="K1689" s="12" t="n">
        <x:v>60</x:v>
      </x:c>
      <x:c r="L1689" s="1" t="str"/>
      <x:c r="M1689" s="9" t="str">
        <x:v>https://poke.idleworld.online/pokepedia/pokemon/mareep</x:v>
      </x:c>
    </x:row>
    <x:row r="1690" ht="22" customHeight="1">
      <x:c r="A1690" s="1" t="n">
        <x:v>179</x:v>
      </x:c>
      <x:c r="B1690" s="1" t="str">
        <x:v>Mareep</x:v>
      </x:c>
      <x:c r="C1690" s="1" t="n">
        <x:v>4</x:v>
      </x:c>
      <x:c r="D1690" s="1" t="str">
        <x:v>Power Gem</x:v>
      </x:c>
      <x:c r="E1690" s="1" t="str">
        <x:v>Pedra</x:v>
      </x:c>
      <x:c r="F1690" s="1" t="str">
        <x:v>Especial</x:v>
      </x:c>
      <x:c r="G1690" s="10" t="n">
        <x:v>80</x:v>
      </x:c>
      <x:c r="H1690" s="10" t="n">
        <x:f>IF(F1690="Física",'Pokémon'!G183,IF(F1690="Especial",'Pokémon'!I183,""))</x:f>
        <x:v>65</x:v>
      </x:c>
      <x:c r="I1690" s="10" t="n">
        <x:f>IF(OR(F1690="Status",G1690=0),"",G1690+H1690)</x:f>
        <x:v>145</x:v>
      </x:c>
      <x:c r="J1690" s="10" t="n">
        <x:v>29</x:v>
      </x:c>
      <x:c r="K1690" s="12" t="n">
        <x:v>22</x:v>
      </x:c>
      <x:c r="L1690" s="1" t="str"/>
      <x:c r="M1690" s="9" t="str">
        <x:v>https://poke.idleworld.online/pokepedia/pokemon/mareep</x:v>
      </x:c>
    </x:row>
    <x:row r="1691" ht="22" customHeight="1">
      <x:c r="A1691" s="1" t="n">
        <x:v>179</x:v>
      </x:c>
      <x:c r="B1691" s="1" t="str">
        <x:v>Mareep</x:v>
      </x:c>
      <x:c r="C1691" s="1" t="n">
        <x:v>5</x:v>
      </x:c>
      <x:c r="D1691" s="1" t="str">
        <x:v>Discharge</x:v>
      </x:c>
      <x:c r="E1691" s="1" t="str">
        <x:v>Elétrico</x:v>
      </x:c>
      <x:c r="F1691" s="1" t="str">
        <x:v>Especial</x:v>
      </x:c>
      <x:c r="G1691" s="10" t="n">
        <x:v>80</x:v>
      </x:c>
      <x:c r="H1691" s="10" t="n">
        <x:f>IF(F1691="Física",'Pokémon'!G183,IF(F1691="Especial",'Pokémon'!I183,""))</x:f>
        <x:v>65</x:v>
      </x:c>
      <x:c r="I1691" s="10" t="n">
        <x:f>IF(OR(F1691="Status",G1691=0),"",G1691+H1691)</x:f>
        <x:v>145</x:v>
      </x:c>
      <x:c r="J1691" s="10" t="n">
        <x:v>32</x:v>
      </x:c>
      <x:c r="K1691" s="12" t="n">
        <x:v>22</x:v>
      </x:c>
      <x:c r="L1691" s="1" t="str"/>
      <x:c r="M1691" s="9" t="str">
        <x:v>https://poke.idleworld.online/pokepedia/pokemon/mareep</x:v>
      </x:c>
    </x:row>
    <x:row r="1692" ht="22" customHeight="1">
      <x:c r="A1692" s="1" t="n">
        <x:v>179</x:v>
      </x:c>
      <x:c r="B1692" s="1" t="str">
        <x:v>Mareep</x:v>
      </x:c>
      <x:c r="C1692" s="1" t="n">
        <x:v>6</x:v>
      </x:c>
      <x:c r="D1692" s="1" t="str">
        <x:v>Signal Beam</x:v>
      </x:c>
      <x:c r="E1692" s="1" t="str">
        <x:v>Inseto</x:v>
      </x:c>
      <x:c r="F1692" s="1" t="str">
        <x:v>Especial</x:v>
      </x:c>
      <x:c r="G1692" s="10" t="n">
        <x:v>75</x:v>
      </x:c>
      <x:c r="H1692" s="10" t="n">
        <x:f>IF(F1692="Física",'Pokémon'!G183,IF(F1692="Especial",'Pokémon'!I183,""))</x:f>
        <x:v>65</x:v>
      </x:c>
      <x:c r="I1692" s="10" t="n">
        <x:f>IF(OR(F1692="Status",G1692=0),"",G1692+H1692)</x:f>
        <x:v>140</x:v>
      </x:c>
      <x:c r="J1692" s="10" t="n">
        <x:v>39</x:v>
      </x:c>
      <x:c r="K1692" s="12" t="n">
        <x:v>22</x:v>
      </x:c>
      <x:c r="L1692" s="1" t="str"/>
      <x:c r="M1692" s="9" t="str">
        <x:v>https://poke.idleworld.online/pokepedia/pokemon/mareep</x:v>
      </x:c>
    </x:row>
    <x:row r="1693" ht="22" customHeight="1">
      <x:c r="A1693" s="1" t="n">
        <x:v>179</x:v>
      </x:c>
      <x:c r="B1693" s="1" t="str">
        <x:v>Mareep</x:v>
      </x:c>
      <x:c r="C1693" s="1" t="n">
        <x:v>3</x:v>
      </x:c>
      <x:c r="D1693" s="1" t="str">
        <x:v>Take Down</x:v>
      </x:c>
      <x:c r="E1693" s="1" t="str">
        <x:v>Normal</x:v>
      </x:c>
      <x:c r="F1693" s="1" t="str">
        <x:v>Física</x:v>
      </x:c>
      <x:c r="G1693" s="10" t="n">
        <x:v>90</x:v>
      </x:c>
      <x:c r="H1693" s="10" t="n">
        <x:f>IF(F1693="Física",'Pokémon'!G183,IF(F1693="Especial",'Pokémon'!I183,""))</x:f>
        <x:v>40</x:v>
      </x:c>
      <x:c r="I1693" s="10" t="n">
        <x:f>IF(OR(F1693="Status",G1693=0),"",G1693+H1693)</x:f>
        <x:v>130</x:v>
      </x:c>
      <x:c r="J1693" s="10" t="n">
        <x:v>18</x:v>
      </x:c>
      <x:c r="K1693" s="12" t="n">
        <x:v>22</x:v>
      </x:c>
      <x:c r="L1693" s="1" t="str"/>
      <x:c r="M1693" s="9" t="str">
        <x:v>https://poke.idleworld.online/pokepedia/pokemon/mareep</x:v>
      </x:c>
    </x:row>
    <x:row r="1694" ht="22" customHeight="1">
      <x:c r="A1694" s="1" t="n">
        <x:v>179</x:v>
      </x:c>
      <x:c r="B1694" s="1" t="str">
        <x:v>Mareep</x:v>
      </x:c>
      <x:c r="C1694" s="1" t="n">
        <x:v>2</x:v>
      </x:c>
      <x:c r="D1694" s="1" t="str">
        <x:v>Thunder Shock</x:v>
      </x:c>
      <x:c r="E1694" s="1" t="str">
        <x:v>Elétrico</x:v>
      </x:c>
      <x:c r="F1694" s="1" t="str">
        <x:v>Especial</x:v>
      </x:c>
      <x:c r="G1694" s="10" t="n">
        <x:v>40</x:v>
      </x:c>
      <x:c r="H1694" s="10" t="n">
        <x:f>IF(F1694="Física",'Pokémon'!G183,IF(F1694="Especial",'Pokémon'!I183,""))</x:f>
        <x:v>65</x:v>
      </x:c>
      <x:c r="I1694" s="10" t="n">
        <x:f>IF(OR(F1694="Status",G1694=0),"",G1694+H1694)</x:f>
        <x:v>105</x:v>
      </x:c>
      <x:c r="J1694" s="10" t="n">
        <x:v>8</x:v>
      </x:c>
      <x:c r="K1694" s="12" t="n">
        <x:v>10</x:v>
      </x:c>
      <x:c r="L1694" s="1" t="str"/>
      <x:c r="M1694" s="9" t="str">
        <x:v>https://poke.idleworld.online/pokepedia/pokemon/mareep</x:v>
      </x:c>
    </x:row>
    <x:row r="1695" ht="22" customHeight="1">
      <x:c r="A1695" s="1" t="n">
        <x:v>179</x:v>
      </x:c>
      <x:c r="B1695" s="1" t="str">
        <x:v>Mareep</x:v>
      </x:c>
      <x:c r="C1695" s="1" t="n">
        <x:v>1</x:v>
      </x:c>
      <x:c r="D1695" s="1" t="str">
        <x:v>Tackle</x:v>
      </x:c>
      <x:c r="E1695" s="1" t="str">
        <x:v>Normal</x:v>
      </x:c>
      <x:c r="F1695" s="1" t="str">
        <x:v>Física</x:v>
      </x:c>
      <x:c r="G1695" s="10" t="n">
        <x:v>50</x:v>
      </x:c>
      <x:c r="H1695" s="10" t="n">
        <x:f>IF(F1695="Física",'Pokémon'!G183,IF(F1695="Especial",'Pokémon'!I183,""))</x:f>
        <x:v>40</x:v>
      </x:c>
      <x:c r="I1695" s="10" t="n">
        <x:f>IF(OR(F1695="Status",G1695=0),"",G1695+H1695)</x:f>
        <x:v>90</x:v>
      </x:c>
      <x:c r="J1695" s="10" t="n">
        <x:v>1</x:v>
      </x:c>
      <x:c r="K1695" s="12" t="n">
        <x:v>15</x:v>
      </x:c>
      <x:c r="L1695" s="1" t="str"/>
      <x:c r="M1695" s="9" t="str">
        <x:v>https://poke.idleworld.online/pokepedia/pokemon/mareep</x:v>
      </x:c>
    </x:row>
    <x:row r="1696" ht="22" customHeight="1">
      <x:c r="A1696" s="1" t="n">
        <x:v>180</x:v>
      </x:c>
      <x:c r="B1696" s="1" t="str">
        <x:v>Flaaffy</x:v>
      </x:c>
      <x:c r="C1696" s="1" t="n">
        <x:v>7</x:v>
      </x:c>
      <x:c r="D1696" s="1" t="str">
        <x:v>Thunder</x:v>
      </x:c>
      <x:c r="E1696" s="1" t="str">
        <x:v>Elétrico</x:v>
      </x:c>
      <x:c r="F1696" s="1" t="str">
        <x:v>Especial</x:v>
      </x:c>
      <x:c r="G1696" s="10" t="n">
        <x:v>110</x:v>
      </x:c>
      <x:c r="H1696" s="10" t="n">
        <x:f>IF(F1696="Física",'Pokémon'!G184,IF(F1696="Especial",'Pokémon'!I184,""))</x:f>
        <x:v>80</x:v>
      </x:c>
      <x:c r="I1696" s="10" t="n">
        <x:f>IF(OR(F1696="Status",G1696=0),"",G1696+H1696)</x:f>
        <x:v>190</x:v>
      </x:c>
      <x:c r="J1696" s="10" t="n">
        <x:v>56</x:v>
      </x:c>
      <x:c r="K1696" s="12" t="n">
        <x:v>60</x:v>
      </x:c>
      <x:c r="L1696" s="1" t="str"/>
      <x:c r="M1696" s="9" t="str">
        <x:v>https://poke.idleworld.online/pokepedia/pokemon/flaaffy</x:v>
      </x:c>
    </x:row>
    <x:row r="1697" ht="22" customHeight="1">
      <x:c r="A1697" s="1" t="n">
        <x:v>180</x:v>
      </x:c>
      <x:c r="B1697" s="1" t="str">
        <x:v>Flaaffy</x:v>
      </x:c>
      <x:c r="C1697" s="1" t="n">
        <x:v>4</x:v>
      </x:c>
      <x:c r="D1697" s="1" t="str">
        <x:v>Power Gem</x:v>
      </x:c>
      <x:c r="E1697" s="1" t="str">
        <x:v>Pedra</x:v>
      </x:c>
      <x:c r="F1697" s="1" t="str">
        <x:v>Especial</x:v>
      </x:c>
      <x:c r="G1697" s="10" t="n">
        <x:v>80</x:v>
      </x:c>
      <x:c r="H1697" s="10" t="n">
        <x:f>IF(F1697="Física",'Pokémon'!G184,IF(F1697="Especial",'Pokémon'!I184,""))</x:f>
        <x:v>80</x:v>
      </x:c>
      <x:c r="I1697" s="10" t="n">
        <x:f>IF(OR(F1697="Status",G1697=0),"",G1697+H1697)</x:f>
        <x:v>160</x:v>
      </x:c>
      <x:c r="J1697" s="10" t="n">
        <x:v>34</x:v>
      </x:c>
      <x:c r="K1697" s="12" t="n">
        <x:v>22</x:v>
      </x:c>
      <x:c r="L1697" s="1" t="str"/>
      <x:c r="M1697" s="9" t="str">
        <x:v>https://poke.idleworld.online/pokepedia/pokemon/flaaffy</x:v>
      </x:c>
    </x:row>
    <x:row r="1698" ht="22" customHeight="1">
      <x:c r="A1698" s="1" t="n">
        <x:v>180</x:v>
      </x:c>
      <x:c r="B1698" s="1" t="str">
        <x:v>Flaaffy</x:v>
      </x:c>
      <x:c r="C1698" s="1" t="n">
        <x:v>5</x:v>
      </x:c>
      <x:c r="D1698" s="1" t="str">
        <x:v>Discharge</x:v>
      </x:c>
      <x:c r="E1698" s="1" t="str">
        <x:v>Elétrico</x:v>
      </x:c>
      <x:c r="F1698" s="1" t="str">
        <x:v>Especial</x:v>
      </x:c>
      <x:c r="G1698" s="10" t="n">
        <x:v>80</x:v>
      </x:c>
      <x:c r="H1698" s="10" t="n">
        <x:f>IF(F1698="Física",'Pokémon'!G184,IF(F1698="Especial",'Pokémon'!I184,""))</x:f>
        <x:v>80</x:v>
      </x:c>
      <x:c r="I1698" s="10" t="n">
        <x:f>IF(OR(F1698="Status",G1698=0),"",G1698+H1698)</x:f>
        <x:v>160</x:v>
      </x:c>
      <x:c r="J1698" s="10" t="n">
        <x:v>38</x:v>
      </x:c>
      <x:c r="K1698" s="12" t="n">
        <x:v>22</x:v>
      </x:c>
      <x:c r="L1698" s="1" t="str"/>
      <x:c r="M1698" s="9" t="str">
        <x:v>https://poke.idleworld.online/pokepedia/pokemon/flaaffy</x:v>
      </x:c>
    </x:row>
    <x:row r="1699" ht="22" customHeight="1">
      <x:c r="A1699" s="1" t="n">
        <x:v>180</x:v>
      </x:c>
      <x:c r="B1699" s="1" t="str">
        <x:v>Flaaffy</x:v>
      </x:c>
      <x:c r="C1699" s="1" t="n">
        <x:v>6</x:v>
      </x:c>
      <x:c r="D1699" s="1" t="str">
        <x:v>Signal Beam</x:v>
      </x:c>
      <x:c r="E1699" s="1" t="str">
        <x:v>Inseto</x:v>
      </x:c>
      <x:c r="F1699" s="1" t="str">
        <x:v>Especial</x:v>
      </x:c>
      <x:c r="G1699" s="10" t="n">
        <x:v>75</x:v>
      </x:c>
      <x:c r="H1699" s="10" t="n">
        <x:f>IF(F1699="Física",'Pokémon'!G184,IF(F1699="Especial",'Pokémon'!I184,""))</x:f>
        <x:v>80</x:v>
      </x:c>
      <x:c r="I1699" s="10" t="n">
        <x:f>IF(OR(F1699="Status",G1699=0),"",G1699+H1699)</x:f>
        <x:v>155</x:v>
      </x:c>
      <x:c r="J1699" s="10" t="n">
        <x:v>47</x:v>
      </x:c>
      <x:c r="K1699" s="12" t="n">
        <x:v>22</x:v>
      </x:c>
      <x:c r="L1699" s="1" t="str"/>
      <x:c r="M1699" s="9" t="str">
        <x:v>https://poke.idleworld.online/pokepedia/pokemon/flaaffy</x:v>
      </x:c>
    </x:row>
    <x:row r="1700" ht="22" customHeight="1">
      <x:c r="A1700" s="1" t="n">
        <x:v>180</x:v>
      </x:c>
      <x:c r="B1700" s="1" t="str">
        <x:v>Flaaffy</x:v>
      </x:c>
      <x:c r="C1700" s="1" t="n">
        <x:v>3</x:v>
      </x:c>
      <x:c r="D1700" s="1" t="str">
        <x:v>Take Down</x:v>
      </x:c>
      <x:c r="E1700" s="1" t="str">
        <x:v>Normal</x:v>
      </x:c>
      <x:c r="F1700" s="1" t="str">
        <x:v>Física</x:v>
      </x:c>
      <x:c r="G1700" s="10" t="n">
        <x:v>90</x:v>
      </x:c>
      <x:c r="H1700" s="10" t="n">
        <x:f>IF(F1700="Física",'Pokémon'!G184,IF(F1700="Especial",'Pokémon'!I184,""))</x:f>
        <x:v>55</x:v>
      </x:c>
      <x:c r="I1700" s="10" t="n">
        <x:f>IF(OR(F1700="Status",G1700=0),"",G1700+H1700)</x:f>
        <x:v>145</x:v>
      </x:c>
      <x:c r="J1700" s="10" t="n">
        <x:v>20</x:v>
      </x:c>
      <x:c r="K1700" s="12" t="n">
        <x:v>22</x:v>
      </x:c>
      <x:c r="L1700" s="1" t="str"/>
      <x:c r="M1700" s="9" t="str">
        <x:v>https://poke.idleworld.online/pokepedia/pokemon/flaaffy</x:v>
      </x:c>
    </x:row>
    <x:row r="1701" ht="22" customHeight="1">
      <x:c r="A1701" s="1" t="n">
        <x:v>180</x:v>
      </x:c>
      <x:c r="B1701" s="1" t="str">
        <x:v>Flaaffy</x:v>
      </x:c>
      <x:c r="C1701" s="1" t="n">
        <x:v>1</x:v>
      </x:c>
      <x:c r="D1701" s="1" t="str">
        <x:v>Thunder Shock</x:v>
      </x:c>
      <x:c r="E1701" s="1" t="str">
        <x:v>Elétrico</x:v>
      </x:c>
      <x:c r="F1701" s="1" t="str">
        <x:v>Especial</x:v>
      </x:c>
      <x:c r="G1701" s="10" t="n">
        <x:v>40</x:v>
      </x:c>
      <x:c r="H1701" s="10" t="n">
        <x:f>IF(F1701="Física",'Pokémon'!G184,IF(F1701="Especial",'Pokémon'!I184,""))</x:f>
        <x:v>80</x:v>
      </x:c>
      <x:c r="I1701" s="10" t="n">
        <x:f>IF(OR(F1701="Status",G1701=0),"",G1701+H1701)</x:f>
        <x:v>120</x:v>
      </x:c>
      <x:c r="J1701" s="10" t="n">
        <x:v>1</x:v>
      </x:c>
      <x:c r="K1701" s="12" t="n">
        <x:v>10</x:v>
      </x:c>
      <x:c r="L1701" s="1" t="str"/>
      <x:c r="M1701" s="9" t="str">
        <x:v>https://poke.idleworld.online/pokepedia/pokemon/flaaffy</x:v>
      </x:c>
    </x:row>
    <x:row r="1702" ht="22" customHeight="1">
      <x:c r="A1702" s="1" t="n">
        <x:v>180</x:v>
      </x:c>
      <x:c r="B1702" s="1" t="str">
        <x:v>Flaaffy</x:v>
      </x:c>
      <x:c r="C1702" s="1" t="n">
        <x:v>2</x:v>
      </x:c>
      <x:c r="D1702" s="1" t="str">
        <x:v>Tackle</x:v>
      </x:c>
      <x:c r="E1702" s="1" t="str">
        <x:v>Normal</x:v>
      </x:c>
      <x:c r="F1702" s="1" t="str">
        <x:v>Física</x:v>
      </x:c>
      <x:c r="G1702" s="10" t="n">
        <x:v>50</x:v>
      </x:c>
      <x:c r="H1702" s="10" t="n">
        <x:f>IF(F1702="Física",'Pokémon'!G184,IF(F1702="Especial",'Pokémon'!I184,""))</x:f>
        <x:v>55</x:v>
      </x:c>
      <x:c r="I1702" s="10" t="n">
        <x:f>IF(OR(F1702="Status",G1702=0),"",G1702+H1702)</x:f>
        <x:v>105</x:v>
      </x:c>
      <x:c r="J1702" s="10" t="n">
        <x:v>1</x:v>
      </x:c>
      <x:c r="K1702" s="12" t="n">
        <x:v>15</x:v>
      </x:c>
      <x:c r="L1702" s="1" t="str"/>
      <x:c r="M1702" s="9" t="str">
        <x:v>https://poke.idleworld.online/pokepedia/pokemon/flaaffy</x:v>
      </x:c>
    </x:row>
    <x:row r="1703" ht="22" customHeight="1">
      <x:c r="A1703" s="1" t="n">
        <x:v>181</x:v>
      </x:c>
      <x:c r="B1703" s="1" t="str">
        <x:v>Ampharos</x:v>
      </x:c>
      <x:c r="C1703" s="1" t="n">
        <x:v>3</x:v>
      </x:c>
      <x:c r="D1703" s="1" t="str">
        <x:v>Static Overload</x:v>
      </x:c>
      <x:c r="E1703" s="1" t="str">
        <x:v>Elétrico</x:v>
      </x:c>
      <x:c r="F1703" s="1" t="str">
        <x:v>Especial</x:v>
      </x:c>
      <x:c r="G1703" s="10" t="n">
        <x:v>300</x:v>
      </x:c>
      <x:c r="H1703" s="10" t="n">
        <x:f>IF(F1703="Física",'Pokémon'!G185,IF(F1703="Especial",'Pokémon'!I185,""))</x:f>
        <x:v>115</x:v>
      </x:c>
      <x:c r="I1703" s="10" t="n">
        <x:f>IF(OR(F1703="Status",G1703=0),"",G1703+H1703)</x:f>
        <x:v>415</x:v>
      </x:c>
      <x:c r="J1703" s="10" t="n">
        <x:v>1</x:v>
      </x:c>
      <x:c r="K1703" s="12" t="n">
        <x:v>10</x:v>
      </x:c>
      <x:c r="L1703" s="1" t="str">
        <x:v>Sim</x:v>
      </x:c>
      <x:c r="M1703" s="9" t="str">
        <x:v>https://poke.idleworld.online/pokepedia/pokemon/ampharos</x:v>
      </x:c>
    </x:row>
    <x:row r="1704" ht="22" customHeight="1">
      <x:c r="A1704" s="1" t="n">
        <x:v>181</x:v>
      </x:c>
      <x:c r="B1704" s="1" t="str">
        <x:v>Ampharos</x:v>
      </x:c>
      <x:c r="C1704" s="1" t="n">
        <x:v>6</x:v>
      </x:c>
      <x:c r="D1704" s="1" t="str">
        <x:v>Zap Cannon</x:v>
      </x:c>
      <x:c r="E1704" s="1" t="str">
        <x:v>Elétrico</x:v>
      </x:c>
      <x:c r="F1704" s="1" t="str">
        <x:v>Especial</x:v>
      </x:c>
      <x:c r="G1704" s="10" t="n">
        <x:v>120</x:v>
      </x:c>
      <x:c r="H1704" s="10" t="n">
        <x:f>IF(F1704="Física",'Pokémon'!G185,IF(F1704="Especial",'Pokémon'!I185,""))</x:f>
        <x:v>115</x:v>
      </x:c>
      <x:c r="I1704" s="10" t="n">
        <x:f>IF(OR(F1704="Status",G1704=0),"",G1704+H1704)</x:f>
        <x:v>235</x:v>
      </x:c>
      <x:c r="J1704" s="10" t="n">
        <x:v>1</x:v>
      </x:c>
      <x:c r="K1704" s="12" t="n">
        <x:v>50</x:v>
      </x:c>
      <x:c r="L1704" s="1" t="str"/>
      <x:c r="M1704" s="9" t="str">
        <x:v>https://poke.idleworld.online/pokepedia/pokemon/ampharos</x:v>
      </x:c>
    </x:row>
    <x:row r="1705" ht="22" customHeight="1">
      <x:c r="A1705" s="1" t="n">
        <x:v>181</x:v>
      </x:c>
      <x:c r="B1705" s="1" t="str">
        <x:v>Ampharos</x:v>
      </x:c>
      <x:c r="C1705" s="1" t="n">
        <x:v>12</x:v>
      </x:c>
      <x:c r="D1705" s="1" t="str">
        <x:v>Thunder</x:v>
      </x:c>
      <x:c r="E1705" s="1" t="str">
        <x:v>Elétrico</x:v>
      </x:c>
      <x:c r="F1705" s="1" t="str">
        <x:v>Especial</x:v>
      </x:c>
      <x:c r="G1705" s="10" t="n">
        <x:v>110</x:v>
      </x:c>
      <x:c r="H1705" s="10" t="n">
        <x:f>IF(F1705="Física",'Pokémon'!G185,IF(F1705="Especial",'Pokémon'!I185,""))</x:f>
        <x:v>115</x:v>
      </x:c>
      <x:c r="I1705" s="10" t="n">
        <x:f>IF(OR(F1705="Status",G1705=0),"",G1705+H1705)</x:f>
        <x:v>225</x:v>
      </x:c>
      <x:c r="J1705" s="10" t="n">
        <x:v>62</x:v>
      </x:c>
      <x:c r="K1705" s="12" t="n">
        <x:v>60</x:v>
      </x:c>
      <x:c r="L1705" s="1" t="str"/>
      <x:c r="M1705" s="9" t="str">
        <x:v>https://poke.idleworld.online/pokepedia/pokemon/ampharos</x:v>
      </x:c>
    </x:row>
    <x:row r="1706" ht="22" customHeight="1">
      <x:c r="A1706" s="1" t="n">
        <x:v>181</x:v>
      </x:c>
      <x:c r="B1706" s="1" t="str">
        <x:v>Ampharos</x:v>
      </x:c>
      <x:c r="C1706" s="1" t="n">
        <x:v>5</x:v>
      </x:c>
      <x:c r="D1706" s="1" t="str">
        <x:v>Dragon Pulse</x:v>
      </x:c>
      <x:c r="E1706" s="1" t="str">
        <x:v>Dragão</x:v>
      </x:c>
      <x:c r="F1706" s="1" t="str">
        <x:v>Especial</x:v>
      </x:c>
      <x:c r="G1706" s="10" t="n">
        <x:v>85</x:v>
      </x:c>
      <x:c r="H1706" s="10" t="n">
        <x:f>IF(F1706="Física",'Pokémon'!G185,IF(F1706="Especial",'Pokémon'!I185,""))</x:f>
        <x:v>115</x:v>
      </x:c>
      <x:c r="I1706" s="10" t="n">
        <x:f>IF(OR(F1706="Status",G1706=0),"",G1706+H1706)</x:f>
        <x:v>200</x:v>
      </x:c>
      <x:c r="J1706" s="10" t="n">
        <x:v>1</x:v>
      </x:c>
      <x:c r="K1706" s="12" t="n">
        <x:v>22</x:v>
      </x:c>
      <x:c r="L1706" s="1" t="str"/>
      <x:c r="M1706" s="9" t="str">
        <x:v>https://poke.idleworld.online/pokepedia/pokemon/ampharos</x:v>
      </x:c>
    </x:row>
    <x:row r="1707" ht="22" customHeight="1">
      <x:c r="A1707" s="1" t="n">
        <x:v>181</x:v>
      </x:c>
      <x:c r="B1707" s="1" t="str">
        <x:v>Ampharos</x:v>
      </x:c>
      <x:c r="C1707" s="1" t="n">
        <x:v>9</x:v>
      </x:c>
      <x:c r="D1707" s="1" t="str">
        <x:v>Power Gem</x:v>
      </x:c>
      <x:c r="E1707" s="1" t="str">
        <x:v>Pedra</x:v>
      </x:c>
      <x:c r="F1707" s="1" t="str">
        <x:v>Especial</x:v>
      </x:c>
      <x:c r="G1707" s="10" t="n">
        <x:v>80</x:v>
      </x:c>
      <x:c r="H1707" s="10" t="n">
        <x:f>IF(F1707="Física",'Pokémon'!G185,IF(F1707="Especial",'Pokémon'!I185,""))</x:f>
        <x:v>115</x:v>
      </x:c>
      <x:c r="I1707" s="10" t="n">
        <x:f>IF(OR(F1707="Status",G1707=0),"",G1707+H1707)</x:f>
        <x:v>195</x:v>
      </x:c>
      <x:c r="J1707" s="10" t="n">
        <x:v>35</x:v>
      </x:c>
      <x:c r="K1707" s="12" t="n">
        <x:v>22</x:v>
      </x:c>
      <x:c r="L1707" s="1" t="str"/>
      <x:c r="M1707" s="9" t="str">
        <x:v>https://poke.idleworld.online/pokepedia/pokemon/ampharos</x:v>
      </x:c>
    </x:row>
    <x:row r="1708" ht="22" customHeight="1">
      <x:c r="A1708" s="1" t="n">
        <x:v>181</x:v>
      </x:c>
      <x:c r="B1708" s="1" t="str">
        <x:v>Ampharos</x:v>
      </x:c>
      <x:c r="C1708" s="1" t="n">
        <x:v>10</x:v>
      </x:c>
      <x:c r="D1708" s="1" t="str">
        <x:v>Discharge</x:v>
      </x:c>
      <x:c r="E1708" s="1" t="str">
        <x:v>Elétrico</x:v>
      </x:c>
      <x:c r="F1708" s="1" t="str">
        <x:v>Especial</x:v>
      </x:c>
      <x:c r="G1708" s="10" t="n">
        <x:v>80</x:v>
      </x:c>
      <x:c r="H1708" s="10" t="n">
        <x:f>IF(F1708="Física",'Pokémon'!G185,IF(F1708="Especial",'Pokémon'!I185,""))</x:f>
        <x:v>115</x:v>
      </x:c>
      <x:c r="I1708" s="10" t="n">
        <x:f>IF(OR(F1708="Status",G1708=0),"",G1708+H1708)</x:f>
        <x:v>195</x:v>
      </x:c>
      <x:c r="J1708" s="10" t="n">
        <x:v>40</x:v>
      </x:c>
      <x:c r="K1708" s="12" t="n">
        <x:v>22</x:v>
      </x:c>
      <x:c r="L1708" s="1" t="str"/>
      <x:c r="M1708" s="9" t="str">
        <x:v>https://poke.idleworld.online/pokepedia/pokemon/ampharos</x:v>
      </x:c>
    </x:row>
    <x:row r="1709" ht="22" customHeight="1">
      <x:c r="A1709" s="1" t="n">
        <x:v>181</x:v>
      </x:c>
      <x:c r="B1709" s="1" t="str">
        <x:v>Ampharos</x:v>
      </x:c>
      <x:c r="C1709" s="1" t="n">
        <x:v>11</x:v>
      </x:c>
      <x:c r="D1709" s="1" t="str">
        <x:v>Signal Beam</x:v>
      </x:c>
      <x:c r="E1709" s="1" t="str">
        <x:v>Inseto</x:v>
      </x:c>
      <x:c r="F1709" s="1" t="str">
        <x:v>Especial</x:v>
      </x:c>
      <x:c r="G1709" s="10" t="n">
        <x:v>75</x:v>
      </x:c>
      <x:c r="H1709" s="10" t="n">
        <x:f>IF(F1709="Física",'Pokémon'!G185,IF(F1709="Especial",'Pokémon'!I185,""))</x:f>
        <x:v>115</x:v>
      </x:c>
      <x:c r="I1709" s="10" t="n">
        <x:f>IF(OR(F1709="Status",G1709=0),"",G1709+H1709)</x:f>
        <x:v>190</x:v>
      </x:c>
      <x:c r="J1709" s="10" t="n">
        <x:v>51</x:v>
      </x:c>
      <x:c r="K1709" s="12" t="n">
        <x:v>22</x:v>
      </x:c>
      <x:c r="L1709" s="1" t="str"/>
      <x:c r="M1709" s="9" t="str">
        <x:v>https://poke.idleworld.online/pokepedia/pokemon/ampharos</x:v>
      </x:c>
    </x:row>
    <x:row r="1710" ht="22" customHeight="1">
      <x:c r="A1710" s="1" t="n">
        <x:v>181</x:v>
      </x:c>
      <x:c r="B1710" s="1" t="str">
        <x:v>Ampharos</x:v>
      </x:c>
      <x:c r="C1710" s="1" t="n">
        <x:v>7</x:v>
      </x:c>
      <x:c r="D1710" s="1" t="str">
        <x:v>Take Down</x:v>
      </x:c>
      <x:c r="E1710" s="1" t="str">
        <x:v>Normal</x:v>
      </x:c>
      <x:c r="F1710" s="1" t="str">
        <x:v>Física</x:v>
      </x:c>
      <x:c r="G1710" s="10" t="n">
        <x:v>90</x:v>
      </x:c>
      <x:c r="H1710" s="10" t="n">
        <x:f>IF(F1710="Física",'Pokémon'!G185,IF(F1710="Especial",'Pokémon'!I185,""))</x:f>
        <x:v>75</x:v>
      </x:c>
      <x:c r="I1710" s="10" t="n">
        <x:f>IF(OR(F1710="Status",G1710=0),"",G1710+H1710)</x:f>
        <x:v>165</x:v>
      </x:c>
      <x:c r="J1710" s="10" t="n">
        <x:v>20</x:v>
      </x:c>
      <x:c r="K1710" s="12" t="n">
        <x:v>22</x:v>
      </x:c>
      <x:c r="L1710" s="1" t="str"/>
      <x:c r="M1710" s="9" t="str">
        <x:v>https://poke.idleworld.online/pokepedia/pokemon/ampharos</x:v>
      </x:c>
    </x:row>
    <x:row r="1711" ht="22" customHeight="1">
      <x:c r="A1711" s="1" t="n">
        <x:v>181</x:v>
      </x:c>
      <x:c r="B1711" s="1" t="str">
        <x:v>Ampharos</x:v>
      </x:c>
      <x:c r="C1711" s="1" t="n">
        <x:v>1</x:v>
      </x:c>
      <x:c r="D1711" s="1" t="str">
        <x:v>Thunder Shock</x:v>
      </x:c>
      <x:c r="E1711" s="1" t="str">
        <x:v>Elétrico</x:v>
      </x:c>
      <x:c r="F1711" s="1" t="str">
        <x:v>Especial</x:v>
      </x:c>
      <x:c r="G1711" s="10" t="n">
        <x:v>40</x:v>
      </x:c>
      <x:c r="H1711" s="10" t="n">
        <x:f>IF(F1711="Física",'Pokémon'!G185,IF(F1711="Especial",'Pokémon'!I185,""))</x:f>
        <x:v>115</x:v>
      </x:c>
      <x:c r="I1711" s="10" t="n">
        <x:f>IF(OR(F1711="Status",G1711=0),"",G1711+H1711)</x:f>
        <x:v>155</x:v>
      </x:c>
      <x:c r="J1711" s="10" t="n">
        <x:v>1</x:v>
      </x:c>
      <x:c r="K1711" s="12" t="n">
        <x:v>10</x:v>
      </x:c>
      <x:c r="L1711" s="1" t="str"/>
      <x:c r="M1711" s="9" t="str">
        <x:v>https://poke.idleworld.online/pokepedia/pokemon/ampharos</x:v>
      </x:c>
    </x:row>
    <x:row r="1712" ht="22" customHeight="1">
      <x:c r="A1712" s="1" t="n">
        <x:v>181</x:v>
      </x:c>
      <x:c r="B1712" s="1" t="str">
        <x:v>Ampharos</x:v>
      </x:c>
      <x:c r="C1712" s="1" t="n">
        <x:v>4</x:v>
      </x:c>
      <x:c r="D1712" s="1" t="str">
        <x:v>Fire Punch</x:v>
      </x:c>
      <x:c r="E1712" s="1" t="str">
        <x:v>Fogo</x:v>
      </x:c>
      <x:c r="F1712" s="1" t="str">
        <x:v>Física</x:v>
      </x:c>
      <x:c r="G1712" s="10" t="n">
        <x:v>75</x:v>
      </x:c>
      <x:c r="H1712" s="10" t="n">
        <x:f>IF(F1712="Física",'Pokémon'!G185,IF(F1712="Especial",'Pokémon'!I185,""))</x:f>
        <x:v>75</x:v>
      </x:c>
      <x:c r="I1712" s="10" t="n">
        <x:f>IF(OR(F1712="Status",G1712=0),"",G1712+H1712)</x:f>
        <x:v>150</x:v>
      </x:c>
      <x:c r="J1712" s="10" t="n">
        <x:v>1</x:v>
      </x:c>
      <x:c r="K1712" s="12" t="n">
        <x:v>22</x:v>
      </x:c>
      <x:c r="L1712" s="1" t="str"/>
      <x:c r="M1712" s="9" t="str">
        <x:v>https://poke.idleworld.online/pokepedia/pokemon/ampharos</x:v>
      </x:c>
    </x:row>
    <x:row r="1713" ht="22" customHeight="1">
      <x:c r="A1713" s="1" t="n">
        <x:v>181</x:v>
      </x:c>
      <x:c r="B1713" s="1" t="str">
        <x:v>Ampharos</x:v>
      </x:c>
      <x:c r="C1713" s="1" t="n">
        <x:v>8</x:v>
      </x:c>
      <x:c r="D1713" s="1" t="str">
        <x:v>Thunder Punch</x:v>
      </x:c>
      <x:c r="E1713" s="1" t="str">
        <x:v>Elétrico</x:v>
      </x:c>
      <x:c r="F1713" s="1" t="str">
        <x:v>Física</x:v>
      </x:c>
      <x:c r="G1713" s="10" t="n">
        <x:v>75</x:v>
      </x:c>
      <x:c r="H1713" s="10" t="n">
        <x:f>IF(F1713="Física",'Pokémon'!G185,IF(F1713="Especial",'Pokémon'!I185,""))</x:f>
        <x:v>75</x:v>
      </x:c>
      <x:c r="I1713" s="10" t="n">
        <x:f>IF(OR(F1713="Status",G1713=0),"",G1713+H1713)</x:f>
        <x:v>150</x:v>
      </x:c>
      <x:c r="J1713" s="10" t="n">
        <x:v>30</x:v>
      </x:c>
      <x:c r="K1713" s="12" t="n">
        <x:v>22</x:v>
      </x:c>
      <x:c r="L1713" s="1" t="str"/>
      <x:c r="M1713" s="9" t="str">
        <x:v>https://poke.idleworld.online/pokepedia/pokemon/ampharos</x:v>
      </x:c>
    </x:row>
    <x:row r="1714" ht="22" customHeight="1">
      <x:c r="A1714" s="1" t="n">
        <x:v>181</x:v>
      </x:c>
      <x:c r="B1714" s="1" t="str">
        <x:v>Ampharos</x:v>
      </x:c>
      <x:c r="C1714" s="1" t="n">
        <x:v>2</x:v>
      </x:c>
      <x:c r="D1714" s="1" t="str">
        <x:v>Tackle</x:v>
      </x:c>
      <x:c r="E1714" s="1" t="str">
        <x:v>Normal</x:v>
      </x:c>
      <x:c r="F1714" s="1" t="str">
        <x:v>Física</x:v>
      </x:c>
      <x:c r="G1714" s="10" t="n">
        <x:v>50</x:v>
      </x:c>
      <x:c r="H1714" s="10" t="n">
        <x:f>IF(F1714="Física",'Pokémon'!G185,IF(F1714="Especial",'Pokémon'!I185,""))</x:f>
        <x:v>75</x:v>
      </x:c>
      <x:c r="I1714" s="10" t="n">
        <x:f>IF(OR(F1714="Status",G1714=0),"",G1714+H1714)</x:f>
        <x:v>125</x:v>
      </x:c>
      <x:c r="J1714" s="10" t="n">
        <x:v>1</x:v>
      </x:c>
      <x:c r="K1714" s="12" t="n">
        <x:v>15</x:v>
      </x:c>
      <x:c r="L1714" s="1" t="str"/>
      <x:c r="M1714" s="9" t="str">
        <x:v>https://poke.idleworld.online/pokepedia/pokemon/ampharos</x:v>
      </x:c>
    </x:row>
    <x:row r="1715" ht="22" customHeight="1">
      <x:c r="A1715" s="1" t="n">
        <x:v>182</x:v>
      </x:c>
      <x:c r="B1715" s="1" t="str">
        <x:v>Bellossom</x:v>
      </x:c>
      <x:c r="C1715" s="1" t="n">
        <x:v>2</x:v>
      </x:c>
      <x:c r="D1715" s="1" t="str">
        <x:v>Petal Bloom</x:v>
      </x:c>
      <x:c r="E1715" s="1" t="str">
        <x:v>Planta</x:v>
      </x:c>
      <x:c r="F1715" s="1" t="str">
        <x:v>Especial</x:v>
      </x:c>
      <x:c r="G1715" s="10" t="n">
        <x:v>300</x:v>
      </x:c>
      <x:c r="H1715" s="10" t="n">
        <x:f>IF(F1715="Física",'Pokémon'!G186,IF(F1715="Especial",'Pokémon'!I186,""))</x:f>
        <x:v>90</x:v>
      </x:c>
      <x:c r="I1715" s="10" t="n">
        <x:f>IF(OR(F1715="Status",G1715=0),"",G1715+H1715)</x:f>
        <x:v>390</x:v>
      </x:c>
      <x:c r="J1715" s="10" t="n">
        <x:v>1</x:v>
      </x:c>
      <x:c r="K1715" s="12" t="n">
        <x:v>10</x:v>
      </x:c>
      <x:c r="L1715" s="1" t="str">
        <x:v>Sim</x:v>
      </x:c>
      <x:c r="M1715" s="9" t="str">
        <x:v>https://poke.idleworld.online/pokepedia/pokemon/bellossom</x:v>
      </x:c>
    </x:row>
    <x:row r="1716" ht="22" customHeight="1">
      <x:c r="A1716" s="1" t="n">
        <x:v>182</x:v>
      </x:c>
      <x:c r="B1716" s="1" t="str">
        <x:v>Bellossom</x:v>
      </x:c>
      <x:c r="C1716" s="1" t="n">
        <x:v>4</x:v>
      </x:c>
      <x:c r="D1716" s="1" t="str">
        <x:v>Leaf Storm</x:v>
      </x:c>
      <x:c r="E1716" s="1" t="str">
        <x:v>Planta</x:v>
      </x:c>
      <x:c r="F1716" s="1" t="str">
        <x:v>Especial</x:v>
      </x:c>
      <x:c r="G1716" s="10" t="n">
        <x:v>130</x:v>
      </x:c>
      <x:c r="H1716" s="10" t="n">
        <x:f>IF(F1716="Física",'Pokémon'!G186,IF(F1716="Especial",'Pokémon'!I186,""))</x:f>
        <x:v>90</x:v>
      </x:c>
      <x:c r="I1716" s="10" t="n">
        <x:f>IF(OR(F1716="Status",G1716=0),"",G1716+H1716)</x:f>
        <x:v>220</x:v>
      </x:c>
      <x:c r="J1716" s="10" t="n">
        <x:v>1</x:v>
      </x:c>
      <x:c r="K1716" s="12" t="n">
        <x:v>50</x:v>
      </x:c>
      <x:c r="L1716" s="1" t="str"/>
      <x:c r="M1716" s="9" t="str">
        <x:v>https://poke.idleworld.online/pokepedia/pokemon/bellossom</x:v>
      </x:c>
    </x:row>
    <x:row r="1717" ht="22" customHeight="1">
      <x:c r="A1717" s="1" t="n">
        <x:v>182</x:v>
      </x:c>
      <x:c r="B1717" s="1" t="str">
        <x:v>Bellossom</x:v>
      </x:c>
      <x:c r="C1717" s="1" t="n">
        <x:v>3</x:v>
      </x:c>
      <x:c r="D1717" s="1" t="str">
        <x:v>Leaf Blade</x:v>
      </x:c>
      <x:c r="E1717" s="1" t="str">
        <x:v>Planta</x:v>
      </x:c>
      <x:c r="F1717" s="1" t="str">
        <x:v>Física</x:v>
      </x:c>
      <x:c r="G1717" s="10" t="n">
        <x:v>90</x:v>
      </x:c>
      <x:c r="H1717" s="10" t="n">
        <x:f>IF(F1717="Física",'Pokémon'!G186,IF(F1717="Especial",'Pokémon'!I186,""))</x:f>
        <x:v>80</x:v>
      </x:c>
      <x:c r="I1717" s="10" t="n">
        <x:f>IF(OR(F1717="Status",G1717=0),"",G1717+H1717)</x:f>
        <x:v>170</x:v>
      </x:c>
      <x:c r="J1717" s="10" t="n">
        <x:v>1</x:v>
      </x:c>
      <x:c r="K1717" s="12" t="n">
        <x:v>22</x:v>
      </x:c>
      <x:c r="L1717" s="1" t="str"/>
      <x:c r="M1717" s="9" t="str">
        <x:v>https://poke.idleworld.online/pokepedia/pokemon/bellossom</x:v>
      </x:c>
    </x:row>
    <x:row r="1718" ht="22" customHeight="1">
      <x:c r="A1718" s="1" t="n">
        <x:v>182</x:v>
      </x:c>
      <x:c r="B1718" s="1" t="str">
        <x:v>Bellossom</x:v>
      </x:c>
      <x:c r="C1718" s="1" t="n">
        <x:v>6</x:v>
      </x:c>
      <x:c r="D1718" s="1" t="str">
        <x:v>Petal Blizzard</x:v>
      </x:c>
      <x:c r="E1718" s="1" t="str">
        <x:v>Planta</x:v>
      </x:c>
      <x:c r="F1718" s="1" t="str">
        <x:v>Física</x:v>
      </x:c>
      <x:c r="G1718" s="10" t="n">
        <x:v>90</x:v>
      </x:c>
      <x:c r="H1718" s="10" t="n">
        <x:f>IF(F1718="Física",'Pokémon'!G186,IF(F1718="Especial",'Pokémon'!I186,""))</x:f>
        <x:v>80</x:v>
      </x:c>
      <x:c r="I1718" s="10" t="n">
        <x:f>IF(OR(F1718="Status",G1718=0),"",G1718+H1718)</x:f>
        <x:v>170</x:v>
      </x:c>
      <x:c r="J1718" s="10" t="n">
        <x:v>49</x:v>
      </x:c>
      <x:c r="K1718" s="12" t="n">
        <x:v>22</x:v>
      </x:c>
      <x:c r="L1718" s="1" t="str"/>
      <x:c r="M1718" s="9" t="str">
        <x:v>https://poke.idleworld.online/pokepedia/pokemon/bellossom</x:v>
      </x:c>
    </x:row>
    <x:row r="1719" ht="22" customHeight="1">
      <x:c r="A1719" s="1" t="n">
        <x:v>182</x:v>
      </x:c>
      <x:c r="B1719" s="1" t="str">
        <x:v>Bellossom</x:v>
      </x:c>
      <x:c r="C1719" s="1" t="n">
        <x:v>5</x:v>
      </x:c>
      <x:c r="D1719" s="1" t="str">
        <x:v>Magical Leaf</x:v>
      </x:c>
      <x:c r="E1719" s="1" t="str">
        <x:v>Planta</x:v>
      </x:c>
      <x:c r="F1719" s="1" t="str">
        <x:v>Especial</x:v>
      </x:c>
      <x:c r="G1719" s="10" t="n">
        <x:v>60</x:v>
      </x:c>
      <x:c r="H1719" s="10" t="n">
        <x:f>IF(F1719="Física",'Pokémon'!G186,IF(F1719="Especial",'Pokémon'!I186,""))</x:f>
        <x:v>90</x:v>
      </x:c>
      <x:c r="I1719" s="10" t="n">
        <x:f>IF(OR(F1719="Status",G1719=0),"",G1719+H1719)</x:f>
        <x:v>150</x:v>
      </x:c>
      <x:c r="J1719" s="10" t="n">
        <x:v>24</x:v>
      </x:c>
      <x:c r="K1719" s="12" t="n">
        <x:v>20</x:v>
      </x:c>
      <x:c r="L1719" s="1" t="str"/>
      <x:c r="M1719" s="9" t="str">
        <x:v>https://poke.idleworld.online/pokepedia/pokemon/bellossom</x:v>
      </x:c>
    </x:row>
    <x:row r="1720" ht="22" customHeight="1">
      <x:c r="A1720" s="1" t="n">
        <x:v>182</x:v>
      </x:c>
      <x:c r="B1720" s="1" t="str">
        <x:v>Bellossom</x:v>
      </x:c>
      <x:c r="C1720" s="1" t="n">
        <x:v>1</x:v>
      </x:c>
      <x:c r="D1720" s="1" t="str">
        <x:v>Mega Drain</x:v>
      </x:c>
      <x:c r="E1720" s="1" t="str">
        <x:v>Planta</x:v>
      </x:c>
      <x:c r="F1720" s="1" t="str">
        <x:v>Especial</x:v>
      </x:c>
      <x:c r="G1720" s="10" t="n">
        <x:v>40</x:v>
      </x:c>
      <x:c r="H1720" s="10" t="n">
        <x:f>IF(F1720="Física",'Pokémon'!G186,IF(F1720="Especial",'Pokémon'!I186,""))</x:f>
        <x:v>90</x:v>
      </x:c>
      <x:c r="I1720" s="10" t="n">
        <x:f>IF(OR(F1720="Status",G1720=0),"",G1720+H1720)</x:f>
        <x:v>130</x:v>
      </x:c>
      <x:c r="J1720" s="10" t="n">
        <x:v>1</x:v>
      </x:c>
      <x:c r="K1720" s="12" t="n">
        <x:v>2.4</x:v>
      </x:c>
      <x:c r="L1720" s="1" t="str"/>
      <x:c r="M1720" s="9" t="str">
        <x:v>https://poke.idleworld.online/pokepedia/pokemon/bellossom</x:v>
      </x:c>
    </x:row>
    <x:row r="1721" ht="22" customHeight="1">
      <x:c r="A1721" s="1" t="n">
        <x:v>183</x:v>
      </x:c>
      <x:c r="B1721" s="1" t="str">
        <x:v>Marill</x:v>
      </x:c>
      <x:c r="C1721" s="1" t="n">
        <x:v>8</x:v>
      </x:c>
      <x:c r="D1721" s="1" t="str">
        <x:v>Double-Edge</x:v>
      </x:c>
      <x:c r="E1721" s="1" t="str">
        <x:v>Normal</x:v>
      </x:c>
      <x:c r="F1721" s="1" t="str">
        <x:v>Física</x:v>
      </x:c>
      <x:c r="G1721" s="10" t="n">
        <x:v>120</x:v>
      </x:c>
      <x:c r="H1721" s="10" t="n">
        <x:f>IF(F1721="Física",'Pokémon'!G187,IF(F1721="Especial",'Pokémon'!I187,""))</x:f>
        <x:v>20</x:v>
      </x:c>
      <x:c r="I1721" s="10" t="n">
        <x:f>IF(OR(F1721="Status",G1721=0),"",G1721+H1721)</x:f>
        <x:v>140</x:v>
      </x:c>
      <x:c r="J1721" s="10" t="n">
        <x:v>37</x:v>
      </x:c>
      <x:c r="K1721" s="12" t="n">
        <x:v>3</x:v>
      </x:c>
      <x:c r="L1721" s="1" t="str"/>
      <x:c r="M1721" s="9" t="str">
        <x:v>https://poke.idleworld.online/pokepedia/pokemon/marill</x:v>
      </x:c>
    </x:row>
    <x:row r="1722" ht="22" customHeight="1">
      <x:c r="A1722" s="1" t="n">
        <x:v>183</x:v>
      </x:c>
      <x:c r="B1722" s="1" t="str">
        <x:v>Marill</x:v>
      </x:c>
      <x:c r="C1722" s="1" t="n">
        <x:v>9</x:v>
      </x:c>
      <x:c r="D1722" s="1" t="str">
        <x:v>Superpower</x:v>
      </x:c>
      <x:c r="E1722" s="1" t="str">
        <x:v>Lutador</x:v>
      </x:c>
      <x:c r="F1722" s="1" t="str">
        <x:v>Física</x:v>
      </x:c>
      <x:c r="G1722" s="10" t="n">
        <x:v>120</x:v>
      </x:c>
      <x:c r="H1722" s="10" t="n">
        <x:f>IF(F1722="Física",'Pokémon'!G187,IF(F1722="Especial",'Pokémon'!I187,""))</x:f>
        <x:v>20</x:v>
      </x:c>
      <x:c r="I1722" s="10" t="n">
        <x:f>IF(OR(F1722="Status",G1722=0),"",G1722+H1722)</x:f>
        <x:v>140</x:v>
      </x:c>
      <x:c r="J1722" s="10" t="n">
        <x:v>40</x:v>
      </x:c>
      <x:c r="K1722" s="12" t="n">
        <x:v>50</x:v>
      </x:c>
      <x:c r="L1722" s="1" t="str"/>
      <x:c r="M1722" s="9" t="str">
        <x:v>https://poke.idleworld.online/pokepedia/pokemon/marill</x:v>
      </x:c>
    </x:row>
    <x:row r="1723" ht="22" customHeight="1">
      <x:c r="A1723" s="1" t="n">
        <x:v>183</x:v>
      </x:c>
      <x:c r="B1723" s="1" t="str">
        <x:v>Marill</x:v>
      </x:c>
      <x:c r="C1723" s="1" t="n">
        <x:v>10</x:v>
      </x:c>
      <x:c r="D1723" s="1" t="str">
        <x:v>Hydro Pump</x:v>
      </x:c>
      <x:c r="E1723" s="1" t="str">
        <x:v>Água</x:v>
      </x:c>
      <x:c r="F1723" s="1" t="str">
        <x:v>Especial</x:v>
      </x:c>
      <x:c r="G1723" s="10" t="n">
        <x:v>110</x:v>
      </x:c>
      <x:c r="H1723" s="10" t="n">
        <x:f>IF(F1723="Física",'Pokémon'!G187,IF(F1723="Especial",'Pokémon'!I187,""))</x:f>
        <x:v>20</x:v>
      </x:c>
      <x:c r="I1723" s="10" t="n">
        <x:f>IF(OR(F1723="Status",G1723=0),"",G1723+H1723)</x:f>
        <x:v>130</x:v>
      </x:c>
      <x:c r="J1723" s="10" t="n">
        <x:v>47</x:v>
      </x:c>
      <x:c r="K1723" s="12" t="n">
        <x:v>40</x:v>
      </x:c>
      <x:c r="L1723" s="1" t="str"/>
      <x:c r="M1723" s="9" t="str">
        <x:v>https://poke.idleworld.online/pokepedia/pokemon/marill</x:v>
      </x:c>
    </x:row>
    <x:row r="1724" ht="22" customHeight="1">
      <x:c r="A1724" s="1" t="n">
        <x:v>183</x:v>
      </x:c>
      <x:c r="B1724" s="1" t="str">
        <x:v>Marill</x:v>
      </x:c>
      <x:c r="C1724" s="1" t="n">
        <x:v>6</x:v>
      </x:c>
      <x:c r="D1724" s="1" t="str">
        <x:v>Aqua Tail</x:v>
      </x:c>
      <x:c r="E1724" s="1" t="str">
        <x:v>Água</x:v>
      </x:c>
      <x:c r="F1724" s="1" t="str">
        <x:v>Física</x:v>
      </x:c>
      <x:c r="G1724" s="10" t="n">
        <x:v>90</x:v>
      </x:c>
      <x:c r="H1724" s="10" t="n">
        <x:f>IF(F1724="Física",'Pokémon'!G187,IF(F1724="Especial",'Pokémon'!I187,""))</x:f>
        <x:v>20</x:v>
      </x:c>
      <x:c r="I1724" s="10" t="n">
        <x:f>IF(OR(F1724="Status",G1724=0),"",G1724+H1724)</x:f>
        <x:v>110</x:v>
      </x:c>
      <x:c r="J1724" s="10" t="n">
        <x:v>20</x:v>
      </x:c>
      <x:c r="K1724" s="12" t="n">
        <x:v>22</x:v>
      </x:c>
      <x:c r="L1724" s="1" t="str"/>
      <x:c r="M1724" s="9" t="str">
        <x:v>https://poke.idleworld.online/pokepedia/pokemon/marill</x:v>
      </x:c>
    </x:row>
    <x:row r="1725" ht="22" customHeight="1">
      <x:c r="A1725" s="1" t="n">
        <x:v>183</x:v>
      </x:c>
      <x:c r="B1725" s="1" t="str">
        <x:v>Marill</x:v>
      </x:c>
      <x:c r="C1725" s="1" t="n">
        <x:v>7</x:v>
      </x:c>
      <x:c r="D1725" s="1" t="str">
        <x:v>Play Rough</x:v>
      </x:c>
      <x:c r="E1725" s="1" t="str">
        <x:v>Fada</x:v>
      </x:c>
      <x:c r="F1725" s="1" t="str">
        <x:v>Física</x:v>
      </x:c>
      <x:c r="G1725" s="10" t="n">
        <x:v>90</x:v>
      </x:c>
      <x:c r="H1725" s="10" t="n">
        <x:f>IF(F1725="Física",'Pokémon'!G187,IF(F1725="Especial",'Pokémon'!I187,""))</x:f>
        <x:v>20</x:v>
      </x:c>
      <x:c r="I1725" s="10" t="n">
        <x:f>IF(OR(F1725="Status",G1725=0),"",G1725+H1725)</x:f>
        <x:v>110</x:v>
      </x:c>
      <x:c r="J1725" s="10" t="n">
        <x:v>23</x:v>
      </x:c>
      <x:c r="K1725" s="12" t="n">
        <x:v>22</x:v>
      </x:c>
      <x:c r="L1725" s="1" t="str"/>
      <x:c r="M1725" s="9" t="str">
        <x:v>https://poke.idleworld.online/pokepedia/pokemon/marill</x:v>
      </x:c>
    </x:row>
    <x:row r="1726" ht="22" customHeight="1">
      <x:c r="A1726" s="1" t="n">
        <x:v>183</x:v>
      </x:c>
      <x:c r="B1726" s="1" t="str">
        <x:v>Marill</x:v>
      </x:c>
      <x:c r="C1726" s="1" t="n">
        <x:v>5</x:v>
      </x:c>
      <x:c r="D1726" s="1" t="str">
        <x:v>Bubble Beam</x:v>
      </x:c>
      <x:c r="E1726" s="1" t="str">
        <x:v>Água</x:v>
      </x:c>
      <x:c r="F1726" s="1" t="str">
        <x:v>Especial</x:v>
      </x:c>
      <x:c r="G1726" s="10" t="n">
        <x:v>65</x:v>
      </x:c>
      <x:c r="H1726" s="10" t="n">
        <x:f>IF(F1726="Física",'Pokémon'!G187,IF(F1726="Especial",'Pokémon'!I187,""))</x:f>
        <x:v>20</x:v>
      </x:c>
      <x:c r="I1726" s="10" t="n">
        <x:f>IF(OR(F1726="Status",G1726=0),"",G1726+H1726)</x:f>
        <x:v>85</x:v>
      </x:c>
      <x:c r="J1726" s="10" t="n">
        <x:v>13</x:v>
      </x:c>
      <x:c r="K1726" s="12" t="n">
        <x:v>20</x:v>
      </x:c>
      <x:c r="L1726" s="1" t="str"/>
      <x:c r="M1726" s="9" t="str">
        <x:v>https://poke.idleworld.online/pokepedia/pokemon/marill</x:v>
      </x:c>
    </x:row>
    <x:row r="1727" ht="22" customHeight="1">
      <x:c r="A1727" s="1" t="n">
        <x:v>183</x:v>
      </x:c>
      <x:c r="B1727" s="1" t="str">
        <x:v>Marill</x:v>
      </x:c>
      <x:c r="C1727" s="1" t="n">
        <x:v>2</x:v>
      </x:c>
      <x:c r="D1727" s="1" t="str">
        <x:v>Tackle</x:v>
      </x:c>
      <x:c r="E1727" s="1" t="str">
        <x:v>Normal</x:v>
      </x:c>
      <x:c r="F1727" s="1" t="str">
        <x:v>Física</x:v>
      </x:c>
      <x:c r="G1727" s="10" t="n">
        <x:v>50</x:v>
      </x:c>
      <x:c r="H1727" s="10" t="n">
        <x:f>IF(F1727="Física",'Pokémon'!G187,IF(F1727="Especial",'Pokémon'!I187,""))</x:f>
        <x:v>20</x:v>
      </x:c>
      <x:c r="I1727" s="10" t="n">
        <x:f>IF(OR(F1727="Status",G1727=0),"",G1727+H1727)</x:f>
        <x:v>70</x:v>
      </x:c>
      <x:c r="J1727" s="10" t="n">
        <x:v>1</x:v>
      </x:c>
      <x:c r="K1727" s="12" t="n">
        <x:v>15</x:v>
      </x:c>
      <x:c r="L1727" s="1" t="str"/>
      <x:c r="M1727" s="9" t="str">
        <x:v>https://poke.idleworld.online/pokepedia/pokemon/marill</x:v>
      </x:c>
    </x:row>
    <x:row r="1728" ht="22" customHeight="1">
      <x:c r="A1728" s="1" t="n">
        <x:v>183</x:v>
      </x:c>
      <x:c r="B1728" s="1" t="str">
        <x:v>Marill</x:v>
      </x:c>
      <x:c r="C1728" s="1" t="n">
        <x:v>1</x:v>
      </x:c>
      <x:c r="D1728" s="1" t="str">
        <x:v>Water Gun</x:v>
      </x:c>
      <x:c r="E1728" s="1" t="str">
        <x:v>Água</x:v>
      </x:c>
      <x:c r="F1728" s="1" t="str">
        <x:v>Especial</x:v>
      </x:c>
      <x:c r="G1728" s="10" t="n">
        <x:v>40</x:v>
      </x:c>
      <x:c r="H1728" s="10" t="n">
        <x:f>IF(F1728="Física",'Pokémon'!G187,IF(F1728="Especial",'Pokémon'!I187,""))</x:f>
        <x:v>20</x:v>
      </x:c>
      <x:c r="I1728" s="10" t="n">
        <x:f>IF(OR(F1728="Status",G1728=0),"",G1728+H1728)</x:f>
        <x:v>60</x:v>
      </x:c>
      <x:c r="J1728" s="10" t="n">
        <x:v>1</x:v>
      </x:c>
      <x:c r="K1728" s="12" t="n">
        <x:v>18</x:v>
      </x:c>
      <x:c r="L1728" s="1" t="str"/>
      <x:c r="M1728" s="9" t="str">
        <x:v>https://poke.idleworld.online/pokepedia/pokemon/marill</x:v>
      </x:c>
    </x:row>
    <x:row r="1729" ht="22" customHeight="1">
      <x:c r="A1729" s="1" t="n">
        <x:v>183</x:v>
      </x:c>
      <x:c r="B1729" s="1" t="str">
        <x:v>Marill</x:v>
      </x:c>
      <x:c r="C1729" s="1" t="n">
        <x:v>3</x:v>
      </x:c>
      <x:c r="D1729" s="1" t="str">
        <x:v>Bubble</x:v>
      </x:c>
      <x:c r="E1729" s="1" t="str">
        <x:v>Água</x:v>
      </x:c>
      <x:c r="F1729" s="1" t="str">
        <x:v>Especial</x:v>
      </x:c>
      <x:c r="G1729" s="10" t="n">
        <x:v>40</x:v>
      </x:c>
      <x:c r="H1729" s="10" t="n">
        <x:f>IF(F1729="Física",'Pokémon'!G187,IF(F1729="Especial",'Pokémon'!I187,""))</x:f>
        <x:v>20</x:v>
      </x:c>
      <x:c r="I1729" s="10" t="n">
        <x:f>IF(OR(F1729="Status",G1729=0),"",G1729+H1729)</x:f>
        <x:v>60</x:v>
      </x:c>
      <x:c r="J1729" s="10" t="n">
        <x:v>7</x:v>
      </x:c>
      <x:c r="K1729" s="12" t="n">
        <x:v>15</x:v>
      </x:c>
      <x:c r="L1729" s="1" t="str"/>
      <x:c r="M1729" s="9" t="str">
        <x:v>https://poke.idleworld.online/pokepedia/pokemon/marill</x:v>
      </x:c>
    </x:row>
    <x:row r="1730" ht="22" customHeight="1">
      <x:c r="A1730" s="1" t="n">
        <x:v>183</x:v>
      </x:c>
      <x:c r="B1730" s="1" t="str">
        <x:v>Marill</x:v>
      </x:c>
      <x:c r="C1730" s="1" t="n">
        <x:v>4</x:v>
      </x:c>
      <x:c r="D1730" s="1" t="str">
        <x:v>Rollout</x:v>
      </x:c>
      <x:c r="E1730" s="1" t="str">
        <x:v>Pedra</x:v>
      </x:c>
      <x:c r="F1730" s="1" t="str">
        <x:v>Física</x:v>
      </x:c>
      <x:c r="G1730" s="10" t="n">
        <x:v>30</x:v>
      </x:c>
      <x:c r="H1730" s="10" t="n">
        <x:f>IF(F1730="Física",'Pokémon'!G187,IF(F1730="Especial",'Pokémon'!I187,""))</x:f>
        <x:v>20</x:v>
      </x:c>
      <x:c r="I1730" s="10" t="n">
        <x:f>IF(OR(F1730="Status",G1730=0),"",G1730+H1730)</x:f>
        <x:v>50</x:v>
      </x:c>
      <x:c r="J1730" s="10" t="n">
        <x:v>10</x:v>
      </x:c>
      <x:c r="K1730" s="12" t="n">
        <x:v>15</x:v>
      </x:c>
      <x:c r="L1730" s="1" t="str"/>
      <x:c r="M1730" s="9" t="str">
        <x:v>https://poke.idleworld.online/pokepedia/pokemon/marill</x:v>
      </x:c>
    </x:row>
    <x:row r="1731" ht="22" customHeight="1">
      <x:c r="A1731" s="1" t="n">
        <x:v>184</x:v>
      </x:c>
      <x:c r="B1731" s="1" t="str">
        <x:v>Azumarill</x:v>
      </x:c>
      <x:c r="C1731" s="1" t="n">
        <x:v>3</x:v>
      </x:c>
      <x:c r="D1731" s="1" t="str">
        <x:v>Cyclonic Tide</x:v>
      </x:c>
      <x:c r="E1731" s="1" t="str">
        <x:v>Água</x:v>
      </x:c>
      <x:c r="F1731" s="1" t="str">
        <x:v>Especial</x:v>
      </x:c>
      <x:c r="G1731" s="10" t="n">
        <x:v>300</x:v>
      </x:c>
      <x:c r="H1731" s="10" t="n">
        <x:f>IF(F1731="Física",'Pokémon'!G188,IF(F1731="Especial",'Pokémon'!I188,""))</x:f>
        <x:v>60</x:v>
      </x:c>
      <x:c r="I1731" s="10" t="n">
        <x:f>IF(OR(F1731="Status",G1731=0),"",G1731+H1731)</x:f>
        <x:v>360</x:v>
      </x:c>
      <x:c r="J1731" s="10" t="n">
        <x:v>1</x:v>
      </x:c>
      <x:c r="K1731" s="12" t="n">
        <x:v>10</x:v>
      </x:c>
      <x:c r="L1731" s="1" t="str">
        <x:v>Sim</x:v>
      </x:c>
      <x:c r="M1731" s="9" t="str">
        <x:v>https://poke.idleworld.online/pokepedia/pokemon/azumarill</x:v>
      </x:c>
    </x:row>
    <x:row r="1732" ht="22" customHeight="1">
      <x:c r="A1732" s="1" t="n">
        <x:v>184</x:v>
      </x:c>
      <x:c r="B1732" s="1" t="str">
        <x:v>Azumarill</x:v>
      </x:c>
      <x:c r="C1732" s="1" t="n">
        <x:v>9</x:v>
      </x:c>
      <x:c r="D1732" s="1" t="str">
        <x:v>Double-Edge</x:v>
      </x:c>
      <x:c r="E1732" s="1" t="str">
        <x:v>Normal</x:v>
      </x:c>
      <x:c r="F1732" s="1" t="str">
        <x:v>Física</x:v>
      </x:c>
      <x:c r="G1732" s="10" t="n">
        <x:v>120</x:v>
      </x:c>
      <x:c r="H1732" s="10" t="n">
        <x:f>IF(F1732="Física",'Pokémon'!G188,IF(F1732="Especial",'Pokémon'!I188,""))</x:f>
        <x:v>50</x:v>
      </x:c>
      <x:c r="I1732" s="10" t="n">
        <x:f>IF(OR(F1732="Status",G1732=0),"",G1732+H1732)</x:f>
        <x:v>170</x:v>
      </x:c>
      <x:c r="J1732" s="10" t="n">
        <x:v>42</x:v>
      </x:c>
      <x:c r="K1732" s="12" t="n">
        <x:v>3</x:v>
      </x:c>
      <x:c r="L1732" s="1" t="str"/>
      <x:c r="M1732" s="9" t="str">
        <x:v>https://poke.idleworld.online/pokepedia/pokemon/azumarill</x:v>
      </x:c>
    </x:row>
    <x:row r="1733" ht="22" customHeight="1">
      <x:c r="A1733" s="1" t="n">
        <x:v>184</x:v>
      </x:c>
      <x:c r="B1733" s="1" t="str">
        <x:v>Azumarill</x:v>
      </x:c>
      <x:c r="C1733" s="1" t="n">
        <x:v>10</x:v>
      </x:c>
      <x:c r="D1733" s="1" t="str">
        <x:v>Superpower</x:v>
      </x:c>
      <x:c r="E1733" s="1" t="str">
        <x:v>Lutador</x:v>
      </x:c>
      <x:c r="F1733" s="1" t="str">
        <x:v>Física</x:v>
      </x:c>
      <x:c r="G1733" s="10" t="n">
        <x:v>120</x:v>
      </x:c>
      <x:c r="H1733" s="10" t="n">
        <x:f>IF(F1733="Física",'Pokémon'!G188,IF(F1733="Especial",'Pokémon'!I188,""))</x:f>
        <x:v>50</x:v>
      </x:c>
      <x:c r="I1733" s="10" t="n">
        <x:f>IF(OR(F1733="Status",G1733=0),"",G1733+H1733)</x:f>
        <x:v>170</x:v>
      </x:c>
      <x:c r="J1733" s="10" t="n">
        <x:v>46</x:v>
      </x:c>
      <x:c r="K1733" s="12" t="n">
        <x:v>50</x:v>
      </x:c>
      <x:c r="L1733" s="1" t="str"/>
      <x:c r="M1733" s="9" t="str">
        <x:v>https://poke.idleworld.online/pokepedia/pokemon/azumarill</x:v>
      </x:c>
    </x:row>
    <x:row r="1734" ht="22" customHeight="1">
      <x:c r="A1734" s="1" t="n">
        <x:v>184</x:v>
      </x:c>
      <x:c r="B1734" s="1" t="str">
        <x:v>Azumarill</x:v>
      </x:c>
      <x:c r="C1734" s="1" t="n">
        <x:v>11</x:v>
      </x:c>
      <x:c r="D1734" s="1" t="str">
        <x:v>Hydro Pump</x:v>
      </x:c>
      <x:c r="E1734" s="1" t="str">
        <x:v>Água</x:v>
      </x:c>
      <x:c r="F1734" s="1" t="str">
        <x:v>Especial</x:v>
      </x:c>
      <x:c r="G1734" s="10" t="n">
        <x:v>110</x:v>
      </x:c>
      <x:c r="H1734" s="10" t="n">
        <x:f>IF(F1734="Física",'Pokémon'!G188,IF(F1734="Especial",'Pokémon'!I188,""))</x:f>
        <x:v>60</x:v>
      </x:c>
      <x:c r="I1734" s="10" t="n">
        <x:f>IF(OR(F1734="Status",G1734=0),"",G1734+H1734)</x:f>
        <x:v>170</x:v>
      </x:c>
      <x:c r="J1734" s="10" t="n">
        <x:v>55</x:v>
      </x:c>
      <x:c r="K1734" s="12" t="n">
        <x:v>40</x:v>
      </x:c>
      <x:c r="L1734" s="1" t="str"/>
      <x:c r="M1734" s="9" t="str">
        <x:v>https://poke.idleworld.online/pokepedia/pokemon/azumarill</x:v>
      </x:c>
    </x:row>
    <x:row r="1735" ht="22" customHeight="1">
      <x:c r="A1735" s="1" t="n">
        <x:v>184</x:v>
      </x:c>
      <x:c r="B1735" s="1" t="str">
        <x:v>Azumarill</x:v>
      </x:c>
      <x:c r="C1735" s="1" t="n">
        <x:v>7</x:v>
      </x:c>
      <x:c r="D1735" s="1" t="str">
        <x:v>Aqua Tail</x:v>
      </x:c>
      <x:c r="E1735" s="1" t="str">
        <x:v>Água</x:v>
      </x:c>
      <x:c r="F1735" s="1" t="str">
        <x:v>Física</x:v>
      </x:c>
      <x:c r="G1735" s="10" t="n">
        <x:v>90</x:v>
      </x:c>
      <x:c r="H1735" s="10" t="n">
        <x:f>IF(F1735="Física",'Pokémon'!G188,IF(F1735="Especial",'Pokémon'!I188,""))</x:f>
        <x:v>50</x:v>
      </x:c>
      <x:c r="I1735" s="10" t="n">
        <x:f>IF(OR(F1735="Status",G1735=0),"",G1735+H1735)</x:f>
        <x:v>140</x:v>
      </x:c>
      <x:c r="J1735" s="10" t="n">
        <x:v>21</x:v>
      </x:c>
      <x:c r="K1735" s="12" t="n">
        <x:v>22</x:v>
      </x:c>
      <x:c r="L1735" s="1" t="str"/>
      <x:c r="M1735" s="9" t="str">
        <x:v>https://poke.idleworld.online/pokepedia/pokemon/azumarill</x:v>
      </x:c>
    </x:row>
    <x:row r="1736" ht="22" customHeight="1">
      <x:c r="A1736" s="1" t="n">
        <x:v>184</x:v>
      </x:c>
      <x:c r="B1736" s="1" t="str">
        <x:v>Azumarill</x:v>
      </x:c>
      <x:c r="C1736" s="1" t="n">
        <x:v>8</x:v>
      </x:c>
      <x:c r="D1736" s="1" t="str">
        <x:v>Play Rough</x:v>
      </x:c>
      <x:c r="E1736" s="1" t="str">
        <x:v>Fada</x:v>
      </x:c>
      <x:c r="F1736" s="1" t="str">
        <x:v>Física</x:v>
      </x:c>
      <x:c r="G1736" s="10" t="n">
        <x:v>90</x:v>
      </x:c>
      <x:c r="H1736" s="10" t="n">
        <x:f>IF(F1736="Física",'Pokémon'!G188,IF(F1736="Especial",'Pokémon'!I188,""))</x:f>
        <x:v>50</x:v>
      </x:c>
      <x:c r="I1736" s="10" t="n">
        <x:f>IF(OR(F1736="Status",G1736=0),"",G1736+H1736)</x:f>
        <x:v>140</x:v>
      </x:c>
      <x:c r="J1736" s="10" t="n">
        <x:v>25</x:v>
      </x:c>
      <x:c r="K1736" s="12" t="n">
        <x:v>22</x:v>
      </x:c>
      <x:c r="L1736" s="1" t="str"/>
      <x:c r="M1736" s="9" t="str">
        <x:v>https://poke.idleworld.online/pokepedia/pokemon/azumarill</x:v>
      </x:c>
    </x:row>
    <x:row r="1737" ht="22" customHeight="1">
      <x:c r="A1737" s="1" t="n">
        <x:v>184</x:v>
      </x:c>
      <x:c r="B1737" s="1" t="str">
        <x:v>Azumarill</x:v>
      </x:c>
      <x:c r="C1737" s="1" t="n">
        <x:v>6</x:v>
      </x:c>
      <x:c r="D1737" s="1" t="str">
        <x:v>Bubble Beam</x:v>
      </x:c>
      <x:c r="E1737" s="1" t="str">
        <x:v>Água</x:v>
      </x:c>
      <x:c r="F1737" s="1" t="str">
        <x:v>Especial</x:v>
      </x:c>
      <x:c r="G1737" s="10" t="n">
        <x:v>65</x:v>
      </x:c>
      <x:c r="H1737" s="10" t="n">
        <x:f>IF(F1737="Física",'Pokémon'!G188,IF(F1737="Especial",'Pokémon'!I188,""))</x:f>
        <x:v>60</x:v>
      </x:c>
      <x:c r="I1737" s="10" t="n">
        <x:f>IF(OR(F1737="Status",G1737=0),"",G1737+H1737)</x:f>
        <x:v>125</x:v>
      </x:c>
      <x:c r="J1737" s="10" t="n">
        <x:v>13</x:v>
      </x:c>
      <x:c r="K1737" s="12" t="n">
        <x:v>20</x:v>
      </x:c>
      <x:c r="L1737" s="1" t="str"/>
      <x:c r="M1737" s="9" t="str">
        <x:v>https://poke.idleworld.online/pokepedia/pokemon/azumarill</x:v>
      </x:c>
    </x:row>
    <x:row r="1738" ht="22" customHeight="1">
      <x:c r="A1738" s="1" t="n">
        <x:v>184</x:v>
      </x:c>
      <x:c r="B1738" s="1" t="str">
        <x:v>Azumarill</x:v>
      </x:c>
      <x:c r="C1738" s="1" t="n">
        <x:v>2</x:v>
      </x:c>
      <x:c r="D1738" s="1" t="str">
        <x:v>Tackle</x:v>
      </x:c>
      <x:c r="E1738" s="1" t="str">
        <x:v>Normal</x:v>
      </x:c>
      <x:c r="F1738" s="1" t="str">
        <x:v>Física</x:v>
      </x:c>
      <x:c r="G1738" s="10" t="n">
        <x:v>50</x:v>
      </x:c>
      <x:c r="H1738" s="10" t="n">
        <x:f>IF(F1738="Física",'Pokémon'!G188,IF(F1738="Especial",'Pokémon'!I188,""))</x:f>
        <x:v>50</x:v>
      </x:c>
      <x:c r="I1738" s="10" t="n">
        <x:f>IF(OR(F1738="Status",G1738=0),"",G1738+H1738)</x:f>
        <x:v>100</x:v>
      </x:c>
      <x:c r="J1738" s="10" t="n">
        <x:v>1</x:v>
      </x:c>
      <x:c r="K1738" s="12" t="n">
        <x:v>15</x:v>
      </x:c>
      <x:c r="L1738" s="1" t="str"/>
      <x:c r="M1738" s="9" t="str">
        <x:v>https://poke.idleworld.online/pokepedia/pokemon/azumarill</x:v>
      </x:c>
    </x:row>
    <x:row r="1739" ht="22" customHeight="1">
      <x:c r="A1739" s="1" t="n">
        <x:v>184</x:v>
      </x:c>
      <x:c r="B1739" s="1" t="str">
        <x:v>Azumarill</x:v>
      </x:c>
      <x:c r="C1739" s="1" t="n">
        <x:v>1</x:v>
      </x:c>
      <x:c r="D1739" s="1" t="str">
        <x:v>Water Gun</x:v>
      </x:c>
      <x:c r="E1739" s="1" t="str">
        <x:v>Água</x:v>
      </x:c>
      <x:c r="F1739" s="1" t="str">
        <x:v>Especial</x:v>
      </x:c>
      <x:c r="G1739" s="10" t="n">
        <x:v>40</x:v>
      </x:c>
      <x:c r="H1739" s="10" t="n">
        <x:f>IF(F1739="Física",'Pokémon'!G188,IF(F1739="Especial",'Pokémon'!I188,""))</x:f>
        <x:v>60</x:v>
      </x:c>
      <x:c r="I1739" s="10" t="n">
        <x:f>IF(OR(F1739="Status",G1739=0),"",G1739+H1739)</x:f>
        <x:v>100</x:v>
      </x:c>
      <x:c r="J1739" s="10" t="n">
        <x:v>1</x:v>
      </x:c>
      <x:c r="K1739" s="12" t="n">
        <x:v>18</x:v>
      </x:c>
      <x:c r="L1739" s="1" t="str"/>
      <x:c r="M1739" s="9" t="str">
        <x:v>https://poke.idleworld.online/pokepedia/pokemon/azumarill</x:v>
      </x:c>
    </x:row>
    <x:row r="1740" ht="22" customHeight="1">
      <x:c r="A1740" s="1" t="n">
        <x:v>184</x:v>
      </x:c>
      <x:c r="B1740" s="1" t="str">
        <x:v>Azumarill</x:v>
      </x:c>
      <x:c r="C1740" s="1" t="n">
        <x:v>4</x:v>
      </x:c>
      <x:c r="D1740" s="1" t="str">
        <x:v>Bubble</x:v>
      </x:c>
      <x:c r="E1740" s="1" t="str">
        <x:v>Água</x:v>
      </x:c>
      <x:c r="F1740" s="1" t="str">
        <x:v>Especial</x:v>
      </x:c>
      <x:c r="G1740" s="10" t="n">
        <x:v>40</x:v>
      </x:c>
      <x:c r="H1740" s="10" t="n">
        <x:f>IF(F1740="Física",'Pokémon'!G188,IF(F1740="Especial",'Pokémon'!I188,""))</x:f>
        <x:v>60</x:v>
      </x:c>
      <x:c r="I1740" s="10" t="n">
        <x:f>IF(OR(F1740="Status",G1740=0),"",G1740+H1740)</x:f>
        <x:v>100</x:v>
      </x:c>
      <x:c r="J1740" s="10" t="n">
        <x:v>7</x:v>
      </x:c>
      <x:c r="K1740" s="12" t="n">
        <x:v>15</x:v>
      </x:c>
      <x:c r="L1740" s="1" t="str"/>
      <x:c r="M1740" s="9" t="str">
        <x:v>https://poke.idleworld.online/pokepedia/pokemon/azumarill</x:v>
      </x:c>
    </x:row>
    <x:row r="1741" ht="22" customHeight="1">
      <x:c r="A1741" s="1" t="n">
        <x:v>184</x:v>
      </x:c>
      <x:c r="B1741" s="1" t="str">
        <x:v>Azumarill</x:v>
      </x:c>
      <x:c r="C1741" s="1" t="n">
        <x:v>5</x:v>
      </x:c>
      <x:c r="D1741" s="1" t="str">
        <x:v>Rollout</x:v>
      </x:c>
      <x:c r="E1741" s="1" t="str">
        <x:v>Pedra</x:v>
      </x:c>
      <x:c r="F1741" s="1" t="str">
        <x:v>Física</x:v>
      </x:c>
      <x:c r="G1741" s="10" t="n">
        <x:v>30</x:v>
      </x:c>
      <x:c r="H1741" s="10" t="n">
        <x:f>IF(F1741="Física",'Pokémon'!G188,IF(F1741="Especial",'Pokémon'!I188,""))</x:f>
        <x:v>50</x:v>
      </x:c>
      <x:c r="I1741" s="10" t="n">
        <x:f>IF(OR(F1741="Status",G1741=0),"",G1741+H1741)</x:f>
        <x:v>80</x:v>
      </x:c>
      <x:c r="J1741" s="10" t="n">
        <x:v>10</x:v>
      </x:c>
      <x:c r="K1741" s="12" t="n">
        <x:v>15</x:v>
      </x:c>
      <x:c r="L1741" s="1" t="str"/>
      <x:c r="M1741" s="9" t="str">
        <x:v>https://poke.idleworld.online/pokepedia/pokemon/azumarill</x:v>
      </x:c>
    </x:row>
    <x:row r="1742" ht="22" customHeight="1">
      <x:c r="A1742" s="1" t="n">
        <x:v>185</x:v>
      </x:c>
      <x:c r="B1742" s="1" t="str">
        <x:v>Sudowoodo</x:v>
      </x:c>
      <x:c r="C1742" s="1" t="n">
        <x:v>2</x:v>
      </x:c>
      <x:c r="D1742" s="1" t="str">
        <x:v>Crumbling Rain</x:v>
      </x:c>
      <x:c r="E1742" s="1" t="str">
        <x:v>Pedra</x:v>
      </x:c>
      <x:c r="F1742" s="1" t="str">
        <x:v>Física</x:v>
      </x:c>
      <x:c r="G1742" s="10" t="n">
        <x:v>300</x:v>
      </x:c>
      <x:c r="H1742" s="10" t="n">
        <x:f>IF(F1742="Física",'Pokémon'!G189,IF(F1742="Especial",'Pokémon'!I189,""))</x:f>
        <x:v>100</x:v>
      </x:c>
      <x:c r="I1742" s="10" t="n">
        <x:f>IF(OR(F1742="Status",G1742=0),"",G1742+H1742)</x:f>
        <x:v>400</x:v>
      </x:c>
      <x:c r="J1742" s="10" t="n">
        <x:v>1</x:v>
      </x:c>
      <x:c r="K1742" s="12" t="n">
        <x:v>10</x:v>
      </x:c>
      <x:c r="L1742" s="1" t="str">
        <x:v>Sim</x:v>
      </x:c>
      <x:c r="M1742" s="9" t="str">
        <x:v>https://poke.idleworld.online/pokepedia/pokemon/sudowoodo</x:v>
      </x:c>
    </x:row>
    <x:row r="1743" ht="22" customHeight="1">
      <x:c r="A1743" s="1" t="n">
        <x:v>185</x:v>
      </x:c>
      <x:c r="B1743" s="1" t="str">
        <x:v>Sudowoodo</x:v>
      </x:c>
      <x:c r="C1743" s="1" t="n">
        <x:v>3</x:v>
      </x:c>
      <x:c r="D1743" s="1" t="str">
        <x:v>Wood Hammer</x:v>
      </x:c>
      <x:c r="E1743" s="1" t="str">
        <x:v>Planta</x:v>
      </x:c>
      <x:c r="F1743" s="1" t="str">
        <x:v>Física</x:v>
      </x:c>
      <x:c r="G1743" s="10" t="n">
        <x:v>120</x:v>
      </x:c>
      <x:c r="H1743" s="10" t="n">
        <x:f>IF(F1743="Física",'Pokémon'!G189,IF(F1743="Especial",'Pokémon'!I189,""))</x:f>
        <x:v>100</x:v>
      </x:c>
      <x:c r="I1743" s="10" t="n">
        <x:f>IF(OR(F1743="Status",G1743=0),"",G1743+H1743)</x:f>
        <x:v>220</x:v>
      </x:c>
      <x:c r="J1743" s="10" t="n">
        <x:v>1</x:v>
      </x:c>
      <x:c r="K1743" s="12" t="n">
        <x:v>50</x:v>
      </x:c>
      <x:c r="L1743" s="1" t="str"/>
      <x:c r="M1743" s="9" t="str">
        <x:v>https://poke.idleworld.online/pokepedia/pokemon/sudowoodo</x:v>
      </x:c>
    </x:row>
    <x:row r="1744" ht="22" customHeight="1">
      <x:c r="A1744" s="1" t="n">
        <x:v>185</x:v>
      </x:c>
      <x:c r="B1744" s="1" t="str">
        <x:v>Sudowoodo</x:v>
      </x:c>
      <x:c r="C1744" s="1" t="n">
        <x:v>9</x:v>
      </x:c>
      <x:c r="D1744" s="1" t="str">
        <x:v>Double-Edge</x:v>
      </x:c>
      <x:c r="E1744" s="1" t="str">
        <x:v>Normal</x:v>
      </x:c>
      <x:c r="F1744" s="1" t="str">
        <x:v>Física</x:v>
      </x:c>
      <x:c r="G1744" s="10" t="n">
        <x:v>120</x:v>
      </x:c>
      <x:c r="H1744" s="10" t="n">
        <x:f>IF(F1744="Física",'Pokémon'!G189,IF(F1744="Especial",'Pokémon'!I189,""))</x:f>
        <x:v>100</x:v>
      </x:c>
      <x:c r="I1744" s="10" t="n">
        <x:f>IF(OR(F1744="Status",G1744=0),"",G1744+H1744)</x:f>
        <x:v>220</x:v>
      </x:c>
      <x:c r="J1744" s="10" t="n">
        <x:v>40</x:v>
      </x:c>
      <x:c r="K1744" s="12" t="n">
        <x:v>3</x:v>
      </x:c>
      <x:c r="L1744" s="1" t="str"/>
      <x:c r="M1744" s="9" t="str">
        <x:v>https://poke.idleworld.online/pokepedia/pokemon/sudowoodo</x:v>
      </x:c>
    </x:row>
    <x:row r="1745" ht="22" customHeight="1">
      <x:c r="A1745" s="1" t="n">
        <x:v>185</x:v>
      </x:c>
      <x:c r="B1745" s="1" t="str">
        <x:v>Sudowoodo</x:v>
      </x:c>
      <x:c r="C1745" s="1" t="n">
        <x:v>10</x:v>
      </x:c>
      <x:c r="D1745" s="1" t="str">
        <x:v>Stone Edge</x:v>
      </x:c>
      <x:c r="E1745" s="1" t="str">
        <x:v>Pedra</x:v>
      </x:c>
      <x:c r="F1745" s="1" t="str">
        <x:v>Física</x:v>
      </x:c>
      <x:c r="G1745" s="10" t="n">
        <x:v>100</x:v>
      </x:c>
      <x:c r="H1745" s="10" t="n">
        <x:f>IF(F1745="Física",'Pokémon'!G189,IF(F1745="Especial",'Pokémon'!I189,""))</x:f>
        <x:v>100</x:v>
      </x:c>
      <x:c r="I1745" s="10" t="n">
        <x:f>IF(OR(F1745="Status",G1745=0),"",G1745+H1745)</x:f>
        <x:v>200</x:v>
      </x:c>
      <x:c r="J1745" s="10" t="n">
        <x:v>43</x:v>
      </x:c>
      <x:c r="K1745" s="12" t="n">
        <x:v>20</x:v>
      </x:c>
      <x:c r="L1745" s="1" t="str"/>
      <x:c r="M1745" s="9" t="str">
        <x:v>https://poke.idleworld.online/pokepedia/pokemon/sudowoodo</x:v>
      </x:c>
    </x:row>
    <x:row r="1746" ht="22" customHeight="1">
      <x:c r="A1746" s="1" t="n">
        <x:v>185</x:v>
      </x:c>
      <x:c r="B1746" s="1" t="str">
        <x:v>Sudowoodo</x:v>
      </x:c>
      <x:c r="C1746" s="1" t="n">
        <x:v>11</x:v>
      </x:c>
      <x:c r="D1746" s="1" t="str">
        <x:v>Hammer Arm</x:v>
      </x:c>
      <x:c r="E1746" s="1" t="str">
        <x:v>Lutador</x:v>
      </x:c>
      <x:c r="F1746" s="1" t="str">
        <x:v>Física</x:v>
      </x:c>
      <x:c r="G1746" s="10" t="n">
        <x:v>100</x:v>
      </x:c>
      <x:c r="H1746" s="10" t="n">
        <x:f>IF(F1746="Física",'Pokémon'!G189,IF(F1746="Especial",'Pokémon'!I189,""))</x:f>
        <x:v>100</x:v>
      </x:c>
      <x:c r="I1746" s="10" t="n">
        <x:f>IF(OR(F1746="Status",G1746=0),"",G1746+H1746)</x:f>
        <x:v>200</x:v>
      </x:c>
      <x:c r="J1746" s="10" t="n">
        <x:v>47</x:v>
      </x:c>
      <x:c r="K1746" s="12" t="n">
        <x:v>40</x:v>
      </x:c>
      <x:c r="L1746" s="1" t="str"/>
      <x:c r="M1746" s="9" t="str">
        <x:v>https://poke.idleworld.online/pokepedia/pokemon/sudowoodo</x:v>
      </x:c>
    </x:row>
    <x:row r="1747" ht="22" customHeight="1">
      <x:c r="A1747" s="1" t="n">
        <x:v>185</x:v>
      </x:c>
      <x:c r="B1747" s="1" t="str">
        <x:v>Sudowoodo</x:v>
      </x:c>
      <x:c r="C1747" s="1" t="n">
        <x:v>4</x:v>
      </x:c>
      <x:c r="D1747" s="1" t="str">
        <x:v>Slam</x:v>
      </x:c>
      <x:c r="E1747" s="1" t="str">
        <x:v>Normal</x:v>
      </x:c>
      <x:c r="F1747" s="1" t="str">
        <x:v>Física</x:v>
      </x:c>
      <x:c r="G1747" s="10" t="n">
        <x:v>80</x:v>
      </x:c>
      <x:c r="H1747" s="10" t="n">
        <x:f>IF(F1747="Física",'Pokémon'!G189,IF(F1747="Especial",'Pokémon'!I189,""))</x:f>
        <x:v>100</x:v>
      </x:c>
      <x:c r="I1747" s="10" t="n">
        <x:f>IF(OR(F1747="Status",G1747=0),"",G1747+H1747)</x:f>
        <x:v>180</x:v>
      </x:c>
      <x:c r="J1747" s="10" t="n">
        <x:v>15</x:v>
      </x:c>
      <x:c r="K1747" s="12" t="n">
        <x:v>22</x:v>
      </x:c>
      <x:c r="L1747" s="1" t="str"/>
      <x:c r="M1747" s="9" t="str">
        <x:v>https://poke.idleworld.online/pokepedia/pokemon/sudowoodo</x:v>
      </x:c>
    </x:row>
    <x:row r="1748" ht="22" customHeight="1">
      <x:c r="A1748" s="1" t="n">
        <x:v>185</x:v>
      </x:c>
      <x:c r="B1748" s="1" t="str">
        <x:v>Sudowoodo</x:v>
      </x:c>
      <x:c r="C1748" s="1" t="n">
        <x:v>8</x:v>
      </x:c>
      <x:c r="D1748" s="1" t="str">
        <x:v>Sucker Punch</x:v>
      </x:c>
      <x:c r="E1748" s="1" t="str">
        <x:v>Sombrio</x:v>
      </x:c>
      <x:c r="F1748" s="1" t="str">
        <x:v>Física</x:v>
      </x:c>
      <x:c r="G1748" s="10" t="n">
        <x:v>80</x:v>
      </x:c>
      <x:c r="H1748" s="10" t="n">
        <x:f>IF(F1748="Física",'Pokémon'!G189,IF(F1748="Especial",'Pokémon'!I189,""))</x:f>
        <x:v>100</x:v>
      </x:c>
      <x:c r="I1748" s="10" t="n">
        <x:f>IF(OR(F1748="Status",G1748=0),"",G1748+H1748)</x:f>
        <x:v>180</x:v>
      </x:c>
      <x:c r="J1748" s="10" t="n">
        <x:v>36</x:v>
      </x:c>
      <x:c r="K1748" s="12" t="n">
        <x:v>22</x:v>
      </x:c>
      <x:c r="L1748" s="1" t="str"/>
      <x:c r="M1748" s="9" t="str">
        <x:v>https://poke.idleworld.online/pokepedia/pokemon/sudowoodo</x:v>
      </x:c>
    </x:row>
    <x:row r="1749" ht="22" customHeight="1">
      <x:c r="A1749" s="1" t="n">
        <x:v>185</x:v>
      </x:c>
      <x:c r="B1749" s="1" t="str">
        <x:v>Sudowoodo</x:v>
      </x:c>
      <x:c r="C1749" s="1" t="n">
        <x:v>7</x:v>
      </x:c>
      <x:c r="D1749" s="1" t="str">
        <x:v>Rock Slide</x:v>
      </x:c>
      <x:c r="E1749" s="1" t="str">
        <x:v>Pedra</x:v>
      </x:c>
      <x:c r="F1749" s="1" t="str">
        <x:v>Física</x:v>
      </x:c>
      <x:c r="G1749" s="10" t="n">
        <x:v>75</x:v>
      </x:c>
      <x:c r="H1749" s="10" t="n">
        <x:f>IF(F1749="Física",'Pokémon'!G189,IF(F1749="Especial",'Pokémon'!I189,""))</x:f>
        <x:v>100</x:v>
      </x:c>
      <x:c r="I1749" s="10" t="n">
        <x:f>IF(OR(F1749="Status",G1749=0),"",G1749+H1749)</x:f>
        <x:v>175</x:v>
      </x:c>
      <x:c r="J1749" s="10" t="n">
        <x:v>29</x:v>
      </x:c>
      <x:c r="K1749" s="12" t="n">
        <x:v>22</x:v>
      </x:c>
      <x:c r="L1749" s="1" t="str"/>
      <x:c r="M1749" s="9" t="str">
        <x:v>https://poke.idleworld.online/pokepedia/pokemon/sudowoodo</x:v>
      </x:c>
    </x:row>
    <x:row r="1750" ht="22" customHeight="1">
      <x:c r="A1750" s="1" t="n">
        <x:v>185</x:v>
      </x:c>
      <x:c r="B1750" s="1" t="str">
        <x:v>Sudowoodo</x:v>
      </x:c>
      <x:c r="C1750" s="1" t="n">
        <x:v>5</x:v>
      </x:c>
      <x:c r="D1750" s="1" t="str">
        <x:v>Feint Attack</x:v>
      </x:c>
      <x:c r="E1750" s="1" t="str">
        <x:v>Sombrio</x:v>
      </x:c>
      <x:c r="F1750" s="1" t="str">
        <x:v>Física</x:v>
      </x:c>
      <x:c r="G1750" s="10" t="n">
        <x:v>60</x:v>
      </x:c>
      <x:c r="H1750" s="10" t="n">
        <x:f>IF(F1750="Física",'Pokémon'!G189,IF(F1750="Especial",'Pokémon'!I189,""))</x:f>
        <x:v>100</x:v>
      </x:c>
      <x:c r="I1750" s="10" t="n">
        <x:f>IF(OR(F1750="Status",G1750=0),"",G1750+H1750)</x:f>
        <x:v>160</x:v>
      </x:c>
      <x:c r="J1750" s="10" t="n">
        <x:v>19</x:v>
      </x:c>
      <x:c r="K1750" s="12" t="n">
        <x:v>20</x:v>
      </x:c>
      <x:c r="L1750" s="1" t="str"/>
      <x:c r="M1750" s="9" t="str">
        <x:v>https://poke.idleworld.online/pokepedia/pokemon/sudowoodo</x:v>
      </x:c>
    </x:row>
    <x:row r="1751" ht="22" customHeight="1">
      <x:c r="A1751" s="1" t="n">
        <x:v>185</x:v>
      </x:c>
      <x:c r="B1751" s="1" t="str">
        <x:v>Sudowoodo</x:v>
      </x:c>
      <x:c r="C1751" s="1" t="n">
        <x:v>6</x:v>
      </x:c>
      <x:c r="D1751" s="1" t="str">
        <x:v>Rock Tomb</x:v>
      </x:c>
      <x:c r="E1751" s="1" t="str">
        <x:v>Pedra</x:v>
      </x:c>
      <x:c r="F1751" s="1" t="str">
        <x:v>Física</x:v>
      </x:c>
      <x:c r="G1751" s="10" t="n">
        <x:v>60</x:v>
      </x:c>
      <x:c r="H1751" s="10" t="n">
        <x:f>IF(F1751="Física",'Pokémon'!G189,IF(F1751="Especial",'Pokémon'!I189,""))</x:f>
        <x:v>100</x:v>
      </x:c>
      <x:c r="I1751" s="10" t="n">
        <x:f>IF(OR(F1751="Status",G1751=0),"",G1751+H1751)</x:f>
        <x:v>160</x:v>
      </x:c>
      <x:c r="J1751" s="10" t="n">
        <x:v>22</x:v>
      </x:c>
      <x:c r="K1751" s="12" t="n">
        <x:v>20</x:v>
      </x:c>
      <x:c r="L1751" s="1" t="str"/>
      <x:c r="M1751" s="9" t="str">
        <x:v>https://poke.idleworld.online/pokepedia/pokemon/sudowoodo</x:v>
      </x:c>
    </x:row>
    <x:row r="1752" ht="22" customHeight="1">
      <x:c r="A1752" s="1" t="n">
        <x:v>185</x:v>
      </x:c>
      <x:c r="B1752" s="1" t="str">
        <x:v>Sudowoodo</x:v>
      </x:c>
      <x:c r="C1752" s="1" t="n">
        <x:v>1</x:v>
      </x:c>
      <x:c r="D1752" s="1" t="str">
        <x:v>Rock Throw</x:v>
      </x:c>
      <x:c r="E1752" s="1" t="str">
        <x:v>Pedra</x:v>
      </x:c>
      <x:c r="F1752" s="1" t="str">
        <x:v>Física</x:v>
      </x:c>
      <x:c r="G1752" s="10" t="n">
        <x:v>50</x:v>
      </x:c>
      <x:c r="H1752" s="10" t="n">
        <x:f>IF(F1752="Física",'Pokémon'!G189,IF(F1752="Especial",'Pokémon'!I189,""))</x:f>
        <x:v>100</x:v>
      </x:c>
      <x:c r="I1752" s="10" t="n">
        <x:f>IF(OR(F1752="Status",G1752=0),"",G1752+H1752)</x:f>
        <x:v>150</x:v>
      </x:c>
      <x:c r="J1752" s="10" t="n">
        <x:v>1</x:v>
      </x:c>
      <x:c r="K1752" s="12" t="n">
        <x:v>10</x:v>
      </x:c>
      <x:c r="L1752" s="1" t="str"/>
      <x:c r="M1752" s="9" t="str">
        <x:v>https://poke.idleworld.online/pokepedia/pokemon/sudowoodo</x:v>
      </x:c>
    </x:row>
    <x:row r="1753" ht="22" customHeight="1">
      <x:c r="A1753" s="1" t="n">
        <x:v>186</x:v>
      </x:c>
      <x:c r="B1753" s="1" t="str">
        <x:v>Politoed</x:v>
      </x:c>
      <x:c r="C1753" s="1" t="n">
        <x:v>1</x:v>
      </x:c>
      <x:c r="D1753" s="1" t="str">
        <x:v>Cyclonic Tide</x:v>
      </x:c>
      <x:c r="E1753" s="1" t="str">
        <x:v>Água</x:v>
      </x:c>
      <x:c r="F1753" s="1" t="str">
        <x:v>Especial</x:v>
      </x:c>
      <x:c r="G1753" s="10" t="n">
        <x:v>300</x:v>
      </x:c>
      <x:c r="H1753" s="10" t="n">
        <x:f>IF(F1753="Física",'Pokémon'!G190,IF(F1753="Especial",'Pokémon'!I190,""))</x:f>
        <x:v>90</x:v>
      </x:c>
      <x:c r="I1753" s="10" t="n">
        <x:f>IF(OR(F1753="Status",G1753=0),"",G1753+H1753)</x:f>
        <x:v>390</x:v>
      </x:c>
      <x:c r="J1753" s="10" t="n">
        <x:v>1</x:v>
      </x:c>
      <x:c r="K1753" s="12" t="n">
        <x:v>10</x:v>
      </x:c>
      <x:c r="L1753" s="1" t="str">
        <x:v>Sim</x:v>
      </x:c>
      <x:c r="M1753" s="9" t="str">
        <x:v>https://poke.idleworld.online/pokepedia/pokemon/politoed</x:v>
      </x:c>
    </x:row>
    <x:row r="1754" ht="22" customHeight="1">
      <x:c r="A1754" s="1" t="n">
        <x:v>186</x:v>
      </x:c>
      <x:c r="B1754" s="1" t="str">
        <x:v>Politoed</x:v>
      </x:c>
      <x:c r="C1754" s="1" t="n">
        <x:v>5</x:v>
      </x:c>
      <x:c r="D1754" s="1" t="str">
        <x:v>Hyper Voice</x:v>
      </x:c>
      <x:c r="E1754" s="1" t="str">
        <x:v>Normal</x:v>
      </x:c>
      <x:c r="F1754" s="1" t="str">
        <x:v>Especial</x:v>
      </x:c>
      <x:c r="G1754" s="10" t="n">
        <x:v>90</x:v>
      </x:c>
      <x:c r="H1754" s="10" t="n">
        <x:f>IF(F1754="Física",'Pokémon'!G190,IF(F1754="Especial",'Pokémon'!I190,""))</x:f>
        <x:v>90</x:v>
      </x:c>
      <x:c r="I1754" s="10" t="n">
        <x:f>IF(OR(F1754="Status",G1754=0),"",G1754+H1754)</x:f>
        <x:v>180</x:v>
      </x:c>
      <x:c r="J1754" s="10" t="n">
        <x:v>48</x:v>
      </x:c>
      <x:c r="K1754" s="12" t="n">
        <x:v>22</x:v>
      </x:c>
      <x:c r="L1754" s="1" t="str"/>
      <x:c r="M1754" s="9" t="str">
        <x:v>https://poke.idleworld.online/pokepedia/pokemon/politoed</x:v>
      </x:c>
    </x:row>
    <x:row r="1755" ht="22" customHeight="1">
      <x:c r="A1755" s="1" t="n">
        <x:v>186</x:v>
      </x:c>
      <x:c r="B1755" s="1" t="str">
        <x:v>Politoed</x:v>
      </x:c>
      <x:c r="C1755" s="1" t="n">
        <x:v>4</x:v>
      </x:c>
      <x:c r="D1755" s="1" t="str">
        <x:v>Bounce</x:v>
      </x:c>
      <x:c r="E1755" s="1" t="str">
        <x:v>Voador</x:v>
      </x:c>
      <x:c r="F1755" s="1" t="str">
        <x:v>Física</x:v>
      </x:c>
      <x:c r="G1755" s="10" t="n">
        <x:v>85</x:v>
      </x:c>
      <x:c r="H1755" s="10" t="n">
        <x:f>IF(F1755="Física",'Pokémon'!G190,IF(F1755="Especial",'Pokémon'!I190,""))</x:f>
        <x:v>75</x:v>
      </x:c>
      <x:c r="I1755" s="10" t="n">
        <x:f>IF(OR(F1755="Status",G1755=0),"",G1755+H1755)</x:f>
        <x:v>160</x:v>
      </x:c>
      <x:c r="J1755" s="10" t="n">
        <x:v>37</x:v>
      </x:c>
      <x:c r="K1755" s="12" t="n">
        <x:v>22</x:v>
      </x:c>
      <x:c r="L1755" s="1" t="str"/>
      <x:c r="M1755" s="9" t="str">
        <x:v>https://poke.idleworld.online/pokepedia/pokemon/politoed</x:v>
      </x:c>
    </x:row>
    <x:row r="1756" ht="22" customHeight="1">
      <x:c r="A1756" s="1" t="n">
        <x:v>186</x:v>
      </x:c>
      <x:c r="B1756" s="1" t="str">
        <x:v>Politoed</x:v>
      </x:c>
      <x:c r="C1756" s="1" t="n">
        <x:v>3</x:v>
      </x:c>
      <x:c r="D1756" s="1" t="str">
        <x:v>Bubble Beam</x:v>
      </x:c>
      <x:c r="E1756" s="1" t="str">
        <x:v>Água</x:v>
      </x:c>
      <x:c r="F1756" s="1" t="str">
        <x:v>Especial</x:v>
      </x:c>
      <x:c r="G1756" s="10" t="n">
        <x:v>65</x:v>
      </x:c>
      <x:c r="H1756" s="10" t="n">
        <x:f>IF(F1756="Física",'Pokémon'!G190,IF(F1756="Especial",'Pokémon'!I190,""))</x:f>
        <x:v>90</x:v>
      </x:c>
      <x:c r="I1756" s="10" t="n">
        <x:f>IF(OR(F1756="Status",G1756=0),"",G1756+H1756)</x:f>
        <x:v>155</x:v>
      </x:c>
      <x:c r="J1756" s="10" t="n">
        <x:v>1</x:v>
      </x:c>
      <x:c r="K1756" s="12" t="n">
        <x:v>20</x:v>
      </x:c>
      <x:c r="L1756" s="1" t="str"/>
      <x:c r="M1756" s="9" t="str">
        <x:v>https://poke.idleworld.online/pokepedia/pokemon/politoed</x:v>
      </x:c>
    </x:row>
    <x:row r="1757" ht="22" customHeight="1">
      <x:c r="A1757" s="1" t="n">
        <x:v>186</x:v>
      </x:c>
      <x:c r="B1757" s="1" t="str">
        <x:v>Politoed</x:v>
      </x:c>
      <x:c r="C1757" s="1" t="n">
        <x:v>2</x:v>
      </x:c>
      <x:c r="D1757" s="1" t="str">
        <x:v>Double Slap</x:v>
      </x:c>
      <x:c r="E1757" s="1" t="str">
        <x:v>Normal</x:v>
      </x:c>
      <x:c r="F1757" s="1" t="str">
        <x:v>Física</x:v>
      </x:c>
      <x:c r="G1757" s="10" t="n">
        <x:v>15</x:v>
      </x:c>
      <x:c r="H1757" s="10" t="n">
        <x:f>IF(F1757="Física",'Pokémon'!G190,IF(F1757="Especial",'Pokémon'!I190,""))</x:f>
        <x:v>75</x:v>
      </x:c>
      <x:c r="I1757" s="10" t="n">
        <x:f>IF(OR(F1757="Status",G1757=0),"",G1757+H1757)</x:f>
        <x:v>90</x:v>
      </x:c>
      <x:c r="J1757" s="10" t="n">
        <x:v>1</x:v>
      </x:c>
      <x:c r="K1757" s="12" t="n">
        <x:v>15</x:v>
      </x:c>
      <x:c r="L1757" s="1" t="str"/>
      <x:c r="M1757" s="9" t="str">
        <x:v>https://poke.idleworld.online/pokepedia/pokemon/politoed</x:v>
      </x:c>
    </x:row>
    <x:row r="1758" ht="22" customHeight="1">
      <x:c r="A1758" s="1" t="n">
        <x:v>187</x:v>
      </x:c>
      <x:c r="B1758" s="1" t="str">
        <x:v>Hoppip</x:v>
      </x:c>
      <x:c r="C1758" s="1" t="n">
        <x:v>8</x:v>
      </x:c>
      <x:c r="D1758" s="1" t="str">
        <x:v>Bounce</x:v>
      </x:c>
      <x:c r="E1758" s="1" t="str">
        <x:v>Voador</x:v>
      </x:c>
      <x:c r="F1758" s="1" t="str">
        <x:v>Física</x:v>
      </x:c>
      <x:c r="G1758" s="10" t="n">
        <x:v>85</x:v>
      </x:c>
      <x:c r="H1758" s="10" t="n">
        <x:f>IF(F1758="Física",'Pokémon'!G191,IF(F1758="Especial",'Pokémon'!I191,""))</x:f>
        <x:v>35</x:v>
      </x:c>
      <x:c r="I1758" s="10" t="n">
        <x:f>IF(OR(F1758="Status",G1758=0),"",G1758+H1758)</x:f>
        <x:v>120</x:v>
      </x:c>
      <x:c r="J1758" s="10" t="n">
        <x:v>46</x:v>
      </x:c>
      <x:c r="K1758" s="12" t="n">
        <x:v>22</x:v>
      </x:c>
      <x:c r="L1758" s="1" t="str"/>
      <x:c r="M1758" s="9" t="str">
        <x:v>https://poke.idleworld.online/pokepedia/pokemon/hoppip</x:v>
      </x:c>
    </x:row>
    <x:row r="1759" ht="22" customHeight="1">
      <x:c r="A1759" s="1" t="n">
        <x:v>187</x:v>
      </x:c>
      <x:c r="B1759" s="1" t="str">
        <x:v>Hoppip</x:v>
      </x:c>
      <x:c r="C1759" s="1" t="n">
        <x:v>7</x:v>
      </x:c>
      <x:c r="D1759" s="1" t="str">
        <x:v>Giga Drain</x:v>
      </x:c>
      <x:c r="E1759" s="1" t="str">
        <x:v>Planta</x:v>
      </x:c>
      <x:c r="F1759" s="1" t="str">
        <x:v>Especial</x:v>
      </x:c>
      <x:c r="G1759" s="10" t="n">
        <x:v>75</x:v>
      </x:c>
      <x:c r="H1759" s="10" t="n">
        <x:f>IF(F1759="Física",'Pokémon'!G191,IF(F1759="Especial",'Pokémon'!I191,""))</x:f>
        <x:v>35</x:v>
      </x:c>
      <x:c r="I1759" s="10" t="n">
        <x:f>IF(OR(F1759="Status",G1759=0),"",G1759+H1759)</x:f>
        <x:v>110</x:v>
      </x:c>
      <x:c r="J1759" s="10" t="n">
        <x:v>43</x:v>
      </x:c>
      <x:c r="K1759" s="12" t="n">
        <x:v>22</x:v>
      </x:c>
      <x:c r="L1759" s="1" t="str"/>
      <x:c r="M1759" s="9" t="str">
        <x:v>https://poke.idleworld.online/pokepedia/pokemon/hoppip</x:v>
      </x:c>
    </x:row>
    <x:row r="1760" ht="22" customHeight="1">
      <x:c r="A1760" s="1" t="n">
        <x:v>187</x:v>
      </x:c>
      <x:c r="B1760" s="1" t="str">
        <x:v>Hoppip</x:v>
      </x:c>
      <x:c r="C1760" s="1" t="n">
        <x:v>6</x:v>
      </x:c>
      <x:c r="D1760" s="1" t="str">
        <x:v>U-turn</x:v>
      </x:c>
      <x:c r="E1760" s="1" t="str">
        <x:v>Inseto</x:v>
      </x:c>
      <x:c r="F1760" s="1" t="str">
        <x:v>Física</x:v>
      </x:c>
      <x:c r="G1760" s="10" t="n">
        <x:v>70</x:v>
      </x:c>
      <x:c r="H1760" s="10" t="n">
        <x:f>IF(F1760="Física",'Pokémon'!G191,IF(F1760="Especial",'Pokémon'!I191,""))</x:f>
        <x:v>35</x:v>
      </x:c>
      <x:c r="I1760" s="10" t="n">
        <x:f>IF(OR(F1760="Status",G1760=0),"",G1760+H1760)</x:f>
        <x:v>105</x:v>
      </x:c>
      <x:c r="J1760" s="10" t="n">
        <x:v>37</x:v>
      </x:c>
      <x:c r="K1760" s="12" t="n">
        <x:v>20</x:v>
      </x:c>
      <x:c r="L1760" s="1" t="str"/>
      <x:c r="M1760" s="9" t="str">
        <x:v>https://poke.idleworld.online/pokepedia/pokemon/hoppip</x:v>
      </x:c>
    </x:row>
    <x:row r="1761" ht="22" customHeight="1">
      <x:c r="A1761" s="1" t="n">
        <x:v>187</x:v>
      </x:c>
      <x:c r="B1761" s="1" t="str">
        <x:v>Hoppip</x:v>
      </x:c>
      <x:c r="C1761" s="1" t="n">
        <x:v>5</x:v>
      </x:c>
      <x:c r="D1761" s="1" t="str">
        <x:v>Acrobatics</x:v>
      </x:c>
      <x:c r="E1761" s="1" t="str">
        <x:v>Voador</x:v>
      </x:c>
      <x:c r="F1761" s="1" t="str">
        <x:v>Física</x:v>
      </x:c>
      <x:c r="G1761" s="10" t="n">
        <x:v>55</x:v>
      </x:c>
      <x:c r="H1761" s="10" t="n">
        <x:f>IF(F1761="Física",'Pokémon'!G191,IF(F1761="Especial",'Pokémon'!I191,""))</x:f>
        <x:v>35</x:v>
      </x:c>
      <x:c r="I1761" s="10" t="n">
        <x:f>IF(OR(F1761="Status",G1761=0),"",G1761+H1761)</x:f>
        <x:v>90</x:v>
      </x:c>
      <x:c r="J1761" s="10" t="n">
        <x:v>28</x:v>
      </x:c>
      <x:c r="K1761" s="12" t="n">
        <x:v>20</x:v>
      </x:c>
      <x:c r="L1761" s="1" t="str"/>
      <x:c r="M1761" s="9" t="str">
        <x:v>https://poke.idleworld.online/pokepedia/pokemon/hoppip</x:v>
      </x:c>
    </x:row>
    <x:row r="1762" ht="22" customHeight="1">
      <x:c r="A1762" s="1" t="n">
        <x:v>187</x:v>
      </x:c>
      <x:c r="B1762" s="1" t="str">
        <x:v>Hoppip</x:v>
      </x:c>
      <x:c r="C1762" s="1" t="n">
        <x:v>1</x:v>
      </x:c>
      <x:c r="D1762" s="1" t="str">
        <x:v>Tackle</x:v>
      </x:c>
      <x:c r="E1762" s="1" t="str">
        <x:v>Normal</x:v>
      </x:c>
      <x:c r="F1762" s="1" t="str">
        <x:v>Física</x:v>
      </x:c>
      <x:c r="G1762" s="10" t="n">
        <x:v>50</x:v>
      </x:c>
      <x:c r="H1762" s="10" t="n">
        <x:f>IF(F1762="Física",'Pokémon'!G191,IF(F1762="Especial",'Pokémon'!I191,""))</x:f>
        <x:v>35</x:v>
      </x:c>
      <x:c r="I1762" s="10" t="n">
        <x:f>IF(OR(F1762="Status",G1762=0),"",G1762+H1762)</x:f>
        <x:v>85</x:v>
      </x:c>
      <x:c r="J1762" s="10" t="n">
        <x:v>8</x:v>
      </x:c>
      <x:c r="K1762" s="12" t="n">
        <x:v>15</x:v>
      </x:c>
      <x:c r="L1762" s="1" t="str"/>
      <x:c r="M1762" s="9" t="str">
        <x:v>https://poke.idleworld.online/pokepedia/pokemon/hoppip</x:v>
      </x:c>
    </x:row>
    <x:row r="1763" ht="22" customHeight="1">
      <x:c r="A1763" s="1" t="n">
        <x:v>187</x:v>
      </x:c>
      <x:c r="B1763" s="1" t="str">
        <x:v>Hoppip</x:v>
      </x:c>
      <x:c r="C1763" s="1" t="n">
        <x:v>2</x:v>
      </x:c>
      <x:c r="D1763" s="1" t="str">
        <x:v>Fairy Wind</x:v>
      </x:c>
      <x:c r="E1763" s="1" t="str">
        <x:v>Fada</x:v>
      </x:c>
      <x:c r="F1763" s="1" t="str">
        <x:v>Especial</x:v>
      </x:c>
      <x:c r="G1763" s="10" t="n">
        <x:v>40</x:v>
      </x:c>
      <x:c r="H1763" s="10" t="n">
        <x:f>IF(F1763="Física",'Pokémon'!G191,IF(F1763="Especial",'Pokémon'!I191,""))</x:f>
        <x:v>35</x:v>
      </x:c>
      <x:c r="I1763" s="10" t="n">
        <x:f>IF(OR(F1763="Status",G1763=0),"",G1763+H1763)</x:f>
        <x:v>75</x:v>
      </x:c>
      <x:c r="J1763" s="10" t="n">
        <x:v>10</x:v>
      </x:c>
      <x:c r="K1763" s="12" t="n">
        <x:v>15</x:v>
      </x:c>
      <x:c r="L1763" s="1" t="str"/>
      <x:c r="M1763" s="9" t="str">
        <x:v>https://poke.idleworld.online/pokepedia/pokemon/hoppip</x:v>
      </x:c>
    </x:row>
    <x:row r="1764" ht="22" customHeight="1">
      <x:c r="A1764" s="1" t="n">
        <x:v>187</x:v>
      </x:c>
      <x:c r="B1764" s="1" t="str">
        <x:v>Hoppip</x:v>
      </x:c>
      <x:c r="C1764" s="1" t="n">
        <x:v>4</x:v>
      </x:c>
      <x:c r="D1764" s="1" t="str">
        <x:v>Mega Drain</x:v>
      </x:c>
      <x:c r="E1764" s="1" t="str">
        <x:v>Planta</x:v>
      </x:c>
      <x:c r="F1764" s="1" t="str">
        <x:v>Especial</x:v>
      </x:c>
      <x:c r="G1764" s="10" t="n">
        <x:v>40</x:v>
      </x:c>
      <x:c r="H1764" s="10" t="n">
        <x:f>IF(F1764="Física",'Pokémon'!G191,IF(F1764="Especial",'Pokémon'!I191,""))</x:f>
        <x:v>35</x:v>
      </x:c>
      <x:c r="I1764" s="10" t="n">
        <x:f>IF(OR(F1764="Status",G1764=0),"",G1764+H1764)</x:f>
        <x:v>75</x:v>
      </x:c>
      <x:c r="J1764" s="10" t="n">
        <x:v>25</x:v>
      </x:c>
      <x:c r="K1764" s="12" t="n">
        <x:v>2.4</x:v>
      </x:c>
      <x:c r="L1764" s="1" t="str"/>
      <x:c r="M1764" s="9" t="str">
        <x:v>https://poke.idleworld.online/pokepedia/pokemon/hoppip</x:v>
      </x:c>
    </x:row>
    <x:row r="1765" ht="22" customHeight="1">
      <x:c r="A1765" s="1" t="n">
        <x:v>187</x:v>
      </x:c>
      <x:c r="B1765" s="1" t="str">
        <x:v>Hoppip</x:v>
      </x:c>
      <x:c r="C1765" s="1" t="n">
        <x:v>3</x:v>
      </x:c>
      <x:c r="D1765" s="1" t="str">
        <x:v>Bullet Seed</x:v>
      </x:c>
      <x:c r="E1765" s="1" t="str">
        <x:v>Planta</x:v>
      </x:c>
      <x:c r="F1765" s="1" t="str">
        <x:v>Física</x:v>
      </x:c>
      <x:c r="G1765" s="10" t="n">
        <x:v>25</x:v>
      </x:c>
      <x:c r="H1765" s="10" t="n">
        <x:f>IF(F1765="Física",'Pokémon'!G191,IF(F1765="Especial",'Pokémon'!I191,""))</x:f>
        <x:v>35</x:v>
      </x:c>
      <x:c r="I1765" s="10" t="n">
        <x:f>IF(OR(F1765="Status",G1765=0),"",G1765+H1765)</x:f>
        <x:v>60</x:v>
      </x:c>
      <x:c r="J1765" s="10" t="n">
        <x:v>19</x:v>
      </x:c>
      <x:c r="K1765" s="12" t="n">
        <x:v>15</x:v>
      </x:c>
      <x:c r="L1765" s="1" t="str"/>
      <x:c r="M1765" s="9" t="str">
        <x:v>https://poke.idleworld.online/pokepedia/pokemon/hoppip</x:v>
      </x:c>
    </x:row>
    <x:row r="1766" ht="22" customHeight="1">
      <x:c r="A1766" s="1" t="n">
        <x:v>188</x:v>
      </x:c>
      <x:c r="B1766" s="1" t="str">
        <x:v>Skiploom</x:v>
      </x:c>
      <x:c r="C1766" s="1" t="n">
        <x:v>8</x:v>
      </x:c>
      <x:c r="D1766" s="1" t="str">
        <x:v>Bounce</x:v>
      </x:c>
      <x:c r="E1766" s="1" t="str">
        <x:v>Voador</x:v>
      </x:c>
      <x:c r="F1766" s="1" t="str">
        <x:v>Física</x:v>
      </x:c>
      <x:c r="G1766" s="10" t="n">
        <x:v>85</x:v>
      </x:c>
      <x:c r="H1766" s="10" t="n">
        <x:f>IF(F1766="Física",'Pokémon'!G192,IF(F1766="Especial",'Pokémon'!I192,""))</x:f>
        <x:v>45</x:v>
      </x:c>
      <x:c r="I1766" s="10" t="n">
        <x:f>IF(OR(F1766="Status",G1766=0),"",G1766+H1766)</x:f>
        <x:v>130</x:v>
      </x:c>
      <x:c r="J1766" s="10" t="n">
        <x:v>56</x:v>
      </x:c>
      <x:c r="K1766" s="12" t="n">
        <x:v>22</x:v>
      </x:c>
      <x:c r="L1766" s="1" t="str"/>
      <x:c r="M1766" s="9" t="str">
        <x:v>https://poke.idleworld.online/pokepedia/pokemon/skiploom</x:v>
      </x:c>
    </x:row>
    <x:row r="1767" ht="22" customHeight="1">
      <x:c r="A1767" s="1" t="n">
        <x:v>188</x:v>
      </x:c>
      <x:c r="B1767" s="1" t="str">
        <x:v>Skiploom</x:v>
      </x:c>
      <x:c r="C1767" s="1" t="n">
        <x:v>7</x:v>
      </x:c>
      <x:c r="D1767" s="1" t="str">
        <x:v>Giga Drain</x:v>
      </x:c>
      <x:c r="E1767" s="1" t="str">
        <x:v>Planta</x:v>
      </x:c>
      <x:c r="F1767" s="1" t="str">
        <x:v>Especial</x:v>
      </x:c>
      <x:c r="G1767" s="10" t="n">
        <x:v>75</x:v>
      </x:c>
      <x:c r="H1767" s="10" t="n">
        <x:f>IF(F1767="Física",'Pokémon'!G192,IF(F1767="Especial",'Pokémon'!I192,""))</x:f>
        <x:v>45</x:v>
      </x:c>
      <x:c r="I1767" s="10" t="n">
        <x:f>IF(OR(F1767="Status",G1767=0),"",G1767+H1767)</x:f>
        <x:v>120</x:v>
      </x:c>
      <x:c r="J1767" s="10" t="n">
        <x:v>52</x:v>
      </x:c>
      <x:c r="K1767" s="12" t="n">
        <x:v>22</x:v>
      </x:c>
      <x:c r="L1767" s="1" t="str"/>
      <x:c r="M1767" s="9" t="str">
        <x:v>https://poke.idleworld.online/pokepedia/pokemon/skiploom</x:v>
      </x:c>
    </x:row>
    <x:row r="1768" ht="22" customHeight="1">
      <x:c r="A1768" s="1" t="n">
        <x:v>188</x:v>
      </x:c>
      <x:c r="B1768" s="1" t="str">
        <x:v>Skiploom</x:v>
      </x:c>
      <x:c r="C1768" s="1" t="n">
        <x:v>6</x:v>
      </x:c>
      <x:c r="D1768" s="1" t="str">
        <x:v>U-turn</x:v>
      </x:c>
      <x:c r="E1768" s="1" t="str">
        <x:v>Inseto</x:v>
      </x:c>
      <x:c r="F1768" s="1" t="str">
        <x:v>Física</x:v>
      </x:c>
      <x:c r="G1768" s="10" t="n">
        <x:v>70</x:v>
      </x:c>
      <x:c r="H1768" s="10" t="n">
        <x:f>IF(F1768="Física",'Pokémon'!G192,IF(F1768="Especial",'Pokémon'!I192,""))</x:f>
        <x:v>45</x:v>
      </x:c>
      <x:c r="I1768" s="10" t="n">
        <x:f>IF(OR(F1768="Status",G1768=0),"",G1768+H1768)</x:f>
        <x:v>115</x:v>
      </x:c>
      <x:c r="J1768" s="10" t="n">
        <x:v>44</x:v>
      </x:c>
      <x:c r="K1768" s="12" t="n">
        <x:v>20</x:v>
      </x:c>
      <x:c r="L1768" s="1" t="str"/>
      <x:c r="M1768" s="9" t="str">
        <x:v>https://poke.idleworld.online/pokepedia/pokemon/skiploom</x:v>
      </x:c>
    </x:row>
    <x:row r="1769" ht="22" customHeight="1">
      <x:c r="A1769" s="1" t="n">
        <x:v>188</x:v>
      </x:c>
      <x:c r="B1769" s="1" t="str">
        <x:v>Skiploom</x:v>
      </x:c>
      <x:c r="C1769" s="1" t="n">
        <x:v>5</x:v>
      </x:c>
      <x:c r="D1769" s="1" t="str">
        <x:v>Acrobatics</x:v>
      </x:c>
      <x:c r="E1769" s="1" t="str">
        <x:v>Voador</x:v>
      </x:c>
      <x:c r="F1769" s="1" t="str">
        <x:v>Física</x:v>
      </x:c>
      <x:c r="G1769" s="10" t="n">
        <x:v>55</x:v>
      </x:c>
      <x:c r="H1769" s="10" t="n">
        <x:f>IF(F1769="Física",'Pokémon'!G192,IF(F1769="Especial",'Pokémon'!I192,""))</x:f>
        <x:v>45</x:v>
      </x:c>
      <x:c r="I1769" s="10" t="n">
        <x:f>IF(OR(F1769="Status",G1769=0),"",G1769+H1769)</x:f>
        <x:v>100</x:v>
      </x:c>
      <x:c r="J1769" s="10" t="n">
        <x:v>32</x:v>
      </x:c>
      <x:c r="K1769" s="12" t="n">
        <x:v>20</x:v>
      </x:c>
      <x:c r="L1769" s="1" t="str"/>
      <x:c r="M1769" s="9" t="str">
        <x:v>https://poke.idleworld.online/pokepedia/pokemon/skiploom</x:v>
      </x:c>
    </x:row>
    <x:row r="1770" ht="22" customHeight="1">
      <x:c r="A1770" s="1" t="n">
        <x:v>188</x:v>
      </x:c>
      <x:c r="B1770" s="1" t="str">
        <x:v>Skiploom</x:v>
      </x:c>
      <x:c r="C1770" s="1" t="n">
        <x:v>1</x:v>
      </x:c>
      <x:c r="D1770" s="1" t="str">
        <x:v>Tackle</x:v>
      </x:c>
      <x:c r="E1770" s="1" t="str">
        <x:v>Normal</x:v>
      </x:c>
      <x:c r="F1770" s="1" t="str">
        <x:v>Física</x:v>
      </x:c>
      <x:c r="G1770" s="10" t="n">
        <x:v>50</x:v>
      </x:c>
      <x:c r="H1770" s="10" t="n">
        <x:f>IF(F1770="Física",'Pokémon'!G192,IF(F1770="Especial",'Pokémon'!I192,""))</x:f>
        <x:v>45</x:v>
      </x:c>
      <x:c r="I1770" s="10" t="n">
        <x:f>IF(OR(F1770="Status",G1770=0),"",G1770+H1770)</x:f>
        <x:v>95</x:v>
      </x:c>
      <x:c r="J1770" s="10" t="n">
        <x:v>1</x:v>
      </x:c>
      <x:c r="K1770" s="12" t="n">
        <x:v>15</x:v>
      </x:c>
      <x:c r="L1770" s="1" t="str"/>
      <x:c r="M1770" s="9" t="str">
        <x:v>https://poke.idleworld.online/pokepedia/pokemon/skiploom</x:v>
      </x:c>
    </x:row>
    <x:row r="1771" ht="22" customHeight="1">
      <x:c r="A1771" s="1" t="n">
        <x:v>188</x:v>
      </x:c>
      <x:c r="B1771" s="1" t="str">
        <x:v>Skiploom</x:v>
      </x:c>
      <x:c r="C1771" s="1" t="n">
        <x:v>2</x:v>
      </x:c>
      <x:c r="D1771" s="1" t="str">
        <x:v>Fairy Wind</x:v>
      </x:c>
      <x:c r="E1771" s="1" t="str">
        <x:v>Fada</x:v>
      </x:c>
      <x:c r="F1771" s="1" t="str">
        <x:v>Especial</x:v>
      </x:c>
      <x:c r="G1771" s="10" t="n">
        <x:v>40</x:v>
      </x:c>
      <x:c r="H1771" s="10" t="n">
        <x:f>IF(F1771="Física",'Pokémon'!G192,IF(F1771="Especial",'Pokémon'!I192,""))</x:f>
        <x:v>45</x:v>
      </x:c>
      <x:c r="I1771" s="10" t="n">
        <x:f>IF(OR(F1771="Status",G1771=0),"",G1771+H1771)</x:f>
        <x:v>85</x:v>
      </x:c>
      <x:c r="J1771" s="10" t="n">
        <x:v>10</x:v>
      </x:c>
      <x:c r="K1771" s="12" t="n">
        <x:v>15</x:v>
      </x:c>
      <x:c r="L1771" s="1" t="str"/>
      <x:c r="M1771" s="9" t="str">
        <x:v>https://poke.idleworld.online/pokepedia/pokemon/skiploom</x:v>
      </x:c>
    </x:row>
    <x:row r="1772" ht="22" customHeight="1">
      <x:c r="A1772" s="1" t="n">
        <x:v>188</x:v>
      </x:c>
      <x:c r="B1772" s="1" t="str">
        <x:v>Skiploom</x:v>
      </x:c>
      <x:c r="C1772" s="1" t="n">
        <x:v>4</x:v>
      </x:c>
      <x:c r="D1772" s="1" t="str">
        <x:v>Mega Drain</x:v>
      </x:c>
      <x:c r="E1772" s="1" t="str">
        <x:v>Planta</x:v>
      </x:c>
      <x:c r="F1772" s="1" t="str">
        <x:v>Especial</x:v>
      </x:c>
      <x:c r="G1772" s="10" t="n">
        <x:v>40</x:v>
      </x:c>
      <x:c r="H1772" s="10" t="n">
        <x:f>IF(F1772="Física",'Pokémon'!G192,IF(F1772="Especial",'Pokémon'!I192,""))</x:f>
        <x:v>45</x:v>
      </x:c>
      <x:c r="I1772" s="10" t="n">
        <x:f>IF(OR(F1772="Status",G1772=0),"",G1772+H1772)</x:f>
        <x:v>85</x:v>
      </x:c>
      <x:c r="J1772" s="10" t="n">
        <x:v>28</x:v>
      </x:c>
      <x:c r="K1772" s="12" t="n">
        <x:v>2.4</x:v>
      </x:c>
      <x:c r="L1772" s="1" t="str"/>
      <x:c r="M1772" s="9" t="str">
        <x:v>https://poke.idleworld.online/pokepedia/pokemon/skiploom</x:v>
      </x:c>
    </x:row>
    <x:row r="1773" ht="22" customHeight="1">
      <x:c r="A1773" s="1" t="n">
        <x:v>188</x:v>
      </x:c>
      <x:c r="B1773" s="1" t="str">
        <x:v>Skiploom</x:v>
      </x:c>
      <x:c r="C1773" s="1" t="n">
        <x:v>3</x:v>
      </x:c>
      <x:c r="D1773" s="1" t="str">
        <x:v>Bullet Seed</x:v>
      </x:c>
      <x:c r="E1773" s="1" t="str">
        <x:v>Planta</x:v>
      </x:c>
      <x:c r="F1773" s="1" t="str">
        <x:v>Física</x:v>
      </x:c>
      <x:c r="G1773" s="10" t="n">
        <x:v>25</x:v>
      </x:c>
      <x:c r="H1773" s="10" t="n">
        <x:f>IF(F1773="Física",'Pokémon'!G192,IF(F1773="Especial",'Pokémon'!I192,""))</x:f>
        <x:v>45</x:v>
      </x:c>
      <x:c r="I1773" s="10" t="n">
        <x:f>IF(OR(F1773="Status",G1773=0),"",G1773+H1773)</x:f>
        <x:v>70</x:v>
      </x:c>
      <x:c r="J1773" s="10" t="n">
        <x:v>20</x:v>
      </x:c>
      <x:c r="K1773" s="12" t="n">
        <x:v>15</x:v>
      </x:c>
      <x:c r="L1773" s="1" t="str"/>
      <x:c r="M1773" s="9" t="str">
        <x:v>https://poke.idleworld.online/pokepedia/pokemon/skiploom</x:v>
      </x:c>
    </x:row>
    <x:row r="1774" ht="22" customHeight="1">
      <x:c r="A1774" s="1" t="n">
        <x:v>189</x:v>
      </x:c>
      <x:c r="B1774" s="1" t="str">
        <x:v>Jumpluff</x:v>
      </x:c>
      <x:c r="C1774" s="1" t="n">
        <x:v>2</x:v>
      </x:c>
      <x:c r="D1774" s="1" t="str">
        <x:v>Petal Bloom</x:v>
      </x:c>
      <x:c r="E1774" s="1" t="str">
        <x:v>Planta</x:v>
      </x:c>
      <x:c r="F1774" s="1" t="str">
        <x:v>Especial</x:v>
      </x:c>
      <x:c r="G1774" s="10" t="n">
        <x:v>300</x:v>
      </x:c>
      <x:c r="H1774" s="10" t="n">
        <x:f>IF(F1774="Física",'Pokémon'!G193,IF(F1774="Especial",'Pokémon'!I193,""))</x:f>
        <x:v>55</x:v>
      </x:c>
      <x:c r="I1774" s="10" t="n">
        <x:f>IF(OR(F1774="Status",G1774=0),"",G1774+H1774)</x:f>
        <x:v>355</x:v>
      </x:c>
      <x:c r="J1774" s="10" t="n">
        <x:v>1</x:v>
      </x:c>
      <x:c r="K1774" s="12" t="n">
        <x:v>10</x:v>
      </x:c>
      <x:c r="L1774" s="1" t="str">
        <x:v>Sim</x:v>
      </x:c>
      <x:c r="M1774" s="9" t="str">
        <x:v>https://poke.idleworld.online/pokepedia/pokemon/jumpluff</x:v>
      </x:c>
    </x:row>
    <x:row r="1775" ht="22" customHeight="1">
      <x:c r="A1775" s="1" t="n">
        <x:v>189</x:v>
      </x:c>
      <x:c r="B1775" s="1" t="str">
        <x:v>Jumpluff</x:v>
      </x:c>
      <x:c r="C1775" s="1" t="n">
        <x:v>3</x:v>
      </x:c>
      <x:c r="D1775" s="1" t="str">
        <x:v>Massive Hurricane</x:v>
      </x:c>
      <x:c r="E1775" s="1" t="str">
        <x:v>Voador</x:v>
      </x:c>
      <x:c r="F1775" s="1" t="str">
        <x:v>Física</x:v>
      </x:c>
      <x:c r="G1775" s="10" t="n">
        <x:v>300</x:v>
      </x:c>
      <x:c r="H1775" s="10" t="n">
        <x:f>IF(F1775="Física",'Pokémon'!G193,IF(F1775="Especial",'Pokémon'!I193,""))</x:f>
        <x:v>55</x:v>
      </x:c>
      <x:c r="I1775" s="10" t="n">
        <x:f>IF(OR(F1775="Status",G1775=0),"",G1775+H1775)</x:f>
        <x:v>355</x:v>
      </x:c>
      <x:c r="J1775" s="10" t="n">
        <x:v>1</x:v>
      </x:c>
      <x:c r="K1775" s="12" t="n">
        <x:v>10</x:v>
      </x:c>
      <x:c r="L1775" s="1" t="str">
        <x:v>Sim</x:v>
      </x:c>
      <x:c r="M1775" s="9" t="str">
        <x:v>https://poke.idleworld.online/pokepedia/pokemon/jumpluff</x:v>
      </x:c>
    </x:row>
    <x:row r="1776" ht="22" customHeight="1">
      <x:c r="A1776" s="1" t="n">
        <x:v>189</x:v>
      </x:c>
      <x:c r="B1776" s="1" t="str">
        <x:v>Jumpluff</x:v>
      </x:c>
      <x:c r="C1776" s="1" t="n">
        <x:v>10</x:v>
      </x:c>
      <x:c r="D1776" s="1" t="str">
        <x:v>Bounce</x:v>
      </x:c>
      <x:c r="E1776" s="1" t="str">
        <x:v>Voador</x:v>
      </x:c>
      <x:c r="F1776" s="1" t="str">
        <x:v>Física</x:v>
      </x:c>
      <x:c r="G1776" s="10" t="n">
        <x:v>85</x:v>
      </x:c>
      <x:c r="H1776" s="10" t="n">
        <x:f>IF(F1776="Física",'Pokémon'!G193,IF(F1776="Especial",'Pokémon'!I193,""))</x:f>
        <x:v>55</x:v>
      </x:c>
      <x:c r="I1776" s="10" t="n">
        <x:f>IF(OR(F1776="Status",G1776=0),"",G1776+H1776)</x:f>
        <x:v>140</x:v>
      </x:c>
      <x:c r="J1776" s="10" t="n">
        <x:v>64</x:v>
      </x:c>
      <x:c r="K1776" s="12" t="n">
        <x:v>22</x:v>
      </x:c>
      <x:c r="L1776" s="1" t="str"/>
      <x:c r="M1776" s="9" t="str">
        <x:v>https://poke.idleworld.online/pokepedia/pokemon/jumpluff</x:v>
      </x:c>
    </x:row>
    <x:row r="1777" ht="22" customHeight="1">
      <x:c r="A1777" s="1" t="n">
        <x:v>189</x:v>
      </x:c>
      <x:c r="B1777" s="1" t="str">
        <x:v>Jumpluff</x:v>
      </x:c>
      <x:c r="C1777" s="1" t="n">
        <x:v>9</x:v>
      </x:c>
      <x:c r="D1777" s="1" t="str">
        <x:v>Giga Drain</x:v>
      </x:c>
      <x:c r="E1777" s="1" t="str">
        <x:v>Planta</x:v>
      </x:c>
      <x:c r="F1777" s="1" t="str">
        <x:v>Especial</x:v>
      </x:c>
      <x:c r="G1777" s="10" t="n">
        <x:v>75</x:v>
      </x:c>
      <x:c r="H1777" s="10" t="n">
        <x:f>IF(F1777="Física",'Pokémon'!G193,IF(F1777="Especial",'Pokémon'!I193,""))</x:f>
        <x:v>55</x:v>
      </x:c>
      <x:c r="I1777" s="10" t="n">
        <x:f>IF(OR(F1777="Status",G1777=0),"",G1777+H1777)</x:f>
        <x:v>130</x:v>
      </x:c>
      <x:c r="J1777" s="10" t="n">
        <x:v>59</x:v>
      </x:c>
      <x:c r="K1777" s="12" t="n">
        <x:v>22</x:v>
      </x:c>
      <x:c r="L1777" s="1" t="str"/>
      <x:c r="M1777" s="9" t="str">
        <x:v>https://poke.idleworld.online/pokepedia/pokemon/jumpluff</x:v>
      </x:c>
    </x:row>
    <x:row r="1778" ht="22" customHeight="1">
      <x:c r="A1778" s="1" t="n">
        <x:v>189</x:v>
      </x:c>
      <x:c r="B1778" s="1" t="str">
        <x:v>Jumpluff</x:v>
      </x:c>
      <x:c r="C1778" s="1" t="n">
        <x:v>8</x:v>
      </x:c>
      <x:c r="D1778" s="1" t="str">
        <x:v>U-turn</x:v>
      </x:c>
      <x:c r="E1778" s="1" t="str">
        <x:v>Inseto</x:v>
      </x:c>
      <x:c r="F1778" s="1" t="str">
        <x:v>Física</x:v>
      </x:c>
      <x:c r="G1778" s="10" t="n">
        <x:v>70</x:v>
      </x:c>
      <x:c r="H1778" s="10" t="n">
        <x:f>IF(F1778="Física",'Pokémon'!G193,IF(F1778="Especial",'Pokémon'!I193,""))</x:f>
        <x:v>55</x:v>
      </x:c>
      <x:c r="I1778" s="10" t="n">
        <x:f>IF(OR(F1778="Status",G1778=0),"",G1778+H1778)</x:f>
        <x:v>125</x:v>
      </x:c>
      <x:c r="J1778" s="10" t="n">
        <x:v>49</x:v>
      </x:c>
      <x:c r="K1778" s="12" t="n">
        <x:v>20</x:v>
      </x:c>
      <x:c r="L1778" s="1" t="str"/>
      <x:c r="M1778" s="9" t="str">
        <x:v>https://poke.idleworld.online/pokepedia/pokemon/jumpluff</x:v>
      </x:c>
    </x:row>
    <x:row r="1779" ht="22" customHeight="1">
      <x:c r="A1779" s="1" t="n">
        <x:v>189</x:v>
      </x:c>
      <x:c r="B1779" s="1" t="str">
        <x:v>Jumpluff</x:v>
      </x:c>
      <x:c r="C1779" s="1" t="n">
        <x:v>7</x:v>
      </x:c>
      <x:c r="D1779" s="1" t="str">
        <x:v>Acrobatics</x:v>
      </x:c>
      <x:c r="E1779" s="1" t="str">
        <x:v>Voador</x:v>
      </x:c>
      <x:c r="F1779" s="1" t="str">
        <x:v>Física</x:v>
      </x:c>
      <x:c r="G1779" s="10" t="n">
        <x:v>55</x:v>
      </x:c>
      <x:c r="H1779" s="10" t="n">
        <x:f>IF(F1779="Física",'Pokémon'!G193,IF(F1779="Especial",'Pokémon'!I193,""))</x:f>
        <x:v>55</x:v>
      </x:c>
      <x:c r="I1779" s="10" t="n">
        <x:f>IF(OR(F1779="Status",G1779=0),"",G1779+H1779)</x:f>
        <x:v>110</x:v>
      </x:c>
      <x:c r="J1779" s="10" t="n">
        <x:v>34</x:v>
      </x:c>
      <x:c r="K1779" s="12" t="n">
        <x:v>20</x:v>
      </x:c>
      <x:c r="L1779" s="1" t="str"/>
      <x:c r="M1779" s="9" t="str">
        <x:v>https://poke.idleworld.online/pokepedia/pokemon/jumpluff</x:v>
      </x:c>
    </x:row>
    <x:row r="1780" ht="22" customHeight="1">
      <x:c r="A1780" s="1" t="n">
        <x:v>189</x:v>
      </x:c>
      <x:c r="B1780" s="1" t="str">
        <x:v>Jumpluff</x:v>
      </x:c>
      <x:c r="C1780" s="1" t="n">
        <x:v>1</x:v>
      </x:c>
      <x:c r="D1780" s="1" t="str">
        <x:v>Tackle</x:v>
      </x:c>
      <x:c r="E1780" s="1" t="str">
        <x:v>Normal</x:v>
      </x:c>
      <x:c r="F1780" s="1" t="str">
        <x:v>Física</x:v>
      </x:c>
      <x:c r="G1780" s="10" t="n">
        <x:v>50</x:v>
      </x:c>
      <x:c r="H1780" s="10" t="n">
        <x:f>IF(F1780="Física",'Pokémon'!G193,IF(F1780="Especial",'Pokémon'!I193,""))</x:f>
        <x:v>55</x:v>
      </x:c>
      <x:c r="I1780" s="10" t="n">
        <x:f>IF(OR(F1780="Status",G1780=0),"",G1780+H1780)</x:f>
        <x:v>105</x:v>
      </x:c>
      <x:c r="J1780" s="10" t="n">
        <x:v>1</x:v>
      </x:c>
      <x:c r="K1780" s="12" t="n">
        <x:v>15</x:v>
      </x:c>
      <x:c r="L1780" s="1" t="str"/>
      <x:c r="M1780" s="9" t="str">
        <x:v>https://poke.idleworld.online/pokepedia/pokemon/jumpluff</x:v>
      </x:c>
    </x:row>
    <x:row r="1781" ht="22" customHeight="1">
      <x:c r="A1781" s="1" t="n">
        <x:v>189</x:v>
      </x:c>
      <x:c r="B1781" s="1" t="str">
        <x:v>Jumpluff</x:v>
      </x:c>
      <x:c r="C1781" s="1" t="n">
        <x:v>4</x:v>
      </x:c>
      <x:c r="D1781" s="1" t="str">
        <x:v>Fairy Wind</x:v>
      </x:c>
      <x:c r="E1781" s="1" t="str">
        <x:v>Fada</x:v>
      </x:c>
      <x:c r="F1781" s="1" t="str">
        <x:v>Especial</x:v>
      </x:c>
      <x:c r="G1781" s="10" t="n">
        <x:v>40</x:v>
      </x:c>
      <x:c r="H1781" s="10" t="n">
        <x:f>IF(F1781="Física",'Pokémon'!G193,IF(F1781="Especial",'Pokémon'!I193,""))</x:f>
        <x:v>55</x:v>
      </x:c>
      <x:c r="I1781" s="10" t="n">
        <x:f>IF(OR(F1781="Status",G1781=0),"",G1781+H1781)</x:f>
        <x:v>95</x:v>
      </x:c>
      <x:c r="J1781" s="10" t="n">
        <x:v>10</x:v>
      </x:c>
      <x:c r="K1781" s="12" t="n">
        <x:v>15</x:v>
      </x:c>
      <x:c r="L1781" s="1" t="str"/>
      <x:c r="M1781" s="9" t="str">
        <x:v>https://poke.idleworld.online/pokepedia/pokemon/jumpluff</x:v>
      </x:c>
    </x:row>
    <x:row r="1782" ht="22" customHeight="1">
      <x:c r="A1782" s="1" t="n">
        <x:v>189</x:v>
      </x:c>
      <x:c r="B1782" s="1" t="str">
        <x:v>Jumpluff</x:v>
      </x:c>
      <x:c r="C1782" s="1" t="n">
        <x:v>6</x:v>
      </x:c>
      <x:c r="D1782" s="1" t="str">
        <x:v>Mega Drain</x:v>
      </x:c>
      <x:c r="E1782" s="1" t="str">
        <x:v>Planta</x:v>
      </x:c>
      <x:c r="F1782" s="1" t="str">
        <x:v>Especial</x:v>
      </x:c>
      <x:c r="G1782" s="10" t="n">
        <x:v>40</x:v>
      </x:c>
      <x:c r="H1782" s="10" t="n">
        <x:f>IF(F1782="Física",'Pokémon'!G193,IF(F1782="Especial",'Pokémon'!I193,""))</x:f>
        <x:v>55</x:v>
      </x:c>
      <x:c r="I1782" s="10" t="n">
        <x:f>IF(OR(F1782="Status",G1782=0),"",G1782+H1782)</x:f>
        <x:v>95</x:v>
      </x:c>
      <x:c r="J1782" s="10" t="n">
        <x:v>29</x:v>
      </x:c>
      <x:c r="K1782" s="12" t="n">
        <x:v>2.4</x:v>
      </x:c>
      <x:c r="L1782" s="1" t="str"/>
      <x:c r="M1782" s="9" t="str">
        <x:v>https://poke.idleworld.online/pokepedia/pokemon/jumpluff</x:v>
      </x:c>
    </x:row>
    <x:row r="1783" ht="22" customHeight="1">
      <x:c r="A1783" s="1" t="n">
        <x:v>189</x:v>
      </x:c>
      <x:c r="B1783" s="1" t="str">
        <x:v>Jumpluff</x:v>
      </x:c>
      <x:c r="C1783" s="1" t="n">
        <x:v>5</x:v>
      </x:c>
      <x:c r="D1783" s="1" t="str">
        <x:v>Bullet Seed</x:v>
      </x:c>
      <x:c r="E1783" s="1" t="str">
        <x:v>Planta</x:v>
      </x:c>
      <x:c r="F1783" s="1" t="str">
        <x:v>Física</x:v>
      </x:c>
      <x:c r="G1783" s="10" t="n">
        <x:v>25</x:v>
      </x:c>
      <x:c r="H1783" s="10" t="n">
        <x:f>IF(F1783="Física",'Pokémon'!G193,IF(F1783="Especial",'Pokémon'!I193,""))</x:f>
        <x:v>55</x:v>
      </x:c>
      <x:c r="I1783" s="10" t="n">
        <x:f>IF(OR(F1783="Status",G1783=0),"",G1783+H1783)</x:f>
        <x:v>80</x:v>
      </x:c>
      <x:c r="J1783" s="10" t="n">
        <x:v>20</x:v>
      </x:c>
      <x:c r="K1783" s="12" t="n">
        <x:v>15</x:v>
      </x:c>
      <x:c r="L1783" s="1" t="str"/>
      <x:c r="M1783" s="9" t="str">
        <x:v>https://poke.idleworld.online/pokepedia/pokemon/jumpluff</x:v>
      </x:c>
    </x:row>
    <x:row r="1784" ht="22" customHeight="1">
      <x:c r="A1784" s="1" t="n">
        <x:v>190</x:v>
      </x:c>
      <x:c r="B1784" s="1" t="str">
        <x:v>Aipom</x:v>
      </x:c>
      <x:c r="C1784" s="1" t="n">
        <x:v>6</x:v>
      </x:c>
      <x:c r="D1784" s="1" t="str">
        <x:v>Last Resort</x:v>
      </x:c>
      <x:c r="E1784" s="1" t="str">
        <x:v>Normal</x:v>
      </x:c>
      <x:c r="F1784" s="1" t="str">
        <x:v>Física</x:v>
      </x:c>
      <x:c r="G1784" s="10" t="n">
        <x:v>140</x:v>
      </x:c>
      <x:c r="H1784" s="10" t="n">
        <x:f>IF(F1784="Física",'Pokémon'!G194,IF(F1784="Especial",'Pokémon'!I194,""))</x:f>
        <x:v>70</x:v>
      </x:c>
      <x:c r="I1784" s="10" t="n">
        <x:f>IF(OR(F1784="Status",G1784=0),"",G1784+H1784)</x:f>
        <x:v>210</x:v>
      </x:c>
      <x:c r="J1784" s="10" t="n">
        <x:v>43</x:v>
      </x:c>
      <x:c r="K1784" s="12" t="n">
        <x:v>50</x:v>
      </x:c>
      <x:c r="L1784" s="1" t="str"/>
      <x:c r="M1784" s="9" t="str">
        <x:v>https://poke.idleworld.online/pokepedia/pokemon/aipom</x:v>
      </x:c>
    </x:row>
    <x:row r="1785" ht="22" customHeight="1">
      <x:c r="A1785" s="1" t="n">
        <x:v>190</x:v>
      </x:c>
      <x:c r="B1785" s="1" t="str">
        <x:v>Aipom</x:v>
      </x:c>
      <x:c r="C1785" s="1" t="n">
        <x:v>1</x:v>
      </x:c>
      <x:c r="D1785" s="1" t="str">
        <x:v>Scratch</x:v>
      </x:c>
      <x:c r="E1785" s="1" t="str">
        <x:v>Normal</x:v>
      </x:c>
      <x:c r="F1785" s="1" t="str">
        <x:v>Física</x:v>
      </x:c>
      <x:c r="G1785" s="10" t="n">
        <x:v>40</x:v>
      </x:c>
      <x:c r="H1785" s="10" t="n">
        <x:f>IF(F1785="Física",'Pokémon'!G194,IF(F1785="Especial",'Pokémon'!I194,""))</x:f>
        <x:v>70</x:v>
      </x:c>
      <x:c r="I1785" s="10" t="n">
        <x:f>IF(OR(F1785="Status",G1785=0),"",G1785+H1785)</x:f>
        <x:v>110</x:v>
      </x:c>
      <x:c r="J1785" s="10" t="n">
        <x:v>1</x:v>
      </x:c>
      <x:c r="K1785" s="12" t="n">
        <x:v>12</x:v>
      </x:c>
      <x:c r="L1785" s="1" t="str"/>
      <x:c r="M1785" s="9" t="str">
        <x:v>https://poke.idleworld.online/pokepedia/pokemon/aipom</x:v>
      </x:c>
    </x:row>
    <x:row r="1786" ht="22" customHeight="1">
      <x:c r="A1786" s="1" t="n">
        <x:v>190</x:v>
      </x:c>
      <x:c r="B1786" s="1" t="str">
        <x:v>Aipom</x:v>
      </x:c>
      <x:c r="C1786" s="1" t="n">
        <x:v>5</x:v>
      </x:c>
      <x:c r="D1786" s="1" t="str">
        <x:v>Double Hit</x:v>
      </x:c>
      <x:c r="E1786" s="1" t="str">
        <x:v>Normal</x:v>
      </x:c>
      <x:c r="F1786" s="1" t="str">
        <x:v>Física</x:v>
      </x:c>
      <x:c r="G1786" s="10" t="n">
        <x:v>35</x:v>
      </x:c>
      <x:c r="H1786" s="10" t="n">
        <x:f>IF(F1786="Física",'Pokémon'!G194,IF(F1786="Especial",'Pokémon'!I194,""))</x:f>
        <x:v>70</x:v>
      </x:c>
      <x:c r="I1786" s="10" t="n">
        <x:f>IF(OR(F1786="Status",G1786=0),"",G1786+H1786)</x:f>
        <x:v>105</x:v>
      </x:c>
      <x:c r="J1786" s="10" t="n">
        <x:v>32</x:v>
      </x:c>
      <x:c r="K1786" s="12" t="n">
        <x:v>15</x:v>
      </x:c>
      <x:c r="L1786" s="1" t="str"/>
      <x:c r="M1786" s="9" t="str">
        <x:v>https://poke.idleworld.online/pokepedia/pokemon/aipom</x:v>
      </x:c>
    </x:row>
    <x:row r="1787" ht="22" customHeight="1">
      <x:c r="A1787" s="1" t="n">
        <x:v>190</x:v>
      </x:c>
      <x:c r="B1787" s="1" t="str">
        <x:v>Aipom</x:v>
      </x:c>
      <x:c r="C1787" s="1" t="n">
        <x:v>4</x:v>
      </x:c>
      <x:c r="D1787" s="1" t="str">
        <x:v>Swift</x:v>
      </x:c>
      <x:c r="E1787" s="1" t="str">
        <x:v>Normal</x:v>
      </x:c>
      <x:c r="F1787" s="1" t="str">
        <x:v>Especial</x:v>
      </x:c>
      <x:c r="G1787" s="10" t="n">
        <x:v>60</x:v>
      </x:c>
      <x:c r="H1787" s="10" t="n">
        <x:f>IF(F1787="Física",'Pokémon'!G194,IF(F1787="Especial",'Pokémon'!I194,""))</x:f>
        <x:v>40</x:v>
      </x:c>
      <x:c r="I1787" s="10" t="n">
        <x:f>IF(OR(F1787="Status",G1787=0),"",G1787+H1787)</x:f>
        <x:v>100</x:v>
      </x:c>
      <x:c r="J1787" s="10" t="n">
        <x:v>22</x:v>
      </x:c>
      <x:c r="K1787" s="12" t="n">
        <x:v>20</x:v>
      </x:c>
      <x:c r="L1787" s="1" t="str"/>
      <x:c r="M1787" s="9" t="str">
        <x:v>https://poke.idleworld.online/pokepedia/pokemon/aipom</x:v>
      </x:c>
    </x:row>
    <x:row r="1788" ht="22" customHeight="1">
      <x:c r="A1788" s="1" t="n">
        <x:v>190</x:v>
      </x:c>
      <x:c r="B1788" s="1" t="str">
        <x:v>Aipom</x:v>
      </x:c>
      <x:c r="C1788" s="1" t="n">
        <x:v>2</x:v>
      </x:c>
      <x:c r="D1788" s="1" t="str">
        <x:v>Astonish</x:v>
      </x:c>
      <x:c r="E1788" s="1" t="str">
        <x:v>Fantasma</x:v>
      </x:c>
      <x:c r="F1788" s="1" t="str">
        <x:v>Física</x:v>
      </x:c>
      <x:c r="G1788" s="10" t="n">
        <x:v>30</x:v>
      </x:c>
      <x:c r="H1788" s="10" t="n">
        <x:f>IF(F1788="Física",'Pokémon'!G194,IF(F1788="Especial",'Pokémon'!I194,""))</x:f>
        <x:v>70</x:v>
      </x:c>
      <x:c r="I1788" s="10" t="n">
        <x:f>IF(OR(F1788="Status",G1788=0),"",G1788+H1788)</x:f>
        <x:v>100</x:v>
      </x:c>
      <x:c r="J1788" s="10" t="n">
        <x:v>8</x:v>
      </x:c>
      <x:c r="K1788" s="12" t="n">
        <x:v>15</x:v>
      </x:c>
      <x:c r="L1788" s="1" t="str"/>
      <x:c r="M1788" s="9" t="str">
        <x:v>https://poke.idleworld.online/pokepedia/pokemon/aipom</x:v>
      </x:c>
    </x:row>
    <x:row r="1789" ht="22" customHeight="1">
      <x:c r="A1789" s="1" t="n">
        <x:v>190</x:v>
      </x:c>
      <x:c r="B1789" s="1" t="str">
        <x:v>Aipom</x:v>
      </x:c>
      <x:c r="C1789" s="1" t="n">
        <x:v>3</x:v>
      </x:c>
      <x:c r="D1789" s="1" t="str">
        <x:v>Fury Swipes</x:v>
      </x:c>
      <x:c r="E1789" s="1" t="str">
        <x:v>Normal</x:v>
      </x:c>
      <x:c r="F1789" s="1" t="str">
        <x:v>Física</x:v>
      </x:c>
      <x:c r="G1789" s="10" t="n">
        <x:v>18</x:v>
      </x:c>
      <x:c r="H1789" s="10" t="n">
        <x:f>IF(F1789="Física",'Pokémon'!G194,IF(F1789="Especial",'Pokémon'!I194,""))</x:f>
        <x:v>70</x:v>
      </x:c>
      <x:c r="I1789" s="10" t="n">
        <x:f>IF(OR(F1789="Status",G1789=0),"",G1789+H1789)</x:f>
        <x:v>88</x:v>
      </x:c>
      <x:c r="J1789" s="10" t="n">
        <x:v>18</x:v>
      </x:c>
      <x:c r="K1789" s="12" t="n">
        <x:v>15</x:v>
      </x:c>
      <x:c r="L1789" s="1" t="str"/>
      <x:c r="M1789" s="9" t="str">
        <x:v>https://poke.idleworld.online/pokepedia/pokemon/aipom</x:v>
      </x:c>
    </x:row>
    <x:row r="1790" ht="22" customHeight="1">
      <x:c r="A1790" s="1" t="n">
        <x:v>191</x:v>
      </x:c>
      <x:c r="B1790" s="1" t="str">
        <x:v>Sunkern</x:v>
      </x:c>
      <x:c r="C1790" s="1" t="n">
        <x:v>5</x:v>
      </x:c>
      <x:c r="D1790" s="1" t="str">
        <x:v>Solar Beam</x:v>
      </x:c>
      <x:c r="E1790" s="1" t="str">
        <x:v>Planta</x:v>
      </x:c>
      <x:c r="F1790" s="1" t="str">
        <x:v>Especial</x:v>
      </x:c>
      <x:c r="G1790" s="10" t="n">
        <x:v>120</x:v>
      </x:c>
      <x:c r="H1790" s="10" t="n">
        <x:f>IF(F1790="Física",'Pokémon'!G195,IF(F1790="Especial",'Pokémon'!I195,""))</x:f>
        <x:v>30</x:v>
      </x:c>
      <x:c r="I1790" s="10" t="n">
        <x:f>IF(OR(F1790="Status",G1790=0),"",G1790+H1790)</x:f>
        <x:v>150</x:v>
      </x:c>
      <x:c r="J1790" s="10" t="n">
        <x:v>34</x:v>
      </x:c>
      <x:c r="K1790" s="12" t="n">
        <x:v>30</x:v>
      </x:c>
      <x:c r="L1790" s="1" t="str"/>
      <x:c r="M1790" s="9" t="str">
        <x:v>https://poke.idleworld.online/pokepedia/pokemon/sunkern</x:v>
      </x:c>
    </x:row>
    <x:row r="1791" ht="22" customHeight="1">
      <x:c r="A1791" s="1" t="n">
        <x:v>191</x:v>
      </x:c>
      <x:c r="B1791" s="1" t="str">
        <x:v>Sunkern</x:v>
      </x:c>
      <x:c r="C1791" s="1" t="n">
        <x:v>6</x:v>
      </x:c>
      <x:c r="D1791" s="1" t="str">
        <x:v>Double-Edge</x:v>
      </x:c>
      <x:c r="E1791" s="1" t="str">
        <x:v>Normal</x:v>
      </x:c>
      <x:c r="F1791" s="1" t="str">
        <x:v>Física</x:v>
      </x:c>
      <x:c r="G1791" s="10" t="n">
        <x:v>120</x:v>
      </x:c>
      <x:c r="H1791" s="10" t="n">
        <x:f>IF(F1791="Física",'Pokémon'!G195,IF(F1791="Especial",'Pokémon'!I195,""))</x:f>
        <x:v>30</x:v>
      </x:c>
      <x:c r="I1791" s="10" t="n">
        <x:f>IF(OR(F1791="Status",G1791=0),"",G1791+H1791)</x:f>
        <x:v>150</x:v>
      </x:c>
      <x:c r="J1791" s="10" t="n">
        <x:v>37</x:v>
      </x:c>
      <x:c r="K1791" s="12" t="n">
        <x:v>3</x:v>
      </x:c>
      <x:c r="L1791" s="1" t="str"/>
      <x:c r="M1791" s="9" t="str">
        <x:v>https://poke.idleworld.online/pokepedia/pokemon/sunkern</x:v>
      </x:c>
    </x:row>
    <x:row r="1792" ht="22" customHeight="1">
      <x:c r="A1792" s="1" t="n">
        <x:v>191</x:v>
      </x:c>
      <x:c r="B1792" s="1" t="str">
        <x:v>Sunkern</x:v>
      </x:c>
      <x:c r="C1792" s="1" t="n">
        <x:v>7</x:v>
      </x:c>
      <x:c r="D1792" s="1" t="str">
        <x:v>Seed Bomb</x:v>
      </x:c>
      <x:c r="E1792" s="1" t="str">
        <x:v>Planta</x:v>
      </x:c>
      <x:c r="F1792" s="1" t="str">
        <x:v>Física</x:v>
      </x:c>
      <x:c r="G1792" s="10" t="n">
        <x:v>80</x:v>
      </x:c>
      <x:c r="H1792" s="10" t="n">
        <x:f>IF(F1792="Física",'Pokémon'!G195,IF(F1792="Especial",'Pokémon'!I195,""))</x:f>
        <x:v>30</x:v>
      </x:c>
      <x:c r="I1792" s="10" t="n">
        <x:f>IF(OR(F1792="Status",G1792=0),"",G1792+H1792)</x:f>
        <x:v>110</x:v>
      </x:c>
      <x:c r="J1792" s="10" t="n">
        <x:v>43</x:v>
      </x:c>
      <x:c r="K1792" s="12" t="n">
        <x:v>22</x:v>
      </x:c>
      <x:c r="L1792" s="1" t="str"/>
      <x:c r="M1792" s="9" t="str">
        <x:v>https://poke.idleworld.online/pokepedia/pokemon/sunkern</x:v>
      </x:c>
    </x:row>
    <x:row r="1793" ht="22" customHeight="1">
      <x:c r="A1793" s="1" t="n">
        <x:v>191</x:v>
      </x:c>
      <x:c r="B1793" s="1" t="str">
        <x:v>Sunkern</x:v>
      </x:c>
      <x:c r="C1793" s="1" t="n">
        <x:v>4</x:v>
      </x:c>
      <x:c r="D1793" s="1" t="str">
        <x:v>Giga Drain</x:v>
      </x:c>
      <x:c r="E1793" s="1" t="str">
        <x:v>Planta</x:v>
      </x:c>
      <x:c r="F1793" s="1" t="str">
        <x:v>Especial</x:v>
      </x:c>
      <x:c r="G1793" s="10" t="n">
        <x:v>75</x:v>
      </x:c>
      <x:c r="H1793" s="10" t="n">
        <x:f>IF(F1793="Física",'Pokémon'!G195,IF(F1793="Especial",'Pokémon'!I195,""))</x:f>
        <x:v>30</x:v>
      </x:c>
      <x:c r="I1793" s="10" t="n">
        <x:f>IF(OR(F1793="Status",G1793=0),"",G1793+H1793)</x:f>
        <x:v>105</x:v>
      </x:c>
      <x:c r="J1793" s="10" t="n">
        <x:v>22</x:v>
      </x:c>
      <x:c r="K1793" s="12" t="n">
        <x:v>22</x:v>
      </x:c>
      <x:c r="L1793" s="1" t="str"/>
      <x:c r="M1793" s="9" t="str">
        <x:v>https://poke.idleworld.online/pokepedia/pokemon/sunkern</x:v>
      </x:c>
    </x:row>
    <x:row r="1794" ht="22" customHeight="1">
      <x:c r="A1794" s="1" t="n">
        <x:v>191</x:v>
      </x:c>
      <x:c r="B1794" s="1" t="str">
        <x:v>Sunkern</x:v>
      </x:c>
      <x:c r="C1794" s="1" t="n">
        <x:v>3</x:v>
      </x:c>
      <x:c r="D1794" s="1" t="str">
        <x:v>Razor Leaf</x:v>
      </x:c>
      <x:c r="E1794" s="1" t="str">
        <x:v>Planta</x:v>
      </x:c>
      <x:c r="F1794" s="1" t="str">
        <x:v>Física</x:v>
      </x:c>
      <x:c r="G1794" s="10" t="n">
        <x:v>55</x:v>
      </x:c>
      <x:c r="H1794" s="10" t="n">
        <x:f>IF(F1794="Física",'Pokémon'!G195,IF(F1794="Especial",'Pokémon'!I195,""))</x:f>
        <x:v>30</x:v>
      </x:c>
      <x:c r="I1794" s="10" t="n">
        <x:f>IF(OR(F1794="Status",G1794=0),"",G1794+H1794)</x:f>
        <x:v>85</x:v>
      </x:c>
      <x:c r="J1794" s="10" t="n">
        <x:v>16</x:v>
      </x:c>
      <x:c r="K1794" s="12" t="n">
        <x:v>20</x:v>
      </x:c>
      <x:c r="L1794" s="1" t="str"/>
      <x:c r="M1794" s="9" t="str">
        <x:v>https://poke.idleworld.online/pokepedia/pokemon/sunkern</x:v>
      </x:c>
    </x:row>
    <x:row r="1795" ht="22" customHeight="1">
      <x:c r="A1795" s="1" t="n">
        <x:v>191</x:v>
      </x:c>
      <x:c r="B1795" s="1" t="str">
        <x:v>Sunkern</x:v>
      </x:c>
      <x:c r="C1795" s="1" t="n">
        <x:v>2</x:v>
      </x:c>
      <x:c r="D1795" s="1" t="str">
        <x:v>Mega Drain</x:v>
      </x:c>
      <x:c r="E1795" s="1" t="str">
        <x:v>Planta</x:v>
      </x:c>
      <x:c r="F1795" s="1" t="str">
        <x:v>Especial</x:v>
      </x:c>
      <x:c r="G1795" s="10" t="n">
        <x:v>40</x:v>
      </x:c>
      <x:c r="H1795" s="10" t="n">
        <x:f>IF(F1795="Física",'Pokémon'!G195,IF(F1795="Especial",'Pokémon'!I195,""))</x:f>
        <x:v>30</x:v>
      </x:c>
      <x:c r="I1795" s="10" t="n">
        <x:f>IF(OR(F1795="Status",G1795=0),"",G1795+H1795)</x:f>
        <x:v>70</x:v>
      </x:c>
      <x:c r="J1795" s="10" t="n">
        <x:v>10</x:v>
      </x:c>
      <x:c r="K1795" s="12" t="n">
        <x:v>2.4</x:v>
      </x:c>
      <x:c r="L1795" s="1" t="str"/>
      <x:c r="M1795" s="9" t="str">
        <x:v>https://poke.idleworld.online/pokepedia/pokemon/sunkern</x:v>
      </x:c>
    </x:row>
    <x:row r="1796" ht="22" customHeight="1">
      <x:c r="A1796" s="1" t="n">
        <x:v>191</x:v>
      </x:c>
      <x:c r="B1796" s="1" t="str">
        <x:v>Sunkern</x:v>
      </x:c>
      <x:c r="C1796" s="1" t="n">
        <x:v>1</x:v>
      </x:c>
      <x:c r="D1796" s="1" t="str">
        <x:v>Absorb</x:v>
      </x:c>
      <x:c r="E1796" s="1" t="str">
        <x:v>Planta</x:v>
      </x:c>
      <x:c r="F1796" s="1" t="str">
        <x:v>Especial</x:v>
      </x:c>
      <x:c r="G1796" s="10" t="n">
        <x:v>20</x:v>
      </x:c>
      <x:c r="H1796" s="10" t="n">
        <x:f>IF(F1796="Física",'Pokémon'!G195,IF(F1796="Especial",'Pokémon'!I195,""))</x:f>
        <x:v>30</x:v>
      </x:c>
      <x:c r="I1796" s="10" t="n">
        <x:f>IF(OR(F1796="Status",G1796=0),"",G1796+H1796)</x:f>
        <x:v>50</x:v>
      </x:c>
      <x:c r="J1796" s="10" t="n">
        <x:v>1</x:v>
      </x:c>
      <x:c r="K1796" s="12" t="n">
        <x:v>10</x:v>
      </x:c>
      <x:c r="L1796" s="1" t="str"/>
      <x:c r="M1796" s="9" t="str">
        <x:v>https://poke.idleworld.online/pokepedia/pokemon/sunkern</x:v>
      </x:c>
    </x:row>
    <x:row r="1797" ht="22" customHeight="1">
      <x:c r="A1797" s="1" t="n">
        <x:v>192</x:v>
      </x:c>
      <x:c r="B1797" s="1" t="str">
        <x:v>Sunflora</x:v>
      </x:c>
      <x:c r="C1797" s="1" t="n">
        <x:v>2</x:v>
      </x:c>
      <x:c r="D1797" s="1" t="str">
        <x:v>Petal Bloom</x:v>
      </x:c>
      <x:c r="E1797" s="1" t="str">
        <x:v>Planta</x:v>
      </x:c>
      <x:c r="F1797" s="1" t="str">
        <x:v>Especial</x:v>
      </x:c>
      <x:c r="G1797" s="10" t="n">
        <x:v>300</x:v>
      </x:c>
      <x:c r="H1797" s="10" t="n">
        <x:f>IF(F1797="Física",'Pokémon'!G196,IF(F1797="Especial",'Pokémon'!I196,""))</x:f>
        <x:v>105</x:v>
      </x:c>
      <x:c r="I1797" s="10" t="n">
        <x:f>IF(OR(F1797="Status",G1797=0),"",G1797+H1797)</x:f>
        <x:v>405</x:v>
      </x:c>
      <x:c r="J1797" s="10" t="n">
        <x:v>1</x:v>
      </x:c>
      <x:c r="K1797" s="12" t="n">
        <x:v>10</x:v>
      </x:c>
      <x:c r="L1797" s="1" t="str">
        <x:v>Sim</x:v>
      </x:c>
      <x:c r="M1797" s="9" t="str">
        <x:v>https://poke.idleworld.online/pokepedia/pokemon/sunflora</x:v>
      </x:c>
    </x:row>
    <x:row r="1798" ht="22" customHeight="1">
      <x:c r="A1798" s="1" t="n">
        <x:v>192</x:v>
      </x:c>
      <x:c r="B1798" s="1" t="str">
        <x:v>Sunflora</x:v>
      </x:c>
      <x:c r="C1798" s="1" t="n">
        <x:v>11</x:v>
      </x:c>
      <x:c r="D1798" s="1" t="str">
        <x:v>Leaf Storm</x:v>
      </x:c>
      <x:c r="E1798" s="1" t="str">
        <x:v>Planta</x:v>
      </x:c>
      <x:c r="F1798" s="1" t="str">
        <x:v>Especial</x:v>
      </x:c>
      <x:c r="G1798" s="10" t="n">
        <x:v>130</x:v>
      </x:c>
      <x:c r="H1798" s="10" t="n">
        <x:f>IF(F1798="Física",'Pokémon'!G196,IF(F1798="Especial",'Pokémon'!I196,""))</x:f>
        <x:v>105</x:v>
      </x:c>
      <x:c r="I1798" s="10" t="n">
        <x:f>IF(OR(F1798="Status",G1798=0),"",G1798+H1798)</x:f>
        <x:v>235</x:v>
      </x:c>
      <x:c r="J1798" s="10" t="n">
        <x:v>43</x:v>
      </x:c>
      <x:c r="K1798" s="12" t="n">
        <x:v>50</x:v>
      </x:c>
      <x:c r="L1798" s="1" t="str"/>
      <x:c r="M1798" s="9" t="str">
        <x:v>https://poke.idleworld.online/pokepedia/pokemon/sunflora</x:v>
      </x:c>
    </x:row>
    <x:row r="1799" ht="22" customHeight="1">
      <x:c r="A1799" s="1" t="n">
        <x:v>192</x:v>
      </x:c>
      <x:c r="B1799" s="1" t="str">
        <x:v>Sunflora</x:v>
      </x:c>
      <x:c r="C1799" s="1" t="n">
        <x:v>8</x:v>
      </x:c>
      <x:c r="D1799" s="1" t="str">
        <x:v>Petal Dance</x:v>
      </x:c>
      <x:c r="E1799" s="1" t="str">
        <x:v>Planta</x:v>
      </x:c>
      <x:c r="F1799" s="1" t="str">
        <x:v>Especial</x:v>
      </x:c>
      <x:c r="G1799" s="10" t="n">
        <x:v>120</x:v>
      </x:c>
      <x:c r="H1799" s="10" t="n">
        <x:f>IF(F1799="Física",'Pokémon'!G196,IF(F1799="Especial",'Pokémon'!I196,""))</x:f>
        <x:v>105</x:v>
      </x:c>
      <x:c r="I1799" s="10" t="n">
        <x:f>IF(OR(F1799="Status",G1799=0),"",G1799+H1799)</x:f>
        <x:v>225</x:v>
      </x:c>
      <x:c r="J1799" s="10" t="n">
        <x:v>28</x:v>
      </x:c>
      <x:c r="K1799" s="12" t="n">
        <x:v>50</x:v>
      </x:c>
      <x:c r="L1799" s="1" t="str"/>
      <x:c r="M1799" s="9" t="str">
        <x:v>https://poke.idleworld.online/pokepedia/pokemon/sunflora</x:v>
      </x:c>
    </x:row>
    <x:row r="1800" ht="22" customHeight="1">
      <x:c r="A1800" s="1" t="n">
        <x:v>192</x:v>
      </x:c>
      <x:c r="B1800" s="1" t="str">
        <x:v>Sunflora</x:v>
      </x:c>
      <x:c r="C1800" s="1" t="n">
        <x:v>9</x:v>
      </x:c>
      <x:c r="D1800" s="1" t="str">
        <x:v>Solar Beam</x:v>
      </x:c>
      <x:c r="E1800" s="1" t="str">
        <x:v>Planta</x:v>
      </x:c>
      <x:c r="F1800" s="1" t="str">
        <x:v>Especial</x:v>
      </x:c>
      <x:c r="G1800" s="10" t="n">
        <x:v>120</x:v>
      </x:c>
      <x:c r="H1800" s="10" t="n">
        <x:f>IF(F1800="Física",'Pokémon'!G196,IF(F1800="Especial",'Pokémon'!I196,""))</x:f>
        <x:v>105</x:v>
      </x:c>
      <x:c r="I1800" s="10" t="n">
        <x:f>IF(OR(F1800="Status",G1800=0),"",G1800+H1800)</x:f>
        <x:v>225</x:v>
      </x:c>
      <x:c r="J1800" s="10" t="n">
        <x:v>34</x:v>
      </x:c>
      <x:c r="K1800" s="12" t="n">
        <x:v>30</x:v>
      </x:c>
      <x:c r="L1800" s="1" t="str"/>
      <x:c r="M1800" s="9" t="str">
        <x:v>https://poke.idleworld.online/pokepedia/pokemon/sunflora</x:v>
      </x:c>
    </x:row>
    <x:row r="1801" ht="22" customHeight="1">
      <x:c r="A1801" s="1" t="n">
        <x:v>192</x:v>
      </x:c>
      <x:c r="B1801" s="1" t="str">
        <x:v>Sunflora</x:v>
      </x:c>
      <x:c r="C1801" s="1" t="n">
        <x:v>10</x:v>
      </x:c>
      <x:c r="D1801" s="1" t="str">
        <x:v>Double-Edge</x:v>
      </x:c>
      <x:c r="E1801" s="1" t="str">
        <x:v>Normal</x:v>
      </x:c>
      <x:c r="F1801" s="1" t="str">
        <x:v>Física</x:v>
      </x:c>
      <x:c r="G1801" s="10" t="n">
        <x:v>120</x:v>
      </x:c>
      <x:c r="H1801" s="10" t="n">
        <x:f>IF(F1801="Física",'Pokémon'!G196,IF(F1801="Especial",'Pokémon'!I196,""))</x:f>
        <x:v>75</x:v>
      </x:c>
      <x:c r="I1801" s="10" t="n">
        <x:f>IF(OR(F1801="Status",G1801=0),"",G1801+H1801)</x:f>
        <x:v>195</x:v>
      </x:c>
      <x:c r="J1801" s="10" t="n">
        <x:v>37</x:v>
      </x:c>
      <x:c r="K1801" s="12" t="n">
        <x:v>3</x:v>
      </x:c>
      <x:c r="L1801" s="1" t="str"/>
      <x:c r="M1801" s="9" t="str">
        <x:v>https://poke.idleworld.online/pokepedia/pokemon/sunflora</x:v>
      </x:c>
    </x:row>
    <x:row r="1802" ht="22" customHeight="1">
      <x:c r="A1802" s="1" t="n">
        <x:v>192</x:v>
      </x:c>
      <x:c r="B1802" s="1" t="str">
        <x:v>Sunflora</x:v>
      </x:c>
      <x:c r="C1802" s="1" t="n">
        <x:v>6</x:v>
      </x:c>
      <x:c r="D1802" s="1" t="str">
        <x:v>Giga Drain</x:v>
      </x:c>
      <x:c r="E1802" s="1" t="str">
        <x:v>Planta</x:v>
      </x:c>
      <x:c r="F1802" s="1" t="str">
        <x:v>Especial</x:v>
      </x:c>
      <x:c r="G1802" s="10" t="n">
        <x:v>75</x:v>
      </x:c>
      <x:c r="H1802" s="10" t="n">
        <x:f>IF(F1802="Física",'Pokémon'!G196,IF(F1802="Especial",'Pokémon'!I196,""))</x:f>
        <x:v>105</x:v>
      </x:c>
      <x:c r="I1802" s="10" t="n">
        <x:f>IF(OR(F1802="Status",G1802=0),"",G1802+H1802)</x:f>
        <x:v>180</x:v>
      </x:c>
      <x:c r="J1802" s="10" t="n">
        <x:v>22</x:v>
      </x:c>
      <x:c r="K1802" s="12" t="n">
        <x:v>22</x:v>
      </x:c>
      <x:c r="L1802" s="1" t="str"/>
      <x:c r="M1802" s="9" t="str">
        <x:v>https://poke.idleworld.online/pokepedia/pokemon/sunflora</x:v>
      </x:c>
    </x:row>
    <x:row r="1803" ht="22" customHeight="1">
      <x:c r="A1803" s="1" t="n">
        <x:v>192</x:v>
      </x:c>
      <x:c r="B1803" s="1" t="str">
        <x:v>Sunflora</x:v>
      </x:c>
      <x:c r="C1803" s="1" t="n">
        <x:v>12</x:v>
      </x:c>
      <x:c r="D1803" s="1" t="str">
        <x:v>Petal Blizzard</x:v>
      </x:c>
      <x:c r="E1803" s="1" t="str">
        <x:v>Planta</x:v>
      </x:c>
      <x:c r="F1803" s="1" t="str">
        <x:v>Física</x:v>
      </x:c>
      <x:c r="G1803" s="10" t="n">
        <x:v>90</x:v>
      </x:c>
      <x:c r="H1803" s="10" t="n">
        <x:f>IF(F1803="Física",'Pokémon'!G196,IF(F1803="Especial",'Pokémon'!I196,""))</x:f>
        <x:v>75</x:v>
      </x:c>
      <x:c r="I1803" s="10" t="n">
        <x:f>IF(OR(F1803="Status",G1803=0),"",G1803+H1803)</x:f>
        <x:v>165</x:v>
      </x:c>
      <x:c r="J1803" s="10" t="n">
        <x:v>50</x:v>
      </x:c>
      <x:c r="K1803" s="12" t="n">
        <x:v>22</x:v>
      </x:c>
      <x:c r="L1803" s="1" t="str"/>
      <x:c r="M1803" s="9" t="str">
        <x:v>https://poke.idleworld.online/pokepedia/pokemon/sunflora</x:v>
      </x:c>
    </x:row>
    <x:row r="1804" ht="22" customHeight="1">
      <x:c r="A1804" s="1" t="n">
        <x:v>192</x:v>
      </x:c>
      <x:c r="B1804" s="1" t="str">
        <x:v>Sunflora</x:v>
      </x:c>
      <x:c r="C1804" s="1" t="n">
        <x:v>4</x:v>
      </x:c>
      <x:c r="D1804" s="1" t="str">
        <x:v>Mega Drain</x:v>
      </x:c>
      <x:c r="E1804" s="1" t="str">
        <x:v>Planta</x:v>
      </x:c>
      <x:c r="F1804" s="1" t="str">
        <x:v>Especial</x:v>
      </x:c>
      <x:c r="G1804" s="10" t="n">
        <x:v>40</x:v>
      </x:c>
      <x:c r="H1804" s="10" t="n">
        <x:f>IF(F1804="Física",'Pokémon'!G196,IF(F1804="Especial",'Pokémon'!I196,""))</x:f>
        <x:v>105</x:v>
      </x:c>
      <x:c r="I1804" s="10" t="n">
        <x:f>IF(OR(F1804="Status",G1804=0),"",G1804+H1804)</x:f>
        <x:v>145</x:v>
      </x:c>
      <x:c r="J1804" s="10" t="n">
        <x:v>10</x:v>
      </x:c>
      <x:c r="K1804" s="12" t="n">
        <x:v>2.4</x:v>
      </x:c>
      <x:c r="L1804" s="1" t="str"/>
      <x:c r="M1804" s="9" t="str">
        <x:v>https://poke.idleworld.online/pokepedia/pokemon/sunflora</x:v>
      </x:c>
    </x:row>
    <x:row r="1805" ht="22" customHeight="1">
      <x:c r="A1805" s="1" t="n">
        <x:v>192</x:v>
      </x:c>
      <x:c r="B1805" s="1" t="str">
        <x:v>Sunflora</x:v>
      </x:c>
      <x:c r="C1805" s="1" t="n">
        <x:v>5</x:v>
      </x:c>
      <x:c r="D1805" s="1" t="str">
        <x:v>Razor Leaf</x:v>
      </x:c>
      <x:c r="E1805" s="1" t="str">
        <x:v>Planta</x:v>
      </x:c>
      <x:c r="F1805" s="1" t="str">
        <x:v>Física</x:v>
      </x:c>
      <x:c r="G1805" s="10" t="n">
        <x:v>55</x:v>
      </x:c>
      <x:c r="H1805" s="10" t="n">
        <x:f>IF(F1805="Física",'Pokémon'!G196,IF(F1805="Especial",'Pokémon'!I196,""))</x:f>
        <x:v>75</x:v>
      </x:c>
      <x:c r="I1805" s="10" t="n">
        <x:f>IF(OR(F1805="Status",G1805=0),"",G1805+H1805)</x:f>
        <x:v>130</x:v>
      </x:c>
      <x:c r="J1805" s="10" t="n">
        <x:v>16</x:v>
      </x:c>
      <x:c r="K1805" s="12" t="n">
        <x:v>20</x:v>
      </x:c>
      <x:c r="L1805" s="1" t="str"/>
      <x:c r="M1805" s="9" t="str">
        <x:v>https://poke.idleworld.online/pokepedia/pokemon/sunflora</x:v>
      </x:c>
    </x:row>
    <x:row r="1806" ht="22" customHeight="1">
      <x:c r="A1806" s="1" t="n">
        <x:v>192</x:v>
      </x:c>
      <x:c r="B1806" s="1" t="str">
        <x:v>Sunflora</x:v>
      </x:c>
      <x:c r="C1806" s="1" t="n">
        <x:v>1</x:v>
      </x:c>
      <x:c r="D1806" s="1" t="str">
        <x:v>Absorb</x:v>
      </x:c>
      <x:c r="E1806" s="1" t="str">
        <x:v>Planta</x:v>
      </x:c>
      <x:c r="F1806" s="1" t="str">
        <x:v>Especial</x:v>
      </x:c>
      <x:c r="G1806" s="10" t="n">
        <x:v>20</x:v>
      </x:c>
      <x:c r="H1806" s="10" t="n">
        <x:f>IF(F1806="Física",'Pokémon'!G196,IF(F1806="Especial",'Pokémon'!I196,""))</x:f>
        <x:v>105</x:v>
      </x:c>
      <x:c r="I1806" s="10" t="n">
        <x:f>IF(OR(F1806="Status",G1806=0),"",G1806+H1806)</x:f>
        <x:v>125</x:v>
      </x:c>
      <x:c r="J1806" s="10" t="n">
        <x:v>1</x:v>
      </x:c>
      <x:c r="K1806" s="12" t="n">
        <x:v>10</x:v>
      </x:c>
      <x:c r="L1806" s="1" t="str"/>
      <x:c r="M1806" s="9" t="str">
        <x:v>https://poke.idleworld.online/pokepedia/pokemon/sunflora</x:v>
      </x:c>
    </x:row>
    <x:row r="1807" ht="22" customHeight="1">
      <x:c r="A1807" s="1" t="n">
        <x:v>192</x:v>
      </x:c>
      <x:c r="B1807" s="1" t="str">
        <x:v>Sunflora</x:v>
      </x:c>
      <x:c r="C1807" s="1" t="n">
        <x:v>3</x:v>
      </x:c>
      <x:c r="D1807" s="1" t="str">
        <x:v>Pound</x:v>
      </x:c>
      <x:c r="E1807" s="1" t="str">
        <x:v>Normal</x:v>
      </x:c>
      <x:c r="F1807" s="1" t="str">
        <x:v>Física</x:v>
      </x:c>
      <x:c r="G1807" s="10" t="n">
        <x:v>40</x:v>
      </x:c>
      <x:c r="H1807" s="10" t="n">
        <x:f>IF(F1807="Física",'Pokémon'!G196,IF(F1807="Especial",'Pokémon'!I196,""))</x:f>
        <x:v>75</x:v>
      </x:c>
      <x:c r="I1807" s="10" t="n">
        <x:f>IF(OR(F1807="Status",G1807=0),"",G1807+H1807)</x:f>
        <x:v>115</x:v>
      </x:c>
      <x:c r="J1807" s="10" t="n">
        <x:v>1</x:v>
      </x:c>
      <x:c r="K1807" s="12" t="n">
        <x:v>15</x:v>
      </x:c>
      <x:c r="L1807" s="1" t="str"/>
      <x:c r="M1807" s="9" t="str">
        <x:v>https://poke.idleworld.online/pokepedia/pokemon/sunflora</x:v>
      </x:c>
    </x:row>
    <x:row r="1808" ht="22" customHeight="1">
      <x:c r="A1808" s="1" t="n">
        <x:v>192</x:v>
      </x:c>
      <x:c r="B1808" s="1" t="str">
        <x:v>Sunflora</x:v>
      </x:c>
      <x:c r="C1808" s="1" t="n">
        <x:v>7</x:v>
      </x:c>
      <x:c r="D1808" s="1" t="str">
        <x:v>Bullet Seed</x:v>
      </x:c>
      <x:c r="E1808" s="1" t="str">
        <x:v>Planta</x:v>
      </x:c>
      <x:c r="F1808" s="1" t="str">
        <x:v>Física</x:v>
      </x:c>
      <x:c r="G1808" s="10" t="n">
        <x:v>25</x:v>
      </x:c>
      <x:c r="H1808" s="10" t="n">
        <x:f>IF(F1808="Física",'Pokémon'!G196,IF(F1808="Especial",'Pokémon'!I196,""))</x:f>
        <x:v>75</x:v>
      </x:c>
      <x:c r="I1808" s="10" t="n">
        <x:f>IF(OR(F1808="Status",G1808=0),"",G1808+H1808)</x:f>
        <x:v>100</x:v>
      </x:c>
      <x:c r="J1808" s="10" t="n">
        <x:v>25</x:v>
      </x:c>
      <x:c r="K1808" s="12" t="n">
        <x:v>15</x:v>
      </x:c>
      <x:c r="L1808" s="1" t="str"/>
      <x:c r="M1808" s="9" t="str">
        <x:v>https://poke.idleworld.online/pokepedia/pokemon/sunflora</x:v>
      </x:c>
    </x:row>
    <x:row r="1809" ht="22" customHeight="1">
      <x:c r="A1809" s="1" t="n">
        <x:v>193</x:v>
      </x:c>
      <x:c r="B1809" s="1" t="str">
        <x:v>Yanma</x:v>
      </x:c>
      <x:c r="C1809" s="1" t="n">
        <x:v>2</x:v>
      </x:c>
      <x:c r="D1809" s="1" t="str">
        <x:v>Massive Hurricane</x:v>
      </x:c>
      <x:c r="E1809" s="1" t="str">
        <x:v>Voador</x:v>
      </x:c>
      <x:c r="F1809" s="1" t="str">
        <x:v>Física</x:v>
      </x:c>
      <x:c r="G1809" s="10" t="n">
        <x:v>300</x:v>
      </x:c>
      <x:c r="H1809" s="10" t="n">
        <x:f>IF(F1809="Física",'Pokémon'!G197,IF(F1809="Especial",'Pokémon'!I197,""))</x:f>
        <x:v>65</x:v>
      </x:c>
      <x:c r="I1809" s="10" t="n">
        <x:f>IF(OR(F1809="Status",G1809=0),"",G1809+H1809)</x:f>
        <x:v>365</x:v>
      </x:c>
      <x:c r="J1809" s="10" t="n">
        <x:v>1</x:v>
      </x:c>
      <x:c r="K1809" s="12" t="n">
        <x:v>10</x:v>
      </x:c>
      <x:c r="L1809" s="1" t="str">
        <x:v>Sim</x:v>
      </x:c>
      <x:c r="M1809" s="9" t="str">
        <x:v>https://poke.idleworld.online/pokepedia/pokemon/yanma</x:v>
      </x:c>
    </x:row>
    <x:row r="1810" ht="22" customHeight="1">
      <x:c r="A1810" s="1" t="n">
        <x:v>193</x:v>
      </x:c>
      <x:c r="B1810" s="1" t="str">
        <x:v>Yanma</x:v>
      </x:c>
      <x:c r="C1810" s="1" t="n">
        <x:v>3</x:v>
      </x:c>
      <x:c r="D1810" s="1" t="str">
        <x:v>Hive Crush</x:v>
      </x:c>
      <x:c r="E1810" s="1" t="str">
        <x:v>Inseto</x:v>
      </x:c>
      <x:c r="F1810" s="1" t="str">
        <x:v>Física</x:v>
      </x:c>
      <x:c r="G1810" s="10" t="n">
        <x:v>300</x:v>
      </x:c>
      <x:c r="H1810" s="10" t="n">
        <x:f>IF(F1810="Física",'Pokémon'!G197,IF(F1810="Especial",'Pokémon'!I197,""))</x:f>
        <x:v>65</x:v>
      </x:c>
      <x:c r="I1810" s="10" t="n">
        <x:f>IF(OR(F1810="Status",G1810=0),"",G1810+H1810)</x:f>
        <x:v>365</x:v>
      </x:c>
      <x:c r="J1810" s="10" t="n">
        <x:v>1</x:v>
      </x:c>
      <x:c r="K1810" s="12" t="n">
        <x:v>10</x:v>
      </x:c>
      <x:c r="L1810" s="1" t="str">
        <x:v>Sim</x:v>
      </x:c>
      <x:c r="M1810" s="9" t="str">
        <x:v>https://poke.idleworld.online/pokepedia/pokemon/yanma</x:v>
      </x:c>
    </x:row>
    <x:row r="1811" ht="22" customHeight="1">
      <x:c r="A1811" s="1" t="n">
        <x:v>193</x:v>
      </x:c>
      <x:c r="B1811" s="1" t="str">
        <x:v>Yanma</x:v>
      </x:c>
      <x:c r="C1811" s="1" t="n">
        <x:v>5</x:v>
      </x:c>
      <x:c r="D1811" s="1" t="str">
        <x:v>Uproar</x:v>
      </x:c>
      <x:c r="E1811" s="1" t="str">
        <x:v>Normal</x:v>
      </x:c>
      <x:c r="F1811" s="1" t="str">
        <x:v>Especial</x:v>
      </x:c>
      <x:c r="G1811" s="10" t="n">
        <x:v>90</x:v>
      </x:c>
      <x:c r="H1811" s="10" t="n">
        <x:f>IF(F1811="Física",'Pokémon'!G197,IF(F1811="Especial",'Pokémon'!I197,""))</x:f>
        <x:v>75</x:v>
      </x:c>
      <x:c r="I1811" s="10" t="n">
        <x:f>IF(OR(F1811="Status",G1811=0),"",G1811+H1811)</x:f>
        <x:v>165</x:v>
      </x:c>
      <x:c r="J1811" s="10" t="n">
        <x:v>27</x:v>
      </x:c>
      <x:c r="K1811" s="12" t="n">
        <x:v>22</x:v>
      </x:c>
      <x:c r="L1811" s="1" t="str"/>
      <x:c r="M1811" s="9" t="str">
        <x:v>https://poke.idleworld.online/pokepedia/pokemon/yanma</x:v>
      </x:c>
    </x:row>
    <x:row r="1812" ht="22" customHeight="1">
      <x:c r="A1812" s="1" t="n">
        <x:v>193</x:v>
      </x:c>
      <x:c r="B1812" s="1" t="str">
        <x:v>Yanma</x:v>
      </x:c>
      <x:c r="C1812" s="1" t="n">
        <x:v>11</x:v>
      </x:c>
      <x:c r="D1812" s="1" t="str">
        <x:v>Bug Buzz</x:v>
      </x:c>
      <x:c r="E1812" s="1" t="str">
        <x:v>Inseto</x:v>
      </x:c>
      <x:c r="F1812" s="1" t="str">
        <x:v>Especial</x:v>
      </x:c>
      <x:c r="G1812" s="10" t="n">
        <x:v>90</x:v>
      </x:c>
      <x:c r="H1812" s="10" t="n">
        <x:f>IF(F1812="Física",'Pokémon'!G197,IF(F1812="Especial",'Pokémon'!I197,""))</x:f>
        <x:v>75</x:v>
      </x:c>
      <x:c r="I1812" s="10" t="n">
        <x:f>IF(OR(F1812="Status",G1812=0),"",G1812+H1812)</x:f>
        <x:v>165</x:v>
      </x:c>
      <x:c r="J1812" s="10" t="n">
        <x:v>57</x:v>
      </x:c>
      <x:c r="K1812" s="12" t="n">
        <x:v>22</x:v>
      </x:c>
      <x:c r="L1812" s="1" t="str"/>
      <x:c r="M1812" s="9" t="str">
        <x:v>https://poke.idleworld.online/pokepedia/pokemon/yanma</x:v>
      </x:c>
    </x:row>
    <x:row r="1813" ht="22" customHeight="1">
      <x:c r="A1813" s="1" t="n">
        <x:v>193</x:v>
      </x:c>
      <x:c r="B1813" s="1" t="str">
        <x:v>Yanma</x:v>
      </x:c>
      <x:c r="C1813" s="1" t="n">
        <x:v>10</x:v>
      </x:c>
      <x:c r="D1813" s="1" t="str">
        <x:v>Air Slash</x:v>
      </x:c>
      <x:c r="E1813" s="1" t="str">
        <x:v>Voador</x:v>
      </x:c>
      <x:c r="F1813" s="1" t="str">
        <x:v>Especial</x:v>
      </x:c>
      <x:c r="G1813" s="10" t="n">
        <x:v>75</x:v>
      </x:c>
      <x:c r="H1813" s="10" t="n">
        <x:f>IF(F1813="Física",'Pokémon'!G197,IF(F1813="Especial",'Pokémon'!I197,""))</x:f>
        <x:v>75</x:v>
      </x:c>
      <x:c r="I1813" s="10" t="n">
        <x:f>IF(OR(F1813="Status",G1813=0),"",G1813+H1813)</x:f>
        <x:v>150</x:v>
      </x:c>
      <x:c r="J1813" s="10" t="n">
        <x:v>54</x:v>
      </x:c>
      <x:c r="K1813" s="12" t="n">
        <x:v>22</x:v>
      </x:c>
      <x:c r="L1813" s="1" t="str"/>
      <x:c r="M1813" s="9" t="str">
        <x:v>https://poke.idleworld.online/pokepedia/pokemon/yanma</x:v>
      </x:c>
    </x:row>
    <x:row r="1814" ht="22" customHeight="1">
      <x:c r="A1814" s="1" t="n">
        <x:v>193</x:v>
      </x:c>
      <x:c r="B1814" s="1" t="str">
        <x:v>Yanma</x:v>
      </x:c>
      <x:c r="C1814" s="1" t="n">
        <x:v>9</x:v>
      </x:c>
      <x:c r="D1814" s="1" t="str">
        <x:v>U-turn</x:v>
      </x:c>
      <x:c r="E1814" s="1" t="str">
        <x:v>Inseto</x:v>
      </x:c>
      <x:c r="F1814" s="1" t="str">
        <x:v>Física</x:v>
      </x:c>
      <x:c r="G1814" s="10" t="n">
        <x:v>70</x:v>
      </x:c>
      <x:c r="H1814" s="10" t="n">
        <x:f>IF(F1814="Física",'Pokémon'!G197,IF(F1814="Especial",'Pokémon'!I197,""))</x:f>
        <x:v>65</x:v>
      </x:c>
      <x:c r="I1814" s="10" t="n">
        <x:f>IF(OR(F1814="Status",G1814=0),"",G1814+H1814)</x:f>
        <x:v>135</x:v>
      </x:c>
      <x:c r="J1814" s="10" t="n">
        <x:v>49</x:v>
      </x:c>
      <x:c r="K1814" s="12" t="n">
        <x:v>20</x:v>
      </x:c>
      <x:c r="L1814" s="1" t="str"/>
      <x:c r="M1814" s="9" t="str">
        <x:v>https://poke.idleworld.online/pokepedia/pokemon/yanma</x:v>
      </x:c>
    </x:row>
    <x:row r="1815" ht="22" customHeight="1">
      <x:c r="A1815" s="1" t="n">
        <x:v>193</x:v>
      </x:c>
      <x:c r="B1815" s="1" t="str">
        <x:v>Yanma</x:v>
      </x:c>
      <x:c r="C1815" s="1" t="n">
        <x:v>7</x:v>
      </x:c>
      <x:c r="D1815" s="1" t="str">
        <x:v>Ancient Power</x:v>
      </x:c>
      <x:c r="E1815" s="1" t="str">
        <x:v>Pedra</x:v>
      </x:c>
      <x:c r="F1815" s="1" t="str">
        <x:v>Especial</x:v>
      </x:c>
      <x:c r="G1815" s="10" t="n">
        <x:v>60</x:v>
      </x:c>
      <x:c r="H1815" s="10" t="n">
        <x:f>IF(F1815="Física",'Pokémon'!G197,IF(F1815="Especial",'Pokémon'!I197,""))</x:f>
        <x:v>75</x:v>
      </x:c>
      <x:c r="I1815" s="10" t="n">
        <x:f>IF(OR(F1815="Status",G1815=0),"",G1815+H1815)</x:f>
        <x:v>135</x:v>
      </x:c>
      <x:c r="J1815" s="10" t="n">
        <x:v>33</x:v>
      </x:c>
      <x:c r="K1815" s="12" t="n">
        <x:v>20</x:v>
      </x:c>
      <x:c r="L1815" s="1" t="str"/>
      <x:c r="M1815" s="9" t="str">
        <x:v>https://poke.idleworld.online/pokepedia/pokemon/yanma</x:v>
      </x:c>
    </x:row>
    <x:row r="1816" ht="22" customHeight="1">
      <x:c r="A1816" s="1" t="n">
        <x:v>193</x:v>
      </x:c>
      <x:c r="B1816" s="1" t="str">
        <x:v>Yanma</x:v>
      </x:c>
      <x:c r="C1816" s="1" t="n">
        <x:v>8</x:v>
      </x:c>
      <x:c r="D1816" s="1" t="str">
        <x:v>Wing Attack</x:v>
      </x:c>
      <x:c r="E1816" s="1" t="str">
        <x:v>Voador</x:v>
      </x:c>
      <x:c r="F1816" s="1" t="str">
        <x:v>Física</x:v>
      </x:c>
      <x:c r="G1816" s="10" t="n">
        <x:v>60</x:v>
      </x:c>
      <x:c r="H1816" s="10" t="n">
        <x:f>IF(F1816="Física",'Pokémon'!G197,IF(F1816="Especial",'Pokémon'!I197,""))</x:f>
        <x:v>65</x:v>
      </x:c>
      <x:c r="I1816" s="10" t="n">
        <x:f>IF(OR(F1816="Status",G1816=0),"",G1816+H1816)</x:f>
        <x:v>125</x:v>
      </x:c>
      <x:c r="J1816" s="10" t="n">
        <x:v>43</x:v>
      </x:c>
      <x:c r="K1816" s="12" t="n">
        <x:v>20</x:v>
      </x:c>
      <x:c r="L1816" s="1" t="str"/>
      <x:c r="M1816" s="9" t="str">
        <x:v>https://poke.idleworld.online/pokepedia/pokemon/yanma</x:v>
      </x:c>
    </x:row>
    <x:row r="1817" ht="22" customHeight="1">
      <x:c r="A1817" s="1" t="n">
        <x:v>193</x:v>
      </x:c>
      <x:c r="B1817" s="1" t="str">
        <x:v>Yanma</x:v>
      </x:c>
      <x:c r="C1817" s="1" t="n">
        <x:v>1</x:v>
      </x:c>
      <x:c r="D1817" s="1" t="str">
        <x:v>Tackle</x:v>
      </x:c>
      <x:c r="E1817" s="1" t="str">
        <x:v>Normal</x:v>
      </x:c>
      <x:c r="F1817" s="1" t="str">
        <x:v>Física</x:v>
      </x:c>
      <x:c r="G1817" s="10" t="n">
        <x:v>50</x:v>
      </x:c>
      <x:c r="H1817" s="10" t="n">
        <x:f>IF(F1817="Física",'Pokémon'!G197,IF(F1817="Especial",'Pokémon'!I197,""))</x:f>
        <x:v>65</x:v>
      </x:c>
      <x:c r="I1817" s="10" t="n">
        <x:f>IF(OR(F1817="Status",G1817=0),"",G1817+H1817)</x:f>
        <x:v>115</x:v>
      </x:c>
      <x:c r="J1817" s="10" t="n">
        <x:v>1</x:v>
      </x:c>
      <x:c r="K1817" s="12" t="n">
        <x:v>15</x:v>
      </x:c>
      <x:c r="L1817" s="1" t="str"/>
      <x:c r="M1817" s="9" t="str">
        <x:v>https://poke.idleworld.online/pokepedia/pokemon/yanma</x:v>
      </x:c>
    </x:row>
    <x:row r="1818" ht="22" customHeight="1">
      <x:c r="A1818" s="1" t="n">
        <x:v>193</x:v>
      </x:c>
      <x:c r="B1818" s="1" t="str">
        <x:v>Yanma</x:v>
      </x:c>
      <x:c r="C1818" s="1" t="n">
        <x:v>4</x:v>
      </x:c>
      <x:c r="D1818" s="1" t="str">
        <x:v>Quick Attack</x:v>
      </x:c>
      <x:c r="E1818" s="1" t="str">
        <x:v>Normal</x:v>
      </x:c>
      <x:c r="F1818" s="1" t="str">
        <x:v>Física</x:v>
      </x:c>
      <x:c r="G1818" s="10" t="n">
        <x:v>40</x:v>
      </x:c>
      <x:c r="H1818" s="10" t="n">
        <x:f>IF(F1818="Física",'Pokémon'!G197,IF(F1818="Especial",'Pokémon'!I197,""))</x:f>
        <x:v>65</x:v>
      </x:c>
      <x:c r="I1818" s="10" t="n">
        <x:f>IF(OR(F1818="Status",G1818=0),"",G1818+H1818)</x:f>
        <x:v>105</x:v>
      </x:c>
      <x:c r="J1818" s="10" t="n">
        <x:v>6</x:v>
      </x:c>
      <x:c r="K1818" s="12" t="n">
        <x:v>15</x:v>
      </x:c>
      <x:c r="L1818" s="1" t="str"/>
      <x:c r="M1818" s="9" t="str">
        <x:v>https://poke.idleworld.online/pokepedia/pokemon/yanma</x:v>
      </x:c>
    </x:row>
    <x:row r="1819" ht="22" customHeight="1">
      <x:c r="A1819" s="1" t="n">
        <x:v>193</x:v>
      </x:c>
      <x:c r="B1819" s="1" t="str">
        <x:v>Yanma</x:v>
      </x:c>
      <x:c r="C1819" s="1" t="n">
        <x:v>6</x:v>
      </x:c>
      <x:c r="D1819" s="1" t="str">
        <x:v>Pursuit</x:v>
      </x:c>
      <x:c r="E1819" s="1" t="str">
        <x:v>Sombrio</x:v>
      </x:c>
      <x:c r="F1819" s="1" t="str">
        <x:v>Física</x:v>
      </x:c>
      <x:c r="G1819" s="10" t="n">
        <x:v>40</x:v>
      </x:c>
      <x:c r="H1819" s="10" t="n">
        <x:f>IF(F1819="Física",'Pokémon'!G197,IF(F1819="Especial",'Pokémon'!I197,""))</x:f>
        <x:v>65</x:v>
      </x:c>
      <x:c r="I1819" s="10" t="n">
        <x:f>IF(OR(F1819="Status",G1819=0),"",G1819+H1819)</x:f>
        <x:v>105</x:v>
      </x:c>
      <x:c r="J1819" s="10" t="n">
        <x:v>30</x:v>
      </x:c>
      <x:c r="K1819" s="12" t="n">
        <x:v>15</x:v>
      </x:c>
      <x:c r="L1819" s="1" t="str"/>
      <x:c r="M1819" s="9" t="str">
        <x:v>https://poke.idleworld.online/pokepedia/pokemon/yanma</x:v>
      </x:c>
    </x:row>
    <x:row r="1820" ht="22" customHeight="1">
      <x:c r="A1820" s="1" t="n">
        <x:v>194</x:v>
      </x:c>
      <x:c r="B1820" s="1" t="str">
        <x:v>Wooper</x:v>
      </x:c>
      <x:c r="C1820" s="1" t="n">
        <x:v>5</x:v>
      </x:c>
      <x:c r="D1820" s="1" t="str">
        <x:v>Earthquake</x:v>
      </x:c>
      <x:c r="E1820" s="1" t="str">
        <x:v>Terrestre</x:v>
      </x:c>
      <x:c r="F1820" s="1" t="str">
        <x:v>Física</x:v>
      </x:c>
      <x:c r="G1820" s="10" t="n">
        <x:v>100</x:v>
      </x:c>
      <x:c r="H1820" s="10" t="n">
        <x:f>IF(F1820="Física",'Pokémon'!G198,IF(F1820="Especial",'Pokémon'!I198,""))</x:f>
        <x:v>45</x:v>
      </x:c>
      <x:c r="I1820" s="10" t="n">
        <x:f>IF(OR(F1820="Status",G1820=0),"",G1820+H1820)</x:f>
        <x:v>145</x:v>
      </x:c>
      <x:c r="J1820" s="10" t="n">
        <x:v>33</x:v>
      </x:c>
      <x:c r="K1820" s="12" t="n">
        <x:v>40</x:v>
      </x:c>
      <x:c r="L1820" s="1" t="str"/>
      <x:c r="M1820" s="9" t="str">
        <x:v>https://poke.idleworld.online/pokepedia/pokemon/wooper</x:v>
      </x:c>
    </x:row>
    <x:row r="1821" ht="22" customHeight="1">
      <x:c r="A1821" s="1" t="n">
        <x:v>194</x:v>
      </x:c>
      <x:c r="B1821" s="1" t="str">
        <x:v>Wooper</x:v>
      </x:c>
      <x:c r="C1821" s="1" t="n">
        <x:v>3</x:v>
      </x:c>
      <x:c r="D1821" s="1" t="str">
        <x:v>Slam</x:v>
      </x:c>
      <x:c r="E1821" s="1" t="str">
        <x:v>Normal</x:v>
      </x:c>
      <x:c r="F1821" s="1" t="str">
        <x:v>Física</x:v>
      </x:c>
      <x:c r="G1821" s="10" t="n">
        <x:v>80</x:v>
      </x:c>
      <x:c r="H1821" s="10" t="n">
        <x:f>IF(F1821="Física",'Pokémon'!G198,IF(F1821="Especial",'Pokémon'!I198,""))</x:f>
        <x:v>45</x:v>
      </x:c>
      <x:c r="I1821" s="10" t="n">
        <x:f>IF(OR(F1821="Status",G1821=0),"",G1821+H1821)</x:f>
        <x:v>125</x:v>
      </x:c>
      <x:c r="J1821" s="10" t="n">
        <x:v>15</x:v>
      </x:c>
      <x:c r="K1821" s="12" t="n">
        <x:v>22</x:v>
      </x:c>
      <x:c r="L1821" s="1" t="str"/>
      <x:c r="M1821" s="9" t="str">
        <x:v>https://poke.idleworld.online/pokepedia/pokemon/wooper</x:v>
      </x:c>
    </x:row>
    <x:row r="1822" ht="22" customHeight="1">
      <x:c r="A1822" s="1" t="n">
        <x:v>194</x:v>
      </x:c>
      <x:c r="B1822" s="1" t="str">
        <x:v>Wooper</x:v>
      </x:c>
      <x:c r="C1822" s="1" t="n">
        <x:v>6</x:v>
      </x:c>
      <x:c r="D1822" s="1" t="str">
        <x:v>Muddy Water</x:v>
      </x:c>
      <x:c r="E1822" s="1" t="str">
        <x:v>Água</x:v>
      </x:c>
      <x:c r="F1822" s="1" t="str">
        <x:v>Especial</x:v>
      </x:c>
      <x:c r="G1822" s="10" t="n">
        <x:v>90</x:v>
      </x:c>
      <x:c r="H1822" s="10" t="n">
        <x:f>IF(F1822="Física",'Pokémon'!G198,IF(F1822="Especial",'Pokémon'!I198,""))</x:f>
        <x:v>25</x:v>
      </x:c>
      <x:c r="I1822" s="10" t="n">
        <x:f>IF(OR(F1822="Status",G1822=0),"",G1822+H1822)</x:f>
        <x:v>115</x:v>
      </x:c>
      <x:c r="J1822" s="10" t="n">
        <x:v>47</x:v>
      </x:c>
      <x:c r="K1822" s="12" t="n">
        <x:v>22</x:v>
      </x:c>
      <x:c r="L1822" s="1" t="str"/>
      <x:c r="M1822" s="9" t="str">
        <x:v>https://poke.idleworld.online/pokepedia/pokemon/wooper</x:v>
      </x:c>
    </x:row>
    <x:row r="1823" ht="22" customHeight="1">
      <x:c r="A1823" s="1" t="n">
        <x:v>194</x:v>
      </x:c>
      <x:c r="B1823" s="1" t="str">
        <x:v>Wooper</x:v>
      </x:c>
      <x:c r="C1823" s="1" t="n">
        <x:v>4</x:v>
      </x:c>
      <x:c r="D1823" s="1" t="str">
        <x:v>Mud Bomb</x:v>
      </x:c>
      <x:c r="E1823" s="1" t="str">
        <x:v>Terrestre</x:v>
      </x:c>
      <x:c r="F1823" s="1" t="str">
        <x:v>Especial</x:v>
      </x:c>
      <x:c r="G1823" s="10" t="n">
        <x:v>65</x:v>
      </x:c>
      <x:c r="H1823" s="10" t="n">
        <x:f>IF(F1823="Física",'Pokémon'!G198,IF(F1823="Especial",'Pokémon'!I198,""))</x:f>
        <x:v>25</x:v>
      </x:c>
      <x:c r="I1823" s="10" t="n">
        <x:f>IF(OR(F1823="Status",G1823=0),"",G1823+H1823)</x:f>
        <x:v>90</x:v>
      </x:c>
      <x:c r="J1823" s="10" t="n">
        <x:v>19</x:v>
      </x:c>
      <x:c r="K1823" s="12" t="n">
        <x:v>25</x:v>
      </x:c>
      <x:c r="L1823" s="1" t="str"/>
      <x:c r="M1823" s="9" t="str">
        <x:v>https://poke.idleworld.online/pokepedia/pokemon/wooper</x:v>
      </x:c>
    </x:row>
    <x:row r="1824" ht="22" customHeight="1">
      <x:c r="A1824" s="1" t="n">
        <x:v>194</x:v>
      </x:c>
      <x:c r="B1824" s="1" t="str">
        <x:v>Wooper</x:v>
      </x:c>
      <x:c r="C1824" s="1" t="n">
        <x:v>2</x:v>
      </x:c>
      <x:c r="D1824" s="1" t="str">
        <x:v>Mud Shot</x:v>
      </x:c>
      <x:c r="E1824" s="1" t="str">
        <x:v>Terrestre</x:v>
      </x:c>
      <x:c r="F1824" s="1" t="str">
        <x:v>Especial</x:v>
      </x:c>
      <x:c r="G1824" s="10" t="n">
        <x:v>55</x:v>
      </x:c>
      <x:c r="H1824" s="10" t="n">
        <x:f>IF(F1824="Física",'Pokémon'!G198,IF(F1824="Especial",'Pokémon'!I198,""))</x:f>
        <x:v>25</x:v>
      </x:c>
      <x:c r="I1824" s="10" t="n">
        <x:f>IF(OR(F1824="Status",G1824=0),"",G1824+H1824)</x:f>
        <x:v>80</x:v>
      </x:c>
      <x:c r="J1824" s="10" t="n">
        <x:v>9</x:v>
      </x:c>
      <x:c r="K1824" s="12" t="n">
        <x:v>20</x:v>
      </x:c>
      <x:c r="L1824" s="1" t="str"/>
      <x:c r="M1824" s="9" t="str">
        <x:v>https://poke.idleworld.online/pokepedia/pokemon/wooper</x:v>
      </x:c>
    </x:row>
    <x:row r="1825" ht="22" customHeight="1">
      <x:c r="A1825" s="1" t="n">
        <x:v>194</x:v>
      </x:c>
      <x:c r="B1825" s="1" t="str">
        <x:v>Wooper</x:v>
      </x:c>
      <x:c r="C1825" s="1" t="n">
        <x:v>1</x:v>
      </x:c>
      <x:c r="D1825" s="1" t="str">
        <x:v>Water Gun</x:v>
      </x:c>
      <x:c r="E1825" s="1" t="str">
        <x:v>Água</x:v>
      </x:c>
      <x:c r="F1825" s="1" t="str">
        <x:v>Especial</x:v>
      </x:c>
      <x:c r="G1825" s="10" t="n">
        <x:v>40</x:v>
      </x:c>
      <x:c r="H1825" s="10" t="n">
        <x:f>IF(F1825="Física",'Pokémon'!G198,IF(F1825="Especial",'Pokémon'!I198,""))</x:f>
        <x:v>25</x:v>
      </x:c>
      <x:c r="I1825" s="10" t="n">
        <x:f>IF(OR(F1825="Status",G1825=0),"",G1825+H1825)</x:f>
        <x:v>65</x:v>
      </x:c>
      <x:c r="J1825" s="10" t="n">
        <x:v>1</x:v>
      </x:c>
      <x:c r="K1825" s="12" t="n">
        <x:v>18</x:v>
      </x:c>
      <x:c r="L1825" s="1" t="str"/>
      <x:c r="M1825" s="9" t="str">
        <x:v>https://poke.idleworld.online/pokepedia/pokemon/wooper</x:v>
      </x:c>
    </x:row>
    <x:row r="1826" ht="22" customHeight="1">
      <x:c r="A1826" s="1" t="n">
        <x:v>195</x:v>
      </x:c>
      <x:c r="B1826" s="1" t="str">
        <x:v>Quagsire</x:v>
      </x:c>
      <x:c r="C1826" s="1" t="n">
        <x:v>2</x:v>
      </x:c>
      <x:c r="D1826" s="1" t="str">
        <x:v>Cyclonic Tide</x:v>
      </x:c>
      <x:c r="E1826" s="1" t="str">
        <x:v>Água</x:v>
      </x:c>
      <x:c r="F1826" s="1" t="str">
        <x:v>Especial</x:v>
      </x:c>
      <x:c r="G1826" s="10" t="n">
        <x:v>300</x:v>
      </x:c>
      <x:c r="H1826" s="10" t="n">
        <x:f>IF(F1826="Física",'Pokémon'!G199,IF(F1826="Especial",'Pokémon'!I199,""))</x:f>
        <x:v>65</x:v>
      </x:c>
      <x:c r="I1826" s="10" t="n">
        <x:f>IF(OR(F1826="Status",G1826=0),"",G1826+H1826)</x:f>
        <x:v>365</x:v>
      </x:c>
      <x:c r="J1826" s="10" t="n">
        <x:v>1</x:v>
      </x:c>
      <x:c r="K1826" s="12" t="n">
        <x:v>10</x:v>
      </x:c>
      <x:c r="L1826" s="1" t="str">
        <x:v>Sim</x:v>
      </x:c>
      <x:c r="M1826" s="9" t="str">
        <x:v>https://poke.idleworld.online/pokepedia/pokemon/quagsire</x:v>
      </x:c>
    </x:row>
    <x:row r="1827" ht="22" customHeight="1">
      <x:c r="A1827" s="1" t="n">
        <x:v>195</x:v>
      </x:c>
      <x:c r="B1827" s="1" t="str">
        <x:v>Quagsire</x:v>
      </x:c>
      <x:c r="C1827" s="1" t="n">
        <x:v>6</x:v>
      </x:c>
      <x:c r="D1827" s="1" t="str">
        <x:v>Earthquake</x:v>
      </x:c>
      <x:c r="E1827" s="1" t="str">
        <x:v>Terrestre</x:v>
      </x:c>
      <x:c r="F1827" s="1" t="str">
        <x:v>Física</x:v>
      </x:c>
      <x:c r="G1827" s="10" t="n">
        <x:v>100</x:v>
      </x:c>
      <x:c r="H1827" s="10" t="n">
        <x:f>IF(F1827="Física",'Pokémon'!G199,IF(F1827="Especial",'Pokémon'!I199,""))</x:f>
        <x:v>85</x:v>
      </x:c>
      <x:c r="I1827" s="10" t="n">
        <x:f>IF(OR(F1827="Status",G1827=0),"",G1827+H1827)</x:f>
        <x:v>185</x:v>
      </x:c>
      <x:c r="J1827" s="10" t="n">
        <x:v>36</x:v>
      </x:c>
      <x:c r="K1827" s="12" t="n">
        <x:v>40</x:v>
      </x:c>
      <x:c r="L1827" s="1" t="str"/>
      <x:c r="M1827" s="9" t="str">
        <x:v>https://poke.idleworld.online/pokepedia/pokemon/quagsire</x:v>
      </x:c>
    </x:row>
    <x:row r="1828" ht="22" customHeight="1">
      <x:c r="A1828" s="1" t="n">
        <x:v>195</x:v>
      </x:c>
      <x:c r="B1828" s="1" t="str">
        <x:v>Quagsire</x:v>
      </x:c>
      <x:c r="C1828" s="1" t="n">
        <x:v>4</x:v>
      </x:c>
      <x:c r="D1828" s="1" t="str">
        <x:v>Slam</x:v>
      </x:c>
      <x:c r="E1828" s="1" t="str">
        <x:v>Normal</x:v>
      </x:c>
      <x:c r="F1828" s="1" t="str">
        <x:v>Física</x:v>
      </x:c>
      <x:c r="G1828" s="10" t="n">
        <x:v>80</x:v>
      </x:c>
      <x:c r="H1828" s="10" t="n">
        <x:f>IF(F1828="Física",'Pokémon'!G199,IF(F1828="Especial",'Pokémon'!I199,""))</x:f>
        <x:v>85</x:v>
      </x:c>
      <x:c r="I1828" s="10" t="n">
        <x:f>IF(OR(F1828="Status",G1828=0),"",G1828+H1828)</x:f>
        <x:v>165</x:v>
      </x:c>
      <x:c r="J1828" s="10" t="n">
        <x:v>15</x:v>
      </x:c>
      <x:c r="K1828" s="12" t="n">
        <x:v>22</x:v>
      </x:c>
      <x:c r="L1828" s="1" t="str"/>
      <x:c r="M1828" s="9" t="str">
        <x:v>https://poke.idleworld.online/pokepedia/pokemon/quagsire</x:v>
      </x:c>
    </x:row>
    <x:row r="1829" ht="22" customHeight="1">
      <x:c r="A1829" s="1" t="n">
        <x:v>195</x:v>
      </x:c>
      <x:c r="B1829" s="1" t="str">
        <x:v>Quagsire</x:v>
      </x:c>
      <x:c r="C1829" s="1" t="n">
        <x:v>7</x:v>
      </x:c>
      <x:c r="D1829" s="1" t="str">
        <x:v>Muddy Water</x:v>
      </x:c>
      <x:c r="E1829" s="1" t="str">
        <x:v>Água</x:v>
      </x:c>
      <x:c r="F1829" s="1" t="str">
        <x:v>Especial</x:v>
      </x:c>
      <x:c r="G1829" s="10" t="n">
        <x:v>90</x:v>
      </x:c>
      <x:c r="H1829" s="10" t="n">
        <x:f>IF(F1829="Física",'Pokémon'!G199,IF(F1829="Especial",'Pokémon'!I199,""))</x:f>
        <x:v>65</x:v>
      </x:c>
      <x:c r="I1829" s="10" t="n">
        <x:f>IF(OR(F1829="Status",G1829=0),"",G1829+H1829)</x:f>
        <x:v>155</x:v>
      </x:c>
      <x:c r="J1829" s="10" t="n">
        <x:v>53</x:v>
      </x:c>
      <x:c r="K1829" s="12" t="n">
        <x:v>22</x:v>
      </x:c>
      <x:c r="L1829" s="1" t="str"/>
      <x:c r="M1829" s="9" t="str">
        <x:v>https://poke.idleworld.online/pokepedia/pokemon/quagsire</x:v>
      </x:c>
    </x:row>
    <x:row r="1830" ht="22" customHeight="1">
      <x:c r="A1830" s="1" t="n">
        <x:v>195</x:v>
      </x:c>
      <x:c r="B1830" s="1" t="str">
        <x:v>Quagsire</x:v>
      </x:c>
      <x:c r="C1830" s="1" t="n">
        <x:v>5</x:v>
      </x:c>
      <x:c r="D1830" s="1" t="str">
        <x:v>Mud Bomb</x:v>
      </x:c>
      <x:c r="E1830" s="1" t="str">
        <x:v>Terrestre</x:v>
      </x:c>
      <x:c r="F1830" s="1" t="str">
        <x:v>Especial</x:v>
      </x:c>
      <x:c r="G1830" s="10" t="n">
        <x:v>65</x:v>
      </x:c>
      <x:c r="H1830" s="10" t="n">
        <x:f>IF(F1830="Física",'Pokémon'!G199,IF(F1830="Especial",'Pokémon'!I199,""))</x:f>
        <x:v>65</x:v>
      </x:c>
      <x:c r="I1830" s="10" t="n">
        <x:f>IF(OR(F1830="Status",G1830=0),"",G1830+H1830)</x:f>
        <x:v>130</x:v>
      </x:c>
      <x:c r="J1830" s="10" t="n">
        <x:v>19</x:v>
      </x:c>
      <x:c r="K1830" s="12" t="n">
        <x:v>25</x:v>
      </x:c>
      <x:c r="L1830" s="1" t="str"/>
      <x:c r="M1830" s="9" t="str">
        <x:v>https://poke.idleworld.online/pokepedia/pokemon/quagsire</x:v>
      </x:c>
    </x:row>
    <x:row r="1831" ht="22" customHeight="1">
      <x:c r="A1831" s="1" t="n">
        <x:v>195</x:v>
      </x:c>
      <x:c r="B1831" s="1" t="str">
        <x:v>Quagsire</x:v>
      </x:c>
      <x:c r="C1831" s="1" t="n">
        <x:v>3</x:v>
      </x:c>
      <x:c r="D1831" s="1" t="str">
        <x:v>Mud Shot</x:v>
      </x:c>
      <x:c r="E1831" s="1" t="str">
        <x:v>Terrestre</x:v>
      </x:c>
      <x:c r="F1831" s="1" t="str">
        <x:v>Especial</x:v>
      </x:c>
      <x:c r="G1831" s="10" t="n">
        <x:v>55</x:v>
      </x:c>
      <x:c r="H1831" s="10" t="n">
        <x:f>IF(F1831="Física",'Pokémon'!G199,IF(F1831="Especial",'Pokémon'!I199,""))</x:f>
        <x:v>65</x:v>
      </x:c>
      <x:c r="I1831" s="10" t="n">
        <x:f>IF(OR(F1831="Status",G1831=0),"",G1831+H1831)</x:f>
        <x:v>120</x:v>
      </x:c>
      <x:c r="J1831" s="10" t="n">
        <x:v>9</x:v>
      </x:c>
      <x:c r="K1831" s="12" t="n">
        <x:v>20</x:v>
      </x:c>
      <x:c r="L1831" s="1" t="str"/>
      <x:c r="M1831" s="9" t="str">
        <x:v>https://poke.idleworld.online/pokepedia/pokemon/quagsire</x:v>
      </x:c>
    </x:row>
    <x:row r="1832" ht="22" customHeight="1">
      <x:c r="A1832" s="1" t="n">
        <x:v>195</x:v>
      </x:c>
      <x:c r="B1832" s="1" t="str">
        <x:v>Quagsire</x:v>
      </x:c>
      <x:c r="C1832" s="1" t="n">
        <x:v>1</x:v>
      </x:c>
      <x:c r="D1832" s="1" t="str">
        <x:v>Water Gun</x:v>
      </x:c>
      <x:c r="E1832" s="1" t="str">
        <x:v>Água</x:v>
      </x:c>
      <x:c r="F1832" s="1" t="str">
        <x:v>Especial</x:v>
      </x:c>
      <x:c r="G1832" s="10" t="n">
        <x:v>40</x:v>
      </x:c>
      <x:c r="H1832" s="10" t="n">
        <x:f>IF(F1832="Física",'Pokémon'!G199,IF(F1832="Especial",'Pokémon'!I199,""))</x:f>
        <x:v>65</x:v>
      </x:c>
      <x:c r="I1832" s="10" t="n">
        <x:f>IF(OR(F1832="Status",G1832=0),"",G1832+H1832)</x:f>
        <x:v>105</x:v>
      </x:c>
      <x:c r="J1832" s="10" t="n">
        <x:v>1</x:v>
      </x:c>
      <x:c r="K1832" s="12" t="n">
        <x:v>18</x:v>
      </x:c>
      <x:c r="L1832" s="1" t="str"/>
      <x:c r="M1832" s="9" t="str">
        <x:v>https://poke.idleworld.online/pokepedia/pokemon/quagsire</x:v>
      </x:c>
    </x:row>
    <x:row r="1833" ht="22" customHeight="1">
      <x:c r="A1833" s="1" t="n">
        <x:v>196</x:v>
      </x:c>
      <x:c r="B1833" s="1" t="str">
        <x:v>Espeon</x:v>
      </x:c>
      <x:c r="C1833" s="1" t="n">
        <x:v>2</x:v>
      </x:c>
      <x:c r="D1833" s="1" t="str">
        <x:v>Mental Singularity</x:v>
      </x:c>
      <x:c r="E1833" s="1" t="str">
        <x:v>Psíquico</x:v>
      </x:c>
      <x:c r="F1833" s="1" t="str">
        <x:v>Especial</x:v>
      </x:c>
      <x:c r="G1833" s="10" t="n">
        <x:v>300</x:v>
      </x:c>
      <x:c r="H1833" s="10" t="n">
        <x:f>IF(F1833="Física",'Pokémon'!G200,IF(F1833="Especial",'Pokémon'!I200,""))</x:f>
        <x:v>130</x:v>
      </x:c>
      <x:c r="I1833" s="10" t="n">
        <x:f>IF(OR(F1833="Status",G1833=0),"",G1833+H1833)</x:f>
        <x:v>430</x:v>
      </x:c>
      <x:c r="J1833" s="10" t="n">
        <x:v>1</x:v>
      </x:c>
      <x:c r="K1833" s="12" t="n">
        <x:v>10</x:v>
      </x:c>
      <x:c r="L1833" s="1" t="str">
        <x:v>Sim</x:v>
      </x:c>
      <x:c r="M1833" s="9" t="str">
        <x:v>https://poke.idleworld.online/pokepedia/pokemon/espeon</x:v>
      </x:c>
    </x:row>
    <x:row r="1834" ht="22" customHeight="1">
      <x:c r="A1834" s="1" t="n">
        <x:v>196</x:v>
      </x:c>
      <x:c r="B1834" s="1" t="str">
        <x:v>Espeon</x:v>
      </x:c>
      <x:c r="C1834" s="1" t="n">
        <x:v>7</x:v>
      </x:c>
      <x:c r="D1834" s="1" t="str">
        <x:v>Future Sight</x:v>
      </x:c>
      <x:c r="E1834" s="1" t="str">
        <x:v>Psíquico</x:v>
      </x:c>
      <x:c r="F1834" s="1" t="str">
        <x:v>Especial</x:v>
      </x:c>
      <x:c r="G1834" s="10" t="n">
        <x:v>120</x:v>
      </x:c>
      <x:c r="H1834" s="10" t="n">
        <x:f>IF(F1834="Física",'Pokémon'!G200,IF(F1834="Especial",'Pokémon'!I200,""))</x:f>
        <x:v>130</x:v>
      </x:c>
      <x:c r="I1834" s="10" t="n">
        <x:f>IF(OR(F1834="Status",G1834=0),"",G1834+H1834)</x:f>
        <x:v>250</x:v>
      </x:c>
      <x:c r="J1834" s="10" t="n">
        <x:v>25</x:v>
      </x:c>
      <x:c r="K1834" s="12" t="n">
        <x:v>50</x:v>
      </x:c>
      <x:c r="L1834" s="1" t="str"/>
      <x:c r="M1834" s="9" t="str">
        <x:v>https://poke.idleworld.online/pokepedia/pokemon/espeon</x:v>
      </x:c>
    </x:row>
    <x:row r="1835" ht="22" customHeight="1">
      <x:c r="A1835" s="1" t="n">
        <x:v>196</x:v>
      </x:c>
      <x:c r="B1835" s="1" t="str">
        <x:v>Espeon</x:v>
      </x:c>
      <x:c r="C1835" s="1" t="n">
        <x:v>8</x:v>
      </x:c>
      <x:c r="D1835" s="1" t="str">
        <x:v>Psychic</x:v>
      </x:c>
      <x:c r="E1835" s="1" t="str">
        <x:v>Psíquico</x:v>
      </x:c>
      <x:c r="F1835" s="1" t="str">
        <x:v>Especial</x:v>
      </x:c>
      <x:c r="G1835" s="10" t="n">
        <x:v>90</x:v>
      </x:c>
      <x:c r="H1835" s="10" t="n">
        <x:f>IF(F1835="Física",'Pokémon'!G200,IF(F1835="Especial",'Pokémon'!I200,""))</x:f>
        <x:v>130</x:v>
      </x:c>
      <x:c r="I1835" s="10" t="n">
        <x:f>IF(OR(F1835="Status",G1835=0),"",G1835+H1835)</x:f>
        <x:v>220</x:v>
      </x:c>
      <x:c r="J1835" s="10" t="n">
        <x:v>37</x:v>
      </x:c>
      <x:c r="K1835" s="12" t="n">
        <x:v>35</x:v>
      </x:c>
      <x:c r="L1835" s="1" t="str"/>
      <x:c r="M1835" s="9" t="str">
        <x:v>https://poke.idleworld.online/pokepedia/pokemon/espeon</x:v>
      </x:c>
    </x:row>
    <x:row r="1836" ht="22" customHeight="1">
      <x:c r="A1836" s="1" t="n">
        <x:v>196</x:v>
      </x:c>
      <x:c r="B1836" s="1" t="str">
        <x:v>Espeon</x:v>
      </x:c>
      <x:c r="C1836" s="1" t="n">
        <x:v>9</x:v>
      </x:c>
      <x:c r="D1836" s="1" t="str">
        <x:v>Last Resort</x:v>
      </x:c>
      <x:c r="E1836" s="1" t="str">
        <x:v>Normal</x:v>
      </x:c>
      <x:c r="F1836" s="1" t="str">
        <x:v>Física</x:v>
      </x:c>
      <x:c r="G1836" s="10" t="n">
        <x:v>140</x:v>
      </x:c>
      <x:c r="H1836" s="10" t="n">
        <x:f>IF(F1836="Física",'Pokémon'!G200,IF(F1836="Especial",'Pokémon'!I200,""))</x:f>
        <x:v>65</x:v>
      </x:c>
      <x:c r="I1836" s="10" t="n">
        <x:f>IF(OR(F1836="Status",G1836=0),"",G1836+H1836)</x:f>
        <x:v>205</x:v>
      </x:c>
      <x:c r="J1836" s="10" t="n">
        <x:v>41</x:v>
      </x:c>
      <x:c r="K1836" s="12" t="n">
        <x:v>50</x:v>
      </x:c>
      <x:c r="L1836" s="1" t="str"/>
      <x:c r="M1836" s="9" t="str">
        <x:v>https://poke.idleworld.online/pokepedia/pokemon/espeon</x:v>
      </x:c>
    </x:row>
    <x:row r="1837" ht="22" customHeight="1">
      <x:c r="A1837" s="1" t="n">
        <x:v>196</x:v>
      </x:c>
      <x:c r="B1837" s="1" t="str">
        <x:v>Espeon</x:v>
      </x:c>
      <x:c r="C1837" s="1" t="n">
        <x:v>6</x:v>
      </x:c>
      <x:c r="D1837" s="1" t="str">
        <x:v>Psybeam</x:v>
      </x:c>
      <x:c r="E1837" s="1" t="str">
        <x:v>Psíquico</x:v>
      </x:c>
      <x:c r="F1837" s="1" t="str">
        <x:v>Especial</x:v>
      </x:c>
      <x:c r="G1837" s="10" t="n">
        <x:v>65</x:v>
      </x:c>
      <x:c r="H1837" s="10" t="n">
        <x:f>IF(F1837="Física",'Pokémon'!G200,IF(F1837="Especial",'Pokémon'!I200,""))</x:f>
        <x:v>130</x:v>
      </x:c>
      <x:c r="I1837" s="10" t="n">
        <x:f>IF(OR(F1837="Status",G1837=0),"",G1837+H1837)</x:f>
        <x:v>195</x:v>
      </x:c>
      <x:c r="J1837" s="10" t="n">
        <x:v>20</x:v>
      </x:c>
      <x:c r="K1837" s="12" t="n">
        <x:v>20</x:v>
      </x:c>
      <x:c r="L1837" s="1" t="str"/>
      <x:c r="M1837" s="9" t="str">
        <x:v>https://poke.idleworld.online/pokepedia/pokemon/espeon</x:v>
      </x:c>
    </x:row>
    <x:row r="1838" ht="22" customHeight="1">
      <x:c r="A1838" s="1" t="n">
        <x:v>196</x:v>
      </x:c>
      <x:c r="B1838" s="1" t="str">
        <x:v>Espeon</x:v>
      </x:c>
      <x:c r="C1838" s="1" t="n">
        <x:v>5</x:v>
      </x:c>
      <x:c r="D1838" s="1" t="str">
        <x:v>Swift</x:v>
      </x:c>
      <x:c r="E1838" s="1" t="str">
        <x:v>Normal</x:v>
      </x:c>
      <x:c r="F1838" s="1" t="str">
        <x:v>Especial</x:v>
      </x:c>
      <x:c r="G1838" s="10" t="n">
        <x:v>60</x:v>
      </x:c>
      <x:c r="H1838" s="10" t="n">
        <x:f>IF(F1838="Física",'Pokémon'!G200,IF(F1838="Especial",'Pokémon'!I200,""))</x:f>
        <x:v>130</x:v>
      </x:c>
      <x:c r="I1838" s="10" t="n">
        <x:f>IF(OR(F1838="Status",G1838=0),"",G1838+H1838)</x:f>
        <x:v>190</x:v>
      </x:c>
      <x:c r="J1838" s="10" t="n">
        <x:v>17</x:v>
      </x:c>
      <x:c r="K1838" s="12" t="n">
        <x:v>20</x:v>
      </x:c>
      <x:c r="L1838" s="1" t="str"/>
      <x:c r="M1838" s="9" t="str">
        <x:v>https://poke.idleworld.online/pokepedia/pokemon/espeon</x:v>
      </x:c>
    </x:row>
    <x:row r="1839" ht="22" customHeight="1">
      <x:c r="A1839" s="1" t="n">
        <x:v>196</x:v>
      </x:c>
      <x:c r="B1839" s="1" t="str">
        <x:v>Espeon</x:v>
      </x:c>
      <x:c r="C1839" s="1" t="n">
        <x:v>3</x:v>
      </x:c>
      <x:c r="D1839" s="1" t="str">
        <x:v>Confusion</x:v>
      </x:c>
      <x:c r="E1839" s="1" t="str">
        <x:v>Psíquico</x:v>
      </x:c>
      <x:c r="F1839" s="1" t="str">
        <x:v>Especial</x:v>
      </x:c>
      <x:c r="G1839" s="10" t="n">
        <x:v>50</x:v>
      </x:c>
      <x:c r="H1839" s="10" t="n">
        <x:f>IF(F1839="Física",'Pokémon'!G200,IF(F1839="Especial",'Pokémon'!I200,""))</x:f>
        <x:v>130</x:v>
      </x:c>
      <x:c r="I1839" s="10" t="n">
        <x:f>IF(OR(F1839="Status",G1839=0),"",G1839+H1839)</x:f>
        <x:v>180</x:v>
      </x:c>
      <x:c r="J1839" s="10" t="n">
        <x:v>9</x:v>
      </x:c>
      <x:c r="K1839" s="12" t="n">
        <x:v>15</x:v>
      </x:c>
      <x:c r="L1839" s="1" t="str"/>
      <x:c r="M1839" s="9" t="str">
        <x:v>https://poke.idleworld.online/pokepedia/pokemon/espeon</x:v>
      </x:c>
    </x:row>
    <x:row r="1840" ht="22" customHeight="1">
      <x:c r="A1840" s="1" t="n">
        <x:v>196</x:v>
      </x:c>
      <x:c r="B1840" s="1" t="str">
        <x:v>Espeon</x:v>
      </x:c>
      <x:c r="C1840" s="1" t="n">
        <x:v>1</x:v>
      </x:c>
      <x:c r="D1840" s="1" t="str">
        <x:v>Tackle</x:v>
      </x:c>
      <x:c r="E1840" s="1" t="str">
        <x:v>Normal</x:v>
      </x:c>
      <x:c r="F1840" s="1" t="str">
        <x:v>Física</x:v>
      </x:c>
      <x:c r="G1840" s="10" t="n">
        <x:v>50</x:v>
      </x:c>
      <x:c r="H1840" s="10" t="n">
        <x:f>IF(F1840="Física",'Pokémon'!G200,IF(F1840="Especial",'Pokémon'!I200,""))</x:f>
        <x:v>65</x:v>
      </x:c>
      <x:c r="I1840" s="10" t="n">
        <x:f>IF(OR(F1840="Status",G1840=0),"",G1840+H1840)</x:f>
        <x:v>115</x:v>
      </x:c>
      <x:c r="J1840" s="10" t="n">
        <x:v>1</x:v>
      </x:c>
      <x:c r="K1840" s="12" t="n">
        <x:v>15</x:v>
      </x:c>
      <x:c r="L1840" s="1" t="str"/>
      <x:c r="M1840" s="9" t="str">
        <x:v>https://poke.idleworld.online/pokepedia/pokemon/espeon</x:v>
      </x:c>
    </x:row>
    <x:row r="1841" ht="22" customHeight="1">
      <x:c r="A1841" s="1" t="n">
        <x:v>196</x:v>
      </x:c>
      <x:c r="B1841" s="1" t="str">
        <x:v>Espeon</x:v>
      </x:c>
      <x:c r="C1841" s="1" t="n">
        <x:v>4</x:v>
      </x:c>
      <x:c r="D1841" s="1" t="str">
        <x:v>Quick Attack</x:v>
      </x:c>
      <x:c r="E1841" s="1" t="str">
        <x:v>Normal</x:v>
      </x:c>
      <x:c r="F1841" s="1" t="str">
        <x:v>Física</x:v>
      </x:c>
      <x:c r="G1841" s="10" t="n">
        <x:v>40</x:v>
      </x:c>
      <x:c r="H1841" s="10" t="n">
        <x:f>IF(F1841="Física",'Pokémon'!G200,IF(F1841="Especial",'Pokémon'!I200,""))</x:f>
        <x:v>65</x:v>
      </x:c>
      <x:c r="I1841" s="10" t="n">
        <x:f>IF(OR(F1841="Status",G1841=0),"",G1841+H1841)</x:f>
        <x:v>105</x:v>
      </x:c>
      <x:c r="J1841" s="10" t="n">
        <x:v>13</x:v>
      </x:c>
      <x:c r="K1841" s="12" t="n">
        <x:v>15</x:v>
      </x:c>
      <x:c r="L1841" s="1" t="str"/>
      <x:c r="M1841" s="9" t="str">
        <x:v>https://poke.idleworld.online/pokepedia/pokemon/espeon</x:v>
      </x:c>
    </x:row>
    <x:row r="1842" ht="22" customHeight="1">
      <x:c r="A1842" s="1" t="n">
        <x:v>197</x:v>
      </x:c>
      <x:c r="B1842" s="1" t="str">
        <x:v>Umbreon</x:v>
      </x:c>
      <x:c r="C1842" s="1" t="n">
        <x:v>2</x:v>
      </x:c>
      <x:c r="D1842" s="1" t="str">
        <x:v>Endless Hollow</x:v>
      </x:c>
      <x:c r="E1842" s="1" t="str">
        <x:v>Sombrio</x:v>
      </x:c>
      <x:c r="F1842" s="1" t="str">
        <x:v>Física</x:v>
      </x:c>
      <x:c r="G1842" s="10" t="n">
        <x:v>300</x:v>
      </x:c>
      <x:c r="H1842" s="10" t="n">
        <x:f>IF(F1842="Física",'Pokémon'!G201,IF(F1842="Especial",'Pokémon'!I201,""))</x:f>
        <x:v>65</x:v>
      </x:c>
      <x:c r="I1842" s="10" t="n">
        <x:f>IF(OR(F1842="Status",G1842=0),"",G1842+H1842)</x:f>
        <x:v>365</x:v>
      </x:c>
      <x:c r="J1842" s="10" t="n">
        <x:v>1</x:v>
      </x:c>
      <x:c r="K1842" s="12" t="n">
        <x:v>10</x:v>
      </x:c>
      <x:c r="L1842" s="1" t="str">
        <x:v>Sim</x:v>
      </x:c>
      <x:c r="M1842" s="9" t="str">
        <x:v>https://poke.idleworld.online/pokepedia/pokemon/umbreon</x:v>
      </x:c>
    </x:row>
    <x:row r="1843" ht="22" customHeight="1">
      <x:c r="A1843" s="1" t="n">
        <x:v>197</x:v>
      </x:c>
      <x:c r="B1843" s="1" t="str">
        <x:v>Umbreon</x:v>
      </x:c>
      <x:c r="C1843" s="1" t="n">
        <x:v>7</x:v>
      </x:c>
      <x:c r="D1843" s="1" t="str">
        <x:v>Last Resort</x:v>
      </x:c>
      <x:c r="E1843" s="1" t="str">
        <x:v>Normal</x:v>
      </x:c>
      <x:c r="F1843" s="1" t="str">
        <x:v>Física</x:v>
      </x:c>
      <x:c r="G1843" s="10" t="n">
        <x:v>140</x:v>
      </x:c>
      <x:c r="H1843" s="10" t="n">
        <x:f>IF(F1843="Física",'Pokémon'!G201,IF(F1843="Especial",'Pokémon'!I201,""))</x:f>
        <x:v>65</x:v>
      </x:c>
      <x:c r="I1843" s="10" t="n">
        <x:f>IF(OR(F1843="Status",G1843=0),"",G1843+H1843)</x:f>
        <x:v>205</x:v>
      </x:c>
      <x:c r="J1843" s="10" t="n">
        <x:v>41</x:v>
      </x:c>
      <x:c r="K1843" s="12" t="n">
        <x:v>50</x:v>
      </x:c>
      <x:c r="L1843" s="1" t="str"/>
      <x:c r="M1843" s="9" t="str">
        <x:v>https://poke.idleworld.online/pokepedia/pokemon/umbreon</x:v>
      </x:c>
    </x:row>
    <x:row r="1844" ht="22" customHeight="1">
      <x:c r="A1844" s="1" t="n">
        <x:v>197</x:v>
      </x:c>
      <x:c r="B1844" s="1" t="str">
        <x:v>Umbreon</x:v>
      </x:c>
      <x:c r="C1844" s="1" t="n">
        <x:v>5</x:v>
      </x:c>
      <x:c r="D1844" s="1" t="str">
        <x:v>Feint Attack</x:v>
      </x:c>
      <x:c r="E1844" s="1" t="str">
        <x:v>Sombrio</x:v>
      </x:c>
      <x:c r="F1844" s="1" t="str">
        <x:v>Física</x:v>
      </x:c>
      <x:c r="G1844" s="10" t="n">
        <x:v>60</x:v>
      </x:c>
      <x:c r="H1844" s="10" t="n">
        <x:f>IF(F1844="Física",'Pokémon'!G201,IF(F1844="Especial",'Pokémon'!I201,""))</x:f>
        <x:v>65</x:v>
      </x:c>
      <x:c r="I1844" s="10" t="n">
        <x:f>IF(OR(F1844="Status",G1844=0),"",G1844+H1844)</x:f>
        <x:v>125</x:v>
      </x:c>
      <x:c r="J1844" s="10" t="n">
        <x:v>20</x:v>
      </x:c>
      <x:c r="K1844" s="12" t="n">
        <x:v>20</x:v>
      </x:c>
      <x:c r="L1844" s="1" t="str"/>
      <x:c r="M1844" s="9" t="str">
        <x:v>https://poke.idleworld.online/pokepedia/pokemon/umbreon</x:v>
      </x:c>
    </x:row>
    <x:row r="1845" ht="22" customHeight="1">
      <x:c r="A1845" s="1" t="n">
        <x:v>197</x:v>
      </x:c>
      <x:c r="B1845" s="1" t="str">
        <x:v>Umbreon</x:v>
      </x:c>
      <x:c r="C1845" s="1" t="n">
        <x:v>6</x:v>
      </x:c>
      <x:c r="D1845" s="1" t="str">
        <x:v>Assurance</x:v>
      </x:c>
      <x:c r="E1845" s="1" t="str">
        <x:v>Sombrio</x:v>
      </x:c>
      <x:c r="F1845" s="1" t="str">
        <x:v>Física</x:v>
      </x:c>
      <x:c r="G1845" s="10" t="n">
        <x:v>60</x:v>
      </x:c>
      <x:c r="H1845" s="10" t="n">
        <x:f>IF(F1845="Física",'Pokémon'!G201,IF(F1845="Especial",'Pokémon'!I201,""))</x:f>
        <x:v>65</x:v>
      </x:c>
      <x:c r="I1845" s="10" t="n">
        <x:f>IF(OR(F1845="Status",G1845=0),"",G1845+H1845)</x:f>
        <x:v>125</x:v>
      </x:c>
      <x:c r="J1845" s="10" t="n">
        <x:v>25</x:v>
      </x:c>
      <x:c r="K1845" s="12" t="n">
        <x:v>20</x:v>
      </x:c>
      <x:c r="L1845" s="1" t="str"/>
      <x:c r="M1845" s="9" t="str">
        <x:v>https://poke.idleworld.online/pokepedia/pokemon/umbreon</x:v>
      </x:c>
    </x:row>
    <x:row r="1846" ht="22" customHeight="1">
      <x:c r="A1846" s="1" t="n">
        <x:v>197</x:v>
      </x:c>
      <x:c r="B1846" s="1" t="str">
        <x:v>Umbreon</x:v>
      </x:c>
      <x:c r="C1846" s="1" t="n">
        <x:v>1</x:v>
      </x:c>
      <x:c r="D1846" s="1" t="str">
        <x:v>Tackle</x:v>
      </x:c>
      <x:c r="E1846" s="1" t="str">
        <x:v>Normal</x:v>
      </x:c>
      <x:c r="F1846" s="1" t="str">
        <x:v>Física</x:v>
      </x:c>
      <x:c r="G1846" s="10" t="n">
        <x:v>50</x:v>
      </x:c>
      <x:c r="H1846" s="10" t="n">
        <x:f>IF(F1846="Física",'Pokémon'!G201,IF(F1846="Especial",'Pokémon'!I201,""))</x:f>
        <x:v>65</x:v>
      </x:c>
      <x:c r="I1846" s="10" t="n">
        <x:f>IF(OR(F1846="Status",G1846=0),"",G1846+H1846)</x:f>
        <x:v>115</x:v>
      </x:c>
      <x:c r="J1846" s="10" t="n">
        <x:v>1</x:v>
      </x:c>
      <x:c r="K1846" s="12" t="n">
        <x:v>15</x:v>
      </x:c>
      <x:c r="L1846" s="1" t="str"/>
      <x:c r="M1846" s="9" t="str">
        <x:v>https://poke.idleworld.online/pokepedia/pokemon/umbreon</x:v>
      </x:c>
    </x:row>
    <x:row r="1847" ht="22" customHeight="1">
      <x:c r="A1847" s="1" t="n">
        <x:v>197</x:v>
      </x:c>
      <x:c r="B1847" s="1" t="str">
        <x:v>Umbreon</x:v>
      </x:c>
      <x:c r="C1847" s="1" t="n">
        <x:v>3</x:v>
      </x:c>
      <x:c r="D1847" s="1" t="str">
        <x:v>Pursuit</x:v>
      </x:c>
      <x:c r="E1847" s="1" t="str">
        <x:v>Sombrio</x:v>
      </x:c>
      <x:c r="F1847" s="1" t="str">
        <x:v>Física</x:v>
      </x:c>
      <x:c r="G1847" s="10" t="n">
        <x:v>40</x:v>
      </x:c>
      <x:c r="H1847" s="10" t="n">
        <x:f>IF(F1847="Física",'Pokémon'!G201,IF(F1847="Especial",'Pokémon'!I201,""))</x:f>
        <x:v>65</x:v>
      </x:c>
      <x:c r="I1847" s="10" t="n">
        <x:f>IF(OR(F1847="Status",G1847=0),"",G1847+H1847)</x:f>
        <x:v>105</x:v>
      </x:c>
      <x:c r="J1847" s="10" t="n">
        <x:v>9</x:v>
      </x:c>
      <x:c r="K1847" s="12" t="n">
        <x:v>10</x:v>
      </x:c>
      <x:c r="L1847" s="1" t="str"/>
      <x:c r="M1847" s="9" t="str">
        <x:v>https://poke.idleworld.online/pokepedia/pokemon/umbreon</x:v>
      </x:c>
    </x:row>
    <x:row r="1848" ht="22" customHeight="1">
      <x:c r="A1848" s="1" t="n">
        <x:v>197</x:v>
      </x:c>
      <x:c r="B1848" s="1" t="str">
        <x:v>Umbreon</x:v>
      </x:c>
      <x:c r="C1848" s="1" t="n">
        <x:v>4</x:v>
      </x:c>
      <x:c r="D1848" s="1" t="str">
        <x:v>Quick Attack</x:v>
      </x:c>
      <x:c r="E1848" s="1" t="str">
        <x:v>Normal</x:v>
      </x:c>
      <x:c r="F1848" s="1" t="str">
        <x:v>Física</x:v>
      </x:c>
      <x:c r="G1848" s="10" t="n">
        <x:v>40</x:v>
      </x:c>
      <x:c r="H1848" s="10" t="n">
        <x:f>IF(F1848="Física",'Pokémon'!G201,IF(F1848="Especial",'Pokémon'!I201,""))</x:f>
        <x:v>65</x:v>
      </x:c>
      <x:c r="I1848" s="10" t="n">
        <x:f>IF(OR(F1848="Status",G1848=0),"",G1848+H1848)</x:f>
        <x:v>105</x:v>
      </x:c>
      <x:c r="J1848" s="10" t="n">
        <x:v>13</x:v>
      </x:c>
      <x:c r="K1848" s="12" t="n">
        <x:v>15</x:v>
      </x:c>
      <x:c r="L1848" s="1" t="str"/>
      <x:c r="M1848" s="9" t="str">
        <x:v>https://poke.idleworld.online/pokepedia/pokemon/umbreon</x:v>
      </x:c>
    </x:row>
    <x:row r="1849" ht="22" customHeight="1">
      <x:c r="A1849" s="1" t="n">
        <x:v>198</x:v>
      </x:c>
      <x:c r="B1849" s="1" t="str">
        <x:v>Murkrow</x:v>
      </x:c>
      <x:c r="C1849" s="1" t="n">
        <x:v>2</x:v>
      </x:c>
      <x:c r="D1849" s="1" t="str">
        <x:v>Massive Hurricane</x:v>
      </x:c>
      <x:c r="E1849" s="1" t="str">
        <x:v>Voador</x:v>
      </x:c>
      <x:c r="F1849" s="1" t="str">
        <x:v>Física</x:v>
      </x:c>
      <x:c r="G1849" s="10" t="n">
        <x:v>300</x:v>
      </x:c>
      <x:c r="H1849" s="10" t="n">
        <x:f>IF(F1849="Física",'Pokémon'!G202,IF(F1849="Especial",'Pokémon'!I202,""))</x:f>
        <x:v>85</x:v>
      </x:c>
      <x:c r="I1849" s="10" t="n">
        <x:f>IF(OR(F1849="Status",G1849=0),"",G1849+H1849)</x:f>
        <x:v>385</x:v>
      </x:c>
      <x:c r="J1849" s="10" t="n">
        <x:v>1</x:v>
      </x:c>
      <x:c r="K1849" s="12" t="n">
        <x:v>10</x:v>
      </x:c>
      <x:c r="L1849" s="1" t="str">
        <x:v>Sim</x:v>
      </x:c>
      <x:c r="M1849" s="9" t="str">
        <x:v>https://poke.idleworld.online/pokepedia/pokemon/murkrow</x:v>
      </x:c>
    </x:row>
    <x:row r="1850" ht="22" customHeight="1">
      <x:c r="A1850" s="1" t="n">
        <x:v>198</x:v>
      </x:c>
      <x:c r="B1850" s="1" t="str">
        <x:v>Murkrow</x:v>
      </x:c>
      <x:c r="C1850" s="1" t="n">
        <x:v>3</x:v>
      </x:c>
      <x:c r="D1850" s="1" t="str">
        <x:v>Endless Hollow</x:v>
      </x:c>
      <x:c r="E1850" s="1" t="str">
        <x:v>Sombrio</x:v>
      </x:c>
      <x:c r="F1850" s="1" t="str">
        <x:v>Física</x:v>
      </x:c>
      <x:c r="G1850" s="10" t="n">
        <x:v>300</x:v>
      </x:c>
      <x:c r="H1850" s="10" t="n">
        <x:f>IF(F1850="Física",'Pokémon'!G202,IF(F1850="Especial",'Pokémon'!I202,""))</x:f>
        <x:v>85</x:v>
      </x:c>
      <x:c r="I1850" s="10" t="n">
        <x:f>IF(OR(F1850="Status",G1850=0),"",G1850+H1850)</x:f>
        <x:v>385</x:v>
      </x:c>
      <x:c r="J1850" s="10" t="n">
        <x:v>1</x:v>
      </x:c>
      <x:c r="K1850" s="12" t="n">
        <x:v>10</x:v>
      </x:c>
      <x:c r="L1850" s="1" t="str">
        <x:v>Sim</x:v>
      </x:c>
      <x:c r="M1850" s="9" t="str">
        <x:v>https://poke.idleworld.online/pokepedia/pokemon/murkrow</x:v>
      </x:c>
    </x:row>
    <x:row r="1851" ht="22" customHeight="1">
      <x:c r="A1851" s="1" t="n">
        <x:v>198</x:v>
      </x:c>
      <x:c r="B1851" s="1" t="str">
        <x:v>Murkrow</x:v>
      </x:c>
      <x:c r="C1851" s="1" t="n">
        <x:v>9</x:v>
      </x:c>
      <x:c r="D1851" s="1" t="str">
        <x:v>Foul Play</x:v>
      </x:c>
      <x:c r="E1851" s="1" t="str">
        <x:v>Sombrio</x:v>
      </x:c>
      <x:c r="F1851" s="1" t="str">
        <x:v>Física</x:v>
      </x:c>
      <x:c r="G1851" s="10" t="n">
        <x:v>95</x:v>
      </x:c>
      <x:c r="H1851" s="10" t="n">
        <x:f>IF(F1851="Física",'Pokémon'!G202,IF(F1851="Especial",'Pokémon'!I202,""))</x:f>
        <x:v>85</x:v>
      </x:c>
      <x:c r="I1851" s="10" t="n">
        <x:f>IF(OR(F1851="Status",G1851=0),"",G1851+H1851)</x:f>
        <x:v>180</x:v>
      </x:c>
      <x:c r="J1851" s="10" t="n">
        <x:v>45</x:v>
      </x:c>
      <x:c r="K1851" s="12" t="n">
        <x:v>40</x:v>
      </x:c>
      <x:c r="L1851" s="1" t="str"/>
      <x:c r="M1851" s="9" t="str">
        <x:v>https://poke.idleworld.online/pokepedia/pokemon/murkrow</x:v>
      </x:c>
    </x:row>
    <x:row r="1852" ht="22" customHeight="1">
      <x:c r="A1852" s="1" t="n">
        <x:v>198</x:v>
      </x:c>
      <x:c r="B1852" s="1" t="str">
        <x:v>Murkrow</x:v>
      </x:c>
      <x:c r="C1852" s="1" t="n">
        <x:v>10</x:v>
      </x:c>
      <x:c r="D1852" s="1" t="str">
        <x:v>Sucker Punch</x:v>
      </x:c>
      <x:c r="E1852" s="1" t="str">
        <x:v>Sombrio</x:v>
      </x:c>
      <x:c r="F1852" s="1" t="str">
        <x:v>Física</x:v>
      </x:c>
      <x:c r="G1852" s="10" t="n">
        <x:v>80</x:v>
      </x:c>
      <x:c r="H1852" s="10" t="n">
        <x:f>IF(F1852="Física",'Pokémon'!G202,IF(F1852="Especial",'Pokémon'!I202,""))</x:f>
        <x:v>85</x:v>
      </x:c>
      <x:c r="I1852" s="10" t="n">
        <x:f>IF(OR(F1852="Status",G1852=0),"",G1852+H1852)</x:f>
        <x:v>165</x:v>
      </x:c>
      <x:c r="J1852" s="10" t="n">
        <x:v>55</x:v>
      </x:c>
      <x:c r="K1852" s="12" t="n">
        <x:v>22</x:v>
      </x:c>
      <x:c r="L1852" s="1" t="str"/>
      <x:c r="M1852" s="9" t="str">
        <x:v>https://poke.idleworld.online/pokepedia/pokemon/murkrow</x:v>
      </x:c>
    </x:row>
    <x:row r="1853" ht="22" customHeight="1">
      <x:c r="A1853" s="1" t="n">
        <x:v>198</x:v>
      </x:c>
      <x:c r="B1853" s="1" t="str">
        <x:v>Murkrow</x:v>
      </x:c>
      <x:c r="C1853" s="1" t="n">
        <x:v>6</x:v>
      </x:c>
      <x:c r="D1853" s="1" t="str">
        <x:v>Wing Attack</x:v>
      </x:c>
      <x:c r="E1853" s="1" t="str">
        <x:v>Voador</x:v>
      </x:c>
      <x:c r="F1853" s="1" t="str">
        <x:v>Física</x:v>
      </x:c>
      <x:c r="G1853" s="10" t="n">
        <x:v>60</x:v>
      </x:c>
      <x:c r="H1853" s="10" t="n">
        <x:f>IF(F1853="Física",'Pokémon'!G202,IF(F1853="Especial",'Pokémon'!I202,""))</x:f>
        <x:v>85</x:v>
      </x:c>
      <x:c r="I1853" s="10" t="n">
        <x:f>IF(OR(F1853="Status",G1853=0),"",G1853+H1853)</x:f>
        <x:v>145</x:v>
      </x:c>
      <x:c r="J1853" s="10" t="n">
        <x:v>15</x:v>
      </x:c>
      <x:c r="K1853" s="12" t="n">
        <x:v>20</x:v>
      </x:c>
      <x:c r="L1853" s="1" t="str"/>
      <x:c r="M1853" s="9" t="str">
        <x:v>https://poke.idleworld.online/pokepedia/pokemon/murkrow</x:v>
      </x:c>
    </x:row>
    <x:row r="1854" ht="22" customHeight="1">
      <x:c r="A1854" s="1" t="n">
        <x:v>198</x:v>
      </x:c>
      <x:c r="B1854" s="1" t="str">
        <x:v>Murkrow</x:v>
      </x:c>
      <x:c r="C1854" s="1" t="n">
        <x:v>7</x:v>
      </x:c>
      <x:c r="D1854" s="1" t="str">
        <x:v>Assurance</x:v>
      </x:c>
      <x:c r="E1854" s="1" t="str">
        <x:v>Sombrio</x:v>
      </x:c>
      <x:c r="F1854" s="1" t="str">
        <x:v>Física</x:v>
      </x:c>
      <x:c r="G1854" s="10" t="n">
        <x:v>60</x:v>
      </x:c>
      <x:c r="H1854" s="10" t="n">
        <x:f>IF(F1854="Física",'Pokémon'!G202,IF(F1854="Especial",'Pokémon'!I202,""))</x:f>
        <x:v>85</x:v>
      </x:c>
      <x:c r="I1854" s="10" t="n">
        <x:f>IF(OR(F1854="Status",G1854=0),"",G1854+H1854)</x:f>
        <x:v>145</x:v>
      </x:c>
      <x:c r="J1854" s="10" t="n">
        <x:v>25</x:v>
      </x:c>
      <x:c r="K1854" s="12" t="n">
        <x:v>20</x:v>
      </x:c>
      <x:c r="L1854" s="1" t="str"/>
      <x:c r="M1854" s="9" t="str">
        <x:v>https://poke.idleworld.online/pokepedia/pokemon/murkrow</x:v>
      </x:c>
    </x:row>
    <x:row r="1855" ht="22" customHeight="1">
      <x:c r="A1855" s="1" t="n">
        <x:v>198</x:v>
      </x:c>
      <x:c r="B1855" s="1" t="str">
        <x:v>Murkrow</x:v>
      </x:c>
      <x:c r="C1855" s="1" t="n">
        <x:v>8</x:v>
      </x:c>
      <x:c r="D1855" s="1" t="str">
        <x:v>Feint Attack</x:v>
      </x:c>
      <x:c r="E1855" s="1" t="str">
        <x:v>Sombrio</x:v>
      </x:c>
      <x:c r="F1855" s="1" t="str">
        <x:v>Física</x:v>
      </x:c>
      <x:c r="G1855" s="10" t="n">
        <x:v>60</x:v>
      </x:c>
      <x:c r="H1855" s="10" t="n">
        <x:f>IF(F1855="Física",'Pokémon'!G202,IF(F1855="Especial",'Pokémon'!I202,""))</x:f>
        <x:v>85</x:v>
      </x:c>
      <x:c r="I1855" s="10" t="n">
        <x:f>IF(OR(F1855="Status",G1855=0),"",G1855+H1855)</x:f>
        <x:v>145</x:v>
      </x:c>
      <x:c r="J1855" s="10" t="n">
        <x:v>35</x:v>
      </x:c>
      <x:c r="K1855" s="12" t="n">
        <x:v>20</x:v>
      </x:c>
      <x:c r="L1855" s="1" t="str"/>
      <x:c r="M1855" s="9" t="str">
        <x:v>https://poke.idleworld.online/pokepedia/pokemon/murkrow</x:v>
      </x:c>
    </x:row>
    <x:row r="1856" ht="22" customHeight="1">
      <x:c r="A1856" s="1" t="n">
        <x:v>198</x:v>
      </x:c>
      <x:c r="B1856" s="1" t="str">
        <x:v>Murkrow</x:v>
      </x:c>
      <x:c r="C1856" s="1" t="n">
        <x:v>5</x:v>
      </x:c>
      <x:c r="D1856" s="1" t="str">
        <x:v>Pursuit</x:v>
      </x:c>
      <x:c r="E1856" s="1" t="str">
        <x:v>Sombrio</x:v>
      </x:c>
      <x:c r="F1856" s="1" t="str">
        <x:v>Física</x:v>
      </x:c>
      <x:c r="G1856" s="10" t="n">
        <x:v>40</x:v>
      </x:c>
      <x:c r="H1856" s="10" t="n">
        <x:f>IF(F1856="Física",'Pokémon'!G202,IF(F1856="Especial",'Pokémon'!I202,""))</x:f>
        <x:v>85</x:v>
      </x:c>
      <x:c r="I1856" s="10" t="n">
        <x:f>IF(OR(F1856="Status",G1856=0),"",G1856+H1856)</x:f>
        <x:v>125</x:v>
      </x:c>
      <x:c r="J1856" s="10" t="n">
        <x:v>5</x:v>
      </x:c>
      <x:c r="K1856" s="12" t="n">
        <x:v>10</x:v>
      </x:c>
      <x:c r="L1856" s="1" t="str"/>
      <x:c r="M1856" s="9" t="str">
        <x:v>https://poke.idleworld.online/pokepedia/pokemon/murkrow</x:v>
      </x:c>
    </x:row>
    <x:row r="1857" ht="22" customHeight="1">
      <x:c r="A1857" s="1" t="n">
        <x:v>198</x:v>
      </x:c>
      <x:c r="B1857" s="1" t="str">
        <x:v>Murkrow</x:v>
      </x:c>
      <x:c r="C1857" s="1" t="n">
        <x:v>1</x:v>
      </x:c>
      <x:c r="D1857" s="1" t="str">
        <x:v>Peck</x:v>
      </x:c>
      <x:c r="E1857" s="1" t="str">
        <x:v>Voador</x:v>
      </x:c>
      <x:c r="F1857" s="1" t="str">
        <x:v>Física</x:v>
      </x:c>
      <x:c r="G1857" s="10" t="n">
        <x:v>35</x:v>
      </x:c>
      <x:c r="H1857" s="10" t="n">
        <x:f>IF(F1857="Física",'Pokémon'!G202,IF(F1857="Especial",'Pokémon'!I202,""))</x:f>
        <x:v>85</x:v>
      </x:c>
      <x:c r="I1857" s="10" t="n">
        <x:f>IF(OR(F1857="Status",G1857=0),"",G1857+H1857)</x:f>
        <x:v>120</x:v>
      </x:c>
      <x:c r="J1857" s="10" t="n">
        <x:v>1</x:v>
      </x:c>
      <x:c r="K1857" s="12" t="n">
        <x:v>10</x:v>
      </x:c>
      <x:c r="L1857" s="1" t="str"/>
      <x:c r="M1857" s="9" t="str">
        <x:v>https://poke.idleworld.online/pokepedia/pokemon/murkrow</x:v>
      </x:c>
    </x:row>
    <x:row r="1858" ht="22" customHeight="1">
      <x:c r="A1858" s="1" t="n">
        <x:v>198</x:v>
      </x:c>
      <x:c r="B1858" s="1" t="str">
        <x:v>Murkrow</x:v>
      </x:c>
      <x:c r="C1858" s="1" t="n">
        <x:v>4</x:v>
      </x:c>
      <x:c r="D1858" s="1" t="str">
        <x:v>Astonish</x:v>
      </x:c>
      <x:c r="E1858" s="1" t="str">
        <x:v>Fantasma</x:v>
      </x:c>
      <x:c r="F1858" s="1" t="str">
        <x:v>Física</x:v>
      </x:c>
      <x:c r="G1858" s="10" t="n">
        <x:v>30</x:v>
      </x:c>
      <x:c r="H1858" s="10" t="n">
        <x:f>IF(F1858="Física",'Pokémon'!G202,IF(F1858="Especial",'Pokémon'!I202,""))</x:f>
        <x:v>85</x:v>
      </x:c>
      <x:c r="I1858" s="10" t="n">
        <x:f>IF(OR(F1858="Status",G1858=0),"",G1858+H1858)</x:f>
        <x:v>115</x:v>
      </x:c>
      <x:c r="J1858" s="10" t="n">
        <x:v>1</x:v>
      </x:c>
      <x:c r="K1858" s="12" t="n">
        <x:v>15</x:v>
      </x:c>
      <x:c r="L1858" s="1" t="str"/>
      <x:c r="M1858" s="9" t="str">
        <x:v>https://poke.idleworld.online/pokepedia/pokemon/murkrow</x:v>
      </x:c>
    </x:row>
    <x:row r="1859" ht="22" customHeight="1">
      <x:c r="A1859" s="1" t="n">
        <x:v>199</x:v>
      </x:c>
      <x:c r="B1859" s="1" t="str">
        <x:v>Slowking</x:v>
      </x:c>
      <x:c r="C1859" s="1" t="n">
        <x:v>2</x:v>
      </x:c>
      <x:c r="D1859" s="1" t="str">
        <x:v>Cyclonic Tide</x:v>
      </x:c>
      <x:c r="E1859" s="1" t="str">
        <x:v>Água</x:v>
      </x:c>
      <x:c r="F1859" s="1" t="str">
        <x:v>Especial</x:v>
      </x:c>
      <x:c r="G1859" s="10" t="n">
        <x:v>300</x:v>
      </x:c>
      <x:c r="H1859" s="10" t="n">
        <x:f>IF(F1859="Física",'Pokémon'!G203,IF(F1859="Especial",'Pokémon'!I203,""))</x:f>
        <x:v>100</x:v>
      </x:c>
      <x:c r="I1859" s="10" t="n">
        <x:f>IF(OR(F1859="Status",G1859=0),"",G1859+H1859)</x:f>
        <x:v>400</x:v>
      </x:c>
      <x:c r="J1859" s="10" t="n">
        <x:v>1</x:v>
      </x:c>
      <x:c r="K1859" s="12" t="n">
        <x:v>10</x:v>
      </x:c>
      <x:c r="L1859" s="1" t="str">
        <x:v>Sim</x:v>
      </x:c>
      <x:c r="M1859" s="9" t="str">
        <x:v>https://poke.idleworld.online/pokepedia/pokemon/slowking</x:v>
      </x:c>
    </x:row>
    <x:row r="1860" ht="22" customHeight="1">
      <x:c r="A1860" s="1" t="n">
        <x:v>199</x:v>
      </x:c>
      <x:c r="B1860" s="1" t="str">
        <x:v>Slowking</x:v>
      </x:c>
      <x:c r="C1860" s="1" t="n">
        <x:v>10</x:v>
      </x:c>
      <x:c r="D1860" s="1" t="str">
        <x:v>Psychic</x:v>
      </x:c>
      <x:c r="E1860" s="1" t="str">
        <x:v>Psíquico</x:v>
      </x:c>
      <x:c r="F1860" s="1" t="str">
        <x:v>Especial</x:v>
      </x:c>
      <x:c r="G1860" s="10" t="n">
        <x:v>90</x:v>
      </x:c>
      <x:c r="H1860" s="10" t="n">
        <x:f>IF(F1860="Física",'Pokémon'!G203,IF(F1860="Especial",'Pokémon'!I203,""))</x:f>
        <x:v>100</x:v>
      </x:c>
      <x:c r="I1860" s="10" t="n">
        <x:f>IF(OR(F1860="Status",G1860=0),"",G1860+H1860)</x:f>
        <x:v>190</x:v>
      </x:c>
      <x:c r="J1860" s="10" t="n">
        <x:v>45</x:v>
      </x:c>
      <x:c r="K1860" s="12" t="n">
        <x:v>22</x:v>
      </x:c>
      <x:c r="L1860" s="1" t="str"/>
      <x:c r="M1860" s="9" t="str">
        <x:v>https://poke.idleworld.online/pokepedia/pokemon/slowking</x:v>
      </x:c>
    </x:row>
    <x:row r="1861" ht="22" customHeight="1">
      <x:c r="A1861" s="1" t="n">
        <x:v>199</x:v>
      </x:c>
      <x:c r="B1861" s="1" t="str">
        <x:v>Slowking</x:v>
      </x:c>
      <x:c r="C1861" s="1" t="n">
        <x:v>4</x:v>
      </x:c>
      <x:c r="D1861" s="1" t="str">
        <x:v>Power Gem</x:v>
      </x:c>
      <x:c r="E1861" s="1" t="str">
        <x:v>Pedra</x:v>
      </x:c>
      <x:c r="F1861" s="1" t="str">
        <x:v>Especial</x:v>
      </x:c>
      <x:c r="G1861" s="10" t="n">
        <x:v>80</x:v>
      </x:c>
      <x:c r="H1861" s="10" t="n">
        <x:f>IF(F1861="Física",'Pokémon'!G203,IF(F1861="Especial",'Pokémon'!I203,""))</x:f>
        <x:v>100</x:v>
      </x:c>
      <x:c r="I1861" s="10" t="n">
        <x:f>IF(OR(F1861="Status",G1861=0),"",G1861+H1861)</x:f>
        <x:v>180</x:v>
      </x:c>
      <x:c r="J1861" s="10" t="n">
        <x:v>1</x:v>
      </x:c>
      <x:c r="K1861" s="12" t="n">
        <x:v>22</x:v>
      </x:c>
      <x:c r="L1861" s="1" t="str"/>
      <x:c r="M1861" s="9" t="str">
        <x:v>https://poke.idleworld.online/pokepedia/pokemon/slowking</x:v>
      </x:c>
    </x:row>
    <x:row r="1862" ht="22" customHeight="1">
      <x:c r="A1862" s="1" t="n">
        <x:v>199</x:v>
      </x:c>
      <x:c r="B1862" s="1" t="str">
        <x:v>Slowking</x:v>
      </x:c>
      <x:c r="C1862" s="1" t="n">
        <x:v>3</x:v>
      </x:c>
      <x:c r="D1862" s="1" t="str">
        <x:v>Hidden Power</x:v>
      </x:c>
      <x:c r="E1862" s="1" t="str">
        <x:v>Normal</x:v>
      </x:c>
      <x:c r="F1862" s="1" t="str">
        <x:v>Especial</x:v>
      </x:c>
      <x:c r="G1862" s="10" t="n">
        <x:v>60</x:v>
      </x:c>
      <x:c r="H1862" s="10" t="n">
        <x:f>IF(F1862="Física",'Pokémon'!G203,IF(F1862="Especial",'Pokémon'!I203,""))</x:f>
        <x:v>100</x:v>
      </x:c>
      <x:c r="I1862" s="10" t="n">
        <x:f>IF(OR(F1862="Status",G1862=0),"",G1862+H1862)</x:f>
        <x:v>160</x:v>
      </x:c>
      <x:c r="J1862" s="10" t="n">
        <x:v>1</x:v>
      </x:c>
      <x:c r="K1862" s="12" t="n">
        <x:v>20</x:v>
      </x:c>
      <x:c r="L1862" s="1" t="str"/>
      <x:c r="M1862" s="9" t="str">
        <x:v>https://poke.idleworld.online/pokepedia/pokemon/slowking</x:v>
      </x:c>
    </x:row>
    <x:row r="1863" ht="22" customHeight="1">
      <x:c r="A1863" s="1" t="n">
        <x:v>199</x:v>
      </x:c>
      <x:c r="B1863" s="1" t="str">
        <x:v>Slowking</x:v>
      </x:c>
      <x:c r="C1863" s="1" t="n">
        <x:v>8</x:v>
      </x:c>
      <x:c r="D1863" s="1" t="str">
        <x:v>Water Pulse</x:v>
      </x:c>
      <x:c r="E1863" s="1" t="str">
        <x:v>Água</x:v>
      </x:c>
      <x:c r="F1863" s="1" t="str">
        <x:v>Especial</x:v>
      </x:c>
      <x:c r="G1863" s="10" t="n">
        <x:v>60</x:v>
      </x:c>
      <x:c r="H1863" s="10" t="n">
        <x:f>IF(F1863="Física",'Pokémon'!G203,IF(F1863="Especial",'Pokémon'!I203,""))</x:f>
        <x:v>100</x:v>
      </x:c>
      <x:c r="I1863" s="10" t="n">
        <x:f>IF(OR(F1863="Status",G1863=0),"",G1863+H1863)</x:f>
        <x:v>160</x:v>
      </x:c>
      <x:c r="J1863" s="10" t="n">
        <x:v>28</x:v>
      </x:c>
      <x:c r="K1863" s="12" t="n">
        <x:v>60</x:v>
      </x:c>
      <x:c r="L1863" s="1" t="str"/>
      <x:c r="M1863" s="9" t="str">
        <x:v>https://poke.idleworld.online/pokepedia/pokemon/slowking</x:v>
      </x:c>
    </x:row>
    <x:row r="1864" ht="22" customHeight="1">
      <x:c r="A1864" s="1" t="n">
        <x:v>199</x:v>
      </x:c>
      <x:c r="B1864" s="1" t="str">
        <x:v>Slowking</x:v>
      </x:c>
      <x:c r="C1864" s="1" t="n">
        <x:v>9</x:v>
      </x:c>
      <x:c r="D1864" s="1" t="str">
        <x:v>Zen Headbutt</x:v>
      </x:c>
      <x:c r="E1864" s="1" t="str">
        <x:v>Psíquico</x:v>
      </x:c>
      <x:c r="F1864" s="1" t="str">
        <x:v>Física</x:v>
      </x:c>
      <x:c r="G1864" s="10" t="n">
        <x:v>80</x:v>
      </x:c>
      <x:c r="H1864" s="10" t="n">
        <x:f>IF(F1864="Física",'Pokémon'!G203,IF(F1864="Especial",'Pokémon'!I203,""))</x:f>
        <x:v>75</x:v>
      </x:c>
      <x:c r="I1864" s="10" t="n">
        <x:f>IF(OR(F1864="Status",G1864=0),"",G1864+H1864)</x:f>
        <x:v>155</x:v>
      </x:c>
      <x:c r="J1864" s="10" t="n">
        <x:v>32</x:v>
      </x:c>
      <x:c r="K1864" s="12" t="n">
        <x:v>22</x:v>
      </x:c>
      <x:c r="L1864" s="1" t="str"/>
      <x:c r="M1864" s="9" t="str">
        <x:v>https://poke.idleworld.online/pokepedia/pokemon/slowking</x:v>
      </x:c>
    </x:row>
    <x:row r="1865" ht="22" customHeight="1">
      <x:c r="A1865" s="1" t="n">
        <x:v>199</x:v>
      </x:c>
      <x:c r="B1865" s="1" t="str">
        <x:v>Slowking</x:v>
      </x:c>
      <x:c r="C1865" s="1" t="n">
        <x:v>6</x:v>
      </x:c>
      <x:c r="D1865" s="1" t="str">
        <x:v>Confusion</x:v>
      </x:c>
      <x:c r="E1865" s="1" t="str">
        <x:v>Psíquico</x:v>
      </x:c>
      <x:c r="F1865" s="1" t="str">
        <x:v>Especial</x:v>
      </x:c>
      <x:c r="G1865" s="10" t="n">
        <x:v>50</x:v>
      </x:c>
      <x:c r="H1865" s="10" t="n">
        <x:f>IF(F1865="Física",'Pokémon'!G203,IF(F1865="Especial",'Pokémon'!I203,""))</x:f>
        <x:v>100</x:v>
      </x:c>
      <x:c r="I1865" s="10" t="n">
        <x:f>IF(OR(F1865="Status",G1865=0),"",G1865+H1865)</x:f>
        <x:v>150</x:v>
      </x:c>
      <x:c r="J1865" s="10" t="n">
        <x:v>14</x:v>
      </x:c>
      <x:c r="K1865" s="12" t="n">
        <x:v>15</x:v>
      </x:c>
      <x:c r="L1865" s="1" t="str"/>
      <x:c r="M1865" s="9" t="str">
        <x:v>https://poke.idleworld.online/pokepedia/pokemon/slowking</x:v>
      </x:c>
    </x:row>
    <x:row r="1866" ht="22" customHeight="1">
      <x:c r="A1866" s="1" t="n">
        <x:v>199</x:v>
      </x:c>
      <x:c r="B1866" s="1" t="str">
        <x:v>Slowking</x:v>
      </x:c>
      <x:c r="C1866" s="1" t="n">
        <x:v>7</x:v>
      </x:c>
      <x:c r="D1866" s="1" t="str">
        <x:v>Headbutt</x:v>
      </x:c>
      <x:c r="E1866" s="1" t="str">
        <x:v>Normal</x:v>
      </x:c>
      <x:c r="F1866" s="1" t="str">
        <x:v>Física</x:v>
      </x:c>
      <x:c r="G1866" s="10" t="n">
        <x:v>70</x:v>
      </x:c>
      <x:c r="H1866" s="10" t="n">
        <x:f>IF(F1866="Física",'Pokémon'!G203,IF(F1866="Especial",'Pokémon'!I203,""))</x:f>
        <x:v>75</x:v>
      </x:c>
      <x:c r="I1866" s="10" t="n">
        <x:f>IF(OR(F1866="Status",G1866=0),"",G1866+H1866)</x:f>
        <x:v>145</x:v>
      </x:c>
      <x:c r="J1866" s="10" t="n">
        <x:v>23</x:v>
      </x:c>
      <x:c r="K1866" s="12" t="n">
        <x:v>15</x:v>
      </x:c>
      <x:c r="L1866" s="1" t="str"/>
      <x:c r="M1866" s="9" t="str">
        <x:v>https://poke.idleworld.online/pokepedia/pokemon/slowking</x:v>
      </x:c>
    </x:row>
    <x:row r="1867" ht="22" customHeight="1">
      <x:c r="A1867" s="1" t="n">
        <x:v>199</x:v>
      </x:c>
      <x:c r="B1867" s="1" t="str">
        <x:v>Slowking</x:v>
      </x:c>
      <x:c r="C1867" s="1" t="n">
        <x:v>5</x:v>
      </x:c>
      <x:c r="D1867" s="1" t="str">
        <x:v>Water Gun</x:v>
      </x:c>
      <x:c r="E1867" s="1" t="str">
        <x:v>Água</x:v>
      </x:c>
      <x:c r="F1867" s="1" t="str">
        <x:v>Especial</x:v>
      </x:c>
      <x:c r="G1867" s="10" t="n">
        <x:v>40</x:v>
      </x:c>
      <x:c r="H1867" s="10" t="n">
        <x:f>IF(F1867="Física",'Pokémon'!G203,IF(F1867="Especial",'Pokémon'!I203,""))</x:f>
        <x:v>100</x:v>
      </x:c>
      <x:c r="I1867" s="10" t="n">
        <x:f>IF(OR(F1867="Status",G1867=0),"",G1867+H1867)</x:f>
        <x:v>140</x:v>
      </x:c>
      <x:c r="J1867" s="10" t="n">
        <x:v>9</x:v>
      </x:c>
      <x:c r="K1867" s="12" t="n">
        <x:v>18</x:v>
      </x:c>
      <x:c r="L1867" s="1" t="str"/>
      <x:c r="M1867" s="9" t="str">
        <x:v>https://poke.idleworld.online/pokepedia/pokemon/slowking</x:v>
      </x:c>
    </x:row>
    <x:row r="1868" ht="22" customHeight="1">
      <x:c r="A1868" s="1" t="n">
        <x:v>199</x:v>
      </x:c>
      <x:c r="B1868" s="1" t="str">
        <x:v>Slowking</x:v>
      </x:c>
      <x:c r="C1868" s="1" t="n">
        <x:v>1</x:v>
      </x:c>
      <x:c r="D1868" s="1" t="str">
        <x:v>Tackle</x:v>
      </x:c>
      <x:c r="E1868" s="1" t="str">
        <x:v>Normal</x:v>
      </x:c>
      <x:c r="F1868" s="1" t="str">
        <x:v>Física</x:v>
      </x:c>
      <x:c r="G1868" s="10" t="n">
        <x:v>50</x:v>
      </x:c>
      <x:c r="H1868" s="10" t="n">
        <x:f>IF(F1868="Física",'Pokémon'!G203,IF(F1868="Especial",'Pokémon'!I203,""))</x:f>
        <x:v>75</x:v>
      </x:c>
      <x:c r="I1868" s="10" t="n">
        <x:f>IF(OR(F1868="Status",G1868=0),"",G1868+H1868)</x:f>
        <x:v>125</x:v>
      </x:c>
      <x:c r="J1868" s="10" t="n">
        <x:v>1</x:v>
      </x:c>
      <x:c r="K1868" s="12" t="n">
        <x:v>15</x:v>
      </x:c>
      <x:c r="L1868" s="1" t="str"/>
      <x:c r="M1868" s="9" t="str">
        <x:v>https://poke.idleworld.online/pokepedia/pokemon/slowking</x:v>
      </x:c>
    </x:row>
    <x:row r="1869" ht="22" customHeight="1">
      <x:c r="A1869" s="1" t="n">
        <x:v>200</x:v>
      </x:c>
      <x:c r="B1869" s="1" t="str">
        <x:v>Misdreavus</x:v>
      </x:c>
      <x:c r="C1869" s="1" t="n">
        <x:v>5</x:v>
      </x:c>
      <x:c r="D1869" s="1" t="str">
        <x:v>Shadow Ball</x:v>
      </x:c>
      <x:c r="E1869" s="1" t="str">
        <x:v>Fantasma</x:v>
      </x:c>
      <x:c r="F1869" s="1" t="str">
        <x:v>Especial</x:v>
      </x:c>
      <x:c r="G1869" s="10" t="n">
        <x:v>80</x:v>
      </x:c>
      <x:c r="H1869" s="10" t="n">
        <x:f>IF(F1869="Física",'Pokémon'!G204,IF(F1869="Especial",'Pokémon'!I204,""))</x:f>
        <x:v>85</x:v>
      </x:c>
      <x:c r="I1869" s="10" t="n">
        <x:f>IF(OR(F1869="Status",G1869=0),"",G1869+H1869)</x:f>
        <x:v>165</x:v>
      </x:c>
      <x:c r="J1869" s="10" t="n">
        <x:v>41</x:v>
      </x:c>
      <x:c r="K1869" s="12" t="n">
        <x:v>22</x:v>
      </x:c>
      <x:c r="L1869" s="1" t="str"/>
      <x:c r="M1869" s="9" t="str">
        <x:v>https://poke.idleworld.online/pokepedia/pokemon/misdreavus</x:v>
      </x:c>
    </x:row>
    <x:row r="1870" ht="22" customHeight="1">
      <x:c r="A1870" s="1" t="n">
        <x:v>200</x:v>
      </x:c>
      <x:c r="B1870" s="1" t="str">
        <x:v>Misdreavus</x:v>
      </x:c>
      <x:c r="C1870" s="1" t="n">
        <x:v>6</x:v>
      </x:c>
      <x:c r="D1870" s="1" t="str">
        <x:v>Power Gem</x:v>
      </x:c>
      <x:c r="E1870" s="1" t="str">
        <x:v>Pedra</x:v>
      </x:c>
      <x:c r="F1870" s="1" t="str">
        <x:v>Especial</x:v>
      </x:c>
      <x:c r="G1870" s="10" t="n">
        <x:v>80</x:v>
      </x:c>
      <x:c r="H1870" s="10" t="n">
        <x:f>IF(F1870="Física",'Pokémon'!G204,IF(F1870="Especial",'Pokémon'!I204,""))</x:f>
        <x:v>85</x:v>
      </x:c>
      <x:c r="I1870" s="10" t="n">
        <x:f>IF(OR(F1870="Status",G1870=0),"",G1870+H1870)</x:f>
        <x:v>165</x:v>
      </x:c>
      <x:c r="J1870" s="10" t="n">
        <x:v>55</x:v>
      </x:c>
      <x:c r="K1870" s="12" t="n">
        <x:v>22</x:v>
      </x:c>
      <x:c r="L1870" s="1" t="str"/>
      <x:c r="M1870" s="9" t="str">
        <x:v>https://poke.idleworld.online/pokepedia/pokemon/misdreavus</x:v>
      </x:c>
    </x:row>
    <x:row r="1871" ht="22" customHeight="1">
      <x:c r="A1871" s="1" t="n">
        <x:v>200</x:v>
      </x:c>
      <x:c r="B1871" s="1" t="str">
        <x:v>Misdreavus</x:v>
      </x:c>
      <x:c r="C1871" s="1" t="n">
        <x:v>2</x:v>
      </x:c>
      <x:c r="D1871" s="1" t="str">
        <x:v>Hex</x:v>
      </x:c>
      <x:c r="E1871" s="1" t="str">
        <x:v>Fantasma</x:v>
      </x:c>
      <x:c r="F1871" s="1" t="str">
        <x:v>Especial</x:v>
      </x:c>
      <x:c r="G1871" s="10" t="n">
        <x:v>65</x:v>
      </x:c>
      <x:c r="H1871" s="10" t="n">
        <x:f>IF(F1871="Física",'Pokémon'!G204,IF(F1871="Especial",'Pokémon'!I204,""))</x:f>
        <x:v>85</x:v>
      </x:c>
      <x:c r="I1871" s="10" t="n">
        <x:f>IF(OR(F1871="Status",G1871=0),"",G1871+H1871)</x:f>
        <x:v>150</x:v>
      </x:c>
      <x:c r="J1871" s="10" t="n">
        <x:v>23</x:v>
      </x:c>
      <x:c r="K1871" s="12" t="n">
        <x:v>20</x:v>
      </x:c>
      <x:c r="L1871" s="1" t="str"/>
      <x:c r="M1871" s="9" t="str">
        <x:v>https://poke.idleworld.online/pokepedia/pokemon/misdreavus</x:v>
      </x:c>
    </x:row>
    <x:row r="1872" ht="22" customHeight="1">
      <x:c r="A1872" s="1" t="n">
        <x:v>200</x:v>
      </x:c>
      <x:c r="B1872" s="1" t="str">
        <x:v>Misdreavus</x:v>
      </x:c>
      <x:c r="C1872" s="1" t="n">
        <x:v>3</x:v>
      </x:c>
      <x:c r="D1872" s="1" t="str">
        <x:v>Psybeam</x:v>
      </x:c>
      <x:c r="E1872" s="1" t="str">
        <x:v>Psíquico</x:v>
      </x:c>
      <x:c r="F1872" s="1" t="str">
        <x:v>Especial</x:v>
      </x:c>
      <x:c r="G1872" s="10" t="n">
        <x:v>65</x:v>
      </x:c>
      <x:c r="H1872" s="10" t="n">
        <x:f>IF(F1872="Física",'Pokémon'!G204,IF(F1872="Especial",'Pokémon'!I204,""))</x:f>
        <x:v>85</x:v>
      </x:c>
      <x:c r="I1872" s="10" t="n">
        <x:f>IF(OR(F1872="Status",G1872=0),"",G1872+H1872)</x:f>
        <x:v>150</x:v>
      </x:c>
      <x:c r="J1872" s="10" t="n">
        <x:v>28</x:v>
      </x:c>
      <x:c r="K1872" s="12" t="n">
        <x:v>20</x:v>
      </x:c>
      <x:c r="L1872" s="1" t="str"/>
      <x:c r="M1872" s="9" t="str">
        <x:v>https://poke.idleworld.online/pokepedia/pokemon/misdreavus</x:v>
      </x:c>
    </x:row>
    <x:row r="1873" ht="22" customHeight="1">
      <x:c r="A1873" s="1" t="n">
        <x:v>200</x:v>
      </x:c>
      <x:c r="B1873" s="1" t="str">
        <x:v>Misdreavus</x:v>
      </x:c>
      <x:c r="C1873" s="1" t="n">
        <x:v>4</x:v>
      </x:c>
      <x:c r="D1873" s="1" t="str">
        <x:v>Payback</x:v>
      </x:c>
      <x:c r="E1873" s="1" t="str">
        <x:v>Sombrio</x:v>
      </x:c>
      <x:c r="F1873" s="1" t="str">
        <x:v>Física</x:v>
      </x:c>
      <x:c r="G1873" s="10" t="n">
        <x:v>50</x:v>
      </x:c>
      <x:c r="H1873" s="10" t="n">
        <x:f>IF(F1873="Física",'Pokémon'!G204,IF(F1873="Especial",'Pokémon'!I204,""))</x:f>
        <x:v>60</x:v>
      </x:c>
      <x:c r="I1873" s="10" t="n">
        <x:f>IF(OR(F1873="Status",G1873=0),"",G1873+H1873)</x:f>
        <x:v>110</x:v>
      </x:c>
      <x:c r="J1873" s="10" t="n">
        <x:v>37</x:v>
      </x:c>
      <x:c r="K1873" s="12" t="n">
        <x:v>15</x:v>
      </x:c>
      <x:c r="L1873" s="1" t="str"/>
      <x:c r="M1873" s="9" t="str">
        <x:v>https://poke.idleworld.online/pokepedia/pokemon/misdreavus</x:v>
      </x:c>
    </x:row>
    <x:row r="1874" ht="22" customHeight="1">
      <x:c r="A1874" s="1" t="n">
        <x:v>200</x:v>
      </x:c>
      <x:c r="B1874" s="1" t="str">
        <x:v>Misdreavus</x:v>
      </x:c>
      <x:c r="C1874" s="1" t="n">
        <x:v>1</x:v>
      </x:c>
      <x:c r="D1874" s="1" t="str">
        <x:v>Astonish</x:v>
      </x:c>
      <x:c r="E1874" s="1" t="str">
        <x:v>Fantasma</x:v>
      </x:c>
      <x:c r="F1874" s="1" t="str">
        <x:v>Física</x:v>
      </x:c>
      <x:c r="G1874" s="10" t="n">
        <x:v>30</x:v>
      </x:c>
      <x:c r="H1874" s="10" t="n">
        <x:f>IF(F1874="Física",'Pokémon'!G204,IF(F1874="Especial",'Pokémon'!I204,""))</x:f>
        <x:v>60</x:v>
      </x:c>
      <x:c r="I1874" s="10" t="n">
        <x:f>IF(OR(F1874="Status",G1874=0),"",G1874+H1874)</x:f>
        <x:v>90</x:v>
      </x:c>
      <x:c r="J1874" s="10" t="n">
        <x:v>10</x:v>
      </x:c>
      <x:c r="K1874" s="12" t="n">
        <x:v>15</x:v>
      </x:c>
      <x:c r="L1874" s="1" t="str"/>
      <x:c r="M1874" s="9" t="str">
        <x:v>https://poke.idleworld.online/pokepedia/pokemon/misdreavus</x:v>
      </x:c>
    </x:row>
    <x:row r="1875" ht="22" customHeight="1">
      <x:c r="A1875" s="1" t="n">
        <x:v>202</x:v>
      </x:c>
      <x:c r="B1875" s="1" t="str">
        <x:v>Wobbuffet</x:v>
      </x:c>
      <x:c r="C1875" s="1" t="n">
        <x:v>1</x:v>
      </x:c>
      <x:c r="D1875" s="1" t="str">
        <x:v>Mental Singularity</x:v>
      </x:c>
      <x:c r="E1875" s="1" t="str">
        <x:v>Psíquico</x:v>
      </x:c>
      <x:c r="F1875" s="1" t="str">
        <x:v>Especial</x:v>
      </x:c>
      <x:c r="G1875" s="10" t="n">
        <x:v>300</x:v>
      </x:c>
      <x:c r="H1875" s="10" t="n">
        <x:f>IF(F1875="Física",'Pokémon'!G205,IF(F1875="Especial",'Pokémon'!I205,""))</x:f>
        <x:v>33</x:v>
      </x:c>
      <x:c r="I1875" s="10" t="n">
        <x:f>IF(OR(F1875="Status",G1875=0),"",G1875+H1875)</x:f>
        <x:v>333</x:v>
      </x:c>
      <x:c r="J1875" s="10" t="n">
        <x:v>1</x:v>
      </x:c>
      <x:c r="K1875" s="12" t="n">
        <x:v>10</x:v>
      </x:c>
      <x:c r="L1875" s="1" t="str">
        <x:v>Sim</x:v>
      </x:c>
      <x:c r="M1875" s="9" t="str">
        <x:v>https://poke.idleworld.online/pokepedia/pokemon/wobbuffet</x:v>
      </x:c>
    </x:row>
    <x:row r="1876" ht="22" customHeight="1">
      <x:c r="A1876" s="1" t="n">
        <x:v>203</x:v>
      </x:c>
      <x:c r="B1876" s="1" t="str">
        <x:v>Girafarig</x:v>
      </x:c>
      <x:c r="C1876" s="1" t="n">
        <x:v>10</x:v>
      </x:c>
      <x:c r="D1876" s="1" t="str">
        <x:v>Psychic</x:v>
      </x:c>
      <x:c r="E1876" s="1" t="str">
        <x:v>Psíquico</x:v>
      </x:c>
      <x:c r="F1876" s="1" t="str">
        <x:v>Especial</x:v>
      </x:c>
      <x:c r="G1876" s="10" t="n">
        <x:v>90</x:v>
      </x:c>
      <x:c r="H1876" s="10" t="n">
        <x:f>IF(F1876="Física",'Pokémon'!G206,IF(F1876="Especial",'Pokémon'!I206,""))</x:f>
        <x:v>90</x:v>
      </x:c>
      <x:c r="I1876" s="10" t="n">
        <x:f>IF(OR(F1876="Status",G1876=0),"",G1876+H1876)</x:f>
        <x:v>180</x:v>
      </x:c>
      <x:c r="J1876" s="10" t="n">
        <x:v>50</x:v>
      </x:c>
      <x:c r="K1876" s="12" t="n">
        <x:v>22</x:v>
      </x:c>
      <x:c r="L1876" s="1" t="str"/>
      <x:c r="M1876" s="9" t="str">
        <x:v>https://poke.idleworld.online/pokepedia/pokemon/girafarig</x:v>
      </x:c>
    </x:row>
    <x:row r="1877" ht="22" customHeight="1">
      <x:c r="A1877" s="1" t="n">
        <x:v>203</x:v>
      </x:c>
      <x:c r="B1877" s="1" t="str">
        <x:v>Girafarig</x:v>
      </x:c>
      <x:c r="C1877" s="1" t="n">
        <x:v>8</x:v>
      </x:c>
      <x:c r="D1877" s="1" t="str">
        <x:v>Zen Headbutt</x:v>
      </x:c>
      <x:c r="E1877" s="1" t="str">
        <x:v>Psíquico</x:v>
      </x:c>
      <x:c r="F1877" s="1" t="str">
        <x:v>Física</x:v>
      </x:c>
      <x:c r="G1877" s="10" t="n">
        <x:v>80</x:v>
      </x:c>
      <x:c r="H1877" s="10" t="n">
        <x:f>IF(F1877="Física",'Pokémon'!G206,IF(F1877="Especial",'Pokémon'!I206,""))</x:f>
        <x:v>80</x:v>
      </x:c>
      <x:c r="I1877" s="10" t="n">
        <x:f>IF(OR(F1877="Status",G1877=0),"",G1877+H1877)</x:f>
        <x:v>160</x:v>
      </x:c>
      <x:c r="J1877" s="10" t="n">
        <x:v>32</x:v>
      </x:c>
      <x:c r="K1877" s="12" t="n">
        <x:v>22</x:v>
      </x:c>
      <x:c r="L1877" s="1" t="str"/>
      <x:c r="M1877" s="9" t="str">
        <x:v>https://poke.idleworld.online/pokepedia/pokemon/girafarig</x:v>
      </x:c>
    </x:row>
    <x:row r="1878" ht="22" customHeight="1">
      <x:c r="A1878" s="1" t="n">
        <x:v>203</x:v>
      </x:c>
      <x:c r="B1878" s="1" t="str">
        <x:v>Girafarig</x:v>
      </x:c>
      <x:c r="C1878" s="1" t="n">
        <x:v>9</x:v>
      </x:c>
      <x:c r="D1878" s="1" t="str">
        <x:v>Crunch</x:v>
      </x:c>
      <x:c r="E1878" s="1" t="str">
        <x:v>Sombrio</x:v>
      </x:c>
      <x:c r="F1878" s="1" t="str">
        <x:v>Física</x:v>
      </x:c>
      <x:c r="G1878" s="10" t="n">
        <x:v>80</x:v>
      </x:c>
      <x:c r="H1878" s="10" t="n">
        <x:f>IF(F1878="Física",'Pokémon'!G206,IF(F1878="Especial",'Pokémon'!I206,""))</x:f>
        <x:v>80</x:v>
      </x:c>
      <x:c r="I1878" s="10" t="n">
        <x:f>IF(OR(F1878="Status",G1878=0),"",G1878+H1878)</x:f>
        <x:v>160</x:v>
      </x:c>
      <x:c r="J1878" s="10" t="n">
        <x:v>37</x:v>
      </x:c>
      <x:c r="K1878" s="12" t="n">
        <x:v>22</x:v>
      </x:c>
      <x:c r="L1878" s="1" t="str"/>
      <x:c r="M1878" s="9" t="str">
        <x:v>https://poke.idleworld.online/pokepedia/pokemon/girafarig</x:v>
      </x:c>
    </x:row>
    <x:row r="1879" ht="22" customHeight="1">
      <x:c r="A1879" s="1" t="n">
        <x:v>203</x:v>
      </x:c>
      <x:c r="B1879" s="1" t="str">
        <x:v>Girafarig</x:v>
      </x:c>
      <x:c r="C1879" s="1" t="n">
        <x:v>6</x:v>
      </x:c>
      <x:c r="D1879" s="1" t="str">
        <x:v>Psybeam</x:v>
      </x:c>
      <x:c r="E1879" s="1" t="str">
        <x:v>Psíquico</x:v>
      </x:c>
      <x:c r="F1879" s="1" t="str">
        <x:v>Especial</x:v>
      </x:c>
      <x:c r="G1879" s="10" t="n">
        <x:v>65</x:v>
      </x:c>
      <x:c r="H1879" s="10" t="n">
        <x:f>IF(F1879="Física",'Pokémon'!G206,IF(F1879="Especial",'Pokémon'!I206,""))</x:f>
        <x:v>90</x:v>
      </x:c>
      <x:c r="I1879" s="10" t="n">
        <x:f>IF(OR(F1879="Status",G1879=0),"",G1879+H1879)</x:f>
        <x:v>155</x:v>
      </x:c>
      <x:c r="J1879" s="10" t="n">
        <x:v>19</x:v>
      </x:c>
      <x:c r="K1879" s="12" t="n">
        <x:v>20</x:v>
      </x:c>
      <x:c r="L1879" s="1" t="str"/>
      <x:c r="M1879" s="9" t="str">
        <x:v>https://poke.idleworld.online/pokepedia/pokemon/girafarig</x:v>
      </x:c>
    </x:row>
    <x:row r="1880" ht="22" customHeight="1">
      <x:c r="A1880" s="1" t="n">
        <x:v>203</x:v>
      </x:c>
      <x:c r="B1880" s="1" t="str">
        <x:v>Girafarig</x:v>
      </x:c>
      <x:c r="C1880" s="1" t="n">
        <x:v>5</x:v>
      </x:c>
      <x:c r="D1880" s="1" t="str">
        <x:v>Stomp</x:v>
      </x:c>
      <x:c r="E1880" s="1" t="str">
        <x:v>Normal</x:v>
      </x:c>
      <x:c r="F1880" s="1" t="str">
        <x:v>Física</x:v>
      </x:c>
      <x:c r="G1880" s="10" t="n">
        <x:v>65</x:v>
      </x:c>
      <x:c r="H1880" s="10" t="n">
        <x:f>IF(F1880="Física",'Pokémon'!G206,IF(F1880="Especial",'Pokémon'!I206,""))</x:f>
        <x:v>80</x:v>
      </x:c>
      <x:c r="I1880" s="10" t="n">
        <x:f>IF(OR(F1880="Status",G1880=0),"",G1880+H1880)</x:f>
        <x:v>145</x:v>
      </x:c>
      <x:c r="J1880" s="10" t="n">
        <x:v>14</x:v>
      </x:c>
      <x:c r="K1880" s="12" t="n">
        <x:v>30</x:v>
      </x:c>
      <x:c r="L1880" s="1" t="str"/>
      <x:c r="M1880" s="9" t="str">
        <x:v>https://poke.idleworld.online/pokepedia/pokemon/girafarig</x:v>
      </x:c>
    </x:row>
    <x:row r="1881" ht="22" customHeight="1">
      <x:c r="A1881" s="1" t="n">
        <x:v>203</x:v>
      </x:c>
      <x:c r="B1881" s="1" t="str">
        <x:v>Girafarig</x:v>
      </x:c>
      <x:c r="C1881" s="1" t="n">
        <x:v>4</x:v>
      </x:c>
      <x:c r="D1881" s="1" t="str">
        <x:v>Assurance</x:v>
      </x:c>
      <x:c r="E1881" s="1" t="str">
        <x:v>Sombrio</x:v>
      </x:c>
      <x:c r="F1881" s="1" t="str">
        <x:v>Física</x:v>
      </x:c>
      <x:c r="G1881" s="10" t="n">
        <x:v>60</x:v>
      </x:c>
      <x:c r="H1881" s="10" t="n">
        <x:f>IF(F1881="Física",'Pokémon'!G206,IF(F1881="Especial",'Pokémon'!I206,""))</x:f>
        <x:v>80</x:v>
      </x:c>
      <x:c r="I1881" s="10" t="n">
        <x:f>IF(OR(F1881="Status",G1881=0),"",G1881+H1881)</x:f>
        <x:v>140</x:v>
      </x:c>
      <x:c r="J1881" s="10" t="n">
        <x:v>10</x:v>
      </x:c>
      <x:c r="K1881" s="12" t="n">
        <x:v>20</x:v>
      </x:c>
      <x:c r="L1881" s="1" t="str"/>
      <x:c r="M1881" s="9" t="str">
        <x:v>https://poke.idleworld.online/pokepedia/pokemon/girafarig</x:v>
      </x:c>
    </x:row>
    <x:row r="1882" ht="22" customHeight="1">
      <x:c r="A1882" s="1" t="n">
        <x:v>203</x:v>
      </x:c>
      <x:c r="B1882" s="1" t="str">
        <x:v>Girafarig</x:v>
      </x:c>
      <x:c r="C1882" s="1" t="n">
        <x:v>3</x:v>
      </x:c>
      <x:c r="D1882" s="1" t="str">
        <x:v>Confusion</x:v>
      </x:c>
      <x:c r="E1882" s="1" t="str">
        <x:v>Psíquico</x:v>
      </x:c>
      <x:c r="F1882" s="1" t="str">
        <x:v>Especial</x:v>
      </x:c>
      <x:c r="G1882" s="10" t="n">
        <x:v>50</x:v>
      </x:c>
      <x:c r="H1882" s="10" t="n">
        <x:f>IF(F1882="Física",'Pokémon'!G206,IF(F1882="Especial",'Pokémon'!I206,""))</x:f>
        <x:v>90</x:v>
      </x:c>
      <x:c r="I1882" s="10" t="n">
        <x:f>IF(OR(F1882="Status",G1882=0),"",G1882+H1882)</x:f>
        <x:v>140</x:v>
      </x:c>
      <x:c r="J1882" s="10" t="n">
        <x:v>1</x:v>
      </x:c>
      <x:c r="K1882" s="12" t="n">
        <x:v>15</x:v>
      </x:c>
      <x:c r="L1882" s="1" t="str"/>
      <x:c r="M1882" s="9" t="str">
        <x:v>https://poke.idleworld.online/pokepedia/pokemon/girafarig</x:v>
      </x:c>
    </x:row>
    <x:row r="1883" ht="22" customHeight="1">
      <x:c r="A1883" s="1" t="n">
        <x:v>203</x:v>
      </x:c>
      <x:c r="B1883" s="1" t="str">
        <x:v>Girafarig</x:v>
      </x:c>
      <x:c r="C1883" s="1" t="n">
        <x:v>1</x:v>
      </x:c>
      <x:c r="D1883" s="1" t="str">
        <x:v>Tackle</x:v>
      </x:c>
      <x:c r="E1883" s="1" t="str">
        <x:v>Normal</x:v>
      </x:c>
      <x:c r="F1883" s="1" t="str">
        <x:v>Física</x:v>
      </x:c>
      <x:c r="G1883" s="10" t="n">
        <x:v>50</x:v>
      </x:c>
      <x:c r="H1883" s="10" t="n">
        <x:f>IF(F1883="Física",'Pokémon'!G206,IF(F1883="Especial",'Pokémon'!I206,""))</x:f>
        <x:v>80</x:v>
      </x:c>
      <x:c r="I1883" s="10" t="n">
        <x:f>IF(OR(F1883="Status",G1883=0),"",G1883+H1883)</x:f>
        <x:v>130</x:v>
      </x:c>
      <x:c r="J1883" s="10" t="n">
        <x:v>1</x:v>
      </x:c>
      <x:c r="K1883" s="12" t="n">
        <x:v>15</x:v>
      </x:c>
      <x:c r="L1883" s="1" t="str"/>
      <x:c r="M1883" s="9" t="str">
        <x:v>https://poke.idleworld.online/pokepedia/pokemon/girafarig</x:v>
      </x:c>
    </x:row>
    <x:row r="1884" ht="22" customHeight="1">
      <x:c r="A1884" s="1" t="n">
        <x:v>203</x:v>
      </x:c>
      <x:c r="B1884" s="1" t="str">
        <x:v>Girafarig</x:v>
      </x:c>
      <x:c r="C1884" s="1" t="n">
        <x:v>7</x:v>
      </x:c>
      <x:c r="D1884" s="1" t="str">
        <x:v>Double Hit</x:v>
      </x:c>
      <x:c r="E1884" s="1" t="str">
        <x:v>Normal</x:v>
      </x:c>
      <x:c r="F1884" s="1" t="str">
        <x:v>Física</x:v>
      </x:c>
      <x:c r="G1884" s="10" t="n">
        <x:v>35</x:v>
      </x:c>
      <x:c r="H1884" s="10" t="n">
        <x:f>IF(F1884="Física",'Pokémon'!G206,IF(F1884="Especial",'Pokémon'!I206,""))</x:f>
        <x:v>80</x:v>
      </x:c>
      <x:c r="I1884" s="10" t="n">
        <x:f>IF(OR(F1884="Status",G1884=0),"",G1884+H1884)</x:f>
        <x:v>115</x:v>
      </x:c>
      <x:c r="J1884" s="10" t="n">
        <x:v>28</x:v>
      </x:c>
      <x:c r="K1884" s="12" t="n">
        <x:v>15</x:v>
      </x:c>
      <x:c r="L1884" s="1" t="str"/>
      <x:c r="M1884" s="9" t="str">
        <x:v>https://poke.idleworld.online/pokepedia/pokemon/girafarig</x:v>
      </x:c>
    </x:row>
    <x:row r="1885" ht="22" customHeight="1">
      <x:c r="A1885" s="1" t="n">
        <x:v>203</x:v>
      </x:c>
      <x:c r="B1885" s="1" t="str">
        <x:v>Girafarig</x:v>
      </x:c>
      <x:c r="C1885" s="1" t="n">
        <x:v>2</x:v>
      </x:c>
      <x:c r="D1885" s="1" t="str">
        <x:v>Astonish</x:v>
      </x:c>
      <x:c r="E1885" s="1" t="str">
        <x:v>Fantasma</x:v>
      </x:c>
      <x:c r="F1885" s="1" t="str">
        <x:v>Física</x:v>
      </x:c>
      <x:c r="G1885" s="10" t="n">
        <x:v>30</x:v>
      </x:c>
      <x:c r="H1885" s="10" t="n">
        <x:f>IF(F1885="Física",'Pokémon'!G206,IF(F1885="Especial",'Pokémon'!I206,""))</x:f>
        <x:v>80</x:v>
      </x:c>
      <x:c r="I1885" s="10" t="n">
        <x:f>IF(OR(F1885="Status",G1885=0),"",G1885+H1885)</x:f>
        <x:v>110</x:v>
      </x:c>
      <x:c r="J1885" s="10" t="n">
        <x:v>1</x:v>
      </x:c>
      <x:c r="K1885" s="12" t="n">
        <x:v>15</x:v>
      </x:c>
      <x:c r="L1885" s="1" t="str"/>
      <x:c r="M1885" s="9" t="str">
        <x:v>https://poke.idleworld.online/pokepedia/pokemon/girafarig</x:v>
      </x:c>
    </x:row>
    <x:row r="1886" ht="22" customHeight="1">
      <x:c r="A1886" s="1" t="n">
        <x:v>204</x:v>
      </x:c>
      <x:c r="B1886" s="1" t="str">
        <x:v>Pineco</x:v>
      </x:c>
      <x:c r="C1886" s="1" t="n">
        <x:v>6</x:v>
      </x:c>
      <x:c r="D1886" s="1" t="str">
        <x:v>Double-Edge</x:v>
      </x:c>
      <x:c r="E1886" s="1" t="str">
        <x:v>Normal</x:v>
      </x:c>
      <x:c r="F1886" s="1" t="str">
        <x:v>Física</x:v>
      </x:c>
      <x:c r="G1886" s="10" t="n">
        <x:v>120</x:v>
      </x:c>
      <x:c r="H1886" s="10" t="n">
        <x:f>IF(F1886="Física",'Pokémon'!G207,IF(F1886="Especial",'Pokémon'!I207,""))</x:f>
        <x:v>65</x:v>
      </x:c>
      <x:c r="I1886" s="10" t="n">
        <x:f>IF(OR(F1886="Status",G1886=0),"",G1886+H1886)</x:f>
        <x:v>185</x:v>
      </x:c>
      <x:c r="J1886" s="10" t="n">
        <x:v>45</x:v>
      </x:c>
      <x:c r="K1886" s="12" t="n">
        <x:v>3</x:v>
      </x:c>
      <x:c r="L1886" s="1" t="str"/>
      <x:c r="M1886" s="9" t="str">
        <x:v>https://poke.idleworld.online/pokepedia/pokemon/pineco</x:v>
      </x:c>
    </x:row>
    <x:row r="1887" ht="22" customHeight="1">
      <x:c r="A1887" s="1" t="n">
        <x:v>204</x:v>
      </x:c>
      <x:c r="B1887" s="1" t="str">
        <x:v>Pineco</x:v>
      </x:c>
      <x:c r="C1887" s="1" t="n">
        <x:v>3</x:v>
      </x:c>
      <x:c r="D1887" s="1" t="str">
        <x:v>Take Down</x:v>
      </x:c>
      <x:c r="E1887" s="1" t="str">
        <x:v>Normal</x:v>
      </x:c>
      <x:c r="F1887" s="1" t="str">
        <x:v>Física</x:v>
      </x:c>
      <x:c r="G1887" s="10" t="n">
        <x:v>90</x:v>
      </x:c>
      <x:c r="H1887" s="10" t="n">
        <x:f>IF(F1887="Física",'Pokémon'!G207,IF(F1887="Especial",'Pokémon'!I207,""))</x:f>
        <x:v>65</x:v>
      </x:c>
      <x:c r="I1887" s="10" t="n">
        <x:f>IF(OR(F1887="Status",G1887=0),"",G1887+H1887)</x:f>
        <x:v>155</x:v>
      </x:c>
      <x:c r="J1887" s="10" t="n">
        <x:v>12</x:v>
      </x:c>
      <x:c r="K1887" s="12" t="n">
        <x:v>22</x:v>
      </x:c>
      <x:c r="L1887" s="1" t="str"/>
      <x:c r="M1887" s="9" t="str">
        <x:v>https://poke.idleworld.online/pokepedia/pokemon/pineco</x:v>
      </x:c>
    </x:row>
    <x:row r="1888" ht="22" customHeight="1">
      <x:c r="A1888" s="1" t="n">
        <x:v>204</x:v>
      </x:c>
      <x:c r="B1888" s="1" t="str">
        <x:v>Pineco</x:v>
      </x:c>
      <x:c r="C1888" s="1" t="n">
        <x:v>2</x:v>
      </x:c>
      <x:c r="D1888" s="1" t="str">
        <x:v>Bug Bite</x:v>
      </x:c>
      <x:c r="E1888" s="1" t="str">
        <x:v>Inseto</x:v>
      </x:c>
      <x:c r="F1888" s="1" t="str">
        <x:v>Física</x:v>
      </x:c>
      <x:c r="G1888" s="10" t="n">
        <x:v>60</x:v>
      </x:c>
      <x:c r="H1888" s="10" t="n">
        <x:f>IF(F1888="Física",'Pokémon'!G207,IF(F1888="Especial",'Pokémon'!I207,""))</x:f>
        <x:v>65</x:v>
      </x:c>
      <x:c r="I1888" s="10" t="n">
        <x:f>IF(OR(F1888="Status",G1888=0),"",G1888+H1888)</x:f>
        <x:v>125</x:v>
      </x:c>
      <x:c r="J1888" s="10" t="n">
        <x:v>9</x:v>
      </x:c>
      <x:c r="K1888" s="12" t="n">
        <x:v>20</x:v>
      </x:c>
      <x:c r="L1888" s="1" t="str"/>
      <x:c r="M1888" s="9" t="str">
        <x:v>https://poke.idleworld.online/pokepedia/pokemon/pineco</x:v>
      </x:c>
    </x:row>
    <x:row r="1889" ht="22" customHeight="1">
      <x:c r="A1889" s="1" t="n">
        <x:v>204</x:v>
      </x:c>
      <x:c r="B1889" s="1" t="str">
        <x:v>Pineco</x:v>
      </x:c>
      <x:c r="C1889" s="1" t="n">
        <x:v>1</x:v>
      </x:c>
      <x:c r="D1889" s="1" t="str">
        <x:v>Tackle</x:v>
      </x:c>
      <x:c r="E1889" s="1" t="str">
        <x:v>Normal</x:v>
      </x:c>
      <x:c r="F1889" s="1" t="str">
        <x:v>Física</x:v>
      </x:c>
      <x:c r="G1889" s="10" t="n">
        <x:v>50</x:v>
      </x:c>
      <x:c r="H1889" s="10" t="n">
        <x:f>IF(F1889="Física",'Pokémon'!G207,IF(F1889="Especial",'Pokémon'!I207,""))</x:f>
        <x:v>65</x:v>
      </x:c>
      <x:c r="I1889" s="10" t="n">
        <x:f>IF(OR(F1889="Status",G1889=0),"",G1889+H1889)</x:f>
        <x:v>115</x:v>
      </x:c>
      <x:c r="J1889" s="10" t="n">
        <x:v>1</x:v>
      </x:c>
      <x:c r="K1889" s="12" t="n">
        <x:v>15</x:v>
      </x:c>
      <x:c r="L1889" s="1" t="str"/>
      <x:c r="M1889" s="9" t="str">
        <x:v>https://poke.idleworld.online/pokepedia/pokemon/pineco</x:v>
      </x:c>
    </x:row>
    <x:row r="1890" ht="22" customHeight="1">
      <x:c r="A1890" s="1" t="n">
        <x:v>204</x:v>
      </x:c>
      <x:c r="B1890" s="1" t="str">
        <x:v>Pineco</x:v>
      </x:c>
      <x:c r="C1890" s="1" t="n">
        <x:v>5</x:v>
      </x:c>
      <x:c r="D1890" s="1" t="str">
        <x:v>Payback</x:v>
      </x:c>
      <x:c r="E1890" s="1" t="str">
        <x:v>Sombrio</x:v>
      </x:c>
      <x:c r="F1890" s="1" t="str">
        <x:v>Física</x:v>
      </x:c>
      <x:c r="G1890" s="10" t="n">
        <x:v>50</x:v>
      </x:c>
      <x:c r="H1890" s="10" t="n">
        <x:f>IF(F1890="Física",'Pokémon'!G207,IF(F1890="Especial",'Pokémon'!I207,""))</x:f>
        <x:v>65</x:v>
      </x:c>
      <x:c r="I1890" s="10" t="n">
        <x:f>IF(OR(F1890="Status",G1890=0),"",G1890+H1890)</x:f>
        <x:v>115</x:v>
      </x:c>
      <x:c r="J1890" s="10" t="n">
        <x:v>31</x:v>
      </x:c>
      <x:c r="K1890" s="12" t="n">
        <x:v>15</x:v>
      </x:c>
      <x:c r="L1890" s="1" t="str"/>
      <x:c r="M1890" s="9" t="str">
        <x:v>https://poke.idleworld.online/pokepedia/pokemon/pineco</x:v>
      </x:c>
    </x:row>
    <x:row r="1891" ht="22" customHeight="1">
      <x:c r="A1891" s="1" t="n">
        <x:v>204</x:v>
      </x:c>
      <x:c r="B1891" s="1" t="str">
        <x:v>Pineco</x:v>
      </x:c>
      <x:c r="C1891" s="1" t="n">
        <x:v>4</x:v>
      </x:c>
      <x:c r="D1891" s="1" t="str">
        <x:v>Rapid Spin</x:v>
      </x:c>
      <x:c r="E1891" s="1" t="str">
        <x:v>Normal</x:v>
      </x:c>
      <x:c r="F1891" s="1" t="str">
        <x:v>Física</x:v>
      </x:c>
      <x:c r="G1891" s="10" t="n">
        <x:v>20</x:v>
      </x:c>
      <x:c r="H1891" s="10" t="n">
        <x:f>IF(F1891="Física",'Pokémon'!G207,IF(F1891="Especial",'Pokémon'!I207,""))</x:f>
        <x:v>65</x:v>
      </x:c>
      <x:c r="I1891" s="10" t="n">
        <x:f>IF(OR(F1891="Status",G1891=0),"",G1891+H1891)</x:f>
        <x:v>85</x:v>
      </x:c>
      <x:c r="J1891" s="10" t="n">
        <x:v>17</x:v>
      </x:c>
      <x:c r="K1891" s="12" t="n">
        <x:v>15</x:v>
      </x:c>
      <x:c r="L1891" s="1" t="str"/>
      <x:c r="M1891" s="9" t="str">
        <x:v>https://poke.idleworld.online/pokepedia/pokemon/pineco</x:v>
      </x:c>
    </x:row>
    <x:row r="1892" ht="22" customHeight="1">
      <x:c r="A1892" s="1" t="n">
        <x:v>205</x:v>
      </x:c>
      <x:c r="B1892" s="1" t="str">
        <x:v>Forretress</x:v>
      </x:c>
      <x:c r="C1892" s="1" t="n">
        <x:v>2</x:v>
      </x:c>
      <x:c r="D1892" s="1" t="str">
        <x:v>Hive Crush</x:v>
      </x:c>
      <x:c r="E1892" s="1" t="str">
        <x:v>Inseto</x:v>
      </x:c>
      <x:c r="F1892" s="1" t="str">
        <x:v>Física</x:v>
      </x:c>
      <x:c r="G1892" s="10" t="n">
        <x:v>300</x:v>
      </x:c>
      <x:c r="H1892" s="10" t="n">
        <x:f>IF(F1892="Física",'Pokémon'!G208,IF(F1892="Especial",'Pokémon'!I208,""))</x:f>
        <x:v>90</x:v>
      </x:c>
      <x:c r="I1892" s="10" t="n">
        <x:f>IF(OR(F1892="Status",G1892=0),"",G1892+H1892)</x:f>
        <x:v>390</x:v>
      </x:c>
      <x:c r="J1892" s="10" t="n">
        <x:v>1</x:v>
      </x:c>
      <x:c r="K1892" s="12" t="n">
        <x:v>10</x:v>
      </x:c>
      <x:c r="L1892" s="1" t="str">
        <x:v>Sim</x:v>
      </x:c>
      <x:c r="M1892" s="9" t="str">
        <x:v>https://poke.idleworld.online/pokepedia/pokemon/forretress</x:v>
      </x:c>
    </x:row>
    <x:row r="1893" ht="22" customHeight="1">
      <x:c r="A1893" s="1" t="n">
        <x:v>205</x:v>
      </x:c>
      <x:c r="B1893" s="1" t="str">
        <x:v>Forretress</x:v>
      </x:c>
      <x:c r="C1893" s="1" t="n">
        <x:v>9</x:v>
      </x:c>
      <x:c r="D1893" s="1" t="str">
        <x:v>Double-Edge</x:v>
      </x:c>
      <x:c r="E1893" s="1" t="str">
        <x:v>Normal</x:v>
      </x:c>
      <x:c r="F1893" s="1" t="str">
        <x:v>Física</x:v>
      </x:c>
      <x:c r="G1893" s="10" t="n">
        <x:v>120</x:v>
      </x:c>
      <x:c r="H1893" s="10" t="n">
        <x:f>IF(F1893="Física",'Pokémon'!G208,IF(F1893="Especial",'Pokémon'!I208,""))</x:f>
        <x:v>90</x:v>
      </x:c>
      <x:c r="I1893" s="10" t="n">
        <x:f>IF(OR(F1893="Status",G1893=0),"",G1893+H1893)</x:f>
        <x:v>210</x:v>
      </x:c>
      <x:c r="J1893" s="10" t="n">
        <x:v>56</x:v>
      </x:c>
      <x:c r="K1893" s="12" t="n">
        <x:v>3</x:v>
      </x:c>
      <x:c r="L1893" s="1" t="str"/>
      <x:c r="M1893" s="9" t="str">
        <x:v>https://poke.idleworld.online/pokepedia/pokemon/forretress</x:v>
      </x:c>
    </x:row>
    <x:row r="1894" ht="22" customHeight="1">
      <x:c r="A1894" s="1" t="n">
        <x:v>205</x:v>
      </x:c>
      <x:c r="B1894" s="1" t="str">
        <x:v>Forretress</x:v>
      </x:c>
      <x:c r="C1894" s="1" t="n">
        <x:v>4</x:v>
      </x:c>
      <x:c r="D1894" s="1" t="str">
        <x:v>Zap Cannon</x:v>
      </x:c>
      <x:c r="E1894" s="1" t="str">
        <x:v>Elétrico</x:v>
      </x:c>
      <x:c r="F1894" s="1" t="str">
        <x:v>Especial</x:v>
      </x:c>
      <x:c r="G1894" s="10" t="n">
        <x:v>120</x:v>
      </x:c>
      <x:c r="H1894" s="10" t="n">
        <x:f>IF(F1894="Física",'Pokémon'!G208,IF(F1894="Especial",'Pokémon'!I208,""))</x:f>
        <x:v>60</x:v>
      </x:c>
      <x:c r="I1894" s="10" t="n">
        <x:f>IF(OR(F1894="Status",G1894=0),"",G1894+H1894)</x:f>
        <x:v>180</x:v>
      </x:c>
      <x:c r="J1894" s="10" t="n">
        <x:v>1</x:v>
      </x:c>
      <x:c r="K1894" s="12" t="n">
        <x:v>50</x:v>
      </x:c>
      <x:c r="L1894" s="1" t="str"/>
      <x:c r="M1894" s="9" t="str">
        <x:v>https://poke.idleworld.online/pokepedia/pokemon/forretress</x:v>
      </x:c>
    </x:row>
    <x:row r="1895" ht="22" customHeight="1">
      <x:c r="A1895" s="1" t="n">
        <x:v>205</x:v>
      </x:c>
      <x:c r="B1895" s="1" t="str">
        <x:v>Forretress</x:v>
      </x:c>
      <x:c r="C1895" s="1" t="n">
        <x:v>5</x:v>
      </x:c>
      <x:c r="D1895" s="1" t="str">
        <x:v>Take Down</x:v>
      </x:c>
      <x:c r="E1895" s="1" t="str">
        <x:v>Normal</x:v>
      </x:c>
      <x:c r="F1895" s="1" t="str">
        <x:v>Física</x:v>
      </x:c>
      <x:c r="G1895" s="10" t="n">
        <x:v>90</x:v>
      </x:c>
      <x:c r="H1895" s="10" t="n">
        <x:f>IF(F1895="Física",'Pokémon'!G208,IF(F1895="Especial",'Pokémon'!I208,""))</x:f>
        <x:v>90</x:v>
      </x:c>
      <x:c r="I1895" s="10" t="n">
        <x:f>IF(OR(F1895="Status",G1895=0),"",G1895+H1895)</x:f>
        <x:v>180</x:v>
      </x:c>
      <x:c r="J1895" s="10" t="n">
        <x:v>12</x:v>
      </x:c>
      <x:c r="K1895" s="12" t="n">
        <x:v>22</x:v>
      </x:c>
      <x:c r="L1895" s="1" t="str"/>
      <x:c r="M1895" s="9" t="str">
        <x:v>https://poke.idleworld.online/pokepedia/pokemon/forretress</x:v>
      </x:c>
    </x:row>
    <x:row r="1896" ht="22" customHeight="1">
      <x:c r="A1896" s="1" t="n">
        <x:v>205</x:v>
      </x:c>
      <x:c r="B1896" s="1" t="str">
        <x:v>Forretress</x:v>
      </x:c>
      <x:c r="C1896" s="1" t="n">
        <x:v>3</x:v>
      </x:c>
      <x:c r="D1896" s="1" t="str">
        <x:v>Bug Bite</x:v>
      </x:c>
      <x:c r="E1896" s="1" t="str">
        <x:v>Inseto</x:v>
      </x:c>
      <x:c r="F1896" s="1" t="str">
        <x:v>Física</x:v>
      </x:c>
      <x:c r="G1896" s="10" t="n">
        <x:v>60</x:v>
      </x:c>
      <x:c r="H1896" s="10" t="n">
        <x:f>IF(F1896="Física",'Pokémon'!G208,IF(F1896="Especial",'Pokémon'!I208,""))</x:f>
        <x:v>90</x:v>
      </x:c>
      <x:c r="I1896" s="10" t="n">
        <x:f>IF(OR(F1896="Status",G1896=0),"",G1896+H1896)</x:f>
        <x:v>150</x:v>
      </x:c>
      <x:c r="J1896" s="10" t="n">
        <x:v>1</x:v>
      </x:c>
      <x:c r="K1896" s="12" t="n">
        <x:v>20</x:v>
      </x:c>
      <x:c r="L1896" s="1" t="str"/>
      <x:c r="M1896" s="9" t="str">
        <x:v>https://poke.idleworld.online/pokepedia/pokemon/forretress</x:v>
      </x:c>
    </x:row>
    <x:row r="1897" ht="22" customHeight="1">
      <x:c r="A1897" s="1" t="n">
        <x:v>205</x:v>
      </x:c>
      <x:c r="B1897" s="1" t="str">
        <x:v>Forretress</x:v>
      </x:c>
      <x:c r="C1897" s="1" t="n">
        <x:v>1</x:v>
      </x:c>
      <x:c r="D1897" s="1" t="str">
        <x:v>Tackle</x:v>
      </x:c>
      <x:c r="E1897" s="1" t="str">
        <x:v>Normal</x:v>
      </x:c>
      <x:c r="F1897" s="1" t="str">
        <x:v>Física</x:v>
      </x:c>
      <x:c r="G1897" s="10" t="n">
        <x:v>50</x:v>
      </x:c>
      <x:c r="H1897" s="10" t="n">
        <x:f>IF(F1897="Física",'Pokémon'!G208,IF(F1897="Especial",'Pokémon'!I208,""))</x:f>
        <x:v>90</x:v>
      </x:c>
      <x:c r="I1897" s="10" t="n">
        <x:f>IF(OR(F1897="Status",G1897=0),"",G1897+H1897)</x:f>
        <x:v>140</x:v>
      </x:c>
      <x:c r="J1897" s="10" t="n">
        <x:v>1</x:v>
      </x:c>
      <x:c r="K1897" s="12" t="n">
        <x:v>15</x:v>
      </x:c>
      <x:c r="L1897" s="1" t="str"/>
      <x:c r="M1897" s="9" t="str">
        <x:v>https://poke.idleworld.online/pokepedia/pokemon/forretress</x:v>
      </x:c>
    </x:row>
    <x:row r="1898" ht="22" customHeight="1">
      <x:c r="A1898" s="1" t="n">
        <x:v>205</x:v>
      </x:c>
      <x:c r="B1898" s="1" t="str">
        <x:v>Forretress</x:v>
      </x:c>
      <x:c r="C1898" s="1" t="n">
        <x:v>8</x:v>
      </x:c>
      <x:c r="D1898" s="1" t="str">
        <x:v>Payback</x:v>
      </x:c>
      <x:c r="E1898" s="1" t="str">
        <x:v>Sombrio</x:v>
      </x:c>
      <x:c r="F1898" s="1" t="str">
        <x:v>Física</x:v>
      </x:c>
      <x:c r="G1898" s="10" t="n">
        <x:v>50</x:v>
      </x:c>
      <x:c r="H1898" s="10" t="n">
        <x:f>IF(F1898="Física",'Pokémon'!G208,IF(F1898="Especial",'Pokémon'!I208,""))</x:f>
        <x:v>90</x:v>
      </x:c>
      <x:c r="I1898" s="10" t="n">
        <x:f>IF(OR(F1898="Status",G1898=0),"",G1898+H1898)</x:f>
        <x:v>140</x:v>
      </x:c>
      <x:c r="J1898" s="10" t="n">
        <x:v>36</x:v>
      </x:c>
      <x:c r="K1898" s="12" t="n">
        <x:v>15</x:v>
      </x:c>
      <x:c r="L1898" s="1" t="str"/>
      <x:c r="M1898" s="9" t="str">
        <x:v>https://poke.idleworld.online/pokepedia/pokemon/forretress</x:v>
      </x:c>
    </x:row>
    <x:row r="1899" ht="22" customHeight="1">
      <x:c r="A1899" s="1" t="n">
        <x:v>205</x:v>
      </x:c>
      <x:c r="B1899" s="1" t="str">
        <x:v>Forretress</x:v>
      </x:c>
      <x:c r="C1899" s="1" t="n">
        <x:v>7</x:v>
      </x:c>
      <x:c r="D1899" s="1" t="str">
        <x:v>Mirror Shot</x:v>
      </x:c>
      <x:c r="E1899" s="1" t="str">
        <x:v>Aço</x:v>
      </x:c>
      <x:c r="F1899" s="1" t="str">
        <x:v>Especial</x:v>
      </x:c>
      <x:c r="G1899" s="10" t="n">
        <x:v>65</x:v>
      </x:c>
      <x:c r="H1899" s="10" t="n">
        <x:f>IF(F1899="Física",'Pokémon'!G208,IF(F1899="Especial",'Pokémon'!I208,""))</x:f>
        <x:v>60</x:v>
      </x:c>
      <x:c r="I1899" s="10" t="n">
        <x:f>IF(OR(F1899="Status",G1899=0),"",G1899+H1899)</x:f>
        <x:v>125</x:v>
      </x:c>
      <x:c r="J1899" s="10" t="n">
        <x:v>31</x:v>
      </x:c>
      <x:c r="K1899" s="12" t="n">
        <x:v>20</x:v>
      </x:c>
      <x:c r="L1899" s="1" t="str"/>
      <x:c r="M1899" s="9" t="str">
        <x:v>https://poke.idleworld.online/pokepedia/pokemon/forretress</x:v>
      </x:c>
    </x:row>
    <x:row r="1900" ht="22" customHeight="1">
      <x:c r="A1900" s="1" t="n">
        <x:v>205</x:v>
      </x:c>
      <x:c r="B1900" s="1" t="str">
        <x:v>Forretress</x:v>
      </x:c>
      <x:c r="C1900" s="1" t="n">
        <x:v>6</x:v>
      </x:c>
      <x:c r="D1900" s="1" t="str">
        <x:v>Rapid Spin</x:v>
      </x:c>
      <x:c r="E1900" s="1" t="str">
        <x:v>Normal</x:v>
      </x:c>
      <x:c r="F1900" s="1" t="str">
        <x:v>Física</x:v>
      </x:c>
      <x:c r="G1900" s="10" t="n">
        <x:v>20</x:v>
      </x:c>
      <x:c r="H1900" s="10" t="n">
        <x:f>IF(F1900="Física",'Pokémon'!G208,IF(F1900="Especial",'Pokémon'!I208,""))</x:f>
        <x:v>90</x:v>
      </x:c>
      <x:c r="I1900" s="10" t="n">
        <x:f>IF(OR(F1900="Status",G1900=0),"",G1900+H1900)</x:f>
        <x:v>110</x:v>
      </x:c>
      <x:c r="J1900" s="10" t="n">
        <x:v>17</x:v>
      </x:c>
      <x:c r="K1900" s="12" t="n">
        <x:v>15</x:v>
      </x:c>
      <x:c r="L1900" s="1" t="str"/>
      <x:c r="M1900" s="9" t="str">
        <x:v>https://poke.idleworld.online/pokepedia/pokemon/forretress</x:v>
      </x:c>
    </x:row>
    <x:row r="1901" ht="22" customHeight="1">
      <x:c r="A1901" s="1" t="n">
        <x:v>206</x:v>
      </x:c>
      <x:c r="B1901" s="1" t="str">
        <x:v>Dunsparce</x:v>
      </x:c>
      <x:c r="C1901" s="1" t="n">
        <x:v>7</x:v>
      </x:c>
      <x:c r="D1901" s="1" t="str">
        <x:v>Double-Edge</x:v>
      </x:c>
      <x:c r="E1901" s="1" t="str">
        <x:v>Normal</x:v>
      </x:c>
      <x:c r="F1901" s="1" t="str">
        <x:v>Física</x:v>
      </x:c>
      <x:c r="G1901" s="10" t="n">
        <x:v>120</x:v>
      </x:c>
      <x:c r="H1901" s="10" t="n">
        <x:f>IF(F1901="Física",'Pokémon'!G209,IF(F1901="Especial",'Pokémon'!I209,""))</x:f>
        <x:v>70</x:v>
      </x:c>
      <x:c r="I1901" s="10" t="n">
        <x:f>IF(OR(F1901="Status",G1901=0),"",G1901+H1901)</x:f>
        <x:v>190</x:v>
      </x:c>
      <x:c r="J1901" s="10" t="n">
        <x:v>34</x:v>
      </x:c>
      <x:c r="K1901" s="12" t="n">
        <x:v>3</x:v>
      </x:c>
      <x:c r="L1901" s="1" t="str"/>
      <x:c r="M1901" s="9" t="str">
        <x:v>https://poke.idleworld.online/pokepedia/pokemon/dunsparce</x:v>
      </x:c>
    </x:row>
    <x:row r="1902" ht="22" customHeight="1">
      <x:c r="A1902" s="1" t="n">
        <x:v>206</x:v>
      </x:c>
      <x:c r="B1902" s="1" t="str">
        <x:v>Dunsparce</x:v>
      </x:c>
      <x:c r="C1902" s="1" t="n">
        <x:v>5</x:v>
      </x:c>
      <x:c r="D1902" s="1" t="str">
        <x:v>Take Down</x:v>
      </x:c>
      <x:c r="E1902" s="1" t="str">
        <x:v>Normal</x:v>
      </x:c>
      <x:c r="F1902" s="1" t="str">
        <x:v>Física</x:v>
      </x:c>
      <x:c r="G1902" s="10" t="n">
        <x:v>90</x:v>
      </x:c>
      <x:c r="H1902" s="10" t="n">
        <x:f>IF(F1902="Física",'Pokémon'!G209,IF(F1902="Especial",'Pokémon'!I209,""))</x:f>
        <x:v>70</x:v>
      </x:c>
      <x:c r="I1902" s="10" t="n">
        <x:f>IF(OR(F1902="Status",G1902=0),"",G1902+H1902)</x:f>
        <x:v>160</x:v>
      </x:c>
      <x:c r="J1902" s="10" t="n">
        <x:v>22</x:v>
      </x:c>
      <x:c r="K1902" s="12" t="n">
        <x:v>22</x:v>
      </x:c>
      <x:c r="L1902" s="1" t="str"/>
      <x:c r="M1902" s="9" t="str">
        <x:v>https://poke.idleworld.online/pokepedia/pokemon/dunsparce</x:v>
      </x:c>
    </x:row>
    <x:row r="1903" ht="22" customHeight="1">
      <x:c r="A1903" s="1" t="n">
        <x:v>206</x:v>
      </x:c>
      <x:c r="B1903" s="1" t="str">
        <x:v>Dunsparce</x:v>
      </x:c>
      <x:c r="C1903" s="1" t="n">
        <x:v>6</x:v>
      </x:c>
      <x:c r="D1903" s="1" t="str">
        <x:v>Dig</x:v>
      </x:c>
      <x:c r="E1903" s="1" t="str">
        <x:v>Terrestre</x:v>
      </x:c>
      <x:c r="F1903" s="1" t="str">
        <x:v>Física</x:v>
      </x:c>
      <x:c r="G1903" s="10" t="n">
        <x:v>80</x:v>
      </x:c>
      <x:c r="H1903" s="10" t="n">
        <x:f>IF(F1903="Física",'Pokémon'!G209,IF(F1903="Especial",'Pokémon'!I209,""))</x:f>
        <x:v>70</x:v>
      </x:c>
      <x:c r="I1903" s="10" t="n">
        <x:f>IF(OR(F1903="Status",G1903=0),"",G1903+H1903)</x:f>
        <x:v>150</x:v>
      </x:c>
      <x:c r="J1903" s="10" t="n">
        <x:v>31</x:v>
      </x:c>
      <x:c r="K1903" s="12" t="n">
        <x:v>22</x:v>
      </x:c>
      <x:c r="L1903" s="1" t="str"/>
      <x:c r="M1903" s="9" t="str">
        <x:v>https://poke.idleworld.online/pokepedia/pokemon/dunsparce</x:v>
      </x:c>
    </x:row>
    <x:row r="1904" ht="22" customHeight="1">
      <x:c r="A1904" s="1" t="n">
        <x:v>206</x:v>
      </x:c>
      <x:c r="B1904" s="1" t="str">
        <x:v>Dunsparce</x:v>
      </x:c>
      <x:c r="C1904" s="1" t="n">
        <x:v>8</x:v>
      </x:c>
      <x:c r="D1904" s="1" t="str">
        <x:v>Drill Run</x:v>
      </x:c>
      <x:c r="E1904" s="1" t="str">
        <x:v>Terrestre</x:v>
      </x:c>
      <x:c r="F1904" s="1" t="str">
        <x:v>Física</x:v>
      </x:c>
      <x:c r="G1904" s="10" t="n">
        <x:v>80</x:v>
      </x:c>
      <x:c r="H1904" s="10" t="n">
        <x:f>IF(F1904="Física",'Pokémon'!G209,IF(F1904="Especial",'Pokémon'!I209,""))</x:f>
        <x:v>70</x:v>
      </x:c>
      <x:c r="I1904" s="10" t="n">
        <x:f>IF(OR(F1904="Status",G1904=0),"",G1904+H1904)</x:f>
        <x:v>150</x:v>
      </x:c>
      <x:c r="J1904" s="10" t="n">
        <x:v>43</x:v>
      </x:c>
      <x:c r="K1904" s="12" t="n">
        <x:v>22</x:v>
      </x:c>
      <x:c r="L1904" s="1" t="str"/>
      <x:c r="M1904" s="9" t="str">
        <x:v>https://poke.idleworld.online/pokepedia/pokemon/dunsparce</x:v>
      </x:c>
    </x:row>
    <x:row r="1905" ht="22" customHeight="1">
      <x:c r="A1905" s="1" t="n">
        <x:v>206</x:v>
      </x:c>
      <x:c r="B1905" s="1" t="str">
        <x:v>Dunsparce</x:v>
      </x:c>
      <x:c r="C1905" s="1" t="n">
        <x:v>4</x:v>
      </x:c>
      <x:c r="D1905" s="1" t="str">
        <x:v>Ancient Power</x:v>
      </x:c>
      <x:c r="E1905" s="1" t="str">
        <x:v>Pedra</x:v>
      </x:c>
      <x:c r="F1905" s="1" t="str">
        <x:v>Especial</x:v>
      </x:c>
      <x:c r="G1905" s="10" t="n">
        <x:v>60</x:v>
      </x:c>
      <x:c r="H1905" s="10" t="n">
        <x:f>IF(F1905="Física",'Pokémon'!G209,IF(F1905="Especial",'Pokémon'!I209,""))</x:f>
        <x:v>65</x:v>
      </x:c>
      <x:c r="I1905" s="10" t="n">
        <x:f>IF(OR(F1905="Status",G1905=0),"",G1905+H1905)</x:f>
        <x:v>125</x:v>
      </x:c>
      <x:c r="J1905" s="10" t="n">
        <x:v>19</x:v>
      </x:c>
      <x:c r="K1905" s="12" t="n">
        <x:v>20</x:v>
      </x:c>
      <x:c r="L1905" s="1" t="str"/>
      <x:c r="M1905" s="9" t="str">
        <x:v>https://poke.idleworld.online/pokepedia/pokemon/dunsparce</x:v>
      </x:c>
    </x:row>
    <x:row r="1906" ht="22" customHeight="1">
      <x:c r="A1906" s="1" t="n">
        <x:v>206</x:v>
      </x:c>
      <x:c r="B1906" s="1" t="str">
        <x:v>Dunsparce</x:v>
      </x:c>
      <x:c r="C1906" s="1" t="n">
        <x:v>3</x:v>
      </x:c>
      <x:c r="D1906" s="1" t="str">
        <x:v>Pursuit</x:v>
      </x:c>
      <x:c r="E1906" s="1" t="str">
        <x:v>Sombrio</x:v>
      </x:c>
      <x:c r="F1906" s="1" t="str">
        <x:v>Física</x:v>
      </x:c>
      <x:c r="G1906" s="10" t="n">
        <x:v>40</x:v>
      </x:c>
      <x:c r="H1906" s="10" t="n">
        <x:f>IF(F1906="Física",'Pokémon'!G209,IF(F1906="Especial",'Pokémon'!I209,""))</x:f>
        <x:v>70</x:v>
      </x:c>
      <x:c r="I1906" s="10" t="n">
        <x:f>IF(OR(F1906="Status",G1906=0),"",G1906+H1906)</x:f>
        <x:v>110</x:v>
      </x:c>
      <x:c r="J1906" s="10" t="n">
        <x:v>10</x:v>
      </x:c>
      <x:c r="K1906" s="12" t="n">
        <x:v>15</x:v>
      </x:c>
      <x:c r="L1906" s="1" t="str"/>
      <x:c r="M1906" s="9" t="str">
        <x:v>https://poke.idleworld.online/pokepedia/pokemon/dunsparce</x:v>
      </x:c>
    </x:row>
    <x:row r="1907" ht="22" customHeight="1">
      <x:c r="A1907" s="1" t="n">
        <x:v>206</x:v>
      </x:c>
      <x:c r="B1907" s="1" t="str">
        <x:v>Dunsparce</x:v>
      </x:c>
      <x:c r="C1907" s="1" t="n">
        <x:v>2</x:v>
      </x:c>
      <x:c r="D1907" s="1" t="str">
        <x:v>Rollout</x:v>
      </x:c>
      <x:c r="E1907" s="1" t="str">
        <x:v>Pedra</x:v>
      </x:c>
      <x:c r="F1907" s="1" t="str">
        <x:v>Física</x:v>
      </x:c>
      <x:c r="G1907" s="10" t="n">
        <x:v>30</x:v>
      </x:c>
      <x:c r="H1907" s="10" t="n">
        <x:f>IF(F1907="Física",'Pokémon'!G209,IF(F1907="Especial",'Pokémon'!I209,""))</x:f>
        <x:v>70</x:v>
      </x:c>
      <x:c r="I1907" s="10" t="n">
        <x:f>IF(OR(F1907="Status",G1907=0),"",G1907+H1907)</x:f>
        <x:v>100</x:v>
      </x:c>
      <x:c r="J1907" s="10" t="n">
        <x:v>4</x:v>
      </x:c>
      <x:c r="K1907" s="12" t="n">
        <x:v>15</x:v>
      </x:c>
      <x:c r="L1907" s="1" t="str"/>
      <x:c r="M1907" s="9" t="str">
        <x:v>https://poke.idleworld.online/pokepedia/pokemon/dunsparce</x:v>
      </x:c>
    </x:row>
    <x:row r="1908" ht="22" customHeight="1">
      <x:c r="A1908" s="1" t="n">
        <x:v>206</x:v>
      </x:c>
      <x:c r="B1908" s="1" t="str">
        <x:v>Dunsparce</x:v>
      </x:c>
      <x:c r="C1908" s="1" t="n">
        <x:v>1</x:v>
      </x:c>
      <x:c r="D1908" s="1" t="str">
        <x:v>Rage</x:v>
      </x:c>
      <x:c r="E1908" s="1" t="str">
        <x:v>Normal</x:v>
      </x:c>
      <x:c r="F1908" s="1" t="str">
        <x:v>Física</x:v>
      </x:c>
      <x:c r="G1908" s="10" t="n">
        <x:v>20</x:v>
      </x:c>
      <x:c r="H1908" s="10" t="n">
        <x:f>IF(F1908="Física",'Pokémon'!G209,IF(F1908="Especial",'Pokémon'!I209,""))</x:f>
        <x:v>70</x:v>
      </x:c>
      <x:c r="I1908" s="10" t="n">
        <x:f>IF(OR(F1908="Status",G1908=0),"",G1908+H1908)</x:f>
        <x:v>90</x:v>
      </x:c>
      <x:c r="J1908" s="10" t="n">
        <x:v>1</x:v>
      </x:c>
      <x:c r="K1908" s="12" t="n">
        <x:v>15</x:v>
      </x:c>
      <x:c r="L1908" s="1" t="str"/>
      <x:c r="M1908" s="9" t="str">
        <x:v>https://poke.idleworld.online/pokepedia/pokemon/dunsparce</x:v>
      </x:c>
    </x:row>
    <x:row r="1909" ht="22" customHeight="1">
      <x:c r="A1909" s="1" t="n">
        <x:v>207</x:v>
      </x:c>
      <x:c r="B1909" s="1" t="str">
        <x:v>Gligar</x:v>
      </x:c>
      <x:c r="C1909" s="1" t="n">
        <x:v>1</x:v>
      </x:c>
      <x:c r="D1909" s="1" t="str">
        <x:v>Massive Hurricane</x:v>
      </x:c>
      <x:c r="E1909" s="1" t="str">
        <x:v>Voador</x:v>
      </x:c>
      <x:c r="F1909" s="1" t="str">
        <x:v>Física</x:v>
      </x:c>
      <x:c r="G1909" s="10" t="n">
        <x:v>300</x:v>
      </x:c>
      <x:c r="H1909" s="10" t="n">
        <x:f>IF(F1909="Física",'Pokémon'!G210,IF(F1909="Especial",'Pokémon'!I210,""))</x:f>
        <x:v>75</x:v>
      </x:c>
      <x:c r="I1909" s="10" t="n">
        <x:f>IF(OR(F1909="Status",G1909=0),"",G1909+H1909)</x:f>
        <x:v>375</x:v>
      </x:c>
      <x:c r="J1909" s="10" t="n">
        <x:v>1</x:v>
      </x:c>
      <x:c r="K1909" s="12" t="n">
        <x:v>10</x:v>
      </x:c>
      <x:c r="L1909" s="1" t="str">
        <x:v>Sim</x:v>
      </x:c>
      <x:c r="M1909" s="9" t="str">
        <x:v>https://poke.idleworld.online/pokepedia/pokemon/gligar</x:v>
      </x:c>
    </x:row>
    <x:row r="1910" ht="22" customHeight="1">
      <x:c r="A1910" s="1" t="n">
        <x:v>207</x:v>
      </x:c>
      <x:c r="B1910" s="1" t="str">
        <x:v>Gligar</x:v>
      </x:c>
      <x:c r="C1910" s="1" t="n">
        <x:v>2</x:v>
      </x:c>
      <x:c r="D1910" s="1" t="str">
        <x:v>Crossing Fissure</x:v>
      </x:c>
      <x:c r="E1910" s="1" t="str">
        <x:v>Terrestre</x:v>
      </x:c>
      <x:c r="F1910" s="1" t="str">
        <x:v>Física</x:v>
      </x:c>
      <x:c r="G1910" s="10" t="n">
        <x:v>300</x:v>
      </x:c>
      <x:c r="H1910" s="10" t="n">
        <x:f>IF(F1910="Física",'Pokémon'!G210,IF(F1910="Especial",'Pokémon'!I210,""))</x:f>
        <x:v>75</x:v>
      </x:c>
      <x:c r="I1910" s="10" t="n">
        <x:f>IF(OR(F1910="Status",G1910=0),"",G1910+H1910)</x:f>
        <x:v>375</x:v>
      </x:c>
      <x:c r="J1910" s="10" t="n">
        <x:v>1</x:v>
      </x:c>
      <x:c r="K1910" s="12" t="n">
        <x:v>10</x:v>
      </x:c>
      <x:c r="L1910" s="1" t="str">
        <x:v>Sim</x:v>
      </x:c>
      <x:c r="M1910" s="9" t="str">
        <x:v>https://poke.idleworld.online/pokepedia/pokemon/gligar</x:v>
      </x:c>
    </x:row>
    <x:row r="1911" ht="22" customHeight="1">
      <x:c r="A1911" s="1" t="n">
        <x:v>207</x:v>
      </x:c>
      <x:c r="B1911" s="1" t="str">
        <x:v>Gligar</x:v>
      </x:c>
      <x:c r="C1911" s="1" t="n">
        <x:v>12</x:v>
      </x:c>
      <x:c r="D1911" s="1" t="str">
        <x:v>Sky Uppercut</x:v>
      </x:c>
      <x:c r="E1911" s="1" t="str">
        <x:v>Lutador</x:v>
      </x:c>
      <x:c r="F1911" s="1" t="str">
        <x:v>Física</x:v>
      </x:c>
      <x:c r="G1911" s="10" t="n">
        <x:v>85</x:v>
      </x:c>
      <x:c r="H1911" s="10" t="n">
        <x:f>IF(F1911="Física",'Pokémon'!G210,IF(F1911="Especial",'Pokémon'!I210,""))</x:f>
        <x:v>75</x:v>
      </x:c>
      <x:c r="I1911" s="10" t="n">
        <x:f>IF(OR(F1911="Status",G1911=0),"",G1911+H1911)</x:f>
        <x:v>160</x:v>
      </x:c>
      <x:c r="J1911" s="10" t="n">
        <x:v>45</x:v>
      </x:c>
      <x:c r="K1911" s="12" t="n">
        <x:v>22</x:v>
      </x:c>
      <x:c r="L1911" s="1" t="str"/>
      <x:c r="M1911" s="9" t="str">
        <x:v>https://poke.idleworld.online/pokepedia/pokemon/gligar</x:v>
      </x:c>
    </x:row>
    <x:row r="1912" ht="22" customHeight="1">
      <x:c r="A1912" s="1" t="n">
        <x:v>207</x:v>
      </x:c>
      <x:c r="B1912" s="1" t="str">
        <x:v>Gligar</x:v>
      </x:c>
      <x:c r="C1912" s="1" t="n">
        <x:v>11</x:v>
      </x:c>
      <x:c r="D1912" s="1" t="str">
        <x:v>X-Scissor</x:v>
      </x:c>
      <x:c r="E1912" s="1" t="str">
        <x:v>Inseto</x:v>
      </x:c>
      <x:c r="F1912" s="1" t="str">
        <x:v>Física</x:v>
      </x:c>
      <x:c r="G1912" s="10" t="n">
        <x:v>80</x:v>
      </x:c>
      <x:c r="H1912" s="10" t="n">
        <x:f>IF(F1912="Física",'Pokémon'!G210,IF(F1912="Especial",'Pokémon'!I210,""))</x:f>
        <x:v>75</x:v>
      </x:c>
      <x:c r="I1912" s="10" t="n">
        <x:f>IF(OR(F1912="Status",G1912=0),"",G1912+H1912)</x:f>
        <x:v>155</x:v>
      </x:c>
      <x:c r="J1912" s="10" t="n">
        <x:v>40</x:v>
      </x:c>
      <x:c r="K1912" s="12" t="n">
        <x:v>22</x:v>
      </x:c>
      <x:c r="L1912" s="1" t="str"/>
      <x:c r="M1912" s="9" t="str">
        <x:v>https://poke.idleworld.online/pokepedia/pokemon/gligar</x:v>
      </x:c>
    </x:row>
    <x:row r="1913" ht="22" customHeight="1">
      <x:c r="A1913" s="1" t="n">
        <x:v>207</x:v>
      </x:c>
      <x:c r="B1913" s="1" t="str">
        <x:v>Gligar</x:v>
      </x:c>
      <x:c r="C1913" s="1" t="n">
        <x:v>9</x:v>
      </x:c>
      <x:c r="D1913" s="1" t="str">
        <x:v>Slash</x:v>
      </x:c>
      <x:c r="E1913" s="1" t="str">
        <x:v>Normal</x:v>
      </x:c>
      <x:c r="F1913" s="1" t="str">
        <x:v>Física</x:v>
      </x:c>
      <x:c r="G1913" s="10" t="n">
        <x:v>70</x:v>
      </x:c>
      <x:c r="H1913" s="10" t="n">
        <x:f>IF(F1913="Física",'Pokémon'!G210,IF(F1913="Especial",'Pokémon'!I210,""))</x:f>
        <x:v>75</x:v>
      </x:c>
      <x:c r="I1913" s="10" t="n">
        <x:f>IF(OR(F1913="Status",G1913=0),"",G1913+H1913)</x:f>
        <x:v>145</x:v>
      </x:c>
      <x:c r="J1913" s="10" t="n">
        <x:v>27</x:v>
      </x:c>
      <x:c r="K1913" s="12" t="n">
        <x:v>20</x:v>
      </x:c>
      <x:c r="L1913" s="1" t="str"/>
      <x:c r="M1913" s="9" t="str">
        <x:v>https://poke.idleworld.online/pokepedia/pokemon/gligar</x:v>
      </x:c>
    </x:row>
    <x:row r="1914" ht="22" customHeight="1">
      <x:c r="A1914" s="1" t="n">
        <x:v>207</x:v>
      </x:c>
      <x:c r="B1914" s="1" t="str">
        <x:v>Gligar</x:v>
      </x:c>
      <x:c r="C1914" s="1" t="n">
        <x:v>10</x:v>
      </x:c>
      <x:c r="D1914" s="1" t="str">
        <x:v>U-turn</x:v>
      </x:c>
      <x:c r="E1914" s="1" t="str">
        <x:v>Inseto</x:v>
      </x:c>
      <x:c r="F1914" s="1" t="str">
        <x:v>Física</x:v>
      </x:c>
      <x:c r="G1914" s="10" t="n">
        <x:v>70</x:v>
      </x:c>
      <x:c r="H1914" s="10" t="n">
        <x:f>IF(F1914="Física",'Pokémon'!G210,IF(F1914="Especial",'Pokémon'!I210,""))</x:f>
        <x:v>75</x:v>
      </x:c>
      <x:c r="I1914" s="10" t="n">
        <x:f>IF(OR(F1914="Status",G1914=0),"",G1914+H1914)</x:f>
        <x:v>145</x:v>
      </x:c>
      <x:c r="J1914" s="10" t="n">
        <x:v>30</x:v>
      </x:c>
      <x:c r="K1914" s="12" t="n">
        <x:v>20</x:v>
      </x:c>
      <x:c r="L1914" s="1" t="str"/>
      <x:c r="M1914" s="9" t="str">
        <x:v>https://poke.idleworld.online/pokepedia/pokemon/gligar</x:v>
      </x:c>
    </x:row>
    <x:row r="1915" ht="22" customHeight="1">
      <x:c r="A1915" s="1" t="n">
        <x:v>207</x:v>
      </x:c>
      <x:c r="B1915" s="1" t="str">
        <x:v>Gligar</x:v>
      </x:c>
      <x:c r="C1915" s="1" t="n">
        <x:v>4</x:v>
      </x:c>
      <x:c r="D1915" s="1" t="str">
        <x:v>Knock Off</x:v>
      </x:c>
      <x:c r="E1915" s="1" t="str">
        <x:v>Sombrio</x:v>
      </x:c>
      <x:c r="F1915" s="1" t="str">
        <x:v>Física</x:v>
      </x:c>
      <x:c r="G1915" s="10" t="n">
        <x:v>65</x:v>
      </x:c>
      <x:c r="H1915" s="10" t="n">
        <x:f>IF(F1915="Física",'Pokémon'!G210,IF(F1915="Especial",'Pokémon'!I210,""))</x:f>
        <x:v>75</x:v>
      </x:c>
      <x:c r="I1915" s="10" t="n">
        <x:f>IF(OR(F1915="Status",G1915=0),"",G1915+H1915)</x:f>
        <x:v>140</x:v>
      </x:c>
      <x:c r="J1915" s="10" t="n">
        <x:v>10</x:v>
      </x:c>
      <x:c r="K1915" s="12" t="n">
        <x:v>20</x:v>
      </x:c>
      <x:c r="L1915" s="1" t="str"/>
      <x:c r="M1915" s="9" t="str">
        <x:v>https://poke.idleworld.online/pokepedia/pokemon/gligar</x:v>
      </x:c>
    </x:row>
    <x:row r="1916" ht="22" customHeight="1">
      <x:c r="A1916" s="1" t="n">
        <x:v>207</x:v>
      </x:c>
      <x:c r="B1916" s="1" t="str">
        <x:v>Gligar</x:v>
      </x:c>
      <x:c r="C1916" s="1" t="n">
        <x:v>7</x:v>
      </x:c>
      <x:c r="D1916" s="1" t="str">
        <x:v>Feint Attack</x:v>
      </x:c>
      <x:c r="E1916" s="1" t="str">
        <x:v>Sombrio</x:v>
      </x:c>
      <x:c r="F1916" s="1" t="str">
        <x:v>Física</x:v>
      </x:c>
      <x:c r="G1916" s="10" t="n">
        <x:v>60</x:v>
      </x:c>
      <x:c r="H1916" s="10" t="n">
        <x:f>IF(F1916="Física",'Pokémon'!G210,IF(F1916="Especial",'Pokémon'!I210,""))</x:f>
        <x:v>75</x:v>
      </x:c>
      <x:c r="I1916" s="10" t="n">
        <x:f>IF(OR(F1916="Status",G1916=0),"",G1916+H1916)</x:f>
        <x:v>135</x:v>
      </x:c>
      <x:c r="J1916" s="10" t="n">
        <x:v>19</x:v>
      </x:c>
      <x:c r="K1916" s="12" t="n">
        <x:v>20</x:v>
      </x:c>
      <x:c r="L1916" s="1" t="str"/>
      <x:c r="M1916" s="9" t="str">
        <x:v>https://poke.idleworld.online/pokepedia/pokemon/gligar</x:v>
      </x:c>
    </x:row>
    <x:row r="1917" ht="22" customHeight="1">
      <x:c r="A1917" s="1" t="n">
        <x:v>207</x:v>
      </x:c>
      <x:c r="B1917" s="1" t="str">
        <x:v>Gligar</x:v>
      </x:c>
      <x:c r="C1917" s="1" t="n">
        <x:v>8</x:v>
      </x:c>
      <x:c r="D1917" s="1" t="str">
        <x:v>Acrobatics</x:v>
      </x:c>
      <x:c r="E1917" s="1" t="str">
        <x:v>Voador</x:v>
      </x:c>
      <x:c r="F1917" s="1" t="str">
        <x:v>Física</x:v>
      </x:c>
      <x:c r="G1917" s="10" t="n">
        <x:v>55</x:v>
      </x:c>
      <x:c r="H1917" s="10" t="n">
        <x:f>IF(F1917="Física",'Pokémon'!G210,IF(F1917="Especial",'Pokémon'!I210,""))</x:f>
        <x:v>75</x:v>
      </x:c>
      <x:c r="I1917" s="10" t="n">
        <x:f>IF(OR(F1917="Status",G1917=0),"",G1917+H1917)</x:f>
        <x:v>130</x:v>
      </x:c>
      <x:c r="J1917" s="10" t="n">
        <x:v>22</x:v>
      </x:c>
      <x:c r="K1917" s="12" t="n">
        <x:v>20</x:v>
      </x:c>
      <x:c r="L1917" s="1" t="str"/>
      <x:c r="M1917" s="9" t="str">
        <x:v>https://poke.idleworld.online/pokepedia/pokemon/gligar</x:v>
      </x:c>
    </x:row>
    <x:row r="1918" ht="22" customHeight="1">
      <x:c r="A1918" s="1" t="n">
        <x:v>207</x:v>
      </x:c>
      <x:c r="B1918" s="1" t="str">
        <x:v>Gligar</x:v>
      </x:c>
      <x:c r="C1918" s="1" t="n">
        <x:v>5</x:v>
      </x:c>
      <x:c r="D1918" s="1" t="str">
        <x:v>Quick Attack</x:v>
      </x:c>
      <x:c r="E1918" s="1" t="str">
        <x:v>Normal</x:v>
      </x:c>
      <x:c r="F1918" s="1" t="str">
        <x:v>Física</x:v>
      </x:c>
      <x:c r="G1918" s="10" t="n">
        <x:v>40</x:v>
      </x:c>
      <x:c r="H1918" s="10" t="n">
        <x:f>IF(F1918="Física",'Pokémon'!G210,IF(F1918="Especial",'Pokémon'!I210,""))</x:f>
        <x:v>75</x:v>
      </x:c>
      <x:c r="I1918" s="10" t="n">
        <x:f>IF(OR(F1918="Status",G1918=0),"",G1918+H1918)</x:f>
        <x:v>115</x:v>
      </x:c>
      <x:c r="J1918" s="10" t="n">
        <x:v>13</x:v>
      </x:c>
      <x:c r="K1918" s="12" t="n">
        <x:v>15</x:v>
      </x:c>
      <x:c r="L1918" s="1" t="str"/>
      <x:c r="M1918" s="9" t="str">
        <x:v>https://poke.idleworld.online/pokepedia/pokemon/gligar</x:v>
      </x:c>
    </x:row>
    <x:row r="1919" ht="22" customHeight="1">
      <x:c r="A1919" s="1" t="n">
        <x:v>207</x:v>
      </x:c>
      <x:c r="B1919" s="1" t="str">
        <x:v>Gligar</x:v>
      </x:c>
      <x:c r="C1919" s="1" t="n">
        <x:v>6</x:v>
      </x:c>
      <x:c r="D1919" s="1" t="str">
        <x:v>Fury Cutter</x:v>
      </x:c>
      <x:c r="E1919" s="1" t="str">
        <x:v>Inseto</x:v>
      </x:c>
      <x:c r="F1919" s="1" t="str">
        <x:v>Física</x:v>
      </x:c>
      <x:c r="G1919" s="10" t="n">
        <x:v>40</x:v>
      </x:c>
      <x:c r="H1919" s="10" t="n">
        <x:f>IF(F1919="Física",'Pokémon'!G210,IF(F1919="Especial",'Pokémon'!I210,""))</x:f>
        <x:v>75</x:v>
      </x:c>
      <x:c r="I1919" s="10" t="n">
        <x:f>IF(OR(F1919="Status",G1919=0),"",G1919+H1919)</x:f>
        <x:v>115</x:v>
      </x:c>
      <x:c r="J1919" s="10" t="n">
        <x:v>16</x:v>
      </x:c>
      <x:c r="K1919" s="12" t="n">
        <x:v>15</x:v>
      </x:c>
      <x:c r="L1919" s="1" t="str"/>
      <x:c r="M1919" s="9" t="str">
        <x:v>https://poke.idleworld.online/pokepedia/pokemon/gligar</x:v>
      </x:c>
    </x:row>
    <x:row r="1920" ht="22" customHeight="1">
      <x:c r="A1920" s="1" t="n">
        <x:v>207</x:v>
      </x:c>
      <x:c r="B1920" s="1" t="str">
        <x:v>Gligar</x:v>
      </x:c>
      <x:c r="C1920" s="1" t="n">
        <x:v>3</x:v>
      </x:c>
      <x:c r="D1920" s="1" t="str">
        <x:v>Poison Sting</x:v>
      </x:c>
      <x:c r="E1920" s="1" t="str">
        <x:v>Venenoso</x:v>
      </x:c>
      <x:c r="F1920" s="1" t="str">
        <x:v>Física</x:v>
      </x:c>
      <x:c r="G1920" s="10" t="n">
        <x:v>15</x:v>
      </x:c>
      <x:c r="H1920" s="10" t="n">
        <x:f>IF(F1920="Física",'Pokémon'!G210,IF(F1920="Especial",'Pokémon'!I210,""))</x:f>
        <x:v>75</x:v>
      </x:c>
      <x:c r="I1920" s="10" t="n">
        <x:f>IF(OR(F1920="Status",G1920=0),"",G1920+H1920)</x:f>
        <x:v>90</x:v>
      </x:c>
      <x:c r="J1920" s="10" t="n">
        <x:v>1</x:v>
      </x:c>
      <x:c r="K1920" s="12" t="n">
        <x:v>15</x:v>
      </x:c>
      <x:c r="L1920" s="1" t="str"/>
      <x:c r="M1920" s="9" t="str">
        <x:v>https://poke.idleworld.online/pokepedia/pokemon/gligar</x:v>
      </x:c>
    </x:row>
    <x:row r="1921" ht="22" customHeight="1">
      <x:c r="A1921" s="1" t="n">
        <x:v>208</x:v>
      </x:c>
      <x:c r="B1921" s="1" t="str">
        <x:v>Steelix</x:v>
      </x:c>
      <x:c r="C1921" s="1" t="n">
        <x:v>2</x:v>
      </x:c>
      <x:c r="D1921" s="1" t="str">
        <x:v>Crossing Fissure</x:v>
      </x:c>
      <x:c r="E1921" s="1" t="str">
        <x:v>Terrestre</x:v>
      </x:c>
      <x:c r="F1921" s="1" t="str">
        <x:v>Física</x:v>
      </x:c>
      <x:c r="G1921" s="10" t="n">
        <x:v>300</x:v>
      </x:c>
      <x:c r="H1921" s="10" t="n">
        <x:f>IF(F1921="Física",'Pokémon'!G211,IF(F1921="Especial",'Pokémon'!I211,""))</x:f>
        <x:v>85</x:v>
      </x:c>
      <x:c r="I1921" s="10" t="n">
        <x:f>IF(OR(F1921="Status",G1921=0),"",G1921+H1921)</x:f>
        <x:v>385</x:v>
      </x:c>
      <x:c r="J1921" s="10" t="n">
        <x:v>1</x:v>
      </x:c>
      <x:c r="K1921" s="12" t="n">
        <x:v>10</x:v>
      </x:c>
      <x:c r="L1921" s="1" t="str">
        <x:v>Sim</x:v>
      </x:c>
      <x:c r="M1921" s="9" t="str">
        <x:v>https://poke.idleworld.online/pokepedia/pokemon/steelix</x:v>
      </x:c>
    </x:row>
    <x:row r="1922" ht="22" customHeight="1">
      <x:c r="A1922" s="1" t="n">
        <x:v>208</x:v>
      </x:c>
      <x:c r="B1922" s="1" t="str">
        <x:v>Steelix</x:v>
      </x:c>
      <x:c r="C1922" s="1" t="n">
        <x:v>18</x:v>
      </x:c>
      <x:c r="D1922" s="1" t="str">
        <x:v>Double-Edge</x:v>
      </x:c>
      <x:c r="E1922" s="1" t="str">
        <x:v>Normal</x:v>
      </x:c>
      <x:c r="F1922" s="1" t="str">
        <x:v>Física</x:v>
      </x:c>
      <x:c r="G1922" s="10" t="n">
        <x:v>120</x:v>
      </x:c>
      <x:c r="H1922" s="10" t="n">
        <x:f>IF(F1922="Física",'Pokémon'!G211,IF(F1922="Especial",'Pokémon'!I211,""))</x:f>
        <x:v>85</x:v>
      </x:c>
      <x:c r="I1922" s="10" t="n">
        <x:f>IF(OR(F1922="Status",G1922=0),"",G1922+H1922)</x:f>
        <x:v>205</x:v>
      </x:c>
      <x:c r="J1922" s="10" t="n">
        <x:v>49</x:v>
      </x:c>
      <x:c r="K1922" s="12" t="n">
        <x:v>3</x:v>
      </x:c>
      <x:c r="L1922" s="1" t="str"/>
      <x:c r="M1922" s="9" t="str">
        <x:v>https://poke.idleworld.online/pokepedia/pokemon/steelix</x:v>
      </x:c>
    </x:row>
    <x:row r="1923" ht="22" customHeight="1">
      <x:c r="A1923" s="1" t="n">
        <x:v>208</x:v>
      </x:c>
      <x:c r="B1923" s="1" t="str">
        <x:v>Steelix</x:v>
      </x:c>
      <x:c r="C1923" s="1" t="n">
        <x:v>15</x:v>
      </x:c>
      <x:c r="D1923" s="1" t="str">
        <x:v>Iron Tail</x:v>
      </x:c>
      <x:c r="E1923" s="1" t="str">
        <x:v>Aço</x:v>
      </x:c>
      <x:c r="F1923" s="1" t="str">
        <x:v>Física</x:v>
      </x:c>
      <x:c r="G1923" s="10" t="n">
        <x:v>100</x:v>
      </x:c>
      <x:c r="H1923" s="10" t="n">
        <x:f>IF(F1923="Física",'Pokémon'!G211,IF(F1923="Especial",'Pokémon'!I211,""))</x:f>
        <x:v>85</x:v>
      </x:c>
      <x:c r="I1923" s="10" t="n">
        <x:f>IF(OR(F1923="Status",G1923=0),"",G1923+H1923)</x:f>
        <x:v>185</x:v>
      </x:c>
      <x:c r="J1923" s="10" t="n">
        <x:v>40</x:v>
      </x:c>
      <x:c r="K1923" s="12" t="n">
        <x:v>40</x:v>
      </x:c>
      <x:c r="L1923" s="1" t="str"/>
      <x:c r="M1923" s="9" t="str">
        <x:v>https://poke.idleworld.online/pokepedia/pokemon/steelix</x:v>
      </x:c>
    </x:row>
    <x:row r="1924" ht="22" customHeight="1">
      <x:c r="A1924" s="1" t="n">
        <x:v>208</x:v>
      </x:c>
      <x:c r="B1924" s="1" t="str">
        <x:v>Steelix</x:v>
      </x:c>
      <x:c r="C1924" s="1" t="n">
        <x:v>17</x:v>
      </x:c>
      <x:c r="D1924" s="1" t="str">
        <x:v>Stone Edge</x:v>
      </x:c>
      <x:c r="E1924" s="1" t="str">
        <x:v>Pedra</x:v>
      </x:c>
      <x:c r="F1924" s="1" t="str">
        <x:v>Física</x:v>
      </x:c>
      <x:c r="G1924" s="10" t="n">
        <x:v>100</x:v>
      </x:c>
      <x:c r="H1924" s="10" t="n">
        <x:f>IF(F1924="Física",'Pokémon'!G211,IF(F1924="Especial",'Pokémon'!I211,""))</x:f>
        <x:v>85</x:v>
      </x:c>
      <x:c r="I1924" s="10" t="n">
        <x:f>IF(OR(F1924="Status",G1924=0),"",G1924+H1924)</x:f>
        <x:v>185</x:v>
      </x:c>
      <x:c r="J1924" s="10" t="n">
        <x:v>46</x:v>
      </x:c>
      <x:c r="K1924" s="12" t="n">
        <x:v>40</x:v>
      </x:c>
      <x:c r="L1924" s="1" t="str"/>
      <x:c r="M1924" s="9" t="str">
        <x:v>https://poke.idleworld.online/pokepedia/pokemon/steelix</x:v>
      </x:c>
    </x:row>
    <x:row r="1925" ht="22" customHeight="1">
      <x:c r="A1925" s="1" t="n">
        <x:v>208</x:v>
      </x:c>
      <x:c r="B1925" s="1" t="str">
        <x:v>Steelix</x:v>
      </x:c>
      <x:c r="C1925" s="1" t="n">
        <x:v>12</x:v>
      </x:c>
      <x:c r="D1925" s="1" t="str">
        <x:v>Slam</x:v>
      </x:c>
      <x:c r="E1925" s="1" t="str">
        <x:v>Normal</x:v>
      </x:c>
      <x:c r="F1925" s="1" t="str">
        <x:v>Física</x:v>
      </x:c>
      <x:c r="G1925" s="10" t="n">
        <x:v>80</x:v>
      </x:c>
      <x:c r="H1925" s="10" t="n">
        <x:f>IF(F1925="Física",'Pokémon'!G211,IF(F1925="Especial",'Pokémon'!I211,""))</x:f>
        <x:v>85</x:v>
      </x:c>
      <x:c r="I1925" s="10" t="n">
        <x:f>IF(OR(F1925="Status",G1925=0),"",G1925+H1925)</x:f>
        <x:v>165</x:v>
      </x:c>
      <x:c r="J1925" s="10" t="n">
        <x:v>28</x:v>
      </x:c>
      <x:c r="K1925" s="12" t="n">
        <x:v>22</x:v>
      </x:c>
      <x:c r="L1925" s="1" t="str"/>
      <x:c r="M1925" s="9" t="str">
        <x:v>https://poke.idleworld.online/pokepedia/pokemon/steelix</x:v>
      </x:c>
    </x:row>
    <x:row r="1926" ht="22" customHeight="1">
      <x:c r="A1926" s="1" t="n">
        <x:v>208</x:v>
      </x:c>
      <x:c r="B1926" s="1" t="str">
        <x:v>Steelix</x:v>
      </x:c>
      <x:c r="C1926" s="1" t="n">
        <x:v>14</x:v>
      </x:c>
      <x:c r="D1926" s="1" t="str">
        <x:v>Crunch</x:v>
      </x:c>
      <x:c r="E1926" s="1" t="str">
        <x:v>Sombrio</x:v>
      </x:c>
      <x:c r="F1926" s="1" t="str">
        <x:v>Física</x:v>
      </x:c>
      <x:c r="G1926" s="10" t="n">
        <x:v>80</x:v>
      </x:c>
      <x:c r="H1926" s="10" t="n">
        <x:f>IF(F1926="Física",'Pokémon'!G211,IF(F1926="Especial",'Pokémon'!I211,""))</x:f>
        <x:v>85</x:v>
      </x:c>
      <x:c r="I1926" s="10" t="n">
        <x:f>IF(OR(F1926="Status",G1926=0),"",G1926+H1926)</x:f>
        <x:v>165</x:v>
      </x:c>
      <x:c r="J1926" s="10" t="n">
        <x:v>37</x:v>
      </x:c>
      <x:c r="K1926" s="12" t="n">
        <x:v>22</x:v>
      </x:c>
      <x:c r="L1926" s="1" t="str"/>
      <x:c r="M1926" s="9" t="str">
        <x:v>https://poke.idleworld.online/pokepedia/pokemon/steelix</x:v>
      </x:c>
    </x:row>
    <x:row r="1927" ht="22" customHeight="1">
      <x:c r="A1927" s="1" t="n">
        <x:v>208</x:v>
      </x:c>
      <x:c r="B1927" s="1" t="str">
        <x:v>Steelix</x:v>
      </x:c>
      <x:c r="C1927" s="1" t="n">
        <x:v>16</x:v>
      </x:c>
      <x:c r="D1927" s="1" t="str">
        <x:v>Dig</x:v>
      </x:c>
      <x:c r="E1927" s="1" t="str">
        <x:v>Terrestre</x:v>
      </x:c>
      <x:c r="F1927" s="1" t="str">
        <x:v>Física</x:v>
      </x:c>
      <x:c r="G1927" s="10" t="n">
        <x:v>80</x:v>
      </x:c>
      <x:c r="H1927" s="10" t="n">
        <x:f>IF(F1927="Física",'Pokémon'!G211,IF(F1927="Especial",'Pokémon'!I211,""))</x:f>
        <x:v>85</x:v>
      </x:c>
      <x:c r="I1927" s="10" t="n">
        <x:f>IF(OR(F1927="Status",G1927=0),"",G1927+H1927)</x:f>
        <x:v>165</x:v>
      </x:c>
      <x:c r="J1927" s="10" t="n">
        <x:v>43</x:v>
      </x:c>
      <x:c r="K1927" s="12" t="n">
        <x:v>22</x:v>
      </x:c>
      <x:c r="L1927" s="1" t="str"/>
      <x:c r="M1927" s="9" t="str">
        <x:v>https://poke.idleworld.online/pokepedia/pokemon/steelix</x:v>
      </x:c>
    </x:row>
    <x:row r="1928" ht="22" customHeight="1">
      <x:c r="A1928" s="1" t="n">
        <x:v>208</x:v>
      </x:c>
      <x:c r="B1928" s="1" t="str">
        <x:v>Steelix</x:v>
      </x:c>
      <x:c r="C1928" s="1" t="n">
        <x:v>13</x:v>
      </x:c>
      <x:c r="D1928" s="1" t="str">
        <x:v>Rock Slide</x:v>
      </x:c>
      <x:c r="E1928" s="1" t="str">
        <x:v>Pedra</x:v>
      </x:c>
      <x:c r="F1928" s="1" t="str">
        <x:v>Física</x:v>
      </x:c>
      <x:c r="G1928" s="10" t="n">
        <x:v>75</x:v>
      </x:c>
      <x:c r="H1928" s="10" t="n">
        <x:f>IF(F1928="Física",'Pokémon'!G211,IF(F1928="Especial",'Pokémon'!I211,""))</x:f>
        <x:v>85</x:v>
      </x:c>
      <x:c r="I1928" s="10" t="n">
        <x:f>IF(OR(F1928="Status",G1928=0),"",G1928+H1928)</x:f>
        <x:v>160</x:v>
      </x:c>
      <x:c r="J1928" s="10" t="n">
        <x:v>34</x:v>
      </x:c>
      <x:c r="K1928" s="12" t="n">
        <x:v>22</x:v>
      </x:c>
      <x:c r="L1928" s="1" t="str"/>
      <x:c r="M1928" s="9" t="str">
        <x:v>https://poke.idleworld.online/pokepedia/pokemon/steelix</x:v>
      </x:c>
    </x:row>
    <x:row r="1929" ht="22" customHeight="1">
      <x:c r="A1929" s="1" t="n">
        <x:v>208</x:v>
      </x:c>
      <x:c r="B1929" s="1" t="str">
        <x:v>Steelix</x:v>
      </x:c>
      <x:c r="C1929" s="1" t="n">
        <x:v>4</x:v>
      </x:c>
      <x:c r="D1929" s="1" t="str">
        <x:v>Thunder Fang</x:v>
      </x:c>
      <x:c r="E1929" s="1" t="str">
        <x:v>Elétrico</x:v>
      </x:c>
      <x:c r="F1929" s="1" t="str">
        <x:v>Física</x:v>
      </x:c>
      <x:c r="G1929" s="10" t="n">
        <x:v>65</x:v>
      </x:c>
      <x:c r="H1929" s="10" t="n">
        <x:f>IF(F1929="Física",'Pokémon'!G211,IF(F1929="Especial",'Pokémon'!I211,""))</x:f>
        <x:v>85</x:v>
      </x:c>
      <x:c r="I1929" s="10" t="n">
        <x:f>IF(OR(F1929="Status",G1929=0),"",G1929+H1929)</x:f>
        <x:v>150</x:v>
      </x:c>
      <x:c r="J1929" s="10" t="n">
        <x:v>1</x:v>
      </x:c>
      <x:c r="K1929" s="12" t="n">
        <x:v>20</x:v>
      </x:c>
      <x:c r="L1929" s="1" t="str"/>
      <x:c r="M1929" s="9" t="str">
        <x:v>https://poke.idleworld.online/pokepedia/pokemon/steelix</x:v>
      </x:c>
    </x:row>
    <x:row r="1930" ht="22" customHeight="1">
      <x:c r="A1930" s="1" t="n">
        <x:v>208</x:v>
      </x:c>
      <x:c r="B1930" s="1" t="str">
        <x:v>Steelix</x:v>
      </x:c>
      <x:c r="C1930" s="1" t="n">
        <x:v>5</x:v>
      </x:c>
      <x:c r="D1930" s="1" t="str">
        <x:v>Ice Fang</x:v>
      </x:c>
      <x:c r="E1930" s="1" t="str">
        <x:v>Gelo</x:v>
      </x:c>
      <x:c r="F1930" s="1" t="str">
        <x:v>Física</x:v>
      </x:c>
      <x:c r="G1930" s="10" t="n">
        <x:v>65</x:v>
      </x:c>
      <x:c r="H1930" s="10" t="n">
        <x:f>IF(F1930="Física",'Pokémon'!G211,IF(F1930="Especial",'Pokémon'!I211,""))</x:f>
        <x:v>85</x:v>
      </x:c>
      <x:c r="I1930" s="10" t="n">
        <x:f>IF(OR(F1930="Status",G1930=0),"",G1930+H1930)</x:f>
        <x:v>150</x:v>
      </x:c>
      <x:c r="J1930" s="10" t="n">
        <x:v>1</x:v>
      </x:c>
      <x:c r="K1930" s="12" t="n">
        <x:v>20</x:v>
      </x:c>
      <x:c r="L1930" s="1" t="str"/>
      <x:c r="M1930" s="9" t="str">
        <x:v>https://poke.idleworld.online/pokepedia/pokemon/steelix</x:v>
      </x:c>
    </x:row>
    <x:row r="1931" ht="22" customHeight="1">
      <x:c r="A1931" s="1" t="n">
        <x:v>208</x:v>
      </x:c>
      <x:c r="B1931" s="1" t="str">
        <x:v>Steelix</x:v>
      </x:c>
      <x:c r="C1931" s="1" t="n">
        <x:v>6</x:v>
      </x:c>
      <x:c r="D1931" s="1" t="str">
        <x:v>Fire Fang</x:v>
      </x:c>
      <x:c r="E1931" s="1" t="str">
        <x:v>Fogo</x:v>
      </x:c>
      <x:c r="F1931" s="1" t="str">
        <x:v>Física</x:v>
      </x:c>
      <x:c r="G1931" s="10" t="n">
        <x:v>65</x:v>
      </x:c>
      <x:c r="H1931" s="10" t="n">
        <x:f>IF(F1931="Física",'Pokémon'!G211,IF(F1931="Especial",'Pokémon'!I211,""))</x:f>
        <x:v>85</x:v>
      </x:c>
      <x:c r="I1931" s="10" t="n">
        <x:f>IF(OR(F1931="Status",G1931=0),"",G1931+H1931)</x:f>
        <x:v>150</x:v>
      </x:c>
      <x:c r="J1931" s="10" t="n">
        <x:v>1</x:v>
      </x:c>
      <x:c r="K1931" s="12" t="n">
        <x:v>20</x:v>
      </x:c>
      <x:c r="L1931" s="1" t="str"/>
      <x:c r="M1931" s="9" t="str">
        <x:v>https://poke.idleworld.online/pokepedia/pokemon/steelix</x:v>
      </x:c>
    </x:row>
    <x:row r="1932" ht="22" customHeight="1">
      <x:c r="A1932" s="1" t="n">
        <x:v>208</x:v>
      </x:c>
      <x:c r="B1932" s="1" t="str">
        <x:v>Steelix</x:v>
      </x:c>
      <x:c r="C1932" s="1" t="n">
        <x:v>8</x:v>
      </x:c>
      <x:c r="D1932" s="1" t="str">
        <x:v>Rock Tomb</x:v>
      </x:c>
      <x:c r="E1932" s="1" t="str">
        <x:v>Pedra</x:v>
      </x:c>
      <x:c r="F1932" s="1" t="str">
        <x:v>Física</x:v>
      </x:c>
      <x:c r="G1932" s="10" t="n">
        <x:v>60</x:v>
      </x:c>
      <x:c r="H1932" s="10" t="n">
        <x:f>IF(F1932="Física",'Pokémon'!G211,IF(F1932="Especial",'Pokémon'!I211,""))</x:f>
        <x:v>85</x:v>
      </x:c>
      <x:c r="I1932" s="10" t="n">
        <x:f>IF(OR(F1932="Status",G1932=0),"",G1932+H1932)</x:f>
        <x:v>145</x:v>
      </x:c>
      <x:c r="J1932" s="10" t="n">
        <x:v>10</x:v>
      </x:c>
      <x:c r="K1932" s="12" t="n">
        <x:v>20</x:v>
      </x:c>
      <x:c r="L1932" s="1" t="str"/>
      <x:c r="M1932" s="9" t="str">
        <x:v>https://poke.idleworld.online/pokepedia/pokemon/steelix</x:v>
      </x:c>
    </x:row>
    <x:row r="1933" ht="22" customHeight="1">
      <x:c r="A1933" s="1" t="n">
        <x:v>208</x:v>
      </x:c>
      <x:c r="B1933" s="1" t="str">
        <x:v>Steelix</x:v>
      </x:c>
      <x:c r="C1933" s="1" t="n">
        <x:v>1</x:v>
      </x:c>
      <x:c r="D1933" s="1" t="str">
        <x:v>Tackle</x:v>
      </x:c>
      <x:c r="E1933" s="1" t="str">
        <x:v>Normal</x:v>
      </x:c>
      <x:c r="F1933" s="1" t="str">
        <x:v>Física</x:v>
      </x:c>
      <x:c r="G1933" s="10" t="n">
        <x:v>50</x:v>
      </x:c>
      <x:c r="H1933" s="10" t="n">
        <x:f>IF(F1933="Física",'Pokémon'!G211,IF(F1933="Especial",'Pokémon'!I211,""))</x:f>
        <x:v>85</x:v>
      </x:c>
      <x:c r="I1933" s="10" t="n">
        <x:f>IF(OR(F1933="Status",G1933=0),"",G1933+H1933)</x:f>
        <x:v>135</x:v>
      </x:c>
      <x:c r="J1933" s="10" t="n">
        <x:v>1</x:v>
      </x:c>
      <x:c r="K1933" s="12" t="n">
        <x:v>15</x:v>
      </x:c>
      <x:c r="L1933" s="1" t="str"/>
      <x:c r="M1933" s="9" t="str">
        <x:v>https://poke.idleworld.online/pokepedia/pokemon/steelix</x:v>
      </x:c>
    </x:row>
    <x:row r="1934" ht="22" customHeight="1">
      <x:c r="A1934" s="1" t="n">
        <x:v>208</x:v>
      </x:c>
      <x:c r="B1934" s="1" t="str">
        <x:v>Steelix</x:v>
      </x:c>
      <x:c r="C1934" s="1" t="n">
        <x:v>7</x:v>
      </x:c>
      <x:c r="D1934" s="1" t="str">
        <x:v>Rock Throw</x:v>
      </x:c>
      <x:c r="E1934" s="1" t="str">
        <x:v>Pedra</x:v>
      </x:c>
      <x:c r="F1934" s="1" t="str">
        <x:v>Física</x:v>
      </x:c>
      <x:c r="G1934" s="10" t="n">
        <x:v>50</x:v>
      </x:c>
      <x:c r="H1934" s="10" t="n">
        <x:f>IF(F1934="Física",'Pokémon'!G211,IF(F1934="Especial",'Pokémon'!I211,""))</x:f>
        <x:v>85</x:v>
      </x:c>
      <x:c r="I1934" s="10" t="n">
        <x:f>IF(OR(F1934="Status",G1934=0),"",G1934+H1934)</x:f>
        <x:v>135</x:v>
      </x:c>
      <x:c r="J1934" s="10" t="n">
        <x:v>7</x:v>
      </x:c>
      <x:c r="K1934" s="12" t="n">
        <x:v>15</x:v>
      </x:c>
      <x:c r="L1934" s="1" t="str"/>
      <x:c r="M1934" s="9" t="str">
        <x:v>https://poke.idleworld.online/pokepedia/pokemon/steelix</x:v>
      </x:c>
    </x:row>
    <x:row r="1935" ht="22" customHeight="1">
      <x:c r="A1935" s="1" t="n">
        <x:v>208</x:v>
      </x:c>
      <x:c r="B1935" s="1" t="str">
        <x:v>Steelix</x:v>
      </x:c>
      <x:c r="C1935" s="1" t="n">
        <x:v>10</x:v>
      </x:c>
      <x:c r="D1935" s="1" t="str">
        <x:v>Smack Down</x:v>
      </x:c>
      <x:c r="E1935" s="1" t="str">
        <x:v>Pedra</x:v>
      </x:c>
      <x:c r="F1935" s="1" t="str">
        <x:v>Física</x:v>
      </x:c>
      <x:c r="G1935" s="10" t="n">
        <x:v>50</x:v>
      </x:c>
      <x:c r="H1935" s="10" t="n">
        <x:f>IF(F1935="Física",'Pokémon'!G211,IF(F1935="Especial",'Pokémon'!I211,""))</x:f>
        <x:v>85</x:v>
      </x:c>
      <x:c r="I1935" s="10" t="n">
        <x:f>IF(OR(F1935="Status",G1935=0),"",G1935+H1935)</x:f>
        <x:v>135</x:v>
      </x:c>
      <x:c r="J1935" s="10" t="n">
        <x:v>22</x:v>
      </x:c>
      <x:c r="K1935" s="12" t="n">
        <x:v>15</x:v>
      </x:c>
      <x:c r="L1935" s="1" t="str"/>
      <x:c r="M1935" s="9" t="str">
        <x:v>https://poke.idleworld.online/pokepedia/pokemon/steelix</x:v>
      </x:c>
    </x:row>
    <x:row r="1936" ht="22" customHeight="1">
      <x:c r="A1936" s="1" t="n">
        <x:v>208</x:v>
      </x:c>
      <x:c r="B1936" s="1" t="str">
        <x:v>Steelix</x:v>
      </x:c>
      <x:c r="C1936" s="1" t="n">
        <x:v>11</x:v>
      </x:c>
      <x:c r="D1936" s="1" t="str">
        <x:v>Dragon Breath</x:v>
      </x:c>
      <x:c r="E1936" s="1" t="str">
        <x:v>Dragão</x:v>
      </x:c>
      <x:c r="F1936" s="1" t="str">
        <x:v>Especial</x:v>
      </x:c>
      <x:c r="G1936" s="10" t="n">
        <x:v>60</x:v>
      </x:c>
      <x:c r="H1936" s="10" t="n">
        <x:f>IF(F1936="Física",'Pokémon'!G211,IF(F1936="Especial",'Pokémon'!I211,""))</x:f>
        <x:v>55</x:v>
      </x:c>
      <x:c r="I1936" s="10" t="n">
        <x:f>IF(OR(F1936="Status",G1936=0),"",G1936+H1936)</x:f>
        <x:v>115</x:v>
      </x:c>
      <x:c r="J1936" s="10" t="n">
        <x:v>25</x:v>
      </x:c>
      <x:c r="K1936" s="12" t="n">
        <x:v>20</x:v>
      </x:c>
      <x:c r="L1936" s="1" t="str"/>
      <x:c r="M1936" s="9" t="str">
        <x:v>https://poke.idleworld.online/pokepedia/pokemon/steelix</x:v>
      </x:c>
    </x:row>
    <x:row r="1937" ht="22" customHeight="1">
      <x:c r="A1937" s="1" t="n">
        <x:v>208</x:v>
      </x:c>
      <x:c r="B1937" s="1" t="str">
        <x:v>Steelix</x:v>
      </x:c>
      <x:c r="C1937" s="1" t="n">
        <x:v>9</x:v>
      </x:c>
      <x:c r="D1937" s="1" t="str">
        <x:v>Rage</x:v>
      </x:c>
      <x:c r="E1937" s="1" t="str">
        <x:v>Normal</x:v>
      </x:c>
      <x:c r="F1937" s="1" t="str">
        <x:v>Física</x:v>
      </x:c>
      <x:c r="G1937" s="10" t="n">
        <x:v>20</x:v>
      </x:c>
      <x:c r="H1937" s="10" t="n">
        <x:f>IF(F1937="Física",'Pokémon'!G211,IF(F1937="Especial",'Pokémon'!I211,""))</x:f>
        <x:v>85</x:v>
      </x:c>
      <x:c r="I1937" s="10" t="n">
        <x:f>IF(OR(F1937="Status",G1937=0),"",G1937+H1937)</x:f>
        <x:v>105</x:v>
      </x:c>
      <x:c r="J1937" s="10" t="n">
        <x:v>13</x:v>
      </x:c>
      <x:c r="K1937" s="12" t="n">
        <x:v>15</x:v>
      </x:c>
      <x:c r="L1937" s="1" t="str"/>
      <x:c r="M1937" s="9" t="str">
        <x:v>https://poke.idleworld.online/pokepedia/pokemon/steelix</x:v>
      </x:c>
    </x:row>
    <x:row r="1938" ht="22" customHeight="1">
      <x:c r="A1938" s="1" t="n">
        <x:v>208</x:v>
      </x:c>
      <x:c r="B1938" s="1" t="str">
        <x:v>Steelix</x:v>
      </x:c>
      <x:c r="C1938" s="1" t="n">
        <x:v>3</x:v>
      </x:c>
      <x:c r="D1938" s="1" t="str">
        <x:v>Bind</x:v>
      </x:c>
      <x:c r="E1938" s="1" t="str">
        <x:v>Normal</x:v>
      </x:c>
      <x:c r="F1938" s="1" t="str">
        <x:v>Física</x:v>
      </x:c>
      <x:c r="G1938" s="10" t="n">
        <x:v>15</x:v>
      </x:c>
      <x:c r="H1938" s="10" t="n">
        <x:f>IF(F1938="Física",'Pokémon'!G211,IF(F1938="Especial",'Pokémon'!I211,""))</x:f>
        <x:v>85</x:v>
      </x:c>
      <x:c r="I1938" s="10" t="n">
        <x:f>IF(OR(F1938="Status",G1938=0),"",G1938+H1938)</x:f>
        <x:v>100</x:v>
      </x:c>
      <x:c r="J1938" s="10" t="n">
        <x:v>1</x:v>
      </x:c>
      <x:c r="K1938" s="12" t="n">
        <x:v>15</x:v>
      </x:c>
      <x:c r="L1938" s="1" t="str"/>
      <x:c r="M1938" s="9" t="str">
        <x:v>https://poke.idleworld.online/pokepedia/pokemon/steelix</x:v>
      </x:c>
    </x:row>
    <x:row r="1939" ht="22" customHeight="1">
      <x:c r="A1939" s="1" t="n">
        <x:v>209</x:v>
      </x:c>
      <x:c r="B1939" s="1" t="str">
        <x:v>Snubbull</x:v>
      </x:c>
      <x:c r="C1939" s="1" t="n">
        <x:v>9</x:v>
      </x:c>
      <x:c r="D1939" s="1" t="str">
        <x:v>Play Rough</x:v>
      </x:c>
      <x:c r="E1939" s="1" t="str">
        <x:v>Fada</x:v>
      </x:c>
      <x:c r="F1939" s="1" t="str">
        <x:v>Física</x:v>
      </x:c>
      <x:c r="G1939" s="10" t="n">
        <x:v>90</x:v>
      </x:c>
      <x:c r="H1939" s="10" t="n">
        <x:f>IF(F1939="Física",'Pokémon'!G212,IF(F1939="Especial",'Pokémon'!I212,""))</x:f>
        <x:v>80</x:v>
      </x:c>
      <x:c r="I1939" s="10" t="n">
        <x:f>IF(OR(F1939="Status",G1939=0),"",G1939+H1939)</x:f>
        <x:v>170</x:v>
      </x:c>
      <x:c r="J1939" s="10" t="n">
        <x:v>37</x:v>
      </x:c>
      <x:c r="K1939" s="12" t="n">
        <x:v>22</x:v>
      </x:c>
      <x:c r="L1939" s="1" t="str"/>
      <x:c r="M1939" s="9" t="str">
        <x:v>https://poke.idleworld.online/pokepedia/pokemon/snubbull</x:v>
      </x:c>
    </x:row>
    <x:row r="1940" ht="22" customHeight="1">
      <x:c r="A1940" s="1" t="n">
        <x:v>209</x:v>
      </x:c>
      <x:c r="B1940" s="1" t="str">
        <x:v>Snubbull</x:v>
      </x:c>
      <x:c r="C1940" s="1" t="n">
        <x:v>11</x:v>
      </x:c>
      <x:c r="D1940" s="1" t="str">
        <x:v>Crunch</x:v>
      </x:c>
      <x:c r="E1940" s="1" t="str">
        <x:v>Sombrio</x:v>
      </x:c>
      <x:c r="F1940" s="1" t="str">
        <x:v>Física</x:v>
      </x:c>
      <x:c r="G1940" s="10" t="n">
        <x:v>80</x:v>
      </x:c>
      <x:c r="H1940" s="10" t="n">
        <x:f>IF(F1940="Física",'Pokémon'!G212,IF(F1940="Especial",'Pokémon'!I212,""))</x:f>
        <x:v>80</x:v>
      </x:c>
      <x:c r="I1940" s="10" t="n">
        <x:f>IF(OR(F1940="Status",G1940=0),"",G1940+H1940)</x:f>
        <x:v>160</x:v>
      </x:c>
      <x:c r="J1940" s="10" t="n">
        <x:v>49</x:v>
      </x:c>
      <x:c r="K1940" s="12" t="n">
        <x:v>22</x:v>
      </x:c>
      <x:c r="L1940" s="1" t="str"/>
      <x:c r="M1940" s="9" t="str">
        <x:v>https://poke.idleworld.online/pokepedia/pokemon/snubbull</x:v>
      </x:c>
    </x:row>
    <x:row r="1941" ht="22" customHeight="1">
      <x:c r="A1941" s="1" t="n">
        <x:v>209</x:v>
      </x:c>
      <x:c r="B1941" s="1" t="str">
        <x:v>Snubbull</x:v>
      </x:c>
      <x:c r="C1941" s="1" t="n">
        <x:v>7</x:v>
      </x:c>
      <x:c r="D1941" s="1" t="str">
        <x:v>Headbutt</x:v>
      </x:c>
      <x:c r="E1941" s="1" t="str">
        <x:v>Normal</x:v>
      </x:c>
      <x:c r="F1941" s="1" t="str">
        <x:v>Física</x:v>
      </x:c>
      <x:c r="G1941" s="10" t="n">
        <x:v>70</x:v>
      </x:c>
      <x:c r="H1941" s="10" t="n">
        <x:f>IF(F1941="Física",'Pokémon'!G212,IF(F1941="Especial",'Pokémon'!I212,""))</x:f>
        <x:v>80</x:v>
      </x:c>
      <x:c r="I1941" s="10" t="n">
        <x:f>IF(OR(F1941="Status",G1941=0),"",G1941+H1941)</x:f>
        <x:v>150</x:v>
      </x:c>
      <x:c r="J1941" s="10" t="n">
        <x:v>19</x:v>
      </x:c>
      <x:c r="K1941" s="12" t="n">
        <x:v>15</x:v>
      </x:c>
      <x:c r="L1941" s="1" t="str"/>
      <x:c r="M1941" s="9" t="str">
        <x:v>https://poke.idleworld.online/pokepedia/pokemon/snubbull</x:v>
      </x:c>
    </x:row>
    <x:row r="1942" ht="22" customHeight="1">
      <x:c r="A1942" s="1" t="n">
        <x:v>209</x:v>
      </x:c>
      <x:c r="B1942" s="1" t="str">
        <x:v>Snubbull</x:v>
      </x:c>
      <x:c r="C1942" s="1" t="n">
        <x:v>2</x:v>
      </x:c>
      <x:c r="D1942" s="1" t="str">
        <x:v>Thunder Fang</x:v>
      </x:c>
      <x:c r="E1942" s="1" t="str">
        <x:v>Elétrico</x:v>
      </x:c>
      <x:c r="F1942" s="1" t="str">
        <x:v>Física</x:v>
      </x:c>
      <x:c r="G1942" s="10" t="n">
        <x:v>65</x:v>
      </x:c>
      <x:c r="H1942" s="10" t="n">
        <x:f>IF(F1942="Física",'Pokémon'!G212,IF(F1942="Especial",'Pokémon'!I212,""))</x:f>
        <x:v>80</x:v>
      </x:c>
      <x:c r="I1942" s="10" t="n">
        <x:f>IF(OR(F1942="Status",G1942=0),"",G1942+H1942)</x:f>
        <x:v>145</x:v>
      </x:c>
      <x:c r="J1942" s="10" t="n">
        <x:v>1</x:v>
      </x:c>
      <x:c r="K1942" s="12" t="n">
        <x:v>20</x:v>
      </x:c>
      <x:c r="L1942" s="1" t="str"/>
      <x:c r="M1942" s="9" t="str">
        <x:v>https://poke.idleworld.online/pokepedia/pokemon/snubbull</x:v>
      </x:c>
    </x:row>
    <x:row r="1943" ht="22" customHeight="1">
      <x:c r="A1943" s="1" t="n">
        <x:v>209</x:v>
      </x:c>
      <x:c r="B1943" s="1" t="str">
        <x:v>Snubbull</x:v>
      </x:c>
      <x:c r="C1943" s="1" t="n">
        <x:v>3</x:v>
      </x:c>
      <x:c r="D1943" s="1" t="str">
        <x:v>Ice Fang</x:v>
      </x:c>
      <x:c r="E1943" s="1" t="str">
        <x:v>Gelo</x:v>
      </x:c>
      <x:c r="F1943" s="1" t="str">
        <x:v>Física</x:v>
      </x:c>
      <x:c r="G1943" s="10" t="n">
        <x:v>65</x:v>
      </x:c>
      <x:c r="H1943" s="10" t="n">
        <x:f>IF(F1943="Física",'Pokémon'!G212,IF(F1943="Especial",'Pokémon'!I212,""))</x:f>
        <x:v>80</x:v>
      </x:c>
      <x:c r="I1943" s="10" t="n">
        <x:f>IF(OR(F1943="Status",G1943=0),"",G1943+H1943)</x:f>
        <x:v>145</x:v>
      </x:c>
      <x:c r="J1943" s="10" t="n">
        <x:v>1</x:v>
      </x:c>
      <x:c r="K1943" s="12" t="n">
        <x:v>20</x:v>
      </x:c>
      <x:c r="L1943" s="1" t="str"/>
      <x:c r="M1943" s="9" t="str">
        <x:v>https://poke.idleworld.online/pokepedia/pokemon/snubbull</x:v>
      </x:c>
    </x:row>
    <x:row r="1944" ht="22" customHeight="1">
      <x:c r="A1944" s="1" t="n">
        <x:v>209</x:v>
      </x:c>
      <x:c r="B1944" s="1" t="str">
        <x:v>Snubbull</x:v>
      </x:c>
      <x:c r="C1944" s="1" t="n">
        <x:v>4</x:v>
      </x:c>
      <x:c r="D1944" s="1" t="str">
        <x:v>Fire Fang</x:v>
      </x:c>
      <x:c r="E1944" s="1" t="str">
        <x:v>Fogo</x:v>
      </x:c>
      <x:c r="F1944" s="1" t="str">
        <x:v>Física</x:v>
      </x:c>
      <x:c r="G1944" s="10" t="n">
        <x:v>65</x:v>
      </x:c>
      <x:c r="H1944" s="10" t="n">
        <x:f>IF(F1944="Física",'Pokémon'!G212,IF(F1944="Especial",'Pokémon'!I212,""))</x:f>
        <x:v>80</x:v>
      </x:c>
      <x:c r="I1944" s="10" t="n">
        <x:f>IF(OR(F1944="Status",G1944=0),"",G1944+H1944)</x:f>
        <x:v>145</x:v>
      </x:c>
      <x:c r="J1944" s="10" t="n">
        <x:v>1</x:v>
      </x:c>
      <x:c r="K1944" s="12" t="n">
        <x:v>20</x:v>
      </x:c>
      <x:c r="L1944" s="1" t="str"/>
      <x:c r="M1944" s="9" t="str">
        <x:v>https://poke.idleworld.online/pokepedia/pokemon/snubbull</x:v>
      </x:c>
    </x:row>
    <x:row r="1945" ht="22" customHeight="1">
      <x:c r="A1945" s="1" t="n">
        <x:v>209</x:v>
      </x:c>
      <x:c r="B1945" s="1" t="str">
        <x:v>Snubbull</x:v>
      </x:c>
      <x:c r="C1945" s="1" t="n">
        <x:v>5</x:v>
      </x:c>
      <x:c r="D1945" s="1" t="str">
        <x:v>Bite</x:v>
      </x:c>
      <x:c r="E1945" s="1" t="str">
        <x:v>Sombrio</x:v>
      </x:c>
      <x:c r="F1945" s="1" t="str">
        <x:v>Física</x:v>
      </x:c>
      <x:c r="G1945" s="10" t="n">
        <x:v>60</x:v>
      </x:c>
      <x:c r="H1945" s="10" t="n">
        <x:f>IF(F1945="Física",'Pokémon'!G212,IF(F1945="Especial",'Pokémon'!I212,""))</x:f>
        <x:v>80</x:v>
      </x:c>
      <x:c r="I1945" s="10" t="n">
        <x:f>IF(OR(F1945="Status",G1945=0),"",G1945+H1945)</x:f>
        <x:v>140</x:v>
      </x:c>
      <x:c r="J1945" s="10" t="n">
        <x:v>7</x:v>
      </x:c>
      <x:c r="K1945" s="12" t="n">
        <x:v>20</x:v>
      </x:c>
      <x:c r="L1945" s="1" t="str"/>
      <x:c r="M1945" s="9" t="str">
        <x:v>https://poke.idleworld.online/pokepedia/pokemon/snubbull</x:v>
      </x:c>
    </x:row>
    <x:row r="1946" ht="22" customHeight="1">
      <x:c r="A1946" s="1" t="n">
        <x:v>209</x:v>
      </x:c>
      <x:c r="B1946" s="1" t="str">
        <x:v>Snubbull</x:v>
      </x:c>
      <x:c r="C1946" s="1" t="n">
        <x:v>1</x:v>
      </x:c>
      <x:c r="D1946" s="1" t="str">
        <x:v>Tackle</x:v>
      </x:c>
      <x:c r="E1946" s="1" t="str">
        <x:v>Normal</x:v>
      </x:c>
      <x:c r="F1946" s="1" t="str">
        <x:v>Física</x:v>
      </x:c>
      <x:c r="G1946" s="10" t="n">
        <x:v>50</x:v>
      </x:c>
      <x:c r="H1946" s="10" t="n">
        <x:f>IF(F1946="Física",'Pokémon'!G212,IF(F1946="Especial",'Pokémon'!I212,""))</x:f>
        <x:v>80</x:v>
      </x:c>
      <x:c r="I1946" s="10" t="n">
        <x:f>IF(OR(F1946="Status",G1946=0),"",G1946+H1946)</x:f>
        <x:v>130</x:v>
      </x:c>
      <x:c r="J1946" s="10" t="n">
        <x:v>1</x:v>
      </x:c>
      <x:c r="K1946" s="12" t="n">
        <x:v>15</x:v>
      </x:c>
      <x:c r="L1946" s="1" t="str"/>
      <x:c r="M1946" s="9" t="str">
        <x:v>https://poke.idleworld.online/pokepedia/pokemon/snubbull</x:v>
      </x:c>
    </x:row>
    <x:row r="1947" ht="22" customHeight="1">
      <x:c r="A1947" s="1" t="n">
        <x:v>209</x:v>
      </x:c>
      <x:c r="B1947" s="1" t="str">
        <x:v>Snubbull</x:v>
      </x:c>
      <x:c r="C1947" s="1" t="n">
        <x:v>10</x:v>
      </x:c>
      <x:c r="D1947" s="1" t="str">
        <x:v>Payback</x:v>
      </x:c>
      <x:c r="E1947" s="1" t="str">
        <x:v>Sombrio</x:v>
      </x:c>
      <x:c r="F1947" s="1" t="str">
        <x:v>Física</x:v>
      </x:c>
      <x:c r="G1947" s="10" t="n">
        <x:v>50</x:v>
      </x:c>
      <x:c r="H1947" s="10" t="n">
        <x:f>IF(F1947="Física",'Pokémon'!G212,IF(F1947="Especial",'Pokémon'!I212,""))</x:f>
        <x:v>80</x:v>
      </x:c>
      <x:c r="I1947" s="10" t="n">
        <x:f>IF(OR(F1947="Status",G1947=0),"",G1947+H1947)</x:f>
        <x:v>130</x:v>
      </x:c>
      <x:c r="J1947" s="10" t="n">
        <x:v>43</x:v>
      </x:c>
      <x:c r="K1947" s="12" t="n">
        <x:v>15</x:v>
      </x:c>
      <x:c r="L1947" s="1" t="str"/>
      <x:c r="M1947" s="9" t="str">
        <x:v>https://poke.idleworld.online/pokepedia/pokemon/snubbull</x:v>
      </x:c>
    </x:row>
    <x:row r="1948" ht="22" customHeight="1">
      <x:c r="A1948" s="1" t="n">
        <x:v>209</x:v>
      </x:c>
      <x:c r="B1948" s="1" t="str">
        <x:v>Snubbull</x:v>
      </x:c>
      <x:c r="C1948" s="1" t="n">
        <x:v>6</x:v>
      </x:c>
      <x:c r="D1948" s="1" t="str">
        <x:v>Lick</x:v>
      </x:c>
      <x:c r="E1948" s="1" t="str">
        <x:v>Fantasma</x:v>
      </x:c>
      <x:c r="F1948" s="1" t="str">
        <x:v>Física</x:v>
      </x:c>
      <x:c r="G1948" s="10" t="n">
        <x:v>30</x:v>
      </x:c>
      <x:c r="H1948" s="10" t="n">
        <x:f>IF(F1948="Física",'Pokémon'!G212,IF(F1948="Especial",'Pokémon'!I212,""))</x:f>
        <x:v>80</x:v>
      </x:c>
      <x:c r="I1948" s="10" t="n">
        <x:f>IF(OR(F1948="Status",G1948=0),"",G1948+H1948)</x:f>
        <x:v>110</x:v>
      </x:c>
      <x:c r="J1948" s="10" t="n">
        <x:v>13</x:v>
      </x:c>
      <x:c r="K1948" s="12" t="n">
        <x:v>15</x:v>
      </x:c>
      <x:c r="L1948" s="1" t="str"/>
      <x:c r="M1948" s="9" t="str">
        <x:v>https://poke.idleworld.online/pokepedia/pokemon/snubbull</x:v>
      </x:c>
    </x:row>
    <x:row r="1949" ht="22" customHeight="1">
      <x:c r="A1949" s="1" t="n">
        <x:v>209</x:v>
      </x:c>
      <x:c r="B1949" s="1" t="str">
        <x:v>Snubbull</x:v>
      </x:c>
      <x:c r="C1949" s="1" t="n">
        <x:v>8</x:v>
      </x:c>
      <x:c r="D1949" s="1" t="str">
        <x:v>Rage</x:v>
      </x:c>
      <x:c r="E1949" s="1" t="str">
        <x:v>Normal</x:v>
      </x:c>
      <x:c r="F1949" s="1" t="str">
        <x:v>Física</x:v>
      </x:c>
      <x:c r="G1949" s="10" t="n">
        <x:v>20</x:v>
      </x:c>
      <x:c r="H1949" s="10" t="n">
        <x:f>IF(F1949="Física",'Pokémon'!G212,IF(F1949="Especial",'Pokémon'!I212,""))</x:f>
        <x:v>80</x:v>
      </x:c>
      <x:c r="I1949" s="10" t="n">
        <x:f>IF(OR(F1949="Status",G1949=0),"",G1949+H1949)</x:f>
        <x:v>100</x:v>
      </x:c>
      <x:c r="J1949" s="10" t="n">
        <x:v>31</x:v>
      </x:c>
      <x:c r="K1949" s="12" t="n">
        <x:v>15</x:v>
      </x:c>
      <x:c r="L1949" s="1" t="str"/>
      <x:c r="M1949" s="9" t="str">
        <x:v>https://poke.idleworld.online/pokepedia/pokemon/snubbull</x:v>
      </x:c>
    </x:row>
    <x:row r="1950" ht="22" customHeight="1">
      <x:c r="A1950" s="1" t="n">
        <x:v>210</x:v>
      </x:c>
      <x:c r="B1950" s="1" t="str">
        <x:v>Granbull</x:v>
      </x:c>
      <x:c r="C1950" s="1" t="n">
        <x:v>5</x:v>
      </x:c>
      <x:c r="D1950" s="1" t="str">
        <x:v>Outrage</x:v>
      </x:c>
      <x:c r="E1950" s="1" t="str">
        <x:v>Dragão</x:v>
      </x:c>
      <x:c r="F1950" s="1" t="str">
        <x:v>Física</x:v>
      </x:c>
      <x:c r="G1950" s="10" t="n">
        <x:v>120</x:v>
      </x:c>
      <x:c r="H1950" s="10" t="n">
        <x:f>IF(F1950="Física",'Pokémon'!G213,IF(F1950="Especial",'Pokémon'!I213,""))</x:f>
        <x:v>120</x:v>
      </x:c>
      <x:c r="I1950" s="10" t="n">
        <x:f>IF(OR(F1950="Status",G1950=0),"",G1950+H1950)</x:f>
        <x:v>240</x:v>
      </x:c>
      <x:c r="J1950" s="10" t="n">
        <x:v>1</x:v>
      </x:c>
      <x:c r="K1950" s="12" t="n">
        <x:v>50</x:v>
      </x:c>
      <x:c r="L1950" s="1" t="str"/>
      <x:c r="M1950" s="9" t="str">
        <x:v>https://poke.idleworld.online/pokepedia/pokemon/granbull</x:v>
      </x:c>
    </x:row>
    <x:row r="1951" ht="22" customHeight="1">
      <x:c r="A1951" s="1" t="n">
        <x:v>210</x:v>
      </x:c>
      <x:c r="B1951" s="1" t="str">
        <x:v>Granbull</x:v>
      </x:c>
      <x:c r="C1951" s="1" t="n">
        <x:v>10</x:v>
      </x:c>
      <x:c r="D1951" s="1" t="str">
        <x:v>Play Rough</x:v>
      </x:c>
      <x:c r="E1951" s="1" t="str">
        <x:v>Fada</x:v>
      </x:c>
      <x:c r="F1951" s="1" t="str">
        <x:v>Física</x:v>
      </x:c>
      <x:c r="G1951" s="10" t="n">
        <x:v>90</x:v>
      </x:c>
      <x:c r="H1951" s="10" t="n">
        <x:f>IF(F1951="Física",'Pokémon'!G213,IF(F1951="Especial",'Pokémon'!I213,""))</x:f>
        <x:v>120</x:v>
      </x:c>
      <x:c r="I1951" s="10" t="n">
        <x:f>IF(OR(F1951="Status",G1951=0),"",G1951+H1951)</x:f>
        <x:v>210</x:v>
      </x:c>
      <x:c r="J1951" s="10" t="n">
        <x:v>43</x:v>
      </x:c>
      <x:c r="K1951" s="12" t="n">
        <x:v>22</x:v>
      </x:c>
      <x:c r="L1951" s="1" t="str"/>
      <x:c r="M1951" s="9" t="str">
        <x:v>https://poke.idleworld.online/pokepedia/pokemon/granbull</x:v>
      </x:c>
    </x:row>
    <x:row r="1952" ht="22" customHeight="1">
      <x:c r="A1952" s="1" t="n">
        <x:v>210</x:v>
      </x:c>
      <x:c r="B1952" s="1" t="str">
        <x:v>Granbull</x:v>
      </x:c>
      <x:c r="C1952" s="1" t="n">
        <x:v>12</x:v>
      </x:c>
      <x:c r="D1952" s="1" t="str">
        <x:v>Crunch</x:v>
      </x:c>
      <x:c r="E1952" s="1" t="str">
        <x:v>Sombrio</x:v>
      </x:c>
      <x:c r="F1952" s="1" t="str">
        <x:v>Física</x:v>
      </x:c>
      <x:c r="G1952" s="10" t="n">
        <x:v>80</x:v>
      </x:c>
      <x:c r="H1952" s="10" t="n">
        <x:f>IF(F1952="Física",'Pokémon'!G213,IF(F1952="Especial",'Pokémon'!I213,""))</x:f>
        <x:v>120</x:v>
      </x:c>
      <x:c r="I1952" s="10" t="n">
        <x:f>IF(OR(F1952="Status",G1952=0),"",G1952+H1952)</x:f>
        <x:v>200</x:v>
      </x:c>
      <x:c r="J1952" s="10" t="n">
        <x:v>59</x:v>
      </x:c>
      <x:c r="K1952" s="12" t="n">
        <x:v>22</x:v>
      </x:c>
      <x:c r="L1952" s="1" t="str"/>
      <x:c r="M1952" s="9" t="str">
        <x:v>https://poke.idleworld.online/pokepedia/pokemon/granbull</x:v>
      </x:c>
    </x:row>
    <x:row r="1953" ht="22" customHeight="1">
      <x:c r="A1953" s="1" t="n">
        <x:v>210</x:v>
      </x:c>
      <x:c r="B1953" s="1" t="str">
        <x:v>Granbull</x:v>
      </x:c>
      <x:c r="C1953" s="1" t="n">
        <x:v>8</x:v>
      </x:c>
      <x:c r="D1953" s="1" t="str">
        <x:v>Headbutt</x:v>
      </x:c>
      <x:c r="E1953" s="1" t="str">
        <x:v>Normal</x:v>
      </x:c>
      <x:c r="F1953" s="1" t="str">
        <x:v>Física</x:v>
      </x:c>
      <x:c r="G1953" s="10" t="n">
        <x:v>70</x:v>
      </x:c>
      <x:c r="H1953" s="10" t="n">
        <x:f>IF(F1953="Física",'Pokémon'!G213,IF(F1953="Especial",'Pokémon'!I213,""))</x:f>
        <x:v>120</x:v>
      </x:c>
      <x:c r="I1953" s="10" t="n">
        <x:f>IF(OR(F1953="Status",G1953=0),"",G1953+H1953)</x:f>
        <x:v>190</x:v>
      </x:c>
      <x:c r="J1953" s="10" t="n">
        <x:v>19</x:v>
      </x:c>
      <x:c r="K1953" s="12" t="n">
        <x:v>15</x:v>
      </x:c>
      <x:c r="L1953" s="1" t="str"/>
      <x:c r="M1953" s="9" t="str">
        <x:v>https://poke.idleworld.online/pokepedia/pokemon/granbull</x:v>
      </x:c>
    </x:row>
    <x:row r="1954" ht="22" customHeight="1">
      <x:c r="A1954" s="1" t="n">
        <x:v>210</x:v>
      </x:c>
      <x:c r="B1954" s="1" t="str">
        <x:v>Granbull</x:v>
      </x:c>
      <x:c r="C1954" s="1" t="n">
        <x:v>2</x:v>
      </x:c>
      <x:c r="D1954" s="1" t="str">
        <x:v>Thunder Fang</x:v>
      </x:c>
      <x:c r="E1954" s="1" t="str">
        <x:v>Elétrico</x:v>
      </x:c>
      <x:c r="F1954" s="1" t="str">
        <x:v>Física</x:v>
      </x:c>
      <x:c r="G1954" s="10" t="n">
        <x:v>65</x:v>
      </x:c>
      <x:c r="H1954" s="10" t="n">
        <x:f>IF(F1954="Física",'Pokémon'!G213,IF(F1954="Especial",'Pokémon'!I213,""))</x:f>
        <x:v>120</x:v>
      </x:c>
      <x:c r="I1954" s="10" t="n">
        <x:f>IF(OR(F1954="Status",G1954=0),"",G1954+H1954)</x:f>
        <x:v>185</x:v>
      </x:c>
      <x:c r="J1954" s="10" t="n">
        <x:v>1</x:v>
      </x:c>
      <x:c r="K1954" s="12" t="n">
        <x:v>20</x:v>
      </x:c>
      <x:c r="L1954" s="1" t="str"/>
      <x:c r="M1954" s="9" t="str">
        <x:v>https://poke.idleworld.online/pokepedia/pokemon/granbull</x:v>
      </x:c>
    </x:row>
    <x:row r="1955" ht="22" customHeight="1">
      <x:c r="A1955" s="1" t="n">
        <x:v>210</x:v>
      </x:c>
      <x:c r="B1955" s="1" t="str">
        <x:v>Granbull</x:v>
      </x:c>
      <x:c r="C1955" s="1" t="n">
        <x:v>3</x:v>
      </x:c>
      <x:c r="D1955" s="1" t="str">
        <x:v>Ice Fang</x:v>
      </x:c>
      <x:c r="E1955" s="1" t="str">
        <x:v>Gelo</x:v>
      </x:c>
      <x:c r="F1955" s="1" t="str">
        <x:v>Física</x:v>
      </x:c>
      <x:c r="G1955" s="10" t="n">
        <x:v>65</x:v>
      </x:c>
      <x:c r="H1955" s="10" t="n">
        <x:f>IF(F1955="Física",'Pokémon'!G213,IF(F1955="Especial",'Pokémon'!I213,""))</x:f>
        <x:v>120</x:v>
      </x:c>
      <x:c r="I1955" s="10" t="n">
        <x:f>IF(OR(F1955="Status",G1955=0),"",G1955+H1955)</x:f>
        <x:v>185</x:v>
      </x:c>
      <x:c r="J1955" s="10" t="n">
        <x:v>1</x:v>
      </x:c>
      <x:c r="K1955" s="12" t="n">
        <x:v>20</x:v>
      </x:c>
      <x:c r="L1955" s="1" t="str"/>
      <x:c r="M1955" s="9" t="str">
        <x:v>https://poke.idleworld.online/pokepedia/pokemon/granbull</x:v>
      </x:c>
    </x:row>
    <x:row r="1956" ht="22" customHeight="1">
      <x:c r="A1956" s="1" t="n">
        <x:v>210</x:v>
      </x:c>
      <x:c r="B1956" s="1" t="str">
        <x:v>Granbull</x:v>
      </x:c>
      <x:c r="C1956" s="1" t="n">
        <x:v>4</x:v>
      </x:c>
      <x:c r="D1956" s="1" t="str">
        <x:v>Fire Fang</x:v>
      </x:c>
      <x:c r="E1956" s="1" t="str">
        <x:v>Fogo</x:v>
      </x:c>
      <x:c r="F1956" s="1" t="str">
        <x:v>Física</x:v>
      </x:c>
      <x:c r="G1956" s="10" t="n">
        <x:v>65</x:v>
      </x:c>
      <x:c r="H1956" s="10" t="n">
        <x:f>IF(F1956="Física",'Pokémon'!G213,IF(F1956="Especial",'Pokémon'!I213,""))</x:f>
        <x:v>120</x:v>
      </x:c>
      <x:c r="I1956" s="10" t="n">
        <x:f>IF(OR(F1956="Status",G1956=0),"",G1956+H1956)</x:f>
        <x:v>185</x:v>
      </x:c>
      <x:c r="J1956" s="10" t="n">
        <x:v>1</x:v>
      </x:c>
      <x:c r="K1956" s="12" t="n">
        <x:v>20</x:v>
      </x:c>
      <x:c r="L1956" s="1" t="str"/>
      <x:c r="M1956" s="9" t="str">
        <x:v>https://poke.idleworld.online/pokepedia/pokemon/granbull</x:v>
      </x:c>
    </x:row>
    <x:row r="1957" ht="22" customHeight="1">
      <x:c r="A1957" s="1" t="n">
        <x:v>210</x:v>
      </x:c>
      <x:c r="B1957" s="1" t="str">
        <x:v>Granbull</x:v>
      </x:c>
      <x:c r="C1957" s="1" t="n">
        <x:v>6</x:v>
      </x:c>
      <x:c r="D1957" s="1" t="str">
        <x:v>Bite</x:v>
      </x:c>
      <x:c r="E1957" s="1" t="str">
        <x:v>Sombrio</x:v>
      </x:c>
      <x:c r="F1957" s="1" t="str">
        <x:v>Física</x:v>
      </x:c>
      <x:c r="G1957" s="10" t="n">
        <x:v>60</x:v>
      </x:c>
      <x:c r="H1957" s="10" t="n">
        <x:f>IF(F1957="Física",'Pokémon'!G213,IF(F1957="Especial",'Pokémon'!I213,""))</x:f>
        <x:v>120</x:v>
      </x:c>
      <x:c r="I1957" s="10" t="n">
        <x:f>IF(OR(F1957="Status",G1957=0),"",G1957+H1957)</x:f>
        <x:v>180</x:v>
      </x:c>
      <x:c r="J1957" s="10" t="n">
        <x:v>7</x:v>
      </x:c>
      <x:c r="K1957" s="12" t="n">
        <x:v>20</x:v>
      </x:c>
      <x:c r="L1957" s="1" t="str"/>
      <x:c r="M1957" s="9" t="str">
        <x:v>https://poke.idleworld.online/pokepedia/pokemon/granbull</x:v>
      </x:c>
    </x:row>
    <x:row r="1958" ht="22" customHeight="1">
      <x:c r="A1958" s="1" t="n">
        <x:v>210</x:v>
      </x:c>
      <x:c r="B1958" s="1" t="str">
        <x:v>Granbull</x:v>
      </x:c>
      <x:c r="C1958" s="1" t="n">
        <x:v>1</x:v>
      </x:c>
      <x:c r="D1958" s="1" t="str">
        <x:v>Tackle</x:v>
      </x:c>
      <x:c r="E1958" s="1" t="str">
        <x:v>Normal</x:v>
      </x:c>
      <x:c r="F1958" s="1" t="str">
        <x:v>Física</x:v>
      </x:c>
      <x:c r="G1958" s="10" t="n">
        <x:v>50</x:v>
      </x:c>
      <x:c r="H1958" s="10" t="n">
        <x:f>IF(F1958="Física",'Pokémon'!G213,IF(F1958="Especial",'Pokémon'!I213,""))</x:f>
        <x:v>120</x:v>
      </x:c>
      <x:c r="I1958" s="10" t="n">
        <x:f>IF(OR(F1958="Status",G1958=0),"",G1958+H1958)</x:f>
        <x:v>170</x:v>
      </x:c>
      <x:c r="J1958" s="10" t="n">
        <x:v>1</x:v>
      </x:c>
      <x:c r="K1958" s="12" t="n">
        <x:v>15</x:v>
      </x:c>
      <x:c r="L1958" s="1" t="str"/>
      <x:c r="M1958" s="9" t="str">
        <x:v>https://poke.idleworld.online/pokepedia/pokemon/granbull</x:v>
      </x:c>
    </x:row>
    <x:row r="1959" ht="22" customHeight="1">
      <x:c r="A1959" s="1" t="n">
        <x:v>210</x:v>
      </x:c>
      <x:c r="B1959" s="1" t="str">
        <x:v>Granbull</x:v>
      </x:c>
      <x:c r="C1959" s="1" t="n">
        <x:v>11</x:v>
      </x:c>
      <x:c r="D1959" s="1" t="str">
        <x:v>Payback</x:v>
      </x:c>
      <x:c r="E1959" s="1" t="str">
        <x:v>Sombrio</x:v>
      </x:c>
      <x:c r="F1959" s="1" t="str">
        <x:v>Física</x:v>
      </x:c>
      <x:c r="G1959" s="10" t="n">
        <x:v>50</x:v>
      </x:c>
      <x:c r="H1959" s="10" t="n">
        <x:f>IF(F1959="Física",'Pokémon'!G213,IF(F1959="Especial",'Pokémon'!I213,""))</x:f>
        <x:v>120</x:v>
      </x:c>
      <x:c r="I1959" s="10" t="n">
        <x:f>IF(OR(F1959="Status",G1959=0),"",G1959+H1959)</x:f>
        <x:v>170</x:v>
      </x:c>
      <x:c r="J1959" s="10" t="n">
        <x:v>51</x:v>
      </x:c>
      <x:c r="K1959" s="12" t="n">
        <x:v>15</x:v>
      </x:c>
      <x:c r="L1959" s="1" t="str"/>
      <x:c r="M1959" s="9" t="str">
        <x:v>https://poke.idleworld.online/pokepedia/pokemon/granbull</x:v>
      </x:c>
    </x:row>
    <x:row r="1960" ht="22" customHeight="1">
      <x:c r="A1960" s="1" t="n">
        <x:v>210</x:v>
      </x:c>
      <x:c r="B1960" s="1" t="str">
        <x:v>Granbull</x:v>
      </x:c>
      <x:c r="C1960" s="1" t="n">
        <x:v>7</x:v>
      </x:c>
      <x:c r="D1960" s="1" t="str">
        <x:v>Lick</x:v>
      </x:c>
      <x:c r="E1960" s="1" t="str">
        <x:v>Fantasma</x:v>
      </x:c>
      <x:c r="F1960" s="1" t="str">
        <x:v>Física</x:v>
      </x:c>
      <x:c r="G1960" s="10" t="n">
        <x:v>30</x:v>
      </x:c>
      <x:c r="H1960" s="10" t="n">
        <x:f>IF(F1960="Física",'Pokémon'!G213,IF(F1960="Especial",'Pokémon'!I213,""))</x:f>
        <x:v>120</x:v>
      </x:c>
      <x:c r="I1960" s="10" t="n">
        <x:f>IF(OR(F1960="Status",G1960=0),"",G1960+H1960)</x:f>
        <x:v>150</x:v>
      </x:c>
      <x:c r="J1960" s="10" t="n">
        <x:v>13</x:v>
      </x:c>
      <x:c r="K1960" s="12" t="n">
        <x:v>15</x:v>
      </x:c>
      <x:c r="L1960" s="1" t="str"/>
      <x:c r="M1960" s="9" t="str">
        <x:v>https://poke.idleworld.online/pokepedia/pokemon/granbull</x:v>
      </x:c>
    </x:row>
    <x:row r="1961" ht="22" customHeight="1">
      <x:c r="A1961" s="1" t="n">
        <x:v>210</x:v>
      </x:c>
      <x:c r="B1961" s="1" t="str">
        <x:v>Granbull</x:v>
      </x:c>
      <x:c r="C1961" s="1" t="n">
        <x:v>9</x:v>
      </x:c>
      <x:c r="D1961" s="1" t="str">
        <x:v>Rage</x:v>
      </x:c>
      <x:c r="E1961" s="1" t="str">
        <x:v>Normal</x:v>
      </x:c>
      <x:c r="F1961" s="1" t="str">
        <x:v>Física</x:v>
      </x:c>
      <x:c r="G1961" s="10" t="n">
        <x:v>20</x:v>
      </x:c>
      <x:c r="H1961" s="10" t="n">
        <x:f>IF(F1961="Física",'Pokémon'!G213,IF(F1961="Especial",'Pokémon'!I213,""))</x:f>
        <x:v>120</x:v>
      </x:c>
      <x:c r="I1961" s="10" t="n">
        <x:f>IF(OR(F1961="Status",G1961=0),"",G1961+H1961)</x:f>
        <x:v>140</x:v>
      </x:c>
      <x:c r="J1961" s="10" t="n">
        <x:v>35</x:v>
      </x:c>
      <x:c r="K1961" s="12" t="n">
        <x:v>15</x:v>
      </x:c>
      <x:c r="L1961" s="1" t="str"/>
      <x:c r="M1961" s="9" t="str">
        <x:v>https://poke.idleworld.online/pokepedia/pokemon/granbull</x:v>
      </x:c>
    </x:row>
    <x:row r="1962" ht="22" customHeight="1">
      <x:c r="A1962" s="1" t="n">
        <x:v>211</x:v>
      </x:c>
      <x:c r="B1962" s="1" t="str">
        <x:v>Qwilfish</x:v>
      </x:c>
      <x:c r="C1962" s="1" t="n">
        <x:v>4</x:v>
      </x:c>
      <x:c r="D1962" s="1" t="str">
        <x:v>Cyclonic Tide</x:v>
      </x:c>
      <x:c r="E1962" s="1" t="str">
        <x:v>Água</x:v>
      </x:c>
      <x:c r="F1962" s="1" t="str">
        <x:v>Especial</x:v>
      </x:c>
      <x:c r="G1962" s="10" t="n">
        <x:v>300</x:v>
      </x:c>
      <x:c r="H1962" s="10" t="n">
        <x:f>IF(F1962="Física",'Pokémon'!G214,IF(F1962="Especial",'Pokémon'!I214,""))</x:f>
        <x:v>55</x:v>
      </x:c>
      <x:c r="I1962" s="10" t="n">
        <x:f>IF(OR(F1962="Status",G1962=0),"",G1962+H1962)</x:f>
        <x:v>355</x:v>
      </x:c>
      <x:c r="J1962" s="10" t="n">
        <x:v>1</x:v>
      </x:c>
      <x:c r="K1962" s="12" t="n">
        <x:v>10</x:v>
      </x:c>
      <x:c r="L1962" s="1" t="str">
        <x:v>Sim</x:v>
      </x:c>
      <x:c r="M1962" s="9" t="str">
        <x:v>https://poke.idleworld.online/pokepedia/pokemon/qwilfish</x:v>
      </x:c>
    </x:row>
    <x:row r="1963" ht="22" customHeight="1">
      <x:c r="A1963" s="1" t="n">
        <x:v>211</x:v>
      </x:c>
      <x:c r="B1963" s="1" t="str">
        <x:v>Qwilfish</x:v>
      </x:c>
      <x:c r="C1963" s="1" t="n">
        <x:v>12</x:v>
      </x:c>
      <x:c r="D1963" s="1" t="str">
        <x:v>Take Down</x:v>
      </x:c>
      <x:c r="E1963" s="1" t="str">
        <x:v>Normal</x:v>
      </x:c>
      <x:c r="F1963" s="1" t="str">
        <x:v>Física</x:v>
      </x:c>
      <x:c r="G1963" s="10" t="n">
        <x:v>90</x:v>
      </x:c>
      <x:c r="H1963" s="10" t="n">
        <x:f>IF(F1963="Física",'Pokémon'!G214,IF(F1963="Especial",'Pokémon'!I214,""))</x:f>
        <x:v>95</x:v>
      </x:c>
      <x:c r="I1963" s="10" t="n">
        <x:f>IF(OR(F1963="Status",G1963=0),"",G1963+H1963)</x:f>
        <x:v>185</x:v>
      </x:c>
      <x:c r="J1963" s="10" t="n">
        <x:v>41</x:v>
      </x:c>
      <x:c r="K1963" s="12" t="n">
        <x:v>22</x:v>
      </x:c>
      <x:c r="L1963" s="1" t="str"/>
      <x:c r="M1963" s="9" t="str">
        <x:v>https://poke.idleworld.online/pokepedia/pokemon/qwilfish</x:v>
      </x:c>
    </x:row>
    <x:row r="1964" ht="22" customHeight="1">
      <x:c r="A1964" s="1" t="n">
        <x:v>211</x:v>
      </x:c>
      <x:c r="B1964" s="1" t="str">
        <x:v>Qwilfish</x:v>
      </x:c>
      <x:c r="C1964" s="1" t="n">
        <x:v>13</x:v>
      </x:c>
      <x:c r="D1964" s="1" t="str">
        <x:v>Aqua Tail</x:v>
      </x:c>
      <x:c r="E1964" s="1" t="str">
        <x:v>Água</x:v>
      </x:c>
      <x:c r="F1964" s="1" t="str">
        <x:v>Física</x:v>
      </x:c>
      <x:c r="G1964" s="10" t="n">
        <x:v>90</x:v>
      </x:c>
      <x:c r="H1964" s="10" t="n">
        <x:f>IF(F1964="Física",'Pokémon'!G214,IF(F1964="Especial",'Pokémon'!I214,""))</x:f>
        <x:v>95</x:v>
      </x:c>
      <x:c r="I1964" s="10" t="n">
        <x:f>IF(OR(F1964="Status",G1964=0),"",G1964+H1964)</x:f>
        <x:v>185</x:v>
      </x:c>
      <x:c r="J1964" s="10" t="n">
        <x:v>45</x:v>
      </x:c>
      <x:c r="K1964" s="12" t="n">
        <x:v>22</x:v>
      </x:c>
      <x:c r="L1964" s="1" t="str"/>
      <x:c r="M1964" s="9" t="str">
        <x:v>https://poke.idleworld.online/pokepedia/pokemon/qwilfish</x:v>
      </x:c>
    </x:row>
    <x:row r="1965" ht="22" customHeight="1">
      <x:c r="A1965" s="1" t="n">
        <x:v>211</x:v>
      </x:c>
      <x:c r="B1965" s="1" t="str">
        <x:v>Qwilfish</x:v>
      </x:c>
      <x:c r="C1965" s="1" t="n">
        <x:v>14</x:v>
      </x:c>
      <x:c r="D1965" s="1" t="str">
        <x:v>Poison Jab</x:v>
      </x:c>
      <x:c r="E1965" s="1" t="str">
        <x:v>Venenoso</x:v>
      </x:c>
      <x:c r="F1965" s="1" t="str">
        <x:v>Física</x:v>
      </x:c>
      <x:c r="G1965" s="10" t="n">
        <x:v>80</x:v>
      </x:c>
      <x:c r="H1965" s="10" t="n">
        <x:f>IF(F1965="Física",'Pokémon'!G214,IF(F1965="Especial",'Pokémon'!I214,""))</x:f>
        <x:v>95</x:v>
      </x:c>
      <x:c r="I1965" s="10" t="n">
        <x:f>IF(OR(F1965="Status",G1965=0),"",G1965+H1965)</x:f>
        <x:v>175</x:v>
      </x:c>
      <x:c r="J1965" s="10" t="n">
        <x:v>49</x:v>
      </x:c>
      <x:c r="K1965" s="12" t="n">
        <x:v>22</x:v>
      </x:c>
      <x:c r="L1965" s="1" t="str"/>
      <x:c r="M1965" s="9" t="str">
        <x:v>https://poke.idleworld.online/pokepedia/pokemon/qwilfish</x:v>
      </x:c>
    </x:row>
    <x:row r="1966" ht="22" customHeight="1">
      <x:c r="A1966" s="1" t="n">
        <x:v>211</x:v>
      </x:c>
      <x:c r="B1966" s="1" t="str">
        <x:v>Qwilfish</x:v>
      </x:c>
      <x:c r="C1966" s="1" t="n">
        <x:v>6</x:v>
      </x:c>
      <x:c r="D1966" s="1" t="str">
        <x:v>Hydro Pump</x:v>
      </x:c>
      <x:c r="E1966" s="1" t="str">
        <x:v>Água</x:v>
      </x:c>
      <x:c r="F1966" s="1" t="str">
        <x:v>Especial</x:v>
      </x:c>
      <x:c r="G1966" s="10" t="n">
        <x:v>110</x:v>
      </x:c>
      <x:c r="H1966" s="10" t="n">
        <x:f>IF(F1966="Física",'Pokémon'!G214,IF(F1966="Especial",'Pokémon'!I214,""))</x:f>
        <x:v>55</x:v>
      </x:c>
      <x:c r="I1966" s="10" t="n">
        <x:f>IF(OR(F1966="Status",G1966=0),"",G1966+H1966)</x:f>
        <x:v>165</x:v>
      </x:c>
      <x:c r="J1966" s="10" t="n">
        <x:v>1</x:v>
      </x:c>
      <x:c r="K1966" s="12" t="n">
        <x:v>40</x:v>
      </x:c>
      <x:c r="L1966" s="1" t="str"/>
      <x:c r="M1966" s="9" t="str">
        <x:v>https://poke.idleworld.online/pokepedia/pokemon/qwilfish</x:v>
      </x:c>
    </x:row>
    <x:row r="1967" ht="22" customHeight="1">
      <x:c r="A1967" s="1" t="n">
        <x:v>211</x:v>
      </x:c>
      <x:c r="B1967" s="1" t="str">
        <x:v>Qwilfish</x:v>
      </x:c>
      <x:c r="C1967" s="1" t="n">
        <x:v>9</x:v>
      </x:c>
      <x:c r="D1967" s="1" t="str">
        <x:v>Revenge</x:v>
      </x:c>
      <x:c r="E1967" s="1" t="str">
        <x:v>Lutador</x:v>
      </x:c>
      <x:c r="F1967" s="1" t="str">
        <x:v>Física</x:v>
      </x:c>
      <x:c r="G1967" s="10" t="n">
        <x:v>60</x:v>
      </x:c>
      <x:c r="H1967" s="10" t="n">
        <x:f>IF(F1967="Física",'Pokémon'!G214,IF(F1967="Especial",'Pokémon'!I214,""))</x:f>
        <x:v>95</x:v>
      </x:c>
      <x:c r="I1967" s="10" t="n">
        <x:f>IF(OR(F1967="Status",G1967=0),"",G1967+H1967)</x:f>
        <x:v>155</x:v>
      </x:c>
      <x:c r="J1967" s="10" t="n">
        <x:v>29</x:v>
      </x:c>
      <x:c r="K1967" s="12" t="n">
        <x:v>20</x:v>
      </x:c>
      <x:c r="L1967" s="1" t="str"/>
      <x:c r="M1967" s="9" t="str">
        <x:v>https://poke.idleworld.online/pokepedia/pokemon/qwilfish</x:v>
      </x:c>
    </x:row>
    <x:row r="1968" ht="22" customHeight="1">
      <x:c r="A1968" s="1" t="n">
        <x:v>211</x:v>
      </x:c>
      <x:c r="B1968" s="1" t="str">
        <x:v>Qwilfish</x:v>
      </x:c>
      <x:c r="C1968" s="1" t="n">
        <x:v>3</x:v>
      </x:c>
      <x:c r="D1968" s="1" t="str">
        <x:v>Tackle</x:v>
      </x:c>
      <x:c r="E1968" s="1" t="str">
        <x:v>Normal</x:v>
      </x:c>
      <x:c r="F1968" s="1" t="str">
        <x:v>Física</x:v>
      </x:c>
      <x:c r="G1968" s="10" t="n">
        <x:v>50</x:v>
      </x:c>
      <x:c r="H1968" s="10" t="n">
        <x:f>IF(F1968="Física",'Pokémon'!G214,IF(F1968="Especial",'Pokémon'!I214,""))</x:f>
        <x:v>95</x:v>
      </x:c>
      <x:c r="I1968" s="10" t="n">
        <x:f>IF(OR(F1968="Status",G1968=0),"",G1968+H1968)</x:f>
        <x:v>145</x:v>
      </x:c>
      <x:c r="J1968" s="10" t="n">
        <x:v>1</x:v>
      </x:c>
      <x:c r="K1968" s="12" t="n">
        <x:v>15</x:v>
      </x:c>
      <x:c r="L1968" s="1" t="str"/>
      <x:c r="M1968" s="9" t="str">
        <x:v>https://poke.idleworld.online/pokepedia/pokemon/qwilfish</x:v>
      </x:c>
    </x:row>
    <x:row r="1969" ht="22" customHeight="1">
      <x:c r="A1969" s="1" t="n">
        <x:v>211</x:v>
      </x:c>
      <x:c r="B1969" s="1" t="str">
        <x:v>Qwilfish</x:v>
      </x:c>
      <x:c r="C1969" s="1" t="n">
        <x:v>5</x:v>
      </x:c>
      <x:c r="D1969" s="1" t="str">
        <x:v>Fell Stinger</x:v>
      </x:c>
      <x:c r="E1969" s="1" t="str">
        <x:v>Inseto</x:v>
      </x:c>
      <x:c r="F1969" s="1" t="str">
        <x:v>Física</x:v>
      </x:c>
      <x:c r="G1969" s="10" t="n">
        <x:v>30</x:v>
      </x:c>
      <x:c r="H1969" s="10" t="n">
        <x:f>IF(F1969="Física",'Pokémon'!G214,IF(F1969="Especial",'Pokémon'!I214,""))</x:f>
        <x:v>95</x:v>
      </x:c>
      <x:c r="I1969" s="10" t="n">
        <x:f>IF(OR(F1969="Status",G1969=0),"",G1969+H1969)</x:f>
        <x:v>125</x:v>
      </x:c>
      <x:c r="J1969" s="10" t="n">
        <x:v>1</x:v>
      </x:c>
      <x:c r="K1969" s="12" t="n">
        <x:v>15</x:v>
      </x:c>
      <x:c r="L1969" s="1" t="str"/>
      <x:c r="M1969" s="9" t="str">
        <x:v>https://poke.idleworld.online/pokepedia/pokemon/qwilfish</x:v>
      </x:c>
    </x:row>
    <x:row r="1970" ht="22" customHeight="1">
      <x:c r="A1970" s="1" t="n">
        <x:v>211</x:v>
      </x:c>
      <x:c r="B1970" s="1" t="str">
        <x:v>Qwilfish</x:v>
      </x:c>
      <x:c r="C1970" s="1" t="n">
        <x:v>8</x:v>
      </x:c>
      <x:c r="D1970" s="1" t="str">
        <x:v>Rollout</x:v>
      </x:c>
      <x:c r="E1970" s="1" t="str">
        <x:v>Pedra</x:v>
      </x:c>
      <x:c r="F1970" s="1" t="str">
        <x:v>Física</x:v>
      </x:c>
      <x:c r="G1970" s="10" t="n">
        <x:v>30</x:v>
      </x:c>
      <x:c r="H1970" s="10" t="n">
        <x:f>IF(F1970="Física",'Pokémon'!G214,IF(F1970="Especial",'Pokémon'!I214,""))</x:f>
        <x:v>95</x:v>
      </x:c>
      <x:c r="I1970" s="10" t="n">
        <x:f>IF(OR(F1970="Status",G1970=0),"",G1970+H1970)</x:f>
        <x:v>125</x:v>
      </x:c>
      <x:c r="J1970" s="10" t="n">
        <x:v>17</x:v>
      </x:c>
      <x:c r="K1970" s="12" t="n">
        <x:v>15</x:v>
      </x:c>
      <x:c r="L1970" s="1" t="str"/>
      <x:c r="M1970" s="9" t="str">
        <x:v>https://poke.idleworld.online/pokepedia/pokemon/qwilfish</x:v>
      </x:c>
    </x:row>
    <x:row r="1971" ht="22" customHeight="1">
      <x:c r="A1971" s="1" t="n">
        <x:v>211</x:v>
      </x:c>
      <x:c r="B1971" s="1" t="str">
        <x:v>Qwilfish</x:v>
      </x:c>
      <x:c r="C1971" s="1" t="n">
        <x:v>10</x:v>
      </x:c>
      <x:c r="D1971" s="1" t="str">
        <x:v>Brine</x:v>
      </x:c>
      <x:c r="E1971" s="1" t="str">
        <x:v>Água</x:v>
      </x:c>
      <x:c r="F1971" s="1" t="str">
        <x:v>Especial</x:v>
      </x:c>
      <x:c r="G1971" s="10" t="n">
        <x:v>65</x:v>
      </x:c>
      <x:c r="H1971" s="10" t="n">
        <x:f>IF(F1971="Física",'Pokémon'!G214,IF(F1971="Especial",'Pokémon'!I214,""))</x:f>
        <x:v>55</x:v>
      </x:c>
      <x:c r="I1971" s="10" t="n">
        <x:f>IF(OR(F1971="Status",G1971=0),"",G1971+H1971)</x:f>
        <x:v>120</x:v>
      </x:c>
      <x:c r="J1971" s="10" t="n">
        <x:v>33</x:v>
      </x:c>
      <x:c r="K1971" s="12" t="n">
        <x:v>20</x:v>
      </x:c>
      <x:c r="L1971" s="1" t="str"/>
      <x:c r="M1971" s="9" t="str">
        <x:v>https://poke.idleworld.online/pokepedia/pokemon/qwilfish</x:v>
      </x:c>
    </x:row>
    <x:row r="1972" ht="22" customHeight="1">
      <x:c r="A1972" s="1" t="n">
        <x:v>211</x:v>
      </x:c>
      <x:c r="B1972" s="1" t="str">
        <x:v>Qwilfish</x:v>
      </x:c>
      <x:c r="C1972" s="1" t="n">
        <x:v>11</x:v>
      </x:c>
      <x:c r="D1972" s="1" t="str">
        <x:v>Pin Missile</x:v>
      </x:c>
      <x:c r="E1972" s="1" t="str">
        <x:v>Inseto</x:v>
      </x:c>
      <x:c r="F1972" s="1" t="str">
        <x:v>Física</x:v>
      </x:c>
      <x:c r="G1972" s="10" t="n">
        <x:v>25</x:v>
      </x:c>
      <x:c r="H1972" s="10" t="n">
        <x:f>IF(F1972="Física",'Pokémon'!G214,IF(F1972="Especial",'Pokémon'!I214,""))</x:f>
        <x:v>95</x:v>
      </x:c>
      <x:c r="I1972" s="10" t="n">
        <x:f>IF(OR(F1972="Status",G1972=0),"",G1972+H1972)</x:f>
        <x:v>120</x:v>
      </x:c>
      <x:c r="J1972" s="10" t="n">
        <x:v>37</x:v>
      </x:c>
      <x:c r="K1972" s="12" t="n">
        <x:v>15</x:v>
      </x:c>
      <x:c r="L1972" s="1" t="str"/>
      <x:c r="M1972" s="9" t="str">
        <x:v>https://poke.idleworld.online/pokepedia/pokemon/qwilfish</x:v>
      </x:c>
    </x:row>
    <x:row r="1973" ht="22" customHeight="1">
      <x:c r="A1973" s="1" t="n">
        <x:v>211</x:v>
      </x:c>
      <x:c r="B1973" s="1" t="str">
        <x:v>Qwilfish</x:v>
      </x:c>
      <x:c r="C1973" s="1" t="n">
        <x:v>2</x:v>
      </x:c>
      <x:c r="D1973" s="1" t="str">
        <x:v>Poison Sting</x:v>
      </x:c>
      <x:c r="E1973" s="1" t="str">
        <x:v>Venenoso</x:v>
      </x:c>
      <x:c r="F1973" s="1" t="str">
        <x:v>Física</x:v>
      </x:c>
      <x:c r="G1973" s="10" t="n">
        <x:v>15</x:v>
      </x:c>
      <x:c r="H1973" s="10" t="n">
        <x:f>IF(F1973="Física",'Pokémon'!G214,IF(F1973="Especial",'Pokémon'!I214,""))</x:f>
        <x:v>95</x:v>
      </x:c>
      <x:c r="I1973" s="10" t="n">
        <x:f>IF(OR(F1973="Status",G1973=0),"",G1973+H1973)</x:f>
        <x:v>110</x:v>
      </x:c>
      <x:c r="J1973" s="10" t="n">
        <x:v>1</x:v>
      </x:c>
      <x:c r="K1973" s="12" t="n">
        <x:v>10</x:v>
      </x:c>
      <x:c r="L1973" s="1" t="str"/>
      <x:c r="M1973" s="9" t="str">
        <x:v>https://poke.idleworld.online/pokepedia/pokemon/qwilfish</x:v>
      </x:c>
    </x:row>
    <x:row r="1974" ht="22" customHeight="1">
      <x:c r="A1974" s="1" t="n">
        <x:v>211</x:v>
      </x:c>
      <x:c r="B1974" s="1" t="str">
        <x:v>Qwilfish</x:v>
      </x:c>
      <x:c r="C1974" s="1" t="n">
        <x:v>1</x:v>
      </x:c>
      <x:c r="D1974" s="1" t="str">
        <x:v>Water Gun</x:v>
      </x:c>
      <x:c r="E1974" s="1" t="str">
        <x:v>Água</x:v>
      </x:c>
      <x:c r="F1974" s="1" t="str">
        <x:v>Especial</x:v>
      </x:c>
      <x:c r="G1974" s="10" t="n">
        <x:v>40</x:v>
      </x:c>
      <x:c r="H1974" s="10" t="n">
        <x:f>IF(F1974="Física",'Pokémon'!G214,IF(F1974="Especial",'Pokémon'!I214,""))</x:f>
        <x:v>55</x:v>
      </x:c>
      <x:c r="I1974" s="10" t="n">
        <x:f>IF(OR(F1974="Status",G1974=0),"",G1974+H1974)</x:f>
        <x:v>95</x:v>
      </x:c>
      <x:c r="J1974" s="10" t="n">
        <x:v>1</x:v>
      </x:c>
      <x:c r="K1974" s="12" t="n">
        <x:v>18</x:v>
      </x:c>
      <x:c r="L1974" s="1" t="str"/>
      <x:c r="M1974" s="9" t="str">
        <x:v>https://poke.idleworld.online/pokepedia/pokemon/qwilfish</x:v>
      </x:c>
    </x:row>
    <x:row r="1975" ht="22" customHeight="1">
      <x:c r="A1975" s="1" t="n">
        <x:v>211</x:v>
      </x:c>
      <x:c r="B1975" s="1" t="str">
        <x:v>Qwilfish</x:v>
      </x:c>
      <x:c r="C1975" s="1" t="n">
        <x:v>7</x:v>
      </x:c>
      <x:c r="D1975" s="1" t="str">
        <x:v>Bubble</x:v>
      </x:c>
      <x:c r="E1975" s="1" t="str">
        <x:v>Água</x:v>
      </x:c>
      <x:c r="F1975" s="1" t="str">
        <x:v>Especial</x:v>
      </x:c>
      <x:c r="G1975" s="10" t="n">
        <x:v>40</x:v>
      </x:c>
      <x:c r="H1975" s="10" t="n">
        <x:f>IF(F1975="Física",'Pokémon'!G214,IF(F1975="Especial",'Pokémon'!I214,""))</x:f>
        <x:v>55</x:v>
      </x:c>
      <x:c r="I1975" s="10" t="n">
        <x:f>IF(OR(F1975="Status",G1975=0),"",G1975+H1975)</x:f>
        <x:v>95</x:v>
      </x:c>
      <x:c r="J1975" s="10" t="n">
        <x:v>13</x:v>
      </x:c>
      <x:c r="K1975" s="12" t="n">
        <x:v>15</x:v>
      </x:c>
      <x:c r="L1975" s="1" t="str"/>
      <x:c r="M1975" s="9" t="str">
        <x:v>https://poke.idleworld.online/pokepedia/pokemon/qwilfish</x:v>
      </x:c>
    </x:row>
    <x:row r="1976" ht="22" customHeight="1">
      <x:c r="A1976" s="1" t="n">
        <x:v>212</x:v>
      </x:c>
      <x:c r="B1976" s="1" t="str">
        <x:v>Scizor</x:v>
      </x:c>
      <x:c r="C1976" s="1" t="n">
        <x:v>1</x:v>
      </x:c>
      <x:c r="D1976" s="1" t="str">
        <x:v>Hive Crush</x:v>
      </x:c>
      <x:c r="E1976" s="1" t="str">
        <x:v>Inseto</x:v>
      </x:c>
      <x:c r="F1976" s="1" t="str">
        <x:v>Física</x:v>
      </x:c>
      <x:c r="G1976" s="10" t="n">
        <x:v>300</x:v>
      </x:c>
      <x:c r="H1976" s="10" t="n">
        <x:f>IF(F1976="Física",'Pokémon'!G215,IF(F1976="Especial",'Pokémon'!I215,""))</x:f>
        <x:v>130</x:v>
      </x:c>
      <x:c r="I1976" s="10" t="n">
        <x:f>IF(OR(F1976="Status",G1976=0),"",G1976+H1976)</x:f>
        <x:v>430</x:v>
      </x:c>
      <x:c r="J1976" s="10" t="n">
        <x:v>1</x:v>
      </x:c>
      <x:c r="K1976" s="12" t="n">
        <x:v>10</x:v>
      </x:c>
      <x:c r="L1976" s="1" t="str">
        <x:v>Sim</x:v>
      </x:c>
      <x:c r="M1976" s="9" t="str">
        <x:v>https://poke.idleworld.online/pokepedia/pokemon/scizor</x:v>
      </x:c>
    </x:row>
    <x:row r="1977" ht="22" customHeight="1">
      <x:c r="A1977" s="1" t="n">
        <x:v>212</x:v>
      </x:c>
      <x:c r="B1977" s="1" t="str">
        <x:v>Scizor</x:v>
      </x:c>
      <x:c r="C1977" s="1" t="n">
        <x:v>11</x:v>
      </x:c>
      <x:c r="D1977" s="1" t="str">
        <x:v>X-Scissor</x:v>
      </x:c>
      <x:c r="E1977" s="1" t="str">
        <x:v>Inseto</x:v>
      </x:c>
      <x:c r="F1977" s="1" t="str">
        <x:v>Física</x:v>
      </x:c>
      <x:c r="G1977" s="10" t="n">
        <x:v>80</x:v>
      </x:c>
      <x:c r="H1977" s="10" t="n">
        <x:f>IF(F1977="Física",'Pokémon'!G215,IF(F1977="Especial",'Pokémon'!I215,""))</x:f>
        <x:v>130</x:v>
      </x:c>
      <x:c r="I1977" s="10" t="n">
        <x:f>IF(OR(F1977="Status",G1977=0),"",G1977+H1977)</x:f>
        <x:v>210</x:v>
      </x:c>
      <x:c r="J1977" s="10" t="n">
        <x:v>41</x:v>
      </x:c>
      <x:c r="K1977" s="12" t="n">
        <x:v>22</x:v>
      </x:c>
      <x:c r="L1977" s="1" t="str"/>
      <x:c r="M1977" s="9" t="str">
        <x:v>https://poke.idleworld.online/pokepedia/pokemon/scizor</x:v>
      </x:c>
    </x:row>
    <x:row r="1978" ht="22" customHeight="1">
      <x:c r="A1978" s="1" t="n">
        <x:v>212</x:v>
      </x:c>
      <x:c r="B1978" s="1" t="str">
        <x:v>Scizor</x:v>
      </x:c>
      <x:c r="C1978" s="1" t="n">
        <x:v>14</x:v>
      </x:c>
      <x:c r="D1978" s="1" t="str">
        <x:v>Iron Head</x:v>
      </x:c>
      <x:c r="E1978" s="1" t="str">
        <x:v>Aço</x:v>
      </x:c>
      <x:c r="F1978" s="1" t="str">
        <x:v>Física</x:v>
      </x:c>
      <x:c r="G1978" s="10" t="n">
        <x:v>80</x:v>
      </x:c>
      <x:c r="H1978" s="10" t="n">
        <x:f>IF(F1978="Física",'Pokémon'!G215,IF(F1978="Especial",'Pokémon'!I215,""))</x:f>
        <x:v>130</x:v>
      </x:c>
      <x:c r="I1978" s="10" t="n">
        <x:f>IF(OR(F1978="Status",G1978=0),"",G1978+H1978)</x:f>
        <x:v>210</x:v>
      </x:c>
      <x:c r="J1978" s="10" t="n">
        <x:v>50</x:v>
      </x:c>
      <x:c r="K1978" s="12" t="n">
        <x:v>2.4</x:v>
      </x:c>
      <x:c r="L1978" s="1" t="str"/>
      <x:c r="M1978" s="9" t="str">
        <x:v>https://poke.idleworld.online/pokepedia/pokemon/scizor</x:v>
      </x:c>
    </x:row>
    <x:row r="1979" ht="22" customHeight="1">
      <x:c r="A1979" s="1" t="n">
        <x:v>212</x:v>
      </x:c>
      <x:c r="B1979" s="1" t="str">
        <x:v>Scizor</x:v>
      </x:c>
      <x:c r="C1979" s="1" t="n">
        <x:v>9</x:v>
      </x:c>
      <x:c r="D1979" s="1" t="str">
        <x:v>Slash</x:v>
      </x:c>
      <x:c r="E1979" s="1" t="str">
        <x:v>Normal</x:v>
      </x:c>
      <x:c r="F1979" s="1" t="str">
        <x:v>Física</x:v>
      </x:c>
      <x:c r="G1979" s="10" t="n">
        <x:v>70</x:v>
      </x:c>
      <x:c r="H1979" s="10" t="n">
        <x:f>IF(F1979="Física",'Pokémon'!G215,IF(F1979="Especial",'Pokémon'!I215,""))</x:f>
        <x:v>130</x:v>
      </x:c>
      <x:c r="I1979" s="10" t="n">
        <x:f>IF(OR(F1979="Status",G1979=0),"",G1979+H1979)</x:f>
        <x:v>200</x:v>
      </x:c>
      <x:c r="J1979" s="10" t="n">
        <x:v>29</x:v>
      </x:c>
      <x:c r="K1979" s="12" t="n">
        <x:v>20</x:v>
      </x:c>
      <x:c r="L1979" s="1" t="str"/>
      <x:c r="M1979" s="9" t="str">
        <x:v>https://poke.idleworld.online/pokepedia/pokemon/scizor</x:v>
      </x:c>
    </x:row>
    <x:row r="1980" ht="22" customHeight="1">
      <x:c r="A1980" s="1" t="n">
        <x:v>212</x:v>
      </x:c>
      <x:c r="B1980" s="1" t="str">
        <x:v>Scizor</x:v>
      </x:c>
      <x:c r="C1980" s="1" t="n">
        <x:v>12</x:v>
      </x:c>
      <x:c r="D1980" s="1" t="str">
        <x:v>Night Slash</x:v>
      </x:c>
      <x:c r="E1980" s="1" t="str">
        <x:v>Sombrio</x:v>
      </x:c>
      <x:c r="F1980" s="1" t="str">
        <x:v>Física</x:v>
      </x:c>
      <x:c r="G1980" s="10" t="n">
        <x:v>70</x:v>
      </x:c>
      <x:c r="H1980" s="10" t="n">
        <x:f>IF(F1980="Física",'Pokémon'!G215,IF(F1980="Especial",'Pokémon'!I215,""))</x:f>
        <x:v>130</x:v>
      </x:c>
      <x:c r="I1980" s="10" t="n">
        <x:f>IF(OR(F1980="Status",G1980=0),"",G1980+H1980)</x:f>
        <x:v>200</x:v>
      </x:c>
      <x:c r="J1980" s="10" t="n">
        <x:v>45</x:v>
      </x:c>
      <x:c r="K1980" s="12" t="n">
        <x:v>20</x:v>
      </x:c>
      <x:c r="L1980" s="1" t="str"/>
      <x:c r="M1980" s="9" t="str">
        <x:v>https://poke.idleworld.online/pokepedia/pokemon/scizor</x:v>
      </x:c>
    </x:row>
    <x:row r="1981" ht="22" customHeight="1">
      <x:c r="A1981" s="1" t="n">
        <x:v>212</x:v>
      </x:c>
      <x:c r="B1981" s="1" t="str">
        <x:v>Scizor</x:v>
      </x:c>
      <x:c r="C1981" s="1" t="n">
        <x:v>7</x:v>
      </x:c>
      <x:c r="D1981" s="1" t="str">
        <x:v>Metal Claw</x:v>
      </x:c>
      <x:c r="E1981" s="1" t="str">
        <x:v>Aço</x:v>
      </x:c>
      <x:c r="F1981" s="1" t="str">
        <x:v>Física</x:v>
      </x:c>
      <x:c r="G1981" s="10" t="n">
        <x:v>50</x:v>
      </x:c>
      <x:c r="H1981" s="10" t="n">
        <x:f>IF(F1981="Física",'Pokémon'!G215,IF(F1981="Especial",'Pokémon'!I215,""))</x:f>
        <x:v>130</x:v>
      </x:c>
      <x:c r="I1981" s="10" t="n">
        <x:f>IF(OR(F1981="Status",G1981=0),"",G1981+H1981)</x:f>
        <x:v>180</x:v>
      </x:c>
      <x:c r="J1981" s="10" t="n">
        <x:v>21</x:v>
      </x:c>
      <x:c r="K1981" s="12" t="n">
        <x:v>30</x:v>
      </x:c>
      <x:c r="L1981" s="1" t="str"/>
      <x:c r="M1981" s="9" t="str">
        <x:v>https://poke.idleworld.online/pokepedia/pokemon/scizor</x:v>
      </x:c>
    </x:row>
    <x:row r="1982" ht="22" customHeight="1">
      <x:c r="A1982" s="1" t="n">
        <x:v>212</x:v>
      </x:c>
      <x:c r="B1982" s="1" t="str">
        <x:v>Scizor</x:v>
      </x:c>
      <x:c r="C1982" s="1" t="n">
        <x:v>3</x:v>
      </x:c>
      <x:c r="D1982" s="1" t="str">
        <x:v>Quick Attack</x:v>
      </x:c>
      <x:c r="E1982" s="1" t="str">
        <x:v>Normal</x:v>
      </x:c>
      <x:c r="F1982" s="1" t="str">
        <x:v>Física</x:v>
      </x:c>
      <x:c r="G1982" s="10" t="n">
        <x:v>40</x:v>
      </x:c>
      <x:c r="H1982" s="10" t="n">
        <x:f>IF(F1982="Física",'Pokémon'!G215,IF(F1982="Especial",'Pokémon'!I215,""))</x:f>
        <x:v>130</x:v>
      </x:c>
      <x:c r="I1982" s="10" t="n">
        <x:f>IF(OR(F1982="Status",G1982=0),"",G1982+H1982)</x:f>
        <x:v>170</x:v>
      </x:c>
      <x:c r="J1982" s="10" t="n">
        <x:v>1</x:v>
      </x:c>
      <x:c r="K1982" s="12" t="n">
        <x:v>15</x:v>
      </x:c>
      <x:c r="L1982" s="1" t="str"/>
      <x:c r="M1982" s="9" t="str">
        <x:v>https://poke.idleworld.online/pokepedia/pokemon/scizor</x:v>
      </x:c>
    </x:row>
    <x:row r="1983" ht="22" customHeight="1">
      <x:c r="A1983" s="1" t="n">
        <x:v>212</x:v>
      </x:c>
      <x:c r="B1983" s="1" t="str">
        <x:v>Scizor</x:v>
      </x:c>
      <x:c r="C1983" s="1" t="n">
        <x:v>4</x:v>
      </x:c>
      <x:c r="D1983" s="1" t="str">
        <x:v>Bullet Punch</x:v>
      </x:c>
      <x:c r="E1983" s="1" t="str">
        <x:v>Aço</x:v>
      </x:c>
      <x:c r="F1983" s="1" t="str">
        <x:v>Física</x:v>
      </x:c>
      <x:c r="G1983" s="10" t="n">
        <x:v>40</x:v>
      </x:c>
      <x:c r="H1983" s="10" t="n">
        <x:f>IF(F1983="Física",'Pokémon'!G215,IF(F1983="Especial",'Pokémon'!I215,""))</x:f>
        <x:v>130</x:v>
      </x:c>
      <x:c r="I1983" s="10" t="n">
        <x:f>IF(OR(F1983="Status",G1983=0),"",G1983+H1983)</x:f>
        <x:v>170</x:v>
      </x:c>
      <x:c r="J1983" s="10" t="n">
        <x:v>1</x:v>
      </x:c>
      <x:c r="K1983" s="12" t="n">
        <x:v>15</x:v>
      </x:c>
      <x:c r="L1983" s="1" t="str"/>
      <x:c r="M1983" s="9" t="str">
        <x:v>https://poke.idleworld.online/pokepedia/pokemon/scizor</x:v>
      </x:c>
    </x:row>
    <x:row r="1984" ht="22" customHeight="1">
      <x:c r="A1984" s="1" t="n">
        <x:v>212</x:v>
      </x:c>
      <x:c r="B1984" s="1" t="str">
        <x:v>Scizor</x:v>
      </x:c>
      <x:c r="C1984" s="1" t="n">
        <x:v>5</x:v>
      </x:c>
      <x:c r="D1984" s="1" t="str">
        <x:v>Pursuit</x:v>
      </x:c>
      <x:c r="E1984" s="1" t="str">
        <x:v>Sombrio</x:v>
      </x:c>
      <x:c r="F1984" s="1" t="str">
        <x:v>Física</x:v>
      </x:c>
      <x:c r="G1984" s="10" t="n">
        <x:v>40</x:v>
      </x:c>
      <x:c r="H1984" s="10" t="n">
        <x:f>IF(F1984="Física",'Pokémon'!G215,IF(F1984="Especial",'Pokémon'!I215,""))</x:f>
        <x:v>130</x:v>
      </x:c>
      <x:c r="I1984" s="10" t="n">
        <x:f>IF(OR(F1984="Status",G1984=0),"",G1984+H1984)</x:f>
        <x:v>170</x:v>
      </x:c>
      <x:c r="J1984" s="10" t="n">
        <x:v>9</x:v>
      </x:c>
      <x:c r="K1984" s="12" t="n">
        <x:v>15</x:v>
      </x:c>
      <x:c r="L1984" s="1" t="str"/>
      <x:c r="M1984" s="9" t="str">
        <x:v>https://poke.idleworld.online/pokepedia/pokemon/scizor</x:v>
      </x:c>
    </x:row>
    <x:row r="1985" ht="22" customHeight="1">
      <x:c r="A1985" s="1" t="n">
        <x:v>212</x:v>
      </x:c>
      <x:c r="B1985" s="1" t="str">
        <x:v>Scizor</x:v>
      </x:c>
      <x:c r="C1985" s="1" t="n">
        <x:v>6</x:v>
      </x:c>
      <x:c r="D1985" s="1" t="str">
        <x:v>False Swipe</x:v>
      </x:c>
      <x:c r="E1985" s="1" t="str">
        <x:v>Normal</x:v>
      </x:c>
      <x:c r="F1985" s="1" t="str">
        <x:v>Física</x:v>
      </x:c>
      <x:c r="G1985" s="10" t="n">
        <x:v>40</x:v>
      </x:c>
      <x:c r="H1985" s="10" t="n">
        <x:f>IF(F1985="Física",'Pokémon'!G215,IF(F1985="Especial",'Pokémon'!I215,""))</x:f>
        <x:v>130</x:v>
      </x:c>
      <x:c r="I1985" s="10" t="n">
        <x:f>IF(OR(F1985="Status",G1985=0),"",G1985+H1985)</x:f>
        <x:v>170</x:v>
      </x:c>
      <x:c r="J1985" s="10" t="n">
        <x:v>13</x:v>
      </x:c>
      <x:c r="K1985" s="12" t="n">
        <x:v>15</x:v>
      </x:c>
      <x:c r="L1985" s="1" t="str"/>
      <x:c r="M1985" s="9" t="str">
        <x:v>https://poke.idleworld.online/pokepedia/pokemon/scizor</x:v>
      </x:c>
    </x:row>
    <x:row r="1986" ht="22" customHeight="1">
      <x:c r="A1986" s="1" t="n">
        <x:v>212</x:v>
      </x:c>
      <x:c r="B1986" s="1" t="str">
        <x:v>Scizor</x:v>
      </x:c>
      <x:c r="C1986" s="1" t="n">
        <x:v>8</x:v>
      </x:c>
      <x:c r="D1986" s="1" t="str">
        <x:v>Fury Cutter</x:v>
      </x:c>
      <x:c r="E1986" s="1" t="str">
        <x:v>Inseto</x:v>
      </x:c>
      <x:c r="F1986" s="1" t="str">
        <x:v>Física</x:v>
      </x:c>
      <x:c r="G1986" s="10" t="n">
        <x:v>40</x:v>
      </x:c>
      <x:c r="H1986" s="10" t="n">
        <x:f>IF(F1986="Física",'Pokémon'!G215,IF(F1986="Especial",'Pokémon'!I215,""))</x:f>
        <x:v>130</x:v>
      </x:c>
      <x:c r="I1986" s="10" t="n">
        <x:f>IF(OR(F1986="Status",G1986=0),"",G1986+H1986)</x:f>
        <x:v>170</x:v>
      </x:c>
      <x:c r="J1986" s="10" t="n">
        <x:v>25</x:v>
      </x:c>
      <x:c r="K1986" s="12" t="n">
        <x:v>15</x:v>
      </x:c>
      <x:c r="L1986" s="1" t="str"/>
      <x:c r="M1986" s="9" t="str">
        <x:v>https://poke.idleworld.online/pokepedia/pokemon/scizor</x:v>
      </x:c>
    </x:row>
    <x:row r="1987" ht="22" customHeight="1">
      <x:c r="A1987" s="1" t="n">
        <x:v>212</x:v>
      </x:c>
      <x:c r="B1987" s="1" t="str">
        <x:v>Scizor</x:v>
      </x:c>
      <x:c r="C1987" s="1" t="n">
        <x:v>13</x:v>
      </x:c>
      <x:c r="D1987" s="1" t="str">
        <x:v>Double Hit</x:v>
      </x:c>
      <x:c r="E1987" s="1" t="str">
        <x:v>Normal</x:v>
      </x:c>
      <x:c r="F1987" s="1" t="str">
        <x:v>Física</x:v>
      </x:c>
      <x:c r="G1987" s="10" t="n">
        <x:v>35</x:v>
      </x:c>
      <x:c r="H1987" s="10" t="n">
        <x:f>IF(F1987="Física",'Pokémon'!G215,IF(F1987="Especial",'Pokémon'!I215,""))</x:f>
        <x:v>130</x:v>
      </x:c>
      <x:c r="I1987" s="10" t="n">
        <x:f>IF(OR(F1987="Status",G1987=0),"",G1987+H1987)</x:f>
        <x:v>165</x:v>
      </x:c>
      <x:c r="J1987" s="10" t="n">
        <x:v>49</x:v>
      </x:c>
      <x:c r="K1987" s="12" t="n">
        <x:v>15</x:v>
      </x:c>
      <x:c r="L1987" s="1" t="str"/>
      <x:c r="M1987" s="9" t="str">
        <x:v>https://poke.idleworld.online/pokepedia/pokemon/scizor</x:v>
      </x:c>
    </x:row>
    <x:row r="1988" ht="22" customHeight="1">
      <x:c r="A1988" s="1" t="n">
        <x:v>212</x:v>
      </x:c>
      <x:c r="B1988" s="1" t="str">
        <x:v>Scizor</x:v>
      </x:c>
      <x:c r="C1988" s="1" t="n">
        <x:v>2</x:v>
      </x:c>
      <x:c r="D1988" s="1" t="str">
        <x:v>Feint</x:v>
      </x:c>
      <x:c r="E1988" s="1" t="str">
        <x:v>Normal</x:v>
      </x:c>
      <x:c r="F1988" s="1" t="str">
        <x:v>Física</x:v>
      </x:c>
      <x:c r="G1988" s="10" t="n">
        <x:v>30</x:v>
      </x:c>
      <x:c r="H1988" s="10" t="n">
        <x:f>IF(F1988="Física",'Pokémon'!G215,IF(F1988="Especial",'Pokémon'!I215,""))</x:f>
        <x:v>130</x:v>
      </x:c>
      <x:c r="I1988" s="10" t="n">
        <x:f>IF(OR(F1988="Status",G1988=0),"",G1988+H1988)</x:f>
        <x:v>160</x:v>
      </x:c>
      <x:c r="J1988" s="10" t="n">
        <x:v>1</x:v>
      </x:c>
      <x:c r="K1988" s="12" t="n">
        <x:v>15</x:v>
      </x:c>
      <x:c r="L1988" s="1" t="str"/>
      <x:c r="M1988" s="9" t="str">
        <x:v>https://poke.idleworld.online/pokepedia/pokemon/scizor</x:v>
      </x:c>
    </x:row>
    <x:row r="1989" ht="22" customHeight="1">
      <x:c r="A1989" s="1" t="n">
        <x:v>212</x:v>
      </x:c>
      <x:c r="B1989" s="1" t="str">
        <x:v>Scizor</x:v>
      </x:c>
      <x:c r="C1989" s="1" t="n">
        <x:v>10</x:v>
      </x:c>
      <x:c r="D1989" s="1" t="str">
        <x:v>Razor Wind</x:v>
      </x:c>
      <x:c r="E1989" s="1" t="str">
        <x:v>Normal</x:v>
      </x:c>
      <x:c r="F1989" s="1" t="str">
        <x:v>Especial</x:v>
      </x:c>
      <x:c r="G1989" s="10" t="n">
        <x:v>80</x:v>
      </x:c>
      <x:c r="H1989" s="10" t="n">
        <x:f>IF(F1989="Física",'Pokémon'!G215,IF(F1989="Especial",'Pokémon'!I215,""))</x:f>
        <x:v>55</x:v>
      </x:c>
      <x:c r="I1989" s="10" t="n">
        <x:f>IF(OR(F1989="Status",G1989=0),"",G1989+H1989)</x:f>
        <x:v>135</x:v>
      </x:c>
      <x:c r="J1989" s="10" t="n">
        <x:v>33</x:v>
      </x:c>
      <x:c r="K1989" s="12" t="n">
        <x:v>22</x:v>
      </x:c>
      <x:c r="L1989" s="1" t="str"/>
      <x:c r="M1989" s="9" t="str">
        <x:v>https://poke.idleworld.online/pokepedia/pokemon/scizor</x:v>
      </x:c>
    </x:row>
    <x:row r="1990" ht="22" customHeight="1">
      <x:c r="A1990" s="1" t="n">
        <x:v>213</x:v>
      </x:c>
      <x:c r="B1990" s="1" t="str">
        <x:v>Shuckle</x:v>
      </x:c>
      <x:c r="C1990" s="1" t="n">
        <x:v>1</x:v>
      </x:c>
      <x:c r="D1990" s="1" t="str">
        <x:v>Hive Crush</x:v>
      </x:c>
      <x:c r="E1990" s="1" t="str">
        <x:v>Inseto</x:v>
      </x:c>
      <x:c r="F1990" s="1" t="str">
        <x:v>Física</x:v>
      </x:c>
      <x:c r="G1990" s="10" t="n">
        <x:v>300</x:v>
      </x:c>
      <x:c r="H1990" s="10" t="n">
        <x:f>IF(F1990="Física",'Pokémon'!G216,IF(F1990="Especial",'Pokémon'!I216,""))</x:f>
        <x:v>10</x:v>
      </x:c>
      <x:c r="I1990" s="10" t="n">
        <x:f>IF(OR(F1990="Status",G1990=0),"",G1990+H1990)</x:f>
        <x:v>310</x:v>
      </x:c>
      <x:c r="J1990" s="10" t="n">
        <x:v>1</x:v>
      </x:c>
      <x:c r="K1990" s="12" t="n">
        <x:v>10</x:v>
      </x:c>
      <x:c r="L1990" s="1" t="str">
        <x:v>Sim</x:v>
      </x:c>
      <x:c r="M1990" s="9" t="str">
        <x:v>https://poke.idleworld.online/pokepedia/pokemon/shuckle</x:v>
      </x:c>
    </x:row>
    <x:row r="1991" ht="22" customHeight="1">
      <x:c r="A1991" s="1" t="n">
        <x:v>213</x:v>
      </x:c>
      <x:c r="B1991" s="1" t="str">
        <x:v>Shuckle</x:v>
      </x:c>
      <x:c r="C1991" s="1" t="n">
        <x:v>9</x:v>
      </x:c>
      <x:c r="D1991" s="1" t="str">
        <x:v>Stone Edge</x:v>
      </x:c>
      <x:c r="E1991" s="1" t="str">
        <x:v>Pedra</x:v>
      </x:c>
      <x:c r="F1991" s="1" t="str">
        <x:v>Física</x:v>
      </x:c>
      <x:c r="G1991" s="10" t="n">
        <x:v>100</x:v>
      </x:c>
      <x:c r="H1991" s="10" t="n">
        <x:f>IF(F1991="Física",'Pokémon'!G216,IF(F1991="Especial",'Pokémon'!I216,""))</x:f>
        <x:v>10</x:v>
      </x:c>
      <x:c r="I1991" s="10" t="n">
        <x:f>IF(OR(F1991="Status",G1991=0),"",G1991+H1991)</x:f>
        <x:v>110</x:v>
      </x:c>
      <x:c r="J1991" s="10" t="n">
        <x:v>49</x:v>
      </x:c>
      <x:c r="K1991" s="12" t="n">
        <x:v>40</x:v>
      </x:c>
      <x:c r="L1991" s="1" t="str"/>
      <x:c r="M1991" s="9" t="str">
        <x:v>https://poke.idleworld.online/pokepedia/pokemon/shuckle</x:v>
      </x:c>
    </x:row>
    <x:row r="1992" ht="22" customHeight="1">
      <x:c r="A1992" s="1" t="n">
        <x:v>213</x:v>
      </x:c>
      <x:c r="B1992" s="1" t="str">
        <x:v>Shuckle</x:v>
      </x:c>
      <x:c r="C1992" s="1" t="n">
        <x:v>7</x:v>
      </x:c>
      <x:c r="D1992" s="1" t="str">
        <x:v>Rock Slide</x:v>
      </x:c>
      <x:c r="E1992" s="1" t="str">
        <x:v>Pedra</x:v>
      </x:c>
      <x:c r="F1992" s="1" t="str">
        <x:v>Física</x:v>
      </x:c>
      <x:c r="G1992" s="10" t="n">
        <x:v>75</x:v>
      </x:c>
      <x:c r="H1992" s="10" t="n">
        <x:f>IF(F1992="Física",'Pokémon'!G216,IF(F1992="Especial",'Pokémon'!I216,""))</x:f>
        <x:v>10</x:v>
      </x:c>
      <x:c r="I1992" s="10" t="n">
        <x:f>IF(OR(F1992="Status",G1992=0),"",G1992+H1992)</x:f>
        <x:v>85</x:v>
      </x:c>
      <x:c r="J1992" s="10" t="n">
        <x:v>38</x:v>
      </x:c>
      <x:c r="K1992" s="12" t="n">
        <x:v>22</x:v>
      </x:c>
      <x:c r="L1992" s="1" t="str"/>
      <x:c r="M1992" s="9" t="str">
        <x:v>https://poke.idleworld.online/pokepedia/pokemon/shuckle</x:v>
      </x:c>
    </x:row>
    <x:row r="1993" ht="22" customHeight="1">
      <x:c r="A1993" s="1" t="n">
        <x:v>213</x:v>
      </x:c>
      <x:c r="B1993" s="1" t="str">
        <x:v>Shuckle</x:v>
      </x:c>
      <x:c r="C1993" s="1" t="n">
        <x:v>8</x:v>
      </x:c>
      <x:c r="D1993" s="1" t="str">
        <x:v>Bug Bite</x:v>
      </x:c>
      <x:c r="E1993" s="1" t="str">
        <x:v>Inseto</x:v>
      </x:c>
      <x:c r="F1993" s="1" t="str">
        <x:v>Física</x:v>
      </x:c>
      <x:c r="G1993" s="10" t="n">
        <x:v>60</x:v>
      </x:c>
      <x:c r="H1993" s="10" t="n">
        <x:f>IF(F1993="Física",'Pokémon'!G216,IF(F1993="Especial",'Pokémon'!I216,""))</x:f>
        <x:v>10</x:v>
      </x:c>
      <x:c r="I1993" s="10" t="n">
        <x:f>IF(OR(F1993="Status",G1993=0),"",G1993+H1993)</x:f>
        <x:v>70</x:v>
      </x:c>
      <x:c r="J1993" s="10" t="n">
        <x:v>42</x:v>
      </x:c>
      <x:c r="K1993" s="12" t="n">
        <x:v>20</x:v>
      </x:c>
      <x:c r="L1993" s="1" t="str"/>
      <x:c r="M1993" s="9" t="str">
        <x:v>https://poke.idleworld.online/pokepedia/pokemon/shuckle</x:v>
      </x:c>
    </x:row>
    <x:row r="1994" ht="22" customHeight="1">
      <x:c r="A1994" s="1" t="n">
        <x:v>213</x:v>
      </x:c>
      <x:c r="B1994" s="1" t="str">
        <x:v>Shuckle</x:v>
      </x:c>
      <x:c r="C1994" s="1" t="n">
        <x:v>5</x:v>
      </x:c>
      <x:c r="D1994" s="1" t="str">
        <x:v>Struggle Bug</x:v>
      </x:c>
      <x:c r="E1994" s="1" t="str">
        <x:v>Inseto</x:v>
      </x:c>
      <x:c r="F1994" s="1" t="str">
        <x:v>Especial</x:v>
      </x:c>
      <x:c r="G1994" s="10" t="n">
        <x:v>50</x:v>
      </x:c>
      <x:c r="H1994" s="10" t="n">
        <x:f>IF(F1994="Física",'Pokémon'!G216,IF(F1994="Especial",'Pokémon'!I216,""))</x:f>
        <x:v>10</x:v>
      </x:c>
      <x:c r="I1994" s="10" t="n">
        <x:f>IF(OR(F1994="Status",G1994=0),"",G1994+H1994)</x:f>
        <x:v>60</x:v>
      </x:c>
      <x:c r="J1994" s="10" t="n">
        <x:v>12</x:v>
      </x:c>
      <x:c r="K1994" s="12" t="n">
        <x:v>15</x:v>
      </x:c>
      <x:c r="L1994" s="1" t="str"/>
      <x:c r="M1994" s="9" t="str">
        <x:v>https://poke.idleworld.online/pokepedia/pokemon/shuckle</x:v>
      </x:c>
    </x:row>
    <x:row r="1995" ht="22" customHeight="1">
      <x:c r="A1995" s="1" t="n">
        <x:v>213</x:v>
      </x:c>
      <x:c r="B1995" s="1" t="str">
        <x:v>Shuckle</x:v>
      </x:c>
      <x:c r="C1995" s="1" t="n">
        <x:v>6</x:v>
      </x:c>
      <x:c r="D1995" s="1" t="str">
        <x:v>Rock Throw</x:v>
      </x:c>
      <x:c r="E1995" s="1" t="str">
        <x:v>Pedra</x:v>
      </x:c>
      <x:c r="F1995" s="1" t="str">
        <x:v>Física</x:v>
      </x:c>
      <x:c r="G1995" s="10" t="n">
        <x:v>50</x:v>
      </x:c>
      <x:c r="H1995" s="10" t="n">
        <x:f>IF(F1995="Física",'Pokémon'!G216,IF(F1995="Especial",'Pokémon'!I216,""))</x:f>
        <x:v>10</x:v>
      </x:c>
      <x:c r="I1995" s="10" t="n">
        <x:f>IF(OR(F1995="Status",G1995=0),"",G1995+H1995)</x:f>
        <x:v>60</x:v>
      </x:c>
      <x:c r="J1995" s="10" t="n">
        <x:v>23</x:v>
      </x:c>
      <x:c r="K1995" s="12" t="n">
        <x:v>10</x:v>
      </x:c>
      <x:c r="L1995" s="1" t="str"/>
      <x:c r="M1995" s="9" t="str">
        <x:v>https://poke.idleworld.online/pokepedia/pokemon/shuckle</x:v>
      </x:c>
    </x:row>
    <x:row r="1996" ht="22" customHeight="1">
      <x:c r="A1996" s="1" t="n">
        <x:v>213</x:v>
      </x:c>
      <x:c r="B1996" s="1" t="str">
        <x:v>Shuckle</x:v>
      </x:c>
      <x:c r="C1996" s="1" t="n">
        <x:v>3</x:v>
      </x:c>
      <x:c r="D1996" s="1" t="str">
        <x:v>Rollout</x:v>
      </x:c>
      <x:c r="E1996" s="1" t="str">
        <x:v>Pedra</x:v>
      </x:c>
      <x:c r="F1996" s="1" t="str">
        <x:v>Física</x:v>
      </x:c>
      <x:c r="G1996" s="10" t="n">
        <x:v>30</x:v>
      </x:c>
      <x:c r="H1996" s="10" t="n">
        <x:f>IF(F1996="Física",'Pokémon'!G216,IF(F1996="Especial",'Pokémon'!I216,""))</x:f>
        <x:v>10</x:v>
      </x:c>
      <x:c r="I1996" s="10" t="n">
        <x:f>IF(OR(F1996="Status",G1996=0),"",G1996+H1996)</x:f>
        <x:v>40</x:v>
      </x:c>
      <x:c r="J1996" s="10" t="n">
        <x:v>1</x:v>
      </x:c>
      <x:c r="K1996" s="12" t="n">
        <x:v>15</x:v>
      </x:c>
      <x:c r="L1996" s="1" t="str"/>
      <x:c r="M1996" s="9" t="str">
        <x:v>https://poke.idleworld.online/pokepedia/pokemon/shuckle</x:v>
      </x:c>
    </x:row>
    <x:row r="1997" ht="22" customHeight="1">
      <x:c r="A1997" s="1" t="n">
        <x:v>213</x:v>
      </x:c>
      <x:c r="B1997" s="1" t="str">
        <x:v>Shuckle</x:v>
      </x:c>
      <x:c r="C1997" s="1" t="n">
        <x:v>4</x:v>
      </x:c>
      <x:c r="D1997" s="1" t="str">
        <x:v>Wrap</x:v>
      </x:c>
      <x:c r="E1997" s="1" t="str">
        <x:v>Normal</x:v>
      </x:c>
      <x:c r="F1997" s="1" t="str">
        <x:v>Física</x:v>
      </x:c>
      <x:c r="G1997" s="10" t="n">
        <x:v>15</x:v>
      </x:c>
      <x:c r="H1997" s="10" t="n">
        <x:f>IF(F1997="Física",'Pokémon'!G216,IF(F1997="Especial",'Pokémon'!I216,""))</x:f>
        <x:v>10</x:v>
      </x:c>
      <x:c r="I1997" s="10" t="n">
        <x:f>IF(OR(F1997="Status",G1997=0),"",G1997+H1997)</x:f>
        <x:v>25</x:v>
      </x:c>
      <x:c r="J1997" s="10" t="n">
        <x:v>9</x:v>
      </x:c>
      <x:c r="K1997" s="12" t="n">
        <x:v>15</x:v>
      </x:c>
      <x:c r="L1997" s="1" t="str"/>
      <x:c r="M1997" s="9" t="str">
        <x:v>https://poke.idleworld.online/pokepedia/pokemon/shuckle</x:v>
      </x:c>
    </x:row>
    <x:row r="1998" ht="22" customHeight="1">
      <x:c r="A1998" s="1" t="n">
        <x:v>213</x:v>
      </x:c>
      <x:c r="B1998" s="1" t="str">
        <x:v>Shuckle</x:v>
      </x:c>
      <x:c r="C1998" s="1" t="n">
        <x:v>2</x:v>
      </x:c>
      <x:c r="D1998" s="1" t="str">
        <x:v>Constrict</x:v>
      </x:c>
      <x:c r="E1998" s="1" t="str">
        <x:v>Normal</x:v>
      </x:c>
      <x:c r="F1998" s="1" t="str">
        <x:v>Física</x:v>
      </x:c>
      <x:c r="G1998" s="10" t="n">
        <x:v>10</x:v>
      </x:c>
      <x:c r="H1998" s="10" t="n">
        <x:f>IF(F1998="Física",'Pokémon'!G216,IF(F1998="Especial",'Pokémon'!I216,""))</x:f>
        <x:v>10</x:v>
      </x:c>
      <x:c r="I1998" s="10" t="n">
        <x:f>IF(OR(F1998="Status",G1998=0),"",G1998+H1998)</x:f>
        <x:v>20</x:v>
      </x:c>
      <x:c r="J1998" s="10" t="n">
        <x:v>1</x:v>
      </x:c>
      <x:c r="K1998" s="12" t="n">
        <x:v>15</x:v>
      </x:c>
      <x:c r="L1998" s="1" t="str"/>
      <x:c r="M1998" s="9" t="str">
        <x:v>https://poke.idleworld.online/pokepedia/pokemon/shuckle</x:v>
      </x:c>
    </x:row>
    <x:row r="1999" ht="22" customHeight="1">
      <x:c r="A1999" s="1" t="n">
        <x:v>214</x:v>
      </x:c>
      <x:c r="B1999" s="1" t="str">
        <x:v>Heracross</x:v>
      </x:c>
      <x:c r="C1999" s="1" t="n">
        <x:v>2</x:v>
      </x:c>
      <x:c r="D1999" s="1" t="str">
        <x:v>Hive Crush</x:v>
      </x:c>
      <x:c r="E1999" s="1" t="str">
        <x:v>Inseto</x:v>
      </x:c>
      <x:c r="F1999" s="1" t="str">
        <x:v>Física</x:v>
      </x:c>
      <x:c r="G1999" s="10" t="n">
        <x:v>300</x:v>
      </x:c>
      <x:c r="H1999" s="10" t="n">
        <x:f>IF(F1999="Física",'Pokémon'!G217,IF(F1999="Especial",'Pokémon'!I217,""))</x:f>
        <x:v>125</x:v>
      </x:c>
      <x:c r="I1999" s="10" t="n">
        <x:f>IF(OR(F1999="Status",G1999=0),"",G1999+H1999)</x:f>
        <x:v>425</x:v>
      </x:c>
      <x:c r="J1999" s="10" t="n">
        <x:v>1</x:v>
      </x:c>
      <x:c r="K1999" s="12" t="n">
        <x:v>10</x:v>
      </x:c>
      <x:c r="L1999" s="1" t="str">
        <x:v>Sim</x:v>
      </x:c>
      <x:c r="M1999" s="9" t="str">
        <x:v>https://poke.idleworld.online/pokepedia/pokemon/heracross</x:v>
      </x:c>
    </x:row>
    <x:row r="2000" ht="22" customHeight="1">
      <x:c r="A2000" s="1" t="n">
        <x:v>214</x:v>
      </x:c>
      <x:c r="B2000" s="1" t="str">
        <x:v>Heracross</x:v>
      </x:c>
      <x:c r="C2000" s="1" t="n">
        <x:v>14</x:v>
      </x:c>
      <x:c r="D2000" s="1" t="str">
        <x:v>Megahorn</x:v>
      </x:c>
      <x:c r="E2000" s="1" t="str">
        <x:v>Inseto</x:v>
      </x:c>
      <x:c r="F2000" s="1" t="str">
        <x:v>Física</x:v>
      </x:c>
      <x:c r="G2000" s="10" t="n">
        <x:v>120</x:v>
      </x:c>
      <x:c r="H2000" s="10" t="n">
        <x:f>IF(F2000="Física",'Pokémon'!G217,IF(F2000="Especial",'Pokémon'!I217,""))</x:f>
        <x:v>125</x:v>
      </x:c>
      <x:c r="I2000" s="10" t="n">
        <x:f>IF(OR(F2000="Status",G2000=0),"",G2000+H2000)</x:f>
        <x:v>245</x:v>
      </x:c>
      <x:c r="J2000" s="10" t="n">
        <x:v>37</x:v>
      </x:c>
      <x:c r="K2000" s="12" t="n">
        <x:v>50</x:v>
      </x:c>
      <x:c r="L2000" s="1" t="str"/>
      <x:c r="M2000" s="9" t="str">
        <x:v>https://poke.idleworld.online/pokepedia/pokemon/heracross</x:v>
      </x:c>
    </x:row>
    <x:row r="2001" ht="22" customHeight="1">
      <x:c r="A2001" s="1" t="n">
        <x:v>214</x:v>
      </x:c>
      <x:c r="B2001" s="1" t="str">
        <x:v>Heracross</x:v>
      </x:c>
      <x:c r="C2001" s="1" t="n">
        <x:v>15</x:v>
      </x:c>
      <x:c r="D2001" s="1" t="str">
        <x:v>Close Combat</x:v>
      </x:c>
      <x:c r="E2001" s="1" t="str">
        <x:v>Lutador</x:v>
      </x:c>
      <x:c r="F2001" s="1" t="str">
        <x:v>Física</x:v>
      </x:c>
      <x:c r="G2001" s="10" t="n">
        <x:v>120</x:v>
      </x:c>
      <x:c r="H2001" s="10" t="n">
        <x:f>IF(F2001="Física",'Pokémon'!G217,IF(F2001="Especial",'Pokémon'!I217,""))</x:f>
        <x:v>125</x:v>
      </x:c>
      <x:c r="I2001" s="10" t="n">
        <x:f>IF(OR(F2001="Status",G2001=0),"",G2001+H2001)</x:f>
        <x:v>245</x:v>
      </x:c>
      <x:c r="J2001" s="10" t="n">
        <x:v>43</x:v>
      </x:c>
      <x:c r="K2001" s="12" t="n">
        <x:v>50</x:v>
      </x:c>
      <x:c r="L2001" s="1" t="str"/>
      <x:c r="M2001" s="9" t="str">
        <x:v>https://poke.idleworld.online/pokepedia/pokemon/heracross</x:v>
      </x:c>
    </x:row>
    <x:row r="2002" ht="22" customHeight="1">
      <x:c r="A2002" s="1" t="n">
        <x:v>214</x:v>
      </x:c>
      <x:c r="B2002" s="1" t="str">
        <x:v>Heracross</x:v>
      </x:c>
      <x:c r="C2002" s="1" t="n">
        <x:v>13</x:v>
      </x:c>
      <x:c r="D2002" s="1" t="str">
        <x:v>Take Down</x:v>
      </x:c>
      <x:c r="E2002" s="1" t="str">
        <x:v>Normal</x:v>
      </x:c>
      <x:c r="F2002" s="1" t="str">
        <x:v>Física</x:v>
      </x:c>
      <x:c r="G2002" s="10" t="n">
        <x:v>90</x:v>
      </x:c>
      <x:c r="H2002" s="10" t="n">
        <x:f>IF(F2002="Física",'Pokémon'!G217,IF(F2002="Especial",'Pokémon'!I217,""))</x:f>
        <x:v>125</x:v>
      </x:c>
      <x:c r="I2002" s="10" t="n">
        <x:f>IF(OR(F2002="Status",G2002=0),"",G2002+H2002)</x:f>
        <x:v>215</x:v>
      </x:c>
      <x:c r="J2002" s="10" t="n">
        <x:v>34</x:v>
      </x:c>
      <x:c r="K2002" s="12" t="n">
        <x:v>22</x:v>
      </x:c>
      <x:c r="L2002" s="1" t="str"/>
      <x:c r="M2002" s="9" t="str">
        <x:v>https://poke.idleworld.online/pokepedia/pokemon/heracross</x:v>
      </x:c>
    </x:row>
    <x:row r="2003" ht="22" customHeight="1">
      <x:c r="A2003" s="1" t="n">
        <x:v>214</x:v>
      </x:c>
      <x:c r="B2003" s="1" t="str">
        <x:v>Heracross</x:v>
      </x:c>
      <x:c r="C2003" s="1" t="n">
        <x:v>11</x:v>
      </x:c>
      <x:c r="D2003" s="1" t="str">
        <x:v>Brick Break</x:v>
      </x:c>
      <x:c r="E2003" s="1" t="str">
        <x:v>Lutador</x:v>
      </x:c>
      <x:c r="F2003" s="1" t="str">
        <x:v>Física</x:v>
      </x:c>
      <x:c r="G2003" s="10" t="n">
        <x:v>75</x:v>
      </x:c>
      <x:c r="H2003" s="10" t="n">
        <x:f>IF(F2003="Física",'Pokémon'!G217,IF(F2003="Especial",'Pokémon'!I217,""))</x:f>
        <x:v>125</x:v>
      </x:c>
      <x:c r="I2003" s="10" t="n">
        <x:f>IF(OR(F2003="Status",G2003=0),"",G2003+H2003)</x:f>
        <x:v>200</x:v>
      </x:c>
      <x:c r="J2003" s="10" t="n">
        <x:v>28</x:v>
      </x:c>
      <x:c r="K2003" s="12" t="n">
        <x:v>30</x:v>
      </x:c>
      <x:c r="L2003" s="1" t="str"/>
      <x:c r="M2003" s="9" t="str">
        <x:v>https://poke.idleworld.online/pokepedia/pokemon/heracross</x:v>
      </x:c>
    </x:row>
    <x:row r="2004" ht="22" customHeight="1">
      <x:c r="A2004" s="1" t="n">
        <x:v>214</x:v>
      </x:c>
      <x:c r="B2004" s="1" t="str">
        <x:v>Heracross</x:v>
      </x:c>
      <x:c r="C2004" s="1" t="n">
        <x:v>6</x:v>
      </x:c>
      <x:c r="D2004" s="1" t="str">
        <x:v>Night Slash</x:v>
      </x:c>
      <x:c r="E2004" s="1" t="str">
        <x:v>Sombrio</x:v>
      </x:c>
      <x:c r="F2004" s="1" t="str">
        <x:v>Física</x:v>
      </x:c>
      <x:c r="G2004" s="10" t="n">
        <x:v>70</x:v>
      </x:c>
      <x:c r="H2004" s="10" t="n">
        <x:f>IF(F2004="Física",'Pokémon'!G217,IF(F2004="Especial",'Pokémon'!I217,""))</x:f>
        <x:v>125</x:v>
      </x:c>
      <x:c r="I2004" s="10" t="n">
        <x:f>IF(OR(F2004="Status",G2004=0),"",G2004+H2004)</x:f>
        <x:v>195</x:v>
      </x:c>
      <x:c r="J2004" s="10" t="n">
        <x:v>1</x:v>
      </x:c>
      <x:c r="K2004" s="12" t="n">
        <x:v>20</x:v>
      </x:c>
      <x:c r="L2004" s="1" t="str"/>
      <x:c r="M2004" s="9" t="str">
        <x:v>https://poke.idleworld.online/pokepedia/pokemon/heracross</x:v>
      </x:c>
    </x:row>
    <x:row r="2005" ht="22" customHeight="1">
      <x:c r="A2005" s="1" t="n">
        <x:v>214</x:v>
      </x:c>
      <x:c r="B2005" s="1" t="str">
        <x:v>Heracross</x:v>
      </x:c>
      <x:c r="C2005" s="1" t="n">
        <x:v>9</x:v>
      </x:c>
      <x:c r="D2005" s="1" t="str">
        <x:v>Chip Away</x:v>
      </x:c>
      <x:c r="E2005" s="1" t="str">
        <x:v>Normal</x:v>
      </x:c>
      <x:c r="F2005" s="1" t="str">
        <x:v>Física</x:v>
      </x:c>
      <x:c r="G2005" s="10" t="n">
        <x:v>70</x:v>
      </x:c>
      <x:c r="H2005" s="10" t="n">
        <x:f>IF(F2005="Física",'Pokémon'!G217,IF(F2005="Especial",'Pokémon'!I217,""))</x:f>
        <x:v>125</x:v>
      </x:c>
      <x:c r="I2005" s="10" t="n">
        <x:f>IF(OR(F2005="Status",G2005=0),"",G2005+H2005)</x:f>
        <x:v>195</x:v>
      </x:c>
      <x:c r="J2005" s="10" t="n">
        <x:v>16</x:v>
      </x:c>
      <x:c r="K2005" s="12" t="n">
        <x:v>20</x:v>
      </x:c>
      <x:c r="L2005" s="1" t="str"/>
      <x:c r="M2005" s="9" t="str">
        <x:v>https://poke.idleworld.online/pokepedia/pokemon/heracross</x:v>
      </x:c>
    </x:row>
    <x:row r="2006" ht="22" customHeight="1">
      <x:c r="A2006" s="1" t="n">
        <x:v>214</x:v>
      </x:c>
      <x:c r="B2006" s="1" t="str">
        <x:v>Heracross</x:v>
      </x:c>
      <x:c r="C2006" s="1" t="n">
        <x:v>5</x:v>
      </x:c>
      <x:c r="D2006" s="1" t="str">
        <x:v>Horn Attack</x:v>
      </x:c>
      <x:c r="E2006" s="1" t="str">
        <x:v>Normal</x:v>
      </x:c>
      <x:c r="F2006" s="1" t="str">
        <x:v>Física</x:v>
      </x:c>
      <x:c r="G2006" s="10" t="n">
        <x:v>65</x:v>
      </x:c>
      <x:c r="H2006" s="10" t="n">
        <x:f>IF(F2006="Física",'Pokémon'!G217,IF(F2006="Especial",'Pokémon'!I217,""))</x:f>
        <x:v>125</x:v>
      </x:c>
      <x:c r="I2006" s="10" t="n">
        <x:f>IF(OR(F2006="Status",G2006=0),"",G2006+H2006)</x:f>
        <x:v>190</x:v>
      </x:c>
      <x:c r="J2006" s="10" t="n">
        <x:v>1</x:v>
      </x:c>
      <x:c r="K2006" s="12" t="n">
        <x:v>20</x:v>
      </x:c>
      <x:c r="L2006" s="1" t="str"/>
      <x:c r="M2006" s="9" t="str">
        <x:v>https://poke.idleworld.online/pokepedia/pokemon/heracross</x:v>
      </x:c>
    </x:row>
    <x:row r="2007" ht="22" customHeight="1">
      <x:c r="A2007" s="1" t="n">
        <x:v>214</x:v>
      </x:c>
      <x:c r="B2007" s="1" t="str">
        <x:v>Heracross</x:v>
      </x:c>
      <x:c r="C2007" s="1" t="n">
        <x:v>8</x:v>
      </x:c>
      <x:c r="D2007" s="1" t="str">
        <x:v>Aerial Ace</x:v>
      </x:c>
      <x:c r="E2007" s="1" t="str">
        <x:v>Voador</x:v>
      </x:c>
      <x:c r="F2007" s="1" t="str">
        <x:v>Física</x:v>
      </x:c>
      <x:c r="G2007" s="10" t="n">
        <x:v>60</x:v>
      </x:c>
      <x:c r="H2007" s="10" t="n">
        <x:f>IF(F2007="Física",'Pokémon'!G217,IF(F2007="Especial",'Pokémon'!I217,""))</x:f>
        <x:v>125</x:v>
      </x:c>
      <x:c r="I2007" s="10" t="n">
        <x:f>IF(OR(F2007="Status",G2007=0),"",G2007+H2007)</x:f>
        <x:v>185</x:v>
      </x:c>
      <x:c r="J2007" s="10" t="n">
        <x:v>10</x:v>
      </x:c>
      <x:c r="K2007" s="12" t="n">
        <x:v>20</x:v>
      </x:c>
      <x:c r="L2007" s="1" t="str"/>
      <x:c r="M2007" s="9" t="str">
        <x:v>https://poke.idleworld.online/pokepedia/pokemon/heracross</x:v>
      </x:c>
    </x:row>
    <x:row r="2008" ht="22" customHeight="1">
      <x:c r="A2008" s="1" t="n">
        <x:v>214</x:v>
      </x:c>
      <x:c r="B2008" s="1" t="str">
        <x:v>Heracross</x:v>
      </x:c>
      <x:c r="C2008" s="1" t="n">
        <x:v>1</x:v>
      </x:c>
      <x:c r="D2008" s="1" t="str">
        <x:v>Tackle</x:v>
      </x:c>
      <x:c r="E2008" s="1" t="str">
        <x:v>Normal</x:v>
      </x:c>
      <x:c r="F2008" s="1" t="str">
        <x:v>Física</x:v>
      </x:c>
      <x:c r="G2008" s="10" t="n">
        <x:v>50</x:v>
      </x:c>
      <x:c r="H2008" s="10" t="n">
        <x:f>IF(F2008="Física",'Pokémon'!G217,IF(F2008="Especial",'Pokémon'!I217,""))</x:f>
        <x:v>125</x:v>
      </x:c>
      <x:c r="I2008" s="10" t="n">
        <x:f>IF(OR(F2008="Status",G2008=0),"",G2008+H2008)</x:f>
        <x:v>175</x:v>
      </x:c>
      <x:c r="J2008" s="10" t="n">
        <x:v>1</x:v>
      </x:c>
      <x:c r="K2008" s="12" t="n">
        <x:v>15</x:v>
      </x:c>
      <x:c r="L2008" s="1" t="str"/>
      <x:c r="M2008" s="9" t="str">
        <x:v>https://poke.idleworld.online/pokepedia/pokemon/heracross</x:v>
      </x:c>
    </x:row>
    <x:row r="2009" ht="22" customHeight="1">
      <x:c r="A2009" s="1" t="n">
        <x:v>214</x:v>
      </x:c>
      <x:c r="B2009" s="1" t="str">
        <x:v>Heracross</x:v>
      </x:c>
      <x:c r="C2009" s="1" t="n">
        <x:v>7</x:v>
      </x:c>
      <x:c r="D2009" s="1" t="str">
        <x:v>Feint</x:v>
      </x:c>
      <x:c r="E2009" s="1" t="str">
        <x:v>Normal</x:v>
      </x:c>
      <x:c r="F2009" s="1" t="str">
        <x:v>Física</x:v>
      </x:c>
      <x:c r="G2009" s="10" t="n">
        <x:v>30</x:v>
      </x:c>
      <x:c r="H2009" s="10" t="n">
        <x:f>IF(F2009="Física",'Pokémon'!G217,IF(F2009="Especial",'Pokémon'!I217,""))</x:f>
        <x:v>125</x:v>
      </x:c>
      <x:c r="I2009" s="10" t="n">
        <x:f>IF(OR(F2009="Status",G2009=0),"",G2009+H2009)</x:f>
        <x:v>155</x:v>
      </x:c>
      <x:c r="J2009" s="10" t="n">
        <x:v>7</x:v>
      </x:c>
      <x:c r="K2009" s="12" t="n">
        <x:v>15</x:v>
      </x:c>
      <x:c r="L2009" s="1" t="str"/>
      <x:c r="M2009" s="9" t="str">
        <x:v>https://poke.idleworld.online/pokepedia/pokemon/heracross</x:v>
      </x:c>
    </x:row>
    <x:row r="2010" ht="22" customHeight="1">
      <x:c r="A2010" s="1" t="n">
        <x:v>214</x:v>
      </x:c>
      <x:c r="B2010" s="1" t="str">
        <x:v>Heracross</x:v>
      </x:c>
      <x:c r="C2010" s="1" t="n">
        <x:v>4</x:v>
      </x:c>
      <x:c r="D2010" s="1" t="str">
        <x:v>Bullet Seed</x:v>
      </x:c>
      <x:c r="E2010" s="1" t="str">
        <x:v>Planta</x:v>
      </x:c>
      <x:c r="F2010" s="1" t="str">
        <x:v>Física</x:v>
      </x:c>
      <x:c r="G2010" s="10" t="n">
        <x:v>25</x:v>
      </x:c>
      <x:c r="H2010" s="10" t="n">
        <x:f>IF(F2010="Física",'Pokémon'!G217,IF(F2010="Especial",'Pokémon'!I217,""))</x:f>
        <x:v>125</x:v>
      </x:c>
      <x:c r="I2010" s="10" t="n">
        <x:f>IF(OR(F2010="Status",G2010=0),"",G2010+H2010)</x:f>
        <x:v>150</x:v>
      </x:c>
      <x:c r="J2010" s="10" t="n">
        <x:v>1</x:v>
      </x:c>
      <x:c r="K2010" s="12" t="n">
        <x:v>15</x:v>
      </x:c>
      <x:c r="L2010" s="1" t="str"/>
      <x:c r="M2010" s="9" t="str">
        <x:v>https://poke.idleworld.online/pokepedia/pokemon/heracross</x:v>
      </x:c>
    </x:row>
    <x:row r="2011" ht="22" customHeight="1">
      <x:c r="A2011" s="1" t="n">
        <x:v>214</x:v>
      </x:c>
      <x:c r="B2011" s="1" t="str">
        <x:v>Heracross</x:v>
      </x:c>
      <x:c r="C2011" s="1" t="n">
        <x:v>12</x:v>
      </x:c>
      <x:c r="D2011" s="1" t="str">
        <x:v>Pin Missile</x:v>
      </x:c>
      <x:c r="E2011" s="1" t="str">
        <x:v>Inseto</x:v>
      </x:c>
      <x:c r="F2011" s="1" t="str">
        <x:v>Física</x:v>
      </x:c>
      <x:c r="G2011" s="10" t="n">
        <x:v>25</x:v>
      </x:c>
      <x:c r="H2011" s="10" t="n">
        <x:f>IF(F2011="Física",'Pokémon'!G217,IF(F2011="Especial",'Pokémon'!I217,""))</x:f>
        <x:v>125</x:v>
      </x:c>
      <x:c r="I2011" s="10" t="n">
        <x:f>IF(OR(F2011="Status",G2011=0),"",G2011+H2011)</x:f>
        <x:v>150</x:v>
      </x:c>
      <x:c r="J2011" s="10" t="n">
        <x:v>31</x:v>
      </x:c>
      <x:c r="K2011" s="12" t="n">
        <x:v>15</x:v>
      </x:c>
      <x:c r="L2011" s="1" t="str"/>
      <x:c r="M2011" s="9" t="str">
        <x:v>https://poke.idleworld.online/pokepedia/pokemon/heracross</x:v>
      </x:c>
    </x:row>
    <x:row r="2012" ht="22" customHeight="1">
      <x:c r="A2012" s="1" t="n">
        <x:v>214</x:v>
      </x:c>
      <x:c r="B2012" s="1" t="str">
        <x:v>Heracross</x:v>
      </x:c>
      <x:c r="C2012" s="1" t="n">
        <x:v>3</x:v>
      </x:c>
      <x:c r="D2012" s="1" t="str">
        <x:v>Arm Thrust</x:v>
      </x:c>
      <x:c r="E2012" s="1" t="str">
        <x:v>Lutador</x:v>
      </x:c>
      <x:c r="F2012" s="1" t="str">
        <x:v>Física</x:v>
      </x:c>
      <x:c r="G2012" s="10" t="n">
        <x:v>15</x:v>
      </x:c>
      <x:c r="H2012" s="10" t="n">
        <x:f>IF(F2012="Física",'Pokémon'!G217,IF(F2012="Especial",'Pokémon'!I217,""))</x:f>
        <x:v>125</x:v>
      </x:c>
      <x:c r="I2012" s="10" t="n">
        <x:f>IF(OR(F2012="Status",G2012=0),"",G2012+H2012)</x:f>
        <x:v>140</x:v>
      </x:c>
      <x:c r="J2012" s="10" t="n">
        <x:v>1</x:v>
      </x:c>
      <x:c r="K2012" s="12" t="n">
        <x:v>15</x:v>
      </x:c>
      <x:c r="L2012" s="1" t="str"/>
      <x:c r="M2012" s="9" t="str">
        <x:v>https://poke.idleworld.online/pokepedia/pokemon/heracross</x:v>
      </x:c>
    </x:row>
    <x:row r="2013" ht="22" customHeight="1">
      <x:c r="A2013" s="1" t="n">
        <x:v>214</x:v>
      </x:c>
      <x:c r="B2013" s="1" t="str">
        <x:v>Heracross</x:v>
      </x:c>
      <x:c r="C2013" s="1" t="n">
        <x:v>10</x:v>
      </x:c>
      <x:c r="D2013" s="1" t="str">
        <x:v>Fury Attack</x:v>
      </x:c>
      <x:c r="E2013" s="1" t="str">
        <x:v>Normal</x:v>
      </x:c>
      <x:c r="F2013" s="1" t="str">
        <x:v>Física</x:v>
      </x:c>
      <x:c r="G2013" s="10" t="n">
        <x:v>15</x:v>
      </x:c>
      <x:c r="H2013" s="10" t="n">
        <x:f>IF(F2013="Física",'Pokémon'!G217,IF(F2013="Especial",'Pokémon'!I217,""))</x:f>
        <x:v>125</x:v>
      </x:c>
      <x:c r="I2013" s="10" t="n">
        <x:f>IF(OR(F2013="Status",G2013=0),"",G2013+H2013)</x:f>
        <x:v>140</x:v>
      </x:c>
      <x:c r="J2013" s="10" t="n">
        <x:v>25</x:v>
      </x:c>
      <x:c r="K2013" s="12" t="n">
        <x:v>15</x:v>
      </x:c>
      <x:c r="L2013" s="1" t="str"/>
      <x:c r="M2013" s="9" t="str">
        <x:v>https://poke.idleworld.online/pokepedia/pokemon/heracross</x:v>
      </x:c>
    </x:row>
    <x:row r="2014" ht="22" customHeight="1">
      <x:c r="A2014" s="1" t="n">
        <x:v>215</x:v>
      </x:c>
      <x:c r="B2014" s="1" t="str">
        <x:v>Sneasel</x:v>
      </x:c>
      <x:c r="C2014" s="1" t="n">
        <x:v>7</x:v>
      </x:c>
      <x:c r="D2014" s="1" t="str">
        <x:v>Slash</x:v>
      </x:c>
      <x:c r="E2014" s="1" t="str">
        <x:v>Normal</x:v>
      </x:c>
      <x:c r="F2014" s="1" t="str">
        <x:v>Física</x:v>
      </x:c>
      <x:c r="G2014" s="10" t="n">
        <x:v>70</x:v>
      </x:c>
      <x:c r="H2014" s="10" t="n">
        <x:f>IF(F2014="Física",'Pokémon'!G218,IF(F2014="Especial",'Pokémon'!I218,""))</x:f>
        <x:v>95</x:v>
      </x:c>
      <x:c r="I2014" s="10" t="n">
        <x:f>IF(OR(F2014="Status",G2014=0),"",G2014+H2014)</x:f>
        <x:v>165</x:v>
      </x:c>
      <x:c r="J2014" s="10" t="n">
        <x:v>35</x:v>
      </x:c>
      <x:c r="K2014" s="12" t="n">
        <x:v>20</x:v>
      </x:c>
      <x:c r="L2014" s="1" t="str"/>
      <x:c r="M2014" s="9" t="str">
        <x:v>https://poke.idleworld.online/pokepedia/pokemon/sneasel</x:v>
      </x:c>
    </x:row>
    <x:row r="2015" ht="22" customHeight="1">
      <x:c r="A2015" s="1" t="n">
        <x:v>215</x:v>
      </x:c>
      <x:c r="B2015" s="1" t="str">
        <x:v>Sneasel</x:v>
      </x:c>
      <x:c r="C2015" s="1" t="n">
        <x:v>3</x:v>
      </x:c>
      <x:c r="D2015" s="1" t="str">
        <x:v>Feint Attack</x:v>
      </x:c>
      <x:c r="E2015" s="1" t="str">
        <x:v>Sombrio</x:v>
      </x:c>
      <x:c r="F2015" s="1" t="str">
        <x:v>Física</x:v>
      </x:c>
      <x:c r="G2015" s="10" t="n">
        <x:v>60</x:v>
      </x:c>
      <x:c r="H2015" s="10" t="n">
        <x:f>IF(F2015="Física",'Pokémon'!G218,IF(F2015="Especial",'Pokémon'!I218,""))</x:f>
        <x:v>95</x:v>
      </x:c>
      <x:c r="I2015" s="10" t="n">
        <x:f>IF(OR(F2015="Status",G2015=0),"",G2015+H2015)</x:f>
        <x:v>155</x:v>
      </x:c>
      <x:c r="J2015" s="10" t="n">
        <x:v>10</x:v>
      </x:c>
      <x:c r="K2015" s="12" t="n">
        <x:v>20</x:v>
      </x:c>
      <x:c r="L2015" s="1" t="str"/>
      <x:c r="M2015" s="9" t="str">
        <x:v>https://poke.idleworld.online/pokepedia/pokemon/sneasel</x:v>
      </x:c>
    </x:row>
    <x:row r="2016" ht="22" customHeight="1">
      <x:c r="A2016" s="1" t="n">
        <x:v>215</x:v>
      </x:c>
      <x:c r="B2016" s="1" t="str">
        <x:v>Sneasel</x:v>
      </x:c>
      <x:c r="C2016" s="1" t="n">
        <x:v>6</x:v>
      </x:c>
      <x:c r="D2016" s="1" t="str">
        <x:v>Metal Claw</x:v>
      </x:c>
      <x:c r="E2016" s="1" t="str">
        <x:v>Aço</x:v>
      </x:c>
      <x:c r="F2016" s="1" t="str">
        <x:v>Física</x:v>
      </x:c>
      <x:c r="G2016" s="10" t="n">
        <x:v>50</x:v>
      </x:c>
      <x:c r="H2016" s="10" t="n">
        <x:f>IF(F2016="Física",'Pokémon'!G218,IF(F2016="Especial",'Pokémon'!I218,""))</x:f>
        <x:v>95</x:v>
      </x:c>
      <x:c r="I2016" s="10" t="n">
        <x:f>IF(OR(F2016="Status",G2016=0),"",G2016+H2016)</x:f>
        <x:v>145</x:v>
      </x:c>
      <x:c r="J2016" s="10" t="n">
        <x:v>22</x:v>
      </x:c>
      <x:c r="K2016" s="12" t="n">
        <x:v>15</x:v>
      </x:c>
      <x:c r="L2016" s="1" t="str"/>
      <x:c r="M2016" s="9" t="str">
        <x:v>https://poke.idleworld.online/pokepedia/pokemon/sneasel</x:v>
      </x:c>
    </x:row>
    <x:row r="2017" ht="22" customHeight="1">
      <x:c r="A2017" s="1" t="n">
        <x:v>215</x:v>
      </x:c>
      <x:c r="B2017" s="1" t="str">
        <x:v>Sneasel</x:v>
      </x:c>
      <x:c r="C2017" s="1" t="n">
        <x:v>1</x:v>
      </x:c>
      <x:c r="D2017" s="1" t="str">
        <x:v>Scratch</x:v>
      </x:c>
      <x:c r="E2017" s="1" t="str">
        <x:v>Normal</x:v>
      </x:c>
      <x:c r="F2017" s="1" t="str">
        <x:v>Física</x:v>
      </x:c>
      <x:c r="G2017" s="10" t="n">
        <x:v>40</x:v>
      </x:c>
      <x:c r="H2017" s="10" t="n">
        <x:f>IF(F2017="Física",'Pokémon'!G218,IF(F2017="Especial",'Pokémon'!I218,""))</x:f>
        <x:v>95</x:v>
      </x:c>
      <x:c r="I2017" s="10" t="n">
        <x:f>IF(OR(F2017="Status",G2017=0),"",G2017+H2017)</x:f>
        <x:v>135</x:v>
      </x:c>
      <x:c r="J2017" s="10" t="n">
        <x:v>1</x:v>
      </x:c>
      <x:c r="K2017" s="12" t="n">
        <x:v>15</x:v>
      </x:c>
      <x:c r="L2017" s="1" t="str"/>
      <x:c r="M2017" s="9" t="str">
        <x:v>https://poke.idleworld.online/pokepedia/pokemon/sneasel</x:v>
      </x:c>
    </x:row>
    <x:row r="2018" ht="22" customHeight="1">
      <x:c r="A2018" s="1" t="n">
        <x:v>215</x:v>
      </x:c>
      <x:c r="B2018" s="1" t="str">
        <x:v>Sneasel</x:v>
      </x:c>
      <x:c r="C2018" s="1" t="n">
        <x:v>2</x:v>
      </x:c>
      <x:c r="D2018" s="1" t="str">
        <x:v>Quick Attack</x:v>
      </x:c>
      <x:c r="E2018" s="1" t="str">
        <x:v>Normal</x:v>
      </x:c>
      <x:c r="F2018" s="1" t="str">
        <x:v>Física</x:v>
      </x:c>
      <x:c r="G2018" s="10" t="n">
        <x:v>40</x:v>
      </x:c>
      <x:c r="H2018" s="10" t="n">
        <x:f>IF(F2018="Física",'Pokémon'!G218,IF(F2018="Especial",'Pokémon'!I218,""))</x:f>
        <x:v>95</x:v>
      </x:c>
      <x:c r="I2018" s="10" t="n">
        <x:f>IF(OR(F2018="Status",G2018=0),"",G2018+H2018)</x:f>
        <x:v>135</x:v>
      </x:c>
      <x:c r="J2018" s="10" t="n">
        <x:v>8</x:v>
      </x:c>
      <x:c r="K2018" s="12" t="n">
        <x:v>15</x:v>
      </x:c>
      <x:c r="L2018" s="1" t="str"/>
      <x:c r="M2018" s="9" t="str">
        <x:v>https://poke.idleworld.online/pokepedia/pokemon/sneasel</x:v>
      </x:c>
    </x:row>
    <x:row r="2019" ht="22" customHeight="1">
      <x:c r="A2019" s="1" t="n">
        <x:v>215</x:v>
      </x:c>
      <x:c r="B2019" s="1" t="str">
        <x:v>Sneasel</x:v>
      </x:c>
      <x:c r="C2019" s="1" t="n">
        <x:v>8</x:v>
      </x:c>
      <x:c r="D2019" s="1" t="str">
        <x:v>Ice Shard</x:v>
      </x:c>
      <x:c r="E2019" s="1" t="str">
        <x:v>Gelo</x:v>
      </x:c>
      <x:c r="F2019" s="1" t="str">
        <x:v>Física</x:v>
      </x:c>
      <x:c r="G2019" s="10" t="n">
        <x:v>40</x:v>
      </x:c>
      <x:c r="H2019" s="10" t="n">
        <x:f>IF(F2019="Física",'Pokémon'!G218,IF(F2019="Especial",'Pokémon'!I218,""))</x:f>
        <x:v>95</x:v>
      </x:c>
      <x:c r="I2019" s="10" t="n">
        <x:f>IF(OR(F2019="Status",G2019=0),"",G2019+H2019)</x:f>
        <x:v>135</x:v>
      </x:c>
      <x:c r="J2019" s="10" t="n">
        <x:v>47</x:v>
      </x:c>
      <x:c r="K2019" s="12" t="n">
        <x:v>15</x:v>
      </x:c>
      <x:c r="L2019" s="1" t="str"/>
      <x:c r="M2019" s="9" t="str">
        <x:v>https://poke.idleworld.online/pokepedia/pokemon/sneasel</x:v>
      </x:c>
    </x:row>
    <x:row r="2020" ht="22" customHeight="1">
      <x:c r="A2020" s="1" t="n">
        <x:v>215</x:v>
      </x:c>
      <x:c r="B2020" s="1" t="str">
        <x:v>Sneasel</x:v>
      </x:c>
      <x:c r="C2020" s="1" t="n">
        <x:v>5</x:v>
      </x:c>
      <x:c r="D2020" s="1" t="str">
        <x:v>Fury Swipes</x:v>
      </x:c>
      <x:c r="E2020" s="1" t="str">
        <x:v>Normal</x:v>
      </x:c>
      <x:c r="F2020" s="1" t="str">
        <x:v>Física</x:v>
      </x:c>
      <x:c r="G2020" s="10" t="n">
        <x:v>18</x:v>
      </x:c>
      <x:c r="H2020" s="10" t="n">
        <x:f>IF(F2020="Física",'Pokémon'!G218,IF(F2020="Especial",'Pokémon'!I218,""))</x:f>
        <x:v>95</x:v>
      </x:c>
      <x:c r="I2020" s="10" t="n">
        <x:f>IF(OR(F2020="Status",G2020=0),"",G2020+H2020)</x:f>
        <x:v>113</x:v>
      </x:c>
      <x:c r="J2020" s="10" t="n">
        <x:v>16</x:v>
      </x:c>
      <x:c r="K2020" s="12" t="n">
        <x:v>15</x:v>
      </x:c>
      <x:c r="L2020" s="1" t="str"/>
      <x:c r="M2020" s="9" t="str">
        <x:v>https://poke.idleworld.online/pokepedia/pokemon/sneasel</x:v>
      </x:c>
    </x:row>
    <x:row r="2021" ht="22" customHeight="1">
      <x:c r="A2021" s="1" t="n">
        <x:v>215</x:v>
      </x:c>
      <x:c r="B2021" s="1" t="str">
        <x:v>Sneasel</x:v>
      </x:c>
      <x:c r="C2021" s="1" t="n">
        <x:v>4</x:v>
      </x:c>
      <x:c r="D2021" s="1" t="str">
        <x:v>Icy Wind</x:v>
      </x:c>
      <x:c r="E2021" s="1" t="str">
        <x:v>Gelo</x:v>
      </x:c>
      <x:c r="F2021" s="1" t="str">
        <x:v>Especial</x:v>
      </x:c>
      <x:c r="G2021" s="10" t="n">
        <x:v>55</x:v>
      </x:c>
      <x:c r="H2021" s="10" t="n">
        <x:f>IF(F2021="Física",'Pokémon'!G218,IF(F2021="Especial",'Pokémon'!I218,""))</x:f>
        <x:v>35</x:v>
      </x:c>
      <x:c r="I2021" s="10" t="n">
        <x:f>IF(OR(F2021="Status",G2021=0),"",G2021+H2021)</x:f>
        <x:v>90</x:v>
      </x:c>
      <x:c r="J2021" s="10" t="n">
        <x:v>14</x:v>
      </x:c>
      <x:c r="K2021" s="12" t="n">
        <x:v>25</x:v>
      </x:c>
      <x:c r="L2021" s="1" t="str"/>
      <x:c r="M2021" s="9" t="str">
        <x:v>https://poke.idleworld.online/pokepedia/pokemon/sneasel</x:v>
      </x:c>
    </x:row>
    <x:row r="2022" ht="22" customHeight="1">
      <x:c r="A2022" s="1" t="n">
        <x:v>216</x:v>
      </x:c>
      <x:c r="B2022" s="1" t="str">
        <x:v>Teddiursa</x:v>
      </x:c>
      <x:c r="C2022" s="1" t="n">
        <x:v>8</x:v>
      </x:c>
      <x:c r="D2022" s="1" t="str">
        <x:v>Thrash</x:v>
      </x:c>
      <x:c r="E2022" s="1" t="str">
        <x:v>Normal</x:v>
      </x:c>
      <x:c r="F2022" s="1" t="str">
        <x:v>Física</x:v>
      </x:c>
      <x:c r="G2022" s="10" t="n">
        <x:v>120</x:v>
      </x:c>
      <x:c r="H2022" s="10" t="n">
        <x:f>IF(F2022="Física",'Pokémon'!G219,IF(F2022="Especial",'Pokémon'!I219,""))</x:f>
        <x:v>80</x:v>
      </x:c>
      <x:c r="I2022" s="10" t="n">
        <x:f>IF(OR(F2022="Status",G2022=0),"",G2022+H2022)</x:f>
        <x:v>200</x:v>
      </x:c>
      <x:c r="J2022" s="10" t="n">
        <x:v>50</x:v>
      </x:c>
      <x:c r="K2022" s="12" t="n">
        <x:v>30</x:v>
      </x:c>
      <x:c r="L2022" s="1" t="str"/>
      <x:c r="M2022" s="9" t="str">
        <x:v>https://poke.idleworld.online/pokepedia/pokemon/teddiursa</x:v>
      </x:c>
    </x:row>
    <x:row r="2023" ht="22" customHeight="1">
      <x:c r="A2023" s="1" t="n">
        <x:v>216</x:v>
      </x:c>
      <x:c r="B2023" s="1" t="str">
        <x:v>Teddiursa</x:v>
      </x:c>
      <x:c r="C2023" s="1" t="n">
        <x:v>6</x:v>
      </x:c>
      <x:c r="D2023" s="1" t="str">
        <x:v>Slash</x:v>
      </x:c>
      <x:c r="E2023" s="1" t="str">
        <x:v>Normal</x:v>
      </x:c>
      <x:c r="F2023" s="1" t="str">
        <x:v>Física</x:v>
      </x:c>
      <x:c r="G2023" s="10" t="n">
        <x:v>70</x:v>
      </x:c>
      <x:c r="H2023" s="10" t="n">
        <x:f>IF(F2023="Física",'Pokémon'!G219,IF(F2023="Especial",'Pokémon'!I219,""))</x:f>
        <x:v>80</x:v>
      </x:c>
      <x:c r="I2023" s="10" t="n">
        <x:f>IF(OR(F2023="Status",G2023=0),"",G2023+H2023)</x:f>
        <x:v>150</x:v>
      </x:c>
      <x:c r="J2023" s="10" t="n">
        <x:v>29</x:v>
      </x:c>
      <x:c r="K2023" s="12" t="n">
        <x:v>20</x:v>
      </x:c>
      <x:c r="L2023" s="1" t="str"/>
      <x:c r="M2023" s="9" t="str">
        <x:v>https://poke.idleworld.online/pokepedia/pokemon/teddiursa</x:v>
      </x:c>
    </x:row>
    <x:row r="2024" ht="22" customHeight="1">
      <x:c r="A2024" s="1" t="n">
        <x:v>216</x:v>
      </x:c>
      <x:c r="B2024" s="1" t="str">
        <x:v>Teddiursa</x:v>
      </x:c>
      <x:c r="C2024" s="1" t="n">
        <x:v>3</x:v>
      </x:c>
      <x:c r="D2024" s="1" t="str">
        <x:v>Covet</x:v>
      </x:c>
      <x:c r="E2024" s="1" t="str">
        <x:v>Normal</x:v>
      </x:c>
      <x:c r="F2024" s="1" t="str">
        <x:v>Física</x:v>
      </x:c>
      <x:c r="G2024" s="10" t="n">
        <x:v>60</x:v>
      </x:c>
      <x:c r="H2024" s="10" t="n">
        <x:f>IF(F2024="Física",'Pokémon'!G219,IF(F2024="Especial",'Pokémon'!I219,""))</x:f>
        <x:v>80</x:v>
      </x:c>
      <x:c r="I2024" s="10" t="n">
        <x:f>IF(OR(F2024="Status",G2024=0),"",G2024+H2024)</x:f>
        <x:v>140</x:v>
      </x:c>
      <x:c r="J2024" s="10" t="n">
        <x:v>1</x:v>
      </x:c>
      <x:c r="K2024" s="12" t="n">
        <x:v>20</x:v>
      </x:c>
      <x:c r="L2024" s="1" t="str"/>
      <x:c r="M2024" s="9" t="str">
        <x:v>https://poke.idleworld.online/pokepedia/pokemon/teddiursa</x:v>
      </x:c>
    </x:row>
    <x:row r="2025" ht="22" customHeight="1">
      <x:c r="A2025" s="1" t="n">
        <x:v>216</x:v>
      </x:c>
      <x:c r="B2025" s="1" t="str">
        <x:v>Teddiursa</x:v>
      </x:c>
      <x:c r="C2025" s="1" t="n">
        <x:v>5</x:v>
      </x:c>
      <x:c r="D2025" s="1" t="str">
        <x:v>Feint Attack</x:v>
      </x:c>
      <x:c r="E2025" s="1" t="str">
        <x:v>Sombrio</x:v>
      </x:c>
      <x:c r="F2025" s="1" t="str">
        <x:v>Física</x:v>
      </x:c>
      <x:c r="G2025" s="10" t="n">
        <x:v>60</x:v>
      </x:c>
      <x:c r="H2025" s="10" t="n">
        <x:f>IF(F2025="Física",'Pokémon'!G219,IF(F2025="Especial",'Pokémon'!I219,""))</x:f>
        <x:v>80</x:v>
      </x:c>
      <x:c r="I2025" s="10" t="n">
        <x:f>IF(OR(F2025="Status",G2025=0),"",G2025+H2025)</x:f>
        <x:v>140</x:v>
      </x:c>
      <x:c r="J2025" s="10" t="n">
        <x:v>15</x:v>
      </x:c>
      <x:c r="K2025" s="12" t="n">
        <x:v>20</x:v>
      </x:c>
      <x:c r="L2025" s="1" t="str"/>
      <x:c r="M2025" s="9" t="str">
        <x:v>https://poke.idleworld.online/pokepedia/pokemon/teddiursa</x:v>
      </x:c>
    </x:row>
    <x:row r="2026" ht="22" customHeight="1">
      <x:c r="A2026" s="1" t="n">
        <x:v>216</x:v>
      </x:c>
      <x:c r="B2026" s="1" t="str">
        <x:v>Teddiursa</x:v>
      </x:c>
      <x:c r="C2026" s="1" t="n">
        <x:v>1</x:v>
      </x:c>
      <x:c r="D2026" s="1" t="str">
        <x:v>Scratch</x:v>
      </x:c>
      <x:c r="E2026" s="1" t="str">
        <x:v>Normal</x:v>
      </x:c>
      <x:c r="F2026" s="1" t="str">
        <x:v>Física</x:v>
      </x:c>
      <x:c r="G2026" s="10" t="n">
        <x:v>40</x:v>
      </x:c>
      <x:c r="H2026" s="10" t="n">
        <x:f>IF(F2026="Física",'Pokémon'!G219,IF(F2026="Especial",'Pokémon'!I219,""))</x:f>
        <x:v>80</x:v>
      </x:c>
      <x:c r="I2026" s="10" t="n">
        <x:f>IF(OR(F2026="Status",G2026=0),"",G2026+H2026)</x:f>
        <x:v>120</x:v>
      </x:c>
      <x:c r="J2026" s="10" t="n">
        <x:v>1</x:v>
      </x:c>
      <x:c r="K2026" s="12" t="n">
        <x:v>12</x:v>
      </x:c>
      <x:c r="L2026" s="1" t="str"/>
      <x:c r="M2026" s="9" t="str">
        <x:v>https://poke.idleworld.online/pokepedia/pokemon/teddiursa</x:v>
      </x:c>
    </x:row>
    <x:row r="2027" ht="22" customHeight="1">
      <x:c r="A2027" s="1" t="n">
        <x:v>216</x:v>
      </x:c>
      <x:c r="B2027" s="1" t="str">
        <x:v>Teddiursa</x:v>
      </x:c>
      <x:c r="C2027" s="1" t="n">
        <x:v>2</x:v>
      </x:c>
      <x:c r="D2027" s="1" t="str">
        <x:v>Lick</x:v>
      </x:c>
      <x:c r="E2027" s="1" t="str">
        <x:v>Fantasma</x:v>
      </x:c>
      <x:c r="F2027" s="1" t="str">
        <x:v>Física</x:v>
      </x:c>
      <x:c r="G2027" s="10" t="n">
        <x:v>30</x:v>
      </x:c>
      <x:c r="H2027" s="10" t="n">
        <x:f>IF(F2027="Física",'Pokémon'!G219,IF(F2027="Especial",'Pokémon'!I219,""))</x:f>
        <x:v>80</x:v>
      </x:c>
      <x:c r="I2027" s="10" t="n">
        <x:f>IF(OR(F2027="Status",G2027=0),"",G2027+H2027)</x:f>
        <x:v>110</x:v>
      </x:c>
      <x:c r="J2027" s="10" t="n">
        <x:v>1</x:v>
      </x:c>
      <x:c r="K2027" s="12" t="n">
        <x:v>15</x:v>
      </x:c>
      <x:c r="L2027" s="1" t="str"/>
      <x:c r="M2027" s="9" t="str">
        <x:v>https://poke.idleworld.online/pokepedia/pokemon/teddiursa</x:v>
      </x:c>
    </x:row>
    <x:row r="2028" ht="22" customHeight="1">
      <x:c r="A2028" s="1" t="n">
        <x:v>216</x:v>
      </x:c>
      <x:c r="B2028" s="1" t="str">
        <x:v>Teddiursa</x:v>
      </x:c>
      <x:c r="C2028" s="1" t="n">
        <x:v>7</x:v>
      </x:c>
      <x:c r="D2028" s="1" t="str">
        <x:v>Snore</x:v>
      </x:c>
      <x:c r="E2028" s="1" t="str">
        <x:v>Normal</x:v>
      </x:c>
      <x:c r="F2028" s="1" t="str">
        <x:v>Especial</x:v>
      </x:c>
      <x:c r="G2028" s="10" t="n">
        <x:v>50</x:v>
      </x:c>
      <x:c r="H2028" s="10" t="n">
        <x:f>IF(F2028="Física",'Pokémon'!G219,IF(F2028="Especial",'Pokémon'!I219,""))</x:f>
        <x:v>50</x:v>
      </x:c>
      <x:c r="I2028" s="10" t="n">
        <x:f>IF(OR(F2028="Status",G2028=0),"",G2028+H2028)</x:f>
        <x:v>100</x:v>
      </x:c>
      <x:c r="J2028" s="10" t="n">
        <x:v>43</x:v>
      </x:c>
      <x:c r="K2028" s="12" t="n">
        <x:v>15</x:v>
      </x:c>
      <x:c r="L2028" s="1" t="str"/>
      <x:c r="M2028" s="9" t="str">
        <x:v>https://poke.idleworld.online/pokepedia/pokemon/teddiursa</x:v>
      </x:c>
    </x:row>
    <x:row r="2029" ht="22" customHeight="1">
      <x:c r="A2029" s="1" t="n">
        <x:v>216</x:v>
      </x:c>
      <x:c r="B2029" s="1" t="str">
        <x:v>Teddiursa</x:v>
      </x:c>
      <x:c r="C2029" s="1" t="n">
        <x:v>4</x:v>
      </x:c>
      <x:c r="D2029" s="1" t="str">
        <x:v>Fury Swipes</x:v>
      </x:c>
      <x:c r="E2029" s="1" t="str">
        <x:v>Normal</x:v>
      </x:c>
      <x:c r="F2029" s="1" t="str">
        <x:v>Física</x:v>
      </x:c>
      <x:c r="G2029" s="10" t="n">
        <x:v>18</x:v>
      </x:c>
      <x:c r="H2029" s="10" t="n">
        <x:f>IF(F2029="Física",'Pokémon'!G219,IF(F2029="Especial",'Pokémon'!I219,""))</x:f>
        <x:v>80</x:v>
      </x:c>
      <x:c r="I2029" s="10" t="n">
        <x:f>IF(OR(F2029="Status",G2029=0),"",G2029+H2029)</x:f>
        <x:v>98</x:v>
      </x:c>
      <x:c r="J2029" s="10" t="n">
        <x:v>8</x:v>
      </x:c>
      <x:c r="K2029" s="12" t="n">
        <x:v>15</x:v>
      </x:c>
      <x:c r="L2029" s="1" t="str"/>
      <x:c r="M2029" s="9" t="str">
        <x:v>https://poke.idleworld.online/pokepedia/pokemon/teddiursa</x:v>
      </x:c>
    </x:row>
    <x:row r="2030" ht="22" customHeight="1">
      <x:c r="A2030" s="1" t="n">
        <x:v>217</x:v>
      </x:c>
      <x:c r="B2030" s="1" t="str">
        <x:v>Ursaring</x:v>
      </x:c>
      <x:c r="C2030" s="1" t="n">
        <x:v>9</x:v>
      </x:c>
      <x:c r="D2030" s="1" t="str">
        <x:v>Thrash</x:v>
      </x:c>
      <x:c r="E2030" s="1" t="str">
        <x:v>Normal</x:v>
      </x:c>
      <x:c r="F2030" s="1" t="str">
        <x:v>Física</x:v>
      </x:c>
      <x:c r="G2030" s="10" t="n">
        <x:v>120</x:v>
      </x:c>
      <x:c r="H2030" s="10" t="n">
        <x:f>IF(F2030="Física",'Pokémon'!G220,IF(F2030="Especial",'Pokémon'!I220,""))</x:f>
        <x:v>130</x:v>
      </x:c>
      <x:c r="I2030" s="10" t="n">
        <x:f>IF(OR(F2030="Status",G2030=0),"",G2030+H2030)</x:f>
        <x:v>250</x:v>
      </x:c>
      <x:c r="J2030" s="10" t="n">
        <x:v>58</x:v>
      </x:c>
      <x:c r="K2030" s="12" t="n">
        <x:v>30</x:v>
      </x:c>
      <x:c r="L2030" s="1" t="str"/>
      <x:c r="M2030" s="9" t="str">
        <x:v>https://poke.idleworld.online/pokepedia/pokemon/ursaring</x:v>
      </x:c>
    </x:row>
    <x:row r="2031" ht="22" customHeight="1">
      <x:c r="A2031" s="1" t="n">
        <x:v>217</x:v>
      </x:c>
      <x:c r="B2031" s="1" t="str">
        <x:v>Ursaring</x:v>
      </x:c>
      <x:c r="C2031" s="1" t="n">
        <x:v>4</x:v>
      </x:c>
      <x:c r="D2031" s="1" t="str">
        <x:v>Hammer Arm</x:v>
      </x:c>
      <x:c r="E2031" s="1" t="str">
        <x:v>Lutador</x:v>
      </x:c>
      <x:c r="F2031" s="1" t="str">
        <x:v>Física</x:v>
      </x:c>
      <x:c r="G2031" s="10" t="n">
        <x:v>100</x:v>
      </x:c>
      <x:c r="H2031" s="10" t="n">
        <x:f>IF(F2031="Física",'Pokémon'!G220,IF(F2031="Especial",'Pokémon'!I220,""))</x:f>
        <x:v>130</x:v>
      </x:c>
      <x:c r="I2031" s="10" t="n">
        <x:f>IF(OR(F2031="Status",G2031=0),"",G2031+H2031)</x:f>
        <x:v>230</x:v>
      </x:c>
      <x:c r="J2031" s="10" t="n">
        <x:v>1</x:v>
      </x:c>
      <x:c r="K2031" s="12" t="n">
        <x:v>40</x:v>
      </x:c>
      <x:c r="L2031" s="1" t="str"/>
      <x:c r="M2031" s="9" t="str">
        <x:v>https://poke.idleworld.online/pokepedia/pokemon/ursaring</x:v>
      </x:c>
    </x:row>
    <x:row r="2032" ht="22" customHeight="1">
      <x:c r="A2032" s="1" t="n">
        <x:v>217</x:v>
      </x:c>
      <x:c r="B2032" s="1" t="str">
        <x:v>Ursaring</x:v>
      </x:c>
      <x:c r="C2032" s="1" t="n">
        <x:v>7</x:v>
      </x:c>
      <x:c r="D2032" s="1" t="str">
        <x:v>Slash</x:v>
      </x:c>
      <x:c r="E2032" s="1" t="str">
        <x:v>Normal</x:v>
      </x:c>
      <x:c r="F2032" s="1" t="str">
        <x:v>Física</x:v>
      </x:c>
      <x:c r="G2032" s="10" t="n">
        <x:v>70</x:v>
      </x:c>
      <x:c r="H2032" s="10" t="n">
        <x:f>IF(F2032="Física",'Pokémon'!G220,IF(F2032="Especial",'Pokémon'!I220,""))</x:f>
        <x:v>130</x:v>
      </x:c>
      <x:c r="I2032" s="10" t="n">
        <x:f>IF(OR(F2032="Status",G2032=0),"",G2032+H2032)</x:f>
        <x:v>200</x:v>
      </x:c>
      <x:c r="J2032" s="10" t="n">
        <x:v>29</x:v>
      </x:c>
      <x:c r="K2032" s="12" t="n">
        <x:v>20</x:v>
      </x:c>
      <x:c r="L2032" s="1" t="str"/>
      <x:c r="M2032" s="9" t="str">
        <x:v>https://poke.idleworld.online/pokepedia/pokemon/ursaring</x:v>
      </x:c>
    </x:row>
    <x:row r="2033" ht="22" customHeight="1">
      <x:c r="A2033" s="1" t="n">
        <x:v>217</x:v>
      </x:c>
      <x:c r="B2033" s="1" t="str">
        <x:v>Ursaring</x:v>
      </x:c>
      <x:c r="C2033" s="1" t="n">
        <x:v>3</x:v>
      </x:c>
      <x:c r="D2033" s="1" t="str">
        <x:v>Covet</x:v>
      </x:c>
      <x:c r="E2033" s="1" t="str">
        <x:v>Normal</x:v>
      </x:c>
      <x:c r="F2033" s="1" t="str">
        <x:v>Física</x:v>
      </x:c>
      <x:c r="G2033" s="10" t="n">
        <x:v>60</x:v>
      </x:c>
      <x:c r="H2033" s="10" t="n">
        <x:f>IF(F2033="Física",'Pokémon'!G220,IF(F2033="Especial",'Pokémon'!I220,""))</x:f>
        <x:v>130</x:v>
      </x:c>
      <x:c r="I2033" s="10" t="n">
        <x:f>IF(OR(F2033="Status",G2033=0),"",G2033+H2033)</x:f>
        <x:v>190</x:v>
      </x:c>
      <x:c r="J2033" s="10" t="n">
        <x:v>1</x:v>
      </x:c>
      <x:c r="K2033" s="12" t="n">
        <x:v>20</x:v>
      </x:c>
      <x:c r="L2033" s="1" t="str"/>
      <x:c r="M2033" s="9" t="str">
        <x:v>https://poke.idleworld.online/pokepedia/pokemon/ursaring</x:v>
      </x:c>
    </x:row>
    <x:row r="2034" ht="22" customHeight="1">
      <x:c r="A2034" s="1" t="n">
        <x:v>217</x:v>
      </x:c>
      <x:c r="B2034" s="1" t="str">
        <x:v>Ursaring</x:v>
      </x:c>
      <x:c r="C2034" s="1" t="n">
        <x:v>6</x:v>
      </x:c>
      <x:c r="D2034" s="1" t="str">
        <x:v>Feint Attack</x:v>
      </x:c>
      <x:c r="E2034" s="1" t="str">
        <x:v>Sombrio</x:v>
      </x:c>
      <x:c r="F2034" s="1" t="str">
        <x:v>Física</x:v>
      </x:c>
      <x:c r="G2034" s="10" t="n">
        <x:v>60</x:v>
      </x:c>
      <x:c r="H2034" s="10" t="n">
        <x:f>IF(F2034="Física",'Pokémon'!G220,IF(F2034="Especial",'Pokémon'!I220,""))</x:f>
        <x:v>130</x:v>
      </x:c>
      <x:c r="I2034" s="10" t="n">
        <x:f>IF(OR(F2034="Status",G2034=0),"",G2034+H2034)</x:f>
        <x:v>190</x:v>
      </x:c>
      <x:c r="J2034" s="10" t="n">
        <x:v>15</x:v>
      </x:c>
      <x:c r="K2034" s="12" t="n">
        <x:v>20</x:v>
      </x:c>
      <x:c r="L2034" s="1" t="str"/>
      <x:c r="M2034" s="9" t="str">
        <x:v>https://poke.idleworld.online/pokepedia/pokemon/ursaring</x:v>
      </x:c>
    </x:row>
    <x:row r="2035" ht="22" customHeight="1">
      <x:c r="A2035" s="1" t="n">
        <x:v>217</x:v>
      </x:c>
      <x:c r="B2035" s="1" t="str">
        <x:v>Ursaring</x:v>
      </x:c>
      <x:c r="C2035" s="1" t="n">
        <x:v>1</x:v>
      </x:c>
      <x:c r="D2035" s="1" t="str">
        <x:v>Scratch</x:v>
      </x:c>
      <x:c r="E2035" s="1" t="str">
        <x:v>Normal</x:v>
      </x:c>
      <x:c r="F2035" s="1" t="str">
        <x:v>Física</x:v>
      </x:c>
      <x:c r="G2035" s="10" t="n">
        <x:v>40</x:v>
      </x:c>
      <x:c r="H2035" s="10" t="n">
        <x:f>IF(F2035="Física",'Pokémon'!G220,IF(F2035="Especial",'Pokémon'!I220,""))</x:f>
        <x:v>130</x:v>
      </x:c>
      <x:c r="I2035" s="10" t="n">
        <x:f>IF(OR(F2035="Status",G2035=0),"",G2035+H2035)</x:f>
        <x:v>170</x:v>
      </x:c>
      <x:c r="J2035" s="10" t="n">
        <x:v>1</x:v>
      </x:c>
      <x:c r="K2035" s="12" t="n">
        <x:v>12</x:v>
      </x:c>
      <x:c r="L2035" s="1" t="str"/>
      <x:c r="M2035" s="9" t="str">
        <x:v>https://poke.idleworld.online/pokepedia/pokemon/ursaring</x:v>
      </x:c>
    </x:row>
    <x:row r="2036" ht="22" customHeight="1">
      <x:c r="A2036" s="1" t="n">
        <x:v>217</x:v>
      </x:c>
      <x:c r="B2036" s="1" t="str">
        <x:v>Ursaring</x:v>
      </x:c>
      <x:c r="C2036" s="1" t="n">
        <x:v>2</x:v>
      </x:c>
      <x:c r="D2036" s="1" t="str">
        <x:v>Lick</x:v>
      </x:c>
      <x:c r="E2036" s="1" t="str">
        <x:v>Fantasma</x:v>
      </x:c>
      <x:c r="F2036" s="1" t="str">
        <x:v>Física</x:v>
      </x:c>
      <x:c r="G2036" s="10" t="n">
        <x:v>30</x:v>
      </x:c>
      <x:c r="H2036" s="10" t="n">
        <x:f>IF(F2036="Física",'Pokémon'!G220,IF(F2036="Especial",'Pokémon'!I220,""))</x:f>
        <x:v>130</x:v>
      </x:c>
      <x:c r="I2036" s="10" t="n">
        <x:f>IF(OR(F2036="Status",G2036=0),"",G2036+H2036)</x:f>
        <x:v>160</x:v>
      </x:c>
      <x:c r="J2036" s="10" t="n">
        <x:v>1</x:v>
      </x:c>
      <x:c r="K2036" s="12" t="n">
        <x:v>15</x:v>
      </x:c>
      <x:c r="L2036" s="1" t="str"/>
      <x:c r="M2036" s="9" t="str">
        <x:v>https://poke.idleworld.online/pokepedia/pokemon/ursaring</x:v>
      </x:c>
    </x:row>
    <x:row r="2037" ht="22" customHeight="1">
      <x:c r="A2037" s="1" t="n">
        <x:v>217</x:v>
      </x:c>
      <x:c r="B2037" s="1" t="str">
        <x:v>Ursaring</x:v>
      </x:c>
      <x:c r="C2037" s="1" t="n">
        <x:v>5</x:v>
      </x:c>
      <x:c r="D2037" s="1" t="str">
        <x:v>Fury Swipes</x:v>
      </x:c>
      <x:c r="E2037" s="1" t="str">
        <x:v>Normal</x:v>
      </x:c>
      <x:c r="F2037" s="1" t="str">
        <x:v>Física</x:v>
      </x:c>
      <x:c r="G2037" s="10" t="n">
        <x:v>18</x:v>
      </x:c>
      <x:c r="H2037" s="10" t="n">
        <x:f>IF(F2037="Física",'Pokémon'!G220,IF(F2037="Especial",'Pokémon'!I220,""))</x:f>
        <x:v>130</x:v>
      </x:c>
      <x:c r="I2037" s="10" t="n">
        <x:f>IF(OR(F2037="Status",G2037=0),"",G2037+H2037)</x:f>
        <x:v>148</x:v>
      </x:c>
      <x:c r="J2037" s="10" t="n">
        <x:v>8</x:v>
      </x:c>
      <x:c r="K2037" s="12" t="n">
        <x:v>15</x:v>
      </x:c>
      <x:c r="L2037" s="1" t="str"/>
      <x:c r="M2037" s="9" t="str">
        <x:v>https://poke.idleworld.online/pokepedia/pokemon/ursaring</x:v>
      </x:c>
    </x:row>
    <x:row r="2038" ht="22" customHeight="1">
      <x:c r="A2038" s="1" t="n">
        <x:v>217</x:v>
      </x:c>
      <x:c r="B2038" s="1" t="str">
        <x:v>Ursaring</x:v>
      </x:c>
      <x:c r="C2038" s="1" t="n">
        <x:v>8</x:v>
      </x:c>
      <x:c r="D2038" s="1" t="str">
        <x:v>Snore</x:v>
      </x:c>
      <x:c r="E2038" s="1" t="str">
        <x:v>Normal</x:v>
      </x:c>
      <x:c r="F2038" s="1" t="str">
        <x:v>Especial</x:v>
      </x:c>
      <x:c r="G2038" s="10" t="n">
        <x:v>50</x:v>
      </x:c>
      <x:c r="H2038" s="10" t="n">
        <x:f>IF(F2038="Física",'Pokémon'!G220,IF(F2038="Especial",'Pokémon'!I220,""))</x:f>
        <x:v>75</x:v>
      </x:c>
      <x:c r="I2038" s="10" t="n">
        <x:f>IF(OR(F2038="Status",G2038=0),"",G2038+H2038)</x:f>
        <x:v>125</x:v>
      </x:c>
      <x:c r="J2038" s="10" t="n">
        <x:v>49</x:v>
      </x:c>
      <x:c r="K2038" s="12" t="n">
        <x:v>15</x:v>
      </x:c>
      <x:c r="L2038" s="1" t="str"/>
      <x:c r="M2038" s="9" t="str">
        <x:v>https://poke.idleworld.online/pokepedia/pokemon/ursaring</x:v>
      </x:c>
    </x:row>
    <x:row r="2039" ht="22" customHeight="1">
      <x:c r="A2039" s="1" t="n">
        <x:v>218</x:v>
      </x:c>
      <x:c r="B2039" s="1" t="str">
        <x:v>Slugma</x:v>
      </x:c>
      <x:c r="C2039" s="1" t="n">
        <x:v>11</x:v>
      </x:c>
      <x:c r="D2039" s="1" t="str">
        <x:v>Flamethrower</x:v>
      </x:c>
      <x:c r="E2039" s="1" t="str">
        <x:v>Fogo</x:v>
      </x:c>
      <x:c r="F2039" s="1" t="str">
        <x:v>Especial</x:v>
      </x:c>
      <x:c r="G2039" s="10" t="n">
        <x:v>90</x:v>
      </x:c>
      <x:c r="H2039" s="10" t="n">
        <x:f>IF(F2039="Física",'Pokémon'!G221,IF(F2039="Especial",'Pokémon'!I221,""))</x:f>
        <x:v>70</x:v>
      </x:c>
      <x:c r="I2039" s="10" t="n">
        <x:f>IF(OR(F2039="Status",G2039=0),"",G2039+H2039)</x:f>
        <x:v>160</x:v>
      </x:c>
      <x:c r="J2039" s="10" t="n">
        <x:v>48</x:v>
      </x:c>
      <x:c r="K2039" s="12" t="n">
        <x:v>18</x:v>
      </x:c>
      <x:c r="L2039" s="1" t="str"/>
      <x:c r="M2039" s="9" t="str">
        <x:v>https://poke.idleworld.online/pokepedia/pokemon/slugma</x:v>
      </x:c>
    </x:row>
    <x:row r="2040" ht="22" customHeight="1">
      <x:c r="A2040" s="1" t="n">
        <x:v>218</x:v>
      </x:c>
      <x:c r="B2040" s="1" t="str">
        <x:v>Slugma</x:v>
      </x:c>
      <x:c r="C2040" s="1" t="n">
        <x:v>12</x:v>
      </x:c>
      <x:c r="D2040" s="1" t="str">
        <x:v>Earth Power</x:v>
      </x:c>
      <x:c r="E2040" s="1" t="str">
        <x:v>Terrestre</x:v>
      </x:c>
      <x:c r="F2040" s="1" t="str">
        <x:v>Especial</x:v>
      </x:c>
      <x:c r="G2040" s="10" t="n">
        <x:v>90</x:v>
      </x:c>
      <x:c r="H2040" s="10" t="n">
        <x:f>IF(F2040="Física",'Pokémon'!G221,IF(F2040="Especial",'Pokémon'!I221,""))</x:f>
        <x:v>70</x:v>
      </x:c>
      <x:c r="I2040" s="10" t="n">
        <x:f>IF(OR(F2040="Status",G2040=0),"",G2040+H2040)</x:f>
        <x:v>160</x:v>
      </x:c>
      <x:c r="J2040" s="10" t="n">
        <x:v>50</x:v>
      </x:c>
      <x:c r="K2040" s="12" t="n">
        <x:v>22</x:v>
      </x:c>
      <x:c r="L2040" s="1" t="str"/>
      <x:c r="M2040" s="9" t="str">
        <x:v>https://poke.idleworld.online/pokepedia/pokemon/slugma</x:v>
      </x:c>
    </x:row>
    <x:row r="2041" ht="22" customHeight="1">
      <x:c r="A2041" s="1" t="n">
        <x:v>218</x:v>
      </x:c>
      <x:c r="B2041" s="1" t="str">
        <x:v>Slugma</x:v>
      </x:c>
      <x:c r="C2041" s="1" t="n">
        <x:v>9</x:v>
      </x:c>
      <x:c r="D2041" s="1" t="str">
        <x:v>Lava Plume</x:v>
      </x:c>
      <x:c r="E2041" s="1" t="str">
        <x:v>Fogo</x:v>
      </x:c>
      <x:c r="F2041" s="1" t="str">
        <x:v>Especial</x:v>
      </x:c>
      <x:c r="G2041" s="10" t="n">
        <x:v>80</x:v>
      </x:c>
      <x:c r="H2041" s="10" t="n">
        <x:f>IF(F2041="Física",'Pokémon'!G221,IF(F2041="Especial",'Pokémon'!I221,""))</x:f>
        <x:v>70</x:v>
      </x:c>
      <x:c r="I2041" s="10" t="n">
        <x:f>IF(OR(F2041="Status",G2041=0),"",G2041+H2041)</x:f>
        <x:v>150</x:v>
      </x:c>
      <x:c r="J2041" s="10" t="n">
        <x:v>34</x:v>
      </x:c>
      <x:c r="K2041" s="12" t="n">
        <x:v>22</x:v>
      </x:c>
      <x:c r="L2041" s="1" t="str"/>
      <x:c r="M2041" s="9" t="str">
        <x:v>https://poke.idleworld.online/pokepedia/pokemon/slugma</x:v>
      </x:c>
    </x:row>
    <x:row r="2042" ht="22" customHeight="1">
      <x:c r="A2042" s="1" t="n">
        <x:v>218</x:v>
      </x:c>
      <x:c r="B2042" s="1" t="str">
        <x:v>Slugma</x:v>
      </x:c>
      <x:c r="C2042" s="1" t="n">
        <x:v>7</x:v>
      </x:c>
      <x:c r="D2042" s="1" t="str">
        <x:v>Flame Burst</x:v>
      </x:c>
      <x:c r="E2042" s="1" t="str">
        <x:v>Fogo</x:v>
      </x:c>
      <x:c r="F2042" s="1" t="str">
        <x:v>Especial</x:v>
      </x:c>
      <x:c r="G2042" s="10" t="n">
        <x:v>70</x:v>
      </x:c>
      <x:c r="H2042" s="10" t="n">
        <x:f>IF(F2042="Física",'Pokémon'!G221,IF(F2042="Especial",'Pokémon'!I221,""))</x:f>
        <x:v>70</x:v>
      </x:c>
      <x:c r="I2042" s="10" t="n">
        <x:f>IF(OR(F2042="Status",G2042=0),"",G2042+H2042)</x:f>
        <x:v>140</x:v>
      </x:c>
      <x:c r="J2042" s="10" t="n">
        <x:v>27</x:v>
      </x:c>
      <x:c r="K2042" s="12" t="n">
        <x:v>20</x:v>
      </x:c>
      <x:c r="L2042" s="1" t="str"/>
      <x:c r="M2042" s="9" t="str">
        <x:v>https://poke.idleworld.online/pokepedia/pokemon/slugma</x:v>
      </x:c>
    </x:row>
    <x:row r="2043" ht="22" customHeight="1">
      <x:c r="A2043" s="1" t="n">
        <x:v>218</x:v>
      </x:c>
      <x:c r="B2043" s="1" t="str">
        <x:v>Slugma</x:v>
      </x:c>
      <x:c r="C2043" s="1" t="n">
        <x:v>4</x:v>
      </x:c>
      <x:c r="D2043" s="1" t="str">
        <x:v>Incinerate</x:v>
      </x:c>
      <x:c r="E2043" s="1" t="str">
        <x:v>Fogo</x:v>
      </x:c>
      <x:c r="F2043" s="1" t="str">
        <x:v>Especial</x:v>
      </x:c>
      <x:c r="G2043" s="10" t="n">
        <x:v>60</x:v>
      </x:c>
      <x:c r="H2043" s="10" t="n">
        <x:f>IF(F2043="Física",'Pokémon'!G221,IF(F2043="Especial",'Pokémon'!I221,""))</x:f>
        <x:v>70</x:v>
      </x:c>
      <x:c r="I2043" s="10" t="n">
        <x:f>IF(OR(F2043="Status",G2043=0),"",G2043+H2043)</x:f>
        <x:v>130</x:v>
      </x:c>
      <x:c r="J2043" s="10" t="n">
        <x:v>15</x:v>
      </x:c>
      <x:c r="K2043" s="12" t="n">
        <x:v>20</x:v>
      </x:c>
      <x:c r="L2043" s="1" t="str"/>
      <x:c r="M2043" s="9" t="str">
        <x:v>https://poke.idleworld.online/pokepedia/pokemon/slugma</x:v>
      </x:c>
    </x:row>
    <x:row r="2044" ht="22" customHeight="1">
      <x:c r="A2044" s="1" t="n">
        <x:v>218</x:v>
      </x:c>
      <x:c r="B2044" s="1" t="str">
        <x:v>Slugma</x:v>
      </x:c>
      <x:c r="C2044" s="1" t="n">
        <x:v>6</x:v>
      </x:c>
      <x:c r="D2044" s="1" t="str">
        <x:v>Ancient Power</x:v>
      </x:c>
      <x:c r="E2044" s="1" t="str">
        <x:v>Pedra</x:v>
      </x:c>
      <x:c r="F2044" s="1" t="str">
        <x:v>Especial</x:v>
      </x:c>
      <x:c r="G2044" s="10" t="n">
        <x:v>60</x:v>
      </x:c>
      <x:c r="H2044" s="10" t="n">
        <x:f>IF(F2044="Física",'Pokémon'!G221,IF(F2044="Especial",'Pokémon'!I221,""))</x:f>
        <x:v>70</x:v>
      </x:c>
      <x:c r="I2044" s="10" t="n">
        <x:f>IF(OR(F2044="Status",G2044=0),"",G2044+H2044)</x:f>
        <x:v>130</x:v>
      </x:c>
      <x:c r="J2044" s="10" t="n">
        <x:v>22</x:v>
      </x:c>
      <x:c r="K2044" s="12" t="n">
        <x:v>20</x:v>
      </x:c>
      <x:c r="L2044" s="1" t="str"/>
      <x:c r="M2044" s="9" t="str">
        <x:v>https://poke.idleworld.online/pokepedia/pokemon/slugma</x:v>
      </x:c>
    </x:row>
    <x:row r="2045" ht="22" customHeight="1">
      <x:c r="A2045" s="1" t="n">
        <x:v>218</x:v>
      </x:c>
      <x:c r="B2045" s="1" t="str">
        <x:v>Slugma</x:v>
      </x:c>
      <x:c r="C2045" s="1" t="n">
        <x:v>10</x:v>
      </x:c>
      <x:c r="D2045" s="1" t="str">
        <x:v>Body Slam</x:v>
      </x:c>
      <x:c r="E2045" s="1" t="str">
        <x:v>Normal</x:v>
      </x:c>
      <x:c r="F2045" s="1" t="str">
        <x:v>Física</x:v>
      </x:c>
      <x:c r="G2045" s="10" t="n">
        <x:v>85</x:v>
      </x:c>
      <x:c r="H2045" s="10" t="n">
        <x:f>IF(F2045="Física",'Pokémon'!G221,IF(F2045="Especial",'Pokémon'!I221,""))</x:f>
        <x:v>40</x:v>
      </x:c>
      <x:c r="I2045" s="10" t="n">
        <x:f>IF(OR(F2045="Status",G2045=0),"",G2045+H2045)</x:f>
        <x:v>125</x:v>
      </x:c>
      <x:c r="J2045" s="10" t="n">
        <x:v>41</x:v>
      </x:c>
      <x:c r="K2045" s="12" t="n">
        <x:v>22</x:v>
      </x:c>
      <x:c r="L2045" s="1" t="str"/>
      <x:c r="M2045" s="9" t="str">
        <x:v>https://poke.idleworld.online/pokepedia/pokemon/slugma</x:v>
      </x:c>
    </x:row>
    <x:row r="2046" ht="22" customHeight="1">
      <x:c r="A2046" s="1" t="n">
        <x:v>218</x:v>
      </x:c>
      <x:c r="B2046" s="1" t="str">
        <x:v>Slugma</x:v>
      </x:c>
      <x:c r="C2046" s="1" t="n">
        <x:v>5</x:v>
      </x:c>
      <x:c r="D2046" s="1" t="str">
        <x:v>Clear Smog</x:v>
      </x:c>
      <x:c r="E2046" s="1" t="str">
        <x:v>Venenoso</x:v>
      </x:c>
      <x:c r="F2046" s="1" t="str">
        <x:v>Especial</x:v>
      </x:c>
      <x:c r="G2046" s="10" t="n">
        <x:v>50</x:v>
      </x:c>
      <x:c r="H2046" s="10" t="n">
        <x:f>IF(F2046="Física",'Pokémon'!G221,IF(F2046="Especial",'Pokémon'!I221,""))</x:f>
        <x:v>70</x:v>
      </x:c>
      <x:c r="I2046" s="10" t="n">
        <x:f>IF(OR(F2046="Status",G2046=0),"",G2046+H2046)</x:f>
        <x:v>120</x:v>
      </x:c>
      <x:c r="J2046" s="10" t="n">
        <x:v>20</x:v>
      </x:c>
      <x:c r="K2046" s="12" t="n">
        <x:v>15</x:v>
      </x:c>
      <x:c r="L2046" s="1" t="str"/>
      <x:c r="M2046" s="9" t="str">
        <x:v>https://poke.idleworld.online/pokepedia/pokemon/slugma</x:v>
      </x:c>
    </x:row>
    <x:row r="2047" ht="22" customHeight="1">
      <x:c r="A2047" s="1" t="n">
        <x:v>218</x:v>
      </x:c>
      <x:c r="B2047" s="1" t="str">
        <x:v>Slugma</x:v>
      </x:c>
      <x:c r="C2047" s="1" t="n">
        <x:v>8</x:v>
      </x:c>
      <x:c r="D2047" s="1" t="str">
        <x:v>Rock Slide</x:v>
      </x:c>
      <x:c r="E2047" s="1" t="str">
        <x:v>Pedra</x:v>
      </x:c>
      <x:c r="F2047" s="1" t="str">
        <x:v>Física</x:v>
      </x:c>
      <x:c r="G2047" s="10" t="n">
        <x:v>75</x:v>
      </x:c>
      <x:c r="H2047" s="10" t="n">
        <x:f>IF(F2047="Física",'Pokémon'!G221,IF(F2047="Especial",'Pokémon'!I221,""))</x:f>
        <x:v>40</x:v>
      </x:c>
      <x:c r="I2047" s="10" t="n">
        <x:f>IF(OR(F2047="Status",G2047=0),"",G2047+H2047)</x:f>
        <x:v>115</x:v>
      </x:c>
      <x:c r="J2047" s="10" t="n">
        <x:v>29</x:v>
      </x:c>
      <x:c r="K2047" s="12" t="n">
        <x:v>22</x:v>
      </x:c>
      <x:c r="L2047" s="1" t="str"/>
      <x:c r="M2047" s="9" t="str">
        <x:v>https://poke.idleworld.online/pokepedia/pokemon/slugma</x:v>
      </x:c>
    </x:row>
    <x:row r="2048" ht="22" customHeight="1">
      <x:c r="A2048" s="1" t="n">
        <x:v>218</x:v>
      </x:c>
      <x:c r="B2048" s="1" t="str">
        <x:v>Slugma</x:v>
      </x:c>
      <x:c r="C2048" s="1" t="n">
        <x:v>2</x:v>
      </x:c>
      <x:c r="D2048" s="1" t="str">
        <x:v>Ember</x:v>
      </x:c>
      <x:c r="E2048" s="1" t="str">
        <x:v>Fogo</x:v>
      </x:c>
      <x:c r="F2048" s="1" t="str">
        <x:v>Especial</x:v>
      </x:c>
      <x:c r="G2048" s="10" t="n">
        <x:v>40</x:v>
      </x:c>
      <x:c r="H2048" s="10" t="n">
        <x:f>IF(F2048="Física",'Pokémon'!G221,IF(F2048="Especial",'Pokémon'!I221,""))</x:f>
        <x:v>70</x:v>
      </x:c>
      <x:c r="I2048" s="10" t="n">
        <x:f>IF(OR(F2048="Status",G2048=0),"",G2048+H2048)</x:f>
        <x:v>110</x:v>
      </x:c>
      <x:c r="J2048" s="10" t="n">
        <x:v>6</x:v>
      </x:c>
      <x:c r="K2048" s="12" t="n">
        <x:v>10</x:v>
      </x:c>
      <x:c r="L2048" s="1" t="str"/>
      <x:c r="M2048" s="9" t="str">
        <x:v>https://poke.idleworld.online/pokepedia/pokemon/slugma</x:v>
      </x:c>
    </x:row>
    <x:row r="2049" ht="22" customHeight="1">
      <x:c r="A2049" s="1" t="n">
        <x:v>218</x:v>
      </x:c>
      <x:c r="B2049" s="1" t="str">
        <x:v>Slugma</x:v>
      </x:c>
      <x:c r="C2049" s="1" t="n">
        <x:v>1</x:v>
      </x:c>
      <x:c r="D2049" s="1" t="str">
        <x:v>Smog</x:v>
      </x:c>
      <x:c r="E2049" s="1" t="str">
        <x:v>Venenoso</x:v>
      </x:c>
      <x:c r="F2049" s="1" t="str">
        <x:v>Especial</x:v>
      </x:c>
      <x:c r="G2049" s="10" t="n">
        <x:v>30</x:v>
      </x:c>
      <x:c r="H2049" s="10" t="n">
        <x:f>IF(F2049="Física",'Pokémon'!G221,IF(F2049="Especial",'Pokémon'!I221,""))</x:f>
        <x:v>70</x:v>
      </x:c>
      <x:c r="I2049" s="10" t="n">
        <x:f>IF(OR(F2049="Status",G2049=0),"",G2049+H2049)</x:f>
        <x:v>100</x:v>
      </x:c>
      <x:c r="J2049" s="10" t="n">
        <x:v>1</x:v>
      </x:c>
      <x:c r="K2049" s="12" t="n">
        <x:v>15</x:v>
      </x:c>
      <x:c r="L2049" s="1" t="str"/>
      <x:c r="M2049" s="9" t="str">
        <x:v>https://poke.idleworld.online/pokepedia/pokemon/slugma</x:v>
      </x:c>
    </x:row>
    <x:row r="2050" ht="22" customHeight="1">
      <x:c r="A2050" s="1" t="n">
        <x:v>218</x:v>
      </x:c>
      <x:c r="B2050" s="1" t="str">
        <x:v>Slugma</x:v>
      </x:c>
      <x:c r="C2050" s="1" t="n">
        <x:v>3</x:v>
      </x:c>
      <x:c r="D2050" s="1" t="str">
        <x:v>Rock Throw</x:v>
      </x:c>
      <x:c r="E2050" s="1" t="str">
        <x:v>Pedra</x:v>
      </x:c>
      <x:c r="F2050" s="1" t="str">
        <x:v>Física</x:v>
      </x:c>
      <x:c r="G2050" s="10" t="n">
        <x:v>50</x:v>
      </x:c>
      <x:c r="H2050" s="10" t="n">
        <x:f>IF(F2050="Física",'Pokémon'!G221,IF(F2050="Especial",'Pokémon'!I221,""))</x:f>
        <x:v>40</x:v>
      </x:c>
      <x:c r="I2050" s="10" t="n">
        <x:f>IF(OR(F2050="Status",G2050=0),"",G2050+H2050)</x:f>
        <x:v>90</x:v>
      </x:c>
      <x:c r="J2050" s="10" t="n">
        <x:v>8</x:v>
      </x:c>
      <x:c r="K2050" s="12" t="n">
        <x:v>15</x:v>
      </x:c>
      <x:c r="L2050" s="1" t="str"/>
      <x:c r="M2050" s="9" t="str">
        <x:v>https://poke.idleworld.online/pokepedia/pokemon/slugma</x:v>
      </x:c>
    </x:row>
    <x:row r="2051" ht="22" customHeight="1">
      <x:c r="A2051" s="1" t="n">
        <x:v>219</x:v>
      </x:c>
      <x:c r="B2051" s="1" t="str">
        <x:v>Magcargo</x:v>
      </x:c>
      <x:c r="C2051" s="1" t="n">
        <x:v>3</x:v>
      </x:c>
      <x:c r="D2051" s="1" t="str">
        <x:v>Ignition Point</x:v>
      </x:c>
      <x:c r="E2051" s="1" t="str">
        <x:v>Fogo</x:v>
      </x:c>
      <x:c r="F2051" s="1" t="str">
        <x:v>Especial</x:v>
      </x:c>
      <x:c r="G2051" s="10" t="n">
        <x:v>300</x:v>
      </x:c>
      <x:c r="H2051" s="10" t="n">
        <x:f>IF(F2051="Física",'Pokémon'!G222,IF(F2051="Especial",'Pokémon'!I222,""))</x:f>
        <x:v>80</x:v>
      </x:c>
      <x:c r="I2051" s="10" t="n">
        <x:f>IF(OR(F2051="Status",G2051=0),"",G2051+H2051)</x:f>
        <x:v>380</x:v>
      </x:c>
      <x:c r="J2051" s="10" t="n">
        <x:v>1</x:v>
      </x:c>
      <x:c r="K2051" s="12" t="n">
        <x:v>10</x:v>
      </x:c>
      <x:c r="L2051" s="1" t="str">
        <x:v>Sim</x:v>
      </x:c>
      <x:c r="M2051" s="9" t="str">
        <x:v>https://poke.idleworld.online/pokepedia/pokemon/magcargo</x:v>
      </x:c>
    </x:row>
    <x:row r="2052" ht="22" customHeight="1">
      <x:c r="A2052" s="1" t="n">
        <x:v>219</x:v>
      </x:c>
      <x:c r="B2052" s="1" t="str">
        <x:v>Magcargo</x:v>
      </x:c>
      <x:c r="C2052" s="1" t="n">
        <x:v>5</x:v>
      </x:c>
      <x:c r="D2052" s="1" t="str">
        <x:v>Earth Power</x:v>
      </x:c>
      <x:c r="E2052" s="1" t="str">
        <x:v>Terrestre</x:v>
      </x:c>
      <x:c r="F2052" s="1" t="str">
        <x:v>Especial</x:v>
      </x:c>
      <x:c r="G2052" s="10" t="n">
        <x:v>90</x:v>
      </x:c>
      <x:c r="H2052" s="10" t="n">
        <x:f>IF(F2052="Física",'Pokémon'!G222,IF(F2052="Especial",'Pokémon'!I222,""))</x:f>
        <x:v>80</x:v>
      </x:c>
      <x:c r="I2052" s="10" t="n">
        <x:f>IF(OR(F2052="Status",G2052=0),"",G2052+H2052)</x:f>
        <x:v>170</x:v>
      </x:c>
      <x:c r="J2052" s="10" t="n">
        <x:v>1</x:v>
      </x:c>
      <x:c r="K2052" s="12" t="n">
        <x:v>22</x:v>
      </x:c>
      <x:c r="L2052" s="1" t="str"/>
      <x:c r="M2052" s="9" t="str">
        <x:v>https://poke.idleworld.online/pokepedia/pokemon/magcargo</x:v>
      </x:c>
    </x:row>
    <x:row r="2053" ht="22" customHeight="1">
      <x:c r="A2053" s="1" t="n">
        <x:v>219</x:v>
      </x:c>
      <x:c r="B2053" s="1" t="str">
        <x:v>Magcargo</x:v>
      </x:c>
      <x:c r="C2053" s="1" t="n">
        <x:v>13</x:v>
      </x:c>
      <x:c r="D2053" s="1" t="str">
        <x:v>Flamethrower</x:v>
      </x:c>
      <x:c r="E2053" s="1" t="str">
        <x:v>Fogo</x:v>
      </x:c>
      <x:c r="F2053" s="1" t="str">
        <x:v>Especial</x:v>
      </x:c>
      <x:c r="G2053" s="10" t="n">
        <x:v>90</x:v>
      </x:c>
      <x:c r="H2053" s="10" t="n">
        <x:f>IF(F2053="Física",'Pokémon'!G222,IF(F2053="Especial",'Pokémon'!I222,""))</x:f>
        <x:v>80</x:v>
      </x:c>
      <x:c r="I2053" s="10" t="n">
        <x:f>IF(OR(F2053="Status",G2053=0),"",G2053+H2053)</x:f>
        <x:v>170</x:v>
      </x:c>
      <x:c r="J2053" s="10" t="n">
        <x:v>54</x:v>
      </x:c>
      <x:c r="K2053" s="12" t="n">
        <x:v>18</x:v>
      </x:c>
      <x:c r="L2053" s="1" t="str"/>
      <x:c r="M2053" s="9" t="str">
        <x:v>https://poke.idleworld.online/pokepedia/pokemon/magcargo</x:v>
      </x:c>
    </x:row>
    <x:row r="2054" ht="22" customHeight="1">
      <x:c r="A2054" s="1" t="n">
        <x:v>219</x:v>
      </x:c>
      <x:c r="B2054" s="1" t="str">
        <x:v>Magcargo</x:v>
      </x:c>
      <x:c r="C2054" s="1" t="n">
        <x:v>11</x:v>
      </x:c>
      <x:c r="D2054" s="1" t="str">
        <x:v>Lava Plume</x:v>
      </x:c>
      <x:c r="E2054" s="1" t="str">
        <x:v>Fogo</x:v>
      </x:c>
      <x:c r="F2054" s="1" t="str">
        <x:v>Especial</x:v>
      </x:c>
      <x:c r="G2054" s="10" t="n">
        <x:v>80</x:v>
      </x:c>
      <x:c r="H2054" s="10" t="n">
        <x:f>IF(F2054="Física",'Pokémon'!G222,IF(F2054="Especial",'Pokémon'!I222,""))</x:f>
        <x:v>80</x:v>
      </x:c>
      <x:c r="I2054" s="10" t="n">
        <x:f>IF(OR(F2054="Status",G2054=0),"",G2054+H2054)</x:f>
        <x:v>160</x:v>
      </x:c>
      <x:c r="J2054" s="10" t="n">
        <x:v>34</x:v>
      </x:c>
      <x:c r="K2054" s="12" t="n">
        <x:v>22</x:v>
      </x:c>
      <x:c r="L2054" s="1" t="str"/>
      <x:c r="M2054" s="9" t="str">
        <x:v>https://poke.idleworld.online/pokepedia/pokemon/magcargo</x:v>
      </x:c>
    </x:row>
    <x:row r="2055" ht="22" customHeight="1">
      <x:c r="A2055" s="1" t="n">
        <x:v>219</x:v>
      </x:c>
      <x:c r="B2055" s="1" t="str">
        <x:v>Magcargo</x:v>
      </x:c>
      <x:c r="C2055" s="1" t="n">
        <x:v>9</x:v>
      </x:c>
      <x:c r="D2055" s="1" t="str">
        <x:v>Flame Burst</x:v>
      </x:c>
      <x:c r="E2055" s="1" t="str">
        <x:v>Fogo</x:v>
      </x:c>
      <x:c r="F2055" s="1" t="str">
        <x:v>Especial</x:v>
      </x:c>
      <x:c r="G2055" s="10" t="n">
        <x:v>70</x:v>
      </x:c>
      <x:c r="H2055" s="10" t="n">
        <x:f>IF(F2055="Física",'Pokémon'!G222,IF(F2055="Especial",'Pokémon'!I222,""))</x:f>
        <x:v>80</x:v>
      </x:c>
      <x:c r="I2055" s="10" t="n">
        <x:f>IF(OR(F2055="Status",G2055=0),"",G2055+H2055)</x:f>
        <x:v>150</x:v>
      </x:c>
      <x:c r="J2055" s="10" t="n">
        <x:v>27</x:v>
      </x:c>
      <x:c r="K2055" s="12" t="n">
        <x:v>20</x:v>
      </x:c>
      <x:c r="L2055" s="1" t="str"/>
      <x:c r="M2055" s="9" t="str">
        <x:v>https://poke.idleworld.online/pokepedia/pokemon/magcargo</x:v>
      </x:c>
    </x:row>
    <x:row r="2056" ht="22" customHeight="1">
      <x:c r="A2056" s="1" t="n">
        <x:v>219</x:v>
      </x:c>
      <x:c r="B2056" s="1" t="str">
        <x:v>Magcargo</x:v>
      </x:c>
      <x:c r="C2056" s="1" t="n">
        <x:v>6</x:v>
      </x:c>
      <x:c r="D2056" s="1" t="str">
        <x:v>Incinerate</x:v>
      </x:c>
      <x:c r="E2056" s="1" t="str">
        <x:v>Fogo</x:v>
      </x:c>
      <x:c r="F2056" s="1" t="str">
        <x:v>Especial</x:v>
      </x:c>
      <x:c r="G2056" s="10" t="n">
        <x:v>60</x:v>
      </x:c>
      <x:c r="H2056" s="10" t="n">
        <x:f>IF(F2056="Física",'Pokémon'!G222,IF(F2056="Especial",'Pokémon'!I222,""))</x:f>
        <x:v>80</x:v>
      </x:c>
      <x:c r="I2056" s="10" t="n">
        <x:f>IF(OR(F2056="Status",G2056=0),"",G2056+H2056)</x:f>
        <x:v>140</x:v>
      </x:c>
      <x:c r="J2056" s="10" t="n">
        <x:v>15</x:v>
      </x:c>
      <x:c r="K2056" s="12" t="n">
        <x:v>20</x:v>
      </x:c>
      <x:c r="L2056" s="1" t="str"/>
      <x:c r="M2056" s="9" t="str">
        <x:v>https://poke.idleworld.online/pokepedia/pokemon/magcargo</x:v>
      </x:c>
    </x:row>
    <x:row r="2057" ht="22" customHeight="1">
      <x:c r="A2057" s="1" t="n">
        <x:v>219</x:v>
      </x:c>
      <x:c r="B2057" s="1" t="str">
        <x:v>Magcargo</x:v>
      </x:c>
      <x:c r="C2057" s="1" t="n">
        <x:v>8</x:v>
      </x:c>
      <x:c r="D2057" s="1" t="str">
        <x:v>Ancient Power</x:v>
      </x:c>
      <x:c r="E2057" s="1" t="str">
        <x:v>Pedra</x:v>
      </x:c>
      <x:c r="F2057" s="1" t="str">
        <x:v>Especial</x:v>
      </x:c>
      <x:c r="G2057" s="10" t="n">
        <x:v>60</x:v>
      </x:c>
      <x:c r="H2057" s="10" t="n">
        <x:f>IF(F2057="Física",'Pokémon'!G222,IF(F2057="Especial",'Pokémon'!I222,""))</x:f>
        <x:v>80</x:v>
      </x:c>
      <x:c r="I2057" s="10" t="n">
        <x:f>IF(OR(F2057="Status",G2057=0),"",G2057+H2057)</x:f>
        <x:v>140</x:v>
      </x:c>
      <x:c r="J2057" s="10" t="n">
        <x:v>22</x:v>
      </x:c>
      <x:c r="K2057" s="12" t="n">
        <x:v>20</x:v>
      </x:c>
      <x:c r="L2057" s="1" t="str"/>
      <x:c r="M2057" s="9" t="str">
        <x:v>https://poke.idleworld.online/pokepedia/pokemon/magcargo</x:v>
      </x:c>
    </x:row>
    <x:row r="2058" ht="22" customHeight="1">
      <x:c r="A2058" s="1" t="n">
        <x:v>219</x:v>
      </x:c>
      <x:c r="B2058" s="1" t="str">
        <x:v>Magcargo</x:v>
      </x:c>
      <x:c r="C2058" s="1" t="n">
        <x:v>12</x:v>
      </x:c>
      <x:c r="D2058" s="1" t="str">
        <x:v>Body Slam</x:v>
      </x:c>
      <x:c r="E2058" s="1" t="str">
        <x:v>Normal</x:v>
      </x:c>
      <x:c r="F2058" s="1" t="str">
        <x:v>Física</x:v>
      </x:c>
      <x:c r="G2058" s="10" t="n">
        <x:v>85</x:v>
      </x:c>
      <x:c r="H2058" s="10" t="n">
        <x:f>IF(F2058="Física",'Pokémon'!G222,IF(F2058="Especial",'Pokémon'!I222,""))</x:f>
        <x:v>50</x:v>
      </x:c>
      <x:c r="I2058" s="10" t="n">
        <x:f>IF(OR(F2058="Status",G2058=0),"",G2058+H2058)</x:f>
        <x:v>135</x:v>
      </x:c>
      <x:c r="J2058" s="10" t="n">
        <x:v>43</x:v>
      </x:c>
      <x:c r="K2058" s="12" t="n">
        <x:v>22</x:v>
      </x:c>
      <x:c r="L2058" s="1" t="str"/>
      <x:c r="M2058" s="9" t="str">
        <x:v>https://poke.idleworld.online/pokepedia/pokemon/magcargo</x:v>
      </x:c>
    </x:row>
    <x:row r="2059" ht="22" customHeight="1">
      <x:c r="A2059" s="1" t="n">
        <x:v>219</x:v>
      </x:c>
      <x:c r="B2059" s="1" t="str">
        <x:v>Magcargo</x:v>
      </x:c>
      <x:c r="C2059" s="1" t="n">
        <x:v>7</x:v>
      </x:c>
      <x:c r="D2059" s="1" t="str">
        <x:v>Clear Smog</x:v>
      </x:c>
      <x:c r="E2059" s="1" t="str">
        <x:v>Venenoso</x:v>
      </x:c>
      <x:c r="F2059" s="1" t="str">
        <x:v>Especial</x:v>
      </x:c>
      <x:c r="G2059" s="10" t="n">
        <x:v>50</x:v>
      </x:c>
      <x:c r="H2059" s="10" t="n">
        <x:f>IF(F2059="Física",'Pokémon'!G222,IF(F2059="Especial",'Pokémon'!I222,""))</x:f>
        <x:v>80</x:v>
      </x:c>
      <x:c r="I2059" s="10" t="n">
        <x:f>IF(OR(F2059="Status",G2059=0),"",G2059+H2059)</x:f>
        <x:v>130</x:v>
      </x:c>
      <x:c r="J2059" s="10" t="n">
        <x:v>20</x:v>
      </x:c>
      <x:c r="K2059" s="12" t="n">
        <x:v>15</x:v>
      </x:c>
      <x:c r="L2059" s="1" t="str"/>
      <x:c r="M2059" s="9" t="str">
        <x:v>https://poke.idleworld.online/pokepedia/pokemon/magcargo</x:v>
      </x:c>
    </x:row>
    <x:row r="2060" ht="22" customHeight="1">
      <x:c r="A2060" s="1" t="n">
        <x:v>219</x:v>
      </x:c>
      <x:c r="B2060" s="1" t="str">
        <x:v>Magcargo</x:v>
      </x:c>
      <x:c r="C2060" s="1" t="n">
        <x:v>10</x:v>
      </x:c>
      <x:c r="D2060" s="1" t="str">
        <x:v>Rock Slide</x:v>
      </x:c>
      <x:c r="E2060" s="1" t="str">
        <x:v>Pedra</x:v>
      </x:c>
      <x:c r="F2060" s="1" t="str">
        <x:v>Física</x:v>
      </x:c>
      <x:c r="G2060" s="10" t="n">
        <x:v>75</x:v>
      </x:c>
      <x:c r="H2060" s="10" t="n">
        <x:f>IF(F2060="Física",'Pokémon'!G222,IF(F2060="Especial",'Pokémon'!I222,""))</x:f>
        <x:v>50</x:v>
      </x:c>
      <x:c r="I2060" s="10" t="n">
        <x:f>IF(OR(F2060="Status",G2060=0),"",G2060+H2060)</x:f>
        <x:v>125</x:v>
      </x:c>
      <x:c r="J2060" s="10" t="n">
        <x:v>29</x:v>
      </x:c>
      <x:c r="K2060" s="12" t="n">
        <x:v>22</x:v>
      </x:c>
      <x:c r="L2060" s="1" t="str"/>
      <x:c r="M2060" s="9" t="str">
        <x:v>https://poke.idleworld.online/pokepedia/pokemon/magcargo</x:v>
      </x:c>
    </x:row>
    <x:row r="2061" ht="22" customHeight="1">
      <x:c r="A2061" s="1" t="n">
        <x:v>219</x:v>
      </x:c>
      <x:c r="B2061" s="1" t="str">
        <x:v>Magcargo</x:v>
      </x:c>
      <x:c r="C2061" s="1" t="n">
        <x:v>1</x:v>
      </x:c>
      <x:c r="D2061" s="1" t="str">
        <x:v>Ember</x:v>
      </x:c>
      <x:c r="E2061" s="1" t="str">
        <x:v>Fogo</x:v>
      </x:c>
      <x:c r="F2061" s="1" t="str">
        <x:v>Especial</x:v>
      </x:c>
      <x:c r="G2061" s="10" t="n">
        <x:v>40</x:v>
      </x:c>
      <x:c r="H2061" s="10" t="n">
        <x:f>IF(F2061="Física",'Pokémon'!G222,IF(F2061="Especial",'Pokémon'!I222,""))</x:f>
        <x:v>80</x:v>
      </x:c>
      <x:c r="I2061" s="10" t="n">
        <x:f>IF(OR(F2061="Status",G2061=0),"",G2061+H2061)</x:f>
        <x:v>120</x:v>
      </x:c>
      <x:c r="J2061" s="10" t="n">
        <x:v>1</x:v>
      </x:c>
      <x:c r="K2061" s="12" t="n">
        <x:v>10</x:v>
      </x:c>
      <x:c r="L2061" s="1" t="str"/>
      <x:c r="M2061" s="9" t="str">
        <x:v>https://poke.idleworld.online/pokepedia/pokemon/magcargo</x:v>
      </x:c>
    </x:row>
    <x:row r="2062" ht="22" customHeight="1">
      <x:c r="A2062" s="1" t="n">
        <x:v>219</x:v>
      </x:c>
      <x:c r="B2062" s="1" t="str">
        <x:v>Magcargo</x:v>
      </x:c>
      <x:c r="C2062" s="1" t="n">
        <x:v>4</x:v>
      </x:c>
      <x:c r="D2062" s="1" t="str">
        <x:v>Smog</x:v>
      </x:c>
      <x:c r="E2062" s="1" t="str">
        <x:v>Venenoso</x:v>
      </x:c>
      <x:c r="F2062" s="1" t="str">
        <x:v>Especial</x:v>
      </x:c>
      <x:c r="G2062" s="10" t="n">
        <x:v>30</x:v>
      </x:c>
      <x:c r="H2062" s="10" t="n">
        <x:f>IF(F2062="Física",'Pokémon'!G222,IF(F2062="Especial",'Pokémon'!I222,""))</x:f>
        <x:v>80</x:v>
      </x:c>
      <x:c r="I2062" s="10" t="n">
        <x:f>IF(OR(F2062="Status",G2062=0),"",G2062+H2062)</x:f>
        <x:v>110</x:v>
      </x:c>
      <x:c r="J2062" s="10" t="n">
        <x:v>1</x:v>
      </x:c>
      <x:c r="K2062" s="12" t="n">
        <x:v>15</x:v>
      </x:c>
      <x:c r="L2062" s="1" t="str"/>
      <x:c r="M2062" s="9" t="str">
        <x:v>https://poke.idleworld.online/pokepedia/pokemon/magcargo</x:v>
      </x:c>
    </x:row>
    <x:row r="2063" ht="22" customHeight="1">
      <x:c r="A2063" s="1" t="n">
        <x:v>219</x:v>
      </x:c>
      <x:c r="B2063" s="1" t="str">
        <x:v>Magcargo</x:v>
      </x:c>
      <x:c r="C2063" s="1" t="n">
        <x:v>2</x:v>
      </x:c>
      <x:c r="D2063" s="1" t="str">
        <x:v>Rock Throw</x:v>
      </x:c>
      <x:c r="E2063" s="1" t="str">
        <x:v>Pedra</x:v>
      </x:c>
      <x:c r="F2063" s="1" t="str">
        <x:v>Física</x:v>
      </x:c>
      <x:c r="G2063" s="10" t="n">
        <x:v>50</x:v>
      </x:c>
      <x:c r="H2063" s="10" t="n">
        <x:f>IF(F2063="Física",'Pokémon'!G222,IF(F2063="Especial",'Pokémon'!I222,""))</x:f>
        <x:v>50</x:v>
      </x:c>
      <x:c r="I2063" s="10" t="n">
        <x:f>IF(OR(F2063="Status",G2063=0),"",G2063+H2063)</x:f>
        <x:v>100</x:v>
      </x:c>
      <x:c r="J2063" s="10" t="n">
        <x:v>1</x:v>
      </x:c>
      <x:c r="K2063" s="12" t="n">
        <x:v>10</x:v>
      </x:c>
      <x:c r="L2063" s="1" t="str"/>
      <x:c r="M2063" s="9" t="str">
        <x:v>https://poke.idleworld.online/pokepedia/pokemon/magcargo</x:v>
      </x:c>
    </x:row>
    <x:row r="2064" ht="22" customHeight="1">
      <x:c r="A2064" s="1" t="n">
        <x:v>220</x:v>
      </x:c>
      <x:c r="B2064" s="1" t="str">
        <x:v>Swinub</x:v>
      </x:c>
      <x:c r="C2064" s="1" t="n">
        <x:v>8</x:v>
      </x:c>
      <x:c r="D2064" s="1" t="str">
        <x:v>Earthquake</x:v>
      </x:c>
      <x:c r="E2064" s="1" t="str">
        <x:v>Terrestre</x:v>
      </x:c>
      <x:c r="F2064" s="1" t="str">
        <x:v>Física</x:v>
      </x:c>
      <x:c r="G2064" s="10" t="n">
        <x:v>100</x:v>
      </x:c>
      <x:c r="H2064" s="10" t="n">
        <x:f>IF(F2064="Física",'Pokémon'!G223,IF(F2064="Especial",'Pokémon'!I223,""))</x:f>
        <x:v>50</x:v>
      </x:c>
      <x:c r="I2064" s="10" t="n">
        <x:f>IF(OR(F2064="Status",G2064=0),"",G2064+H2064)</x:f>
        <x:v>150</x:v>
      </x:c>
      <x:c r="J2064" s="10" t="n">
        <x:v>37</x:v>
      </x:c>
      <x:c r="K2064" s="12" t="n">
        <x:v>40</x:v>
      </x:c>
      <x:c r="L2064" s="1" t="str"/>
      <x:c r="M2064" s="9" t="str">
        <x:v>https://poke.idleworld.online/pokepedia/pokemon/swinub</x:v>
      </x:c>
    </x:row>
    <x:row r="2065" ht="22" customHeight="1">
      <x:c r="A2065" s="1" t="n">
        <x:v>220</x:v>
      </x:c>
      <x:c r="B2065" s="1" t="str">
        <x:v>Swinub</x:v>
      </x:c>
      <x:c r="C2065" s="1" t="n">
        <x:v>9</x:v>
      </x:c>
      <x:c r="D2065" s="1" t="str">
        <x:v>Blizzard</x:v>
      </x:c>
      <x:c r="E2065" s="1" t="str">
        <x:v>Gelo</x:v>
      </x:c>
      <x:c r="F2065" s="1" t="str">
        <x:v>Especial</x:v>
      </x:c>
      <x:c r="G2065" s="10" t="n">
        <x:v>110</x:v>
      </x:c>
      <x:c r="H2065" s="10" t="n">
        <x:f>IF(F2065="Física",'Pokémon'!G223,IF(F2065="Especial",'Pokémon'!I223,""))</x:f>
        <x:v>30</x:v>
      </x:c>
      <x:c r="I2065" s="10" t="n">
        <x:f>IF(OR(F2065="Status",G2065=0),"",G2065+H2065)</x:f>
        <x:v>140</x:v>
      </x:c>
      <x:c r="J2065" s="10" t="n">
        <x:v>44</x:v>
      </x:c>
      <x:c r="K2065" s="12" t="n">
        <x:v>40</x:v>
      </x:c>
      <x:c r="L2065" s="1" t="str"/>
      <x:c r="M2065" s="9" t="str">
        <x:v>https://poke.idleworld.online/pokepedia/pokemon/swinub</x:v>
      </x:c>
    </x:row>
    <x:row r="2066" ht="22" customHeight="1">
      <x:c r="A2066" s="1" t="n">
        <x:v>220</x:v>
      </x:c>
      <x:c r="B2066" s="1" t="str">
        <x:v>Swinub</x:v>
      </x:c>
      <x:c r="C2066" s="1" t="n">
        <x:v>7</x:v>
      </x:c>
      <x:c r="D2066" s="1" t="str">
        <x:v>Take Down</x:v>
      </x:c>
      <x:c r="E2066" s="1" t="str">
        <x:v>Normal</x:v>
      </x:c>
      <x:c r="F2066" s="1" t="str">
        <x:v>Física</x:v>
      </x:c>
      <x:c r="G2066" s="10" t="n">
        <x:v>90</x:v>
      </x:c>
      <x:c r="H2066" s="10" t="n">
        <x:f>IF(F2066="Física",'Pokémon'!G223,IF(F2066="Especial",'Pokémon'!I223,""))</x:f>
        <x:v>50</x:v>
      </x:c>
      <x:c r="I2066" s="10" t="n">
        <x:f>IF(OR(F2066="Status",G2066=0),"",G2066+H2066)</x:f>
        <x:v>140</x:v>
      </x:c>
      <x:c r="J2066" s="10" t="n">
        <x:v>28</x:v>
      </x:c>
      <x:c r="K2066" s="12" t="n">
        <x:v>22</x:v>
      </x:c>
      <x:c r="L2066" s="1" t="str"/>
      <x:c r="M2066" s="9" t="str">
        <x:v>https://poke.idleworld.online/pokepedia/pokemon/swinub</x:v>
      </x:c>
    </x:row>
    <x:row r="2067" ht="22" customHeight="1">
      <x:c r="A2067" s="1" t="n">
        <x:v>220</x:v>
      </x:c>
      <x:c r="B2067" s="1" t="str">
        <x:v>Swinub</x:v>
      </x:c>
      <x:c r="C2067" s="1" t="n">
        <x:v>1</x:v>
      </x:c>
      <x:c r="D2067" s="1" t="str">
        <x:v>Tackle</x:v>
      </x:c>
      <x:c r="E2067" s="1" t="str">
        <x:v>Normal</x:v>
      </x:c>
      <x:c r="F2067" s="1" t="str">
        <x:v>Física</x:v>
      </x:c>
      <x:c r="G2067" s="10" t="n">
        <x:v>50</x:v>
      </x:c>
      <x:c r="H2067" s="10" t="n">
        <x:f>IF(F2067="Física",'Pokémon'!G223,IF(F2067="Especial",'Pokémon'!I223,""))</x:f>
        <x:v>50</x:v>
      </x:c>
      <x:c r="I2067" s="10" t="n">
        <x:f>IF(OR(F2067="Status",G2067=0),"",G2067+H2067)</x:f>
        <x:v>100</x:v>
      </x:c>
      <x:c r="J2067" s="10" t="n">
        <x:v>1</x:v>
      </x:c>
      <x:c r="K2067" s="12" t="n">
        <x:v>15</x:v>
      </x:c>
      <x:c r="L2067" s="1" t="str"/>
      <x:c r="M2067" s="9" t="str">
        <x:v>https://poke.idleworld.online/pokepedia/pokemon/swinub</x:v>
      </x:c>
    </x:row>
    <x:row r="2068" ht="22" customHeight="1">
      <x:c r="A2068" s="1" t="n">
        <x:v>220</x:v>
      </x:c>
      <x:c r="B2068" s="1" t="str">
        <x:v>Swinub</x:v>
      </x:c>
      <x:c r="C2068" s="1" t="n">
        <x:v>4</x:v>
      </x:c>
      <x:c r="D2068" s="1" t="str">
        <x:v>Mud Bomb</x:v>
      </x:c>
      <x:c r="E2068" s="1" t="str">
        <x:v>Terrestre</x:v>
      </x:c>
      <x:c r="F2068" s="1" t="str">
        <x:v>Especial</x:v>
      </x:c>
      <x:c r="G2068" s="10" t="n">
        <x:v>65</x:v>
      </x:c>
      <x:c r="H2068" s="10" t="n">
        <x:f>IF(F2068="Física",'Pokémon'!G223,IF(F2068="Especial",'Pokémon'!I223,""))</x:f>
        <x:v>30</x:v>
      </x:c>
      <x:c r="I2068" s="10" t="n">
        <x:f>IF(OR(F2068="Status",G2068=0),"",G2068+H2068)</x:f>
        <x:v>95</x:v>
      </x:c>
      <x:c r="J2068" s="10" t="n">
        <x:v>18</x:v>
      </x:c>
      <x:c r="K2068" s="12" t="n">
        <x:v>25</x:v>
      </x:c>
      <x:c r="L2068" s="1" t="str"/>
      <x:c r="M2068" s="9" t="str">
        <x:v>https://poke.idleworld.online/pokepedia/pokemon/swinub</x:v>
      </x:c>
    </x:row>
    <x:row r="2069" ht="22" customHeight="1">
      <x:c r="A2069" s="1" t="n">
        <x:v>220</x:v>
      </x:c>
      <x:c r="B2069" s="1" t="str">
        <x:v>Swinub</x:v>
      </x:c>
      <x:c r="C2069" s="1" t="n">
        <x:v>6</x:v>
      </x:c>
      <x:c r="D2069" s="1" t="str">
        <x:v>Ice Shard</x:v>
      </x:c>
      <x:c r="E2069" s="1" t="str">
        <x:v>Gelo</x:v>
      </x:c>
      <x:c r="F2069" s="1" t="str">
        <x:v>Física</x:v>
      </x:c>
      <x:c r="G2069" s="10" t="n">
        <x:v>40</x:v>
      </x:c>
      <x:c r="H2069" s="10" t="n">
        <x:f>IF(F2069="Física",'Pokémon'!G223,IF(F2069="Especial",'Pokémon'!I223,""))</x:f>
        <x:v>50</x:v>
      </x:c>
      <x:c r="I2069" s="10" t="n">
        <x:f>IF(OR(F2069="Status",G2069=0),"",G2069+H2069)</x:f>
        <x:v>90</x:v>
      </x:c>
      <x:c r="J2069" s="10" t="n">
        <x:v>24</x:v>
      </x:c>
      <x:c r="K2069" s="12" t="n">
        <x:v>15</x:v>
      </x:c>
      <x:c r="L2069" s="1" t="str"/>
      <x:c r="M2069" s="9" t="str">
        <x:v>https://poke.idleworld.online/pokepedia/pokemon/swinub</x:v>
      </x:c>
    </x:row>
    <x:row r="2070" ht="22" customHeight="1">
      <x:c r="A2070" s="1" t="n">
        <x:v>220</x:v>
      </x:c>
      <x:c r="B2070" s="1" t="str">
        <x:v>Swinub</x:v>
      </x:c>
      <x:c r="C2070" s="1" t="n">
        <x:v>5</x:v>
      </x:c>
      <x:c r="D2070" s="1" t="str">
        <x:v>Icy Wind</x:v>
      </x:c>
      <x:c r="E2070" s="1" t="str">
        <x:v>Gelo</x:v>
      </x:c>
      <x:c r="F2070" s="1" t="str">
        <x:v>Especial</x:v>
      </x:c>
      <x:c r="G2070" s="10" t="n">
        <x:v>55</x:v>
      </x:c>
      <x:c r="H2070" s="10" t="n">
        <x:f>IF(F2070="Física",'Pokémon'!G223,IF(F2070="Especial",'Pokémon'!I223,""))</x:f>
        <x:v>30</x:v>
      </x:c>
      <x:c r="I2070" s="10" t="n">
        <x:f>IF(OR(F2070="Status",G2070=0),"",G2070+H2070)</x:f>
        <x:v>85</x:v>
      </x:c>
      <x:c r="J2070" s="10" t="n">
        <x:v>21</x:v>
      </x:c>
      <x:c r="K2070" s="12" t="n">
        <x:v>25</x:v>
      </x:c>
      <x:c r="L2070" s="1" t="str"/>
      <x:c r="M2070" s="9" t="str">
        <x:v>https://poke.idleworld.online/pokepedia/pokemon/swinub</x:v>
      </x:c>
    </x:row>
    <x:row r="2071" ht="22" customHeight="1">
      <x:c r="A2071" s="1" t="n">
        <x:v>220</x:v>
      </x:c>
      <x:c r="B2071" s="1" t="str">
        <x:v>Swinub</x:v>
      </x:c>
      <x:c r="C2071" s="1" t="n">
        <x:v>2</x:v>
      </x:c>
      <x:c r="D2071" s="1" t="str">
        <x:v>Powder Snow</x:v>
      </x:c>
      <x:c r="E2071" s="1" t="str">
        <x:v>Gelo</x:v>
      </x:c>
      <x:c r="F2071" s="1" t="str">
        <x:v>Especial</x:v>
      </x:c>
      <x:c r="G2071" s="10" t="n">
        <x:v>40</x:v>
      </x:c>
      <x:c r="H2071" s="10" t="n">
        <x:f>IF(F2071="Física",'Pokémon'!G223,IF(F2071="Especial",'Pokémon'!I223,""))</x:f>
        <x:v>30</x:v>
      </x:c>
      <x:c r="I2071" s="10" t="n">
        <x:f>IF(OR(F2071="Status",G2071=0),"",G2071+H2071)</x:f>
        <x:v>70</x:v>
      </x:c>
      <x:c r="J2071" s="10" t="n">
        <x:v>8</x:v>
      </x:c>
      <x:c r="K2071" s="12" t="n">
        <x:v>15</x:v>
      </x:c>
      <x:c r="L2071" s="1" t="str"/>
      <x:c r="M2071" s="9" t="str">
        <x:v>https://poke.idleworld.online/pokepedia/pokemon/swinub</x:v>
      </x:c>
    </x:row>
    <x:row r="2072" ht="22" customHeight="1">
      <x:c r="A2072" s="1" t="n">
        <x:v>220</x:v>
      </x:c>
      <x:c r="B2072" s="1" t="str">
        <x:v>Swinub</x:v>
      </x:c>
      <x:c r="C2072" s="1" t="n">
        <x:v>3</x:v>
      </x:c>
      <x:c r="D2072" s="1" t="str">
        <x:v>Mud-Slap</x:v>
      </x:c>
      <x:c r="E2072" s="1" t="str">
        <x:v>Terrestre</x:v>
      </x:c>
      <x:c r="F2072" s="1" t="str">
        <x:v>Especial</x:v>
      </x:c>
      <x:c r="G2072" s="10" t="n">
        <x:v>20</x:v>
      </x:c>
      <x:c r="H2072" s="10" t="n">
        <x:f>IF(F2072="Física",'Pokémon'!G223,IF(F2072="Especial",'Pokémon'!I223,""))</x:f>
        <x:v>30</x:v>
      </x:c>
      <x:c r="I2072" s="10" t="n">
        <x:f>IF(OR(F2072="Status",G2072=0),"",G2072+H2072)</x:f>
        <x:v>50</x:v>
      </x:c>
      <x:c r="J2072" s="10" t="n">
        <x:v>11</x:v>
      </x:c>
      <x:c r="K2072" s="12" t="n">
        <x:v>25</x:v>
      </x:c>
      <x:c r="L2072" s="1" t="str"/>
      <x:c r="M2072" s="9" t="str">
        <x:v>https://poke.idleworld.online/pokepedia/pokemon/swinub</x:v>
      </x:c>
    </x:row>
    <x:row r="2073" ht="22" customHeight="1">
      <x:c r="A2073" s="1" t="n">
        <x:v>221</x:v>
      </x:c>
      <x:c r="B2073" s="1" t="str">
        <x:v>Piloswine</x:v>
      </x:c>
      <x:c r="C2073" s="1" t="n">
        <x:v>1</x:v>
      </x:c>
      <x:c r="D2073" s="1" t="str">
        <x:v>Ice Time</x:v>
      </x:c>
      <x:c r="E2073" s="1" t="str">
        <x:v>Gelo</x:v>
      </x:c>
      <x:c r="F2073" s="1" t="str">
        <x:v>Especial</x:v>
      </x:c>
      <x:c r="G2073" s="10" t="n">
        <x:v>300</x:v>
      </x:c>
      <x:c r="H2073" s="10" t="n">
        <x:f>IF(F2073="Física",'Pokémon'!G224,IF(F2073="Especial",'Pokémon'!I224,""))</x:f>
        <x:v>60</x:v>
      </x:c>
      <x:c r="I2073" s="10" t="n">
        <x:f>IF(OR(F2073="Status",G2073=0),"",G2073+H2073)</x:f>
        <x:v>360</x:v>
      </x:c>
      <x:c r="J2073" s="10" t="n">
        <x:v>1</x:v>
      </x:c>
      <x:c r="K2073" s="12" t="n">
        <x:v>10</x:v>
      </x:c>
      <x:c r="L2073" s="1" t="str">
        <x:v>Sim</x:v>
      </x:c>
      <x:c r="M2073" s="9" t="str">
        <x:v>https://poke.idleworld.online/pokepedia/pokemon/piloswine</x:v>
      </x:c>
    </x:row>
    <x:row r="2074" ht="22" customHeight="1">
      <x:c r="A2074" s="1" t="n">
        <x:v>221</x:v>
      </x:c>
      <x:c r="B2074" s="1" t="str">
        <x:v>Piloswine</x:v>
      </x:c>
      <x:c r="C2074" s="1" t="n">
        <x:v>11</x:v>
      </x:c>
      <x:c r="D2074" s="1" t="str">
        <x:v>Thrash</x:v>
      </x:c>
      <x:c r="E2074" s="1" t="str">
        <x:v>Normal</x:v>
      </x:c>
      <x:c r="F2074" s="1" t="str">
        <x:v>Física</x:v>
      </x:c>
      <x:c r="G2074" s="10" t="n">
        <x:v>120</x:v>
      </x:c>
      <x:c r="H2074" s="10" t="n">
        <x:f>IF(F2074="Física",'Pokémon'!G224,IF(F2074="Especial",'Pokémon'!I224,""))</x:f>
        <x:v>100</x:v>
      </x:c>
      <x:c r="I2074" s="10" t="n">
        <x:f>IF(OR(F2074="Status",G2074=0),"",G2074+H2074)</x:f>
        <x:v>220</x:v>
      </x:c>
      <x:c r="J2074" s="10" t="n">
        <x:v>41</x:v>
      </x:c>
      <x:c r="K2074" s="12" t="n">
        <x:v>50</x:v>
      </x:c>
      <x:c r="L2074" s="1" t="str"/>
      <x:c r="M2074" s="9" t="str">
        <x:v>https://poke.idleworld.online/pokepedia/pokemon/piloswine</x:v>
      </x:c>
    </x:row>
    <x:row r="2075" ht="22" customHeight="1">
      <x:c r="A2075" s="1" t="n">
        <x:v>221</x:v>
      </x:c>
      <x:c r="B2075" s="1" t="str">
        <x:v>Piloswine</x:v>
      </x:c>
      <x:c r="C2075" s="1" t="n">
        <x:v>12</x:v>
      </x:c>
      <x:c r="D2075" s="1" t="str">
        <x:v>Earthquake</x:v>
      </x:c>
      <x:c r="E2075" s="1" t="str">
        <x:v>Terrestre</x:v>
      </x:c>
      <x:c r="F2075" s="1" t="str">
        <x:v>Física</x:v>
      </x:c>
      <x:c r="G2075" s="10" t="n">
        <x:v>100</x:v>
      </x:c>
      <x:c r="H2075" s="10" t="n">
        <x:f>IF(F2075="Física",'Pokémon'!G224,IF(F2075="Especial",'Pokémon'!I224,""))</x:f>
        <x:v>100</x:v>
      </x:c>
      <x:c r="I2075" s="10" t="n">
        <x:f>IF(OR(F2075="Status",G2075=0),"",G2075+H2075)</x:f>
        <x:v>200</x:v>
      </x:c>
      <x:c r="J2075" s="10" t="n">
        <x:v>46</x:v>
      </x:c>
      <x:c r="K2075" s="12" t="n">
        <x:v>40</x:v>
      </x:c>
      <x:c r="L2075" s="1" t="str"/>
      <x:c r="M2075" s="9" t="str">
        <x:v>https://poke.idleworld.online/pokepedia/pokemon/piloswine</x:v>
      </x:c>
    </x:row>
    <x:row r="2076" ht="22" customHeight="1">
      <x:c r="A2076" s="1" t="n">
        <x:v>221</x:v>
      </x:c>
      <x:c r="B2076" s="1" t="str">
        <x:v>Piloswine</x:v>
      </x:c>
      <x:c r="C2076" s="1" t="n">
        <x:v>9</x:v>
      </x:c>
      <x:c r="D2076" s="1" t="str">
        <x:v>Take Down</x:v>
      </x:c>
      <x:c r="E2076" s="1" t="str">
        <x:v>Normal</x:v>
      </x:c>
      <x:c r="F2076" s="1" t="str">
        <x:v>Física</x:v>
      </x:c>
      <x:c r="G2076" s="10" t="n">
        <x:v>90</x:v>
      </x:c>
      <x:c r="H2076" s="10" t="n">
        <x:f>IF(F2076="Física",'Pokémon'!G224,IF(F2076="Especial",'Pokémon'!I224,""))</x:f>
        <x:v>100</x:v>
      </x:c>
      <x:c r="I2076" s="10" t="n">
        <x:f>IF(OR(F2076="Status",G2076=0),"",G2076+H2076)</x:f>
        <x:v>190</x:v>
      </x:c>
      <x:c r="J2076" s="10" t="n">
        <x:v>28</x:v>
      </x:c>
      <x:c r="K2076" s="12" t="n">
        <x:v>22</x:v>
      </x:c>
      <x:c r="L2076" s="1" t="str"/>
      <x:c r="M2076" s="9" t="str">
        <x:v>https://poke.idleworld.online/pokepedia/pokemon/piloswine</x:v>
      </x:c>
    </x:row>
    <x:row r="2077" ht="22" customHeight="1">
      <x:c r="A2077" s="1" t="n">
        <x:v>221</x:v>
      </x:c>
      <x:c r="B2077" s="1" t="str">
        <x:v>Piloswine</x:v>
      </x:c>
      <x:c r="C2077" s="1" t="n">
        <x:v>13</x:v>
      </x:c>
      <x:c r="D2077" s="1" t="str">
        <x:v>Blizzard</x:v>
      </x:c>
      <x:c r="E2077" s="1" t="str">
        <x:v>Gelo</x:v>
      </x:c>
      <x:c r="F2077" s="1" t="str">
        <x:v>Especial</x:v>
      </x:c>
      <x:c r="G2077" s="10" t="n">
        <x:v>110</x:v>
      </x:c>
      <x:c r="H2077" s="10" t="n">
        <x:f>IF(F2077="Física",'Pokémon'!G224,IF(F2077="Especial",'Pokémon'!I224,""))</x:f>
        <x:v>60</x:v>
      </x:c>
      <x:c r="I2077" s="10" t="n">
        <x:f>IF(OR(F2077="Status",G2077=0),"",G2077+H2077)</x:f>
        <x:v>170</x:v>
      </x:c>
      <x:c r="J2077" s="10" t="n">
        <x:v>52</x:v>
      </x:c>
      <x:c r="K2077" s="12" t="n">
        <x:v>40</x:v>
      </x:c>
      <x:c r="L2077" s="1" t="str"/>
      <x:c r="M2077" s="9" t="str">
        <x:v>https://poke.idleworld.online/pokepedia/pokemon/piloswine</x:v>
      </x:c>
    </x:row>
    <x:row r="2078" ht="22" customHeight="1">
      <x:c r="A2078" s="1" t="n">
        <x:v>221</x:v>
      </x:c>
      <x:c r="B2078" s="1" t="str">
        <x:v>Piloswine</x:v>
      </x:c>
      <x:c r="C2078" s="1" t="n">
        <x:v>8</x:v>
      </x:c>
      <x:c r="D2078" s="1" t="str">
        <x:v>Ice Fang</x:v>
      </x:c>
      <x:c r="E2078" s="1" t="str">
        <x:v>Gelo</x:v>
      </x:c>
      <x:c r="F2078" s="1" t="str">
        <x:v>Física</x:v>
      </x:c>
      <x:c r="G2078" s="10" t="n">
        <x:v>65</x:v>
      </x:c>
      <x:c r="H2078" s="10" t="n">
        <x:f>IF(F2078="Física",'Pokémon'!G224,IF(F2078="Especial",'Pokémon'!I224,""))</x:f>
        <x:v>100</x:v>
      </x:c>
      <x:c r="I2078" s="10" t="n">
        <x:f>IF(OR(F2078="Status",G2078=0),"",G2078+H2078)</x:f>
        <x:v>165</x:v>
      </x:c>
      <x:c r="J2078" s="10" t="n">
        <x:v>24</x:v>
      </x:c>
      <x:c r="K2078" s="12" t="n">
        <x:v>20</x:v>
      </x:c>
      <x:c r="L2078" s="1" t="str"/>
      <x:c r="M2078" s="9" t="str">
        <x:v>https://poke.idleworld.online/pokepedia/pokemon/piloswine</x:v>
      </x:c>
    </x:row>
    <x:row r="2079" ht="22" customHeight="1">
      <x:c r="A2079" s="1" t="n">
        <x:v>221</x:v>
      </x:c>
      <x:c r="B2079" s="1" t="str">
        <x:v>Piloswine</x:v>
      </x:c>
      <x:c r="C2079" s="1" t="n">
        <x:v>2</x:v>
      </x:c>
      <x:c r="D2079" s="1" t="str">
        <x:v>Peck</x:v>
      </x:c>
      <x:c r="E2079" s="1" t="str">
        <x:v>Voador</x:v>
      </x:c>
      <x:c r="F2079" s="1" t="str">
        <x:v>Física</x:v>
      </x:c>
      <x:c r="G2079" s="10" t="n">
        <x:v>35</x:v>
      </x:c>
      <x:c r="H2079" s="10" t="n">
        <x:f>IF(F2079="Física",'Pokémon'!G224,IF(F2079="Especial",'Pokémon'!I224,""))</x:f>
        <x:v>100</x:v>
      </x:c>
      <x:c r="I2079" s="10" t="n">
        <x:f>IF(OR(F2079="Status",G2079=0),"",G2079+H2079)</x:f>
        <x:v>135</x:v>
      </x:c>
      <x:c r="J2079" s="10" t="n">
        <x:v>1</x:v>
      </x:c>
      <x:c r="K2079" s="12" t="n">
        <x:v>15</x:v>
      </x:c>
      <x:c r="L2079" s="1" t="str"/>
      <x:c r="M2079" s="9" t="str">
        <x:v>https://poke.idleworld.online/pokepedia/pokemon/piloswine</x:v>
      </x:c>
    </x:row>
    <x:row r="2080" ht="22" customHeight="1">
      <x:c r="A2080" s="1" t="n">
        <x:v>221</x:v>
      </x:c>
      <x:c r="B2080" s="1" t="str">
        <x:v>Piloswine</x:v>
      </x:c>
      <x:c r="C2080" s="1" t="n">
        <x:v>6</x:v>
      </x:c>
      <x:c r="D2080" s="1" t="str">
        <x:v>Mud Bomb</x:v>
      </x:c>
      <x:c r="E2080" s="1" t="str">
        <x:v>Terrestre</x:v>
      </x:c>
      <x:c r="F2080" s="1" t="str">
        <x:v>Especial</x:v>
      </x:c>
      <x:c r="G2080" s="10" t="n">
        <x:v>65</x:v>
      </x:c>
      <x:c r="H2080" s="10" t="n">
        <x:f>IF(F2080="Física",'Pokémon'!G224,IF(F2080="Especial",'Pokémon'!I224,""))</x:f>
        <x:v>60</x:v>
      </x:c>
      <x:c r="I2080" s="10" t="n">
        <x:f>IF(OR(F2080="Status",G2080=0),"",G2080+H2080)</x:f>
        <x:v>125</x:v>
      </x:c>
      <x:c r="J2080" s="10" t="n">
        <x:v>18</x:v>
      </x:c>
      <x:c r="K2080" s="12" t="n">
        <x:v>25</x:v>
      </x:c>
      <x:c r="L2080" s="1" t="str"/>
      <x:c r="M2080" s="9" t="str">
        <x:v>https://poke.idleworld.online/pokepedia/pokemon/piloswine</x:v>
      </x:c>
    </x:row>
    <x:row r="2081" ht="22" customHeight="1">
      <x:c r="A2081" s="1" t="n">
        <x:v>221</x:v>
      </x:c>
      <x:c r="B2081" s="1" t="str">
        <x:v>Piloswine</x:v>
      </x:c>
      <x:c r="C2081" s="1" t="n">
        <x:v>4</x:v>
      </x:c>
      <x:c r="D2081" s="1" t="str">
        <x:v>Ancient Power</x:v>
      </x:c>
      <x:c r="E2081" s="1" t="str">
        <x:v>Pedra</x:v>
      </x:c>
      <x:c r="F2081" s="1" t="str">
        <x:v>Especial</x:v>
      </x:c>
      <x:c r="G2081" s="10" t="n">
        <x:v>60</x:v>
      </x:c>
      <x:c r="H2081" s="10" t="n">
        <x:f>IF(F2081="Física",'Pokémon'!G224,IF(F2081="Especial",'Pokémon'!I224,""))</x:f>
        <x:v>60</x:v>
      </x:c>
      <x:c r="I2081" s="10" t="n">
        <x:f>IF(OR(F2081="Status",G2081=0),"",G2081+H2081)</x:f>
        <x:v>120</x:v>
      </x:c>
      <x:c r="J2081" s="10" t="n">
        <x:v>1</x:v>
      </x:c>
      <x:c r="K2081" s="12" t="n">
        <x:v>20</x:v>
      </x:c>
      <x:c r="L2081" s="1" t="str"/>
      <x:c r="M2081" s="9" t="str">
        <x:v>https://poke.idleworld.online/pokepedia/pokemon/piloswine</x:v>
      </x:c>
    </x:row>
    <x:row r="2082" ht="22" customHeight="1">
      <x:c r="A2082" s="1" t="n">
        <x:v>221</x:v>
      </x:c>
      <x:c r="B2082" s="1" t="str">
        <x:v>Piloswine</x:v>
      </x:c>
      <x:c r="C2082" s="1" t="n">
        <x:v>7</x:v>
      </x:c>
      <x:c r="D2082" s="1" t="str">
        <x:v>Icy Wind</x:v>
      </x:c>
      <x:c r="E2082" s="1" t="str">
        <x:v>Gelo</x:v>
      </x:c>
      <x:c r="F2082" s="1" t="str">
        <x:v>Especial</x:v>
      </x:c>
      <x:c r="G2082" s="10" t="n">
        <x:v>55</x:v>
      </x:c>
      <x:c r="H2082" s="10" t="n">
        <x:f>IF(F2082="Física",'Pokémon'!G224,IF(F2082="Especial",'Pokémon'!I224,""))</x:f>
        <x:v>60</x:v>
      </x:c>
      <x:c r="I2082" s="10" t="n">
        <x:f>IF(OR(F2082="Status",G2082=0),"",G2082+H2082)</x:f>
        <x:v>115</x:v>
      </x:c>
      <x:c r="J2082" s="10" t="n">
        <x:v>21</x:v>
      </x:c>
      <x:c r="K2082" s="12" t="n">
        <x:v>25</x:v>
      </x:c>
      <x:c r="L2082" s="1" t="str"/>
      <x:c r="M2082" s="9" t="str">
        <x:v>https://poke.idleworld.online/pokepedia/pokemon/piloswine</x:v>
      </x:c>
    </x:row>
    <x:row r="2083" ht="22" customHeight="1">
      <x:c r="A2083" s="1" t="n">
        <x:v>221</x:v>
      </x:c>
      <x:c r="B2083" s="1" t="str">
        <x:v>Piloswine</x:v>
      </x:c>
      <x:c r="C2083" s="1" t="n">
        <x:v>10</x:v>
      </x:c>
      <x:c r="D2083" s="1" t="str">
        <x:v>Fury Attack</x:v>
      </x:c>
      <x:c r="E2083" s="1" t="str">
        <x:v>Normal</x:v>
      </x:c>
      <x:c r="F2083" s="1" t="str">
        <x:v>Física</x:v>
      </x:c>
      <x:c r="G2083" s="10" t="n">
        <x:v>15</x:v>
      </x:c>
      <x:c r="H2083" s="10" t="n">
        <x:f>IF(F2083="Física",'Pokémon'!G224,IF(F2083="Especial",'Pokémon'!I224,""))</x:f>
        <x:v>100</x:v>
      </x:c>
      <x:c r="I2083" s="10" t="n">
        <x:f>IF(OR(F2083="Status",G2083=0),"",G2083+H2083)</x:f>
        <x:v>115</x:v>
      </x:c>
      <x:c r="J2083" s="10" t="n">
        <x:v>33</x:v>
      </x:c>
      <x:c r="K2083" s="12" t="n">
        <x:v>15</x:v>
      </x:c>
      <x:c r="L2083" s="1" t="str"/>
      <x:c r="M2083" s="9" t="str">
        <x:v>https://poke.idleworld.online/pokepedia/pokemon/piloswine</x:v>
      </x:c>
    </x:row>
    <x:row r="2084" ht="22" customHeight="1">
      <x:c r="A2084" s="1" t="n">
        <x:v>221</x:v>
      </x:c>
      <x:c r="B2084" s="1" t="str">
        <x:v>Piloswine</x:v>
      </x:c>
      <x:c r="C2084" s="1" t="n">
        <x:v>3</x:v>
      </x:c>
      <x:c r="D2084" s="1" t="str">
        <x:v>Powder Snow</x:v>
      </x:c>
      <x:c r="E2084" s="1" t="str">
        <x:v>Gelo</x:v>
      </x:c>
      <x:c r="F2084" s="1" t="str">
        <x:v>Especial</x:v>
      </x:c>
      <x:c r="G2084" s="10" t="n">
        <x:v>40</x:v>
      </x:c>
      <x:c r="H2084" s="10" t="n">
        <x:f>IF(F2084="Física",'Pokémon'!G224,IF(F2084="Especial",'Pokémon'!I224,""))</x:f>
        <x:v>60</x:v>
      </x:c>
      <x:c r="I2084" s="10" t="n">
        <x:f>IF(OR(F2084="Status",G2084=0),"",G2084+H2084)</x:f>
        <x:v>100</x:v>
      </x:c>
      <x:c r="J2084" s="10" t="n">
        <x:v>1</x:v>
      </x:c>
      <x:c r="K2084" s="12" t="n">
        <x:v>15</x:v>
      </x:c>
      <x:c r="L2084" s="1" t="str"/>
      <x:c r="M2084" s="9" t="str">
        <x:v>https://poke.idleworld.online/pokepedia/pokemon/piloswine</x:v>
      </x:c>
    </x:row>
    <x:row r="2085" ht="22" customHeight="1">
      <x:c r="A2085" s="1" t="n">
        <x:v>221</x:v>
      </x:c>
      <x:c r="B2085" s="1" t="str">
        <x:v>Piloswine</x:v>
      </x:c>
      <x:c r="C2085" s="1" t="n">
        <x:v>5</x:v>
      </x:c>
      <x:c r="D2085" s="1" t="str">
        <x:v>Mud-Slap</x:v>
      </x:c>
      <x:c r="E2085" s="1" t="str">
        <x:v>Terrestre</x:v>
      </x:c>
      <x:c r="F2085" s="1" t="str">
        <x:v>Especial</x:v>
      </x:c>
      <x:c r="G2085" s="10" t="n">
        <x:v>20</x:v>
      </x:c>
      <x:c r="H2085" s="10" t="n">
        <x:f>IF(F2085="Física",'Pokémon'!G224,IF(F2085="Especial",'Pokémon'!I224,""))</x:f>
        <x:v>60</x:v>
      </x:c>
      <x:c r="I2085" s="10" t="n">
        <x:f>IF(OR(F2085="Status",G2085=0),"",G2085+H2085)</x:f>
        <x:v>80</x:v>
      </x:c>
      <x:c r="J2085" s="10" t="n">
        <x:v>11</x:v>
      </x:c>
      <x:c r="K2085" s="12" t="n">
        <x:v>25</x:v>
      </x:c>
      <x:c r="L2085" s="1" t="str"/>
      <x:c r="M2085" s="9" t="str">
        <x:v>https://poke.idleworld.online/pokepedia/pokemon/piloswine</x:v>
      </x:c>
    </x:row>
    <x:row r="2086" ht="22" customHeight="1">
      <x:c r="A2086" s="1" t="n">
        <x:v>222</x:v>
      </x:c>
      <x:c r="B2086" s="1" t="str">
        <x:v>Corsola</x:v>
      </x:c>
      <x:c r="C2086" s="1" t="n">
        <x:v>2</x:v>
      </x:c>
      <x:c r="D2086" s="1" t="str">
        <x:v>Cyclonic Tide</x:v>
      </x:c>
      <x:c r="E2086" s="1" t="str">
        <x:v>Água</x:v>
      </x:c>
      <x:c r="F2086" s="1" t="str">
        <x:v>Especial</x:v>
      </x:c>
      <x:c r="G2086" s="10" t="n">
        <x:v>300</x:v>
      </x:c>
      <x:c r="H2086" s="10" t="n">
        <x:f>IF(F2086="Física",'Pokémon'!G225,IF(F2086="Especial",'Pokémon'!I225,""))</x:f>
        <x:v>65</x:v>
      </x:c>
      <x:c r="I2086" s="10" t="n">
        <x:f>IF(OR(F2086="Status",G2086=0),"",G2086+H2086)</x:f>
        <x:v>365</x:v>
      </x:c>
      <x:c r="J2086" s="10" t="n">
        <x:v>1</x:v>
      </x:c>
      <x:c r="K2086" s="12" t="n">
        <x:v>10</x:v>
      </x:c>
      <x:c r="L2086" s="1" t="str">
        <x:v>Sim</x:v>
      </x:c>
      <x:c r="M2086" s="9" t="str">
        <x:v>https://poke.idleworld.online/pokepedia/pokemon/corsola</x:v>
      </x:c>
    </x:row>
    <x:row r="2087" ht="22" customHeight="1">
      <x:c r="A2087" s="1" t="n">
        <x:v>222</x:v>
      </x:c>
      <x:c r="B2087" s="1" t="str">
        <x:v>Corsola</x:v>
      </x:c>
      <x:c r="C2087" s="1" t="n">
        <x:v>10</x:v>
      </x:c>
      <x:c r="D2087" s="1" t="str">
        <x:v>Earth Power</x:v>
      </x:c>
      <x:c r="E2087" s="1" t="str">
        <x:v>Terrestre</x:v>
      </x:c>
      <x:c r="F2087" s="1" t="str">
        <x:v>Especial</x:v>
      </x:c>
      <x:c r="G2087" s="10" t="n">
        <x:v>90</x:v>
      </x:c>
      <x:c r="H2087" s="10" t="n">
        <x:f>IF(F2087="Física",'Pokémon'!G225,IF(F2087="Especial",'Pokémon'!I225,""))</x:f>
        <x:v>65</x:v>
      </x:c>
      <x:c r="I2087" s="10" t="n">
        <x:f>IF(OR(F2087="Status",G2087=0),"",G2087+H2087)</x:f>
        <x:v>155</x:v>
      </x:c>
      <x:c r="J2087" s="10" t="n">
        <x:v>47</x:v>
      </x:c>
      <x:c r="K2087" s="12" t="n">
        <x:v>22</x:v>
      </x:c>
      <x:c r="L2087" s="1" t="str"/>
      <x:c r="M2087" s="9" t="str">
        <x:v>https://poke.idleworld.online/pokepedia/pokemon/corsola</x:v>
      </x:c>
    </x:row>
    <x:row r="2088" ht="22" customHeight="1">
      <x:c r="A2088" s="1" t="n">
        <x:v>222</x:v>
      </x:c>
      <x:c r="B2088" s="1" t="str">
        <x:v>Corsola</x:v>
      </x:c>
      <x:c r="C2088" s="1" t="n">
        <x:v>9</x:v>
      </x:c>
      <x:c r="D2088" s="1" t="str">
        <x:v>Power Gem</x:v>
      </x:c>
      <x:c r="E2088" s="1" t="str">
        <x:v>Pedra</x:v>
      </x:c>
      <x:c r="F2088" s="1" t="str">
        <x:v>Especial</x:v>
      </x:c>
      <x:c r="G2088" s="10" t="n">
        <x:v>80</x:v>
      </x:c>
      <x:c r="H2088" s="10" t="n">
        <x:f>IF(F2088="Física",'Pokémon'!G225,IF(F2088="Especial",'Pokémon'!I225,""))</x:f>
        <x:v>65</x:v>
      </x:c>
      <x:c r="I2088" s="10" t="n">
        <x:f>IF(OR(F2088="Status",G2088=0),"",G2088+H2088)</x:f>
        <x:v>145</x:v>
      </x:c>
      <x:c r="J2088" s="10" t="n">
        <x:v>41</x:v>
      </x:c>
      <x:c r="K2088" s="12" t="n">
        <x:v>22</x:v>
      </x:c>
      <x:c r="L2088" s="1" t="str"/>
      <x:c r="M2088" s="9" t="str">
        <x:v>https://poke.idleworld.online/pokepedia/pokemon/corsola</x:v>
      </x:c>
    </x:row>
    <x:row r="2089" ht="22" customHeight="1">
      <x:c r="A2089" s="1" t="n">
        <x:v>222</x:v>
      </x:c>
      <x:c r="B2089" s="1" t="str">
        <x:v>Corsola</x:v>
      </x:c>
      <x:c r="C2089" s="1" t="n">
        <x:v>4</x:v>
      </x:c>
      <x:c r="D2089" s="1" t="str">
        <x:v>Bubble Beam</x:v>
      </x:c>
      <x:c r="E2089" s="1" t="str">
        <x:v>Água</x:v>
      </x:c>
      <x:c r="F2089" s="1" t="str">
        <x:v>Especial</x:v>
      </x:c>
      <x:c r="G2089" s="10" t="n">
        <x:v>65</x:v>
      </x:c>
      <x:c r="H2089" s="10" t="n">
        <x:f>IF(F2089="Física",'Pokémon'!G225,IF(F2089="Especial",'Pokémon'!I225,""))</x:f>
        <x:v>65</x:v>
      </x:c>
      <x:c r="I2089" s="10" t="n">
        <x:f>IF(OR(F2089="Status",G2089=0),"",G2089+H2089)</x:f>
        <x:v>130</x:v>
      </x:c>
      <x:c r="J2089" s="10" t="n">
        <x:v>10</x:v>
      </x:c>
      <x:c r="K2089" s="12" t="n">
        <x:v>20</x:v>
      </x:c>
      <x:c r="L2089" s="1" t="str"/>
      <x:c r="M2089" s="9" t="str">
        <x:v>https://poke.idleworld.online/pokepedia/pokemon/corsola</x:v>
      </x:c>
    </x:row>
    <x:row r="2090" ht="22" customHeight="1">
      <x:c r="A2090" s="1" t="n">
        <x:v>222</x:v>
      </x:c>
      <x:c r="B2090" s="1" t="str">
        <x:v>Corsola</x:v>
      </x:c>
      <x:c r="C2090" s="1" t="n">
        <x:v>7</x:v>
      </x:c>
      <x:c r="D2090" s="1" t="str">
        <x:v>Brine</x:v>
      </x:c>
      <x:c r="E2090" s="1" t="str">
        <x:v>Água</x:v>
      </x:c>
      <x:c r="F2090" s="1" t="str">
        <x:v>Especial</x:v>
      </x:c>
      <x:c r="G2090" s="10" t="n">
        <x:v>65</x:v>
      </x:c>
      <x:c r="H2090" s="10" t="n">
        <x:f>IF(F2090="Física",'Pokémon'!G225,IF(F2090="Especial",'Pokémon'!I225,""))</x:f>
        <x:v>65</x:v>
      </x:c>
      <x:c r="I2090" s="10" t="n">
        <x:f>IF(OR(F2090="Status",G2090=0),"",G2090+H2090)</x:f>
        <x:v>130</x:v>
      </x:c>
      <x:c r="J2090" s="10" t="n">
        <x:v>27</x:v>
      </x:c>
      <x:c r="K2090" s="12" t="n">
        <x:v>20</x:v>
      </x:c>
      <x:c r="L2090" s="1" t="str"/>
      <x:c r="M2090" s="9" t="str">
        <x:v>https://poke.idleworld.online/pokepedia/pokemon/corsola</x:v>
      </x:c>
    </x:row>
    <x:row r="2091" ht="22" customHeight="1">
      <x:c r="A2091" s="1" t="n">
        <x:v>222</x:v>
      </x:c>
      <x:c r="B2091" s="1" t="str">
        <x:v>Corsola</x:v>
      </x:c>
      <x:c r="C2091" s="1" t="n">
        <x:v>5</x:v>
      </x:c>
      <x:c r="D2091" s="1" t="str">
        <x:v>Ancient Power</x:v>
      </x:c>
      <x:c r="E2091" s="1" t="str">
        <x:v>Pedra</x:v>
      </x:c>
      <x:c r="F2091" s="1" t="str">
        <x:v>Especial</x:v>
      </x:c>
      <x:c r="G2091" s="10" t="n">
        <x:v>60</x:v>
      </x:c>
      <x:c r="H2091" s="10" t="n">
        <x:f>IF(F2091="Física",'Pokémon'!G225,IF(F2091="Especial",'Pokémon'!I225,""))</x:f>
        <x:v>65</x:v>
      </x:c>
      <x:c r="I2091" s="10" t="n">
        <x:f>IF(OR(F2091="Status",G2091=0),"",G2091+H2091)</x:f>
        <x:v>125</x:v>
      </x:c>
      <x:c r="J2091" s="10" t="n">
        <x:v>17</x:v>
      </x:c>
      <x:c r="K2091" s="12" t="n">
        <x:v>20</x:v>
      </x:c>
      <x:c r="L2091" s="1" t="str"/>
      <x:c r="M2091" s="9" t="str">
        <x:v>https://poke.idleworld.online/pokepedia/pokemon/corsola</x:v>
      </x:c>
    </x:row>
    <x:row r="2092" ht="22" customHeight="1">
      <x:c r="A2092" s="1" t="n">
        <x:v>222</x:v>
      </x:c>
      <x:c r="B2092" s="1" t="str">
        <x:v>Corsola</x:v>
      </x:c>
      <x:c r="C2092" s="1" t="n">
        <x:v>1</x:v>
      </x:c>
      <x:c r="D2092" s="1" t="str">
        <x:v>Tackle</x:v>
      </x:c>
      <x:c r="E2092" s="1" t="str">
        <x:v>Normal</x:v>
      </x:c>
      <x:c r="F2092" s="1" t="str">
        <x:v>Física</x:v>
      </x:c>
      <x:c r="G2092" s="10" t="n">
        <x:v>50</x:v>
      </x:c>
      <x:c r="H2092" s="10" t="n">
        <x:f>IF(F2092="Física",'Pokémon'!G225,IF(F2092="Especial",'Pokémon'!I225,""))</x:f>
        <x:v>55</x:v>
      </x:c>
      <x:c r="I2092" s="10" t="n">
        <x:f>IF(OR(F2092="Status",G2092=0),"",G2092+H2092)</x:f>
        <x:v>105</x:v>
      </x:c>
      <x:c r="J2092" s="10" t="n">
        <x:v>1</x:v>
      </x:c>
      <x:c r="K2092" s="12" t="n">
        <x:v>15</x:v>
      </x:c>
      <x:c r="L2092" s="1" t="str"/>
      <x:c r="M2092" s="9" t="str">
        <x:v>https://poke.idleworld.online/pokepedia/pokemon/corsola</x:v>
      </x:c>
    </x:row>
    <x:row r="2093" ht="22" customHeight="1">
      <x:c r="A2093" s="1" t="n">
        <x:v>222</x:v>
      </x:c>
      <x:c r="B2093" s="1" t="str">
        <x:v>Corsola</x:v>
      </x:c>
      <x:c r="C2093" s="1" t="n">
        <x:v>3</x:v>
      </x:c>
      <x:c r="D2093" s="1" t="str">
        <x:v>Bubble</x:v>
      </x:c>
      <x:c r="E2093" s="1" t="str">
        <x:v>Água</x:v>
      </x:c>
      <x:c r="F2093" s="1" t="str">
        <x:v>Especial</x:v>
      </x:c>
      <x:c r="G2093" s="10" t="n">
        <x:v>40</x:v>
      </x:c>
      <x:c r="H2093" s="10" t="n">
        <x:f>IF(F2093="Física",'Pokémon'!G225,IF(F2093="Especial",'Pokémon'!I225,""))</x:f>
        <x:v>65</x:v>
      </x:c>
      <x:c r="I2093" s="10" t="n">
        <x:f>IF(OR(F2093="Status",G2093=0),"",G2093+H2093)</x:f>
        <x:v>105</x:v>
      </x:c>
      <x:c r="J2093" s="10" t="n">
        <x:v>4</x:v>
      </x:c>
      <x:c r="K2093" s="12" t="n">
        <x:v>15</x:v>
      </x:c>
      <x:c r="L2093" s="1" t="str"/>
      <x:c r="M2093" s="9" t="str">
        <x:v>https://poke.idleworld.online/pokepedia/pokemon/corsola</x:v>
      </x:c>
    </x:row>
    <x:row r="2094" ht="22" customHeight="1">
      <x:c r="A2094" s="1" t="n">
        <x:v>222</x:v>
      </x:c>
      <x:c r="B2094" s="1" t="str">
        <x:v>Corsola</x:v>
      </x:c>
      <x:c r="C2094" s="1" t="n">
        <x:v>8</x:v>
      </x:c>
      <x:c r="D2094" s="1" t="str">
        <x:v>Rock Blast</x:v>
      </x:c>
      <x:c r="E2094" s="1" t="str">
        <x:v>Pedra</x:v>
      </x:c>
      <x:c r="F2094" s="1" t="str">
        <x:v>Física</x:v>
      </x:c>
      <x:c r="G2094" s="10" t="n">
        <x:v>25</x:v>
      </x:c>
      <x:c r="H2094" s="10" t="n">
        <x:f>IF(F2094="Física",'Pokémon'!G225,IF(F2094="Especial",'Pokémon'!I225,""))</x:f>
        <x:v>55</x:v>
      </x:c>
      <x:c r="I2094" s="10" t="n">
        <x:f>IF(OR(F2094="Status",G2094=0),"",G2094+H2094)</x:f>
        <x:v>80</x:v>
      </x:c>
      <x:c r="J2094" s="10" t="n">
        <x:v>31</x:v>
      </x:c>
      <x:c r="K2094" s="12" t="n">
        <x:v>50</x:v>
      </x:c>
      <x:c r="L2094" s="1" t="str"/>
      <x:c r="M2094" s="9" t="str">
        <x:v>https://poke.idleworld.online/pokepedia/pokemon/corsola</x:v>
      </x:c>
    </x:row>
    <x:row r="2095" ht="22" customHeight="1">
      <x:c r="A2095" s="1" t="n">
        <x:v>222</x:v>
      </x:c>
      <x:c r="B2095" s="1" t="str">
        <x:v>Corsola</x:v>
      </x:c>
      <x:c r="C2095" s="1" t="n">
        <x:v>6</x:v>
      </x:c>
      <x:c r="D2095" s="1" t="str">
        <x:v>Spike Cannon</x:v>
      </x:c>
      <x:c r="E2095" s="1" t="str">
        <x:v>Normal</x:v>
      </x:c>
      <x:c r="F2095" s="1" t="str">
        <x:v>Física</x:v>
      </x:c>
      <x:c r="G2095" s="10" t="n">
        <x:v>20</x:v>
      </x:c>
      <x:c r="H2095" s="10" t="n">
        <x:f>IF(F2095="Física",'Pokémon'!G225,IF(F2095="Especial",'Pokémon'!I225,""))</x:f>
        <x:v>55</x:v>
      </x:c>
      <x:c r="I2095" s="10" t="n">
        <x:f>IF(OR(F2095="Status",G2095=0),"",G2095+H2095)</x:f>
        <x:v>75</x:v>
      </x:c>
      <x:c r="J2095" s="10" t="n">
        <x:v>20</x:v>
      </x:c>
      <x:c r="K2095" s="12" t="n">
        <x:v>15</x:v>
      </x:c>
      <x:c r="L2095" s="1" t="str"/>
      <x:c r="M2095" s="9" t="str">
        <x:v>https://poke.idleworld.online/pokepedia/pokemon/corsola</x:v>
      </x:c>
    </x:row>
    <x:row r="2096" ht="22" customHeight="1">
      <x:c r="A2096" s="1" t="n">
        <x:v>223</x:v>
      </x:c>
      <x:c r="B2096" s="1" t="str">
        <x:v>Remoraid</x:v>
      </x:c>
      <x:c r="C2096" s="1" t="n">
        <x:v>10</x:v>
      </x:c>
      <x:c r="D2096" s="1" t="str">
        <x:v>Hyper Beam</x:v>
      </x:c>
      <x:c r="E2096" s="1" t="str">
        <x:v>Normal</x:v>
      </x:c>
      <x:c r="F2096" s="1" t="str">
        <x:v>Especial</x:v>
      </x:c>
      <x:c r="G2096" s="10" t="n">
        <x:v>150</x:v>
      </x:c>
      <x:c r="H2096" s="10" t="n">
        <x:f>IF(F2096="Física",'Pokémon'!G226,IF(F2096="Especial",'Pokémon'!I226,""))</x:f>
        <x:v>65</x:v>
      </x:c>
      <x:c r="I2096" s="10" t="n">
        <x:f>IF(OR(F2096="Status",G2096=0),"",G2096+H2096)</x:f>
        <x:v>215</x:v>
      </x:c>
      <x:c r="J2096" s="10" t="n">
        <x:v>46</x:v>
      </x:c>
      <x:c r="K2096" s="12" t="n">
        <x:v>50</x:v>
      </x:c>
      <x:c r="L2096" s="1" t="str"/>
      <x:c r="M2096" s="9" t="str">
        <x:v>https://poke.idleworld.online/pokepedia/pokemon/remoraid</x:v>
      </x:c>
    </x:row>
    <x:row r="2097" ht="22" customHeight="1">
      <x:c r="A2097" s="1" t="n">
        <x:v>223</x:v>
      </x:c>
      <x:c r="B2097" s="1" t="str">
        <x:v>Remoraid</x:v>
      </x:c>
      <x:c r="C2097" s="1" t="n">
        <x:v>9</x:v>
      </x:c>
      <x:c r="D2097" s="1" t="str">
        <x:v>Hydro Pump</x:v>
      </x:c>
      <x:c r="E2097" s="1" t="str">
        <x:v>Água</x:v>
      </x:c>
      <x:c r="F2097" s="1" t="str">
        <x:v>Especial</x:v>
      </x:c>
      <x:c r="G2097" s="10" t="n">
        <x:v>110</x:v>
      </x:c>
      <x:c r="H2097" s="10" t="n">
        <x:f>IF(F2097="Física",'Pokémon'!G226,IF(F2097="Especial",'Pokémon'!I226,""))</x:f>
        <x:v>65</x:v>
      </x:c>
      <x:c r="I2097" s="10" t="n">
        <x:f>IF(OR(F2097="Status",G2097=0),"",G2097+H2097)</x:f>
        <x:v>175</x:v>
      </x:c>
      <x:c r="J2097" s="10" t="n">
        <x:v>42</x:v>
      </x:c>
      <x:c r="K2097" s="12" t="n">
        <x:v>40</x:v>
      </x:c>
      <x:c r="L2097" s="1" t="str"/>
      <x:c r="M2097" s="9" t="str">
        <x:v>https://poke.idleworld.online/pokepedia/pokemon/remoraid</x:v>
      </x:c>
    </x:row>
    <x:row r="2098" ht="22" customHeight="1">
      <x:c r="A2098" s="1" t="n">
        <x:v>223</x:v>
      </x:c>
      <x:c r="B2098" s="1" t="str">
        <x:v>Remoraid</x:v>
      </x:c>
      <x:c r="C2098" s="1" t="n">
        <x:v>7</x:v>
      </x:c>
      <x:c r="D2098" s="1" t="str">
        <x:v>Ice Beam</x:v>
      </x:c>
      <x:c r="E2098" s="1" t="str">
        <x:v>Gelo</x:v>
      </x:c>
      <x:c r="F2098" s="1" t="str">
        <x:v>Especial</x:v>
      </x:c>
      <x:c r="G2098" s="10" t="n">
        <x:v>90</x:v>
      </x:c>
      <x:c r="H2098" s="10" t="n">
        <x:f>IF(F2098="Física",'Pokémon'!G226,IF(F2098="Especial",'Pokémon'!I226,""))</x:f>
        <x:v>65</x:v>
      </x:c>
      <x:c r="I2098" s="10" t="n">
        <x:f>IF(OR(F2098="Status",G2098=0),"",G2098+H2098)</x:f>
        <x:v>155</x:v>
      </x:c>
      <x:c r="J2098" s="10" t="n">
        <x:v>34</x:v>
      </x:c>
      <x:c r="K2098" s="12" t="n">
        <x:v>22</x:v>
      </x:c>
      <x:c r="L2098" s="1" t="str"/>
      <x:c r="M2098" s="9" t="str">
        <x:v>https://poke.idleworld.online/pokepedia/pokemon/remoraid</x:v>
      </x:c>
    </x:row>
    <x:row r="2099" ht="22" customHeight="1">
      <x:c r="A2099" s="1" t="n">
        <x:v>223</x:v>
      </x:c>
      <x:c r="B2099" s="1" t="str">
        <x:v>Remoraid</x:v>
      </x:c>
      <x:c r="C2099" s="1" t="n">
        <x:v>6</x:v>
      </x:c>
      <x:c r="D2099" s="1" t="str">
        <x:v>Signal Beam</x:v>
      </x:c>
      <x:c r="E2099" s="1" t="str">
        <x:v>Inseto</x:v>
      </x:c>
      <x:c r="F2099" s="1" t="str">
        <x:v>Especial</x:v>
      </x:c>
      <x:c r="G2099" s="10" t="n">
        <x:v>75</x:v>
      </x:c>
      <x:c r="H2099" s="10" t="n">
        <x:f>IF(F2099="Física",'Pokémon'!G226,IF(F2099="Especial",'Pokémon'!I226,""))</x:f>
        <x:v>65</x:v>
      </x:c>
      <x:c r="I2099" s="10" t="n">
        <x:f>IF(OR(F2099="Status",G2099=0),"",G2099+H2099)</x:f>
        <x:v>140</x:v>
      </x:c>
      <x:c r="J2099" s="10" t="n">
        <x:v>30</x:v>
      </x:c>
      <x:c r="K2099" s="12" t="n">
        <x:v>22</x:v>
      </x:c>
      <x:c r="L2099" s="1" t="str"/>
      <x:c r="M2099" s="9" t="str">
        <x:v>https://poke.idleworld.online/pokepedia/pokemon/remoraid</x:v>
      </x:c>
    </x:row>
    <x:row r="2100" ht="22" customHeight="1">
      <x:c r="A2100" s="1" t="n">
        <x:v>223</x:v>
      </x:c>
      <x:c r="B2100" s="1" t="str">
        <x:v>Remoraid</x:v>
      </x:c>
      <x:c r="C2100" s="1" t="n">
        <x:v>2</x:v>
      </x:c>
      <x:c r="D2100" s="1" t="str">
        <x:v>Psybeam</x:v>
      </x:c>
      <x:c r="E2100" s="1" t="str">
        <x:v>Psíquico</x:v>
      </x:c>
      <x:c r="F2100" s="1" t="str">
        <x:v>Especial</x:v>
      </x:c>
      <x:c r="G2100" s="10" t="n">
        <x:v>65</x:v>
      </x:c>
      <x:c r="H2100" s="10" t="n">
        <x:f>IF(F2100="Física",'Pokémon'!G226,IF(F2100="Especial",'Pokémon'!I226,""))</x:f>
        <x:v>65</x:v>
      </x:c>
      <x:c r="I2100" s="10" t="n">
        <x:f>IF(OR(F2100="Status",G2100=0),"",G2100+H2100)</x:f>
        <x:v>130</x:v>
      </x:c>
      <x:c r="J2100" s="10" t="n">
        <x:v>10</x:v>
      </x:c>
      <x:c r="K2100" s="12" t="n">
        <x:v>20</x:v>
      </x:c>
      <x:c r="L2100" s="1" t="str"/>
      <x:c r="M2100" s="9" t="str">
        <x:v>https://poke.idleworld.online/pokepedia/pokemon/remoraid</x:v>
      </x:c>
    </x:row>
    <x:row r="2101" ht="22" customHeight="1">
      <x:c r="A2101" s="1" t="n">
        <x:v>223</x:v>
      </x:c>
      <x:c r="B2101" s="1" t="str">
        <x:v>Remoraid</x:v>
      </x:c>
      <x:c r="C2101" s="1" t="n">
        <x:v>3</x:v>
      </x:c>
      <x:c r="D2101" s="1" t="str">
        <x:v>Aurora Beam</x:v>
      </x:c>
      <x:c r="E2101" s="1" t="str">
        <x:v>Gelo</x:v>
      </x:c>
      <x:c r="F2101" s="1" t="str">
        <x:v>Especial</x:v>
      </x:c>
      <x:c r="G2101" s="10" t="n">
        <x:v>65</x:v>
      </x:c>
      <x:c r="H2101" s="10" t="n">
        <x:f>IF(F2101="Física",'Pokémon'!G226,IF(F2101="Especial",'Pokémon'!I226,""))</x:f>
        <x:v>65</x:v>
      </x:c>
      <x:c r="I2101" s="10" t="n">
        <x:f>IF(OR(F2101="Status",G2101=0),"",G2101+H2101)</x:f>
        <x:v>130</x:v>
      </x:c>
      <x:c r="J2101" s="10" t="n">
        <x:v>14</x:v>
      </x:c>
      <x:c r="K2101" s="12" t="n">
        <x:v>20</x:v>
      </x:c>
      <x:c r="L2101" s="1" t="str"/>
      <x:c r="M2101" s="9" t="str">
        <x:v>https://poke.idleworld.online/pokepedia/pokemon/remoraid</x:v>
      </x:c>
    </x:row>
    <x:row r="2102" ht="22" customHeight="1">
      <x:c r="A2102" s="1" t="n">
        <x:v>223</x:v>
      </x:c>
      <x:c r="B2102" s="1" t="str">
        <x:v>Remoraid</x:v>
      </x:c>
      <x:c r="C2102" s="1" t="n">
        <x:v>4</x:v>
      </x:c>
      <x:c r="D2102" s="1" t="str">
        <x:v>Bubble Beam</x:v>
      </x:c>
      <x:c r="E2102" s="1" t="str">
        <x:v>Água</x:v>
      </x:c>
      <x:c r="F2102" s="1" t="str">
        <x:v>Especial</x:v>
      </x:c>
      <x:c r="G2102" s="10" t="n">
        <x:v>65</x:v>
      </x:c>
      <x:c r="H2102" s="10" t="n">
        <x:f>IF(F2102="Física",'Pokémon'!G226,IF(F2102="Especial",'Pokémon'!I226,""))</x:f>
        <x:v>65</x:v>
      </x:c>
      <x:c r="I2102" s="10" t="n">
        <x:f>IF(OR(F2102="Status",G2102=0),"",G2102+H2102)</x:f>
        <x:v>130</x:v>
      </x:c>
      <x:c r="J2102" s="10" t="n">
        <x:v>18</x:v>
      </x:c>
      <x:c r="K2102" s="12" t="n">
        <x:v>20</x:v>
      </x:c>
      <x:c r="L2102" s="1" t="str"/>
      <x:c r="M2102" s="9" t="str">
        <x:v>https://poke.idleworld.online/pokepedia/pokemon/remoraid</x:v>
      </x:c>
    </x:row>
    <x:row r="2103" ht="22" customHeight="1">
      <x:c r="A2103" s="1" t="n">
        <x:v>223</x:v>
      </x:c>
      <x:c r="B2103" s="1" t="str">
        <x:v>Remoraid</x:v>
      </x:c>
      <x:c r="C2103" s="1" t="n">
        <x:v>5</x:v>
      </x:c>
      <x:c r="D2103" s="1" t="str">
        <x:v>Water Pulse</x:v>
      </x:c>
      <x:c r="E2103" s="1" t="str">
        <x:v>Água</x:v>
      </x:c>
      <x:c r="F2103" s="1" t="str">
        <x:v>Especial</x:v>
      </x:c>
      <x:c r="G2103" s="10" t="n">
        <x:v>60</x:v>
      </x:c>
      <x:c r="H2103" s="10" t="n">
        <x:f>IF(F2103="Física",'Pokémon'!G226,IF(F2103="Especial",'Pokémon'!I226,""))</x:f>
        <x:v>65</x:v>
      </x:c>
      <x:c r="I2103" s="10" t="n">
        <x:f>IF(OR(F2103="Status",G2103=0),"",G2103+H2103)</x:f>
        <x:v>125</x:v>
      </x:c>
      <x:c r="J2103" s="10" t="n">
        <x:v>26</x:v>
      </x:c>
      <x:c r="K2103" s="12" t="n">
        <x:v>60</x:v>
      </x:c>
      <x:c r="L2103" s="1" t="str"/>
      <x:c r="M2103" s="9" t="str">
        <x:v>https://poke.idleworld.online/pokepedia/pokemon/remoraid</x:v>
      </x:c>
    </x:row>
    <x:row r="2104" ht="22" customHeight="1">
      <x:c r="A2104" s="1" t="n">
        <x:v>223</x:v>
      </x:c>
      <x:c r="B2104" s="1" t="str">
        <x:v>Remoraid</x:v>
      </x:c>
      <x:c r="C2104" s="1" t="n">
        <x:v>1</x:v>
      </x:c>
      <x:c r="D2104" s="1" t="str">
        <x:v>Water Gun</x:v>
      </x:c>
      <x:c r="E2104" s="1" t="str">
        <x:v>Água</x:v>
      </x:c>
      <x:c r="F2104" s="1" t="str">
        <x:v>Especial</x:v>
      </x:c>
      <x:c r="G2104" s="10" t="n">
        <x:v>40</x:v>
      </x:c>
      <x:c r="H2104" s="10" t="n">
        <x:f>IF(F2104="Física",'Pokémon'!G226,IF(F2104="Especial",'Pokémon'!I226,""))</x:f>
        <x:v>65</x:v>
      </x:c>
      <x:c r="I2104" s="10" t="n">
        <x:f>IF(OR(F2104="Status",G2104=0),"",G2104+H2104)</x:f>
        <x:v>105</x:v>
      </x:c>
      <x:c r="J2104" s="10" t="n">
        <x:v>1</x:v>
      </x:c>
      <x:c r="K2104" s="12" t="n">
        <x:v>18</x:v>
      </x:c>
      <x:c r="L2104" s="1" t="str"/>
      <x:c r="M2104" s="9" t="str">
        <x:v>https://poke.idleworld.online/pokepedia/pokemon/remoraid</x:v>
      </x:c>
    </x:row>
    <x:row r="2105" ht="22" customHeight="1">
      <x:c r="A2105" s="1" t="n">
        <x:v>223</x:v>
      </x:c>
      <x:c r="B2105" s="1" t="str">
        <x:v>Remoraid</x:v>
      </x:c>
      <x:c r="C2105" s="1" t="n">
        <x:v>8</x:v>
      </x:c>
      <x:c r="D2105" s="1" t="str">
        <x:v>Bullet Seed</x:v>
      </x:c>
      <x:c r="E2105" s="1" t="str">
        <x:v>Planta</x:v>
      </x:c>
      <x:c r="F2105" s="1" t="str">
        <x:v>Física</x:v>
      </x:c>
      <x:c r="G2105" s="10" t="n">
        <x:v>25</x:v>
      </x:c>
      <x:c r="H2105" s="10" t="n">
        <x:f>IF(F2105="Física",'Pokémon'!G226,IF(F2105="Especial",'Pokémon'!I226,""))</x:f>
        <x:v>65</x:v>
      </x:c>
      <x:c r="I2105" s="10" t="n">
        <x:f>IF(OR(F2105="Status",G2105=0),"",G2105+H2105)</x:f>
        <x:v>90</x:v>
      </x:c>
      <x:c r="J2105" s="10" t="n">
        <x:v>38</x:v>
      </x:c>
      <x:c r="K2105" s="12" t="n">
        <x:v>15</x:v>
      </x:c>
      <x:c r="L2105" s="1" t="str"/>
      <x:c r="M2105" s="9" t="str">
        <x:v>https://poke.idleworld.online/pokepedia/pokemon/remoraid</x:v>
      </x:c>
    </x:row>
    <x:row r="2106" ht="22" customHeight="1">
      <x:c r="A2106" s="1" t="n">
        <x:v>224</x:v>
      </x:c>
      <x:c r="B2106" s="1" t="str">
        <x:v>Octillery</x:v>
      </x:c>
      <x:c r="C2106" s="1" t="n">
        <x:v>2</x:v>
      </x:c>
      <x:c r="D2106" s="1" t="str">
        <x:v>Cyclonic Tide</x:v>
      </x:c>
      <x:c r="E2106" s="1" t="str">
        <x:v>Água</x:v>
      </x:c>
      <x:c r="F2106" s="1" t="str">
        <x:v>Especial</x:v>
      </x:c>
      <x:c r="G2106" s="10" t="n">
        <x:v>300</x:v>
      </x:c>
      <x:c r="H2106" s="10" t="n">
        <x:f>IF(F2106="Física",'Pokémon'!G227,IF(F2106="Especial",'Pokémon'!I227,""))</x:f>
        <x:v>105</x:v>
      </x:c>
      <x:c r="I2106" s="10" t="n">
        <x:f>IF(OR(F2106="Status",G2106=0),"",G2106+H2106)</x:f>
        <x:v>405</x:v>
      </x:c>
      <x:c r="J2106" s="10" t="n">
        <x:v>1</x:v>
      </x:c>
      <x:c r="K2106" s="12" t="n">
        <x:v>10</x:v>
      </x:c>
      <x:c r="L2106" s="1" t="str">
        <x:v>Sim</x:v>
      </x:c>
      <x:c r="M2106" s="9" t="str">
        <x:v>https://poke.idleworld.online/pokepedia/pokemon/octillery</x:v>
      </x:c>
    </x:row>
    <x:row r="2107" ht="22" customHeight="1">
      <x:c r="A2107" s="1" t="n">
        <x:v>224</x:v>
      </x:c>
      <x:c r="B2107" s="1" t="str">
        <x:v>Octillery</x:v>
      </x:c>
      <x:c r="C2107" s="1" t="n">
        <x:v>14</x:v>
      </x:c>
      <x:c r="D2107" s="1" t="str">
        <x:v>Hyper Beam</x:v>
      </x:c>
      <x:c r="E2107" s="1" t="str">
        <x:v>Normal</x:v>
      </x:c>
      <x:c r="F2107" s="1" t="str">
        <x:v>Especial</x:v>
      </x:c>
      <x:c r="G2107" s="10" t="n">
        <x:v>150</x:v>
      </x:c>
      <x:c r="H2107" s="10" t="n">
        <x:f>IF(F2107="Física",'Pokémon'!G227,IF(F2107="Especial",'Pokémon'!I227,""))</x:f>
        <x:v>105</x:v>
      </x:c>
      <x:c r="I2107" s="10" t="n">
        <x:f>IF(OR(F2107="Status",G2107=0),"",G2107+H2107)</x:f>
        <x:v>255</x:v>
      </x:c>
      <x:c r="J2107" s="10" t="n">
        <x:v>58</x:v>
      </x:c>
      <x:c r="K2107" s="12" t="n">
        <x:v>50</x:v>
      </x:c>
      <x:c r="L2107" s="1" t="str"/>
      <x:c r="M2107" s="9" t="str">
        <x:v>https://poke.idleworld.online/pokepedia/pokemon/octillery</x:v>
      </x:c>
    </x:row>
    <x:row r="2108" ht="22" customHeight="1">
      <x:c r="A2108" s="1" t="n">
        <x:v>224</x:v>
      </x:c>
      <x:c r="B2108" s="1" t="str">
        <x:v>Octillery</x:v>
      </x:c>
      <x:c r="C2108" s="1" t="n">
        <x:v>7</x:v>
      </x:c>
      <x:c r="D2108" s="1" t="str">
        <x:v>Gunk Shot</x:v>
      </x:c>
      <x:c r="E2108" s="1" t="str">
        <x:v>Venenoso</x:v>
      </x:c>
      <x:c r="F2108" s="1" t="str">
        <x:v>Física</x:v>
      </x:c>
      <x:c r="G2108" s="10" t="n">
        <x:v>120</x:v>
      </x:c>
      <x:c r="H2108" s="10" t="n">
        <x:f>IF(F2108="Física",'Pokémon'!G227,IF(F2108="Especial",'Pokémon'!I227,""))</x:f>
        <x:v>105</x:v>
      </x:c>
      <x:c r="I2108" s="10" t="n">
        <x:f>IF(OR(F2108="Status",G2108=0),"",G2108+H2108)</x:f>
        <x:v>225</x:v>
      </x:c>
      <x:c r="J2108" s="10" t="n">
        <x:v>1</x:v>
      </x:c>
      <x:c r="K2108" s="12" t="n">
        <x:v>50</x:v>
      </x:c>
      <x:c r="L2108" s="1" t="str"/>
      <x:c r="M2108" s="9" t="str">
        <x:v>https://poke.idleworld.online/pokepedia/pokemon/octillery</x:v>
      </x:c>
    </x:row>
    <x:row r="2109" ht="22" customHeight="1">
      <x:c r="A2109" s="1" t="n">
        <x:v>224</x:v>
      </x:c>
      <x:c r="B2109" s="1" t="str">
        <x:v>Octillery</x:v>
      </x:c>
      <x:c r="C2109" s="1" t="n">
        <x:v>13</x:v>
      </x:c>
      <x:c r="D2109" s="1" t="str">
        <x:v>Hydro Pump</x:v>
      </x:c>
      <x:c r="E2109" s="1" t="str">
        <x:v>Água</x:v>
      </x:c>
      <x:c r="F2109" s="1" t="str">
        <x:v>Especial</x:v>
      </x:c>
      <x:c r="G2109" s="10" t="n">
        <x:v>110</x:v>
      </x:c>
      <x:c r="H2109" s="10" t="n">
        <x:f>IF(F2109="Física",'Pokémon'!G227,IF(F2109="Especial",'Pokémon'!I227,""))</x:f>
        <x:v>105</x:v>
      </x:c>
      <x:c r="I2109" s="10" t="n">
        <x:f>IF(OR(F2109="Status",G2109=0),"",G2109+H2109)</x:f>
        <x:v>215</x:v>
      </x:c>
      <x:c r="J2109" s="10" t="n">
        <x:v>52</x:v>
      </x:c>
      <x:c r="K2109" s="12" t="n">
        <x:v>40</x:v>
      </x:c>
      <x:c r="L2109" s="1" t="str"/>
      <x:c r="M2109" s="9" t="str">
        <x:v>https://poke.idleworld.online/pokepedia/pokemon/octillery</x:v>
      </x:c>
    </x:row>
    <x:row r="2110" ht="22" customHeight="1">
      <x:c r="A2110" s="1" t="n">
        <x:v>224</x:v>
      </x:c>
      <x:c r="B2110" s="1" t="str">
        <x:v>Octillery</x:v>
      </x:c>
      <x:c r="C2110" s="1" t="n">
        <x:v>11</x:v>
      </x:c>
      <x:c r="D2110" s="1" t="str">
        <x:v>Ice Beam</x:v>
      </x:c>
      <x:c r="E2110" s="1" t="str">
        <x:v>Gelo</x:v>
      </x:c>
      <x:c r="F2110" s="1" t="str">
        <x:v>Especial</x:v>
      </x:c>
      <x:c r="G2110" s="10" t="n">
        <x:v>90</x:v>
      </x:c>
      <x:c r="H2110" s="10" t="n">
        <x:f>IF(F2110="Física",'Pokémon'!G227,IF(F2110="Especial",'Pokémon'!I227,""))</x:f>
        <x:v>105</x:v>
      </x:c>
      <x:c r="I2110" s="10" t="n">
        <x:f>IF(OR(F2110="Status",G2110=0),"",G2110+H2110)</x:f>
        <x:v>195</x:v>
      </x:c>
      <x:c r="J2110" s="10" t="n">
        <x:v>40</x:v>
      </x:c>
      <x:c r="K2110" s="12" t="n">
        <x:v>22</x:v>
      </x:c>
      <x:c r="L2110" s="1" t="str"/>
      <x:c r="M2110" s="9" t="str">
        <x:v>https://poke.idleworld.online/pokepedia/pokemon/octillery</x:v>
      </x:c>
    </x:row>
    <x:row r="2111" ht="22" customHeight="1">
      <x:c r="A2111" s="1" t="n">
        <x:v>224</x:v>
      </x:c>
      <x:c r="B2111" s="1" t="str">
        <x:v>Octillery</x:v>
      </x:c>
      <x:c r="C2111" s="1" t="n">
        <x:v>10</x:v>
      </x:c>
      <x:c r="D2111" s="1" t="str">
        <x:v>Signal Beam</x:v>
      </x:c>
      <x:c r="E2111" s="1" t="str">
        <x:v>Inseto</x:v>
      </x:c>
      <x:c r="F2111" s="1" t="str">
        <x:v>Especial</x:v>
      </x:c>
      <x:c r="G2111" s="10" t="n">
        <x:v>75</x:v>
      </x:c>
      <x:c r="H2111" s="10" t="n">
        <x:f>IF(F2111="Física",'Pokémon'!G227,IF(F2111="Especial",'Pokémon'!I227,""))</x:f>
        <x:v>105</x:v>
      </x:c>
      <x:c r="I2111" s="10" t="n">
        <x:f>IF(OR(F2111="Status",G2111=0),"",G2111+H2111)</x:f>
        <x:v>180</x:v>
      </x:c>
      <x:c r="J2111" s="10" t="n">
        <x:v>34</x:v>
      </x:c>
      <x:c r="K2111" s="12" t="n">
        <x:v>22</x:v>
      </x:c>
      <x:c r="L2111" s="1" t="str"/>
      <x:c r="M2111" s="9" t="str">
        <x:v>https://poke.idleworld.online/pokepedia/pokemon/octillery</x:v>
      </x:c>
    </x:row>
    <x:row r="2112" ht="22" customHeight="1">
      <x:c r="A2112" s="1" t="n">
        <x:v>224</x:v>
      </x:c>
      <x:c r="B2112" s="1" t="str">
        <x:v>Octillery</x:v>
      </x:c>
      <x:c r="C2112" s="1" t="n">
        <x:v>5</x:v>
      </x:c>
      <x:c r="D2112" s="1" t="str">
        <x:v>Psybeam</x:v>
      </x:c>
      <x:c r="E2112" s="1" t="str">
        <x:v>Psíquico</x:v>
      </x:c>
      <x:c r="F2112" s="1" t="str">
        <x:v>Especial</x:v>
      </x:c>
      <x:c r="G2112" s="10" t="n">
        <x:v>65</x:v>
      </x:c>
      <x:c r="H2112" s="10" t="n">
        <x:f>IF(F2112="Física",'Pokémon'!G227,IF(F2112="Especial",'Pokémon'!I227,""))</x:f>
        <x:v>105</x:v>
      </x:c>
      <x:c r="I2112" s="10" t="n">
        <x:f>IF(OR(F2112="Status",G2112=0),"",G2112+H2112)</x:f>
        <x:v>170</x:v>
      </x:c>
      <x:c r="J2112" s="10" t="n">
        <x:v>1</x:v>
      </x:c>
      <x:c r="K2112" s="12" t="n">
        <x:v>20</x:v>
      </x:c>
      <x:c r="L2112" s="1" t="str"/>
      <x:c r="M2112" s="9" t="str">
        <x:v>https://poke.idleworld.online/pokepedia/pokemon/octillery</x:v>
      </x:c>
    </x:row>
    <x:row r="2113" ht="22" customHeight="1">
      <x:c r="A2113" s="1" t="n">
        <x:v>224</x:v>
      </x:c>
      <x:c r="B2113" s="1" t="str">
        <x:v>Octillery</x:v>
      </x:c>
      <x:c r="C2113" s="1" t="n">
        <x:v>6</x:v>
      </x:c>
      <x:c r="D2113" s="1" t="str">
        <x:v>Aurora Beam</x:v>
      </x:c>
      <x:c r="E2113" s="1" t="str">
        <x:v>Gelo</x:v>
      </x:c>
      <x:c r="F2113" s="1" t="str">
        <x:v>Especial</x:v>
      </x:c>
      <x:c r="G2113" s="10" t="n">
        <x:v>65</x:v>
      </x:c>
      <x:c r="H2113" s="10" t="n">
        <x:f>IF(F2113="Física",'Pokémon'!G227,IF(F2113="Especial",'Pokémon'!I227,""))</x:f>
        <x:v>105</x:v>
      </x:c>
      <x:c r="I2113" s="10" t="n">
        <x:f>IF(OR(F2113="Status",G2113=0),"",G2113+H2113)</x:f>
        <x:v>170</x:v>
      </x:c>
      <x:c r="J2113" s="10" t="n">
        <x:v>1</x:v>
      </x:c>
      <x:c r="K2113" s="12" t="n">
        <x:v>20</x:v>
      </x:c>
      <x:c r="L2113" s="1" t="str"/>
      <x:c r="M2113" s="9" t="str">
        <x:v>https://poke.idleworld.online/pokepedia/pokemon/octillery</x:v>
      </x:c>
    </x:row>
    <x:row r="2114" ht="22" customHeight="1">
      <x:c r="A2114" s="1" t="n">
        <x:v>224</x:v>
      </x:c>
      <x:c r="B2114" s="1" t="str">
        <x:v>Octillery</x:v>
      </x:c>
      <x:c r="C2114" s="1" t="n">
        <x:v>8</x:v>
      </x:c>
      <x:c r="D2114" s="1" t="str">
        <x:v>Bubble Beam</x:v>
      </x:c>
      <x:c r="E2114" s="1" t="str">
        <x:v>Água</x:v>
      </x:c>
      <x:c r="F2114" s="1" t="str">
        <x:v>Especial</x:v>
      </x:c>
      <x:c r="G2114" s="10" t="n">
        <x:v>65</x:v>
      </x:c>
      <x:c r="H2114" s="10" t="n">
        <x:f>IF(F2114="Física",'Pokémon'!G227,IF(F2114="Especial",'Pokémon'!I227,""))</x:f>
        <x:v>105</x:v>
      </x:c>
      <x:c r="I2114" s="10" t="n">
        <x:f>IF(OR(F2114="Status",G2114=0),"",G2114+H2114)</x:f>
        <x:v>170</x:v>
      </x:c>
      <x:c r="J2114" s="10" t="n">
        <x:v>18</x:v>
      </x:c>
      <x:c r="K2114" s="12" t="n">
        <x:v>20</x:v>
      </x:c>
      <x:c r="L2114" s="1" t="str"/>
      <x:c r="M2114" s="9" t="str">
        <x:v>https://poke.idleworld.online/pokepedia/pokemon/octillery</x:v>
      </x:c>
    </x:row>
    <x:row r="2115" ht="22" customHeight="1">
      <x:c r="A2115" s="1" t="n">
        <x:v>224</x:v>
      </x:c>
      <x:c r="B2115" s="1" t="str">
        <x:v>Octillery</x:v>
      </x:c>
      <x:c r="C2115" s="1" t="n">
        <x:v>9</x:v>
      </x:c>
      <x:c r="D2115" s="1" t="str">
        <x:v>Octazooka</x:v>
      </x:c>
      <x:c r="E2115" s="1" t="str">
        <x:v>Água</x:v>
      </x:c>
      <x:c r="F2115" s="1" t="str">
        <x:v>Especial</x:v>
      </x:c>
      <x:c r="G2115" s="10" t="n">
        <x:v>65</x:v>
      </x:c>
      <x:c r="H2115" s="10" t="n">
        <x:f>IF(F2115="Física",'Pokémon'!G227,IF(F2115="Especial",'Pokémon'!I227,""))</x:f>
        <x:v>105</x:v>
      </x:c>
      <x:c r="I2115" s="10" t="n">
        <x:f>IF(OR(F2115="Status",G2115=0),"",G2115+H2115)</x:f>
        <x:v>170</x:v>
      </x:c>
      <x:c r="J2115" s="10" t="n">
        <x:v>25</x:v>
      </x:c>
      <x:c r="K2115" s="12" t="n">
        <x:v>20</x:v>
      </x:c>
      <x:c r="L2115" s="1" t="str"/>
      <x:c r="M2115" s="9" t="str">
        <x:v>https://poke.idleworld.online/pokepedia/pokemon/octillery</x:v>
      </x:c>
    </x:row>
    <x:row r="2116" ht="22" customHeight="1">
      <x:c r="A2116" s="1" t="n">
        <x:v>224</x:v>
      </x:c>
      <x:c r="B2116" s="1" t="str">
        <x:v>Octillery</x:v>
      </x:c>
      <x:c r="C2116" s="1" t="n">
        <x:v>1</x:v>
      </x:c>
      <x:c r="D2116" s="1" t="str">
        <x:v>Water Gun</x:v>
      </x:c>
      <x:c r="E2116" s="1" t="str">
        <x:v>Água</x:v>
      </x:c>
      <x:c r="F2116" s="1" t="str">
        <x:v>Especial</x:v>
      </x:c>
      <x:c r="G2116" s="10" t="n">
        <x:v>40</x:v>
      </x:c>
      <x:c r="H2116" s="10" t="n">
        <x:f>IF(F2116="Física",'Pokémon'!G227,IF(F2116="Especial",'Pokémon'!I227,""))</x:f>
        <x:v>105</x:v>
      </x:c>
      <x:c r="I2116" s="10" t="n">
        <x:f>IF(OR(F2116="Status",G2116=0),"",G2116+H2116)</x:f>
        <x:v>145</x:v>
      </x:c>
      <x:c r="J2116" s="10" t="n">
        <x:v>1</x:v>
      </x:c>
      <x:c r="K2116" s="12" t="n">
        <x:v>18</x:v>
      </x:c>
      <x:c r="L2116" s="1" t="str"/>
      <x:c r="M2116" s="9" t="str">
        <x:v>https://poke.idleworld.online/pokepedia/pokemon/octillery</x:v>
      </x:c>
    </x:row>
    <x:row r="2117" ht="22" customHeight="1">
      <x:c r="A2117" s="1" t="n">
        <x:v>224</x:v>
      </x:c>
      <x:c r="B2117" s="1" t="str">
        <x:v>Octillery</x:v>
      </x:c>
      <x:c r="C2117" s="1" t="n">
        <x:v>4</x:v>
      </x:c>
      <x:c r="D2117" s="1" t="str">
        <x:v>Rock Blast</x:v>
      </x:c>
      <x:c r="E2117" s="1" t="str">
        <x:v>Pedra</x:v>
      </x:c>
      <x:c r="F2117" s="1" t="str">
        <x:v>Física</x:v>
      </x:c>
      <x:c r="G2117" s="10" t="n">
        <x:v>25</x:v>
      </x:c>
      <x:c r="H2117" s="10" t="n">
        <x:f>IF(F2117="Física",'Pokémon'!G227,IF(F2117="Especial",'Pokémon'!I227,""))</x:f>
        <x:v>105</x:v>
      </x:c>
      <x:c r="I2117" s="10" t="n">
        <x:f>IF(OR(F2117="Status",G2117=0),"",G2117+H2117)</x:f>
        <x:v>130</x:v>
      </x:c>
      <x:c r="J2117" s="10" t="n">
        <x:v>1</x:v>
      </x:c>
      <x:c r="K2117" s="12" t="n">
        <x:v>15</x:v>
      </x:c>
      <x:c r="L2117" s="1" t="str"/>
      <x:c r="M2117" s="9" t="str">
        <x:v>https://poke.idleworld.online/pokepedia/pokemon/octillery</x:v>
      </x:c>
    </x:row>
    <x:row r="2118" ht="22" customHeight="1">
      <x:c r="A2118" s="1" t="n">
        <x:v>224</x:v>
      </x:c>
      <x:c r="B2118" s="1" t="str">
        <x:v>Octillery</x:v>
      </x:c>
      <x:c r="C2118" s="1" t="n">
        <x:v>12</x:v>
      </x:c>
      <x:c r="D2118" s="1" t="str">
        <x:v>Bullet Seed</x:v>
      </x:c>
      <x:c r="E2118" s="1" t="str">
        <x:v>Planta</x:v>
      </x:c>
      <x:c r="F2118" s="1" t="str">
        <x:v>Física</x:v>
      </x:c>
      <x:c r="G2118" s="10" t="n">
        <x:v>25</x:v>
      </x:c>
      <x:c r="H2118" s="10" t="n">
        <x:f>IF(F2118="Física",'Pokémon'!G227,IF(F2118="Especial",'Pokémon'!I227,""))</x:f>
        <x:v>105</x:v>
      </x:c>
      <x:c r="I2118" s="10" t="n">
        <x:f>IF(OR(F2118="Status",G2118=0),"",G2118+H2118)</x:f>
        <x:v>130</x:v>
      </x:c>
      <x:c r="J2118" s="10" t="n">
        <x:v>46</x:v>
      </x:c>
      <x:c r="K2118" s="12" t="n">
        <x:v>15</x:v>
      </x:c>
      <x:c r="L2118" s="1" t="str"/>
      <x:c r="M2118" s="9" t="str">
        <x:v>https://poke.idleworld.online/pokepedia/pokemon/octillery</x:v>
      </x:c>
    </x:row>
    <x:row r="2119" ht="22" customHeight="1">
      <x:c r="A2119" s="1" t="n">
        <x:v>224</x:v>
      </x:c>
      <x:c r="B2119" s="1" t="str">
        <x:v>Octillery</x:v>
      </x:c>
      <x:c r="C2119" s="1" t="n">
        <x:v>3</x:v>
      </x:c>
      <x:c r="D2119" s="1" t="str">
        <x:v>Constrict</x:v>
      </x:c>
      <x:c r="E2119" s="1" t="str">
        <x:v>Normal</x:v>
      </x:c>
      <x:c r="F2119" s="1" t="str">
        <x:v>Física</x:v>
      </x:c>
      <x:c r="G2119" s="10" t="n">
        <x:v>10</x:v>
      </x:c>
      <x:c r="H2119" s="10" t="n">
        <x:f>IF(F2119="Física",'Pokémon'!G227,IF(F2119="Especial",'Pokémon'!I227,""))</x:f>
        <x:v>105</x:v>
      </x:c>
      <x:c r="I2119" s="10" t="n">
        <x:f>IF(OR(F2119="Status",G2119=0),"",G2119+H2119)</x:f>
        <x:v>115</x:v>
      </x:c>
      <x:c r="J2119" s="10" t="n">
        <x:v>1</x:v>
      </x:c>
      <x:c r="K2119" s="12" t="n">
        <x:v>15</x:v>
      </x:c>
      <x:c r="L2119" s="1" t="str"/>
      <x:c r="M2119" s="9" t="str">
        <x:v>https://poke.idleworld.online/pokepedia/pokemon/octillery</x:v>
      </x:c>
    </x:row>
    <x:row r="2120" ht="22" customHeight="1">
      <x:c r="A2120" s="1" t="n">
        <x:v>225</x:v>
      </x:c>
      <x:c r="B2120" s="1" t="str">
        <x:v>Delibird</x:v>
      </x:c>
      <x:c r="C2120" s="1" t="n">
        <x:v>2</x:v>
      </x:c>
      <x:c r="D2120" s="1" t="str">
        <x:v>Ice Time</x:v>
      </x:c>
      <x:c r="E2120" s="1" t="str">
        <x:v>Gelo</x:v>
      </x:c>
      <x:c r="F2120" s="1" t="str">
        <x:v>Especial</x:v>
      </x:c>
      <x:c r="G2120" s="10" t="n">
        <x:v>300</x:v>
      </x:c>
      <x:c r="H2120" s="10" t="n">
        <x:f>IF(F2120="Física",'Pokémon'!G228,IF(F2120="Especial",'Pokémon'!I228,""))</x:f>
        <x:v>65</x:v>
      </x:c>
      <x:c r="I2120" s="10" t="n">
        <x:f>IF(OR(F2120="Status",G2120=0),"",G2120+H2120)</x:f>
        <x:v>365</x:v>
      </x:c>
      <x:c r="J2120" s="10" t="n">
        <x:v>1</x:v>
      </x:c>
      <x:c r="K2120" s="12" t="n">
        <x:v>10</x:v>
      </x:c>
      <x:c r="L2120" s="1" t="str">
        <x:v>Sim</x:v>
      </x:c>
      <x:c r="M2120" s="9" t="str">
        <x:v>https://poke.idleworld.online/pokepedia/pokemon/delibird</x:v>
      </x:c>
    </x:row>
    <x:row r="2121" ht="22" customHeight="1">
      <x:c r="A2121" s="1" t="n">
        <x:v>225</x:v>
      </x:c>
      <x:c r="B2121" s="1" t="str">
        <x:v>Delibird</x:v>
      </x:c>
      <x:c r="C2121" s="1" t="n">
        <x:v>1</x:v>
      </x:c>
      <x:c r="D2121" s="1" t="str">
        <x:v>Massive Hurricane</x:v>
      </x:c>
      <x:c r="E2121" s="1" t="str">
        <x:v>Voador</x:v>
      </x:c>
      <x:c r="F2121" s="1" t="str">
        <x:v>Física</x:v>
      </x:c>
      <x:c r="G2121" s="10" t="n">
        <x:v>300</x:v>
      </x:c>
      <x:c r="H2121" s="10" t="n">
        <x:f>IF(F2121="Física",'Pokémon'!G228,IF(F2121="Especial",'Pokémon'!I228,""))</x:f>
        <x:v>55</x:v>
      </x:c>
      <x:c r="I2121" s="10" t="n">
        <x:f>IF(OR(F2121="Status",G2121=0),"",G2121+H2121)</x:f>
        <x:v>355</x:v>
      </x:c>
      <x:c r="J2121" s="10" t="n">
        <x:v>1</x:v>
      </x:c>
      <x:c r="K2121" s="12" t="n">
        <x:v>10</x:v>
      </x:c>
      <x:c r="L2121" s="1" t="str">
        <x:v>Sim</x:v>
      </x:c>
      <x:c r="M2121" s="9" t="str">
        <x:v>https://poke.idleworld.online/pokepedia/pokemon/delibird</x:v>
      </x:c>
    </x:row>
    <x:row r="2122" ht="22" customHeight="1">
      <x:c r="A2122" s="1" t="n">
        <x:v>226</x:v>
      </x:c>
      <x:c r="B2122" s="1" t="str">
        <x:v>Mantine</x:v>
      </x:c>
      <x:c r="C2122" s="1" t="n">
        <x:v>3</x:v>
      </x:c>
      <x:c r="D2122" s="1" t="str">
        <x:v>Cyclonic Tide</x:v>
      </x:c>
      <x:c r="E2122" s="1" t="str">
        <x:v>Água</x:v>
      </x:c>
      <x:c r="F2122" s="1" t="str">
        <x:v>Especial</x:v>
      </x:c>
      <x:c r="G2122" s="10" t="n">
        <x:v>300</x:v>
      </x:c>
      <x:c r="H2122" s="10" t="n">
        <x:f>IF(F2122="Física",'Pokémon'!G229,IF(F2122="Especial",'Pokémon'!I229,""))</x:f>
        <x:v>80</x:v>
      </x:c>
      <x:c r="I2122" s="10" t="n">
        <x:f>IF(OR(F2122="Status",G2122=0),"",G2122+H2122)</x:f>
        <x:v>380</x:v>
      </x:c>
      <x:c r="J2122" s="10" t="n">
        <x:v>1</x:v>
      </x:c>
      <x:c r="K2122" s="12" t="n">
        <x:v>10</x:v>
      </x:c>
      <x:c r="L2122" s="1" t="str">
        <x:v>Sim</x:v>
      </x:c>
      <x:c r="M2122" s="9" t="str">
        <x:v>https://poke.idleworld.online/pokepedia/pokemon/mantine</x:v>
      </x:c>
    </x:row>
    <x:row r="2123" ht="22" customHeight="1">
      <x:c r="A2123" s="1" t="n">
        <x:v>226</x:v>
      </x:c>
      <x:c r="B2123" s="1" t="str">
        <x:v>Mantine</x:v>
      </x:c>
      <x:c r="C2123" s="1" t="n">
        <x:v>2</x:v>
      </x:c>
      <x:c r="D2123" s="1" t="str">
        <x:v>Massive Hurricane</x:v>
      </x:c>
      <x:c r="E2123" s="1" t="str">
        <x:v>Voador</x:v>
      </x:c>
      <x:c r="F2123" s="1" t="str">
        <x:v>Física</x:v>
      </x:c>
      <x:c r="G2123" s="10" t="n">
        <x:v>300</x:v>
      </x:c>
      <x:c r="H2123" s="10" t="n">
        <x:f>IF(F2123="Física",'Pokémon'!G229,IF(F2123="Especial",'Pokémon'!I229,""))</x:f>
        <x:v>40</x:v>
      </x:c>
      <x:c r="I2123" s="10" t="n">
        <x:f>IF(OR(F2123="Status",G2123=0),"",G2123+H2123)</x:f>
        <x:v>340</x:v>
      </x:c>
      <x:c r="J2123" s="10" t="n">
        <x:v>1</x:v>
      </x:c>
      <x:c r="K2123" s="12" t="n">
        <x:v>10</x:v>
      </x:c>
      <x:c r="L2123" s="1" t="str">
        <x:v>Sim</x:v>
      </x:c>
      <x:c r="M2123" s="9" t="str">
        <x:v>https://poke.idleworld.online/pokepedia/pokemon/mantine</x:v>
      </x:c>
    </x:row>
    <x:row r="2124" ht="22" customHeight="1">
      <x:c r="A2124" s="1" t="n">
        <x:v>226</x:v>
      </x:c>
      <x:c r="B2124" s="1" t="str">
        <x:v>Mantine</x:v>
      </x:c>
      <x:c r="C2124" s="1" t="n">
        <x:v>15</x:v>
      </x:c>
      <x:c r="D2124" s="1" t="str">
        <x:v>Hydro Pump</x:v>
      </x:c>
      <x:c r="E2124" s="1" t="str">
        <x:v>Água</x:v>
      </x:c>
      <x:c r="F2124" s="1" t="str">
        <x:v>Especial</x:v>
      </x:c>
      <x:c r="G2124" s="10" t="n">
        <x:v>110</x:v>
      </x:c>
      <x:c r="H2124" s="10" t="n">
        <x:f>IF(F2124="Física",'Pokémon'!G229,IF(F2124="Especial",'Pokémon'!I229,""))</x:f>
        <x:v>80</x:v>
      </x:c>
      <x:c r="I2124" s="10" t="n">
        <x:f>IF(OR(F2124="Status",G2124=0),"",G2124+H2124)</x:f>
        <x:v>190</x:v>
      </x:c>
      <x:c r="J2124" s="10" t="n">
        <x:v>49</x:v>
      </x:c>
      <x:c r="K2124" s="12" t="n">
        <x:v>40</x:v>
      </x:c>
      <x:c r="L2124" s="1" t="str"/>
      <x:c r="M2124" s="9" t="str">
        <x:v>https://poke.idleworld.online/pokepedia/pokemon/mantine</x:v>
      </x:c>
    </x:row>
    <x:row r="2125" ht="22" customHeight="1">
      <x:c r="A2125" s="1" t="n">
        <x:v>226</x:v>
      </x:c>
      <x:c r="B2125" s="1" t="str">
        <x:v>Mantine</x:v>
      </x:c>
      <x:c r="C2125" s="1" t="n">
        <x:v>8</x:v>
      </x:c>
      <x:c r="D2125" s="1" t="str">
        <x:v>Signal Beam</x:v>
      </x:c>
      <x:c r="E2125" s="1" t="str">
        <x:v>Inseto</x:v>
      </x:c>
      <x:c r="F2125" s="1" t="str">
        <x:v>Especial</x:v>
      </x:c>
      <x:c r="G2125" s="10" t="n">
        <x:v>75</x:v>
      </x:c>
      <x:c r="H2125" s="10" t="n">
        <x:f>IF(F2125="Física",'Pokémon'!G229,IF(F2125="Especial",'Pokémon'!I229,""))</x:f>
        <x:v>80</x:v>
      </x:c>
      <x:c r="I2125" s="10" t="n">
        <x:f>IF(OR(F2125="Status",G2125=0),"",G2125+H2125)</x:f>
        <x:v>155</x:v>
      </x:c>
      <x:c r="J2125" s="10" t="n">
        <x:v>1</x:v>
      </x:c>
      <x:c r="K2125" s="12" t="n">
        <x:v>22</x:v>
      </x:c>
      <x:c r="L2125" s="1" t="str"/>
      <x:c r="M2125" s="9" t="str">
        <x:v>https://poke.idleworld.online/pokepedia/pokemon/mantine</x:v>
      </x:c>
    </x:row>
    <x:row r="2126" ht="22" customHeight="1">
      <x:c r="A2126" s="1" t="n">
        <x:v>226</x:v>
      </x:c>
      <x:c r="B2126" s="1" t="str">
        <x:v>Mantine</x:v>
      </x:c>
      <x:c r="C2126" s="1" t="n">
        <x:v>13</x:v>
      </x:c>
      <x:c r="D2126" s="1" t="str">
        <x:v>Air Slash</x:v>
      </x:c>
      <x:c r="E2126" s="1" t="str">
        <x:v>Voador</x:v>
      </x:c>
      <x:c r="F2126" s="1" t="str">
        <x:v>Especial</x:v>
      </x:c>
      <x:c r="G2126" s="10" t="n">
        <x:v>75</x:v>
      </x:c>
      <x:c r="H2126" s="10" t="n">
        <x:f>IF(F2126="Física",'Pokémon'!G229,IF(F2126="Especial",'Pokémon'!I229,""))</x:f>
        <x:v>80</x:v>
      </x:c>
      <x:c r="I2126" s="10" t="n">
        <x:f>IF(OR(F2126="Status",G2126=0),"",G2126+H2126)</x:f>
        <x:v>155</x:v>
      </x:c>
      <x:c r="J2126" s="10" t="n">
        <x:v>36</x:v>
      </x:c>
      <x:c r="K2126" s="12" t="n">
        <x:v>22</x:v>
      </x:c>
      <x:c r="L2126" s="1" t="str"/>
      <x:c r="M2126" s="9" t="str">
        <x:v>https://poke.idleworld.online/pokepedia/pokemon/mantine</x:v>
      </x:c>
    </x:row>
    <x:row r="2127" ht="22" customHeight="1">
      <x:c r="A2127" s="1" t="n">
        <x:v>226</x:v>
      </x:c>
      <x:c r="B2127" s="1" t="str">
        <x:v>Mantine</x:v>
      </x:c>
      <x:c r="C2127" s="1" t="n">
        <x:v>6</x:v>
      </x:c>
      <x:c r="D2127" s="1" t="str">
        <x:v>Psybeam</x:v>
      </x:c>
      <x:c r="E2127" s="1" t="str">
        <x:v>Psíquico</x:v>
      </x:c>
      <x:c r="F2127" s="1" t="str">
        <x:v>Especial</x:v>
      </x:c>
      <x:c r="G2127" s="10" t="n">
        <x:v>65</x:v>
      </x:c>
      <x:c r="H2127" s="10" t="n">
        <x:f>IF(F2127="Física",'Pokémon'!G229,IF(F2127="Especial",'Pokémon'!I229,""))</x:f>
        <x:v>80</x:v>
      </x:c>
      <x:c r="I2127" s="10" t="n">
        <x:f>IF(OR(F2127="Status",G2127=0),"",G2127+H2127)</x:f>
        <x:v>145</x:v>
      </x:c>
      <x:c r="J2127" s="10" t="n">
        <x:v>1</x:v>
      </x:c>
      <x:c r="K2127" s="12" t="n">
        <x:v>20</x:v>
      </x:c>
      <x:c r="L2127" s="1" t="str"/>
      <x:c r="M2127" s="9" t="str">
        <x:v>https://poke.idleworld.online/pokepedia/pokemon/mantine</x:v>
      </x:c>
    </x:row>
    <x:row r="2128" ht="22" customHeight="1">
      <x:c r="A2128" s="1" t="n">
        <x:v>226</x:v>
      </x:c>
      <x:c r="B2128" s="1" t="str">
        <x:v>Mantine</x:v>
      </x:c>
      <x:c r="C2128" s="1" t="n">
        <x:v>7</x:v>
      </x:c>
      <x:c r="D2128" s="1" t="str">
        <x:v>Bubble Beam</x:v>
      </x:c>
      <x:c r="E2128" s="1" t="str">
        <x:v>Água</x:v>
      </x:c>
      <x:c r="F2128" s="1" t="str">
        <x:v>Especial</x:v>
      </x:c>
      <x:c r="G2128" s="10" t="n">
        <x:v>65</x:v>
      </x:c>
      <x:c r="H2128" s="10" t="n">
        <x:f>IF(F2128="Física",'Pokémon'!G229,IF(F2128="Especial",'Pokémon'!I229,""))</x:f>
        <x:v>80</x:v>
      </x:c>
      <x:c r="I2128" s="10" t="n">
        <x:f>IF(OR(F2128="Status",G2128=0),"",G2128+H2128)</x:f>
        <x:v>145</x:v>
      </x:c>
      <x:c r="J2128" s="10" t="n">
        <x:v>1</x:v>
      </x:c>
      <x:c r="K2128" s="12" t="n">
        <x:v>20</x:v>
      </x:c>
      <x:c r="L2128" s="1" t="str"/>
      <x:c r="M2128" s="9" t="str">
        <x:v>https://poke.idleworld.online/pokepedia/pokemon/mantine</x:v>
      </x:c>
    </x:row>
    <x:row r="2129" ht="22" customHeight="1">
      <x:c r="A2129" s="1" t="n">
        <x:v>226</x:v>
      </x:c>
      <x:c r="B2129" s="1" t="str">
        <x:v>Mantine</x:v>
      </x:c>
      <x:c r="C2129" s="1" t="n">
        <x:v>11</x:v>
      </x:c>
      <x:c r="D2129" s="1" t="str">
        <x:v>Water Pulse</x:v>
      </x:c>
      <x:c r="E2129" s="1" t="str">
        <x:v>Água</x:v>
      </x:c>
      <x:c r="F2129" s="1" t="str">
        <x:v>Especial</x:v>
      </x:c>
      <x:c r="G2129" s="10" t="n">
        <x:v>60</x:v>
      </x:c>
      <x:c r="H2129" s="10" t="n">
        <x:f>IF(F2129="Física",'Pokémon'!G229,IF(F2129="Especial",'Pokémon'!I229,""))</x:f>
        <x:v>80</x:v>
      </x:c>
      <x:c r="I2129" s="10" t="n">
        <x:f>IF(OR(F2129="Status",G2129=0),"",G2129+H2129)</x:f>
        <x:v>140</x:v>
      </x:c>
      <x:c r="J2129" s="10" t="n">
        <x:v>19</x:v>
      </x:c>
      <x:c r="K2129" s="12" t="n">
        <x:v>60</x:v>
      </x:c>
      <x:c r="L2129" s="1" t="str"/>
      <x:c r="M2129" s="9" t="str">
        <x:v>https://poke.idleworld.online/pokepedia/pokemon/mantine</x:v>
      </x:c>
    </x:row>
    <x:row r="2130" ht="22" customHeight="1">
      <x:c r="A2130" s="1" t="n">
        <x:v>226</x:v>
      </x:c>
      <x:c r="B2130" s="1" t="str">
        <x:v>Mantine</x:v>
      </x:c>
      <x:c r="C2130" s="1" t="n">
        <x:v>12</x:v>
      </x:c>
      <x:c r="D2130" s="1" t="str">
        <x:v>Take Down</x:v>
      </x:c>
      <x:c r="E2130" s="1" t="str">
        <x:v>Normal</x:v>
      </x:c>
      <x:c r="F2130" s="1" t="str">
        <x:v>Física</x:v>
      </x:c>
      <x:c r="G2130" s="10" t="n">
        <x:v>90</x:v>
      </x:c>
      <x:c r="H2130" s="10" t="n">
        <x:f>IF(F2130="Física",'Pokémon'!G229,IF(F2130="Especial",'Pokémon'!I229,""))</x:f>
        <x:v>40</x:v>
      </x:c>
      <x:c r="I2130" s="10" t="n">
        <x:f>IF(OR(F2130="Status",G2130=0),"",G2130+H2130)</x:f>
        <x:v>130</x:v>
      </x:c>
      <x:c r="J2130" s="10" t="n">
        <x:v>27</x:v>
      </x:c>
      <x:c r="K2130" s="12" t="n">
        <x:v>22</x:v>
      </x:c>
      <x:c r="L2130" s="1" t="str"/>
      <x:c r="M2130" s="9" t="str">
        <x:v>https://poke.idleworld.online/pokepedia/pokemon/mantine</x:v>
      </x:c>
    </x:row>
    <x:row r="2131" ht="22" customHeight="1">
      <x:c r="A2131" s="1" t="n">
        <x:v>226</x:v>
      </x:c>
      <x:c r="B2131" s="1" t="str">
        <x:v>Mantine</x:v>
      </x:c>
      <x:c r="C2131" s="1" t="n">
        <x:v>14</x:v>
      </x:c>
      <x:c r="D2131" s="1" t="str">
        <x:v>Bounce</x:v>
      </x:c>
      <x:c r="E2131" s="1" t="str">
        <x:v>Voador</x:v>
      </x:c>
      <x:c r="F2131" s="1" t="str">
        <x:v>Física</x:v>
      </x:c>
      <x:c r="G2131" s="10" t="n">
        <x:v>85</x:v>
      </x:c>
      <x:c r="H2131" s="10" t="n">
        <x:f>IF(F2131="Física",'Pokémon'!G229,IF(F2131="Especial",'Pokémon'!I229,""))</x:f>
        <x:v>40</x:v>
      </x:c>
      <x:c r="I2131" s="10" t="n">
        <x:f>IF(OR(F2131="Status",G2131=0),"",G2131+H2131)</x:f>
        <x:v>125</x:v>
      </x:c>
      <x:c r="J2131" s="10" t="n">
        <x:v>46</x:v>
      </x:c>
      <x:c r="K2131" s="12" t="n">
        <x:v>22</x:v>
      </x:c>
      <x:c r="L2131" s="1" t="str"/>
      <x:c r="M2131" s="9" t="str">
        <x:v>https://poke.idleworld.online/pokepedia/pokemon/mantine</x:v>
      </x:c>
    </x:row>
    <x:row r="2132" ht="22" customHeight="1">
      <x:c r="A2132" s="1" t="n">
        <x:v>226</x:v>
      </x:c>
      <x:c r="B2132" s="1" t="str">
        <x:v>Mantine</x:v>
      </x:c>
      <x:c r="C2132" s="1" t="n">
        <x:v>5</x:v>
      </x:c>
      <x:c r="D2132" s="1" t="str">
        <x:v>Bubble</x:v>
      </x:c>
      <x:c r="E2132" s="1" t="str">
        <x:v>Água</x:v>
      </x:c>
      <x:c r="F2132" s="1" t="str">
        <x:v>Especial</x:v>
      </x:c>
      <x:c r="G2132" s="10" t="n">
        <x:v>40</x:v>
      </x:c>
      <x:c r="H2132" s="10" t="n">
        <x:f>IF(F2132="Física",'Pokémon'!G229,IF(F2132="Especial",'Pokémon'!I229,""))</x:f>
        <x:v>80</x:v>
      </x:c>
      <x:c r="I2132" s="10" t="n">
        <x:f>IF(OR(F2132="Status",G2132=0),"",G2132+H2132)</x:f>
        <x:v>120</x:v>
      </x:c>
      <x:c r="J2132" s="10" t="n">
        <x:v>1</x:v>
      </x:c>
      <x:c r="K2132" s="12" t="n">
        <x:v>15</x:v>
      </x:c>
      <x:c r="L2132" s="1" t="str"/>
      <x:c r="M2132" s="9" t="str">
        <x:v>https://poke.idleworld.online/pokepedia/pokemon/mantine</x:v>
      </x:c>
    </x:row>
    <x:row r="2133" ht="22" customHeight="1">
      <x:c r="A2133" s="1" t="n">
        <x:v>226</x:v>
      </x:c>
      <x:c r="B2133" s="1" t="str">
        <x:v>Mantine</x:v>
      </x:c>
      <x:c r="C2133" s="1" t="n">
        <x:v>10</x:v>
      </x:c>
      <x:c r="D2133" s="1" t="str">
        <x:v>Headbutt</x:v>
      </x:c>
      <x:c r="E2133" s="1" t="str">
        <x:v>Normal</x:v>
      </x:c>
      <x:c r="F2133" s="1" t="str">
        <x:v>Física</x:v>
      </x:c>
      <x:c r="G2133" s="10" t="n">
        <x:v>70</x:v>
      </x:c>
      <x:c r="H2133" s="10" t="n">
        <x:f>IF(F2133="Física",'Pokémon'!G229,IF(F2133="Especial",'Pokémon'!I229,""))</x:f>
        <x:v>40</x:v>
      </x:c>
      <x:c r="I2133" s="10" t="n">
        <x:f>IF(OR(F2133="Status",G2133=0),"",G2133+H2133)</x:f>
        <x:v>110</x:v>
      </x:c>
      <x:c r="J2133" s="10" t="n">
        <x:v>16</x:v>
      </x:c>
      <x:c r="K2133" s="12" t="n">
        <x:v>15</x:v>
      </x:c>
      <x:c r="L2133" s="1" t="str"/>
      <x:c r="M2133" s="9" t="str">
        <x:v>https://poke.idleworld.online/pokepedia/pokemon/mantine</x:v>
      </x:c>
    </x:row>
    <x:row r="2134" ht="22" customHeight="1">
      <x:c r="A2134" s="1" t="n">
        <x:v>226</x:v>
      </x:c>
      <x:c r="B2134" s="1" t="str">
        <x:v>Mantine</x:v>
      </x:c>
      <x:c r="C2134" s="1" t="n">
        <x:v>9</x:v>
      </x:c>
      <x:c r="D2134" s="1" t="str">
        <x:v>Wing Attack</x:v>
      </x:c>
      <x:c r="E2134" s="1" t="str">
        <x:v>Voador</x:v>
      </x:c>
      <x:c r="F2134" s="1" t="str">
        <x:v>Física</x:v>
      </x:c>
      <x:c r="G2134" s="10" t="n">
        <x:v>60</x:v>
      </x:c>
      <x:c r="H2134" s="10" t="n">
        <x:f>IF(F2134="Física",'Pokémon'!G229,IF(F2134="Especial",'Pokémon'!I229,""))</x:f>
        <x:v>40</x:v>
      </x:c>
      <x:c r="I2134" s="10" t="n">
        <x:f>IF(OR(F2134="Status",G2134=0),"",G2134+H2134)</x:f>
        <x:v>100</x:v>
      </x:c>
      <x:c r="J2134" s="10" t="n">
        <x:v>14</x:v>
      </x:c>
      <x:c r="K2134" s="12" t="n">
        <x:v>20</x:v>
      </x:c>
      <x:c r="L2134" s="1" t="str"/>
      <x:c r="M2134" s="9" t="str">
        <x:v>https://poke.idleworld.online/pokepedia/pokemon/mantine</x:v>
      </x:c>
    </x:row>
    <x:row r="2135" ht="22" customHeight="1">
      <x:c r="A2135" s="1" t="n">
        <x:v>226</x:v>
      </x:c>
      <x:c r="B2135" s="1" t="str">
        <x:v>Mantine</x:v>
      </x:c>
      <x:c r="C2135" s="1" t="n">
        <x:v>1</x:v>
      </x:c>
      <x:c r="D2135" s="1" t="str">
        <x:v>Tackle</x:v>
      </x:c>
      <x:c r="E2135" s="1" t="str">
        <x:v>Normal</x:v>
      </x:c>
      <x:c r="F2135" s="1" t="str">
        <x:v>Física</x:v>
      </x:c>
      <x:c r="G2135" s="10" t="n">
        <x:v>50</x:v>
      </x:c>
      <x:c r="H2135" s="10" t="n">
        <x:f>IF(F2135="Física",'Pokémon'!G229,IF(F2135="Especial",'Pokémon'!I229,""))</x:f>
        <x:v>40</x:v>
      </x:c>
      <x:c r="I2135" s="10" t="n">
        <x:f>IF(OR(F2135="Status",G2135=0),"",G2135+H2135)</x:f>
        <x:v>90</x:v>
      </x:c>
      <x:c r="J2135" s="10" t="n">
        <x:v>1</x:v>
      </x:c>
      <x:c r="K2135" s="12" t="n">
        <x:v>15</x:v>
      </x:c>
      <x:c r="L2135" s="1" t="str"/>
      <x:c r="M2135" s="9" t="str">
        <x:v>https://poke.idleworld.online/pokepedia/pokemon/mantine</x:v>
      </x:c>
    </x:row>
    <x:row r="2136" ht="22" customHeight="1">
      <x:c r="A2136" s="1" t="n">
        <x:v>226</x:v>
      </x:c>
      <x:c r="B2136" s="1" t="str">
        <x:v>Mantine</x:v>
      </x:c>
      <x:c r="C2136" s="1" t="n">
        <x:v>4</x:v>
      </x:c>
      <x:c r="D2136" s="1" t="str">
        <x:v>Bullet Seed</x:v>
      </x:c>
      <x:c r="E2136" s="1" t="str">
        <x:v>Planta</x:v>
      </x:c>
      <x:c r="F2136" s="1" t="str">
        <x:v>Física</x:v>
      </x:c>
      <x:c r="G2136" s="10" t="n">
        <x:v>25</x:v>
      </x:c>
      <x:c r="H2136" s="10" t="n">
        <x:f>IF(F2136="Física",'Pokémon'!G229,IF(F2136="Especial",'Pokémon'!I229,""))</x:f>
        <x:v>40</x:v>
      </x:c>
      <x:c r="I2136" s="10" t="n">
        <x:f>IF(OR(F2136="Status",G2136=0),"",G2136+H2136)</x:f>
        <x:v>65</x:v>
      </x:c>
      <x:c r="J2136" s="10" t="n">
        <x:v>1</x:v>
      </x:c>
      <x:c r="K2136" s="12" t="n">
        <x:v>15</x:v>
      </x:c>
      <x:c r="L2136" s="1" t="str"/>
      <x:c r="M2136" s="9" t="str">
        <x:v>https://poke.idleworld.online/pokepedia/pokemon/mantine</x:v>
      </x:c>
    </x:row>
    <x:row r="2137" ht="22" customHeight="1">
      <x:c r="A2137" s="1" t="n">
        <x:v>227</x:v>
      </x:c>
      <x:c r="B2137" s="1" t="str">
        <x:v>Skarmory</x:v>
      </x:c>
      <x:c r="C2137" s="1" t="n">
        <x:v>2</x:v>
      </x:c>
      <x:c r="D2137" s="1" t="str">
        <x:v>Massive Hurricane</x:v>
      </x:c>
      <x:c r="E2137" s="1" t="str">
        <x:v>Voador</x:v>
      </x:c>
      <x:c r="F2137" s="1" t="str">
        <x:v>Física</x:v>
      </x:c>
      <x:c r="G2137" s="10" t="n">
        <x:v>300</x:v>
      </x:c>
      <x:c r="H2137" s="10" t="n">
        <x:f>IF(F2137="Física",'Pokémon'!G230,IF(F2137="Especial",'Pokémon'!I230,""))</x:f>
        <x:v>80</x:v>
      </x:c>
      <x:c r="I2137" s="10" t="n">
        <x:f>IF(OR(F2137="Status",G2137=0),"",G2137+H2137)</x:f>
        <x:v>380</x:v>
      </x:c>
      <x:c r="J2137" s="10" t="n">
        <x:v>1</x:v>
      </x:c>
      <x:c r="K2137" s="12" t="n">
        <x:v>10</x:v>
      </x:c>
      <x:c r="L2137" s="1" t="str">
        <x:v>Sim</x:v>
      </x:c>
      <x:c r="M2137" s="9" t="str">
        <x:v>https://poke.idleworld.online/pokepedia/pokemon/skarmory</x:v>
      </x:c>
    </x:row>
    <x:row r="2138" ht="22" customHeight="1">
      <x:c r="A2138" s="1" t="n">
        <x:v>227</x:v>
      </x:c>
      <x:c r="B2138" s="1" t="str">
        <x:v>Skarmory</x:v>
      </x:c>
      <x:c r="C2138" s="1" t="n">
        <x:v>8</x:v>
      </x:c>
      <x:c r="D2138" s="1" t="str">
        <x:v>Steel Wing</x:v>
      </x:c>
      <x:c r="E2138" s="1" t="str">
        <x:v>Aço</x:v>
      </x:c>
      <x:c r="F2138" s="1" t="str">
        <x:v>Física</x:v>
      </x:c>
      <x:c r="G2138" s="10" t="n">
        <x:v>70</x:v>
      </x:c>
      <x:c r="H2138" s="10" t="n">
        <x:f>IF(F2138="Física",'Pokémon'!G230,IF(F2138="Especial",'Pokémon'!I230,""))</x:f>
        <x:v>80</x:v>
      </x:c>
      <x:c r="I2138" s="10" t="n">
        <x:f>IF(OR(F2138="Status",G2138=0),"",G2138+H2138)</x:f>
        <x:v>150</x:v>
      </x:c>
      <x:c r="J2138" s="10" t="n">
        <x:v>34</x:v>
      </x:c>
      <x:c r="K2138" s="12" t="n">
        <x:v>20</x:v>
      </x:c>
      <x:c r="L2138" s="1" t="str"/>
      <x:c r="M2138" s="9" t="str">
        <x:v>https://poke.idleworld.online/pokepedia/pokemon/skarmory</x:v>
      </x:c>
    </x:row>
    <x:row r="2139" ht="22" customHeight="1">
      <x:c r="A2139" s="1" t="n">
        <x:v>227</x:v>
      </x:c>
      <x:c r="B2139" s="1" t="str">
        <x:v>Skarmory</x:v>
      </x:c>
      <x:c r="C2139" s="1" t="n">
        <x:v>9</x:v>
      </x:c>
      <x:c r="D2139" s="1" t="str">
        <x:v>Slash</x:v>
      </x:c>
      <x:c r="E2139" s="1" t="str">
        <x:v>Normal</x:v>
      </x:c>
      <x:c r="F2139" s="1" t="str">
        <x:v>Física</x:v>
      </x:c>
      <x:c r="G2139" s="10" t="n">
        <x:v>70</x:v>
      </x:c>
      <x:c r="H2139" s="10" t="n">
        <x:f>IF(F2139="Física",'Pokémon'!G230,IF(F2139="Especial",'Pokémon'!I230,""))</x:f>
        <x:v>80</x:v>
      </x:c>
      <x:c r="I2139" s="10" t="n">
        <x:f>IF(OR(F2139="Status",G2139=0),"",G2139+H2139)</x:f>
        <x:v>150</x:v>
      </x:c>
      <x:c r="J2139" s="10" t="n">
        <x:v>39</x:v>
      </x:c>
      <x:c r="K2139" s="12" t="n">
        <x:v>20</x:v>
      </x:c>
      <x:c r="L2139" s="1" t="str"/>
      <x:c r="M2139" s="9" t="str">
        <x:v>https://poke.idleworld.online/pokepedia/pokemon/skarmory</x:v>
      </x:c>
    </x:row>
    <x:row r="2140" ht="22" customHeight="1">
      <x:c r="A2140" s="1" t="n">
        <x:v>227</x:v>
      </x:c>
      <x:c r="B2140" s="1" t="str">
        <x:v>Skarmory</x:v>
      </x:c>
      <x:c r="C2140" s="1" t="n">
        <x:v>11</x:v>
      </x:c>
      <x:c r="D2140" s="1" t="str">
        <x:v>Night Slash</x:v>
      </x:c>
      <x:c r="E2140" s="1" t="str">
        <x:v>Sombrio</x:v>
      </x:c>
      <x:c r="F2140" s="1" t="str">
        <x:v>Física</x:v>
      </x:c>
      <x:c r="G2140" s="10" t="n">
        <x:v>70</x:v>
      </x:c>
      <x:c r="H2140" s="10" t="n">
        <x:f>IF(F2140="Física",'Pokémon'!G230,IF(F2140="Especial",'Pokémon'!I230,""))</x:f>
        <x:v>80</x:v>
      </x:c>
      <x:c r="I2140" s="10" t="n">
        <x:f>IF(OR(F2140="Status",G2140=0),"",G2140+H2140)</x:f>
        <x:v>150</x:v>
      </x:c>
      <x:c r="J2140" s="10" t="n">
        <x:v>53</x:v>
      </x:c>
      <x:c r="K2140" s="12" t="n">
        <x:v>20</x:v>
      </x:c>
      <x:c r="L2140" s="1" t="str"/>
      <x:c r="M2140" s="9" t="str">
        <x:v>https://poke.idleworld.online/pokepedia/pokemon/skarmory</x:v>
      </x:c>
    </x:row>
    <x:row r="2141" ht="22" customHeight="1">
      <x:c r="A2141" s="1" t="n">
        <x:v>227</x:v>
      </x:c>
      <x:c r="B2141" s="1" t="str">
        <x:v>Skarmory</x:v>
      </x:c>
      <x:c r="C2141" s="1" t="n">
        <x:v>3</x:v>
      </x:c>
      <x:c r="D2141" s="1" t="str">
        <x:v>Metal Claw</x:v>
      </x:c>
      <x:c r="E2141" s="1" t="str">
        <x:v>Aço</x:v>
      </x:c>
      <x:c r="F2141" s="1" t="str">
        <x:v>Física</x:v>
      </x:c>
      <x:c r="G2141" s="10" t="n">
        <x:v>50</x:v>
      </x:c>
      <x:c r="H2141" s="10" t="n">
        <x:f>IF(F2141="Física",'Pokémon'!G230,IF(F2141="Especial",'Pokémon'!I230,""))</x:f>
        <x:v>80</x:v>
      </x:c>
      <x:c r="I2141" s="10" t="n">
        <x:f>IF(OR(F2141="Status",G2141=0),"",G2141+H2141)</x:f>
        <x:v>130</x:v>
      </x:c>
      <x:c r="J2141" s="10" t="n">
        <x:v>9</x:v>
      </x:c>
      <x:c r="K2141" s="12" t="n">
        <x:v>30</x:v>
      </x:c>
      <x:c r="L2141" s="1" t="str"/>
      <x:c r="M2141" s="9" t="str">
        <x:v>https://poke.idleworld.online/pokepedia/pokemon/skarmory</x:v>
      </x:c>
    </x:row>
    <x:row r="2142" ht="22" customHeight="1">
      <x:c r="A2142" s="1" t="n">
        <x:v>227</x:v>
      </x:c>
      <x:c r="B2142" s="1" t="str">
        <x:v>Skarmory</x:v>
      </x:c>
      <x:c r="C2142" s="1" t="n">
        <x:v>10</x:v>
      </x:c>
      <x:c r="D2142" s="1" t="str">
        <x:v>Air Slash</x:v>
      </x:c>
      <x:c r="E2142" s="1" t="str">
        <x:v>Voador</x:v>
      </x:c>
      <x:c r="F2142" s="1" t="str">
        <x:v>Especial</x:v>
      </x:c>
      <x:c r="G2142" s="10" t="n">
        <x:v>75</x:v>
      </x:c>
      <x:c r="H2142" s="10" t="n">
        <x:f>IF(F2142="Física",'Pokémon'!G230,IF(F2142="Especial",'Pokémon'!I230,""))</x:f>
        <x:v>40</x:v>
      </x:c>
      <x:c r="I2142" s="10" t="n">
        <x:f>IF(OR(F2142="Status",G2142=0),"",G2142+H2142)</x:f>
        <x:v>115</x:v>
      </x:c>
      <x:c r="J2142" s="10" t="n">
        <x:v>45</x:v>
      </x:c>
      <x:c r="K2142" s="12" t="n">
        <x:v>22</x:v>
      </x:c>
      <x:c r="L2142" s="1" t="str"/>
      <x:c r="M2142" s="9" t="str">
        <x:v>https://poke.idleworld.online/pokepedia/pokemon/skarmory</x:v>
      </x:c>
    </x:row>
    <x:row r="2143" ht="22" customHeight="1">
      <x:c r="A2143" s="1" t="n">
        <x:v>227</x:v>
      </x:c>
      <x:c r="B2143" s="1" t="str">
        <x:v>Skarmory</x:v>
      </x:c>
      <x:c r="C2143" s="1" t="n">
        <x:v>1</x:v>
      </x:c>
      <x:c r="D2143" s="1" t="str">
        <x:v>Peck</x:v>
      </x:c>
      <x:c r="E2143" s="1" t="str">
        <x:v>Voador</x:v>
      </x:c>
      <x:c r="F2143" s="1" t="str">
        <x:v>Física</x:v>
      </x:c>
      <x:c r="G2143" s="10" t="n">
        <x:v>35</x:v>
      </x:c>
      <x:c r="H2143" s="10" t="n">
        <x:f>IF(F2143="Física",'Pokémon'!G230,IF(F2143="Especial",'Pokémon'!I230,""))</x:f>
        <x:v>80</x:v>
      </x:c>
      <x:c r="I2143" s="10" t="n">
        <x:f>IF(OR(F2143="Status",G2143=0),"",G2143+H2143)</x:f>
        <x:v>115</x:v>
      </x:c>
      <x:c r="J2143" s="10" t="n">
        <x:v>1</x:v>
      </x:c>
      <x:c r="K2143" s="12" t="n">
        <x:v>10</x:v>
      </x:c>
      <x:c r="L2143" s="1" t="str"/>
      <x:c r="M2143" s="9" t="str">
        <x:v>https://poke.idleworld.online/pokepedia/pokemon/skarmory</x:v>
      </x:c>
    </x:row>
    <x:row r="2144" ht="22" customHeight="1">
      <x:c r="A2144" s="1" t="n">
        <x:v>227</x:v>
      </x:c>
      <x:c r="B2144" s="1" t="str">
        <x:v>Skarmory</x:v>
      </x:c>
      <x:c r="C2144" s="1" t="n">
        <x:v>6</x:v>
      </x:c>
      <x:c r="D2144" s="1" t="str">
        <x:v>Feint</x:v>
      </x:c>
      <x:c r="E2144" s="1" t="str">
        <x:v>Normal</x:v>
      </x:c>
      <x:c r="F2144" s="1" t="str">
        <x:v>Física</x:v>
      </x:c>
      <x:c r="G2144" s="10" t="n">
        <x:v>30</x:v>
      </x:c>
      <x:c r="H2144" s="10" t="n">
        <x:f>IF(F2144="Física",'Pokémon'!G230,IF(F2144="Especial",'Pokémon'!I230,""))</x:f>
        <x:v>80</x:v>
      </x:c>
      <x:c r="I2144" s="10" t="n">
        <x:f>IF(OR(F2144="Status",G2144=0),"",G2144+H2144)</x:f>
        <x:v>110</x:v>
      </x:c>
      <x:c r="J2144" s="10" t="n">
        <x:v>20</x:v>
      </x:c>
      <x:c r="K2144" s="12" t="n">
        <x:v>15</x:v>
      </x:c>
      <x:c r="L2144" s="1" t="str"/>
      <x:c r="M2144" s="9" t="str">
        <x:v>https://poke.idleworld.online/pokepedia/pokemon/skarmory</x:v>
      </x:c>
    </x:row>
    <x:row r="2145" ht="22" customHeight="1">
      <x:c r="A2145" s="1" t="n">
        <x:v>227</x:v>
      </x:c>
      <x:c r="B2145" s="1" t="str">
        <x:v>Skarmory</x:v>
      </x:c>
      <x:c r="C2145" s="1" t="n">
        <x:v>4</x:v>
      </x:c>
      <x:c r="D2145" s="1" t="str">
        <x:v>Air Cutter</x:v>
      </x:c>
      <x:c r="E2145" s="1" t="str">
        <x:v>Voador</x:v>
      </x:c>
      <x:c r="F2145" s="1" t="str">
        <x:v>Especial</x:v>
      </x:c>
      <x:c r="G2145" s="10" t="n">
        <x:v>60</x:v>
      </x:c>
      <x:c r="H2145" s="10" t="n">
        <x:f>IF(F2145="Física",'Pokémon'!G230,IF(F2145="Especial",'Pokémon'!I230,""))</x:f>
        <x:v>40</x:v>
      </x:c>
      <x:c r="I2145" s="10" t="n">
        <x:f>IF(OR(F2145="Status",G2145=0),"",G2145+H2145)</x:f>
        <x:v>100</x:v>
      </x:c>
      <x:c r="J2145" s="10" t="n">
        <x:v>12</x:v>
      </x:c>
      <x:c r="K2145" s="12" t="n">
        <x:v>20</x:v>
      </x:c>
      <x:c r="L2145" s="1" t="str"/>
      <x:c r="M2145" s="9" t="str">
        <x:v>https://poke.idleworld.online/pokepedia/pokemon/skarmory</x:v>
      </x:c>
    </x:row>
    <x:row r="2146" ht="22" customHeight="1">
      <x:c r="A2146" s="1" t="n">
        <x:v>227</x:v>
      </x:c>
      <x:c r="B2146" s="1" t="str">
        <x:v>Skarmory</x:v>
      </x:c>
      <x:c r="C2146" s="1" t="n">
        <x:v>7</x:v>
      </x:c>
      <x:c r="D2146" s="1" t="str">
        <x:v>Swift</x:v>
      </x:c>
      <x:c r="E2146" s="1" t="str">
        <x:v>Normal</x:v>
      </x:c>
      <x:c r="F2146" s="1" t="str">
        <x:v>Especial</x:v>
      </x:c>
      <x:c r="G2146" s="10" t="n">
        <x:v>60</x:v>
      </x:c>
      <x:c r="H2146" s="10" t="n">
        <x:f>IF(F2146="Física",'Pokémon'!G230,IF(F2146="Especial",'Pokémon'!I230,""))</x:f>
        <x:v>40</x:v>
      </x:c>
      <x:c r="I2146" s="10" t="n">
        <x:f>IF(OR(F2146="Status",G2146=0),"",G2146+H2146)</x:f>
        <x:v>100</x:v>
      </x:c>
      <x:c r="J2146" s="10" t="n">
        <x:v>23</x:v>
      </x:c>
      <x:c r="K2146" s="12" t="n">
        <x:v>20</x:v>
      </x:c>
      <x:c r="L2146" s="1" t="str"/>
      <x:c r="M2146" s="9" t="str">
        <x:v>https://poke.idleworld.online/pokepedia/pokemon/skarmory</x:v>
      </x:c>
    </x:row>
    <x:row r="2147" ht="22" customHeight="1">
      <x:c r="A2147" s="1" t="n">
        <x:v>227</x:v>
      </x:c>
      <x:c r="B2147" s="1" t="str">
        <x:v>Skarmory</x:v>
      </x:c>
      <x:c r="C2147" s="1" t="n">
        <x:v>5</x:v>
      </x:c>
      <x:c r="D2147" s="1" t="str">
        <x:v>Fury Attack</x:v>
      </x:c>
      <x:c r="E2147" s="1" t="str">
        <x:v>Normal</x:v>
      </x:c>
      <x:c r="F2147" s="1" t="str">
        <x:v>Física</x:v>
      </x:c>
      <x:c r="G2147" s="10" t="n">
        <x:v>15</x:v>
      </x:c>
      <x:c r="H2147" s="10" t="n">
        <x:f>IF(F2147="Física",'Pokémon'!G230,IF(F2147="Especial",'Pokémon'!I230,""))</x:f>
        <x:v>80</x:v>
      </x:c>
      <x:c r="I2147" s="10" t="n">
        <x:f>IF(OR(F2147="Status",G2147=0),"",G2147+H2147)</x:f>
        <x:v>95</x:v>
      </x:c>
      <x:c r="J2147" s="10" t="n">
        <x:v>17</x:v>
      </x:c>
      <x:c r="K2147" s="12" t="n">
        <x:v>15</x:v>
      </x:c>
      <x:c r="L2147" s="1" t="str"/>
      <x:c r="M2147" s="9" t="str">
        <x:v>https://poke.idleworld.online/pokepedia/pokemon/skarmory</x:v>
      </x:c>
    </x:row>
    <x:row r="2148" ht="22" customHeight="1">
      <x:c r="A2148" s="1" t="n">
        <x:v>228</x:v>
      </x:c>
      <x:c r="B2148" s="1" t="str">
        <x:v>Houndour</x:v>
      </x:c>
      <x:c r="C2148" s="1" t="n">
        <x:v>9</x:v>
      </x:c>
      <x:c r="D2148" s="1" t="str">
        <x:v>Inferno</x:v>
      </x:c>
      <x:c r="E2148" s="1" t="str">
        <x:v>Fogo</x:v>
      </x:c>
      <x:c r="F2148" s="1" t="str">
        <x:v>Especial</x:v>
      </x:c>
      <x:c r="G2148" s="10" t="n">
        <x:v>100</x:v>
      </x:c>
      <x:c r="H2148" s="10" t="n">
        <x:f>IF(F2148="Física",'Pokémon'!G231,IF(F2148="Especial",'Pokémon'!I231,""))</x:f>
        <x:v>80</x:v>
      </x:c>
      <x:c r="I2148" s="10" t="n">
        <x:f>IF(OR(F2148="Status",G2148=0),"",G2148+H2148)</x:f>
        <x:v>180</x:v>
      </x:c>
      <x:c r="J2148" s="10" t="n">
        <x:v>56</x:v>
      </x:c>
      <x:c r="K2148" s="12" t="n">
        <x:v>40</x:v>
      </x:c>
      <x:c r="L2148" s="1" t="str"/>
      <x:c r="M2148" s="9" t="str">
        <x:v>https://poke.idleworld.online/pokepedia/pokemon/houndour</x:v>
      </x:c>
    </x:row>
    <x:row r="2149" ht="22" customHeight="1">
      <x:c r="A2149" s="1" t="n">
        <x:v>228</x:v>
      </x:c>
      <x:c r="B2149" s="1" t="str">
        <x:v>Houndour</x:v>
      </x:c>
      <x:c r="C2149" s="1" t="n">
        <x:v>7</x:v>
      </x:c>
      <x:c r="D2149" s="1" t="str">
        <x:v>Flamethrower</x:v>
      </x:c>
      <x:c r="E2149" s="1" t="str">
        <x:v>Fogo</x:v>
      </x:c>
      <x:c r="F2149" s="1" t="str">
        <x:v>Especial</x:v>
      </x:c>
      <x:c r="G2149" s="10" t="n">
        <x:v>90</x:v>
      </x:c>
      <x:c r="H2149" s="10" t="n">
        <x:f>IF(F2149="Física",'Pokémon'!G231,IF(F2149="Especial",'Pokémon'!I231,""))</x:f>
        <x:v>80</x:v>
      </x:c>
      <x:c r="I2149" s="10" t="n">
        <x:f>IF(OR(F2149="Status",G2149=0),"",G2149+H2149)</x:f>
        <x:v>170</x:v>
      </x:c>
      <x:c r="J2149" s="10" t="n">
        <x:v>44</x:v>
      </x:c>
      <x:c r="K2149" s="12" t="n">
        <x:v>18</x:v>
      </x:c>
      <x:c r="L2149" s="1" t="str"/>
      <x:c r="M2149" s="9" t="str">
        <x:v>https://poke.idleworld.online/pokepedia/pokemon/houndour</x:v>
      </x:c>
    </x:row>
    <x:row r="2150" ht="22" customHeight="1">
      <x:c r="A2150" s="1" t="n">
        <x:v>228</x:v>
      </x:c>
      <x:c r="B2150" s="1" t="str">
        <x:v>Houndour</x:v>
      </x:c>
      <x:c r="C2150" s="1" t="n">
        <x:v>6</x:v>
      </x:c>
      <x:c r="D2150" s="1" t="str">
        <x:v>Foul Play</x:v>
      </x:c>
      <x:c r="E2150" s="1" t="str">
        <x:v>Sombrio</x:v>
      </x:c>
      <x:c r="F2150" s="1" t="str">
        <x:v>Física</x:v>
      </x:c>
      <x:c r="G2150" s="10" t="n">
        <x:v>95</x:v>
      </x:c>
      <x:c r="H2150" s="10" t="n">
        <x:f>IF(F2150="Física",'Pokémon'!G231,IF(F2150="Especial",'Pokémon'!I231,""))</x:f>
        <x:v>60</x:v>
      </x:c>
      <x:c r="I2150" s="10" t="n">
        <x:f>IF(OR(F2150="Status",G2150=0),"",G2150+H2150)</x:f>
        <x:v>155</x:v>
      </x:c>
      <x:c r="J2150" s="10" t="n">
        <x:v>40</x:v>
      </x:c>
      <x:c r="K2150" s="12" t="n">
        <x:v>40</x:v>
      </x:c>
      <x:c r="L2150" s="1" t="str"/>
      <x:c r="M2150" s="9" t="str">
        <x:v>https://poke.idleworld.online/pokepedia/pokemon/houndour</x:v>
      </x:c>
    </x:row>
    <x:row r="2151" ht="22" customHeight="1">
      <x:c r="A2151" s="1" t="n">
        <x:v>228</x:v>
      </x:c>
      <x:c r="B2151" s="1" t="str">
        <x:v>Houndour</x:v>
      </x:c>
      <x:c r="C2151" s="1" t="n">
        <x:v>8</x:v>
      </x:c>
      <x:c r="D2151" s="1" t="str">
        <x:v>Crunch</x:v>
      </x:c>
      <x:c r="E2151" s="1" t="str">
        <x:v>Sombrio</x:v>
      </x:c>
      <x:c r="F2151" s="1" t="str">
        <x:v>Física</x:v>
      </x:c>
      <x:c r="G2151" s="10" t="n">
        <x:v>80</x:v>
      </x:c>
      <x:c r="H2151" s="10" t="n">
        <x:f>IF(F2151="Física",'Pokémon'!G231,IF(F2151="Especial",'Pokémon'!I231,""))</x:f>
        <x:v>60</x:v>
      </x:c>
      <x:c r="I2151" s="10" t="n">
        <x:f>IF(OR(F2151="Status",G2151=0),"",G2151+H2151)</x:f>
        <x:v>140</x:v>
      </x:c>
      <x:c r="J2151" s="10" t="n">
        <x:v>49</x:v>
      </x:c>
      <x:c r="K2151" s="12" t="n">
        <x:v>22</x:v>
      </x:c>
      <x:c r="L2151" s="1" t="str"/>
      <x:c r="M2151" s="9" t="str">
        <x:v>https://poke.idleworld.online/pokepedia/pokemon/houndour</x:v>
      </x:c>
    </x:row>
    <x:row r="2152" ht="22" customHeight="1">
      <x:c r="A2152" s="1" t="n">
        <x:v>228</x:v>
      </x:c>
      <x:c r="B2152" s="1" t="str">
        <x:v>Houndour</x:v>
      </x:c>
      <x:c r="C2152" s="1" t="n">
        <x:v>4</x:v>
      </x:c>
      <x:c r="D2152" s="1" t="str">
        <x:v>Fire Fang</x:v>
      </x:c>
      <x:c r="E2152" s="1" t="str">
        <x:v>Fogo</x:v>
      </x:c>
      <x:c r="F2152" s="1" t="str">
        <x:v>Física</x:v>
      </x:c>
      <x:c r="G2152" s="10" t="n">
        <x:v>65</x:v>
      </x:c>
      <x:c r="H2152" s="10" t="n">
        <x:f>IF(F2152="Física",'Pokémon'!G231,IF(F2152="Especial",'Pokémon'!I231,""))</x:f>
        <x:v>60</x:v>
      </x:c>
      <x:c r="I2152" s="10" t="n">
        <x:f>IF(OR(F2152="Status",G2152=0),"",G2152+H2152)</x:f>
        <x:v>125</x:v>
      </x:c>
      <x:c r="J2152" s="10" t="n">
        <x:v>28</x:v>
      </x:c>
      <x:c r="K2152" s="12" t="n">
        <x:v>20</x:v>
      </x:c>
      <x:c r="L2152" s="1" t="str"/>
      <x:c r="M2152" s="9" t="str">
        <x:v>https://poke.idleworld.online/pokepedia/pokemon/houndour</x:v>
      </x:c>
    </x:row>
    <x:row r="2153" ht="22" customHeight="1">
      <x:c r="A2153" s="1" t="n">
        <x:v>228</x:v>
      </x:c>
      <x:c r="B2153" s="1" t="str">
        <x:v>Houndour</x:v>
      </x:c>
      <x:c r="C2153" s="1" t="n">
        <x:v>3</x:v>
      </x:c>
      <x:c r="D2153" s="1" t="str">
        <x:v>Bite</x:v>
      </x:c>
      <x:c r="E2153" s="1" t="str">
        <x:v>Sombrio</x:v>
      </x:c>
      <x:c r="F2153" s="1" t="str">
        <x:v>Física</x:v>
      </x:c>
      <x:c r="G2153" s="10" t="n">
        <x:v>60</x:v>
      </x:c>
      <x:c r="H2153" s="10" t="n">
        <x:f>IF(F2153="Física",'Pokémon'!G231,IF(F2153="Especial",'Pokémon'!I231,""))</x:f>
        <x:v>60</x:v>
      </x:c>
      <x:c r="I2153" s="10" t="n">
        <x:f>IF(OR(F2153="Status",G2153=0),"",G2153+H2153)</x:f>
        <x:v>120</x:v>
      </x:c>
      <x:c r="J2153" s="10" t="n">
        <x:v>16</x:v>
      </x:c>
      <x:c r="K2153" s="12" t="n">
        <x:v>15</x:v>
      </x:c>
      <x:c r="L2153" s="1" t="str"/>
      <x:c r="M2153" s="9" t="str">
        <x:v>https://poke.idleworld.online/pokepedia/pokemon/houndour</x:v>
      </x:c>
    </x:row>
    <x:row r="2154" ht="22" customHeight="1">
      <x:c r="A2154" s="1" t="n">
        <x:v>228</x:v>
      </x:c>
      <x:c r="B2154" s="1" t="str">
        <x:v>Houndour</x:v>
      </x:c>
      <x:c r="C2154" s="1" t="n">
        <x:v>5</x:v>
      </x:c>
      <x:c r="D2154" s="1" t="str">
        <x:v>Feint Attack</x:v>
      </x:c>
      <x:c r="E2154" s="1" t="str">
        <x:v>Sombrio</x:v>
      </x:c>
      <x:c r="F2154" s="1" t="str">
        <x:v>Física</x:v>
      </x:c>
      <x:c r="G2154" s="10" t="n">
        <x:v>60</x:v>
      </x:c>
      <x:c r="H2154" s="10" t="n">
        <x:f>IF(F2154="Física",'Pokémon'!G231,IF(F2154="Especial",'Pokémon'!I231,""))</x:f>
        <x:v>60</x:v>
      </x:c>
      <x:c r="I2154" s="10" t="n">
        <x:f>IF(OR(F2154="Status",G2154=0),"",G2154+H2154)</x:f>
        <x:v>120</x:v>
      </x:c>
      <x:c r="J2154" s="10" t="n">
        <x:v>32</x:v>
      </x:c>
      <x:c r="K2154" s="12" t="n">
        <x:v>20</x:v>
      </x:c>
      <x:c r="L2154" s="1" t="str"/>
      <x:c r="M2154" s="9" t="str">
        <x:v>https://poke.idleworld.online/pokepedia/pokemon/houndour</x:v>
      </x:c>
    </x:row>
    <x:row r="2155" ht="22" customHeight="1">
      <x:c r="A2155" s="1" t="n">
        <x:v>228</x:v>
      </x:c>
      <x:c r="B2155" s="1" t="str">
        <x:v>Houndour</x:v>
      </x:c>
      <x:c r="C2155" s="1" t="n">
        <x:v>1</x:v>
      </x:c>
      <x:c r="D2155" s="1" t="str">
        <x:v>Ember</x:v>
      </x:c>
      <x:c r="E2155" s="1" t="str">
        <x:v>Fogo</x:v>
      </x:c>
      <x:c r="F2155" s="1" t="str">
        <x:v>Especial</x:v>
      </x:c>
      <x:c r="G2155" s="10" t="n">
        <x:v>40</x:v>
      </x:c>
      <x:c r="H2155" s="10" t="n">
        <x:f>IF(F2155="Física",'Pokémon'!G231,IF(F2155="Especial",'Pokémon'!I231,""))</x:f>
        <x:v>80</x:v>
      </x:c>
      <x:c r="I2155" s="10" t="n">
        <x:f>IF(OR(F2155="Status",G2155=0),"",G2155+H2155)</x:f>
        <x:v>120</x:v>
      </x:c>
      <x:c r="J2155" s="10" t="n">
        <x:v>1</x:v>
      </x:c>
      <x:c r="K2155" s="12" t="n">
        <x:v>10</x:v>
      </x:c>
      <x:c r="L2155" s="1" t="str"/>
      <x:c r="M2155" s="9" t="str">
        <x:v>https://poke.idleworld.online/pokepedia/pokemon/houndour</x:v>
      </x:c>
    </x:row>
    <x:row r="2156" ht="22" customHeight="1">
      <x:c r="A2156" s="1" t="n">
        <x:v>228</x:v>
      </x:c>
      <x:c r="B2156" s="1" t="str">
        <x:v>Houndour</x:v>
      </x:c>
      <x:c r="C2156" s="1" t="n">
        <x:v>2</x:v>
      </x:c>
      <x:c r="D2156" s="1" t="str">
        <x:v>Smog</x:v>
      </x:c>
      <x:c r="E2156" s="1" t="str">
        <x:v>Venenoso</x:v>
      </x:c>
      <x:c r="F2156" s="1" t="str">
        <x:v>Especial</x:v>
      </x:c>
      <x:c r="G2156" s="10" t="n">
        <x:v>30</x:v>
      </x:c>
      <x:c r="H2156" s="10" t="n">
        <x:f>IF(F2156="Física",'Pokémon'!G231,IF(F2156="Especial",'Pokémon'!I231,""))</x:f>
        <x:v>80</x:v>
      </x:c>
      <x:c r="I2156" s="10" t="n">
        <x:f>IF(OR(F2156="Status",G2156=0),"",G2156+H2156)</x:f>
        <x:v>110</x:v>
      </x:c>
      <x:c r="J2156" s="10" t="n">
        <x:v>8</x:v>
      </x:c>
      <x:c r="K2156" s="12" t="n">
        <x:v>15</x:v>
      </x:c>
      <x:c r="L2156" s="1" t="str"/>
      <x:c r="M2156" s="9" t="str">
        <x:v>https://poke.idleworld.online/pokepedia/pokemon/houndour</x:v>
      </x:c>
    </x:row>
    <x:row r="2157" ht="22" customHeight="1">
      <x:c r="A2157" s="1" t="n">
        <x:v>229</x:v>
      </x:c>
      <x:c r="B2157" s="1" t="str">
        <x:v>Houndoom</x:v>
      </x:c>
      <x:c r="C2157" s="1" t="n">
        <x:v>2</x:v>
      </x:c>
      <x:c r="D2157" s="1" t="str">
        <x:v>Endless Hollow</x:v>
      </x:c>
      <x:c r="E2157" s="1" t="str">
        <x:v>Sombrio</x:v>
      </x:c>
      <x:c r="F2157" s="1" t="str">
        <x:v>Física</x:v>
      </x:c>
      <x:c r="G2157" s="10" t="n">
        <x:v>300</x:v>
      </x:c>
      <x:c r="H2157" s="10" t="n">
        <x:f>IF(F2157="Física",'Pokémon'!G232,IF(F2157="Especial",'Pokémon'!I232,""))</x:f>
        <x:v>90</x:v>
      </x:c>
      <x:c r="I2157" s="10" t="n">
        <x:f>IF(OR(F2157="Status",G2157=0),"",G2157+H2157)</x:f>
        <x:v>390</x:v>
      </x:c>
      <x:c r="J2157" s="10" t="n">
        <x:v>1</x:v>
      </x:c>
      <x:c r="K2157" s="12" t="n">
        <x:v>10</x:v>
      </x:c>
      <x:c r="L2157" s="1" t="str">
        <x:v>Sim</x:v>
      </x:c>
      <x:c r="M2157" s="9" t="str">
        <x:v>https://poke.idleworld.online/pokepedia/pokemon/houndoom</x:v>
      </x:c>
    </x:row>
    <x:row r="2158" ht="22" customHeight="1">
      <x:c r="A2158" s="1" t="n">
        <x:v>229</x:v>
      </x:c>
      <x:c r="B2158" s="1" t="str">
        <x:v>Houndoom</x:v>
      </x:c>
      <x:c r="C2158" s="1" t="n">
        <x:v>5</x:v>
      </x:c>
      <x:c r="D2158" s="1" t="str">
        <x:v>Inferno</x:v>
      </x:c>
      <x:c r="E2158" s="1" t="str">
        <x:v>Fogo</x:v>
      </x:c>
      <x:c r="F2158" s="1" t="str">
        <x:v>Especial</x:v>
      </x:c>
      <x:c r="G2158" s="10" t="n">
        <x:v>100</x:v>
      </x:c>
      <x:c r="H2158" s="10" t="n">
        <x:f>IF(F2158="Física",'Pokémon'!G232,IF(F2158="Especial",'Pokémon'!I232,""))</x:f>
        <x:v>110</x:v>
      </x:c>
      <x:c r="I2158" s="10" t="n">
        <x:f>IF(OR(F2158="Status",G2158=0),"",G2158+H2158)</x:f>
        <x:v>210</x:v>
      </x:c>
      <x:c r="J2158" s="10" t="n">
        <x:v>1</x:v>
      </x:c>
      <x:c r="K2158" s="12" t="n">
        <x:v>40</x:v>
      </x:c>
      <x:c r="L2158" s="1" t="str"/>
      <x:c r="M2158" s="9" t="str">
        <x:v>https://poke.idleworld.online/pokepedia/pokemon/houndoom</x:v>
      </x:c>
    </x:row>
    <x:row r="2159" ht="22" customHeight="1">
      <x:c r="A2159" s="1" t="n">
        <x:v>229</x:v>
      </x:c>
      <x:c r="B2159" s="1" t="str">
        <x:v>Houndoom</x:v>
      </x:c>
      <x:c r="C2159" s="1" t="n">
        <x:v>10</x:v>
      </x:c>
      <x:c r="D2159" s="1" t="str">
        <x:v>Flamethrower</x:v>
      </x:c>
      <x:c r="E2159" s="1" t="str">
        <x:v>Fogo</x:v>
      </x:c>
      <x:c r="F2159" s="1" t="str">
        <x:v>Especial</x:v>
      </x:c>
      <x:c r="G2159" s="10" t="n">
        <x:v>90</x:v>
      </x:c>
      <x:c r="H2159" s="10" t="n">
        <x:f>IF(F2159="Física",'Pokémon'!G232,IF(F2159="Especial",'Pokémon'!I232,""))</x:f>
        <x:v>110</x:v>
      </x:c>
      <x:c r="I2159" s="10" t="n">
        <x:f>IF(OR(F2159="Status",G2159=0),"",G2159+H2159)</x:f>
        <x:v>200</x:v>
      </x:c>
      <x:c r="J2159" s="10" t="n">
        <x:v>50</x:v>
      </x:c>
      <x:c r="K2159" s="12" t="n">
        <x:v>18</x:v>
      </x:c>
      <x:c r="L2159" s="1" t="str"/>
      <x:c r="M2159" s="9" t="str">
        <x:v>https://poke.idleworld.online/pokepedia/pokemon/houndoom</x:v>
      </x:c>
    </x:row>
    <x:row r="2160" ht="22" customHeight="1">
      <x:c r="A2160" s="1" t="n">
        <x:v>229</x:v>
      </x:c>
      <x:c r="B2160" s="1" t="str">
        <x:v>Houndoom</x:v>
      </x:c>
      <x:c r="C2160" s="1" t="n">
        <x:v>9</x:v>
      </x:c>
      <x:c r="D2160" s="1" t="str">
        <x:v>Foul Play</x:v>
      </x:c>
      <x:c r="E2160" s="1" t="str">
        <x:v>Sombrio</x:v>
      </x:c>
      <x:c r="F2160" s="1" t="str">
        <x:v>Física</x:v>
      </x:c>
      <x:c r="G2160" s="10" t="n">
        <x:v>95</x:v>
      </x:c>
      <x:c r="H2160" s="10" t="n">
        <x:f>IF(F2160="Física",'Pokémon'!G232,IF(F2160="Especial",'Pokémon'!I232,""))</x:f>
        <x:v>90</x:v>
      </x:c>
      <x:c r="I2160" s="10" t="n">
        <x:f>IF(OR(F2160="Status",G2160=0),"",G2160+H2160)</x:f>
        <x:v>185</x:v>
      </x:c>
      <x:c r="J2160" s="10" t="n">
        <x:v>45</x:v>
      </x:c>
      <x:c r="K2160" s="12" t="n">
        <x:v>40</x:v>
      </x:c>
      <x:c r="L2160" s="1" t="str"/>
      <x:c r="M2160" s="9" t="str">
        <x:v>https://poke.idleworld.online/pokepedia/pokemon/houndoom</x:v>
      </x:c>
    </x:row>
    <x:row r="2161" ht="22" customHeight="1">
      <x:c r="A2161" s="1" t="n">
        <x:v>229</x:v>
      </x:c>
      <x:c r="B2161" s="1" t="str">
        <x:v>Houndoom</x:v>
      </x:c>
      <x:c r="C2161" s="1" t="n">
        <x:v>11</x:v>
      </x:c>
      <x:c r="D2161" s="1" t="str">
        <x:v>Crunch</x:v>
      </x:c>
      <x:c r="E2161" s="1" t="str">
        <x:v>Sombrio</x:v>
      </x:c>
      <x:c r="F2161" s="1" t="str">
        <x:v>Física</x:v>
      </x:c>
      <x:c r="G2161" s="10" t="n">
        <x:v>80</x:v>
      </x:c>
      <x:c r="H2161" s="10" t="n">
        <x:f>IF(F2161="Física",'Pokémon'!G232,IF(F2161="Especial",'Pokémon'!I232,""))</x:f>
        <x:v>90</x:v>
      </x:c>
      <x:c r="I2161" s="10" t="n">
        <x:f>IF(OR(F2161="Status",G2161=0),"",G2161+H2161)</x:f>
        <x:v>170</x:v>
      </x:c>
      <x:c r="J2161" s="10" t="n">
        <x:v>56</x:v>
      </x:c>
      <x:c r="K2161" s="12" t="n">
        <x:v>22</x:v>
      </x:c>
      <x:c r="L2161" s="1" t="str"/>
      <x:c r="M2161" s="9" t="str">
        <x:v>https://poke.idleworld.online/pokepedia/pokemon/houndoom</x:v>
      </x:c>
    </x:row>
    <x:row r="2162" ht="22" customHeight="1">
      <x:c r="A2162" s="1" t="n">
        <x:v>229</x:v>
      </x:c>
      <x:c r="B2162" s="1" t="str">
        <x:v>Houndoom</x:v>
      </x:c>
      <x:c r="C2162" s="1" t="n">
        <x:v>4</x:v>
      </x:c>
      <x:c r="D2162" s="1" t="str">
        <x:v>Thunder Fang</x:v>
      </x:c>
      <x:c r="E2162" s="1" t="str">
        <x:v>Elétrico</x:v>
      </x:c>
      <x:c r="F2162" s="1" t="str">
        <x:v>Física</x:v>
      </x:c>
      <x:c r="G2162" s="10" t="n">
        <x:v>65</x:v>
      </x:c>
      <x:c r="H2162" s="10" t="n">
        <x:f>IF(F2162="Física",'Pokémon'!G232,IF(F2162="Especial",'Pokémon'!I232,""))</x:f>
        <x:v>90</x:v>
      </x:c>
      <x:c r="I2162" s="10" t="n">
        <x:f>IF(OR(F2162="Status",G2162=0),"",G2162+H2162)</x:f>
        <x:v>155</x:v>
      </x:c>
      <x:c r="J2162" s="10" t="n">
        <x:v>1</x:v>
      </x:c>
      <x:c r="K2162" s="12" t="n">
        <x:v>20</x:v>
      </x:c>
      <x:c r="L2162" s="1" t="str"/>
      <x:c r="M2162" s="9" t="str">
        <x:v>https://poke.idleworld.online/pokepedia/pokemon/houndoom</x:v>
      </x:c>
    </x:row>
    <x:row r="2163" ht="22" customHeight="1">
      <x:c r="A2163" s="1" t="n">
        <x:v>229</x:v>
      </x:c>
      <x:c r="B2163" s="1" t="str">
        <x:v>Houndoom</x:v>
      </x:c>
      <x:c r="C2163" s="1" t="n">
        <x:v>7</x:v>
      </x:c>
      <x:c r="D2163" s="1" t="str">
        <x:v>Fire Fang</x:v>
      </x:c>
      <x:c r="E2163" s="1" t="str">
        <x:v>Fogo</x:v>
      </x:c>
      <x:c r="F2163" s="1" t="str">
        <x:v>Física</x:v>
      </x:c>
      <x:c r="G2163" s="10" t="n">
        <x:v>65</x:v>
      </x:c>
      <x:c r="H2163" s="10" t="n">
        <x:f>IF(F2163="Física",'Pokémon'!G232,IF(F2163="Especial",'Pokémon'!I232,""))</x:f>
        <x:v>90</x:v>
      </x:c>
      <x:c r="I2163" s="10" t="n">
        <x:f>IF(OR(F2163="Status",G2163=0),"",G2163+H2163)</x:f>
        <x:v>155</x:v>
      </x:c>
      <x:c r="J2163" s="10" t="n">
        <x:v>30</x:v>
      </x:c>
      <x:c r="K2163" s="12" t="n">
        <x:v>20</x:v>
      </x:c>
      <x:c r="L2163" s="1" t="str"/>
      <x:c r="M2163" s="9" t="str">
        <x:v>https://poke.idleworld.online/pokepedia/pokemon/houndoom</x:v>
      </x:c>
    </x:row>
    <x:row r="2164" ht="22" customHeight="1">
      <x:c r="A2164" s="1" t="n">
        <x:v>229</x:v>
      </x:c>
      <x:c r="B2164" s="1" t="str">
        <x:v>Houndoom</x:v>
      </x:c>
      <x:c r="C2164" s="1" t="n">
        <x:v>6</x:v>
      </x:c>
      <x:c r="D2164" s="1" t="str">
        <x:v>Bite</x:v>
      </x:c>
      <x:c r="E2164" s="1" t="str">
        <x:v>Sombrio</x:v>
      </x:c>
      <x:c r="F2164" s="1" t="str">
        <x:v>Física</x:v>
      </x:c>
      <x:c r="G2164" s="10" t="n">
        <x:v>60</x:v>
      </x:c>
      <x:c r="H2164" s="10" t="n">
        <x:f>IF(F2164="Física",'Pokémon'!G232,IF(F2164="Especial",'Pokémon'!I232,""))</x:f>
        <x:v>90</x:v>
      </x:c>
      <x:c r="I2164" s="10" t="n">
        <x:f>IF(OR(F2164="Status",G2164=0),"",G2164+H2164)</x:f>
        <x:v>150</x:v>
      </x:c>
      <x:c r="J2164" s="10" t="n">
        <x:v>16</x:v>
      </x:c>
      <x:c r="K2164" s="12" t="n">
        <x:v>15</x:v>
      </x:c>
      <x:c r="L2164" s="1" t="str"/>
      <x:c r="M2164" s="9" t="str">
        <x:v>https://poke.idleworld.online/pokepedia/pokemon/houndoom</x:v>
      </x:c>
    </x:row>
    <x:row r="2165" ht="22" customHeight="1">
      <x:c r="A2165" s="1" t="n">
        <x:v>229</x:v>
      </x:c>
      <x:c r="B2165" s="1" t="str">
        <x:v>Houndoom</x:v>
      </x:c>
      <x:c r="C2165" s="1" t="n">
        <x:v>8</x:v>
      </x:c>
      <x:c r="D2165" s="1" t="str">
        <x:v>Feint Attack</x:v>
      </x:c>
      <x:c r="E2165" s="1" t="str">
        <x:v>Sombrio</x:v>
      </x:c>
      <x:c r="F2165" s="1" t="str">
        <x:v>Física</x:v>
      </x:c>
      <x:c r="G2165" s="10" t="n">
        <x:v>60</x:v>
      </x:c>
      <x:c r="H2165" s="10" t="n">
        <x:f>IF(F2165="Física",'Pokémon'!G232,IF(F2165="Especial",'Pokémon'!I232,""))</x:f>
        <x:v>90</x:v>
      </x:c>
      <x:c r="I2165" s="10" t="n">
        <x:f>IF(OR(F2165="Status",G2165=0),"",G2165+H2165)</x:f>
        <x:v>150</x:v>
      </x:c>
      <x:c r="J2165" s="10" t="n">
        <x:v>35</x:v>
      </x:c>
      <x:c r="K2165" s="12" t="n">
        <x:v>20</x:v>
      </x:c>
      <x:c r="L2165" s="1" t="str"/>
      <x:c r="M2165" s="9" t="str">
        <x:v>https://poke.idleworld.online/pokepedia/pokemon/houndoom</x:v>
      </x:c>
    </x:row>
    <x:row r="2166" ht="22" customHeight="1">
      <x:c r="A2166" s="1" t="n">
        <x:v>229</x:v>
      </x:c>
      <x:c r="B2166" s="1" t="str">
        <x:v>Houndoom</x:v>
      </x:c>
      <x:c r="C2166" s="1" t="n">
        <x:v>1</x:v>
      </x:c>
      <x:c r="D2166" s="1" t="str">
        <x:v>Ember</x:v>
      </x:c>
      <x:c r="E2166" s="1" t="str">
        <x:v>Fogo</x:v>
      </x:c>
      <x:c r="F2166" s="1" t="str">
        <x:v>Especial</x:v>
      </x:c>
      <x:c r="G2166" s="10" t="n">
        <x:v>40</x:v>
      </x:c>
      <x:c r="H2166" s="10" t="n">
        <x:f>IF(F2166="Física",'Pokémon'!G232,IF(F2166="Especial",'Pokémon'!I232,""))</x:f>
        <x:v>110</x:v>
      </x:c>
      <x:c r="I2166" s="10" t="n">
        <x:f>IF(OR(F2166="Status",G2166=0),"",G2166+H2166)</x:f>
        <x:v>150</x:v>
      </x:c>
      <x:c r="J2166" s="10" t="n">
        <x:v>1</x:v>
      </x:c>
      <x:c r="K2166" s="12" t="n">
        <x:v>10</x:v>
      </x:c>
      <x:c r="L2166" s="1" t="str"/>
      <x:c r="M2166" s="9" t="str">
        <x:v>https://poke.idleworld.online/pokepedia/pokemon/houndoom</x:v>
      </x:c>
    </x:row>
    <x:row r="2167" ht="22" customHeight="1">
      <x:c r="A2167" s="1" t="n">
        <x:v>229</x:v>
      </x:c>
      <x:c r="B2167" s="1" t="str">
        <x:v>Houndoom</x:v>
      </x:c>
      <x:c r="C2167" s="1" t="n">
        <x:v>3</x:v>
      </x:c>
      <x:c r="D2167" s="1" t="str">
        <x:v>Smog</x:v>
      </x:c>
      <x:c r="E2167" s="1" t="str">
        <x:v>Venenoso</x:v>
      </x:c>
      <x:c r="F2167" s="1" t="str">
        <x:v>Especial</x:v>
      </x:c>
      <x:c r="G2167" s="10" t="n">
        <x:v>30</x:v>
      </x:c>
      <x:c r="H2167" s="10" t="n">
        <x:f>IF(F2167="Física",'Pokémon'!G232,IF(F2167="Especial",'Pokémon'!I232,""))</x:f>
        <x:v>110</x:v>
      </x:c>
      <x:c r="I2167" s="10" t="n">
        <x:f>IF(OR(F2167="Status",G2167=0),"",G2167+H2167)</x:f>
        <x:v>140</x:v>
      </x:c>
      <x:c r="J2167" s="10" t="n">
        <x:v>1</x:v>
      </x:c>
      <x:c r="K2167" s="12" t="n">
        <x:v>15</x:v>
      </x:c>
      <x:c r="L2167" s="1" t="str"/>
      <x:c r="M2167" s="9" t="str">
        <x:v>https://poke.idleworld.online/pokepedia/pokemon/houndoom</x:v>
      </x:c>
    </x:row>
    <x:row r="2168" ht="22" customHeight="1">
      <x:c r="A2168" s="1" t="n">
        <x:v>230</x:v>
      </x:c>
      <x:c r="B2168" s="1" t="str">
        <x:v>Kingdra</x:v>
      </x:c>
      <x:c r="C2168" s="1" t="n">
        <x:v>2</x:v>
      </x:c>
      <x:c r="D2168" s="1" t="str">
        <x:v>Cyclonic Tide</x:v>
      </x:c>
      <x:c r="E2168" s="1" t="str">
        <x:v>Água</x:v>
      </x:c>
      <x:c r="F2168" s="1" t="str">
        <x:v>Especial</x:v>
      </x:c>
      <x:c r="G2168" s="10" t="n">
        <x:v>300</x:v>
      </x:c>
      <x:c r="H2168" s="10" t="n">
        <x:f>IF(F2168="Física",'Pokémon'!G233,IF(F2168="Especial",'Pokémon'!I233,""))</x:f>
        <x:v>95</x:v>
      </x:c>
      <x:c r="I2168" s="10" t="n">
        <x:f>IF(OR(F2168="Status",G2168=0),"",G2168+H2168)</x:f>
        <x:v>395</x:v>
      </x:c>
      <x:c r="J2168" s="10" t="n">
        <x:v>1</x:v>
      </x:c>
      <x:c r="K2168" s="12" t="n">
        <x:v>10</x:v>
      </x:c>
      <x:c r="L2168" s="1" t="str">
        <x:v>Sim</x:v>
      </x:c>
      <x:c r="M2168" s="9" t="str">
        <x:v>https://poke.idleworld.online/pokepedia/pokemon/kingdra</x:v>
      </x:c>
    </x:row>
    <x:row r="2169" ht="22" customHeight="1">
      <x:c r="A2169" s="1" t="n">
        <x:v>230</x:v>
      </x:c>
      <x:c r="B2169" s="1" t="str">
        <x:v>Kingdra</x:v>
      </x:c>
      <x:c r="C2169" s="1" t="n">
        <x:v>3</x:v>
      </x:c>
      <x:c r="D2169" s="1" t="str">
        <x:v>Draconic Soul</x:v>
      </x:c>
      <x:c r="E2169" s="1" t="str">
        <x:v>Dragão</x:v>
      </x:c>
      <x:c r="F2169" s="1" t="str">
        <x:v>Especial</x:v>
      </x:c>
      <x:c r="G2169" s="10" t="n">
        <x:v>300</x:v>
      </x:c>
      <x:c r="H2169" s="10" t="n">
        <x:f>IF(F2169="Física",'Pokémon'!G233,IF(F2169="Especial",'Pokémon'!I233,""))</x:f>
        <x:v>95</x:v>
      </x:c>
      <x:c r="I2169" s="10" t="n">
        <x:f>IF(OR(F2169="Status",G2169=0),"",G2169+H2169)</x:f>
        <x:v>395</x:v>
      </x:c>
      <x:c r="J2169" s="10" t="n">
        <x:v>1</x:v>
      </x:c>
      <x:c r="K2169" s="12" t="n">
        <x:v>10</x:v>
      </x:c>
      <x:c r="L2169" s="1" t="str">
        <x:v>Sim</x:v>
      </x:c>
      <x:c r="M2169" s="9" t="str">
        <x:v>https://poke.idleworld.online/pokepedia/pokemon/kingdra</x:v>
      </x:c>
    </x:row>
    <x:row r="2170" ht="22" customHeight="1">
      <x:c r="A2170" s="1" t="n">
        <x:v>230</x:v>
      </x:c>
      <x:c r="B2170" s="1" t="str">
        <x:v>Kingdra</x:v>
      </x:c>
      <x:c r="C2170" s="1" t="n">
        <x:v>5</x:v>
      </x:c>
      <x:c r="D2170" s="1" t="str">
        <x:v>Hydro Pump</x:v>
      </x:c>
      <x:c r="E2170" s="1" t="str">
        <x:v>Água</x:v>
      </x:c>
      <x:c r="F2170" s="1" t="str">
        <x:v>Especial</x:v>
      </x:c>
      <x:c r="G2170" s="10" t="n">
        <x:v>110</x:v>
      </x:c>
      <x:c r="H2170" s="10" t="n">
        <x:f>IF(F2170="Física",'Pokémon'!G233,IF(F2170="Especial",'Pokémon'!I233,""))</x:f>
        <x:v>95</x:v>
      </x:c>
      <x:c r="I2170" s="10" t="n">
        <x:f>IF(OR(F2170="Status",G2170=0),"",G2170+H2170)</x:f>
        <x:v>205</x:v>
      </x:c>
      <x:c r="J2170" s="10" t="n">
        <x:v>1</x:v>
      </x:c>
      <x:c r="K2170" s="12" t="n">
        <x:v>40</x:v>
      </x:c>
      <x:c r="L2170" s="1" t="str"/>
      <x:c r="M2170" s="9" t="str">
        <x:v>https://poke.idleworld.online/pokepedia/pokemon/kingdra</x:v>
      </x:c>
    </x:row>
    <x:row r="2171" ht="22" customHeight="1">
      <x:c r="A2171" s="1" t="n">
        <x:v>230</x:v>
      </x:c>
      <x:c r="B2171" s="1" t="str">
        <x:v>Kingdra</x:v>
      </x:c>
      <x:c r="C2171" s="1" t="n">
        <x:v>9</x:v>
      </x:c>
      <x:c r="D2171" s="1" t="str">
        <x:v>Dragon Pulse</x:v>
      </x:c>
      <x:c r="E2171" s="1" t="str">
        <x:v>Dragão</x:v>
      </x:c>
      <x:c r="F2171" s="1" t="str">
        <x:v>Especial</x:v>
      </x:c>
      <x:c r="G2171" s="10" t="n">
        <x:v>85</x:v>
      </x:c>
      <x:c r="H2171" s="10" t="n">
        <x:f>IF(F2171="Física",'Pokémon'!G233,IF(F2171="Especial",'Pokémon'!I233,""))</x:f>
        <x:v>95</x:v>
      </x:c>
      <x:c r="I2171" s="10" t="n">
        <x:f>IF(OR(F2171="Status",G2171=0),"",G2171+H2171)</x:f>
        <x:v>180</x:v>
      </x:c>
      <x:c r="J2171" s="10" t="n">
        <x:v>45</x:v>
      </x:c>
      <x:c r="K2171" s="12" t="n">
        <x:v>22</x:v>
      </x:c>
      <x:c r="L2171" s="1" t="str"/>
      <x:c r="M2171" s="9" t="str">
        <x:v>https://poke.idleworld.online/pokepedia/pokemon/kingdra</x:v>
      </x:c>
    </x:row>
    <x:row r="2172" ht="22" customHeight="1">
      <x:c r="A2172" s="1" t="n">
        <x:v>230</x:v>
      </x:c>
      <x:c r="B2172" s="1" t="str">
        <x:v>Kingdra</x:v>
      </x:c>
      <x:c r="C2172" s="1" t="n">
        <x:v>7</x:v>
      </x:c>
      <x:c r="D2172" s="1" t="str">
        <x:v>Bubble Beam</x:v>
      </x:c>
      <x:c r="E2172" s="1" t="str">
        <x:v>Água</x:v>
      </x:c>
      <x:c r="F2172" s="1" t="str">
        <x:v>Especial</x:v>
      </x:c>
      <x:c r="G2172" s="10" t="n">
        <x:v>65</x:v>
      </x:c>
      <x:c r="H2172" s="10" t="n">
        <x:f>IF(F2172="Física",'Pokémon'!G233,IF(F2172="Especial",'Pokémon'!I233,""))</x:f>
        <x:v>95</x:v>
      </x:c>
      <x:c r="I2172" s="10" t="n">
        <x:f>IF(OR(F2172="Status",G2172=0),"",G2172+H2172)</x:f>
        <x:v>160</x:v>
      </x:c>
      <x:c r="J2172" s="10" t="n">
        <x:v>21</x:v>
      </x:c>
      <x:c r="K2172" s="12" t="n">
        <x:v>20</x:v>
      </x:c>
      <x:c r="L2172" s="1" t="str"/>
      <x:c r="M2172" s="9" t="str">
        <x:v>https://poke.idleworld.online/pokepedia/pokemon/kingdra</x:v>
      </x:c>
    </x:row>
    <x:row r="2173" ht="22" customHeight="1">
      <x:c r="A2173" s="1" t="n">
        <x:v>230</x:v>
      </x:c>
      <x:c r="B2173" s="1" t="str">
        <x:v>Kingdra</x:v>
      </x:c>
      <x:c r="C2173" s="1" t="n">
        <x:v>8</x:v>
      </x:c>
      <x:c r="D2173" s="1" t="str">
        <x:v>Brine</x:v>
      </x:c>
      <x:c r="E2173" s="1" t="str">
        <x:v>Água</x:v>
      </x:c>
      <x:c r="F2173" s="1" t="str">
        <x:v>Especial</x:v>
      </x:c>
      <x:c r="G2173" s="10" t="n">
        <x:v>65</x:v>
      </x:c>
      <x:c r="H2173" s="10" t="n">
        <x:f>IF(F2173="Física",'Pokémon'!G233,IF(F2173="Especial",'Pokémon'!I233,""))</x:f>
        <x:v>95</x:v>
      </x:c>
      <x:c r="I2173" s="10" t="n">
        <x:f>IF(OR(F2173="Status",G2173=0),"",G2173+H2173)</x:f>
        <x:v>160</x:v>
      </x:c>
      <x:c r="J2173" s="10" t="n">
        <x:v>31</x:v>
      </x:c>
      <x:c r="K2173" s="12" t="n">
        <x:v>20</x:v>
      </x:c>
      <x:c r="L2173" s="1" t="str"/>
      <x:c r="M2173" s="9" t="str">
        <x:v>https://poke.idleworld.online/pokepedia/pokemon/kingdra</x:v>
      </x:c>
    </x:row>
    <x:row r="2174" ht="22" customHeight="1">
      <x:c r="A2174" s="1" t="n">
        <x:v>230</x:v>
      </x:c>
      <x:c r="B2174" s="1" t="str">
        <x:v>Kingdra</x:v>
      </x:c>
      <x:c r="C2174" s="1" t="n">
        <x:v>1</x:v>
      </x:c>
      <x:c r="D2174" s="1" t="str">
        <x:v>Water Gun</x:v>
      </x:c>
      <x:c r="E2174" s="1" t="str">
        <x:v>Água</x:v>
      </x:c>
      <x:c r="F2174" s="1" t="str">
        <x:v>Especial</x:v>
      </x:c>
      <x:c r="G2174" s="10" t="n">
        <x:v>40</x:v>
      </x:c>
      <x:c r="H2174" s="10" t="n">
        <x:f>IF(F2174="Física",'Pokémon'!G233,IF(F2174="Especial",'Pokémon'!I233,""))</x:f>
        <x:v>95</x:v>
      </x:c>
      <x:c r="I2174" s="10" t="n">
        <x:f>IF(OR(F2174="Status",G2174=0),"",G2174+H2174)</x:f>
        <x:v>135</x:v>
      </x:c>
      <x:c r="J2174" s="10" t="n">
        <x:v>1</x:v>
      </x:c>
      <x:c r="K2174" s="12" t="n">
        <x:v>18</x:v>
      </x:c>
      <x:c r="L2174" s="1" t="str"/>
      <x:c r="M2174" s="9" t="str">
        <x:v>https://poke.idleworld.online/pokepedia/pokemon/kingdra</x:v>
      </x:c>
    </x:row>
    <x:row r="2175" ht="22" customHeight="1">
      <x:c r="A2175" s="1" t="n">
        <x:v>230</x:v>
      </x:c>
      <x:c r="B2175" s="1" t="str">
        <x:v>Kingdra</x:v>
      </x:c>
      <x:c r="C2175" s="1" t="n">
        <x:v>4</x:v>
      </x:c>
      <x:c r="D2175" s="1" t="str">
        <x:v>Bubble</x:v>
      </x:c>
      <x:c r="E2175" s="1" t="str">
        <x:v>Água</x:v>
      </x:c>
      <x:c r="F2175" s="1" t="str">
        <x:v>Especial</x:v>
      </x:c>
      <x:c r="G2175" s="10" t="n">
        <x:v>40</x:v>
      </x:c>
      <x:c r="H2175" s="10" t="n">
        <x:f>IF(F2175="Física",'Pokémon'!G233,IF(F2175="Especial",'Pokémon'!I233,""))</x:f>
        <x:v>95</x:v>
      </x:c>
      <x:c r="I2175" s="10" t="n">
        <x:f>IF(OR(F2175="Status",G2175=0),"",G2175+H2175)</x:f>
        <x:v>135</x:v>
      </x:c>
      <x:c r="J2175" s="10" t="n">
        <x:v>1</x:v>
      </x:c>
      <x:c r="K2175" s="12" t="n">
        <x:v>15</x:v>
      </x:c>
      <x:c r="L2175" s="1" t="str"/>
      <x:c r="M2175" s="9" t="str">
        <x:v>https://poke.idleworld.online/pokepedia/pokemon/kingdra</x:v>
      </x:c>
    </x:row>
    <x:row r="2176" ht="22" customHeight="1">
      <x:c r="A2176" s="1" t="n">
        <x:v>230</x:v>
      </x:c>
      <x:c r="B2176" s="1" t="str">
        <x:v>Kingdra</x:v>
      </x:c>
      <x:c r="C2176" s="1" t="n">
        <x:v>6</x:v>
      </x:c>
      <x:c r="D2176" s="1" t="str">
        <x:v>Twister</x:v>
      </x:c>
      <x:c r="E2176" s="1" t="str">
        <x:v>Dragão</x:v>
      </x:c>
      <x:c r="F2176" s="1" t="str">
        <x:v>Especial</x:v>
      </x:c>
      <x:c r="G2176" s="10" t="n">
        <x:v>40</x:v>
      </x:c>
      <x:c r="H2176" s="10" t="n">
        <x:f>IF(F2176="Física",'Pokémon'!G233,IF(F2176="Especial",'Pokémon'!I233,""))</x:f>
        <x:v>95</x:v>
      </x:c>
      <x:c r="I2176" s="10" t="n">
        <x:f>IF(OR(F2176="Status",G2176=0),"",G2176+H2176)</x:f>
        <x:v>135</x:v>
      </x:c>
      <x:c r="J2176" s="10" t="n">
        <x:v>17</x:v>
      </x:c>
      <x:c r="K2176" s="12" t="n">
        <x:v>15</x:v>
      </x:c>
      <x:c r="L2176" s="1" t="str"/>
      <x:c r="M2176" s="9" t="str">
        <x:v>https://poke.idleworld.online/pokepedia/pokemon/kingdra</x:v>
      </x:c>
    </x:row>
    <x:row r="2177" ht="22" customHeight="1">
      <x:c r="A2177" s="1" t="n">
        <x:v>231</x:v>
      </x:c>
      <x:c r="B2177" s="1" t="str">
        <x:v>Phanpy</x:v>
      </x:c>
      <x:c r="C2177" s="1" t="n">
        <x:v>5</x:v>
      </x:c>
      <x:c r="D2177" s="1" t="str">
        <x:v>Last Resort</x:v>
      </x:c>
      <x:c r="E2177" s="1" t="str">
        <x:v>Normal</x:v>
      </x:c>
      <x:c r="F2177" s="1" t="str">
        <x:v>Física</x:v>
      </x:c>
      <x:c r="G2177" s="10" t="n">
        <x:v>140</x:v>
      </x:c>
      <x:c r="H2177" s="10" t="n">
        <x:f>IF(F2177="Física",'Pokémon'!G234,IF(F2177="Especial",'Pokémon'!I234,""))</x:f>
        <x:v>60</x:v>
      </x:c>
      <x:c r="I2177" s="10" t="n">
        <x:f>IF(OR(F2177="Status",G2177=0),"",G2177+H2177)</x:f>
        <x:v>200</x:v>
      </x:c>
      <x:c r="J2177" s="10" t="n">
        <x:v>37</x:v>
      </x:c>
      <x:c r="K2177" s="12" t="n">
        <x:v>50</x:v>
      </x:c>
      <x:c r="L2177" s="1" t="str"/>
      <x:c r="M2177" s="9" t="str">
        <x:v>https://poke.idleworld.online/pokepedia/pokemon/phanpy</x:v>
      </x:c>
    </x:row>
    <x:row r="2178" ht="22" customHeight="1">
      <x:c r="A2178" s="1" t="n">
        <x:v>231</x:v>
      </x:c>
      <x:c r="B2178" s="1" t="str">
        <x:v>Phanpy</x:v>
      </x:c>
      <x:c r="C2178" s="1" t="n">
        <x:v>6</x:v>
      </x:c>
      <x:c r="D2178" s="1" t="str">
        <x:v>Double-Edge</x:v>
      </x:c>
      <x:c r="E2178" s="1" t="str">
        <x:v>Normal</x:v>
      </x:c>
      <x:c r="F2178" s="1" t="str">
        <x:v>Física</x:v>
      </x:c>
      <x:c r="G2178" s="10" t="n">
        <x:v>120</x:v>
      </x:c>
      <x:c r="H2178" s="10" t="n">
        <x:f>IF(F2178="Física",'Pokémon'!G234,IF(F2178="Especial",'Pokémon'!I234,""))</x:f>
        <x:v>60</x:v>
      </x:c>
      <x:c r="I2178" s="10" t="n">
        <x:f>IF(OR(F2178="Status",G2178=0),"",G2178+H2178)</x:f>
        <x:v>180</x:v>
      </x:c>
      <x:c r="J2178" s="10" t="n">
        <x:v>42</x:v>
      </x:c>
      <x:c r="K2178" s="12" t="n">
        <x:v>3</x:v>
      </x:c>
      <x:c r="L2178" s="1" t="str"/>
      <x:c r="M2178" s="9" t="str">
        <x:v>https://poke.idleworld.online/pokepedia/pokemon/phanpy</x:v>
      </x:c>
    </x:row>
    <x:row r="2179" ht="22" customHeight="1">
      <x:c r="A2179" s="1" t="n">
        <x:v>231</x:v>
      </x:c>
      <x:c r="B2179" s="1" t="str">
        <x:v>Phanpy</x:v>
      </x:c>
      <x:c r="C2179" s="1" t="n">
        <x:v>4</x:v>
      </x:c>
      <x:c r="D2179" s="1" t="str">
        <x:v>Take Down</x:v>
      </x:c>
      <x:c r="E2179" s="1" t="str">
        <x:v>Normal</x:v>
      </x:c>
      <x:c r="F2179" s="1" t="str">
        <x:v>Física</x:v>
      </x:c>
      <x:c r="G2179" s="10" t="n">
        <x:v>90</x:v>
      </x:c>
      <x:c r="H2179" s="10" t="n">
        <x:f>IF(F2179="Física",'Pokémon'!G234,IF(F2179="Especial",'Pokémon'!I234,""))</x:f>
        <x:v>60</x:v>
      </x:c>
      <x:c r="I2179" s="10" t="n">
        <x:f>IF(OR(F2179="Status",G2179=0),"",G2179+H2179)</x:f>
        <x:v>150</x:v>
      </x:c>
      <x:c r="J2179" s="10" t="n">
        <x:v>28</x:v>
      </x:c>
      <x:c r="K2179" s="12" t="n">
        <x:v>22</x:v>
      </x:c>
      <x:c r="L2179" s="1" t="str"/>
      <x:c r="M2179" s="9" t="str">
        <x:v>https://poke.idleworld.online/pokepedia/pokemon/phanpy</x:v>
      </x:c>
    </x:row>
    <x:row r="2180" ht="22" customHeight="1">
      <x:c r="A2180" s="1" t="n">
        <x:v>231</x:v>
      </x:c>
      <x:c r="B2180" s="1" t="str">
        <x:v>Phanpy</x:v>
      </x:c>
      <x:c r="C2180" s="1" t="n">
        <x:v>3</x:v>
      </x:c>
      <x:c r="D2180" s="1" t="str">
        <x:v>Slam</x:v>
      </x:c>
      <x:c r="E2180" s="1" t="str">
        <x:v>Normal</x:v>
      </x:c>
      <x:c r="F2180" s="1" t="str">
        <x:v>Física</x:v>
      </x:c>
      <x:c r="G2180" s="10" t="n">
        <x:v>80</x:v>
      </x:c>
      <x:c r="H2180" s="10" t="n">
        <x:f>IF(F2180="Física",'Pokémon'!G234,IF(F2180="Especial",'Pokémon'!I234,""))</x:f>
        <x:v>60</x:v>
      </x:c>
      <x:c r="I2180" s="10" t="n">
        <x:f>IF(OR(F2180="Status",G2180=0),"",G2180+H2180)</x:f>
        <x:v>140</x:v>
      </x:c>
      <x:c r="J2180" s="10" t="n">
        <x:v>24</x:v>
      </x:c>
      <x:c r="K2180" s="12" t="n">
        <x:v>22</x:v>
      </x:c>
      <x:c r="L2180" s="1" t="str"/>
      <x:c r="M2180" s="9" t="str">
        <x:v>https://poke.idleworld.online/pokepedia/pokemon/phanpy</x:v>
      </x:c>
    </x:row>
    <x:row r="2181" ht="22" customHeight="1">
      <x:c r="A2181" s="1" t="n">
        <x:v>231</x:v>
      </x:c>
      <x:c r="B2181" s="1" t="str">
        <x:v>Phanpy</x:v>
      </x:c>
      <x:c r="C2181" s="1" t="n">
        <x:v>1</x:v>
      </x:c>
      <x:c r="D2181" s="1" t="str">
        <x:v>Tackle</x:v>
      </x:c>
      <x:c r="E2181" s="1" t="str">
        <x:v>Normal</x:v>
      </x:c>
      <x:c r="F2181" s="1" t="str">
        <x:v>Física</x:v>
      </x:c>
      <x:c r="G2181" s="10" t="n">
        <x:v>50</x:v>
      </x:c>
      <x:c r="H2181" s="10" t="n">
        <x:f>IF(F2181="Física",'Pokémon'!G234,IF(F2181="Especial",'Pokémon'!I234,""))</x:f>
        <x:v>60</x:v>
      </x:c>
      <x:c r="I2181" s="10" t="n">
        <x:f>IF(OR(F2181="Status",G2181=0),"",G2181+H2181)</x:f>
        <x:v>110</x:v>
      </x:c>
      <x:c r="J2181" s="10" t="n">
        <x:v>1</x:v>
      </x:c>
      <x:c r="K2181" s="12" t="n">
        <x:v>15</x:v>
      </x:c>
      <x:c r="L2181" s="1" t="str"/>
      <x:c r="M2181" s="9" t="str">
        <x:v>https://poke.idleworld.online/pokepedia/pokemon/phanpy</x:v>
      </x:c>
    </x:row>
    <x:row r="2182" ht="22" customHeight="1">
      <x:c r="A2182" s="1" t="n">
        <x:v>231</x:v>
      </x:c>
      <x:c r="B2182" s="1" t="str">
        <x:v>Phanpy</x:v>
      </x:c>
      <x:c r="C2182" s="1" t="n">
        <x:v>2</x:v>
      </x:c>
      <x:c r="D2182" s="1" t="str">
        <x:v>Rollout</x:v>
      </x:c>
      <x:c r="E2182" s="1" t="str">
        <x:v>Pedra</x:v>
      </x:c>
      <x:c r="F2182" s="1" t="str">
        <x:v>Física</x:v>
      </x:c>
      <x:c r="G2182" s="10" t="n">
        <x:v>30</x:v>
      </x:c>
      <x:c r="H2182" s="10" t="n">
        <x:f>IF(F2182="Física",'Pokémon'!G234,IF(F2182="Especial",'Pokémon'!I234,""))</x:f>
        <x:v>60</x:v>
      </x:c>
      <x:c r="I2182" s="10" t="n">
        <x:f>IF(OR(F2182="Status",G2182=0),"",G2182+H2182)</x:f>
        <x:v>90</x:v>
      </x:c>
      <x:c r="J2182" s="10" t="n">
        <x:v>10</x:v>
      </x:c>
      <x:c r="K2182" s="12" t="n">
        <x:v>15</x:v>
      </x:c>
      <x:c r="L2182" s="1" t="str"/>
      <x:c r="M2182" s="9" t="str">
        <x:v>https://poke.idleworld.online/pokepedia/pokemon/phanpy</x:v>
      </x:c>
    </x:row>
    <x:row r="2183" ht="22" customHeight="1">
      <x:c r="A2183" s="1" t="n">
        <x:v>232</x:v>
      </x:c>
      <x:c r="B2183" s="1" t="str">
        <x:v>Donphan</x:v>
      </x:c>
      <x:c r="C2183" s="1" t="n">
        <x:v>1</x:v>
      </x:c>
      <x:c r="D2183" s="1" t="str">
        <x:v>Crossing Fissure</x:v>
      </x:c>
      <x:c r="E2183" s="1" t="str">
        <x:v>Terrestre</x:v>
      </x:c>
      <x:c r="F2183" s="1" t="str">
        <x:v>Física</x:v>
      </x:c>
      <x:c r="G2183" s="10" t="n">
        <x:v>300</x:v>
      </x:c>
      <x:c r="H2183" s="10" t="n">
        <x:f>IF(F2183="Física",'Pokémon'!G235,IF(F2183="Especial",'Pokémon'!I235,""))</x:f>
        <x:v>120</x:v>
      </x:c>
      <x:c r="I2183" s="10" t="n">
        <x:f>IF(OR(F2183="Status",G2183=0),"",G2183+H2183)</x:f>
        <x:v>420</x:v>
      </x:c>
      <x:c r="J2183" s="10" t="n">
        <x:v>1</x:v>
      </x:c>
      <x:c r="K2183" s="12" t="n">
        <x:v>10</x:v>
      </x:c>
      <x:c r="L2183" s="1" t="str">
        <x:v>Sim</x:v>
      </x:c>
      <x:c r="M2183" s="9" t="str">
        <x:v>https://poke.idleworld.online/pokepedia/pokemon/donphan</x:v>
      </x:c>
    </x:row>
    <x:row r="2184" ht="22" customHeight="1">
      <x:c r="A2184" s="1" t="n">
        <x:v>232</x:v>
      </x:c>
      <x:c r="B2184" s="1" t="str">
        <x:v>Donphan</x:v>
      </x:c>
      <x:c r="C2184" s="1" t="n">
        <x:v>13</x:v>
      </x:c>
      <x:c r="D2184" s="1" t="str">
        <x:v>Giga Impact</x:v>
      </x:c>
      <x:c r="E2184" s="1" t="str">
        <x:v>Normal</x:v>
      </x:c>
      <x:c r="F2184" s="1" t="str">
        <x:v>Física</x:v>
      </x:c>
      <x:c r="G2184" s="10" t="n">
        <x:v>150</x:v>
      </x:c>
      <x:c r="H2184" s="10" t="n">
        <x:f>IF(F2184="Física",'Pokémon'!G235,IF(F2184="Especial",'Pokémon'!I235,""))</x:f>
        <x:v>120</x:v>
      </x:c>
      <x:c r="I2184" s="10" t="n">
        <x:f>IF(OR(F2184="Status",G2184=0),"",G2184+H2184)</x:f>
        <x:v>270</x:v>
      </x:c>
      <x:c r="J2184" s="10" t="n">
        <x:v>50</x:v>
      </x:c>
      <x:c r="K2184" s="12" t="n">
        <x:v>50</x:v>
      </x:c>
      <x:c r="L2184" s="1" t="str"/>
      <x:c r="M2184" s="9" t="str">
        <x:v>https://poke.idleworld.online/pokepedia/pokemon/donphan</x:v>
      </x:c>
    </x:row>
    <x:row r="2185" ht="22" customHeight="1">
      <x:c r="A2185" s="1" t="n">
        <x:v>232</x:v>
      </x:c>
      <x:c r="B2185" s="1" t="str">
        <x:v>Donphan</x:v>
      </x:c>
      <x:c r="C2185" s="1" t="n">
        <x:v>12</x:v>
      </x:c>
      <x:c r="D2185" s="1" t="str">
        <x:v>Earthquake</x:v>
      </x:c>
      <x:c r="E2185" s="1" t="str">
        <x:v>Terrestre</x:v>
      </x:c>
      <x:c r="F2185" s="1" t="str">
        <x:v>Física</x:v>
      </x:c>
      <x:c r="G2185" s="10" t="n">
        <x:v>100</x:v>
      </x:c>
      <x:c r="H2185" s="10" t="n">
        <x:f>IF(F2185="Física",'Pokémon'!G235,IF(F2185="Especial",'Pokémon'!I235,""))</x:f>
        <x:v>120</x:v>
      </x:c>
      <x:c r="I2185" s="10" t="n">
        <x:f>IF(OR(F2185="Status",G2185=0),"",G2185+H2185)</x:f>
        <x:v>220</x:v>
      </x:c>
      <x:c r="J2185" s="10" t="n">
        <x:v>43</x:v>
      </x:c>
      <x:c r="K2185" s="12" t="n">
        <x:v>50</x:v>
      </x:c>
      <x:c r="L2185" s="1" t="str"/>
      <x:c r="M2185" s="9" t="str">
        <x:v>https://poke.idleworld.online/pokepedia/pokemon/donphan</x:v>
      </x:c>
    </x:row>
    <x:row r="2186" ht="22" customHeight="1">
      <x:c r="A2186" s="1" t="n">
        <x:v>232</x:v>
      </x:c>
      <x:c r="B2186" s="1" t="str">
        <x:v>Donphan</x:v>
      </x:c>
      <x:c r="C2186" s="1" t="n">
        <x:v>10</x:v>
      </x:c>
      <x:c r="D2186" s="1" t="str">
        <x:v>Slam</x:v>
      </x:c>
      <x:c r="E2186" s="1" t="str">
        <x:v>Normal</x:v>
      </x:c>
      <x:c r="F2186" s="1" t="str">
        <x:v>Física</x:v>
      </x:c>
      <x:c r="G2186" s="10" t="n">
        <x:v>80</x:v>
      </x:c>
      <x:c r="H2186" s="10" t="n">
        <x:f>IF(F2186="Física",'Pokémon'!G235,IF(F2186="Especial",'Pokémon'!I235,""))</x:f>
        <x:v>120</x:v>
      </x:c>
      <x:c r="I2186" s="10" t="n">
        <x:f>IF(OR(F2186="Status",G2186=0),"",G2186+H2186)</x:f>
        <x:v>200</x:v>
      </x:c>
      <x:c r="J2186" s="10" t="n">
        <x:v>24</x:v>
      </x:c>
      <x:c r="K2186" s="12" t="n">
        <x:v>22</x:v>
      </x:c>
      <x:c r="L2186" s="1" t="str"/>
      <x:c r="M2186" s="9" t="str">
        <x:v>https://poke.idleworld.online/pokepedia/pokemon/donphan</x:v>
      </x:c>
    </x:row>
    <x:row r="2187" ht="22" customHeight="1">
      <x:c r="A2187" s="1" t="n">
        <x:v>232</x:v>
      </x:c>
      <x:c r="B2187" s="1" t="str">
        <x:v>Donphan</x:v>
      </x:c>
      <x:c r="C2187" s="1" t="n">
        <x:v>3</x:v>
      </x:c>
      <x:c r="D2187" s="1" t="str">
        <x:v>Horn Attack</x:v>
      </x:c>
      <x:c r="E2187" s="1" t="str">
        <x:v>Normal</x:v>
      </x:c>
      <x:c r="F2187" s="1" t="str">
        <x:v>Física</x:v>
      </x:c>
      <x:c r="G2187" s="10" t="n">
        <x:v>65</x:v>
      </x:c>
      <x:c r="H2187" s="10" t="n">
        <x:f>IF(F2187="Física",'Pokémon'!G235,IF(F2187="Especial",'Pokémon'!I235,""))</x:f>
        <x:v>120</x:v>
      </x:c>
      <x:c r="I2187" s="10" t="n">
        <x:f>IF(OR(F2187="Status",G2187=0),"",G2187+H2187)</x:f>
        <x:v>185</x:v>
      </x:c>
      <x:c r="J2187" s="10" t="n">
        <x:v>1</x:v>
      </x:c>
      <x:c r="K2187" s="12" t="n">
        <x:v>20</x:v>
      </x:c>
      <x:c r="L2187" s="1" t="str"/>
      <x:c r="M2187" s="9" t="str">
        <x:v>https://poke.idleworld.online/pokepedia/pokemon/donphan</x:v>
      </x:c>
    </x:row>
    <x:row r="2188" ht="22" customHeight="1">
      <x:c r="A2188" s="1" t="n">
        <x:v>232</x:v>
      </x:c>
      <x:c r="B2188" s="1" t="str">
        <x:v>Donphan</x:v>
      </x:c>
      <x:c r="C2188" s="1" t="n">
        <x:v>4</x:v>
      </x:c>
      <x:c r="D2188" s="1" t="str">
        <x:v>Thunder Fang</x:v>
      </x:c>
      <x:c r="E2188" s="1" t="str">
        <x:v>Elétrico</x:v>
      </x:c>
      <x:c r="F2188" s="1" t="str">
        <x:v>Física</x:v>
      </x:c>
      <x:c r="G2188" s="10" t="n">
        <x:v>65</x:v>
      </x:c>
      <x:c r="H2188" s="10" t="n">
        <x:f>IF(F2188="Física",'Pokémon'!G235,IF(F2188="Especial",'Pokémon'!I235,""))</x:f>
        <x:v>120</x:v>
      </x:c>
      <x:c r="I2188" s="10" t="n">
        <x:f>IF(OR(F2188="Status",G2188=0),"",G2188+H2188)</x:f>
        <x:v>185</x:v>
      </x:c>
      <x:c r="J2188" s="10" t="n">
        <x:v>1</x:v>
      </x:c>
      <x:c r="K2188" s="12" t="n">
        <x:v>20</x:v>
      </x:c>
      <x:c r="L2188" s="1" t="str"/>
      <x:c r="M2188" s="9" t="str">
        <x:v>https://poke.idleworld.online/pokepedia/pokemon/donphan</x:v>
      </x:c>
    </x:row>
    <x:row r="2189" ht="22" customHeight="1">
      <x:c r="A2189" s="1" t="n">
        <x:v>232</x:v>
      </x:c>
      <x:c r="B2189" s="1" t="str">
        <x:v>Donphan</x:v>
      </x:c>
      <x:c r="C2189" s="1" t="n">
        <x:v>5</x:v>
      </x:c>
      <x:c r="D2189" s="1" t="str">
        <x:v>Fire Fang</x:v>
      </x:c>
      <x:c r="E2189" s="1" t="str">
        <x:v>Fogo</x:v>
      </x:c>
      <x:c r="F2189" s="1" t="str">
        <x:v>Física</x:v>
      </x:c>
      <x:c r="G2189" s="10" t="n">
        <x:v>65</x:v>
      </x:c>
      <x:c r="H2189" s="10" t="n">
        <x:f>IF(F2189="Física",'Pokémon'!G235,IF(F2189="Especial",'Pokémon'!I235,""))</x:f>
        <x:v>120</x:v>
      </x:c>
      <x:c r="I2189" s="10" t="n">
        <x:f>IF(OR(F2189="Status",G2189=0),"",G2189+H2189)</x:f>
        <x:v>185</x:v>
      </x:c>
      <x:c r="J2189" s="10" t="n">
        <x:v>1</x:v>
      </x:c>
      <x:c r="K2189" s="12" t="n">
        <x:v>20</x:v>
      </x:c>
      <x:c r="L2189" s="1" t="str"/>
      <x:c r="M2189" s="9" t="str">
        <x:v>https://poke.idleworld.online/pokepedia/pokemon/donphan</x:v>
      </x:c>
    </x:row>
    <x:row r="2190" ht="22" customHeight="1">
      <x:c r="A2190" s="1" t="n">
        <x:v>232</x:v>
      </x:c>
      <x:c r="B2190" s="1" t="str">
        <x:v>Donphan</x:v>
      </x:c>
      <x:c r="C2190" s="1" t="n">
        <x:v>9</x:v>
      </x:c>
      <x:c r="D2190" s="1" t="str">
        <x:v>Knock Off</x:v>
      </x:c>
      <x:c r="E2190" s="1" t="str">
        <x:v>Sombrio</x:v>
      </x:c>
      <x:c r="F2190" s="1" t="str">
        <x:v>Física</x:v>
      </x:c>
      <x:c r="G2190" s="10" t="n">
        <x:v>65</x:v>
      </x:c>
      <x:c r="H2190" s="10" t="n">
        <x:f>IF(F2190="Física",'Pokémon'!G235,IF(F2190="Especial",'Pokémon'!I235,""))</x:f>
        <x:v>120</x:v>
      </x:c>
      <x:c r="I2190" s="10" t="n">
        <x:f>IF(OR(F2190="Status",G2190=0),"",G2190+H2190)</x:f>
        <x:v>185</x:v>
      </x:c>
      <x:c r="J2190" s="10" t="n">
        <x:v>19</x:v>
      </x:c>
      <x:c r="K2190" s="12" t="n">
        <x:v>20</x:v>
      </x:c>
      <x:c r="L2190" s="1" t="str"/>
      <x:c r="M2190" s="9" t="str">
        <x:v>https://poke.idleworld.online/pokepedia/pokemon/donphan</x:v>
      </x:c>
    </x:row>
    <x:row r="2191" ht="22" customHeight="1">
      <x:c r="A2191" s="1" t="n">
        <x:v>232</x:v>
      </x:c>
      <x:c r="B2191" s="1" t="str">
        <x:v>Donphan</x:v>
      </x:c>
      <x:c r="C2191" s="1" t="n">
        <x:v>2</x:v>
      </x:c>
      <x:c r="D2191" s="1" t="str">
        <x:v>Bulldoze</x:v>
      </x:c>
      <x:c r="E2191" s="1" t="str">
        <x:v>Terrestre</x:v>
      </x:c>
      <x:c r="F2191" s="1" t="str">
        <x:v>Física</x:v>
      </x:c>
      <x:c r="G2191" s="10" t="n">
        <x:v>60</x:v>
      </x:c>
      <x:c r="H2191" s="10" t="n">
        <x:f>IF(F2191="Física",'Pokémon'!G235,IF(F2191="Especial",'Pokémon'!I235,""))</x:f>
        <x:v>120</x:v>
      </x:c>
      <x:c r="I2191" s="10" t="n">
        <x:f>IF(OR(F2191="Status",G2191=0),"",G2191+H2191)</x:f>
        <x:v>180</x:v>
      </x:c>
      <x:c r="J2191" s="10" t="n">
        <x:v>1</x:v>
      </x:c>
      <x:c r="K2191" s="12" t="n">
        <x:v>20</x:v>
      </x:c>
      <x:c r="L2191" s="1" t="str"/>
      <x:c r="M2191" s="9" t="str">
        <x:v>https://poke.idleworld.online/pokepedia/pokemon/donphan</x:v>
      </x:c>
    </x:row>
    <x:row r="2192" ht="22" customHeight="1">
      <x:c r="A2192" s="1" t="n">
        <x:v>232</x:v>
      </x:c>
      <x:c r="B2192" s="1" t="str">
        <x:v>Donphan</x:v>
      </x:c>
      <x:c r="C2192" s="1" t="n">
        <x:v>8</x:v>
      </x:c>
      <x:c r="D2192" s="1" t="str">
        <x:v>Assurance</x:v>
      </x:c>
      <x:c r="E2192" s="1" t="str">
        <x:v>Sombrio</x:v>
      </x:c>
      <x:c r="F2192" s="1" t="str">
        <x:v>Física</x:v>
      </x:c>
      <x:c r="G2192" s="10" t="n">
        <x:v>60</x:v>
      </x:c>
      <x:c r="H2192" s="10" t="n">
        <x:f>IF(F2192="Física",'Pokémon'!G235,IF(F2192="Especial",'Pokémon'!I235,""))</x:f>
        <x:v>120</x:v>
      </x:c>
      <x:c r="I2192" s="10" t="n">
        <x:f>IF(OR(F2192="Status",G2192=0),"",G2192+H2192)</x:f>
        <x:v>180</x:v>
      </x:c>
      <x:c r="J2192" s="10" t="n">
        <x:v>15</x:v>
      </x:c>
      <x:c r="K2192" s="12" t="n">
        <x:v>20</x:v>
      </x:c>
      <x:c r="L2192" s="1" t="str"/>
      <x:c r="M2192" s="9" t="str">
        <x:v>https://poke.idleworld.online/pokepedia/pokemon/donphan</x:v>
      </x:c>
    </x:row>
    <x:row r="2193" ht="22" customHeight="1">
      <x:c r="A2193" s="1" t="n">
        <x:v>232</x:v>
      </x:c>
      <x:c r="B2193" s="1" t="str">
        <x:v>Donphan</x:v>
      </x:c>
      <x:c r="C2193" s="1" t="n">
        <x:v>7</x:v>
      </x:c>
      <x:c r="D2193" s="1" t="str">
        <x:v>Rollout</x:v>
      </x:c>
      <x:c r="E2193" s="1" t="str">
        <x:v>Pedra</x:v>
      </x:c>
      <x:c r="F2193" s="1" t="str">
        <x:v>Física</x:v>
      </x:c>
      <x:c r="G2193" s="10" t="n">
        <x:v>30</x:v>
      </x:c>
      <x:c r="H2193" s="10" t="n">
        <x:f>IF(F2193="Física",'Pokémon'!G235,IF(F2193="Especial",'Pokémon'!I235,""))</x:f>
        <x:v>120</x:v>
      </x:c>
      <x:c r="I2193" s="10" t="n">
        <x:f>IF(OR(F2193="Status",G2193=0),"",G2193+H2193)</x:f>
        <x:v>150</x:v>
      </x:c>
      <x:c r="J2193" s="10" t="n">
        <x:v>10</x:v>
      </x:c>
      <x:c r="K2193" s="12" t="n">
        <x:v>15</x:v>
      </x:c>
      <x:c r="L2193" s="1" t="str"/>
      <x:c r="M2193" s="9" t="str">
        <x:v>https://poke.idleworld.online/pokepedia/pokemon/donphan</x:v>
      </x:c>
    </x:row>
    <x:row r="2194" ht="22" customHeight="1">
      <x:c r="A2194" s="1" t="n">
        <x:v>232</x:v>
      </x:c>
      <x:c r="B2194" s="1" t="str">
        <x:v>Donphan</x:v>
      </x:c>
      <x:c r="C2194" s="1" t="n">
        <x:v>6</x:v>
      </x:c>
      <x:c r="D2194" s="1" t="str">
        <x:v>Rapid Spin</x:v>
      </x:c>
      <x:c r="E2194" s="1" t="str">
        <x:v>Normal</x:v>
      </x:c>
      <x:c r="F2194" s="1" t="str">
        <x:v>Física</x:v>
      </x:c>
      <x:c r="G2194" s="10" t="n">
        <x:v>20</x:v>
      </x:c>
      <x:c r="H2194" s="10" t="n">
        <x:f>IF(F2194="Física",'Pokémon'!G235,IF(F2194="Especial",'Pokémon'!I235,""))</x:f>
        <x:v>120</x:v>
      </x:c>
      <x:c r="I2194" s="10" t="n">
        <x:f>IF(OR(F2194="Status",G2194=0),"",G2194+H2194)</x:f>
        <x:v>140</x:v>
      </x:c>
      <x:c r="J2194" s="10" t="n">
        <x:v>6</x:v>
      </x:c>
      <x:c r="K2194" s="12" t="n">
        <x:v>15</x:v>
      </x:c>
      <x:c r="L2194" s="1" t="str"/>
      <x:c r="M2194" s="9" t="str">
        <x:v>https://poke.idleworld.online/pokepedia/pokemon/donphan</x:v>
      </x:c>
    </x:row>
    <x:row r="2195" ht="22" customHeight="1">
      <x:c r="A2195" s="1" t="n">
        <x:v>232</x:v>
      </x:c>
      <x:c r="B2195" s="1" t="str">
        <x:v>Donphan</x:v>
      </x:c>
      <x:c r="C2195" s="1" t="n">
        <x:v>11</x:v>
      </x:c>
      <x:c r="D2195" s="1" t="str">
        <x:v>Fury Attack</x:v>
      </x:c>
      <x:c r="E2195" s="1" t="str">
        <x:v>Normal</x:v>
      </x:c>
      <x:c r="F2195" s="1" t="str">
        <x:v>Física</x:v>
      </x:c>
      <x:c r="G2195" s="10" t="n">
        <x:v>15</x:v>
      </x:c>
      <x:c r="H2195" s="10" t="n">
        <x:f>IF(F2195="Física",'Pokémon'!G235,IF(F2195="Especial",'Pokémon'!I235,""))</x:f>
        <x:v>120</x:v>
      </x:c>
      <x:c r="I2195" s="10" t="n">
        <x:f>IF(OR(F2195="Status",G2195=0),"",G2195+H2195)</x:f>
        <x:v>135</x:v>
      </x:c>
      <x:c r="J2195" s="10" t="n">
        <x:v>25</x:v>
      </x:c>
      <x:c r="K2195" s="12" t="n">
        <x:v>15</x:v>
      </x:c>
      <x:c r="L2195" s="1" t="str"/>
      <x:c r="M2195" s="9" t="str">
        <x:v>https://poke.idleworld.online/pokepedia/pokemon/donphan</x:v>
      </x:c>
    </x:row>
    <x:row r="2196" ht="22" customHeight="1">
      <x:c r="A2196" s="1" t="n">
        <x:v>233</x:v>
      </x:c>
      <x:c r="B2196" s="1" t="str">
        <x:v>Porygon2</x:v>
      </x:c>
      <x:c r="C2196" s="1" t="n">
        <x:v>7</x:v>
      </x:c>
      <x:c r="D2196" s="1" t="str">
        <x:v>Hyper Beam</x:v>
      </x:c>
      <x:c r="E2196" s="1" t="str">
        <x:v>Normal</x:v>
      </x:c>
      <x:c r="F2196" s="1" t="str">
        <x:v>Especial</x:v>
      </x:c>
      <x:c r="G2196" s="10" t="n">
        <x:v>150</x:v>
      </x:c>
      <x:c r="H2196" s="10" t="n">
        <x:f>IF(F2196="Física",'Pokémon'!G236,IF(F2196="Especial",'Pokémon'!I236,""))</x:f>
        <x:v>105</x:v>
      </x:c>
      <x:c r="I2196" s="10" t="n">
        <x:f>IF(OR(F2196="Status",G2196=0),"",G2196+H2196)</x:f>
        <x:v>255</x:v>
      </x:c>
      <x:c r="J2196" s="10" t="n">
        <x:v>67</x:v>
      </x:c>
      <x:c r="K2196" s="12" t="n">
        <x:v>50</x:v>
      </x:c>
      <x:c r="L2196" s="1" t="str"/>
      <x:c r="M2196" s="9" t="str">
        <x:v>https://poke.idleworld.online/pokepedia/pokemon/porygon2</x:v>
      </x:c>
    </x:row>
    <x:row r="2197" ht="22" customHeight="1">
      <x:c r="A2197" s="1" t="n">
        <x:v>233</x:v>
      </x:c>
      <x:c r="B2197" s="1" t="str">
        <x:v>Porygon2</x:v>
      </x:c>
      <x:c r="C2197" s="1" t="n">
        <x:v>2</x:v>
      </x:c>
      <x:c r="D2197" s="1" t="str">
        <x:v>Zap Cannon</x:v>
      </x:c>
      <x:c r="E2197" s="1" t="str">
        <x:v>Elétrico</x:v>
      </x:c>
      <x:c r="F2197" s="1" t="str">
        <x:v>Especial</x:v>
      </x:c>
      <x:c r="G2197" s="10" t="n">
        <x:v>120</x:v>
      </x:c>
      <x:c r="H2197" s="10" t="n">
        <x:f>IF(F2197="Física",'Pokémon'!G236,IF(F2197="Especial",'Pokémon'!I236,""))</x:f>
        <x:v>105</x:v>
      </x:c>
      <x:c r="I2197" s="10" t="n">
        <x:f>IF(OR(F2197="Status",G2197=0),"",G2197+H2197)</x:f>
        <x:v>225</x:v>
      </x:c>
      <x:c r="J2197" s="10" t="n">
        <x:v>1</x:v>
      </x:c>
      <x:c r="K2197" s="12" t="n">
        <x:v>50</x:v>
      </x:c>
      <x:c r="L2197" s="1" t="str"/>
      <x:c r="M2197" s="9" t="str">
        <x:v>https://poke.idleworld.online/pokepedia/pokemon/porygon2</x:v>
      </x:c>
    </x:row>
    <x:row r="2198" ht="22" customHeight="1">
      <x:c r="A2198" s="1" t="n">
        <x:v>233</x:v>
      </x:c>
      <x:c r="B2198" s="1" t="str">
        <x:v>Porygon2</x:v>
      </x:c>
      <x:c r="C2198" s="1" t="n">
        <x:v>5</x:v>
      </x:c>
      <x:c r="D2198" s="1" t="str">
        <x:v>Discharge</x:v>
      </x:c>
      <x:c r="E2198" s="1" t="str">
        <x:v>Elétrico</x:v>
      </x:c>
      <x:c r="F2198" s="1" t="str">
        <x:v>Especial</x:v>
      </x:c>
      <x:c r="G2198" s="10" t="n">
        <x:v>80</x:v>
      </x:c>
      <x:c r="H2198" s="10" t="n">
        <x:f>IF(F2198="Física",'Pokémon'!G236,IF(F2198="Especial",'Pokémon'!I236,""))</x:f>
        <x:v>105</x:v>
      </x:c>
      <x:c r="I2198" s="10" t="n">
        <x:f>IF(OR(F2198="Status",G2198=0),"",G2198+H2198)</x:f>
        <x:v>185</x:v>
      </x:c>
      <x:c r="J2198" s="10" t="n">
        <x:v>40</x:v>
      </x:c>
      <x:c r="K2198" s="12" t="n">
        <x:v>22</x:v>
      </x:c>
      <x:c r="L2198" s="1" t="str"/>
      <x:c r="M2198" s="9" t="str">
        <x:v>https://poke.idleworld.online/pokepedia/pokemon/porygon2</x:v>
      </x:c>
    </x:row>
    <x:row r="2199" ht="22" customHeight="1">
      <x:c r="A2199" s="1" t="n">
        <x:v>233</x:v>
      </x:c>
      <x:c r="B2199" s="1" t="str">
        <x:v>Porygon2</x:v>
      </x:c>
      <x:c r="C2199" s="1" t="n">
        <x:v>6</x:v>
      </x:c>
      <x:c r="D2199" s="1" t="str">
        <x:v>Tri Attack</x:v>
      </x:c>
      <x:c r="E2199" s="1" t="str">
        <x:v>Normal</x:v>
      </x:c>
      <x:c r="F2199" s="1" t="str">
        <x:v>Especial</x:v>
      </x:c>
      <x:c r="G2199" s="10" t="n">
        <x:v>80</x:v>
      </x:c>
      <x:c r="H2199" s="10" t="n">
        <x:f>IF(F2199="Física",'Pokémon'!G236,IF(F2199="Especial",'Pokémon'!I236,""))</x:f>
        <x:v>105</x:v>
      </x:c>
      <x:c r="I2199" s="10" t="n">
        <x:f>IF(OR(F2199="Status",G2199=0),"",G2199+H2199)</x:f>
        <x:v>185</x:v>
      </x:c>
      <x:c r="J2199" s="10" t="n">
        <x:v>50</x:v>
      </x:c>
      <x:c r="K2199" s="12" t="n">
        <x:v>22</x:v>
      </x:c>
      <x:c r="L2199" s="1" t="str"/>
      <x:c r="M2199" s="9" t="str">
        <x:v>https://poke.idleworld.online/pokepedia/pokemon/porygon2</x:v>
      </x:c>
    </x:row>
    <x:row r="2200" ht="22" customHeight="1">
      <x:c r="A2200" s="1" t="n">
        <x:v>233</x:v>
      </x:c>
      <x:c r="B2200" s="1" t="str">
        <x:v>Porygon2</x:v>
      </x:c>
      <x:c r="C2200" s="1" t="n">
        <x:v>4</x:v>
      </x:c>
      <x:c r="D2200" s="1" t="str">
        <x:v>Signal Beam</x:v>
      </x:c>
      <x:c r="E2200" s="1" t="str">
        <x:v>Inseto</x:v>
      </x:c>
      <x:c r="F2200" s="1" t="str">
        <x:v>Especial</x:v>
      </x:c>
      <x:c r="G2200" s="10" t="n">
        <x:v>75</x:v>
      </x:c>
      <x:c r="H2200" s="10" t="n">
        <x:f>IF(F2200="Física",'Pokémon'!G236,IF(F2200="Especial",'Pokémon'!I236,""))</x:f>
        <x:v>105</x:v>
      </x:c>
      <x:c r="I2200" s="10" t="n">
        <x:f>IF(OR(F2200="Status",G2200=0),"",G2200+H2200)</x:f>
        <x:v>180</x:v>
      </x:c>
      <x:c r="J2200" s="10" t="n">
        <x:v>29</x:v>
      </x:c>
      <x:c r="K2200" s="12" t="n">
        <x:v>22</x:v>
      </x:c>
      <x:c r="L2200" s="1" t="str"/>
      <x:c r="M2200" s="9" t="str">
        <x:v>https://poke.idleworld.online/pokepedia/pokemon/porygon2</x:v>
      </x:c>
    </x:row>
    <x:row r="2201" ht="22" customHeight="1">
      <x:c r="A2201" s="1" t="n">
        <x:v>233</x:v>
      </x:c>
      <x:c r="B2201" s="1" t="str">
        <x:v>Porygon2</x:v>
      </x:c>
      <x:c r="C2201" s="1" t="n">
        <x:v>3</x:v>
      </x:c>
      <x:c r="D2201" s="1" t="str">
        <x:v>Psybeam</x:v>
      </x:c>
      <x:c r="E2201" s="1" t="str">
        <x:v>Psíquico</x:v>
      </x:c>
      <x:c r="F2201" s="1" t="str">
        <x:v>Especial</x:v>
      </x:c>
      <x:c r="G2201" s="10" t="n">
        <x:v>65</x:v>
      </x:c>
      <x:c r="H2201" s="10" t="n">
        <x:f>IF(F2201="Física",'Pokémon'!G236,IF(F2201="Especial",'Pokémon'!I236,""))</x:f>
        <x:v>105</x:v>
      </x:c>
      <x:c r="I2201" s="10" t="n">
        <x:f>IF(OR(F2201="Status",G2201=0),"",G2201+H2201)</x:f>
        <x:v>170</x:v>
      </x:c>
      <x:c r="J2201" s="10" t="n">
        <x:v>7</x:v>
      </x:c>
      <x:c r="K2201" s="12" t="n">
        <x:v>20</x:v>
      </x:c>
      <x:c r="L2201" s="1" t="str"/>
      <x:c r="M2201" s="9" t="str">
        <x:v>https://poke.idleworld.online/pokepedia/pokemon/porygon2</x:v>
      </x:c>
    </x:row>
    <x:row r="2202" ht="22" customHeight="1">
      <x:c r="A2202" s="1" t="n">
        <x:v>233</x:v>
      </x:c>
      <x:c r="B2202" s="1" t="str">
        <x:v>Porygon2</x:v>
      </x:c>
      <x:c r="C2202" s="1" t="n">
        <x:v>1</x:v>
      </x:c>
      <x:c r="D2202" s="1" t="str">
        <x:v>Tackle</x:v>
      </x:c>
      <x:c r="E2202" s="1" t="str">
        <x:v>Normal</x:v>
      </x:c>
      <x:c r="F2202" s="1" t="str">
        <x:v>Física</x:v>
      </x:c>
      <x:c r="G2202" s="10" t="n">
        <x:v>50</x:v>
      </x:c>
      <x:c r="H2202" s="10" t="n">
        <x:f>IF(F2202="Física",'Pokémon'!G236,IF(F2202="Especial",'Pokémon'!I236,""))</x:f>
        <x:v>80</x:v>
      </x:c>
      <x:c r="I2202" s="10" t="n">
        <x:f>IF(OR(F2202="Status",G2202=0),"",G2202+H2202)</x:f>
        <x:v>130</x:v>
      </x:c>
      <x:c r="J2202" s="10" t="n">
        <x:v>1</x:v>
      </x:c>
      <x:c r="K2202" s="12" t="n">
        <x:v>15</x:v>
      </x:c>
      <x:c r="L2202" s="1" t="str"/>
      <x:c r="M2202" s="9" t="str">
        <x:v>https://poke.idleworld.online/pokepedia/pokemon/porygon2</x:v>
      </x:c>
    </x:row>
    <x:row r="2203" ht="22" customHeight="1">
      <x:c r="A2203" s="1" t="n">
        <x:v>234</x:v>
      </x:c>
      <x:c r="B2203" s="1" t="str">
        <x:v>Stantler</x:v>
      </x:c>
      <x:c r="C2203" s="1" t="n">
        <x:v>6</x:v>
      </x:c>
      <x:c r="D2203" s="1" t="str">
        <x:v>Jump Kick</x:v>
      </x:c>
      <x:c r="E2203" s="1" t="str">
        <x:v>Lutador</x:v>
      </x:c>
      <x:c r="F2203" s="1" t="str">
        <x:v>Física</x:v>
      </x:c>
      <x:c r="G2203" s="10" t="n">
        <x:v>100</x:v>
      </x:c>
      <x:c r="H2203" s="10" t="n">
        <x:f>IF(F2203="Física",'Pokémon'!G237,IF(F2203="Especial",'Pokémon'!I237,""))</x:f>
        <x:v>95</x:v>
      </x:c>
      <x:c r="I2203" s="10" t="n">
        <x:f>IF(OR(F2203="Status",G2203=0),"",G2203+H2203)</x:f>
        <x:v>195</x:v>
      </x:c>
      <x:c r="J2203" s="10" t="n">
        <x:v>43</x:v>
      </x:c>
      <x:c r="K2203" s="12" t="n">
        <x:v>40</x:v>
      </x:c>
      <x:c r="L2203" s="1" t="str"/>
      <x:c r="M2203" s="9" t="str">
        <x:v>https://poke.idleworld.online/pokepedia/pokemon/stantler</x:v>
      </x:c>
    </x:row>
    <x:row r="2204" ht="22" customHeight="1">
      <x:c r="A2204" s="1" t="n">
        <x:v>234</x:v>
      </x:c>
      <x:c r="B2204" s="1" t="str">
        <x:v>Stantler</x:v>
      </x:c>
      <x:c r="C2204" s="1" t="n">
        <x:v>4</x:v>
      </x:c>
      <x:c r="D2204" s="1" t="str">
        <x:v>Take Down</x:v>
      </x:c>
      <x:c r="E2204" s="1" t="str">
        <x:v>Normal</x:v>
      </x:c>
      <x:c r="F2204" s="1" t="str">
        <x:v>Física</x:v>
      </x:c>
      <x:c r="G2204" s="10" t="n">
        <x:v>90</x:v>
      </x:c>
      <x:c r="H2204" s="10" t="n">
        <x:f>IF(F2204="Física",'Pokémon'!G237,IF(F2204="Especial",'Pokémon'!I237,""))</x:f>
        <x:v>95</x:v>
      </x:c>
      <x:c r="I2204" s="10" t="n">
        <x:f>IF(OR(F2204="Status",G2204=0),"",G2204+H2204)</x:f>
        <x:v>185</x:v>
      </x:c>
      <x:c r="J2204" s="10" t="n">
        <x:v>21</x:v>
      </x:c>
      <x:c r="K2204" s="12" t="n">
        <x:v>22</x:v>
      </x:c>
      <x:c r="L2204" s="1" t="str"/>
      <x:c r="M2204" s="9" t="str">
        <x:v>https://poke.idleworld.online/pokepedia/pokemon/stantler</x:v>
      </x:c>
    </x:row>
    <x:row r="2205" ht="22" customHeight="1">
      <x:c r="A2205" s="1" t="n">
        <x:v>234</x:v>
      </x:c>
      <x:c r="B2205" s="1" t="str">
        <x:v>Stantler</x:v>
      </x:c>
      <x:c r="C2205" s="1" t="n">
        <x:v>5</x:v>
      </x:c>
      <x:c r="D2205" s="1" t="str">
        <x:v>Zen Headbutt</x:v>
      </x:c>
      <x:c r="E2205" s="1" t="str">
        <x:v>Psíquico</x:v>
      </x:c>
      <x:c r="F2205" s="1" t="str">
        <x:v>Física</x:v>
      </x:c>
      <x:c r="G2205" s="10" t="n">
        <x:v>80</x:v>
      </x:c>
      <x:c r="H2205" s="10" t="n">
        <x:f>IF(F2205="Física",'Pokémon'!G237,IF(F2205="Especial",'Pokémon'!I237,""))</x:f>
        <x:v>95</x:v>
      </x:c>
      <x:c r="I2205" s="10" t="n">
        <x:f>IF(OR(F2205="Status",G2205=0),"",G2205+H2205)</x:f>
        <x:v>175</x:v>
      </x:c>
      <x:c r="J2205" s="10" t="n">
        <x:v>38</x:v>
      </x:c>
      <x:c r="K2205" s="12" t="n">
        <x:v>22</x:v>
      </x:c>
      <x:c r="L2205" s="1" t="str"/>
      <x:c r="M2205" s="9" t="str">
        <x:v>https://poke.idleworld.online/pokepedia/pokemon/stantler</x:v>
      </x:c>
    </x:row>
    <x:row r="2206" ht="22" customHeight="1">
      <x:c r="A2206" s="1" t="n">
        <x:v>234</x:v>
      </x:c>
      <x:c r="B2206" s="1" t="str">
        <x:v>Stantler</x:v>
      </x:c>
      <x:c r="C2206" s="1" t="n">
        <x:v>3</x:v>
      </x:c>
      <x:c r="D2206" s="1" t="str">
        <x:v>Stomp</x:v>
      </x:c>
      <x:c r="E2206" s="1" t="str">
        <x:v>Normal</x:v>
      </x:c>
      <x:c r="F2206" s="1" t="str">
        <x:v>Física</x:v>
      </x:c>
      <x:c r="G2206" s="10" t="n">
        <x:v>65</x:v>
      </x:c>
      <x:c r="H2206" s="10" t="n">
        <x:f>IF(F2206="Física",'Pokémon'!G237,IF(F2206="Especial",'Pokémon'!I237,""))</x:f>
        <x:v>95</x:v>
      </x:c>
      <x:c r="I2206" s="10" t="n">
        <x:f>IF(OR(F2206="Status",G2206=0),"",G2206+H2206)</x:f>
        <x:v>160</x:v>
      </x:c>
      <x:c r="J2206" s="10" t="n">
        <x:v>13</x:v>
      </x:c>
      <x:c r="K2206" s="12" t="n">
        <x:v>30</x:v>
      </x:c>
      <x:c r="L2206" s="1" t="str"/>
      <x:c r="M2206" s="9" t="str">
        <x:v>https://poke.idleworld.online/pokepedia/pokemon/stantler</x:v>
      </x:c>
    </x:row>
    <x:row r="2207" ht="22" customHeight="1">
      <x:c r="A2207" s="1" t="n">
        <x:v>234</x:v>
      </x:c>
      <x:c r="B2207" s="1" t="str">
        <x:v>Stantler</x:v>
      </x:c>
      <x:c r="C2207" s="1" t="n">
        <x:v>1</x:v>
      </x:c>
      <x:c r="D2207" s="1" t="str">
        <x:v>Tackle</x:v>
      </x:c>
      <x:c r="E2207" s="1" t="str">
        <x:v>Normal</x:v>
      </x:c>
      <x:c r="F2207" s="1" t="str">
        <x:v>Física</x:v>
      </x:c>
      <x:c r="G2207" s="10" t="n">
        <x:v>50</x:v>
      </x:c>
      <x:c r="H2207" s="10" t="n">
        <x:f>IF(F2207="Física",'Pokémon'!G237,IF(F2207="Especial",'Pokémon'!I237,""))</x:f>
        <x:v>95</x:v>
      </x:c>
      <x:c r="I2207" s="10" t="n">
        <x:f>IF(OR(F2207="Status",G2207=0),"",G2207+H2207)</x:f>
        <x:v>145</x:v>
      </x:c>
      <x:c r="J2207" s="10" t="n">
        <x:v>1</x:v>
      </x:c>
      <x:c r="K2207" s="12" t="n">
        <x:v>15</x:v>
      </x:c>
      <x:c r="L2207" s="1" t="str"/>
      <x:c r="M2207" s="9" t="str">
        <x:v>https://poke.idleworld.online/pokepedia/pokemon/stantler</x:v>
      </x:c>
    </x:row>
    <x:row r="2208" ht="22" customHeight="1">
      <x:c r="A2208" s="1" t="n">
        <x:v>234</x:v>
      </x:c>
      <x:c r="B2208" s="1" t="str">
        <x:v>Stantler</x:v>
      </x:c>
      <x:c r="C2208" s="1" t="n">
        <x:v>2</x:v>
      </x:c>
      <x:c r="D2208" s="1" t="str">
        <x:v>Astonish</x:v>
      </x:c>
      <x:c r="E2208" s="1" t="str">
        <x:v>Fantasma</x:v>
      </x:c>
      <x:c r="F2208" s="1" t="str">
        <x:v>Física</x:v>
      </x:c>
      <x:c r="G2208" s="10" t="n">
        <x:v>30</x:v>
      </x:c>
      <x:c r="H2208" s="10" t="n">
        <x:f>IF(F2208="Física",'Pokémon'!G237,IF(F2208="Especial",'Pokémon'!I237,""))</x:f>
        <x:v>95</x:v>
      </x:c>
      <x:c r="I2208" s="10" t="n">
        <x:f>IF(OR(F2208="Status",G2208=0),"",G2208+H2208)</x:f>
        <x:v>125</x:v>
      </x:c>
      <x:c r="J2208" s="10" t="n">
        <x:v>7</x:v>
      </x:c>
      <x:c r="K2208" s="12" t="n">
        <x:v>15</x:v>
      </x:c>
      <x:c r="L2208" s="1" t="str"/>
      <x:c r="M2208" s="9" t="str">
        <x:v>https://poke.idleworld.online/pokepedia/pokemon/stantler</x:v>
      </x:c>
    </x:row>
    <x:row r="2209" ht="22" customHeight="1">
      <x:c r="A2209" s="1" t="n">
        <x:v>236</x:v>
      </x:c>
      <x:c r="B2209" s="1" t="str">
        <x:v>Tyrogue</x:v>
      </x:c>
      <x:c r="C2209" s="1" t="n">
        <x:v>1</x:v>
      </x:c>
      <x:c r="D2209" s="1" t="str">
        <x:v>Tackle</x:v>
      </x:c>
      <x:c r="E2209" s="1" t="str">
        <x:v>Normal</x:v>
      </x:c>
      <x:c r="F2209" s="1" t="str">
        <x:v>Física</x:v>
      </x:c>
      <x:c r="G2209" s="10" t="n">
        <x:v>50</x:v>
      </x:c>
      <x:c r="H2209" s="10" t="n">
        <x:f>IF(F2209="Física",'Pokémon'!G239,IF(F2209="Especial",'Pokémon'!I239,""))</x:f>
        <x:v>35</x:v>
      </x:c>
      <x:c r="I2209" s="10" t="n">
        <x:f>IF(OR(F2209="Status",G2209=0),"",G2209+H2209)</x:f>
        <x:v>85</x:v>
      </x:c>
      <x:c r="J2209" s="10" t="n">
        <x:v>1</x:v>
      </x:c>
      <x:c r="K2209" s="12" t="n">
        <x:v>15</x:v>
      </x:c>
      <x:c r="L2209" s="1" t="str"/>
      <x:c r="M2209" s="9" t="str">
        <x:v>https://poke.idleworld.online/pokepedia/pokemon/tyrogue</x:v>
      </x:c>
    </x:row>
    <x:row r="2210" ht="22" customHeight="1">
      <x:c r="A2210" s="1" t="n">
        <x:v>236</x:v>
      </x:c>
      <x:c r="B2210" s="1" t="str">
        <x:v>Tyrogue</x:v>
      </x:c>
      <x:c r="C2210" s="1" t="n">
        <x:v>2</x:v>
      </x:c>
      <x:c r="D2210" s="1" t="str">
        <x:v>Fake Out</x:v>
      </x:c>
      <x:c r="E2210" s="1" t="str">
        <x:v>Normal</x:v>
      </x:c>
      <x:c r="F2210" s="1" t="str">
        <x:v>Física</x:v>
      </x:c>
      <x:c r="G2210" s="10" t="n">
        <x:v>40</x:v>
      </x:c>
      <x:c r="H2210" s="10" t="n">
        <x:f>IF(F2210="Física",'Pokémon'!G239,IF(F2210="Especial",'Pokémon'!I239,""))</x:f>
        <x:v>35</x:v>
      </x:c>
      <x:c r="I2210" s="10" t="n">
        <x:f>IF(OR(F2210="Status",G2210=0),"",G2210+H2210)</x:f>
        <x:v>75</x:v>
      </x:c>
      <x:c r="J2210" s="10" t="n">
        <x:v>1</x:v>
      </x:c>
      <x:c r="K2210" s="12" t="n">
        <x:v>15</x:v>
      </x:c>
      <x:c r="L2210" s="1" t="str"/>
      <x:c r="M2210" s="9" t="str">
        <x:v>https://poke.idleworld.online/pokepedia/pokemon/tyrogue</x:v>
      </x:c>
    </x:row>
    <x:row r="2211" ht="22" customHeight="1">
      <x:c r="A2211" s="1" t="n">
        <x:v>237</x:v>
      </x:c>
      <x:c r="B2211" s="1" t="str">
        <x:v>Hitmontop</x:v>
      </x:c>
      <x:c r="C2211" s="1" t="n">
        <x:v>2</x:v>
      </x:c>
      <x:c r="D2211" s="1" t="str">
        <x:v>Meteor Fists</x:v>
      </x:c>
      <x:c r="E2211" s="1" t="str">
        <x:v>Lutador</x:v>
      </x:c>
      <x:c r="F2211" s="1" t="str">
        <x:v>Física</x:v>
      </x:c>
      <x:c r="G2211" s="10" t="n">
        <x:v>300</x:v>
      </x:c>
      <x:c r="H2211" s="10" t="n">
        <x:f>IF(F2211="Física",'Pokémon'!G240,IF(F2211="Especial",'Pokémon'!I240,""))</x:f>
        <x:v>95</x:v>
      </x:c>
      <x:c r="I2211" s="10" t="n">
        <x:f>IF(OR(F2211="Status",G2211=0),"",G2211+H2211)</x:f>
        <x:v>395</x:v>
      </x:c>
      <x:c r="J2211" s="10" t="n">
        <x:v>1</x:v>
      </x:c>
      <x:c r="K2211" s="12" t="n">
        <x:v>10</x:v>
      </x:c>
      <x:c r="L2211" s="1" t="str">
        <x:v>Sim</x:v>
      </x:c>
      <x:c r="M2211" s="9" t="str">
        <x:v>https://poke.idleworld.online/pokepedia/pokemon/hitmontop</x:v>
      </x:c>
    </x:row>
    <x:row r="2212" ht="22" customHeight="1">
      <x:c r="A2212" s="1" t="n">
        <x:v>237</x:v>
      </x:c>
      <x:c r="B2212" s="1" t="str">
        <x:v>Hitmontop</x:v>
      </x:c>
      <x:c r="C2212" s="1" t="n">
        <x:v>1</x:v>
      </x:c>
      <x:c r="D2212" s="1" t="str">
        <x:v>Close Combat</x:v>
      </x:c>
      <x:c r="E2212" s="1" t="str">
        <x:v>Lutador</x:v>
      </x:c>
      <x:c r="F2212" s="1" t="str">
        <x:v>Física</x:v>
      </x:c>
      <x:c r="G2212" s="10" t="n">
        <x:v>120</x:v>
      </x:c>
      <x:c r="H2212" s="10" t="n">
        <x:f>IF(F2212="Física",'Pokémon'!G240,IF(F2212="Especial",'Pokémon'!I240,""))</x:f>
        <x:v>95</x:v>
      </x:c>
      <x:c r="I2212" s="10" t="n">
        <x:f>IF(OR(F2212="Status",G2212=0),"",G2212+H2212)</x:f>
        <x:v>215</x:v>
      </x:c>
      <x:c r="J2212" s="10" t="n">
        <x:v>1</x:v>
      </x:c>
      <x:c r="K2212" s="12" t="n">
        <x:v>22</x:v>
      </x:c>
      <x:c r="L2212" s="1" t="str"/>
      <x:c r="M2212" s="9" t="str">
        <x:v>https://poke.idleworld.online/pokepedia/pokemon/hitmontop</x:v>
      </x:c>
    </x:row>
    <x:row r="2213" ht="22" customHeight="1">
      <x:c r="A2213" s="1" t="n">
        <x:v>237</x:v>
      </x:c>
      <x:c r="B2213" s="1" t="str">
        <x:v>Hitmontop</x:v>
      </x:c>
      <x:c r="C2213" s="1" t="n">
        <x:v>3</x:v>
      </x:c>
      <x:c r="D2213" s="1" t="str">
        <x:v>Rolling Kick</x:v>
      </x:c>
      <x:c r="E2213" s="1" t="str">
        <x:v>Lutador</x:v>
      </x:c>
      <x:c r="F2213" s="1" t="str">
        <x:v>Física</x:v>
      </x:c>
      <x:c r="G2213" s="10" t="n">
        <x:v>60</x:v>
      </x:c>
      <x:c r="H2213" s="10" t="n">
        <x:f>IF(F2213="Física",'Pokémon'!G240,IF(F2213="Especial",'Pokémon'!I240,""))</x:f>
        <x:v>95</x:v>
      </x:c>
      <x:c r="I2213" s="10" t="n">
        <x:f>IF(OR(F2213="Status",G2213=0),"",G2213+H2213)</x:f>
        <x:v>155</x:v>
      </x:c>
      <x:c r="J2213" s="10" t="n">
        <x:v>1</x:v>
      </x:c>
      <x:c r="K2213" s="12" t="n">
        <x:v>20</x:v>
      </x:c>
      <x:c r="L2213" s="1" t="str"/>
      <x:c r="M2213" s="9" t="str">
        <x:v>https://poke.idleworld.online/pokepedia/pokemon/hitmontop</x:v>
      </x:c>
    </x:row>
    <x:row r="2214" ht="22" customHeight="1">
      <x:c r="A2214" s="1" t="n">
        <x:v>237</x:v>
      </x:c>
      <x:c r="B2214" s="1" t="str">
        <x:v>Hitmontop</x:v>
      </x:c>
      <x:c r="C2214" s="1" t="n">
        <x:v>4</x:v>
      </x:c>
      <x:c r="D2214" s="1" t="str">
        <x:v>Revenge</x:v>
      </x:c>
      <x:c r="E2214" s="1" t="str">
        <x:v>Lutador</x:v>
      </x:c>
      <x:c r="F2214" s="1" t="str">
        <x:v>Física</x:v>
      </x:c>
      <x:c r="G2214" s="10" t="n">
        <x:v>60</x:v>
      </x:c>
      <x:c r="H2214" s="10" t="n">
        <x:f>IF(F2214="Física",'Pokémon'!G240,IF(F2214="Especial",'Pokémon'!I240,""))</x:f>
        <x:v>95</x:v>
      </x:c>
      <x:c r="I2214" s="10" t="n">
        <x:f>IF(OR(F2214="Status",G2214=0),"",G2214+H2214)</x:f>
        <x:v>155</x:v>
      </x:c>
      <x:c r="J2214" s="10" t="n">
        <x:v>1</x:v>
      </x:c>
      <x:c r="K2214" s="12" t="n">
        <x:v>20</x:v>
      </x:c>
      <x:c r="L2214" s="1" t="str"/>
      <x:c r="M2214" s="9" t="str">
        <x:v>https://poke.idleworld.online/pokepedia/pokemon/hitmontop</x:v>
      </x:c>
    </x:row>
    <x:row r="2215" ht="22" customHeight="1">
      <x:c r="A2215" s="1" t="n">
        <x:v>237</x:v>
      </x:c>
      <x:c r="B2215" s="1" t="str">
        <x:v>Hitmontop</x:v>
      </x:c>
      <x:c r="C2215" s="1" t="n">
        <x:v>5</x:v>
      </x:c>
      <x:c r="D2215" s="1" t="str">
        <x:v>Pursuit</x:v>
      </x:c>
      <x:c r="E2215" s="1" t="str">
        <x:v>Sombrio</x:v>
      </x:c>
      <x:c r="F2215" s="1" t="str">
        <x:v>Física</x:v>
      </x:c>
      <x:c r="G2215" s="10" t="n">
        <x:v>40</x:v>
      </x:c>
      <x:c r="H2215" s="10" t="n">
        <x:f>IF(F2215="Física",'Pokémon'!G240,IF(F2215="Especial",'Pokémon'!I240,""))</x:f>
        <x:v>95</x:v>
      </x:c>
      <x:c r="I2215" s="10" t="n">
        <x:f>IF(OR(F2215="Status",G2215=0),"",G2215+H2215)</x:f>
        <x:v>135</x:v>
      </x:c>
      <x:c r="J2215" s="10" t="n">
        <x:v>10</x:v>
      </x:c>
      <x:c r="K2215" s="12" t="n">
        <x:v>15</x:v>
      </x:c>
      <x:c r="L2215" s="1" t="str"/>
      <x:c r="M2215" s="9" t="str">
        <x:v>https://poke.idleworld.online/pokepedia/pokemon/hitmontop</x:v>
      </x:c>
    </x:row>
    <x:row r="2216" ht="22" customHeight="1">
      <x:c r="A2216" s="1" t="n">
        <x:v>237</x:v>
      </x:c>
      <x:c r="B2216" s="1" t="str">
        <x:v>Hitmontop</x:v>
      </x:c>
      <x:c r="C2216" s="1" t="n">
        <x:v>6</x:v>
      </x:c>
      <x:c r="D2216" s="1" t="str">
        <x:v>Quick Attack</x:v>
      </x:c>
      <x:c r="E2216" s="1" t="str">
        <x:v>Normal</x:v>
      </x:c>
      <x:c r="F2216" s="1" t="str">
        <x:v>Física</x:v>
      </x:c>
      <x:c r="G2216" s="10" t="n">
        <x:v>40</x:v>
      </x:c>
      <x:c r="H2216" s="10" t="n">
        <x:f>IF(F2216="Física",'Pokémon'!G240,IF(F2216="Especial",'Pokémon'!I240,""))</x:f>
        <x:v>95</x:v>
      </x:c>
      <x:c r="I2216" s="10" t="n">
        <x:f>IF(OR(F2216="Status",G2216=0),"",G2216+H2216)</x:f>
        <x:v>135</x:v>
      </x:c>
      <x:c r="J2216" s="10" t="n">
        <x:v>15</x:v>
      </x:c>
      <x:c r="K2216" s="12" t="n">
        <x:v>15</x:v>
      </x:c>
      <x:c r="L2216" s="1" t="str"/>
      <x:c r="M2216" s="9" t="str">
        <x:v>https://poke.idleworld.online/pokepedia/pokemon/hitmontop</x:v>
      </x:c>
    </x:row>
    <x:row r="2217" ht="22" customHeight="1">
      <x:c r="A2217" s="1" t="n">
        <x:v>237</x:v>
      </x:c>
      <x:c r="B2217" s="1" t="str">
        <x:v>Hitmontop</x:v>
      </x:c>
      <x:c r="C2217" s="1" t="n">
        <x:v>9</x:v>
      </x:c>
      <x:c r="D2217" s="1" t="str">
        <x:v>Feint</x:v>
      </x:c>
      <x:c r="E2217" s="1" t="str">
        <x:v>Normal</x:v>
      </x:c>
      <x:c r="F2217" s="1" t="str">
        <x:v>Física</x:v>
      </x:c>
      <x:c r="G2217" s="10" t="n">
        <x:v>30</x:v>
      </x:c>
      <x:c r="H2217" s="10" t="n">
        <x:f>IF(F2217="Física",'Pokémon'!G240,IF(F2217="Especial",'Pokémon'!I240,""))</x:f>
        <x:v>95</x:v>
      </x:c>
      <x:c r="I2217" s="10" t="n">
        <x:f>IF(OR(F2217="Status",G2217=0),"",G2217+H2217)</x:f>
        <x:v>125</x:v>
      </x:c>
      <x:c r="J2217" s="10" t="n">
        <x:v>33</x:v>
      </x:c>
      <x:c r="K2217" s="12" t="n">
        <x:v>15</x:v>
      </x:c>
      <x:c r="L2217" s="1" t="str"/>
      <x:c r="M2217" s="9" t="str">
        <x:v>https://poke.idleworld.online/pokepedia/pokemon/hitmontop</x:v>
      </x:c>
    </x:row>
    <x:row r="2218" ht="22" customHeight="1">
      <x:c r="A2218" s="1" t="n">
        <x:v>237</x:v>
      </x:c>
      <x:c r="B2218" s="1" t="str">
        <x:v>Hitmontop</x:v>
      </x:c>
      <x:c r="C2218" s="1" t="n">
        <x:v>8</x:v>
      </x:c>
      <x:c r="D2218" s="1" t="str">
        <x:v>Rapid Spin</x:v>
      </x:c>
      <x:c r="E2218" s="1" t="str">
        <x:v>Normal</x:v>
      </x:c>
      <x:c r="F2218" s="1" t="str">
        <x:v>Física</x:v>
      </x:c>
      <x:c r="G2218" s="10" t="n">
        <x:v>20</x:v>
      </x:c>
      <x:c r="H2218" s="10" t="n">
        <x:f>IF(F2218="Física",'Pokémon'!G240,IF(F2218="Especial",'Pokémon'!I240,""))</x:f>
        <x:v>95</x:v>
      </x:c>
      <x:c r="I2218" s="10" t="n">
        <x:f>IF(OR(F2218="Status",G2218=0),"",G2218+H2218)</x:f>
        <x:v>115</x:v>
      </x:c>
      <x:c r="J2218" s="10" t="n">
        <x:v>24</x:v>
      </x:c>
      <x:c r="K2218" s="12" t="n">
        <x:v>15</x:v>
      </x:c>
      <x:c r="L2218" s="1" t="str"/>
      <x:c r="M2218" s="9" t="str">
        <x:v>https://poke.idleworld.online/pokepedia/pokemon/hitmontop</x:v>
      </x:c>
    </x:row>
    <x:row r="2219" ht="22" customHeight="1">
      <x:c r="A2219" s="1" t="n">
        <x:v>237</x:v>
      </x:c>
      <x:c r="B2219" s="1" t="str">
        <x:v>Hitmontop</x:v>
      </x:c>
      <x:c r="C2219" s="1" t="n">
        <x:v>7</x:v>
      </x:c>
      <x:c r="D2219" s="1" t="str">
        <x:v>Triple Kick</x:v>
      </x:c>
      <x:c r="E2219" s="1" t="str">
        <x:v>Lutador</x:v>
      </x:c>
      <x:c r="F2219" s="1" t="str">
        <x:v>Física</x:v>
      </x:c>
      <x:c r="G2219" s="10" t="n">
        <x:v>10</x:v>
      </x:c>
      <x:c r="H2219" s="10" t="n">
        <x:f>IF(F2219="Física",'Pokémon'!G240,IF(F2219="Especial",'Pokémon'!I240,""))</x:f>
        <x:v>95</x:v>
      </x:c>
      <x:c r="I2219" s="10" t="n">
        <x:f>IF(OR(F2219="Status",G2219=0),"",G2219+H2219)</x:f>
        <x:v>105</x:v>
      </x:c>
      <x:c r="J2219" s="10" t="n">
        <x:v>19</x:v>
      </x:c>
      <x:c r="K2219" s="12" t="n">
        <x:v>15</x:v>
      </x:c>
      <x:c r="L2219" s="1" t="str"/>
      <x:c r="M2219" s="9" t="str">
        <x:v>https://poke.idleworld.online/pokepedia/pokemon/hitmontop</x:v>
      </x:c>
    </x:row>
    <x:row r="2220" ht="22" customHeight="1">
      <x:c r="A2220" s="1" t="n">
        <x:v>238</x:v>
      </x:c>
      <x:c r="B2220" s="1" t="str">
        <x:v>Smoochum</x:v>
      </x:c>
      <x:c r="C2220" s="1" t="n">
        <x:v>8</x:v>
      </x:c>
      <x:c r="D2220" s="1" t="str">
        <x:v>Blizzard</x:v>
      </x:c>
      <x:c r="E2220" s="1" t="str">
        <x:v>Gelo</x:v>
      </x:c>
      <x:c r="F2220" s="1" t="str">
        <x:v>Especial</x:v>
      </x:c>
      <x:c r="G2220" s="10" t="n">
        <x:v>110</x:v>
      </x:c>
      <x:c r="H2220" s="10" t="n">
        <x:f>IF(F2220="Física",'Pokémon'!G241,IF(F2220="Especial",'Pokémon'!I241,""))</x:f>
        <x:v>85</x:v>
      </x:c>
      <x:c r="I2220" s="10" t="n">
        <x:f>IF(OR(F2220="Status",G2220=0),"",G2220+H2220)</x:f>
        <x:v>195</x:v>
      </x:c>
      <x:c r="J2220" s="10" t="n">
        <x:v>48</x:v>
      </x:c>
      <x:c r="K2220" s="12" t="n">
        <x:v>40</x:v>
      </x:c>
      <x:c r="L2220" s="1" t="str"/>
      <x:c r="M2220" s="9" t="str">
        <x:v>https://poke.idleworld.online/pokepedia/pokemon/smoochum</x:v>
      </x:c>
    </x:row>
    <x:row r="2221" ht="22" customHeight="1">
      <x:c r="A2221" s="1" t="n">
        <x:v>238</x:v>
      </x:c>
      <x:c r="B2221" s="1" t="str">
        <x:v>Smoochum</x:v>
      </x:c>
      <x:c r="C2221" s="1" t="n">
        <x:v>7</x:v>
      </x:c>
      <x:c r="D2221" s="1" t="str">
        <x:v>Psychic</x:v>
      </x:c>
      <x:c r="E2221" s="1" t="str">
        <x:v>Psíquico</x:v>
      </x:c>
      <x:c r="F2221" s="1" t="str">
        <x:v>Especial</x:v>
      </x:c>
      <x:c r="G2221" s="10" t="n">
        <x:v>90</x:v>
      </x:c>
      <x:c r="H2221" s="10" t="n">
        <x:f>IF(F2221="Física",'Pokémon'!G241,IF(F2221="Especial",'Pokémon'!I241,""))</x:f>
        <x:v>85</x:v>
      </x:c>
      <x:c r="I2221" s="10" t="n">
        <x:f>IF(OR(F2221="Status",G2221=0),"",G2221+H2221)</x:f>
        <x:v>175</x:v>
      </x:c>
      <x:c r="J2221" s="10" t="n">
        <x:v>38</x:v>
      </x:c>
      <x:c r="K2221" s="12" t="n">
        <x:v>22</x:v>
      </x:c>
      <x:c r="L2221" s="1" t="str"/>
      <x:c r="M2221" s="9" t="str">
        <x:v>https://poke.idleworld.online/pokepedia/pokemon/smoochum</x:v>
      </x:c>
    </x:row>
    <x:row r="2222" ht="22" customHeight="1">
      <x:c r="A2222" s="1" t="n">
        <x:v>238</x:v>
      </x:c>
      <x:c r="B2222" s="1" t="str">
        <x:v>Smoochum</x:v>
      </x:c>
      <x:c r="C2222" s="1" t="n">
        <x:v>4</x:v>
      </x:c>
      <x:c r="D2222" s="1" t="str">
        <x:v>Confusion</x:v>
      </x:c>
      <x:c r="E2222" s="1" t="str">
        <x:v>Psíquico</x:v>
      </x:c>
      <x:c r="F2222" s="1" t="str">
        <x:v>Especial</x:v>
      </x:c>
      <x:c r="G2222" s="10" t="n">
        <x:v>50</x:v>
      </x:c>
      <x:c r="H2222" s="10" t="n">
        <x:f>IF(F2222="Física",'Pokémon'!G241,IF(F2222="Especial",'Pokémon'!I241,""))</x:f>
        <x:v>85</x:v>
      </x:c>
      <x:c r="I2222" s="10" t="n">
        <x:f>IF(OR(F2222="Status",G2222=0),"",G2222+H2222)</x:f>
        <x:v>135</x:v>
      </x:c>
      <x:c r="J2222" s="10" t="n">
        <x:v>15</x:v>
      </x:c>
      <x:c r="K2222" s="12" t="n">
        <x:v>15</x:v>
      </x:c>
      <x:c r="L2222" s="1" t="str"/>
      <x:c r="M2222" s="9" t="str">
        <x:v>https://poke.idleworld.online/pokepedia/pokemon/smoochum</x:v>
      </x:c>
    </x:row>
    <x:row r="2223" ht="22" customHeight="1">
      <x:c r="A2223" s="1" t="n">
        <x:v>238</x:v>
      </x:c>
      <x:c r="B2223" s="1" t="str">
        <x:v>Smoochum</x:v>
      </x:c>
      <x:c r="C2223" s="1" t="n">
        <x:v>3</x:v>
      </x:c>
      <x:c r="D2223" s="1" t="str">
        <x:v>Powder Snow</x:v>
      </x:c>
      <x:c r="E2223" s="1" t="str">
        <x:v>Gelo</x:v>
      </x:c>
      <x:c r="F2223" s="1" t="str">
        <x:v>Especial</x:v>
      </x:c>
      <x:c r="G2223" s="10" t="n">
        <x:v>40</x:v>
      </x:c>
      <x:c r="H2223" s="10" t="n">
        <x:f>IF(F2223="Física",'Pokémon'!G241,IF(F2223="Especial",'Pokémon'!I241,""))</x:f>
        <x:v>85</x:v>
      </x:c>
      <x:c r="I2223" s="10" t="n">
        <x:f>IF(OR(F2223="Status",G2223=0),"",G2223+H2223)</x:f>
        <x:v>125</x:v>
      </x:c>
      <x:c r="J2223" s="10" t="n">
        <x:v>11</x:v>
      </x:c>
      <x:c r="K2223" s="12" t="n">
        <x:v>15</x:v>
      </x:c>
      <x:c r="L2223" s="1" t="str"/>
      <x:c r="M2223" s="9" t="str">
        <x:v>https://poke.idleworld.online/pokepedia/pokemon/smoochum</x:v>
      </x:c>
    </x:row>
    <x:row r="2224" ht="22" customHeight="1">
      <x:c r="A2224" s="1" t="n">
        <x:v>238</x:v>
      </x:c>
      <x:c r="B2224" s="1" t="str">
        <x:v>Smoochum</x:v>
      </x:c>
      <x:c r="C2224" s="1" t="n">
        <x:v>5</x:v>
      </x:c>
      <x:c r="D2224" s="1" t="str">
        <x:v>Heart Stamp</x:v>
      </x:c>
      <x:c r="E2224" s="1" t="str">
        <x:v>Psíquico</x:v>
      </x:c>
      <x:c r="F2224" s="1" t="str">
        <x:v>Física</x:v>
      </x:c>
      <x:c r="G2224" s="10" t="n">
        <x:v>60</x:v>
      </x:c>
      <x:c r="H2224" s="10" t="n">
        <x:f>IF(F2224="Física",'Pokémon'!G241,IF(F2224="Especial",'Pokémon'!I241,""))</x:f>
        <x:v>30</x:v>
      </x:c>
      <x:c r="I2224" s="10" t="n">
        <x:f>IF(OR(F2224="Status",G2224=0),"",G2224+H2224)</x:f>
        <x:v>90</x:v>
      </x:c>
      <x:c r="J2224" s="10" t="n">
        <x:v>21</x:v>
      </x:c>
      <x:c r="K2224" s="12" t="n">
        <x:v>30</x:v>
      </x:c>
      <x:c r="L2224" s="1" t="str"/>
      <x:c r="M2224" s="9" t="str">
        <x:v>https://poke.idleworld.online/pokepedia/pokemon/smoochum</x:v>
      </x:c>
    </x:row>
    <x:row r="2225" ht="22" customHeight="1">
      <x:c r="A2225" s="1" t="n">
        <x:v>238</x:v>
      </x:c>
      <x:c r="B2225" s="1" t="str">
        <x:v>Smoochum</x:v>
      </x:c>
      <x:c r="C2225" s="1" t="n">
        <x:v>6</x:v>
      </x:c>
      <x:c r="D2225" s="1" t="str">
        <x:v>Avalanche</x:v>
      </x:c>
      <x:c r="E2225" s="1" t="str">
        <x:v>Gelo</x:v>
      </x:c>
      <x:c r="F2225" s="1" t="str">
        <x:v>Física</x:v>
      </x:c>
      <x:c r="G2225" s="10" t="n">
        <x:v>60</x:v>
      </x:c>
      <x:c r="H2225" s="10" t="n">
        <x:f>IF(F2225="Física",'Pokémon'!G241,IF(F2225="Especial",'Pokémon'!I241,""))</x:f>
        <x:v>30</x:v>
      </x:c>
      <x:c r="I2225" s="10" t="n">
        <x:f>IF(OR(F2225="Status",G2225=0),"",G2225+H2225)</x:f>
        <x:v>90</x:v>
      </x:c>
      <x:c r="J2225" s="10" t="n">
        <x:v>35</x:v>
      </x:c>
      <x:c r="K2225" s="12" t="n">
        <x:v>20</x:v>
      </x:c>
      <x:c r="L2225" s="1" t="str"/>
      <x:c r="M2225" s="9" t="str">
        <x:v>https://poke.idleworld.online/pokepedia/pokemon/smoochum</x:v>
      </x:c>
    </x:row>
    <x:row r="2226" ht="22" customHeight="1">
      <x:c r="A2226" s="1" t="n">
        <x:v>238</x:v>
      </x:c>
      <x:c r="B2226" s="1" t="str">
        <x:v>Smoochum</x:v>
      </x:c>
      <x:c r="C2226" s="1" t="n">
        <x:v>1</x:v>
      </x:c>
      <x:c r="D2226" s="1" t="str">
        <x:v>Pound</x:v>
      </x:c>
      <x:c r="E2226" s="1" t="str">
        <x:v>Normal</x:v>
      </x:c>
      <x:c r="F2226" s="1" t="str">
        <x:v>Física</x:v>
      </x:c>
      <x:c r="G2226" s="10" t="n">
        <x:v>40</x:v>
      </x:c>
      <x:c r="H2226" s="10" t="n">
        <x:f>IF(F2226="Física",'Pokémon'!G241,IF(F2226="Especial",'Pokémon'!I241,""))</x:f>
        <x:v>30</x:v>
      </x:c>
      <x:c r="I2226" s="10" t="n">
        <x:f>IF(OR(F2226="Status",G2226=0),"",G2226+H2226)</x:f>
        <x:v>70</x:v>
      </x:c>
      <x:c r="J2226" s="10" t="n">
        <x:v>1</x:v>
      </x:c>
      <x:c r="K2226" s="12" t="n">
        <x:v>15</x:v>
      </x:c>
      <x:c r="L2226" s="1" t="str"/>
      <x:c r="M2226" s="9" t="str">
        <x:v>https://poke.idleworld.online/pokepedia/pokemon/smoochum</x:v>
      </x:c>
    </x:row>
    <x:row r="2227" ht="22" customHeight="1">
      <x:c r="A2227" s="1" t="n">
        <x:v>238</x:v>
      </x:c>
      <x:c r="B2227" s="1" t="str">
        <x:v>Smoochum</x:v>
      </x:c>
      <x:c r="C2227" s="1" t="n">
        <x:v>2</x:v>
      </x:c>
      <x:c r="D2227" s="1" t="str">
        <x:v>Lick</x:v>
      </x:c>
      <x:c r="E2227" s="1" t="str">
        <x:v>Fantasma</x:v>
      </x:c>
      <x:c r="F2227" s="1" t="str">
        <x:v>Física</x:v>
      </x:c>
      <x:c r="G2227" s="10" t="n">
        <x:v>30</x:v>
      </x:c>
      <x:c r="H2227" s="10" t="n">
        <x:f>IF(F2227="Física",'Pokémon'!G241,IF(F2227="Especial",'Pokémon'!I241,""))</x:f>
        <x:v>30</x:v>
      </x:c>
      <x:c r="I2227" s="10" t="n">
        <x:f>IF(OR(F2227="Status",G2227=0),"",G2227+H2227)</x:f>
        <x:v>60</x:v>
      </x:c>
      <x:c r="J2227" s="10" t="n">
        <x:v>5</x:v>
      </x:c>
      <x:c r="K2227" s="12" t="n">
        <x:v>15</x:v>
      </x:c>
      <x:c r="L2227" s="1" t="str"/>
      <x:c r="M2227" s="9" t="str">
        <x:v>https://poke.idleworld.online/pokepedia/pokemon/smoochum</x:v>
      </x:c>
    </x:row>
    <x:row r="2228" ht="22" customHeight="1">
      <x:c r="A2228" s="1" t="n">
        <x:v>239</x:v>
      </x:c>
      <x:c r="B2228" s="1" t="str">
        <x:v>Elekid</x:v>
      </x:c>
      <x:c r="C2228" s="1" t="n">
        <x:v>8</x:v>
      </x:c>
      <x:c r="D2228" s="1" t="str">
        <x:v>Thunder</x:v>
      </x:c>
      <x:c r="E2228" s="1" t="str">
        <x:v>Elétrico</x:v>
      </x:c>
      <x:c r="F2228" s="1" t="str">
        <x:v>Especial</x:v>
      </x:c>
      <x:c r="G2228" s="10" t="n">
        <x:v>110</x:v>
      </x:c>
      <x:c r="H2228" s="10" t="n">
        <x:f>IF(F2228="Física",'Pokémon'!G242,IF(F2228="Especial",'Pokémon'!I242,""))</x:f>
        <x:v>65</x:v>
      </x:c>
      <x:c r="I2228" s="10" t="n">
        <x:f>IF(OR(F2228="Status",G2228=0),"",G2228+H2228)</x:f>
        <x:v>175</x:v>
      </x:c>
      <x:c r="J2228" s="10" t="n">
        <x:v>43</x:v>
      </x:c>
      <x:c r="K2228" s="12" t="n">
        <x:v>60</x:v>
      </x:c>
      <x:c r="L2228" s="1" t="str"/>
      <x:c r="M2228" s="9" t="str">
        <x:v>https://poke.idleworld.online/pokepedia/pokemon/elekid</x:v>
      </x:c>
    </x:row>
    <x:row r="2229" ht="22" customHeight="1">
      <x:c r="A2229" s="1" t="n">
        <x:v>239</x:v>
      </x:c>
      <x:c r="B2229" s="1" t="str">
        <x:v>Elekid</x:v>
      </x:c>
      <x:c r="C2229" s="1" t="n">
        <x:v>7</x:v>
      </x:c>
      <x:c r="D2229" s="1" t="str">
        <x:v>Thunderbolt</x:v>
      </x:c>
      <x:c r="E2229" s="1" t="str">
        <x:v>Elétrico</x:v>
      </x:c>
      <x:c r="F2229" s="1" t="str">
        <x:v>Especial</x:v>
      </x:c>
      <x:c r="G2229" s="10" t="n">
        <x:v>90</x:v>
      </x:c>
      <x:c r="H2229" s="10" t="n">
        <x:f>IF(F2229="Física",'Pokémon'!G242,IF(F2229="Especial",'Pokémon'!I242,""))</x:f>
        <x:v>65</x:v>
      </x:c>
      <x:c r="I2229" s="10" t="n">
        <x:f>IF(OR(F2229="Status",G2229=0),"",G2229+H2229)</x:f>
        <x:v>155</x:v>
      </x:c>
      <x:c r="J2229" s="10" t="n">
        <x:v>40</x:v>
      </x:c>
      <x:c r="K2229" s="12" t="n">
        <x:v>22</x:v>
      </x:c>
      <x:c r="L2229" s="1" t="str"/>
      <x:c r="M2229" s="9" t="str">
        <x:v>https://poke.idleworld.online/pokepedia/pokemon/elekid</x:v>
      </x:c>
    </x:row>
    <x:row r="2230" ht="22" customHeight="1">
      <x:c r="A2230" s="1" t="n">
        <x:v>239</x:v>
      </x:c>
      <x:c r="B2230" s="1" t="str">
        <x:v>Elekid</x:v>
      </x:c>
      <x:c r="C2230" s="1" t="n">
        <x:v>6</x:v>
      </x:c>
      <x:c r="D2230" s="1" t="str">
        <x:v>Discharge</x:v>
      </x:c>
      <x:c r="E2230" s="1" t="str">
        <x:v>Elétrico</x:v>
      </x:c>
      <x:c r="F2230" s="1" t="str">
        <x:v>Especial</x:v>
      </x:c>
      <x:c r="G2230" s="10" t="n">
        <x:v>80</x:v>
      </x:c>
      <x:c r="H2230" s="10" t="n">
        <x:f>IF(F2230="Física",'Pokémon'!G242,IF(F2230="Especial",'Pokémon'!I242,""))</x:f>
        <x:v>65</x:v>
      </x:c>
      <x:c r="I2230" s="10" t="n">
        <x:f>IF(OR(F2230="Status",G2230=0),"",G2230+H2230)</x:f>
        <x:v>145</x:v>
      </x:c>
      <x:c r="J2230" s="10" t="n">
        <x:v>33</x:v>
      </x:c>
      <x:c r="K2230" s="12" t="n">
        <x:v>22</x:v>
      </x:c>
      <x:c r="L2230" s="1" t="str"/>
      <x:c r="M2230" s="9" t="str">
        <x:v>https://poke.idleworld.online/pokepedia/pokemon/elekid</x:v>
      </x:c>
    </x:row>
    <x:row r="2231" ht="22" customHeight="1">
      <x:c r="A2231" s="1" t="n">
        <x:v>239</x:v>
      </x:c>
      <x:c r="B2231" s="1" t="str">
        <x:v>Elekid</x:v>
      </x:c>
      <x:c r="C2231" s="1" t="n">
        <x:v>5</x:v>
      </x:c>
      <x:c r="D2231" s="1" t="str">
        <x:v>Thunder Punch</x:v>
      </x:c>
      <x:c r="E2231" s="1" t="str">
        <x:v>Elétrico</x:v>
      </x:c>
      <x:c r="F2231" s="1" t="str">
        <x:v>Física</x:v>
      </x:c>
      <x:c r="G2231" s="10" t="n">
        <x:v>75</x:v>
      </x:c>
      <x:c r="H2231" s="10" t="n">
        <x:f>IF(F2231="Física",'Pokémon'!G242,IF(F2231="Especial",'Pokémon'!I242,""))</x:f>
        <x:v>63</x:v>
      </x:c>
      <x:c r="I2231" s="10" t="n">
        <x:f>IF(OR(F2231="Status",G2231=0),"",G2231+H2231)</x:f>
        <x:v>138</x:v>
      </x:c>
      <x:c r="J2231" s="10" t="n">
        <x:v>29</x:v>
      </x:c>
      <x:c r="K2231" s="12" t="n">
        <x:v>22</x:v>
      </x:c>
      <x:c r="L2231" s="1" t="str"/>
      <x:c r="M2231" s="9" t="str">
        <x:v>https://poke.idleworld.online/pokepedia/pokemon/elekid</x:v>
      </x:c>
    </x:row>
    <x:row r="2232" ht="22" customHeight="1">
      <x:c r="A2232" s="1" t="n">
        <x:v>239</x:v>
      </x:c>
      <x:c r="B2232" s="1" t="str">
        <x:v>Elekid</x:v>
      </x:c>
      <x:c r="C2232" s="1" t="n">
        <x:v>3</x:v>
      </x:c>
      <x:c r="D2232" s="1" t="str">
        <x:v>Swift</x:v>
      </x:c>
      <x:c r="E2232" s="1" t="str">
        <x:v>Normal</x:v>
      </x:c>
      <x:c r="F2232" s="1" t="str">
        <x:v>Especial</x:v>
      </x:c>
      <x:c r="G2232" s="10" t="n">
        <x:v>60</x:v>
      </x:c>
      <x:c r="H2232" s="10" t="n">
        <x:f>IF(F2232="Física",'Pokémon'!G242,IF(F2232="Especial",'Pokémon'!I242,""))</x:f>
        <x:v>65</x:v>
      </x:c>
      <x:c r="I2232" s="10" t="n">
        <x:f>IF(OR(F2232="Status",G2232=0),"",G2232+H2232)</x:f>
        <x:v>125</x:v>
      </x:c>
      <x:c r="J2232" s="10" t="n">
        <x:v>12</x:v>
      </x:c>
      <x:c r="K2232" s="12" t="n">
        <x:v>20</x:v>
      </x:c>
      <x:c r="L2232" s="1" t="str"/>
      <x:c r="M2232" s="9" t="str">
        <x:v>https://poke.idleworld.online/pokepedia/pokemon/elekid</x:v>
      </x:c>
    </x:row>
    <x:row r="2233" ht="22" customHeight="1">
      <x:c r="A2233" s="1" t="n">
        <x:v>239</x:v>
      </x:c>
      <x:c r="B2233" s="1" t="str">
        <x:v>Elekid</x:v>
      </x:c>
      <x:c r="C2233" s="1" t="n">
        <x:v>4</x:v>
      </x:c>
      <x:c r="D2233" s="1" t="str">
        <x:v>Shock Wave</x:v>
      </x:c>
      <x:c r="E2233" s="1" t="str">
        <x:v>Elétrico</x:v>
      </x:c>
      <x:c r="F2233" s="1" t="str">
        <x:v>Especial</x:v>
      </x:c>
      <x:c r="G2233" s="10" t="n">
        <x:v>60</x:v>
      </x:c>
      <x:c r="H2233" s="10" t="n">
        <x:f>IF(F2233="Física",'Pokémon'!G242,IF(F2233="Especial",'Pokémon'!I242,""))</x:f>
        <x:v>65</x:v>
      </x:c>
      <x:c r="I2233" s="10" t="n">
        <x:f>IF(OR(F2233="Status",G2233=0),"",G2233+H2233)</x:f>
        <x:v>125</x:v>
      </x:c>
      <x:c r="J2233" s="10" t="n">
        <x:v>15</x:v>
      </x:c>
      <x:c r="K2233" s="12" t="n">
        <x:v>20</x:v>
      </x:c>
      <x:c r="L2233" s="1" t="str"/>
      <x:c r="M2233" s="9" t="str">
        <x:v>https://poke.idleworld.online/pokepedia/pokemon/elekid</x:v>
      </x:c>
    </x:row>
    <x:row r="2234" ht="22" customHeight="1">
      <x:c r="A2234" s="1" t="n">
        <x:v>239</x:v>
      </x:c>
      <x:c r="B2234" s="1" t="str">
        <x:v>Elekid</x:v>
      </x:c>
      <x:c r="C2234" s="1" t="n">
        <x:v>2</x:v>
      </x:c>
      <x:c r="D2234" s="1" t="str">
        <x:v>Thunder Shock</x:v>
      </x:c>
      <x:c r="E2234" s="1" t="str">
        <x:v>Elétrico</x:v>
      </x:c>
      <x:c r="F2234" s="1" t="str">
        <x:v>Especial</x:v>
      </x:c>
      <x:c r="G2234" s="10" t="n">
        <x:v>40</x:v>
      </x:c>
      <x:c r="H2234" s="10" t="n">
        <x:f>IF(F2234="Física",'Pokémon'!G242,IF(F2234="Especial",'Pokémon'!I242,""))</x:f>
        <x:v>65</x:v>
      </x:c>
      <x:c r="I2234" s="10" t="n">
        <x:f>IF(OR(F2234="Status",G2234=0),"",G2234+H2234)</x:f>
        <x:v>105</x:v>
      </x:c>
      <x:c r="J2234" s="10" t="n">
        <x:v>5</x:v>
      </x:c>
      <x:c r="K2234" s="12" t="n">
        <x:v>10</x:v>
      </x:c>
      <x:c r="L2234" s="1" t="str"/>
      <x:c r="M2234" s="9" t="str">
        <x:v>https://poke.idleworld.online/pokepedia/pokemon/elekid</x:v>
      </x:c>
    </x:row>
    <x:row r="2235" ht="22" customHeight="1">
      <x:c r="A2235" s="1" t="n">
        <x:v>239</x:v>
      </x:c>
      <x:c r="B2235" s="1" t="str">
        <x:v>Elekid</x:v>
      </x:c>
      <x:c r="C2235" s="1" t="n">
        <x:v>1</x:v>
      </x:c>
      <x:c r="D2235" s="1" t="str">
        <x:v>Quick Attack</x:v>
      </x:c>
      <x:c r="E2235" s="1" t="str">
        <x:v>Normal</x:v>
      </x:c>
      <x:c r="F2235" s="1" t="str">
        <x:v>Física</x:v>
      </x:c>
      <x:c r="G2235" s="10" t="n">
        <x:v>40</x:v>
      </x:c>
      <x:c r="H2235" s="10" t="n">
        <x:f>IF(F2235="Física",'Pokémon'!G242,IF(F2235="Especial",'Pokémon'!I242,""))</x:f>
        <x:v>63</x:v>
      </x:c>
      <x:c r="I2235" s="10" t="n">
        <x:f>IF(OR(F2235="Status",G2235=0),"",G2235+H2235)</x:f>
        <x:v>103</x:v>
      </x:c>
      <x:c r="J2235" s="10" t="n">
        <x:v>1</x:v>
      </x:c>
      <x:c r="K2235" s="12" t="n">
        <x:v>15</x:v>
      </x:c>
      <x:c r="L2235" s="1" t="str"/>
      <x:c r="M2235" s="9" t="str">
        <x:v>https://poke.idleworld.online/pokepedia/pokemon/elekid</x:v>
      </x:c>
    </x:row>
    <x:row r="2236" ht="22" customHeight="1">
      <x:c r="A2236" s="1" t="n">
        <x:v>240</x:v>
      </x:c>
      <x:c r="B2236" s="1" t="str">
        <x:v>Magby</x:v>
      </x:c>
      <x:c r="C2236" s="1" t="n">
        <x:v>10</x:v>
      </x:c>
      <x:c r="D2236" s="1" t="str">
        <x:v>Fire Blast</x:v>
      </x:c>
      <x:c r="E2236" s="1" t="str">
        <x:v>Fogo</x:v>
      </x:c>
      <x:c r="F2236" s="1" t="str">
        <x:v>Especial</x:v>
      </x:c>
      <x:c r="G2236" s="10" t="n">
        <x:v>110</x:v>
      </x:c>
      <x:c r="H2236" s="10" t="n">
        <x:f>IF(F2236="Física",'Pokémon'!G243,IF(F2236="Especial",'Pokémon'!I243,""))</x:f>
        <x:v>70</x:v>
      </x:c>
      <x:c r="I2236" s="10" t="n">
        <x:f>IF(OR(F2236="Status",G2236=0),"",G2236+H2236)</x:f>
        <x:v>180</x:v>
      </x:c>
      <x:c r="J2236" s="10" t="n">
        <x:v>43</x:v>
      </x:c>
      <x:c r="K2236" s="12" t="n">
        <x:v>60</x:v>
      </x:c>
      <x:c r="L2236" s="1" t="str"/>
      <x:c r="M2236" s="9" t="str">
        <x:v>https://poke.idleworld.online/pokepedia/pokemon/magby</x:v>
      </x:c>
    </x:row>
    <x:row r="2237" ht="22" customHeight="1">
      <x:c r="A2237" s="1" t="n">
        <x:v>240</x:v>
      </x:c>
      <x:c r="B2237" s="1" t="str">
        <x:v>Magby</x:v>
      </x:c>
      <x:c r="C2237" s="1" t="n">
        <x:v>9</x:v>
      </x:c>
      <x:c r="D2237" s="1" t="str">
        <x:v>Flamethrower</x:v>
      </x:c>
      <x:c r="E2237" s="1" t="str">
        <x:v>Fogo</x:v>
      </x:c>
      <x:c r="F2237" s="1" t="str">
        <x:v>Especial</x:v>
      </x:c>
      <x:c r="G2237" s="10" t="n">
        <x:v>90</x:v>
      </x:c>
      <x:c r="H2237" s="10" t="n">
        <x:f>IF(F2237="Física",'Pokémon'!G243,IF(F2237="Especial",'Pokémon'!I243,""))</x:f>
        <x:v>70</x:v>
      </x:c>
      <x:c r="I2237" s="10" t="n">
        <x:f>IF(OR(F2237="Status",G2237=0),"",G2237+H2237)</x:f>
        <x:v>160</x:v>
      </x:c>
      <x:c r="J2237" s="10" t="n">
        <x:v>40</x:v>
      </x:c>
      <x:c r="K2237" s="12" t="n">
        <x:v>18</x:v>
      </x:c>
      <x:c r="L2237" s="1" t="str"/>
      <x:c r="M2237" s="9" t="str">
        <x:v>https://poke.idleworld.online/pokepedia/pokemon/magby</x:v>
      </x:c>
    </x:row>
    <x:row r="2238" ht="22" customHeight="1">
      <x:c r="A2238" s="1" t="n">
        <x:v>240</x:v>
      </x:c>
      <x:c r="B2238" s="1" t="str">
        <x:v>Magby</x:v>
      </x:c>
      <x:c r="C2238" s="1" t="n">
        <x:v>8</x:v>
      </x:c>
      <x:c r="D2238" s="1" t="str">
        <x:v>Lava Plume</x:v>
      </x:c>
      <x:c r="E2238" s="1" t="str">
        <x:v>Fogo</x:v>
      </x:c>
      <x:c r="F2238" s="1" t="str">
        <x:v>Especial</x:v>
      </x:c>
      <x:c r="G2238" s="10" t="n">
        <x:v>80</x:v>
      </x:c>
      <x:c r="H2238" s="10" t="n">
        <x:f>IF(F2238="Física",'Pokémon'!G243,IF(F2238="Especial",'Pokémon'!I243,""))</x:f>
        <x:v>70</x:v>
      </x:c>
      <x:c r="I2238" s="10" t="n">
        <x:f>IF(OR(F2238="Status",G2238=0),"",G2238+H2238)</x:f>
        <x:v>150</x:v>
      </x:c>
      <x:c r="J2238" s="10" t="n">
        <x:v>33</x:v>
      </x:c>
      <x:c r="K2238" s="12" t="n">
        <x:v>22</x:v>
      </x:c>
      <x:c r="L2238" s="1" t="str"/>
      <x:c r="M2238" s="9" t="str">
        <x:v>https://poke.idleworld.online/pokepedia/pokemon/magby</x:v>
      </x:c>
    </x:row>
    <x:row r="2239" ht="22" customHeight="1">
      <x:c r="A2239" s="1" t="n">
        <x:v>240</x:v>
      </x:c>
      <x:c r="B2239" s="1" t="str">
        <x:v>Magby</x:v>
      </x:c>
      <x:c r="C2239" s="1" t="n">
        <x:v>7</x:v>
      </x:c>
      <x:c r="D2239" s="1" t="str">
        <x:v>Fire Punch</x:v>
      </x:c>
      <x:c r="E2239" s="1" t="str">
        <x:v>Fogo</x:v>
      </x:c>
      <x:c r="F2239" s="1" t="str">
        <x:v>Física</x:v>
      </x:c>
      <x:c r="G2239" s="10" t="n">
        <x:v>75</x:v>
      </x:c>
      <x:c r="H2239" s="10" t="n">
        <x:f>IF(F2239="Física",'Pokémon'!G243,IF(F2239="Especial",'Pokémon'!I243,""))</x:f>
        <x:v>75</x:v>
      </x:c>
      <x:c r="I2239" s="10" t="n">
        <x:f>IF(OR(F2239="Status",G2239=0),"",G2239+H2239)</x:f>
        <x:v>150</x:v>
      </x:c>
      <x:c r="J2239" s="10" t="n">
        <x:v>29</x:v>
      </x:c>
      <x:c r="K2239" s="12" t="n">
        <x:v>22</x:v>
      </x:c>
      <x:c r="L2239" s="1" t="str"/>
      <x:c r="M2239" s="9" t="str">
        <x:v>https://poke.idleworld.online/pokepedia/pokemon/magby</x:v>
      </x:c>
    </x:row>
    <x:row r="2240" ht="22" customHeight="1">
      <x:c r="A2240" s="1" t="n">
        <x:v>240</x:v>
      </x:c>
      <x:c r="B2240" s="1" t="str">
        <x:v>Magby</x:v>
      </x:c>
      <x:c r="C2240" s="1" t="n">
        <x:v>6</x:v>
      </x:c>
      <x:c r="D2240" s="1" t="str">
        <x:v>Flame Burst</x:v>
      </x:c>
      <x:c r="E2240" s="1" t="str">
        <x:v>Fogo</x:v>
      </x:c>
      <x:c r="F2240" s="1" t="str">
        <x:v>Especial</x:v>
      </x:c>
      <x:c r="G2240" s="10" t="n">
        <x:v>70</x:v>
      </x:c>
      <x:c r="H2240" s="10" t="n">
        <x:f>IF(F2240="Física",'Pokémon'!G243,IF(F2240="Especial",'Pokémon'!I243,""))</x:f>
        <x:v>70</x:v>
      </x:c>
      <x:c r="I2240" s="10" t="n">
        <x:f>IF(OR(F2240="Status",G2240=0),"",G2240+H2240)</x:f>
        <x:v>140</x:v>
      </x:c>
      <x:c r="J2240" s="10" t="n">
        <x:v>22</x:v>
      </x:c>
      <x:c r="K2240" s="12" t="n">
        <x:v>20</x:v>
      </x:c>
      <x:c r="L2240" s="1" t="str"/>
      <x:c r="M2240" s="9" t="str">
        <x:v>https://poke.idleworld.online/pokepedia/pokemon/magby</x:v>
      </x:c>
    </x:row>
    <x:row r="2241" ht="22" customHeight="1">
      <x:c r="A2241" s="1" t="n">
        <x:v>240</x:v>
      </x:c>
      <x:c r="B2241" s="1" t="str">
        <x:v>Magby</x:v>
      </x:c>
      <x:c r="C2241" s="1" t="n">
        <x:v>3</x:v>
      </x:c>
      <x:c r="D2241" s="1" t="str">
        <x:v>Feint Attack</x:v>
      </x:c>
      <x:c r="E2241" s="1" t="str">
        <x:v>Sombrio</x:v>
      </x:c>
      <x:c r="F2241" s="1" t="str">
        <x:v>Física</x:v>
      </x:c>
      <x:c r="G2241" s="10" t="n">
        <x:v>60</x:v>
      </x:c>
      <x:c r="H2241" s="10" t="n">
        <x:f>IF(F2241="Física",'Pokémon'!G243,IF(F2241="Especial",'Pokémon'!I243,""))</x:f>
        <x:v>75</x:v>
      </x:c>
      <x:c r="I2241" s="10" t="n">
        <x:f>IF(OR(F2241="Status",G2241=0),"",G2241+H2241)</x:f>
        <x:v>135</x:v>
      </x:c>
      <x:c r="J2241" s="10" t="n">
        <x:v>12</x:v>
      </x:c>
      <x:c r="K2241" s="12" t="n">
        <x:v>20</x:v>
      </x:c>
      <x:c r="L2241" s="1" t="str"/>
      <x:c r="M2241" s="9" t="str">
        <x:v>https://poke.idleworld.online/pokepedia/pokemon/magby</x:v>
      </x:c>
    </x:row>
    <x:row r="2242" ht="22" customHeight="1">
      <x:c r="A2242" s="1" t="n">
        <x:v>240</x:v>
      </x:c>
      <x:c r="B2242" s="1" t="str">
        <x:v>Magby</x:v>
      </x:c>
      <x:c r="C2242" s="1" t="n">
        <x:v>5</x:v>
      </x:c>
      <x:c r="D2242" s="1" t="str">
        <x:v>Clear Smog</x:v>
      </x:c>
      <x:c r="E2242" s="1" t="str">
        <x:v>Venenoso</x:v>
      </x:c>
      <x:c r="F2242" s="1" t="str">
        <x:v>Especial</x:v>
      </x:c>
      <x:c r="G2242" s="10" t="n">
        <x:v>50</x:v>
      </x:c>
      <x:c r="H2242" s="10" t="n">
        <x:f>IF(F2242="Física",'Pokémon'!G243,IF(F2242="Especial",'Pokémon'!I243,""))</x:f>
        <x:v>70</x:v>
      </x:c>
      <x:c r="I2242" s="10" t="n">
        <x:f>IF(OR(F2242="Status",G2242=0),"",G2242+H2242)</x:f>
        <x:v>120</x:v>
      </x:c>
      <x:c r="J2242" s="10" t="n">
        <x:v>19</x:v>
      </x:c>
      <x:c r="K2242" s="12" t="n">
        <x:v>15</x:v>
      </x:c>
      <x:c r="L2242" s="1" t="str"/>
      <x:c r="M2242" s="9" t="str">
        <x:v>https://poke.idleworld.online/pokepedia/pokemon/magby</x:v>
      </x:c>
    </x:row>
    <x:row r="2243" ht="22" customHeight="1">
      <x:c r="A2243" s="1" t="n">
        <x:v>240</x:v>
      </x:c>
      <x:c r="B2243" s="1" t="str">
        <x:v>Magby</x:v>
      </x:c>
      <x:c r="C2243" s="1" t="n">
        <x:v>2</x:v>
      </x:c>
      <x:c r="D2243" s="1" t="str">
        <x:v>Ember</x:v>
      </x:c>
      <x:c r="E2243" s="1" t="str">
        <x:v>Fogo</x:v>
      </x:c>
      <x:c r="F2243" s="1" t="str">
        <x:v>Especial</x:v>
      </x:c>
      <x:c r="G2243" s="10" t="n">
        <x:v>40</x:v>
      </x:c>
      <x:c r="H2243" s="10" t="n">
        <x:f>IF(F2243="Física",'Pokémon'!G243,IF(F2243="Especial",'Pokémon'!I243,""))</x:f>
        <x:v>70</x:v>
      </x:c>
      <x:c r="I2243" s="10" t="n">
        <x:f>IF(OR(F2243="Status",G2243=0),"",G2243+H2243)</x:f>
        <x:v>110</x:v>
      </x:c>
      <x:c r="J2243" s="10" t="n">
        <x:v>5</x:v>
      </x:c>
      <x:c r="K2243" s="12" t="n">
        <x:v>10</x:v>
      </x:c>
      <x:c r="L2243" s="1" t="str"/>
      <x:c r="M2243" s="9" t="str">
        <x:v>https://poke.idleworld.online/pokepedia/pokemon/magby</x:v>
      </x:c>
    </x:row>
    <x:row r="2244" ht="22" customHeight="1">
      <x:c r="A2244" s="1" t="n">
        <x:v>240</x:v>
      </x:c>
      <x:c r="B2244" s="1" t="str">
        <x:v>Magby</x:v>
      </x:c>
      <x:c r="C2244" s="1" t="n">
        <x:v>4</x:v>
      </x:c>
      <x:c r="D2244" s="1" t="str">
        <x:v>Fire Spin</x:v>
      </x:c>
      <x:c r="E2244" s="1" t="str">
        <x:v>Fogo</x:v>
      </x:c>
      <x:c r="F2244" s="1" t="str">
        <x:v>Especial</x:v>
      </x:c>
      <x:c r="G2244" s="10" t="n">
        <x:v>35</x:v>
      </x:c>
      <x:c r="H2244" s="10" t="n">
        <x:f>IF(F2244="Física",'Pokémon'!G243,IF(F2244="Especial",'Pokémon'!I243,""))</x:f>
        <x:v>70</x:v>
      </x:c>
      <x:c r="I2244" s="10" t="n">
        <x:f>IF(OR(F2244="Status",G2244=0),"",G2244+H2244)</x:f>
        <x:v>105</x:v>
      </x:c>
      <x:c r="J2244" s="10" t="n">
        <x:v>15</x:v>
      </x:c>
      <x:c r="K2244" s="12" t="n">
        <x:v>15</x:v>
      </x:c>
      <x:c r="L2244" s="1" t="str"/>
      <x:c r="M2244" s="9" t="str">
        <x:v>https://poke.idleworld.online/pokepedia/pokemon/magby</x:v>
      </x:c>
    </x:row>
    <x:row r="2245" ht="22" customHeight="1">
      <x:c r="A2245" s="1" t="n">
        <x:v>240</x:v>
      </x:c>
      <x:c r="B2245" s="1" t="str">
        <x:v>Magby</x:v>
      </x:c>
      <x:c r="C2245" s="1" t="n">
        <x:v>1</x:v>
      </x:c>
      <x:c r="D2245" s="1" t="str">
        <x:v>Smog</x:v>
      </x:c>
      <x:c r="E2245" s="1" t="str">
        <x:v>Venenoso</x:v>
      </x:c>
      <x:c r="F2245" s="1" t="str">
        <x:v>Especial</x:v>
      </x:c>
      <x:c r="G2245" s="10" t="n">
        <x:v>30</x:v>
      </x:c>
      <x:c r="H2245" s="10" t="n">
        <x:f>IF(F2245="Física",'Pokémon'!G243,IF(F2245="Especial",'Pokémon'!I243,""))</x:f>
        <x:v>70</x:v>
      </x:c>
      <x:c r="I2245" s="10" t="n">
        <x:f>IF(OR(F2245="Status",G2245=0),"",G2245+H2245)</x:f>
        <x:v>100</x:v>
      </x:c>
      <x:c r="J2245" s="10" t="n">
        <x:v>1</x:v>
      </x:c>
      <x:c r="K2245" s="12" t="n">
        <x:v>15</x:v>
      </x:c>
      <x:c r="L2245" s="1" t="str"/>
      <x:c r="M2245" s="9" t="str">
        <x:v>https://poke.idleworld.online/pokepedia/pokemon/magby</x:v>
      </x:c>
    </x:row>
    <x:row r="2246" ht="22" customHeight="1">
      <x:c r="A2246" s="1" t="n">
        <x:v>241</x:v>
      </x:c>
      <x:c r="B2246" s="1" t="str">
        <x:v>Miltank</x:v>
      </x:c>
      <x:c r="C2246" s="1" t="n">
        <x:v>4</x:v>
      </x:c>
      <x:c r="D2246" s="1" t="str">
        <x:v>Body Slam</x:v>
      </x:c>
      <x:c r="E2246" s="1" t="str">
        <x:v>Normal</x:v>
      </x:c>
      <x:c r="F2246" s="1" t="str">
        <x:v>Física</x:v>
      </x:c>
      <x:c r="G2246" s="10" t="n">
        <x:v>85</x:v>
      </x:c>
      <x:c r="H2246" s="10" t="n">
        <x:f>IF(F2246="Física",'Pokémon'!G244,IF(F2246="Especial",'Pokémon'!I244,""))</x:f>
        <x:v>80</x:v>
      </x:c>
      <x:c r="I2246" s="10" t="n">
        <x:f>IF(OR(F2246="Status",G2246=0),"",G2246+H2246)</x:f>
        <x:v>165</x:v>
      </x:c>
      <x:c r="J2246" s="10" t="n">
        <x:v>24</x:v>
      </x:c>
      <x:c r="K2246" s="12" t="n">
        <x:v>22</x:v>
      </x:c>
      <x:c r="L2246" s="1" t="str"/>
      <x:c r="M2246" s="9" t="str">
        <x:v>https://poke.idleworld.online/pokepedia/pokemon/miltank</x:v>
      </x:c>
    </x:row>
    <x:row r="2247" ht="22" customHeight="1">
      <x:c r="A2247" s="1" t="n">
        <x:v>241</x:v>
      </x:c>
      <x:c r="B2247" s="1" t="str">
        <x:v>Miltank</x:v>
      </x:c>
      <x:c r="C2247" s="1" t="n">
        <x:v>5</x:v>
      </x:c>
      <x:c r="D2247" s="1" t="str">
        <x:v>Zen Headbutt</x:v>
      </x:c>
      <x:c r="E2247" s="1" t="str">
        <x:v>Psíquico</x:v>
      </x:c>
      <x:c r="F2247" s="1" t="str">
        <x:v>Física</x:v>
      </x:c>
      <x:c r="G2247" s="10" t="n">
        <x:v>80</x:v>
      </x:c>
      <x:c r="H2247" s="10" t="n">
        <x:f>IF(F2247="Física",'Pokémon'!G244,IF(F2247="Especial",'Pokémon'!I244,""))</x:f>
        <x:v>80</x:v>
      </x:c>
      <x:c r="I2247" s="10" t="n">
        <x:f>IF(OR(F2247="Status",G2247=0),"",G2247+H2247)</x:f>
        <x:v>160</x:v>
      </x:c>
      <x:c r="J2247" s="10" t="n">
        <x:v>29</x:v>
      </x:c>
      <x:c r="K2247" s="12" t="n">
        <x:v>22</x:v>
      </x:c>
      <x:c r="L2247" s="1" t="str"/>
      <x:c r="M2247" s="9" t="str">
        <x:v>https://poke.idleworld.online/pokepedia/pokemon/miltank</x:v>
      </x:c>
    </x:row>
    <x:row r="2248" ht="22" customHeight="1">
      <x:c r="A2248" s="1" t="n">
        <x:v>241</x:v>
      </x:c>
      <x:c r="B2248" s="1" t="str">
        <x:v>Miltank</x:v>
      </x:c>
      <x:c r="C2248" s="1" t="n">
        <x:v>6</x:v>
      </x:c>
      <x:c r="D2248" s="1" t="str">
        <x:v>Wake-Up Slap</x:v>
      </x:c>
      <x:c r="E2248" s="1" t="str">
        <x:v>Lutador</x:v>
      </x:c>
      <x:c r="F2248" s="1" t="str">
        <x:v>Física</x:v>
      </x:c>
      <x:c r="G2248" s="10" t="n">
        <x:v>70</x:v>
      </x:c>
      <x:c r="H2248" s="10" t="n">
        <x:f>IF(F2248="Física",'Pokémon'!G244,IF(F2248="Especial",'Pokémon'!I244,""))</x:f>
        <x:v>80</x:v>
      </x:c>
      <x:c r="I2248" s="10" t="n">
        <x:f>IF(OR(F2248="Status",G2248=0),"",G2248+H2248)</x:f>
        <x:v>150</x:v>
      </x:c>
      <x:c r="J2248" s="10" t="n">
        <x:v>50</x:v>
      </x:c>
      <x:c r="K2248" s="12" t="n">
        <x:v>20</x:v>
      </x:c>
      <x:c r="L2248" s="1" t="str"/>
      <x:c r="M2248" s="9" t="str">
        <x:v>https://poke.idleworld.online/pokepedia/pokemon/miltank</x:v>
      </x:c>
    </x:row>
    <x:row r="2249" ht="22" customHeight="1">
      <x:c r="A2249" s="1" t="n">
        <x:v>241</x:v>
      </x:c>
      <x:c r="B2249" s="1" t="str">
        <x:v>Miltank</x:v>
      </x:c>
      <x:c r="C2249" s="1" t="n">
        <x:v>2</x:v>
      </x:c>
      <x:c r="D2249" s="1" t="str">
        <x:v>Stomp</x:v>
      </x:c>
      <x:c r="E2249" s="1" t="str">
        <x:v>Normal</x:v>
      </x:c>
      <x:c r="F2249" s="1" t="str">
        <x:v>Física</x:v>
      </x:c>
      <x:c r="G2249" s="10" t="n">
        <x:v>65</x:v>
      </x:c>
      <x:c r="H2249" s="10" t="n">
        <x:f>IF(F2249="Física",'Pokémon'!G244,IF(F2249="Especial",'Pokémon'!I244,""))</x:f>
        <x:v>80</x:v>
      </x:c>
      <x:c r="I2249" s="10" t="n">
        <x:f>IF(OR(F2249="Status",G2249=0),"",G2249+H2249)</x:f>
        <x:v>145</x:v>
      </x:c>
      <x:c r="J2249" s="10" t="n">
        <x:v>8</x:v>
      </x:c>
      <x:c r="K2249" s="12" t="n">
        <x:v>30</x:v>
      </x:c>
      <x:c r="L2249" s="1" t="str"/>
      <x:c r="M2249" s="9" t="str">
        <x:v>https://poke.idleworld.online/pokepedia/pokemon/miltank</x:v>
      </x:c>
    </x:row>
    <x:row r="2250" ht="22" customHeight="1">
      <x:c r="A2250" s="1" t="n">
        <x:v>241</x:v>
      </x:c>
      <x:c r="B2250" s="1" t="str">
        <x:v>Miltank</x:v>
      </x:c>
      <x:c r="C2250" s="1" t="n">
        <x:v>1</x:v>
      </x:c>
      <x:c r="D2250" s="1" t="str">
        <x:v>Tackle</x:v>
      </x:c>
      <x:c r="E2250" s="1" t="str">
        <x:v>Normal</x:v>
      </x:c>
      <x:c r="F2250" s="1" t="str">
        <x:v>Física</x:v>
      </x:c>
      <x:c r="G2250" s="10" t="n">
        <x:v>50</x:v>
      </x:c>
      <x:c r="H2250" s="10" t="n">
        <x:f>IF(F2250="Física",'Pokémon'!G244,IF(F2250="Especial",'Pokémon'!I244,""))</x:f>
        <x:v>80</x:v>
      </x:c>
      <x:c r="I2250" s="10" t="n">
        <x:f>IF(OR(F2250="Status",G2250=0),"",G2250+H2250)</x:f>
        <x:v>130</x:v>
      </x:c>
      <x:c r="J2250" s="10" t="n">
        <x:v>1</x:v>
      </x:c>
      <x:c r="K2250" s="12" t="n">
        <x:v>15</x:v>
      </x:c>
      <x:c r="L2250" s="1" t="str"/>
      <x:c r="M2250" s="9" t="str">
        <x:v>https://poke.idleworld.online/pokepedia/pokemon/miltank</x:v>
      </x:c>
    </x:row>
    <x:row r="2251" ht="22" customHeight="1">
      <x:c r="A2251" s="1" t="n">
        <x:v>241</x:v>
      </x:c>
      <x:c r="B2251" s="1" t="str">
        <x:v>Miltank</x:v>
      </x:c>
      <x:c r="C2251" s="1" t="n">
        <x:v>3</x:v>
      </x:c>
      <x:c r="D2251" s="1" t="str">
        <x:v>Rollout</x:v>
      </x:c>
      <x:c r="E2251" s="1" t="str">
        <x:v>Pedra</x:v>
      </x:c>
      <x:c r="F2251" s="1" t="str">
        <x:v>Física</x:v>
      </x:c>
      <x:c r="G2251" s="10" t="n">
        <x:v>30</x:v>
      </x:c>
      <x:c r="H2251" s="10" t="n">
        <x:f>IF(F2251="Física",'Pokémon'!G244,IF(F2251="Especial",'Pokémon'!I244,""))</x:f>
        <x:v>80</x:v>
      </x:c>
      <x:c r="I2251" s="10" t="n">
        <x:f>IF(OR(F2251="Status",G2251=0),"",G2251+H2251)</x:f>
        <x:v>110</x:v>
      </x:c>
      <x:c r="J2251" s="10" t="n">
        <x:v>19</x:v>
      </x:c>
      <x:c r="K2251" s="12" t="n">
        <x:v>15</x:v>
      </x:c>
      <x:c r="L2251" s="1" t="str"/>
      <x:c r="M2251" s="9" t="str">
        <x:v>https://poke.idleworld.online/pokepedia/pokemon/miltank</x:v>
      </x:c>
    </x:row>
    <x:row r="2252" ht="22" customHeight="1">
      <x:c r="A2252" s="1" t="n">
        <x:v>242</x:v>
      </x:c>
      <x:c r="B2252" s="1" t="str">
        <x:v>Blissey</x:v>
      </x:c>
      <x:c r="C2252" s="1" t="n">
        <x:v>1</x:v>
      </x:c>
      <x:c r="D2252" s="1" t="str">
        <x:v>Double-Edge</x:v>
      </x:c>
      <x:c r="E2252" s="1" t="str">
        <x:v>Normal</x:v>
      </x:c>
      <x:c r="F2252" s="1" t="str">
        <x:v>Física</x:v>
      </x:c>
      <x:c r="G2252" s="10" t="n">
        <x:v>120</x:v>
      </x:c>
      <x:c r="H2252" s="10" t="n">
        <x:f>IF(F2252="Física",'Pokémon'!G245,IF(F2252="Especial",'Pokémon'!I245,""))</x:f>
        <x:v>10</x:v>
      </x:c>
      <x:c r="I2252" s="10" t="n">
        <x:f>IF(OR(F2252="Status",G2252=0),"",G2252+H2252)</x:f>
        <x:v>130</x:v>
      </x:c>
      <x:c r="J2252" s="10" t="n">
        <x:v>1</x:v>
      </x:c>
      <x:c r="K2252" s="12" t="n">
        <x:v>3</x:v>
      </x:c>
      <x:c r="L2252" s="1" t="str"/>
      <x:c r="M2252" s="9" t="str">
        <x:v>https://poke.idleworld.online/pokepedia/pokemon/blissey</x:v>
      </x:c>
    </x:row>
    <x:row r="2253" ht="22" customHeight="1">
      <x:c r="A2253" s="1" t="n">
        <x:v>242</x:v>
      </x:c>
      <x:c r="B2253" s="1" t="str">
        <x:v>Blissey</x:v>
      </x:c>
      <x:c r="C2253" s="1" t="n">
        <x:v>5</x:v>
      </x:c>
      <x:c r="D2253" s="1" t="str">
        <x:v>Egg Bomb</x:v>
      </x:c>
      <x:c r="E2253" s="1" t="str">
        <x:v>Normal</x:v>
      </x:c>
      <x:c r="F2253" s="1" t="str">
        <x:v>Física</x:v>
      </x:c>
      <x:c r="G2253" s="10" t="n">
        <x:v>100</x:v>
      </x:c>
      <x:c r="H2253" s="10" t="n">
        <x:f>IF(F2253="Física",'Pokémon'!G245,IF(F2253="Especial",'Pokémon'!I245,""))</x:f>
        <x:v>10</x:v>
      </x:c>
      <x:c r="I2253" s="10" t="n">
        <x:f>IF(OR(F2253="Status",G2253=0),"",G2253+H2253)</x:f>
        <x:v>110</x:v>
      </x:c>
      <x:c r="J2253" s="10" t="n">
        <x:v>42</x:v>
      </x:c>
      <x:c r="K2253" s="12" t="n">
        <x:v>40</x:v>
      </x:c>
      <x:c r="L2253" s="1" t="str"/>
      <x:c r="M2253" s="9" t="str">
        <x:v>https://poke.idleworld.online/pokepedia/pokemon/blissey</x:v>
      </x:c>
    </x:row>
    <x:row r="2254" ht="22" customHeight="1">
      <x:c r="A2254" s="1" t="n">
        <x:v>242</x:v>
      </x:c>
      <x:c r="B2254" s="1" t="str">
        <x:v>Blissey</x:v>
      </x:c>
      <x:c r="C2254" s="1" t="n">
        <x:v>4</x:v>
      </x:c>
      <x:c r="D2254" s="1" t="str">
        <x:v>Take Down</x:v>
      </x:c>
      <x:c r="E2254" s="1" t="str">
        <x:v>Normal</x:v>
      </x:c>
      <x:c r="F2254" s="1" t="str">
        <x:v>Física</x:v>
      </x:c>
      <x:c r="G2254" s="10" t="n">
        <x:v>90</x:v>
      </x:c>
      <x:c r="H2254" s="10" t="n">
        <x:f>IF(F2254="Física",'Pokémon'!G245,IF(F2254="Especial",'Pokémon'!I245,""))</x:f>
        <x:v>10</x:v>
      </x:c>
      <x:c r="I2254" s="10" t="n">
        <x:f>IF(OR(F2254="Status",G2254=0),"",G2254+H2254)</x:f>
        <x:v>100</x:v>
      </x:c>
      <x:c r="J2254" s="10" t="n">
        <x:v>27</x:v>
      </x:c>
      <x:c r="K2254" s="12" t="n">
        <x:v>22</x:v>
      </x:c>
      <x:c r="L2254" s="1" t="str"/>
      <x:c r="M2254" s="9" t="str">
        <x:v>https://poke.idleworld.online/pokepedia/pokemon/blissey</x:v>
      </x:c>
    </x:row>
    <x:row r="2255" ht="22" customHeight="1">
      <x:c r="A2255" s="1" t="n">
        <x:v>242</x:v>
      </x:c>
      <x:c r="B2255" s="1" t="str">
        <x:v>Blissey</x:v>
      </x:c>
      <x:c r="C2255" s="1" t="n">
        <x:v>2</x:v>
      </x:c>
      <x:c r="D2255" s="1" t="str">
        <x:v>Pound</x:v>
      </x:c>
      <x:c r="E2255" s="1" t="str">
        <x:v>Normal</x:v>
      </x:c>
      <x:c r="F2255" s="1" t="str">
        <x:v>Física</x:v>
      </x:c>
      <x:c r="G2255" s="10" t="n">
        <x:v>40</x:v>
      </x:c>
      <x:c r="H2255" s="10" t="n">
        <x:f>IF(F2255="Física",'Pokémon'!G245,IF(F2255="Especial",'Pokémon'!I245,""))</x:f>
        <x:v>10</x:v>
      </x:c>
      <x:c r="I2255" s="10" t="n">
        <x:f>IF(OR(F2255="Status",G2255=0),"",G2255+H2255)</x:f>
        <x:v>50</x:v>
      </x:c>
      <x:c r="J2255" s="10" t="n">
        <x:v>1</x:v>
      </x:c>
      <x:c r="K2255" s="12" t="n">
        <x:v>15</x:v>
      </x:c>
      <x:c r="L2255" s="1" t="str"/>
      <x:c r="M2255" s="9" t="str">
        <x:v>https://poke.idleworld.online/pokepedia/pokemon/blissey</x:v>
      </x:c>
    </x:row>
    <x:row r="2256" ht="22" customHeight="1">
      <x:c r="A2256" s="1" t="n">
        <x:v>242</x:v>
      </x:c>
      <x:c r="B2256" s="1" t="str">
        <x:v>Blissey</x:v>
      </x:c>
      <x:c r="C2256" s="1" t="n">
        <x:v>3</x:v>
      </x:c>
      <x:c r="D2256" s="1" t="str">
        <x:v>Double Slap</x:v>
      </x:c>
      <x:c r="E2256" s="1" t="str">
        <x:v>Normal</x:v>
      </x:c>
      <x:c r="F2256" s="1" t="str">
        <x:v>Física</x:v>
      </x:c>
      <x:c r="G2256" s="10" t="n">
        <x:v>15</x:v>
      </x:c>
      <x:c r="H2256" s="10" t="n">
        <x:f>IF(F2256="Física",'Pokémon'!G245,IF(F2256="Especial",'Pokémon'!I245,""))</x:f>
        <x:v>10</x:v>
      </x:c>
      <x:c r="I2256" s="10" t="n">
        <x:f>IF(OR(F2256="Status",G2256=0),"",G2256+H2256)</x:f>
        <x:v>25</x:v>
      </x:c>
      <x:c r="J2256" s="10" t="n">
        <x:v>12</x:v>
      </x:c>
      <x:c r="K2256" s="12" t="n">
        <x:v>15</x:v>
      </x:c>
      <x:c r="L2256" s="1" t="str"/>
      <x:c r="M2256" s="9" t="str">
        <x:v>https://poke.idleworld.online/pokepedia/pokemon/blissey</x:v>
      </x:c>
    </x:row>
    <x:row r="2257" ht="22" customHeight="1">
      <x:c r="A2257" s="1" t="n">
        <x:v>243</x:v>
      </x:c>
      <x:c r="B2257" s="1" t="str">
        <x:v>Raikou</x:v>
      </x:c>
      <x:c r="C2257" s="1" t="n">
        <x:v>1</x:v>
      </x:c>
      <x:c r="D2257" s="1" t="str">
        <x:v>Static Overload</x:v>
      </x:c>
      <x:c r="E2257" s="1" t="str">
        <x:v>Elétrico</x:v>
      </x:c>
      <x:c r="F2257" s="1" t="str">
        <x:v>Especial</x:v>
      </x:c>
      <x:c r="G2257" s="10" t="n">
        <x:v>300</x:v>
      </x:c>
      <x:c r="H2257" s="10" t="n">
        <x:f>IF(F2257="Física",'Pokémon'!G246,IF(F2257="Especial",'Pokémon'!I246,""))</x:f>
        <x:v>115</x:v>
      </x:c>
      <x:c r="I2257" s="10" t="n">
        <x:f>IF(OR(F2257="Status",G2257=0),"",G2257+H2257)</x:f>
        <x:v>415</x:v>
      </x:c>
      <x:c r="J2257" s="10" t="n">
        <x:v>1</x:v>
      </x:c>
      <x:c r="K2257" s="12" t="n">
        <x:v>10</x:v>
      </x:c>
      <x:c r="L2257" s="1" t="str">
        <x:v>Sim</x:v>
      </x:c>
      <x:c r="M2257" s="9" t="str">
        <x:v>https://poke.idleworld.online/pokepedia/pokemon/raikou</x:v>
      </x:c>
    </x:row>
    <x:row r="2258" ht="22" customHeight="1">
      <x:c r="A2258" s="1" t="n">
        <x:v>243</x:v>
      </x:c>
      <x:c r="B2258" s="1" t="str">
        <x:v>Raikou</x:v>
      </x:c>
      <x:c r="C2258" s="1" t="n">
        <x:v>10</x:v>
      </x:c>
      <x:c r="D2258" s="1" t="str">
        <x:v>Thunder</x:v>
      </x:c>
      <x:c r="E2258" s="1" t="str">
        <x:v>Elétrico</x:v>
      </x:c>
      <x:c r="F2258" s="1" t="str">
        <x:v>Especial</x:v>
      </x:c>
      <x:c r="G2258" s="10" t="n">
        <x:v>110</x:v>
      </x:c>
      <x:c r="H2258" s="10" t="n">
        <x:f>IF(F2258="Física",'Pokémon'!G246,IF(F2258="Especial",'Pokémon'!I246,""))</x:f>
        <x:v>115</x:v>
      </x:c>
      <x:c r="I2258" s="10" t="n">
        <x:f>IF(OR(F2258="Status",G2258=0),"",G2258+H2258)</x:f>
        <x:v>225</x:v>
      </x:c>
      <x:c r="J2258" s="10" t="n">
        <x:v>85</x:v>
      </x:c>
      <x:c r="K2258" s="12" t="n">
        <x:v>60</x:v>
      </x:c>
      <x:c r="L2258" s="1" t="str"/>
      <x:c r="M2258" s="9" t="str">
        <x:v>https://poke.idleworld.online/pokepedia/pokemon/raikou</x:v>
      </x:c>
    </x:row>
    <x:row r="2259" ht="22" customHeight="1">
      <x:c r="A2259" s="1" t="n">
        <x:v>243</x:v>
      </x:c>
      <x:c r="B2259" s="1" t="str">
        <x:v>Raikou</x:v>
      </x:c>
      <x:c r="C2259" s="1" t="n">
        <x:v>3</x:v>
      </x:c>
      <x:c r="D2259" s="1" t="str">
        <x:v>Extrasensory</x:v>
      </x:c>
      <x:c r="E2259" s="1" t="str">
        <x:v>Psíquico</x:v>
      </x:c>
      <x:c r="F2259" s="1" t="str">
        <x:v>Especial</x:v>
      </x:c>
      <x:c r="G2259" s="10" t="n">
        <x:v>80</x:v>
      </x:c>
      <x:c r="H2259" s="10" t="n">
        <x:f>IF(F2259="Física",'Pokémon'!G246,IF(F2259="Especial",'Pokémon'!I246,""))</x:f>
        <x:v>115</x:v>
      </x:c>
      <x:c r="I2259" s="10" t="n">
        <x:f>IF(OR(F2259="Status",G2259=0),"",G2259+H2259)</x:f>
        <x:v>195</x:v>
      </x:c>
      <x:c r="J2259" s="10" t="n">
        <x:v>1</x:v>
      </x:c>
      <x:c r="K2259" s="12" t="n">
        <x:v>22</x:v>
      </x:c>
      <x:c r="L2259" s="1" t="str"/>
      <x:c r="M2259" s="9" t="str">
        <x:v>https://poke.idleworld.online/pokepedia/pokemon/raikou</x:v>
      </x:c>
    </x:row>
    <x:row r="2260" ht="22" customHeight="1">
      <x:c r="A2260" s="1" t="n">
        <x:v>243</x:v>
      </x:c>
      <x:c r="B2260" s="1" t="str">
        <x:v>Raikou</x:v>
      </x:c>
      <x:c r="C2260" s="1" t="n">
        <x:v>4</x:v>
      </x:c>
      <x:c r="D2260" s="1" t="str">
        <x:v>Discharge</x:v>
      </x:c>
      <x:c r="E2260" s="1" t="str">
        <x:v>Elétrico</x:v>
      </x:c>
      <x:c r="F2260" s="1" t="str">
        <x:v>Especial</x:v>
      </x:c>
      <x:c r="G2260" s="10" t="n">
        <x:v>80</x:v>
      </x:c>
      <x:c r="H2260" s="10" t="n">
        <x:f>IF(F2260="Física",'Pokémon'!G246,IF(F2260="Especial",'Pokémon'!I246,""))</x:f>
        <x:v>115</x:v>
      </x:c>
      <x:c r="I2260" s="10" t="n">
        <x:f>IF(OR(F2260="Status",G2260=0),"",G2260+H2260)</x:f>
        <x:v>195</x:v>
      </x:c>
      <x:c r="J2260" s="10" t="n">
        <x:v>1</x:v>
      </x:c>
      <x:c r="K2260" s="12" t="n">
        <x:v>22</x:v>
      </x:c>
      <x:c r="L2260" s="1" t="str"/>
      <x:c r="M2260" s="9" t="str">
        <x:v>https://poke.idleworld.online/pokepedia/pokemon/raikou</x:v>
      </x:c>
    </x:row>
    <x:row r="2261" ht="22" customHeight="1">
      <x:c r="A2261" s="1" t="n">
        <x:v>243</x:v>
      </x:c>
      <x:c r="B2261" s="1" t="str">
        <x:v>Raikou</x:v>
      </x:c>
      <x:c r="C2261" s="1" t="n">
        <x:v>8</x:v>
      </x:c>
      <x:c r="D2261" s="1" t="str">
        <x:v>Crunch</x:v>
      </x:c>
      <x:c r="E2261" s="1" t="str">
        <x:v>Sombrio</x:v>
      </x:c>
      <x:c r="F2261" s="1" t="str">
        <x:v>Física</x:v>
      </x:c>
      <x:c r="G2261" s="10" t="n">
        <x:v>80</x:v>
      </x:c>
      <x:c r="H2261" s="10" t="n">
        <x:f>IF(F2261="Física",'Pokémon'!G246,IF(F2261="Especial",'Pokémon'!I246,""))</x:f>
        <x:v>85</x:v>
      </x:c>
      <x:c r="I2261" s="10" t="n">
        <x:f>IF(OR(F2261="Status",G2261=0),"",G2261+H2261)</x:f>
        <x:v>165</x:v>
      </x:c>
      <x:c r="J2261" s="10" t="n">
        <x:v>43</x:v>
      </x:c>
      <x:c r="K2261" s="12" t="n">
        <x:v>22</x:v>
      </x:c>
      <x:c r="L2261" s="1" t="str"/>
      <x:c r="M2261" s="9" t="str">
        <x:v>https://poke.idleworld.online/pokepedia/pokemon/raikou</x:v>
      </x:c>
    </x:row>
    <x:row r="2262" ht="22" customHeight="1">
      <x:c r="A2262" s="1" t="n">
        <x:v>243</x:v>
      </x:c>
      <x:c r="B2262" s="1" t="str">
        <x:v>Raikou</x:v>
      </x:c>
      <x:c r="C2262" s="1" t="n">
        <x:v>5</x:v>
      </x:c>
      <x:c r="D2262" s="1" t="str">
        <x:v>Thunder Shock</x:v>
      </x:c>
      <x:c r="E2262" s="1" t="str">
        <x:v>Elétrico</x:v>
      </x:c>
      <x:c r="F2262" s="1" t="str">
        <x:v>Especial</x:v>
      </x:c>
      <x:c r="G2262" s="10" t="n">
        <x:v>40</x:v>
      </x:c>
      <x:c r="H2262" s="10" t="n">
        <x:f>IF(F2262="Física",'Pokémon'!G246,IF(F2262="Especial",'Pokémon'!I246,""))</x:f>
        <x:v>115</x:v>
      </x:c>
      <x:c r="I2262" s="10" t="n">
        <x:f>IF(OR(F2262="Status",G2262=0),"",G2262+H2262)</x:f>
        <x:v>155</x:v>
      </x:c>
      <x:c r="J2262" s="10" t="n">
        <x:v>8</x:v>
      </x:c>
      <x:c r="K2262" s="12" t="n">
        <x:v>10</x:v>
      </x:c>
      <x:c r="L2262" s="1" t="str"/>
      <x:c r="M2262" s="9" t="str">
        <x:v>https://poke.idleworld.online/pokepedia/pokemon/raikou</x:v>
      </x:c>
    </x:row>
    <x:row r="2263" ht="22" customHeight="1">
      <x:c r="A2263" s="1" t="n">
        <x:v>243</x:v>
      </x:c>
      <x:c r="B2263" s="1" t="str">
        <x:v>Raikou</x:v>
      </x:c>
      <x:c r="C2263" s="1" t="n">
        <x:v>7</x:v>
      </x:c>
      <x:c r="D2263" s="1" t="str">
        <x:v>Spark</x:v>
      </x:c>
      <x:c r="E2263" s="1" t="str">
        <x:v>Elétrico</x:v>
      </x:c>
      <x:c r="F2263" s="1" t="str">
        <x:v>Física</x:v>
      </x:c>
      <x:c r="G2263" s="10" t="n">
        <x:v>65</x:v>
      </x:c>
      <x:c r="H2263" s="10" t="n">
        <x:f>IF(F2263="Física",'Pokémon'!G246,IF(F2263="Especial",'Pokémon'!I246,""))</x:f>
        <x:v>85</x:v>
      </x:c>
      <x:c r="I2263" s="10" t="n">
        <x:f>IF(OR(F2263="Status",G2263=0),"",G2263+H2263)</x:f>
        <x:v>150</x:v>
      </x:c>
      <x:c r="J2263" s="10" t="n">
        <x:v>29</x:v>
      </x:c>
      <x:c r="K2263" s="12" t="n">
        <x:v>20</x:v>
      </x:c>
      <x:c r="L2263" s="1" t="str"/>
      <x:c r="M2263" s="9" t="str">
        <x:v>https://poke.idleworld.online/pokepedia/pokemon/raikou</x:v>
      </x:c>
    </x:row>
    <x:row r="2264" ht="22" customHeight="1">
      <x:c r="A2264" s="1" t="n">
        <x:v>243</x:v>
      </x:c>
      <x:c r="B2264" s="1" t="str">
        <x:v>Raikou</x:v>
      </x:c>
      <x:c r="C2264" s="1" t="n">
        <x:v>9</x:v>
      </x:c>
      <x:c r="D2264" s="1" t="str">
        <x:v>Thunder Fang</x:v>
      </x:c>
      <x:c r="E2264" s="1" t="str">
        <x:v>Elétrico</x:v>
      </x:c>
      <x:c r="F2264" s="1" t="str">
        <x:v>Física</x:v>
      </x:c>
      <x:c r="G2264" s="10" t="n">
        <x:v>65</x:v>
      </x:c>
      <x:c r="H2264" s="10" t="n">
        <x:f>IF(F2264="Física",'Pokémon'!G246,IF(F2264="Especial",'Pokémon'!I246,""))</x:f>
        <x:v>85</x:v>
      </x:c>
      <x:c r="I2264" s="10" t="n">
        <x:f>IF(OR(F2264="Status",G2264=0),"",G2264+H2264)</x:f>
        <x:v>150</x:v>
      </x:c>
      <x:c r="J2264" s="10" t="n">
        <x:v>50</x:v>
      </x:c>
      <x:c r="K2264" s="12" t="n">
        <x:v>20</x:v>
      </x:c>
      <x:c r="L2264" s="1" t="str"/>
      <x:c r="M2264" s="9" t="str">
        <x:v>https://poke.idleworld.online/pokepedia/pokemon/raikou</x:v>
      </x:c>
    </x:row>
    <x:row r="2265" ht="22" customHeight="1">
      <x:c r="A2265" s="1" t="n">
        <x:v>243</x:v>
      </x:c>
      <x:c r="B2265" s="1" t="str">
        <x:v>Raikou</x:v>
      </x:c>
      <x:c r="C2265" s="1" t="n">
        <x:v>2</x:v>
      </x:c>
      <x:c r="D2265" s="1" t="str">
        <x:v>Bite</x:v>
      </x:c>
      <x:c r="E2265" s="1" t="str">
        <x:v>Sombrio</x:v>
      </x:c>
      <x:c r="F2265" s="1" t="str">
        <x:v>Física</x:v>
      </x:c>
      <x:c r="G2265" s="10" t="n">
        <x:v>60</x:v>
      </x:c>
      <x:c r="H2265" s="10" t="n">
        <x:f>IF(F2265="Física",'Pokémon'!G246,IF(F2265="Especial",'Pokémon'!I246,""))</x:f>
        <x:v>85</x:v>
      </x:c>
      <x:c r="I2265" s="10" t="n">
        <x:f>IF(OR(F2265="Status",G2265=0),"",G2265+H2265)</x:f>
        <x:v>145</x:v>
      </x:c>
      <x:c r="J2265" s="10" t="n">
        <x:v>1</x:v>
      </x:c>
      <x:c r="K2265" s="12" t="n">
        <x:v>20</x:v>
      </x:c>
      <x:c r="L2265" s="1" t="str"/>
      <x:c r="M2265" s="9" t="str">
        <x:v>https://poke.idleworld.online/pokepedia/pokemon/raikou</x:v>
      </x:c>
    </x:row>
    <x:row r="2266" ht="22" customHeight="1">
      <x:c r="A2266" s="1" t="n">
        <x:v>243</x:v>
      </x:c>
      <x:c r="B2266" s="1" t="str">
        <x:v>Raikou</x:v>
      </x:c>
      <x:c r="C2266" s="1" t="n">
        <x:v>6</x:v>
      </x:c>
      <x:c r="D2266" s="1" t="str">
        <x:v>Quick Attack</x:v>
      </x:c>
      <x:c r="E2266" s="1" t="str">
        <x:v>Normal</x:v>
      </x:c>
      <x:c r="F2266" s="1" t="str">
        <x:v>Física</x:v>
      </x:c>
      <x:c r="G2266" s="10" t="n">
        <x:v>40</x:v>
      </x:c>
      <x:c r="H2266" s="10" t="n">
        <x:f>IF(F2266="Física",'Pokémon'!G246,IF(F2266="Especial",'Pokémon'!I246,""))</x:f>
        <x:v>85</x:v>
      </x:c>
      <x:c r="I2266" s="10" t="n">
        <x:f>IF(OR(F2266="Status",G2266=0),"",G2266+H2266)</x:f>
        <x:v>125</x:v>
      </x:c>
      <x:c r="J2266" s="10" t="n">
        <x:v>22</x:v>
      </x:c>
      <x:c r="K2266" s="12" t="n">
        <x:v>15</x:v>
      </x:c>
      <x:c r="L2266" s="1" t="str"/>
      <x:c r="M2266" s="9" t="str">
        <x:v>https://poke.idleworld.online/pokepedia/pokemon/raikou</x:v>
      </x:c>
    </x:row>
    <x:row r="2267" ht="22" customHeight="1">
      <x:c r="A2267" s="1" t="n">
        <x:v>244</x:v>
      </x:c>
      <x:c r="B2267" s="1" t="str">
        <x:v>Entei</x:v>
      </x:c>
      <x:c r="C2267" s="1" t="n">
        <x:v>1</x:v>
      </x:c>
      <x:c r="D2267" s="1" t="str">
        <x:v>Ignition Point</x:v>
      </x:c>
      <x:c r="E2267" s="1" t="str">
        <x:v>Fogo</x:v>
      </x:c>
      <x:c r="F2267" s="1" t="str">
        <x:v>Especial</x:v>
      </x:c>
      <x:c r="G2267" s="10" t="n">
        <x:v>300</x:v>
      </x:c>
      <x:c r="H2267" s="10" t="n">
        <x:f>IF(F2267="Física",'Pokémon'!G247,IF(F2267="Especial",'Pokémon'!I247,""))</x:f>
        <x:v>90</x:v>
      </x:c>
      <x:c r="I2267" s="10" t="n">
        <x:f>IF(OR(F2267="Status",G2267=0),"",G2267+H2267)</x:f>
        <x:v>390</x:v>
      </x:c>
      <x:c r="J2267" s="10" t="n">
        <x:v>1</x:v>
      </x:c>
      <x:c r="K2267" s="12" t="n">
        <x:v>10</x:v>
      </x:c>
      <x:c r="L2267" s="1" t="str">
        <x:v>Sim</x:v>
      </x:c>
      <x:c r="M2267" s="9" t="str">
        <x:v>https://poke.idleworld.online/pokepedia/pokemon/entei</x:v>
      </x:c>
    </x:row>
    <x:row r="2268" ht="22" customHeight="1">
      <x:c r="A2268" s="1" t="n">
        <x:v>244</x:v>
      </x:c>
      <x:c r="B2268" s="1" t="str">
        <x:v>Entei</x:v>
      </x:c>
      <x:c r="C2268" s="1" t="n">
        <x:v>6</x:v>
      </x:c>
      <x:c r="D2268" s="1" t="str">
        <x:v>Eruption</x:v>
      </x:c>
      <x:c r="E2268" s="1" t="str">
        <x:v>Fogo</x:v>
      </x:c>
      <x:c r="F2268" s="1" t="str">
        <x:v>Especial</x:v>
      </x:c>
      <x:c r="G2268" s="10" t="n">
        <x:v>150</x:v>
      </x:c>
      <x:c r="H2268" s="10" t="n">
        <x:f>IF(F2268="Física",'Pokémon'!G247,IF(F2268="Especial",'Pokémon'!I247,""))</x:f>
        <x:v>90</x:v>
      </x:c>
      <x:c r="I2268" s="10" t="n">
        <x:f>IF(OR(F2268="Status",G2268=0),"",G2268+H2268)</x:f>
        <x:v>240</x:v>
      </x:c>
      <x:c r="J2268" s="10" t="n">
        <x:v>1</x:v>
      </x:c>
      <x:c r="K2268" s="12" t="n">
        <x:v>50</x:v>
      </x:c>
      <x:c r="L2268" s="1" t="str"/>
      <x:c r="M2268" s="9" t="str">
        <x:v>https://poke.idleworld.online/pokepedia/pokemon/entei</x:v>
      </x:c>
    </x:row>
    <x:row r="2269" ht="22" customHeight="1">
      <x:c r="A2269" s="1" t="n">
        <x:v>244</x:v>
      </x:c>
      <x:c r="B2269" s="1" t="str">
        <x:v>Entei</x:v>
      </x:c>
      <x:c r="C2269" s="1" t="n">
        <x:v>5</x:v>
      </x:c>
      <x:c r="D2269" s="1" t="str">
        <x:v>Sacred Fire</x:v>
      </x:c>
      <x:c r="E2269" s="1" t="str">
        <x:v>Fogo</x:v>
      </x:c>
      <x:c r="F2269" s="1" t="str">
        <x:v>Física</x:v>
      </x:c>
      <x:c r="G2269" s="10" t="n">
        <x:v>100</x:v>
      </x:c>
      <x:c r="H2269" s="10" t="n">
        <x:f>IF(F2269="Física",'Pokémon'!G247,IF(F2269="Especial",'Pokémon'!I247,""))</x:f>
        <x:v>115</x:v>
      </x:c>
      <x:c r="I2269" s="10" t="n">
        <x:f>IF(OR(F2269="Status",G2269=0),"",G2269+H2269)</x:f>
        <x:v>215</x:v>
      </x:c>
      <x:c r="J2269" s="10" t="n">
        <x:v>1</x:v>
      </x:c>
      <x:c r="K2269" s="12" t="n">
        <x:v>40</x:v>
      </x:c>
      <x:c r="L2269" s="1" t="str"/>
      <x:c r="M2269" s="9" t="str">
        <x:v>https://poke.idleworld.online/pokepedia/pokemon/entei</x:v>
      </x:c>
    </x:row>
    <x:row r="2270" ht="22" customHeight="1">
      <x:c r="A2270" s="1" t="n">
        <x:v>244</x:v>
      </x:c>
      <x:c r="B2270" s="1" t="str">
        <x:v>Entei</x:v>
      </x:c>
      <x:c r="C2270" s="1" t="n">
        <x:v>12</x:v>
      </x:c>
      <x:c r="D2270" s="1" t="str">
        <x:v>Fire Blast</x:v>
      </x:c>
      <x:c r="E2270" s="1" t="str">
        <x:v>Fogo</x:v>
      </x:c>
      <x:c r="F2270" s="1" t="str">
        <x:v>Especial</x:v>
      </x:c>
      <x:c r="G2270" s="10" t="n">
        <x:v>110</x:v>
      </x:c>
      <x:c r="H2270" s="10" t="n">
        <x:f>IF(F2270="Física",'Pokémon'!G247,IF(F2270="Especial",'Pokémon'!I247,""))</x:f>
        <x:v>90</x:v>
      </x:c>
      <x:c r="I2270" s="10" t="n">
        <x:f>IF(OR(F2270="Status",G2270=0),"",G2270+H2270)</x:f>
        <x:v>200</x:v>
      </x:c>
      <x:c r="J2270" s="10" t="n">
        <x:v>71</x:v>
      </x:c>
      <x:c r="K2270" s="12" t="n">
        <x:v>60</x:v>
      </x:c>
      <x:c r="L2270" s="1" t="str"/>
      <x:c r="M2270" s="9" t="str">
        <x:v>https://poke.idleworld.online/pokepedia/pokemon/entei</x:v>
      </x:c>
    </x:row>
    <x:row r="2271" ht="22" customHeight="1">
      <x:c r="A2271" s="1" t="n">
        <x:v>244</x:v>
      </x:c>
      <x:c r="B2271" s="1" t="str">
        <x:v>Entei</x:v>
      </x:c>
      <x:c r="C2271" s="1" t="n">
        <x:v>10</x:v>
      </x:c>
      <x:c r="D2271" s="1" t="str">
        <x:v>Flamethrower</x:v>
      </x:c>
      <x:c r="E2271" s="1" t="str">
        <x:v>Fogo</x:v>
      </x:c>
      <x:c r="F2271" s="1" t="str">
        <x:v>Especial</x:v>
      </x:c>
      <x:c r="G2271" s="10" t="n">
        <x:v>90</x:v>
      </x:c>
      <x:c r="H2271" s="10" t="n">
        <x:f>IF(F2271="Física",'Pokémon'!G247,IF(F2271="Especial",'Pokémon'!I247,""))</x:f>
        <x:v>90</x:v>
      </x:c>
      <x:c r="I2271" s="10" t="n">
        <x:f>IF(OR(F2271="Status",G2271=0),"",G2271+H2271)</x:f>
        <x:v>180</x:v>
      </x:c>
      <x:c r="J2271" s="10" t="n">
        <x:v>36</x:v>
      </x:c>
      <x:c r="K2271" s="12" t="n">
        <x:v>18</x:v>
      </x:c>
      <x:c r="L2271" s="1" t="str"/>
      <x:c r="M2271" s="9" t="str">
        <x:v>https://poke.idleworld.online/pokepedia/pokemon/entei</x:v>
      </x:c>
    </x:row>
    <x:row r="2272" ht="22" customHeight="1">
      <x:c r="A2272" s="1" t="n">
        <x:v>244</x:v>
      </x:c>
      <x:c r="B2272" s="1" t="str">
        <x:v>Entei</x:v>
      </x:c>
      <x:c r="C2272" s="1" t="n">
        <x:v>9</x:v>
      </x:c>
      <x:c r="D2272" s="1" t="str">
        <x:v>Stomp</x:v>
      </x:c>
      <x:c r="E2272" s="1" t="str">
        <x:v>Normal</x:v>
      </x:c>
      <x:c r="F2272" s="1" t="str">
        <x:v>Física</x:v>
      </x:c>
      <x:c r="G2272" s="10" t="n">
        <x:v>65</x:v>
      </x:c>
      <x:c r="H2272" s="10" t="n">
        <x:f>IF(F2272="Física",'Pokémon'!G247,IF(F2272="Especial",'Pokémon'!I247,""))</x:f>
        <x:v>115</x:v>
      </x:c>
      <x:c r="I2272" s="10" t="n">
        <x:f>IF(OR(F2272="Status",G2272=0),"",G2272+H2272)</x:f>
        <x:v>180</x:v>
      </x:c>
      <x:c r="J2272" s="10" t="n">
        <x:v>29</x:v>
      </x:c>
      <x:c r="K2272" s="12" t="n">
        <x:v>20</x:v>
      </x:c>
      <x:c r="L2272" s="1" t="str"/>
      <x:c r="M2272" s="9" t="str">
        <x:v>https://poke.idleworld.online/pokepedia/pokemon/entei</x:v>
      </x:c>
    </x:row>
    <x:row r="2273" ht="22" customHeight="1">
      <x:c r="A2273" s="1" t="n">
        <x:v>244</x:v>
      </x:c>
      <x:c r="B2273" s="1" t="str">
        <x:v>Entei</x:v>
      </x:c>
      <x:c r="C2273" s="1" t="n">
        <x:v>11</x:v>
      </x:c>
      <x:c r="D2273" s="1" t="str">
        <x:v>Fire Fang</x:v>
      </x:c>
      <x:c r="E2273" s="1" t="str">
        <x:v>Fogo</x:v>
      </x:c>
      <x:c r="F2273" s="1" t="str">
        <x:v>Física</x:v>
      </x:c>
      <x:c r="G2273" s="10" t="n">
        <x:v>65</x:v>
      </x:c>
      <x:c r="H2273" s="10" t="n">
        <x:f>IF(F2273="Física",'Pokémon'!G247,IF(F2273="Especial",'Pokémon'!I247,""))</x:f>
        <x:v>115</x:v>
      </x:c>
      <x:c r="I2273" s="10" t="n">
        <x:f>IF(OR(F2273="Status",G2273=0),"",G2273+H2273)</x:f>
        <x:v>180</x:v>
      </x:c>
      <x:c r="J2273" s="10" t="n">
        <x:v>50</x:v>
      </x:c>
      <x:c r="K2273" s="12" t="n">
        <x:v>20</x:v>
      </x:c>
      <x:c r="L2273" s="1" t="str"/>
      <x:c r="M2273" s="9" t="str">
        <x:v>https://poke.idleworld.online/pokepedia/pokemon/entei</x:v>
      </x:c>
    </x:row>
    <x:row r="2274" ht="22" customHeight="1">
      <x:c r="A2274" s="1" t="n">
        <x:v>244</x:v>
      </x:c>
      <x:c r="B2274" s="1" t="str">
        <x:v>Entei</x:v>
      </x:c>
      <x:c r="C2274" s="1" t="n">
        <x:v>2</x:v>
      </x:c>
      <x:c r="D2274" s="1" t="str">
        <x:v>Bite</x:v>
      </x:c>
      <x:c r="E2274" s="1" t="str">
        <x:v>Sombrio</x:v>
      </x:c>
      <x:c r="F2274" s="1" t="str">
        <x:v>Física</x:v>
      </x:c>
      <x:c r="G2274" s="10" t="n">
        <x:v>60</x:v>
      </x:c>
      <x:c r="H2274" s="10" t="n">
        <x:f>IF(F2274="Física",'Pokémon'!G247,IF(F2274="Especial",'Pokémon'!I247,""))</x:f>
        <x:v>115</x:v>
      </x:c>
      <x:c r="I2274" s="10" t="n">
        <x:f>IF(OR(F2274="Status",G2274=0),"",G2274+H2274)</x:f>
        <x:v>175</x:v>
      </x:c>
      <x:c r="J2274" s="10" t="n">
        <x:v>1</x:v>
      </x:c>
      <x:c r="K2274" s="12" t="n">
        <x:v>20</x:v>
      </x:c>
      <x:c r="L2274" s="1" t="str"/>
      <x:c r="M2274" s="9" t="str">
        <x:v>https://poke.idleworld.online/pokepedia/pokemon/entei</x:v>
      </x:c>
    </x:row>
    <x:row r="2275" ht="22" customHeight="1">
      <x:c r="A2275" s="1" t="n">
        <x:v>244</x:v>
      </x:c>
      <x:c r="B2275" s="1" t="str">
        <x:v>Entei</x:v>
      </x:c>
      <x:c r="C2275" s="1" t="n">
        <x:v>3</x:v>
      </x:c>
      <x:c r="D2275" s="1" t="str">
        <x:v>Extrasensory</x:v>
      </x:c>
      <x:c r="E2275" s="1" t="str">
        <x:v>Psíquico</x:v>
      </x:c>
      <x:c r="F2275" s="1" t="str">
        <x:v>Especial</x:v>
      </x:c>
      <x:c r="G2275" s="10" t="n">
        <x:v>80</x:v>
      </x:c>
      <x:c r="H2275" s="10" t="n">
        <x:f>IF(F2275="Física",'Pokémon'!G247,IF(F2275="Especial",'Pokémon'!I247,""))</x:f>
        <x:v>90</x:v>
      </x:c>
      <x:c r="I2275" s="10" t="n">
        <x:f>IF(OR(F2275="Status",G2275=0),"",G2275+H2275)</x:f>
        <x:v>170</x:v>
      </x:c>
      <x:c r="J2275" s="10" t="n">
        <x:v>1</x:v>
      </x:c>
      <x:c r="K2275" s="12" t="n">
        <x:v>22</x:v>
      </x:c>
      <x:c r="L2275" s="1" t="str"/>
      <x:c r="M2275" s="9" t="str">
        <x:v>https://poke.idleworld.online/pokepedia/pokemon/entei</x:v>
      </x:c>
    </x:row>
    <x:row r="2276" ht="22" customHeight="1">
      <x:c r="A2276" s="1" t="n">
        <x:v>244</x:v>
      </x:c>
      <x:c r="B2276" s="1" t="str">
        <x:v>Entei</x:v>
      </x:c>
      <x:c r="C2276" s="1" t="n">
        <x:v>4</x:v>
      </x:c>
      <x:c r="D2276" s="1" t="str">
        <x:v>Lava Plume</x:v>
      </x:c>
      <x:c r="E2276" s="1" t="str">
        <x:v>Fogo</x:v>
      </x:c>
      <x:c r="F2276" s="1" t="str">
        <x:v>Especial</x:v>
      </x:c>
      <x:c r="G2276" s="10" t="n">
        <x:v>80</x:v>
      </x:c>
      <x:c r="H2276" s="10" t="n">
        <x:f>IF(F2276="Física",'Pokémon'!G247,IF(F2276="Especial",'Pokémon'!I247,""))</x:f>
        <x:v>90</x:v>
      </x:c>
      <x:c r="I2276" s="10" t="n">
        <x:f>IF(OR(F2276="Status",G2276=0),"",G2276+H2276)</x:f>
        <x:v>170</x:v>
      </x:c>
      <x:c r="J2276" s="10" t="n">
        <x:v>1</x:v>
      </x:c>
      <x:c r="K2276" s="12" t="n">
        <x:v>22</x:v>
      </x:c>
      <x:c r="L2276" s="1" t="str"/>
      <x:c r="M2276" s="9" t="str">
        <x:v>https://poke.idleworld.online/pokepedia/pokemon/entei</x:v>
      </x:c>
    </x:row>
    <x:row r="2277" ht="22" customHeight="1">
      <x:c r="A2277" s="1" t="n">
        <x:v>244</x:v>
      </x:c>
      <x:c r="B2277" s="1" t="str">
        <x:v>Entei</x:v>
      </x:c>
      <x:c r="C2277" s="1" t="n">
        <x:v>7</x:v>
      </x:c>
      <x:c r="D2277" s="1" t="str">
        <x:v>Ember</x:v>
      </x:c>
      <x:c r="E2277" s="1" t="str">
        <x:v>Fogo</x:v>
      </x:c>
      <x:c r="F2277" s="1" t="str">
        <x:v>Especial</x:v>
      </x:c>
      <x:c r="G2277" s="10" t="n">
        <x:v>40</x:v>
      </x:c>
      <x:c r="H2277" s="10" t="n">
        <x:f>IF(F2277="Física",'Pokémon'!G247,IF(F2277="Especial",'Pokémon'!I247,""))</x:f>
        <x:v>90</x:v>
      </x:c>
      <x:c r="I2277" s="10" t="n">
        <x:f>IF(OR(F2277="Status",G2277=0),"",G2277+H2277)</x:f>
        <x:v>130</x:v>
      </x:c>
      <x:c r="J2277" s="10" t="n">
        <x:v>8</x:v>
      </x:c>
      <x:c r="K2277" s="12" t="n">
        <x:v>10</x:v>
      </x:c>
      <x:c r="L2277" s="1" t="str"/>
      <x:c r="M2277" s="9" t="str">
        <x:v>https://poke.idleworld.online/pokepedia/pokemon/entei</x:v>
      </x:c>
    </x:row>
    <x:row r="2278" ht="22" customHeight="1">
      <x:c r="A2278" s="1" t="n">
        <x:v>244</x:v>
      </x:c>
      <x:c r="B2278" s="1" t="str">
        <x:v>Entei</x:v>
      </x:c>
      <x:c r="C2278" s="1" t="n">
        <x:v>8</x:v>
      </x:c>
      <x:c r="D2278" s="1" t="str">
        <x:v>Fire Spin</x:v>
      </x:c>
      <x:c r="E2278" s="1" t="str">
        <x:v>Fogo</x:v>
      </x:c>
      <x:c r="F2278" s="1" t="str">
        <x:v>Especial</x:v>
      </x:c>
      <x:c r="G2278" s="10" t="n">
        <x:v>35</x:v>
      </x:c>
      <x:c r="H2278" s="10" t="n">
        <x:f>IF(F2278="Física",'Pokémon'!G247,IF(F2278="Especial",'Pokémon'!I247,""))</x:f>
        <x:v>90</x:v>
      </x:c>
      <x:c r="I2278" s="10" t="n">
        <x:f>IF(OR(F2278="Status",G2278=0),"",G2278+H2278)</x:f>
        <x:v>125</x:v>
      </x:c>
      <x:c r="J2278" s="10" t="n">
        <x:v>22</x:v>
      </x:c>
      <x:c r="K2278" s="12" t="n">
        <x:v>15</x:v>
      </x:c>
      <x:c r="L2278" s="1" t="str"/>
      <x:c r="M2278" s="9" t="str">
        <x:v>https://poke.idleworld.online/pokepedia/pokemon/entei</x:v>
      </x:c>
    </x:row>
    <x:row r="2279" ht="22" customHeight="1">
      <x:c r="A2279" s="1" t="n">
        <x:v>245</x:v>
      </x:c>
      <x:c r="B2279" s="1" t="str">
        <x:v>Suicune</x:v>
      </x:c>
      <x:c r="C2279" s="1" t="n">
        <x:v>2</x:v>
      </x:c>
      <x:c r="D2279" s="1" t="str">
        <x:v>Cyclonic Tide</x:v>
      </x:c>
      <x:c r="E2279" s="1" t="str">
        <x:v>Água</x:v>
      </x:c>
      <x:c r="F2279" s="1" t="str">
        <x:v>Especial</x:v>
      </x:c>
      <x:c r="G2279" s="10" t="n">
        <x:v>300</x:v>
      </x:c>
      <x:c r="H2279" s="10" t="n">
        <x:f>IF(F2279="Física",'Pokémon'!G248,IF(F2279="Especial",'Pokémon'!I248,""))</x:f>
        <x:v>90</x:v>
      </x:c>
      <x:c r="I2279" s="10" t="n">
        <x:f>IF(OR(F2279="Status",G2279=0),"",G2279+H2279)</x:f>
        <x:v>390</x:v>
      </x:c>
      <x:c r="J2279" s="10" t="n">
        <x:v>1</x:v>
      </x:c>
      <x:c r="K2279" s="12" t="n">
        <x:v>10</x:v>
      </x:c>
      <x:c r="L2279" s="1" t="str">
        <x:v>Sim</x:v>
      </x:c>
      <x:c r="M2279" s="9" t="str">
        <x:v>https://poke.idleworld.online/pokepedia/pokemon/suicune</x:v>
      </x:c>
    </x:row>
    <x:row r="2280" ht="22" customHeight="1">
      <x:c r="A2280" s="1" t="n">
        <x:v>245</x:v>
      </x:c>
      <x:c r="B2280" s="1" t="str">
        <x:v>Suicune</x:v>
      </x:c>
      <x:c r="C2280" s="1" t="n">
        <x:v>1</x:v>
      </x:c>
      <x:c r="D2280" s="1" t="str">
        <x:v>Hydro Pump</x:v>
      </x:c>
      <x:c r="E2280" s="1" t="str">
        <x:v>Água</x:v>
      </x:c>
      <x:c r="F2280" s="1" t="str">
        <x:v>Especial</x:v>
      </x:c>
      <x:c r="G2280" s="10" t="n">
        <x:v>110</x:v>
      </x:c>
      <x:c r="H2280" s="10" t="n">
        <x:f>IF(F2280="Física",'Pokémon'!G248,IF(F2280="Especial",'Pokémon'!I248,""))</x:f>
        <x:v>90</x:v>
      </x:c>
      <x:c r="I2280" s="10" t="n">
        <x:f>IF(OR(F2280="Status",G2280=0),"",G2280+H2280)</x:f>
        <x:v>200</x:v>
      </x:c>
      <x:c r="J2280" s="10" t="n">
        <x:v>1</x:v>
      </x:c>
      <x:c r="K2280" s="12" t="n">
        <x:v>50</x:v>
      </x:c>
      <x:c r="L2280" s="1" t="str"/>
      <x:c r="M2280" s="9" t="str">
        <x:v>https://poke.idleworld.online/pokepedia/pokemon/suicune</x:v>
      </x:c>
    </x:row>
    <x:row r="2281" ht="22" customHeight="1">
      <x:c r="A2281" s="1" t="n">
        <x:v>245</x:v>
      </x:c>
      <x:c r="B2281" s="1" t="str">
        <x:v>Suicune</x:v>
      </x:c>
      <x:c r="C2281" s="1" t="n">
        <x:v>9</x:v>
      </x:c>
      <x:c r="D2281" s="1" t="str">
        <x:v>Blizzard</x:v>
      </x:c>
      <x:c r="E2281" s="1" t="str">
        <x:v>Gelo</x:v>
      </x:c>
      <x:c r="F2281" s="1" t="str">
        <x:v>Especial</x:v>
      </x:c>
      <x:c r="G2281" s="10" t="n">
        <x:v>110</x:v>
      </x:c>
      <x:c r="H2281" s="10" t="n">
        <x:f>IF(F2281="Física",'Pokémon'!G248,IF(F2281="Especial",'Pokémon'!I248,""))</x:f>
        <x:v>90</x:v>
      </x:c>
      <x:c r="I2281" s="10" t="n">
        <x:f>IF(OR(F2281="Status",G2281=0),"",G2281+H2281)</x:f>
        <x:v>200</x:v>
      </x:c>
      <x:c r="J2281" s="10" t="n">
        <x:v>85</x:v>
      </x:c>
      <x:c r="K2281" s="12" t="n">
        <x:v>40</x:v>
      </x:c>
      <x:c r="L2281" s="1" t="str"/>
      <x:c r="M2281" s="9" t="str">
        <x:v>https://poke.idleworld.online/pokepedia/pokemon/suicune</x:v>
      </x:c>
    </x:row>
    <x:row r="2282" ht="22" customHeight="1">
      <x:c r="A2282" s="1" t="n">
        <x:v>245</x:v>
      </x:c>
      <x:c r="B2282" s="1" t="str">
        <x:v>Suicune</x:v>
      </x:c>
      <x:c r="C2282" s="1" t="n">
        <x:v>4</x:v>
      </x:c>
      <x:c r="D2282" s="1" t="str">
        <x:v>Extrasensory</x:v>
      </x:c>
      <x:c r="E2282" s="1" t="str">
        <x:v>Psíquico</x:v>
      </x:c>
      <x:c r="F2282" s="1" t="str">
        <x:v>Especial</x:v>
      </x:c>
      <x:c r="G2282" s="10" t="n">
        <x:v>80</x:v>
      </x:c>
      <x:c r="H2282" s="10" t="n">
        <x:f>IF(F2282="Física",'Pokémon'!G248,IF(F2282="Especial",'Pokémon'!I248,""))</x:f>
        <x:v>90</x:v>
      </x:c>
      <x:c r="I2282" s="10" t="n">
        <x:f>IF(OR(F2282="Status",G2282=0),"",G2282+H2282)</x:f>
        <x:v>170</x:v>
      </x:c>
      <x:c r="J2282" s="10" t="n">
        <x:v>1</x:v>
      </x:c>
      <x:c r="K2282" s="12" t="n">
        <x:v>22</x:v>
      </x:c>
      <x:c r="L2282" s="1" t="str"/>
      <x:c r="M2282" s="9" t="str">
        <x:v>https://poke.idleworld.online/pokepedia/pokemon/suicune</x:v>
      </x:c>
    </x:row>
    <x:row r="2283" ht="22" customHeight="1">
      <x:c r="A2283" s="1" t="n">
        <x:v>245</x:v>
      </x:c>
      <x:c r="B2283" s="1" t="str">
        <x:v>Suicune</x:v>
      </x:c>
      <x:c r="C2283" s="1" t="n">
        <x:v>5</x:v>
      </x:c>
      <x:c r="D2283" s="1" t="str">
        <x:v>Bubble Beam</x:v>
      </x:c>
      <x:c r="E2283" s="1" t="str">
        <x:v>Água</x:v>
      </x:c>
      <x:c r="F2283" s="1" t="str">
        <x:v>Especial</x:v>
      </x:c>
      <x:c r="G2283" s="10" t="n">
        <x:v>65</x:v>
      </x:c>
      <x:c r="H2283" s="10" t="n">
        <x:f>IF(F2283="Física",'Pokémon'!G248,IF(F2283="Especial",'Pokémon'!I248,""))</x:f>
        <x:v>90</x:v>
      </x:c>
      <x:c r="I2283" s="10" t="n">
        <x:f>IF(OR(F2283="Status",G2283=0),"",G2283+H2283)</x:f>
        <x:v>155</x:v>
      </x:c>
      <x:c r="J2283" s="10" t="n">
        <x:v>8</x:v>
      </x:c>
      <x:c r="K2283" s="12" t="n">
        <x:v>20</x:v>
      </x:c>
      <x:c r="L2283" s="1" t="str"/>
      <x:c r="M2283" s="9" t="str">
        <x:v>https://poke.idleworld.online/pokepedia/pokemon/suicune</x:v>
      </x:c>
    </x:row>
    <x:row r="2284" ht="22" customHeight="1">
      <x:c r="A2284" s="1" t="n">
        <x:v>245</x:v>
      </x:c>
      <x:c r="B2284" s="1" t="str">
        <x:v>Suicune</x:v>
      </x:c>
      <x:c r="C2284" s="1" t="n">
        <x:v>7</x:v>
      </x:c>
      <x:c r="D2284" s="1" t="str">
        <x:v>Aurora Beam</x:v>
      </x:c>
      <x:c r="E2284" s="1" t="str">
        <x:v>Gelo</x:v>
      </x:c>
      <x:c r="F2284" s="1" t="str">
        <x:v>Especial</x:v>
      </x:c>
      <x:c r="G2284" s="10" t="n">
        <x:v>65</x:v>
      </x:c>
      <x:c r="H2284" s="10" t="n">
        <x:f>IF(F2284="Física",'Pokémon'!G248,IF(F2284="Especial",'Pokémon'!I248,""))</x:f>
        <x:v>90</x:v>
      </x:c>
      <x:c r="I2284" s="10" t="n">
        <x:f>IF(OR(F2284="Status",G2284=0),"",G2284+H2284)</x:f>
        <x:v>155</x:v>
      </x:c>
      <x:c r="J2284" s="10" t="n">
        <x:v>29</x:v>
      </x:c>
      <x:c r="K2284" s="12" t="n">
        <x:v>20</x:v>
      </x:c>
      <x:c r="L2284" s="1" t="str"/>
      <x:c r="M2284" s="9" t="str">
        <x:v>https://poke.idleworld.online/pokepedia/pokemon/suicune</x:v>
      </x:c>
    </x:row>
    <x:row r="2285" ht="22" customHeight="1">
      <x:c r="A2285" s="1" t="n">
        <x:v>245</x:v>
      </x:c>
      <x:c r="B2285" s="1" t="str">
        <x:v>Suicune</x:v>
      </x:c>
      <x:c r="C2285" s="1" t="n">
        <x:v>8</x:v>
      </x:c>
      <x:c r="D2285" s="1" t="str">
        <x:v>Ice Fang</x:v>
      </x:c>
      <x:c r="E2285" s="1" t="str">
        <x:v>Gelo</x:v>
      </x:c>
      <x:c r="F2285" s="1" t="str">
        <x:v>Física</x:v>
      </x:c>
      <x:c r="G2285" s="10" t="n">
        <x:v>65</x:v>
      </x:c>
      <x:c r="H2285" s="10" t="n">
        <x:f>IF(F2285="Física",'Pokémon'!G248,IF(F2285="Especial",'Pokémon'!I248,""))</x:f>
        <x:v>75</x:v>
      </x:c>
      <x:c r="I2285" s="10" t="n">
        <x:f>IF(OR(F2285="Status",G2285=0),"",G2285+H2285)</x:f>
        <x:v>140</x:v>
      </x:c>
      <x:c r="J2285" s="10" t="n">
        <x:v>50</x:v>
      </x:c>
      <x:c r="K2285" s="12" t="n">
        <x:v>20</x:v>
      </x:c>
      <x:c r="L2285" s="1" t="str"/>
      <x:c r="M2285" s="9" t="str">
        <x:v>https://poke.idleworld.online/pokepedia/pokemon/suicune</x:v>
      </x:c>
    </x:row>
    <x:row r="2286" ht="22" customHeight="1">
      <x:c r="A2286" s="1" t="n">
        <x:v>245</x:v>
      </x:c>
      <x:c r="B2286" s="1" t="str">
        <x:v>Suicune</x:v>
      </x:c>
      <x:c r="C2286" s="1" t="n">
        <x:v>3</x:v>
      </x:c>
      <x:c r="D2286" s="1" t="str">
        <x:v>Bite</x:v>
      </x:c>
      <x:c r="E2286" s="1" t="str">
        <x:v>Sombrio</x:v>
      </x:c>
      <x:c r="F2286" s="1" t="str">
        <x:v>Física</x:v>
      </x:c>
      <x:c r="G2286" s="10" t="n">
        <x:v>60</x:v>
      </x:c>
      <x:c r="H2286" s="10" t="n">
        <x:f>IF(F2286="Física",'Pokémon'!G248,IF(F2286="Especial",'Pokémon'!I248,""))</x:f>
        <x:v>75</x:v>
      </x:c>
      <x:c r="I2286" s="10" t="n">
        <x:f>IF(OR(F2286="Status",G2286=0),"",G2286+H2286)</x:f>
        <x:v>135</x:v>
      </x:c>
      <x:c r="J2286" s="10" t="n">
        <x:v>1</x:v>
      </x:c>
      <x:c r="K2286" s="12" t="n">
        <x:v>20</x:v>
      </x:c>
      <x:c r="L2286" s="1" t="str"/>
      <x:c r="M2286" s="9" t="str">
        <x:v>https://poke.idleworld.online/pokepedia/pokemon/suicune</x:v>
      </x:c>
    </x:row>
    <x:row r="2287" ht="22" customHeight="1">
      <x:c r="A2287" s="1" t="n">
        <x:v>245</x:v>
      </x:c>
      <x:c r="B2287" s="1" t="str">
        <x:v>Suicune</x:v>
      </x:c>
      <x:c r="C2287" s="1" t="n">
        <x:v>6</x:v>
      </x:c>
      <x:c r="D2287" s="1" t="str">
        <x:v>Gust</x:v>
      </x:c>
      <x:c r="E2287" s="1" t="str">
        <x:v>Voador</x:v>
      </x:c>
      <x:c r="F2287" s="1" t="str">
        <x:v>Especial</x:v>
      </x:c>
      <x:c r="G2287" s="10" t="n">
        <x:v>40</x:v>
      </x:c>
      <x:c r="H2287" s="10" t="n">
        <x:f>IF(F2287="Física",'Pokémon'!G248,IF(F2287="Especial",'Pokémon'!I248,""))</x:f>
        <x:v>90</x:v>
      </x:c>
      <x:c r="I2287" s="10" t="n">
        <x:f>IF(OR(F2287="Status",G2287=0),"",G2287+H2287)</x:f>
        <x:v>130</x:v>
      </x:c>
      <x:c r="J2287" s="10" t="n">
        <x:v>22</x:v>
      </x:c>
      <x:c r="K2287" s="12" t="n">
        <x:v>15</x:v>
      </x:c>
      <x:c r="L2287" s="1" t="str"/>
      <x:c r="M2287" s="9" t="str">
        <x:v>https://poke.idleworld.online/pokepedia/pokemon/suicune</x:v>
      </x:c>
    </x:row>
    <x:row r="2288" ht="22" customHeight="1">
      <x:c r="A2288" s="1" t="n">
        <x:v>246</x:v>
      </x:c>
      <x:c r="B2288" s="1" t="str">
        <x:v>Larvitar</x:v>
      </x:c>
      <x:c r="C2288" s="1" t="n">
        <x:v>10</x:v>
      </x:c>
      <x:c r="D2288" s="1" t="str">
        <x:v>Hyper Beam</x:v>
      </x:c>
      <x:c r="E2288" s="1" t="str">
        <x:v>Normal</x:v>
      </x:c>
      <x:c r="F2288" s="1" t="str">
        <x:v>Especial</x:v>
      </x:c>
      <x:c r="G2288" s="10" t="n">
        <x:v>150</x:v>
      </x:c>
      <x:c r="H2288" s="10" t="n">
        <x:f>IF(F2288="Física",'Pokémon'!G249,IF(F2288="Especial",'Pokémon'!I249,""))</x:f>
        <x:v>45</x:v>
      </x:c>
      <x:c r="I2288" s="10" t="n">
        <x:f>IF(OR(F2288="Status",G2288=0),"",G2288+H2288)</x:f>
        <x:v>195</x:v>
      </x:c>
      <x:c r="J2288" s="10" t="n">
        <x:v>55</x:v>
      </x:c>
      <x:c r="K2288" s="12" t="n">
        <x:v>50</x:v>
      </x:c>
      <x:c r="L2288" s="1" t="str"/>
      <x:c r="M2288" s="9" t="str">
        <x:v>https://poke.idleworld.online/pokepedia/pokemon/larvitar</x:v>
      </x:c>
    </x:row>
    <x:row r="2289" ht="22" customHeight="1">
      <x:c r="A2289" s="1" t="n">
        <x:v>246</x:v>
      </x:c>
      <x:c r="B2289" s="1" t="str">
        <x:v>Larvitar</x:v>
      </x:c>
      <x:c r="C2289" s="1" t="n">
        <x:v>4</x:v>
      </x:c>
      <x:c r="D2289" s="1" t="str">
        <x:v>Thrash</x:v>
      </x:c>
      <x:c r="E2289" s="1" t="str">
        <x:v>Normal</x:v>
      </x:c>
      <x:c r="F2289" s="1" t="str">
        <x:v>Física</x:v>
      </x:c>
      <x:c r="G2289" s="10" t="n">
        <x:v>120</x:v>
      </x:c>
      <x:c r="H2289" s="10" t="n">
        <x:f>IF(F2289="Física",'Pokémon'!G249,IF(F2289="Especial",'Pokémon'!I249,""))</x:f>
        <x:v>64</x:v>
      </x:c>
      <x:c r="I2289" s="10" t="n">
        <x:f>IF(OR(F2289="Status",G2289=0),"",G2289+H2289)</x:f>
        <x:v>184</x:v>
      </x:c>
      <x:c r="J2289" s="10" t="n">
        <x:v>28</x:v>
      </x:c>
      <x:c r="K2289" s="12" t="n">
        <x:v>50</x:v>
      </x:c>
      <x:c r="L2289" s="1" t="str"/>
      <x:c r="M2289" s="9" t="str">
        <x:v>https://poke.idleworld.online/pokepedia/pokemon/larvitar</x:v>
      </x:c>
    </x:row>
    <x:row r="2290" ht="22" customHeight="1">
      <x:c r="A2290" s="1" t="n">
        <x:v>246</x:v>
      </x:c>
      <x:c r="B2290" s="1" t="str">
        <x:v>Larvitar</x:v>
      </x:c>
      <x:c r="C2290" s="1" t="n">
        <x:v>8</x:v>
      </x:c>
      <x:c r="D2290" s="1" t="str">
        <x:v>Earthquake</x:v>
      </x:c>
      <x:c r="E2290" s="1" t="str">
        <x:v>Terrestre</x:v>
      </x:c>
      <x:c r="F2290" s="1" t="str">
        <x:v>Física</x:v>
      </x:c>
      <x:c r="G2290" s="10" t="n">
        <x:v>100</x:v>
      </x:c>
      <x:c r="H2290" s="10" t="n">
        <x:f>IF(F2290="Física",'Pokémon'!G249,IF(F2290="Especial",'Pokémon'!I249,""))</x:f>
        <x:v>64</x:v>
      </x:c>
      <x:c r="I2290" s="10" t="n">
        <x:f>IF(OR(F2290="Status",G2290=0),"",G2290+H2290)</x:f>
        <x:v>164</x:v>
      </x:c>
      <x:c r="J2290" s="10" t="n">
        <x:v>46</x:v>
      </x:c>
      <x:c r="K2290" s="12" t="n">
        <x:v>40</x:v>
      </x:c>
      <x:c r="L2290" s="1" t="str"/>
      <x:c r="M2290" s="9" t="str">
        <x:v>https://poke.idleworld.online/pokepedia/pokemon/larvitar</x:v>
      </x:c>
    </x:row>
    <x:row r="2291" ht="22" customHeight="1">
      <x:c r="A2291" s="1" t="n">
        <x:v>246</x:v>
      </x:c>
      <x:c r="B2291" s="1" t="str">
        <x:v>Larvitar</x:v>
      </x:c>
      <x:c r="C2291" s="1" t="n">
        <x:v>9</x:v>
      </x:c>
      <x:c r="D2291" s="1" t="str">
        <x:v>Stone Edge</x:v>
      </x:c>
      <x:c r="E2291" s="1" t="str">
        <x:v>Pedra</x:v>
      </x:c>
      <x:c r="F2291" s="1" t="str">
        <x:v>Física</x:v>
      </x:c>
      <x:c r="G2291" s="10" t="n">
        <x:v>100</x:v>
      </x:c>
      <x:c r="H2291" s="10" t="n">
        <x:f>IF(F2291="Física",'Pokémon'!G249,IF(F2291="Especial",'Pokémon'!I249,""))</x:f>
        <x:v>64</x:v>
      </x:c>
      <x:c r="I2291" s="10" t="n">
        <x:f>IF(OR(F2291="Status",G2291=0),"",G2291+H2291)</x:f>
        <x:v>164</x:v>
      </x:c>
      <x:c r="J2291" s="10" t="n">
        <x:v>50</x:v>
      </x:c>
      <x:c r="K2291" s="12" t="n">
        <x:v>20</x:v>
      </x:c>
      <x:c r="L2291" s="1" t="str"/>
      <x:c r="M2291" s="9" t="str">
        <x:v>https://poke.idleworld.online/pokepedia/pokemon/larvitar</x:v>
      </x:c>
    </x:row>
    <x:row r="2292" ht="22" customHeight="1">
      <x:c r="A2292" s="1" t="n">
        <x:v>246</x:v>
      </x:c>
      <x:c r="B2292" s="1" t="str">
        <x:v>Larvitar</x:v>
      </x:c>
      <x:c r="C2292" s="1" t="n">
        <x:v>7</x:v>
      </x:c>
      <x:c r="D2292" s="1" t="str">
        <x:v>Crunch</x:v>
      </x:c>
      <x:c r="E2292" s="1" t="str">
        <x:v>Sombrio</x:v>
      </x:c>
      <x:c r="F2292" s="1" t="str">
        <x:v>Física</x:v>
      </x:c>
      <x:c r="G2292" s="10" t="n">
        <x:v>80</x:v>
      </x:c>
      <x:c r="H2292" s="10" t="n">
        <x:f>IF(F2292="Física",'Pokémon'!G249,IF(F2292="Especial",'Pokémon'!I249,""))</x:f>
        <x:v>64</x:v>
      </x:c>
      <x:c r="I2292" s="10" t="n">
        <x:f>IF(OR(F2292="Status",G2292=0),"",G2292+H2292)</x:f>
        <x:v>144</x:v>
      </x:c>
      <x:c r="J2292" s="10" t="n">
        <x:v>41</x:v>
      </x:c>
      <x:c r="K2292" s="12" t="n">
        <x:v>22</x:v>
      </x:c>
      <x:c r="L2292" s="1" t="str"/>
      <x:c r="M2292" s="9" t="str">
        <x:v>https://poke.idleworld.online/pokepedia/pokemon/larvitar</x:v>
      </x:c>
    </x:row>
    <x:row r="2293" ht="22" customHeight="1">
      <x:c r="A2293" s="1" t="n">
        <x:v>246</x:v>
      </x:c>
      <x:c r="B2293" s="1" t="str">
        <x:v>Larvitar</x:v>
      </x:c>
      <x:c r="C2293" s="1" t="n">
        <x:v>3</x:v>
      </x:c>
      <x:c r="D2293" s="1" t="str">
        <x:v>Rock Slide</x:v>
      </x:c>
      <x:c r="E2293" s="1" t="str">
        <x:v>Pedra</x:v>
      </x:c>
      <x:c r="F2293" s="1" t="str">
        <x:v>Física</x:v>
      </x:c>
      <x:c r="G2293" s="10" t="n">
        <x:v>75</x:v>
      </x:c>
      <x:c r="H2293" s="10" t="n">
        <x:f>IF(F2293="Física",'Pokémon'!G249,IF(F2293="Especial",'Pokémon'!I249,""))</x:f>
        <x:v>64</x:v>
      </x:c>
      <x:c r="I2293" s="10" t="n">
        <x:f>IF(OR(F2293="Status",G2293=0),"",G2293+H2293)</x:f>
        <x:v>139</x:v>
      </x:c>
      <x:c r="J2293" s="10" t="n">
        <x:v>19</x:v>
      </x:c>
      <x:c r="K2293" s="12" t="n">
        <x:v>22</x:v>
      </x:c>
      <x:c r="L2293" s="1" t="str"/>
      <x:c r="M2293" s="9" t="str">
        <x:v>https://poke.idleworld.online/pokepedia/pokemon/larvitar</x:v>
      </x:c>
    </x:row>
    <x:row r="2294" ht="22" customHeight="1">
      <x:c r="A2294" s="1" t="n">
        <x:v>246</x:v>
      </x:c>
      <x:c r="B2294" s="1" t="str">
        <x:v>Larvitar</x:v>
      </x:c>
      <x:c r="C2294" s="1" t="n">
        <x:v>2</x:v>
      </x:c>
      <x:c r="D2294" s="1" t="str">
        <x:v>Chip Away</x:v>
      </x:c>
      <x:c r="E2294" s="1" t="str">
        <x:v>Normal</x:v>
      </x:c>
      <x:c r="F2294" s="1" t="str">
        <x:v>Física</x:v>
      </x:c>
      <x:c r="G2294" s="10" t="n">
        <x:v>70</x:v>
      </x:c>
      <x:c r="H2294" s="10" t="n">
        <x:f>IF(F2294="Física",'Pokémon'!G249,IF(F2294="Especial",'Pokémon'!I249,""))</x:f>
        <x:v>64</x:v>
      </x:c>
      <x:c r="I2294" s="10" t="n">
        <x:f>IF(OR(F2294="Status",G2294=0),"",G2294+H2294)</x:f>
        <x:v>134</x:v>
      </x:c>
      <x:c r="J2294" s="10" t="n">
        <x:v>14</x:v>
      </x:c>
      <x:c r="K2294" s="12" t="n">
        <x:v>20</x:v>
      </x:c>
      <x:c r="L2294" s="1" t="str"/>
      <x:c r="M2294" s="9" t="str">
        <x:v>https://poke.idleworld.online/pokepedia/pokemon/larvitar</x:v>
      </x:c>
    </x:row>
    <x:row r="2295" ht="22" customHeight="1">
      <x:c r="A2295" s="1" t="n">
        <x:v>246</x:v>
      </x:c>
      <x:c r="B2295" s="1" t="str">
        <x:v>Larvitar</x:v>
      </x:c>
      <x:c r="C2295" s="1" t="n">
        <x:v>5</x:v>
      </x:c>
      <x:c r="D2295" s="1" t="str">
        <x:v>Dark Pulse</x:v>
      </x:c>
      <x:c r="E2295" s="1" t="str">
        <x:v>Sombrio</x:v>
      </x:c>
      <x:c r="F2295" s="1" t="str">
        <x:v>Especial</x:v>
      </x:c>
      <x:c r="G2295" s="10" t="n">
        <x:v>80</x:v>
      </x:c>
      <x:c r="H2295" s="10" t="n">
        <x:f>IF(F2295="Física",'Pokémon'!G249,IF(F2295="Especial",'Pokémon'!I249,""))</x:f>
        <x:v>45</x:v>
      </x:c>
      <x:c r="I2295" s="10" t="n">
        <x:f>IF(OR(F2295="Status",G2295=0),"",G2295+H2295)</x:f>
        <x:v>125</x:v>
      </x:c>
      <x:c r="J2295" s="10" t="n">
        <x:v>32</x:v>
      </x:c>
      <x:c r="K2295" s="12" t="n">
        <x:v>22</x:v>
      </x:c>
      <x:c r="L2295" s="1" t="str"/>
      <x:c r="M2295" s="9" t="str">
        <x:v>https://poke.idleworld.online/pokepedia/pokemon/larvitar</x:v>
      </x:c>
    </x:row>
    <x:row r="2296" ht="22" customHeight="1">
      <x:c r="A2296" s="1" t="n">
        <x:v>246</x:v>
      </x:c>
      <x:c r="B2296" s="1" t="str">
        <x:v>Larvitar</x:v>
      </x:c>
      <x:c r="C2296" s="1" t="n">
        <x:v>1</x:v>
      </x:c>
      <x:c r="D2296" s="1" t="str">
        <x:v>Bite</x:v>
      </x:c>
      <x:c r="E2296" s="1" t="str">
        <x:v>Sombrio</x:v>
      </x:c>
      <x:c r="F2296" s="1" t="str">
        <x:v>Física</x:v>
      </x:c>
      <x:c r="G2296" s="10" t="n">
        <x:v>60</x:v>
      </x:c>
      <x:c r="H2296" s="10" t="n">
        <x:f>IF(F2296="Física",'Pokémon'!G249,IF(F2296="Especial",'Pokémon'!I249,""))</x:f>
        <x:v>64</x:v>
      </x:c>
      <x:c r="I2296" s="10" t="n">
        <x:f>IF(OR(F2296="Status",G2296=0),"",G2296+H2296)</x:f>
        <x:v>124</x:v>
      </x:c>
      <x:c r="J2296" s="10" t="n">
        <x:v>1</x:v>
      </x:c>
      <x:c r="K2296" s="12" t="n">
        <x:v>20</x:v>
      </x:c>
      <x:c r="L2296" s="1" t="str"/>
      <x:c r="M2296" s="9" t="str">
        <x:v>https://poke.idleworld.online/pokepedia/pokemon/larvitar</x:v>
      </x:c>
    </x:row>
    <x:row r="2297" ht="22" customHeight="1">
      <x:c r="A2297" s="1" t="n">
        <x:v>246</x:v>
      </x:c>
      <x:c r="B2297" s="1" t="str">
        <x:v>Larvitar</x:v>
      </x:c>
      <x:c r="C2297" s="1" t="n">
        <x:v>6</x:v>
      </x:c>
      <x:c r="D2297" s="1" t="str">
        <x:v>Payback</x:v>
      </x:c>
      <x:c r="E2297" s="1" t="str">
        <x:v>Sombrio</x:v>
      </x:c>
      <x:c r="F2297" s="1" t="str">
        <x:v>Física</x:v>
      </x:c>
      <x:c r="G2297" s="10" t="n">
        <x:v>50</x:v>
      </x:c>
      <x:c r="H2297" s="10" t="n">
        <x:f>IF(F2297="Física",'Pokémon'!G249,IF(F2297="Especial",'Pokémon'!I249,""))</x:f>
        <x:v>64</x:v>
      </x:c>
      <x:c r="I2297" s="10" t="n">
        <x:f>IF(OR(F2297="Status",G2297=0),"",G2297+H2297)</x:f>
        <x:v>114</x:v>
      </x:c>
      <x:c r="J2297" s="10" t="n">
        <x:v>37</x:v>
      </x:c>
      <x:c r="K2297" s="12" t="n">
        <x:v>15</x:v>
      </x:c>
      <x:c r="L2297" s="1" t="str"/>
      <x:c r="M2297" s="9" t="str">
        <x:v>https://poke.idleworld.online/pokepedia/pokemon/larvitar</x:v>
      </x:c>
    </x:row>
    <x:row r="2298" ht="22" customHeight="1">
      <x:c r="A2298" s="1" t="n">
        <x:v>247</x:v>
      </x:c>
      <x:c r="B2298" s="1" t="str">
        <x:v>Pupitar</x:v>
      </x:c>
      <x:c r="C2298" s="1" t="n">
        <x:v>10</x:v>
      </x:c>
      <x:c r="D2298" s="1" t="str">
        <x:v>Hyper Beam</x:v>
      </x:c>
      <x:c r="E2298" s="1" t="str">
        <x:v>Normal</x:v>
      </x:c>
      <x:c r="F2298" s="1" t="str">
        <x:v>Especial</x:v>
      </x:c>
      <x:c r="G2298" s="10" t="n">
        <x:v>150</x:v>
      </x:c>
      <x:c r="H2298" s="10" t="n">
        <x:f>IF(F2298="Física",'Pokémon'!G250,IF(F2298="Especial",'Pokémon'!I250,""))</x:f>
        <x:v>65</x:v>
      </x:c>
      <x:c r="I2298" s="10" t="n">
        <x:f>IF(OR(F2298="Status",G2298=0),"",G2298+H2298)</x:f>
        <x:v>215</x:v>
      </x:c>
      <x:c r="J2298" s="10" t="n">
        <x:v>67</x:v>
      </x:c>
      <x:c r="K2298" s="12" t="n">
        <x:v>50</x:v>
      </x:c>
      <x:c r="L2298" s="1" t="str"/>
      <x:c r="M2298" s="9" t="str">
        <x:v>https://poke.idleworld.online/pokepedia/pokemon/pupitar</x:v>
      </x:c>
    </x:row>
    <x:row r="2299" ht="22" customHeight="1">
      <x:c r="A2299" s="1" t="n">
        <x:v>247</x:v>
      </x:c>
      <x:c r="B2299" s="1" t="str">
        <x:v>Pupitar</x:v>
      </x:c>
      <x:c r="C2299" s="1" t="n">
        <x:v>4</x:v>
      </x:c>
      <x:c r="D2299" s="1" t="str">
        <x:v>Thrash</x:v>
      </x:c>
      <x:c r="E2299" s="1" t="str">
        <x:v>Normal</x:v>
      </x:c>
      <x:c r="F2299" s="1" t="str">
        <x:v>Física</x:v>
      </x:c>
      <x:c r="G2299" s="10" t="n">
        <x:v>120</x:v>
      </x:c>
      <x:c r="H2299" s="10" t="n">
        <x:f>IF(F2299="Física",'Pokémon'!G250,IF(F2299="Especial",'Pokémon'!I250,""))</x:f>
        <x:v>84</x:v>
      </x:c>
      <x:c r="I2299" s="10" t="n">
        <x:f>IF(OR(F2299="Status",G2299=0),"",G2299+H2299)</x:f>
        <x:v>204</x:v>
      </x:c>
      <x:c r="J2299" s="10" t="n">
        <x:v>28</x:v>
      </x:c>
      <x:c r="K2299" s="12" t="n">
        <x:v>50</x:v>
      </x:c>
      <x:c r="L2299" s="1" t="str"/>
      <x:c r="M2299" s="9" t="str">
        <x:v>https://poke.idleworld.online/pokepedia/pokemon/pupitar</x:v>
      </x:c>
    </x:row>
    <x:row r="2300" ht="22" customHeight="1">
      <x:c r="A2300" s="1" t="n">
        <x:v>247</x:v>
      </x:c>
      <x:c r="B2300" s="1" t="str">
        <x:v>Pupitar</x:v>
      </x:c>
      <x:c r="C2300" s="1" t="n">
        <x:v>8</x:v>
      </x:c>
      <x:c r="D2300" s="1" t="str">
        <x:v>Earthquake</x:v>
      </x:c>
      <x:c r="E2300" s="1" t="str">
        <x:v>Terrestre</x:v>
      </x:c>
      <x:c r="F2300" s="1" t="str">
        <x:v>Física</x:v>
      </x:c>
      <x:c r="G2300" s="10" t="n">
        <x:v>100</x:v>
      </x:c>
      <x:c r="H2300" s="10" t="n">
        <x:f>IF(F2300="Física",'Pokémon'!G250,IF(F2300="Especial",'Pokémon'!I250,""))</x:f>
        <x:v>84</x:v>
      </x:c>
      <x:c r="I2300" s="10" t="n">
        <x:f>IF(OR(F2300="Status",G2300=0),"",G2300+H2300)</x:f>
        <x:v>184</x:v>
      </x:c>
      <x:c r="J2300" s="10" t="n">
        <x:v>54</x:v>
      </x:c>
      <x:c r="K2300" s="12" t="n">
        <x:v>40</x:v>
      </x:c>
      <x:c r="L2300" s="1" t="str"/>
      <x:c r="M2300" s="9" t="str">
        <x:v>https://poke.idleworld.online/pokepedia/pokemon/pupitar</x:v>
      </x:c>
    </x:row>
    <x:row r="2301" ht="22" customHeight="1">
      <x:c r="A2301" s="1" t="n">
        <x:v>247</x:v>
      </x:c>
      <x:c r="B2301" s="1" t="str">
        <x:v>Pupitar</x:v>
      </x:c>
      <x:c r="C2301" s="1" t="n">
        <x:v>9</x:v>
      </x:c>
      <x:c r="D2301" s="1" t="str">
        <x:v>Stone Edge</x:v>
      </x:c>
      <x:c r="E2301" s="1" t="str">
        <x:v>Pedra</x:v>
      </x:c>
      <x:c r="F2301" s="1" t="str">
        <x:v>Física</x:v>
      </x:c>
      <x:c r="G2301" s="10" t="n">
        <x:v>100</x:v>
      </x:c>
      <x:c r="H2301" s="10" t="n">
        <x:f>IF(F2301="Física",'Pokémon'!G250,IF(F2301="Especial",'Pokémon'!I250,""))</x:f>
        <x:v>84</x:v>
      </x:c>
      <x:c r="I2301" s="10" t="n">
        <x:f>IF(OR(F2301="Status",G2301=0),"",G2301+H2301)</x:f>
        <x:v>184</x:v>
      </x:c>
      <x:c r="J2301" s="10" t="n">
        <x:v>60</x:v>
      </x:c>
      <x:c r="K2301" s="12" t="n">
        <x:v>20</x:v>
      </x:c>
      <x:c r="L2301" s="1" t="str"/>
      <x:c r="M2301" s="9" t="str">
        <x:v>https://poke.idleworld.online/pokepedia/pokemon/pupitar</x:v>
      </x:c>
    </x:row>
    <x:row r="2302" ht="22" customHeight="1">
      <x:c r="A2302" s="1" t="n">
        <x:v>247</x:v>
      </x:c>
      <x:c r="B2302" s="1" t="str">
        <x:v>Pupitar</x:v>
      </x:c>
      <x:c r="C2302" s="1" t="n">
        <x:v>7</x:v>
      </x:c>
      <x:c r="D2302" s="1" t="str">
        <x:v>Crunch</x:v>
      </x:c>
      <x:c r="E2302" s="1" t="str">
        <x:v>Sombrio</x:v>
      </x:c>
      <x:c r="F2302" s="1" t="str">
        <x:v>Física</x:v>
      </x:c>
      <x:c r="G2302" s="10" t="n">
        <x:v>80</x:v>
      </x:c>
      <x:c r="H2302" s="10" t="n">
        <x:f>IF(F2302="Física",'Pokémon'!G250,IF(F2302="Especial",'Pokémon'!I250,""))</x:f>
        <x:v>84</x:v>
      </x:c>
      <x:c r="I2302" s="10" t="n">
        <x:f>IF(OR(F2302="Status",G2302=0),"",G2302+H2302)</x:f>
        <x:v>164</x:v>
      </x:c>
      <x:c r="J2302" s="10" t="n">
        <x:v>47</x:v>
      </x:c>
      <x:c r="K2302" s="12" t="n">
        <x:v>22</x:v>
      </x:c>
      <x:c r="L2302" s="1" t="str"/>
      <x:c r="M2302" s="9" t="str">
        <x:v>https://poke.idleworld.online/pokepedia/pokemon/pupitar</x:v>
      </x:c>
    </x:row>
    <x:row r="2303" ht="22" customHeight="1">
      <x:c r="A2303" s="1" t="n">
        <x:v>247</x:v>
      </x:c>
      <x:c r="B2303" s="1" t="str">
        <x:v>Pupitar</x:v>
      </x:c>
      <x:c r="C2303" s="1" t="n">
        <x:v>3</x:v>
      </x:c>
      <x:c r="D2303" s="1" t="str">
        <x:v>Rock Slide</x:v>
      </x:c>
      <x:c r="E2303" s="1" t="str">
        <x:v>Pedra</x:v>
      </x:c>
      <x:c r="F2303" s="1" t="str">
        <x:v>Física</x:v>
      </x:c>
      <x:c r="G2303" s="10" t="n">
        <x:v>75</x:v>
      </x:c>
      <x:c r="H2303" s="10" t="n">
        <x:f>IF(F2303="Física",'Pokémon'!G250,IF(F2303="Especial",'Pokémon'!I250,""))</x:f>
        <x:v>84</x:v>
      </x:c>
      <x:c r="I2303" s="10" t="n">
        <x:f>IF(OR(F2303="Status",G2303=0),"",G2303+H2303)</x:f>
        <x:v>159</x:v>
      </x:c>
      <x:c r="J2303" s="10" t="n">
        <x:v>19</x:v>
      </x:c>
      <x:c r="K2303" s="12" t="n">
        <x:v>22</x:v>
      </x:c>
      <x:c r="L2303" s="1" t="str"/>
      <x:c r="M2303" s="9" t="str">
        <x:v>https://poke.idleworld.online/pokepedia/pokemon/pupitar</x:v>
      </x:c>
    </x:row>
    <x:row r="2304" ht="22" customHeight="1">
      <x:c r="A2304" s="1" t="n">
        <x:v>247</x:v>
      </x:c>
      <x:c r="B2304" s="1" t="str">
        <x:v>Pupitar</x:v>
      </x:c>
      <x:c r="C2304" s="1" t="n">
        <x:v>2</x:v>
      </x:c>
      <x:c r="D2304" s="1" t="str">
        <x:v>Chip Away</x:v>
      </x:c>
      <x:c r="E2304" s="1" t="str">
        <x:v>Normal</x:v>
      </x:c>
      <x:c r="F2304" s="1" t="str">
        <x:v>Física</x:v>
      </x:c>
      <x:c r="G2304" s="10" t="n">
        <x:v>70</x:v>
      </x:c>
      <x:c r="H2304" s="10" t="n">
        <x:f>IF(F2304="Física",'Pokémon'!G250,IF(F2304="Especial",'Pokémon'!I250,""))</x:f>
        <x:v>84</x:v>
      </x:c>
      <x:c r="I2304" s="10" t="n">
        <x:f>IF(OR(F2304="Status",G2304=0),"",G2304+H2304)</x:f>
        <x:v>154</x:v>
      </x:c>
      <x:c r="J2304" s="10" t="n">
        <x:v>14</x:v>
      </x:c>
      <x:c r="K2304" s="12" t="n">
        <x:v>20</x:v>
      </x:c>
      <x:c r="L2304" s="1" t="str"/>
      <x:c r="M2304" s="9" t="str">
        <x:v>https://poke.idleworld.online/pokepedia/pokemon/pupitar</x:v>
      </x:c>
    </x:row>
    <x:row r="2305" ht="22" customHeight="1">
      <x:c r="A2305" s="1" t="n">
        <x:v>247</x:v>
      </x:c>
      <x:c r="B2305" s="1" t="str">
        <x:v>Pupitar</x:v>
      </x:c>
      <x:c r="C2305" s="1" t="n">
        <x:v>5</x:v>
      </x:c>
      <x:c r="D2305" s="1" t="str">
        <x:v>Dark Pulse</x:v>
      </x:c>
      <x:c r="E2305" s="1" t="str">
        <x:v>Sombrio</x:v>
      </x:c>
      <x:c r="F2305" s="1" t="str">
        <x:v>Especial</x:v>
      </x:c>
      <x:c r="G2305" s="10" t="n">
        <x:v>80</x:v>
      </x:c>
      <x:c r="H2305" s="10" t="n">
        <x:f>IF(F2305="Física",'Pokémon'!G250,IF(F2305="Especial",'Pokémon'!I250,""))</x:f>
        <x:v>65</x:v>
      </x:c>
      <x:c r="I2305" s="10" t="n">
        <x:f>IF(OR(F2305="Status",G2305=0),"",G2305+H2305)</x:f>
        <x:v>145</x:v>
      </x:c>
      <x:c r="J2305" s="10" t="n">
        <x:v>34</x:v>
      </x:c>
      <x:c r="K2305" s="12" t="n">
        <x:v>22</x:v>
      </x:c>
      <x:c r="L2305" s="1" t="str"/>
      <x:c r="M2305" s="9" t="str">
        <x:v>https://poke.idleworld.online/pokepedia/pokemon/pupitar</x:v>
      </x:c>
    </x:row>
    <x:row r="2306" ht="22" customHeight="1">
      <x:c r="A2306" s="1" t="n">
        <x:v>247</x:v>
      </x:c>
      <x:c r="B2306" s="1" t="str">
        <x:v>Pupitar</x:v>
      </x:c>
      <x:c r="C2306" s="1" t="n">
        <x:v>1</x:v>
      </x:c>
      <x:c r="D2306" s="1" t="str">
        <x:v>Bite</x:v>
      </x:c>
      <x:c r="E2306" s="1" t="str">
        <x:v>Sombrio</x:v>
      </x:c>
      <x:c r="F2306" s="1" t="str">
        <x:v>Física</x:v>
      </x:c>
      <x:c r="G2306" s="10" t="n">
        <x:v>60</x:v>
      </x:c>
      <x:c r="H2306" s="10" t="n">
        <x:f>IF(F2306="Física",'Pokémon'!G250,IF(F2306="Especial",'Pokémon'!I250,""))</x:f>
        <x:v>84</x:v>
      </x:c>
      <x:c r="I2306" s="10" t="n">
        <x:f>IF(OR(F2306="Status",G2306=0),"",G2306+H2306)</x:f>
        <x:v>144</x:v>
      </x:c>
      <x:c r="J2306" s="10" t="n">
        <x:v>1</x:v>
      </x:c>
      <x:c r="K2306" s="12" t="n">
        <x:v>20</x:v>
      </x:c>
      <x:c r="L2306" s="1" t="str"/>
      <x:c r="M2306" s="9" t="str">
        <x:v>https://poke.idleworld.online/pokepedia/pokemon/pupitar</x:v>
      </x:c>
    </x:row>
    <x:row r="2307" ht="22" customHeight="1">
      <x:c r="A2307" s="1" t="n">
        <x:v>247</x:v>
      </x:c>
      <x:c r="B2307" s="1" t="str">
        <x:v>Pupitar</x:v>
      </x:c>
      <x:c r="C2307" s="1" t="n">
        <x:v>6</x:v>
      </x:c>
      <x:c r="D2307" s="1" t="str">
        <x:v>Payback</x:v>
      </x:c>
      <x:c r="E2307" s="1" t="str">
        <x:v>Sombrio</x:v>
      </x:c>
      <x:c r="F2307" s="1" t="str">
        <x:v>Física</x:v>
      </x:c>
      <x:c r="G2307" s="10" t="n">
        <x:v>50</x:v>
      </x:c>
      <x:c r="H2307" s="10" t="n">
        <x:f>IF(F2307="Física",'Pokémon'!G250,IF(F2307="Especial",'Pokémon'!I250,""))</x:f>
        <x:v>84</x:v>
      </x:c>
      <x:c r="I2307" s="10" t="n">
        <x:f>IF(OR(F2307="Status",G2307=0),"",G2307+H2307)</x:f>
        <x:v>134</x:v>
      </x:c>
      <x:c r="J2307" s="10" t="n">
        <x:v>41</x:v>
      </x:c>
      <x:c r="K2307" s="12" t="n">
        <x:v>15</x:v>
      </x:c>
      <x:c r="L2307" s="1" t="str"/>
      <x:c r="M2307" s="9" t="str">
        <x:v>https://poke.idleworld.online/pokepedia/pokemon/pupitar</x:v>
      </x:c>
    </x:row>
    <x:row r="2308" ht="22" customHeight="1">
      <x:c r="A2308" s="1" t="n">
        <x:v>248</x:v>
      </x:c>
      <x:c r="B2308" s="1" t="str">
        <x:v>Tyranitar</x:v>
      </x:c>
      <x:c r="C2308" s="1" t="n">
        <x:v>2</x:v>
      </x:c>
      <x:c r="D2308" s="1" t="str">
        <x:v>Crumbling Rain</x:v>
      </x:c>
      <x:c r="E2308" s="1" t="str">
        <x:v>Pedra</x:v>
      </x:c>
      <x:c r="F2308" s="1" t="str">
        <x:v>Física</x:v>
      </x:c>
      <x:c r="G2308" s="10" t="n">
        <x:v>300</x:v>
      </x:c>
      <x:c r="H2308" s="10" t="n">
        <x:f>IF(F2308="Física",'Pokémon'!G251,IF(F2308="Especial",'Pokémon'!I251,""))</x:f>
        <x:v>134</x:v>
      </x:c>
      <x:c r="I2308" s="10" t="n">
        <x:f>IF(OR(F2308="Status",G2308=0),"",G2308+H2308)</x:f>
        <x:v>434</x:v>
      </x:c>
      <x:c r="J2308" s="10" t="n">
        <x:v>1</x:v>
      </x:c>
      <x:c r="K2308" s="12" t="n">
        <x:v>10</x:v>
      </x:c>
      <x:c r="L2308" s="1" t="str">
        <x:v>Sim</x:v>
      </x:c>
      <x:c r="M2308" s="9" t="str">
        <x:v>https://poke.idleworld.online/pokepedia/pokemon/tyranitar</x:v>
      </x:c>
    </x:row>
    <x:row r="2309" ht="22" customHeight="1">
      <x:c r="A2309" s="1" t="n">
        <x:v>248</x:v>
      </x:c>
      <x:c r="B2309" s="1" t="str">
        <x:v>Tyranitar</x:v>
      </x:c>
      <x:c r="C2309" s="1" t="n">
        <x:v>15</x:v>
      </x:c>
      <x:c r="D2309" s="1" t="str">
        <x:v>Giga Impact</x:v>
      </x:c>
      <x:c r="E2309" s="1" t="str">
        <x:v>Normal</x:v>
      </x:c>
      <x:c r="F2309" s="1" t="str">
        <x:v>Física</x:v>
      </x:c>
      <x:c r="G2309" s="10" t="n">
        <x:v>150</x:v>
      </x:c>
      <x:c r="H2309" s="10" t="n">
        <x:f>IF(F2309="Física",'Pokémon'!G251,IF(F2309="Especial",'Pokémon'!I251,""))</x:f>
        <x:v>134</x:v>
      </x:c>
      <x:c r="I2309" s="10" t="n">
        <x:f>IF(OR(F2309="Status",G2309=0),"",G2309+H2309)</x:f>
        <x:v>284</x:v>
      </x:c>
      <x:c r="J2309" s="10" t="n">
        <x:v>82</x:v>
      </x:c>
      <x:c r="K2309" s="12" t="n">
        <x:v>50</x:v>
      </x:c>
      <x:c r="L2309" s="1" t="str"/>
      <x:c r="M2309" s="9" t="str">
        <x:v>https://poke.idleworld.online/pokepedia/pokemon/tyranitar</x:v>
      </x:c>
    </x:row>
    <x:row r="2310" ht="22" customHeight="1">
      <x:c r="A2310" s="1" t="n">
        <x:v>248</x:v>
      </x:c>
      <x:c r="B2310" s="1" t="str">
        <x:v>Tyranitar</x:v>
      </x:c>
      <x:c r="C2310" s="1" t="n">
        <x:v>8</x:v>
      </x:c>
      <x:c r="D2310" s="1" t="str">
        <x:v>Thrash</x:v>
      </x:c>
      <x:c r="E2310" s="1" t="str">
        <x:v>Normal</x:v>
      </x:c>
      <x:c r="F2310" s="1" t="str">
        <x:v>Física</x:v>
      </x:c>
      <x:c r="G2310" s="10" t="n">
        <x:v>120</x:v>
      </x:c>
      <x:c r="H2310" s="10" t="n">
        <x:f>IF(F2310="Física",'Pokémon'!G251,IF(F2310="Especial",'Pokémon'!I251,""))</x:f>
        <x:v>134</x:v>
      </x:c>
      <x:c r="I2310" s="10" t="n">
        <x:f>IF(OR(F2310="Status",G2310=0),"",G2310+H2310)</x:f>
        <x:v>254</x:v>
      </x:c>
      <x:c r="J2310" s="10" t="n">
        <x:v>28</x:v>
      </x:c>
      <x:c r="K2310" s="12" t="n">
        <x:v>50</x:v>
      </x:c>
      <x:c r="L2310" s="1" t="str"/>
      <x:c r="M2310" s="9" t="str">
        <x:v>https://poke.idleworld.online/pokepedia/pokemon/tyranitar</x:v>
      </x:c>
    </x:row>
    <x:row r="2311" ht="22" customHeight="1">
      <x:c r="A2311" s="1" t="n">
        <x:v>248</x:v>
      </x:c>
      <x:c r="B2311" s="1" t="str">
        <x:v>Tyranitar</x:v>
      </x:c>
      <x:c r="C2311" s="1" t="n">
        <x:v>14</x:v>
      </x:c>
      <x:c r="D2311" s="1" t="str">
        <x:v>Hyper Beam</x:v>
      </x:c>
      <x:c r="E2311" s="1" t="str">
        <x:v>Normal</x:v>
      </x:c>
      <x:c r="F2311" s="1" t="str">
        <x:v>Especial</x:v>
      </x:c>
      <x:c r="G2311" s="10" t="n">
        <x:v>150</x:v>
      </x:c>
      <x:c r="H2311" s="10" t="n">
        <x:f>IF(F2311="Física",'Pokémon'!G251,IF(F2311="Especial",'Pokémon'!I251,""))</x:f>
        <x:v>95</x:v>
      </x:c>
      <x:c r="I2311" s="10" t="n">
        <x:f>IF(OR(F2311="Status",G2311=0),"",G2311+H2311)</x:f>
        <x:v>245</x:v>
      </x:c>
      <x:c r="J2311" s="10" t="n">
        <x:v>73</x:v>
      </x:c>
      <x:c r="K2311" s="12" t="n">
        <x:v>50</x:v>
      </x:c>
      <x:c r="L2311" s="1" t="str"/>
      <x:c r="M2311" s="9" t="str">
        <x:v>https://poke.idleworld.online/pokepedia/pokemon/tyranitar</x:v>
      </x:c>
    </x:row>
    <x:row r="2312" ht="22" customHeight="1">
      <x:c r="A2312" s="1" t="n">
        <x:v>248</x:v>
      </x:c>
      <x:c r="B2312" s="1" t="str">
        <x:v>Tyranitar</x:v>
      </x:c>
      <x:c r="C2312" s="1" t="n">
        <x:v>12</x:v>
      </x:c>
      <x:c r="D2312" s="1" t="str">
        <x:v>Earthquake</x:v>
      </x:c>
      <x:c r="E2312" s="1" t="str">
        <x:v>Terrestre</x:v>
      </x:c>
      <x:c r="F2312" s="1" t="str">
        <x:v>Física</x:v>
      </x:c>
      <x:c r="G2312" s="10" t="n">
        <x:v>100</x:v>
      </x:c>
      <x:c r="H2312" s="10" t="n">
        <x:f>IF(F2312="Física",'Pokémon'!G251,IF(F2312="Especial",'Pokémon'!I251,""))</x:f>
        <x:v>134</x:v>
      </x:c>
      <x:c r="I2312" s="10" t="n">
        <x:f>IF(OR(F2312="Status",G2312=0),"",G2312+H2312)</x:f>
        <x:v>234</x:v>
      </x:c>
      <x:c r="J2312" s="10" t="n">
        <x:v>54</x:v>
      </x:c>
      <x:c r="K2312" s="12" t="n">
        <x:v>40</x:v>
      </x:c>
      <x:c r="L2312" s="1" t="str"/>
      <x:c r="M2312" s="9" t="str">
        <x:v>https://poke.idleworld.online/pokepedia/pokemon/tyranitar</x:v>
      </x:c>
    </x:row>
    <x:row r="2313" ht="22" customHeight="1">
      <x:c r="A2313" s="1" t="n">
        <x:v>248</x:v>
      </x:c>
      <x:c r="B2313" s="1" t="str">
        <x:v>Tyranitar</x:v>
      </x:c>
      <x:c r="C2313" s="1" t="n">
        <x:v>13</x:v>
      </x:c>
      <x:c r="D2313" s="1" t="str">
        <x:v>Stone Edge</x:v>
      </x:c>
      <x:c r="E2313" s="1" t="str">
        <x:v>Pedra</x:v>
      </x:c>
      <x:c r="F2313" s="1" t="str">
        <x:v>Física</x:v>
      </x:c>
      <x:c r="G2313" s="10" t="n">
        <x:v>100</x:v>
      </x:c>
      <x:c r="H2313" s="10" t="n">
        <x:f>IF(F2313="Física",'Pokémon'!G251,IF(F2313="Especial",'Pokémon'!I251,""))</x:f>
        <x:v>134</x:v>
      </x:c>
      <x:c r="I2313" s="10" t="n">
        <x:f>IF(OR(F2313="Status",G2313=0),"",G2313+H2313)</x:f>
        <x:v>234</x:v>
      </x:c>
      <x:c r="J2313" s="10" t="n">
        <x:v>63</x:v>
      </x:c>
      <x:c r="K2313" s="12" t="n">
        <x:v>20</x:v>
      </x:c>
      <x:c r="L2313" s="1" t="str"/>
      <x:c r="M2313" s="9" t="str">
        <x:v>https://poke.idleworld.online/pokepedia/pokemon/tyranitar</x:v>
      </x:c>
    </x:row>
    <x:row r="2314" ht="22" customHeight="1">
      <x:c r="A2314" s="1" t="n">
        <x:v>248</x:v>
      </x:c>
      <x:c r="B2314" s="1" t="str">
        <x:v>Tyranitar</x:v>
      </x:c>
      <x:c r="C2314" s="1" t="n">
        <x:v>11</x:v>
      </x:c>
      <x:c r="D2314" s="1" t="str">
        <x:v>Crunch</x:v>
      </x:c>
      <x:c r="E2314" s="1" t="str">
        <x:v>Sombrio</x:v>
      </x:c>
      <x:c r="F2314" s="1" t="str">
        <x:v>Física</x:v>
      </x:c>
      <x:c r="G2314" s="10" t="n">
        <x:v>80</x:v>
      </x:c>
      <x:c r="H2314" s="10" t="n">
        <x:f>IF(F2314="Física",'Pokémon'!G251,IF(F2314="Especial",'Pokémon'!I251,""))</x:f>
        <x:v>134</x:v>
      </x:c>
      <x:c r="I2314" s="10" t="n">
        <x:f>IF(OR(F2314="Status",G2314=0),"",G2314+H2314)</x:f>
        <x:v>214</x:v>
      </x:c>
      <x:c r="J2314" s="10" t="n">
        <x:v>47</x:v>
      </x:c>
      <x:c r="K2314" s="12" t="n">
        <x:v>22</x:v>
      </x:c>
      <x:c r="L2314" s="1" t="str"/>
      <x:c r="M2314" s="9" t="str">
        <x:v>https://poke.idleworld.online/pokepedia/pokemon/tyranitar</x:v>
      </x:c>
    </x:row>
    <x:row r="2315" ht="22" customHeight="1">
      <x:c r="A2315" s="1" t="n">
        <x:v>248</x:v>
      </x:c>
      <x:c r="B2315" s="1" t="str">
        <x:v>Tyranitar</x:v>
      </x:c>
      <x:c r="C2315" s="1" t="n">
        <x:v>7</x:v>
      </x:c>
      <x:c r="D2315" s="1" t="str">
        <x:v>Rock Slide</x:v>
      </x:c>
      <x:c r="E2315" s="1" t="str">
        <x:v>Pedra</x:v>
      </x:c>
      <x:c r="F2315" s="1" t="str">
        <x:v>Física</x:v>
      </x:c>
      <x:c r="G2315" s="10" t="n">
        <x:v>75</x:v>
      </x:c>
      <x:c r="H2315" s="10" t="n">
        <x:f>IF(F2315="Física",'Pokémon'!G251,IF(F2315="Especial",'Pokémon'!I251,""))</x:f>
        <x:v>134</x:v>
      </x:c>
      <x:c r="I2315" s="10" t="n">
        <x:f>IF(OR(F2315="Status",G2315=0),"",G2315+H2315)</x:f>
        <x:v>209</x:v>
      </x:c>
      <x:c r="J2315" s="10" t="n">
        <x:v>19</x:v>
      </x:c>
      <x:c r="K2315" s="12" t="n">
        <x:v>15</x:v>
      </x:c>
      <x:c r="L2315" s="1" t="str"/>
      <x:c r="M2315" s="9" t="str">
        <x:v>https://poke.idleworld.online/pokepedia/pokemon/tyranitar</x:v>
      </x:c>
    </x:row>
    <x:row r="2316" ht="22" customHeight="1">
      <x:c r="A2316" s="1" t="n">
        <x:v>248</x:v>
      </x:c>
      <x:c r="B2316" s="1" t="str">
        <x:v>Tyranitar</x:v>
      </x:c>
      <x:c r="C2316" s="1" t="n">
        <x:v>6</x:v>
      </x:c>
      <x:c r="D2316" s="1" t="str">
        <x:v>Chip Away</x:v>
      </x:c>
      <x:c r="E2316" s="1" t="str">
        <x:v>Normal</x:v>
      </x:c>
      <x:c r="F2316" s="1" t="str">
        <x:v>Física</x:v>
      </x:c>
      <x:c r="G2316" s="10" t="n">
        <x:v>70</x:v>
      </x:c>
      <x:c r="H2316" s="10" t="n">
        <x:f>IF(F2316="Física",'Pokémon'!G251,IF(F2316="Especial",'Pokémon'!I251,""))</x:f>
        <x:v>134</x:v>
      </x:c>
      <x:c r="I2316" s="10" t="n">
        <x:f>IF(OR(F2316="Status",G2316=0),"",G2316+H2316)</x:f>
        <x:v>204</x:v>
      </x:c>
      <x:c r="J2316" s="10" t="n">
        <x:v>14</x:v>
      </x:c>
      <x:c r="K2316" s="12" t="n">
        <x:v>20</x:v>
      </x:c>
      <x:c r="L2316" s="1" t="str"/>
      <x:c r="M2316" s="9" t="str">
        <x:v>https://poke.idleworld.online/pokepedia/pokemon/tyranitar</x:v>
      </x:c>
    </x:row>
    <x:row r="2317" ht="22" customHeight="1">
      <x:c r="A2317" s="1" t="n">
        <x:v>248</x:v>
      </x:c>
      <x:c r="B2317" s="1" t="str">
        <x:v>Tyranitar</x:v>
      </x:c>
      <x:c r="C2317" s="1" t="n">
        <x:v>3</x:v>
      </x:c>
      <x:c r="D2317" s="1" t="str">
        <x:v>Thunder Fang</x:v>
      </x:c>
      <x:c r="E2317" s="1" t="str">
        <x:v>Elétrico</x:v>
      </x:c>
      <x:c r="F2317" s="1" t="str">
        <x:v>Física</x:v>
      </x:c>
      <x:c r="G2317" s="10" t="n">
        <x:v>65</x:v>
      </x:c>
      <x:c r="H2317" s="10" t="n">
        <x:f>IF(F2317="Física",'Pokémon'!G251,IF(F2317="Especial",'Pokémon'!I251,""))</x:f>
        <x:v>134</x:v>
      </x:c>
      <x:c r="I2317" s="10" t="n">
        <x:f>IF(OR(F2317="Status",G2317=0),"",G2317+H2317)</x:f>
        <x:v>199</x:v>
      </x:c>
      <x:c r="J2317" s="10" t="n">
        <x:v>1</x:v>
      </x:c>
      <x:c r="K2317" s="12" t="n">
        <x:v>20</x:v>
      </x:c>
      <x:c r="L2317" s="1" t="str"/>
      <x:c r="M2317" s="9" t="str">
        <x:v>https://poke.idleworld.online/pokepedia/pokemon/tyranitar</x:v>
      </x:c>
    </x:row>
    <x:row r="2318" ht="22" customHeight="1">
      <x:c r="A2318" s="1" t="n">
        <x:v>248</x:v>
      </x:c>
      <x:c r="B2318" s="1" t="str">
        <x:v>Tyranitar</x:v>
      </x:c>
      <x:c r="C2318" s="1" t="n">
        <x:v>4</x:v>
      </x:c>
      <x:c r="D2318" s="1" t="str">
        <x:v>Ice Fang</x:v>
      </x:c>
      <x:c r="E2318" s="1" t="str">
        <x:v>Gelo</x:v>
      </x:c>
      <x:c r="F2318" s="1" t="str">
        <x:v>Física</x:v>
      </x:c>
      <x:c r="G2318" s="10" t="n">
        <x:v>65</x:v>
      </x:c>
      <x:c r="H2318" s="10" t="n">
        <x:f>IF(F2318="Física",'Pokémon'!G251,IF(F2318="Especial",'Pokémon'!I251,""))</x:f>
        <x:v>134</x:v>
      </x:c>
      <x:c r="I2318" s="10" t="n">
        <x:f>IF(OR(F2318="Status",G2318=0),"",G2318+H2318)</x:f>
        <x:v>199</x:v>
      </x:c>
      <x:c r="J2318" s="10" t="n">
        <x:v>1</x:v>
      </x:c>
      <x:c r="K2318" s="12" t="n">
        <x:v>20</x:v>
      </x:c>
      <x:c r="L2318" s="1" t="str"/>
      <x:c r="M2318" s="9" t="str">
        <x:v>https://poke.idleworld.online/pokepedia/pokemon/tyranitar</x:v>
      </x:c>
    </x:row>
    <x:row r="2319" ht="22" customHeight="1">
      <x:c r="A2319" s="1" t="n">
        <x:v>248</x:v>
      </x:c>
      <x:c r="B2319" s="1" t="str">
        <x:v>Tyranitar</x:v>
      </x:c>
      <x:c r="C2319" s="1" t="n">
        <x:v>5</x:v>
      </x:c>
      <x:c r="D2319" s="1" t="str">
        <x:v>Fire Fang</x:v>
      </x:c>
      <x:c r="E2319" s="1" t="str">
        <x:v>Fogo</x:v>
      </x:c>
      <x:c r="F2319" s="1" t="str">
        <x:v>Física</x:v>
      </x:c>
      <x:c r="G2319" s="10" t="n">
        <x:v>65</x:v>
      </x:c>
      <x:c r="H2319" s="10" t="n">
        <x:f>IF(F2319="Física",'Pokémon'!G251,IF(F2319="Especial",'Pokémon'!I251,""))</x:f>
        <x:v>134</x:v>
      </x:c>
      <x:c r="I2319" s="10" t="n">
        <x:f>IF(OR(F2319="Status",G2319=0),"",G2319+H2319)</x:f>
        <x:v>199</x:v>
      </x:c>
      <x:c r="J2319" s="10" t="n">
        <x:v>1</x:v>
      </x:c>
      <x:c r="K2319" s="12" t="n">
        <x:v>20</x:v>
      </x:c>
      <x:c r="L2319" s="1" t="str"/>
      <x:c r="M2319" s="9" t="str">
        <x:v>https://poke.idleworld.online/pokepedia/pokemon/tyranitar</x:v>
      </x:c>
    </x:row>
    <x:row r="2320" ht="22" customHeight="1">
      <x:c r="A2320" s="1" t="n">
        <x:v>248</x:v>
      </x:c>
      <x:c r="B2320" s="1" t="str">
        <x:v>Tyranitar</x:v>
      </x:c>
      <x:c r="C2320" s="1" t="n">
        <x:v>1</x:v>
      </x:c>
      <x:c r="D2320" s="1" t="str">
        <x:v>Bite</x:v>
      </x:c>
      <x:c r="E2320" s="1" t="str">
        <x:v>Sombrio</x:v>
      </x:c>
      <x:c r="F2320" s="1" t="str">
        <x:v>Física</x:v>
      </x:c>
      <x:c r="G2320" s="10" t="n">
        <x:v>60</x:v>
      </x:c>
      <x:c r="H2320" s="10" t="n">
        <x:f>IF(F2320="Física",'Pokémon'!G251,IF(F2320="Especial",'Pokémon'!I251,""))</x:f>
        <x:v>134</x:v>
      </x:c>
      <x:c r="I2320" s="10" t="n">
        <x:f>IF(OR(F2320="Status",G2320=0),"",G2320+H2320)</x:f>
        <x:v>194</x:v>
      </x:c>
      <x:c r="J2320" s="10" t="n">
        <x:v>1</x:v>
      </x:c>
      <x:c r="K2320" s="12" t="n">
        <x:v>15</x:v>
      </x:c>
      <x:c r="L2320" s="1" t="str"/>
      <x:c r="M2320" s="9" t="str">
        <x:v>https://poke.idleworld.online/pokepedia/pokemon/tyranitar</x:v>
      </x:c>
    </x:row>
    <x:row r="2321" ht="22" customHeight="1">
      <x:c r="A2321" s="1" t="n">
        <x:v>248</x:v>
      </x:c>
      <x:c r="B2321" s="1" t="str">
        <x:v>Tyranitar</x:v>
      </x:c>
      <x:c r="C2321" s="1" t="n">
        <x:v>10</x:v>
      </x:c>
      <x:c r="D2321" s="1" t="str">
        <x:v>Payback</x:v>
      </x:c>
      <x:c r="E2321" s="1" t="str">
        <x:v>Sombrio</x:v>
      </x:c>
      <x:c r="F2321" s="1" t="str">
        <x:v>Física</x:v>
      </x:c>
      <x:c r="G2321" s="10" t="n">
        <x:v>50</x:v>
      </x:c>
      <x:c r="H2321" s="10" t="n">
        <x:f>IF(F2321="Física",'Pokémon'!G251,IF(F2321="Especial",'Pokémon'!I251,""))</x:f>
        <x:v>134</x:v>
      </x:c>
      <x:c r="I2321" s="10" t="n">
        <x:f>IF(OR(F2321="Status",G2321=0),"",G2321+H2321)</x:f>
        <x:v>184</x:v>
      </x:c>
      <x:c r="J2321" s="10" t="n">
        <x:v>41</x:v>
      </x:c>
      <x:c r="K2321" s="12" t="n">
        <x:v>15</x:v>
      </x:c>
      <x:c r="L2321" s="1" t="str"/>
      <x:c r="M2321" s="9" t="str">
        <x:v>https://poke.idleworld.online/pokepedia/pokemon/tyranitar</x:v>
      </x:c>
    </x:row>
    <x:row r="2322" ht="22" customHeight="1">
      <x:c r="A2322" s="1" t="n">
        <x:v>248</x:v>
      </x:c>
      <x:c r="B2322" s="1" t="str">
        <x:v>Tyranitar</x:v>
      </x:c>
      <x:c r="C2322" s="1" t="n">
        <x:v>9</x:v>
      </x:c>
      <x:c r="D2322" s="1" t="str">
        <x:v>Dark Pulse</x:v>
      </x:c>
      <x:c r="E2322" s="1" t="str">
        <x:v>Sombrio</x:v>
      </x:c>
      <x:c r="F2322" s="1" t="str">
        <x:v>Especial</x:v>
      </x:c>
      <x:c r="G2322" s="10" t="n">
        <x:v>80</x:v>
      </x:c>
      <x:c r="H2322" s="10" t="n">
        <x:f>IF(F2322="Física",'Pokémon'!G251,IF(F2322="Especial",'Pokémon'!I251,""))</x:f>
        <x:v>95</x:v>
      </x:c>
      <x:c r="I2322" s="10" t="n">
        <x:f>IF(OR(F2322="Status",G2322=0),"",G2322+H2322)</x:f>
        <x:v>175</x:v>
      </x:c>
      <x:c r="J2322" s="10" t="n">
        <x:v>34</x:v>
      </x:c>
      <x:c r="K2322" s="12" t="n">
        <x:v>22</x:v>
      </x:c>
      <x:c r="L2322" s="1" t="str"/>
      <x:c r="M2322" s="9" t="str">
        <x:v>https://poke.idleworld.online/pokepedia/pokemon/tyranitar</x:v>
      </x:c>
    </x:row>
    <x:row r="2323" ht="22" customHeight="1">
      <x:c r="A2323" s="1" t="n">
        <x:v>249</x:v>
      </x:c>
      <x:c r="B2323" s="1" t="str">
        <x:v>Lugia</x:v>
      </x:c>
      <x:c r="C2323" s="1" t="n">
        <x:v>1</x:v>
      </x:c>
      <x:c r="D2323" s="1" t="str">
        <x:v>Massive Hurricane</x:v>
      </x:c>
      <x:c r="E2323" s="1" t="str">
        <x:v>Voador</x:v>
      </x:c>
      <x:c r="F2323" s="1" t="str">
        <x:v>Física</x:v>
      </x:c>
      <x:c r="G2323" s="10" t="n">
        <x:v>300</x:v>
      </x:c>
      <x:c r="H2323" s="10" t="n">
        <x:f>IF(F2323="Física",'Pokémon'!G252,IF(F2323="Especial",'Pokémon'!I252,""))</x:f>
        <x:v>90</x:v>
      </x:c>
      <x:c r="I2323" s="10" t="n">
        <x:f>IF(OR(F2323="Status",G2323=0),"",G2323+H2323)</x:f>
        <x:v>390</x:v>
      </x:c>
      <x:c r="J2323" s="10" t="n">
        <x:v>1</x:v>
      </x:c>
      <x:c r="K2323" s="12" t="n">
        <x:v>10</x:v>
      </x:c>
      <x:c r="L2323" s="1" t="str">
        <x:v>Sim</x:v>
      </x:c>
      <x:c r="M2323" s="9" t="str">
        <x:v>https://poke.idleworld.online/pokepedia/pokemon/lugia</x:v>
      </x:c>
    </x:row>
    <x:row r="2324" ht="22" customHeight="1">
      <x:c r="A2324" s="1" t="n">
        <x:v>249</x:v>
      </x:c>
      <x:c r="B2324" s="1" t="str">
        <x:v>Lugia</x:v>
      </x:c>
      <x:c r="C2324" s="1" t="n">
        <x:v>2</x:v>
      </x:c>
      <x:c r="D2324" s="1" t="str">
        <x:v>Mental Singularity</x:v>
      </x:c>
      <x:c r="E2324" s="1" t="str">
        <x:v>Psíquico</x:v>
      </x:c>
      <x:c r="F2324" s="1" t="str">
        <x:v>Especial</x:v>
      </x:c>
      <x:c r="G2324" s="10" t="n">
        <x:v>300</x:v>
      </x:c>
      <x:c r="H2324" s="10" t="n">
        <x:f>IF(F2324="Física",'Pokémon'!G252,IF(F2324="Especial",'Pokémon'!I252,""))</x:f>
        <x:v>90</x:v>
      </x:c>
      <x:c r="I2324" s="10" t="n">
        <x:f>IF(OR(F2324="Status",G2324=0),"",G2324+H2324)</x:f>
        <x:v>390</x:v>
      </x:c>
      <x:c r="J2324" s="10" t="n">
        <x:v>1</x:v>
      </x:c>
      <x:c r="K2324" s="12" t="n">
        <x:v>10</x:v>
      </x:c>
      <x:c r="L2324" s="1" t="str">
        <x:v>Sim</x:v>
      </x:c>
      <x:c r="M2324" s="9" t="str">
        <x:v>https://poke.idleworld.online/pokepedia/pokemon/lugia</x:v>
      </x:c>
    </x:row>
    <x:row r="2325" ht="22" customHeight="1">
      <x:c r="A2325" s="1" t="n">
        <x:v>249</x:v>
      </x:c>
      <x:c r="B2325" s="1" t="str">
        <x:v>Lugia</x:v>
      </x:c>
      <x:c r="C2325" s="1" t="n">
        <x:v>11</x:v>
      </x:c>
      <x:c r="D2325" s="1" t="str">
        <x:v>Sky Attack</x:v>
      </x:c>
      <x:c r="E2325" s="1" t="str">
        <x:v>Voador</x:v>
      </x:c>
      <x:c r="F2325" s="1" t="str">
        <x:v>Física</x:v>
      </x:c>
      <x:c r="G2325" s="10" t="n">
        <x:v>140</x:v>
      </x:c>
      <x:c r="H2325" s="10" t="n">
        <x:f>IF(F2325="Física",'Pokémon'!G252,IF(F2325="Especial",'Pokémon'!I252,""))</x:f>
        <x:v>90</x:v>
      </x:c>
      <x:c r="I2325" s="10" t="n">
        <x:f>IF(OR(F2325="Status",G2325=0),"",G2325+H2325)</x:f>
        <x:v>230</x:v>
      </x:c>
      <x:c r="J2325" s="10" t="n">
        <x:v>99</x:v>
      </x:c>
      <x:c r="K2325" s="12" t="n">
        <x:v>50</x:v>
      </x:c>
      <x:c r="L2325" s="1" t="str"/>
      <x:c r="M2325" s="9" t="str">
        <x:v>https://poke.idleworld.online/pokepedia/pokemon/lugia</x:v>
      </x:c>
    </x:row>
    <x:row r="2326" ht="22" customHeight="1">
      <x:c r="A2326" s="1" t="n">
        <x:v>249</x:v>
      </x:c>
      <x:c r="B2326" s="1" t="str">
        <x:v>Lugia</x:v>
      </x:c>
      <x:c r="C2326" s="1" t="n">
        <x:v>10</x:v>
      </x:c>
      <x:c r="D2326" s="1" t="str">
        <x:v>Future Sight</x:v>
      </x:c>
      <x:c r="E2326" s="1" t="str">
        <x:v>Psíquico</x:v>
      </x:c>
      <x:c r="F2326" s="1" t="str">
        <x:v>Especial</x:v>
      </x:c>
      <x:c r="G2326" s="10" t="n">
        <x:v>120</x:v>
      </x:c>
      <x:c r="H2326" s="10" t="n">
        <x:f>IF(F2326="Física",'Pokémon'!G252,IF(F2326="Especial",'Pokémon'!I252,""))</x:f>
        <x:v>90</x:v>
      </x:c>
      <x:c r="I2326" s="10" t="n">
        <x:f>IF(OR(F2326="Status",G2326=0),"",G2326+H2326)</x:f>
        <x:v>210</x:v>
      </x:c>
      <x:c r="J2326" s="10" t="n">
        <x:v>79</x:v>
      </x:c>
      <x:c r="K2326" s="12" t="n">
        <x:v>50</x:v>
      </x:c>
      <x:c r="L2326" s="1" t="str"/>
      <x:c r="M2326" s="9" t="str">
        <x:v>https://poke.idleworld.online/pokepedia/pokemon/lugia</x:v>
      </x:c>
    </x:row>
    <x:row r="2327" ht="22" customHeight="1">
      <x:c r="A2327" s="1" t="n">
        <x:v>249</x:v>
      </x:c>
      <x:c r="B2327" s="1" t="str">
        <x:v>Lugia</x:v>
      </x:c>
      <x:c r="C2327" s="1" t="n">
        <x:v>7</x:v>
      </x:c>
      <x:c r="D2327" s="1" t="str">
        <x:v>Hydro Pump</x:v>
      </x:c>
      <x:c r="E2327" s="1" t="str">
        <x:v>Água</x:v>
      </x:c>
      <x:c r="F2327" s="1" t="str">
        <x:v>Especial</x:v>
      </x:c>
      <x:c r="G2327" s="10" t="n">
        <x:v>110</x:v>
      </x:c>
      <x:c r="H2327" s="10" t="n">
        <x:f>IF(F2327="Física",'Pokémon'!G252,IF(F2327="Especial",'Pokémon'!I252,""))</x:f>
        <x:v>90</x:v>
      </x:c>
      <x:c r="I2327" s="10" t="n">
        <x:f>IF(OR(F2327="Status",G2327=0),"",G2327+H2327)</x:f>
        <x:v>200</x:v>
      </x:c>
      <x:c r="J2327" s="10" t="n">
        <x:v>37</x:v>
      </x:c>
      <x:c r="K2327" s="12" t="n">
        <x:v>40</x:v>
      </x:c>
      <x:c r="L2327" s="1" t="str"/>
      <x:c r="M2327" s="9" t="str">
        <x:v>https://poke.idleworld.online/pokepedia/pokemon/lugia</x:v>
      </x:c>
    </x:row>
    <x:row r="2328" ht="22" customHeight="1">
      <x:c r="A2328" s="1" t="n">
        <x:v>249</x:v>
      </x:c>
      <x:c r="B2328" s="1" t="str">
        <x:v>Lugia</x:v>
      </x:c>
      <x:c r="C2328" s="1" t="n">
        <x:v>5</x:v>
      </x:c>
      <x:c r="D2328" s="1" t="str">
        <x:v>Dragon Rush</x:v>
      </x:c>
      <x:c r="E2328" s="1" t="str">
        <x:v>Dragão</x:v>
      </x:c>
      <x:c r="F2328" s="1" t="str">
        <x:v>Física</x:v>
      </x:c>
      <x:c r="G2328" s="10" t="n">
        <x:v>100</x:v>
      </x:c>
      <x:c r="H2328" s="10" t="n">
        <x:f>IF(F2328="Física",'Pokémon'!G252,IF(F2328="Especial",'Pokémon'!I252,""))</x:f>
        <x:v>90</x:v>
      </x:c>
      <x:c r="I2328" s="10" t="n">
        <x:f>IF(OR(F2328="Status",G2328=0),"",G2328+H2328)</x:f>
        <x:v>190</x:v>
      </x:c>
      <x:c r="J2328" s="10" t="n">
        <x:v>15</x:v>
      </x:c>
      <x:c r="K2328" s="12" t="n">
        <x:v>40</x:v>
      </x:c>
      <x:c r="L2328" s="1" t="str"/>
      <x:c r="M2328" s="9" t="str">
        <x:v>https://poke.idleworld.online/pokepedia/pokemon/lugia</x:v>
      </x:c>
    </x:row>
    <x:row r="2329" ht="22" customHeight="1">
      <x:c r="A2329" s="1" t="n">
        <x:v>249</x:v>
      </x:c>
      <x:c r="B2329" s="1" t="str">
        <x:v>Lugia</x:v>
      </x:c>
      <x:c r="C2329" s="1" t="n">
        <x:v>8</x:v>
      </x:c>
      <x:c r="D2329" s="1" t="str">
        <x:v>Aeroblast</x:v>
      </x:c>
      <x:c r="E2329" s="1" t="str">
        <x:v>Voador</x:v>
      </x:c>
      <x:c r="F2329" s="1" t="str">
        <x:v>Especial</x:v>
      </x:c>
      <x:c r="G2329" s="10" t="n">
        <x:v>100</x:v>
      </x:c>
      <x:c r="H2329" s="10" t="n">
        <x:f>IF(F2329="Física",'Pokémon'!G252,IF(F2329="Especial",'Pokémon'!I252,""))</x:f>
        <x:v>90</x:v>
      </x:c>
      <x:c r="I2329" s="10" t="n">
        <x:f>IF(OR(F2329="Status",G2329=0),"",G2329+H2329)</x:f>
        <x:v>190</x:v>
      </x:c>
      <x:c r="J2329" s="10" t="n">
        <x:v>43</x:v>
      </x:c>
      <x:c r="K2329" s="12" t="n">
        <x:v>40</x:v>
      </x:c>
      <x:c r="L2329" s="1" t="str"/>
      <x:c r="M2329" s="9" t="str">
        <x:v>https://poke.idleworld.online/pokepedia/pokemon/lugia</x:v>
      </x:c>
    </x:row>
    <x:row r="2330" ht="22" customHeight="1">
      <x:c r="A2330" s="1" t="n">
        <x:v>249</x:v>
      </x:c>
      <x:c r="B2330" s="1" t="str">
        <x:v>Lugia</x:v>
      </x:c>
      <x:c r="C2330" s="1" t="n">
        <x:v>6</x:v>
      </x:c>
      <x:c r="D2330" s="1" t="str">
        <x:v>Extrasensory</x:v>
      </x:c>
      <x:c r="E2330" s="1" t="str">
        <x:v>Psíquico</x:v>
      </x:c>
      <x:c r="F2330" s="1" t="str">
        <x:v>Especial</x:v>
      </x:c>
      <x:c r="G2330" s="10" t="n">
        <x:v>80</x:v>
      </x:c>
      <x:c r="H2330" s="10" t="n">
        <x:f>IF(F2330="Física",'Pokémon'!G252,IF(F2330="Especial",'Pokémon'!I252,""))</x:f>
        <x:v>90</x:v>
      </x:c>
      <x:c r="I2330" s="10" t="n">
        <x:f>IF(OR(F2330="Status",G2330=0),"",G2330+H2330)</x:f>
        <x:v>170</x:v>
      </x:c>
      <x:c r="J2330" s="10" t="n">
        <x:v>23</x:v>
      </x:c>
      <x:c r="K2330" s="12" t="n">
        <x:v>22</x:v>
      </x:c>
      <x:c r="L2330" s="1" t="str"/>
      <x:c r="M2330" s="9" t="str">
        <x:v>https://poke.idleworld.online/pokepedia/pokemon/lugia</x:v>
      </x:c>
    </x:row>
    <x:row r="2331" ht="22" customHeight="1">
      <x:c r="A2331" s="1" t="n">
        <x:v>249</x:v>
      </x:c>
      <x:c r="B2331" s="1" t="str">
        <x:v>Lugia</x:v>
      </x:c>
      <x:c r="C2331" s="1" t="n">
        <x:v>9</x:v>
      </x:c>
      <x:c r="D2331" s="1" t="str">
        <x:v>Ancient Power</x:v>
      </x:c>
      <x:c r="E2331" s="1" t="str">
        <x:v>Pedra</x:v>
      </x:c>
      <x:c r="F2331" s="1" t="str">
        <x:v>Especial</x:v>
      </x:c>
      <x:c r="G2331" s="10" t="n">
        <x:v>60</x:v>
      </x:c>
      <x:c r="H2331" s="10" t="n">
        <x:f>IF(F2331="Física",'Pokémon'!G252,IF(F2331="Especial",'Pokémon'!I252,""))</x:f>
        <x:v>90</x:v>
      </x:c>
      <x:c r="I2331" s="10" t="n">
        <x:f>IF(OR(F2331="Status",G2331=0),"",G2331+H2331)</x:f>
        <x:v>150</x:v>
      </x:c>
      <x:c r="J2331" s="10" t="n">
        <x:v>57</x:v>
      </x:c>
      <x:c r="K2331" s="12" t="n">
        <x:v>20</x:v>
      </x:c>
      <x:c r="L2331" s="1" t="str"/>
      <x:c r="M2331" s="9" t="str">
        <x:v>https://poke.idleworld.online/pokepedia/pokemon/lugia</x:v>
      </x:c>
    </x:row>
    <x:row r="2332" ht="22" customHeight="1">
      <x:c r="A2332" s="1" t="n">
        <x:v>249</x:v>
      </x:c>
      <x:c r="B2332" s="1" t="str">
        <x:v>Lugia</x:v>
      </x:c>
      <x:c r="C2332" s="1" t="n">
        <x:v>3</x:v>
      </x:c>
      <x:c r="D2332" s="1" t="str">
        <x:v>Weather Ball</x:v>
      </x:c>
      <x:c r="E2332" s="1" t="str">
        <x:v>Normal</x:v>
      </x:c>
      <x:c r="F2332" s="1" t="str">
        <x:v>Especial</x:v>
      </x:c>
      <x:c r="G2332" s="10" t="n">
        <x:v>50</x:v>
      </x:c>
      <x:c r="H2332" s="10" t="n">
        <x:f>IF(F2332="Física",'Pokémon'!G252,IF(F2332="Especial",'Pokémon'!I252,""))</x:f>
        <x:v>90</x:v>
      </x:c>
      <x:c r="I2332" s="10" t="n">
        <x:f>IF(OR(F2332="Status",G2332=0),"",G2332+H2332)</x:f>
        <x:v>140</x:v>
      </x:c>
      <x:c r="J2332" s="10" t="n">
        <x:v>1</x:v>
      </x:c>
      <x:c r="K2332" s="12" t="n">
        <x:v>15</x:v>
      </x:c>
      <x:c r="L2332" s="1" t="str"/>
      <x:c r="M2332" s="9" t="str">
        <x:v>https://poke.idleworld.online/pokepedia/pokemon/lugia</x:v>
      </x:c>
    </x:row>
    <x:row r="2333" ht="22" customHeight="1">
      <x:c r="A2333" s="1" t="n">
        <x:v>249</x:v>
      </x:c>
      <x:c r="B2333" s="1" t="str">
        <x:v>Lugia</x:v>
      </x:c>
      <x:c r="C2333" s="1" t="n">
        <x:v>4</x:v>
      </x:c>
      <x:c r="D2333" s="1" t="str">
        <x:v>Gust</x:v>
      </x:c>
      <x:c r="E2333" s="1" t="str">
        <x:v>Voador</x:v>
      </x:c>
      <x:c r="F2333" s="1" t="str">
        <x:v>Especial</x:v>
      </x:c>
      <x:c r="G2333" s="10" t="n">
        <x:v>40</x:v>
      </x:c>
      <x:c r="H2333" s="10" t="n">
        <x:f>IF(F2333="Física",'Pokémon'!G252,IF(F2333="Especial",'Pokémon'!I252,""))</x:f>
        <x:v>90</x:v>
      </x:c>
      <x:c r="I2333" s="10" t="n">
        <x:f>IF(OR(F2333="Status",G2333=0),"",G2333+H2333)</x:f>
        <x:v>130</x:v>
      </x:c>
      <x:c r="J2333" s="10" t="n">
        <x:v>9</x:v>
      </x:c>
      <x:c r="K2333" s="12" t="n">
        <x:v>15</x:v>
      </x:c>
      <x:c r="L2333" s="1" t="str"/>
      <x:c r="M2333" s="9" t="str">
        <x:v>https://poke.idleworld.online/pokepedia/pokemon/lugia</x:v>
      </x:c>
    </x:row>
    <x:row r="2334" ht="22" customHeight="1">
      <x:c r="A2334" s="1" t="n">
        <x:v>250</x:v>
      </x:c>
      <x:c r="B2334" s="1" t="str">
        <x:v>Ho-oh</x:v>
      </x:c>
      <x:c r="C2334" s="1" t="n">
        <x:v>2</x:v>
      </x:c>
      <x:c r="D2334" s="1" t="str">
        <x:v>Massive Hurricane</x:v>
      </x:c>
      <x:c r="E2334" s="1" t="str">
        <x:v>Voador</x:v>
      </x:c>
      <x:c r="F2334" s="1" t="str">
        <x:v>Física</x:v>
      </x:c>
      <x:c r="G2334" s="10" t="n">
        <x:v>300</x:v>
      </x:c>
      <x:c r="H2334" s="10" t="n">
        <x:f>IF(F2334="Física",'Pokémon'!G253,IF(F2334="Especial",'Pokémon'!I253,""))</x:f>
        <x:v>130</x:v>
      </x:c>
      <x:c r="I2334" s="10" t="n">
        <x:f>IF(OR(F2334="Status",G2334=0),"",G2334+H2334)</x:f>
        <x:v>430</x:v>
      </x:c>
      <x:c r="J2334" s="10" t="n">
        <x:v>1</x:v>
      </x:c>
      <x:c r="K2334" s="12" t="n">
        <x:v>10</x:v>
      </x:c>
      <x:c r="L2334" s="1" t="str">
        <x:v>Sim</x:v>
      </x:c>
      <x:c r="M2334" s="9" t="str">
        <x:v>https://poke.idleworld.online/pokepedia/pokemon/hooh</x:v>
      </x:c>
    </x:row>
    <x:row r="2335" ht="22" customHeight="1">
      <x:c r="A2335" s="1" t="n">
        <x:v>250</x:v>
      </x:c>
      <x:c r="B2335" s="1" t="str">
        <x:v>Ho-oh</x:v>
      </x:c>
      <x:c r="C2335" s="1" t="n">
        <x:v>1</x:v>
      </x:c>
      <x:c r="D2335" s="1" t="str">
        <x:v>Ignition Point</x:v>
      </x:c>
      <x:c r="E2335" s="1" t="str">
        <x:v>Fogo</x:v>
      </x:c>
      <x:c r="F2335" s="1" t="str">
        <x:v>Especial</x:v>
      </x:c>
      <x:c r="G2335" s="10" t="n">
        <x:v>300</x:v>
      </x:c>
      <x:c r="H2335" s="10" t="n">
        <x:f>IF(F2335="Física",'Pokémon'!G253,IF(F2335="Especial",'Pokémon'!I253,""))</x:f>
        <x:v>110</x:v>
      </x:c>
      <x:c r="I2335" s="10" t="n">
        <x:f>IF(OR(F2335="Status",G2335=0),"",G2335+H2335)</x:f>
        <x:v>410</x:v>
      </x:c>
      <x:c r="J2335" s="10" t="n">
        <x:v>1</x:v>
      </x:c>
      <x:c r="K2335" s="12" t="n">
        <x:v>10</x:v>
      </x:c>
      <x:c r="L2335" s="1" t="str">
        <x:v>Sim</x:v>
      </x:c>
      <x:c r="M2335" s="9" t="str">
        <x:v>https://poke.idleworld.online/pokepedia/pokemon/hooh</x:v>
      </x:c>
    </x:row>
    <x:row r="2336" ht="22" customHeight="1">
      <x:c r="A2336" s="1" t="n">
        <x:v>250</x:v>
      </x:c>
      <x:c r="B2336" s="1" t="str">
        <x:v>Ho-oh</x:v>
      </x:c>
      <x:c r="C2336" s="1" t="n">
        <x:v>11</x:v>
      </x:c>
      <x:c r="D2336" s="1" t="str">
        <x:v>Sky Attack</x:v>
      </x:c>
      <x:c r="E2336" s="1" t="str">
        <x:v>Voador</x:v>
      </x:c>
      <x:c r="F2336" s="1" t="str">
        <x:v>Física</x:v>
      </x:c>
      <x:c r="G2336" s="10" t="n">
        <x:v>140</x:v>
      </x:c>
      <x:c r="H2336" s="10" t="n">
        <x:f>IF(F2336="Física",'Pokémon'!G253,IF(F2336="Especial",'Pokémon'!I253,""))</x:f>
        <x:v>130</x:v>
      </x:c>
      <x:c r="I2336" s="10" t="n">
        <x:f>IF(OR(F2336="Status",G2336=0),"",G2336+H2336)</x:f>
        <x:v>270</x:v>
      </x:c>
      <x:c r="J2336" s="10" t="n">
        <x:v>99</x:v>
      </x:c>
      <x:c r="K2336" s="12" t="n">
        <x:v>50</x:v>
      </x:c>
      <x:c r="L2336" s="1" t="str"/>
      <x:c r="M2336" s="9" t="str">
        <x:v>https://poke.idleworld.online/pokepedia/pokemon/hooh</x:v>
      </x:c>
    </x:row>
    <x:row r="2337" ht="22" customHeight="1">
      <x:c r="A2337" s="1" t="n">
        <x:v>250</x:v>
      </x:c>
      <x:c r="B2337" s="1" t="str">
        <x:v>Ho-oh</x:v>
      </x:c>
      <x:c r="C2337" s="1" t="n">
        <x:v>5</x:v>
      </x:c>
      <x:c r="D2337" s="1" t="str">
        <x:v>Brave Bird</x:v>
      </x:c>
      <x:c r="E2337" s="1" t="str">
        <x:v>Voador</x:v>
      </x:c>
      <x:c r="F2337" s="1" t="str">
        <x:v>Física</x:v>
      </x:c>
      <x:c r="G2337" s="10" t="n">
        <x:v>120</x:v>
      </x:c>
      <x:c r="H2337" s="10" t="n">
        <x:f>IF(F2337="Física",'Pokémon'!G253,IF(F2337="Especial",'Pokémon'!I253,""))</x:f>
        <x:v>130</x:v>
      </x:c>
      <x:c r="I2337" s="10" t="n">
        <x:f>IF(OR(F2337="Status",G2337=0),"",G2337+H2337)</x:f>
        <x:v>250</x:v>
      </x:c>
      <x:c r="J2337" s="10" t="n">
        <x:v>15</x:v>
      </x:c>
      <x:c r="K2337" s="12" t="n">
        <x:v>50</x:v>
      </x:c>
      <x:c r="L2337" s="1" t="str"/>
      <x:c r="M2337" s="9" t="str">
        <x:v>https://poke.idleworld.online/pokepedia/pokemon/hooh</x:v>
      </x:c>
    </x:row>
    <x:row r="2338" ht="22" customHeight="1">
      <x:c r="A2338" s="1" t="n">
        <x:v>250</x:v>
      </x:c>
      <x:c r="B2338" s="1" t="str">
        <x:v>Ho-oh</x:v>
      </x:c>
      <x:c r="C2338" s="1" t="n">
        <x:v>10</x:v>
      </x:c>
      <x:c r="D2338" s="1" t="str">
        <x:v>Future Sight</x:v>
      </x:c>
      <x:c r="E2338" s="1" t="str">
        <x:v>Psíquico</x:v>
      </x:c>
      <x:c r="F2338" s="1" t="str">
        <x:v>Especial</x:v>
      </x:c>
      <x:c r="G2338" s="10" t="n">
        <x:v>120</x:v>
      </x:c>
      <x:c r="H2338" s="10" t="n">
        <x:f>IF(F2338="Física",'Pokémon'!G253,IF(F2338="Especial",'Pokémon'!I253,""))</x:f>
        <x:v>110</x:v>
      </x:c>
      <x:c r="I2338" s="10" t="n">
        <x:f>IF(OR(F2338="Status",G2338=0),"",G2338+H2338)</x:f>
        <x:v>230</x:v>
      </x:c>
      <x:c r="J2338" s="10" t="n">
        <x:v>79</x:v>
      </x:c>
      <x:c r="K2338" s="12" t="n">
        <x:v>50</x:v>
      </x:c>
      <x:c r="L2338" s="1" t="str"/>
      <x:c r="M2338" s="9" t="str">
        <x:v>https://poke.idleworld.online/pokepedia/pokemon/hooh</x:v>
      </x:c>
    </x:row>
    <x:row r="2339" ht="22" customHeight="1">
      <x:c r="A2339" s="1" t="n">
        <x:v>250</x:v>
      </x:c>
      <x:c r="B2339" s="1" t="str">
        <x:v>Ho-oh</x:v>
      </x:c>
      <x:c r="C2339" s="1" t="n">
        <x:v>8</x:v>
      </x:c>
      <x:c r="D2339" s="1" t="str">
        <x:v>Sacred Fire</x:v>
      </x:c>
      <x:c r="E2339" s="1" t="str">
        <x:v>Fogo</x:v>
      </x:c>
      <x:c r="F2339" s="1" t="str">
        <x:v>Física</x:v>
      </x:c>
      <x:c r="G2339" s="10" t="n">
        <x:v>100</x:v>
      </x:c>
      <x:c r="H2339" s="10" t="n">
        <x:f>IF(F2339="Física",'Pokémon'!G253,IF(F2339="Especial",'Pokémon'!I253,""))</x:f>
        <x:v>130</x:v>
      </x:c>
      <x:c r="I2339" s="10" t="n">
        <x:f>IF(OR(F2339="Status",G2339=0),"",G2339+H2339)</x:f>
        <x:v>230</x:v>
      </x:c>
      <x:c r="J2339" s="10" t="n">
        <x:v>43</x:v>
      </x:c>
      <x:c r="K2339" s="12" t="n">
        <x:v>40</x:v>
      </x:c>
      <x:c r="L2339" s="1" t="str"/>
      <x:c r="M2339" s="9" t="str">
        <x:v>https://poke.idleworld.online/pokepedia/pokemon/hooh</x:v>
      </x:c>
    </x:row>
    <x:row r="2340" ht="22" customHeight="1">
      <x:c r="A2340" s="1" t="n">
        <x:v>250</x:v>
      </x:c>
      <x:c r="B2340" s="1" t="str">
        <x:v>Ho-oh</x:v>
      </x:c>
      <x:c r="C2340" s="1" t="n">
        <x:v>7</x:v>
      </x:c>
      <x:c r="D2340" s="1" t="str">
        <x:v>Fire Blast</x:v>
      </x:c>
      <x:c r="E2340" s="1" t="str">
        <x:v>Fogo</x:v>
      </x:c>
      <x:c r="F2340" s="1" t="str">
        <x:v>Especial</x:v>
      </x:c>
      <x:c r="G2340" s="10" t="n">
        <x:v>110</x:v>
      </x:c>
      <x:c r="H2340" s="10" t="n">
        <x:f>IF(F2340="Física",'Pokémon'!G253,IF(F2340="Especial",'Pokémon'!I253,""))</x:f>
        <x:v>110</x:v>
      </x:c>
      <x:c r="I2340" s="10" t="n">
        <x:f>IF(OR(F2340="Status",G2340=0),"",G2340+H2340)</x:f>
        <x:v>220</x:v>
      </x:c>
      <x:c r="J2340" s="10" t="n">
        <x:v>37</x:v>
      </x:c>
      <x:c r="K2340" s="12" t="n">
        <x:v>60</x:v>
      </x:c>
      <x:c r="L2340" s="1" t="str"/>
      <x:c r="M2340" s="9" t="str">
        <x:v>https://poke.idleworld.online/pokepedia/pokemon/hooh</x:v>
      </x:c>
    </x:row>
    <x:row r="2341" ht="22" customHeight="1">
      <x:c r="A2341" s="1" t="n">
        <x:v>250</x:v>
      </x:c>
      <x:c r="B2341" s="1" t="str">
        <x:v>Ho-oh</x:v>
      </x:c>
      <x:c r="C2341" s="1" t="n">
        <x:v>6</x:v>
      </x:c>
      <x:c r="D2341" s="1" t="str">
        <x:v>Extrasensory</x:v>
      </x:c>
      <x:c r="E2341" s="1" t="str">
        <x:v>Psíquico</x:v>
      </x:c>
      <x:c r="F2341" s="1" t="str">
        <x:v>Especial</x:v>
      </x:c>
      <x:c r="G2341" s="10" t="n">
        <x:v>80</x:v>
      </x:c>
      <x:c r="H2341" s="10" t="n">
        <x:f>IF(F2341="Física",'Pokémon'!G253,IF(F2341="Especial",'Pokémon'!I253,""))</x:f>
        <x:v>110</x:v>
      </x:c>
      <x:c r="I2341" s="10" t="n">
        <x:f>IF(OR(F2341="Status",G2341=0),"",G2341+H2341)</x:f>
        <x:v>190</x:v>
      </x:c>
      <x:c r="J2341" s="10" t="n">
        <x:v>23</x:v>
      </x:c>
      <x:c r="K2341" s="12" t="n">
        <x:v>22</x:v>
      </x:c>
      <x:c r="L2341" s="1" t="str"/>
      <x:c r="M2341" s="9" t="str">
        <x:v>https://poke.idleworld.online/pokepedia/pokemon/hooh</x:v>
      </x:c>
    </x:row>
    <x:row r="2342" ht="22" customHeight="1">
      <x:c r="A2342" s="1" t="n">
        <x:v>250</x:v>
      </x:c>
      <x:c r="B2342" s="1" t="str">
        <x:v>Ho-oh</x:v>
      </x:c>
      <x:c r="C2342" s="1" t="n">
        <x:v>9</x:v>
      </x:c>
      <x:c r="D2342" s="1" t="str">
        <x:v>Ancient Power</x:v>
      </x:c>
      <x:c r="E2342" s="1" t="str">
        <x:v>Pedra</x:v>
      </x:c>
      <x:c r="F2342" s="1" t="str">
        <x:v>Especial</x:v>
      </x:c>
      <x:c r="G2342" s="10" t="n">
        <x:v>60</x:v>
      </x:c>
      <x:c r="H2342" s="10" t="n">
        <x:f>IF(F2342="Física",'Pokémon'!G253,IF(F2342="Especial",'Pokémon'!I253,""))</x:f>
        <x:v>110</x:v>
      </x:c>
      <x:c r="I2342" s="10" t="n">
        <x:f>IF(OR(F2342="Status",G2342=0),"",G2342+H2342)</x:f>
        <x:v>170</x:v>
      </x:c>
      <x:c r="J2342" s="10" t="n">
        <x:v>57</x:v>
      </x:c>
      <x:c r="K2342" s="12" t="n">
        <x:v>20</x:v>
      </x:c>
      <x:c r="L2342" s="1" t="str"/>
      <x:c r="M2342" s="9" t="str">
        <x:v>https://poke.idleworld.online/pokepedia/pokemon/hooh</x:v>
      </x:c>
    </x:row>
    <x:row r="2343" ht="22" customHeight="1">
      <x:c r="A2343" s="1" t="n">
        <x:v>250</x:v>
      </x:c>
      <x:c r="B2343" s="1" t="str">
        <x:v>Ho-oh</x:v>
      </x:c>
      <x:c r="C2343" s="1" t="n">
        <x:v>3</x:v>
      </x:c>
      <x:c r="D2343" s="1" t="str">
        <x:v>Weather Ball</x:v>
      </x:c>
      <x:c r="E2343" s="1" t="str">
        <x:v>Normal</x:v>
      </x:c>
      <x:c r="F2343" s="1" t="str">
        <x:v>Especial</x:v>
      </x:c>
      <x:c r="G2343" s="10" t="n">
        <x:v>50</x:v>
      </x:c>
      <x:c r="H2343" s="10" t="n">
        <x:f>IF(F2343="Física",'Pokémon'!G253,IF(F2343="Especial",'Pokémon'!I253,""))</x:f>
        <x:v>110</x:v>
      </x:c>
      <x:c r="I2343" s="10" t="n">
        <x:f>IF(OR(F2343="Status",G2343=0),"",G2343+H2343)</x:f>
        <x:v>160</x:v>
      </x:c>
      <x:c r="J2343" s="10" t="n">
        <x:v>1</x:v>
      </x:c>
      <x:c r="K2343" s="12" t="n">
        <x:v>15</x:v>
      </x:c>
      <x:c r="L2343" s="1" t="str"/>
      <x:c r="M2343" s="9" t="str">
        <x:v>https://poke.idleworld.online/pokepedia/pokemon/hooh</x:v>
      </x:c>
    </x:row>
    <x:row r="2344" ht="22" customHeight="1">
      <x:c r="A2344" s="1" t="n">
        <x:v>250</x:v>
      </x:c>
      <x:c r="B2344" s="1" t="str">
        <x:v>Ho-oh</x:v>
      </x:c>
      <x:c r="C2344" s="1" t="n">
        <x:v>4</x:v>
      </x:c>
      <x:c r="D2344" s="1" t="str">
        <x:v>Gust</x:v>
      </x:c>
      <x:c r="E2344" s="1" t="str">
        <x:v>Voador</x:v>
      </x:c>
      <x:c r="F2344" s="1" t="str">
        <x:v>Especial</x:v>
      </x:c>
      <x:c r="G2344" s="10" t="n">
        <x:v>40</x:v>
      </x:c>
      <x:c r="H2344" s="10" t="n">
        <x:f>IF(F2344="Física",'Pokémon'!G253,IF(F2344="Especial",'Pokémon'!I253,""))</x:f>
        <x:v>110</x:v>
      </x:c>
      <x:c r="I2344" s="10" t="n">
        <x:f>IF(OR(F2344="Status",G2344=0),"",G2344+H2344)</x:f>
        <x:v>150</x:v>
      </x:c>
      <x:c r="J2344" s="10" t="n">
        <x:v>9</x:v>
      </x:c>
      <x:c r="K2344" s="12" t="n">
        <x:v>15</x:v>
      </x:c>
      <x:c r="L2344" s="1" t="str"/>
      <x:c r="M2344" s="9" t="str">
        <x:v>https://poke.idleworld.online/pokepedia/pokemon/hooh</x:v>
      </x:c>
    </x:row>
    <x:row r="2345" ht="22" customHeight="1">
      <x:c r="A2345" s="1" t="n">
        <x:v>251</x:v>
      </x:c>
      <x:c r="B2345" s="1" t="str">
        <x:v>Celebi</x:v>
      </x:c>
      <x:c r="C2345" s="1" t="n">
        <x:v>1</x:v>
      </x:c>
      <x:c r="D2345" s="1" t="str">
        <x:v>Mental Singularity</x:v>
      </x:c>
      <x:c r="E2345" s="1" t="str">
        <x:v>Psíquico</x:v>
      </x:c>
      <x:c r="F2345" s="1" t="str">
        <x:v>Especial</x:v>
      </x:c>
      <x:c r="G2345" s="10" t="n">
        <x:v>300</x:v>
      </x:c>
      <x:c r="H2345" s="10" t="n">
        <x:f>IF(F2345="Física",'Pokémon'!G254,IF(F2345="Especial",'Pokémon'!I254,""))</x:f>
        <x:v>100</x:v>
      </x:c>
      <x:c r="I2345" s="10" t="n">
        <x:f>IF(OR(F2345="Status",G2345=0),"",G2345+H2345)</x:f>
        <x:v>400</x:v>
      </x:c>
      <x:c r="J2345" s="10" t="n">
        <x:v>1</x:v>
      </x:c>
      <x:c r="K2345" s="12" t="n">
        <x:v>10</x:v>
      </x:c>
      <x:c r="L2345" s="1" t="str">
        <x:v>Sim</x:v>
      </x:c>
      <x:c r="M2345" s="9" t="str">
        <x:v>https://poke.idleworld.online/pokepedia/pokemon/celebi</x:v>
      </x:c>
    </x:row>
    <x:row r="2346" ht="22" customHeight="1">
      <x:c r="A2346" s="1" t="n">
        <x:v>251</x:v>
      </x:c>
      <x:c r="B2346" s="1" t="str">
        <x:v>Celebi</x:v>
      </x:c>
      <x:c r="C2346" s="1" t="n">
        <x:v>6</x:v>
      </x:c>
      <x:c r="D2346" s="1" t="str">
        <x:v>Leaf Storm</x:v>
      </x:c>
      <x:c r="E2346" s="1" t="str">
        <x:v>Planta</x:v>
      </x:c>
      <x:c r="F2346" s="1" t="str">
        <x:v>Especial</x:v>
      </x:c>
      <x:c r="G2346" s="10" t="n">
        <x:v>130</x:v>
      </x:c>
      <x:c r="H2346" s="10" t="n">
        <x:f>IF(F2346="Física",'Pokémon'!G254,IF(F2346="Especial",'Pokémon'!I254,""))</x:f>
        <x:v>100</x:v>
      </x:c>
      <x:c r="I2346" s="10" t="n">
        <x:f>IF(OR(F2346="Status",G2346=0),"",G2346+H2346)</x:f>
        <x:v>230</x:v>
      </x:c>
      <x:c r="J2346" s="10" t="n">
        <x:v>82</x:v>
      </x:c>
      <x:c r="K2346" s="12" t="n">
        <x:v>50</x:v>
      </x:c>
      <x:c r="L2346" s="1" t="str"/>
      <x:c r="M2346" s="9" t="str">
        <x:v>https://poke.idleworld.online/pokepedia/pokemon/celebi</x:v>
      </x:c>
    </x:row>
    <x:row r="2347" ht="22" customHeight="1">
      <x:c r="A2347" s="1" t="n">
        <x:v>251</x:v>
      </x:c>
      <x:c r="B2347" s="1" t="str">
        <x:v>Celebi</x:v>
      </x:c>
      <x:c r="C2347" s="1" t="n">
        <x:v>5</x:v>
      </x:c>
      <x:c r="D2347" s="1" t="str">
        <x:v>Future Sight</x:v>
      </x:c>
      <x:c r="E2347" s="1" t="str">
        <x:v>Psíquico</x:v>
      </x:c>
      <x:c r="F2347" s="1" t="str">
        <x:v>Especial</x:v>
      </x:c>
      <x:c r="G2347" s="10" t="n">
        <x:v>120</x:v>
      </x:c>
      <x:c r="H2347" s="10" t="n">
        <x:f>IF(F2347="Física",'Pokémon'!G254,IF(F2347="Especial",'Pokémon'!I254,""))</x:f>
        <x:v>100</x:v>
      </x:c>
      <x:c r="I2347" s="10" t="n">
        <x:f>IF(OR(F2347="Status",G2347=0),"",G2347+H2347)</x:f>
        <x:v>220</x:v>
      </x:c>
      <x:c r="J2347" s="10" t="n">
        <x:v>64</x:v>
      </x:c>
      <x:c r="K2347" s="12" t="n">
        <x:v>50</x:v>
      </x:c>
      <x:c r="L2347" s="1" t="str"/>
      <x:c r="M2347" s="9" t="str">
        <x:v>https://poke.idleworld.online/pokepedia/pokemon/celebi</x:v>
      </x:c>
    </x:row>
    <x:row r="2348" ht="22" customHeight="1">
      <x:c r="A2348" s="1" t="n">
        <x:v>251</x:v>
      </x:c>
      <x:c r="B2348" s="1" t="str">
        <x:v>Celebi</x:v>
      </x:c>
      <x:c r="C2348" s="1" t="n">
        <x:v>3</x:v>
      </x:c>
      <x:c r="D2348" s="1" t="str">
        <x:v>Magical Leaf</x:v>
      </x:c>
      <x:c r="E2348" s="1" t="str">
        <x:v>Planta</x:v>
      </x:c>
      <x:c r="F2348" s="1" t="str">
        <x:v>Especial</x:v>
      </x:c>
      <x:c r="G2348" s="10" t="n">
        <x:v>60</x:v>
      </x:c>
      <x:c r="H2348" s="10" t="n">
        <x:f>IF(F2348="Física",'Pokémon'!G254,IF(F2348="Especial",'Pokémon'!I254,""))</x:f>
        <x:v>100</x:v>
      </x:c>
      <x:c r="I2348" s="10" t="n">
        <x:f>IF(OR(F2348="Status",G2348=0),"",G2348+H2348)</x:f>
        <x:v>160</x:v>
      </x:c>
      <x:c r="J2348" s="10" t="n">
        <x:v>19</x:v>
      </x:c>
      <x:c r="K2348" s="12" t="n">
        <x:v>20</x:v>
      </x:c>
      <x:c r="L2348" s="1" t="str"/>
      <x:c r="M2348" s="9" t="str">
        <x:v>https://poke.idleworld.online/pokepedia/pokemon/celebi</x:v>
      </x:c>
    </x:row>
    <x:row r="2349" ht="22" customHeight="1">
      <x:c r="A2349" s="1" t="n">
        <x:v>251</x:v>
      </x:c>
      <x:c r="B2349" s="1" t="str">
        <x:v>Celebi</x:v>
      </x:c>
      <x:c r="C2349" s="1" t="n">
        <x:v>4</x:v>
      </x:c>
      <x:c r="D2349" s="1" t="str">
        <x:v>Ancient Power</x:v>
      </x:c>
      <x:c r="E2349" s="1" t="str">
        <x:v>Pedra</x:v>
      </x:c>
      <x:c r="F2349" s="1" t="str">
        <x:v>Especial</x:v>
      </x:c>
      <x:c r="G2349" s="10" t="n">
        <x:v>60</x:v>
      </x:c>
      <x:c r="H2349" s="10" t="n">
        <x:f>IF(F2349="Física",'Pokémon'!G254,IF(F2349="Especial",'Pokémon'!I254,""))</x:f>
        <x:v>100</x:v>
      </x:c>
      <x:c r="I2349" s="10" t="n">
        <x:f>IF(OR(F2349="Status",G2349=0),"",G2349+H2349)</x:f>
        <x:v>160</x:v>
      </x:c>
      <x:c r="J2349" s="10" t="n">
        <x:v>28</x:v>
      </x:c>
      <x:c r="K2349" s="12" t="n">
        <x:v>20</x:v>
      </x:c>
      <x:c r="L2349" s="1" t="str"/>
      <x:c r="M2349" s="9" t="str">
        <x:v>https://poke.idleworld.online/pokepedia/pokemon/celebi</x:v>
      </x:c>
    </x:row>
    <x:row r="2350" ht="22" customHeight="1">
      <x:c r="A2350" s="1" t="n">
        <x:v>251</x:v>
      </x:c>
      <x:c r="B2350" s="1" t="str">
        <x:v>Celebi</x:v>
      </x:c>
      <x:c r="C2350" s="1" t="n">
        <x:v>2</x:v>
      </x:c>
      <x:c r="D2350" s="1" t="str">
        <x:v>Confusion</x:v>
      </x:c>
      <x:c r="E2350" s="1" t="str">
        <x:v>Psíquico</x:v>
      </x:c>
      <x:c r="F2350" s="1" t="str">
        <x:v>Especial</x:v>
      </x:c>
      <x:c r="G2350" s="10" t="n">
        <x:v>50</x:v>
      </x:c>
      <x:c r="H2350" s="10" t="n">
        <x:f>IF(F2350="Física",'Pokémon'!G254,IF(F2350="Especial",'Pokémon'!I254,""))</x:f>
        <x:v>100</x:v>
      </x:c>
      <x:c r="I2350" s="10" t="n">
        <x:f>IF(OR(F2350="Status",G2350=0),"",G2350+H2350)</x:f>
        <x:v>150</x:v>
      </x:c>
      <x:c r="J2350" s="10" t="n">
        <x:v>1</x:v>
      </x:c>
      <x:c r="K2350" s="12" t="n">
        <x:v>15</x:v>
      </x:c>
      <x:c r="L2350" s="1" t="str"/>
      <x:c r="M2350" s="9" t="str">
        <x:v>https://poke.idleworld.online/pokepedia/pokemon/celebi</x:v>
      </x:c>
    </x:row>
    <x:row r="2351" ht="22" customHeight="1">
      <x:c r="A2351" s="1" t="n">
        <x:v>252</x:v>
      </x:c>
      <x:c r="B2351" s="1" t="str">
        <x:v>Treecko</x:v>
      </x:c>
      <x:c r="C2351" s="1" t="n">
        <x:v>9</x:v>
      </x:c>
      <x:c r="D2351" s="1" t="str">
        <x:v>Energy Ball</x:v>
      </x:c>
      <x:c r="E2351" s="1" t="str">
        <x:v>Planta</x:v>
      </x:c>
      <x:c r="F2351" s="1" t="str">
        <x:v>Especial</x:v>
      </x:c>
      <x:c r="G2351" s="10" t="n">
        <x:v>90</x:v>
      </x:c>
      <x:c r="H2351" s="10" t="n">
        <x:f>IF(F2351="Física",'Pokémon'!G255,IF(F2351="Especial",'Pokémon'!I255,""))</x:f>
        <x:v>65</x:v>
      </x:c>
      <x:c r="I2351" s="10" t="n">
        <x:f>IF(OR(F2351="Status",G2351=0),"",G2351+H2351)</x:f>
        <x:v>155</x:v>
      </x:c>
      <x:c r="J2351" s="10" t="n">
        <x:v>37</x:v>
      </x:c>
      <x:c r="K2351" s="12" t="n">
        <x:v>22</x:v>
      </x:c>
      <x:c r="L2351" s="1" t="str"/>
      <x:c r="M2351" s="9" t="str">
        <x:v>https://poke.idleworld.online/pokepedia/pokemon/treecko</x:v>
      </x:c>
    </x:row>
    <x:row r="2352" ht="22" customHeight="1">
      <x:c r="A2352" s="1" t="n">
        <x:v>252</x:v>
      </x:c>
      <x:c r="B2352" s="1" t="str">
        <x:v>Treecko</x:v>
      </x:c>
      <x:c r="C2352" s="1" t="n">
        <x:v>6</x:v>
      </x:c>
      <x:c r="D2352" s="1" t="str">
        <x:v>Giga Drain</x:v>
      </x:c>
      <x:c r="E2352" s="1" t="str">
        <x:v>Planta</x:v>
      </x:c>
      <x:c r="F2352" s="1" t="str">
        <x:v>Especial</x:v>
      </x:c>
      <x:c r="G2352" s="10" t="n">
        <x:v>75</x:v>
      </x:c>
      <x:c r="H2352" s="10" t="n">
        <x:f>IF(F2352="Física",'Pokémon'!G255,IF(F2352="Especial",'Pokémon'!I255,""))</x:f>
        <x:v>65</x:v>
      </x:c>
      <x:c r="I2352" s="10" t="n">
        <x:f>IF(OR(F2352="Status",G2352=0),"",G2352+H2352)</x:f>
        <x:v>140</x:v>
      </x:c>
      <x:c r="J2352" s="10" t="n">
        <x:v>21</x:v>
      </x:c>
      <x:c r="K2352" s="12" t="n">
        <x:v>30</x:v>
      </x:c>
      <x:c r="L2352" s="1" t="str"/>
      <x:c r="M2352" s="9" t="str">
        <x:v>https://poke.idleworld.online/pokepedia/pokemon/treecko</x:v>
      </x:c>
    </x:row>
    <x:row r="2353" ht="22" customHeight="1">
      <x:c r="A2353" s="1" t="n">
        <x:v>252</x:v>
      </x:c>
      <x:c r="B2353" s="1" t="str">
        <x:v>Treecko</x:v>
      </x:c>
      <x:c r="C2353" s="1" t="n">
        <x:v>8</x:v>
      </x:c>
      <x:c r="D2353" s="1" t="str">
        <x:v>Slam</x:v>
      </x:c>
      <x:c r="E2353" s="1" t="str">
        <x:v>Normal</x:v>
      </x:c>
      <x:c r="F2353" s="1" t="str">
        <x:v>Física</x:v>
      </x:c>
      <x:c r="G2353" s="10" t="n">
        <x:v>80</x:v>
      </x:c>
      <x:c r="H2353" s="10" t="n">
        <x:f>IF(F2353="Física",'Pokémon'!G255,IF(F2353="Especial",'Pokémon'!I255,""))</x:f>
        <x:v>45</x:v>
      </x:c>
      <x:c r="I2353" s="10" t="n">
        <x:f>IF(OR(F2353="Status",G2353=0),"",G2353+H2353)</x:f>
        <x:v>125</x:v>
      </x:c>
      <x:c r="J2353" s="10" t="n">
        <x:v>29</x:v>
      </x:c>
      <x:c r="K2353" s="12" t="n">
        <x:v>22</x:v>
      </x:c>
      <x:c r="L2353" s="1" t="str"/>
      <x:c r="M2353" s="9" t="str">
        <x:v>https://poke.idleworld.online/pokepedia/pokemon/treecko</x:v>
      </x:c>
    </x:row>
    <x:row r="2354" ht="22" customHeight="1">
      <x:c r="A2354" s="1" t="n">
        <x:v>252</x:v>
      </x:c>
      <x:c r="B2354" s="1" t="str">
        <x:v>Treecko</x:v>
      </x:c>
      <x:c r="C2354" s="1" t="n">
        <x:v>4</x:v>
      </x:c>
      <x:c r="D2354" s="1" t="str">
        <x:v>Mega Drain</x:v>
      </x:c>
      <x:c r="E2354" s="1" t="str">
        <x:v>Planta</x:v>
      </x:c>
      <x:c r="F2354" s="1" t="str">
        <x:v>Especial</x:v>
      </x:c>
      <x:c r="G2354" s="10" t="n">
        <x:v>40</x:v>
      </x:c>
      <x:c r="H2354" s="10" t="n">
        <x:f>IF(F2354="Física",'Pokémon'!G255,IF(F2354="Especial",'Pokémon'!I255,""))</x:f>
        <x:v>65</x:v>
      </x:c>
      <x:c r="I2354" s="10" t="n">
        <x:f>IF(OR(F2354="Status",G2354=0),"",G2354+H2354)</x:f>
        <x:v>105</x:v>
      </x:c>
      <x:c r="J2354" s="10" t="n">
        <x:v>13</x:v>
      </x:c>
      <x:c r="K2354" s="12" t="n">
        <x:v>15</x:v>
      </x:c>
      <x:c r="L2354" s="1" t="str"/>
      <x:c r="M2354" s="9" t="str">
        <x:v>https://poke.idleworld.online/pokepedia/pokemon/treecko</x:v>
      </x:c>
    </x:row>
    <x:row r="2355" ht="22" customHeight="1">
      <x:c r="A2355" s="1" t="n">
        <x:v>252</x:v>
      </x:c>
      <x:c r="B2355" s="1" t="str">
        <x:v>Treecko</x:v>
      </x:c>
      <x:c r="C2355" s="1" t="n">
        <x:v>1</x:v>
      </x:c>
      <x:c r="D2355" s="1" t="str">
        <x:v>Pound</x:v>
      </x:c>
      <x:c r="E2355" s="1" t="str">
        <x:v>Normal</x:v>
      </x:c>
      <x:c r="F2355" s="1" t="str">
        <x:v>Física</x:v>
      </x:c>
      <x:c r="G2355" s="10" t="n">
        <x:v>40</x:v>
      </x:c>
      <x:c r="H2355" s="10" t="n">
        <x:f>IF(F2355="Física",'Pokémon'!G255,IF(F2355="Especial",'Pokémon'!I255,""))</x:f>
        <x:v>45</x:v>
      </x:c>
      <x:c r="I2355" s="10" t="n">
        <x:f>IF(OR(F2355="Status",G2355=0),"",G2355+H2355)</x:f>
        <x:v>85</x:v>
      </x:c>
      <x:c r="J2355" s="10" t="n">
        <x:v>1</x:v>
      </x:c>
      <x:c r="K2355" s="12" t="n">
        <x:v>15</x:v>
      </x:c>
      <x:c r="L2355" s="1" t="str"/>
      <x:c r="M2355" s="9" t="str">
        <x:v>https://poke.idleworld.online/pokepedia/pokemon/treecko</x:v>
      </x:c>
    </x:row>
    <x:row r="2356" ht="22" customHeight="1">
      <x:c r="A2356" s="1" t="n">
        <x:v>252</x:v>
      </x:c>
      <x:c r="B2356" s="1" t="str">
        <x:v>Treecko</x:v>
      </x:c>
      <x:c r="C2356" s="1" t="n">
        <x:v>3</x:v>
      </x:c>
      <x:c r="D2356" s="1" t="str">
        <x:v>Quick Attack</x:v>
      </x:c>
      <x:c r="E2356" s="1" t="str">
        <x:v>Normal</x:v>
      </x:c>
      <x:c r="F2356" s="1" t="str">
        <x:v>Física</x:v>
      </x:c>
      <x:c r="G2356" s="10" t="n">
        <x:v>40</x:v>
      </x:c>
      <x:c r="H2356" s="10" t="n">
        <x:f>IF(F2356="Física",'Pokémon'!G255,IF(F2356="Especial",'Pokémon'!I255,""))</x:f>
        <x:v>45</x:v>
      </x:c>
      <x:c r="I2356" s="10" t="n">
        <x:f>IF(OR(F2356="Status",G2356=0),"",G2356+H2356)</x:f>
        <x:v>85</x:v>
      </x:c>
      <x:c r="J2356" s="10" t="n">
        <x:v>9</x:v>
      </x:c>
      <x:c r="K2356" s="12" t="n">
        <x:v>10</x:v>
      </x:c>
      <x:c r="L2356" s="1" t="str"/>
      <x:c r="M2356" s="9" t="str">
        <x:v>https://poke.idleworld.online/pokepedia/pokemon/treecko</x:v>
      </x:c>
    </x:row>
    <x:row r="2357" ht="22" customHeight="1">
      <x:c r="A2357" s="1" t="n">
        <x:v>252</x:v>
      </x:c>
      <x:c r="B2357" s="1" t="str">
        <x:v>Treecko</x:v>
      </x:c>
      <x:c r="C2357" s="1" t="n">
        <x:v>5</x:v>
      </x:c>
      <x:c r="D2357" s="1" t="str">
        <x:v>Pursuit</x:v>
      </x:c>
      <x:c r="E2357" s="1" t="str">
        <x:v>Sombrio</x:v>
      </x:c>
      <x:c r="F2357" s="1" t="str">
        <x:v>Física</x:v>
      </x:c>
      <x:c r="G2357" s="10" t="n">
        <x:v>40</x:v>
      </x:c>
      <x:c r="H2357" s="10" t="n">
        <x:f>IF(F2357="Física",'Pokémon'!G255,IF(F2357="Especial",'Pokémon'!I255,""))</x:f>
        <x:v>45</x:v>
      </x:c>
      <x:c r="I2357" s="10" t="n">
        <x:f>IF(OR(F2357="Status",G2357=0),"",G2357+H2357)</x:f>
        <x:v>85</x:v>
      </x:c>
      <x:c r="J2357" s="10" t="n">
        <x:v>17</x:v>
      </x:c>
      <x:c r="K2357" s="12" t="n">
        <x:v>15</x:v>
      </x:c>
      <x:c r="L2357" s="1" t="str"/>
      <x:c r="M2357" s="9" t="str">
        <x:v>https://poke.idleworld.online/pokepedia/pokemon/treecko</x:v>
      </x:c>
    </x:row>
    <x:row r="2358" ht="22" customHeight="1">
      <x:c r="A2358" s="1" t="n">
        <x:v>252</x:v>
      </x:c>
      <x:c r="B2358" s="1" t="str">
        <x:v>Treecko</x:v>
      </x:c>
      <x:c r="C2358" s="1" t="n">
        <x:v>2</x:v>
      </x:c>
      <x:c r="D2358" s="1" t="str">
        <x:v>Absorb</x:v>
      </x:c>
      <x:c r="E2358" s="1" t="str">
        <x:v>Planta</x:v>
      </x:c>
      <x:c r="F2358" s="1" t="str">
        <x:v>Especial</x:v>
      </x:c>
      <x:c r="G2358" s="10" t="n">
        <x:v>20</x:v>
      </x:c>
      <x:c r="H2358" s="10" t="n">
        <x:f>IF(F2358="Física",'Pokémon'!G255,IF(F2358="Especial",'Pokémon'!I255,""))</x:f>
        <x:v>65</x:v>
      </x:c>
      <x:c r="I2358" s="10" t="n">
        <x:f>IF(OR(F2358="Status",G2358=0),"",G2358+H2358)</x:f>
        <x:v>85</x:v>
      </x:c>
      <x:c r="J2358" s="10" t="n">
        <x:v>5</x:v>
      </x:c>
      <x:c r="K2358" s="12" t="n">
        <x:v>15</x:v>
      </x:c>
      <x:c r="L2358" s="1" t="str"/>
      <x:c r="M2358" s="9" t="str">
        <x:v>https://poke.idleworld.online/pokepedia/pokemon/treecko</x:v>
      </x:c>
    </x:row>
    <x:row r="2359" ht="22" customHeight="1">
      <x:c r="A2359" s="1" t="n">
        <x:v>252</x:v>
      </x:c>
      <x:c r="B2359" s="1" t="str">
        <x:v>Treecko</x:v>
      </x:c>
      <x:c r="C2359" s="1" t="n">
        <x:v>7</x:v>
      </x:c>
      <x:c r="D2359" s="1" t="str">
        <x:v>Agility</x:v>
      </x:c>
      <x:c r="E2359" s="1" t="str">
        <x:v>Psíquico</x:v>
      </x:c>
      <x:c r="F2359" s="1" t="str">
        <x:v>Status</x:v>
      </x:c>
      <x:c r="G2359" s="10" t="n">
        <x:v>0</x:v>
      </x:c>
      <x:c r="H2359" s="10" t="str">
        <x:f>IF(F2359="Física",'Pokémon'!G255,IF(F2359="Especial",'Pokémon'!I255,""))</x:f>
      </x:c>
      <x:c r="I2359" s="10" t="str">
        <x:f>IF(OR(F2359="Status",G2359=0),"",G2359+H2359)</x:f>
      </x:c>
      <x:c r="J2359" s="10" t="n">
        <x:v>25</x:v>
      </x:c>
      <x:c r="K2359" s="12" t="n">
        <x:v>30</x:v>
      </x:c>
      <x:c r="L2359" s="1" t="str"/>
      <x:c r="M2359" s="9" t="str">
        <x:v>https://poke.idleworld.online/pokepedia/pokemon/treecko</x:v>
      </x:c>
    </x:row>
    <x:row r="2360" ht="22" customHeight="1">
      <x:c r="A2360" s="1" t="n">
        <x:v>253</x:v>
      </x:c>
      <x:c r="B2360" s="1" t="str">
        <x:v>Grovyle</x:v>
      </x:c>
      <x:c r="C2360" s="1" t="n">
        <x:v>12</x:v>
      </x:c>
      <x:c r="D2360" s="1" t="str">
        <x:v>Leaf Storm</x:v>
      </x:c>
      <x:c r="E2360" s="1" t="str">
        <x:v>Planta</x:v>
      </x:c>
      <x:c r="F2360" s="1" t="str">
        <x:v>Especial</x:v>
      </x:c>
      <x:c r="G2360" s="10" t="n">
        <x:v>130</x:v>
      </x:c>
      <x:c r="H2360" s="10" t="n">
        <x:f>IF(F2360="Física",'Pokémon'!G256,IF(F2360="Especial",'Pokémon'!I256,""))</x:f>
        <x:v>85</x:v>
      </x:c>
      <x:c r="I2360" s="10" t="n">
        <x:f>IF(OR(F2360="Status",G2360=0),"",G2360+H2360)</x:f>
        <x:v>215</x:v>
      </x:c>
      <x:c r="J2360" s="10" t="n">
        <x:v>58</x:v>
      </x:c>
      <x:c r="K2360" s="12" t="n">
        <x:v>50</x:v>
      </x:c>
      <x:c r="L2360" s="1" t="str"/>
      <x:c r="M2360" s="9" t="str">
        <x:v>https://poke.idleworld.online/pokepedia/pokemon/grovyle</x:v>
      </x:c>
    </x:row>
    <x:row r="2361" ht="22" customHeight="1">
      <x:c r="A2361" s="1" t="n">
        <x:v>253</x:v>
      </x:c>
      <x:c r="B2361" s="1" t="str">
        <x:v>Grovyle</x:v>
      </x:c>
      <x:c r="C2361" s="1" t="n">
        <x:v>7</x:v>
      </x:c>
      <x:c r="D2361" s="1" t="str">
        <x:v>Leaf Blade</x:v>
      </x:c>
      <x:c r="E2361" s="1" t="str">
        <x:v>Planta</x:v>
      </x:c>
      <x:c r="F2361" s="1" t="str">
        <x:v>Física</x:v>
      </x:c>
      <x:c r="G2361" s="10" t="n">
        <x:v>90</x:v>
      </x:c>
      <x:c r="H2361" s="10" t="n">
        <x:f>IF(F2361="Física",'Pokémon'!G256,IF(F2361="Especial",'Pokémon'!I256,""))</x:f>
        <x:v>65</x:v>
      </x:c>
      <x:c r="I2361" s="10" t="n">
        <x:f>IF(OR(F2361="Status",G2361=0),"",G2361+H2361)</x:f>
        <x:v>155</x:v>
      </x:c>
      <x:c r="J2361" s="10" t="n">
        <x:v>23</x:v>
      </x:c>
      <x:c r="K2361" s="12" t="n">
        <x:v>30</x:v>
      </x:c>
      <x:c r="L2361" s="1" t="str"/>
      <x:c r="M2361" s="9" t="str">
        <x:v>https://poke.idleworld.online/pokepedia/pokemon/grovyle</x:v>
      </x:c>
    </x:row>
    <x:row r="2362" ht="22" customHeight="1">
      <x:c r="A2362" s="1" t="n">
        <x:v>253</x:v>
      </x:c>
      <x:c r="B2362" s="1" t="str">
        <x:v>Grovyle</x:v>
      </x:c>
      <x:c r="C2362" s="1" t="n">
        <x:v>9</x:v>
      </x:c>
      <x:c r="D2362" s="1" t="str">
        <x:v>Slam</x:v>
      </x:c>
      <x:c r="E2362" s="1" t="str">
        <x:v>Normal</x:v>
      </x:c>
      <x:c r="F2362" s="1" t="str">
        <x:v>Física</x:v>
      </x:c>
      <x:c r="G2362" s="10" t="n">
        <x:v>80</x:v>
      </x:c>
      <x:c r="H2362" s="10" t="n">
        <x:f>IF(F2362="Física",'Pokémon'!G256,IF(F2362="Especial",'Pokémon'!I256,""))</x:f>
        <x:v>65</x:v>
      </x:c>
      <x:c r="I2362" s="10" t="n">
        <x:f>IF(OR(F2362="Status",G2362=0),"",G2362+H2362)</x:f>
        <x:v>145</x:v>
      </x:c>
      <x:c r="J2362" s="10" t="n">
        <x:v>33</x:v>
      </x:c>
      <x:c r="K2362" s="12" t="n">
        <x:v>22</x:v>
      </x:c>
      <x:c r="L2362" s="1" t="str"/>
      <x:c r="M2362" s="9" t="str">
        <x:v>https://poke.idleworld.online/pokepedia/pokemon/grovyle</x:v>
      </x:c>
    </x:row>
    <x:row r="2363" ht="22" customHeight="1">
      <x:c r="A2363" s="1" t="n">
        <x:v>253</x:v>
      </x:c>
      <x:c r="B2363" s="1" t="str">
        <x:v>Grovyle</x:v>
      </x:c>
      <x:c r="C2363" s="1" t="n">
        <x:v>10</x:v>
      </x:c>
      <x:c r="D2363" s="1" t="str">
        <x:v>X-Scissor</x:v>
      </x:c>
      <x:c r="E2363" s="1" t="str">
        <x:v>Inseto</x:v>
      </x:c>
      <x:c r="F2363" s="1" t="str">
        <x:v>Física</x:v>
      </x:c>
      <x:c r="G2363" s="10" t="n">
        <x:v>80</x:v>
      </x:c>
      <x:c r="H2363" s="10" t="n">
        <x:f>IF(F2363="Física",'Pokémon'!G256,IF(F2363="Especial",'Pokémon'!I256,""))</x:f>
        <x:v>65</x:v>
      </x:c>
      <x:c r="I2363" s="10" t="n">
        <x:f>IF(OR(F2363="Status",G2363=0),"",G2363+H2363)</x:f>
        <x:v>145</x:v>
      </x:c>
      <x:c r="J2363" s="10" t="n">
        <x:v>43</x:v>
      </x:c>
      <x:c r="K2363" s="12" t="n">
        <x:v>22</x:v>
      </x:c>
      <x:c r="L2363" s="1" t="str"/>
      <x:c r="M2363" s="9" t="str">
        <x:v>https://poke.idleworld.online/pokepedia/pokemon/grovyle</x:v>
      </x:c>
    </x:row>
    <x:row r="2364" ht="22" customHeight="1">
      <x:c r="A2364" s="1" t="n">
        <x:v>253</x:v>
      </x:c>
      <x:c r="B2364" s="1" t="str">
        <x:v>Grovyle</x:v>
      </x:c>
      <x:c r="C2364" s="1" t="n">
        <x:v>4</x:v>
      </x:c>
      <x:c r="D2364" s="1" t="str">
        <x:v>Mega Drain</x:v>
      </x:c>
      <x:c r="E2364" s="1" t="str">
        <x:v>Planta</x:v>
      </x:c>
      <x:c r="F2364" s="1" t="str">
        <x:v>Especial</x:v>
      </x:c>
      <x:c r="G2364" s="10" t="n">
        <x:v>40</x:v>
      </x:c>
      <x:c r="H2364" s="10" t="n">
        <x:f>IF(F2364="Física",'Pokémon'!G256,IF(F2364="Especial",'Pokémon'!I256,""))</x:f>
        <x:v>85</x:v>
      </x:c>
      <x:c r="I2364" s="10" t="n">
        <x:f>IF(OR(F2364="Status",G2364=0),"",G2364+H2364)</x:f>
        <x:v>125</x:v>
      </x:c>
      <x:c r="J2364" s="10" t="n">
        <x:v>13</x:v>
      </x:c>
      <x:c r="K2364" s="12" t="n">
        <x:v>15</x:v>
      </x:c>
      <x:c r="L2364" s="1" t="str"/>
      <x:c r="M2364" s="9" t="str">
        <x:v>https://poke.idleworld.online/pokepedia/pokemon/grovyle</x:v>
      </x:c>
    </x:row>
    <x:row r="2365" ht="22" customHeight="1">
      <x:c r="A2365" s="1" t="n">
        <x:v>253</x:v>
      </x:c>
      <x:c r="B2365" s="1" t="str">
        <x:v>Grovyle</x:v>
      </x:c>
      <x:c r="C2365" s="1" t="n">
        <x:v>1</x:v>
      </x:c>
      <x:c r="D2365" s="1" t="str">
        <x:v>Quick Attack</x:v>
      </x:c>
      <x:c r="E2365" s="1" t="str">
        <x:v>Normal</x:v>
      </x:c>
      <x:c r="F2365" s="1" t="str">
        <x:v>Física</x:v>
      </x:c>
      <x:c r="G2365" s="10" t="n">
        <x:v>40</x:v>
      </x:c>
      <x:c r="H2365" s="10" t="n">
        <x:f>IF(F2365="Física",'Pokémon'!G256,IF(F2365="Especial",'Pokémon'!I256,""))</x:f>
        <x:v>65</x:v>
      </x:c>
      <x:c r="I2365" s="10" t="n">
        <x:f>IF(OR(F2365="Status",G2365=0),"",G2365+H2365)</x:f>
        <x:v>105</x:v>
      </x:c>
      <x:c r="J2365" s="10" t="n">
        <x:v>1</x:v>
      </x:c>
      <x:c r="K2365" s="12" t="n">
        <x:v>10</x:v>
      </x:c>
      <x:c r="L2365" s="1" t="str"/>
      <x:c r="M2365" s="9" t="str">
        <x:v>https://poke.idleworld.online/pokepedia/pokemon/grovyle</x:v>
      </x:c>
    </x:row>
    <x:row r="2366" ht="22" customHeight="1">
      <x:c r="A2366" s="1" t="n">
        <x:v>253</x:v>
      </x:c>
      <x:c r="B2366" s="1" t="str">
        <x:v>Grovyle</x:v>
      </x:c>
      <x:c r="C2366" s="1" t="n">
        <x:v>3</x:v>
      </x:c>
      <x:c r="D2366" s="1" t="str">
        <x:v>Pound</x:v>
      </x:c>
      <x:c r="E2366" s="1" t="str">
        <x:v>Normal</x:v>
      </x:c>
      <x:c r="F2366" s="1" t="str">
        <x:v>Física</x:v>
      </x:c>
      <x:c r="G2366" s="10" t="n">
        <x:v>40</x:v>
      </x:c>
      <x:c r="H2366" s="10" t="n">
        <x:f>IF(F2366="Física",'Pokémon'!G256,IF(F2366="Especial",'Pokémon'!I256,""))</x:f>
        <x:v>65</x:v>
      </x:c>
      <x:c r="I2366" s="10" t="n">
        <x:f>IF(OR(F2366="Status",G2366=0),"",G2366+H2366)</x:f>
        <x:v>105</x:v>
      </x:c>
      <x:c r="J2366" s="10" t="n">
        <x:v>1</x:v>
      </x:c>
      <x:c r="K2366" s="12" t="n">
        <x:v>15</x:v>
      </x:c>
      <x:c r="L2366" s="1" t="str"/>
      <x:c r="M2366" s="9" t="str">
        <x:v>https://poke.idleworld.online/pokepedia/pokemon/grovyle</x:v>
      </x:c>
    </x:row>
    <x:row r="2367" ht="22" customHeight="1">
      <x:c r="A2367" s="1" t="n">
        <x:v>253</x:v>
      </x:c>
      <x:c r="B2367" s="1" t="str">
        <x:v>Grovyle</x:v>
      </x:c>
      <x:c r="C2367" s="1" t="n">
        <x:v>5</x:v>
      </x:c>
      <x:c r="D2367" s="1" t="str">
        <x:v>Fury Cutter</x:v>
      </x:c>
      <x:c r="E2367" s="1" t="str">
        <x:v>Inseto</x:v>
      </x:c>
      <x:c r="F2367" s="1" t="str">
        <x:v>Física</x:v>
      </x:c>
      <x:c r="G2367" s="10" t="n">
        <x:v>40</x:v>
      </x:c>
      <x:c r="H2367" s="10" t="n">
        <x:f>IF(F2367="Física",'Pokémon'!G256,IF(F2367="Especial",'Pokémon'!I256,""))</x:f>
        <x:v>65</x:v>
      </x:c>
      <x:c r="I2367" s="10" t="n">
        <x:f>IF(OR(F2367="Status",G2367=0),"",G2367+H2367)</x:f>
        <x:v>105</x:v>
      </x:c>
      <x:c r="J2367" s="10" t="n">
        <x:v>16</x:v>
      </x:c>
      <x:c r="K2367" s="12" t="n">
        <x:v>15</x:v>
      </x:c>
      <x:c r="L2367" s="1" t="str"/>
      <x:c r="M2367" s="9" t="str">
        <x:v>https://poke.idleworld.online/pokepedia/pokemon/grovyle</x:v>
      </x:c>
    </x:row>
    <x:row r="2368" ht="22" customHeight="1">
      <x:c r="A2368" s="1" t="n">
        <x:v>253</x:v>
      </x:c>
      <x:c r="B2368" s="1" t="str">
        <x:v>Grovyle</x:v>
      </x:c>
      <x:c r="C2368" s="1" t="n">
        <x:v>6</x:v>
      </x:c>
      <x:c r="D2368" s="1" t="str">
        <x:v>Pursuit</x:v>
      </x:c>
      <x:c r="E2368" s="1" t="str">
        <x:v>Sombrio</x:v>
      </x:c>
      <x:c r="F2368" s="1" t="str">
        <x:v>Física</x:v>
      </x:c>
      <x:c r="G2368" s="10" t="n">
        <x:v>40</x:v>
      </x:c>
      <x:c r="H2368" s="10" t="n">
        <x:f>IF(F2368="Física",'Pokémon'!G256,IF(F2368="Especial",'Pokémon'!I256,""))</x:f>
        <x:v>65</x:v>
      </x:c>
      <x:c r="I2368" s="10" t="n">
        <x:f>IF(OR(F2368="Status",G2368=0),"",G2368+H2368)</x:f>
        <x:v>105</x:v>
      </x:c>
      <x:c r="J2368" s="10" t="n">
        <x:v>18</x:v>
      </x:c>
      <x:c r="K2368" s="12" t="n">
        <x:v>15</x:v>
      </x:c>
      <x:c r="L2368" s="1" t="str"/>
      <x:c r="M2368" s="9" t="str">
        <x:v>https://poke.idleworld.online/pokepedia/pokemon/grovyle</x:v>
      </x:c>
    </x:row>
    <x:row r="2369" ht="22" customHeight="1">
      <x:c r="A2369" s="1" t="n">
        <x:v>253</x:v>
      </x:c>
      <x:c r="B2369" s="1" t="str">
        <x:v>Grovyle</x:v>
      </x:c>
      <x:c r="C2369" s="1" t="n">
        <x:v>11</x:v>
      </x:c>
      <x:c r="D2369" s="1" t="str">
        <x:v>False Swipe</x:v>
      </x:c>
      <x:c r="E2369" s="1" t="str">
        <x:v>Normal</x:v>
      </x:c>
      <x:c r="F2369" s="1" t="str">
        <x:v>Física</x:v>
      </x:c>
      <x:c r="G2369" s="10" t="n">
        <x:v>40</x:v>
      </x:c>
      <x:c r="H2369" s="10" t="n">
        <x:f>IF(F2369="Física",'Pokémon'!G256,IF(F2369="Especial",'Pokémon'!I256,""))</x:f>
        <x:v>65</x:v>
      </x:c>
      <x:c r="I2369" s="10" t="n">
        <x:f>IF(OR(F2369="Status",G2369=0),"",G2369+H2369)</x:f>
        <x:v>105</x:v>
      </x:c>
      <x:c r="J2369" s="10" t="n">
        <x:v>48</x:v>
      </x:c>
      <x:c r="K2369" s="12" t="n">
        <x:v>15</x:v>
      </x:c>
      <x:c r="L2369" s="1" t="str"/>
      <x:c r="M2369" s="9" t="str">
        <x:v>https://poke.idleworld.online/pokepedia/pokemon/grovyle</x:v>
      </x:c>
    </x:row>
    <x:row r="2370" ht="22" customHeight="1">
      <x:c r="A2370" s="1" t="n">
        <x:v>253</x:v>
      </x:c>
      <x:c r="B2370" s="1" t="str">
        <x:v>Grovyle</x:v>
      </x:c>
      <x:c r="C2370" s="1" t="n">
        <x:v>2</x:v>
      </x:c>
      <x:c r="D2370" s="1" t="str">
        <x:v>Absorb</x:v>
      </x:c>
      <x:c r="E2370" s="1" t="str">
        <x:v>Planta</x:v>
      </x:c>
      <x:c r="F2370" s="1" t="str">
        <x:v>Especial</x:v>
      </x:c>
      <x:c r="G2370" s="10" t="n">
        <x:v>20</x:v>
      </x:c>
      <x:c r="H2370" s="10" t="n">
        <x:f>IF(F2370="Física",'Pokémon'!G256,IF(F2370="Especial",'Pokémon'!I256,""))</x:f>
        <x:v>85</x:v>
      </x:c>
      <x:c r="I2370" s="10" t="n">
        <x:f>IF(OR(F2370="Status",G2370=0),"",G2370+H2370)</x:f>
        <x:v>105</x:v>
      </x:c>
      <x:c r="J2370" s="10" t="n">
        <x:v>1</x:v>
      </x:c>
      <x:c r="K2370" s="12" t="n">
        <x:v>15</x:v>
      </x:c>
      <x:c r="L2370" s="1" t="str"/>
      <x:c r="M2370" s="9" t="str">
        <x:v>https://poke.idleworld.online/pokepedia/pokemon/grovyle</x:v>
      </x:c>
    </x:row>
    <x:row r="2371" ht="22" customHeight="1">
      <x:c r="A2371" s="1" t="n">
        <x:v>253</x:v>
      </x:c>
      <x:c r="B2371" s="1" t="str">
        <x:v>Grovyle</x:v>
      </x:c>
      <x:c r="C2371" s="1" t="n">
        <x:v>8</x:v>
      </x:c>
      <x:c r="D2371" s="1" t="str">
        <x:v>Agility</x:v>
      </x:c>
      <x:c r="E2371" s="1" t="str">
        <x:v>Psíquico</x:v>
      </x:c>
      <x:c r="F2371" s="1" t="str">
        <x:v>Status</x:v>
      </x:c>
      <x:c r="G2371" s="10" t="n">
        <x:v>0</x:v>
      </x:c>
      <x:c r="H2371" s="10" t="str">
        <x:f>IF(F2371="Física",'Pokémon'!G256,IF(F2371="Especial",'Pokémon'!I256,""))</x:f>
      </x:c>
      <x:c r="I2371" s="10" t="str">
        <x:f>IF(OR(F2371="Status",G2371=0),"",G2371+H2371)</x:f>
      </x:c>
      <x:c r="J2371" s="10" t="n">
        <x:v>28</x:v>
      </x:c>
      <x:c r="K2371" s="12" t="n">
        <x:v>30</x:v>
      </x:c>
      <x:c r="L2371" s="1" t="str"/>
      <x:c r="M2371" s="9" t="str">
        <x:v>https://poke.idleworld.online/pokepedia/pokemon/grovyle</x:v>
      </x:c>
    </x:row>
    <x:row r="2372" ht="22" customHeight="1">
      <x:c r="A2372" s="1" t="n">
        <x:v>254</x:v>
      </x:c>
      <x:c r="B2372" s="1" t="str">
        <x:v>Sceptile</x:v>
      </x:c>
      <x:c r="C2372" s="1" t="n">
        <x:v>2</x:v>
      </x:c>
      <x:c r="D2372" s="1" t="str">
        <x:v>Leaf Storm</x:v>
      </x:c>
      <x:c r="E2372" s="1" t="str">
        <x:v>Planta</x:v>
      </x:c>
      <x:c r="F2372" s="1" t="str">
        <x:v>Especial</x:v>
      </x:c>
      <x:c r="G2372" s="10" t="n">
        <x:v>130</x:v>
      </x:c>
      <x:c r="H2372" s="10" t="n">
        <x:f>IF(F2372="Física",'Pokémon'!G257,IF(F2372="Especial",'Pokémon'!I257,""))</x:f>
        <x:v>105</x:v>
      </x:c>
      <x:c r="I2372" s="10" t="n">
        <x:f>IF(OR(F2372="Status",G2372=0),"",G2372+H2372)</x:f>
        <x:v>235</x:v>
      </x:c>
      <x:c r="J2372" s="10" t="n">
        <x:v>1</x:v>
      </x:c>
      <x:c r="K2372" s="12" t="n">
        <x:v>70</x:v>
      </x:c>
      <x:c r="L2372" s="1" t="str"/>
      <x:c r="M2372" s="9" t="str">
        <x:v>https://poke.idleworld.online/pokepedia/pokemon/sceptile</x:v>
      </x:c>
    </x:row>
    <x:row r="2373" ht="22" customHeight="1">
      <x:c r="A2373" s="1" t="n">
        <x:v>254</x:v>
      </x:c>
      <x:c r="B2373" s="1" t="str">
        <x:v>Sceptile</x:v>
      </x:c>
      <x:c r="C2373" s="1" t="n">
        <x:v>9</x:v>
      </x:c>
      <x:c r="D2373" s="1" t="str">
        <x:v>Leaf Blade</x:v>
      </x:c>
      <x:c r="E2373" s="1" t="str">
        <x:v>Planta</x:v>
      </x:c>
      <x:c r="F2373" s="1" t="str">
        <x:v>Física</x:v>
      </x:c>
      <x:c r="G2373" s="10" t="n">
        <x:v>90</x:v>
      </x:c>
      <x:c r="H2373" s="10" t="n">
        <x:f>IF(F2373="Física",'Pokémon'!G257,IF(F2373="Especial",'Pokémon'!I257,""))</x:f>
        <x:v>85</x:v>
      </x:c>
      <x:c r="I2373" s="10" t="n">
        <x:f>IF(OR(F2373="Status",G2373=0),"",G2373+H2373)</x:f>
        <x:v>175</x:v>
      </x:c>
      <x:c r="J2373" s="10" t="n">
        <x:v>23</x:v>
      </x:c>
      <x:c r="K2373" s="12" t="n">
        <x:v>10</x:v>
      </x:c>
      <x:c r="L2373" s="1" t="str"/>
      <x:c r="M2373" s="9" t="str">
        <x:v>https://poke.idleworld.online/pokepedia/pokemon/sceptile</x:v>
      </x:c>
    </x:row>
    <x:row r="2374" ht="22" customHeight="1">
      <x:c r="A2374" s="1" t="n">
        <x:v>254</x:v>
      </x:c>
      <x:c r="B2374" s="1" t="str">
        <x:v>Sceptile</x:v>
      </x:c>
      <x:c r="C2374" s="1" t="n">
        <x:v>10</x:v>
      </x:c>
      <x:c r="D2374" s="1" t="str">
        <x:v>Slam</x:v>
      </x:c>
      <x:c r="E2374" s="1" t="str">
        <x:v>Normal</x:v>
      </x:c>
      <x:c r="F2374" s="1" t="str">
        <x:v>Física</x:v>
      </x:c>
      <x:c r="G2374" s="10" t="n">
        <x:v>80</x:v>
      </x:c>
      <x:c r="H2374" s="10" t="n">
        <x:f>IF(F2374="Física",'Pokémon'!G257,IF(F2374="Especial",'Pokémon'!I257,""))</x:f>
        <x:v>85</x:v>
      </x:c>
      <x:c r="I2374" s="10" t="n">
        <x:f>IF(OR(F2374="Status",G2374=0),"",G2374+H2374)</x:f>
        <x:v>165</x:v>
      </x:c>
      <x:c r="J2374" s="10" t="n">
        <x:v>33</x:v>
      </x:c>
      <x:c r="K2374" s="12" t="n">
        <x:v>22</x:v>
      </x:c>
      <x:c r="L2374" s="1" t="str"/>
      <x:c r="M2374" s="9" t="str">
        <x:v>https://poke.idleworld.online/pokepedia/pokemon/sceptile</x:v>
      </x:c>
    </x:row>
    <x:row r="2375" ht="22" customHeight="1">
      <x:c r="A2375" s="1" t="n">
        <x:v>254</x:v>
      </x:c>
      <x:c r="B2375" s="1" t="str">
        <x:v>Sceptile</x:v>
      </x:c>
      <x:c r="C2375" s="1" t="n">
        <x:v>12</x:v>
      </x:c>
      <x:c r="D2375" s="1" t="str">
        <x:v>X-Scissor</x:v>
      </x:c>
      <x:c r="E2375" s="1" t="str">
        <x:v>Inseto</x:v>
      </x:c>
      <x:c r="F2375" s="1" t="str">
        <x:v>Física</x:v>
      </x:c>
      <x:c r="G2375" s="10" t="n">
        <x:v>80</x:v>
      </x:c>
      <x:c r="H2375" s="10" t="n">
        <x:f>IF(F2375="Física",'Pokémon'!G257,IF(F2375="Especial",'Pokémon'!I257,""))</x:f>
        <x:v>85</x:v>
      </x:c>
      <x:c r="I2375" s="10" t="n">
        <x:f>IF(OR(F2375="Status",G2375=0),"",G2375+H2375)</x:f>
        <x:v>165</x:v>
      </x:c>
      <x:c r="J2375" s="10" t="n">
        <x:v>45</x:v>
      </x:c>
      <x:c r="K2375" s="12" t="n">
        <x:v>22</x:v>
      </x:c>
      <x:c r="L2375" s="1" t="str"/>
      <x:c r="M2375" s="9" t="str">
        <x:v>https://poke.idleworld.online/pokepedia/pokemon/sceptile</x:v>
      </x:c>
    </x:row>
    <x:row r="2376" ht="22" customHeight="1">
      <x:c r="A2376" s="1" t="n">
        <x:v>254</x:v>
      </x:c>
      <x:c r="B2376" s="1" t="str">
        <x:v>Sceptile</x:v>
      </x:c>
      <x:c r="C2376" s="1" t="n">
        <x:v>1</x:v>
      </x:c>
      <x:c r="D2376" s="1" t="str">
        <x:v>Night Slash</x:v>
      </x:c>
      <x:c r="E2376" s="1" t="str">
        <x:v>Sombrio</x:v>
      </x:c>
      <x:c r="F2376" s="1" t="str">
        <x:v>Física</x:v>
      </x:c>
      <x:c r="G2376" s="10" t="n">
        <x:v>70</x:v>
      </x:c>
      <x:c r="H2376" s="10" t="n">
        <x:f>IF(F2376="Física",'Pokémon'!G257,IF(F2376="Especial",'Pokémon'!I257,""))</x:f>
        <x:v>85</x:v>
      </x:c>
      <x:c r="I2376" s="10" t="n">
        <x:f>IF(OR(F2376="Status",G2376=0),"",G2376+H2376)</x:f>
        <x:v>155</x:v>
      </x:c>
      <x:c r="J2376" s="10" t="n">
        <x:v>1</x:v>
      </x:c>
      <x:c r="K2376" s="12" t="n">
        <x:v>25</x:v>
      </x:c>
      <x:c r="L2376" s="1" t="str"/>
      <x:c r="M2376" s="9" t="str">
        <x:v>https://poke.idleworld.online/pokepedia/pokemon/sceptile</x:v>
      </x:c>
    </x:row>
    <x:row r="2377" ht="22" customHeight="1">
      <x:c r="A2377" s="1" t="n">
        <x:v>254</x:v>
      </x:c>
      <x:c r="B2377" s="1" t="str">
        <x:v>Sceptile</x:v>
      </x:c>
      <x:c r="C2377" s="1" t="n">
        <x:v>6</x:v>
      </x:c>
      <x:c r="D2377" s="1" t="str">
        <x:v>Mega Drain</x:v>
      </x:c>
      <x:c r="E2377" s="1" t="str">
        <x:v>Planta</x:v>
      </x:c>
      <x:c r="F2377" s="1" t="str">
        <x:v>Especial</x:v>
      </x:c>
      <x:c r="G2377" s="10" t="n">
        <x:v>40</x:v>
      </x:c>
      <x:c r="H2377" s="10" t="n">
        <x:f>IF(F2377="Física",'Pokémon'!G257,IF(F2377="Especial",'Pokémon'!I257,""))</x:f>
        <x:v>105</x:v>
      </x:c>
      <x:c r="I2377" s="10" t="n">
        <x:f>IF(OR(F2377="Status",G2377=0),"",G2377+H2377)</x:f>
        <x:v>145</x:v>
      </x:c>
      <x:c r="J2377" s="10" t="n">
        <x:v>13</x:v>
      </x:c>
      <x:c r="K2377" s="12" t="n">
        <x:v>15</x:v>
      </x:c>
      <x:c r="L2377" s="1" t="str"/>
      <x:c r="M2377" s="9" t="str">
        <x:v>https://poke.idleworld.online/pokepedia/pokemon/sceptile</x:v>
      </x:c>
    </x:row>
    <x:row r="2378" ht="22" customHeight="1">
      <x:c r="A2378" s="1" t="n">
        <x:v>254</x:v>
      </x:c>
      <x:c r="B2378" s="1" t="str">
        <x:v>Sceptile</x:v>
      </x:c>
      <x:c r="C2378" s="1" t="n">
        <x:v>4</x:v>
      </x:c>
      <x:c r="D2378" s="1" t="str">
        <x:v>Pound</x:v>
      </x:c>
      <x:c r="E2378" s="1" t="str">
        <x:v>Normal</x:v>
      </x:c>
      <x:c r="F2378" s="1" t="str">
        <x:v>Física</x:v>
      </x:c>
      <x:c r="G2378" s="10" t="n">
        <x:v>40</x:v>
      </x:c>
      <x:c r="H2378" s="10" t="n">
        <x:f>IF(F2378="Física",'Pokémon'!G257,IF(F2378="Especial",'Pokémon'!I257,""))</x:f>
        <x:v>85</x:v>
      </x:c>
      <x:c r="I2378" s="10" t="n">
        <x:f>IF(OR(F2378="Status",G2378=0),"",G2378+H2378)</x:f>
        <x:v>125</x:v>
      </x:c>
      <x:c r="J2378" s="10" t="n">
        <x:v>1</x:v>
      </x:c>
      <x:c r="K2378" s="12" t="n">
        <x:v>15</x:v>
      </x:c>
      <x:c r="L2378" s="1" t="str"/>
      <x:c r="M2378" s="9" t="str">
        <x:v>https://poke.idleworld.online/pokepedia/pokemon/sceptile</x:v>
      </x:c>
    </x:row>
    <x:row r="2379" ht="22" customHeight="1">
      <x:c r="A2379" s="1" t="n">
        <x:v>254</x:v>
      </x:c>
      <x:c r="B2379" s="1" t="str">
        <x:v>Sceptile</x:v>
      </x:c>
      <x:c r="C2379" s="1" t="n">
        <x:v>5</x:v>
      </x:c>
      <x:c r="D2379" s="1" t="str">
        <x:v>Quick Attack</x:v>
      </x:c>
      <x:c r="E2379" s="1" t="str">
        <x:v>Normal</x:v>
      </x:c>
      <x:c r="F2379" s="1" t="str">
        <x:v>Física</x:v>
      </x:c>
      <x:c r="G2379" s="10" t="n">
        <x:v>40</x:v>
      </x:c>
      <x:c r="H2379" s="10" t="n">
        <x:f>IF(F2379="Física",'Pokémon'!G257,IF(F2379="Especial",'Pokémon'!I257,""))</x:f>
        <x:v>85</x:v>
      </x:c>
      <x:c r="I2379" s="10" t="n">
        <x:f>IF(OR(F2379="Status",G2379=0),"",G2379+H2379)</x:f>
        <x:v>125</x:v>
      </x:c>
      <x:c r="J2379" s="10" t="n">
        <x:v>1</x:v>
      </x:c>
      <x:c r="K2379" s="12" t="n">
        <x:v>15</x:v>
      </x:c>
      <x:c r="L2379" s="1" t="str"/>
      <x:c r="M2379" s="9" t="str">
        <x:v>https://poke.idleworld.online/pokepedia/pokemon/sceptile</x:v>
      </x:c>
    </x:row>
    <x:row r="2380" ht="22" customHeight="1">
      <x:c r="A2380" s="1" t="n">
        <x:v>254</x:v>
      </x:c>
      <x:c r="B2380" s="1" t="str">
        <x:v>Sceptile</x:v>
      </x:c>
      <x:c r="C2380" s="1" t="n">
        <x:v>7</x:v>
      </x:c>
      <x:c r="D2380" s="1" t="str">
        <x:v>Fury Cutter</x:v>
      </x:c>
      <x:c r="E2380" s="1" t="str">
        <x:v>Inseto</x:v>
      </x:c>
      <x:c r="F2380" s="1" t="str">
        <x:v>Física</x:v>
      </x:c>
      <x:c r="G2380" s="10" t="n">
        <x:v>40</x:v>
      </x:c>
      <x:c r="H2380" s="10" t="n">
        <x:f>IF(F2380="Física",'Pokémon'!G257,IF(F2380="Especial",'Pokémon'!I257,""))</x:f>
        <x:v>85</x:v>
      </x:c>
      <x:c r="I2380" s="10" t="n">
        <x:f>IF(OR(F2380="Status",G2380=0),"",G2380+H2380)</x:f>
        <x:v>125</x:v>
      </x:c>
      <x:c r="J2380" s="10" t="n">
        <x:v>16</x:v>
      </x:c>
      <x:c r="K2380" s="12" t="n">
        <x:v>15</x:v>
      </x:c>
      <x:c r="L2380" s="1" t="str"/>
      <x:c r="M2380" s="9" t="str">
        <x:v>https://poke.idleworld.online/pokepedia/pokemon/sceptile</x:v>
      </x:c>
    </x:row>
    <x:row r="2381" ht="22" customHeight="1">
      <x:c r="A2381" s="1" t="n">
        <x:v>254</x:v>
      </x:c>
      <x:c r="B2381" s="1" t="str">
        <x:v>Sceptile</x:v>
      </x:c>
      <x:c r="C2381" s="1" t="n">
        <x:v>8</x:v>
      </x:c>
      <x:c r="D2381" s="1" t="str">
        <x:v>Pursuit</x:v>
      </x:c>
      <x:c r="E2381" s="1" t="str">
        <x:v>Sombrio</x:v>
      </x:c>
      <x:c r="F2381" s="1" t="str">
        <x:v>Física</x:v>
      </x:c>
      <x:c r="G2381" s="10" t="n">
        <x:v>40</x:v>
      </x:c>
      <x:c r="H2381" s="10" t="n">
        <x:f>IF(F2381="Física",'Pokémon'!G257,IF(F2381="Especial",'Pokémon'!I257,""))</x:f>
        <x:v>85</x:v>
      </x:c>
      <x:c r="I2381" s="10" t="n">
        <x:f>IF(OR(F2381="Status",G2381=0),"",G2381+H2381)</x:f>
        <x:v>125</x:v>
      </x:c>
      <x:c r="J2381" s="10" t="n">
        <x:v>18</x:v>
      </x:c>
      <x:c r="K2381" s="12" t="n">
        <x:v>15</x:v>
      </x:c>
      <x:c r="L2381" s="1" t="str"/>
      <x:c r="M2381" s="9" t="str">
        <x:v>https://poke.idleworld.online/pokepedia/pokemon/sceptile</x:v>
      </x:c>
    </x:row>
    <x:row r="2382" ht="22" customHeight="1">
      <x:c r="A2382" s="1" t="n">
        <x:v>254</x:v>
      </x:c>
      <x:c r="B2382" s="1" t="str">
        <x:v>Sceptile</x:v>
      </x:c>
      <x:c r="C2382" s="1" t="n">
        <x:v>11</x:v>
      </x:c>
      <x:c r="D2382" s="1" t="str">
        <x:v>Dual Chop</x:v>
      </x:c>
      <x:c r="E2382" s="1" t="str">
        <x:v>Dragão</x:v>
      </x:c>
      <x:c r="F2382" s="1" t="str">
        <x:v>Física</x:v>
      </x:c>
      <x:c r="G2382" s="10" t="n">
        <x:v>40</x:v>
      </x:c>
      <x:c r="H2382" s="10" t="n">
        <x:f>IF(F2382="Física",'Pokémon'!G257,IF(F2382="Especial",'Pokémon'!I257,""))</x:f>
        <x:v>85</x:v>
      </x:c>
      <x:c r="I2382" s="10" t="n">
        <x:f>IF(OR(F2382="Status",G2382=0),"",G2382+H2382)</x:f>
        <x:v>125</x:v>
      </x:c>
      <x:c r="J2382" s="10" t="n">
        <x:v>36</x:v>
      </x:c>
      <x:c r="K2382" s="12" t="n">
        <x:v>15</x:v>
      </x:c>
      <x:c r="L2382" s="1" t="str"/>
      <x:c r="M2382" s="9" t="str">
        <x:v>https://poke.idleworld.online/pokepedia/pokemon/sceptile</x:v>
      </x:c>
    </x:row>
    <x:row r="2383" ht="22" customHeight="1">
      <x:c r="A2383" s="1" t="n">
        <x:v>254</x:v>
      </x:c>
      <x:c r="B2383" s="1" t="str">
        <x:v>Sceptile</x:v>
      </x:c>
      <x:c r="C2383" s="1" t="n">
        <x:v>13</x:v>
      </x:c>
      <x:c r="D2383" s="1" t="str">
        <x:v>False Swipe</x:v>
      </x:c>
      <x:c r="E2383" s="1" t="str">
        <x:v>Normal</x:v>
      </x:c>
      <x:c r="F2383" s="1" t="str">
        <x:v>Física</x:v>
      </x:c>
      <x:c r="G2383" s="10" t="n">
        <x:v>40</x:v>
      </x:c>
      <x:c r="H2383" s="10" t="n">
        <x:f>IF(F2383="Física",'Pokémon'!G257,IF(F2383="Especial",'Pokémon'!I257,""))</x:f>
        <x:v>85</x:v>
      </x:c>
      <x:c r="I2383" s="10" t="n">
        <x:f>IF(OR(F2383="Status",G2383=0),"",G2383+H2383)</x:f>
        <x:v>125</x:v>
      </x:c>
      <x:c r="J2383" s="10" t="n">
        <x:v>51</x:v>
      </x:c>
      <x:c r="K2383" s="12" t="n">
        <x:v>15</x:v>
      </x:c>
      <x:c r="L2383" s="1" t="str"/>
      <x:c r="M2383" s="9" t="str">
        <x:v>https://poke.idleworld.online/pokepedia/pokemon/sceptile</x:v>
      </x:c>
    </x:row>
    <x:row r="2384" ht="22" customHeight="1">
      <x:c r="A2384" s="1" t="n">
        <x:v>254</x:v>
      </x:c>
      <x:c r="B2384" s="1" t="str">
        <x:v>Sceptile</x:v>
      </x:c>
      <x:c r="C2384" s="1" t="n">
        <x:v>3</x:v>
      </x:c>
      <x:c r="D2384" s="1" t="str">
        <x:v>Absorb</x:v>
      </x:c>
      <x:c r="E2384" s="1" t="str">
        <x:v>Planta</x:v>
      </x:c>
      <x:c r="F2384" s="1" t="str">
        <x:v>Especial</x:v>
      </x:c>
      <x:c r="G2384" s="10" t="n">
        <x:v>20</x:v>
      </x:c>
      <x:c r="H2384" s="10" t="n">
        <x:f>IF(F2384="Física",'Pokémon'!G257,IF(F2384="Especial",'Pokémon'!I257,""))</x:f>
        <x:v>105</x:v>
      </x:c>
      <x:c r="I2384" s="10" t="n">
        <x:f>IF(OR(F2384="Status",G2384=0),"",G2384+H2384)</x:f>
        <x:v>125</x:v>
      </x:c>
      <x:c r="J2384" s="10" t="n">
        <x:v>1</x:v>
      </x:c>
      <x:c r="K2384" s="12" t="n">
        <x:v>15</x:v>
      </x:c>
      <x:c r="L2384" s="1" t="str"/>
      <x:c r="M2384" s="9" t="str">
        <x:v>https://poke.idleworld.online/pokepedia/pokemon/sceptile</x:v>
      </x:c>
    </x:row>
    <x:row r="2385" ht="22" customHeight="1">
      <x:c r="A2385" s="1" t="n">
        <x:v>255</x:v>
      </x:c>
      <x:c r="B2385" s="1" t="str">
        <x:v>Torchic</x:v>
      </x:c>
      <x:c r="C2385" s="1" t="n">
        <x:v>8</x:v>
      </x:c>
      <x:c r="D2385" s="1" t="str">
        <x:v>Flamethrower</x:v>
      </x:c>
      <x:c r="E2385" s="1" t="str">
        <x:v>Fogo</x:v>
      </x:c>
      <x:c r="F2385" s="1" t="str">
        <x:v>Especial</x:v>
      </x:c>
      <x:c r="G2385" s="10" t="n">
        <x:v>90</x:v>
      </x:c>
      <x:c r="H2385" s="10" t="n">
        <x:f>IF(F2385="Física",'Pokémon'!G258,IF(F2385="Especial",'Pokémon'!I258,""))</x:f>
        <x:v>70</x:v>
      </x:c>
      <x:c r="I2385" s="10" t="n">
        <x:f>IF(OR(F2385="Status",G2385=0),"",G2385+H2385)</x:f>
        <x:v>160</x:v>
      </x:c>
      <x:c r="J2385" s="10" t="n">
        <x:v>46</x:v>
      </x:c>
      <x:c r="K2385" s="12" t="n">
        <x:v>18</x:v>
      </x:c>
      <x:c r="L2385" s="1" t="str"/>
      <x:c r="M2385" s="9" t="str">
        <x:v>https://poke.idleworld.online/pokepedia/pokemon/torchic</x:v>
      </x:c>
    </x:row>
    <x:row r="2386" ht="22" customHeight="1">
      <x:c r="A2386" s="1" t="n">
        <x:v>255</x:v>
      </x:c>
      <x:c r="B2386" s="1" t="str">
        <x:v>Torchic</x:v>
      </x:c>
      <x:c r="C2386" s="1" t="n">
        <x:v>6</x:v>
      </x:c>
      <x:c r="D2386" s="1" t="str">
        <x:v>Flame Burst</x:v>
      </x:c>
      <x:c r="E2386" s="1" t="str">
        <x:v>Fogo</x:v>
      </x:c>
      <x:c r="F2386" s="1" t="str">
        <x:v>Especial</x:v>
      </x:c>
      <x:c r="G2386" s="10" t="n">
        <x:v>70</x:v>
      </x:c>
      <x:c r="H2386" s="10" t="n">
        <x:f>IF(F2386="Física",'Pokémon'!G258,IF(F2386="Especial",'Pokémon'!I258,""))</x:f>
        <x:v>70</x:v>
      </x:c>
      <x:c r="I2386" s="10" t="n">
        <x:f>IF(OR(F2386="Status",G2386=0),"",G2386+H2386)</x:f>
        <x:v>140</x:v>
      </x:c>
      <x:c r="J2386" s="10" t="n">
        <x:v>28</x:v>
      </x:c>
      <x:c r="K2386" s="12" t="n">
        <x:v>20</x:v>
      </x:c>
      <x:c r="L2386" s="1" t="str"/>
      <x:c r="M2386" s="9" t="str">
        <x:v>https://poke.idleworld.online/pokepedia/pokemon/torchic</x:v>
      </x:c>
    </x:row>
    <x:row r="2387" ht="22" customHeight="1">
      <x:c r="A2387" s="1" t="n">
        <x:v>255</x:v>
      </x:c>
      <x:c r="B2387" s="1" t="str">
        <x:v>Torchic</x:v>
      </x:c>
      <x:c r="C2387" s="1" t="n">
        <x:v>7</x:v>
      </x:c>
      <x:c r="D2387" s="1" t="str">
        <x:v>Slash</x:v>
      </x:c>
      <x:c r="E2387" s="1" t="str">
        <x:v>Normal</x:v>
      </x:c>
      <x:c r="F2387" s="1" t="str">
        <x:v>Física</x:v>
      </x:c>
      <x:c r="G2387" s="10" t="n">
        <x:v>70</x:v>
      </x:c>
      <x:c r="H2387" s="10" t="n">
        <x:f>IF(F2387="Física",'Pokémon'!G258,IF(F2387="Especial",'Pokémon'!I258,""))</x:f>
        <x:v>60</x:v>
      </x:c>
      <x:c r="I2387" s="10" t="n">
        <x:f>IF(OR(F2387="Status",G2387=0),"",G2387+H2387)</x:f>
        <x:v>130</x:v>
      </x:c>
      <x:c r="J2387" s="10" t="n">
        <x:v>37</x:v>
      </x:c>
      <x:c r="K2387" s="12" t="n">
        <x:v>20</x:v>
      </x:c>
      <x:c r="L2387" s="1" t="str"/>
      <x:c r="M2387" s="9" t="str">
        <x:v>https://poke.idleworld.online/pokepedia/pokemon/torchic</x:v>
      </x:c>
    </x:row>
    <x:row r="2388" ht="22" customHeight="1">
      <x:c r="A2388" s="1" t="n">
        <x:v>255</x:v>
      </x:c>
      <x:c r="B2388" s="1" t="str">
        <x:v>Torchic</x:v>
      </x:c>
      <x:c r="C2388" s="1" t="n">
        <x:v>2</x:v>
      </x:c>
      <x:c r="D2388" s="1" t="str">
        <x:v>Ember</x:v>
      </x:c>
      <x:c r="E2388" s="1" t="str">
        <x:v>Fogo</x:v>
      </x:c>
      <x:c r="F2388" s="1" t="str">
        <x:v>Especial</x:v>
      </x:c>
      <x:c r="G2388" s="10" t="n">
        <x:v>40</x:v>
      </x:c>
      <x:c r="H2388" s="10" t="n">
        <x:f>IF(F2388="Física",'Pokémon'!G258,IF(F2388="Especial",'Pokémon'!I258,""))</x:f>
        <x:v>70</x:v>
      </x:c>
      <x:c r="I2388" s="10" t="n">
        <x:f>IF(OR(F2388="Status",G2388=0),"",G2388+H2388)</x:f>
        <x:v>110</x:v>
      </x:c>
      <x:c r="J2388" s="10" t="n">
        <x:v>5</x:v>
      </x:c>
      <x:c r="K2388" s="12" t="n">
        <x:v>10</x:v>
      </x:c>
      <x:c r="L2388" s="1" t="str"/>
      <x:c r="M2388" s="9" t="str">
        <x:v>https://poke.idleworld.online/pokepedia/pokemon/torchic</x:v>
      </x:c>
    </x:row>
    <x:row r="2389" ht="22" customHeight="1">
      <x:c r="A2389" s="1" t="n">
        <x:v>255</x:v>
      </x:c>
      <x:c r="B2389" s="1" t="str">
        <x:v>Torchic</x:v>
      </x:c>
      <x:c r="C2389" s="1" t="n">
        <x:v>4</x:v>
      </x:c>
      <x:c r="D2389" s="1" t="str">
        <x:v>Fire Spin</x:v>
      </x:c>
      <x:c r="E2389" s="1" t="str">
        <x:v>Fogo</x:v>
      </x:c>
      <x:c r="F2389" s="1" t="str">
        <x:v>Especial</x:v>
      </x:c>
      <x:c r="G2389" s="10" t="n">
        <x:v>35</x:v>
      </x:c>
      <x:c r="H2389" s="10" t="n">
        <x:f>IF(F2389="Física",'Pokémon'!G258,IF(F2389="Especial",'Pokémon'!I258,""))</x:f>
        <x:v>70</x:v>
      </x:c>
      <x:c r="I2389" s="10" t="n">
        <x:f>IF(OR(F2389="Status",G2389=0),"",G2389+H2389)</x:f>
        <x:v>105</x:v>
      </x:c>
      <x:c r="J2389" s="10" t="n">
        <x:v>19</x:v>
      </x:c>
      <x:c r="K2389" s="12" t="n">
        <x:v>30</x:v>
      </x:c>
      <x:c r="L2389" s="1" t="str"/>
      <x:c r="M2389" s="9" t="str">
        <x:v>https://poke.idleworld.online/pokepedia/pokemon/torchic</x:v>
      </x:c>
    </x:row>
    <x:row r="2390" ht="22" customHeight="1">
      <x:c r="A2390" s="1" t="n">
        <x:v>255</x:v>
      </x:c>
      <x:c r="B2390" s="1" t="str">
        <x:v>Torchic</x:v>
      </x:c>
      <x:c r="C2390" s="1" t="n">
        <x:v>1</x:v>
      </x:c>
      <x:c r="D2390" s="1" t="str">
        <x:v>Scratch</x:v>
      </x:c>
      <x:c r="E2390" s="1" t="str">
        <x:v>Normal</x:v>
      </x:c>
      <x:c r="F2390" s="1" t="str">
        <x:v>Física</x:v>
      </x:c>
      <x:c r="G2390" s="10" t="n">
        <x:v>40</x:v>
      </x:c>
      <x:c r="H2390" s="10" t="n">
        <x:f>IF(F2390="Física",'Pokémon'!G258,IF(F2390="Especial",'Pokémon'!I258,""))</x:f>
        <x:v>60</x:v>
      </x:c>
      <x:c r="I2390" s="10" t="n">
        <x:f>IF(OR(F2390="Status",G2390=0),"",G2390+H2390)</x:f>
        <x:v>100</x:v>
      </x:c>
      <x:c r="J2390" s="10" t="n">
        <x:v>1</x:v>
      </x:c>
      <x:c r="K2390" s="12" t="n">
        <x:v>15</x:v>
      </x:c>
      <x:c r="L2390" s="1" t="str"/>
      <x:c r="M2390" s="9" t="str">
        <x:v>https://poke.idleworld.online/pokepedia/pokemon/torchic</x:v>
      </x:c>
    </x:row>
    <x:row r="2391" ht="22" customHeight="1">
      <x:c r="A2391" s="1" t="n">
        <x:v>255</x:v>
      </x:c>
      <x:c r="B2391" s="1" t="str">
        <x:v>Torchic</x:v>
      </x:c>
      <x:c r="C2391" s="1" t="n">
        <x:v>5</x:v>
      </x:c>
      <x:c r="D2391" s="1" t="str">
        <x:v>Quick Attack</x:v>
      </x:c>
      <x:c r="E2391" s="1" t="str">
        <x:v>Normal</x:v>
      </x:c>
      <x:c r="F2391" s="1" t="str">
        <x:v>Física</x:v>
      </x:c>
      <x:c r="G2391" s="10" t="n">
        <x:v>40</x:v>
      </x:c>
      <x:c r="H2391" s="10" t="n">
        <x:f>IF(F2391="Física",'Pokémon'!G258,IF(F2391="Especial",'Pokémon'!I258,""))</x:f>
        <x:v>60</x:v>
      </x:c>
      <x:c r="I2391" s="10" t="n">
        <x:f>IF(OR(F2391="Status",G2391=0),"",G2391+H2391)</x:f>
        <x:v>100</x:v>
      </x:c>
      <x:c r="J2391" s="10" t="n">
        <x:v>23</x:v>
      </x:c>
      <x:c r="K2391" s="12" t="n">
        <x:v>15</x:v>
      </x:c>
      <x:c r="L2391" s="1" t="str"/>
      <x:c r="M2391" s="9" t="str">
        <x:v>https://poke.idleworld.online/pokepedia/pokemon/torchic</x:v>
      </x:c>
    </x:row>
    <x:row r="2392" ht="22" customHeight="1">
      <x:c r="A2392" s="1" t="n">
        <x:v>255</x:v>
      </x:c>
      <x:c r="B2392" s="1" t="str">
        <x:v>Torchic</x:v>
      </x:c>
      <x:c r="C2392" s="1" t="n">
        <x:v>3</x:v>
      </x:c>
      <x:c r="D2392" s="1" t="str">
        <x:v>Peck</x:v>
      </x:c>
      <x:c r="E2392" s="1" t="str">
        <x:v>Voador</x:v>
      </x:c>
      <x:c r="F2392" s="1" t="str">
        <x:v>Física</x:v>
      </x:c>
      <x:c r="G2392" s="10" t="n">
        <x:v>35</x:v>
      </x:c>
      <x:c r="H2392" s="10" t="n">
        <x:f>IF(F2392="Física",'Pokémon'!G258,IF(F2392="Especial",'Pokémon'!I258,""))</x:f>
        <x:v>60</x:v>
      </x:c>
      <x:c r="I2392" s="10" t="n">
        <x:f>IF(OR(F2392="Status",G2392=0),"",G2392+H2392)</x:f>
        <x:v>95</x:v>
      </x:c>
      <x:c r="J2392" s="10" t="n">
        <x:v>14</x:v>
      </x:c>
      <x:c r="K2392" s="12" t="n">
        <x:v>15</x:v>
      </x:c>
      <x:c r="L2392" s="1" t="str"/>
      <x:c r="M2392" s="9" t="str">
        <x:v>https://poke.idleworld.online/pokepedia/pokemon/torchic</x:v>
      </x:c>
    </x:row>
    <x:row r="2393" ht="22" customHeight="1">
      <x:c r="A2393" s="1" t="n">
        <x:v>256</x:v>
      </x:c>
      <x:c r="B2393" s="1" t="str">
        <x:v>Combusken</x:v>
      </x:c>
      <x:c r="C2393" s="1" t="n">
        <x:v>10</x:v>
      </x:c>
      <x:c r="D2393" s="1" t="str">
        <x:v>Flare Blitz</x:v>
      </x:c>
      <x:c r="E2393" s="1" t="str">
        <x:v>Fogo</x:v>
      </x:c>
      <x:c r="F2393" s="1" t="str">
        <x:v>Física</x:v>
      </x:c>
      <x:c r="G2393" s="10" t="n">
        <x:v>120</x:v>
      </x:c>
      <x:c r="H2393" s="10" t="n">
        <x:f>IF(F2393="Física",'Pokémon'!G259,IF(F2393="Especial",'Pokémon'!I259,""))</x:f>
        <x:v>85</x:v>
      </x:c>
      <x:c r="I2393" s="10" t="n">
        <x:f>IF(OR(F2393="Status",G2393=0),"",G2393+H2393)</x:f>
        <x:v>205</x:v>
      </x:c>
      <x:c r="J2393" s="10" t="n">
        <x:v>58</x:v>
      </x:c>
      <x:c r="K2393" s="12" t="n">
        <x:v>50</x:v>
      </x:c>
      <x:c r="L2393" s="1" t="str"/>
      <x:c r="M2393" s="9" t="str">
        <x:v>https://poke.idleworld.online/pokepedia/pokemon/combusken</x:v>
      </x:c>
    </x:row>
    <x:row r="2394" ht="22" customHeight="1">
      <x:c r="A2394" s="1" t="n">
        <x:v>256</x:v>
      </x:c>
      <x:c r="B2394" s="1" t="str">
        <x:v>Combusken</x:v>
      </x:c>
      <x:c r="C2394" s="1" t="n">
        <x:v>9</x:v>
      </x:c>
      <x:c r="D2394" s="1" t="str">
        <x:v>Sky Uppercut</x:v>
      </x:c>
      <x:c r="E2394" s="1" t="str">
        <x:v>Lutador</x:v>
      </x:c>
      <x:c r="F2394" s="1" t="str">
        <x:v>Física</x:v>
      </x:c>
      <x:c r="G2394" s="10" t="n">
        <x:v>85</x:v>
      </x:c>
      <x:c r="H2394" s="10" t="n">
        <x:f>IF(F2394="Física",'Pokémon'!G259,IF(F2394="Especial",'Pokémon'!I259,""))</x:f>
        <x:v>85</x:v>
      </x:c>
      <x:c r="I2394" s="10" t="n">
        <x:f>IF(OR(F2394="Status",G2394=0),"",G2394+H2394)</x:f>
        <x:v>170</x:v>
      </x:c>
      <x:c r="J2394" s="10" t="n">
        <x:v>53</x:v>
      </x:c>
      <x:c r="K2394" s="12" t="n">
        <x:v>28</x:v>
      </x:c>
      <x:c r="L2394" s="1" t="str"/>
      <x:c r="M2394" s="9" t="str">
        <x:v>https://poke.idleworld.online/pokepedia/pokemon/combusken</x:v>
      </x:c>
    </x:row>
    <x:row r="2395" ht="22" customHeight="1">
      <x:c r="A2395" s="1" t="n">
        <x:v>256</x:v>
      </x:c>
      <x:c r="B2395" s="1" t="str">
        <x:v>Combusken</x:v>
      </x:c>
      <x:c r="C2395" s="1" t="n">
        <x:v>8</x:v>
      </x:c>
      <x:c r="D2395" s="1" t="str">
        <x:v>Slash</x:v>
      </x:c>
      <x:c r="E2395" s="1" t="str">
        <x:v>Normal</x:v>
      </x:c>
      <x:c r="F2395" s="1" t="str">
        <x:v>Física</x:v>
      </x:c>
      <x:c r="G2395" s="10" t="n">
        <x:v>70</x:v>
      </x:c>
      <x:c r="H2395" s="10" t="n">
        <x:f>IF(F2395="Física",'Pokémon'!G259,IF(F2395="Especial",'Pokémon'!I259,""))</x:f>
        <x:v>85</x:v>
      </x:c>
      <x:c r="I2395" s="10" t="n">
        <x:f>IF(OR(F2395="Status",G2395=0),"",G2395+H2395)</x:f>
        <x:v>155</x:v>
      </x:c>
      <x:c r="J2395" s="10" t="n">
        <x:v>42</x:v>
      </x:c>
      <x:c r="K2395" s="12" t="n">
        <x:v>20</x:v>
      </x:c>
      <x:c r="L2395" s="1" t="str"/>
      <x:c r="M2395" s="9" t="str">
        <x:v>https://poke.idleworld.online/pokepedia/pokemon/combusken</x:v>
      </x:c>
    </x:row>
    <x:row r="2396" ht="22" customHeight="1">
      <x:c r="A2396" s="1" t="n">
        <x:v>256</x:v>
      </x:c>
      <x:c r="B2396" s="1" t="str">
        <x:v>Combusken</x:v>
      </x:c>
      <x:c r="C2396" s="1" t="n">
        <x:v>5</x:v>
      </x:c>
      <x:c r="D2396" s="1" t="str">
        <x:v>Flame Charge</x:v>
      </x:c>
      <x:c r="E2396" s="1" t="str">
        <x:v>Fogo</x:v>
      </x:c>
      <x:c r="F2396" s="1" t="str">
        <x:v>Física</x:v>
      </x:c>
      <x:c r="G2396" s="10" t="n">
        <x:v>50</x:v>
      </x:c>
      <x:c r="H2396" s="10" t="n">
        <x:f>IF(F2396="Física",'Pokémon'!G259,IF(F2396="Especial",'Pokémon'!I259,""))</x:f>
        <x:v>85</x:v>
      </x:c>
      <x:c r="I2396" s="10" t="n">
        <x:f>IF(OR(F2396="Status",G2396=0),"",G2396+H2396)</x:f>
        <x:v>135</x:v>
      </x:c>
      <x:c r="J2396" s="10" t="n">
        <x:v>20</x:v>
      </x:c>
      <x:c r="K2396" s="12" t="n">
        <x:v>15</x:v>
      </x:c>
      <x:c r="L2396" s="1" t="str"/>
      <x:c r="M2396" s="9" t="str">
        <x:v>https://poke.idleworld.online/pokepedia/pokemon/combusken</x:v>
      </x:c>
    </x:row>
    <x:row r="2397" ht="22" customHeight="1">
      <x:c r="A2397" s="1" t="n">
        <x:v>256</x:v>
      </x:c>
      <x:c r="B2397" s="1" t="str">
        <x:v>Combusken</x:v>
      </x:c>
      <x:c r="C2397" s="1" t="n">
        <x:v>1</x:v>
      </x:c>
      <x:c r="D2397" s="1" t="str">
        <x:v>Ember</x:v>
      </x:c>
      <x:c r="E2397" s="1" t="str">
        <x:v>Fogo</x:v>
      </x:c>
      <x:c r="F2397" s="1" t="str">
        <x:v>Especial</x:v>
      </x:c>
      <x:c r="G2397" s="10" t="n">
        <x:v>40</x:v>
      </x:c>
      <x:c r="H2397" s="10" t="n">
        <x:f>IF(F2397="Física",'Pokémon'!G259,IF(F2397="Especial",'Pokémon'!I259,""))</x:f>
        <x:v>85</x:v>
      </x:c>
      <x:c r="I2397" s="10" t="n">
        <x:f>IF(OR(F2397="Status",G2397=0),"",G2397+H2397)</x:f>
        <x:v>125</x:v>
      </x:c>
      <x:c r="J2397" s="10" t="n">
        <x:v>1</x:v>
      </x:c>
      <x:c r="K2397" s="12" t="n">
        <x:v>10</x:v>
      </x:c>
      <x:c r="L2397" s="1" t="str"/>
      <x:c r="M2397" s="9" t="str">
        <x:v>https://poke.idleworld.online/pokepedia/pokemon/combusken</x:v>
      </x:c>
    </x:row>
    <x:row r="2398" ht="22" customHeight="1">
      <x:c r="A2398" s="1" t="n">
        <x:v>256</x:v>
      </x:c>
      <x:c r="B2398" s="1" t="str">
        <x:v>Combusken</x:v>
      </x:c>
      <x:c r="C2398" s="1" t="n">
        <x:v>2</x:v>
      </x:c>
      <x:c r="D2398" s="1" t="str">
        <x:v>Scratch</x:v>
      </x:c>
      <x:c r="E2398" s="1" t="str">
        <x:v>Normal</x:v>
      </x:c>
      <x:c r="F2398" s="1" t="str">
        <x:v>Física</x:v>
      </x:c>
      <x:c r="G2398" s="10" t="n">
        <x:v>40</x:v>
      </x:c>
      <x:c r="H2398" s="10" t="n">
        <x:f>IF(F2398="Física",'Pokémon'!G259,IF(F2398="Especial",'Pokémon'!I259,""))</x:f>
        <x:v>85</x:v>
      </x:c>
      <x:c r="I2398" s="10" t="n">
        <x:f>IF(OR(F2398="Status",G2398=0),"",G2398+H2398)</x:f>
        <x:v>125</x:v>
      </x:c>
      <x:c r="J2398" s="10" t="n">
        <x:v>1</x:v>
      </x:c>
      <x:c r="K2398" s="12" t="n">
        <x:v>15</x:v>
      </x:c>
      <x:c r="L2398" s="1" t="str"/>
      <x:c r="M2398" s="9" t="str">
        <x:v>https://poke.idleworld.online/pokepedia/pokemon/combusken</x:v>
      </x:c>
    </x:row>
    <x:row r="2399" ht="22" customHeight="1">
      <x:c r="A2399" s="1" t="n">
        <x:v>256</x:v>
      </x:c>
      <x:c r="B2399" s="1" t="str">
        <x:v>Combusken</x:v>
      </x:c>
      <x:c r="C2399" s="1" t="n">
        <x:v>6</x:v>
      </x:c>
      <x:c r="D2399" s="1" t="str">
        <x:v>Quick Attack</x:v>
      </x:c>
      <x:c r="E2399" s="1" t="str">
        <x:v>Normal</x:v>
      </x:c>
      <x:c r="F2399" s="1" t="str">
        <x:v>Física</x:v>
      </x:c>
      <x:c r="G2399" s="10" t="n">
        <x:v>40</x:v>
      </x:c>
      <x:c r="H2399" s="10" t="n">
        <x:f>IF(F2399="Física",'Pokémon'!G259,IF(F2399="Especial",'Pokémon'!I259,""))</x:f>
        <x:v>85</x:v>
      </x:c>
      <x:c r="I2399" s="10" t="n">
        <x:f>IF(OR(F2399="Status",G2399=0),"",G2399+H2399)</x:f>
        <x:v>125</x:v>
      </x:c>
      <x:c r="J2399" s="10" t="n">
        <x:v>25</x:v>
      </x:c>
      <x:c r="K2399" s="12" t="n">
        <x:v>15</x:v>
      </x:c>
      <x:c r="L2399" s="1" t="str"/>
      <x:c r="M2399" s="9" t="str">
        <x:v>https://poke.idleworld.online/pokepedia/pokemon/combusken</x:v>
      </x:c>
    </x:row>
    <x:row r="2400" ht="22" customHeight="1">
      <x:c r="A2400" s="1" t="n">
        <x:v>256</x:v>
      </x:c>
      <x:c r="B2400" s="1" t="str">
        <x:v>Combusken</x:v>
      </x:c>
      <x:c r="C2400" s="1" t="n">
        <x:v>3</x:v>
      </x:c>
      <x:c r="D2400" s="1" t="str">
        <x:v>Peck</x:v>
      </x:c>
      <x:c r="E2400" s="1" t="str">
        <x:v>Voador</x:v>
      </x:c>
      <x:c r="F2400" s="1" t="str">
        <x:v>Física</x:v>
      </x:c>
      <x:c r="G2400" s="10" t="n">
        <x:v>35</x:v>
      </x:c>
      <x:c r="H2400" s="10" t="n">
        <x:f>IF(F2400="Física",'Pokémon'!G259,IF(F2400="Especial",'Pokémon'!I259,""))</x:f>
        <x:v>85</x:v>
      </x:c>
      <x:c r="I2400" s="10" t="n">
        <x:f>IF(OR(F2400="Status",G2400=0),"",G2400+H2400)</x:f>
        <x:v>120</x:v>
      </x:c>
      <x:c r="J2400" s="10" t="n">
        <x:v>14</x:v>
      </x:c>
      <x:c r="K2400" s="12" t="n">
        <x:v>15</x:v>
      </x:c>
      <x:c r="L2400" s="1" t="str"/>
      <x:c r="M2400" s="9" t="str">
        <x:v>https://poke.idleworld.online/pokepedia/pokemon/combusken</x:v>
      </x:c>
    </x:row>
    <x:row r="2401" ht="22" customHeight="1">
      <x:c r="A2401" s="1" t="n">
        <x:v>256</x:v>
      </x:c>
      <x:c r="B2401" s="1" t="str">
        <x:v>Combusken</x:v>
      </x:c>
      <x:c r="C2401" s="1" t="n">
        <x:v>4</x:v>
      </x:c>
      <x:c r="D2401" s="1" t="str">
        <x:v>Double Kick</x:v>
      </x:c>
      <x:c r="E2401" s="1" t="str">
        <x:v>Lutador</x:v>
      </x:c>
      <x:c r="F2401" s="1" t="str">
        <x:v>Física</x:v>
      </x:c>
      <x:c r="G2401" s="10" t="n">
        <x:v>30</x:v>
      </x:c>
      <x:c r="H2401" s="10" t="n">
        <x:f>IF(F2401="Física",'Pokémon'!G259,IF(F2401="Especial",'Pokémon'!I259,""))</x:f>
        <x:v>85</x:v>
      </x:c>
      <x:c r="I2401" s="10" t="n">
        <x:f>IF(OR(F2401="Status",G2401=0),"",G2401+H2401)</x:f>
        <x:v>115</x:v>
      </x:c>
      <x:c r="J2401" s="10" t="n">
        <x:v>16</x:v>
      </x:c>
      <x:c r="K2401" s="12" t="n">
        <x:v>15</x:v>
      </x:c>
      <x:c r="L2401" s="1" t="str"/>
      <x:c r="M2401" s="9" t="str">
        <x:v>https://poke.idleworld.online/pokepedia/pokemon/combusken</x:v>
      </x:c>
    </x:row>
    <x:row r="2402" ht="22" customHeight="1">
      <x:c r="A2402" s="1" t="n">
        <x:v>256</x:v>
      </x:c>
      <x:c r="B2402" s="1" t="str">
        <x:v>Combusken</x:v>
      </x:c>
      <x:c r="C2402" s="1" t="n">
        <x:v>7</x:v>
      </x:c>
      <x:c r="D2402" s="1" t="str">
        <x:v>Bulk Up</x:v>
      </x:c>
      <x:c r="E2402" s="1" t="str">
        <x:v>Lutador</x:v>
      </x:c>
      <x:c r="F2402" s="1" t="str">
        <x:v>Status</x:v>
      </x:c>
      <x:c r="G2402" s="10" t="n">
        <x:v>0</x:v>
      </x:c>
      <x:c r="H2402" s="10" t="str">
        <x:f>IF(F2402="Física",'Pokémon'!G259,IF(F2402="Especial",'Pokémon'!I259,""))</x:f>
      </x:c>
      <x:c r="I2402" s="10" t="str">
        <x:f>IF(OR(F2402="Status",G2402=0),"",G2402+H2402)</x:f>
      </x:c>
      <x:c r="J2402" s="10" t="n">
        <x:v>31</x:v>
      </x:c>
      <x:c r="K2402" s="12" t="n">
        <x:v>40</x:v>
      </x:c>
      <x:c r="L2402" s="1" t="str"/>
      <x:c r="M2402" s="9" t="str">
        <x:v>https://poke.idleworld.online/pokepedia/pokemon/combusken</x:v>
      </x:c>
    </x:row>
    <x:row r="2403" ht="22" customHeight="1">
      <x:c r="A2403" s="1" t="n">
        <x:v>257</x:v>
      </x:c>
      <x:c r="B2403" s="1" t="str">
        <x:v>Blaziken</x:v>
      </x:c>
      <x:c r="C2403" s="1" t="n">
        <x:v>2</x:v>
      </x:c>
      <x:c r="D2403" s="1" t="str">
        <x:v>High Jump Kick</x:v>
      </x:c>
      <x:c r="E2403" s="1" t="str">
        <x:v>Lutador</x:v>
      </x:c>
      <x:c r="F2403" s="1" t="str">
        <x:v>Física</x:v>
      </x:c>
      <x:c r="G2403" s="10" t="n">
        <x:v>130</x:v>
      </x:c>
      <x:c r="H2403" s="10" t="n">
        <x:f>IF(F2403="Física",'Pokémon'!G260,IF(F2403="Especial",'Pokémon'!I260,""))</x:f>
        <x:v>120</x:v>
      </x:c>
      <x:c r="I2403" s="10" t="n">
        <x:f>IF(OR(F2403="Status",G2403=0),"",G2403+H2403)</x:f>
        <x:v>250</x:v>
      </x:c>
      <x:c r="J2403" s="10" t="n">
        <x:v>1</x:v>
      </x:c>
      <x:c r="K2403" s="12" t="n">
        <x:v>50</x:v>
      </x:c>
      <x:c r="L2403" s="1" t="str"/>
      <x:c r="M2403" s="9" t="str">
        <x:v>https://poke.idleworld.online/pokepedia/pokemon/blaziken</x:v>
      </x:c>
    </x:row>
    <x:row r="2404" ht="22" customHeight="1">
      <x:c r="A2404" s="1" t="n">
        <x:v>257</x:v>
      </x:c>
      <x:c r="B2404" s="1" t="str">
        <x:v>Blaziken</x:v>
      </x:c>
      <x:c r="C2404" s="1" t="n">
        <x:v>3</x:v>
      </x:c>
      <x:c r="D2404" s="1" t="str">
        <x:v>Flare Blitz</x:v>
      </x:c>
      <x:c r="E2404" s="1" t="str">
        <x:v>Fogo</x:v>
      </x:c>
      <x:c r="F2404" s="1" t="str">
        <x:v>Física</x:v>
      </x:c>
      <x:c r="G2404" s="10" t="n">
        <x:v>120</x:v>
      </x:c>
      <x:c r="H2404" s="10" t="n">
        <x:f>IF(F2404="Física",'Pokémon'!G260,IF(F2404="Especial",'Pokémon'!I260,""))</x:f>
        <x:v>120</x:v>
      </x:c>
      <x:c r="I2404" s="10" t="n">
        <x:f>IF(OR(F2404="Status",G2404=0),"",G2404+H2404)</x:f>
        <x:v>240</x:v>
      </x:c>
      <x:c r="J2404" s="10" t="n">
        <x:v>1</x:v>
      </x:c>
      <x:c r="K2404" s="12" t="n">
        <x:v>60</x:v>
      </x:c>
      <x:c r="L2404" s="1" t="str"/>
      <x:c r="M2404" s="9" t="str">
        <x:v>https://poke.idleworld.online/pokepedia/pokemon/blaziken</x:v>
      </x:c>
    </x:row>
    <x:row r="2405" ht="22" customHeight="1">
      <x:c r="A2405" s="1" t="n">
        <x:v>257</x:v>
      </x:c>
      <x:c r="B2405" s="1" t="str">
        <x:v>Blaziken</x:v>
      </x:c>
      <x:c r="C2405" s="1" t="n">
        <x:v>13</x:v>
      </x:c>
      <x:c r="D2405" s="1" t="str">
        <x:v>Brave Bird</x:v>
      </x:c>
      <x:c r="E2405" s="1" t="str">
        <x:v>Voador</x:v>
      </x:c>
      <x:c r="F2405" s="1" t="str">
        <x:v>Física</x:v>
      </x:c>
      <x:c r="G2405" s="10" t="n">
        <x:v>120</x:v>
      </x:c>
      <x:c r="H2405" s="10" t="n">
        <x:f>IF(F2405="Física",'Pokémon'!G260,IF(F2405="Especial",'Pokémon'!I260,""))</x:f>
        <x:v>120</x:v>
      </x:c>
      <x:c r="I2405" s="10" t="n">
        <x:f>IF(OR(F2405="Status",G2405=0),"",G2405+H2405)</x:f>
        <x:v>240</x:v>
      </x:c>
      <x:c r="J2405" s="10" t="n">
        <x:v>50</x:v>
      </x:c>
      <x:c r="K2405" s="12" t="n">
        <x:v>50</x:v>
      </x:c>
      <x:c r="L2405" s="1" t="str"/>
      <x:c r="M2405" s="9" t="str">
        <x:v>https://poke.idleworld.online/pokepedia/pokemon/blaziken</x:v>
      </x:c>
    </x:row>
    <x:row r="2406" ht="22" customHeight="1">
      <x:c r="A2406" s="1" t="n">
        <x:v>257</x:v>
      </x:c>
      <x:c r="B2406" s="1" t="str">
        <x:v>Blaziken</x:v>
      </x:c>
      <x:c r="C2406" s="1" t="n">
        <x:v>11</x:v>
      </x:c>
      <x:c r="D2406" s="1" t="str">
        <x:v>Blaze Kick</x:v>
      </x:c>
      <x:c r="E2406" s="1" t="str">
        <x:v>Fogo</x:v>
      </x:c>
      <x:c r="F2406" s="1" t="str">
        <x:v>Física</x:v>
      </x:c>
      <x:c r="G2406" s="10" t="n">
        <x:v>85</x:v>
      </x:c>
      <x:c r="H2406" s="10" t="n">
        <x:f>IF(F2406="Física",'Pokémon'!G260,IF(F2406="Especial",'Pokémon'!I260,""))</x:f>
        <x:v>120</x:v>
      </x:c>
      <x:c r="I2406" s="10" t="n">
        <x:f>IF(OR(F2406="Status",G2406=0),"",G2406+H2406)</x:f>
        <x:v>205</x:v>
      </x:c>
      <x:c r="J2406" s="10" t="n">
        <x:v>36</x:v>
      </x:c>
      <x:c r="K2406" s="12" t="n">
        <x:v>20</x:v>
      </x:c>
      <x:c r="L2406" s="1" t="str"/>
      <x:c r="M2406" s="9" t="str">
        <x:v>https://poke.idleworld.online/pokepedia/pokemon/blaziken</x:v>
      </x:c>
    </x:row>
    <x:row r="2407" ht="22" customHeight="1">
      <x:c r="A2407" s="1" t="n">
        <x:v>257</x:v>
      </x:c>
      <x:c r="B2407" s="1" t="str">
        <x:v>Blaziken</x:v>
      </x:c>
      <x:c r="C2407" s="1" t="n">
        <x:v>14</x:v>
      </x:c>
      <x:c r="D2407" s="1" t="str">
        <x:v>Sky Uppercut</x:v>
      </x:c>
      <x:c r="E2407" s="1" t="str">
        <x:v>Lutador</x:v>
      </x:c>
      <x:c r="F2407" s="1" t="str">
        <x:v>Física</x:v>
      </x:c>
      <x:c r="G2407" s="10" t="n">
        <x:v>85</x:v>
      </x:c>
      <x:c r="H2407" s="10" t="n">
        <x:f>IF(F2407="Física",'Pokémon'!G260,IF(F2407="Especial",'Pokémon'!I260,""))</x:f>
        <x:v>120</x:v>
      </x:c>
      <x:c r="I2407" s="10" t="n">
        <x:f>IF(OR(F2407="Status",G2407=0),"",G2407+H2407)</x:f>
        <x:v>205</x:v>
      </x:c>
      <x:c r="J2407" s="10" t="n">
        <x:v>57</x:v>
      </x:c>
      <x:c r="K2407" s="12" t="n">
        <x:v>30</x:v>
      </x:c>
      <x:c r="L2407" s="1" t="str"/>
      <x:c r="M2407" s="9" t="str">
        <x:v>https://poke.idleworld.online/pokepedia/pokemon/blaziken</x:v>
      </x:c>
    </x:row>
    <x:row r="2408" ht="22" customHeight="1">
      <x:c r="A2408" s="1" t="n">
        <x:v>257</x:v>
      </x:c>
      <x:c r="B2408" s="1" t="str">
        <x:v>Blaziken</x:v>
      </x:c>
      <x:c r="C2408" s="1" t="n">
        <x:v>5</x:v>
      </x:c>
      <x:c r="D2408" s="1" t="str">
        <x:v>Fire Punch</x:v>
      </x:c>
      <x:c r="E2408" s="1" t="str">
        <x:v>Fogo</x:v>
      </x:c>
      <x:c r="F2408" s="1" t="str">
        <x:v>Física</x:v>
      </x:c>
      <x:c r="G2408" s="10" t="n">
        <x:v>75</x:v>
      </x:c>
      <x:c r="H2408" s="10" t="n">
        <x:f>IF(F2408="Física",'Pokémon'!G260,IF(F2408="Especial",'Pokémon'!I260,""))</x:f>
        <x:v>120</x:v>
      </x:c>
      <x:c r="I2408" s="10" t="n">
        <x:f>IF(OR(F2408="Status",G2408=0),"",G2408+H2408)</x:f>
        <x:v>195</x:v>
      </x:c>
      <x:c r="J2408" s="10" t="n">
        <x:v>1</x:v>
      </x:c>
      <x:c r="K2408" s="12" t="n">
        <x:v>22</x:v>
      </x:c>
      <x:c r="L2408" s="1" t="str"/>
      <x:c r="M2408" s="9" t="str">
        <x:v>https://poke.idleworld.online/pokepedia/pokemon/blaziken</x:v>
      </x:c>
    </x:row>
    <x:row r="2409" ht="22" customHeight="1">
      <x:c r="A2409" s="1" t="n">
        <x:v>257</x:v>
      </x:c>
      <x:c r="B2409" s="1" t="str">
        <x:v>Blaziken</x:v>
      </x:c>
      <x:c r="C2409" s="1" t="n">
        <x:v>12</x:v>
      </x:c>
      <x:c r="D2409" s="1" t="str">
        <x:v>Slash</x:v>
      </x:c>
      <x:c r="E2409" s="1" t="str">
        <x:v>Normal</x:v>
      </x:c>
      <x:c r="F2409" s="1" t="str">
        <x:v>Física</x:v>
      </x:c>
      <x:c r="G2409" s="10" t="n">
        <x:v>70</x:v>
      </x:c>
      <x:c r="H2409" s="10" t="n">
        <x:f>IF(F2409="Física",'Pokémon'!G260,IF(F2409="Especial",'Pokémon'!I260,""))</x:f>
        <x:v>120</x:v>
      </x:c>
      <x:c r="I2409" s="10" t="n">
        <x:f>IF(OR(F2409="Status",G2409=0),"",G2409+H2409)</x:f>
        <x:v>190</x:v>
      </x:c>
      <x:c r="J2409" s="10" t="n">
        <x:v>44</x:v>
      </x:c>
      <x:c r="K2409" s="12" t="n">
        <x:v>20</x:v>
      </x:c>
      <x:c r="L2409" s="1" t="str"/>
      <x:c r="M2409" s="9" t="str">
        <x:v>https://poke.idleworld.online/pokepedia/pokemon/blaziken</x:v>
      </x:c>
    </x:row>
    <x:row r="2410" ht="22" customHeight="1">
      <x:c r="A2410" s="1" t="n">
        <x:v>257</x:v>
      </x:c>
      <x:c r="B2410" s="1" t="str">
        <x:v>Blaziken</x:v>
      </x:c>
      <x:c r="C2410" s="1" t="n">
        <x:v>8</x:v>
      </x:c>
      <x:c r="D2410" s="1" t="str">
        <x:v>Flame Charge</x:v>
      </x:c>
      <x:c r="E2410" s="1" t="str">
        <x:v>Fogo</x:v>
      </x:c>
      <x:c r="F2410" s="1" t="str">
        <x:v>Física</x:v>
      </x:c>
      <x:c r="G2410" s="10" t="n">
        <x:v>50</x:v>
      </x:c>
      <x:c r="H2410" s="10" t="n">
        <x:f>IF(F2410="Física",'Pokémon'!G260,IF(F2410="Especial",'Pokémon'!I260,""))</x:f>
        <x:v>120</x:v>
      </x:c>
      <x:c r="I2410" s="10" t="n">
        <x:f>IF(OR(F2410="Status",G2410=0),"",G2410+H2410)</x:f>
        <x:v>170</x:v>
      </x:c>
      <x:c r="J2410" s="10" t="n">
        <x:v>20</x:v>
      </x:c>
      <x:c r="K2410" s="12" t="n">
        <x:v>15</x:v>
      </x:c>
      <x:c r="L2410" s="1" t="str"/>
      <x:c r="M2410" s="9" t="str">
        <x:v>https://poke.idleworld.online/pokepedia/pokemon/blaziken</x:v>
      </x:c>
    </x:row>
    <x:row r="2411" ht="22" customHeight="1">
      <x:c r="A2411" s="1" t="n">
        <x:v>257</x:v>
      </x:c>
      <x:c r="B2411" s="1" t="str">
        <x:v>Blaziken</x:v>
      </x:c>
      <x:c r="C2411" s="1" t="n">
        <x:v>4</x:v>
      </x:c>
      <x:c r="D2411" s="1" t="str">
        <x:v>Scratch</x:v>
      </x:c>
      <x:c r="E2411" s="1" t="str">
        <x:v>Normal</x:v>
      </x:c>
      <x:c r="F2411" s="1" t="str">
        <x:v>Física</x:v>
      </x:c>
      <x:c r="G2411" s="10" t="n">
        <x:v>40</x:v>
      </x:c>
      <x:c r="H2411" s="10" t="n">
        <x:f>IF(F2411="Física",'Pokémon'!G260,IF(F2411="Especial",'Pokémon'!I260,""))</x:f>
        <x:v>120</x:v>
      </x:c>
      <x:c r="I2411" s="10" t="n">
        <x:f>IF(OR(F2411="Status",G2411=0),"",G2411+H2411)</x:f>
        <x:v>160</x:v>
      </x:c>
      <x:c r="J2411" s="10" t="n">
        <x:v>1</x:v>
      </x:c>
      <x:c r="K2411" s="12" t="n">
        <x:v>15</x:v>
      </x:c>
      <x:c r="L2411" s="1" t="str"/>
      <x:c r="M2411" s="9" t="str">
        <x:v>https://poke.idleworld.online/pokepedia/pokemon/blaziken</x:v>
      </x:c>
    </x:row>
    <x:row r="2412" ht="22" customHeight="1">
      <x:c r="A2412" s="1" t="n">
        <x:v>257</x:v>
      </x:c>
      <x:c r="B2412" s="1" t="str">
        <x:v>Blaziken</x:v>
      </x:c>
      <x:c r="C2412" s="1" t="n">
        <x:v>9</x:v>
      </x:c>
      <x:c r="D2412" s="1" t="str">
        <x:v>Quick Attack</x:v>
      </x:c>
      <x:c r="E2412" s="1" t="str">
        <x:v>Normal</x:v>
      </x:c>
      <x:c r="F2412" s="1" t="str">
        <x:v>Física</x:v>
      </x:c>
      <x:c r="G2412" s="10" t="n">
        <x:v>40</x:v>
      </x:c>
      <x:c r="H2412" s="10" t="n">
        <x:f>IF(F2412="Física",'Pokémon'!G260,IF(F2412="Especial",'Pokémon'!I260,""))</x:f>
        <x:v>120</x:v>
      </x:c>
      <x:c r="I2412" s="10" t="n">
        <x:f>IF(OR(F2412="Status",G2412=0),"",G2412+H2412)</x:f>
        <x:v>160</x:v>
      </x:c>
      <x:c r="J2412" s="10" t="n">
        <x:v>25</x:v>
      </x:c>
      <x:c r="K2412" s="12" t="n">
        <x:v>15</x:v>
      </x:c>
      <x:c r="L2412" s="1" t="str"/>
      <x:c r="M2412" s="9" t="str">
        <x:v>https://poke.idleworld.online/pokepedia/pokemon/blaziken</x:v>
      </x:c>
    </x:row>
    <x:row r="2413" ht="22" customHeight="1">
      <x:c r="A2413" s="1" t="n">
        <x:v>257</x:v>
      </x:c>
      <x:c r="B2413" s="1" t="str">
        <x:v>Blaziken</x:v>
      </x:c>
      <x:c r="C2413" s="1" t="n">
        <x:v>6</x:v>
      </x:c>
      <x:c r="D2413" s="1" t="str">
        <x:v>Peck</x:v>
      </x:c>
      <x:c r="E2413" s="1" t="str">
        <x:v>Voador</x:v>
      </x:c>
      <x:c r="F2413" s="1" t="str">
        <x:v>Física</x:v>
      </x:c>
      <x:c r="G2413" s="10" t="n">
        <x:v>35</x:v>
      </x:c>
      <x:c r="H2413" s="10" t="n">
        <x:f>IF(F2413="Física",'Pokémon'!G260,IF(F2413="Especial",'Pokémon'!I260,""))</x:f>
        <x:v>120</x:v>
      </x:c>
      <x:c r="I2413" s="10" t="n">
        <x:f>IF(OR(F2413="Status",G2413=0),"",G2413+H2413)</x:f>
        <x:v>155</x:v>
      </x:c>
      <x:c r="J2413" s="10" t="n">
        <x:v>14</x:v>
      </x:c>
      <x:c r="K2413" s="12" t="n">
        <x:v>15</x:v>
      </x:c>
      <x:c r="L2413" s="1" t="str"/>
      <x:c r="M2413" s="9" t="str">
        <x:v>https://poke.idleworld.online/pokepedia/pokemon/blaziken</x:v>
      </x:c>
    </x:row>
    <x:row r="2414" ht="22" customHeight="1">
      <x:c r="A2414" s="1" t="n">
        <x:v>257</x:v>
      </x:c>
      <x:c r="B2414" s="1" t="str">
        <x:v>Blaziken</x:v>
      </x:c>
      <x:c r="C2414" s="1" t="n">
        <x:v>1</x:v>
      </x:c>
      <x:c r="D2414" s="1" t="str">
        <x:v>Ember</x:v>
      </x:c>
      <x:c r="E2414" s="1" t="str">
        <x:v>Fogo</x:v>
      </x:c>
      <x:c r="F2414" s="1" t="str">
        <x:v>Especial</x:v>
      </x:c>
      <x:c r="G2414" s="10" t="n">
        <x:v>40</x:v>
      </x:c>
      <x:c r="H2414" s="10" t="n">
        <x:f>IF(F2414="Física",'Pokémon'!G260,IF(F2414="Especial",'Pokémon'!I260,""))</x:f>
        <x:v>110</x:v>
      </x:c>
      <x:c r="I2414" s="10" t="n">
        <x:f>IF(OR(F2414="Status",G2414=0),"",G2414+H2414)</x:f>
        <x:v>150</x:v>
      </x:c>
      <x:c r="J2414" s="10" t="n">
        <x:v>1</x:v>
      </x:c>
      <x:c r="K2414" s="12" t="n">
        <x:v>10</x:v>
      </x:c>
      <x:c r="L2414" s="1" t="str"/>
      <x:c r="M2414" s="9" t="str">
        <x:v>https://poke.idleworld.online/pokepedia/pokemon/blaziken</x:v>
      </x:c>
    </x:row>
    <x:row r="2415" ht="22" customHeight="1">
      <x:c r="A2415" s="1" t="n">
        <x:v>257</x:v>
      </x:c>
      <x:c r="B2415" s="1" t="str">
        <x:v>Blaziken</x:v>
      </x:c>
      <x:c r="C2415" s="1" t="n">
        <x:v>7</x:v>
      </x:c>
      <x:c r="D2415" s="1" t="str">
        <x:v>Double Kick</x:v>
      </x:c>
      <x:c r="E2415" s="1" t="str">
        <x:v>Lutador</x:v>
      </x:c>
      <x:c r="F2415" s="1" t="str">
        <x:v>Física</x:v>
      </x:c>
      <x:c r="G2415" s="10" t="n">
        <x:v>30</x:v>
      </x:c>
      <x:c r="H2415" s="10" t="n">
        <x:f>IF(F2415="Física",'Pokémon'!G260,IF(F2415="Especial",'Pokémon'!I260,""))</x:f>
        <x:v>120</x:v>
      </x:c>
      <x:c r="I2415" s="10" t="n">
        <x:f>IF(OR(F2415="Status",G2415=0),"",G2415+H2415)</x:f>
        <x:v>150</x:v>
      </x:c>
      <x:c r="J2415" s="10" t="n">
        <x:v>16</x:v>
      </x:c>
      <x:c r="K2415" s="12" t="n">
        <x:v>20</x:v>
      </x:c>
      <x:c r="L2415" s="1" t="str"/>
      <x:c r="M2415" s="9" t="str">
        <x:v>https://poke.idleworld.online/pokepedia/pokemon/blaziken</x:v>
      </x:c>
    </x:row>
    <x:row r="2416" ht="22" customHeight="1">
      <x:c r="A2416" s="1" t="n">
        <x:v>257</x:v>
      </x:c>
      <x:c r="B2416" s="1" t="str">
        <x:v>Blaziken</x:v>
      </x:c>
      <x:c r="C2416" s="1" t="n">
        <x:v>10</x:v>
      </x:c>
      <x:c r="D2416" s="1" t="str">
        <x:v>Bulk Up</x:v>
      </x:c>
      <x:c r="E2416" s="1" t="str">
        <x:v>Lutador</x:v>
      </x:c>
      <x:c r="F2416" s="1" t="str">
        <x:v>Status</x:v>
      </x:c>
      <x:c r="G2416" s="10" t="n">
        <x:v>0</x:v>
      </x:c>
      <x:c r="H2416" s="10" t="str">
        <x:f>IF(F2416="Física",'Pokémon'!G260,IF(F2416="Especial",'Pokémon'!I260,""))</x:f>
      </x:c>
      <x:c r="I2416" s="10" t="str">
        <x:f>IF(OR(F2416="Status",G2416=0),"",G2416+H2416)</x:f>
      </x:c>
      <x:c r="J2416" s="10" t="n">
        <x:v>31</x:v>
      </x:c>
      <x:c r="K2416" s="12" t="n">
        <x:v>40</x:v>
      </x:c>
      <x:c r="L2416" s="1" t="str"/>
      <x:c r="M2416" s="9" t="str">
        <x:v>https://poke.idleworld.online/pokepedia/pokemon/blaziken</x:v>
      </x:c>
    </x:row>
    <x:row r="2417" ht="22" customHeight="1">
      <x:c r="A2417" s="1" t="n">
        <x:v>258</x:v>
      </x:c>
      <x:c r="B2417" s="1" t="str">
        <x:v>Mudkip</x:v>
      </x:c>
      <x:c r="C2417" s="1" t="n">
        <x:v>7</x:v>
      </x:c>
      <x:c r="D2417" s="1" t="str">
        <x:v>Hydro Pump</x:v>
      </x:c>
      <x:c r="E2417" s="1" t="str">
        <x:v>Água</x:v>
      </x:c>
      <x:c r="F2417" s="1" t="str">
        <x:v>Especial</x:v>
      </x:c>
      <x:c r="G2417" s="10" t="n">
        <x:v>110</x:v>
      </x:c>
      <x:c r="H2417" s="10" t="n">
        <x:f>IF(F2417="Física",'Pokémon'!G261,IF(F2417="Especial",'Pokémon'!I261,""))</x:f>
        <x:v>50</x:v>
      </x:c>
      <x:c r="I2417" s="10" t="n">
        <x:f>IF(OR(F2417="Status",G2417=0),"",G2417+H2417)</x:f>
        <x:v>160</x:v>
      </x:c>
      <x:c r="J2417" s="10" t="n">
        <x:v>41</x:v>
      </x:c>
      <x:c r="K2417" s="12" t="n">
        <x:v>40</x:v>
      </x:c>
      <x:c r="L2417" s="1" t="str"/>
      <x:c r="M2417" s="9" t="str">
        <x:v>https://poke.idleworld.online/pokepedia/pokemon/mudkip</x:v>
      </x:c>
    </x:row>
    <x:row r="2418" ht="22" customHeight="1">
      <x:c r="A2418" s="1" t="n">
        <x:v>258</x:v>
      </x:c>
      <x:c r="B2418" s="1" t="str">
        <x:v>Mudkip</x:v>
      </x:c>
      <x:c r="C2418" s="1" t="n">
        <x:v>6</x:v>
      </x:c>
      <x:c r="D2418" s="1" t="str">
        <x:v>Take Down</x:v>
      </x:c>
      <x:c r="E2418" s="1" t="str">
        <x:v>Normal</x:v>
      </x:c>
      <x:c r="F2418" s="1" t="str">
        <x:v>Física</x:v>
      </x:c>
      <x:c r="G2418" s="10" t="n">
        <x:v>90</x:v>
      </x:c>
      <x:c r="H2418" s="10" t="n">
        <x:f>IF(F2418="Física",'Pokémon'!G261,IF(F2418="Especial",'Pokémon'!I261,""))</x:f>
        <x:v>70</x:v>
      </x:c>
      <x:c r="I2418" s="10" t="n">
        <x:f>IF(OR(F2418="Status",G2418=0),"",G2418+H2418)</x:f>
        <x:v>160</x:v>
      </x:c>
      <x:c r="J2418" s="10" t="n">
        <x:v>36</x:v>
      </x:c>
      <x:c r="K2418" s="12" t="n">
        <x:v>22</x:v>
      </x:c>
      <x:c r="L2418" s="1" t="str"/>
      <x:c r="M2418" s="9" t="str">
        <x:v>https://poke.idleworld.online/pokepedia/pokemon/mudkip</x:v>
      </x:c>
    </x:row>
    <x:row r="2419" ht="22" customHeight="1">
      <x:c r="A2419" s="1" t="n">
        <x:v>258</x:v>
      </x:c>
      <x:c r="B2419" s="1" t="str">
        <x:v>Mudkip</x:v>
      </x:c>
      <x:c r="C2419" s="1" t="n">
        <x:v>1</x:v>
      </x:c>
      <x:c r="D2419" s="1" t="str">
        <x:v>Tackle</x:v>
      </x:c>
      <x:c r="E2419" s="1" t="str">
        <x:v>Normal</x:v>
      </x:c>
      <x:c r="F2419" s="1" t="str">
        <x:v>Física</x:v>
      </x:c>
      <x:c r="G2419" s="10" t="n">
        <x:v>50</x:v>
      </x:c>
      <x:c r="H2419" s="10" t="n">
        <x:f>IF(F2419="Física",'Pokémon'!G261,IF(F2419="Especial",'Pokémon'!I261,""))</x:f>
        <x:v>70</x:v>
      </x:c>
      <x:c r="I2419" s="10" t="n">
        <x:f>IF(OR(F2419="Status",G2419=0),"",G2419+H2419)</x:f>
        <x:v>120</x:v>
      </x:c>
      <x:c r="J2419" s="10" t="n">
        <x:v>1</x:v>
      </x:c>
      <x:c r="K2419" s="12" t="n">
        <x:v>10</x:v>
      </x:c>
      <x:c r="L2419" s="1" t="str"/>
      <x:c r="M2419" s="9" t="str">
        <x:v>https://poke.idleworld.online/pokepedia/pokemon/mudkip</x:v>
      </x:c>
    </x:row>
    <x:row r="2420" ht="22" customHeight="1">
      <x:c r="A2420" s="1" t="n">
        <x:v>258</x:v>
      </x:c>
      <x:c r="B2420" s="1" t="str">
        <x:v>Mudkip</x:v>
      </x:c>
      <x:c r="C2420" s="1" t="n">
        <x:v>4</x:v>
      </x:c>
      <x:c r="D2420" s="1" t="str">
        <x:v>Rock Throw</x:v>
      </x:c>
      <x:c r="E2420" s="1" t="str">
        <x:v>Pedra</x:v>
      </x:c>
      <x:c r="F2420" s="1" t="str">
        <x:v>Física</x:v>
      </x:c>
      <x:c r="G2420" s="10" t="n">
        <x:v>50</x:v>
      </x:c>
      <x:c r="H2420" s="10" t="n">
        <x:f>IF(F2420="Física",'Pokémon'!G261,IF(F2420="Especial",'Pokémon'!I261,""))</x:f>
        <x:v>70</x:v>
      </x:c>
      <x:c r="I2420" s="10" t="n">
        <x:f>IF(OR(F2420="Status",G2420=0),"",G2420+H2420)</x:f>
        <x:v>120</x:v>
      </x:c>
      <x:c r="J2420" s="10" t="n">
        <x:v>25</x:v>
      </x:c>
      <x:c r="K2420" s="12" t="n">
        <x:v>15</x:v>
      </x:c>
      <x:c r="L2420" s="1" t="str"/>
      <x:c r="M2420" s="9" t="str">
        <x:v>https://poke.idleworld.online/pokepedia/pokemon/mudkip</x:v>
      </x:c>
    </x:row>
    <x:row r="2421" ht="22" customHeight="1">
      <x:c r="A2421" s="1" t="n">
        <x:v>258</x:v>
      </x:c>
      <x:c r="B2421" s="1" t="str">
        <x:v>Mudkip</x:v>
      </x:c>
      <x:c r="C2421" s="1" t="n">
        <x:v>2</x:v>
      </x:c>
      <x:c r="D2421" s="1" t="str">
        <x:v>Water Gun</x:v>
      </x:c>
      <x:c r="E2421" s="1" t="str">
        <x:v>Água</x:v>
      </x:c>
      <x:c r="F2421" s="1" t="str">
        <x:v>Especial</x:v>
      </x:c>
      <x:c r="G2421" s="10" t="n">
        <x:v>40</x:v>
      </x:c>
      <x:c r="H2421" s="10" t="n">
        <x:f>IF(F2421="Física",'Pokémon'!G261,IF(F2421="Especial",'Pokémon'!I261,""))</x:f>
        <x:v>50</x:v>
      </x:c>
      <x:c r="I2421" s="10" t="n">
        <x:f>IF(OR(F2421="Status",G2421=0),"",G2421+H2421)</x:f>
        <x:v>90</x:v>
      </x:c>
      <x:c r="J2421" s="10" t="n">
        <x:v>4</x:v>
      </x:c>
      <x:c r="K2421" s="12" t="n">
        <x:v>20</x:v>
      </x:c>
      <x:c r="L2421" s="1" t="str"/>
      <x:c r="M2421" s="9" t="str">
        <x:v>https://poke.idleworld.online/pokepedia/pokemon/mudkip</x:v>
      </x:c>
    </x:row>
    <x:row r="2422" ht="22" customHeight="1">
      <x:c r="A2422" s="1" t="n">
        <x:v>258</x:v>
      </x:c>
      <x:c r="B2422" s="1" t="str">
        <x:v>Mudkip</x:v>
      </x:c>
      <x:c r="C2422" s="1" t="n">
        <x:v>5</x:v>
      </x:c>
      <x:c r="D2422" s="1" t="str">
        <x:v>Whirlpool</x:v>
      </x:c>
      <x:c r="E2422" s="1" t="str">
        <x:v>Água</x:v>
      </x:c>
      <x:c r="F2422" s="1" t="str">
        <x:v>Especial</x:v>
      </x:c>
      <x:c r="G2422" s="10" t="n">
        <x:v>35</x:v>
      </x:c>
      <x:c r="H2422" s="10" t="n">
        <x:f>IF(F2422="Física",'Pokémon'!G261,IF(F2422="Especial",'Pokémon'!I261,""))</x:f>
        <x:v>50</x:v>
      </x:c>
      <x:c r="I2422" s="10" t="n">
        <x:f>IF(OR(F2422="Status",G2422=0),"",G2422+H2422)</x:f>
        <x:v>85</x:v>
      </x:c>
      <x:c r="J2422" s="10" t="n">
        <x:v>33</x:v>
      </x:c>
      <x:c r="K2422" s="12" t="n">
        <x:v>15</x:v>
      </x:c>
      <x:c r="L2422" s="1" t="str"/>
      <x:c r="M2422" s="9" t="str">
        <x:v>https://poke.idleworld.online/pokepedia/pokemon/mudkip</x:v>
      </x:c>
    </x:row>
    <x:row r="2423" ht="22" customHeight="1">
      <x:c r="A2423" s="1" t="n">
        <x:v>258</x:v>
      </x:c>
      <x:c r="B2423" s="1" t="str">
        <x:v>Mudkip</x:v>
      </x:c>
      <x:c r="C2423" s="1" t="n">
        <x:v>3</x:v>
      </x:c>
      <x:c r="D2423" s="1" t="str">
        <x:v>Mud-Slap</x:v>
      </x:c>
      <x:c r="E2423" s="1" t="str">
        <x:v>Terrestre</x:v>
      </x:c>
      <x:c r="F2423" s="1" t="str">
        <x:v>Especial</x:v>
      </x:c>
      <x:c r="G2423" s="10" t="n">
        <x:v>20</x:v>
      </x:c>
      <x:c r="H2423" s="10" t="n">
        <x:f>IF(F2423="Física",'Pokémon'!G261,IF(F2423="Especial",'Pokémon'!I261,""))</x:f>
        <x:v>50</x:v>
      </x:c>
      <x:c r="I2423" s="10" t="n">
        <x:f>IF(OR(F2423="Status",G2423=0),"",G2423+H2423)</x:f>
        <x:v>70</x:v>
      </x:c>
      <x:c r="J2423" s="10" t="n">
        <x:v>9</x:v>
      </x:c>
      <x:c r="K2423" s="12" t="n">
        <x:v>20</x:v>
      </x:c>
      <x:c r="L2423" s="1" t="str"/>
      <x:c r="M2423" s="9" t="str">
        <x:v>https://poke.idleworld.online/pokepedia/pokemon/mudkip</x:v>
      </x:c>
    </x:row>
    <x:row r="2424" ht="22" customHeight="1">
      <x:c r="A2424" s="1" t="n">
        <x:v>259</x:v>
      </x:c>
      <x:c r="B2424" s="1" t="str">
        <x:v>Marshtomp</x:v>
      </x:c>
      <x:c r="C2424" s="1" t="n">
        <x:v>10</x:v>
      </x:c>
      <x:c r="D2424" s="1" t="str">
        <x:v>Earthquake</x:v>
      </x:c>
      <x:c r="E2424" s="1" t="str">
        <x:v>Terrestre</x:v>
      </x:c>
      <x:c r="F2424" s="1" t="str">
        <x:v>Física</x:v>
      </x:c>
      <x:c r="G2424" s="10" t="n">
        <x:v>100</x:v>
      </x:c>
      <x:c r="H2424" s="10" t="n">
        <x:f>IF(F2424="Física",'Pokémon'!G262,IF(F2424="Especial",'Pokémon'!I262,""))</x:f>
        <x:v>85</x:v>
      </x:c>
      <x:c r="I2424" s="10" t="n">
        <x:f>IF(OR(F2424="Status",G2424=0),"",G2424+H2424)</x:f>
        <x:v>185</x:v>
      </x:c>
      <x:c r="J2424" s="10" t="n">
        <x:v>48</x:v>
      </x:c>
      <x:c r="K2424" s="12" t="n">
        <x:v>40</x:v>
      </x:c>
      <x:c r="L2424" s="1" t="str"/>
      <x:c r="M2424" s="9" t="str">
        <x:v>https://poke.idleworld.online/pokepedia/pokemon/marshtomp</x:v>
      </x:c>
    </x:row>
    <x:row r="2425" ht="22" customHeight="1">
      <x:c r="A2425" s="1" t="n">
        <x:v>259</x:v>
      </x:c>
      <x:c r="B2425" s="1" t="str">
        <x:v>Marshtomp</x:v>
      </x:c>
      <x:c r="C2425" s="1" t="n">
        <x:v>9</x:v>
      </x:c>
      <x:c r="D2425" s="1" t="str">
        <x:v>Take Down</x:v>
      </x:c>
      <x:c r="E2425" s="1" t="str">
        <x:v>Normal</x:v>
      </x:c>
      <x:c r="F2425" s="1" t="str">
        <x:v>Física</x:v>
      </x:c>
      <x:c r="G2425" s="10" t="n">
        <x:v>90</x:v>
      </x:c>
      <x:c r="H2425" s="10" t="n">
        <x:f>IF(F2425="Física",'Pokémon'!G262,IF(F2425="Especial",'Pokémon'!I262,""))</x:f>
        <x:v>85</x:v>
      </x:c>
      <x:c r="I2425" s="10" t="n">
        <x:f>IF(OR(F2425="Status",G2425=0),"",G2425+H2425)</x:f>
        <x:v>175</x:v>
      </x:c>
      <x:c r="J2425" s="10" t="n">
        <x:v>42</x:v>
      </x:c>
      <x:c r="K2425" s="12" t="n">
        <x:v>22</x:v>
      </x:c>
      <x:c r="L2425" s="1" t="str"/>
      <x:c r="M2425" s="9" t="str">
        <x:v>https://poke.idleworld.online/pokepedia/pokemon/marshtomp</x:v>
      </x:c>
    </x:row>
    <x:row r="2426" ht="22" customHeight="1">
      <x:c r="A2426" s="1" t="n">
        <x:v>259</x:v>
      </x:c>
      <x:c r="B2426" s="1" t="str">
        <x:v>Marshtomp</x:v>
      </x:c>
      <x:c r="C2426" s="1" t="n">
        <x:v>6</x:v>
      </x:c>
      <x:c r="D2426" s="1" t="str">
        <x:v>Rock Slide</x:v>
      </x:c>
      <x:c r="E2426" s="1" t="str">
        <x:v>Pedra</x:v>
      </x:c>
      <x:c r="F2426" s="1" t="str">
        <x:v>Física</x:v>
      </x:c>
      <x:c r="G2426" s="10" t="n">
        <x:v>75</x:v>
      </x:c>
      <x:c r="H2426" s="10" t="n">
        <x:f>IF(F2426="Física",'Pokémon'!G262,IF(F2426="Especial",'Pokémon'!I262,""))</x:f>
        <x:v>85</x:v>
      </x:c>
      <x:c r="I2426" s="10" t="n">
        <x:f>IF(OR(F2426="Status",G2426=0),"",G2426+H2426)</x:f>
        <x:v>160</x:v>
      </x:c>
      <x:c r="J2426" s="10" t="n">
        <x:v>28</x:v>
      </x:c>
      <x:c r="K2426" s="12" t="n">
        <x:v>22</x:v>
      </x:c>
      <x:c r="L2426" s="1" t="str"/>
      <x:c r="M2426" s="9" t="str">
        <x:v>https://poke.idleworld.online/pokepedia/pokemon/marshtomp</x:v>
      </x:c>
    </x:row>
    <x:row r="2427" ht="22" customHeight="1">
      <x:c r="A2427" s="1" t="n">
        <x:v>259</x:v>
      </x:c>
      <x:c r="B2427" s="1" t="str">
        <x:v>Marshtomp</x:v>
      </x:c>
      <x:c r="C2427" s="1" t="n">
        <x:v>8</x:v>
      </x:c>
      <x:c r="D2427" s="1" t="str">
        <x:v>Muddy Water</x:v>
      </x:c>
      <x:c r="E2427" s="1" t="str">
        <x:v>Água</x:v>
      </x:c>
      <x:c r="F2427" s="1" t="str">
        <x:v>Especial</x:v>
      </x:c>
      <x:c r="G2427" s="10" t="n">
        <x:v>90</x:v>
      </x:c>
      <x:c r="H2427" s="10" t="n">
        <x:f>IF(F2427="Física",'Pokémon'!G262,IF(F2427="Especial",'Pokémon'!I262,""))</x:f>
        <x:v>60</x:v>
      </x:c>
      <x:c r="I2427" s="10" t="n">
        <x:f>IF(OR(F2427="Status",G2427=0),"",G2427+H2427)</x:f>
        <x:v>150</x:v>
      </x:c>
      <x:c r="J2427" s="10" t="n">
        <x:v>38</x:v>
      </x:c>
      <x:c r="K2427" s="12" t="n">
        <x:v>35</x:v>
      </x:c>
      <x:c r="L2427" s="1" t="str"/>
      <x:c r="M2427" s="9" t="str">
        <x:v>https://poke.idleworld.online/pokepedia/pokemon/marshtomp</x:v>
      </x:c>
    </x:row>
    <x:row r="2428" ht="22" customHeight="1">
      <x:c r="A2428" s="1" t="n">
        <x:v>259</x:v>
      </x:c>
      <x:c r="B2428" s="1" t="str">
        <x:v>Marshtomp</x:v>
      </x:c>
      <x:c r="C2428" s="1" t="n">
        <x:v>3</x:v>
      </x:c>
      <x:c r="D2428" s="1" t="str">
        <x:v>Tackle</x:v>
      </x:c>
      <x:c r="E2428" s="1" t="str">
        <x:v>Normal</x:v>
      </x:c>
      <x:c r="F2428" s="1" t="str">
        <x:v>Física</x:v>
      </x:c>
      <x:c r="G2428" s="10" t="n">
        <x:v>50</x:v>
      </x:c>
      <x:c r="H2428" s="10" t="n">
        <x:f>IF(F2428="Física",'Pokémon'!G262,IF(F2428="Especial",'Pokémon'!I262,""))</x:f>
        <x:v>85</x:v>
      </x:c>
      <x:c r="I2428" s="10" t="n">
        <x:f>IF(OR(F2428="Status",G2428=0),"",G2428+H2428)</x:f>
        <x:v>135</x:v>
      </x:c>
      <x:c r="J2428" s="10" t="n">
        <x:v>1</x:v>
      </x:c>
      <x:c r="K2428" s="12" t="n">
        <x:v>15</x:v>
      </x:c>
      <x:c r="L2428" s="1" t="str"/>
      <x:c r="M2428" s="9" t="str">
        <x:v>https://poke.idleworld.online/pokepedia/pokemon/marshtomp</x:v>
      </x:c>
    </x:row>
    <x:row r="2429" ht="22" customHeight="1">
      <x:c r="A2429" s="1" t="n">
        <x:v>259</x:v>
      </x:c>
      <x:c r="B2429" s="1" t="str">
        <x:v>Marshtomp</x:v>
      </x:c>
      <x:c r="C2429" s="1" t="n">
        <x:v>5</x:v>
      </x:c>
      <x:c r="D2429" s="1" t="str">
        <x:v>Mud Bomb</x:v>
      </x:c>
      <x:c r="E2429" s="1" t="str">
        <x:v>Terrestre</x:v>
      </x:c>
      <x:c r="F2429" s="1" t="str">
        <x:v>Especial</x:v>
      </x:c>
      <x:c r="G2429" s="10" t="n">
        <x:v>65</x:v>
      </x:c>
      <x:c r="H2429" s="10" t="n">
        <x:f>IF(F2429="Física",'Pokémon'!G262,IF(F2429="Especial",'Pokémon'!I262,""))</x:f>
        <x:v>60</x:v>
      </x:c>
      <x:c r="I2429" s="10" t="n">
        <x:f>IF(OR(F2429="Status",G2429=0),"",G2429+H2429)</x:f>
        <x:v>125</x:v>
      </x:c>
      <x:c r="J2429" s="10" t="n">
        <x:v>22</x:v>
      </x:c>
      <x:c r="K2429" s="12" t="n">
        <x:v>20</x:v>
      </x:c>
      <x:c r="L2429" s="1" t="str"/>
      <x:c r="M2429" s="9" t="str">
        <x:v>https://poke.idleworld.online/pokepedia/pokemon/marshtomp</x:v>
      </x:c>
    </x:row>
    <x:row r="2430" ht="22" customHeight="1">
      <x:c r="A2430" s="1" t="n">
        <x:v>259</x:v>
      </x:c>
      <x:c r="B2430" s="1" t="str">
        <x:v>Marshtomp</x:v>
      </x:c>
      <x:c r="C2430" s="1" t="n">
        <x:v>4</x:v>
      </x:c>
      <x:c r="D2430" s="1" t="str">
        <x:v>Mud Shot</x:v>
      </x:c>
      <x:c r="E2430" s="1" t="str">
        <x:v>Terrestre</x:v>
      </x:c>
      <x:c r="F2430" s="1" t="str">
        <x:v>Especial</x:v>
      </x:c>
      <x:c r="G2430" s="10" t="n">
        <x:v>55</x:v>
      </x:c>
      <x:c r="H2430" s="10" t="n">
        <x:f>IF(F2430="Física",'Pokémon'!G262,IF(F2430="Especial",'Pokémon'!I262,""))</x:f>
        <x:v>60</x:v>
      </x:c>
      <x:c r="I2430" s="10" t="n">
        <x:f>IF(OR(F2430="Status",G2430=0),"",G2430+H2430)</x:f>
        <x:v>115</x:v>
      </x:c>
      <x:c r="J2430" s="10" t="n">
        <x:v>16</x:v>
      </x:c>
      <x:c r="K2430" s="12" t="n">
        <x:v>20</x:v>
      </x:c>
      <x:c r="L2430" s="1" t="str"/>
      <x:c r="M2430" s="9" t="str">
        <x:v>https://poke.idleworld.online/pokepedia/pokemon/marshtomp</x:v>
      </x:c>
    </x:row>
    <x:row r="2431" ht="22" customHeight="1">
      <x:c r="A2431" s="1" t="n">
        <x:v>259</x:v>
      </x:c>
      <x:c r="B2431" s="1" t="str">
        <x:v>Marshtomp</x:v>
      </x:c>
      <x:c r="C2431" s="1" t="n">
        <x:v>2</x:v>
      </x:c>
      <x:c r="D2431" s="1" t="str">
        <x:v>Water Gun</x:v>
      </x:c>
      <x:c r="E2431" s="1" t="str">
        <x:v>Água</x:v>
      </x:c>
      <x:c r="F2431" s="1" t="str">
        <x:v>Especial</x:v>
      </x:c>
      <x:c r="G2431" s="10" t="n">
        <x:v>40</x:v>
      </x:c>
      <x:c r="H2431" s="10" t="n">
        <x:f>IF(F2431="Física",'Pokémon'!G262,IF(F2431="Especial",'Pokémon'!I262,""))</x:f>
        <x:v>60</x:v>
      </x:c>
      <x:c r="I2431" s="10" t="n">
        <x:f>IF(OR(F2431="Status",G2431=0),"",G2431+H2431)</x:f>
        <x:v>100</x:v>
      </x:c>
      <x:c r="J2431" s="10" t="n">
        <x:v>1</x:v>
      </x:c>
      <x:c r="K2431" s="12" t="n">
        <x:v>20</x:v>
      </x:c>
      <x:c r="L2431" s="1" t="str"/>
      <x:c r="M2431" s="9" t="str">
        <x:v>https://poke.idleworld.online/pokepedia/pokemon/marshtomp</x:v>
      </x:c>
    </x:row>
    <x:row r="2432" ht="22" customHeight="1">
      <x:c r="A2432" s="1" t="n">
        <x:v>259</x:v>
      </x:c>
      <x:c r="B2432" s="1" t="str">
        <x:v>Marshtomp</x:v>
      </x:c>
      <x:c r="C2432" s="1" t="n">
        <x:v>1</x:v>
      </x:c>
      <x:c r="D2432" s="1" t="str">
        <x:v>Mud-Slap</x:v>
      </x:c>
      <x:c r="E2432" s="1" t="str">
        <x:v>Terrestre</x:v>
      </x:c>
      <x:c r="F2432" s="1" t="str">
        <x:v>Especial</x:v>
      </x:c>
      <x:c r="G2432" s="10" t="n">
        <x:v>20</x:v>
      </x:c>
      <x:c r="H2432" s="10" t="n">
        <x:f>IF(F2432="Física",'Pokémon'!G262,IF(F2432="Especial",'Pokémon'!I262,""))</x:f>
        <x:v>60</x:v>
      </x:c>
      <x:c r="I2432" s="10" t="n">
        <x:f>IF(OR(F2432="Status",G2432=0),"",G2432+H2432)</x:f>
        <x:v>80</x:v>
      </x:c>
      <x:c r="J2432" s="10" t="n">
        <x:v>1</x:v>
      </x:c>
      <x:c r="K2432" s="12" t="n">
        <x:v>20</x:v>
      </x:c>
      <x:c r="L2432" s="1" t="str"/>
      <x:c r="M2432" s="9" t="str">
        <x:v>https://poke.idleworld.online/pokepedia/pokemon/marshtomp</x:v>
      </x:c>
    </x:row>
    <x:row r="2433" ht="22" customHeight="1">
      <x:c r="A2433" s="1" t="n">
        <x:v>259</x:v>
      </x:c>
      <x:c r="B2433" s="1" t="str">
        <x:v>Marshtomp</x:v>
      </x:c>
      <x:c r="C2433" s="1" t="n">
        <x:v>7</x:v>
      </x:c>
      <x:c r="D2433" s="1" t="str">
        <x:v>Protect</x:v>
      </x:c>
      <x:c r="E2433" s="1" t="str">
        <x:v>Normal</x:v>
      </x:c>
      <x:c r="F2433" s="1" t="str">
        <x:v>Status</x:v>
      </x:c>
      <x:c r="G2433" s="10" t="n">
        <x:v>0</x:v>
      </x:c>
      <x:c r="H2433" s="10" t="str">
        <x:f>IF(F2433="Física",'Pokémon'!G262,IF(F2433="Especial",'Pokémon'!I262,""))</x:f>
      </x:c>
      <x:c r="I2433" s="10" t="str">
        <x:f>IF(OR(F2433="Status",G2433=0),"",G2433+H2433)</x:f>
      </x:c>
      <x:c r="J2433" s="10" t="n">
        <x:v>32</x:v>
      </x:c>
      <x:c r="K2433" s="12" t="n">
        <x:v>40</x:v>
      </x:c>
      <x:c r="L2433" s="1" t="str"/>
      <x:c r="M2433" s="9" t="str">
        <x:v>https://poke.idleworld.online/pokepedia/pokemon/marshtomp</x:v>
      </x:c>
    </x:row>
    <x:row r="2434" ht="22" customHeight="1">
      <x:c r="A2434" s="1" t="n">
        <x:v>260</x:v>
      </x:c>
      <x:c r="B2434" s="1" t="str">
        <x:v>Swampert</x:v>
      </x:c>
      <x:c r="C2434" s="1" t="n">
        <x:v>3</x:v>
      </x:c>
      <x:c r="D2434" s="1" t="str">
        <x:v>Hammer Arm</x:v>
      </x:c>
      <x:c r="E2434" s="1" t="str">
        <x:v>Lutador</x:v>
      </x:c>
      <x:c r="F2434" s="1" t="str">
        <x:v>Física</x:v>
      </x:c>
      <x:c r="G2434" s="10" t="n">
        <x:v>100</x:v>
      </x:c>
      <x:c r="H2434" s="10" t="n">
        <x:f>IF(F2434="Física",'Pokémon'!G263,IF(F2434="Especial",'Pokémon'!I263,""))</x:f>
        <x:v>110</x:v>
      </x:c>
      <x:c r="I2434" s="10" t="n">
        <x:f>IF(OR(F2434="Status",G2434=0),"",G2434+H2434)</x:f>
        <x:v>210</x:v>
      </x:c>
      <x:c r="J2434" s="10" t="n">
        <x:v>1</x:v>
      </x:c>
      <x:c r="K2434" s="12" t="n">
        <x:v>35</x:v>
      </x:c>
      <x:c r="L2434" s="1" t="str"/>
      <x:c r="M2434" s="9" t="str">
        <x:v>https://poke.idleworld.online/pokepedia/pokemon/swampert</x:v>
      </x:c>
    </x:row>
    <x:row r="2435" ht="22" customHeight="1">
      <x:c r="A2435" s="1" t="n">
        <x:v>260</x:v>
      </x:c>
      <x:c r="B2435" s="1" t="str">
        <x:v>Swampert</x:v>
      </x:c>
      <x:c r="C2435" s="1" t="n">
        <x:v>11</x:v>
      </x:c>
      <x:c r="D2435" s="1" t="str">
        <x:v>Earthquake</x:v>
      </x:c>
      <x:c r="E2435" s="1" t="str">
        <x:v>Terrestre</x:v>
      </x:c>
      <x:c r="F2435" s="1" t="str">
        <x:v>Física</x:v>
      </x:c>
      <x:c r="G2435" s="10" t="n">
        <x:v>100</x:v>
      </x:c>
      <x:c r="H2435" s="10" t="n">
        <x:f>IF(F2435="Física",'Pokémon'!G263,IF(F2435="Especial",'Pokémon'!I263,""))</x:f>
        <x:v>110</x:v>
      </x:c>
      <x:c r="I2435" s="10" t="n">
        <x:f>IF(OR(F2435="Status",G2435=0),"",G2435+H2435)</x:f>
        <x:v>210</x:v>
      </x:c>
      <x:c r="J2435" s="10" t="n">
        <x:v>51</x:v>
      </x:c>
      <x:c r="K2435" s="12" t="n">
        <x:v>60</x:v>
      </x:c>
      <x:c r="L2435" s="1" t="str"/>
      <x:c r="M2435" s="9" t="str">
        <x:v>https://poke.idleworld.online/pokepedia/pokemon/swampert</x:v>
      </x:c>
    </x:row>
    <x:row r="2436" ht="22" customHeight="1">
      <x:c r="A2436" s="1" t="n">
        <x:v>260</x:v>
      </x:c>
      <x:c r="B2436" s="1" t="str">
        <x:v>Swampert</x:v>
      </x:c>
      <x:c r="C2436" s="1" t="n">
        <x:v>10</x:v>
      </x:c>
      <x:c r="D2436" s="1" t="str">
        <x:v>Take Down</x:v>
      </x:c>
      <x:c r="E2436" s="1" t="str">
        <x:v>Normal</x:v>
      </x:c>
      <x:c r="F2436" s="1" t="str">
        <x:v>Física</x:v>
      </x:c>
      <x:c r="G2436" s="10" t="n">
        <x:v>90</x:v>
      </x:c>
      <x:c r="H2436" s="10" t="n">
        <x:f>IF(F2436="Física",'Pokémon'!G263,IF(F2436="Especial",'Pokémon'!I263,""))</x:f>
        <x:v>110</x:v>
      </x:c>
      <x:c r="I2436" s="10" t="n">
        <x:f>IF(OR(F2436="Status",G2436=0),"",G2436+H2436)</x:f>
        <x:v>200</x:v>
      </x:c>
      <x:c r="J2436" s="10" t="n">
        <x:v>44</x:v>
      </x:c>
      <x:c r="K2436" s="12" t="n">
        <x:v>22</x:v>
      </x:c>
      <x:c r="L2436" s="1" t="str"/>
      <x:c r="M2436" s="9" t="str">
        <x:v>https://poke.idleworld.online/pokepedia/pokemon/swampert</x:v>
      </x:c>
    </x:row>
    <x:row r="2437" ht="22" customHeight="1">
      <x:c r="A2437" s="1" t="n">
        <x:v>260</x:v>
      </x:c>
      <x:c r="B2437" s="1" t="str">
        <x:v>Swampert</x:v>
      </x:c>
      <x:c r="C2437" s="1" t="n">
        <x:v>7</x:v>
      </x:c>
      <x:c r="D2437" s="1" t="str">
        <x:v>Rock Slide</x:v>
      </x:c>
      <x:c r="E2437" s="1" t="str">
        <x:v>Pedra</x:v>
      </x:c>
      <x:c r="F2437" s="1" t="str">
        <x:v>Física</x:v>
      </x:c>
      <x:c r="G2437" s="10" t="n">
        <x:v>75</x:v>
      </x:c>
      <x:c r="H2437" s="10" t="n">
        <x:f>IF(F2437="Física",'Pokémon'!G263,IF(F2437="Especial",'Pokémon'!I263,""))</x:f>
        <x:v>110</x:v>
      </x:c>
      <x:c r="I2437" s="10" t="n">
        <x:f>IF(OR(F2437="Status",G2437=0),"",G2437+H2437)</x:f>
        <x:v>185</x:v>
      </x:c>
      <x:c r="J2437" s="10" t="n">
        <x:v>28</x:v>
      </x:c>
      <x:c r="K2437" s="12" t="n">
        <x:v>22</x:v>
      </x:c>
      <x:c r="L2437" s="1" t="str"/>
      <x:c r="M2437" s="9" t="str">
        <x:v>https://poke.idleworld.online/pokepedia/pokemon/swampert</x:v>
      </x:c>
    </x:row>
    <x:row r="2438" ht="22" customHeight="1">
      <x:c r="A2438" s="1" t="n">
        <x:v>260</x:v>
      </x:c>
      <x:c r="B2438" s="1" t="str">
        <x:v>Swampert</x:v>
      </x:c>
      <x:c r="C2438" s="1" t="n">
        <x:v>9</x:v>
      </x:c>
      <x:c r="D2438" s="1" t="str">
        <x:v>Muddy Water</x:v>
      </x:c>
      <x:c r="E2438" s="1" t="str">
        <x:v>Água</x:v>
      </x:c>
      <x:c r="F2438" s="1" t="str">
        <x:v>Especial</x:v>
      </x:c>
      <x:c r="G2438" s="10" t="n">
        <x:v>90</x:v>
      </x:c>
      <x:c r="H2438" s="10" t="n">
        <x:f>IF(F2438="Física",'Pokémon'!G263,IF(F2438="Especial",'Pokémon'!I263,""))</x:f>
        <x:v>85</x:v>
      </x:c>
      <x:c r="I2438" s="10" t="n">
        <x:f>IF(OR(F2438="Status",G2438=0),"",G2438+H2438)</x:f>
        <x:v>175</x:v>
      </x:c>
      <x:c r="J2438" s="10" t="n">
        <x:v>39</x:v>
      </x:c>
      <x:c r="K2438" s="12" t="n">
        <x:v>30</x:v>
      </x:c>
      <x:c r="L2438" s="1" t="str"/>
      <x:c r="M2438" s="9" t="str">
        <x:v>https://poke.idleworld.online/pokepedia/pokemon/swampert</x:v>
      </x:c>
    </x:row>
    <x:row r="2439" ht="22" customHeight="1">
      <x:c r="A2439" s="1" t="n">
        <x:v>260</x:v>
      </x:c>
      <x:c r="B2439" s="1" t="str">
        <x:v>Swampert</x:v>
      </x:c>
      <x:c r="C2439" s="1" t="n">
        <x:v>4</x:v>
      </x:c>
      <x:c r="D2439" s="1" t="str">
        <x:v>Tackle</x:v>
      </x:c>
      <x:c r="E2439" s="1" t="str">
        <x:v>Normal</x:v>
      </x:c>
      <x:c r="F2439" s="1" t="str">
        <x:v>Física</x:v>
      </x:c>
      <x:c r="G2439" s="10" t="n">
        <x:v>50</x:v>
      </x:c>
      <x:c r="H2439" s="10" t="n">
        <x:f>IF(F2439="Física",'Pokémon'!G263,IF(F2439="Especial",'Pokémon'!I263,""))</x:f>
        <x:v>110</x:v>
      </x:c>
      <x:c r="I2439" s="10" t="n">
        <x:f>IF(OR(F2439="Status",G2439=0),"",G2439+H2439)</x:f>
        <x:v>160</x:v>
      </x:c>
      <x:c r="J2439" s="10" t="n">
        <x:v>1</x:v>
      </x:c>
      <x:c r="K2439" s="12" t="n">
        <x:v>15</x:v>
      </x:c>
      <x:c r="L2439" s="1" t="str"/>
      <x:c r="M2439" s="9" t="str">
        <x:v>https://poke.idleworld.online/pokepedia/pokemon/swampert</x:v>
      </x:c>
    </x:row>
    <x:row r="2440" ht="22" customHeight="1">
      <x:c r="A2440" s="1" t="n">
        <x:v>260</x:v>
      </x:c>
      <x:c r="B2440" s="1" t="str">
        <x:v>Swampert</x:v>
      </x:c>
      <x:c r="C2440" s="1" t="n">
        <x:v>6</x:v>
      </x:c>
      <x:c r="D2440" s="1" t="str">
        <x:v>Mud Bomb</x:v>
      </x:c>
      <x:c r="E2440" s="1" t="str">
        <x:v>Terrestre</x:v>
      </x:c>
      <x:c r="F2440" s="1" t="str">
        <x:v>Especial</x:v>
      </x:c>
      <x:c r="G2440" s="10" t="n">
        <x:v>65</x:v>
      </x:c>
      <x:c r="H2440" s="10" t="n">
        <x:f>IF(F2440="Física",'Pokémon'!G263,IF(F2440="Especial",'Pokémon'!I263,""))</x:f>
        <x:v>85</x:v>
      </x:c>
      <x:c r="I2440" s="10" t="n">
        <x:f>IF(OR(F2440="Status",G2440=0),"",G2440+H2440)</x:f>
        <x:v>150</x:v>
      </x:c>
      <x:c r="J2440" s="10" t="n">
        <x:v>22</x:v>
      </x:c>
      <x:c r="K2440" s="12" t="n">
        <x:v>20</x:v>
      </x:c>
      <x:c r="L2440" s="1" t="str"/>
      <x:c r="M2440" s="9" t="str">
        <x:v>https://poke.idleworld.online/pokepedia/pokemon/swampert</x:v>
      </x:c>
    </x:row>
    <x:row r="2441" ht="22" customHeight="1">
      <x:c r="A2441" s="1" t="n">
        <x:v>260</x:v>
      </x:c>
      <x:c r="B2441" s="1" t="str">
        <x:v>Swampert</x:v>
      </x:c>
      <x:c r="C2441" s="1" t="n">
        <x:v>5</x:v>
      </x:c>
      <x:c r="D2441" s="1" t="str">
        <x:v>Mud Shot</x:v>
      </x:c>
      <x:c r="E2441" s="1" t="str">
        <x:v>Terrestre</x:v>
      </x:c>
      <x:c r="F2441" s="1" t="str">
        <x:v>Especial</x:v>
      </x:c>
      <x:c r="G2441" s="10" t="n">
        <x:v>55</x:v>
      </x:c>
      <x:c r="H2441" s="10" t="n">
        <x:f>IF(F2441="Física",'Pokémon'!G263,IF(F2441="Especial",'Pokémon'!I263,""))</x:f>
        <x:v>85</x:v>
      </x:c>
      <x:c r="I2441" s="10" t="n">
        <x:f>IF(OR(F2441="Status",G2441=0),"",G2441+H2441)</x:f>
        <x:v>140</x:v>
      </x:c>
      <x:c r="J2441" s="10" t="n">
        <x:v>16</x:v>
      </x:c>
      <x:c r="K2441" s="12" t="n">
        <x:v>20</x:v>
      </x:c>
      <x:c r="L2441" s="1" t="str"/>
      <x:c r="M2441" s="9" t="str">
        <x:v>https://poke.idleworld.online/pokepedia/pokemon/swampert</x:v>
      </x:c>
    </x:row>
    <x:row r="2442" ht="22" customHeight="1">
      <x:c r="A2442" s="1" t="n">
        <x:v>260</x:v>
      </x:c>
      <x:c r="B2442" s="1" t="str">
        <x:v>Swampert</x:v>
      </x:c>
      <x:c r="C2442" s="1" t="n">
        <x:v>2</x:v>
      </x:c>
      <x:c r="D2442" s="1" t="str">
        <x:v>Water Gun</x:v>
      </x:c>
      <x:c r="E2442" s="1" t="str">
        <x:v>Água</x:v>
      </x:c>
      <x:c r="F2442" s="1" t="str">
        <x:v>Especial</x:v>
      </x:c>
      <x:c r="G2442" s="10" t="n">
        <x:v>40</x:v>
      </x:c>
      <x:c r="H2442" s="10" t="n">
        <x:f>IF(F2442="Física",'Pokémon'!G263,IF(F2442="Especial",'Pokémon'!I263,""))</x:f>
        <x:v>85</x:v>
      </x:c>
      <x:c r="I2442" s="10" t="n">
        <x:f>IF(OR(F2442="Status",G2442=0),"",G2442+H2442)</x:f>
        <x:v>125</x:v>
      </x:c>
      <x:c r="J2442" s="10" t="n">
        <x:v>1</x:v>
      </x:c>
      <x:c r="K2442" s="12" t="n">
        <x:v>20</x:v>
      </x:c>
      <x:c r="L2442" s="1" t="str"/>
      <x:c r="M2442" s="9" t="str">
        <x:v>https://poke.idleworld.online/pokepedia/pokemon/swampert</x:v>
      </x:c>
    </x:row>
    <x:row r="2443" ht="22" customHeight="1">
      <x:c r="A2443" s="1" t="n">
        <x:v>260</x:v>
      </x:c>
      <x:c r="B2443" s="1" t="str">
        <x:v>Swampert</x:v>
      </x:c>
      <x:c r="C2443" s="1" t="n">
        <x:v>1</x:v>
      </x:c>
      <x:c r="D2443" s="1" t="str">
        <x:v>Mud-Slap</x:v>
      </x:c>
      <x:c r="E2443" s="1" t="str">
        <x:v>Terrestre</x:v>
      </x:c>
      <x:c r="F2443" s="1" t="str">
        <x:v>Especial</x:v>
      </x:c>
      <x:c r="G2443" s="10" t="n">
        <x:v>20</x:v>
      </x:c>
      <x:c r="H2443" s="10" t="n">
        <x:f>IF(F2443="Física",'Pokémon'!G263,IF(F2443="Especial",'Pokémon'!I263,""))</x:f>
        <x:v>85</x:v>
      </x:c>
      <x:c r="I2443" s="10" t="n">
        <x:f>IF(OR(F2443="Status",G2443=0),"",G2443+H2443)</x:f>
        <x:v>105</x:v>
      </x:c>
      <x:c r="J2443" s="10" t="n">
        <x:v>1</x:v>
      </x:c>
      <x:c r="K2443" s="12" t="n">
        <x:v>25</x:v>
      </x:c>
      <x:c r="L2443" s="1" t="str"/>
      <x:c r="M2443" s="9" t="str">
        <x:v>https://poke.idleworld.online/pokepedia/pokemon/swampert</x:v>
      </x:c>
    </x:row>
    <x:row r="2444" ht="22" customHeight="1">
      <x:c r="A2444" s="1" t="n">
        <x:v>260</x:v>
      </x:c>
      <x:c r="B2444" s="1" t="str">
        <x:v>Swampert</x:v>
      </x:c>
      <x:c r="C2444" s="1" t="n">
        <x:v>8</x:v>
      </x:c>
      <x:c r="D2444" s="1" t="str">
        <x:v>Protect</x:v>
      </x:c>
      <x:c r="E2444" s="1" t="str">
        <x:v>Normal</x:v>
      </x:c>
      <x:c r="F2444" s="1" t="str">
        <x:v>Status</x:v>
      </x:c>
      <x:c r="G2444" s="10" t="n">
        <x:v>0</x:v>
      </x:c>
      <x:c r="H2444" s="10" t="str">
        <x:f>IF(F2444="Física",'Pokémon'!G263,IF(F2444="Especial",'Pokémon'!I263,""))</x:f>
      </x:c>
      <x:c r="I2444" s="10" t="str">
        <x:f>IF(OR(F2444="Status",G2444=0),"",G2444+H2444)</x:f>
      </x:c>
      <x:c r="J2444" s="10" t="n">
        <x:v>32</x:v>
      </x:c>
      <x:c r="K2444" s="12" t="n">
        <x:v>40</x:v>
      </x:c>
      <x:c r="L2444" s="1" t="str"/>
      <x:c r="M2444" s="9" t="str">
        <x:v>https://poke.idleworld.online/pokepedia/pokemon/swampert</x:v>
      </x:c>
    </x:row>
    <x:row r="2445" ht="22" customHeight="1">
      <x:c r="A2445" s="1" t="n">
        <x:v>261</x:v>
      </x:c>
      <x:c r="B2445" s="1" t="str">
        <x:v>Poochyena</x:v>
      </x:c>
      <x:c r="C2445" s="1" t="n">
        <x:v>5</x:v>
      </x:c>
      <x:c r="D2445" s="1" t="str">
        <x:v>Take Down</x:v>
      </x:c>
      <x:c r="E2445" s="1" t="str">
        <x:v>Normal</x:v>
      </x:c>
      <x:c r="F2445" s="1" t="str">
        <x:v>Física</x:v>
      </x:c>
      <x:c r="G2445" s="10" t="n">
        <x:v>90</x:v>
      </x:c>
      <x:c r="H2445" s="10" t="n">
        <x:f>IF(F2445="Física",'Pokémon'!G264,IF(F2445="Especial",'Pokémon'!I264,""))</x:f>
        <x:v>55</x:v>
      </x:c>
      <x:c r="I2445" s="10" t="n">
        <x:f>IF(OR(F2445="Status",G2445=0),"",G2445+H2445)</x:f>
        <x:v>145</x:v>
      </x:c>
      <x:c r="J2445" s="10" t="n">
        <x:v>34</x:v>
      </x:c>
      <x:c r="K2445" s="12" t="n">
        <x:v>22</x:v>
      </x:c>
      <x:c r="L2445" s="1" t="str"/>
      <x:c r="M2445" s="9" t="str">
        <x:v>https://poke.idleworld.online/pokepedia/pokemon/poochyena</x:v>
      </x:c>
    </x:row>
    <x:row r="2446" ht="22" customHeight="1">
      <x:c r="A2446" s="1" t="n">
        <x:v>261</x:v>
      </x:c>
      <x:c r="B2446" s="1" t="str">
        <x:v>Poochyena</x:v>
      </x:c>
      <x:c r="C2446" s="1" t="n">
        <x:v>6</x:v>
      </x:c>
      <x:c r="D2446" s="1" t="str">
        <x:v>Crunch</x:v>
      </x:c>
      <x:c r="E2446" s="1" t="str">
        <x:v>Sombrio</x:v>
      </x:c>
      <x:c r="F2446" s="1" t="str">
        <x:v>Física</x:v>
      </x:c>
      <x:c r="G2446" s="10" t="n">
        <x:v>80</x:v>
      </x:c>
      <x:c r="H2446" s="10" t="n">
        <x:f>IF(F2446="Física",'Pokémon'!G264,IF(F2446="Especial",'Pokémon'!I264,""))</x:f>
        <x:v>55</x:v>
      </x:c>
      <x:c r="I2446" s="10" t="n">
        <x:f>IF(OR(F2446="Status",G2446=0),"",G2446+H2446)</x:f>
        <x:v>135</x:v>
      </x:c>
      <x:c r="J2446" s="10" t="n">
        <x:v>37</x:v>
      </x:c>
      <x:c r="K2446" s="12" t="n">
        <x:v>15</x:v>
      </x:c>
      <x:c r="L2446" s="1" t="str"/>
      <x:c r="M2446" s="9" t="str">
        <x:v>https://poke.idleworld.online/pokepedia/pokemon/poochyena</x:v>
      </x:c>
    </x:row>
    <x:row r="2447" ht="22" customHeight="1">
      <x:c r="A2447" s="1" t="n">
        <x:v>261</x:v>
      </x:c>
      <x:c r="B2447" s="1" t="str">
        <x:v>Poochyena</x:v>
      </x:c>
      <x:c r="C2447" s="1" t="n">
        <x:v>7</x:v>
      </x:c>
      <x:c r="D2447" s="1" t="str">
        <x:v>Sucker Punch</x:v>
      </x:c>
      <x:c r="E2447" s="1" t="str">
        <x:v>Sombrio</x:v>
      </x:c>
      <x:c r="F2447" s="1" t="str">
        <x:v>Física</x:v>
      </x:c>
      <x:c r="G2447" s="10" t="n">
        <x:v>80</x:v>
      </x:c>
      <x:c r="H2447" s="10" t="n">
        <x:f>IF(F2447="Física",'Pokémon'!G264,IF(F2447="Especial",'Pokémon'!I264,""))</x:f>
        <x:v>55</x:v>
      </x:c>
      <x:c r="I2447" s="10" t="n">
        <x:f>IF(OR(F2447="Status",G2447=0),"",G2447+H2447)</x:f>
        <x:v>135</x:v>
      </x:c>
      <x:c r="J2447" s="10" t="n">
        <x:v>40</x:v>
      </x:c>
      <x:c r="K2447" s="12" t="n">
        <x:v>22</x:v>
      </x:c>
      <x:c r="L2447" s="1" t="str"/>
      <x:c r="M2447" s="9" t="str">
        <x:v>https://poke.idleworld.online/pokepedia/pokemon/poochyena</x:v>
      </x:c>
    </x:row>
    <x:row r="2448" ht="22" customHeight="1">
      <x:c r="A2448" s="1" t="n">
        <x:v>261</x:v>
      </x:c>
      <x:c r="B2448" s="1" t="str">
        <x:v>Poochyena</x:v>
      </x:c>
      <x:c r="C2448" s="1" t="n">
        <x:v>2</x:v>
      </x:c>
      <x:c r="D2448" s="1" t="str">
        <x:v>Bite</x:v>
      </x:c>
      <x:c r="E2448" s="1" t="str">
        <x:v>Sombrio</x:v>
      </x:c>
      <x:c r="F2448" s="1" t="str">
        <x:v>Física</x:v>
      </x:c>
      <x:c r="G2448" s="10" t="n">
        <x:v>60</x:v>
      </x:c>
      <x:c r="H2448" s="10" t="n">
        <x:f>IF(F2448="Física",'Pokémon'!G264,IF(F2448="Especial",'Pokémon'!I264,""))</x:f>
        <x:v>55</x:v>
      </x:c>
      <x:c r="I2448" s="10" t="n">
        <x:f>IF(OR(F2448="Status",G2448=0),"",G2448+H2448)</x:f>
        <x:v>115</x:v>
      </x:c>
      <x:c r="J2448" s="10" t="n">
        <x:v>10</x:v>
      </x:c>
      <x:c r="K2448" s="12" t="n">
        <x:v>10</x:v>
      </x:c>
      <x:c r="L2448" s="1" t="str"/>
      <x:c r="M2448" s="9" t="str">
        <x:v>https://poke.idleworld.online/pokepedia/pokemon/poochyena</x:v>
      </x:c>
    </x:row>
    <x:row r="2449" ht="22" customHeight="1">
      <x:c r="A2449" s="1" t="n">
        <x:v>261</x:v>
      </x:c>
      <x:c r="B2449" s="1" t="str">
        <x:v>Poochyena</x:v>
      </x:c>
      <x:c r="C2449" s="1" t="n">
        <x:v>4</x:v>
      </x:c>
      <x:c r="D2449" s="1" t="str">
        <x:v>Assurance</x:v>
      </x:c>
      <x:c r="E2449" s="1" t="str">
        <x:v>Sombrio</x:v>
      </x:c>
      <x:c r="F2449" s="1" t="str">
        <x:v>Física</x:v>
      </x:c>
      <x:c r="G2449" s="10" t="n">
        <x:v>60</x:v>
      </x:c>
      <x:c r="H2449" s="10" t="n">
        <x:f>IF(F2449="Física",'Pokémon'!G264,IF(F2449="Especial",'Pokémon'!I264,""))</x:f>
        <x:v>55</x:v>
      </x:c>
      <x:c r="I2449" s="10" t="n">
        <x:f>IF(OR(F2449="Status",G2449=0),"",G2449+H2449)</x:f>
        <x:v>115</x:v>
      </x:c>
      <x:c r="J2449" s="10" t="n">
        <x:v>22</x:v>
      </x:c>
      <x:c r="K2449" s="12" t="n">
        <x:v>20</x:v>
      </x:c>
      <x:c r="L2449" s="1" t="str"/>
      <x:c r="M2449" s="9" t="str">
        <x:v>https://poke.idleworld.online/pokepedia/pokemon/poochyena</x:v>
      </x:c>
    </x:row>
    <x:row r="2450" ht="22" customHeight="1">
      <x:c r="A2450" s="1" t="n">
        <x:v>261</x:v>
      </x:c>
      <x:c r="B2450" s="1" t="str">
        <x:v>Poochyena</x:v>
      </x:c>
      <x:c r="C2450" s="1" t="n">
        <x:v>1</x:v>
      </x:c>
      <x:c r="D2450" s="1" t="str">
        <x:v>Tackle</x:v>
      </x:c>
      <x:c r="E2450" s="1" t="str">
        <x:v>Normal</x:v>
      </x:c>
      <x:c r="F2450" s="1" t="str">
        <x:v>Física</x:v>
      </x:c>
      <x:c r="G2450" s="10" t="n">
        <x:v>50</x:v>
      </x:c>
      <x:c r="H2450" s="10" t="n">
        <x:f>IF(F2450="Física",'Pokémon'!G264,IF(F2450="Especial",'Pokémon'!I264,""))</x:f>
        <x:v>55</x:v>
      </x:c>
      <x:c r="I2450" s="10" t="n">
        <x:f>IF(OR(F2450="Status",G2450=0),"",G2450+H2450)</x:f>
        <x:v>105</x:v>
      </x:c>
      <x:c r="J2450" s="10" t="n">
        <x:v>1</x:v>
      </x:c>
      <x:c r="K2450" s="12" t="n">
        <x:v>15</x:v>
      </x:c>
      <x:c r="L2450" s="1" t="str"/>
      <x:c r="M2450" s="9" t="str">
        <x:v>https://poke.idleworld.online/pokepedia/pokemon/poochyena</x:v>
      </x:c>
    </x:row>
    <x:row r="2451" ht="22" customHeight="1">
      <x:c r="A2451" s="1" t="n">
        <x:v>261</x:v>
      </x:c>
      <x:c r="B2451" s="1" t="str">
        <x:v>Poochyena</x:v>
      </x:c>
      <x:c r="C2451" s="1" t="n">
        <x:v>3</x:v>
      </x:c>
      <x:c r="D2451" s="1" t="str">
        <x:v>Roar</x:v>
      </x:c>
      <x:c r="E2451" s="1" t="str">
        <x:v>Normal</x:v>
      </x:c>
      <x:c r="F2451" s="1" t="str">
        <x:v>Status</x:v>
      </x:c>
      <x:c r="G2451" s="10" t="n">
        <x:v>0</x:v>
      </x:c>
      <x:c r="H2451" s="10" t="str">
        <x:f>IF(F2451="Física",'Pokémon'!G264,IF(F2451="Especial",'Pokémon'!I264,""))</x:f>
      </x:c>
      <x:c r="I2451" s="10" t="str">
        <x:f>IF(OR(F2451="Status",G2451=0),"",G2451+H2451)</x:f>
      </x:c>
      <x:c r="J2451" s="10" t="n">
        <x:v>16</x:v>
      </x:c>
      <x:c r="K2451" s="12" t="n">
        <x:v>40</x:v>
      </x:c>
      <x:c r="L2451" s="1" t="str"/>
      <x:c r="M2451" s="9" t="str">
        <x:v>https://poke.idleworld.online/pokepedia/pokemon/poochyena</x:v>
      </x:c>
    </x:row>
    <x:row r="2452" ht="22" customHeight="1">
      <x:c r="A2452" s="1" t="n">
        <x:v>262</x:v>
      </x:c>
      <x:c r="B2452" s="1" t="str">
        <x:v>Mightyena</x:v>
      </x:c>
      <x:c r="C2452" s="1" t="n">
        <x:v>8</x:v>
      </x:c>
      <x:c r="D2452" s="1" t="str">
        <x:v>Take Down</x:v>
      </x:c>
      <x:c r="E2452" s="1" t="str">
        <x:v>Normal</x:v>
      </x:c>
      <x:c r="F2452" s="1" t="str">
        <x:v>Física</x:v>
      </x:c>
      <x:c r="G2452" s="10" t="n">
        <x:v>90</x:v>
      </x:c>
      <x:c r="H2452" s="10" t="n">
        <x:f>IF(F2452="Física",'Pokémon'!G265,IF(F2452="Especial",'Pokémon'!I265,""))</x:f>
        <x:v>90</x:v>
      </x:c>
      <x:c r="I2452" s="10" t="n">
        <x:f>IF(OR(F2452="Status",G2452=0),"",G2452+H2452)</x:f>
        <x:v>180</x:v>
      </x:c>
      <x:c r="J2452" s="10" t="n">
        <x:v>40</x:v>
      </x:c>
      <x:c r="K2452" s="12" t="n">
        <x:v>22</x:v>
      </x:c>
      <x:c r="L2452" s="1" t="str"/>
      <x:c r="M2452" s="9" t="str">
        <x:v>https://poke.idleworld.online/pokepedia/pokemon/mightyena</x:v>
      </x:c>
    </x:row>
    <x:row r="2453" ht="22" customHeight="1">
      <x:c r="A2453" s="1" t="n">
        <x:v>262</x:v>
      </x:c>
      <x:c r="B2453" s="1" t="str">
        <x:v>Mightyena</x:v>
      </x:c>
      <x:c r="C2453" s="1" t="n">
        <x:v>3</x:v>
      </x:c>
      <x:c r="D2453" s="1" t="str">
        <x:v>Crunch</x:v>
      </x:c>
      <x:c r="E2453" s="1" t="str">
        <x:v>Sombrio</x:v>
      </x:c>
      <x:c r="F2453" s="1" t="str">
        <x:v>Física</x:v>
      </x:c>
      <x:c r="G2453" s="10" t="n">
        <x:v>80</x:v>
      </x:c>
      <x:c r="H2453" s="10" t="n">
        <x:f>IF(F2453="Física",'Pokémon'!G265,IF(F2453="Especial",'Pokémon'!I265,""))</x:f>
        <x:v>90</x:v>
      </x:c>
      <x:c r="I2453" s="10" t="n">
        <x:f>IF(OR(F2453="Status",G2453=0),"",G2453+H2453)</x:f>
        <x:v>170</x:v>
      </x:c>
      <x:c r="J2453" s="10" t="n">
        <x:v>1</x:v>
      </x:c>
      <x:c r="K2453" s="12" t="n">
        <x:v>20</x:v>
      </x:c>
      <x:c r="L2453" s="1" t="str"/>
      <x:c r="M2453" s="9" t="str">
        <x:v>https://poke.idleworld.online/pokepedia/pokemon/mightyena</x:v>
      </x:c>
    </x:row>
    <x:row r="2454" ht="22" customHeight="1">
      <x:c r="A2454" s="1" t="n">
        <x:v>262</x:v>
      </x:c>
      <x:c r="B2454" s="1" t="str">
        <x:v>Mightyena</x:v>
      </x:c>
      <x:c r="C2454" s="1" t="n">
        <x:v>9</x:v>
      </x:c>
      <x:c r="D2454" s="1" t="str">
        <x:v>Sucker Punch</x:v>
      </x:c>
      <x:c r="E2454" s="1" t="str">
        <x:v>Sombrio</x:v>
      </x:c>
      <x:c r="F2454" s="1" t="str">
        <x:v>Física</x:v>
      </x:c>
      <x:c r="G2454" s="10" t="n">
        <x:v>80</x:v>
      </x:c>
      <x:c r="H2454" s="10" t="n">
        <x:f>IF(F2454="Física",'Pokémon'!G265,IF(F2454="Especial",'Pokémon'!I265,""))</x:f>
        <x:v>90</x:v>
      </x:c>
      <x:c r="I2454" s="10" t="n">
        <x:f>IF(OR(F2454="Status",G2454=0),"",G2454+H2454)</x:f>
        <x:v>170</x:v>
      </x:c>
      <x:c r="J2454" s="10" t="n">
        <x:v>48</x:v>
      </x:c>
      <x:c r="K2454" s="12" t="n">
        <x:v>22</x:v>
      </x:c>
      <x:c r="L2454" s="1" t="str"/>
      <x:c r="M2454" s="9" t="str">
        <x:v>https://poke.idleworld.online/pokepedia/pokemon/mightyena</x:v>
      </x:c>
    </x:row>
    <x:row r="2455" ht="22" customHeight="1">
      <x:c r="A2455" s="1" t="n">
        <x:v>262</x:v>
      </x:c>
      <x:c r="B2455" s="1" t="str">
        <x:v>Mightyena</x:v>
      </x:c>
      <x:c r="C2455" s="1" t="n">
        <x:v>2</x:v>
      </x:c>
      <x:c r="D2455" s="1" t="str">
        <x:v>Bite</x:v>
      </x:c>
      <x:c r="E2455" s="1" t="str">
        <x:v>Sombrio</x:v>
      </x:c>
      <x:c r="F2455" s="1" t="str">
        <x:v>Física</x:v>
      </x:c>
      <x:c r="G2455" s="10" t="n">
        <x:v>60</x:v>
      </x:c>
      <x:c r="H2455" s="10" t="n">
        <x:f>IF(F2455="Física",'Pokémon'!G265,IF(F2455="Especial",'Pokémon'!I265,""))</x:f>
        <x:v>90</x:v>
      </x:c>
      <x:c r="I2455" s="10" t="n">
        <x:f>IF(OR(F2455="Status",G2455=0),"",G2455+H2455)</x:f>
        <x:v>150</x:v>
      </x:c>
      <x:c r="J2455" s="10" t="n">
        <x:v>1</x:v>
      </x:c>
      <x:c r="K2455" s="12" t="n">
        <x:v>10</x:v>
      </x:c>
      <x:c r="L2455" s="1" t="str"/>
      <x:c r="M2455" s="9" t="str">
        <x:v>https://poke.idleworld.online/pokepedia/pokemon/mightyena</x:v>
      </x:c>
    </x:row>
    <x:row r="2456" ht="22" customHeight="1">
      <x:c r="A2456" s="1" t="n">
        <x:v>262</x:v>
      </x:c>
      <x:c r="B2456" s="1" t="str">
        <x:v>Mightyena</x:v>
      </x:c>
      <x:c r="C2456" s="1" t="n">
        <x:v>5</x:v>
      </x:c>
      <x:c r="D2456" s="1" t="str">
        <x:v>Thief</x:v>
      </x:c>
      <x:c r="E2456" s="1" t="str">
        <x:v>Sombrio</x:v>
      </x:c>
      <x:c r="F2456" s="1" t="str">
        <x:v>Física</x:v>
      </x:c>
      <x:c r="G2456" s="10" t="n">
        <x:v>60</x:v>
      </x:c>
      <x:c r="H2456" s="10" t="n">
        <x:f>IF(F2456="Física",'Pokémon'!G265,IF(F2456="Especial",'Pokémon'!I265,""))</x:f>
        <x:v>90</x:v>
      </x:c>
      <x:c r="I2456" s="10" t="n">
        <x:f>IF(OR(F2456="Status",G2456=0),"",G2456+H2456)</x:f>
        <x:v>150</x:v>
      </x:c>
      <x:c r="J2456" s="10" t="n">
        <x:v>1</x:v>
      </x:c>
      <x:c r="K2456" s="12" t="n">
        <x:v>20</x:v>
      </x:c>
      <x:c r="L2456" s="1" t="str"/>
      <x:c r="M2456" s="9" t="str">
        <x:v>https://poke.idleworld.online/pokepedia/pokemon/mightyena</x:v>
      </x:c>
    </x:row>
    <x:row r="2457" ht="22" customHeight="1">
      <x:c r="A2457" s="1" t="n">
        <x:v>262</x:v>
      </x:c>
      <x:c r="B2457" s="1" t="str">
        <x:v>Mightyena</x:v>
      </x:c>
      <x:c r="C2457" s="1" t="n">
        <x:v>7</x:v>
      </x:c>
      <x:c r="D2457" s="1" t="str">
        <x:v>Assurance</x:v>
      </x:c>
      <x:c r="E2457" s="1" t="str">
        <x:v>Sombrio</x:v>
      </x:c>
      <x:c r="F2457" s="1" t="str">
        <x:v>Física</x:v>
      </x:c>
      <x:c r="G2457" s="10" t="n">
        <x:v>60</x:v>
      </x:c>
      <x:c r="H2457" s="10" t="n">
        <x:f>IF(F2457="Física",'Pokémon'!G265,IF(F2457="Especial",'Pokémon'!I265,""))</x:f>
        <x:v>90</x:v>
      </x:c>
      <x:c r="I2457" s="10" t="n">
        <x:f>IF(OR(F2457="Status",G2457=0),"",G2457+H2457)</x:f>
        <x:v>150</x:v>
      </x:c>
      <x:c r="J2457" s="10" t="n">
        <x:v>24</x:v>
      </x:c>
      <x:c r="K2457" s="12" t="n">
        <x:v>20</x:v>
      </x:c>
      <x:c r="L2457" s="1" t="str"/>
      <x:c r="M2457" s="9" t="str">
        <x:v>https://poke.idleworld.online/pokepedia/pokemon/mightyena</x:v>
      </x:c>
    </x:row>
    <x:row r="2458" ht="22" customHeight="1">
      <x:c r="A2458" s="1" t="n">
        <x:v>262</x:v>
      </x:c>
      <x:c r="B2458" s="1" t="str">
        <x:v>Mightyena</x:v>
      </x:c>
      <x:c r="C2458" s="1" t="n">
        <x:v>1</x:v>
      </x:c>
      <x:c r="D2458" s="1" t="str">
        <x:v>Tackle</x:v>
      </x:c>
      <x:c r="E2458" s="1" t="str">
        <x:v>Normal</x:v>
      </x:c>
      <x:c r="F2458" s="1" t="str">
        <x:v>Física</x:v>
      </x:c>
      <x:c r="G2458" s="10" t="n">
        <x:v>50</x:v>
      </x:c>
      <x:c r="H2458" s="10" t="n">
        <x:f>IF(F2458="Física",'Pokémon'!G265,IF(F2458="Especial",'Pokémon'!I265,""))</x:f>
        <x:v>90</x:v>
      </x:c>
      <x:c r="I2458" s="10" t="n">
        <x:f>IF(OR(F2458="Status",G2458=0),"",G2458+H2458)</x:f>
        <x:v>140</x:v>
      </x:c>
      <x:c r="J2458" s="10" t="n">
        <x:v>1</x:v>
      </x:c>
      <x:c r="K2458" s="12" t="n">
        <x:v>10</x:v>
      </x:c>
      <x:c r="L2458" s="1" t="str"/>
      <x:c r="M2458" s="9" t="str">
        <x:v>https://poke.idleworld.online/pokepedia/pokemon/mightyena</x:v>
      </x:c>
    </x:row>
    <x:row r="2459" ht="22" customHeight="1">
      <x:c r="A2459" s="1" t="n">
        <x:v>262</x:v>
      </x:c>
      <x:c r="B2459" s="1" t="str">
        <x:v>Mightyena</x:v>
      </x:c>
      <x:c r="C2459" s="1" t="n">
        <x:v>6</x:v>
      </x:c>
      <x:c r="D2459" s="1" t="str">
        <x:v>Snarl</x:v>
      </x:c>
      <x:c r="E2459" s="1" t="str">
        <x:v>Sombrio</x:v>
      </x:c>
      <x:c r="F2459" s="1" t="str">
        <x:v>Especial</x:v>
      </x:c>
      <x:c r="G2459" s="10" t="n">
        <x:v>55</x:v>
      </x:c>
      <x:c r="H2459" s="10" t="n">
        <x:f>IF(F2459="Física",'Pokémon'!G265,IF(F2459="Especial",'Pokémon'!I265,""))</x:f>
        <x:v>60</x:v>
      </x:c>
      <x:c r="I2459" s="10" t="n">
        <x:f>IF(OR(F2459="Status",G2459=0),"",G2459+H2459)</x:f>
        <x:v>115</x:v>
      </x:c>
      <x:c r="J2459" s="10" t="n">
        <x:v>18</x:v>
      </x:c>
      <x:c r="K2459" s="12" t="n">
        <x:v>40</x:v>
      </x:c>
      <x:c r="L2459" s="1" t="str"/>
      <x:c r="M2459" s="9" t="str">
        <x:v>https://poke.idleworld.online/pokepedia/pokemon/mightyena</x:v>
      </x:c>
    </x:row>
    <x:row r="2460" ht="22" customHeight="1">
      <x:c r="A2460" s="1" t="n">
        <x:v>262</x:v>
      </x:c>
      <x:c r="B2460" s="1" t="str">
        <x:v>Mightyena</x:v>
      </x:c>
      <x:c r="C2460" s="1" t="n">
        <x:v>4</x:v>
      </x:c>
      <x:c r="D2460" s="1" t="str">
        <x:v>Howl</x:v>
      </x:c>
      <x:c r="E2460" s="1" t="str">
        <x:v>Normal</x:v>
      </x:c>
      <x:c r="F2460" s="1" t="str">
        <x:v>Status</x:v>
      </x:c>
      <x:c r="G2460" s="10" t="n">
        <x:v>0</x:v>
      </x:c>
      <x:c r="H2460" s="10" t="str">
        <x:f>IF(F2460="Física",'Pokémon'!G265,IF(F2460="Especial",'Pokémon'!I265,""))</x:f>
      </x:c>
      <x:c r="I2460" s="10" t="str">
        <x:f>IF(OR(F2460="Status",G2460=0),"",G2460+H2460)</x:f>
      </x:c>
      <x:c r="J2460" s="10" t="n">
        <x:v>1</x:v>
      </x:c>
      <x:c r="K2460" s="12" t="n">
        <x:v>40</x:v>
      </x:c>
      <x:c r="L2460" s="1" t="str"/>
      <x:c r="M2460" s="9" t="str">
        <x:v>https://poke.idleworld.online/pokepedia/pokemon/mightyena</x:v>
      </x:c>
    </x:row>
    <x:row r="2461" ht="22" customHeight="1">
      <x:c r="A2461" s="1" t="n">
        <x:v>270</x:v>
      </x:c>
      <x:c r="B2461" s="1" t="str">
        <x:v>Lotad</x:v>
      </x:c>
      <x:c r="C2461" s="1" t="n">
        <x:v>9</x:v>
      </x:c>
      <x:c r="D2461" s="1" t="str">
        <x:v>Energy Ball</x:v>
      </x:c>
      <x:c r="E2461" s="1" t="str">
        <x:v>Planta</x:v>
      </x:c>
      <x:c r="F2461" s="1" t="str">
        <x:v>Especial</x:v>
      </x:c>
      <x:c r="G2461" s="10" t="n">
        <x:v>90</x:v>
      </x:c>
      <x:c r="H2461" s="10" t="n">
        <x:f>IF(F2461="Física",'Pokémon'!G266,IF(F2461="Especial",'Pokémon'!I266,""))</x:f>
        <x:v>40</x:v>
      </x:c>
      <x:c r="I2461" s="10" t="n">
        <x:f>IF(OR(F2461="Status",G2461=0),"",G2461+H2461)</x:f>
        <x:v>130</x:v>
      </x:c>
      <x:c r="J2461" s="10" t="n">
        <x:v>36</x:v>
      </x:c>
      <x:c r="K2461" s="12" t="n">
        <x:v>22</x:v>
      </x:c>
      <x:c r="L2461" s="1" t="str"/>
      <x:c r="M2461" s="9" t="str">
        <x:v>https://poke.idleworld.online/pokepedia/pokemon/lotad</x:v>
      </x:c>
    </x:row>
    <x:row r="2462" ht="22" customHeight="1">
      <x:c r="A2462" s="1" t="n">
        <x:v>270</x:v>
      </x:c>
      <x:c r="B2462" s="1" t="str">
        <x:v>Lotad</x:v>
      </x:c>
      <x:c r="C2462" s="1" t="n">
        <x:v>7</x:v>
      </x:c>
      <x:c r="D2462" s="1" t="str">
        <x:v>Giga Drain</x:v>
      </x:c>
      <x:c r="E2462" s="1" t="str">
        <x:v>Planta</x:v>
      </x:c>
      <x:c r="F2462" s="1" t="str">
        <x:v>Especial</x:v>
      </x:c>
      <x:c r="G2462" s="10" t="n">
        <x:v>75</x:v>
      </x:c>
      <x:c r="H2462" s="10" t="n">
        <x:f>IF(F2462="Física",'Pokémon'!G266,IF(F2462="Especial",'Pokémon'!I266,""))</x:f>
        <x:v>40</x:v>
      </x:c>
      <x:c r="I2462" s="10" t="n">
        <x:f>IF(OR(F2462="Status",G2462=0),"",G2462+H2462)</x:f>
        <x:v>115</x:v>
      </x:c>
      <x:c r="J2462" s="10" t="n">
        <x:v>30</x:v>
      </x:c>
      <x:c r="K2462" s="12" t="n">
        <x:v>22</x:v>
      </x:c>
      <x:c r="L2462" s="1" t="str"/>
      <x:c r="M2462" s="9" t="str">
        <x:v>https://poke.idleworld.online/pokepedia/pokemon/lotad</x:v>
      </x:c>
    </x:row>
    <x:row r="2463" ht="22" customHeight="1">
      <x:c r="A2463" s="1" t="n">
        <x:v>270</x:v>
      </x:c>
      <x:c r="B2463" s="1" t="str">
        <x:v>Lotad</x:v>
      </x:c>
      <x:c r="C2463" s="1" t="n">
        <x:v>8</x:v>
      </x:c>
      <x:c r="D2463" s="1" t="str">
        <x:v>Zen Headbutt</x:v>
      </x:c>
      <x:c r="E2463" s="1" t="str">
        <x:v>Psíquico</x:v>
      </x:c>
      <x:c r="F2463" s="1" t="str">
        <x:v>Física</x:v>
      </x:c>
      <x:c r="G2463" s="10" t="n">
        <x:v>80</x:v>
      </x:c>
      <x:c r="H2463" s="10" t="n">
        <x:f>IF(F2463="Física",'Pokémon'!G266,IF(F2463="Especial",'Pokémon'!I266,""))</x:f>
        <x:v>30</x:v>
      </x:c>
      <x:c r="I2463" s="10" t="n">
        <x:f>IF(OR(F2463="Status",G2463=0),"",G2463+H2463)</x:f>
        <x:v>110</x:v>
      </x:c>
      <x:c r="J2463" s="10" t="n">
        <x:v>33</x:v>
      </x:c>
      <x:c r="K2463" s="12" t="n">
        <x:v>22</x:v>
      </x:c>
      <x:c r="L2463" s="1" t="str"/>
      <x:c r="M2463" s="9" t="str">
        <x:v>https://poke.idleworld.online/pokepedia/pokemon/lotad</x:v>
      </x:c>
    </x:row>
    <x:row r="2464" ht="22" customHeight="1">
      <x:c r="A2464" s="1" t="n">
        <x:v>270</x:v>
      </x:c>
      <x:c r="B2464" s="1" t="str">
        <x:v>Lotad</x:v>
      </x:c>
      <x:c r="C2464" s="1" t="n">
        <x:v>5</x:v>
      </x:c>
      <x:c r="D2464" s="1" t="str">
        <x:v>Bubble Beam</x:v>
      </x:c>
      <x:c r="E2464" s="1" t="str">
        <x:v>Água</x:v>
      </x:c>
      <x:c r="F2464" s="1" t="str">
        <x:v>Especial</x:v>
      </x:c>
      <x:c r="G2464" s="10" t="n">
        <x:v>65</x:v>
      </x:c>
      <x:c r="H2464" s="10" t="n">
        <x:f>IF(F2464="Física",'Pokémon'!G266,IF(F2464="Especial",'Pokémon'!I266,""))</x:f>
        <x:v>40</x:v>
      </x:c>
      <x:c r="I2464" s="10" t="n">
        <x:f>IF(OR(F2464="Status",G2464=0),"",G2464+H2464)</x:f>
        <x:v>105</x:v>
      </x:c>
      <x:c r="J2464" s="10" t="n">
        <x:v>21</x:v>
      </x:c>
      <x:c r="K2464" s="12" t="n">
        <x:v>25</x:v>
      </x:c>
      <x:c r="L2464" s="1" t="str"/>
      <x:c r="M2464" s="9" t="str">
        <x:v>https://poke.idleworld.online/pokepedia/pokemon/lotad</x:v>
      </x:c>
    </x:row>
    <x:row r="2465" ht="22" customHeight="1">
      <x:c r="A2465" s="1" t="n">
        <x:v>270</x:v>
      </x:c>
      <x:c r="B2465" s="1" t="str">
        <x:v>Lotad</x:v>
      </x:c>
      <x:c r="C2465" s="1" t="n">
        <x:v>3</x:v>
      </x:c>
      <x:c r="D2465" s="1" t="str">
        <x:v>Bubble</x:v>
      </x:c>
      <x:c r="E2465" s="1" t="str">
        <x:v>Água</x:v>
      </x:c>
      <x:c r="F2465" s="1" t="str">
        <x:v>Especial</x:v>
      </x:c>
      <x:c r="G2465" s="10" t="n">
        <x:v>40</x:v>
      </x:c>
      <x:c r="H2465" s="10" t="n">
        <x:f>IF(F2465="Física",'Pokémon'!G266,IF(F2465="Especial",'Pokémon'!I266,""))</x:f>
        <x:v>40</x:v>
      </x:c>
      <x:c r="I2465" s="10" t="n">
        <x:f>IF(OR(F2465="Status",G2465=0),"",G2465+H2465)</x:f>
        <x:v>80</x:v>
      </x:c>
      <x:c r="J2465" s="10" t="n">
        <x:v>9</x:v>
      </x:c>
      <x:c r="K2465" s="12" t="n">
        <x:v>15</x:v>
      </x:c>
      <x:c r="L2465" s="1" t="str"/>
      <x:c r="M2465" s="9" t="str">
        <x:v>https://poke.idleworld.online/pokepedia/pokemon/lotad</x:v>
      </x:c>
    </x:row>
    <x:row r="2466" ht="22" customHeight="1">
      <x:c r="A2466" s="1" t="n">
        <x:v>270</x:v>
      </x:c>
      <x:c r="B2466" s="1" t="str">
        <x:v>Lotad</x:v>
      </x:c>
      <x:c r="C2466" s="1" t="n">
        <x:v>4</x:v>
      </x:c>
      <x:c r="D2466" s="1" t="str">
        <x:v>Mega Drain</x:v>
      </x:c>
      <x:c r="E2466" s="1" t="str">
        <x:v>Planta</x:v>
      </x:c>
      <x:c r="F2466" s="1" t="str">
        <x:v>Especial</x:v>
      </x:c>
      <x:c r="G2466" s="10" t="n">
        <x:v>40</x:v>
      </x:c>
      <x:c r="H2466" s="10" t="n">
        <x:f>IF(F2466="Física",'Pokémon'!G266,IF(F2466="Especial",'Pokémon'!I266,""))</x:f>
        <x:v>40</x:v>
      </x:c>
      <x:c r="I2466" s="10" t="n">
        <x:f>IF(OR(F2466="Status",G2466=0),"",G2466+H2466)</x:f>
        <x:v>80</x:v>
      </x:c>
      <x:c r="J2466" s="10" t="n">
        <x:v>18</x:v>
      </x:c>
      <x:c r="K2466" s="12" t="n">
        <x:v>15</x:v>
      </x:c>
      <x:c r="L2466" s="1" t="str"/>
      <x:c r="M2466" s="9" t="str">
        <x:v>https://poke.idleworld.online/pokepedia/pokemon/lotad</x:v>
      </x:c>
    </x:row>
    <x:row r="2467" ht="22" customHeight="1">
      <x:c r="A2467" s="1" t="n">
        <x:v>270</x:v>
      </x:c>
      <x:c r="B2467" s="1" t="str">
        <x:v>Lotad</x:v>
      </x:c>
      <x:c r="C2467" s="1" t="n">
        <x:v>1</x:v>
      </x:c>
      <x:c r="D2467" s="1" t="str">
        <x:v>Astonish</x:v>
      </x:c>
      <x:c r="E2467" s="1" t="str">
        <x:v>Fantasma</x:v>
      </x:c>
      <x:c r="F2467" s="1" t="str">
        <x:v>Física</x:v>
      </x:c>
      <x:c r="G2467" s="10" t="n">
        <x:v>30</x:v>
      </x:c>
      <x:c r="H2467" s="10" t="n">
        <x:f>IF(F2467="Física",'Pokémon'!G266,IF(F2467="Especial",'Pokémon'!I266,""))</x:f>
        <x:v>30</x:v>
      </x:c>
      <x:c r="I2467" s="10" t="n">
        <x:f>IF(OR(F2467="Status",G2467=0),"",G2467+H2467)</x:f>
        <x:v>60</x:v>
      </x:c>
      <x:c r="J2467" s="10" t="n">
        <x:v>1</x:v>
      </x:c>
      <x:c r="K2467" s="12" t="n">
        <x:v>15</x:v>
      </x:c>
      <x:c r="L2467" s="1" t="str"/>
      <x:c r="M2467" s="9" t="str">
        <x:v>https://poke.idleworld.online/pokepedia/pokemon/lotad</x:v>
      </x:c>
    </x:row>
    <x:row r="2468" ht="22" customHeight="1">
      <x:c r="A2468" s="1" t="n">
        <x:v>270</x:v>
      </x:c>
      <x:c r="B2468" s="1" t="str">
        <x:v>Lotad</x:v>
      </x:c>
      <x:c r="C2468" s="1" t="n">
        <x:v>2</x:v>
      </x:c>
      <x:c r="D2468" s="1" t="str">
        <x:v>Absorb</x:v>
      </x:c>
      <x:c r="E2468" s="1" t="str">
        <x:v>Planta</x:v>
      </x:c>
      <x:c r="F2468" s="1" t="str">
        <x:v>Especial</x:v>
      </x:c>
      <x:c r="G2468" s="10" t="n">
        <x:v>20</x:v>
      </x:c>
      <x:c r="H2468" s="10" t="n">
        <x:f>IF(F2468="Física",'Pokémon'!G266,IF(F2468="Especial",'Pokémon'!I266,""))</x:f>
        <x:v>40</x:v>
      </x:c>
      <x:c r="I2468" s="10" t="n">
        <x:f>IF(OR(F2468="Status",G2468=0),"",G2468+H2468)</x:f>
        <x:v>60</x:v>
      </x:c>
      <x:c r="J2468" s="10" t="n">
        <x:v>6</x:v>
      </x:c>
      <x:c r="K2468" s="12" t="n">
        <x:v>12</x:v>
      </x:c>
      <x:c r="L2468" s="1" t="str"/>
      <x:c r="M2468" s="9" t="str">
        <x:v>https://poke.idleworld.online/pokepedia/pokemon/lotad</x:v>
      </x:c>
    </x:row>
    <x:row r="2469" ht="22" customHeight="1">
      <x:c r="A2469" s="1" t="n">
        <x:v>270</x:v>
      </x:c>
      <x:c r="B2469" s="1" t="str">
        <x:v>Lotad</x:v>
      </x:c>
      <x:c r="C2469" s="1" t="n">
        <x:v>6</x:v>
      </x:c>
      <x:c r="D2469" s="1" t="str">
        <x:v>Rain Dance</x:v>
      </x:c>
      <x:c r="E2469" s="1" t="str">
        <x:v>Água</x:v>
      </x:c>
      <x:c r="F2469" s="1" t="str">
        <x:v>Status</x:v>
      </x:c>
      <x:c r="G2469" s="10" t="n">
        <x:v>0</x:v>
      </x:c>
      <x:c r="H2469" s="10" t="str">
        <x:f>IF(F2469="Física",'Pokémon'!G266,IF(F2469="Especial",'Pokémon'!I266,""))</x:f>
      </x:c>
      <x:c r="I2469" s="10" t="str">
        <x:f>IF(OR(F2469="Status",G2469=0),"",G2469+H2469)</x:f>
      </x:c>
      <x:c r="J2469" s="10" t="n">
        <x:v>27</x:v>
      </x:c>
      <x:c r="K2469" s="12" t="n">
        <x:v>40</x:v>
      </x:c>
      <x:c r="L2469" s="1" t="str"/>
      <x:c r="M2469" s="9" t="str">
        <x:v>https://poke.idleworld.online/pokepedia/pokemon/lotad</x:v>
      </x:c>
    </x:row>
    <x:row r="2470" ht="22" customHeight="1">
      <x:c r="A2470" s="1" t="n">
        <x:v>271</x:v>
      </x:c>
      <x:c r="B2470" s="1" t="str">
        <x:v>Lombre</x:v>
      </x:c>
      <x:c r="C2470" s="1" t="n">
        <x:v>10</x:v>
      </x:c>
      <x:c r="D2470" s="1" t="str">
        <x:v>Hydro Pump</x:v>
      </x:c>
      <x:c r="E2470" s="1" t="str">
        <x:v>Água</x:v>
      </x:c>
      <x:c r="F2470" s="1" t="str">
        <x:v>Especial</x:v>
      </x:c>
      <x:c r="G2470" s="10" t="n">
        <x:v>110</x:v>
      </x:c>
      <x:c r="H2470" s="10" t="n">
        <x:f>IF(F2470="Física",'Pokémon'!G267,IF(F2470="Especial",'Pokémon'!I267,""))</x:f>
        <x:v>60</x:v>
      </x:c>
      <x:c r="I2470" s="10" t="n">
        <x:f>IF(OR(F2470="Status",G2470=0),"",G2470+H2470)</x:f>
        <x:v>170</x:v>
      </x:c>
      <x:c r="J2470" s="10" t="n">
        <x:v>44</x:v>
      </x:c>
      <x:c r="K2470" s="12" t="n">
        <x:v>40</x:v>
      </x:c>
      <x:c r="L2470" s="1" t="str"/>
      <x:c r="M2470" s="9" t="str">
        <x:v>https://poke.idleworld.online/pokepedia/pokemon/lombre</x:v>
      </x:c>
    </x:row>
    <x:row r="2471" ht="22" customHeight="1">
      <x:c r="A2471" s="1" t="n">
        <x:v>271</x:v>
      </x:c>
      <x:c r="B2471" s="1" t="str">
        <x:v>Lombre</x:v>
      </x:c>
      <x:c r="C2471" s="1" t="n">
        <x:v>7</x:v>
      </x:c>
      <x:c r="D2471" s="1" t="str">
        <x:v>Uproar</x:v>
      </x:c>
      <x:c r="E2471" s="1" t="str">
        <x:v>Normal</x:v>
      </x:c>
      <x:c r="F2471" s="1" t="str">
        <x:v>Especial</x:v>
      </x:c>
      <x:c r="G2471" s="10" t="n">
        <x:v>90</x:v>
      </x:c>
      <x:c r="H2471" s="10" t="n">
        <x:f>IF(F2471="Física",'Pokémon'!G267,IF(F2471="Especial",'Pokémon'!I267,""))</x:f>
        <x:v>60</x:v>
      </x:c>
      <x:c r="I2471" s="10" t="n">
        <x:f>IF(OR(F2471="Status",G2471=0),"",G2471+H2471)</x:f>
        <x:v>150</x:v>
      </x:c>
      <x:c r="J2471" s="10" t="n">
        <x:v>32</x:v>
      </x:c>
      <x:c r="K2471" s="12" t="n">
        <x:v>22</x:v>
      </x:c>
      <x:c r="L2471" s="1" t="str"/>
      <x:c r="M2471" s="9" t="str">
        <x:v>https://poke.idleworld.online/pokepedia/pokemon/lombre</x:v>
      </x:c>
    </x:row>
    <x:row r="2472" ht="22" customHeight="1">
      <x:c r="A2472" s="1" t="n">
        <x:v>271</x:v>
      </x:c>
      <x:c r="B2472" s="1" t="str">
        <x:v>Lombre</x:v>
      </x:c>
      <x:c r="C2472" s="1" t="n">
        <x:v>9</x:v>
      </x:c>
      <x:c r="D2472" s="1" t="str">
        <x:v>Zen Headbutt</x:v>
      </x:c>
      <x:c r="E2472" s="1" t="str">
        <x:v>Psíquico</x:v>
      </x:c>
      <x:c r="F2472" s="1" t="str">
        <x:v>Física</x:v>
      </x:c>
      <x:c r="G2472" s="10" t="n">
        <x:v>80</x:v>
      </x:c>
      <x:c r="H2472" s="10" t="n">
        <x:f>IF(F2472="Física",'Pokémon'!G267,IF(F2472="Especial",'Pokémon'!I267,""))</x:f>
        <x:v>50</x:v>
      </x:c>
      <x:c r="I2472" s="10" t="n">
        <x:f>IF(OR(F2472="Status",G2472=0),"",G2472+H2472)</x:f>
        <x:v>130</x:v>
      </x:c>
      <x:c r="J2472" s="10" t="n">
        <x:v>40</x:v>
      </x:c>
      <x:c r="K2472" s="12" t="n">
        <x:v>22</x:v>
      </x:c>
      <x:c r="L2472" s="1" t="str"/>
      <x:c r="M2472" s="9" t="str">
        <x:v>https://poke.idleworld.online/pokepedia/pokemon/lombre</x:v>
      </x:c>
    </x:row>
    <x:row r="2473" ht="22" customHeight="1">
      <x:c r="A2473" s="1" t="n">
        <x:v>271</x:v>
      </x:c>
      <x:c r="B2473" s="1" t="str">
        <x:v>Lombre</x:v>
      </x:c>
      <x:c r="C2473" s="1" t="n">
        <x:v>6</x:v>
      </x:c>
      <x:c r="D2473" s="1" t="str">
        <x:v>Bubble Beam</x:v>
      </x:c>
      <x:c r="E2473" s="1" t="str">
        <x:v>Água</x:v>
      </x:c>
      <x:c r="F2473" s="1" t="str">
        <x:v>Especial</x:v>
      </x:c>
      <x:c r="G2473" s="10" t="n">
        <x:v>65</x:v>
      </x:c>
      <x:c r="H2473" s="10" t="n">
        <x:f>IF(F2473="Física",'Pokémon'!G267,IF(F2473="Especial",'Pokémon'!I267,""))</x:f>
        <x:v>60</x:v>
      </x:c>
      <x:c r="I2473" s="10" t="n">
        <x:f>IF(OR(F2473="Status",G2473=0),"",G2473+H2473)</x:f>
        <x:v>125</x:v>
      </x:c>
      <x:c r="J2473" s="10" t="n">
        <x:v>24</x:v>
      </x:c>
      <x:c r="K2473" s="12" t="n">
        <x:v>25</x:v>
      </x:c>
      <x:c r="L2473" s="1" t="str"/>
      <x:c r="M2473" s="9" t="str">
        <x:v>https://poke.idleworld.online/pokepedia/pokemon/lombre</x:v>
      </x:c>
    </x:row>
    <x:row r="2474" ht="22" customHeight="1">
      <x:c r="A2474" s="1" t="n">
        <x:v>271</x:v>
      </x:c>
      <x:c r="B2474" s="1" t="str">
        <x:v>Lombre</x:v>
      </x:c>
      <x:c r="C2474" s="1" t="n">
        <x:v>8</x:v>
      </x:c>
      <x:c r="D2474" s="1" t="str">
        <x:v>Knock Off</x:v>
      </x:c>
      <x:c r="E2474" s="1" t="str">
        <x:v>Sombrio</x:v>
      </x:c>
      <x:c r="F2474" s="1" t="str">
        <x:v>Física</x:v>
      </x:c>
      <x:c r="G2474" s="10" t="n">
        <x:v>65</x:v>
      </x:c>
      <x:c r="H2474" s="10" t="n">
        <x:f>IF(F2474="Física",'Pokémon'!G267,IF(F2474="Especial",'Pokémon'!I267,""))</x:f>
        <x:v>50</x:v>
      </x:c>
      <x:c r="I2474" s="10" t="n">
        <x:f>IF(OR(F2474="Status",G2474=0),"",G2474+H2474)</x:f>
        <x:v>115</x:v>
      </x:c>
      <x:c r="J2474" s="10" t="n">
        <x:v>36</x:v>
      </x:c>
      <x:c r="K2474" s="12" t="n">
        <x:v>20</x:v>
      </x:c>
      <x:c r="L2474" s="1" t="str"/>
      <x:c r="M2474" s="9" t="str">
        <x:v>https://poke.idleworld.online/pokepedia/pokemon/lombre</x:v>
      </x:c>
    </x:row>
    <x:row r="2475" ht="22" customHeight="1">
      <x:c r="A2475" s="1" t="n">
        <x:v>271</x:v>
      </x:c>
      <x:c r="B2475" s="1" t="str">
        <x:v>Lombre</x:v>
      </x:c>
      <x:c r="C2475" s="1" t="n">
        <x:v>3</x:v>
      </x:c>
      <x:c r="D2475" s="1" t="str">
        <x:v>Bubble</x:v>
      </x:c>
      <x:c r="E2475" s="1" t="str">
        <x:v>Água</x:v>
      </x:c>
      <x:c r="F2475" s="1" t="str">
        <x:v>Especial</x:v>
      </x:c>
      <x:c r="G2475" s="10" t="n">
        <x:v>40</x:v>
      </x:c>
      <x:c r="H2475" s="10" t="n">
        <x:f>IF(F2475="Física",'Pokémon'!G267,IF(F2475="Especial",'Pokémon'!I267,""))</x:f>
        <x:v>60</x:v>
      </x:c>
      <x:c r="I2475" s="10" t="n">
        <x:f>IF(OR(F2475="Status",G2475=0),"",G2475+H2475)</x:f>
        <x:v>100</x:v>
      </x:c>
      <x:c r="J2475" s="10" t="n">
        <x:v>9</x:v>
      </x:c>
      <x:c r="K2475" s="12" t="n">
        <x:v>15</x:v>
      </x:c>
      <x:c r="L2475" s="1" t="str"/>
      <x:c r="M2475" s="9" t="str">
        <x:v>https://poke.idleworld.online/pokepedia/pokemon/lombre</x:v>
      </x:c>
    </x:row>
    <x:row r="2476" ht="22" customHeight="1">
      <x:c r="A2476" s="1" t="n">
        <x:v>271</x:v>
      </x:c>
      <x:c r="B2476" s="1" t="str">
        <x:v>Lombre</x:v>
      </x:c>
      <x:c r="C2476" s="1" t="n">
        <x:v>5</x:v>
      </x:c>
      <x:c r="D2476" s="1" t="str">
        <x:v>Fake Out</x:v>
      </x:c>
      <x:c r="E2476" s="1" t="str">
        <x:v>Normal</x:v>
      </x:c>
      <x:c r="F2476" s="1" t="str">
        <x:v>Física</x:v>
      </x:c>
      <x:c r="G2476" s="10" t="n">
        <x:v>40</x:v>
      </x:c>
      <x:c r="H2476" s="10" t="n">
        <x:f>IF(F2476="Física",'Pokémon'!G267,IF(F2476="Especial",'Pokémon'!I267,""))</x:f>
        <x:v>50</x:v>
      </x:c>
      <x:c r="I2476" s="10" t="n">
        <x:f>IF(OR(F2476="Status",G2476=0),"",G2476+H2476)</x:f>
        <x:v>90</x:v>
      </x:c>
      <x:c r="J2476" s="10" t="n">
        <x:v>16</x:v>
      </x:c>
      <x:c r="K2476" s="12" t="n">
        <x:v>15</x:v>
      </x:c>
      <x:c r="L2476" s="1" t="str"/>
      <x:c r="M2476" s="9" t="str">
        <x:v>https://poke.idleworld.online/pokepedia/pokemon/lombre</x:v>
      </x:c>
    </x:row>
    <x:row r="2477" ht="22" customHeight="1">
      <x:c r="A2477" s="1" t="n">
        <x:v>271</x:v>
      </x:c>
      <x:c r="B2477" s="1" t="str">
        <x:v>Lombre</x:v>
      </x:c>
      <x:c r="C2477" s="1" t="n">
        <x:v>1</x:v>
      </x:c>
      <x:c r="D2477" s="1" t="str">
        <x:v>Astonish</x:v>
      </x:c>
      <x:c r="E2477" s="1" t="str">
        <x:v>Fantasma</x:v>
      </x:c>
      <x:c r="F2477" s="1" t="str">
        <x:v>Física</x:v>
      </x:c>
      <x:c r="G2477" s="10" t="n">
        <x:v>30</x:v>
      </x:c>
      <x:c r="H2477" s="10" t="n">
        <x:f>IF(F2477="Física",'Pokémon'!G267,IF(F2477="Especial",'Pokémon'!I267,""))</x:f>
        <x:v>50</x:v>
      </x:c>
      <x:c r="I2477" s="10" t="n">
        <x:f>IF(OR(F2477="Status",G2477=0),"",G2477+H2477)</x:f>
        <x:v>80</x:v>
      </x:c>
      <x:c r="J2477" s="10" t="n">
        <x:v>1</x:v>
      </x:c>
      <x:c r="K2477" s="12" t="n">
        <x:v>15</x:v>
      </x:c>
      <x:c r="L2477" s="1" t="str"/>
      <x:c r="M2477" s="9" t="str">
        <x:v>https://poke.idleworld.online/pokepedia/pokemon/lombre</x:v>
      </x:c>
    </x:row>
    <x:row r="2478" ht="22" customHeight="1">
      <x:c r="A2478" s="1" t="n">
        <x:v>271</x:v>
      </x:c>
      <x:c r="B2478" s="1" t="str">
        <x:v>Lombre</x:v>
      </x:c>
      <x:c r="C2478" s="1" t="n">
        <x:v>2</x:v>
      </x:c>
      <x:c r="D2478" s="1" t="str">
        <x:v>Absorb</x:v>
      </x:c>
      <x:c r="E2478" s="1" t="str">
        <x:v>Planta</x:v>
      </x:c>
      <x:c r="F2478" s="1" t="str">
        <x:v>Especial</x:v>
      </x:c>
      <x:c r="G2478" s="10" t="n">
        <x:v>20</x:v>
      </x:c>
      <x:c r="H2478" s="10" t="n">
        <x:f>IF(F2478="Física",'Pokémon'!G267,IF(F2478="Especial",'Pokémon'!I267,""))</x:f>
        <x:v>60</x:v>
      </x:c>
      <x:c r="I2478" s="10" t="n">
        <x:f>IF(OR(F2478="Status",G2478=0),"",G2478+H2478)</x:f>
        <x:v>80</x:v>
      </x:c>
      <x:c r="J2478" s="10" t="n">
        <x:v>6</x:v>
      </x:c>
      <x:c r="K2478" s="12" t="n">
        <x:v>12</x:v>
      </x:c>
      <x:c r="L2478" s="1" t="str"/>
      <x:c r="M2478" s="9" t="str">
        <x:v>https://poke.idleworld.online/pokepedia/pokemon/lombre</x:v>
      </x:c>
    </x:row>
    <x:row r="2479" ht="22" customHeight="1">
      <x:c r="A2479" s="1" t="n">
        <x:v>271</x:v>
      </x:c>
      <x:c r="B2479" s="1" t="str">
        <x:v>Lombre</x:v>
      </x:c>
      <x:c r="C2479" s="1" t="n">
        <x:v>4</x:v>
      </x:c>
      <x:c r="D2479" s="1" t="str">
        <x:v>Fury Swipes</x:v>
      </x:c>
      <x:c r="E2479" s="1" t="str">
        <x:v>Normal</x:v>
      </x:c>
      <x:c r="F2479" s="1" t="str">
        <x:v>Física</x:v>
      </x:c>
      <x:c r="G2479" s="10" t="n">
        <x:v>18</x:v>
      </x:c>
      <x:c r="H2479" s="10" t="n">
        <x:f>IF(F2479="Física",'Pokémon'!G267,IF(F2479="Especial",'Pokémon'!I267,""))</x:f>
        <x:v>50</x:v>
      </x:c>
      <x:c r="I2479" s="10" t="n">
        <x:f>IF(OR(F2479="Status",G2479=0),"",G2479+H2479)</x:f>
        <x:v>68</x:v>
      </x:c>
      <x:c r="J2479" s="10" t="n">
        <x:v>12</x:v>
      </x:c>
      <x:c r="K2479" s="12" t="n">
        <x:v>15</x:v>
      </x:c>
      <x:c r="L2479" s="1" t="str"/>
      <x:c r="M2479" s="9" t="str">
        <x:v>https://poke.idleworld.online/pokepedia/pokemon/lombre</x:v>
      </x:c>
    </x:row>
    <x:row r="2480" ht="22" customHeight="1">
      <x:c r="A2480" s="1" t="n">
        <x:v>272</x:v>
      </x:c>
      <x:c r="B2480" s="1" t="str">
        <x:v>Ludicolo</x:v>
      </x:c>
      <x:c r="C2480" s="1" t="n">
        <x:v>2</x:v>
      </x:c>
      <x:c r="D2480" s="1" t="str">
        <x:v>Mega Drain</x:v>
      </x:c>
      <x:c r="E2480" s="1" t="str">
        <x:v>Planta</x:v>
      </x:c>
      <x:c r="F2480" s="1" t="str">
        <x:v>Especial</x:v>
      </x:c>
      <x:c r="G2480" s="10" t="n">
        <x:v>40</x:v>
      </x:c>
      <x:c r="H2480" s="10" t="n">
        <x:f>IF(F2480="Física",'Pokémon'!G268,IF(F2480="Especial",'Pokémon'!I268,""))</x:f>
        <x:v>90</x:v>
      </x:c>
      <x:c r="I2480" s="10" t="n">
        <x:f>IF(OR(F2480="Status",G2480=0),"",G2480+H2480)</x:f>
        <x:v>130</x:v>
      </x:c>
      <x:c r="J2480" s="10" t="n">
        <x:v>1</x:v>
      </x:c>
      <x:c r="K2480" s="12" t="n">
        <x:v>15</x:v>
      </x:c>
      <x:c r="L2480" s="1" t="str"/>
      <x:c r="M2480" s="9" t="str">
        <x:v>https://poke.idleworld.online/pokepedia/pokemon/ludicolo</x:v>
      </x:c>
    </x:row>
    <x:row r="2481" ht="22" customHeight="1">
      <x:c r="A2481" s="1" t="n">
        <x:v>272</x:v>
      </x:c>
      <x:c r="B2481" s="1" t="str">
        <x:v>Ludicolo</x:v>
      </x:c>
      <x:c r="C2481" s="1" t="n">
        <x:v>1</x:v>
      </x:c>
      <x:c r="D2481" s="1" t="str">
        <x:v>Astonish</x:v>
      </x:c>
      <x:c r="E2481" s="1" t="str">
        <x:v>Fantasma</x:v>
      </x:c>
      <x:c r="F2481" s="1" t="str">
        <x:v>Física</x:v>
      </x:c>
      <x:c r="G2481" s="10" t="n">
        <x:v>30</x:v>
      </x:c>
      <x:c r="H2481" s="10" t="n">
        <x:f>IF(F2481="Física",'Pokémon'!G268,IF(F2481="Especial",'Pokémon'!I268,""))</x:f>
        <x:v>70</x:v>
      </x:c>
      <x:c r="I2481" s="10" t="n">
        <x:f>IF(OR(F2481="Status",G2481=0),"",G2481+H2481)</x:f>
        <x:v>100</x:v>
      </x:c>
      <x:c r="J2481" s="10" t="n">
        <x:v>1</x:v>
      </x:c>
      <x:c r="K2481" s="12" t="n">
        <x:v>15</x:v>
      </x:c>
      <x:c r="L2481" s="1" t="str"/>
      <x:c r="M2481" s="9" t="str">
        <x:v>https://poke.idleworld.online/pokepedia/pokemon/ludicolo</x:v>
      </x:c>
    </x:row>
    <x:row r="2482" ht="22" customHeight="1">
      <x:c r="A2482" s="1" t="n">
        <x:v>274</x:v>
      </x:c>
      <x:c r="B2482" s="1" t="str">
        <x:v>Nuzleaf</x:v>
      </x:c>
      <x:c r="C2482" s="1" t="n">
        <x:v>6</x:v>
      </x:c>
      <x:c r="D2482" s="1" t="str">
        <x:v>Leaf Blade</x:v>
      </x:c>
      <x:c r="E2482" s="1" t="str">
        <x:v>Planta</x:v>
      </x:c>
      <x:c r="F2482" s="1" t="str">
        <x:v>Física</x:v>
      </x:c>
      <x:c r="G2482" s="10" t="n">
        <x:v>90</x:v>
      </x:c>
      <x:c r="H2482" s="10" t="n">
        <x:f>IF(F2482="Física",'Pokémon'!G270,IF(F2482="Especial",'Pokémon'!I270,""))</x:f>
        <x:v>70</x:v>
      </x:c>
      <x:c r="I2482" s="10" t="n">
        <x:f>IF(OR(F2482="Status",G2482=0),"",G2482+H2482)</x:f>
        <x:v>160</x:v>
      </x:c>
      <x:c r="J2482" s="10" t="n">
        <x:v>28</x:v>
      </x:c>
      <x:c r="K2482" s="12" t="n">
        <x:v>22</x:v>
      </x:c>
      <x:c r="L2482" s="1" t="str"/>
      <x:c r="M2482" s="9" t="str">
        <x:v>https://poke.idleworld.online/pokepedia/pokemon/nuzleaf</x:v>
      </x:c>
    </x:row>
    <x:row r="2483" ht="22" customHeight="1">
      <x:c r="A2483" s="1" t="n">
        <x:v>274</x:v>
      </x:c>
      <x:c r="B2483" s="1" t="str">
        <x:v>Nuzleaf</x:v>
      </x:c>
      <x:c r="C2483" s="1" t="n">
        <x:v>4</x:v>
      </x:c>
      <x:c r="D2483" s="1" t="str">
        <x:v>Razor Wind</x:v>
      </x:c>
      <x:c r="E2483" s="1" t="str">
        <x:v>Normal</x:v>
      </x:c>
      <x:c r="F2483" s="1" t="str">
        <x:v>Especial</x:v>
      </x:c>
      <x:c r="G2483" s="10" t="n">
        <x:v>80</x:v>
      </x:c>
      <x:c r="H2483" s="10" t="n">
        <x:f>IF(F2483="Física",'Pokémon'!G270,IF(F2483="Especial",'Pokémon'!I270,""))</x:f>
        <x:v>60</x:v>
      </x:c>
      <x:c r="I2483" s="10" t="n">
        <x:f>IF(OR(F2483="Status",G2483=0),"",G2483+H2483)</x:f>
        <x:v>140</x:v>
      </x:c>
      <x:c r="J2483" s="10" t="n">
        <x:v>20</x:v>
      </x:c>
      <x:c r="K2483" s="12" t="n">
        <x:v>22</x:v>
      </x:c>
      <x:c r="L2483" s="1" t="str"/>
      <x:c r="M2483" s="9" t="str">
        <x:v>https://poke.idleworld.online/pokepedia/pokemon/nuzleaf</x:v>
      </x:c>
    </x:row>
    <x:row r="2484" ht="22" customHeight="1">
      <x:c r="A2484" s="1" t="n">
        <x:v>274</x:v>
      </x:c>
      <x:c r="B2484" s="1" t="str">
        <x:v>Nuzleaf</x:v>
      </x:c>
      <x:c r="C2484" s="1" t="n">
        <x:v>7</x:v>
      </x:c>
      <x:c r="D2484" s="1" t="str">
        <x:v>Extrasensory</x:v>
      </x:c>
      <x:c r="E2484" s="1" t="str">
        <x:v>Psíquico</x:v>
      </x:c>
      <x:c r="F2484" s="1" t="str">
        <x:v>Especial</x:v>
      </x:c>
      <x:c r="G2484" s="10" t="n">
        <x:v>80</x:v>
      </x:c>
      <x:c r="H2484" s="10" t="n">
        <x:f>IF(F2484="Física",'Pokémon'!G270,IF(F2484="Especial",'Pokémon'!I270,""))</x:f>
        <x:v>60</x:v>
      </x:c>
      <x:c r="I2484" s="10" t="n">
        <x:f>IF(OR(F2484="Status",G2484=0),"",G2484+H2484)</x:f>
        <x:v>140</x:v>
      </x:c>
      <x:c r="J2484" s="10" t="n">
        <x:v>36</x:v>
      </x:c>
      <x:c r="K2484" s="12" t="n">
        <x:v>22</x:v>
      </x:c>
      <x:c r="L2484" s="1" t="str"/>
      <x:c r="M2484" s="9" t="str">
        <x:v>https://poke.idleworld.online/pokepedia/pokemon/nuzleaf</x:v>
      </x:c>
    </x:row>
    <x:row r="2485" ht="22" customHeight="1">
      <x:c r="A2485" s="1" t="n">
        <x:v>274</x:v>
      </x:c>
      <x:c r="B2485" s="1" t="str">
        <x:v>Nuzleaf</x:v>
      </x:c>
      <x:c r="C2485" s="1" t="n">
        <x:v>5</x:v>
      </x:c>
      <x:c r="D2485" s="1" t="str">
        <x:v>Feint Attack</x:v>
      </x:c>
      <x:c r="E2485" s="1" t="str">
        <x:v>Sombrio</x:v>
      </x:c>
      <x:c r="F2485" s="1" t="str">
        <x:v>Física</x:v>
      </x:c>
      <x:c r="G2485" s="10" t="n">
        <x:v>60</x:v>
      </x:c>
      <x:c r="H2485" s="10" t="n">
        <x:f>IF(F2485="Física",'Pokémon'!G270,IF(F2485="Especial",'Pokémon'!I270,""))</x:f>
        <x:v>70</x:v>
      </x:c>
      <x:c r="I2485" s="10" t="n">
        <x:f>IF(OR(F2485="Status",G2485=0),"",G2485+H2485)</x:f>
        <x:v>130</x:v>
      </x:c>
      <x:c r="J2485" s="10" t="n">
        <x:v>24</x:v>
      </x:c>
      <x:c r="K2485" s="12" t="n">
        <x:v>25</x:v>
      </x:c>
      <x:c r="L2485" s="1" t="str"/>
      <x:c r="M2485" s="9" t="str">
        <x:v>https://poke.idleworld.online/pokepedia/pokemon/nuzleaf</x:v>
      </x:c>
    </x:row>
    <x:row r="2486" ht="22" customHeight="1">
      <x:c r="A2486" s="1" t="n">
        <x:v>274</x:v>
      </x:c>
      <x:c r="B2486" s="1" t="str">
        <x:v>Nuzleaf</x:v>
      </x:c>
      <x:c r="C2486" s="1" t="n">
        <x:v>3</x:v>
      </x:c>
      <x:c r="D2486" s="1" t="str">
        <x:v>Razor Leaf</x:v>
      </x:c>
      <x:c r="E2486" s="1" t="str">
        <x:v>Planta</x:v>
      </x:c>
      <x:c r="F2486" s="1" t="str">
        <x:v>Física</x:v>
      </x:c>
      <x:c r="G2486" s="10" t="n">
        <x:v>55</x:v>
      </x:c>
      <x:c r="H2486" s="10" t="n">
        <x:f>IF(F2486="Física",'Pokémon'!G270,IF(F2486="Especial",'Pokémon'!I270,""))</x:f>
        <x:v>70</x:v>
      </x:c>
      <x:c r="I2486" s="10" t="n">
        <x:f>IF(OR(F2486="Status",G2486=0),"",G2486+H2486)</x:f>
        <x:v>125</x:v>
      </x:c>
      <x:c r="J2486" s="10" t="n">
        <x:v>14</x:v>
      </x:c>
      <x:c r="K2486" s="12" t="n">
        <x:v>10</x:v>
      </x:c>
      <x:c r="L2486" s="1" t="str"/>
      <x:c r="M2486" s="9" t="str">
        <x:v>https://poke.idleworld.online/pokepedia/pokemon/nuzleaf</x:v>
      </x:c>
    </x:row>
    <x:row r="2487" ht="22" customHeight="1">
      <x:c r="A2487" s="1" t="n">
        <x:v>274</x:v>
      </x:c>
      <x:c r="B2487" s="1" t="str">
        <x:v>Nuzleaf</x:v>
      </x:c>
      <x:c r="C2487" s="1" t="n">
        <x:v>1</x:v>
      </x:c>
      <x:c r="D2487" s="1" t="str">
        <x:v>Pound</x:v>
      </x:c>
      <x:c r="E2487" s="1" t="str">
        <x:v>Normal</x:v>
      </x:c>
      <x:c r="F2487" s="1" t="str">
        <x:v>Física</x:v>
      </x:c>
      <x:c r="G2487" s="10" t="n">
        <x:v>40</x:v>
      </x:c>
      <x:c r="H2487" s="10" t="n">
        <x:f>IF(F2487="Física",'Pokémon'!G270,IF(F2487="Especial",'Pokémon'!I270,""))</x:f>
        <x:v>70</x:v>
      </x:c>
      <x:c r="I2487" s="10" t="n">
        <x:f>IF(OR(F2487="Status",G2487=0),"",G2487+H2487)</x:f>
        <x:v>110</x:v>
      </x:c>
      <x:c r="J2487" s="10" t="n">
        <x:v>1</x:v>
      </x:c>
      <x:c r="K2487" s="12" t="n">
        <x:v>10</x:v>
      </x:c>
      <x:c r="L2487" s="1" t="str"/>
      <x:c r="M2487" s="9" t="str">
        <x:v>https://poke.idleworld.online/pokepedia/pokemon/nuzleaf</x:v>
      </x:c>
    </x:row>
    <x:row r="2488" ht="22" customHeight="1">
      <x:c r="A2488" s="1" t="n">
        <x:v>274</x:v>
      </x:c>
      <x:c r="B2488" s="1" t="str">
        <x:v>Nuzleaf</x:v>
      </x:c>
      <x:c r="C2488" s="1" t="n">
        <x:v>2</x:v>
      </x:c>
      <x:c r="D2488" s="1" t="str">
        <x:v>Fake Out</x:v>
      </x:c>
      <x:c r="E2488" s="1" t="str">
        <x:v>Normal</x:v>
      </x:c>
      <x:c r="F2488" s="1" t="str">
        <x:v>Física</x:v>
      </x:c>
      <x:c r="G2488" s="10" t="n">
        <x:v>40</x:v>
      </x:c>
      <x:c r="H2488" s="10" t="n">
        <x:f>IF(F2488="Física",'Pokémon'!G270,IF(F2488="Especial",'Pokémon'!I270,""))</x:f>
        <x:v>70</x:v>
      </x:c>
      <x:c r="I2488" s="10" t="n">
        <x:f>IF(OR(F2488="Status",G2488=0),"",G2488+H2488)</x:f>
        <x:v>110</x:v>
      </x:c>
      <x:c r="J2488" s="10" t="n">
        <x:v>12</x:v>
      </x:c>
      <x:c r="K2488" s="12" t="n">
        <x:v>15</x:v>
      </x:c>
      <x:c r="L2488" s="1" t="str"/>
      <x:c r="M2488" s="9" t="str">
        <x:v>https://poke.idleworld.online/pokepedia/pokemon/nuzleaf</x:v>
      </x:c>
    </x:row>
    <x:row r="2489" ht="22" customHeight="1">
      <x:c r="A2489" s="1" t="n">
        <x:v>275</x:v>
      </x:c>
      <x:c r="B2489" s="1" t="str">
        <x:v>Shiftry</x:v>
      </x:c>
      <x:c r="C2489" s="1" t="n">
        <x:v>5</x:v>
      </x:c>
      <x:c r="D2489" s="1" t="str">
        <x:v>Leaf Storm</x:v>
      </x:c>
      <x:c r="E2489" s="1" t="str">
        <x:v>Planta</x:v>
      </x:c>
      <x:c r="F2489" s="1" t="str">
        <x:v>Especial</x:v>
      </x:c>
      <x:c r="G2489" s="10" t="n">
        <x:v>130</x:v>
      </x:c>
      <x:c r="H2489" s="10" t="n">
        <x:f>IF(F2489="Física",'Pokémon'!G271,IF(F2489="Especial",'Pokémon'!I271,""))</x:f>
        <x:v>90</x:v>
      </x:c>
      <x:c r="I2489" s="10" t="n">
        <x:f>IF(OR(F2489="Status",G2489=0),"",G2489+H2489)</x:f>
        <x:v>220</x:v>
      </x:c>
      <x:c r="J2489" s="10" t="n">
        <x:v>44</x:v>
      </x:c>
      <x:c r="K2489" s="12" t="n">
        <x:v>50</x:v>
      </x:c>
      <x:c r="L2489" s="1" t="str"/>
      <x:c r="M2489" s="9" t="str">
        <x:v>https://poke.idleworld.online/pokepedia/pokemon/shiftry</x:v>
      </x:c>
    </x:row>
    <x:row r="2490" ht="22" customHeight="1">
      <x:c r="A2490" s="1" t="n">
        <x:v>275</x:v>
      </x:c>
      <x:c r="B2490" s="1" t="str">
        <x:v>Shiftry</x:v>
      </x:c>
      <x:c r="C2490" s="1" t="n">
        <x:v>4</x:v>
      </x:c>
      <x:c r="D2490" s="1" t="str">
        <x:v>Hurricane</x:v>
      </x:c>
      <x:c r="E2490" s="1" t="str">
        <x:v>Voador</x:v>
      </x:c>
      <x:c r="F2490" s="1" t="str">
        <x:v>Especial</x:v>
      </x:c>
      <x:c r="G2490" s="10" t="n">
        <x:v>110</x:v>
      </x:c>
      <x:c r="H2490" s="10" t="n">
        <x:f>IF(F2490="Física",'Pokémon'!G271,IF(F2490="Especial",'Pokémon'!I271,""))</x:f>
        <x:v>90</x:v>
      </x:c>
      <x:c r="I2490" s="10" t="n">
        <x:f>IF(OR(F2490="Status",G2490=0),"",G2490+H2490)</x:f>
        <x:v>200</x:v>
      </x:c>
      <x:c r="J2490" s="10" t="n">
        <x:v>32</x:v>
      </x:c>
      <x:c r="K2490" s="12" t="n">
        <x:v>40</x:v>
      </x:c>
      <x:c r="L2490" s="1" t="str"/>
      <x:c r="M2490" s="9" t="str">
        <x:v>https://poke.idleworld.online/pokepedia/pokemon/shiftry</x:v>
      </x:c>
    </x:row>
    <x:row r="2491" ht="22" customHeight="1">
      <x:c r="A2491" s="1" t="n">
        <x:v>275</x:v>
      </x:c>
      <x:c r="B2491" s="1" t="str">
        <x:v>Shiftry</x:v>
      </x:c>
      <x:c r="C2491" s="1" t="n">
        <x:v>2</x:v>
      </x:c>
      <x:c r="D2491" s="1" t="str">
        <x:v>Feint Attack</x:v>
      </x:c>
      <x:c r="E2491" s="1" t="str">
        <x:v>Sombrio</x:v>
      </x:c>
      <x:c r="F2491" s="1" t="str">
        <x:v>Física</x:v>
      </x:c>
      <x:c r="G2491" s="10" t="n">
        <x:v>60</x:v>
      </x:c>
      <x:c r="H2491" s="10" t="n">
        <x:f>IF(F2491="Física",'Pokémon'!G271,IF(F2491="Especial",'Pokémon'!I271,""))</x:f>
        <x:v>100</x:v>
      </x:c>
      <x:c r="I2491" s="10" t="n">
        <x:f>IF(OR(F2491="Status",G2491=0),"",G2491+H2491)</x:f>
        <x:v>160</x:v>
      </x:c>
      <x:c r="J2491" s="10" t="n">
        <x:v>1</x:v>
      </x:c>
      <x:c r="K2491" s="12" t="n">
        <x:v>20</x:v>
      </x:c>
      <x:c r="L2491" s="1" t="str"/>
      <x:c r="M2491" s="9" t="str">
        <x:v>https://poke.idleworld.online/pokepedia/pokemon/shiftry</x:v>
      </x:c>
    </x:row>
    <x:row r="2492" ht="22" customHeight="1">
      <x:c r="A2492" s="1" t="n">
        <x:v>275</x:v>
      </x:c>
      <x:c r="B2492" s="1" t="str">
        <x:v>Shiftry</x:v>
      </x:c>
      <x:c r="C2492" s="1" t="n">
        <x:v>3</x:v>
      </x:c>
      <x:c r="D2492" s="1" t="str">
        <x:v>Leaf Tornado</x:v>
      </x:c>
      <x:c r="E2492" s="1" t="str">
        <x:v>Planta</x:v>
      </x:c>
      <x:c r="F2492" s="1" t="str">
        <x:v>Especial</x:v>
      </x:c>
      <x:c r="G2492" s="10" t="n">
        <x:v>65</x:v>
      </x:c>
      <x:c r="H2492" s="10" t="n">
        <x:f>IF(F2492="Física",'Pokémon'!G271,IF(F2492="Especial",'Pokémon'!I271,""))</x:f>
        <x:v>90</x:v>
      </x:c>
      <x:c r="I2492" s="10" t="n">
        <x:f>IF(OR(F2492="Status",G2492=0),"",G2492+H2492)</x:f>
        <x:v>155</x:v>
      </x:c>
      <x:c r="J2492" s="10" t="n">
        <x:v>20</x:v>
      </x:c>
      <x:c r="K2492" s="12" t="n">
        <x:v>20</x:v>
      </x:c>
      <x:c r="L2492" s="1" t="str"/>
      <x:c r="M2492" s="9" t="str">
        <x:v>https://poke.idleworld.online/pokepedia/pokemon/shiftry</x:v>
      </x:c>
    </x:row>
    <x:row r="2493" ht="22" customHeight="1">
      <x:c r="A2493" s="1" t="n">
        <x:v>275</x:v>
      </x:c>
      <x:c r="B2493" s="1" t="str">
        <x:v>Shiftry</x:v>
      </x:c>
      <x:c r="C2493" s="1" t="n">
        <x:v>1</x:v>
      </x:c>
      <x:c r="D2493" s="1" t="str">
        <x:v>Razor Leaf</x:v>
      </x:c>
      <x:c r="E2493" s="1" t="str">
        <x:v>Planta</x:v>
      </x:c>
      <x:c r="F2493" s="1" t="str">
        <x:v>Física</x:v>
      </x:c>
      <x:c r="G2493" s="10" t="n">
        <x:v>55</x:v>
      </x:c>
      <x:c r="H2493" s="10" t="n">
        <x:f>IF(F2493="Física",'Pokémon'!G271,IF(F2493="Especial",'Pokémon'!I271,""))</x:f>
        <x:v>100</x:v>
      </x:c>
      <x:c r="I2493" s="10" t="n">
        <x:f>IF(OR(F2493="Status",G2493=0),"",G2493+H2493)</x:f>
        <x:v>155</x:v>
      </x:c>
      <x:c r="J2493" s="10" t="n">
        <x:v>1</x:v>
      </x:c>
      <x:c r="K2493" s="12" t="n">
        <x:v>20</x:v>
      </x:c>
      <x:c r="L2493" s="1" t="str"/>
      <x:c r="M2493" s="9" t="str">
        <x:v>https://poke.idleworld.online/pokepedia/pokemon/shiftry</x:v>
      </x:c>
    </x:row>
    <x:row r="2494" ht="22" customHeight="1">
      <x:c r="A2494" s="1" t="n">
        <x:v>276</x:v>
      </x:c>
      <x:c r="B2494" s="1" t="str">
        <x:v>Taillow</x:v>
      </x:c>
      <x:c r="C2494" s="1" t="n">
        <x:v>6</x:v>
      </x:c>
      <x:c r="D2494" s="1" t="str">
        <x:v>Brave Bird</x:v>
      </x:c>
      <x:c r="E2494" s="1" t="str">
        <x:v>Voador</x:v>
      </x:c>
      <x:c r="F2494" s="1" t="str">
        <x:v>Física</x:v>
      </x:c>
      <x:c r="G2494" s="10" t="n">
        <x:v>120</x:v>
      </x:c>
      <x:c r="H2494" s="10" t="n">
        <x:f>IF(F2494="Física",'Pokémon'!G272,IF(F2494="Especial",'Pokémon'!I272,""))</x:f>
        <x:v>55</x:v>
      </x:c>
      <x:c r="I2494" s="10" t="n">
        <x:f>IF(OR(F2494="Status",G2494=0),"",G2494+H2494)</x:f>
        <x:v>175</x:v>
      </x:c>
      <x:c r="J2494" s="10" t="n">
        <x:v>41</x:v>
      </x:c>
      <x:c r="K2494" s="12" t="n">
        <x:v>50</x:v>
      </x:c>
      <x:c r="L2494" s="1" t="str"/>
      <x:c r="M2494" s="9" t="str">
        <x:v>https://poke.idleworld.online/pokepedia/pokemon/taillow</x:v>
      </x:c>
    </x:row>
    <x:row r="2495" ht="22" customHeight="1">
      <x:c r="A2495" s="1" t="n">
        <x:v>276</x:v>
      </x:c>
      <x:c r="B2495" s="1" t="str">
        <x:v>Taillow</x:v>
      </x:c>
      <x:c r="C2495" s="1" t="n">
        <x:v>3</x:v>
      </x:c>
      <x:c r="D2495" s="1" t="str">
        <x:v>Wing Attack</x:v>
      </x:c>
      <x:c r="E2495" s="1" t="str">
        <x:v>Voador</x:v>
      </x:c>
      <x:c r="F2495" s="1" t="str">
        <x:v>Física</x:v>
      </x:c>
      <x:c r="G2495" s="10" t="n">
        <x:v>60</x:v>
      </x:c>
      <x:c r="H2495" s="10" t="n">
        <x:f>IF(F2495="Física",'Pokémon'!G272,IF(F2495="Especial",'Pokémon'!I272,""))</x:f>
        <x:v>55</x:v>
      </x:c>
      <x:c r="I2495" s="10" t="n">
        <x:f>IF(OR(F2495="Status",G2495=0),"",G2495+H2495)</x:f>
        <x:v>115</x:v>
      </x:c>
      <x:c r="J2495" s="10" t="n">
        <x:v>13</x:v>
      </x:c>
      <x:c r="K2495" s="12" t="n">
        <x:v>20</x:v>
      </x:c>
      <x:c r="L2495" s="1" t="str"/>
      <x:c r="M2495" s="9" t="str">
        <x:v>https://poke.idleworld.online/pokepedia/pokemon/taillow</x:v>
      </x:c>
    </x:row>
    <x:row r="2496" ht="22" customHeight="1">
      <x:c r="A2496" s="1" t="n">
        <x:v>276</x:v>
      </x:c>
      <x:c r="B2496" s="1" t="str">
        <x:v>Taillow</x:v>
      </x:c>
      <x:c r="C2496" s="1" t="n">
        <x:v>4</x:v>
      </x:c>
      <x:c r="D2496" s="1" t="str">
        <x:v>Aerial Ace</x:v>
      </x:c>
      <x:c r="E2496" s="1" t="str">
        <x:v>Voador</x:v>
      </x:c>
      <x:c r="F2496" s="1" t="str">
        <x:v>Física</x:v>
      </x:c>
      <x:c r="G2496" s="10" t="n">
        <x:v>60</x:v>
      </x:c>
      <x:c r="H2496" s="10" t="n">
        <x:f>IF(F2496="Física",'Pokémon'!G272,IF(F2496="Especial",'Pokémon'!I272,""))</x:f>
        <x:v>55</x:v>
      </x:c>
      <x:c r="I2496" s="10" t="n">
        <x:f>IF(OR(F2496="Status",G2496=0),"",G2496+H2496)</x:f>
        <x:v>115</x:v>
      </x:c>
      <x:c r="J2496" s="10" t="n">
        <x:v>21</x:v>
      </x:c>
      <x:c r="K2496" s="12" t="n">
        <x:v>20</x:v>
      </x:c>
      <x:c r="L2496" s="1" t="str"/>
      <x:c r="M2496" s="9" t="str">
        <x:v>https://poke.idleworld.online/pokepedia/pokemon/taillow</x:v>
      </x:c>
    </x:row>
    <x:row r="2497" ht="22" customHeight="1">
      <x:c r="A2497" s="1" t="n">
        <x:v>276</x:v>
      </x:c>
      <x:c r="B2497" s="1" t="str">
        <x:v>Taillow</x:v>
      </x:c>
      <x:c r="C2497" s="1" t="n">
        <x:v>5</x:v>
      </x:c>
      <x:c r="D2497" s="1" t="str">
        <x:v>Air Slash</x:v>
      </x:c>
      <x:c r="E2497" s="1" t="str">
        <x:v>Voador</x:v>
      </x:c>
      <x:c r="F2497" s="1" t="str">
        <x:v>Especial</x:v>
      </x:c>
      <x:c r="G2497" s="10" t="n">
        <x:v>75</x:v>
      </x:c>
      <x:c r="H2497" s="10" t="n">
        <x:f>IF(F2497="Física",'Pokémon'!G272,IF(F2497="Especial",'Pokémon'!I272,""))</x:f>
        <x:v>30</x:v>
      </x:c>
      <x:c r="I2497" s="10" t="n">
        <x:f>IF(OR(F2497="Status",G2497=0),"",G2497+H2497)</x:f>
        <x:v>105</x:v>
      </x:c>
      <x:c r="J2497" s="10" t="n">
        <x:v>33</x:v>
      </x:c>
      <x:c r="K2497" s="12" t="n">
        <x:v>30</x:v>
      </x:c>
      <x:c r="L2497" s="1" t="str"/>
      <x:c r="M2497" s="9" t="str">
        <x:v>https://poke.idleworld.online/pokepedia/pokemon/taillow</x:v>
      </x:c>
    </x:row>
    <x:row r="2498" ht="22" customHeight="1">
      <x:c r="A2498" s="1" t="n">
        <x:v>276</x:v>
      </x:c>
      <x:c r="B2498" s="1" t="str">
        <x:v>Taillow</x:v>
      </x:c>
      <x:c r="C2498" s="1" t="n">
        <x:v>2</x:v>
      </x:c>
      <x:c r="D2498" s="1" t="str">
        <x:v>Quick Attack</x:v>
      </x:c>
      <x:c r="E2498" s="1" t="str">
        <x:v>Normal</x:v>
      </x:c>
      <x:c r="F2498" s="1" t="str">
        <x:v>Física</x:v>
      </x:c>
      <x:c r="G2498" s="10" t="n">
        <x:v>40</x:v>
      </x:c>
      <x:c r="H2498" s="10" t="n">
        <x:f>IF(F2498="Física",'Pokémon'!G272,IF(F2498="Especial",'Pokémon'!I272,""))</x:f>
        <x:v>55</x:v>
      </x:c>
      <x:c r="I2498" s="10" t="n">
        <x:f>IF(OR(F2498="Status",G2498=0),"",G2498+H2498)</x:f>
        <x:v>95</x:v>
      </x:c>
      <x:c r="J2498" s="10" t="n">
        <x:v>9</x:v>
      </x:c>
      <x:c r="K2498" s="12" t="n">
        <x:v>15</x:v>
      </x:c>
      <x:c r="L2498" s="1" t="str"/>
      <x:c r="M2498" s="9" t="str">
        <x:v>https://poke.idleworld.online/pokepedia/pokemon/taillow</x:v>
      </x:c>
    </x:row>
    <x:row r="2499" ht="22" customHeight="1">
      <x:c r="A2499" s="1" t="n">
        <x:v>276</x:v>
      </x:c>
      <x:c r="B2499" s="1" t="str">
        <x:v>Taillow</x:v>
      </x:c>
      <x:c r="C2499" s="1" t="n">
        <x:v>1</x:v>
      </x:c>
      <x:c r="D2499" s="1" t="str">
        <x:v>Peck</x:v>
      </x:c>
      <x:c r="E2499" s="1" t="str">
        <x:v>Voador</x:v>
      </x:c>
      <x:c r="F2499" s="1" t="str">
        <x:v>Física</x:v>
      </x:c>
      <x:c r="G2499" s="10" t="n">
        <x:v>35</x:v>
      </x:c>
      <x:c r="H2499" s="10" t="n">
        <x:f>IF(F2499="Física",'Pokémon'!G272,IF(F2499="Especial",'Pokémon'!I272,""))</x:f>
        <x:v>55</x:v>
      </x:c>
      <x:c r="I2499" s="10" t="n">
        <x:f>IF(OR(F2499="Status",G2499=0),"",G2499+H2499)</x:f>
        <x:v>90</x:v>
      </x:c>
      <x:c r="J2499" s="10" t="n">
        <x:v>1</x:v>
      </x:c>
      <x:c r="K2499" s="12" t="n">
        <x:v>10</x:v>
      </x:c>
      <x:c r="L2499" s="1" t="str"/>
      <x:c r="M2499" s="9" t="str">
        <x:v>https://poke.idleworld.online/pokepedia/pokemon/taillow</x:v>
      </x:c>
    </x:row>
    <x:row r="2500" ht="22" customHeight="1">
      <x:c r="A2500" s="1" t="n">
        <x:v>277</x:v>
      </x:c>
      <x:c r="B2500" s="1" t="str">
        <x:v>Swellow</x:v>
      </x:c>
      <x:c r="C2500" s="1" t="n">
        <x:v>4</x:v>
      </x:c>
      <x:c r="D2500" s="1" t="str">
        <x:v>Brave Bird</x:v>
      </x:c>
      <x:c r="E2500" s="1" t="str">
        <x:v>Voador</x:v>
      </x:c>
      <x:c r="F2500" s="1" t="str">
        <x:v>Física</x:v>
      </x:c>
      <x:c r="G2500" s="10" t="n">
        <x:v>120</x:v>
      </x:c>
      <x:c r="H2500" s="10" t="n">
        <x:f>IF(F2500="Física",'Pokémon'!G273,IF(F2500="Especial",'Pokémon'!I273,""))</x:f>
        <x:v>85</x:v>
      </x:c>
      <x:c r="I2500" s="10" t="n">
        <x:f>IF(OR(F2500="Status",G2500=0),"",G2500+H2500)</x:f>
        <x:v>205</x:v>
      </x:c>
      <x:c r="J2500" s="10" t="n">
        <x:v>1</x:v>
      </x:c>
      <x:c r="K2500" s="12" t="n">
        <x:v>60</x:v>
      </x:c>
      <x:c r="L2500" s="1" t="str"/>
      <x:c r="M2500" s="9" t="str">
        <x:v>https://poke.idleworld.online/pokepedia/pokemon/swellow</x:v>
      </x:c>
    </x:row>
    <x:row r="2501" ht="22" customHeight="1">
      <x:c r="A2501" s="1" t="n">
        <x:v>277</x:v>
      </x:c>
      <x:c r="B2501" s="1" t="str">
        <x:v>Swellow</x:v>
      </x:c>
      <x:c r="C2501" s="1" t="n">
        <x:v>2</x:v>
      </x:c>
      <x:c r="D2501" s="1" t="str">
        <x:v>Pluck</x:v>
      </x:c>
      <x:c r="E2501" s="1" t="str">
        <x:v>Voador</x:v>
      </x:c>
      <x:c r="F2501" s="1" t="str">
        <x:v>Física</x:v>
      </x:c>
      <x:c r="G2501" s="10" t="n">
        <x:v>60</x:v>
      </x:c>
      <x:c r="H2501" s="10" t="n">
        <x:f>IF(F2501="Física",'Pokémon'!G273,IF(F2501="Especial",'Pokémon'!I273,""))</x:f>
        <x:v>85</x:v>
      </x:c>
      <x:c r="I2501" s="10" t="n">
        <x:f>IF(OR(F2501="Status",G2501=0),"",G2501+H2501)</x:f>
        <x:v>145</x:v>
      </x:c>
      <x:c r="J2501" s="10" t="n">
        <x:v>1</x:v>
      </x:c>
      <x:c r="K2501" s="12" t="n">
        <x:v>15</x:v>
      </x:c>
      <x:c r="L2501" s="1" t="str"/>
      <x:c r="M2501" s="9" t="str">
        <x:v>https://poke.idleworld.online/pokepedia/pokemon/swellow</x:v>
      </x:c>
    </x:row>
    <x:row r="2502" ht="22" customHeight="1">
      <x:c r="A2502" s="1" t="n">
        <x:v>277</x:v>
      </x:c>
      <x:c r="B2502" s="1" t="str">
        <x:v>Swellow</x:v>
      </x:c>
      <x:c r="C2502" s="1" t="n">
        <x:v>6</x:v>
      </x:c>
      <x:c r="D2502" s="1" t="str">
        <x:v>Wing Attack</x:v>
      </x:c>
      <x:c r="E2502" s="1" t="str">
        <x:v>Voador</x:v>
      </x:c>
      <x:c r="F2502" s="1" t="str">
        <x:v>Física</x:v>
      </x:c>
      <x:c r="G2502" s="10" t="n">
        <x:v>60</x:v>
      </x:c>
      <x:c r="H2502" s="10" t="n">
        <x:f>IF(F2502="Física",'Pokémon'!G273,IF(F2502="Especial",'Pokémon'!I273,""))</x:f>
        <x:v>85</x:v>
      </x:c>
      <x:c r="I2502" s="10" t="n">
        <x:f>IF(OR(F2502="Status",G2502=0),"",G2502+H2502)</x:f>
        <x:v>145</x:v>
      </x:c>
      <x:c r="J2502" s="10" t="n">
        <x:v>13</x:v>
      </x:c>
      <x:c r="K2502" s="12" t="n">
        <x:v>20</x:v>
      </x:c>
      <x:c r="L2502" s="1" t="str"/>
      <x:c r="M2502" s="9" t="str">
        <x:v>https://poke.idleworld.online/pokepedia/pokemon/swellow</x:v>
      </x:c>
    </x:row>
    <x:row r="2503" ht="22" customHeight="1">
      <x:c r="A2503" s="1" t="n">
        <x:v>277</x:v>
      </x:c>
      <x:c r="B2503" s="1" t="str">
        <x:v>Swellow</x:v>
      </x:c>
      <x:c r="C2503" s="1" t="n">
        <x:v>7</x:v>
      </x:c>
      <x:c r="D2503" s="1" t="str">
        <x:v>Aerial Ace</x:v>
      </x:c>
      <x:c r="E2503" s="1" t="str">
        <x:v>Voador</x:v>
      </x:c>
      <x:c r="F2503" s="1" t="str">
        <x:v>Física</x:v>
      </x:c>
      <x:c r="G2503" s="10" t="n">
        <x:v>60</x:v>
      </x:c>
      <x:c r="H2503" s="10" t="n">
        <x:f>IF(F2503="Física",'Pokémon'!G273,IF(F2503="Especial",'Pokémon'!I273,""))</x:f>
        <x:v>85</x:v>
      </x:c>
      <x:c r="I2503" s="10" t="n">
        <x:f>IF(OR(F2503="Status",G2503=0),"",G2503+H2503)</x:f>
        <x:v>145</x:v>
      </x:c>
      <x:c r="J2503" s="10" t="n">
        <x:v>21</x:v>
      </x:c>
      <x:c r="K2503" s="12" t="n">
        <x:v>60</x:v>
      </x:c>
      <x:c r="L2503" s="1" t="str"/>
      <x:c r="M2503" s="9" t="str">
        <x:v>https://poke.idleworld.online/pokepedia/pokemon/swellow</x:v>
      </x:c>
    </x:row>
    <x:row r="2504" ht="22" customHeight="1">
      <x:c r="A2504" s="1" t="n">
        <x:v>277</x:v>
      </x:c>
      <x:c r="B2504" s="1" t="str">
        <x:v>Swellow</x:v>
      </x:c>
      <x:c r="C2504" s="1" t="n">
        <x:v>3</x:v>
      </x:c>
      <x:c r="D2504" s="1" t="str">
        <x:v>Air Slash</x:v>
      </x:c>
      <x:c r="E2504" s="1" t="str">
        <x:v>Voador</x:v>
      </x:c>
      <x:c r="F2504" s="1" t="str">
        <x:v>Especial</x:v>
      </x:c>
      <x:c r="G2504" s="10" t="n">
        <x:v>75</x:v>
      </x:c>
      <x:c r="H2504" s="10" t="n">
        <x:f>IF(F2504="Física",'Pokémon'!G273,IF(F2504="Especial",'Pokémon'!I273,""))</x:f>
        <x:v>50</x:v>
      </x:c>
      <x:c r="I2504" s="10" t="n">
        <x:f>IF(OR(F2504="Status",G2504=0),"",G2504+H2504)</x:f>
        <x:v>125</x:v>
      </x:c>
      <x:c r="J2504" s="10" t="n">
        <x:v>1</x:v>
      </x:c>
      <x:c r="K2504" s="12" t="n">
        <x:v>25</x:v>
      </x:c>
      <x:c r="L2504" s="1" t="str"/>
      <x:c r="M2504" s="9" t="str">
        <x:v>https://poke.idleworld.online/pokepedia/pokemon/swellow</x:v>
      </x:c>
    </x:row>
    <x:row r="2505" ht="22" customHeight="1">
      <x:c r="A2505" s="1" t="n">
        <x:v>277</x:v>
      </x:c>
      <x:c r="B2505" s="1" t="str">
        <x:v>Swellow</x:v>
      </x:c>
      <x:c r="C2505" s="1" t="n">
        <x:v>5</x:v>
      </x:c>
      <x:c r="D2505" s="1" t="str">
        <x:v>Quick Attack</x:v>
      </x:c>
      <x:c r="E2505" s="1" t="str">
        <x:v>Normal</x:v>
      </x:c>
      <x:c r="F2505" s="1" t="str">
        <x:v>Física</x:v>
      </x:c>
      <x:c r="G2505" s="10" t="n">
        <x:v>40</x:v>
      </x:c>
      <x:c r="H2505" s="10" t="n">
        <x:f>IF(F2505="Física",'Pokémon'!G273,IF(F2505="Especial",'Pokémon'!I273,""))</x:f>
        <x:v>85</x:v>
      </x:c>
      <x:c r="I2505" s="10" t="n">
        <x:f>IF(OR(F2505="Status",G2505=0),"",G2505+H2505)</x:f>
        <x:v>125</x:v>
      </x:c>
      <x:c r="J2505" s="10" t="n">
        <x:v>1</x:v>
      </x:c>
      <x:c r="K2505" s="12" t="n">
        <x:v>15</x:v>
      </x:c>
      <x:c r="L2505" s="1" t="str"/>
      <x:c r="M2505" s="9" t="str">
        <x:v>https://poke.idleworld.online/pokepedia/pokemon/swellow</x:v>
      </x:c>
    </x:row>
    <x:row r="2506" ht="22" customHeight="1">
      <x:c r="A2506" s="1" t="n">
        <x:v>277</x:v>
      </x:c>
      <x:c r="B2506" s="1" t="str">
        <x:v>Swellow</x:v>
      </x:c>
      <x:c r="C2506" s="1" t="n">
        <x:v>1</x:v>
      </x:c>
      <x:c r="D2506" s="1" t="str">
        <x:v>Peck</x:v>
      </x:c>
      <x:c r="E2506" s="1" t="str">
        <x:v>Voador</x:v>
      </x:c>
      <x:c r="F2506" s="1" t="str">
        <x:v>Física</x:v>
      </x:c>
      <x:c r="G2506" s="10" t="n">
        <x:v>35</x:v>
      </x:c>
      <x:c r="H2506" s="10" t="n">
        <x:f>IF(F2506="Física",'Pokémon'!G273,IF(F2506="Especial",'Pokémon'!I273,""))</x:f>
        <x:v>85</x:v>
      </x:c>
      <x:c r="I2506" s="10" t="n">
        <x:f>IF(OR(F2506="Status",G2506=0),"",G2506+H2506)</x:f>
        <x:v>120</x:v>
      </x:c>
      <x:c r="J2506" s="10" t="n">
        <x:v>1</x:v>
      </x:c>
      <x:c r="K2506" s="12" t="n">
        <x:v>10</x:v>
      </x:c>
      <x:c r="L2506" s="1" t="str"/>
      <x:c r="M2506" s="9" t="str">
        <x:v>https://poke.idleworld.online/pokepedia/pokemon/swellow</x:v>
      </x:c>
    </x:row>
    <x:row r="2507" ht="22" customHeight="1">
      <x:c r="A2507" s="1" t="n">
        <x:v>277</x:v>
      </x:c>
      <x:c r="B2507" s="1" t="str">
        <x:v>Swellow</x:v>
      </x:c>
      <x:c r="C2507" s="1" t="n">
        <x:v>8</x:v>
      </x:c>
      <x:c r="D2507" s="1" t="str">
        <x:v>Quick Guard</x:v>
      </x:c>
      <x:c r="E2507" s="1" t="str">
        <x:v>Lutador</x:v>
      </x:c>
      <x:c r="F2507" s="1" t="str">
        <x:v>Status</x:v>
      </x:c>
      <x:c r="G2507" s="10" t="n">
        <x:v>0</x:v>
      </x:c>
      <x:c r="H2507" s="10" t="str">
        <x:f>IF(F2507="Física",'Pokémon'!G273,IF(F2507="Especial",'Pokémon'!I273,""))</x:f>
      </x:c>
      <x:c r="I2507" s="10" t="str">
        <x:f>IF(OR(F2507="Status",G2507=0),"",G2507+H2507)</x:f>
      </x:c>
      <x:c r="J2507" s="10" t="n">
        <x:v>27</x:v>
      </x:c>
      <x:c r="K2507" s="12" t="n">
        <x:v>70</x:v>
      </x:c>
      <x:c r="L2507" s="1" t="str"/>
      <x:c r="M2507" s="9" t="str">
        <x:v>https://poke.idleworld.online/pokepedia/pokemon/swellow</x:v>
      </x:c>
    </x:row>
    <x:row r="2508" ht="22" customHeight="1">
      <x:c r="A2508" s="1" t="n">
        <x:v>278</x:v>
      </x:c>
      <x:c r="B2508" s="1" t="str">
        <x:v>Wingull</x:v>
      </x:c>
      <x:c r="C2508" s="1" t="n">
        <x:v>10</x:v>
      </x:c>
      <x:c r="D2508" s="1" t="str">
        <x:v>Hurricane</x:v>
      </x:c>
      <x:c r="E2508" s="1" t="str">
        <x:v>Voador</x:v>
      </x:c>
      <x:c r="F2508" s="1" t="str">
        <x:v>Especial</x:v>
      </x:c>
      <x:c r="G2508" s="10" t="n">
        <x:v>110</x:v>
      </x:c>
      <x:c r="H2508" s="10" t="n">
        <x:f>IF(F2508="Física",'Pokémon'!G274,IF(F2508="Especial",'Pokémon'!I274,""))</x:f>
        <x:v>55</x:v>
      </x:c>
      <x:c r="I2508" s="10" t="n">
        <x:f>IF(OR(F2508="Status",G2508=0),"",G2508+H2508)</x:f>
        <x:v>165</x:v>
      </x:c>
      <x:c r="J2508" s="10" t="n">
        <x:v>43</x:v>
      </x:c>
      <x:c r="K2508" s="12" t="n">
        <x:v>40</x:v>
      </x:c>
      <x:c r="L2508" s="1" t="str"/>
      <x:c r="M2508" s="9" t="str">
        <x:v>https://poke.idleworld.online/pokepedia/pokemon/wingull</x:v>
      </x:c>
    </x:row>
    <x:row r="2509" ht="22" customHeight="1">
      <x:c r="A2509" s="1" t="n">
        <x:v>278</x:v>
      </x:c>
      <x:c r="B2509" s="1" t="str">
        <x:v>Wingull</x:v>
      </x:c>
      <x:c r="C2509" s="1" t="n">
        <x:v>9</x:v>
      </x:c>
      <x:c r="D2509" s="1" t="str">
        <x:v>Air Slash</x:v>
      </x:c>
      <x:c r="E2509" s="1" t="str">
        <x:v>Voador</x:v>
      </x:c>
      <x:c r="F2509" s="1" t="str">
        <x:v>Especial</x:v>
      </x:c>
      <x:c r="G2509" s="10" t="n">
        <x:v>75</x:v>
      </x:c>
      <x:c r="H2509" s="10" t="n">
        <x:f>IF(F2509="Física",'Pokémon'!G274,IF(F2509="Especial",'Pokémon'!I274,""))</x:f>
        <x:v>55</x:v>
      </x:c>
      <x:c r="I2509" s="10" t="n">
        <x:f>IF(OR(F2509="Status",G2509=0),"",G2509+H2509)</x:f>
        <x:v>130</x:v>
      </x:c>
      <x:c r="J2509" s="10" t="n">
        <x:v>40</x:v>
      </x:c>
      <x:c r="K2509" s="12" t="n">
        <x:v>22</x:v>
      </x:c>
      <x:c r="L2509" s="1" t="str"/>
      <x:c r="M2509" s="9" t="str">
        <x:v>https://poke.idleworld.online/pokepedia/pokemon/wingull</x:v>
      </x:c>
    </x:row>
    <x:row r="2510" ht="22" customHeight="1">
      <x:c r="A2510" s="1" t="n">
        <x:v>278</x:v>
      </x:c>
      <x:c r="B2510" s="1" t="str">
        <x:v>Wingull</x:v>
      </x:c>
      <x:c r="C2510" s="1" t="n">
        <x:v>4</x:v>
      </x:c>
      <x:c r="D2510" s="1" t="str">
        <x:v>Water Pulse</x:v>
      </x:c>
      <x:c r="E2510" s="1" t="str">
        <x:v>Água</x:v>
      </x:c>
      <x:c r="F2510" s="1" t="str">
        <x:v>Especial</x:v>
      </x:c>
      <x:c r="G2510" s="10" t="n">
        <x:v>60</x:v>
      </x:c>
      <x:c r="H2510" s="10" t="n">
        <x:f>IF(F2510="Física",'Pokémon'!G274,IF(F2510="Especial",'Pokémon'!I274,""))</x:f>
        <x:v>55</x:v>
      </x:c>
      <x:c r="I2510" s="10" t="n">
        <x:f>IF(OR(F2510="Status",G2510=0),"",G2510+H2510)</x:f>
        <x:v>115</x:v>
      </x:c>
      <x:c r="J2510" s="10" t="n">
        <x:v>15</x:v>
      </x:c>
      <x:c r="K2510" s="12" t="n">
        <x:v>20</x:v>
      </x:c>
      <x:c r="L2510" s="1" t="str"/>
      <x:c r="M2510" s="9" t="str">
        <x:v>https://poke.idleworld.online/pokepedia/pokemon/wingull</x:v>
      </x:c>
    </x:row>
    <x:row r="2511" ht="22" customHeight="1">
      <x:c r="A2511" s="1" t="n">
        <x:v>278</x:v>
      </x:c>
      <x:c r="B2511" s="1" t="str">
        <x:v>Wingull</x:v>
      </x:c>
      <x:c r="C2511" s="1" t="n">
        <x:v>6</x:v>
      </x:c>
      <x:c r="D2511" s="1" t="str">
        <x:v>Air Cutter</x:v>
      </x:c>
      <x:c r="E2511" s="1" t="str">
        <x:v>Voador</x:v>
      </x:c>
      <x:c r="F2511" s="1" t="str">
        <x:v>Especial</x:v>
      </x:c>
      <x:c r="G2511" s="10" t="n">
        <x:v>60</x:v>
      </x:c>
      <x:c r="H2511" s="10" t="n">
        <x:f>IF(F2511="Física",'Pokémon'!G274,IF(F2511="Especial",'Pokémon'!I274,""))</x:f>
        <x:v>55</x:v>
      </x:c>
      <x:c r="I2511" s="10" t="n">
        <x:f>IF(OR(F2511="Status",G2511=0),"",G2511+H2511)</x:f>
        <x:v>115</x:v>
      </x:c>
      <x:c r="J2511" s="10" t="n">
        <x:v>22</x:v>
      </x:c>
      <x:c r="K2511" s="12" t="n">
        <x:v>20</x:v>
      </x:c>
      <x:c r="L2511" s="1" t="str"/>
      <x:c r="M2511" s="9" t="str">
        <x:v>https://poke.idleworld.online/pokepedia/pokemon/wingull</x:v>
      </x:c>
    </x:row>
    <x:row r="2512" ht="22" customHeight="1">
      <x:c r="A2512" s="1" t="n">
        <x:v>278</x:v>
      </x:c>
      <x:c r="B2512" s="1" t="str">
        <x:v>Wingull</x:v>
      </x:c>
      <x:c r="C2512" s="1" t="n">
        <x:v>1</x:v>
      </x:c>
      <x:c r="D2512" s="1" t="str">
        <x:v>Water Gun</x:v>
      </x:c>
      <x:c r="E2512" s="1" t="str">
        <x:v>Água</x:v>
      </x:c>
      <x:c r="F2512" s="1" t="str">
        <x:v>Especial</x:v>
      </x:c>
      <x:c r="G2512" s="10" t="n">
        <x:v>40</x:v>
      </x:c>
      <x:c r="H2512" s="10" t="n">
        <x:f>IF(F2512="Física",'Pokémon'!G274,IF(F2512="Especial",'Pokémon'!I274,""))</x:f>
        <x:v>55</x:v>
      </x:c>
      <x:c r="I2512" s="10" t="n">
        <x:f>IF(OR(F2512="Status",G2512=0),"",G2512+H2512)</x:f>
        <x:v>95</x:v>
      </x:c>
      <x:c r="J2512" s="10" t="n">
        <x:v>1</x:v>
      </x:c>
      <x:c r="K2512" s="12" t="n">
        <x:v>15</x:v>
      </x:c>
      <x:c r="L2512" s="1" t="str"/>
      <x:c r="M2512" s="9" t="str">
        <x:v>https://poke.idleworld.online/pokepedia/pokemon/wingull</x:v>
      </x:c>
    </x:row>
    <x:row r="2513" ht="22" customHeight="1">
      <x:c r="A2513" s="1" t="n">
        <x:v>278</x:v>
      </x:c>
      <x:c r="B2513" s="1" t="str">
        <x:v>Wingull</x:v>
      </x:c>
      <x:c r="C2513" s="1" t="n">
        <x:v>3</x:v>
      </x:c>
      <x:c r="D2513" s="1" t="str">
        <x:v>Wing Attack</x:v>
      </x:c>
      <x:c r="E2513" s="1" t="str">
        <x:v>Voador</x:v>
      </x:c>
      <x:c r="F2513" s="1" t="str">
        <x:v>Física</x:v>
      </x:c>
      <x:c r="G2513" s="10" t="n">
        <x:v>60</x:v>
      </x:c>
      <x:c r="H2513" s="10" t="n">
        <x:f>IF(F2513="Física",'Pokémon'!G274,IF(F2513="Especial",'Pokémon'!I274,""))</x:f>
        <x:v>30</x:v>
      </x:c>
      <x:c r="I2513" s="10" t="n">
        <x:f>IF(OR(F2513="Status",G2513=0),"",G2513+H2513)</x:f>
        <x:v>90</x:v>
      </x:c>
      <x:c r="J2513" s="10" t="n">
        <x:v>8</x:v>
      </x:c>
      <x:c r="K2513" s="12" t="n">
        <x:v>20</x:v>
      </x:c>
      <x:c r="L2513" s="1" t="str"/>
      <x:c r="M2513" s="9" t="str">
        <x:v>https://poke.idleworld.online/pokepedia/pokemon/wingull</x:v>
      </x:c>
    </x:row>
    <x:row r="2514" ht="22" customHeight="1">
      <x:c r="A2514" s="1" t="n">
        <x:v>278</x:v>
      </x:c>
      <x:c r="B2514" s="1" t="str">
        <x:v>Wingull</x:v>
      </x:c>
      <x:c r="C2514" s="1" t="n">
        <x:v>8</x:v>
      </x:c>
      <x:c r="D2514" s="1" t="str">
        <x:v>Aerial Ace</x:v>
      </x:c>
      <x:c r="E2514" s="1" t="str">
        <x:v>Voador</x:v>
      </x:c>
      <x:c r="F2514" s="1" t="str">
        <x:v>Física</x:v>
      </x:c>
      <x:c r="G2514" s="10" t="n">
        <x:v>60</x:v>
      </x:c>
      <x:c r="H2514" s="10" t="n">
        <x:f>IF(F2514="Física",'Pokémon'!G274,IF(F2514="Especial",'Pokémon'!I274,""))</x:f>
        <x:v>30</x:v>
      </x:c>
      <x:c r="I2514" s="10" t="n">
        <x:f>IF(OR(F2514="Status",G2514=0),"",G2514+H2514)</x:f>
        <x:v>90</x:v>
      </x:c>
      <x:c r="J2514" s="10" t="n">
        <x:v>29</x:v>
      </x:c>
      <x:c r="K2514" s="12" t="n">
        <x:v>20</x:v>
      </x:c>
      <x:c r="L2514" s="1" t="str"/>
      <x:c r="M2514" s="9" t="str">
        <x:v>https://poke.idleworld.online/pokepedia/pokemon/wingull</x:v>
      </x:c>
    </x:row>
    <x:row r="2515" ht="22" customHeight="1">
      <x:c r="A2515" s="1" t="n">
        <x:v>278</x:v>
      </x:c>
      <x:c r="B2515" s="1" t="str">
        <x:v>Wingull</x:v>
      </x:c>
      <x:c r="C2515" s="1" t="n">
        <x:v>5</x:v>
      </x:c>
      <x:c r="D2515" s="1" t="str">
        <x:v>Quick Attack</x:v>
      </x:c>
      <x:c r="E2515" s="1" t="str">
        <x:v>Normal</x:v>
      </x:c>
      <x:c r="F2515" s="1" t="str">
        <x:v>Física</x:v>
      </x:c>
      <x:c r="G2515" s="10" t="n">
        <x:v>40</x:v>
      </x:c>
      <x:c r="H2515" s="10" t="n">
        <x:f>IF(F2515="Física",'Pokémon'!G274,IF(F2515="Especial",'Pokémon'!I274,""))</x:f>
        <x:v>30</x:v>
      </x:c>
      <x:c r="I2515" s="10" t="n">
        <x:f>IF(OR(F2515="Status",G2515=0),"",G2515+H2515)</x:f>
        <x:v>70</x:v>
      </x:c>
      <x:c r="J2515" s="10" t="n">
        <x:v>19</x:v>
      </x:c>
      <x:c r="K2515" s="12" t="n">
        <x:v>15</x:v>
      </x:c>
      <x:c r="L2515" s="1" t="str"/>
      <x:c r="M2515" s="9" t="str">
        <x:v>https://poke.idleworld.online/pokepedia/pokemon/wingull</x:v>
      </x:c>
    </x:row>
    <x:row r="2516" ht="22" customHeight="1">
      <x:c r="A2516" s="1" t="n">
        <x:v>278</x:v>
      </x:c>
      <x:c r="B2516" s="1" t="str">
        <x:v>Wingull</x:v>
      </x:c>
      <x:c r="C2516" s="1" t="n">
        <x:v>7</x:v>
      </x:c>
      <x:c r="D2516" s="1" t="str">
        <x:v>Pursuit</x:v>
      </x:c>
      <x:c r="E2516" s="1" t="str">
        <x:v>Sombrio</x:v>
      </x:c>
      <x:c r="F2516" s="1" t="str">
        <x:v>Física</x:v>
      </x:c>
      <x:c r="G2516" s="10" t="n">
        <x:v>40</x:v>
      </x:c>
      <x:c r="H2516" s="10" t="n">
        <x:f>IF(F2516="Física",'Pokémon'!G274,IF(F2516="Especial",'Pokémon'!I274,""))</x:f>
        <x:v>30</x:v>
      </x:c>
      <x:c r="I2516" s="10" t="n">
        <x:f>IF(OR(F2516="Status",G2516=0),"",G2516+H2516)</x:f>
        <x:v>70</x:v>
      </x:c>
      <x:c r="J2516" s="10" t="n">
        <x:v>26</x:v>
      </x:c>
      <x:c r="K2516" s="12" t="n">
        <x:v>15</x:v>
      </x:c>
      <x:c r="L2516" s="1" t="str"/>
      <x:c r="M2516" s="9" t="str">
        <x:v>https://poke.idleworld.online/pokepedia/pokemon/wingull</x:v>
      </x:c>
    </x:row>
    <x:row r="2517" ht="22" customHeight="1">
      <x:c r="A2517" s="1" t="n">
        <x:v>278</x:v>
      </x:c>
      <x:c r="B2517" s="1" t="str">
        <x:v>Wingull</x:v>
      </x:c>
      <x:c r="C2517" s="1" t="n">
        <x:v>2</x:v>
      </x:c>
      <x:c r="D2517" s="1" t="str">
        <x:v>Super Sonic</x:v>
      </x:c>
      <x:c r="E2517" s="1" t="str">
        <x:v>Normal</x:v>
      </x:c>
      <x:c r="F2517" s="1" t="str">
        <x:v>Status</x:v>
      </x:c>
      <x:c r="G2517" s="10" t="n">
        <x:v>0</x:v>
      </x:c>
      <x:c r="H2517" s="10" t="str">
        <x:f>IF(F2517="Física",'Pokémon'!G274,IF(F2517="Especial",'Pokémon'!I274,""))</x:f>
      </x:c>
      <x:c r="I2517" s="10" t="str">
        <x:f>IF(OR(F2517="Status",G2517=0),"",G2517+H2517)</x:f>
      </x:c>
      <x:c r="J2517" s="10" t="n">
        <x:v>5</x:v>
      </x:c>
      <x:c r="K2517" s="12" t="n">
        <x:v>30</x:v>
      </x:c>
      <x:c r="L2517" s="1" t="str"/>
      <x:c r="M2517" s="9" t="str">
        <x:v>https://poke.idleworld.online/pokepedia/pokemon/wingull</x:v>
      </x:c>
    </x:row>
    <x:row r="2518" ht="22" customHeight="1">
      <x:c r="A2518" s="1" t="n">
        <x:v>279</x:v>
      </x:c>
      <x:c r="B2518" s="1" t="str">
        <x:v>Pelipper</x:v>
      </x:c>
      <x:c r="C2518" s="1" t="n">
        <x:v>1</x:v>
      </x:c>
      <x:c r="D2518" s="1" t="str">
        <x:v>Hurricane</x:v>
      </x:c>
      <x:c r="E2518" s="1" t="str">
        <x:v>Voador</x:v>
      </x:c>
      <x:c r="F2518" s="1" t="str">
        <x:v>Especial</x:v>
      </x:c>
      <x:c r="G2518" s="10" t="n">
        <x:v>110</x:v>
      </x:c>
      <x:c r="H2518" s="10" t="n">
        <x:f>IF(F2518="Física",'Pokémon'!G275,IF(F2518="Especial",'Pokémon'!I275,""))</x:f>
        <x:v>85</x:v>
      </x:c>
      <x:c r="I2518" s="10" t="n">
        <x:f>IF(OR(F2518="Status",G2518=0),"",G2518+H2518)</x:f>
        <x:v>195</x:v>
      </x:c>
      <x:c r="J2518" s="10" t="n">
        <x:v>1</x:v>
      </x:c>
      <x:c r="K2518" s="12" t="n">
        <x:v>50</x:v>
      </x:c>
      <x:c r="L2518" s="1" t="str"/>
      <x:c r="M2518" s="9" t="str">
        <x:v>https://poke.idleworld.online/pokepedia/pokemon/pelipper</x:v>
      </x:c>
    </x:row>
    <x:row r="2519" ht="22" customHeight="1">
      <x:c r="A2519" s="1" t="n">
        <x:v>279</x:v>
      </x:c>
      <x:c r="B2519" s="1" t="str">
        <x:v>Pelipper</x:v>
      </x:c>
      <x:c r="C2519" s="1" t="n">
        <x:v>4</x:v>
      </x:c>
      <x:c r="D2519" s="1" t="str">
        <x:v>Hydro Pump</x:v>
      </x:c>
      <x:c r="E2519" s="1" t="str">
        <x:v>Água</x:v>
      </x:c>
      <x:c r="F2519" s="1" t="str">
        <x:v>Especial</x:v>
      </x:c>
      <x:c r="G2519" s="10" t="n">
        <x:v>110</x:v>
      </x:c>
      <x:c r="H2519" s="10" t="n">
        <x:f>IF(F2519="Física",'Pokémon'!G275,IF(F2519="Especial",'Pokémon'!I275,""))</x:f>
        <x:v>85</x:v>
      </x:c>
      <x:c r="I2519" s="10" t="n">
        <x:f>IF(OR(F2519="Status",G2519=0),"",G2519+H2519)</x:f>
        <x:v>195</x:v>
      </x:c>
      <x:c r="J2519" s="10" t="n">
        <x:v>1</x:v>
      </x:c>
      <x:c r="K2519" s="12" t="n">
        <x:v>40</x:v>
      </x:c>
      <x:c r="L2519" s="1" t="str"/>
      <x:c r="M2519" s="9" t="str">
        <x:v>https://poke.idleworld.online/pokepedia/pokemon/pelipper</x:v>
      </x:c>
    </x:row>
    <x:row r="2520" ht="22" customHeight="1">
      <x:c r="A2520" s="1" t="n">
        <x:v>279</x:v>
      </x:c>
      <x:c r="B2520" s="1" t="str">
        <x:v>Pelipper</x:v>
      </x:c>
      <x:c r="C2520" s="1" t="n">
        <x:v>8</x:v>
      </x:c>
      <x:c r="D2520" s="1" t="str">
        <x:v>Brine</x:v>
      </x:c>
      <x:c r="E2520" s="1" t="str">
        <x:v>Água</x:v>
      </x:c>
      <x:c r="F2520" s="1" t="str">
        <x:v>Especial</x:v>
      </x:c>
      <x:c r="G2520" s="10" t="n">
        <x:v>65</x:v>
      </x:c>
      <x:c r="H2520" s="10" t="n">
        <x:f>IF(F2520="Física",'Pokémon'!G275,IF(F2520="Especial",'Pokémon'!I275,""))</x:f>
        <x:v>85</x:v>
      </x:c>
      <x:c r="I2520" s="10" t="n">
        <x:f>IF(OR(F2520="Status",G2520=0),"",G2520+H2520)</x:f>
        <x:v>150</x:v>
      </x:c>
      <x:c r="J2520" s="10" t="n">
        <x:v>28</x:v>
      </x:c>
      <x:c r="K2520" s="12" t="n">
        <x:v>20</x:v>
      </x:c>
      <x:c r="L2520" s="1" t="str"/>
      <x:c r="M2520" s="9" t="str">
        <x:v>https://poke.idleworld.online/pokepedia/pokemon/pelipper</x:v>
      </x:c>
    </x:row>
    <x:row r="2521" ht="22" customHeight="1">
      <x:c r="A2521" s="1" t="n">
        <x:v>279</x:v>
      </x:c>
      <x:c r="B2521" s="1" t="str">
        <x:v>Pelipper</x:v>
      </x:c>
      <x:c r="C2521" s="1" t="n">
        <x:v>6</x:v>
      </x:c>
      <x:c r="D2521" s="1" t="str">
        <x:v>Water Pulse</x:v>
      </x:c>
      <x:c r="E2521" s="1" t="str">
        <x:v>Água</x:v>
      </x:c>
      <x:c r="F2521" s="1" t="str">
        <x:v>Especial</x:v>
      </x:c>
      <x:c r="G2521" s="10" t="n">
        <x:v>60</x:v>
      </x:c>
      <x:c r="H2521" s="10" t="n">
        <x:f>IF(F2521="Física",'Pokémon'!G275,IF(F2521="Especial",'Pokémon'!I275,""))</x:f>
        <x:v>85</x:v>
      </x:c>
      <x:c r="I2521" s="10" t="n">
        <x:f>IF(OR(F2521="Status",G2521=0),"",G2521+H2521)</x:f>
        <x:v>145</x:v>
      </x:c>
      <x:c r="J2521" s="10" t="n">
        <x:v>15</x:v>
      </x:c>
      <x:c r="K2521" s="12" t="n">
        <x:v>20</x:v>
      </x:c>
      <x:c r="L2521" s="1" t="str"/>
      <x:c r="M2521" s="9" t="str">
        <x:v>https://poke.idleworld.online/pokepedia/pokemon/pelipper</x:v>
      </x:c>
    </x:row>
    <x:row r="2522" ht="22" customHeight="1">
      <x:c r="A2522" s="1" t="n">
        <x:v>279</x:v>
      </x:c>
      <x:c r="B2522" s="1" t="str">
        <x:v>Pelipper</x:v>
      </x:c>
      <x:c r="C2522" s="1" t="n">
        <x:v>2</x:v>
      </x:c>
      <x:c r="D2522" s="1" t="str">
        <x:v>Water Gun</x:v>
      </x:c>
      <x:c r="E2522" s="1" t="str">
        <x:v>Água</x:v>
      </x:c>
      <x:c r="F2522" s="1" t="str">
        <x:v>Especial</x:v>
      </x:c>
      <x:c r="G2522" s="10" t="n">
        <x:v>40</x:v>
      </x:c>
      <x:c r="H2522" s="10" t="n">
        <x:f>IF(F2522="Física",'Pokémon'!G275,IF(F2522="Especial",'Pokémon'!I275,""))</x:f>
        <x:v>85</x:v>
      </x:c>
      <x:c r="I2522" s="10" t="n">
        <x:f>IF(OR(F2522="Status",G2522=0),"",G2522+H2522)</x:f>
        <x:v>125</x:v>
      </x:c>
      <x:c r="J2522" s="10" t="n">
        <x:v>1</x:v>
      </x:c>
      <x:c r="K2522" s="12" t="n">
        <x:v>15</x:v>
      </x:c>
      <x:c r="L2522" s="1" t="str"/>
      <x:c r="M2522" s="9" t="str">
        <x:v>https://poke.idleworld.online/pokepedia/pokemon/pelipper</x:v>
      </x:c>
    </x:row>
    <x:row r="2523" ht="22" customHeight="1">
      <x:c r="A2523" s="1" t="n">
        <x:v>279</x:v>
      </x:c>
      <x:c r="B2523" s="1" t="str">
        <x:v>Pelipper</x:v>
      </x:c>
      <x:c r="C2523" s="1" t="n">
        <x:v>3</x:v>
      </x:c>
      <x:c r="D2523" s="1" t="str">
        <x:v>Wing Attack</x:v>
      </x:c>
      <x:c r="E2523" s="1" t="str">
        <x:v>Voador</x:v>
      </x:c>
      <x:c r="F2523" s="1" t="str">
        <x:v>Física</x:v>
      </x:c>
      <x:c r="G2523" s="10" t="n">
        <x:v>60</x:v>
      </x:c>
      <x:c r="H2523" s="10" t="n">
        <x:f>IF(F2523="Física",'Pokémon'!G275,IF(F2523="Especial",'Pokémon'!I275,""))</x:f>
        <x:v>50</x:v>
      </x:c>
      <x:c r="I2523" s="10" t="n">
        <x:f>IF(OR(F2523="Status",G2523=0),"",G2523+H2523)</x:f>
        <x:v>110</x:v>
      </x:c>
      <x:c r="J2523" s="10" t="n">
        <x:v>1</x:v>
      </x:c>
      <x:c r="K2523" s="12" t="n">
        <x:v>20</x:v>
      </x:c>
      <x:c r="L2523" s="1" t="str"/>
      <x:c r="M2523" s="9" t="str">
        <x:v>https://poke.idleworld.online/pokepedia/pokemon/pelipper</x:v>
      </x:c>
    </x:row>
    <x:row r="2524" ht="22" customHeight="1">
      <x:c r="A2524" s="1" t="n">
        <x:v>279</x:v>
      </x:c>
      <x:c r="B2524" s="1" t="str">
        <x:v>Pelipper</x:v>
      </x:c>
      <x:c r="C2524" s="1" t="n">
        <x:v>7</x:v>
      </x:c>
      <x:c r="D2524" s="1" t="str">
        <x:v>Payback</x:v>
      </x:c>
      <x:c r="E2524" s="1" t="str">
        <x:v>Sombrio</x:v>
      </x:c>
      <x:c r="F2524" s="1" t="str">
        <x:v>Física</x:v>
      </x:c>
      <x:c r="G2524" s="10" t="n">
        <x:v>50</x:v>
      </x:c>
      <x:c r="H2524" s="10" t="n">
        <x:f>IF(F2524="Física",'Pokémon'!G275,IF(F2524="Especial",'Pokémon'!I275,""))</x:f>
        <x:v>50</x:v>
      </x:c>
      <x:c r="I2524" s="10" t="n">
        <x:f>IF(OR(F2524="Status",G2524=0),"",G2524+H2524)</x:f>
        <x:v>100</x:v>
      </x:c>
      <x:c r="J2524" s="10" t="n">
        <x:v>19</x:v>
      </x:c>
      <x:c r="K2524" s="12" t="n">
        <x:v>15</x:v>
      </x:c>
      <x:c r="L2524" s="1" t="str"/>
      <x:c r="M2524" s="9" t="str">
        <x:v>https://poke.idleworld.online/pokepedia/pokemon/pelipper</x:v>
      </x:c>
    </x:row>
    <x:row r="2525" ht="22" customHeight="1">
      <x:c r="A2525" s="1" t="n">
        <x:v>279</x:v>
      </x:c>
      <x:c r="B2525" s="1" t="str">
        <x:v>Pelipper</x:v>
      </x:c>
      <x:c r="C2525" s="1" t="n">
        <x:v>5</x:v>
      </x:c>
      <x:c r="D2525" s="1" t="str">
        <x:v>Super Sonic</x:v>
      </x:c>
      <x:c r="E2525" s="1" t="str">
        <x:v>Normal</x:v>
      </x:c>
      <x:c r="F2525" s="1" t="str">
        <x:v>Status</x:v>
      </x:c>
      <x:c r="G2525" s="10" t="n">
        <x:v>0</x:v>
      </x:c>
      <x:c r="H2525" s="10" t="str">
        <x:f>IF(F2525="Física",'Pokémon'!G275,IF(F2525="Especial",'Pokémon'!I275,""))</x:f>
      </x:c>
      <x:c r="I2525" s="10" t="str">
        <x:f>IF(OR(F2525="Status",G2525=0),"",G2525+H2525)</x:f>
      </x:c>
      <x:c r="J2525" s="10" t="n">
        <x:v>5</x:v>
      </x:c>
      <x:c r="K2525" s="12" t="n">
        <x:v>30</x:v>
      </x:c>
      <x:c r="L2525" s="1" t="str"/>
      <x:c r="M2525" s="9" t="str">
        <x:v>https://poke.idleworld.online/pokepedia/pokemon/pelipper</x:v>
      </x:c>
    </x:row>
    <x:row r="2526" ht="22" customHeight="1">
      <x:c r="A2526" s="1" t="n">
        <x:v>279</x:v>
      </x:c>
      <x:c r="B2526" s="1" t="str">
        <x:v>Pelipper</x:v>
      </x:c>
      <x:c r="C2526" s="1" t="n">
        <x:v>9</x:v>
      </x:c>
      <x:c r="D2526" s="1" t="str">
        <x:v>Swallow</x:v>
      </x:c>
      <x:c r="E2526" s="1" t="str">
        <x:v>Normal</x:v>
      </x:c>
      <x:c r="F2526" s="1" t="str">
        <x:v>Status</x:v>
      </x:c>
      <x:c r="G2526" s="10" t="n">
        <x:v>0</x:v>
      </x:c>
      <x:c r="H2526" s="10" t="str">
        <x:f>IF(F2526="Física",'Pokémon'!G275,IF(F2526="Especial",'Pokémon'!I275,""))</x:f>
      </x:c>
      <x:c r="I2526" s="10" t="str">
        <x:f>IF(OR(F2526="Status",G2526=0),"",G2526+H2526)</x:f>
      </x:c>
      <x:c r="J2526" s="10" t="n">
        <x:v>33</x:v>
      </x:c>
      <x:c r="K2526" s="12" t="n">
        <x:v>150</x:v>
      </x:c>
      <x:c r="L2526" s="1" t="str"/>
      <x:c r="M2526" s="9" t="str">
        <x:v>https://poke.idleworld.online/pokepedia/pokemon/pelipper</x:v>
      </x:c>
    </x:row>
    <x:row r="2527" ht="22" customHeight="1">
      <x:c r="A2527" s="1" t="n">
        <x:v>279</x:v>
      </x:c>
      <x:c r="B2527" s="1" t="str">
        <x:v>Pelipper</x:v>
      </x:c>
      <x:c r="C2527" s="1" t="n">
        <x:v>10</x:v>
      </x:c>
      <x:c r="D2527" s="1" t="str">
        <x:v>Stockpile</x:v>
      </x:c>
      <x:c r="E2527" s="1" t="str">
        <x:v>Normal</x:v>
      </x:c>
      <x:c r="F2527" s="1" t="str">
        <x:v>Status</x:v>
      </x:c>
      <x:c r="G2527" s="10" t="n">
        <x:v>0</x:v>
      </x:c>
      <x:c r="H2527" s="10" t="str">
        <x:f>IF(F2527="Física",'Pokémon'!G275,IF(F2527="Especial",'Pokémon'!I275,""))</x:f>
      </x:c>
      <x:c r="I2527" s="10" t="str">
        <x:f>IF(OR(F2527="Status",G2527=0),"",G2527+H2527)</x:f>
      </x:c>
      <x:c r="J2527" s="10" t="n">
        <x:v>33</x:v>
      </x:c>
      <x:c r="K2527" s="12" t="n">
        <x:v>5</x:v>
      </x:c>
      <x:c r="L2527" s="1" t="str"/>
      <x:c r="M2527" s="9" t="str">
        <x:v>https://poke.idleworld.online/pokepedia/pokemon/pelipper</x:v>
      </x:c>
    </x:row>
    <x:row r="2528" ht="22" customHeight="1">
      <x:c r="A2528" s="1" t="n">
        <x:v>280</x:v>
      </x:c>
      <x:c r="B2528" s="1" t="str">
        <x:v>Ralts</x:v>
      </x:c>
      <x:c r="C2528" s="1" t="n">
        <x:v>6</x:v>
      </x:c>
      <x:c r="D2528" s="1" t="str">
        <x:v>Future Sight</x:v>
      </x:c>
      <x:c r="E2528" s="1" t="str">
        <x:v>Psíquico</x:v>
      </x:c>
      <x:c r="F2528" s="1" t="str">
        <x:v>Especial</x:v>
      </x:c>
      <x:c r="G2528" s="10" t="n">
        <x:v>120</x:v>
      </x:c>
      <x:c r="H2528" s="10" t="n">
        <x:f>IF(F2528="Física",'Pokémon'!G276,IF(F2528="Especial",'Pokémon'!I276,""))</x:f>
        <x:v>45</x:v>
      </x:c>
      <x:c r="I2528" s="10" t="n">
        <x:f>IF(OR(F2528="Status",G2528=0),"",G2528+H2528)</x:f>
        <x:v>165</x:v>
      </x:c>
      <x:c r="J2528" s="10" t="n">
        <x:v>32</x:v>
      </x:c>
      <x:c r="K2528" s="12" t="n">
        <x:v>50</x:v>
      </x:c>
      <x:c r="L2528" s="1" t="str"/>
      <x:c r="M2528" s="9" t="str">
        <x:v>https://poke.idleworld.online/pokepedia/pokemon/ralts</x:v>
      </x:c>
    </x:row>
    <x:row r="2529" ht="22" customHeight="1">
      <x:c r="A2529" s="1" t="n">
        <x:v>280</x:v>
      </x:c>
      <x:c r="B2529" s="1" t="str">
        <x:v>Ralts</x:v>
      </x:c>
      <x:c r="C2529" s="1" t="n">
        <x:v>8</x:v>
      </x:c>
      <x:c r="D2529" s="1" t="str">
        <x:v>Dream Eater</x:v>
      </x:c>
      <x:c r="E2529" s="1" t="str">
        <x:v>Psíquico</x:v>
      </x:c>
      <x:c r="F2529" s="1" t="str">
        <x:v>Especial</x:v>
      </x:c>
      <x:c r="G2529" s="10" t="n">
        <x:v>100</x:v>
      </x:c>
      <x:c r="H2529" s="10" t="n">
        <x:f>IF(F2529="Física",'Pokémon'!G276,IF(F2529="Especial",'Pokémon'!I276,""))</x:f>
        <x:v>45</x:v>
      </x:c>
      <x:c r="I2529" s="10" t="n">
        <x:f>IF(OR(F2529="Status",G2529=0),"",G2529+H2529)</x:f>
        <x:v>145</x:v>
      </x:c>
      <x:c r="J2529" s="10" t="n">
        <x:v>39</x:v>
      </x:c>
      <x:c r="K2529" s="12" t="n">
        <x:v>40</x:v>
      </x:c>
      <x:c r="L2529" s="1" t="str"/>
      <x:c r="M2529" s="9" t="str">
        <x:v>https://poke.idleworld.online/pokepedia/pokemon/ralts</x:v>
      </x:c>
    </x:row>
    <x:row r="2530" ht="22" customHeight="1">
      <x:c r="A2530" s="1" t="n">
        <x:v>280</x:v>
      </x:c>
      <x:c r="B2530" s="1" t="str">
        <x:v>Ralts</x:v>
      </x:c>
      <x:c r="C2530" s="1" t="n">
        <x:v>5</x:v>
      </x:c>
      <x:c r="D2530" s="1" t="str">
        <x:v>Psychic</x:v>
      </x:c>
      <x:c r="E2530" s="1" t="str">
        <x:v>Psíquico</x:v>
      </x:c>
      <x:c r="F2530" s="1" t="str">
        <x:v>Especial</x:v>
      </x:c>
      <x:c r="G2530" s="10" t="n">
        <x:v>90</x:v>
      </x:c>
      <x:c r="H2530" s="10" t="n">
        <x:f>IF(F2530="Física",'Pokémon'!G276,IF(F2530="Especial",'Pokémon'!I276,""))</x:f>
        <x:v>45</x:v>
      </x:c>
      <x:c r="I2530" s="10" t="n">
        <x:f>IF(OR(F2530="Status",G2530=0),"",G2530+H2530)</x:f>
        <x:v>135</x:v>
      </x:c>
      <x:c r="J2530" s="10" t="n">
        <x:v>27</x:v>
      </x:c>
      <x:c r="K2530" s="12" t="n">
        <x:v>22</x:v>
      </x:c>
      <x:c r="L2530" s="1" t="str"/>
      <x:c r="M2530" s="9" t="str">
        <x:v>https://poke.idleworld.online/pokepedia/pokemon/ralts</x:v>
      </x:c>
    </x:row>
    <x:row r="2531" ht="22" customHeight="1">
      <x:c r="A2531" s="1" t="n">
        <x:v>280</x:v>
      </x:c>
      <x:c r="B2531" s="1" t="str">
        <x:v>Ralts</x:v>
      </x:c>
      <x:c r="C2531" s="1" t="n">
        <x:v>3</x:v>
      </x:c>
      <x:c r="D2531" s="1" t="str">
        <x:v>Magical Leaf</x:v>
      </x:c>
      <x:c r="E2531" s="1" t="str">
        <x:v>Planta</x:v>
      </x:c>
      <x:c r="F2531" s="1" t="str">
        <x:v>Especial</x:v>
      </x:c>
      <x:c r="G2531" s="10" t="n">
        <x:v>60</x:v>
      </x:c>
      <x:c r="H2531" s="10" t="n">
        <x:f>IF(F2531="Física",'Pokémon'!G276,IF(F2531="Especial",'Pokémon'!I276,""))</x:f>
        <x:v>45</x:v>
      </x:c>
      <x:c r="I2531" s="10" t="n">
        <x:f>IF(OR(F2531="Status",G2531=0),"",G2531+H2531)</x:f>
        <x:v>105</x:v>
      </x:c>
      <x:c r="J2531" s="10" t="n">
        <x:v>17</x:v>
      </x:c>
      <x:c r="K2531" s="12" t="n">
        <x:v>20</x:v>
      </x:c>
      <x:c r="L2531" s="1" t="str"/>
      <x:c r="M2531" s="9" t="str">
        <x:v>https://poke.idleworld.online/pokepedia/pokemon/ralts</x:v>
      </x:c>
    </x:row>
    <x:row r="2532" ht="22" customHeight="1">
      <x:c r="A2532" s="1" t="n">
        <x:v>280</x:v>
      </x:c>
      <x:c r="B2532" s="1" t="str">
        <x:v>Ralts</x:v>
      </x:c>
      <x:c r="C2532" s="1" t="n">
        <x:v>1</x:v>
      </x:c>
      <x:c r="D2532" s="1" t="str">
        <x:v>Confusion</x:v>
      </x:c>
      <x:c r="E2532" s="1" t="str">
        <x:v>Psíquico</x:v>
      </x:c>
      <x:c r="F2532" s="1" t="str">
        <x:v>Especial</x:v>
      </x:c>
      <x:c r="G2532" s="10" t="n">
        <x:v>50</x:v>
      </x:c>
      <x:c r="H2532" s="10" t="n">
        <x:f>IF(F2532="Física",'Pokémon'!G276,IF(F2532="Especial",'Pokémon'!I276,""))</x:f>
        <x:v>45</x:v>
      </x:c>
      <x:c r="I2532" s="10" t="n">
        <x:f>IF(OR(F2532="Status",G2532=0),"",G2532+H2532)</x:f>
        <x:v>95</x:v>
      </x:c>
      <x:c r="J2532" s="10" t="n">
        <x:v>4</x:v>
      </x:c>
      <x:c r="K2532" s="12" t="n">
        <x:v>25</x:v>
      </x:c>
      <x:c r="L2532" s="1" t="str"/>
      <x:c r="M2532" s="9" t="str">
        <x:v>https://poke.idleworld.online/pokepedia/pokemon/ralts</x:v>
      </x:c>
    </x:row>
    <x:row r="2533" ht="22" customHeight="1">
      <x:c r="A2533" s="1" t="n">
        <x:v>280</x:v>
      </x:c>
      <x:c r="B2533" s="1" t="str">
        <x:v>Ralts</x:v>
      </x:c>
      <x:c r="C2533" s="1" t="n">
        <x:v>4</x:v>
      </x:c>
      <x:c r="D2533" s="1" t="str">
        <x:v>Draining Kiss</x:v>
      </x:c>
      <x:c r="E2533" s="1" t="str">
        <x:v>Fada</x:v>
      </x:c>
      <x:c r="F2533" s="1" t="str">
        <x:v>Especial</x:v>
      </x:c>
      <x:c r="G2533" s="10" t="n">
        <x:v>50</x:v>
      </x:c>
      <x:c r="H2533" s="10" t="n">
        <x:f>IF(F2533="Física",'Pokémon'!G276,IF(F2533="Especial",'Pokémon'!I276,""))</x:f>
        <x:v>45</x:v>
      </x:c>
      <x:c r="I2533" s="10" t="n">
        <x:f>IF(OR(F2533="Status",G2533=0),"",G2533+H2533)</x:f>
        <x:v>95</x:v>
      </x:c>
      <x:c r="J2533" s="10" t="n">
        <x:v>22</x:v>
      </x:c>
      <x:c r="K2533" s="12" t="n">
        <x:v>15</x:v>
      </x:c>
      <x:c r="L2533" s="1" t="str"/>
      <x:c r="M2533" s="9" t="str">
        <x:v>https://poke.idleworld.online/pokepedia/pokemon/ralts</x:v>
      </x:c>
    </x:row>
    <x:row r="2534" ht="22" customHeight="1">
      <x:c r="A2534" s="1" t="n">
        <x:v>280</x:v>
      </x:c>
      <x:c r="B2534" s="1" t="str">
        <x:v>Ralts</x:v>
      </x:c>
      <x:c r="C2534" s="1" t="n">
        <x:v>2</x:v>
      </x:c>
      <x:c r="D2534" s="1" t="str">
        <x:v>Disarming Voice</x:v>
      </x:c>
      <x:c r="E2534" s="1" t="str">
        <x:v>Fada</x:v>
      </x:c>
      <x:c r="F2534" s="1" t="str">
        <x:v>Especial</x:v>
      </x:c>
      <x:c r="G2534" s="10" t="n">
        <x:v>40</x:v>
      </x:c>
      <x:c r="H2534" s="10" t="n">
        <x:f>IF(F2534="Física",'Pokémon'!G276,IF(F2534="Especial",'Pokémon'!I276,""))</x:f>
        <x:v>45</x:v>
      </x:c>
      <x:c r="I2534" s="10" t="n">
        <x:f>IF(OR(F2534="Status",G2534=0),"",G2534+H2534)</x:f>
        <x:v>85</x:v>
      </x:c>
      <x:c r="J2534" s="10" t="n">
        <x:v>11</x:v>
      </x:c>
      <x:c r="K2534" s="12" t="n">
        <x:v>15</x:v>
      </x:c>
      <x:c r="L2534" s="1" t="str"/>
      <x:c r="M2534" s="9" t="str">
        <x:v>https://poke.idleworld.online/pokepedia/pokemon/ralts</x:v>
      </x:c>
    </x:row>
    <x:row r="2535" ht="22" customHeight="1">
      <x:c r="A2535" s="1" t="n">
        <x:v>280</x:v>
      </x:c>
      <x:c r="B2535" s="1" t="str">
        <x:v>Ralts</x:v>
      </x:c>
      <x:c r="C2535" s="1" t="n">
        <x:v>9</x:v>
      </x:c>
      <x:c r="D2535" s="1" t="str">
        <x:v>Stored Power</x:v>
      </x:c>
      <x:c r="E2535" s="1" t="str">
        <x:v>Psíquico</x:v>
      </x:c>
      <x:c r="F2535" s="1" t="str">
        <x:v>Especial</x:v>
      </x:c>
      <x:c r="G2535" s="10" t="n">
        <x:v>20</x:v>
      </x:c>
      <x:c r="H2535" s="10" t="n">
        <x:f>IF(F2535="Física",'Pokémon'!G276,IF(F2535="Especial",'Pokémon'!I276,""))</x:f>
        <x:v>45</x:v>
      </x:c>
      <x:c r="I2535" s="10" t="n">
        <x:f>IF(OR(F2535="Status",G2535=0),"",G2535+H2535)</x:f>
        <x:v>65</x:v>
      </x:c>
      <x:c r="J2535" s="10" t="n">
        <x:v>42</x:v>
      </x:c>
      <x:c r="K2535" s="12" t="n">
        <x:v>15</x:v>
      </x:c>
      <x:c r="L2535" s="1" t="str"/>
      <x:c r="M2535" s="9" t="str">
        <x:v>https://poke.idleworld.online/pokepedia/pokemon/ralts</x:v>
      </x:c>
    </x:row>
    <x:row r="2536" ht="22" customHeight="1">
      <x:c r="A2536" s="1" t="n">
        <x:v>280</x:v>
      </x:c>
      <x:c r="B2536" s="1" t="str">
        <x:v>Ralts</x:v>
      </x:c>
      <x:c r="C2536" s="1" t="n">
        <x:v>7</x:v>
      </x:c>
      <x:c r="D2536" s="1" t="str">
        <x:v>Charm</x:v>
      </x:c>
      <x:c r="E2536" s="1" t="str">
        <x:v>Fada</x:v>
      </x:c>
      <x:c r="F2536" s="1" t="str">
        <x:v>Status</x:v>
      </x:c>
      <x:c r="G2536" s="10" t="n">
        <x:v>0</x:v>
      </x:c>
      <x:c r="H2536" s="10" t="str">
        <x:f>IF(F2536="Física",'Pokémon'!G276,IF(F2536="Especial",'Pokémon'!I276,""))</x:f>
      </x:c>
      <x:c r="I2536" s="10" t="str">
        <x:f>IF(OR(F2536="Status",G2536=0),"",G2536+H2536)</x:f>
      </x:c>
      <x:c r="J2536" s="10" t="n">
        <x:v>34</x:v>
      </x:c>
      <x:c r="K2536" s="12" t="n">
        <x:v>60</x:v>
      </x:c>
      <x:c r="L2536" s="1" t="str"/>
      <x:c r="M2536" s="9" t="str">
        <x:v>https://poke.idleworld.online/pokepedia/pokemon/ralts</x:v>
      </x:c>
    </x:row>
    <x:row r="2537" ht="22" customHeight="1">
      <x:c r="A2537" s="1" t="n">
        <x:v>281</x:v>
      </x:c>
      <x:c r="B2537" s="1" t="str">
        <x:v>Kirlia</x:v>
      </x:c>
      <x:c r="C2537" s="1" t="n">
        <x:v>6</x:v>
      </x:c>
      <x:c r="D2537" s="1" t="str">
        <x:v>Future Sight</x:v>
      </x:c>
      <x:c r="E2537" s="1" t="str">
        <x:v>Psíquico</x:v>
      </x:c>
      <x:c r="F2537" s="1" t="str">
        <x:v>Especial</x:v>
      </x:c>
      <x:c r="G2537" s="10" t="n">
        <x:v>120</x:v>
      </x:c>
      <x:c r="H2537" s="10" t="n">
        <x:f>IF(F2537="Física",'Pokémon'!G277,IF(F2537="Especial",'Pokémon'!I277,""))</x:f>
        <x:v>65</x:v>
      </x:c>
      <x:c r="I2537" s="10" t="n">
        <x:f>IF(OR(F2537="Status",G2537=0),"",G2537+H2537)</x:f>
        <x:v>185</x:v>
      </x:c>
      <x:c r="J2537" s="10" t="n">
        <x:v>37</x:v>
      </x:c>
      <x:c r="K2537" s="12" t="n">
        <x:v>50</x:v>
      </x:c>
      <x:c r="L2537" s="1" t="str"/>
      <x:c r="M2537" s="9" t="str">
        <x:v>https://poke.idleworld.online/pokepedia/pokemon/kirlia</x:v>
      </x:c>
    </x:row>
    <x:row r="2538" ht="22" customHeight="1">
      <x:c r="A2538" s="1" t="n">
        <x:v>281</x:v>
      </x:c>
      <x:c r="B2538" s="1" t="str">
        <x:v>Kirlia</x:v>
      </x:c>
      <x:c r="C2538" s="1" t="n">
        <x:v>8</x:v>
      </x:c>
      <x:c r="D2538" s="1" t="str">
        <x:v>Dream Eater</x:v>
      </x:c>
      <x:c r="E2538" s="1" t="str">
        <x:v>Psíquico</x:v>
      </x:c>
      <x:c r="F2538" s="1" t="str">
        <x:v>Especial</x:v>
      </x:c>
      <x:c r="G2538" s="10" t="n">
        <x:v>100</x:v>
      </x:c>
      <x:c r="H2538" s="10" t="n">
        <x:f>IF(F2538="Física",'Pokémon'!G277,IF(F2538="Especial",'Pokémon'!I277,""))</x:f>
        <x:v>65</x:v>
      </x:c>
      <x:c r="I2538" s="10" t="n">
        <x:f>IF(OR(F2538="Status",G2538=0),"",G2538+H2538)</x:f>
        <x:v>165</x:v>
      </x:c>
      <x:c r="J2538" s="10" t="n">
        <x:v>47</x:v>
      </x:c>
      <x:c r="K2538" s="12" t="n">
        <x:v>40</x:v>
      </x:c>
      <x:c r="L2538" s="1" t="str"/>
      <x:c r="M2538" s="9" t="str">
        <x:v>https://poke.idleworld.online/pokepedia/pokemon/kirlia</x:v>
      </x:c>
    </x:row>
    <x:row r="2539" ht="22" customHeight="1">
      <x:c r="A2539" s="1" t="n">
        <x:v>281</x:v>
      </x:c>
      <x:c r="B2539" s="1" t="str">
        <x:v>Kirlia</x:v>
      </x:c>
      <x:c r="C2539" s="1" t="n">
        <x:v>5</x:v>
      </x:c>
      <x:c r="D2539" s="1" t="str">
        <x:v>Psychic</x:v>
      </x:c>
      <x:c r="E2539" s="1" t="str">
        <x:v>Psíquico</x:v>
      </x:c>
      <x:c r="F2539" s="1" t="str">
        <x:v>Especial</x:v>
      </x:c>
      <x:c r="G2539" s="10" t="n">
        <x:v>90</x:v>
      </x:c>
      <x:c r="H2539" s="10" t="n">
        <x:f>IF(F2539="Física",'Pokémon'!G277,IF(F2539="Especial",'Pokémon'!I277,""))</x:f>
        <x:v>65</x:v>
      </x:c>
      <x:c r="I2539" s="10" t="n">
        <x:f>IF(OR(F2539="Status",G2539=0),"",G2539+H2539)</x:f>
        <x:v>155</x:v>
      </x:c>
      <x:c r="J2539" s="10" t="n">
        <x:v>30</x:v>
      </x:c>
      <x:c r="K2539" s="12" t="n">
        <x:v>22</x:v>
      </x:c>
      <x:c r="L2539" s="1" t="str"/>
      <x:c r="M2539" s="9" t="str">
        <x:v>https://poke.idleworld.online/pokepedia/pokemon/kirlia</x:v>
      </x:c>
    </x:row>
    <x:row r="2540" ht="22" customHeight="1">
      <x:c r="A2540" s="1" t="n">
        <x:v>281</x:v>
      </x:c>
      <x:c r="B2540" s="1" t="str">
        <x:v>Kirlia</x:v>
      </x:c>
      <x:c r="C2540" s="1" t="n">
        <x:v>3</x:v>
      </x:c>
      <x:c r="D2540" s="1" t="str">
        <x:v>Magical Leaf</x:v>
      </x:c>
      <x:c r="E2540" s="1" t="str">
        <x:v>Planta</x:v>
      </x:c>
      <x:c r="F2540" s="1" t="str">
        <x:v>Especial</x:v>
      </x:c>
      <x:c r="G2540" s="10" t="n">
        <x:v>60</x:v>
      </x:c>
      <x:c r="H2540" s="10" t="n">
        <x:f>IF(F2540="Física",'Pokémon'!G277,IF(F2540="Especial",'Pokémon'!I277,""))</x:f>
        <x:v>65</x:v>
      </x:c>
      <x:c r="I2540" s="10" t="n">
        <x:f>IF(OR(F2540="Status",G2540=0),"",G2540+H2540)</x:f>
        <x:v>125</x:v>
      </x:c>
      <x:c r="J2540" s="10" t="n">
        <x:v>17</x:v>
      </x:c>
      <x:c r="K2540" s="12" t="n">
        <x:v>20</x:v>
      </x:c>
      <x:c r="L2540" s="1" t="str"/>
      <x:c r="M2540" s="9" t="str">
        <x:v>https://poke.idleworld.online/pokepedia/pokemon/kirlia</x:v>
      </x:c>
    </x:row>
    <x:row r="2541" ht="22" customHeight="1">
      <x:c r="A2541" s="1" t="n">
        <x:v>281</x:v>
      </x:c>
      <x:c r="B2541" s="1" t="str">
        <x:v>Kirlia</x:v>
      </x:c>
      <x:c r="C2541" s="1" t="n">
        <x:v>1</x:v>
      </x:c>
      <x:c r="D2541" s="1" t="str">
        <x:v>Confusion</x:v>
      </x:c>
      <x:c r="E2541" s="1" t="str">
        <x:v>Psíquico</x:v>
      </x:c>
      <x:c r="F2541" s="1" t="str">
        <x:v>Especial</x:v>
      </x:c>
      <x:c r="G2541" s="10" t="n">
        <x:v>50</x:v>
      </x:c>
      <x:c r="H2541" s="10" t="n">
        <x:f>IF(F2541="Física",'Pokémon'!G277,IF(F2541="Especial",'Pokémon'!I277,""))</x:f>
        <x:v>65</x:v>
      </x:c>
      <x:c r="I2541" s="10" t="n">
        <x:f>IF(OR(F2541="Status",G2541=0),"",G2541+H2541)</x:f>
        <x:v>115</x:v>
      </x:c>
      <x:c r="J2541" s="10" t="n">
        <x:v>1</x:v>
      </x:c>
      <x:c r="K2541" s="12" t="n">
        <x:v>25</x:v>
      </x:c>
      <x:c r="L2541" s="1" t="str"/>
      <x:c r="M2541" s="9" t="str">
        <x:v>https://poke.idleworld.online/pokepedia/pokemon/kirlia</x:v>
      </x:c>
    </x:row>
    <x:row r="2542" ht="22" customHeight="1">
      <x:c r="A2542" s="1" t="n">
        <x:v>281</x:v>
      </x:c>
      <x:c r="B2542" s="1" t="str">
        <x:v>Kirlia</x:v>
      </x:c>
      <x:c r="C2542" s="1" t="n">
        <x:v>4</x:v>
      </x:c>
      <x:c r="D2542" s="1" t="str">
        <x:v>Draining Kiss</x:v>
      </x:c>
      <x:c r="E2542" s="1" t="str">
        <x:v>Fada</x:v>
      </x:c>
      <x:c r="F2542" s="1" t="str">
        <x:v>Especial</x:v>
      </x:c>
      <x:c r="G2542" s="10" t="n">
        <x:v>50</x:v>
      </x:c>
      <x:c r="H2542" s="10" t="n">
        <x:f>IF(F2542="Física",'Pokémon'!G277,IF(F2542="Especial",'Pokémon'!I277,""))</x:f>
        <x:v>65</x:v>
      </x:c>
      <x:c r="I2542" s="10" t="n">
        <x:f>IF(OR(F2542="Status",G2542=0),"",G2542+H2542)</x:f>
        <x:v>115</x:v>
      </x:c>
      <x:c r="J2542" s="10" t="n">
        <x:v>23</x:v>
      </x:c>
      <x:c r="K2542" s="12" t="n">
        <x:v>40</x:v>
      </x:c>
      <x:c r="L2542" s="1" t="str"/>
      <x:c r="M2542" s="9" t="str">
        <x:v>https://poke.idleworld.online/pokepedia/pokemon/kirlia</x:v>
      </x:c>
    </x:row>
    <x:row r="2543" ht="22" customHeight="1">
      <x:c r="A2543" s="1" t="n">
        <x:v>281</x:v>
      </x:c>
      <x:c r="B2543" s="1" t="str">
        <x:v>Kirlia</x:v>
      </x:c>
      <x:c r="C2543" s="1" t="n">
        <x:v>2</x:v>
      </x:c>
      <x:c r="D2543" s="1" t="str">
        <x:v>Disarming Voice</x:v>
      </x:c>
      <x:c r="E2543" s="1" t="str">
        <x:v>Fada</x:v>
      </x:c>
      <x:c r="F2543" s="1" t="str">
        <x:v>Especial</x:v>
      </x:c>
      <x:c r="G2543" s="10" t="n">
        <x:v>40</x:v>
      </x:c>
      <x:c r="H2543" s="10" t="n">
        <x:f>IF(F2543="Física",'Pokémon'!G277,IF(F2543="Especial",'Pokémon'!I277,""))</x:f>
        <x:v>65</x:v>
      </x:c>
      <x:c r="I2543" s="10" t="n">
        <x:f>IF(OR(F2543="Status",G2543=0),"",G2543+H2543)</x:f>
        <x:v>105</x:v>
      </x:c>
      <x:c r="J2543" s="10" t="n">
        <x:v>11</x:v>
      </x:c>
      <x:c r="K2543" s="12" t="n">
        <x:v>15</x:v>
      </x:c>
      <x:c r="L2543" s="1" t="str"/>
      <x:c r="M2543" s="9" t="str">
        <x:v>https://poke.idleworld.online/pokepedia/pokemon/kirlia</x:v>
      </x:c>
    </x:row>
    <x:row r="2544" ht="22" customHeight="1">
      <x:c r="A2544" s="1" t="n">
        <x:v>281</x:v>
      </x:c>
      <x:c r="B2544" s="1" t="str">
        <x:v>Kirlia</x:v>
      </x:c>
      <x:c r="C2544" s="1" t="n">
        <x:v>9</x:v>
      </x:c>
      <x:c r="D2544" s="1" t="str">
        <x:v>Stored Power</x:v>
      </x:c>
      <x:c r="E2544" s="1" t="str">
        <x:v>Psíquico</x:v>
      </x:c>
      <x:c r="F2544" s="1" t="str">
        <x:v>Especial</x:v>
      </x:c>
      <x:c r="G2544" s="10" t="n">
        <x:v>20</x:v>
      </x:c>
      <x:c r="H2544" s="10" t="n">
        <x:f>IF(F2544="Física",'Pokémon'!G277,IF(F2544="Especial",'Pokémon'!I277,""))</x:f>
        <x:v>65</x:v>
      </x:c>
      <x:c r="I2544" s="10" t="n">
        <x:f>IF(OR(F2544="Status",G2544=0),"",G2544+H2544)</x:f>
        <x:v>85</x:v>
      </x:c>
      <x:c r="J2544" s="10" t="n">
        <x:v>51</x:v>
      </x:c>
      <x:c r="K2544" s="12" t="n">
        <x:v>15</x:v>
      </x:c>
      <x:c r="L2544" s="1" t="str"/>
      <x:c r="M2544" s="9" t="str">
        <x:v>https://poke.idleworld.online/pokepedia/pokemon/kirlia</x:v>
      </x:c>
    </x:row>
    <x:row r="2545" ht="22" customHeight="1">
      <x:c r="A2545" s="1" t="n">
        <x:v>281</x:v>
      </x:c>
      <x:c r="B2545" s="1" t="str">
        <x:v>Kirlia</x:v>
      </x:c>
      <x:c r="C2545" s="1" t="n">
        <x:v>7</x:v>
      </x:c>
      <x:c r="D2545" s="1" t="str">
        <x:v>Charm</x:v>
      </x:c>
      <x:c r="E2545" s="1" t="str">
        <x:v>Fada</x:v>
      </x:c>
      <x:c r="F2545" s="1" t="str">
        <x:v>Status</x:v>
      </x:c>
      <x:c r="G2545" s="10" t="n">
        <x:v>0</x:v>
      </x:c>
      <x:c r="H2545" s="10" t="str">
        <x:f>IF(F2545="Física",'Pokémon'!G277,IF(F2545="Especial",'Pokémon'!I277,""))</x:f>
      </x:c>
      <x:c r="I2545" s="10" t="str">
        <x:f>IF(OR(F2545="Status",G2545=0),"",G2545+H2545)</x:f>
      </x:c>
      <x:c r="J2545" s="10" t="n">
        <x:v>40</x:v>
      </x:c>
      <x:c r="K2545" s="12" t="n">
        <x:v>60</x:v>
      </x:c>
      <x:c r="L2545" s="1" t="str"/>
      <x:c r="M2545" s="9" t="str">
        <x:v>https://poke.idleworld.online/pokepedia/pokemon/kirlia</x:v>
      </x:c>
    </x:row>
    <x:row r="2546" ht="22" customHeight="1">
      <x:c r="A2546" s="1" t="n">
        <x:v>282</x:v>
      </x:c>
      <x:c r="B2546" s="1" t="str">
        <x:v>Gardevoir</x:v>
      </x:c>
      <x:c r="C2546" s="1" t="n">
        <x:v>9</x:v>
      </x:c>
      <x:c r="D2546" s="1" t="str">
        <x:v>Future Sight</x:v>
      </x:c>
      <x:c r="E2546" s="1" t="str">
        <x:v>Psíquico</x:v>
      </x:c>
      <x:c r="F2546" s="1" t="str">
        <x:v>Especial</x:v>
      </x:c>
      <x:c r="G2546" s="10" t="n">
        <x:v>120</x:v>
      </x:c>
      <x:c r="H2546" s="10" t="n">
        <x:f>IF(F2546="Física",'Pokémon'!G278,IF(F2546="Especial",'Pokémon'!I278,""))</x:f>
        <x:v>125</x:v>
      </x:c>
      <x:c r="I2546" s="10" t="n">
        <x:f>IF(OR(F2546="Status",G2546=0),"",G2546+H2546)</x:f>
        <x:v>245</x:v>
      </x:c>
      <x:c r="J2546" s="10" t="n">
        <x:v>40</x:v>
      </x:c>
      <x:c r="K2546" s="12" t="n">
        <x:v>50</x:v>
      </x:c>
      <x:c r="L2546" s="1" t="str"/>
      <x:c r="M2546" s="9" t="str">
        <x:v>https://poke.idleworld.online/pokepedia/pokemon/gardevoir</x:v>
      </x:c>
    </x:row>
    <x:row r="2547" ht="22" customHeight="1">
      <x:c r="A2547" s="1" t="n">
        <x:v>282</x:v>
      </x:c>
      <x:c r="B2547" s="1" t="str">
        <x:v>Gardevoir</x:v>
      </x:c>
      <x:c r="C2547" s="1" t="n">
        <x:v>10</x:v>
      </x:c>
      <x:c r="D2547" s="1" t="str">
        <x:v>Dream Eater</x:v>
      </x:c>
      <x:c r="E2547" s="1" t="str">
        <x:v>Psíquico</x:v>
      </x:c>
      <x:c r="F2547" s="1" t="str">
        <x:v>Especial</x:v>
      </x:c>
      <x:c r="G2547" s="10" t="n">
        <x:v>100</x:v>
      </x:c>
      <x:c r="H2547" s="10" t="n">
        <x:f>IF(F2547="Física",'Pokémon'!G278,IF(F2547="Especial",'Pokémon'!I278,""))</x:f>
        <x:v>125</x:v>
      </x:c>
      <x:c r="I2547" s="10" t="n">
        <x:f>IF(OR(F2547="Status",G2547=0),"",G2547+H2547)</x:f>
        <x:v>225</x:v>
      </x:c>
      <x:c r="J2547" s="10" t="n">
        <x:v>53</x:v>
      </x:c>
      <x:c r="K2547" s="12" t="n">
        <x:v>40</x:v>
      </x:c>
      <x:c r="L2547" s="1" t="str"/>
      <x:c r="M2547" s="9" t="str">
        <x:v>https://poke.idleworld.online/pokepedia/pokemon/gardevoir</x:v>
      </x:c>
    </x:row>
    <x:row r="2548" ht="22" customHeight="1">
      <x:c r="A2548" s="1" t="n">
        <x:v>282</x:v>
      </x:c>
      <x:c r="B2548" s="1" t="str">
        <x:v>Gardevoir</x:v>
      </x:c>
      <x:c r="C2548" s="1" t="n">
        <x:v>4</x:v>
      </x:c>
      <x:c r="D2548" s="1" t="str">
        <x:v>Moonblast</x:v>
      </x:c>
      <x:c r="E2548" s="1" t="str">
        <x:v>Fada</x:v>
      </x:c>
      <x:c r="F2548" s="1" t="str">
        <x:v>Especial</x:v>
      </x:c>
      <x:c r="G2548" s="10" t="n">
        <x:v>95</x:v>
      </x:c>
      <x:c r="H2548" s="10" t="n">
        <x:f>IF(F2548="Física",'Pokémon'!G278,IF(F2548="Especial",'Pokémon'!I278,""))</x:f>
        <x:v>125</x:v>
      </x:c>
      <x:c r="I2548" s="10" t="n">
        <x:f>IF(OR(F2548="Status",G2548=0),"",G2548+H2548)</x:f>
        <x:v>220</x:v>
      </x:c>
      <x:c r="J2548" s="10" t="n">
        <x:v>1</x:v>
      </x:c>
      <x:c r="K2548" s="12" t="n">
        <x:v>50</x:v>
      </x:c>
      <x:c r="L2548" s="1" t="str"/>
      <x:c r="M2548" s="9" t="str">
        <x:v>https://poke.idleworld.online/pokepedia/pokemon/gardevoir</x:v>
      </x:c>
    </x:row>
    <x:row r="2549" ht="22" customHeight="1">
      <x:c r="A2549" s="1" t="n">
        <x:v>282</x:v>
      </x:c>
      <x:c r="B2549" s="1" t="str">
        <x:v>Gardevoir</x:v>
      </x:c>
      <x:c r="C2549" s="1" t="n">
        <x:v>8</x:v>
      </x:c>
      <x:c r="D2549" s="1" t="str">
        <x:v>Psychic</x:v>
      </x:c>
      <x:c r="E2549" s="1" t="str">
        <x:v>Psíquico</x:v>
      </x:c>
      <x:c r="F2549" s="1" t="str">
        <x:v>Especial</x:v>
      </x:c>
      <x:c r="G2549" s="10" t="n">
        <x:v>90</x:v>
      </x:c>
      <x:c r="H2549" s="10" t="n">
        <x:f>IF(F2549="Física",'Pokémon'!G278,IF(F2549="Especial",'Pokémon'!I278,""))</x:f>
        <x:v>125</x:v>
      </x:c>
      <x:c r="I2549" s="10" t="n">
        <x:f>IF(OR(F2549="Status",G2549=0),"",G2549+H2549)</x:f>
        <x:v>215</x:v>
      </x:c>
      <x:c r="J2549" s="10" t="n">
        <x:v>31</x:v>
      </x:c>
      <x:c r="K2549" s="12" t="n">
        <x:v>25</x:v>
      </x:c>
      <x:c r="L2549" s="1" t="str"/>
      <x:c r="M2549" s="9" t="str">
        <x:v>https://poke.idleworld.online/pokepedia/pokemon/gardevoir</x:v>
      </x:c>
    </x:row>
    <x:row r="2550" ht="22" customHeight="1">
      <x:c r="A2550" s="1" t="n">
        <x:v>282</x:v>
      </x:c>
      <x:c r="B2550" s="1" t="str">
        <x:v>Gardevoir</x:v>
      </x:c>
      <x:c r="C2550" s="1" t="n">
        <x:v>6</x:v>
      </x:c>
      <x:c r="D2550" s="1" t="str">
        <x:v>Magical Leaf</x:v>
      </x:c>
      <x:c r="E2550" s="1" t="str">
        <x:v>Planta</x:v>
      </x:c>
      <x:c r="F2550" s="1" t="str">
        <x:v>Especial</x:v>
      </x:c>
      <x:c r="G2550" s="10" t="n">
        <x:v>60</x:v>
      </x:c>
      <x:c r="H2550" s="10" t="n">
        <x:f>IF(F2550="Física",'Pokémon'!G278,IF(F2550="Especial",'Pokémon'!I278,""))</x:f>
        <x:v>125</x:v>
      </x:c>
      <x:c r="I2550" s="10" t="n">
        <x:f>IF(OR(F2550="Status",G2550=0),"",G2550+H2550)</x:f>
        <x:v>185</x:v>
      </x:c>
      <x:c r="J2550" s="10" t="n">
        <x:v>17</x:v>
      </x:c>
      <x:c r="K2550" s="12" t="n">
        <x:v>20</x:v>
      </x:c>
      <x:c r="L2550" s="1" t="str"/>
      <x:c r="M2550" s="9" t="str">
        <x:v>https://poke.idleworld.online/pokepedia/pokemon/gardevoir</x:v>
      </x:c>
    </x:row>
    <x:row r="2551" ht="22" customHeight="1">
      <x:c r="A2551" s="1" t="n">
        <x:v>282</x:v>
      </x:c>
      <x:c r="B2551" s="1" t="str">
        <x:v>Gardevoir</x:v>
      </x:c>
      <x:c r="C2551" s="1" t="n">
        <x:v>1</x:v>
      </x:c>
      <x:c r="D2551" s="1" t="str">
        <x:v>Confusion</x:v>
      </x:c>
      <x:c r="E2551" s="1" t="str">
        <x:v>Psíquico</x:v>
      </x:c>
      <x:c r="F2551" s="1" t="str">
        <x:v>Especial</x:v>
      </x:c>
      <x:c r="G2551" s="10" t="n">
        <x:v>50</x:v>
      </x:c>
      <x:c r="H2551" s="10" t="n">
        <x:f>IF(F2551="Física",'Pokémon'!G278,IF(F2551="Especial",'Pokémon'!I278,""))</x:f>
        <x:v>125</x:v>
      </x:c>
      <x:c r="I2551" s="10" t="n">
        <x:f>IF(OR(F2551="Status",G2551=0),"",G2551+H2551)</x:f>
        <x:v>175</x:v>
      </x:c>
      <x:c r="J2551" s="10" t="n">
        <x:v>1</x:v>
      </x:c>
      <x:c r="K2551" s="12" t="n">
        <x:v>25</x:v>
      </x:c>
      <x:c r="L2551" s="1" t="str"/>
      <x:c r="M2551" s="9" t="str">
        <x:v>https://poke.idleworld.online/pokepedia/pokemon/gardevoir</x:v>
      </x:c>
    </x:row>
    <x:row r="2552" ht="22" customHeight="1">
      <x:c r="A2552" s="1" t="n">
        <x:v>282</x:v>
      </x:c>
      <x:c r="B2552" s="1" t="str">
        <x:v>Gardevoir</x:v>
      </x:c>
      <x:c r="C2552" s="1" t="n">
        <x:v>7</x:v>
      </x:c>
      <x:c r="D2552" s="1" t="str">
        <x:v>Draining Kiss</x:v>
      </x:c>
      <x:c r="E2552" s="1" t="str">
        <x:v>Fada</x:v>
      </x:c>
      <x:c r="F2552" s="1" t="str">
        <x:v>Especial</x:v>
      </x:c>
      <x:c r="G2552" s="10" t="n">
        <x:v>50</x:v>
      </x:c>
      <x:c r="H2552" s="10" t="n">
        <x:f>IF(F2552="Física",'Pokémon'!G278,IF(F2552="Especial",'Pokémon'!I278,""))</x:f>
        <x:v>125</x:v>
      </x:c>
      <x:c r="I2552" s="10" t="n">
        <x:f>IF(OR(F2552="Status",G2552=0),"",G2552+H2552)</x:f>
        <x:v>175</x:v>
      </x:c>
      <x:c r="J2552" s="10" t="n">
        <x:v>23</x:v>
      </x:c>
      <x:c r="K2552" s="12" t="n">
        <x:v>15</x:v>
      </x:c>
      <x:c r="L2552" s="1" t="str"/>
      <x:c r="M2552" s="9" t="str">
        <x:v>https://poke.idleworld.online/pokepedia/pokemon/gardevoir</x:v>
      </x:c>
    </x:row>
    <x:row r="2553" ht="22" customHeight="1">
      <x:c r="A2553" s="1" t="n">
        <x:v>282</x:v>
      </x:c>
      <x:c r="B2553" s="1" t="str">
        <x:v>Gardevoir</x:v>
      </x:c>
      <x:c r="C2553" s="1" t="n">
        <x:v>5</x:v>
      </x:c>
      <x:c r="D2553" s="1" t="str">
        <x:v>Disarming Voice</x:v>
      </x:c>
      <x:c r="E2553" s="1" t="str">
        <x:v>Fada</x:v>
      </x:c>
      <x:c r="F2553" s="1" t="str">
        <x:v>Especial</x:v>
      </x:c>
      <x:c r="G2553" s="10" t="n">
        <x:v>40</x:v>
      </x:c>
      <x:c r="H2553" s="10" t="n">
        <x:f>IF(F2553="Física",'Pokémon'!G278,IF(F2553="Especial",'Pokémon'!I278,""))</x:f>
        <x:v>125</x:v>
      </x:c>
      <x:c r="I2553" s="10" t="n">
        <x:f>IF(OR(F2553="Status",G2553=0),"",G2553+H2553)</x:f>
        <x:v>165</x:v>
      </x:c>
      <x:c r="J2553" s="10" t="n">
        <x:v>11</x:v>
      </x:c>
      <x:c r="K2553" s="12" t="n">
        <x:v>15</x:v>
      </x:c>
      <x:c r="L2553" s="1" t="str"/>
      <x:c r="M2553" s="9" t="str">
        <x:v>https://poke.idleworld.online/pokepedia/pokemon/gardevoir</x:v>
      </x:c>
    </x:row>
    <x:row r="2554" ht="22" customHeight="1">
      <x:c r="A2554" s="1" t="n">
        <x:v>282</x:v>
      </x:c>
      <x:c r="B2554" s="1" t="str">
        <x:v>Gardevoir</x:v>
      </x:c>
      <x:c r="C2554" s="1" t="n">
        <x:v>2</x:v>
      </x:c>
      <x:c r="D2554" s="1" t="str">
        <x:v>Stored Power</x:v>
      </x:c>
      <x:c r="E2554" s="1" t="str">
        <x:v>Psíquico</x:v>
      </x:c>
      <x:c r="F2554" s="1" t="str">
        <x:v>Especial</x:v>
      </x:c>
      <x:c r="G2554" s="10" t="n">
        <x:v>20</x:v>
      </x:c>
      <x:c r="H2554" s="10" t="n">
        <x:f>IF(F2554="Física",'Pokémon'!G278,IF(F2554="Especial",'Pokémon'!I278,""))</x:f>
        <x:v>125</x:v>
      </x:c>
      <x:c r="I2554" s="10" t="n">
        <x:f>IF(OR(F2554="Status",G2554=0),"",G2554+H2554)</x:f>
        <x:v>145</x:v>
      </x:c>
      <x:c r="J2554" s="10" t="n">
        <x:v>1</x:v>
      </x:c>
      <x:c r="K2554" s="12" t="n">
        <x:v>60</x:v>
      </x:c>
      <x:c r="L2554" s="1" t="str"/>
      <x:c r="M2554" s="9" t="str">
        <x:v>https://poke.idleworld.online/pokepedia/pokemon/gardevoir</x:v>
      </x:c>
    </x:row>
    <x:row r="2555" ht="22" customHeight="1">
      <x:c r="A2555" s="1" t="n">
        <x:v>282</x:v>
      </x:c>
      <x:c r="B2555" s="1" t="str">
        <x:v>Gardevoir</x:v>
      </x:c>
      <x:c r="C2555" s="1" t="n">
        <x:v>3</x:v>
      </x:c>
      <x:c r="D2555" s="1" t="str">
        <x:v>Healing Wish</x:v>
      </x:c>
      <x:c r="E2555" s="1" t="str">
        <x:v>Psíquico</x:v>
      </x:c>
      <x:c r="F2555" s="1" t="str">
        <x:v>Status</x:v>
      </x:c>
      <x:c r="G2555" s="10" t="n">
        <x:v>0</x:v>
      </x:c>
      <x:c r="H2555" s="10" t="str">
        <x:f>IF(F2555="Física",'Pokémon'!G278,IF(F2555="Especial",'Pokémon'!I278,""))</x:f>
      </x:c>
      <x:c r="I2555" s="10" t="str">
        <x:f>IF(OR(F2555="Status",G2555=0),"",G2555+H2555)</x:f>
      </x:c>
      <x:c r="J2555" s="10" t="n">
        <x:v>1</x:v>
      </x:c>
      <x:c r="K2555" s="12" t="n">
        <x:v>150</x:v>
      </x:c>
      <x:c r="L2555" s="1" t="str"/>
      <x:c r="M2555" s="9" t="str">
        <x:v>https://poke.idleworld.online/pokepedia/pokemon/gardevoir</x:v>
      </x:c>
    </x:row>
    <x:row r="2556" ht="22" customHeight="1">
      <x:c r="A2556" s="1" t="n">
        <x:v>287</x:v>
      </x:c>
      <x:c r="B2556" s="1" t="str">
        <x:v>Slakoth</x:v>
      </x:c>
      <x:c r="C2556" s="1" t="n">
        <x:v>7</x:v>
      </x:c>
      <x:c r="D2556" s="1" t="str">
        <x:v>Play Rough</x:v>
      </x:c>
      <x:c r="E2556" s="1" t="str">
        <x:v>Fada</x:v>
      </x:c>
      <x:c r="F2556" s="1" t="str">
        <x:v>Física</x:v>
      </x:c>
      <x:c r="G2556" s="10" t="n">
        <x:v>90</x:v>
      </x:c>
      <x:c r="H2556" s="10" t="n">
        <x:f>IF(F2556="Física",'Pokémon'!G279,IF(F2556="Especial",'Pokémon'!I279,""))</x:f>
        <x:v>60</x:v>
      </x:c>
      <x:c r="I2556" s="10" t="n">
        <x:f>IF(OR(F2556="Status",G2556=0),"",G2556+H2556)</x:f>
        <x:v>150</x:v>
      </x:c>
      <x:c r="J2556" s="10" t="n">
        <x:v>38</x:v>
      </x:c>
      <x:c r="K2556" s="12" t="n">
        <x:v>22</x:v>
      </x:c>
      <x:c r="L2556" s="1" t="str"/>
      <x:c r="M2556" s="9" t="str">
        <x:v>https://poke.idleworld.online/pokepedia/pokemon/slakoth</x:v>
      </x:c>
    </x:row>
    <x:row r="2557" ht="22" customHeight="1">
      <x:c r="A2557" s="1" t="n">
        <x:v>287</x:v>
      </x:c>
      <x:c r="B2557" s="1" t="str">
        <x:v>Slakoth</x:v>
      </x:c>
      <x:c r="C2557" s="1" t="n">
        <x:v>6</x:v>
      </x:c>
      <x:c r="D2557" s="1" t="str">
        <x:v>Chip Away</x:v>
      </x:c>
      <x:c r="E2557" s="1" t="str">
        <x:v>Normal</x:v>
      </x:c>
      <x:c r="F2557" s="1" t="str">
        <x:v>Física</x:v>
      </x:c>
      <x:c r="G2557" s="10" t="n">
        <x:v>70</x:v>
      </x:c>
      <x:c r="H2557" s="10" t="n">
        <x:f>IF(F2557="Física",'Pokémon'!G279,IF(F2557="Especial",'Pokémon'!I279,""))</x:f>
        <x:v>60</x:v>
      </x:c>
      <x:c r="I2557" s="10" t="n">
        <x:f>IF(OR(F2557="Status",G2557=0),"",G2557+H2557)</x:f>
        <x:v>130</x:v>
      </x:c>
      <x:c r="J2557" s="10" t="n">
        <x:v>25</x:v>
      </x:c>
      <x:c r="K2557" s="12" t="n">
        <x:v>20</x:v>
      </x:c>
      <x:c r="L2557" s="1" t="str"/>
      <x:c r="M2557" s="9" t="str">
        <x:v>https://poke.idleworld.online/pokepedia/pokemon/slakoth</x:v>
      </x:c>
    </x:row>
    <x:row r="2558" ht="22" customHeight="1">
      <x:c r="A2558" s="1" t="n">
        <x:v>287</x:v>
      </x:c>
      <x:c r="B2558" s="1" t="str">
        <x:v>Slakoth</x:v>
      </x:c>
      <x:c r="C2558" s="1" t="n">
        <x:v>4</x:v>
      </x:c>
      <x:c r="D2558" s="1" t="str">
        <x:v>Feint Attack</x:v>
      </x:c>
      <x:c r="E2558" s="1" t="str">
        <x:v>Sombrio</x:v>
      </x:c>
      <x:c r="F2558" s="1" t="str">
        <x:v>Física</x:v>
      </x:c>
      <x:c r="G2558" s="10" t="n">
        <x:v>60</x:v>
      </x:c>
      <x:c r="H2558" s="10" t="n">
        <x:f>IF(F2558="Física",'Pokémon'!G279,IF(F2558="Especial",'Pokémon'!I279,""))</x:f>
        <x:v>60</x:v>
      </x:c>
      <x:c r="I2558" s="10" t="n">
        <x:f>IF(OR(F2558="Status",G2558=0),"",G2558+H2558)</x:f>
        <x:v>120</x:v>
      </x:c>
      <x:c r="J2558" s="10" t="n">
        <x:v>14</x:v>
      </x:c>
      <x:c r="K2558" s="12" t="n">
        <x:v>20</x:v>
      </x:c>
      <x:c r="L2558" s="1" t="str"/>
      <x:c r="M2558" s="9" t="str">
        <x:v>https://poke.idleworld.online/pokepedia/pokemon/slakoth</x:v>
      </x:c>
    </x:row>
    <x:row r="2559" ht="22" customHeight="1">
      <x:c r="A2559" s="1" t="n">
        <x:v>287</x:v>
      </x:c>
      <x:c r="B2559" s="1" t="str">
        <x:v>Slakoth</x:v>
      </x:c>
      <x:c r="C2559" s="1" t="n">
        <x:v>5</x:v>
      </x:c>
      <x:c r="D2559" s="1" t="str">
        <x:v>Covet</x:v>
      </x:c>
      <x:c r="E2559" s="1" t="str">
        <x:v>Normal</x:v>
      </x:c>
      <x:c r="F2559" s="1" t="str">
        <x:v>Física</x:v>
      </x:c>
      <x:c r="G2559" s="10" t="n">
        <x:v>60</x:v>
      </x:c>
      <x:c r="H2559" s="10" t="n">
        <x:f>IF(F2559="Física",'Pokémon'!G279,IF(F2559="Especial",'Pokémon'!I279,""))</x:f>
        <x:v>60</x:v>
      </x:c>
      <x:c r="I2559" s="10" t="n">
        <x:f>IF(OR(F2559="Status",G2559=0),"",G2559+H2559)</x:f>
        <x:v>120</x:v>
      </x:c>
      <x:c r="J2559" s="10" t="n">
        <x:v>22</x:v>
      </x:c>
      <x:c r="K2559" s="12" t="n">
        <x:v>20</x:v>
      </x:c>
      <x:c r="L2559" s="1" t="str"/>
      <x:c r="M2559" s="9" t="str">
        <x:v>https://poke.idleworld.online/pokepedia/pokemon/slakoth</x:v>
      </x:c>
    </x:row>
    <x:row r="2560" ht="22" customHeight="1">
      <x:c r="A2560" s="1" t="n">
        <x:v>287</x:v>
      </x:c>
      <x:c r="B2560" s="1" t="str">
        <x:v>Slakoth</x:v>
      </x:c>
      <x:c r="C2560" s="1" t="n">
        <x:v>2</x:v>
      </x:c>
      <x:c r="D2560" s="1" t="str">
        <x:v>Scratch</x:v>
      </x:c>
      <x:c r="E2560" s="1" t="str">
        <x:v>Normal</x:v>
      </x:c>
      <x:c r="F2560" s="1" t="str">
        <x:v>Física</x:v>
      </x:c>
      <x:c r="G2560" s="10" t="n">
        <x:v>40</x:v>
      </x:c>
      <x:c r="H2560" s="10" t="n">
        <x:f>IF(F2560="Física",'Pokémon'!G279,IF(F2560="Especial",'Pokémon'!I279,""))</x:f>
        <x:v>60</x:v>
      </x:c>
      <x:c r="I2560" s="10" t="n">
        <x:f>IF(OR(F2560="Status",G2560=0),"",G2560+H2560)</x:f>
        <x:v>100</x:v>
      </x:c>
      <x:c r="J2560" s="10" t="n">
        <x:v>1</x:v>
      </x:c>
      <x:c r="K2560" s="12" t="n">
        <x:v>8</x:v>
      </x:c>
      <x:c r="L2560" s="1" t="str"/>
      <x:c r="M2560" s="9" t="str">
        <x:v>https://poke.idleworld.online/pokepedia/pokemon/slakoth</x:v>
      </x:c>
    </x:row>
    <x:row r="2561" ht="22" customHeight="1">
      <x:c r="A2561" s="1" t="n">
        <x:v>287</x:v>
      </x:c>
      <x:c r="B2561" s="1" t="str">
        <x:v>Slakoth</x:v>
      </x:c>
      <x:c r="C2561" s="1" t="n">
        <x:v>1</x:v>
      </x:c>
      <x:c r="D2561" s="1" t="str">
        <x:v>Yawn</x:v>
      </x:c>
      <x:c r="E2561" s="1" t="str">
        <x:v>Normal</x:v>
      </x:c>
      <x:c r="F2561" s="1" t="str">
        <x:v>Status</x:v>
      </x:c>
      <x:c r="G2561" s="10" t="n">
        <x:v>0</x:v>
      </x:c>
      <x:c r="H2561" s="10" t="str">
        <x:f>IF(F2561="Física",'Pokémon'!G279,IF(F2561="Especial",'Pokémon'!I279,""))</x:f>
      </x:c>
      <x:c r="I2561" s="10" t="str">
        <x:f>IF(OR(F2561="Status",G2561=0),"",G2561+H2561)</x:f>
      </x:c>
      <x:c r="J2561" s="10" t="n">
        <x:v>1</x:v>
      </x:c>
      <x:c r="K2561" s="12" t="n">
        <x:v>50</x:v>
      </x:c>
      <x:c r="L2561" s="1" t="str"/>
      <x:c r="M2561" s="9" t="str">
        <x:v>https://poke.idleworld.online/pokepedia/pokemon/slakoth</x:v>
      </x:c>
    </x:row>
    <x:row r="2562" ht="22" customHeight="1">
      <x:c r="A2562" s="1" t="n">
        <x:v>287</x:v>
      </x:c>
      <x:c r="B2562" s="1" t="str">
        <x:v>Slakoth</x:v>
      </x:c>
      <x:c r="C2562" s="1" t="n">
        <x:v>3</x:v>
      </x:c>
      <x:c r="D2562" s="1" t="str">
        <x:v>Slack Off</x:v>
      </x:c>
      <x:c r="E2562" s="1" t="str">
        <x:v>Normal</x:v>
      </x:c>
      <x:c r="F2562" s="1" t="str">
        <x:v>Status</x:v>
      </x:c>
      <x:c r="G2562" s="10" t="n">
        <x:v>0</x:v>
      </x:c>
      <x:c r="H2562" s="10" t="str">
        <x:f>IF(F2562="Física",'Pokémon'!G279,IF(F2562="Especial",'Pokémon'!I279,""))</x:f>
      </x:c>
      <x:c r="I2562" s="10" t="str">
        <x:f>IF(OR(F2562="Status",G2562=0),"",G2562+H2562)</x:f>
      </x:c>
      <x:c r="J2562" s="10" t="n">
        <x:v>9</x:v>
      </x:c>
      <x:c r="K2562" s="12" t="n">
        <x:v>60</x:v>
      </x:c>
      <x:c r="L2562" s="1" t="str"/>
      <x:c r="M2562" s="9" t="str">
        <x:v>https://poke.idleworld.online/pokepedia/pokemon/slakoth</x:v>
      </x:c>
    </x:row>
    <x:row r="2563" ht="22" customHeight="1">
      <x:c r="A2563" s="1" t="n">
        <x:v>288</x:v>
      </x:c>
      <x:c r="B2563" s="1" t="str">
        <x:v>Vigoroth</x:v>
      </x:c>
      <x:c r="C2563" s="1" t="n">
        <x:v>8</x:v>
      </x:c>
      <x:c r="D2563" s="1" t="str">
        <x:v>Focus Punch</x:v>
      </x:c>
      <x:c r="E2563" s="1" t="str">
        <x:v>Lutador</x:v>
      </x:c>
      <x:c r="F2563" s="1" t="str">
        <x:v>Física</x:v>
      </x:c>
      <x:c r="G2563" s="10" t="n">
        <x:v>150</x:v>
      </x:c>
      <x:c r="H2563" s="10" t="n">
        <x:f>IF(F2563="Física",'Pokémon'!G280,IF(F2563="Especial",'Pokémon'!I280,""))</x:f>
        <x:v>80</x:v>
      </x:c>
      <x:c r="I2563" s="10" t="n">
        <x:f>IF(OR(F2563="Status",G2563=0),"",G2563+H2563)</x:f>
        <x:v>230</x:v>
      </x:c>
      <x:c r="J2563" s="10" t="n">
        <x:v>37</x:v>
      </x:c>
      <x:c r="K2563" s="12" t="n">
        <x:v>50</x:v>
      </x:c>
      <x:c r="L2563" s="1" t="str"/>
      <x:c r="M2563" s="9" t="str">
        <x:v>https://poke.idleworld.online/pokepedia/pokemon/vigoroth</x:v>
      </x:c>
    </x:row>
    <x:row r="2564" ht="22" customHeight="1">
      <x:c r="A2564" s="1" t="n">
        <x:v>288</x:v>
      </x:c>
      <x:c r="B2564" s="1" t="str">
        <x:v>Vigoroth</x:v>
      </x:c>
      <x:c r="C2564" s="1" t="n">
        <x:v>2</x:v>
      </x:c>
      <x:c r="D2564" s="1" t="str">
        <x:v>Reversal</x:v>
      </x:c>
      <x:c r="E2564" s="1" t="str">
        <x:v>Lutador</x:v>
      </x:c>
      <x:c r="F2564" s="1" t="str">
        <x:v>Física</x:v>
      </x:c>
      <x:c r="G2564" s="10" t="n">
        <x:v>100</x:v>
      </x:c>
      <x:c r="H2564" s="10" t="n">
        <x:f>IF(F2564="Física",'Pokémon'!G280,IF(F2564="Especial",'Pokémon'!I280,""))</x:f>
        <x:v>80</x:v>
      </x:c>
      <x:c r="I2564" s="10" t="n">
        <x:f>IF(OR(F2564="Status",G2564=0),"",G2564+H2564)</x:f>
        <x:v>180</x:v>
      </x:c>
      <x:c r="J2564" s="10" t="n">
        <x:v>1</x:v>
      </x:c>
      <x:c r="K2564" s="12" t="n">
        <x:v>50</x:v>
      </x:c>
      <x:c r="L2564" s="1" t="str"/>
      <x:c r="M2564" s="9" t="str">
        <x:v>https://poke.idleworld.online/pokepedia/pokemon/vigoroth</x:v>
      </x:c>
    </x:row>
    <x:row r="2565" ht="22" customHeight="1">
      <x:c r="A2565" s="1" t="n">
        <x:v>288</x:v>
      </x:c>
      <x:c r="B2565" s="1" t="str">
        <x:v>Vigoroth</x:v>
      </x:c>
      <x:c r="C2565" s="1" t="n">
        <x:v>6</x:v>
      </x:c>
      <x:c r="D2565" s="1" t="str">
        <x:v>Slash</x:v>
      </x:c>
      <x:c r="E2565" s="1" t="str">
        <x:v>Normal</x:v>
      </x:c>
      <x:c r="F2565" s="1" t="str">
        <x:v>Física</x:v>
      </x:c>
      <x:c r="G2565" s="10" t="n">
        <x:v>70</x:v>
      </x:c>
      <x:c r="H2565" s="10" t="n">
        <x:f>IF(F2565="Física",'Pokémon'!G280,IF(F2565="Especial",'Pokémon'!I280,""))</x:f>
        <x:v>80</x:v>
      </x:c>
      <x:c r="I2565" s="10" t="n">
        <x:f>IF(OR(F2565="Status",G2565=0),"",G2565+H2565)</x:f>
        <x:v>150</x:v>
      </x:c>
      <x:c r="J2565" s="10" t="n">
        <x:v>23</x:v>
      </x:c>
      <x:c r="K2565" s="12" t="n">
        <x:v>20</x:v>
      </x:c>
      <x:c r="L2565" s="1" t="str"/>
      <x:c r="M2565" s="9" t="str">
        <x:v>https://poke.idleworld.online/pokepedia/pokemon/vigoroth</x:v>
      </x:c>
    </x:row>
    <x:row r="2566" ht="22" customHeight="1">
      <x:c r="A2566" s="1" t="n">
        <x:v>288</x:v>
      </x:c>
      <x:c r="B2566" s="1" t="str">
        <x:v>Vigoroth</x:v>
      </x:c>
      <x:c r="C2566" s="1" t="n">
        <x:v>7</x:v>
      </x:c>
      <x:c r="D2566" s="1" t="str">
        <x:v>Chip Away</x:v>
      </x:c>
      <x:c r="E2566" s="1" t="str">
        <x:v>Normal</x:v>
      </x:c>
      <x:c r="F2566" s="1" t="str">
        <x:v>Física</x:v>
      </x:c>
      <x:c r="G2566" s="10" t="n">
        <x:v>70</x:v>
      </x:c>
      <x:c r="H2566" s="10" t="n">
        <x:f>IF(F2566="Física",'Pokémon'!G280,IF(F2566="Especial",'Pokémon'!I280,""))</x:f>
        <x:v>80</x:v>
      </x:c>
      <x:c r="I2566" s="10" t="n">
        <x:f>IF(OR(F2566="Status",G2566=0),"",G2566+H2566)</x:f>
        <x:v>150</x:v>
      </x:c>
      <x:c r="J2566" s="10" t="n">
        <x:v>27</x:v>
      </x:c>
      <x:c r="K2566" s="12" t="n">
        <x:v>20</x:v>
      </x:c>
      <x:c r="L2566" s="1" t="str"/>
      <x:c r="M2566" s="9" t="str">
        <x:v>https://poke.idleworld.online/pokepedia/pokemon/vigoroth</x:v>
      </x:c>
    </x:row>
    <x:row r="2567" ht="22" customHeight="1">
      <x:c r="A2567" s="1" t="n">
        <x:v>288</x:v>
      </x:c>
      <x:c r="B2567" s="1" t="str">
        <x:v>Vigoroth</x:v>
      </x:c>
      <x:c r="C2567" s="1" t="n">
        <x:v>4</x:v>
      </x:c>
      <x:c r="D2567" s="1" t="str">
        <x:v>Uproar</x:v>
      </x:c>
      <x:c r="E2567" s="1" t="str">
        <x:v>Normal</x:v>
      </x:c>
      <x:c r="F2567" s="1" t="str">
        <x:v>Especial</x:v>
      </x:c>
      <x:c r="G2567" s="10" t="n">
        <x:v>90</x:v>
      </x:c>
      <x:c r="H2567" s="10" t="n">
        <x:f>IF(F2567="Física",'Pokémon'!G280,IF(F2567="Especial",'Pokémon'!I280,""))</x:f>
        <x:v>55</x:v>
      </x:c>
      <x:c r="I2567" s="10" t="n">
        <x:f>IF(OR(F2567="Status",G2567=0),"",G2567+H2567)</x:f>
        <x:v>145</x:v>
      </x:c>
      <x:c r="J2567" s="10" t="n">
        <x:v>1</x:v>
      </x:c>
      <x:c r="K2567" s="12" t="n">
        <x:v>22</x:v>
      </x:c>
      <x:c r="L2567" s="1" t="str"/>
      <x:c r="M2567" s="9" t="str">
        <x:v>https://poke.idleworld.online/pokepedia/pokemon/vigoroth</x:v>
      </x:c>
    </x:row>
    <x:row r="2568" ht="22" customHeight="1">
      <x:c r="A2568" s="1" t="n">
        <x:v>288</x:v>
      </x:c>
      <x:c r="B2568" s="1" t="str">
        <x:v>Vigoroth</x:v>
      </x:c>
      <x:c r="C2568" s="1" t="n">
        <x:v>1</x:v>
      </x:c>
      <x:c r="D2568" s="1" t="str">
        <x:v>Scratch</x:v>
      </x:c>
      <x:c r="E2568" s="1" t="str">
        <x:v>Normal</x:v>
      </x:c>
      <x:c r="F2568" s="1" t="str">
        <x:v>Física</x:v>
      </x:c>
      <x:c r="G2568" s="10" t="n">
        <x:v>40</x:v>
      </x:c>
      <x:c r="H2568" s="10" t="n">
        <x:f>IF(F2568="Física",'Pokémon'!G280,IF(F2568="Especial",'Pokémon'!I280,""))</x:f>
        <x:v>80</x:v>
      </x:c>
      <x:c r="I2568" s="10" t="n">
        <x:f>IF(OR(F2568="Status",G2568=0),"",G2568+H2568)</x:f>
        <x:v>120</x:v>
      </x:c>
      <x:c r="J2568" s="10" t="n">
        <x:v>1</x:v>
      </x:c>
      <x:c r="K2568" s="12" t="n">
        <x:v>8</x:v>
      </x:c>
      <x:c r="L2568" s="1" t="str"/>
      <x:c r="M2568" s="9" t="str">
        <x:v>https://poke.idleworld.online/pokepedia/pokemon/vigoroth</x:v>
      </x:c>
    </x:row>
    <x:row r="2569" ht="22" customHeight="1">
      <x:c r="A2569" s="1" t="n">
        <x:v>288</x:v>
      </x:c>
      <x:c r="B2569" s="1" t="str">
        <x:v>Vigoroth</x:v>
      </x:c>
      <x:c r="C2569" s="1" t="n">
        <x:v>5</x:v>
      </x:c>
      <x:c r="D2569" s="1" t="str">
        <x:v>Fury Swipes</x:v>
      </x:c>
      <x:c r="E2569" s="1" t="str">
        <x:v>Normal</x:v>
      </x:c>
      <x:c r="F2569" s="1" t="str">
        <x:v>Física</x:v>
      </x:c>
      <x:c r="G2569" s="10" t="n">
        <x:v>18</x:v>
      </x:c>
      <x:c r="H2569" s="10" t="n">
        <x:f>IF(F2569="Física",'Pokémon'!G280,IF(F2569="Especial",'Pokémon'!I280,""))</x:f>
        <x:v>80</x:v>
      </x:c>
      <x:c r="I2569" s="10" t="n">
        <x:f>IF(OR(F2569="Status",G2569=0),"",G2569+H2569)</x:f>
        <x:v>98</x:v>
      </x:c>
      <x:c r="J2569" s="10" t="n">
        <x:v>14</x:v>
      </x:c>
      <x:c r="K2569" s="12" t="n">
        <x:v>15</x:v>
      </x:c>
      <x:c r="L2569" s="1" t="str"/>
      <x:c r="M2569" s="9" t="str">
        <x:v>https://poke.idleworld.online/pokepedia/pokemon/vigoroth</x:v>
      </x:c>
    </x:row>
    <x:row r="2570" ht="22" customHeight="1">
      <x:c r="A2570" s="1" t="n">
        <x:v>288</x:v>
      </x:c>
      <x:c r="B2570" s="1" t="str">
        <x:v>Vigoroth</x:v>
      </x:c>
      <x:c r="C2570" s="1" t="n">
        <x:v>3</x:v>
      </x:c>
      <x:c r="D2570" s="1" t="str">
        <x:v>Focus Energy</x:v>
      </x:c>
      <x:c r="E2570" s="1" t="str">
        <x:v>Normal</x:v>
      </x:c>
      <x:c r="F2570" s="1" t="str">
        <x:v>Status</x:v>
      </x:c>
      <x:c r="G2570" s="10" t="n">
        <x:v>0</x:v>
      </x:c>
      <x:c r="H2570" s="10" t="str">
        <x:f>IF(F2570="Física",'Pokémon'!G280,IF(F2570="Especial",'Pokémon'!I280,""))</x:f>
      </x:c>
      <x:c r="I2570" s="10" t="str">
        <x:f>IF(OR(F2570="Status",G2570=0),"",G2570+H2570)</x:f>
      </x:c>
      <x:c r="J2570" s="10" t="n">
        <x:v>1</x:v>
      </x:c>
      <x:c r="K2570" s="12" t="n">
        <x:v>50</x:v>
      </x:c>
      <x:c r="L2570" s="1" t="str"/>
      <x:c r="M2570" s="9" t="str">
        <x:v>https://poke.idleworld.online/pokepedia/pokemon/vigoroth</x:v>
      </x:c>
    </x:row>
    <x:row r="2571" ht="22" customHeight="1">
      <x:c r="A2571" s="1" t="n">
        <x:v>289</x:v>
      </x:c>
      <x:c r="B2571" s="1" t="str">
        <x:v>Slaking</x:v>
      </x:c>
      <x:c r="C2571" s="1" t="n">
        <x:v>2</x:v>
      </x:c>
      <x:c r="D2571" s="1" t="str">
        <x:v>Hammer Arm</x:v>
      </x:c>
      <x:c r="E2571" s="1" t="str">
        <x:v>Lutador</x:v>
      </x:c>
      <x:c r="F2571" s="1" t="str">
        <x:v>Física</x:v>
      </x:c>
      <x:c r="G2571" s="10" t="n">
        <x:v>100</x:v>
      </x:c>
      <x:c r="H2571" s="10" t="n">
        <x:f>IF(F2571="Física",'Pokémon'!G281,IF(F2571="Especial",'Pokémon'!I281,""))</x:f>
        <x:v>160</x:v>
      </x:c>
      <x:c r="I2571" s="10" t="n">
        <x:f>IF(OR(F2571="Status",G2571=0),"",G2571+H2571)</x:f>
        <x:v>260</x:v>
      </x:c>
      <x:c r="J2571" s="10" t="n">
        <x:v>1</x:v>
      </x:c>
      <x:c r="K2571" s="12" t="n">
        <x:v>40</x:v>
      </x:c>
      <x:c r="L2571" s="1" t="str"/>
      <x:c r="M2571" s="9" t="str">
        <x:v>https://poke.idleworld.online/pokepedia/pokemon/slaking</x:v>
      </x:c>
    </x:row>
    <x:row r="2572" ht="22" customHeight="1">
      <x:c r="A2572" s="1" t="n">
        <x:v>289</x:v>
      </x:c>
      <x:c r="B2572" s="1" t="str">
        <x:v>Slaking</x:v>
      </x:c>
      <x:c r="C2572" s="1" t="n">
        <x:v>5</x:v>
      </x:c>
      <x:c r="D2572" s="1" t="str">
        <x:v>Chip Away</x:v>
      </x:c>
      <x:c r="E2572" s="1" t="str">
        <x:v>Normal</x:v>
      </x:c>
      <x:c r="F2572" s="1" t="str">
        <x:v>Física</x:v>
      </x:c>
      <x:c r="G2572" s="10" t="n">
        <x:v>70</x:v>
      </x:c>
      <x:c r="H2572" s="10" t="n">
        <x:f>IF(F2572="Física",'Pokémon'!G281,IF(F2572="Especial",'Pokémon'!I281,""))</x:f>
        <x:v>160</x:v>
      </x:c>
      <x:c r="I2572" s="10" t="n">
        <x:f>IF(OR(F2572="Status",G2572=0),"",G2572+H2572)</x:f>
        <x:v>230</x:v>
      </x:c>
      <x:c r="J2572" s="10" t="n">
        <x:v>27</x:v>
      </x:c>
      <x:c r="K2572" s="12" t="n">
        <x:v>20</x:v>
      </x:c>
      <x:c r="L2572" s="1" t="str"/>
      <x:c r="M2572" s="9" t="str">
        <x:v>https://poke.idleworld.online/pokepedia/pokemon/slaking</x:v>
      </x:c>
    </x:row>
    <x:row r="2573" ht="22" customHeight="1">
      <x:c r="A2573" s="1" t="n">
        <x:v>289</x:v>
      </x:c>
      <x:c r="B2573" s="1" t="str">
        <x:v>Slaking</x:v>
      </x:c>
      <x:c r="C2573" s="1" t="n">
        <x:v>3</x:v>
      </x:c>
      <x:c r="D2573" s="1" t="str">
        <x:v>Feint Attack</x:v>
      </x:c>
      <x:c r="E2573" s="1" t="str">
        <x:v>Sombrio</x:v>
      </x:c>
      <x:c r="F2573" s="1" t="str">
        <x:v>Física</x:v>
      </x:c>
      <x:c r="G2573" s="10" t="n">
        <x:v>60</x:v>
      </x:c>
      <x:c r="H2573" s="10" t="n">
        <x:f>IF(F2573="Física",'Pokémon'!G281,IF(F2573="Especial",'Pokémon'!I281,""))</x:f>
        <x:v>160</x:v>
      </x:c>
      <x:c r="I2573" s="10" t="n">
        <x:f>IF(OR(F2573="Status",G2573=0),"",G2573+H2573)</x:f>
        <x:v>220</x:v>
      </x:c>
      <x:c r="J2573" s="10" t="n">
        <x:v>14</x:v>
      </x:c>
      <x:c r="K2573" s="12" t="n">
        <x:v>20</x:v>
      </x:c>
      <x:c r="L2573" s="1" t="str"/>
      <x:c r="M2573" s="9" t="str">
        <x:v>https://poke.idleworld.online/pokepedia/pokemon/slaking</x:v>
      </x:c>
    </x:row>
    <x:row r="2574" ht="22" customHeight="1">
      <x:c r="A2574" s="1" t="n">
        <x:v>289</x:v>
      </x:c>
      <x:c r="B2574" s="1" t="str">
        <x:v>Slaking</x:v>
      </x:c>
      <x:c r="C2574" s="1" t="n">
        <x:v>4</x:v>
      </x:c>
      <x:c r="D2574" s="1" t="str">
        <x:v>Covet</x:v>
      </x:c>
      <x:c r="E2574" s="1" t="str">
        <x:v>Normal</x:v>
      </x:c>
      <x:c r="F2574" s="1" t="str">
        <x:v>Física</x:v>
      </x:c>
      <x:c r="G2574" s="10" t="n">
        <x:v>60</x:v>
      </x:c>
      <x:c r="H2574" s="10" t="n">
        <x:f>IF(F2574="Física",'Pokémon'!G281,IF(F2574="Especial",'Pokémon'!I281,""))</x:f>
        <x:v>160</x:v>
      </x:c>
      <x:c r="I2574" s="10" t="n">
        <x:f>IF(OR(F2574="Status",G2574=0),"",G2574+H2574)</x:f>
        <x:v>220</x:v>
      </x:c>
      <x:c r="J2574" s="10" t="n">
        <x:v>23</x:v>
      </x:c>
      <x:c r="K2574" s="12" t="n">
        <x:v>20</x:v>
      </x:c>
      <x:c r="L2574" s="1" t="str"/>
      <x:c r="M2574" s="9" t="str">
        <x:v>https://poke.idleworld.online/pokepedia/pokemon/slaking</x:v>
      </x:c>
    </x:row>
    <x:row r="2575" ht="22" customHeight="1">
      <x:c r="A2575" s="1" t="n">
        <x:v>289</x:v>
      </x:c>
      <x:c r="B2575" s="1" t="str">
        <x:v>Slaking</x:v>
      </x:c>
      <x:c r="C2575" s="1" t="n">
        <x:v>1</x:v>
      </x:c>
      <x:c r="D2575" s="1" t="str">
        <x:v>Scratch</x:v>
      </x:c>
      <x:c r="E2575" s="1" t="str">
        <x:v>Normal</x:v>
      </x:c>
      <x:c r="F2575" s="1" t="str">
        <x:v>Física</x:v>
      </x:c>
      <x:c r="G2575" s="10" t="n">
        <x:v>40</x:v>
      </x:c>
      <x:c r="H2575" s="10" t="n">
        <x:f>IF(F2575="Física",'Pokémon'!G281,IF(F2575="Especial",'Pokémon'!I281,""))</x:f>
        <x:v>160</x:v>
      </x:c>
      <x:c r="I2575" s="10" t="n">
        <x:f>IF(OR(F2575="Status",G2575=0),"",G2575+H2575)</x:f>
        <x:v>200</x:v>
      </x:c>
      <x:c r="J2575" s="10" t="n">
        <x:v>1</x:v>
      </x:c>
      <x:c r="K2575" s="12" t="n">
        <x:v>8</x:v>
      </x:c>
      <x:c r="L2575" s="1" t="str"/>
      <x:c r="M2575" s="9" t="str">
        <x:v>https://poke.idleworld.online/pokepedia/pokemon/slaking</x:v>
      </x:c>
    </x:row>
    <x:row r="2576" ht="22" customHeight="1">
      <x:c r="A2576" s="1" t="n">
        <x:v>293</x:v>
      </x:c>
      <x:c r="B2576" s="1" t="str">
        <x:v>Whismur</x:v>
      </x:c>
      <x:c r="C2576" s="1" t="n">
        <x:v>8</x:v>
      </x:c>
      <x:c r="D2576" s="1" t="str">
        <x:v>Synchronoise</x:v>
      </x:c>
      <x:c r="E2576" s="1" t="str">
        <x:v>Psíquico</x:v>
      </x:c>
      <x:c r="F2576" s="1" t="str">
        <x:v>Especial</x:v>
      </x:c>
      <x:c r="G2576" s="10" t="n">
        <x:v>120</x:v>
      </x:c>
      <x:c r="H2576" s="10" t="n">
        <x:f>IF(F2576="Física",'Pokémon'!G282,IF(F2576="Especial",'Pokémon'!I282,""))</x:f>
        <x:v>51</x:v>
      </x:c>
      <x:c r="I2576" s="10" t="n">
        <x:f>IF(OR(F2576="Status",G2576=0),"",G2576+H2576)</x:f>
        <x:v>171</x:v>
      </x:c>
      <x:c r="J2576" s="10" t="n">
        <x:v>43</x:v>
      </x:c>
      <x:c r="K2576" s="12" t="n">
        <x:v>50</x:v>
      </x:c>
      <x:c r="L2576" s="1" t="str"/>
      <x:c r="M2576" s="9" t="str">
        <x:v>https://poke.idleworld.online/pokepedia/pokemon/whismur</x:v>
      </x:c>
    </x:row>
    <x:row r="2577" ht="22" customHeight="1">
      <x:c r="A2577" s="1" t="n">
        <x:v>293</x:v>
      </x:c>
      <x:c r="B2577" s="1" t="str">
        <x:v>Whismur</x:v>
      </x:c>
      <x:c r="C2577" s="1" t="n">
        <x:v>6</x:v>
      </x:c>
      <x:c r="D2577" s="1" t="str">
        <x:v>Uproar</x:v>
      </x:c>
      <x:c r="E2577" s="1" t="str">
        <x:v>Normal</x:v>
      </x:c>
      <x:c r="F2577" s="1" t="str">
        <x:v>Especial</x:v>
      </x:c>
      <x:c r="G2577" s="10" t="n">
        <x:v>90</x:v>
      </x:c>
      <x:c r="H2577" s="10" t="n">
        <x:f>IF(F2577="Física",'Pokémon'!G282,IF(F2577="Especial",'Pokémon'!I282,""))</x:f>
        <x:v>51</x:v>
      </x:c>
      <x:c r="I2577" s="10" t="n">
        <x:f>IF(OR(F2577="Status",G2577=0),"",G2577+H2577)</x:f>
        <x:v>141</x:v>
      </x:c>
      <x:c r="J2577" s="10" t="n">
        <x:v>25</x:v>
      </x:c>
      <x:c r="K2577" s="12" t="n">
        <x:v>22</x:v>
      </x:c>
      <x:c r="L2577" s="1" t="str"/>
      <x:c r="M2577" s="9" t="str">
        <x:v>https://poke.idleworld.online/pokepedia/pokemon/whismur</x:v>
      </x:c>
    </x:row>
    <x:row r="2578" ht="22" customHeight="1">
      <x:c r="A2578" s="1" t="n">
        <x:v>293</x:v>
      </x:c>
      <x:c r="B2578" s="1" t="str">
        <x:v>Whismur</x:v>
      </x:c>
      <x:c r="C2578" s="1" t="n">
        <x:v>7</x:v>
      </x:c>
      <x:c r="D2578" s="1" t="str">
        <x:v>Hyper Voice</x:v>
      </x:c>
      <x:c r="E2578" s="1" t="str">
        <x:v>Normal</x:v>
      </x:c>
      <x:c r="F2578" s="1" t="str">
        <x:v>Especial</x:v>
      </x:c>
      <x:c r="G2578" s="10" t="n">
        <x:v>90</x:v>
      </x:c>
      <x:c r="H2578" s="10" t="n">
        <x:f>IF(F2578="Física",'Pokémon'!G282,IF(F2578="Especial",'Pokémon'!I282,""))</x:f>
        <x:v>51</x:v>
      </x:c>
      <x:c r="I2578" s="10" t="n">
        <x:f>IF(OR(F2578="Status",G2578=0),"",G2578+H2578)</x:f>
        <x:v>141</x:v>
      </x:c>
      <x:c r="J2578" s="10" t="n">
        <x:v>39</x:v>
      </x:c>
      <x:c r="K2578" s="12" t="n">
        <x:v>40</x:v>
      </x:c>
      <x:c r="L2578" s="1" t="str"/>
      <x:c r="M2578" s="9" t="str">
        <x:v>https://poke.idleworld.online/pokepedia/pokemon/whismur</x:v>
      </x:c>
    </x:row>
    <x:row r="2579" ht="22" customHeight="1">
      <x:c r="A2579" s="1" t="n">
        <x:v>293</x:v>
      </x:c>
      <x:c r="B2579" s="1" t="str">
        <x:v>Whismur</x:v>
      </x:c>
      <x:c r="C2579" s="1" t="n">
        <x:v>5</x:v>
      </x:c>
      <x:c r="D2579" s="1" t="str">
        <x:v>Stomp</x:v>
      </x:c>
      <x:c r="E2579" s="1" t="str">
        <x:v>Normal</x:v>
      </x:c>
      <x:c r="F2579" s="1" t="str">
        <x:v>Física</x:v>
      </x:c>
      <x:c r="G2579" s="10" t="n">
        <x:v>65</x:v>
      </x:c>
      <x:c r="H2579" s="10" t="n">
        <x:f>IF(F2579="Física",'Pokémon'!G282,IF(F2579="Especial",'Pokémon'!I282,""))</x:f>
        <x:v>51</x:v>
      </x:c>
      <x:c r="I2579" s="10" t="n">
        <x:f>IF(OR(F2579="Status",G2579=0),"",G2579+H2579)</x:f>
        <x:v>116</x:v>
      </x:c>
      <x:c r="J2579" s="10" t="n">
        <x:v>22</x:v>
      </x:c>
      <x:c r="K2579" s="12" t="n">
        <x:v>20</x:v>
      </x:c>
      <x:c r="L2579" s="1" t="str"/>
      <x:c r="M2579" s="9" t="str">
        <x:v>https://poke.idleworld.online/pokepedia/pokemon/whismur</x:v>
      </x:c>
    </x:row>
    <x:row r="2580" ht="22" customHeight="1">
      <x:c r="A2580" s="1" t="n">
        <x:v>293</x:v>
      </x:c>
      <x:c r="B2580" s="1" t="str">
        <x:v>Whismur</x:v>
      </x:c>
      <x:c r="C2580" s="1" t="n">
        <x:v>1</x:v>
      </x:c>
      <x:c r="D2580" s="1" t="str">
        <x:v>Pound</x:v>
      </x:c>
      <x:c r="E2580" s="1" t="str">
        <x:v>Normal</x:v>
      </x:c>
      <x:c r="F2580" s="1" t="str">
        <x:v>Física</x:v>
      </x:c>
      <x:c r="G2580" s="10" t="n">
        <x:v>40</x:v>
      </x:c>
      <x:c r="H2580" s="10" t="n">
        <x:f>IF(F2580="Física",'Pokémon'!G282,IF(F2580="Especial",'Pokémon'!I282,""))</x:f>
        <x:v>51</x:v>
      </x:c>
      <x:c r="I2580" s="10" t="n">
        <x:f>IF(OR(F2580="Status",G2580=0),"",G2580+H2580)</x:f>
        <x:v>91</x:v>
      </x:c>
      <x:c r="J2580" s="10" t="n">
        <x:v>1</x:v>
      </x:c>
      <x:c r="K2580" s="12" t="n">
        <x:v>10</x:v>
      </x:c>
      <x:c r="L2580" s="1" t="str"/>
      <x:c r="M2580" s="9" t="str">
        <x:v>https://poke.idleworld.online/pokepedia/pokemon/whismur</x:v>
      </x:c>
    </x:row>
    <x:row r="2581" ht="22" customHeight="1">
      <x:c r="A2581" s="1" t="n">
        <x:v>293</x:v>
      </x:c>
      <x:c r="B2581" s="1" t="str">
        <x:v>Whismur</x:v>
      </x:c>
      <x:c r="C2581" s="1" t="n">
        <x:v>2</x:v>
      </x:c>
      <x:c r="D2581" s="1" t="str">
        <x:v>Echoed Voice</x:v>
      </x:c>
      <x:c r="E2581" s="1" t="str">
        <x:v>Normal</x:v>
      </x:c>
      <x:c r="F2581" s="1" t="str">
        <x:v>Especial</x:v>
      </x:c>
      <x:c r="G2581" s="10" t="n">
        <x:v>40</x:v>
      </x:c>
      <x:c r="H2581" s="10" t="n">
        <x:f>IF(F2581="Física",'Pokémon'!G282,IF(F2581="Especial",'Pokémon'!I282,""))</x:f>
        <x:v>51</x:v>
      </x:c>
      <x:c r="I2581" s="10" t="n">
        <x:f>IF(OR(F2581="Status",G2581=0),"",G2581+H2581)</x:f>
        <x:v>91</x:v>
      </x:c>
      <x:c r="J2581" s="10" t="n">
        <x:v>4</x:v>
      </x:c>
      <x:c r="K2581" s="12" t="n">
        <x:v>30</x:v>
      </x:c>
      <x:c r="L2581" s="1" t="str"/>
      <x:c r="M2581" s="9" t="str">
        <x:v>https://poke.idleworld.online/pokepedia/pokemon/whismur</x:v>
      </x:c>
    </x:row>
    <x:row r="2582" ht="22" customHeight="1">
      <x:c r="A2582" s="1" t="n">
        <x:v>293</x:v>
      </x:c>
      <x:c r="B2582" s="1" t="str">
        <x:v>Whismur</x:v>
      </x:c>
      <x:c r="C2582" s="1" t="n">
        <x:v>3</x:v>
      </x:c>
      <x:c r="D2582" s="1" t="str">
        <x:v>Astonish</x:v>
      </x:c>
      <x:c r="E2582" s="1" t="str">
        <x:v>Fantasma</x:v>
      </x:c>
      <x:c r="F2582" s="1" t="str">
        <x:v>Física</x:v>
      </x:c>
      <x:c r="G2582" s="10" t="n">
        <x:v>30</x:v>
      </x:c>
      <x:c r="H2582" s="10" t="n">
        <x:f>IF(F2582="Física",'Pokémon'!G282,IF(F2582="Especial",'Pokémon'!I282,""))</x:f>
        <x:v>51</x:v>
      </x:c>
      <x:c r="I2582" s="10" t="n">
        <x:f>IF(OR(F2582="Status",G2582=0),"",G2582+H2582)</x:f>
        <x:v>81</x:v>
      </x:c>
      <x:c r="J2582" s="10" t="n">
        <x:v>8</x:v>
      </x:c>
      <x:c r="K2582" s="12" t="n">
        <x:v>15</x:v>
      </x:c>
      <x:c r="L2582" s="1" t="str"/>
      <x:c r="M2582" s="9" t="str">
        <x:v>https://poke.idleworld.online/pokepedia/pokemon/whismur</x:v>
      </x:c>
    </x:row>
    <x:row r="2583" ht="22" customHeight="1">
      <x:c r="A2583" s="1" t="n">
        <x:v>293</x:v>
      </x:c>
      <x:c r="B2583" s="1" t="str">
        <x:v>Whismur</x:v>
      </x:c>
      <x:c r="C2583" s="1" t="n">
        <x:v>4</x:v>
      </x:c>
      <x:c r="D2583" s="1" t="str">
        <x:v>Super Sonic</x:v>
      </x:c>
      <x:c r="E2583" s="1" t="str">
        <x:v>Normal</x:v>
      </x:c>
      <x:c r="F2583" s="1" t="str">
        <x:v>Status</x:v>
      </x:c>
      <x:c r="G2583" s="10" t="n">
        <x:v>0</x:v>
      </x:c>
      <x:c r="H2583" s="10" t="str">
        <x:f>IF(F2583="Física",'Pokémon'!G282,IF(F2583="Especial",'Pokémon'!I282,""))</x:f>
      </x:c>
      <x:c r="I2583" s="10" t="str">
        <x:f>IF(OR(F2583="Status",G2583=0),"",G2583+H2583)</x:f>
      </x:c>
      <x:c r="J2583" s="10" t="n">
        <x:v>18</x:v>
      </x:c>
      <x:c r="K2583" s="12" t="n">
        <x:v>30</x:v>
      </x:c>
      <x:c r="L2583" s="1" t="str"/>
      <x:c r="M2583" s="9" t="str">
        <x:v>https://poke.idleworld.online/pokepedia/pokemon/whismur</x:v>
      </x:c>
    </x:row>
    <x:row r="2584" ht="22" customHeight="1">
      <x:c r="A2584" s="1" t="n">
        <x:v>294</x:v>
      </x:c>
      <x:c r="B2584" s="1" t="str">
        <x:v>Loudred</x:v>
      </x:c>
      <x:c r="C2584" s="1" t="n">
        <x:v>9</x:v>
      </x:c>
      <x:c r="D2584" s="1" t="str">
        <x:v>Synchronoise</x:v>
      </x:c>
      <x:c r="E2584" s="1" t="str">
        <x:v>Psíquico</x:v>
      </x:c>
      <x:c r="F2584" s="1" t="str">
        <x:v>Especial</x:v>
      </x:c>
      <x:c r="G2584" s="10" t="n">
        <x:v>120</x:v>
      </x:c>
      <x:c r="H2584" s="10" t="n">
        <x:f>IF(F2584="Física",'Pokémon'!G283,IF(F2584="Especial",'Pokémon'!I283,""))</x:f>
        <x:v>71</x:v>
      </x:c>
      <x:c r="I2584" s="10" t="n">
        <x:f>IF(OR(F2584="Status",G2584=0),"",G2584+H2584)</x:f>
        <x:v>191</x:v>
      </x:c>
      <x:c r="J2584" s="10" t="n">
        <x:v>50</x:v>
      </x:c>
      <x:c r="K2584" s="12" t="n">
        <x:v>50</x:v>
      </x:c>
      <x:c r="L2584" s="1" t="str"/>
      <x:c r="M2584" s="9" t="str">
        <x:v>https://poke.idleworld.online/pokepedia/pokemon/loudred</x:v>
      </x:c>
    </x:row>
    <x:row r="2585" ht="22" customHeight="1">
      <x:c r="A2585" s="1" t="n">
        <x:v>294</x:v>
      </x:c>
      <x:c r="B2585" s="1" t="str">
        <x:v>Loudred</x:v>
      </x:c>
      <x:c r="C2585" s="1" t="n">
        <x:v>7</x:v>
      </x:c>
      <x:c r="D2585" s="1" t="str">
        <x:v>Uproar</x:v>
      </x:c>
      <x:c r="E2585" s="1" t="str">
        <x:v>Normal</x:v>
      </x:c>
      <x:c r="F2585" s="1" t="str">
        <x:v>Especial</x:v>
      </x:c>
      <x:c r="G2585" s="10" t="n">
        <x:v>90</x:v>
      </x:c>
      <x:c r="H2585" s="10" t="n">
        <x:f>IF(F2585="Física",'Pokémon'!G283,IF(F2585="Especial",'Pokémon'!I283,""))</x:f>
        <x:v>71</x:v>
      </x:c>
      <x:c r="I2585" s="10" t="n">
        <x:f>IF(OR(F2585="Status",G2585=0),"",G2585+H2585)</x:f>
        <x:v>161</x:v>
      </x:c>
      <x:c r="J2585" s="10" t="n">
        <x:v>27</x:v>
      </x:c>
      <x:c r="K2585" s="12" t="n">
        <x:v>22</x:v>
      </x:c>
      <x:c r="L2585" s="1" t="str"/>
      <x:c r="M2585" s="9" t="str">
        <x:v>https://poke.idleworld.online/pokepedia/pokemon/loudred</x:v>
      </x:c>
    </x:row>
    <x:row r="2586" ht="22" customHeight="1">
      <x:c r="A2586" s="1" t="n">
        <x:v>294</x:v>
      </x:c>
      <x:c r="B2586" s="1" t="str">
        <x:v>Loudred</x:v>
      </x:c>
      <x:c r="C2586" s="1" t="n">
        <x:v>8</x:v>
      </x:c>
      <x:c r="D2586" s="1" t="str">
        <x:v>Hyper Voice</x:v>
      </x:c>
      <x:c r="E2586" s="1" t="str">
        <x:v>Normal</x:v>
      </x:c>
      <x:c r="F2586" s="1" t="str">
        <x:v>Especial</x:v>
      </x:c>
      <x:c r="G2586" s="10" t="n">
        <x:v>90</x:v>
      </x:c>
      <x:c r="H2586" s="10" t="n">
        <x:f>IF(F2586="Física",'Pokémon'!G283,IF(F2586="Especial",'Pokémon'!I283,""))</x:f>
        <x:v>71</x:v>
      </x:c>
      <x:c r="I2586" s="10" t="n">
        <x:f>IF(OR(F2586="Status",G2586=0),"",G2586+H2586)</x:f>
        <x:v>161</x:v>
      </x:c>
      <x:c r="J2586" s="10" t="n">
        <x:v>45</x:v>
      </x:c>
      <x:c r="K2586" s="12" t="n">
        <x:v>50</x:v>
      </x:c>
      <x:c r="L2586" s="1" t="str"/>
      <x:c r="M2586" s="9" t="str">
        <x:v>https://poke.idleworld.online/pokepedia/pokemon/loudred</x:v>
      </x:c>
    </x:row>
    <x:row r="2587" ht="22" customHeight="1">
      <x:c r="A2587" s="1" t="n">
        <x:v>294</x:v>
      </x:c>
      <x:c r="B2587" s="1" t="str">
        <x:v>Loudred</x:v>
      </x:c>
      <x:c r="C2587" s="1" t="n">
        <x:v>6</x:v>
      </x:c>
      <x:c r="D2587" s="1" t="str">
        <x:v>Stomp</x:v>
      </x:c>
      <x:c r="E2587" s="1" t="str">
        <x:v>Normal</x:v>
      </x:c>
      <x:c r="F2587" s="1" t="str">
        <x:v>Física</x:v>
      </x:c>
      <x:c r="G2587" s="10" t="n">
        <x:v>65</x:v>
      </x:c>
      <x:c r="H2587" s="10" t="n">
        <x:f>IF(F2587="Física",'Pokémon'!G283,IF(F2587="Especial",'Pokémon'!I283,""))</x:f>
        <x:v>71</x:v>
      </x:c>
      <x:c r="I2587" s="10" t="n">
        <x:f>IF(OR(F2587="Status",G2587=0),"",G2587+H2587)</x:f>
        <x:v>136</x:v>
      </x:c>
      <x:c r="J2587" s="10" t="n">
        <x:v>23</x:v>
      </x:c>
      <x:c r="K2587" s="12" t="n">
        <x:v>20</x:v>
      </x:c>
      <x:c r="L2587" s="1" t="str"/>
      <x:c r="M2587" s="9" t="str">
        <x:v>https://poke.idleworld.online/pokepedia/pokemon/loudred</x:v>
      </x:c>
    </x:row>
    <x:row r="2588" ht="22" customHeight="1">
      <x:c r="A2588" s="1" t="n">
        <x:v>294</x:v>
      </x:c>
      <x:c r="B2588" s="1" t="str">
        <x:v>Loudred</x:v>
      </x:c>
      <x:c r="C2588" s="1" t="n">
        <x:v>5</x:v>
      </x:c>
      <x:c r="D2588" s="1" t="str">
        <x:v>Bite</x:v>
      </x:c>
      <x:c r="E2588" s="1" t="str">
        <x:v>Sombrio</x:v>
      </x:c>
      <x:c r="F2588" s="1" t="str">
        <x:v>Física</x:v>
      </x:c>
      <x:c r="G2588" s="10" t="n">
        <x:v>60</x:v>
      </x:c>
      <x:c r="H2588" s="10" t="n">
        <x:f>IF(F2588="Física",'Pokémon'!G283,IF(F2588="Especial",'Pokémon'!I283,""))</x:f>
        <x:v>71</x:v>
      </x:c>
      <x:c r="I2588" s="10" t="n">
        <x:f>IF(OR(F2588="Status",G2588=0),"",G2588+H2588)</x:f>
        <x:v>131</x:v>
      </x:c>
      <x:c r="J2588" s="10" t="n">
        <x:v>20</x:v>
      </x:c>
      <x:c r="K2588" s="12" t="n">
        <x:v>10</x:v>
      </x:c>
      <x:c r="L2588" s="1" t="str"/>
      <x:c r="M2588" s="9" t="str">
        <x:v>https://poke.idleworld.online/pokepedia/pokemon/loudred</x:v>
      </x:c>
    </x:row>
    <x:row r="2589" ht="22" customHeight="1">
      <x:c r="A2589" s="1" t="n">
        <x:v>294</x:v>
      </x:c>
      <x:c r="B2589" s="1" t="str">
        <x:v>Loudred</x:v>
      </x:c>
      <x:c r="C2589" s="1" t="n">
        <x:v>1</x:v>
      </x:c>
      <x:c r="D2589" s="1" t="str">
        <x:v>Echoed Voice</x:v>
      </x:c>
      <x:c r="E2589" s="1" t="str">
        <x:v>Normal</x:v>
      </x:c>
      <x:c r="F2589" s="1" t="str">
        <x:v>Especial</x:v>
      </x:c>
      <x:c r="G2589" s="10" t="n">
        <x:v>40</x:v>
      </x:c>
      <x:c r="H2589" s="10" t="n">
        <x:f>IF(F2589="Física",'Pokémon'!G283,IF(F2589="Especial",'Pokémon'!I283,""))</x:f>
        <x:v>71</x:v>
      </x:c>
      <x:c r="I2589" s="10" t="n">
        <x:f>IF(OR(F2589="Status",G2589=0),"",G2589+H2589)</x:f>
        <x:v>111</x:v>
      </x:c>
      <x:c r="J2589" s="10" t="n">
        <x:v>1</x:v>
      </x:c>
      <x:c r="K2589" s="12" t="n">
        <x:v>30</x:v>
      </x:c>
      <x:c r="L2589" s="1" t="str"/>
      <x:c r="M2589" s="9" t="str">
        <x:v>https://poke.idleworld.online/pokepedia/pokemon/loudred</x:v>
      </x:c>
    </x:row>
    <x:row r="2590" ht="22" customHeight="1">
      <x:c r="A2590" s="1" t="n">
        <x:v>294</x:v>
      </x:c>
      <x:c r="B2590" s="1" t="str">
        <x:v>Loudred</x:v>
      </x:c>
      <x:c r="C2590" s="1" t="n">
        <x:v>3</x:v>
      </x:c>
      <x:c r="D2590" s="1" t="str">
        <x:v>Pound</x:v>
      </x:c>
      <x:c r="E2590" s="1" t="str">
        <x:v>Normal</x:v>
      </x:c>
      <x:c r="F2590" s="1" t="str">
        <x:v>Física</x:v>
      </x:c>
      <x:c r="G2590" s="10" t="n">
        <x:v>40</x:v>
      </x:c>
      <x:c r="H2590" s="10" t="n">
        <x:f>IF(F2590="Física",'Pokémon'!G283,IF(F2590="Especial",'Pokémon'!I283,""))</x:f>
        <x:v>71</x:v>
      </x:c>
      <x:c r="I2590" s="10" t="n">
        <x:f>IF(OR(F2590="Status",G2590=0),"",G2590+H2590)</x:f>
        <x:v>111</x:v>
      </x:c>
      <x:c r="J2590" s="10" t="n">
        <x:v>1</x:v>
      </x:c>
      <x:c r="K2590" s="12" t="n">
        <x:v>15</x:v>
      </x:c>
      <x:c r="L2590" s="1" t="str"/>
      <x:c r="M2590" s="9" t="str">
        <x:v>https://poke.idleworld.online/pokepedia/pokemon/loudred</x:v>
      </x:c>
    </x:row>
    <x:row r="2591" ht="22" customHeight="1">
      <x:c r="A2591" s="1" t="n">
        <x:v>294</x:v>
      </x:c>
      <x:c r="B2591" s="1" t="str">
        <x:v>Loudred</x:v>
      </x:c>
      <x:c r="C2591" s="1" t="n">
        <x:v>2</x:v>
      </x:c>
      <x:c r="D2591" s="1" t="str">
        <x:v>Astonish</x:v>
      </x:c>
      <x:c r="E2591" s="1" t="str">
        <x:v>Fantasma</x:v>
      </x:c>
      <x:c r="F2591" s="1" t="str">
        <x:v>Física</x:v>
      </x:c>
      <x:c r="G2591" s="10" t="n">
        <x:v>30</x:v>
      </x:c>
      <x:c r="H2591" s="10" t="n">
        <x:f>IF(F2591="Física",'Pokémon'!G283,IF(F2591="Especial",'Pokémon'!I283,""))</x:f>
        <x:v>71</x:v>
      </x:c>
      <x:c r="I2591" s="10" t="n">
        <x:f>IF(OR(F2591="Status",G2591=0),"",G2591+H2591)</x:f>
        <x:v>101</x:v>
      </x:c>
      <x:c r="J2591" s="10" t="n">
        <x:v>1</x:v>
      </x:c>
      <x:c r="K2591" s="12" t="n">
        <x:v>15</x:v>
      </x:c>
      <x:c r="L2591" s="1" t="str"/>
      <x:c r="M2591" s="9" t="str">
        <x:v>https://poke.idleworld.online/pokepedia/pokemon/loudred</x:v>
      </x:c>
    </x:row>
    <x:row r="2592" ht="22" customHeight="1">
      <x:c r="A2592" s="1" t="n">
        <x:v>294</x:v>
      </x:c>
      <x:c r="B2592" s="1" t="str">
        <x:v>Loudred</x:v>
      </x:c>
      <x:c r="C2592" s="1" t="n">
        <x:v>4</x:v>
      </x:c>
      <x:c r="D2592" s="1" t="str">
        <x:v>Super Sonic</x:v>
      </x:c>
      <x:c r="E2592" s="1" t="str">
        <x:v>Normal</x:v>
      </x:c>
      <x:c r="F2592" s="1" t="str">
        <x:v>Status</x:v>
      </x:c>
      <x:c r="G2592" s="10" t="n">
        <x:v>0</x:v>
      </x:c>
      <x:c r="H2592" s="10" t="str">
        <x:f>IF(F2592="Física",'Pokémon'!G283,IF(F2592="Especial",'Pokémon'!I283,""))</x:f>
      </x:c>
      <x:c r="I2592" s="10" t="str">
        <x:f>IF(OR(F2592="Status",G2592=0),"",G2592+H2592)</x:f>
      </x:c>
      <x:c r="J2592" s="10" t="n">
        <x:v>18</x:v>
      </x:c>
      <x:c r="K2592" s="12" t="n">
        <x:v>30</x:v>
      </x:c>
      <x:c r="L2592" s="1" t="str"/>
      <x:c r="M2592" s="9" t="str">
        <x:v>https://poke.idleworld.online/pokepedia/pokemon/loudred</x:v>
      </x:c>
    </x:row>
    <x:row r="2593" ht="22" customHeight="1">
      <x:c r="A2593" s="1" t="n">
        <x:v>295</x:v>
      </x:c>
      <x:c r="B2593" s="1" t="str">
        <x:v>Exploud</x:v>
      </x:c>
      <x:c r="C2593" s="1" t="n">
        <x:v>14</x:v>
      </x:c>
      <x:c r="D2593" s="1" t="str">
        <x:v>Hyper Beam</x:v>
      </x:c>
      <x:c r="E2593" s="1" t="str">
        <x:v>Normal</x:v>
      </x:c>
      <x:c r="F2593" s="1" t="str">
        <x:v>Especial</x:v>
      </x:c>
      <x:c r="G2593" s="10" t="n">
        <x:v>150</x:v>
      </x:c>
      <x:c r="H2593" s="10" t="n">
        <x:f>IF(F2593="Física",'Pokémon'!G284,IF(F2593="Especial",'Pokémon'!I284,""))</x:f>
        <x:v>91</x:v>
      </x:c>
      <x:c r="I2593" s="10" t="n">
        <x:f>IF(OR(F2593="Status",G2593=0),"",G2593+H2593)</x:f>
        <x:v>241</x:v>
      </x:c>
      <x:c r="J2593" s="10" t="n">
        <x:v>64</x:v>
      </x:c>
      <x:c r="K2593" s="12" t="n">
        <x:v>45</x:v>
      </x:c>
      <x:c r="L2593" s="1" t="str"/>
      <x:c r="M2593" s="9" t="str">
        <x:v>https://poke.idleworld.online/pokepedia/pokemon/exploud</x:v>
      </x:c>
    </x:row>
    <x:row r="2594" ht="22" customHeight="1">
      <x:c r="A2594" s="1" t="n">
        <x:v>295</x:v>
      </x:c>
      <x:c r="B2594" s="1" t="str">
        <x:v>Exploud</x:v>
      </x:c>
      <x:c r="C2594" s="1" t="n">
        <x:v>2</x:v>
      </x:c>
      <x:c r="D2594" s="1" t="str">
        <x:v>Boomburst</x:v>
      </x:c>
      <x:c r="E2594" s="1" t="str">
        <x:v>Normal</x:v>
      </x:c>
      <x:c r="F2594" s="1" t="str">
        <x:v>Especial</x:v>
      </x:c>
      <x:c r="G2594" s="10" t="n">
        <x:v>140</x:v>
      </x:c>
      <x:c r="H2594" s="10" t="n">
        <x:f>IF(F2594="Física",'Pokémon'!G284,IF(F2594="Especial",'Pokémon'!I284,""))</x:f>
        <x:v>91</x:v>
      </x:c>
      <x:c r="I2594" s="10" t="n">
        <x:f>IF(OR(F2594="Status",G2594=0),"",G2594+H2594)</x:f>
        <x:v>231</x:v>
      </x:c>
      <x:c r="J2594" s="10" t="n">
        <x:v>1</x:v>
      </x:c>
      <x:c r="K2594" s="12" t="n">
        <x:v>50</x:v>
      </x:c>
      <x:c r="L2594" s="1" t="str"/>
      <x:c r="M2594" s="9" t="str">
        <x:v>https://poke.idleworld.online/pokepedia/pokemon/exploud</x:v>
      </x:c>
    </x:row>
    <x:row r="2595" ht="22" customHeight="1">
      <x:c r="A2595" s="1" t="n">
        <x:v>295</x:v>
      </x:c>
      <x:c r="B2595" s="1" t="str">
        <x:v>Exploud</x:v>
      </x:c>
      <x:c r="C2595" s="1" t="n">
        <x:v>13</x:v>
      </x:c>
      <x:c r="D2595" s="1" t="str">
        <x:v>Synchronoise</x:v>
      </x:c>
      <x:c r="E2595" s="1" t="str">
        <x:v>Psíquico</x:v>
      </x:c>
      <x:c r="F2595" s="1" t="str">
        <x:v>Especial</x:v>
      </x:c>
      <x:c r="G2595" s="10" t="n">
        <x:v>120</x:v>
      </x:c>
      <x:c r="H2595" s="10" t="n">
        <x:f>IF(F2595="Física",'Pokémon'!G284,IF(F2595="Especial",'Pokémon'!I284,""))</x:f>
        <x:v>91</x:v>
      </x:c>
      <x:c r="I2595" s="10" t="n">
        <x:f>IF(OR(F2595="Status",G2595=0),"",G2595+H2595)</x:f>
        <x:v>211</x:v>
      </x:c>
      <x:c r="J2595" s="10" t="n">
        <x:v>53</x:v>
      </x:c>
      <x:c r="K2595" s="12" t="n">
        <x:v>50</x:v>
      </x:c>
      <x:c r="L2595" s="1" t="str"/>
      <x:c r="M2595" s="9" t="str">
        <x:v>https://poke.idleworld.online/pokepedia/pokemon/exploud</x:v>
      </x:c>
    </x:row>
    <x:row r="2596" ht="22" customHeight="1">
      <x:c r="A2596" s="1" t="n">
        <x:v>295</x:v>
      </x:c>
      <x:c r="B2596" s="1" t="str">
        <x:v>Exploud</x:v>
      </x:c>
      <x:c r="C2596" s="1" t="n">
        <x:v>10</x:v>
      </x:c>
      <x:c r="D2596" s="1" t="str">
        <x:v>Uproar</x:v>
      </x:c>
      <x:c r="E2596" s="1" t="str">
        <x:v>Normal</x:v>
      </x:c>
      <x:c r="F2596" s="1" t="str">
        <x:v>Especial</x:v>
      </x:c>
      <x:c r="G2596" s="10" t="n">
        <x:v>90</x:v>
      </x:c>
      <x:c r="H2596" s="10" t="n">
        <x:f>IF(F2596="Física",'Pokémon'!G284,IF(F2596="Especial",'Pokémon'!I284,""))</x:f>
        <x:v>91</x:v>
      </x:c>
      <x:c r="I2596" s="10" t="n">
        <x:f>IF(OR(F2596="Status",G2596=0),"",G2596+H2596)</x:f>
        <x:v>181</x:v>
      </x:c>
      <x:c r="J2596" s="10" t="n">
        <x:v>27</x:v>
      </x:c>
      <x:c r="K2596" s="12" t="n">
        <x:v>22</x:v>
      </x:c>
      <x:c r="L2596" s="1" t="str"/>
      <x:c r="M2596" s="9" t="str">
        <x:v>https://poke.idleworld.online/pokepedia/pokemon/exploud</x:v>
      </x:c>
    </x:row>
    <x:row r="2597" ht="22" customHeight="1">
      <x:c r="A2597" s="1" t="n">
        <x:v>295</x:v>
      </x:c>
      <x:c r="B2597" s="1" t="str">
        <x:v>Exploud</x:v>
      </x:c>
      <x:c r="C2597" s="1" t="n">
        <x:v>12</x:v>
      </x:c>
      <x:c r="D2597" s="1" t="str">
        <x:v>Hyper Voice</x:v>
      </x:c>
      <x:c r="E2597" s="1" t="str">
        <x:v>Normal</x:v>
      </x:c>
      <x:c r="F2597" s="1" t="str">
        <x:v>Especial</x:v>
      </x:c>
      <x:c r="G2597" s="10" t="n">
        <x:v>90</x:v>
      </x:c>
      <x:c r="H2597" s="10" t="n">
        <x:f>IF(F2597="Física",'Pokémon'!G284,IF(F2597="Especial",'Pokémon'!I284,""))</x:f>
        <x:v>91</x:v>
      </x:c>
      <x:c r="I2597" s="10" t="n">
        <x:f>IF(OR(F2597="Status",G2597=0),"",G2597+H2597)</x:f>
        <x:v>181</x:v>
      </x:c>
      <x:c r="J2597" s="10" t="n">
        <x:v>47</x:v>
      </x:c>
      <x:c r="K2597" s="12" t="n">
        <x:v>40</x:v>
      </x:c>
      <x:c r="L2597" s="1" t="str"/>
      <x:c r="M2597" s="9" t="str">
        <x:v>https://poke.idleworld.online/pokepedia/pokemon/exploud</x:v>
      </x:c>
    </x:row>
    <x:row r="2598" ht="22" customHeight="1">
      <x:c r="A2598" s="1" t="n">
        <x:v>295</x:v>
      </x:c>
      <x:c r="B2598" s="1" t="str">
        <x:v>Exploud</x:v>
      </x:c>
      <x:c r="C2598" s="1" t="n">
        <x:v>11</x:v>
      </x:c>
      <x:c r="D2598" s="1" t="str">
        <x:v>Crunch</x:v>
      </x:c>
      <x:c r="E2598" s="1" t="str">
        <x:v>Sombrio</x:v>
      </x:c>
      <x:c r="F2598" s="1" t="str">
        <x:v>Física</x:v>
      </x:c>
      <x:c r="G2598" s="10" t="n">
        <x:v>80</x:v>
      </x:c>
      <x:c r="H2598" s="10" t="n">
        <x:f>IF(F2598="Física",'Pokémon'!G284,IF(F2598="Especial",'Pokémon'!I284,""))</x:f>
        <x:v>91</x:v>
      </x:c>
      <x:c r="I2598" s="10" t="n">
        <x:f>IF(OR(F2598="Status",G2598=0),"",G2598+H2598)</x:f>
        <x:v>171</x:v>
      </x:c>
      <x:c r="J2598" s="10" t="n">
        <x:v>40</x:v>
      </x:c>
      <x:c r="K2598" s="12" t="n">
        <x:v>10</x:v>
      </x:c>
      <x:c r="L2598" s="1" t="str"/>
      <x:c r="M2598" s="9" t="str">
        <x:v>https://poke.idleworld.online/pokepedia/pokemon/exploud</x:v>
      </x:c>
    </x:row>
    <x:row r="2599" ht="22" customHeight="1">
      <x:c r="A2599" s="1" t="n">
        <x:v>295</x:v>
      </x:c>
      <x:c r="B2599" s="1" t="str">
        <x:v>Exploud</x:v>
      </x:c>
      <x:c r="C2599" s="1" t="n">
        <x:v>1</x:v>
      </x:c>
      <x:c r="D2599" s="1" t="str">
        <x:v>Fire Fang</x:v>
      </x:c>
      <x:c r="E2599" s="1" t="str">
        <x:v>Fogo</x:v>
      </x:c>
      <x:c r="F2599" s="1" t="str">
        <x:v>Física</x:v>
      </x:c>
      <x:c r="G2599" s="10" t="n">
        <x:v>65</x:v>
      </x:c>
      <x:c r="H2599" s="10" t="n">
        <x:f>IF(F2599="Física",'Pokémon'!G284,IF(F2599="Especial",'Pokémon'!I284,""))</x:f>
        <x:v>91</x:v>
      </x:c>
      <x:c r="I2599" s="10" t="n">
        <x:f>IF(OR(F2599="Status",G2599=0),"",G2599+H2599)</x:f>
        <x:v>156</x:v>
      </x:c>
      <x:c r="J2599" s="10" t="n">
        <x:v>1</x:v>
      </x:c>
      <x:c r="K2599" s="12" t="n">
        <x:v>20</x:v>
      </x:c>
      <x:c r="L2599" s="1" t="str"/>
      <x:c r="M2599" s="9" t="str">
        <x:v>https://poke.idleworld.online/pokepedia/pokemon/exploud</x:v>
      </x:c>
    </x:row>
    <x:row r="2600" ht="22" customHeight="1">
      <x:c r="A2600" s="1" t="n">
        <x:v>295</x:v>
      </x:c>
      <x:c r="B2600" s="1" t="str">
        <x:v>Exploud</x:v>
      </x:c>
      <x:c r="C2600" s="1" t="n">
        <x:v>6</x:v>
      </x:c>
      <x:c r="D2600" s="1" t="str">
        <x:v>Thunder Fang</x:v>
      </x:c>
      <x:c r="E2600" s="1" t="str">
        <x:v>Elétrico</x:v>
      </x:c>
      <x:c r="F2600" s="1" t="str">
        <x:v>Física</x:v>
      </x:c>
      <x:c r="G2600" s="10" t="n">
        <x:v>65</x:v>
      </x:c>
      <x:c r="H2600" s="10" t="n">
        <x:f>IF(F2600="Física",'Pokémon'!G284,IF(F2600="Especial",'Pokémon'!I284,""))</x:f>
        <x:v>91</x:v>
      </x:c>
      <x:c r="I2600" s="10" t="n">
        <x:f>IF(OR(F2600="Status",G2600=0),"",G2600+H2600)</x:f>
        <x:v>156</x:v>
      </x:c>
      <x:c r="J2600" s="10" t="n">
        <x:v>1</x:v>
      </x:c>
      <x:c r="K2600" s="12" t="n">
        <x:v>20</x:v>
      </x:c>
      <x:c r="L2600" s="1" t="str"/>
      <x:c r="M2600" s="9" t="str">
        <x:v>https://poke.idleworld.online/pokepedia/pokemon/exploud</x:v>
      </x:c>
    </x:row>
    <x:row r="2601" ht="22" customHeight="1">
      <x:c r="A2601" s="1" t="n">
        <x:v>295</x:v>
      </x:c>
      <x:c r="B2601" s="1" t="str">
        <x:v>Exploud</x:v>
      </x:c>
      <x:c r="C2601" s="1" t="n">
        <x:v>7</x:v>
      </x:c>
      <x:c r="D2601" s="1" t="str">
        <x:v>Ice Fang</x:v>
      </x:c>
      <x:c r="E2601" s="1" t="str">
        <x:v>Gelo</x:v>
      </x:c>
      <x:c r="F2601" s="1" t="str">
        <x:v>Física</x:v>
      </x:c>
      <x:c r="G2601" s="10" t="n">
        <x:v>65</x:v>
      </x:c>
      <x:c r="H2601" s="10" t="n">
        <x:f>IF(F2601="Física",'Pokémon'!G284,IF(F2601="Especial",'Pokémon'!I284,""))</x:f>
        <x:v>91</x:v>
      </x:c>
      <x:c r="I2601" s="10" t="n">
        <x:f>IF(OR(F2601="Status",G2601=0),"",G2601+H2601)</x:f>
        <x:v>156</x:v>
      </x:c>
      <x:c r="J2601" s="10" t="n">
        <x:v>1</x:v>
      </x:c>
      <x:c r="K2601" s="12" t="n">
        <x:v>20</x:v>
      </x:c>
      <x:c r="L2601" s="1" t="str"/>
      <x:c r="M2601" s="9" t="str">
        <x:v>https://poke.idleworld.online/pokepedia/pokemon/exploud</x:v>
      </x:c>
    </x:row>
    <x:row r="2602" ht="22" customHeight="1">
      <x:c r="A2602" s="1" t="n">
        <x:v>295</x:v>
      </x:c>
      <x:c r="B2602" s="1" t="str">
        <x:v>Exploud</x:v>
      </x:c>
      <x:c r="C2602" s="1" t="n">
        <x:v>9</x:v>
      </x:c>
      <x:c r="D2602" s="1" t="str">
        <x:v>Stomp</x:v>
      </x:c>
      <x:c r="E2602" s="1" t="str">
        <x:v>Normal</x:v>
      </x:c>
      <x:c r="F2602" s="1" t="str">
        <x:v>Física</x:v>
      </x:c>
      <x:c r="G2602" s="10" t="n">
        <x:v>65</x:v>
      </x:c>
      <x:c r="H2602" s="10" t="n">
        <x:f>IF(F2602="Física",'Pokémon'!G284,IF(F2602="Especial",'Pokémon'!I284,""))</x:f>
        <x:v>91</x:v>
      </x:c>
      <x:c r="I2602" s="10" t="n">
        <x:f>IF(OR(F2602="Status",G2602=0),"",G2602+H2602)</x:f>
        <x:v>156</x:v>
      </x:c>
      <x:c r="J2602" s="10" t="n">
        <x:v>23</x:v>
      </x:c>
      <x:c r="K2602" s="12" t="n">
        <x:v>20</x:v>
      </x:c>
      <x:c r="L2602" s="1" t="str"/>
      <x:c r="M2602" s="9" t="str">
        <x:v>https://poke.idleworld.online/pokepedia/pokemon/exploud</x:v>
      </x:c>
    </x:row>
    <x:row r="2603" ht="22" customHeight="1">
      <x:c r="A2603" s="1" t="n">
        <x:v>295</x:v>
      </x:c>
      <x:c r="B2603" s="1" t="str">
        <x:v>Exploud</x:v>
      </x:c>
      <x:c r="C2603" s="1" t="n">
        <x:v>8</x:v>
      </x:c>
      <x:c r="D2603" s="1" t="str">
        <x:v>Bite</x:v>
      </x:c>
      <x:c r="E2603" s="1" t="str">
        <x:v>Sombrio</x:v>
      </x:c>
      <x:c r="F2603" s="1" t="str">
        <x:v>Física</x:v>
      </x:c>
      <x:c r="G2603" s="10" t="n">
        <x:v>60</x:v>
      </x:c>
      <x:c r="H2603" s="10" t="n">
        <x:f>IF(F2603="Física",'Pokémon'!G284,IF(F2603="Especial",'Pokémon'!I284,""))</x:f>
        <x:v>91</x:v>
      </x:c>
      <x:c r="I2603" s="10" t="n">
        <x:f>IF(OR(F2603="Status",G2603=0),"",G2603+H2603)</x:f>
        <x:v>151</x:v>
      </x:c>
      <x:c r="J2603" s="10" t="n">
        <x:v>20</x:v>
      </x:c>
      <x:c r="K2603" s="12" t="n">
        <x:v>10</x:v>
      </x:c>
      <x:c r="L2603" s="1" t="str"/>
      <x:c r="M2603" s="9" t="str">
        <x:v>https://poke.idleworld.online/pokepedia/pokemon/exploud</x:v>
      </x:c>
    </x:row>
    <x:row r="2604" ht="22" customHeight="1">
      <x:c r="A2604" s="1" t="n">
        <x:v>295</x:v>
      </x:c>
      <x:c r="B2604" s="1" t="str">
        <x:v>Exploud</x:v>
      </x:c>
      <x:c r="C2604" s="1" t="n">
        <x:v>3</x:v>
      </x:c>
      <x:c r="D2604" s="1" t="str">
        <x:v>Echoed Voice</x:v>
      </x:c>
      <x:c r="E2604" s="1" t="str">
        <x:v>Normal</x:v>
      </x:c>
      <x:c r="F2604" s="1" t="str">
        <x:v>Especial</x:v>
      </x:c>
      <x:c r="G2604" s="10" t="n">
        <x:v>40</x:v>
      </x:c>
      <x:c r="H2604" s="10" t="n">
        <x:f>IF(F2604="Física",'Pokémon'!G284,IF(F2604="Especial",'Pokémon'!I284,""))</x:f>
        <x:v>91</x:v>
      </x:c>
      <x:c r="I2604" s="10" t="n">
        <x:f>IF(OR(F2604="Status",G2604=0),"",G2604+H2604)</x:f>
        <x:v>131</x:v>
      </x:c>
      <x:c r="J2604" s="10" t="n">
        <x:v>1</x:v>
      </x:c>
      <x:c r="K2604" s="12" t="n">
        <x:v>30</x:v>
      </x:c>
      <x:c r="L2604" s="1" t="str"/>
      <x:c r="M2604" s="9" t="str">
        <x:v>https://poke.idleworld.online/pokepedia/pokemon/exploud</x:v>
      </x:c>
    </x:row>
    <x:row r="2605" ht="22" customHeight="1">
      <x:c r="A2605" s="1" t="n">
        <x:v>295</x:v>
      </x:c>
      <x:c r="B2605" s="1" t="str">
        <x:v>Exploud</x:v>
      </x:c>
      <x:c r="C2605" s="1" t="n">
        <x:v>5</x:v>
      </x:c>
      <x:c r="D2605" s="1" t="str">
        <x:v>Pound</x:v>
      </x:c>
      <x:c r="E2605" s="1" t="str">
        <x:v>Normal</x:v>
      </x:c>
      <x:c r="F2605" s="1" t="str">
        <x:v>Física</x:v>
      </x:c>
      <x:c r="G2605" s="10" t="n">
        <x:v>40</x:v>
      </x:c>
      <x:c r="H2605" s="10" t="n">
        <x:f>IF(F2605="Física",'Pokémon'!G284,IF(F2605="Especial",'Pokémon'!I284,""))</x:f>
        <x:v>91</x:v>
      </x:c>
      <x:c r="I2605" s="10" t="n">
        <x:f>IF(OR(F2605="Status",G2605=0),"",G2605+H2605)</x:f>
        <x:v>131</x:v>
      </x:c>
      <x:c r="J2605" s="10" t="n">
        <x:v>1</x:v>
      </x:c>
      <x:c r="K2605" s="12" t="n">
        <x:v>15</x:v>
      </x:c>
      <x:c r="L2605" s="1" t="str"/>
      <x:c r="M2605" s="9" t="str">
        <x:v>https://poke.idleworld.online/pokepedia/pokemon/exploud</x:v>
      </x:c>
    </x:row>
    <x:row r="2606" ht="22" customHeight="1">
      <x:c r="A2606" s="1" t="n">
        <x:v>295</x:v>
      </x:c>
      <x:c r="B2606" s="1" t="str">
        <x:v>Exploud</x:v>
      </x:c>
      <x:c r="C2606" s="1" t="n">
        <x:v>4</x:v>
      </x:c>
      <x:c r="D2606" s="1" t="str">
        <x:v>Astonish</x:v>
      </x:c>
      <x:c r="E2606" s="1" t="str">
        <x:v>Fantasma</x:v>
      </x:c>
      <x:c r="F2606" s="1" t="str">
        <x:v>Física</x:v>
      </x:c>
      <x:c r="G2606" s="10" t="n">
        <x:v>30</x:v>
      </x:c>
      <x:c r="H2606" s="10" t="n">
        <x:f>IF(F2606="Física",'Pokémon'!G284,IF(F2606="Especial",'Pokémon'!I284,""))</x:f>
        <x:v>91</x:v>
      </x:c>
      <x:c r="I2606" s="10" t="n">
        <x:f>IF(OR(F2606="Status",G2606=0),"",G2606+H2606)</x:f>
        <x:v>121</x:v>
      </x:c>
      <x:c r="J2606" s="10" t="n">
        <x:v>1</x:v>
      </x:c>
      <x:c r="K2606" s="12" t="n">
        <x:v>15</x:v>
      </x:c>
      <x:c r="L2606" s="1" t="str"/>
      <x:c r="M2606" s="9" t="str">
        <x:v>https://poke.idleworld.online/pokepedia/pokemon/exploud</x:v>
      </x:c>
    </x:row>
    <x:row r="2607" ht="22" customHeight="1">
      <x:c r="A2607" s="1" t="n">
        <x:v>296</x:v>
      </x:c>
      <x:c r="B2607" s="1" t="str">
        <x:v>Makuhita</x:v>
      </x:c>
      <x:c r="C2607" s="1" t="n">
        <x:v>9</x:v>
      </x:c>
      <x:c r="D2607" s="1" t="str">
        <x:v>Close Combat</x:v>
      </x:c>
      <x:c r="E2607" s="1" t="str">
        <x:v>Lutador</x:v>
      </x:c>
      <x:c r="F2607" s="1" t="str">
        <x:v>Física</x:v>
      </x:c>
      <x:c r="G2607" s="10" t="n">
        <x:v>120</x:v>
      </x:c>
      <x:c r="H2607" s="10" t="n">
        <x:f>IF(F2607="Física",'Pokémon'!G285,IF(F2607="Especial",'Pokémon'!I285,""))</x:f>
        <x:v>60</x:v>
      </x:c>
      <x:c r="I2607" s="10" t="n">
        <x:f>IF(OR(F2607="Status",G2607=0),"",G2607+H2607)</x:f>
        <x:v>180</x:v>
      </x:c>
      <x:c r="J2607" s="10" t="n">
        <x:v>40</x:v>
      </x:c>
      <x:c r="K2607" s="12" t="n">
        <x:v>22</x:v>
      </x:c>
      <x:c r="L2607" s="1" t="str"/>
      <x:c r="M2607" s="9" t="str">
        <x:v>https://poke.idleworld.online/pokepedia/pokemon/makuhita</x:v>
      </x:c>
    </x:row>
    <x:row r="2608" ht="22" customHeight="1">
      <x:c r="A2608" s="1" t="n">
        <x:v>296</x:v>
      </x:c>
      <x:c r="B2608" s="1" t="str">
        <x:v>Makuhita</x:v>
      </x:c>
      <x:c r="C2608" s="1" t="n">
        <x:v>6</x:v>
      </x:c>
      <x:c r="D2608" s="1" t="str">
        <x:v>Vital Throw</x:v>
      </x:c>
      <x:c r="E2608" s="1" t="str">
        <x:v>Lutador</x:v>
      </x:c>
      <x:c r="F2608" s="1" t="str">
        <x:v>Física</x:v>
      </x:c>
      <x:c r="G2608" s="10" t="n">
        <x:v>70</x:v>
      </x:c>
      <x:c r="H2608" s="10" t="n">
        <x:f>IF(F2608="Física",'Pokémon'!G285,IF(F2608="Especial",'Pokémon'!I285,""))</x:f>
        <x:v>60</x:v>
      </x:c>
      <x:c r="I2608" s="10" t="n">
        <x:f>IF(OR(F2608="Status",G2608=0),"",G2608+H2608)</x:f>
        <x:v>130</x:v>
      </x:c>
      <x:c r="J2608" s="10" t="n">
        <x:v>22</x:v>
      </x:c>
      <x:c r="K2608" s="12" t="n">
        <x:v>20</x:v>
      </x:c>
      <x:c r="L2608" s="1" t="str"/>
      <x:c r="M2608" s="9" t="str">
        <x:v>https://poke.idleworld.online/pokepedia/pokemon/makuhita</x:v>
      </x:c>
    </x:row>
    <x:row r="2609" ht="22" customHeight="1">
      <x:c r="A2609" s="1" t="n">
        <x:v>296</x:v>
      </x:c>
      <x:c r="B2609" s="1" t="str">
        <x:v>Makuhita</x:v>
      </x:c>
      <x:c r="C2609" s="1" t="n">
        <x:v>7</x:v>
      </x:c>
      <x:c r="D2609" s="1" t="str">
        <x:v>Smelling Salts</x:v>
      </x:c>
      <x:c r="E2609" s="1" t="str">
        <x:v>Normal</x:v>
      </x:c>
      <x:c r="F2609" s="1" t="str">
        <x:v>Física</x:v>
      </x:c>
      <x:c r="G2609" s="10" t="n">
        <x:v>70</x:v>
      </x:c>
      <x:c r="H2609" s="10" t="n">
        <x:f>IF(F2609="Física",'Pokémon'!G285,IF(F2609="Especial",'Pokémon'!I285,""))</x:f>
        <x:v>60</x:v>
      </x:c>
      <x:c r="I2609" s="10" t="n">
        <x:f>IF(OR(F2609="Status",G2609=0),"",G2609+H2609)</x:f>
        <x:v>130</x:v>
      </x:c>
      <x:c r="J2609" s="10" t="n">
        <x:v>28</x:v>
      </x:c>
      <x:c r="K2609" s="12" t="n">
        <x:v>35</x:v>
      </x:c>
      <x:c r="L2609" s="1" t="str"/>
      <x:c r="M2609" s="9" t="str">
        <x:v>https://poke.idleworld.online/pokepedia/pokemon/makuhita</x:v>
      </x:c>
    </x:row>
    <x:row r="2610" ht="22" customHeight="1">
      <x:c r="A2610" s="1" t="n">
        <x:v>296</x:v>
      </x:c>
      <x:c r="B2610" s="1" t="str">
        <x:v>Makuhita</x:v>
      </x:c>
      <x:c r="C2610" s="1" t="n">
        <x:v>8</x:v>
      </x:c>
      <x:c r="D2610" s="1" t="str">
        <x:v>Wake-Up Slap</x:v>
      </x:c>
      <x:c r="E2610" s="1" t="str">
        <x:v>Lutador</x:v>
      </x:c>
      <x:c r="F2610" s="1" t="str">
        <x:v>Física</x:v>
      </x:c>
      <x:c r="G2610" s="10" t="n">
        <x:v>70</x:v>
      </x:c>
      <x:c r="H2610" s="10" t="n">
        <x:f>IF(F2610="Física",'Pokémon'!G285,IF(F2610="Especial",'Pokémon'!I285,""))</x:f>
        <x:v>60</x:v>
      </x:c>
      <x:c r="I2610" s="10" t="n">
        <x:f>IF(OR(F2610="Status",G2610=0),"",G2610+H2610)</x:f>
        <x:v>130</x:v>
      </x:c>
      <x:c r="J2610" s="10" t="n">
        <x:v>34</x:v>
      </x:c>
      <x:c r="K2610" s="12" t="n">
        <x:v>20</x:v>
      </x:c>
      <x:c r="L2610" s="1" t="str"/>
      <x:c r="M2610" s="9" t="str">
        <x:v>https://poke.idleworld.online/pokepedia/pokemon/makuhita</x:v>
      </x:c>
    </x:row>
    <x:row r="2611" ht="22" customHeight="1">
      <x:c r="A2611" s="1" t="n">
        <x:v>296</x:v>
      </x:c>
      <x:c r="B2611" s="1" t="str">
        <x:v>Makuhita</x:v>
      </x:c>
      <x:c r="C2611" s="1" t="n">
        <x:v>5</x:v>
      </x:c>
      <x:c r="D2611" s="1" t="str">
        <x:v>Knock Off</x:v>
      </x:c>
      <x:c r="E2611" s="1" t="str">
        <x:v>Sombrio</x:v>
      </x:c>
      <x:c r="F2611" s="1" t="str">
        <x:v>Física</x:v>
      </x:c>
      <x:c r="G2611" s="10" t="n">
        <x:v>65</x:v>
      </x:c>
      <x:c r="H2611" s="10" t="n">
        <x:f>IF(F2611="Física",'Pokémon'!G285,IF(F2611="Especial",'Pokémon'!I285,""))</x:f>
        <x:v>60</x:v>
      </x:c>
      <x:c r="I2611" s="10" t="n">
        <x:f>IF(OR(F2611="Status",G2611=0),"",G2611+H2611)</x:f>
        <x:v>125</x:v>
      </x:c>
      <x:c r="J2611" s="10" t="n">
        <x:v>19</x:v>
      </x:c>
      <x:c r="K2611" s="12" t="n">
        <x:v>20</x:v>
      </x:c>
      <x:c r="L2611" s="1" t="str"/>
      <x:c r="M2611" s="9" t="str">
        <x:v>https://poke.idleworld.online/pokepedia/pokemon/makuhita</x:v>
      </x:c>
    </x:row>
    <x:row r="2612" ht="22" customHeight="1">
      <x:c r="A2612" s="1" t="n">
        <x:v>296</x:v>
      </x:c>
      <x:c r="B2612" s="1" t="str">
        <x:v>Makuhita</x:v>
      </x:c>
      <x:c r="C2612" s="1" t="n">
        <x:v>4</x:v>
      </x:c>
      <x:c r="D2612" s="1" t="str">
        <x:v>Force Palm</x:v>
      </x:c>
      <x:c r="E2612" s="1" t="str">
        <x:v>Lutador</x:v>
      </x:c>
      <x:c r="F2612" s="1" t="str">
        <x:v>Física</x:v>
      </x:c>
      <x:c r="G2612" s="10" t="n">
        <x:v>60</x:v>
      </x:c>
      <x:c r="H2612" s="10" t="n">
        <x:f>IF(F2612="Física",'Pokémon'!G285,IF(F2612="Especial",'Pokémon'!I285,""))</x:f>
        <x:v>60</x:v>
      </x:c>
      <x:c r="I2612" s="10" t="n">
        <x:f>IF(OR(F2612="Status",G2612=0),"",G2612+H2612)</x:f>
        <x:v>120</x:v>
      </x:c>
      <x:c r="J2612" s="10" t="n">
        <x:v>13</x:v>
      </x:c>
      <x:c r="K2612" s="12" t="n">
        <x:v>20</x:v>
      </x:c>
      <x:c r="L2612" s="1" t="str"/>
      <x:c r="M2612" s="9" t="str">
        <x:v>https://poke.idleworld.online/pokepedia/pokemon/makuhita</x:v>
      </x:c>
    </x:row>
    <x:row r="2613" ht="22" customHeight="1">
      <x:c r="A2613" s="1" t="n">
        <x:v>296</x:v>
      </x:c>
      <x:c r="B2613" s="1" t="str">
        <x:v>Makuhita</x:v>
      </x:c>
      <x:c r="C2613" s="1" t="n">
        <x:v>1</x:v>
      </x:c>
      <x:c r="D2613" s="1" t="str">
        <x:v>Tackle</x:v>
      </x:c>
      <x:c r="E2613" s="1" t="str">
        <x:v>Normal</x:v>
      </x:c>
      <x:c r="F2613" s="1" t="str">
        <x:v>Física</x:v>
      </x:c>
      <x:c r="G2613" s="10" t="n">
        <x:v>50</x:v>
      </x:c>
      <x:c r="H2613" s="10" t="n">
        <x:f>IF(F2613="Física",'Pokémon'!G285,IF(F2613="Especial",'Pokémon'!I285,""))</x:f>
        <x:v>60</x:v>
      </x:c>
      <x:c r="I2613" s="10" t="n">
        <x:f>IF(OR(F2613="Status",G2613=0),"",G2613+H2613)</x:f>
        <x:v>110</x:v>
      </x:c>
      <x:c r="J2613" s="10" t="n">
        <x:v>1</x:v>
      </x:c>
      <x:c r="K2613" s="12" t="n">
        <x:v>10</x:v>
      </x:c>
      <x:c r="L2613" s="1" t="str"/>
      <x:c r="M2613" s="9" t="str">
        <x:v>https://poke.idleworld.online/pokepedia/pokemon/makuhita</x:v>
      </x:c>
    </x:row>
    <x:row r="2614" ht="22" customHeight="1">
      <x:c r="A2614" s="1" t="n">
        <x:v>296</x:v>
      </x:c>
      <x:c r="B2614" s="1" t="str">
        <x:v>Makuhita</x:v>
      </x:c>
      <x:c r="C2614" s="1" t="n">
        <x:v>3</x:v>
      </x:c>
      <x:c r="D2614" s="1" t="str">
        <x:v>Fake Out</x:v>
      </x:c>
      <x:c r="E2614" s="1" t="str">
        <x:v>Normal</x:v>
      </x:c>
      <x:c r="F2614" s="1" t="str">
        <x:v>Física</x:v>
      </x:c>
      <x:c r="G2614" s="10" t="n">
        <x:v>40</x:v>
      </x:c>
      <x:c r="H2614" s="10" t="n">
        <x:f>IF(F2614="Física",'Pokémon'!G285,IF(F2614="Especial",'Pokémon'!I285,""))</x:f>
        <x:v>60</x:v>
      </x:c>
      <x:c r="I2614" s="10" t="n">
        <x:f>IF(OR(F2614="Status",G2614=0),"",G2614+H2614)</x:f>
        <x:v>100</x:v>
      </x:c>
      <x:c r="J2614" s="10" t="n">
        <x:v>10</x:v>
      </x:c>
      <x:c r="K2614" s="12" t="n">
        <x:v>15</x:v>
      </x:c>
      <x:c r="L2614" s="1" t="str"/>
      <x:c r="M2614" s="9" t="str">
        <x:v>https://poke.idleworld.online/pokepedia/pokemon/makuhita</x:v>
      </x:c>
    </x:row>
    <x:row r="2615" ht="22" customHeight="1">
      <x:c r="A2615" s="1" t="n">
        <x:v>296</x:v>
      </x:c>
      <x:c r="B2615" s="1" t="str">
        <x:v>Makuhita</x:v>
      </x:c>
      <x:c r="C2615" s="1" t="n">
        <x:v>2</x:v>
      </x:c>
      <x:c r="D2615" s="1" t="str">
        <x:v>Arm Thrust</x:v>
      </x:c>
      <x:c r="E2615" s="1" t="str">
        <x:v>Lutador</x:v>
      </x:c>
      <x:c r="F2615" s="1" t="str">
        <x:v>Física</x:v>
      </x:c>
      <x:c r="G2615" s="10" t="n">
        <x:v>15</x:v>
      </x:c>
      <x:c r="H2615" s="10" t="n">
        <x:f>IF(F2615="Física",'Pokémon'!G285,IF(F2615="Especial",'Pokémon'!I285,""))</x:f>
        <x:v>60</x:v>
      </x:c>
      <x:c r="I2615" s="10" t="n">
        <x:f>IF(OR(F2615="Status",G2615=0),"",G2615+H2615)</x:f>
        <x:v>75</x:v>
      </x:c>
      <x:c r="J2615" s="10" t="n">
        <x:v>7</x:v>
      </x:c>
      <x:c r="K2615" s="12" t="n">
        <x:v>30</x:v>
      </x:c>
      <x:c r="L2615" s="1" t="str"/>
      <x:c r="M2615" s="9" t="str">
        <x:v>https://poke.idleworld.online/pokepedia/pokemon/makuhita</x:v>
      </x:c>
    </x:row>
    <x:row r="2616" ht="22" customHeight="1">
      <x:c r="A2616" s="1" t="n">
        <x:v>302</x:v>
      </x:c>
      <x:c r="B2616" s="1" t="str">
        <x:v>Sableye</x:v>
      </x:c>
      <x:c r="C2616" s="1" t="n">
        <x:v>1</x:v>
      </x:c>
      <x:c r="D2616" s="1" t="str">
        <x:v>Endless Hollow</x:v>
      </x:c>
      <x:c r="E2616" s="1" t="str">
        <x:v>Sombrio</x:v>
      </x:c>
      <x:c r="F2616" s="1" t="str">
        <x:v>Física</x:v>
      </x:c>
      <x:c r="G2616" s="10" t="n">
        <x:v>300</x:v>
      </x:c>
      <x:c r="H2616" s="10" t="n">
        <x:f>IF(F2616="Física",'Pokémon'!G286,IF(F2616="Especial",'Pokémon'!I286,""))</x:f>
        <x:v>75</x:v>
      </x:c>
      <x:c r="I2616" s="10" t="n">
        <x:f>IF(OR(F2616="Status",G2616=0),"",G2616+H2616)</x:f>
        <x:v>375</x:v>
      </x:c>
      <x:c r="J2616" s="10" t="n">
        <x:v>1</x:v>
      </x:c>
      <x:c r="K2616" s="12" t="n">
        <x:v>10</x:v>
      </x:c>
      <x:c r="L2616" s="1" t="str">
        <x:v>Sim</x:v>
      </x:c>
      <x:c r="M2616" s="9" t="str">
        <x:v>https://poke.idleworld.online/pokepedia/pokemon/sableye</x:v>
      </x:c>
    </x:row>
    <x:row r="2617" ht="22" customHeight="1">
      <x:c r="A2617" s="1" t="n">
        <x:v>302</x:v>
      </x:c>
      <x:c r="B2617" s="1" t="str">
        <x:v>Sableye</x:v>
      </x:c>
      <x:c r="C2617" s="1" t="n">
        <x:v>14</x:v>
      </x:c>
      <x:c r="D2617" s="1" t="str">
        <x:v>Foul Play</x:v>
      </x:c>
      <x:c r="E2617" s="1" t="str">
        <x:v>Sombrio</x:v>
      </x:c>
      <x:c r="F2617" s="1" t="str">
        <x:v>Física</x:v>
      </x:c>
      <x:c r="G2617" s="10" t="n">
        <x:v>95</x:v>
      </x:c>
      <x:c r="H2617" s="10" t="n">
        <x:f>IF(F2617="Física",'Pokémon'!G286,IF(F2617="Especial",'Pokémon'!I286,""))</x:f>
        <x:v>75</x:v>
      </x:c>
      <x:c r="I2617" s="10" t="n">
        <x:f>IF(OR(F2617="Status",G2617=0),"",G2617+H2617)</x:f>
        <x:v>170</x:v>
      </x:c>
      <x:c r="J2617" s="10" t="n">
        <x:v>41</x:v>
      </x:c>
      <x:c r="K2617" s="12" t="n">
        <x:v>40</x:v>
      </x:c>
      <x:c r="L2617" s="1" t="str"/>
      <x:c r="M2617" s="9" t="str">
        <x:v>https://poke.idleworld.online/pokepedia/pokemon/sableye</x:v>
      </x:c>
    </x:row>
    <x:row r="2618" ht="22" customHeight="1">
      <x:c r="A2618" s="1" t="n">
        <x:v>302</x:v>
      </x:c>
      <x:c r="B2618" s="1" t="str">
        <x:v>Sableye</x:v>
      </x:c>
      <x:c r="C2618" s="1" t="n">
        <x:v>11</x:v>
      </x:c>
      <x:c r="D2618" s="1" t="str">
        <x:v>Zen Headbutt</x:v>
      </x:c>
      <x:c r="E2618" s="1" t="str">
        <x:v>Psíquico</x:v>
      </x:c>
      <x:c r="F2618" s="1" t="str">
        <x:v>Física</x:v>
      </x:c>
      <x:c r="G2618" s="10" t="n">
        <x:v>80</x:v>
      </x:c>
      <x:c r="H2618" s="10" t="n">
        <x:f>IF(F2618="Física",'Pokémon'!G286,IF(F2618="Especial",'Pokémon'!I286,""))</x:f>
        <x:v>75</x:v>
      </x:c>
      <x:c r="I2618" s="10" t="n">
        <x:f>IF(OR(F2618="Status",G2618=0),"",G2618+H2618)</x:f>
        <x:v>155</x:v>
      </x:c>
      <x:c r="J2618" s="10" t="n">
        <x:v>34</x:v>
      </x:c>
      <x:c r="K2618" s="12" t="n">
        <x:v>22</x:v>
      </x:c>
      <x:c r="L2618" s="1" t="str"/>
      <x:c r="M2618" s="9" t="str">
        <x:v>https://poke.idleworld.online/pokepedia/pokemon/sableye</x:v>
      </x:c>
    </x:row>
    <x:row r="2619" ht="22" customHeight="1">
      <x:c r="A2619" s="1" t="n">
        <x:v>302</x:v>
      </x:c>
      <x:c r="B2619" s="1" t="str">
        <x:v>Sableye</x:v>
      </x:c>
      <x:c r="C2619" s="1" t="n">
        <x:v>12</x:v>
      </x:c>
      <x:c r="D2619" s="1" t="str">
        <x:v>Power Gem</x:v>
      </x:c>
      <x:c r="E2619" s="1" t="str">
        <x:v>Pedra</x:v>
      </x:c>
      <x:c r="F2619" s="1" t="str">
        <x:v>Especial</x:v>
      </x:c>
      <x:c r="G2619" s="10" t="n">
        <x:v>80</x:v>
      </x:c>
      <x:c r="H2619" s="10" t="n">
        <x:f>IF(F2619="Física",'Pokémon'!G286,IF(F2619="Especial",'Pokémon'!I286,""))</x:f>
        <x:v>65</x:v>
      </x:c>
      <x:c r="I2619" s="10" t="n">
        <x:f>IF(OR(F2619="Status",G2619=0),"",G2619+H2619)</x:f>
        <x:v>145</x:v>
      </x:c>
      <x:c r="J2619" s="10" t="n">
        <x:v>36</x:v>
      </x:c>
      <x:c r="K2619" s="12" t="n">
        <x:v>22</x:v>
      </x:c>
      <x:c r="L2619" s="1" t="str"/>
      <x:c r="M2619" s="9" t="str">
        <x:v>https://poke.idleworld.online/pokepedia/pokemon/sableye</x:v>
      </x:c>
    </x:row>
    <x:row r="2620" ht="22" customHeight="1">
      <x:c r="A2620" s="1" t="n">
        <x:v>302</x:v>
      </x:c>
      <x:c r="B2620" s="1" t="str">
        <x:v>Sableye</x:v>
      </x:c>
      <x:c r="C2620" s="1" t="n">
        <x:v>13</x:v>
      </x:c>
      <x:c r="D2620" s="1" t="str">
        <x:v>Shadow Ball</x:v>
      </x:c>
      <x:c r="E2620" s="1" t="str">
        <x:v>Fantasma</x:v>
      </x:c>
      <x:c r="F2620" s="1" t="str">
        <x:v>Especial</x:v>
      </x:c>
      <x:c r="G2620" s="10" t="n">
        <x:v>80</x:v>
      </x:c>
      <x:c r="H2620" s="10" t="n">
        <x:f>IF(F2620="Física",'Pokémon'!G286,IF(F2620="Especial",'Pokémon'!I286,""))</x:f>
        <x:v>65</x:v>
      </x:c>
      <x:c r="I2620" s="10" t="n">
        <x:f>IF(OR(F2620="Status",G2620=0),"",G2620+H2620)</x:f>
        <x:v>145</x:v>
      </x:c>
      <x:c r="J2620" s="10" t="n">
        <x:v>39</x:v>
      </x:c>
      <x:c r="K2620" s="12" t="n">
        <x:v>10</x:v>
      </x:c>
      <x:c r="L2620" s="1" t="str"/>
      <x:c r="M2620" s="9" t="str">
        <x:v>https://poke.idleworld.online/pokepedia/pokemon/sableye</x:v>
      </x:c>
    </x:row>
    <x:row r="2621" ht="22" customHeight="1">
      <x:c r="A2621" s="1" t="n">
        <x:v>302</x:v>
      </x:c>
      <x:c r="B2621" s="1" t="str">
        <x:v>Sableye</x:v>
      </x:c>
      <x:c r="C2621" s="1" t="n">
        <x:v>10</x:v>
      </x:c>
      <x:c r="D2621" s="1" t="str">
        <x:v>Shadow Claw</x:v>
      </x:c>
      <x:c r="E2621" s="1" t="str">
        <x:v>Fantasma</x:v>
      </x:c>
      <x:c r="F2621" s="1" t="str">
        <x:v>Física</x:v>
      </x:c>
      <x:c r="G2621" s="10" t="n">
        <x:v>70</x:v>
      </x:c>
      <x:c r="H2621" s="10" t="n">
        <x:f>IF(F2621="Física",'Pokémon'!G286,IF(F2621="Especial",'Pokémon'!I286,""))</x:f>
        <x:v>75</x:v>
      </x:c>
      <x:c r="I2621" s="10" t="n">
        <x:f>IF(OR(F2621="Status",G2621=0),"",G2621+H2621)</x:f>
        <x:v>145</x:v>
      </x:c>
      <x:c r="J2621" s="10" t="n">
        <x:v>29</x:v>
      </x:c>
      <x:c r="K2621" s="12" t="n">
        <x:v>30</x:v>
      </x:c>
      <x:c r="L2621" s="1" t="str"/>
      <x:c r="M2621" s="9" t="str">
        <x:v>https://poke.idleworld.online/pokepedia/pokemon/sableye</x:v>
      </x:c>
    </x:row>
    <x:row r="2622" ht="22" customHeight="1">
      <x:c r="A2622" s="1" t="n">
        <x:v>302</x:v>
      </x:c>
      <x:c r="B2622" s="1" t="str">
        <x:v>Sableye</x:v>
      </x:c>
      <x:c r="C2622" s="1" t="n">
        <x:v>9</x:v>
      </x:c>
      <x:c r="D2622" s="1" t="str">
        <x:v>Knock Off</x:v>
      </x:c>
      <x:c r="E2622" s="1" t="str">
        <x:v>Sombrio</x:v>
      </x:c>
      <x:c r="F2622" s="1" t="str">
        <x:v>Física</x:v>
      </x:c>
      <x:c r="G2622" s="10" t="n">
        <x:v>65</x:v>
      </x:c>
      <x:c r="H2622" s="10" t="n">
        <x:f>IF(F2622="Física",'Pokémon'!G286,IF(F2622="Especial",'Pokémon'!I286,""))</x:f>
        <x:v>75</x:v>
      </x:c>
      <x:c r="I2622" s="10" t="n">
        <x:f>IF(OR(F2622="Status",G2622=0),"",G2622+H2622)</x:f>
        <x:v>140</x:v>
      </x:c>
      <x:c r="J2622" s="10" t="n">
        <x:v>26</x:v>
      </x:c>
      <x:c r="K2622" s="12" t="n">
        <x:v>20</x:v>
      </x:c>
      <x:c r="L2622" s="1" t="str"/>
      <x:c r="M2622" s="9" t="str">
        <x:v>https://poke.idleworld.online/pokepedia/pokemon/sableye</x:v>
      </x:c>
    </x:row>
    <x:row r="2623" ht="22" customHeight="1">
      <x:c r="A2623" s="1" t="n">
        <x:v>302</x:v>
      </x:c>
      <x:c r="B2623" s="1" t="str">
        <x:v>Sableye</x:v>
      </x:c>
      <x:c r="C2623" s="1" t="n">
        <x:v>7</x:v>
      </x:c>
      <x:c r="D2623" s="1" t="str">
        <x:v>Feint Attack</x:v>
      </x:c>
      <x:c r="E2623" s="1" t="str">
        <x:v>Sombrio</x:v>
      </x:c>
      <x:c r="F2623" s="1" t="str">
        <x:v>Física</x:v>
      </x:c>
      <x:c r="G2623" s="10" t="n">
        <x:v>60</x:v>
      </x:c>
      <x:c r="H2623" s="10" t="n">
        <x:f>IF(F2623="Física",'Pokémon'!G286,IF(F2623="Especial",'Pokémon'!I286,""))</x:f>
        <x:v>75</x:v>
      </x:c>
      <x:c r="I2623" s="10" t="n">
        <x:f>IF(OR(F2623="Status",G2623=0),"",G2623+H2623)</x:f>
        <x:v>135</x:v>
      </x:c>
      <x:c r="J2623" s="10" t="n">
        <x:v>19</x:v>
      </x:c>
      <x:c r="K2623" s="12" t="n">
        <x:v>25</x:v>
      </x:c>
      <x:c r="L2623" s="1" t="str"/>
      <x:c r="M2623" s="9" t="str">
        <x:v>https://poke.idleworld.online/pokepedia/pokemon/sableye</x:v>
      </x:c>
    </x:row>
    <x:row r="2624" ht="22" customHeight="1">
      <x:c r="A2624" s="1" t="n">
        <x:v>302</x:v>
      </x:c>
      <x:c r="B2624" s="1" t="str">
        <x:v>Sableye</x:v>
      </x:c>
      <x:c r="C2624" s="1" t="n">
        <x:v>3</x:v>
      </x:c>
      <x:c r="D2624" s="1" t="str">
        <x:v>Night Shade</x:v>
      </x:c>
      <x:c r="E2624" s="1" t="str">
        <x:v>Fantasma</x:v>
      </x:c>
      <x:c r="F2624" s="1" t="str">
        <x:v>Especial</x:v>
      </x:c>
      <x:c r="G2624" s="10" t="n">
        <x:v>56</x:v>
      </x:c>
      <x:c r="H2624" s="10" t="n">
        <x:f>IF(F2624="Física",'Pokémon'!G286,IF(F2624="Especial",'Pokémon'!I286,""))</x:f>
        <x:v>65</x:v>
      </x:c>
      <x:c r="I2624" s="10" t="n">
        <x:f>IF(OR(F2624="Status",G2624=0),"",G2624+H2624)</x:f>
        <x:v>121</x:v>
      </x:c>
      <x:c r="J2624" s="10" t="n">
        <x:v>6</x:v>
      </x:c>
      <x:c r="K2624" s="12" t="n">
        <x:v>40</x:v>
      </x:c>
      <x:c r="L2624" s="1" t="str"/>
      <x:c r="M2624" s="9" t="str">
        <x:v>https://poke.idleworld.online/pokepedia/pokemon/sableye</x:v>
      </x:c>
    </x:row>
    <x:row r="2625" ht="22" customHeight="1">
      <x:c r="A2625" s="1" t="n">
        <x:v>302</x:v>
      </x:c>
      <x:c r="B2625" s="1" t="str">
        <x:v>Sableye</x:v>
      </x:c>
      <x:c r="C2625" s="1" t="n">
        <x:v>2</x:v>
      </x:c>
      <x:c r="D2625" s="1" t="str">
        <x:v>Scratch</x:v>
      </x:c>
      <x:c r="E2625" s="1" t="str">
        <x:v>Normal</x:v>
      </x:c>
      <x:c r="F2625" s="1" t="str">
        <x:v>Física</x:v>
      </x:c>
      <x:c r="G2625" s="10" t="n">
        <x:v>40</x:v>
      </x:c>
      <x:c r="H2625" s="10" t="n">
        <x:f>IF(F2625="Física",'Pokémon'!G286,IF(F2625="Especial",'Pokémon'!I286,""))</x:f>
        <x:v>75</x:v>
      </x:c>
      <x:c r="I2625" s="10" t="n">
        <x:f>IF(OR(F2625="Status",G2625=0),"",G2625+H2625)</x:f>
        <x:v>115</x:v>
      </x:c>
      <x:c r="J2625" s="10" t="n">
        <x:v>1</x:v>
      </x:c>
      <x:c r="K2625" s="12" t="n">
        <x:v>15</x:v>
      </x:c>
      <x:c r="L2625" s="1" t="str"/>
      <x:c r="M2625" s="9" t="str">
        <x:v>https://poke.idleworld.online/pokepedia/pokemon/sableye</x:v>
      </x:c>
    </x:row>
    <x:row r="2626" ht="22" customHeight="1">
      <x:c r="A2626" s="1" t="n">
        <x:v>302</x:v>
      </x:c>
      <x:c r="B2626" s="1" t="str">
        <x:v>Sableye</x:v>
      </x:c>
      <x:c r="C2626" s="1" t="n">
        <x:v>6</x:v>
      </x:c>
      <x:c r="D2626" s="1" t="str">
        <x:v>Shadow Sneak</x:v>
      </x:c>
      <x:c r="E2626" s="1" t="str">
        <x:v>Fantasma</x:v>
      </x:c>
      <x:c r="F2626" s="1" t="str">
        <x:v>Física</x:v>
      </x:c>
      <x:c r="G2626" s="10" t="n">
        <x:v>40</x:v>
      </x:c>
      <x:c r="H2626" s="10" t="n">
        <x:f>IF(F2626="Física",'Pokémon'!G286,IF(F2626="Especial",'Pokémon'!I286,""))</x:f>
        <x:v>75</x:v>
      </x:c>
      <x:c r="I2626" s="10" t="n">
        <x:f>IF(OR(F2626="Status",G2626=0),"",G2626+H2626)</x:f>
        <x:v>115</x:v>
      </x:c>
      <x:c r="J2626" s="10" t="n">
        <x:v>16</x:v>
      </x:c>
      <x:c r="K2626" s="12" t="n">
        <x:v>30</x:v>
      </x:c>
      <x:c r="L2626" s="1" t="str"/>
      <x:c r="M2626" s="9" t="str">
        <x:v>https://poke.idleworld.online/pokepedia/pokemon/sableye</x:v>
      </x:c>
    </x:row>
    <x:row r="2627" ht="22" customHeight="1">
      <x:c r="A2627" s="1" t="n">
        <x:v>302</x:v>
      </x:c>
      <x:c r="B2627" s="1" t="str">
        <x:v>Sableye</x:v>
      </x:c>
      <x:c r="C2627" s="1" t="n">
        <x:v>8</x:v>
      </x:c>
      <x:c r="D2627" s="1" t="str">
        <x:v>Fake Out</x:v>
      </x:c>
      <x:c r="E2627" s="1" t="str">
        <x:v>Normal</x:v>
      </x:c>
      <x:c r="F2627" s="1" t="str">
        <x:v>Física</x:v>
      </x:c>
      <x:c r="G2627" s="10" t="n">
        <x:v>40</x:v>
      </x:c>
      <x:c r="H2627" s="10" t="n">
        <x:f>IF(F2627="Física",'Pokémon'!G286,IF(F2627="Especial",'Pokémon'!I286,""))</x:f>
        <x:v>75</x:v>
      </x:c>
      <x:c r="I2627" s="10" t="n">
        <x:f>IF(OR(F2627="Status",G2627=0),"",G2627+H2627)</x:f>
        <x:v>115</x:v>
      </x:c>
      <x:c r="J2627" s="10" t="n">
        <x:v>21</x:v>
      </x:c>
      <x:c r="K2627" s="12" t="n">
        <x:v>15</x:v>
      </x:c>
      <x:c r="L2627" s="1" t="str"/>
      <x:c r="M2627" s="9" t="str">
        <x:v>https://poke.idleworld.online/pokepedia/pokemon/sableye</x:v>
      </x:c>
    </x:row>
    <x:row r="2628" ht="22" customHeight="1">
      <x:c r="A2628" s="1" t="n">
        <x:v>302</x:v>
      </x:c>
      <x:c r="B2628" s="1" t="str">
        <x:v>Sableye</x:v>
      </x:c>
      <x:c r="C2628" s="1" t="n">
        <x:v>4</x:v>
      </x:c>
      <x:c r="D2628" s="1" t="str">
        <x:v>Astonish</x:v>
      </x:c>
      <x:c r="E2628" s="1" t="str">
        <x:v>Fantasma</x:v>
      </x:c>
      <x:c r="F2628" s="1" t="str">
        <x:v>Física</x:v>
      </x:c>
      <x:c r="G2628" s="10" t="n">
        <x:v>30</x:v>
      </x:c>
      <x:c r="H2628" s="10" t="n">
        <x:f>IF(F2628="Física",'Pokémon'!G286,IF(F2628="Especial",'Pokémon'!I286,""))</x:f>
        <x:v>75</x:v>
      </x:c>
      <x:c r="I2628" s="10" t="n">
        <x:f>IF(OR(F2628="Status",G2628=0),"",G2628+H2628)</x:f>
        <x:v>105</x:v>
      </x:c>
      <x:c r="J2628" s="10" t="n">
        <x:v>9</x:v>
      </x:c>
      <x:c r="K2628" s="12" t="n">
        <x:v>15</x:v>
      </x:c>
      <x:c r="L2628" s="1" t="str"/>
      <x:c r="M2628" s="9" t="str">
        <x:v>https://poke.idleworld.online/pokepedia/pokemon/sableye</x:v>
      </x:c>
    </x:row>
    <x:row r="2629" ht="22" customHeight="1">
      <x:c r="A2629" s="1" t="n">
        <x:v>302</x:v>
      </x:c>
      <x:c r="B2629" s="1" t="str">
        <x:v>Sableye</x:v>
      </x:c>
      <x:c r="C2629" s="1" t="n">
        <x:v>5</x:v>
      </x:c>
      <x:c r="D2629" s="1" t="str">
        <x:v>Fury Swipes</x:v>
      </x:c>
      <x:c r="E2629" s="1" t="str">
        <x:v>Normal</x:v>
      </x:c>
      <x:c r="F2629" s="1" t="str">
        <x:v>Física</x:v>
      </x:c>
      <x:c r="G2629" s="10" t="n">
        <x:v>18</x:v>
      </x:c>
      <x:c r="H2629" s="10" t="n">
        <x:f>IF(F2629="Física",'Pokémon'!G286,IF(F2629="Especial",'Pokémon'!I286,""))</x:f>
        <x:v>75</x:v>
      </x:c>
      <x:c r="I2629" s="10" t="n">
        <x:f>IF(OR(F2629="Status",G2629=0),"",G2629+H2629)</x:f>
        <x:v>93</x:v>
      </x:c>
      <x:c r="J2629" s="10" t="n">
        <x:v>11</x:v>
      </x:c>
      <x:c r="K2629" s="12" t="n">
        <x:v>15</x:v>
      </x:c>
      <x:c r="L2629" s="1" t="str"/>
      <x:c r="M2629" s="9" t="str">
        <x:v>https://poke.idleworld.online/pokepedia/pokemon/sableye</x:v>
      </x:c>
    </x:row>
    <x:row r="2630" ht="22" customHeight="1">
      <x:c r="A2630" s="1" t="n">
        <x:v>303</x:v>
      </x:c>
      <x:c r="B2630" s="1" t="str">
        <x:v>Mawile</x:v>
      </x:c>
      <x:c r="C2630" s="1" t="n">
        <x:v>2</x:v>
      </x:c>
      <x:c r="D2630" s="1" t="str">
        <x:v>Play Rough</x:v>
      </x:c>
      <x:c r="E2630" s="1" t="str">
        <x:v>Fada</x:v>
      </x:c>
      <x:c r="F2630" s="1" t="str">
        <x:v>Física</x:v>
      </x:c>
      <x:c r="G2630" s="10" t="n">
        <x:v>90</x:v>
      </x:c>
      <x:c r="H2630" s="10" t="n">
        <x:f>IF(F2630="Física",'Pokémon'!G287,IF(F2630="Especial",'Pokémon'!I287,""))</x:f>
        <x:v>85</x:v>
      </x:c>
      <x:c r="I2630" s="10" t="n">
        <x:f>IF(OR(F2630="Status",G2630=0),"",G2630+H2630)</x:f>
        <x:v>175</x:v>
      </x:c>
      <x:c r="J2630" s="10" t="n">
        <x:v>1</x:v>
      </x:c>
      <x:c r="K2630" s="12" t="n">
        <x:v>20</x:v>
      </x:c>
      <x:c r="L2630" s="1" t="str"/>
      <x:c r="M2630" s="9" t="str">
        <x:v>https://poke.idleworld.online/pokepedia/pokemon/mawile</x:v>
      </x:c>
    </x:row>
    <x:row r="2631" ht="22" customHeight="1">
      <x:c r="A2631" s="1" t="n">
        <x:v>303</x:v>
      </x:c>
      <x:c r="B2631" s="1" t="str">
        <x:v>Mawile</x:v>
      </x:c>
      <x:c r="C2631" s="1" t="n">
        <x:v>1</x:v>
      </x:c>
      <x:c r="D2631" s="1" t="str">
        <x:v>Iron Head</x:v>
      </x:c>
      <x:c r="E2631" s="1" t="str">
        <x:v>Aço</x:v>
      </x:c>
      <x:c r="F2631" s="1" t="str">
        <x:v>Física</x:v>
      </x:c>
      <x:c r="G2631" s="10" t="n">
        <x:v>80</x:v>
      </x:c>
      <x:c r="H2631" s="10" t="n">
        <x:f>IF(F2631="Física",'Pokémon'!G287,IF(F2631="Especial",'Pokémon'!I287,""))</x:f>
        <x:v>85</x:v>
      </x:c>
      <x:c r="I2631" s="10" t="n">
        <x:f>IF(OR(F2631="Status",G2631=0),"",G2631+H2631)</x:f>
        <x:v>165</x:v>
      </x:c>
      <x:c r="J2631" s="10" t="n">
        <x:v>1</x:v>
      </x:c>
      <x:c r="K2631" s="12" t="n">
        <x:v>10</x:v>
      </x:c>
      <x:c r="L2631" s="1" t="str"/>
      <x:c r="M2631" s="9" t="str">
        <x:v>https://poke.idleworld.online/pokepedia/pokemon/mawile</x:v>
      </x:c>
    </x:row>
    <x:row r="2632" ht="22" customHeight="1">
      <x:c r="A2632" s="1" t="n">
        <x:v>303</x:v>
      </x:c>
      <x:c r="B2632" s="1" t="str">
        <x:v>Mawile</x:v>
      </x:c>
      <x:c r="C2632" s="1" t="n">
        <x:v>9</x:v>
      </x:c>
      <x:c r="D2632" s="1" t="str">
        <x:v>Crunch</x:v>
      </x:c>
      <x:c r="E2632" s="1" t="str">
        <x:v>Sombrio</x:v>
      </x:c>
      <x:c r="F2632" s="1" t="str">
        <x:v>Física</x:v>
      </x:c>
      <x:c r="G2632" s="10" t="n">
        <x:v>80</x:v>
      </x:c>
      <x:c r="H2632" s="10" t="n">
        <x:f>IF(F2632="Física",'Pokémon'!G287,IF(F2632="Especial",'Pokémon'!I287,""))</x:f>
        <x:v>85</x:v>
      </x:c>
      <x:c r="I2632" s="10" t="n">
        <x:f>IF(OR(F2632="Status",G2632=0),"",G2632+H2632)</x:f>
        <x:v>165</x:v>
      </x:c>
      <x:c r="J2632" s="10" t="n">
        <x:v>29</x:v>
      </x:c>
      <x:c r="K2632" s="12" t="n">
        <x:v>22</x:v>
      </x:c>
      <x:c r="L2632" s="1" t="str"/>
      <x:c r="M2632" s="9" t="str">
        <x:v>https://poke.idleworld.online/pokepedia/pokemon/mawile</x:v>
      </x:c>
    </x:row>
    <x:row r="2633" ht="22" customHeight="1">
      <x:c r="A2633" s="1" t="n">
        <x:v>303</x:v>
      </x:c>
      <x:c r="B2633" s="1" t="str">
        <x:v>Mawile</x:v>
      </x:c>
      <x:c r="C2633" s="1" t="n">
        <x:v>10</x:v>
      </x:c>
      <x:c r="D2633" s="1" t="str">
        <x:v>Sucker Punch</x:v>
      </x:c>
      <x:c r="E2633" s="1" t="str">
        <x:v>Sombrio</x:v>
      </x:c>
      <x:c r="F2633" s="1" t="str">
        <x:v>Física</x:v>
      </x:c>
      <x:c r="G2633" s="10" t="n">
        <x:v>80</x:v>
      </x:c>
      <x:c r="H2633" s="10" t="n">
        <x:f>IF(F2633="Física",'Pokémon'!G287,IF(F2633="Especial",'Pokémon'!I287,""))</x:f>
        <x:v>85</x:v>
      </x:c>
      <x:c r="I2633" s="10" t="n">
        <x:f>IF(OR(F2633="Status",G2633=0),"",G2633+H2633)</x:f>
        <x:v>165</x:v>
      </x:c>
      <x:c r="J2633" s="10" t="n">
        <x:v>37</x:v>
      </x:c>
      <x:c r="K2633" s="12" t="n">
        <x:v>25</x:v>
      </x:c>
      <x:c r="L2633" s="1" t="str"/>
      <x:c r="M2633" s="9" t="str">
        <x:v>https://poke.idleworld.online/pokepedia/pokemon/mawile</x:v>
      </x:c>
    </x:row>
    <x:row r="2634" ht="22" customHeight="1">
      <x:c r="A2634" s="1" t="n">
        <x:v>303</x:v>
      </x:c>
      <x:c r="B2634" s="1" t="str">
        <x:v>Mawile</x:v>
      </x:c>
      <x:c r="C2634" s="1" t="n">
        <x:v>6</x:v>
      </x:c>
      <x:c r="D2634" s="1" t="str">
        <x:v>Bite</x:v>
      </x:c>
      <x:c r="E2634" s="1" t="str">
        <x:v>Sombrio</x:v>
      </x:c>
      <x:c r="F2634" s="1" t="str">
        <x:v>Física</x:v>
      </x:c>
      <x:c r="G2634" s="10" t="n">
        <x:v>60</x:v>
      </x:c>
      <x:c r="H2634" s="10" t="n">
        <x:f>IF(F2634="Física",'Pokémon'!G287,IF(F2634="Especial",'Pokémon'!I287,""))</x:f>
        <x:v>85</x:v>
      </x:c>
      <x:c r="I2634" s="10" t="n">
        <x:f>IF(OR(F2634="Status",G2634=0),"",G2634+H2634)</x:f>
        <x:v>145</x:v>
      </x:c>
      <x:c r="J2634" s="10" t="n">
        <x:v>9</x:v>
      </x:c>
      <x:c r="K2634" s="12" t="n">
        <x:v>15</x:v>
      </x:c>
      <x:c r="L2634" s="1" t="str"/>
      <x:c r="M2634" s="9" t="str">
        <x:v>https://poke.idleworld.online/pokepedia/pokemon/mawile</x:v>
      </x:c>
    </x:row>
    <x:row r="2635" ht="22" customHeight="1">
      <x:c r="A2635" s="1" t="n">
        <x:v>303</x:v>
      </x:c>
      <x:c r="B2635" s="1" t="str">
        <x:v>Mawile</x:v>
      </x:c>
      <x:c r="C2635" s="1" t="n">
        <x:v>8</x:v>
      </x:c>
      <x:c r="D2635" s="1" t="str">
        <x:v>Feint Attack</x:v>
      </x:c>
      <x:c r="E2635" s="1" t="str">
        <x:v>Sombrio</x:v>
      </x:c>
      <x:c r="F2635" s="1" t="str">
        <x:v>Física</x:v>
      </x:c>
      <x:c r="G2635" s="10" t="n">
        <x:v>60</x:v>
      </x:c>
      <x:c r="H2635" s="10" t="n">
        <x:f>IF(F2635="Física",'Pokémon'!G287,IF(F2635="Especial",'Pokémon'!I287,""))</x:f>
        <x:v>85</x:v>
      </x:c>
      <x:c r="I2635" s="10" t="n">
        <x:f>IF(OR(F2635="Status",G2635=0),"",G2635+H2635)</x:f>
        <x:v>145</x:v>
      </x:c>
      <x:c r="J2635" s="10" t="n">
        <x:v>21</x:v>
      </x:c>
      <x:c r="K2635" s="12" t="n">
        <x:v>20</x:v>
      </x:c>
      <x:c r="L2635" s="1" t="str"/>
      <x:c r="M2635" s="9" t="str">
        <x:v>https://poke.idleworld.online/pokepedia/pokemon/mawile</x:v>
      </x:c>
    </x:row>
    <x:row r="2636" ht="22" customHeight="1">
      <x:c r="A2636" s="1" t="n">
        <x:v>303</x:v>
      </x:c>
      <x:c r="B2636" s="1" t="str">
        <x:v>Mawile</x:v>
      </x:c>
      <x:c r="C2636" s="1" t="n">
        <x:v>7</x:v>
      </x:c>
      <x:c r="D2636" s="1" t="str">
        <x:v>Vise Grip</x:v>
      </x:c>
      <x:c r="E2636" s="1" t="str">
        <x:v>Normal</x:v>
      </x:c>
      <x:c r="F2636" s="1" t="str">
        <x:v>Física</x:v>
      </x:c>
      <x:c r="G2636" s="10" t="n">
        <x:v>55</x:v>
      </x:c>
      <x:c r="H2636" s="10" t="n">
        <x:f>IF(F2636="Física",'Pokémon'!G287,IF(F2636="Especial",'Pokémon'!I287,""))</x:f>
        <x:v>85</x:v>
      </x:c>
      <x:c r="I2636" s="10" t="n">
        <x:f>IF(OR(F2636="Status",G2636=0),"",G2636+H2636)</x:f>
        <x:v>140</x:v>
      </x:c>
      <x:c r="J2636" s="10" t="n">
        <x:v>17</x:v>
      </x:c>
      <x:c r="K2636" s="12" t="n">
        <x:v>20</x:v>
      </x:c>
      <x:c r="L2636" s="1" t="str"/>
      <x:c r="M2636" s="9" t="str">
        <x:v>https://poke.idleworld.online/pokepedia/pokemon/mawile</x:v>
      </x:c>
    </x:row>
    <x:row r="2637" ht="22" customHeight="1">
      <x:c r="A2637" s="1" t="n">
        <x:v>303</x:v>
      </x:c>
      <x:c r="B2637" s="1" t="str">
        <x:v>Mawile</x:v>
      </x:c>
      <x:c r="C2637" s="1" t="n">
        <x:v>4</x:v>
      </x:c>
      <x:c r="D2637" s="1" t="str">
        <x:v>Astonish</x:v>
      </x:c>
      <x:c r="E2637" s="1" t="str">
        <x:v>Fantasma</x:v>
      </x:c>
      <x:c r="F2637" s="1" t="str">
        <x:v>Física</x:v>
      </x:c>
      <x:c r="G2637" s="10" t="n">
        <x:v>30</x:v>
      </x:c>
      <x:c r="H2637" s="10" t="n">
        <x:f>IF(F2637="Física",'Pokémon'!G287,IF(F2637="Especial",'Pokémon'!I287,""))</x:f>
        <x:v>85</x:v>
      </x:c>
      <x:c r="I2637" s="10" t="n">
        <x:f>IF(OR(F2637="Status",G2637=0),"",G2637+H2637)</x:f>
        <x:v>115</x:v>
      </x:c>
      <x:c r="J2637" s="10" t="n">
        <x:v>1</x:v>
      </x:c>
      <x:c r="K2637" s="12" t="n">
        <x:v>15</x:v>
      </x:c>
      <x:c r="L2637" s="1" t="str"/>
      <x:c r="M2637" s="9" t="str">
        <x:v>https://poke.idleworld.online/pokepedia/pokemon/mawile</x:v>
      </x:c>
    </x:row>
    <x:row r="2638" ht="22" customHeight="1">
      <x:c r="A2638" s="1" t="n">
        <x:v>303</x:v>
      </x:c>
      <x:c r="B2638" s="1" t="str">
        <x:v>Mawile</x:v>
      </x:c>
      <x:c r="C2638" s="1" t="n">
        <x:v>3</x:v>
      </x:c>
      <x:c r="D2638" s="1" t="str">
        <x:v>Fairy Wind</x:v>
      </x:c>
      <x:c r="E2638" s="1" t="str">
        <x:v>Fada</x:v>
      </x:c>
      <x:c r="F2638" s="1" t="str">
        <x:v>Especial</x:v>
      </x:c>
      <x:c r="G2638" s="10" t="n">
        <x:v>40</x:v>
      </x:c>
      <x:c r="H2638" s="10" t="n">
        <x:f>IF(F2638="Física",'Pokémon'!G287,IF(F2638="Especial",'Pokémon'!I287,""))</x:f>
        <x:v>55</x:v>
      </x:c>
      <x:c r="I2638" s="10" t="n">
        <x:f>IF(OR(F2638="Status",G2638=0),"",G2638+H2638)</x:f>
        <x:v>95</x:v>
      </x:c>
      <x:c r="J2638" s="10" t="n">
        <x:v>1</x:v>
      </x:c>
      <x:c r="K2638" s="12" t="n">
        <x:v>25</x:v>
      </x:c>
      <x:c r="L2638" s="1" t="str"/>
      <x:c r="M2638" s="9" t="str">
        <x:v>https://poke.idleworld.online/pokepedia/pokemon/mawile</x:v>
      </x:c>
    </x:row>
    <x:row r="2639" ht="22" customHeight="1">
      <x:c r="A2639" s="1" t="n">
        <x:v>303</x:v>
      </x:c>
      <x:c r="B2639" s="1" t="str">
        <x:v>Mawile</x:v>
      </x:c>
      <x:c r="C2639" s="1" t="n">
        <x:v>5</x:v>
      </x:c>
      <x:c r="D2639" s="1" t="str">
        <x:v>Fake Tears</x:v>
      </x:c>
      <x:c r="E2639" s="1" t="str">
        <x:v>Sombrio</x:v>
      </x:c>
      <x:c r="F2639" s="1" t="str">
        <x:v>Status</x:v>
      </x:c>
      <x:c r="G2639" s="10" t="n">
        <x:v>0</x:v>
      </x:c>
      <x:c r="H2639" s="10" t="str">
        <x:f>IF(F2639="Física",'Pokémon'!G287,IF(F2639="Especial",'Pokémon'!I287,""))</x:f>
      </x:c>
      <x:c r="I2639" s="10" t="str">
        <x:f>IF(OR(F2639="Status",G2639=0),"",G2639+H2639)</x:f>
      </x:c>
      <x:c r="J2639" s="10" t="n">
        <x:v>5</x:v>
      </x:c>
      <x:c r="K2639" s="12" t="n">
        <x:v>50</x:v>
      </x:c>
      <x:c r="L2639" s="1" t="str"/>
      <x:c r="M2639" s="9" t="str">
        <x:v>https://poke.idleworld.online/pokepedia/pokemon/mawile</x:v>
      </x:c>
    </x:row>
    <x:row r="2640" ht="22" customHeight="1">
      <x:c r="A2640" s="1" t="n">
        <x:v>304</x:v>
      </x:c>
      <x:c r="B2640" s="1" t="str">
        <x:v>Aron</x:v>
      </x:c>
      <x:c r="C2640" s="1" t="n">
        <x:v>11</x:v>
      </x:c>
      <x:c r="D2640" s="1" t="str">
        <x:v>Double-Edge</x:v>
      </x:c>
      <x:c r="E2640" s="1" t="str">
        <x:v>Normal</x:v>
      </x:c>
      <x:c r="F2640" s="1" t="str">
        <x:v>Física</x:v>
      </x:c>
      <x:c r="G2640" s="10" t="n">
        <x:v>120</x:v>
      </x:c>
      <x:c r="H2640" s="10" t="n">
        <x:f>IF(F2640="Física",'Pokémon'!G288,IF(F2640="Especial",'Pokémon'!I288,""))</x:f>
        <x:v>70</x:v>
      </x:c>
      <x:c r="I2640" s="10" t="n">
        <x:f>IF(OR(F2640="Status",G2640=0),"",G2640+H2640)</x:f>
        <x:v>190</x:v>
      </x:c>
      <x:c r="J2640" s="10" t="n">
        <x:v>40</x:v>
      </x:c>
      <x:c r="K2640" s="12" t="n">
        <x:v>50</x:v>
      </x:c>
      <x:c r="L2640" s="1" t="str"/>
      <x:c r="M2640" s="9" t="str">
        <x:v>https://poke.idleworld.online/pokepedia/pokemon/aron</x:v>
      </x:c>
    </x:row>
    <x:row r="2641" ht="22" customHeight="1">
      <x:c r="A2641" s="1" t="n">
        <x:v>304</x:v>
      </x:c>
      <x:c r="B2641" s="1" t="str">
        <x:v>Aron</x:v>
      </x:c>
      <x:c r="C2641" s="1" t="n">
        <x:v>12</x:v>
      </x:c>
      <x:c r="D2641" s="1" t="str">
        <x:v>Metal Burst</x:v>
      </x:c>
      <x:c r="E2641" s="1" t="str">
        <x:v>Aço</x:v>
      </x:c>
      <x:c r="F2641" s="1" t="str">
        <x:v>Física</x:v>
      </x:c>
      <x:c r="G2641" s="10" t="n">
        <x:v>120</x:v>
      </x:c>
      <x:c r="H2641" s="10" t="n">
        <x:f>IF(F2641="Física",'Pokémon'!G288,IF(F2641="Especial",'Pokémon'!I288,""))</x:f>
        <x:v>70</x:v>
      </x:c>
      <x:c r="I2641" s="10" t="n">
        <x:f>IF(OR(F2641="Status",G2641=0),"",G2641+H2641)</x:f>
        <x:v>190</x:v>
      </x:c>
      <x:c r="J2641" s="10" t="n">
        <x:v>49</x:v>
      </x:c>
      <x:c r="K2641" s="12" t="n">
        <x:v>30</x:v>
      </x:c>
      <x:c r="L2641" s="1" t="str"/>
      <x:c r="M2641" s="9" t="str">
        <x:v>https://poke.idleworld.online/pokepedia/pokemon/aron</x:v>
      </x:c>
    </x:row>
    <x:row r="2642" ht="22" customHeight="1">
      <x:c r="A2642" s="1" t="n">
        <x:v>304</x:v>
      </x:c>
      <x:c r="B2642" s="1" t="str">
        <x:v>Aron</x:v>
      </x:c>
      <x:c r="C2642" s="1" t="n">
        <x:v>10</x:v>
      </x:c>
      <x:c r="D2642" s="1" t="str">
        <x:v>Iron Tail</x:v>
      </x:c>
      <x:c r="E2642" s="1" t="str">
        <x:v>Aço</x:v>
      </x:c>
      <x:c r="F2642" s="1" t="str">
        <x:v>Física</x:v>
      </x:c>
      <x:c r="G2642" s="10" t="n">
        <x:v>100</x:v>
      </x:c>
      <x:c r="H2642" s="10" t="n">
        <x:f>IF(F2642="Física",'Pokémon'!G288,IF(F2642="Especial",'Pokémon'!I288,""))</x:f>
        <x:v>70</x:v>
      </x:c>
      <x:c r="I2642" s="10" t="n">
        <x:f>IF(OR(F2642="Status",G2642=0),"",G2642+H2642)</x:f>
        <x:v>170</x:v>
      </x:c>
      <x:c r="J2642" s="10" t="n">
        <x:v>34</x:v>
      </x:c>
      <x:c r="K2642" s="12" t="n">
        <x:v>15</x:v>
      </x:c>
      <x:c r="L2642" s="1" t="str"/>
      <x:c r="M2642" s="9" t="str">
        <x:v>https://poke.idleworld.online/pokepedia/pokemon/aron</x:v>
      </x:c>
    </x:row>
    <x:row r="2643" ht="22" customHeight="1">
      <x:c r="A2643" s="1" t="n">
        <x:v>304</x:v>
      </x:c>
      <x:c r="B2643" s="1" t="str">
        <x:v>Aron</x:v>
      </x:c>
      <x:c r="C2643" s="1" t="n">
        <x:v>9</x:v>
      </x:c>
      <x:c r="D2643" s="1" t="str">
        <x:v>Take Down</x:v>
      </x:c>
      <x:c r="E2643" s="1" t="str">
        <x:v>Normal</x:v>
      </x:c>
      <x:c r="F2643" s="1" t="str">
        <x:v>Física</x:v>
      </x:c>
      <x:c r="G2643" s="10" t="n">
        <x:v>90</x:v>
      </x:c>
      <x:c r="H2643" s="10" t="n">
        <x:f>IF(F2643="Física",'Pokémon'!G288,IF(F2643="Especial",'Pokémon'!I288,""))</x:f>
        <x:v>70</x:v>
      </x:c>
      <x:c r="I2643" s="10" t="n">
        <x:f>IF(OR(F2643="Status",G2643=0),"",G2643+H2643)</x:f>
        <x:v>160</x:v>
      </x:c>
      <x:c r="J2643" s="10" t="n">
        <x:v>28</x:v>
      </x:c>
      <x:c r="K2643" s="12" t="n">
        <x:v>22</x:v>
      </x:c>
      <x:c r="L2643" s="1" t="str"/>
      <x:c r="M2643" s="9" t="str">
        <x:v>https://poke.idleworld.online/pokepedia/pokemon/aron</x:v>
      </x:c>
    </x:row>
    <x:row r="2644" ht="22" customHeight="1">
      <x:c r="A2644" s="1" t="n">
        <x:v>304</x:v>
      </x:c>
      <x:c r="B2644" s="1" t="str">
        <x:v>Aron</x:v>
      </x:c>
      <x:c r="C2644" s="1" t="n">
        <x:v>7</x:v>
      </x:c>
      <x:c r="D2644" s="1" t="str">
        <x:v>Iron Head</x:v>
      </x:c>
      <x:c r="E2644" s="1" t="str">
        <x:v>Aço</x:v>
      </x:c>
      <x:c r="F2644" s="1" t="str">
        <x:v>Física</x:v>
      </x:c>
      <x:c r="G2644" s="10" t="n">
        <x:v>80</x:v>
      </x:c>
      <x:c r="H2644" s="10" t="n">
        <x:f>IF(F2644="Física",'Pokémon'!G288,IF(F2644="Especial",'Pokémon'!I288,""))</x:f>
        <x:v>70</x:v>
      </x:c>
      <x:c r="I2644" s="10" t="n">
        <x:f>IF(OR(F2644="Status",G2644=0),"",G2644+H2644)</x:f>
        <x:v>150</x:v>
      </x:c>
      <x:c r="J2644" s="10" t="n">
        <x:v>22</x:v>
      </x:c>
      <x:c r="K2644" s="12" t="n">
        <x:v>20</x:v>
      </x:c>
      <x:c r="L2644" s="1" t="str"/>
      <x:c r="M2644" s="9" t="str">
        <x:v>https://poke.idleworld.online/pokepedia/pokemon/aron</x:v>
      </x:c>
    </x:row>
    <x:row r="2645" ht="22" customHeight="1">
      <x:c r="A2645" s="1" t="n">
        <x:v>304</x:v>
      </x:c>
      <x:c r="B2645" s="1" t="str">
        <x:v>Aron</x:v>
      </x:c>
      <x:c r="C2645" s="1" t="n">
        <x:v>8</x:v>
      </x:c>
      <x:c r="D2645" s="1" t="str">
        <x:v>Rock Slide</x:v>
      </x:c>
      <x:c r="E2645" s="1" t="str">
        <x:v>Pedra</x:v>
      </x:c>
      <x:c r="F2645" s="1" t="str">
        <x:v>Física</x:v>
      </x:c>
      <x:c r="G2645" s="10" t="n">
        <x:v>75</x:v>
      </x:c>
      <x:c r="H2645" s="10" t="n">
        <x:f>IF(F2645="Física",'Pokémon'!G288,IF(F2645="Especial",'Pokémon'!I288,""))</x:f>
        <x:v>70</x:v>
      </x:c>
      <x:c r="I2645" s="10" t="n">
        <x:f>IF(OR(F2645="Status",G2645=0),"",G2645+H2645)</x:f>
        <x:v>145</x:v>
      </x:c>
      <x:c r="J2645" s="10" t="n">
        <x:v>25</x:v>
      </x:c>
      <x:c r="K2645" s="12" t="n">
        <x:v>22</x:v>
      </x:c>
      <x:c r="L2645" s="1" t="str"/>
      <x:c r="M2645" s="9" t="str">
        <x:v>https://poke.idleworld.online/pokepedia/pokemon/aron</x:v>
      </x:c>
    </x:row>
    <x:row r="2646" ht="22" customHeight="1">
      <x:c r="A2646" s="1" t="n">
        <x:v>304</x:v>
      </x:c>
      <x:c r="B2646" s="1" t="str">
        <x:v>Aron</x:v>
      </x:c>
      <x:c r="C2646" s="1" t="n">
        <x:v>4</x:v>
      </x:c>
      <x:c r="D2646" s="1" t="str">
        <x:v>Headbutt</x:v>
      </x:c>
      <x:c r="E2646" s="1" t="str">
        <x:v>Normal</x:v>
      </x:c>
      <x:c r="F2646" s="1" t="str">
        <x:v>Física</x:v>
      </x:c>
      <x:c r="G2646" s="10" t="n">
        <x:v>70</x:v>
      </x:c>
      <x:c r="H2646" s="10" t="n">
        <x:f>IF(F2646="Física",'Pokémon'!G288,IF(F2646="Especial",'Pokémon'!I288,""))</x:f>
        <x:v>70</x:v>
      </x:c>
      <x:c r="I2646" s="10" t="n">
        <x:f>IF(OR(F2646="Status",G2646=0),"",G2646+H2646)</x:f>
        <x:v>140</x:v>
      </x:c>
      <x:c r="J2646" s="10" t="n">
        <x:v>7</x:v>
      </x:c>
      <x:c r="K2646" s="12" t="n">
        <x:v>20</x:v>
      </x:c>
      <x:c r="L2646" s="1" t="str"/>
      <x:c r="M2646" s="9" t="str">
        <x:v>https://poke.idleworld.online/pokepedia/pokemon/aron</x:v>
      </x:c>
    </x:row>
    <x:row r="2647" ht="22" customHeight="1">
      <x:c r="A2647" s="1" t="n">
        <x:v>304</x:v>
      </x:c>
      <x:c r="B2647" s="1" t="str">
        <x:v>Aron</x:v>
      </x:c>
      <x:c r="C2647" s="1" t="n">
        <x:v>6</x:v>
      </x:c>
      <x:c r="D2647" s="1" t="str">
        <x:v>Rock Tomb</x:v>
      </x:c>
      <x:c r="E2647" s="1" t="str">
        <x:v>Pedra</x:v>
      </x:c>
      <x:c r="F2647" s="1" t="str">
        <x:v>Física</x:v>
      </x:c>
      <x:c r="G2647" s="10" t="n">
        <x:v>60</x:v>
      </x:c>
      <x:c r="H2647" s="10" t="n">
        <x:f>IF(F2647="Física",'Pokémon'!G288,IF(F2647="Especial",'Pokémon'!I288,""))</x:f>
        <x:v>70</x:v>
      </x:c>
      <x:c r="I2647" s="10" t="n">
        <x:f>IF(OR(F2647="Status",G2647=0),"",G2647+H2647)</x:f>
        <x:v>130</x:v>
      </x:c>
      <x:c r="J2647" s="10" t="n">
        <x:v>13</x:v>
      </x:c>
      <x:c r="K2647" s="12" t="n">
        <x:v>20</x:v>
      </x:c>
      <x:c r="L2647" s="1" t="str"/>
      <x:c r="M2647" s="9" t="str">
        <x:v>https://poke.idleworld.online/pokepedia/pokemon/aron</x:v>
      </x:c>
    </x:row>
    <x:row r="2648" ht="22" customHeight="1">
      <x:c r="A2648" s="1" t="n">
        <x:v>304</x:v>
      </x:c>
      <x:c r="B2648" s="1" t="str">
        <x:v>Aron</x:v>
      </x:c>
      <x:c r="C2648" s="1" t="n">
        <x:v>2</x:v>
      </x:c>
      <x:c r="D2648" s="1" t="str">
        <x:v>Tackle</x:v>
      </x:c>
      <x:c r="E2648" s="1" t="str">
        <x:v>Normal</x:v>
      </x:c>
      <x:c r="F2648" s="1" t="str">
        <x:v>Física</x:v>
      </x:c>
      <x:c r="G2648" s="10" t="n">
        <x:v>50</x:v>
      </x:c>
      <x:c r="H2648" s="10" t="n">
        <x:f>IF(F2648="Física",'Pokémon'!G288,IF(F2648="Especial",'Pokémon'!I288,""))</x:f>
        <x:v>70</x:v>
      </x:c>
      <x:c r="I2648" s="10" t="n">
        <x:f>IF(OR(F2648="Status",G2648=0),"",G2648+H2648)</x:f>
        <x:v>120</x:v>
      </x:c>
      <x:c r="J2648" s="10" t="n">
        <x:v>1</x:v>
      </x:c>
      <x:c r="K2648" s="12" t="n">
        <x:v>15</x:v>
      </x:c>
      <x:c r="L2648" s="1" t="str"/>
      <x:c r="M2648" s="9" t="str">
        <x:v>https://poke.idleworld.online/pokepedia/pokemon/aron</x:v>
      </x:c>
    </x:row>
    <x:row r="2649" ht="22" customHeight="1">
      <x:c r="A2649" s="1" t="n">
        <x:v>304</x:v>
      </x:c>
      <x:c r="B2649" s="1" t="str">
        <x:v>Aron</x:v>
      </x:c>
      <x:c r="C2649" s="1" t="n">
        <x:v>5</x:v>
      </x:c>
      <x:c r="D2649" s="1" t="str">
        <x:v>Metal Claw</x:v>
      </x:c>
      <x:c r="E2649" s="1" t="str">
        <x:v>Aço</x:v>
      </x:c>
      <x:c r="F2649" s="1" t="str">
        <x:v>Física</x:v>
      </x:c>
      <x:c r="G2649" s="10" t="n">
        <x:v>50</x:v>
      </x:c>
      <x:c r="H2649" s="10" t="n">
        <x:f>IF(F2649="Física",'Pokémon'!G288,IF(F2649="Especial",'Pokémon'!I288,""))</x:f>
        <x:v>70</x:v>
      </x:c>
      <x:c r="I2649" s="10" t="n">
        <x:f>IF(OR(F2649="Status",G2649=0),"",G2649+H2649)</x:f>
        <x:v>120</x:v>
      </x:c>
      <x:c r="J2649" s="10" t="n">
        <x:v>10</x:v>
      </x:c>
      <x:c r="K2649" s="12" t="n">
        <x:v>40</x:v>
      </x:c>
      <x:c r="L2649" s="1" t="str"/>
      <x:c r="M2649" s="9" t="str">
        <x:v>https://poke.idleworld.online/pokepedia/pokemon/aron</x:v>
      </x:c>
    </x:row>
    <x:row r="2650" ht="22" customHeight="1">
      <x:c r="A2650" s="1" t="n">
        <x:v>304</x:v>
      </x:c>
      <x:c r="B2650" s="1" t="str">
        <x:v>Aron</x:v>
      </x:c>
      <x:c r="C2650" s="1" t="n">
        <x:v>3</x:v>
      </x:c>
      <x:c r="D2650" s="1" t="str">
        <x:v>Mud-Slap</x:v>
      </x:c>
      <x:c r="E2650" s="1" t="str">
        <x:v>Terrestre</x:v>
      </x:c>
      <x:c r="F2650" s="1" t="str">
        <x:v>Especial</x:v>
      </x:c>
      <x:c r="G2650" s="10" t="n">
        <x:v>20</x:v>
      </x:c>
      <x:c r="H2650" s="10" t="n">
        <x:f>IF(F2650="Física",'Pokémon'!G288,IF(F2650="Especial",'Pokémon'!I288,""))</x:f>
        <x:v>40</x:v>
      </x:c>
      <x:c r="I2650" s="10" t="n">
        <x:f>IF(OR(F2650="Status",G2650=0),"",G2650+H2650)</x:f>
        <x:v>60</x:v>
      </x:c>
      <x:c r="J2650" s="10" t="n">
        <x:v>4</x:v>
      </x:c>
      <x:c r="K2650" s="12" t="n">
        <x:v>15</x:v>
      </x:c>
      <x:c r="L2650" s="1" t="str"/>
      <x:c r="M2650" s="9" t="str">
        <x:v>https://poke.idleworld.online/pokepedia/pokemon/aron</x:v>
      </x:c>
    </x:row>
    <x:row r="2651" ht="22" customHeight="1">
      <x:c r="A2651" s="1" t="n">
        <x:v>304</x:v>
      </x:c>
      <x:c r="B2651" s="1" t="str">
        <x:v>Aron</x:v>
      </x:c>
      <x:c r="C2651" s="1" t="n">
        <x:v>1</x:v>
      </x:c>
      <x:c r="D2651" s="1" t="str">
        <x:v>Harden</x:v>
      </x:c>
      <x:c r="E2651" s="1" t="str">
        <x:v>Normal</x:v>
      </x:c>
      <x:c r="F2651" s="1" t="str">
        <x:v>Status</x:v>
      </x:c>
      <x:c r="G2651" s="10" t="n">
        <x:v>0</x:v>
      </x:c>
      <x:c r="H2651" s="10" t="str">
        <x:f>IF(F2651="Física",'Pokémon'!G288,IF(F2651="Especial",'Pokémon'!I288,""))</x:f>
      </x:c>
      <x:c r="I2651" s="10" t="str">
        <x:f>IF(OR(F2651="Status",G2651=0),"",G2651+H2651)</x:f>
      </x:c>
      <x:c r="J2651" s="10" t="n">
        <x:v>1</x:v>
      </x:c>
      <x:c r="K2651" s="12" t="n">
        <x:v>30</x:v>
      </x:c>
      <x:c r="L2651" s="1" t="str"/>
      <x:c r="M2651" s="9" t="str">
        <x:v>https://poke.idleworld.online/pokepedia/pokemon/aron</x:v>
      </x:c>
    </x:row>
    <x:row r="2652" ht="22" customHeight="1">
      <x:c r="A2652" s="1" t="n">
        <x:v>305</x:v>
      </x:c>
      <x:c r="B2652" s="1" t="str">
        <x:v>Lairon</x:v>
      </x:c>
      <x:c r="C2652" s="1" t="n">
        <x:v>11</x:v>
      </x:c>
      <x:c r="D2652" s="1" t="str">
        <x:v>Double-Edge</x:v>
      </x:c>
      <x:c r="E2652" s="1" t="str">
        <x:v>Normal</x:v>
      </x:c>
      <x:c r="F2652" s="1" t="str">
        <x:v>Física</x:v>
      </x:c>
      <x:c r="G2652" s="10" t="n">
        <x:v>120</x:v>
      </x:c>
      <x:c r="H2652" s="10" t="n">
        <x:f>IF(F2652="Física",'Pokémon'!G289,IF(F2652="Especial",'Pokémon'!I289,""))</x:f>
        <x:v>90</x:v>
      </x:c>
      <x:c r="I2652" s="10" t="n">
        <x:f>IF(OR(F2652="Status",G2652=0),"",G2652+H2652)</x:f>
        <x:v>210</x:v>
      </x:c>
      <x:c r="J2652" s="10" t="n">
        <x:v>43</x:v>
      </x:c>
      <x:c r="K2652" s="12" t="n">
        <x:v>50</x:v>
      </x:c>
      <x:c r="L2652" s="1" t="str"/>
      <x:c r="M2652" s="9" t="str">
        <x:v>https://poke.idleworld.online/pokepedia/pokemon/lairon</x:v>
      </x:c>
    </x:row>
    <x:row r="2653" ht="22" customHeight="1">
      <x:c r="A2653" s="1" t="n">
        <x:v>305</x:v>
      </x:c>
      <x:c r="B2653" s="1" t="str">
        <x:v>Lairon</x:v>
      </x:c>
      <x:c r="C2653" s="1" t="n">
        <x:v>12</x:v>
      </x:c>
      <x:c r="D2653" s="1" t="str">
        <x:v>Metal Burst</x:v>
      </x:c>
      <x:c r="E2653" s="1" t="str">
        <x:v>Aço</x:v>
      </x:c>
      <x:c r="F2653" s="1" t="str">
        <x:v>Física</x:v>
      </x:c>
      <x:c r="G2653" s="10" t="n">
        <x:v>120</x:v>
      </x:c>
      <x:c r="H2653" s="10" t="n">
        <x:f>IF(F2653="Física",'Pokémon'!G289,IF(F2653="Especial",'Pokémon'!I289,""))</x:f>
        <x:v>90</x:v>
      </x:c>
      <x:c r="I2653" s="10" t="n">
        <x:f>IF(OR(F2653="Status",G2653=0),"",G2653+H2653)</x:f>
        <x:v>210</x:v>
      </x:c>
      <x:c r="J2653" s="10" t="n">
        <x:v>55</x:v>
      </x:c>
      <x:c r="K2653" s="12" t="n">
        <x:v>30</x:v>
      </x:c>
      <x:c r="L2653" s="1" t="str"/>
      <x:c r="M2653" s="9" t="str">
        <x:v>https://poke.idleworld.online/pokepedia/pokemon/lairon</x:v>
      </x:c>
    </x:row>
    <x:row r="2654" ht="22" customHeight="1">
      <x:c r="A2654" s="1" t="n">
        <x:v>305</x:v>
      </x:c>
      <x:c r="B2654" s="1" t="str">
        <x:v>Lairon</x:v>
      </x:c>
      <x:c r="C2654" s="1" t="n">
        <x:v>10</x:v>
      </x:c>
      <x:c r="D2654" s="1" t="str">
        <x:v>Iron Tail</x:v>
      </x:c>
      <x:c r="E2654" s="1" t="str">
        <x:v>Aço</x:v>
      </x:c>
      <x:c r="F2654" s="1" t="str">
        <x:v>Física</x:v>
      </x:c>
      <x:c r="G2654" s="10" t="n">
        <x:v>100</x:v>
      </x:c>
      <x:c r="H2654" s="10" t="n">
        <x:f>IF(F2654="Física",'Pokémon'!G289,IF(F2654="Especial",'Pokémon'!I289,""))</x:f>
        <x:v>90</x:v>
      </x:c>
      <x:c r="I2654" s="10" t="n">
        <x:f>IF(OR(F2654="Status",G2654=0),"",G2654+H2654)</x:f>
        <x:v>190</x:v>
      </x:c>
      <x:c r="J2654" s="10" t="n">
        <x:v>35</x:v>
      </x:c>
      <x:c r="K2654" s="12" t="n">
        <x:v>15</x:v>
      </x:c>
      <x:c r="L2654" s="1" t="str"/>
      <x:c r="M2654" s="9" t="str">
        <x:v>https://poke.idleworld.online/pokepedia/pokemon/lairon</x:v>
      </x:c>
    </x:row>
    <x:row r="2655" ht="22" customHeight="1">
      <x:c r="A2655" s="1" t="n">
        <x:v>305</x:v>
      </x:c>
      <x:c r="B2655" s="1" t="str">
        <x:v>Lairon</x:v>
      </x:c>
      <x:c r="C2655" s="1" t="n">
        <x:v>9</x:v>
      </x:c>
      <x:c r="D2655" s="1" t="str">
        <x:v>Take Down</x:v>
      </x:c>
      <x:c r="E2655" s="1" t="str">
        <x:v>Normal</x:v>
      </x:c>
      <x:c r="F2655" s="1" t="str">
        <x:v>Física</x:v>
      </x:c>
      <x:c r="G2655" s="10" t="n">
        <x:v>90</x:v>
      </x:c>
      <x:c r="H2655" s="10" t="n">
        <x:f>IF(F2655="Física",'Pokémon'!G289,IF(F2655="Especial",'Pokémon'!I289,""))</x:f>
        <x:v>90</x:v>
      </x:c>
      <x:c r="I2655" s="10" t="n">
        <x:f>IF(OR(F2655="Status",G2655=0),"",G2655+H2655)</x:f>
        <x:v>180</x:v>
      </x:c>
      <x:c r="J2655" s="10" t="n">
        <x:v>28</x:v>
      </x:c>
      <x:c r="K2655" s="12" t="n">
        <x:v>22</x:v>
      </x:c>
      <x:c r="L2655" s="1" t="str"/>
      <x:c r="M2655" s="9" t="str">
        <x:v>https://poke.idleworld.online/pokepedia/pokemon/lairon</x:v>
      </x:c>
    </x:row>
    <x:row r="2656" ht="22" customHeight="1">
      <x:c r="A2656" s="1" t="n">
        <x:v>305</x:v>
      </x:c>
      <x:c r="B2656" s="1" t="str">
        <x:v>Lairon</x:v>
      </x:c>
      <x:c r="C2656" s="1" t="n">
        <x:v>7</x:v>
      </x:c>
      <x:c r="D2656" s="1" t="str">
        <x:v>Iron Head</x:v>
      </x:c>
      <x:c r="E2656" s="1" t="str">
        <x:v>Aço</x:v>
      </x:c>
      <x:c r="F2656" s="1" t="str">
        <x:v>Física</x:v>
      </x:c>
      <x:c r="G2656" s="10" t="n">
        <x:v>80</x:v>
      </x:c>
      <x:c r="H2656" s="10" t="n">
        <x:f>IF(F2656="Física",'Pokémon'!G289,IF(F2656="Especial",'Pokémon'!I289,""))</x:f>
        <x:v>90</x:v>
      </x:c>
      <x:c r="I2656" s="10" t="n">
        <x:f>IF(OR(F2656="Status",G2656=0),"",G2656+H2656)</x:f>
        <x:v>170</x:v>
      </x:c>
      <x:c r="J2656" s="10" t="n">
        <x:v>22</x:v>
      </x:c>
      <x:c r="K2656" s="12" t="n">
        <x:v>20</x:v>
      </x:c>
      <x:c r="L2656" s="1" t="str"/>
      <x:c r="M2656" s="9" t="str">
        <x:v>https://poke.idleworld.online/pokepedia/pokemon/lairon</x:v>
      </x:c>
    </x:row>
    <x:row r="2657" ht="22" customHeight="1">
      <x:c r="A2657" s="1" t="n">
        <x:v>305</x:v>
      </x:c>
      <x:c r="B2657" s="1" t="str">
        <x:v>Lairon</x:v>
      </x:c>
      <x:c r="C2657" s="1" t="n">
        <x:v>8</x:v>
      </x:c>
      <x:c r="D2657" s="1" t="str">
        <x:v>Rock Slide</x:v>
      </x:c>
      <x:c r="E2657" s="1" t="str">
        <x:v>Pedra</x:v>
      </x:c>
      <x:c r="F2657" s="1" t="str">
        <x:v>Física</x:v>
      </x:c>
      <x:c r="G2657" s="10" t="n">
        <x:v>75</x:v>
      </x:c>
      <x:c r="H2657" s="10" t="n">
        <x:f>IF(F2657="Física",'Pokémon'!G289,IF(F2657="Especial",'Pokémon'!I289,""))</x:f>
        <x:v>90</x:v>
      </x:c>
      <x:c r="I2657" s="10" t="n">
        <x:f>IF(OR(F2657="Status",G2657=0),"",G2657+H2657)</x:f>
        <x:v>165</x:v>
      </x:c>
      <x:c r="J2657" s="10" t="n">
        <x:v>25</x:v>
      </x:c>
      <x:c r="K2657" s="12" t="n">
        <x:v>22</x:v>
      </x:c>
      <x:c r="L2657" s="1" t="str"/>
      <x:c r="M2657" s="9" t="str">
        <x:v>https://poke.idleworld.online/pokepedia/pokemon/lairon</x:v>
      </x:c>
    </x:row>
    <x:row r="2658" ht="22" customHeight="1">
      <x:c r="A2658" s="1" t="n">
        <x:v>305</x:v>
      </x:c>
      <x:c r="B2658" s="1" t="str">
        <x:v>Lairon</x:v>
      </x:c>
      <x:c r="C2658" s="1" t="n">
        <x:v>3</x:v>
      </x:c>
      <x:c r="D2658" s="1" t="str">
        <x:v>Headbutt</x:v>
      </x:c>
      <x:c r="E2658" s="1" t="str">
        <x:v>Normal</x:v>
      </x:c>
      <x:c r="F2658" s="1" t="str">
        <x:v>Física</x:v>
      </x:c>
      <x:c r="G2658" s="10" t="n">
        <x:v>70</x:v>
      </x:c>
      <x:c r="H2658" s="10" t="n">
        <x:f>IF(F2658="Física",'Pokémon'!G289,IF(F2658="Especial",'Pokémon'!I289,""))</x:f>
        <x:v>90</x:v>
      </x:c>
      <x:c r="I2658" s="10" t="n">
        <x:f>IF(OR(F2658="Status",G2658=0),"",G2658+H2658)</x:f>
        <x:v>160</x:v>
      </x:c>
      <x:c r="J2658" s="10" t="n">
        <x:v>1</x:v>
      </x:c>
      <x:c r="K2658" s="12" t="n">
        <x:v>20</x:v>
      </x:c>
      <x:c r="L2658" s="1" t="str"/>
      <x:c r="M2658" s="9" t="str">
        <x:v>https://poke.idleworld.online/pokepedia/pokemon/lairon</x:v>
      </x:c>
    </x:row>
    <x:row r="2659" ht="22" customHeight="1">
      <x:c r="A2659" s="1" t="n">
        <x:v>305</x:v>
      </x:c>
      <x:c r="B2659" s="1" t="str">
        <x:v>Lairon</x:v>
      </x:c>
      <x:c r="C2659" s="1" t="n">
        <x:v>5</x:v>
      </x:c>
      <x:c r="D2659" s="1" t="str">
        <x:v>Rock Tomb</x:v>
      </x:c>
      <x:c r="E2659" s="1" t="str">
        <x:v>Pedra</x:v>
      </x:c>
      <x:c r="F2659" s="1" t="str">
        <x:v>Física</x:v>
      </x:c>
      <x:c r="G2659" s="10" t="n">
        <x:v>60</x:v>
      </x:c>
      <x:c r="H2659" s="10" t="n">
        <x:f>IF(F2659="Física",'Pokémon'!G289,IF(F2659="Especial",'Pokémon'!I289,""))</x:f>
        <x:v>90</x:v>
      </x:c>
      <x:c r="I2659" s="10" t="n">
        <x:f>IF(OR(F2659="Status",G2659=0),"",G2659+H2659)</x:f>
        <x:v>150</x:v>
      </x:c>
      <x:c r="J2659" s="10" t="n">
        <x:v>13</x:v>
      </x:c>
      <x:c r="K2659" s="12" t="n">
        <x:v>20</x:v>
      </x:c>
      <x:c r="L2659" s="1" t="str"/>
      <x:c r="M2659" s="9" t="str">
        <x:v>https://poke.idleworld.online/pokepedia/pokemon/lairon</x:v>
      </x:c>
    </x:row>
    <x:row r="2660" ht="22" customHeight="1">
      <x:c r="A2660" s="1" t="n">
        <x:v>305</x:v>
      </x:c>
      <x:c r="B2660" s="1" t="str">
        <x:v>Lairon</x:v>
      </x:c>
      <x:c r="C2660" s="1" t="n">
        <x:v>2</x:v>
      </x:c>
      <x:c r="D2660" s="1" t="str">
        <x:v>Tackle</x:v>
      </x:c>
      <x:c r="E2660" s="1" t="str">
        <x:v>Normal</x:v>
      </x:c>
      <x:c r="F2660" s="1" t="str">
        <x:v>Física</x:v>
      </x:c>
      <x:c r="G2660" s="10" t="n">
        <x:v>50</x:v>
      </x:c>
      <x:c r="H2660" s="10" t="n">
        <x:f>IF(F2660="Física",'Pokémon'!G289,IF(F2660="Especial",'Pokémon'!I289,""))</x:f>
        <x:v>90</x:v>
      </x:c>
      <x:c r="I2660" s="10" t="n">
        <x:f>IF(OR(F2660="Status",G2660=0),"",G2660+H2660)</x:f>
        <x:v>140</x:v>
      </x:c>
      <x:c r="J2660" s="10" t="n">
        <x:v>1</x:v>
      </x:c>
      <x:c r="K2660" s="12" t="n">
        <x:v>15</x:v>
      </x:c>
      <x:c r="L2660" s="1" t="str"/>
      <x:c r="M2660" s="9" t="str">
        <x:v>https://poke.idleworld.online/pokepedia/pokemon/lairon</x:v>
      </x:c>
    </x:row>
    <x:row r="2661" ht="22" customHeight="1">
      <x:c r="A2661" s="1" t="n">
        <x:v>305</x:v>
      </x:c>
      <x:c r="B2661" s="1" t="str">
        <x:v>Lairon</x:v>
      </x:c>
      <x:c r="C2661" s="1" t="n">
        <x:v>4</x:v>
      </x:c>
      <x:c r="D2661" s="1" t="str">
        <x:v>Metal Claw</x:v>
      </x:c>
      <x:c r="E2661" s="1" t="str">
        <x:v>Aço</x:v>
      </x:c>
      <x:c r="F2661" s="1" t="str">
        <x:v>Física</x:v>
      </x:c>
      <x:c r="G2661" s="10" t="n">
        <x:v>50</x:v>
      </x:c>
      <x:c r="H2661" s="10" t="n">
        <x:f>IF(F2661="Física",'Pokémon'!G289,IF(F2661="Especial",'Pokémon'!I289,""))</x:f>
        <x:v>90</x:v>
      </x:c>
      <x:c r="I2661" s="10" t="n">
        <x:f>IF(OR(F2661="Status",G2661=0),"",G2661+H2661)</x:f>
        <x:v>140</x:v>
      </x:c>
      <x:c r="J2661" s="10" t="n">
        <x:v>10</x:v>
      </x:c>
      <x:c r="K2661" s="12" t="n">
        <x:v>40</x:v>
      </x:c>
      <x:c r="L2661" s="1" t="str"/>
      <x:c r="M2661" s="9" t="str">
        <x:v>https://poke.idleworld.online/pokepedia/pokemon/lairon</x:v>
      </x:c>
    </x:row>
    <x:row r="2662" ht="22" customHeight="1">
      <x:c r="A2662" s="1" t="n">
        <x:v>305</x:v>
      </x:c>
      <x:c r="B2662" s="1" t="str">
        <x:v>Lairon</x:v>
      </x:c>
      <x:c r="C2662" s="1" t="n">
        <x:v>1</x:v>
      </x:c>
      <x:c r="D2662" s="1" t="str">
        <x:v>Mud-Slap</x:v>
      </x:c>
      <x:c r="E2662" s="1" t="str">
        <x:v>Terrestre</x:v>
      </x:c>
      <x:c r="F2662" s="1" t="str">
        <x:v>Especial</x:v>
      </x:c>
      <x:c r="G2662" s="10" t="n">
        <x:v>20</x:v>
      </x:c>
      <x:c r="H2662" s="10" t="n">
        <x:f>IF(F2662="Física",'Pokémon'!G289,IF(F2662="Especial",'Pokémon'!I289,""))</x:f>
        <x:v>50</x:v>
      </x:c>
      <x:c r="I2662" s="10" t="n">
        <x:f>IF(OR(F2662="Status",G2662=0),"",G2662+H2662)</x:f>
        <x:v>70</x:v>
      </x:c>
      <x:c r="J2662" s="10" t="n">
        <x:v>1</x:v>
      </x:c>
      <x:c r="K2662" s="12" t="n">
        <x:v>15</x:v>
      </x:c>
      <x:c r="L2662" s="1" t="str"/>
      <x:c r="M2662" s="9" t="str">
        <x:v>https://poke.idleworld.online/pokepedia/pokemon/lairon</x:v>
      </x:c>
    </x:row>
    <x:row r="2663" ht="22" customHeight="1">
      <x:c r="A2663" s="1" t="n">
        <x:v>305</x:v>
      </x:c>
      <x:c r="B2663" s="1" t="str">
        <x:v>Lairon</x:v>
      </x:c>
      <x:c r="C2663" s="1" t="n">
        <x:v>6</x:v>
      </x:c>
      <x:c r="D2663" s="1" t="str">
        <x:v>Protect</x:v>
      </x:c>
      <x:c r="E2663" s="1" t="str">
        <x:v>Normal</x:v>
      </x:c>
      <x:c r="F2663" s="1" t="str">
        <x:v>Status</x:v>
      </x:c>
      <x:c r="G2663" s="10" t="n">
        <x:v>0</x:v>
      </x:c>
      <x:c r="H2663" s="10" t="str">
        <x:f>IF(F2663="Física",'Pokémon'!G289,IF(F2663="Especial",'Pokémon'!I289,""))</x:f>
      </x:c>
      <x:c r="I2663" s="10" t="str">
        <x:f>IF(OR(F2663="Status",G2663=0),"",G2663+H2663)</x:f>
      </x:c>
      <x:c r="J2663" s="10" t="n">
        <x:v>16</x:v>
      </x:c>
      <x:c r="K2663" s="12" t="n">
        <x:v>40</x:v>
      </x:c>
      <x:c r="L2663" s="1" t="str"/>
      <x:c r="M2663" s="9" t="str">
        <x:v>https://poke.idleworld.online/pokepedia/pokemon/lairon</x:v>
      </x:c>
    </x:row>
    <x:row r="2664" ht="22" customHeight="1">
      <x:c r="A2664" s="1" t="n">
        <x:v>306</x:v>
      </x:c>
      <x:c r="B2664" s="1" t="str">
        <x:v>Aggron</x:v>
      </x:c>
      <x:c r="C2664" s="1" t="n">
        <x:v>11</x:v>
      </x:c>
      <x:c r="D2664" s="1" t="str">
        <x:v>Double-Edge</x:v>
      </x:c>
      <x:c r="E2664" s="1" t="str">
        <x:v>Normal</x:v>
      </x:c>
      <x:c r="F2664" s="1" t="str">
        <x:v>Física</x:v>
      </x:c>
      <x:c r="G2664" s="10" t="n">
        <x:v>120</x:v>
      </x:c>
      <x:c r="H2664" s="10" t="n">
        <x:f>IF(F2664="Física",'Pokémon'!G290,IF(F2664="Especial",'Pokémon'!I290,""))</x:f>
        <x:v>110</x:v>
      </x:c>
      <x:c r="I2664" s="10" t="n">
        <x:f>IF(OR(F2664="Status",G2664=0),"",G2664+H2664)</x:f>
        <x:v>230</x:v>
      </x:c>
      <x:c r="J2664" s="10" t="n">
        <x:v>45</x:v>
      </x:c>
      <x:c r="K2664" s="12" t="n">
        <x:v>50</x:v>
      </x:c>
      <x:c r="L2664" s="1" t="str"/>
      <x:c r="M2664" s="9" t="str">
        <x:v>https://poke.idleworld.online/pokepedia/pokemon/aggron</x:v>
      </x:c>
    </x:row>
    <x:row r="2665" ht="22" customHeight="1">
      <x:c r="A2665" s="1" t="n">
        <x:v>306</x:v>
      </x:c>
      <x:c r="B2665" s="1" t="str">
        <x:v>Aggron</x:v>
      </x:c>
      <x:c r="C2665" s="1" t="n">
        <x:v>12</x:v>
      </x:c>
      <x:c r="D2665" s="1" t="str">
        <x:v>Metal Burst</x:v>
      </x:c>
      <x:c r="E2665" s="1" t="str">
        <x:v>Aço</x:v>
      </x:c>
      <x:c r="F2665" s="1" t="str">
        <x:v>Física</x:v>
      </x:c>
      <x:c r="G2665" s="10" t="n">
        <x:v>120</x:v>
      </x:c>
      <x:c r="H2665" s="10" t="n">
        <x:f>IF(F2665="Física",'Pokémon'!G290,IF(F2665="Especial",'Pokémon'!I290,""))</x:f>
        <x:v>110</x:v>
      </x:c>
      <x:c r="I2665" s="10" t="n">
        <x:f>IF(OR(F2665="Status",G2665=0),"",G2665+H2665)</x:f>
        <x:v>230</x:v>
      </x:c>
      <x:c r="J2665" s="10" t="n">
        <x:v>63</x:v>
      </x:c>
      <x:c r="K2665" s="12" t="n">
        <x:v>30</x:v>
      </x:c>
      <x:c r="L2665" s="1" t="str"/>
      <x:c r="M2665" s="9" t="str">
        <x:v>https://poke.idleworld.online/pokepedia/pokemon/aggron</x:v>
      </x:c>
    </x:row>
    <x:row r="2666" ht="22" customHeight="1">
      <x:c r="A2666" s="1" t="n">
        <x:v>306</x:v>
      </x:c>
      <x:c r="B2666" s="1" t="str">
        <x:v>Aggron</x:v>
      </x:c>
      <x:c r="C2666" s="1" t="n">
        <x:v>10</x:v>
      </x:c>
      <x:c r="D2666" s="1" t="str">
        <x:v>Iron Tail</x:v>
      </x:c>
      <x:c r="E2666" s="1" t="str">
        <x:v>Aço</x:v>
      </x:c>
      <x:c r="F2666" s="1" t="str">
        <x:v>Física</x:v>
      </x:c>
      <x:c r="G2666" s="10" t="n">
        <x:v>100</x:v>
      </x:c>
      <x:c r="H2666" s="10" t="n">
        <x:f>IF(F2666="Física",'Pokémon'!G290,IF(F2666="Especial",'Pokémon'!I290,""))</x:f>
        <x:v>110</x:v>
      </x:c>
      <x:c r="I2666" s="10" t="n">
        <x:f>IF(OR(F2666="Status",G2666=0),"",G2666+H2666)</x:f>
        <x:v>210</x:v>
      </x:c>
      <x:c r="J2666" s="10" t="n">
        <x:v>35</x:v>
      </x:c>
      <x:c r="K2666" s="12" t="n">
        <x:v>15</x:v>
      </x:c>
      <x:c r="L2666" s="1" t="str"/>
      <x:c r="M2666" s="9" t="str">
        <x:v>https://poke.idleworld.online/pokepedia/pokemon/aggron</x:v>
      </x:c>
    </x:row>
    <x:row r="2667" ht="22" customHeight="1">
      <x:c r="A2667" s="1" t="n">
        <x:v>306</x:v>
      </x:c>
      <x:c r="B2667" s="1" t="str">
        <x:v>Aggron</x:v>
      </x:c>
      <x:c r="C2667" s="1" t="n">
        <x:v>9</x:v>
      </x:c>
      <x:c r="D2667" s="1" t="str">
        <x:v>Take Down</x:v>
      </x:c>
      <x:c r="E2667" s="1" t="str">
        <x:v>Normal</x:v>
      </x:c>
      <x:c r="F2667" s="1" t="str">
        <x:v>Física</x:v>
      </x:c>
      <x:c r="G2667" s="10" t="n">
        <x:v>90</x:v>
      </x:c>
      <x:c r="H2667" s="10" t="n">
        <x:f>IF(F2667="Física",'Pokémon'!G290,IF(F2667="Especial",'Pokémon'!I290,""))</x:f>
        <x:v>110</x:v>
      </x:c>
      <x:c r="I2667" s="10" t="n">
        <x:f>IF(OR(F2667="Status",G2667=0),"",G2667+H2667)</x:f>
        <x:v>200</x:v>
      </x:c>
      <x:c r="J2667" s="10" t="n">
        <x:v>28</x:v>
      </x:c>
      <x:c r="K2667" s="12" t="n">
        <x:v>22</x:v>
      </x:c>
      <x:c r="L2667" s="1" t="str"/>
      <x:c r="M2667" s="9" t="str">
        <x:v>https://poke.idleworld.online/pokepedia/pokemon/aggron</x:v>
      </x:c>
    </x:row>
    <x:row r="2668" ht="22" customHeight="1">
      <x:c r="A2668" s="1" t="n">
        <x:v>306</x:v>
      </x:c>
      <x:c r="B2668" s="1" t="str">
        <x:v>Aggron</x:v>
      </x:c>
      <x:c r="C2668" s="1" t="n">
        <x:v>7</x:v>
      </x:c>
      <x:c r="D2668" s="1" t="str">
        <x:v>Iron Head</x:v>
      </x:c>
      <x:c r="E2668" s="1" t="str">
        <x:v>Aço</x:v>
      </x:c>
      <x:c r="F2668" s="1" t="str">
        <x:v>Física</x:v>
      </x:c>
      <x:c r="G2668" s="10" t="n">
        <x:v>80</x:v>
      </x:c>
      <x:c r="H2668" s="10" t="n">
        <x:f>IF(F2668="Física",'Pokémon'!G290,IF(F2668="Especial",'Pokémon'!I290,""))</x:f>
        <x:v>110</x:v>
      </x:c>
      <x:c r="I2668" s="10" t="n">
        <x:f>IF(OR(F2668="Status",G2668=0),"",G2668+H2668)</x:f>
        <x:v>190</x:v>
      </x:c>
      <x:c r="J2668" s="10" t="n">
        <x:v>22</x:v>
      </x:c>
      <x:c r="K2668" s="12" t="n">
        <x:v>20</x:v>
      </x:c>
      <x:c r="L2668" s="1" t="str"/>
      <x:c r="M2668" s="9" t="str">
        <x:v>https://poke.idleworld.online/pokepedia/pokemon/aggron</x:v>
      </x:c>
    </x:row>
    <x:row r="2669" ht="22" customHeight="1">
      <x:c r="A2669" s="1" t="n">
        <x:v>306</x:v>
      </x:c>
      <x:c r="B2669" s="1" t="str">
        <x:v>Aggron</x:v>
      </x:c>
      <x:c r="C2669" s="1" t="n">
        <x:v>8</x:v>
      </x:c>
      <x:c r="D2669" s="1" t="str">
        <x:v>Rock Slide</x:v>
      </x:c>
      <x:c r="E2669" s="1" t="str">
        <x:v>Pedra</x:v>
      </x:c>
      <x:c r="F2669" s="1" t="str">
        <x:v>Física</x:v>
      </x:c>
      <x:c r="G2669" s="10" t="n">
        <x:v>75</x:v>
      </x:c>
      <x:c r="H2669" s="10" t="n">
        <x:f>IF(F2669="Física",'Pokémon'!G290,IF(F2669="Especial",'Pokémon'!I290,""))</x:f>
        <x:v>110</x:v>
      </x:c>
      <x:c r="I2669" s="10" t="n">
        <x:f>IF(OR(F2669="Status",G2669=0),"",G2669+H2669)</x:f>
        <x:v>185</x:v>
      </x:c>
      <x:c r="J2669" s="10" t="n">
        <x:v>25</x:v>
      </x:c>
      <x:c r="K2669" s="12" t="n">
        <x:v>22</x:v>
      </x:c>
      <x:c r="L2669" s="1" t="str"/>
      <x:c r="M2669" s="9" t="str">
        <x:v>https://poke.idleworld.online/pokepedia/pokemon/aggron</x:v>
      </x:c>
    </x:row>
    <x:row r="2670" ht="22" customHeight="1">
      <x:c r="A2670" s="1" t="n">
        <x:v>306</x:v>
      </x:c>
      <x:c r="B2670" s="1" t="str">
        <x:v>Aggron</x:v>
      </x:c>
      <x:c r="C2670" s="1" t="n">
        <x:v>4</x:v>
      </x:c>
      <x:c r="D2670" s="1" t="str">
        <x:v>Headbutt</x:v>
      </x:c>
      <x:c r="E2670" s="1" t="str">
        <x:v>Normal</x:v>
      </x:c>
      <x:c r="F2670" s="1" t="str">
        <x:v>Física</x:v>
      </x:c>
      <x:c r="G2670" s="10" t="n">
        <x:v>70</x:v>
      </x:c>
      <x:c r="H2670" s="10" t="n">
        <x:f>IF(F2670="Física",'Pokémon'!G290,IF(F2670="Especial",'Pokémon'!I290,""))</x:f>
        <x:v>110</x:v>
      </x:c>
      <x:c r="I2670" s="10" t="n">
        <x:f>IF(OR(F2670="Status",G2670=0),"",G2670+H2670)</x:f>
        <x:v>180</x:v>
      </x:c>
      <x:c r="J2670" s="10" t="n">
        <x:v>1</x:v>
      </x:c>
      <x:c r="K2670" s="12" t="n">
        <x:v>20</x:v>
      </x:c>
      <x:c r="L2670" s="1" t="str"/>
      <x:c r="M2670" s="9" t="str">
        <x:v>https://poke.idleworld.online/pokepedia/pokemon/aggron</x:v>
      </x:c>
    </x:row>
    <x:row r="2671" ht="22" customHeight="1">
      <x:c r="A2671" s="1" t="n">
        <x:v>306</x:v>
      </x:c>
      <x:c r="B2671" s="1" t="str">
        <x:v>Aggron</x:v>
      </x:c>
      <x:c r="C2671" s="1" t="n">
        <x:v>6</x:v>
      </x:c>
      <x:c r="D2671" s="1" t="str">
        <x:v>Rock Tomb</x:v>
      </x:c>
      <x:c r="E2671" s="1" t="str">
        <x:v>Pedra</x:v>
      </x:c>
      <x:c r="F2671" s="1" t="str">
        <x:v>Física</x:v>
      </x:c>
      <x:c r="G2671" s="10" t="n">
        <x:v>60</x:v>
      </x:c>
      <x:c r="H2671" s="10" t="n">
        <x:f>IF(F2671="Física",'Pokémon'!G290,IF(F2671="Especial",'Pokémon'!I290,""))</x:f>
        <x:v>110</x:v>
      </x:c>
      <x:c r="I2671" s="10" t="n">
        <x:f>IF(OR(F2671="Status",G2671=0),"",G2671+H2671)</x:f>
        <x:v>170</x:v>
      </x:c>
      <x:c r="J2671" s="10" t="n">
        <x:v>13</x:v>
      </x:c>
      <x:c r="K2671" s="12" t="n">
        <x:v>20</x:v>
      </x:c>
      <x:c r="L2671" s="1" t="str"/>
      <x:c r="M2671" s="9" t="str">
        <x:v>https://poke.idleworld.online/pokepedia/pokemon/aggron</x:v>
      </x:c>
    </x:row>
    <x:row r="2672" ht="22" customHeight="1">
      <x:c r="A2672" s="1" t="n">
        <x:v>306</x:v>
      </x:c>
      <x:c r="B2672" s="1" t="str">
        <x:v>Aggron</x:v>
      </x:c>
      <x:c r="C2672" s="1" t="n">
        <x:v>3</x:v>
      </x:c>
      <x:c r="D2672" s="1" t="str">
        <x:v>Tackle</x:v>
      </x:c>
      <x:c r="E2672" s="1" t="str">
        <x:v>Normal</x:v>
      </x:c>
      <x:c r="F2672" s="1" t="str">
        <x:v>Física</x:v>
      </x:c>
      <x:c r="G2672" s="10" t="n">
        <x:v>50</x:v>
      </x:c>
      <x:c r="H2672" s="10" t="n">
        <x:f>IF(F2672="Física",'Pokémon'!G290,IF(F2672="Especial",'Pokémon'!I290,""))</x:f>
        <x:v>110</x:v>
      </x:c>
      <x:c r="I2672" s="10" t="n">
        <x:f>IF(OR(F2672="Status",G2672=0),"",G2672+H2672)</x:f>
        <x:v>160</x:v>
      </x:c>
      <x:c r="J2672" s="10" t="n">
        <x:v>1</x:v>
      </x:c>
      <x:c r="K2672" s="12" t="n">
        <x:v>15</x:v>
      </x:c>
      <x:c r="L2672" s="1" t="str"/>
      <x:c r="M2672" s="9" t="str">
        <x:v>https://poke.idleworld.online/pokepedia/pokemon/aggron</x:v>
      </x:c>
    </x:row>
    <x:row r="2673" ht="22" customHeight="1">
      <x:c r="A2673" s="1" t="n">
        <x:v>306</x:v>
      </x:c>
      <x:c r="B2673" s="1" t="str">
        <x:v>Aggron</x:v>
      </x:c>
      <x:c r="C2673" s="1" t="n">
        <x:v>5</x:v>
      </x:c>
      <x:c r="D2673" s="1" t="str">
        <x:v>Metal Claw</x:v>
      </x:c>
      <x:c r="E2673" s="1" t="str">
        <x:v>Aço</x:v>
      </x:c>
      <x:c r="F2673" s="1" t="str">
        <x:v>Física</x:v>
      </x:c>
      <x:c r="G2673" s="10" t="n">
        <x:v>50</x:v>
      </x:c>
      <x:c r="H2673" s="10" t="n">
        <x:f>IF(F2673="Física",'Pokémon'!G290,IF(F2673="Especial",'Pokémon'!I290,""))</x:f>
        <x:v>110</x:v>
      </x:c>
      <x:c r="I2673" s="10" t="n">
        <x:f>IF(OR(F2673="Status",G2673=0),"",G2673+H2673)</x:f>
        <x:v>160</x:v>
      </x:c>
      <x:c r="J2673" s="10" t="n">
        <x:v>10</x:v>
      </x:c>
      <x:c r="K2673" s="12" t="n">
        <x:v>40</x:v>
      </x:c>
      <x:c r="L2673" s="1" t="str"/>
      <x:c r="M2673" s="9" t="str">
        <x:v>https://poke.idleworld.online/pokepedia/pokemon/aggron</x:v>
      </x:c>
    </x:row>
    <x:row r="2674" ht="22" customHeight="1">
      <x:c r="A2674" s="1" t="n">
        <x:v>306</x:v>
      </x:c>
      <x:c r="B2674" s="1" t="str">
        <x:v>Aggron</x:v>
      </x:c>
      <x:c r="C2674" s="1" t="n">
        <x:v>2</x:v>
      </x:c>
      <x:c r="D2674" s="1" t="str">
        <x:v>Mud-Slap</x:v>
      </x:c>
      <x:c r="E2674" s="1" t="str">
        <x:v>Terrestre</x:v>
      </x:c>
      <x:c r="F2674" s="1" t="str">
        <x:v>Especial</x:v>
      </x:c>
      <x:c r="G2674" s="10" t="n">
        <x:v>20</x:v>
      </x:c>
      <x:c r="H2674" s="10" t="n">
        <x:f>IF(F2674="Física",'Pokémon'!G290,IF(F2674="Especial",'Pokémon'!I290,""))</x:f>
        <x:v>60</x:v>
      </x:c>
      <x:c r="I2674" s="10" t="n">
        <x:f>IF(OR(F2674="Status",G2674=0),"",G2674+H2674)</x:f>
        <x:v>80</x:v>
      </x:c>
      <x:c r="J2674" s="10" t="n">
        <x:v>1</x:v>
      </x:c>
      <x:c r="K2674" s="12" t="n">
        <x:v>15</x:v>
      </x:c>
      <x:c r="L2674" s="1" t="str"/>
      <x:c r="M2674" s="9" t="str">
        <x:v>https://poke.idleworld.online/pokepedia/pokemon/aggron</x:v>
      </x:c>
    </x:row>
    <x:row r="2675" ht="22" customHeight="1">
      <x:c r="A2675" s="1" t="n">
        <x:v>306</x:v>
      </x:c>
      <x:c r="B2675" s="1" t="str">
        <x:v>Aggron</x:v>
      </x:c>
      <x:c r="C2675" s="1" t="n">
        <x:v>1</x:v>
      </x:c>
      <x:c r="D2675" s="1" t="str">
        <x:v>Harden</x:v>
      </x:c>
      <x:c r="E2675" s="1" t="str">
        <x:v>Normal</x:v>
      </x:c>
      <x:c r="F2675" s="1" t="str">
        <x:v>Status</x:v>
      </x:c>
      <x:c r="G2675" s="10" t="n">
        <x:v>0</x:v>
      </x:c>
      <x:c r="H2675" s="10" t="str">
        <x:f>IF(F2675="Física",'Pokémon'!G290,IF(F2675="Especial",'Pokémon'!I290,""))</x:f>
      </x:c>
      <x:c r="I2675" s="10" t="str">
        <x:f>IF(OR(F2675="Status",G2675=0),"",G2675+H2675)</x:f>
      </x:c>
      <x:c r="J2675" s="10" t="n">
        <x:v>1</x:v>
      </x:c>
      <x:c r="K2675" s="12" t="n">
        <x:v>30</x:v>
      </x:c>
      <x:c r="L2675" s="1" t="str"/>
      <x:c r="M2675" s="9" t="str">
        <x:v>https://poke.idleworld.online/pokepedia/pokemon/aggron</x:v>
      </x:c>
    </x:row>
    <x:row r="2676" ht="22" customHeight="1">
      <x:c r="A2676" s="1" t="n">
        <x:v>307</x:v>
      </x:c>
      <x:c r="B2676" s="1" t="str">
        <x:v>Meditite</x:v>
      </x:c>
      <x:c r="C2676" s="1" t="n">
        <x:v>5</x:v>
      </x:c>
      <x:c r="D2676" s="1" t="str">
        <x:v>High Jump Kick</x:v>
      </x:c>
      <x:c r="E2676" s="1" t="str">
        <x:v>Lutador</x:v>
      </x:c>
      <x:c r="F2676" s="1" t="str">
        <x:v>Física</x:v>
      </x:c>
      <x:c r="G2676" s="10" t="n">
        <x:v>130</x:v>
      </x:c>
      <x:c r="H2676" s="10" t="n">
        <x:f>IF(F2676="Física",'Pokémon'!G291,IF(F2676="Especial",'Pokémon'!I291,""))</x:f>
        <x:v>40</x:v>
      </x:c>
      <x:c r="I2676" s="10" t="n">
        <x:f>IF(OR(F2676="Status",G2676=0),"",G2676+H2676)</x:f>
        <x:v>170</x:v>
      </x:c>
      <x:c r="J2676" s="10" t="n">
        <x:v>28</x:v>
      </x:c>
      <x:c r="K2676" s="12" t="n">
        <x:v>50</x:v>
      </x:c>
      <x:c r="L2676" s="1" t="str"/>
      <x:c r="M2676" s="9" t="str">
        <x:v>https://poke.idleworld.online/pokepedia/pokemon/meditite</x:v>
      </x:c>
    </x:row>
    <x:row r="2677" ht="22" customHeight="1">
      <x:c r="A2677" s="1" t="n">
        <x:v>307</x:v>
      </x:c>
      <x:c r="B2677" s="1" t="str">
        <x:v>Meditite</x:v>
      </x:c>
      <x:c r="C2677" s="1" t="n">
        <x:v>3</x:v>
      </x:c>
      <x:c r="D2677" s="1" t="str">
        <x:v>Force Palm</x:v>
      </x:c>
      <x:c r="E2677" s="1" t="str">
        <x:v>Lutador</x:v>
      </x:c>
      <x:c r="F2677" s="1" t="str">
        <x:v>Física</x:v>
      </x:c>
      <x:c r="G2677" s="10" t="n">
        <x:v>60</x:v>
      </x:c>
      <x:c r="H2677" s="10" t="n">
        <x:f>IF(F2677="Física",'Pokémon'!G291,IF(F2677="Especial",'Pokémon'!I291,""))</x:f>
        <x:v>40</x:v>
      </x:c>
      <x:c r="I2677" s="10" t="n">
        <x:f>IF(OR(F2677="Status",G2677=0),"",G2677+H2677)</x:f>
        <x:v>100</x:v>
      </x:c>
      <x:c r="J2677" s="10" t="n">
        <x:v>17</x:v>
      </x:c>
      <x:c r="K2677" s="12" t="n">
        <x:v>20</x:v>
      </x:c>
      <x:c r="L2677" s="1" t="str"/>
      <x:c r="M2677" s="9" t="str">
        <x:v>https://poke.idleworld.online/pokepedia/pokemon/meditite</x:v>
      </x:c>
    </x:row>
    <x:row r="2678" ht="22" customHeight="1">
      <x:c r="A2678" s="1" t="n">
        <x:v>307</x:v>
      </x:c>
      <x:c r="B2678" s="1" t="str">
        <x:v>Meditite</x:v>
      </x:c>
      <x:c r="C2678" s="1" t="n">
        <x:v>4</x:v>
      </x:c>
      <x:c r="D2678" s="1" t="str">
        <x:v>Hidden Power</x:v>
      </x:c>
      <x:c r="E2678" s="1" t="str">
        <x:v>Normal</x:v>
      </x:c>
      <x:c r="F2678" s="1" t="str">
        <x:v>Especial</x:v>
      </x:c>
      <x:c r="G2678" s="10" t="n">
        <x:v>60</x:v>
      </x:c>
      <x:c r="H2678" s="10" t="n">
        <x:f>IF(F2678="Física",'Pokémon'!G291,IF(F2678="Especial",'Pokémon'!I291,""))</x:f>
        <x:v>40</x:v>
      </x:c>
      <x:c r="I2678" s="10" t="n">
        <x:f>IF(OR(F2678="Status",G2678=0),"",G2678+H2678)</x:f>
        <x:v>100</x:v>
      </x:c>
      <x:c r="J2678" s="10" t="n">
        <x:v>20</x:v>
      </x:c>
      <x:c r="K2678" s="12" t="n">
        <x:v>20</x:v>
      </x:c>
      <x:c r="L2678" s="1" t="str"/>
      <x:c r="M2678" s="9" t="str">
        <x:v>https://poke.idleworld.online/pokepedia/pokemon/meditite</x:v>
      </x:c>
    </x:row>
    <x:row r="2679" ht="22" customHeight="1">
      <x:c r="A2679" s="1" t="n">
        <x:v>307</x:v>
      </x:c>
      <x:c r="B2679" s="1" t="str">
        <x:v>Meditite</x:v>
      </x:c>
      <x:c r="C2679" s="1" t="n">
        <x:v>1</x:v>
      </x:c>
      <x:c r="D2679" s="1" t="str">
        <x:v>Confusion</x:v>
      </x:c>
      <x:c r="E2679" s="1" t="str">
        <x:v>Psíquico</x:v>
      </x:c>
      <x:c r="F2679" s="1" t="str">
        <x:v>Especial</x:v>
      </x:c>
      <x:c r="G2679" s="10" t="n">
        <x:v>50</x:v>
      </x:c>
      <x:c r="H2679" s="10" t="n">
        <x:f>IF(F2679="Física",'Pokémon'!G291,IF(F2679="Especial",'Pokémon'!I291,""))</x:f>
        <x:v>40</x:v>
      </x:c>
      <x:c r="I2679" s="10" t="n">
        <x:f>IF(OR(F2679="Status",G2679=0),"",G2679+H2679)</x:f>
        <x:v>90</x:v>
      </x:c>
      <x:c r="J2679" s="10" t="n">
        <x:v>7</x:v>
      </x:c>
      <x:c r="K2679" s="12" t="n">
        <x:v>30</x:v>
      </x:c>
      <x:c r="L2679" s="1" t="str"/>
      <x:c r="M2679" s="9" t="str">
        <x:v>https://poke.idleworld.online/pokepedia/pokemon/meditite</x:v>
      </x:c>
    </x:row>
    <x:row r="2680" ht="22" customHeight="1">
      <x:c r="A2680" s="1" t="n">
        <x:v>307</x:v>
      </x:c>
      <x:c r="B2680" s="1" t="str">
        <x:v>Meditite</x:v>
      </x:c>
      <x:c r="C2680" s="1" t="n">
        <x:v>2</x:v>
      </x:c>
      <x:c r="D2680" s="1" t="str">
        <x:v>Feint</x:v>
      </x:c>
      <x:c r="E2680" s="1" t="str">
        <x:v>Normal</x:v>
      </x:c>
      <x:c r="F2680" s="1" t="str">
        <x:v>Física</x:v>
      </x:c>
      <x:c r="G2680" s="10" t="n">
        <x:v>30</x:v>
      </x:c>
      <x:c r="H2680" s="10" t="n">
        <x:f>IF(F2680="Física",'Pokémon'!G291,IF(F2680="Especial",'Pokémon'!I291,""))</x:f>
        <x:v>40</x:v>
      </x:c>
      <x:c r="I2680" s="10" t="n">
        <x:f>IF(OR(F2680="Status",G2680=0),"",G2680+H2680)</x:f>
        <x:v>70</x:v>
      </x:c>
      <x:c r="J2680" s="10" t="n">
        <x:v>15</x:v>
      </x:c>
      <x:c r="K2680" s="12" t="n">
        <x:v>15</x:v>
      </x:c>
      <x:c r="L2680" s="1" t="str"/>
      <x:c r="M2680" s="9" t="str">
        <x:v>https://poke.idleworld.online/pokepedia/pokemon/meditite</x:v>
      </x:c>
    </x:row>
    <x:row r="2681" ht="22" customHeight="1">
      <x:c r="A2681" s="1" t="n">
        <x:v>308</x:v>
      </x:c>
      <x:c r="B2681" s="1" t="str">
        <x:v>Medicham</x:v>
      </x:c>
      <x:c r="C2681" s="1" t="n">
        <x:v>10</x:v>
      </x:c>
      <x:c r="D2681" s="1" t="str">
        <x:v>High Jump Kick</x:v>
      </x:c>
      <x:c r="E2681" s="1" t="str">
        <x:v>Lutador</x:v>
      </x:c>
      <x:c r="F2681" s="1" t="str">
        <x:v>Física</x:v>
      </x:c>
      <x:c r="G2681" s="10" t="n">
        <x:v>130</x:v>
      </x:c>
      <x:c r="H2681" s="10" t="n">
        <x:f>IF(F2681="Física",'Pokémon'!G292,IF(F2681="Especial",'Pokémon'!I292,""))</x:f>
        <x:v>60</x:v>
      </x:c>
      <x:c r="I2681" s="10" t="n">
        <x:f>IF(OR(F2681="Status",G2681=0),"",G2681+H2681)</x:f>
        <x:v>190</x:v>
      </x:c>
      <x:c r="J2681" s="10" t="n">
        <x:v>28</x:v>
      </x:c>
      <x:c r="K2681" s="12" t="n">
        <x:v>50</x:v>
      </x:c>
      <x:c r="L2681" s="1" t="str"/>
      <x:c r="M2681" s="9" t="str">
        <x:v>https://poke.idleworld.online/pokepedia/pokemon/medicham</x:v>
      </x:c>
    </x:row>
    <x:row r="2682" ht="22" customHeight="1">
      <x:c r="A2682" s="1" t="n">
        <x:v>308</x:v>
      </x:c>
      <x:c r="B2682" s="1" t="str">
        <x:v>Medicham</x:v>
      </x:c>
      <x:c r="C2682" s="1" t="n">
        <x:v>2</x:v>
      </x:c>
      <x:c r="D2682" s="1" t="str">
        <x:v>Zen Headbutt</x:v>
      </x:c>
      <x:c r="E2682" s="1" t="str">
        <x:v>Psíquico</x:v>
      </x:c>
      <x:c r="F2682" s="1" t="str">
        <x:v>Física</x:v>
      </x:c>
      <x:c r="G2682" s="10" t="n">
        <x:v>80</x:v>
      </x:c>
      <x:c r="H2682" s="10" t="n">
        <x:f>IF(F2682="Física",'Pokémon'!G292,IF(F2682="Especial",'Pokémon'!I292,""))</x:f>
        <x:v>60</x:v>
      </x:c>
      <x:c r="I2682" s="10" t="n">
        <x:f>IF(OR(F2682="Status",G2682=0),"",G2682+H2682)</x:f>
        <x:v>140</x:v>
      </x:c>
      <x:c r="J2682" s="10" t="n">
        <x:v>1</x:v>
      </x:c>
      <x:c r="K2682" s="12" t="n">
        <x:v>45</x:v>
      </x:c>
      <x:c r="L2682" s="1" t="str"/>
      <x:c r="M2682" s="9" t="str">
        <x:v>https://poke.idleworld.online/pokepedia/pokemon/medicham</x:v>
      </x:c>
    </x:row>
    <x:row r="2683" ht="22" customHeight="1">
      <x:c r="A2683" s="1" t="n">
        <x:v>308</x:v>
      </x:c>
      <x:c r="B2683" s="1" t="str">
        <x:v>Medicham</x:v>
      </x:c>
      <x:c r="C2683" s="1" t="n">
        <x:v>1</x:v>
      </x:c>
      <x:c r="D2683" s="1" t="str">
        <x:v>Thunder Punch</x:v>
      </x:c>
      <x:c r="E2683" s="1" t="str">
        <x:v>Elétrico</x:v>
      </x:c>
      <x:c r="F2683" s="1" t="str">
        <x:v>Física</x:v>
      </x:c>
      <x:c r="G2683" s="10" t="n">
        <x:v>75</x:v>
      </x:c>
      <x:c r="H2683" s="10" t="n">
        <x:f>IF(F2683="Física",'Pokémon'!G292,IF(F2683="Especial",'Pokémon'!I292,""))</x:f>
        <x:v>60</x:v>
      </x:c>
      <x:c r="I2683" s="10" t="n">
        <x:f>IF(OR(F2683="Status",G2683=0),"",G2683+H2683)</x:f>
        <x:v>135</x:v>
      </x:c>
      <x:c r="J2683" s="10" t="n">
        <x:v>1</x:v>
      </x:c>
      <x:c r="K2683" s="12" t="n">
        <x:v>18</x:v>
      </x:c>
      <x:c r="L2683" s="1" t="str"/>
      <x:c r="M2683" s="9" t="str">
        <x:v>https://poke.idleworld.online/pokepedia/pokemon/medicham</x:v>
      </x:c>
    </x:row>
    <x:row r="2684" ht="22" customHeight="1">
      <x:c r="A2684" s="1" t="n">
        <x:v>308</x:v>
      </x:c>
      <x:c r="B2684" s="1" t="str">
        <x:v>Medicham</x:v>
      </x:c>
      <x:c r="C2684" s="1" t="n">
        <x:v>5</x:v>
      </x:c>
      <x:c r="D2684" s="1" t="str">
        <x:v>Fire Punch</x:v>
      </x:c>
      <x:c r="E2684" s="1" t="str">
        <x:v>Fogo</x:v>
      </x:c>
      <x:c r="F2684" s="1" t="str">
        <x:v>Física</x:v>
      </x:c>
      <x:c r="G2684" s="10" t="n">
        <x:v>75</x:v>
      </x:c>
      <x:c r="H2684" s="10" t="n">
        <x:f>IF(F2684="Física",'Pokémon'!G292,IF(F2684="Especial",'Pokémon'!I292,""))</x:f>
        <x:v>60</x:v>
      </x:c>
      <x:c r="I2684" s="10" t="n">
        <x:f>IF(OR(F2684="Status",G2684=0),"",G2684+H2684)</x:f>
        <x:v>135</x:v>
      </x:c>
      <x:c r="J2684" s="10" t="n">
        <x:v>1</x:v>
      </x:c>
      <x:c r="K2684" s="12" t="n">
        <x:v>22</x:v>
      </x:c>
      <x:c r="L2684" s="1" t="str"/>
      <x:c r="M2684" s="9" t="str">
        <x:v>https://poke.idleworld.online/pokepedia/pokemon/medicham</x:v>
      </x:c>
    </x:row>
    <x:row r="2685" ht="22" customHeight="1">
      <x:c r="A2685" s="1" t="n">
        <x:v>308</x:v>
      </x:c>
      <x:c r="B2685" s="1" t="str">
        <x:v>Medicham</x:v>
      </x:c>
      <x:c r="C2685" s="1" t="n">
        <x:v>6</x:v>
      </x:c>
      <x:c r="D2685" s="1" t="str">
        <x:v>Ice Punch</x:v>
      </x:c>
      <x:c r="E2685" s="1" t="str">
        <x:v>Gelo</x:v>
      </x:c>
      <x:c r="F2685" s="1" t="str">
        <x:v>Física</x:v>
      </x:c>
      <x:c r="G2685" s="10" t="n">
        <x:v>75</x:v>
      </x:c>
      <x:c r="H2685" s="10" t="n">
        <x:f>IF(F2685="Física",'Pokémon'!G292,IF(F2685="Especial",'Pokémon'!I292,""))</x:f>
        <x:v>60</x:v>
      </x:c>
      <x:c r="I2685" s="10" t="n">
        <x:f>IF(OR(F2685="Status",G2685=0),"",G2685+H2685)</x:f>
        <x:v>135</x:v>
      </x:c>
      <x:c r="J2685" s="10" t="n">
        <x:v>1</x:v>
      </x:c>
      <x:c r="K2685" s="12" t="n">
        <x:v>22</x:v>
      </x:c>
      <x:c r="L2685" s="1" t="str"/>
      <x:c r="M2685" s="9" t="str">
        <x:v>https://poke.idleworld.online/pokepedia/pokemon/medicham</x:v>
      </x:c>
    </x:row>
    <x:row r="2686" ht="22" customHeight="1">
      <x:c r="A2686" s="1" t="n">
        <x:v>308</x:v>
      </x:c>
      <x:c r="B2686" s="1" t="str">
        <x:v>Medicham</x:v>
      </x:c>
      <x:c r="C2686" s="1" t="n">
        <x:v>8</x:v>
      </x:c>
      <x:c r="D2686" s="1" t="str">
        <x:v>Force Palm</x:v>
      </x:c>
      <x:c r="E2686" s="1" t="str">
        <x:v>Lutador</x:v>
      </x:c>
      <x:c r="F2686" s="1" t="str">
        <x:v>Física</x:v>
      </x:c>
      <x:c r="G2686" s="10" t="n">
        <x:v>60</x:v>
      </x:c>
      <x:c r="H2686" s="10" t="n">
        <x:f>IF(F2686="Física",'Pokémon'!G292,IF(F2686="Especial",'Pokémon'!I292,""))</x:f>
        <x:v>60</x:v>
      </x:c>
      <x:c r="I2686" s="10" t="n">
        <x:f>IF(OR(F2686="Status",G2686=0),"",G2686+H2686)</x:f>
        <x:v>120</x:v>
      </x:c>
      <x:c r="J2686" s="10" t="n">
        <x:v>17</x:v>
      </x:c>
      <x:c r="K2686" s="12" t="n">
        <x:v>20</x:v>
      </x:c>
      <x:c r="L2686" s="1" t="str"/>
      <x:c r="M2686" s="9" t="str">
        <x:v>https://poke.idleworld.online/pokepedia/pokemon/medicham</x:v>
      </x:c>
    </x:row>
    <x:row r="2687" ht="22" customHeight="1">
      <x:c r="A2687" s="1" t="n">
        <x:v>308</x:v>
      </x:c>
      <x:c r="B2687" s="1" t="str">
        <x:v>Medicham</x:v>
      </x:c>
      <x:c r="C2687" s="1" t="n">
        <x:v>9</x:v>
      </x:c>
      <x:c r="D2687" s="1" t="str">
        <x:v>Hidden Power</x:v>
      </x:c>
      <x:c r="E2687" s="1" t="str">
        <x:v>Normal</x:v>
      </x:c>
      <x:c r="F2687" s="1" t="str">
        <x:v>Especial</x:v>
      </x:c>
      <x:c r="G2687" s="10" t="n">
        <x:v>60</x:v>
      </x:c>
      <x:c r="H2687" s="10" t="n">
        <x:f>IF(F2687="Física",'Pokémon'!G292,IF(F2687="Especial",'Pokémon'!I292,""))</x:f>
        <x:v>60</x:v>
      </x:c>
      <x:c r="I2687" s="10" t="n">
        <x:f>IF(OR(F2687="Status",G2687=0),"",G2687+H2687)</x:f>
        <x:v>120</x:v>
      </x:c>
      <x:c r="J2687" s="10" t="n">
        <x:v>20</x:v>
      </x:c>
      <x:c r="K2687" s="12" t="n">
        <x:v>20</x:v>
      </x:c>
      <x:c r="L2687" s="1" t="str"/>
      <x:c r="M2687" s="9" t="str">
        <x:v>https://poke.idleworld.online/pokepedia/pokemon/medicham</x:v>
      </x:c>
    </x:row>
    <x:row r="2688" ht="22" customHeight="1">
      <x:c r="A2688" s="1" t="n">
        <x:v>308</x:v>
      </x:c>
      <x:c r="B2688" s="1" t="str">
        <x:v>Medicham</x:v>
      </x:c>
      <x:c r="C2688" s="1" t="n">
        <x:v>4</x:v>
      </x:c>
      <x:c r="D2688" s="1" t="str">
        <x:v>Confusion</x:v>
      </x:c>
      <x:c r="E2688" s="1" t="str">
        <x:v>Psíquico</x:v>
      </x:c>
      <x:c r="F2688" s="1" t="str">
        <x:v>Especial</x:v>
      </x:c>
      <x:c r="G2688" s="10" t="n">
        <x:v>50</x:v>
      </x:c>
      <x:c r="H2688" s="10" t="n">
        <x:f>IF(F2688="Física",'Pokémon'!G292,IF(F2688="Especial",'Pokémon'!I292,""))</x:f>
        <x:v>60</x:v>
      </x:c>
      <x:c r="I2688" s="10" t="n">
        <x:f>IF(OR(F2688="Status",G2688=0),"",G2688+H2688)</x:f>
        <x:v>110</x:v>
      </x:c>
      <x:c r="J2688" s="10" t="n">
        <x:v>1</x:v>
      </x:c>
      <x:c r="K2688" s="12" t="n">
        <x:v>15</x:v>
      </x:c>
      <x:c r="L2688" s="1" t="str"/>
      <x:c r="M2688" s="9" t="str">
        <x:v>https://poke.idleworld.online/pokepedia/pokemon/medicham</x:v>
      </x:c>
    </x:row>
    <x:row r="2689" ht="22" customHeight="1">
      <x:c r="A2689" s="1" t="n">
        <x:v>308</x:v>
      </x:c>
      <x:c r="B2689" s="1" t="str">
        <x:v>Medicham</x:v>
      </x:c>
      <x:c r="C2689" s="1" t="n">
        <x:v>7</x:v>
      </x:c>
      <x:c r="D2689" s="1" t="str">
        <x:v>Feint</x:v>
      </x:c>
      <x:c r="E2689" s="1" t="str">
        <x:v>Normal</x:v>
      </x:c>
      <x:c r="F2689" s="1" t="str">
        <x:v>Física</x:v>
      </x:c>
      <x:c r="G2689" s="10" t="n">
        <x:v>30</x:v>
      </x:c>
      <x:c r="H2689" s="10" t="n">
        <x:f>IF(F2689="Física",'Pokémon'!G292,IF(F2689="Especial",'Pokémon'!I292,""))</x:f>
        <x:v>60</x:v>
      </x:c>
      <x:c r="I2689" s="10" t="n">
        <x:f>IF(OR(F2689="Status",G2689=0),"",G2689+H2689)</x:f>
        <x:v>90</x:v>
      </x:c>
      <x:c r="J2689" s="10" t="n">
        <x:v>15</x:v>
      </x:c>
      <x:c r="K2689" s="12" t="n">
        <x:v>15</x:v>
      </x:c>
      <x:c r="L2689" s="1" t="str"/>
      <x:c r="M2689" s="9" t="str">
        <x:v>https://poke.idleworld.online/pokepedia/pokemon/medicham</x:v>
      </x:c>
    </x:row>
    <x:row r="2690" ht="22" customHeight="1">
      <x:c r="A2690" s="1" t="n">
        <x:v>308</x:v>
      </x:c>
      <x:c r="B2690" s="1" t="str">
        <x:v>Medicham</x:v>
      </x:c>
      <x:c r="C2690" s="1" t="n">
        <x:v>3</x:v>
      </x:c>
      <x:c r="D2690" s="1" t="str">
        <x:v>Meditate</x:v>
      </x:c>
      <x:c r="E2690" s="1" t="str">
        <x:v>Psíquico</x:v>
      </x:c>
      <x:c r="F2690" s="1" t="str">
        <x:v>Status</x:v>
      </x:c>
      <x:c r="G2690" s="10" t="n">
        <x:v>0</x:v>
      </x:c>
      <x:c r="H2690" s="10" t="str">
        <x:f>IF(F2690="Física",'Pokémon'!G292,IF(F2690="Especial",'Pokémon'!I292,""))</x:f>
      </x:c>
      <x:c r="I2690" s="10" t="str">
        <x:f>IF(OR(F2690="Status",G2690=0),"",G2690+H2690)</x:f>
      </x:c>
      <x:c r="J2690" s="10" t="n">
        <x:v>1</x:v>
      </x:c>
      <x:c r="K2690" s="12" t="n">
        <x:v>50</x:v>
      </x:c>
      <x:c r="L2690" s="1" t="str"/>
      <x:c r="M2690" s="9" t="str">
        <x:v>https://poke.idleworld.online/pokepedia/pokemon/medicham</x:v>
      </x:c>
    </x:row>
    <x:row r="2691" ht="22" customHeight="1">
      <x:c r="A2691" s="1" t="n">
        <x:v>309</x:v>
      </x:c>
      <x:c r="B2691" s="1" t="str">
        <x:v>Electrike</x:v>
      </x:c>
      <x:c r="C2691" s="1" t="n">
        <x:v>10</x:v>
      </x:c>
      <x:c r="D2691" s="1" t="str">
        <x:v>Thunder</x:v>
      </x:c>
      <x:c r="E2691" s="1" t="str">
        <x:v>Elétrico</x:v>
      </x:c>
      <x:c r="F2691" s="1" t="str">
        <x:v>Especial</x:v>
      </x:c>
      <x:c r="G2691" s="10" t="n">
        <x:v>110</x:v>
      </x:c>
      <x:c r="H2691" s="10" t="n">
        <x:f>IF(F2691="Física",'Pokémon'!G293,IF(F2691="Especial",'Pokémon'!I293,""))</x:f>
        <x:v>65</x:v>
      </x:c>
      <x:c r="I2691" s="10" t="n">
        <x:f>IF(OR(F2691="Status",G2691=0),"",G2691+H2691)</x:f>
        <x:v>175</x:v>
      </x:c>
      <x:c r="J2691" s="10" t="n">
        <x:v>49</x:v>
      </x:c>
      <x:c r="K2691" s="12" t="n">
        <x:v>40</x:v>
      </x:c>
      <x:c r="L2691" s="1" t="str"/>
      <x:c r="M2691" s="9" t="str">
        <x:v>https://poke.idleworld.online/pokepedia/pokemon/electrike</x:v>
      </x:c>
    </x:row>
    <x:row r="2692" ht="22" customHeight="1">
      <x:c r="A2692" s="1" t="n">
        <x:v>309</x:v>
      </x:c>
      <x:c r="B2692" s="1" t="str">
        <x:v>Electrike</x:v>
      </x:c>
      <x:c r="C2692" s="1" t="n">
        <x:v>7</x:v>
      </x:c>
      <x:c r="D2692" s="1" t="str">
        <x:v>Discharge</x:v>
      </x:c>
      <x:c r="E2692" s="1" t="str">
        <x:v>Elétrico</x:v>
      </x:c>
      <x:c r="F2692" s="1" t="str">
        <x:v>Especial</x:v>
      </x:c>
      <x:c r="G2692" s="10" t="n">
        <x:v>80</x:v>
      </x:c>
      <x:c r="H2692" s="10" t="n">
        <x:f>IF(F2692="Física",'Pokémon'!G293,IF(F2692="Especial",'Pokémon'!I293,""))</x:f>
        <x:v>65</x:v>
      </x:c>
      <x:c r="I2692" s="10" t="n">
        <x:f>IF(OR(F2692="Status",G2692=0),"",G2692+H2692)</x:f>
        <x:v>145</x:v>
      </x:c>
      <x:c r="J2692" s="10" t="n">
        <x:v>29</x:v>
      </x:c>
      <x:c r="K2692" s="12" t="n">
        <x:v>22</x:v>
      </x:c>
      <x:c r="L2692" s="1" t="str"/>
      <x:c r="M2692" s="9" t="str">
        <x:v>https://poke.idleworld.online/pokepedia/pokemon/electrike</x:v>
      </x:c>
    </x:row>
    <x:row r="2693" ht="22" customHeight="1">
      <x:c r="A2693" s="1" t="n">
        <x:v>309</x:v>
      </x:c>
      <x:c r="B2693" s="1" t="str">
        <x:v>Electrike</x:v>
      </x:c>
      <x:c r="C2693" s="1" t="n">
        <x:v>8</x:v>
      </x:c>
      <x:c r="D2693" s="1" t="str">
        <x:v>Wild Charge</x:v>
      </x:c>
      <x:c r="E2693" s="1" t="str">
        <x:v>Elétrico</x:v>
      </x:c>
      <x:c r="F2693" s="1" t="str">
        <x:v>Física</x:v>
      </x:c>
      <x:c r="G2693" s="10" t="n">
        <x:v>90</x:v>
      </x:c>
      <x:c r="H2693" s="10" t="n">
        <x:f>IF(F2693="Física",'Pokémon'!G293,IF(F2693="Especial",'Pokémon'!I293,""))</x:f>
        <x:v>45</x:v>
      </x:c>
      <x:c r="I2693" s="10" t="n">
        <x:f>IF(OR(F2693="Status",G2693=0),"",G2693+H2693)</x:f>
        <x:v>135</x:v>
      </x:c>
      <x:c r="J2693" s="10" t="n">
        <x:v>39</x:v>
      </x:c>
      <x:c r="K2693" s="12" t="n">
        <x:v>22</x:v>
      </x:c>
      <x:c r="L2693" s="1" t="str"/>
      <x:c r="M2693" s="9" t="str">
        <x:v>https://poke.idleworld.online/pokepedia/pokemon/electrike</x:v>
      </x:c>
    </x:row>
    <x:row r="2694" ht="22" customHeight="1">
      <x:c r="A2694" s="1" t="n">
        <x:v>309</x:v>
      </x:c>
      <x:c r="B2694" s="1" t="str">
        <x:v>Electrike</x:v>
      </x:c>
      <x:c r="C2694" s="1" t="n">
        <x:v>4</x:v>
      </x:c>
      <x:c r="D2694" s="1" t="str">
        <x:v>Spark</x:v>
      </x:c>
      <x:c r="E2694" s="1" t="str">
        <x:v>Elétrico</x:v>
      </x:c>
      <x:c r="F2694" s="1" t="str">
        <x:v>Física</x:v>
      </x:c>
      <x:c r="G2694" s="10" t="n">
        <x:v>65</x:v>
      </x:c>
      <x:c r="H2694" s="10" t="n">
        <x:f>IF(F2694="Física",'Pokémon'!G293,IF(F2694="Especial",'Pokémon'!I293,""))</x:f>
        <x:v>45</x:v>
      </x:c>
      <x:c r="I2694" s="10" t="n">
        <x:f>IF(OR(F2694="Status",G2694=0),"",G2694+H2694)</x:f>
        <x:v>110</x:v>
      </x:c>
      <x:c r="J2694" s="10" t="n">
        <x:v>13</x:v>
      </x:c>
      <x:c r="K2694" s="12" t="n">
        <x:v>10</x:v>
      </x:c>
      <x:c r="L2694" s="1" t="str"/>
      <x:c r="M2694" s="9" t="str">
        <x:v>https://poke.idleworld.online/pokepedia/pokemon/electrike</x:v>
      </x:c>
    </x:row>
    <x:row r="2695" ht="22" customHeight="1">
      <x:c r="A2695" s="1" t="n">
        <x:v>309</x:v>
      </x:c>
      <x:c r="B2695" s="1" t="str">
        <x:v>Electrike</x:v>
      </x:c>
      <x:c r="C2695" s="1" t="n">
        <x:v>5</x:v>
      </x:c>
      <x:c r="D2695" s="1" t="str">
        <x:v>Thunder Fang</x:v>
      </x:c>
      <x:c r="E2695" s="1" t="str">
        <x:v>Elétrico</x:v>
      </x:c>
      <x:c r="F2695" s="1" t="str">
        <x:v>Física</x:v>
      </x:c>
      <x:c r="G2695" s="10" t="n">
        <x:v>65</x:v>
      </x:c>
      <x:c r="H2695" s="10" t="n">
        <x:f>IF(F2695="Física",'Pokémon'!G293,IF(F2695="Especial",'Pokémon'!I293,""))</x:f>
        <x:v>45</x:v>
      </x:c>
      <x:c r="I2695" s="10" t="n">
        <x:f>IF(OR(F2695="Status",G2695=0),"",G2695+H2695)</x:f>
        <x:v>110</x:v>
      </x:c>
      <x:c r="J2695" s="10" t="n">
        <x:v>19</x:v>
      </x:c>
      <x:c r="K2695" s="12" t="n">
        <x:v>20</x:v>
      </x:c>
      <x:c r="L2695" s="1" t="str"/>
      <x:c r="M2695" s="9" t="str">
        <x:v>https://poke.idleworld.online/pokepedia/pokemon/electrike</x:v>
      </x:c>
    </x:row>
    <x:row r="2696" ht="22" customHeight="1">
      <x:c r="A2696" s="1" t="n">
        <x:v>309</x:v>
      </x:c>
      <x:c r="B2696" s="1" t="str">
        <x:v>Electrike</x:v>
      </x:c>
      <x:c r="C2696" s="1" t="n">
        <x:v>6</x:v>
      </x:c>
      <x:c r="D2696" s="1" t="str">
        <x:v>Bite</x:v>
      </x:c>
      <x:c r="E2696" s="1" t="str">
        <x:v>Sombrio</x:v>
      </x:c>
      <x:c r="F2696" s="1" t="str">
        <x:v>Física</x:v>
      </x:c>
      <x:c r="G2696" s="10" t="n">
        <x:v>60</x:v>
      </x:c>
      <x:c r="H2696" s="10" t="n">
        <x:f>IF(F2696="Física",'Pokémon'!G293,IF(F2696="Especial",'Pokémon'!I293,""))</x:f>
        <x:v>45</x:v>
      </x:c>
      <x:c r="I2696" s="10" t="n">
        <x:f>IF(OR(F2696="Status",G2696=0),"",G2696+H2696)</x:f>
        <x:v>105</x:v>
      </x:c>
      <x:c r="J2696" s="10" t="n">
        <x:v>24</x:v>
      </x:c>
      <x:c r="K2696" s="12" t="n">
        <x:v>10</x:v>
      </x:c>
      <x:c r="L2696" s="1" t="str"/>
      <x:c r="M2696" s="9" t="str">
        <x:v>https://poke.idleworld.online/pokepedia/pokemon/electrike</x:v>
      </x:c>
    </x:row>
    <x:row r="2697" ht="22" customHeight="1">
      <x:c r="A2697" s="1" t="n">
        <x:v>309</x:v>
      </x:c>
      <x:c r="B2697" s="1" t="str">
        <x:v>Electrike</x:v>
      </x:c>
      <x:c r="C2697" s="1" t="n">
        <x:v>2</x:v>
      </x:c>
      <x:c r="D2697" s="1" t="str">
        <x:v>Tackle</x:v>
      </x:c>
      <x:c r="E2697" s="1" t="str">
        <x:v>Normal</x:v>
      </x:c>
      <x:c r="F2697" s="1" t="str">
        <x:v>Física</x:v>
      </x:c>
      <x:c r="G2697" s="10" t="n">
        <x:v>50</x:v>
      </x:c>
      <x:c r="H2697" s="10" t="n">
        <x:f>IF(F2697="Física",'Pokémon'!G293,IF(F2697="Especial",'Pokémon'!I293,""))</x:f>
        <x:v>45</x:v>
      </x:c>
      <x:c r="I2697" s="10" t="n">
        <x:f>IF(OR(F2697="Status",G2697=0),"",G2697+H2697)</x:f>
        <x:v>95</x:v>
      </x:c>
      <x:c r="J2697" s="10" t="n">
        <x:v>1</x:v>
      </x:c>
      <x:c r="K2697" s="12" t="n">
        <x:v>15</x:v>
      </x:c>
      <x:c r="L2697" s="1" t="str"/>
      <x:c r="M2697" s="9" t="str">
        <x:v>https://poke.idleworld.online/pokepedia/pokemon/electrike</x:v>
      </x:c>
    </x:row>
    <x:row r="2698" ht="22" customHeight="1">
      <x:c r="A2698" s="1" t="n">
        <x:v>309</x:v>
      </x:c>
      <x:c r="B2698" s="1" t="str">
        <x:v>Electrike</x:v>
      </x:c>
      <x:c r="C2698" s="1" t="n">
        <x:v>3</x:v>
      </x:c>
      <x:c r="D2698" s="1" t="str">
        <x:v>Quick Attack</x:v>
      </x:c>
      <x:c r="E2698" s="1" t="str">
        <x:v>Normal</x:v>
      </x:c>
      <x:c r="F2698" s="1" t="str">
        <x:v>Física</x:v>
      </x:c>
      <x:c r="G2698" s="10" t="n">
        <x:v>40</x:v>
      </x:c>
      <x:c r="H2698" s="10" t="n">
        <x:f>IF(F2698="Física",'Pokémon'!G293,IF(F2698="Especial",'Pokémon'!I293,""))</x:f>
        <x:v>45</x:v>
      </x:c>
      <x:c r="I2698" s="10" t="n">
        <x:f>IF(OR(F2698="Status",G2698=0),"",G2698+H2698)</x:f>
        <x:v>85</x:v>
      </x:c>
      <x:c r="J2698" s="10" t="n">
        <x:v>10</x:v>
      </x:c>
      <x:c r="K2698" s="12" t="n">
        <x:v>15</x:v>
      </x:c>
      <x:c r="L2698" s="1" t="str"/>
      <x:c r="M2698" s="9" t="str">
        <x:v>https://poke.idleworld.online/pokepedia/pokemon/electrike</x:v>
      </x:c>
    </x:row>
    <x:row r="2699" ht="22" customHeight="1">
      <x:c r="A2699" s="1" t="n">
        <x:v>309</x:v>
      </x:c>
      <x:c r="B2699" s="1" t="str">
        <x:v>Electrike</x:v>
      </x:c>
      <x:c r="C2699" s="1" t="n">
        <x:v>1</x:v>
      </x:c>
      <x:c r="D2699" s="1" t="str">
        <x:v>Thunder Wave</x:v>
      </x:c>
      <x:c r="E2699" s="1" t="str">
        <x:v>Elétrico</x:v>
      </x:c>
      <x:c r="F2699" s="1" t="str">
        <x:v>Status</x:v>
      </x:c>
      <x:c r="G2699" s="10" t="n">
        <x:v>0</x:v>
      </x:c>
      <x:c r="H2699" s="10" t="str">
        <x:f>IF(F2699="Física",'Pokémon'!G293,IF(F2699="Especial",'Pokémon'!I293,""))</x:f>
      </x:c>
      <x:c r="I2699" s="10" t="str">
        <x:f>IF(OR(F2699="Status",G2699=0),"",G2699+H2699)</x:f>
      </x:c>
      <x:c r="J2699" s="10" t="n">
        <x:v>1</x:v>
      </x:c>
      <x:c r="K2699" s="12" t="n">
        <x:v>25</x:v>
      </x:c>
      <x:c r="L2699" s="1" t="str"/>
      <x:c r="M2699" s="9" t="str">
        <x:v>https://poke.idleworld.online/pokepedia/pokemon/electrike</x:v>
      </x:c>
    </x:row>
    <x:row r="2700" ht="22" customHeight="1">
      <x:c r="A2700" s="1" t="n">
        <x:v>309</x:v>
      </x:c>
      <x:c r="B2700" s="1" t="str">
        <x:v>Electrike</x:v>
      </x:c>
      <x:c r="C2700" s="1" t="n">
        <x:v>9</x:v>
      </x:c>
      <x:c r="D2700" s="1" t="str">
        <x:v>Charge</x:v>
      </x:c>
      <x:c r="E2700" s="1" t="str">
        <x:v>Elétrico</x:v>
      </x:c>
      <x:c r="F2700" s="1" t="str">
        <x:v>Status</x:v>
      </x:c>
      <x:c r="G2700" s="10" t="n">
        <x:v>0</x:v>
      </x:c>
      <x:c r="H2700" s="10" t="str">
        <x:f>IF(F2700="Física",'Pokémon'!G293,IF(F2700="Especial",'Pokémon'!I293,""))</x:f>
      </x:c>
      <x:c r="I2700" s="10" t="str">
        <x:f>IF(OR(F2700="Status",G2700=0),"",G2700+H2700)</x:f>
      </x:c>
      <x:c r="J2700" s="10" t="n">
        <x:v>44</x:v>
      </x:c>
      <x:c r="K2700" s="12" t="n">
        <x:v>30</x:v>
      </x:c>
      <x:c r="L2700" s="1" t="str"/>
      <x:c r="M2700" s="9" t="str">
        <x:v>https://poke.idleworld.online/pokepedia/pokemon/electrike</x:v>
      </x:c>
    </x:row>
    <x:row r="2701" ht="22" customHeight="1">
      <x:c r="A2701" s="1" t="n">
        <x:v>310</x:v>
      </x:c>
      <x:c r="B2701" s="1" t="str">
        <x:v>Manectric</x:v>
      </x:c>
      <x:c r="C2701" s="1" t="n">
        <x:v>9</x:v>
      </x:c>
      <x:c r="D2701" s="1" t="str">
        <x:v>Thunder</x:v>
      </x:c>
      <x:c r="E2701" s="1" t="str">
        <x:v>Elétrico</x:v>
      </x:c>
      <x:c r="F2701" s="1" t="str">
        <x:v>Especial</x:v>
      </x:c>
      <x:c r="G2701" s="10" t="n">
        <x:v>110</x:v>
      </x:c>
      <x:c r="H2701" s="10" t="n">
        <x:f>IF(F2701="Física",'Pokémon'!G294,IF(F2701="Especial",'Pokémon'!I294,""))</x:f>
        <x:v>105</x:v>
      </x:c>
      <x:c r="I2701" s="10" t="n">
        <x:f>IF(OR(F2701="Status",G2701=0),"",G2701+H2701)</x:f>
        <x:v>215</x:v>
      </x:c>
      <x:c r="J2701" s="10" t="n">
        <x:v>54</x:v>
      </x:c>
      <x:c r="K2701" s="12" t="n">
        <x:v>60</x:v>
      </x:c>
      <x:c r="L2701" s="1" t="str"/>
      <x:c r="M2701" s="9" t="str">
        <x:v>https://poke.idleworld.online/pokepedia/pokemon/manectric</x:v>
      </x:c>
    </x:row>
    <x:row r="2702" ht="22" customHeight="1">
      <x:c r="A2702" s="1" t="n">
        <x:v>310</x:v>
      </x:c>
      <x:c r="B2702" s="1" t="str">
        <x:v>Manectric</x:v>
      </x:c>
      <x:c r="C2702" s="1" t="n">
        <x:v>7</x:v>
      </x:c>
      <x:c r="D2702" s="1" t="str">
        <x:v>Discharge</x:v>
      </x:c>
      <x:c r="E2702" s="1" t="str">
        <x:v>Elétrico</x:v>
      </x:c>
      <x:c r="F2702" s="1" t="str">
        <x:v>Especial</x:v>
      </x:c>
      <x:c r="G2702" s="10" t="n">
        <x:v>80</x:v>
      </x:c>
      <x:c r="H2702" s="10" t="n">
        <x:f>IF(F2702="Física",'Pokémon'!G294,IF(F2702="Especial",'Pokémon'!I294,""))</x:f>
        <x:v>105</x:v>
      </x:c>
      <x:c r="I2702" s="10" t="n">
        <x:f>IF(OR(F2702="Status",G2702=0),"",G2702+H2702)</x:f>
        <x:v>185</x:v>
      </x:c>
      <x:c r="J2702" s="10" t="n">
        <x:v>30</x:v>
      </x:c>
      <x:c r="K2702" s="12" t="n">
        <x:v>25</x:v>
      </x:c>
      <x:c r="L2702" s="1" t="str"/>
      <x:c r="M2702" s="9" t="str">
        <x:v>https://poke.idleworld.online/pokepedia/pokemon/manectric</x:v>
      </x:c>
    </x:row>
    <x:row r="2703" ht="22" customHeight="1">
      <x:c r="A2703" s="1" t="n">
        <x:v>310</x:v>
      </x:c>
      <x:c r="B2703" s="1" t="str">
        <x:v>Manectric</x:v>
      </x:c>
      <x:c r="C2703" s="1" t="n">
        <x:v>8</x:v>
      </x:c>
      <x:c r="D2703" s="1" t="str">
        <x:v>Wild Charge</x:v>
      </x:c>
      <x:c r="E2703" s="1" t="str">
        <x:v>Elétrico</x:v>
      </x:c>
      <x:c r="F2703" s="1" t="str">
        <x:v>Física</x:v>
      </x:c>
      <x:c r="G2703" s="10" t="n">
        <x:v>90</x:v>
      </x:c>
      <x:c r="H2703" s="10" t="n">
        <x:f>IF(F2703="Física",'Pokémon'!G294,IF(F2703="Especial",'Pokémon'!I294,""))</x:f>
        <x:v>75</x:v>
      </x:c>
      <x:c r="I2703" s="10" t="n">
        <x:f>IF(OR(F2703="Status",G2703=0),"",G2703+H2703)</x:f>
        <x:v>165</x:v>
      </x:c>
      <x:c r="J2703" s="10" t="n">
        <x:v>42</x:v>
      </x:c>
      <x:c r="K2703" s="12" t="n">
        <x:v>22</x:v>
      </x:c>
      <x:c r="L2703" s="1" t="str"/>
      <x:c r="M2703" s="9" t="str">
        <x:v>https://poke.idleworld.online/pokepedia/pokemon/manectric</x:v>
      </x:c>
    </x:row>
    <x:row r="2704" ht="22" customHeight="1">
      <x:c r="A2704" s="1" t="n">
        <x:v>310</x:v>
      </x:c>
      <x:c r="B2704" s="1" t="str">
        <x:v>Manectric</x:v>
      </x:c>
      <x:c r="C2704" s="1" t="n">
        <x:v>2</x:v>
      </x:c>
      <x:c r="D2704" s="1" t="str">
        <x:v>Fire Fang</x:v>
      </x:c>
      <x:c r="E2704" s="1" t="str">
        <x:v>Fogo</x:v>
      </x:c>
      <x:c r="F2704" s="1" t="str">
        <x:v>Física</x:v>
      </x:c>
      <x:c r="G2704" s="10" t="n">
        <x:v>65</x:v>
      </x:c>
      <x:c r="H2704" s="10" t="n">
        <x:f>IF(F2704="Física",'Pokémon'!G294,IF(F2704="Especial",'Pokémon'!I294,""))</x:f>
        <x:v>75</x:v>
      </x:c>
      <x:c r="I2704" s="10" t="n">
        <x:f>IF(OR(F2704="Status",G2704=0),"",G2704+H2704)</x:f>
        <x:v>140</x:v>
      </x:c>
      <x:c r="J2704" s="10" t="n">
        <x:v>1</x:v>
      </x:c>
      <x:c r="K2704" s="12" t="n">
        <x:v>20</x:v>
      </x:c>
      <x:c r="L2704" s="1" t="str"/>
      <x:c r="M2704" s="9" t="str">
        <x:v>https://poke.idleworld.online/pokepedia/pokemon/manectric</x:v>
      </x:c>
    </x:row>
    <x:row r="2705" ht="22" customHeight="1">
      <x:c r="A2705" s="1" t="n">
        <x:v>310</x:v>
      </x:c>
      <x:c r="B2705" s="1" t="str">
        <x:v>Manectric</x:v>
      </x:c>
      <x:c r="C2705" s="1" t="n">
        <x:v>4</x:v>
      </x:c>
      <x:c r="D2705" s="1" t="str">
        <x:v>Spark</x:v>
      </x:c>
      <x:c r="E2705" s="1" t="str">
        <x:v>Elétrico</x:v>
      </x:c>
      <x:c r="F2705" s="1" t="str">
        <x:v>Física</x:v>
      </x:c>
      <x:c r="G2705" s="10" t="n">
        <x:v>65</x:v>
      </x:c>
      <x:c r="H2705" s="10" t="n">
        <x:f>IF(F2705="Física",'Pokémon'!G294,IF(F2705="Especial",'Pokémon'!I294,""))</x:f>
        <x:v>75</x:v>
      </x:c>
      <x:c r="I2705" s="10" t="n">
        <x:f>IF(OR(F2705="Status",G2705=0),"",G2705+H2705)</x:f>
        <x:v>140</x:v>
      </x:c>
      <x:c r="J2705" s="10" t="n">
        <x:v>13</x:v>
      </x:c>
      <x:c r="K2705" s="12" t="n">
        <x:v>20</x:v>
      </x:c>
      <x:c r="L2705" s="1" t="str"/>
      <x:c r="M2705" s="9" t="str">
        <x:v>https://poke.idleworld.online/pokepedia/pokemon/manectric</x:v>
      </x:c>
    </x:row>
    <x:row r="2706" ht="22" customHeight="1">
      <x:c r="A2706" s="1" t="n">
        <x:v>310</x:v>
      </x:c>
      <x:c r="B2706" s="1" t="str">
        <x:v>Manectric</x:v>
      </x:c>
      <x:c r="C2706" s="1" t="n">
        <x:v>5</x:v>
      </x:c>
      <x:c r="D2706" s="1" t="str">
        <x:v>Thunder Fang</x:v>
      </x:c>
      <x:c r="E2706" s="1" t="str">
        <x:v>Elétrico</x:v>
      </x:c>
      <x:c r="F2706" s="1" t="str">
        <x:v>Física</x:v>
      </x:c>
      <x:c r="G2706" s="10" t="n">
        <x:v>65</x:v>
      </x:c>
      <x:c r="H2706" s="10" t="n">
        <x:f>IF(F2706="Física",'Pokémon'!G294,IF(F2706="Especial",'Pokémon'!I294,""))</x:f>
        <x:v>75</x:v>
      </x:c>
      <x:c r="I2706" s="10" t="n">
        <x:f>IF(OR(F2706="Status",G2706=0),"",G2706+H2706)</x:f>
        <x:v>140</x:v>
      </x:c>
      <x:c r="J2706" s="10" t="n">
        <x:v>19</x:v>
      </x:c>
      <x:c r="K2706" s="12" t="n">
        <x:v>12</x:v>
      </x:c>
      <x:c r="L2706" s="1" t="str"/>
      <x:c r="M2706" s="9" t="str">
        <x:v>https://poke.idleworld.online/pokepedia/pokemon/manectric</x:v>
      </x:c>
    </x:row>
    <x:row r="2707" ht="22" customHeight="1">
      <x:c r="A2707" s="1" t="n">
        <x:v>310</x:v>
      </x:c>
      <x:c r="B2707" s="1" t="str">
        <x:v>Manectric</x:v>
      </x:c>
      <x:c r="C2707" s="1" t="n">
        <x:v>6</x:v>
      </x:c>
      <x:c r="D2707" s="1" t="str">
        <x:v>Bite</x:v>
      </x:c>
      <x:c r="E2707" s="1" t="str">
        <x:v>Sombrio</x:v>
      </x:c>
      <x:c r="F2707" s="1" t="str">
        <x:v>Física</x:v>
      </x:c>
      <x:c r="G2707" s="10" t="n">
        <x:v>60</x:v>
      </x:c>
      <x:c r="H2707" s="10" t="n">
        <x:f>IF(F2707="Física",'Pokémon'!G294,IF(F2707="Especial",'Pokémon'!I294,""))</x:f>
        <x:v>75</x:v>
      </x:c>
      <x:c r="I2707" s="10" t="n">
        <x:f>IF(OR(F2707="Status",G2707=0),"",G2707+H2707)</x:f>
        <x:v>135</x:v>
      </x:c>
      <x:c r="J2707" s="10" t="n">
        <x:v>24</x:v>
      </x:c>
      <x:c r="K2707" s="12" t="n">
        <x:v>15</x:v>
      </x:c>
      <x:c r="L2707" s="1" t="str"/>
      <x:c r="M2707" s="9" t="str">
        <x:v>https://poke.idleworld.online/pokepedia/pokemon/manectric</x:v>
      </x:c>
    </x:row>
    <x:row r="2708" ht="22" customHeight="1">
      <x:c r="A2708" s="1" t="n">
        <x:v>310</x:v>
      </x:c>
      <x:c r="B2708" s="1" t="str">
        <x:v>Manectric</x:v>
      </x:c>
      <x:c r="C2708" s="1" t="n">
        <x:v>1</x:v>
      </x:c>
      <x:c r="D2708" s="1" t="str">
        <x:v>Tackle</x:v>
      </x:c>
      <x:c r="E2708" s="1" t="str">
        <x:v>Normal</x:v>
      </x:c>
      <x:c r="F2708" s="1" t="str">
        <x:v>Física</x:v>
      </x:c>
      <x:c r="G2708" s="10" t="n">
        <x:v>50</x:v>
      </x:c>
      <x:c r="H2708" s="10" t="n">
        <x:f>IF(F2708="Física",'Pokémon'!G294,IF(F2708="Especial",'Pokémon'!I294,""))</x:f>
        <x:v>75</x:v>
      </x:c>
      <x:c r="I2708" s="10" t="n">
        <x:f>IF(OR(F2708="Status",G2708=0),"",G2708+H2708)</x:f>
        <x:v>125</x:v>
      </x:c>
      <x:c r="J2708" s="10" t="n">
        <x:v>1</x:v>
      </x:c>
      <x:c r="K2708" s="12" t="n">
        <x:v>15</x:v>
      </x:c>
      <x:c r="L2708" s="1" t="str"/>
      <x:c r="M2708" s="9" t="str">
        <x:v>https://poke.idleworld.online/pokepedia/pokemon/manectric</x:v>
      </x:c>
    </x:row>
    <x:row r="2709" ht="22" customHeight="1">
      <x:c r="A2709" s="1" t="n">
        <x:v>310</x:v>
      </x:c>
      <x:c r="B2709" s="1" t="str">
        <x:v>Manectric</x:v>
      </x:c>
      <x:c r="C2709" s="1" t="n">
        <x:v>3</x:v>
      </x:c>
      <x:c r="D2709" s="1" t="str">
        <x:v>Quick Attack</x:v>
      </x:c>
      <x:c r="E2709" s="1" t="str">
        <x:v>Normal</x:v>
      </x:c>
      <x:c r="F2709" s="1" t="str">
        <x:v>Física</x:v>
      </x:c>
      <x:c r="G2709" s="10" t="n">
        <x:v>40</x:v>
      </x:c>
      <x:c r="H2709" s="10" t="n">
        <x:f>IF(F2709="Física",'Pokémon'!G294,IF(F2709="Especial",'Pokémon'!I294,""))</x:f>
        <x:v>75</x:v>
      </x:c>
      <x:c r="I2709" s="10" t="n">
        <x:f>IF(OR(F2709="Status",G2709=0),"",G2709+H2709)</x:f>
        <x:v>115</x:v>
      </x:c>
      <x:c r="J2709" s="10" t="n">
        <x:v>10</x:v>
      </x:c>
      <x:c r="K2709" s="12" t="n">
        <x:v>10</x:v>
      </x:c>
      <x:c r="L2709" s="1" t="str"/>
      <x:c r="M2709" s="9" t="str">
        <x:v>https://poke.idleworld.online/pokepedia/pokemon/manectric</x:v>
      </x:c>
    </x:row>
    <x:row r="2710" ht="22" customHeight="1">
      <x:c r="A2710" s="1" t="n">
        <x:v>318</x:v>
      </x:c>
      <x:c r="B2710" s="1" t="str">
        <x:v>Carvanha</x:v>
      </x:c>
      <x:c r="C2710" s="1" t="n">
        <x:v>8</x:v>
      </x:c>
      <x:c r="D2710" s="1" t="str">
        <x:v>Take Down</x:v>
      </x:c>
      <x:c r="E2710" s="1" t="str">
        <x:v>Normal</x:v>
      </x:c>
      <x:c r="F2710" s="1" t="str">
        <x:v>Física</x:v>
      </x:c>
      <x:c r="G2710" s="10" t="n">
        <x:v>90</x:v>
      </x:c>
      <x:c r="H2710" s="10" t="n">
        <x:f>IF(F2710="Física",'Pokémon'!G295,IF(F2710="Especial",'Pokémon'!I295,""))</x:f>
        <x:v>90</x:v>
      </x:c>
      <x:c r="I2710" s="10" t="n">
        <x:f>IF(OR(F2710="Status",G2710=0),"",G2710+H2710)</x:f>
        <x:v>180</x:v>
      </x:c>
      <x:c r="J2710" s="10" t="n">
        <x:v>43</x:v>
      </x:c>
      <x:c r="K2710" s="12" t="n">
        <x:v>22</x:v>
      </x:c>
      <x:c r="L2710" s="1" t="str"/>
      <x:c r="M2710" s="9" t="str">
        <x:v>https://poke.idleworld.online/pokepedia/pokemon/carvanha</x:v>
      </x:c>
    </x:row>
    <x:row r="2711" ht="22" customHeight="1">
      <x:c r="A2711" s="1" t="n">
        <x:v>318</x:v>
      </x:c>
      <x:c r="B2711" s="1" t="str">
        <x:v>Carvanha</x:v>
      </x:c>
      <x:c r="C2711" s="1" t="n">
        <x:v>7</x:v>
      </x:c>
      <x:c r="D2711" s="1" t="str">
        <x:v>Crunch</x:v>
      </x:c>
      <x:c r="E2711" s="1" t="str">
        <x:v>Sombrio</x:v>
      </x:c>
      <x:c r="F2711" s="1" t="str">
        <x:v>Física</x:v>
      </x:c>
      <x:c r="G2711" s="10" t="n">
        <x:v>80</x:v>
      </x:c>
      <x:c r="H2711" s="10" t="n">
        <x:f>IF(F2711="Física",'Pokémon'!G295,IF(F2711="Especial",'Pokémon'!I295,""))</x:f>
        <x:v>90</x:v>
      </x:c>
      <x:c r="I2711" s="10" t="n">
        <x:f>IF(OR(F2711="Status",G2711=0),"",G2711+H2711)</x:f>
        <x:v>170</x:v>
      </x:c>
      <x:c r="J2711" s="10" t="n">
        <x:v>36</x:v>
      </x:c>
      <x:c r="K2711" s="12" t="n">
        <x:v>20</x:v>
      </x:c>
      <x:c r="L2711" s="1" t="str"/>
      <x:c r="M2711" s="9" t="str">
        <x:v>https://poke.idleworld.online/pokepedia/pokemon/carvanha</x:v>
      </x:c>
    </x:row>
    <x:row r="2712" ht="22" customHeight="1">
      <x:c r="A2712" s="1" t="n">
        <x:v>318</x:v>
      </x:c>
      <x:c r="B2712" s="1" t="str">
        <x:v>Carvanha</x:v>
      </x:c>
      <x:c r="C2712" s="1" t="n">
        <x:v>5</x:v>
      </x:c>
      <x:c r="D2712" s="1" t="str">
        <x:v>Ice Fang</x:v>
      </x:c>
      <x:c r="E2712" s="1" t="str">
        <x:v>Gelo</x:v>
      </x:c>
      <x:c r="F2712" s="1" t="str">
        <x:v>Física</x:v>
      </x:c>
      <x:c r="G2712" s="10" t="n">
        <x:v>65</x:v>
      </x:c>
      <x:c r="H2712" s="10" t="n">
        <x:f>IF(F2712="Física",'Pokémon'!G295,IF(F2712="Especial",'Pokémon'!I295,""))</x:f>
        <x:v>90</x:v>
      </x:c>
      <x:c r="I2712" s="10" t="n">
        <x:f>IF(OR(F2712="Status",G2712=0),"",G2712+H2712)</x:f>
        <x:v>155</x:v>
      </x:c>
      <x:c r="J2712" s="10" t="n">
        <x:v>25</x:v>
      </x:c>
      <x:c r="K2712" s="12" t="n">
        <x:v>20</x:v>
      </x:c>
      <x:c r="L2712" s="1" t="str"/>
      <x:c r="M2712" s="9" t="str">
        <x:v>https://poke.idleworld.online/pokepedia/pokemon/carvanha</x:v>
      </x:c>
    </x:row>
    <x:row r="2713" ht="22" customHeight="1">
      <x:c r="A2713" s="1" t="n">
        <x:v>318</x:v>
      </x:c>
      <x:c r="B2713" s="1" t="str">
        <x:v>Carvanha</x:v>
      </x:c>
      <x:c r="C2713" s="1" t="n">
        <x:v>1</x:v>
      </x:c>
      <x:c r="D2713" s="1" t="str">
        <x:v>Bite</x:v>
      </x:c>
      <x:c r="E2713" s="1" t="str">
        <x:v>Sombrio</x:v>
      </x:c>
      <x:c r="F2713" s="1" t="str">
        <x:v>Física</x:v>
      </x:c>
      <x:c r="G2713" s="10" t="n">
        <x:v>60</x:v>
      </x:c>
      <x:c r="H2713" s="10" t="n">
        <x:f>IF(F2713="Física",'Pokémon'!G295,IF(F2713="Especial",'Pokémon'!I295,""))</x:f>
        <x:v>90</x:v>
      </x:c>
      <x:c r="I2713" s="10" t="n">
        <x:f>IF(OR(F2713="Status",G2713=0),"",G2713+H2713)</x:f>
        <x:v>150</x:v>
      </x:c>
      <x:c r="J2713" s="10" t="n">
        <x:v>1</x:v>
      </x:c>
      <x:c r="K2713" s="12" t="n">
        <x:v>10</x:v>
      </x:c>
      <x:c r="L2713" s="1" t="str"/>
      <x:c r="M2713" s="9" t="str">
        <x:v>https://poke.idleworld.online/pokepedia/pokemon/carvanha</x:v>
      </x:c>
    </x:row>
    <x:row r="2714" ht="22" customHeight="1">
      <x:c r="A2714" s="1" t="n">
        <x:v>318</x:v>
      </x:c>
      <x:c r="B2714" s="1" t="str">
        <x:v>Carvanha</x:v>
      </x:c>
      <x:c r="C2714" s="1" t="n">
        <x:v>4</x:v>
      </x:c>
      <x:c r="D2714" s="1" t="str">
        <x:v>Assurance</x:v>
      </x:c>
      <x:c r="E2714" s="1" t="str">
        <x:v>Sombrio</x:v>
      </x:c>
      <x:c r="F2714" s="1" t="str">
        <x:v>Física</x:v>
      </x:c>
      <x:c r="G2714" s="10" t="n">
        <x:v>60</x:v>
      </x:c>
      <x:c r="H2714" s="10" t="n">
        <x:f>IF(F2714="Física",'Pokémon'!G295,IF(F2714="Especial",'Pokémon'!I295,""))</x:f>
        <x:v>90</x:v>
      </x:c>
      <x:c r="I2714" s="10" t="n">
        <x:f>IF(OR(F2714="Status",G2714=0),"",G2714+H2714)</x:f>
        <x:v>150</x:v>
      </x:c>
      <x:c r="J2714" s="10" t="n">
        <x:v>15</x:v>
      </x:c>
      <x:c r="K2714" s="12" t="n">
        <x:v>20</x:v>
      </x:c>
      <x:c r="L2714" s="1" t="str"/>
      <x:c r="M2714" s="9" t="str">
        <x:v>https://poke.idleworld.online/pokepedia/pokemon/carvanha</x:v>
      </x:c>
    </x:row>
    <x:row r="2715" ht="22" customHeight="1">
      <x:c r="A2715" s="1" t="n">
        <x:v>318</x:v>
      </x:c>
      <x:c r="B2715" s="1" t="str">
        <x:v>Carvanha</x:v>
      </x:c>
      <x:c r="C2715" s="1" t="n">
        <x:v>6</x:v>
      </x:c>
      <x:c r="D2715" s="1" t="str">
        <x:v>Poison Fang</x:v>
      </x:c>
      <x:c r="E2715" s="1" t="str">
        <x:v>Venenoso</x:v>
      </x:c>
      <x:c r="F2715" s="1" t="str">
        <x:v>Física</x:v>
      </x:c>
      <x:c r="G2715" s="10" t="n">
        <x:v>50</x:v>
      </x:c>
      <x:c r="H2715" s="10" t="n">
        <x:f>IF(F2715="Física",'Pokémon'!G295,IF(F2715="Especial",'Pokémon'!I295,""))</x:f>
        <x:v>90</x:v>
      </x:c>
      <x:c r="I2715" s="10" t="n">
        <x:f>IF(OR(F2715="Status",G2715=0),"",G2715+H2715)</x:f>
        <x:v>140</x:v>
      </x:c>
      <x:c r="J2715" s="10" t="n">
        <x:v>32</x:v>
      </x:c>
      <x:c r="K2715" s="12" t="n">
        <x:v>15</x:v>
      </x:c>
      <x:c r="L2715" s="1" t="str"/>
      <x:c r="M2715" s="9" t="str">
        <x:v>https://poke.idleworld.online/pokepedia/pokemon/carvanha</x:v>
      </x:c>
    </x:row>
    <x:row r="2716" ht="22" customHeight="1">
      <x:c r="A2716" s="1" t="n">
        <x:v>318</x:v>
      </x:c>
      <x:c r="B2716" s="1" t="str">
        <x:v>Carvanha</x:v>
      </x:c>
      <x:c r="C2716" s="1" t="n">
        <x:v>3</x:v>
      </x:c>
      <x:c r="D2716" s="1" t="str">
        <x:v>Aqua Jet</x:v>
      </x:c>
      <x:c r="E2716" s="1" t="str">
        <x:v>Água</x:v>
      </x:c>
      <x:c r="F2716" s="1" t="str">
        <x:v>Física</x:v>
      </x:c>
      <x:c r="G2716" s="10" t="n">
        <x:v>40</x:v>
      </x:c>
      <x:c r="H2716" s="10" t="n">
        <x:f>IF(F2716="Física",'Pokémon'!G295,IF(F2716="Especial",'Pokémon'!I295,""))</x:f>
        <x:v>90</x:v>
      </x:c>
      <x:c r="I2716" s="10" t="n">
        <x:f>IF(OR(F2716="Status",G2716=0),"",G2716+H2716)</x:f>
        <x:v>130</x:v>
      </x:c>
      <x:c r="J2716" s="10" t="n">
        <x:v>11</x:v>
      </x:c>
      <x:c r="K2716" s="12" t="n">
        <x:v>30</x:v>
      </x:c>
      <x:c r="L2716" s="1" t="str"/>
      <x:c r="M2716" s="9" t="str">
        <x:v>https://poke.idleworld.online/pokepedia/pokemon/carvanha</x:v>
      </x:c>
    </x:row>
    <x:row r="2717" ht="22" customHeight="1">
      <x:c r="A2717" s="1" t="n">
        <x:v>318</x:v>
      </x:c>
      <x:c r="B2717" s="1" t="str">
        <x:v>Carvanha</x:v>
      </x:c>
      <x:c r="C2717" s="1" t="n">
        <x:v>2</x:v>
      </x:c>
      <x:c r="D2717" s="1" t="str">
        <x:v>Rage</x:v>
      </x:c>
      <x:c r="E2717" s="1" t="str">
        <x:v>Normal</x:v>
      </x:c>
      <x:c r="F2717" s="1" t="str">
        <x:v>Física</x:v>
      </x:c>
      <x:c r="G2717" s="10" t="n">
        <x:v>20</x:v>
      </x:c>
      <x:c r="H2717" s="10" t="n">
        <x:f>IF(F2717="Física",'Pokémon'!G295,IF(F2717="Especial",'Pokémon'!I295,""))</x:f>
        <x:v>90</x:v>
      </x:c>
      <x:c r="I2717" s="10" t="n">
        <x:f>IF(OR(F2717="Status",G2717=0),"",G2717+H2717)</x:f>
        <x:v>110</x:v>
      </x:c>
      <x:c r="J2717" s="10" t="n">
        <x:v>4</x:v>
      </x:c>
      <x:c r="K2717" s="12" t="n">
        <x:v>15</x:v>
      </x:c>
      <x:c r="L2717" s="1" t="str"/>
      <x:c r="M2717" s="9" t="str">
        <x:v>https://poke.idleworld.online/pokepedia/pokemon/carvanha</x:v>
      </x:c>
    </x:row>
    <x:row r="2718" ht="22" customHeight="1">
      <x:c r="A2718" s="1" t="n">
        <x:v>319</x:v>
      </x:c>
      <x:c r="B2718" s="1" t="str">
        <x:v>Sharpedo</x:v>
      </x:c>
      <x:c r="C2718" s="1" t="n">
        <x:v>11</x:v>
      </x:c>
      <x:c r="D2718" s="1" t="str">
        <x:v>Skull Bash</x:v>
      </x:c>
      <x:c r="E2718" s="1" t="str">
        <x:v>Normal</x:v>
      </x:c>
      <x:c r="F2718" s="1" t="str">
        <x:v>Física</x:v>
      </x:c>
      <x:c r="G2718" s="10" t="n">
        <x:v>130</x:v>
      </x:c>
      <x:c r="H2718" s="10" t="n">
        <x:f>IF(F2718="Física",'Pokémon'!G296,IF(F2718="Especial",'Pokémon'!I296,""))</x:f>
        <x:v>120</x:v>
      </x:c>
      <x:c r="I2718" s="10" t="n">
        <x:f>IF(OR(F2718="Status",G2718=0),"",G2718+H2718)</x:f>
        <x:v>250</x:v>
      </x:c>
      <x:c r="J2718" s="10" t="n">
        <x:v>51</x:v>
      </x:c>
      <x:c r="K2718" s="12" t="n">
        <x:v>50</x:v>
      </x:c>
      <x:c r="L2718" s="1" t="str"/>
      <x:c r="M2718" s="9" t="str">
        <x:v>https://poke.idleworld.online/pokepedia/pokemon/sharpedo</x:v>
      </x:c>
    </x:row>
    <x:row r="2719" ht="22" customHeight="1">
      <x:c r="A2719" s="1" t="n">
        <x:v>319</x:v>
      </x:c>
      <x:c r="B2719" s="1" t="str">
        <x:v>Sharpedo</x:v>
      </x:c>
      <x:c r="C2719" s="1" t="n">
        <x:v>10</x:v>
      </x:c>
      <x:c r="D2719" s="1" t="str">
        <x:v>Crunch</x:v>
      </x:c>
      <x:c r="E2719" s="1" t="str">
        <x:v>Sombrio</x:v>
      </x:c>
      <x:c r="F2719" s="1" t="str">
        <x:v>Física</x:v>
      </x:c>
      <x:c r="G2719" s="10" t="n">
        <x:v>80</x:v>
      </x:c>
      <x:c r="H2719" s="10" t="n">
        <x:f>IF(F2719="Física",'Pokémon'!G296,IF(F2719="Especial",'Pokémon'!I296,""))</x:f>
        <x:v>120</x:v>
      </x:c>
      <x:c r="I2719" s="10" t="n">
        <x:f>IF(OR(F2719="Status",G2719=0),"",G2719+H2719)</x:f>
        <x:v>200</x:v>
      </x:c>
      <x:c r="J2719" s="10" t="n">
        <x:v>40</x:v>
      </x:c>
      <x:c r="K2719" s="12" t="n">
        <x:v>22</x:v>
      </x:c>
      <x:c r="L2719" s="1" t="str"/>
      <x:c r="M2719" s="9" t="str">
        <x:v>https://poke.idleworld.online/pokepedia/pokemon/sharpedo</x:v>
      </x:c>
    </x:row>
    <x:row r="2720" ht="22" customHeight="1">
      <x:c r="A2720" s="1" t="n">
        <x:v>319</x:v>
      </x:c>
      <x:c r="B2720" s="1" t="str">
        <x:v>Sharpedo</x:v>
      </x:c>
      <x:c r="C2720" s="1" t="n">
        <x:v>4</x:v>
      </x:c>
      <x:c r="D2720" s="1" t="str">
        <x:v>Night Slash</x:v>
      </x:c>
      <x:c r="E2720" s="1" t="str">
        <x:v>Sombrio</x:v>
      </x:c>
      <x:c r="F2720" s="1" t="str">
        <x:v>Física</x:v>
      </x:c>
      <x:c r="G2720" s="10" t="n">
        <x:v>70</x:v>
      </x:c>
      <x:c r="H2720" s="10" t="n">
        <x:f>IF(F2720="Física",'Pokémon'!G296,IF(F2720="Especial",'Pokémon'!I296,""))</x:f>
        <x:v>120</x:v>
      </x:c>
      <x:c r="I2720" s="10" t="n">
        <x:f>IF(OR(F2720="Status",G2720=0),"",G2720+H2720)</x:f>
        <x:v>190</x:v>
      </x:c>
      <x:c r="J2720" s="10" t="n">
        <x:v>1</x:v>
      </x:c>
      <x:c r="K2720" s="12" t="n">
        <x:v>20</x:v>
      </x:c>
      <x:c r="L2720" s="1" t="str"/>
      <x:c r="M2720" s="9" t="str">
        <x:v>https://poke.idleworld.online/pokepedia/pokemon/sharpedo</x:v>
      </x:c>
    </x:row>
    <x:row r="2721" ht="22" customHeight="1">
      <x:c r="A2721" s="1" t="n">
        <x:v>319</x:v>
      </x:c>
      <x:c r="B2721" s="1" t="str">
        <x:v>Sharpedo</x:v>
      </x:c>
      <x:c r="C2721" s="1" t="n">
        <x:v>8</x:v>
      </x:c>
      <x:c r="D2721" s="1" t="str">
        <x:v>Slash</x:v>
      </x:c>
      <x:c r="E2721" s="1" t="str">
        <x:v>Normal</x:v>
      </x:c>
      <x:c r="F2721" s="1" t="str">
        <x:v>Física</x:v>
      </x:c>
      <x:c r="G2721" s="10" t="n">
        <x:v>70</x:v>
      </x:c>
      <x:c r="H2721" s="10" t="n">
        <x:f>IF(F2721="Física",'Pokémon'!G296,IF(F2721="Especial",'Pokémon'!I296,""))</x:f>
        <x:v>120</x:v>
      </x:c>
      <x:c r="I2721" s="10" t="n">
        <x:f>IF(OR(F2721="Status",G2721=0),"",G2721+H2721)</x:f>
        <x:v>190</x:v>
      </x:c>
      <x:c r="J2721" s="10" t="n">
        <x:v>30</x:v>
      </x:c>
      <x:c r="K2721" s="12" t="n">
        <x:v>20</x:v>
      </x:c>
      <x:c r="L2721" s="1" t="str"/>
      <x:c r="M2721" s="9" t="str">
        <x:v>https://poke.idleworld.online/pokepedia/pokemon/sharpedo</x:v>
      </x:c>
    </x:row>
    <x:row r="2722" ht="22" customHeight="1">
      <x:c r="A2722" s="1" t="n">
        <x:v>319</x:v>
      </x:c>
      <x:c r="B2722" s="1" t="str">
        <x:v>Sharpedo</x:v>
      </x:c>
      <x:c r="C2722" s="1" t="n">
        <x:v>7</x:v>
      </x:c>
      <x:c r="D2722" s="1" t="str">
        <x:v>Ice Fang</x:v>
      </x:c>
      <x:c r="E2722" s="1" t="str">
        <x:v>Gelo</x:v>
      </x:c>
      <x:c r="F2722" s="1" t="str">
        <x:v>Física</x:v>
      </x:c>
      <x:c r="G2722" s="10" t="n">
        <x:v>65</x:v>
      </x:c>
      <x:c r="H2722" s="10" t="n">
        <x:f>IF(F2722="Física",'Pokémon'!G296,IF(F2722="Especial",'Pokémon'!I296,""))</x:f>
        <x:v>120</x:v>
      </x:c>
      <x:c r="I2722" s="10" t="n">
        <x:f>IF(OR(F2722="Status",G2722=0),"",G2722+H2722)</x:f>
        <x:v>185</x:v>
      </x:c>
      <x:c r="J2722" s="10" t="n">
        <x:v>25</x:v>
      </x:c>
      <x:c r="K2722" s="12" t="n">
        <x:v>20</x:v>
      </x:c>
      <x:c r="L2722" s="1" t="str"/>
      <x:c r="M2722" s="9" t="str">
        <x:v>https://poke.idleworld.online/pokepedia/pokemon/sharpedo</x:v>
      </x:c>
    </x:row>
    <x:row r="2723" ht="22" customHeight="1">
      <x:c r="A2723" s="1" t="n">
        <x:v>319</x:v>
      </x:c>
      <x:c r="B2723" s="1" t="str">
        <x:v>Sharpedo</x:v>
      </x:c>
      <x:c r="C2723" s="1" t="n">
        <x:v>3</x:v>
      </x:c>
      <x:c r="D2723" s="1" t="str">
        <x:v>Bite</x:v>
      </x:c>
      <x:c r="E2723" s="1" t="str">
        <x:v>Sombrio</x:v>
      </x:c>
      <x:c r="F2723" s="1" t="str">
        <x:v>Física</x:v>
      </x:c>
      <x:c r="G2723" s="10" t="n">
        <x:v>60</x:v>
      </x:c>
      <x:c r="H2723" s="10" t="n">
        <x:f>IF(F2723="Física",'Pokémon'!G296,IF(F2723="Especial",'Pokémon'!I296,""))</x:f>
        <x:v>120</x:v>
      </x:c>
      <x:c r="I2723" s="10" t="n">
        <x:f>IF(OR(F2723="Status",G2723=0),"",G2723+H2723)</x:f>
        <x:v>180</x:v>
      </x:c>
      <x:c r="J2723" s="10" t="n">
        <x:v>1</x:v>
      </x:c>
      <x:c r="K2723" s="12" t="n">
        <x:v>20</x:v>
      </x:c>
      <x:c r="L2723" s="1" t="str"/>
      <x:c r="M2723" s="9" t="str">
        <x:v>https://poke.idleworld.online/pokepedia/pokemon/sharpedo</x:v>
      </x:c>
    </x:row>
    <x:row r="2724" ht="22" customHeight="1">
      <x:c r="A2724" s="1" t="n">
        <x:v>319</x:v>
      </x:c>
      <x:c r="B2724" s="1" t="str">
        <x:v>Sharpedo</x:v>
      </x:c>
      <x:c r="C2724" s="1" t="n">
        <x:v>6</x:v>
      </x:c>
      <x:c r="D2724" s="1" t="str">
        <x:v>Assurance</x:v>
      </x:c>
      <x:c r="E2724" s="1" t="str">
        <x:v>Sombrio</x:v>
      </x:c>
      <x:c r="F2724" s="1" t="str">
        <x:v>Física</x:v>
      </x:c>
      <x:c r="G2724" s="10" t="n">
        <x:v>60</x:v>
      </x:c>
      <x:c r="H2724" s="10" t="n">
        <x:f>IF(F2724="Física",'Pokémon'!G296,IF(F2724="Especial",'Pokémon'!I296,""))</x:f>
        <x:v>120</x:v>
      </x:c>
      <x:c r="I2724" s="10" t="n">
        <x:f>IF(OR(F2724="Status",G2724=0),"",G2724+H2724)</x:f>
        <x:v>180</x:v>
      </x:c>
      <x:c r="J2724" s="10" t="n">
        <x:v>15</x:v>
      </x:c>
      <x:c r="K2724" s="12" t="n">
        <x:v>20</x:v>
      </x:c>
      <x:c r="L2724" s="1" t="str"/>
      <x:c r="M2724" s="9" t="str">
        <x:v>https://poke.idleworld.online/pokepedia/pokemon/sharpedo</x:v>
      </x:c>
    </x:row>
    <x:row r="2725" ht="22" customHeight="1">
      <x:c r="A2725" s="1" t="n">
        <x:v>319</x:v>
      </x:c>
      <x:c r="B2725" s="1" t="str">
        <x:v>Sharpedo</x:v>
      </x:c>
      <x:c r="C2725" s="1" t="n">
        <x:v>9</x:v>
      </x:c>
      <x:c r="D2725" s="1" t="str">
        <x:v>Poison Fang</x:v>
      </x:c>
      <x:c r="E2725" s="1" t="str">
        <x:v>Venenoso</x:v>
      </x:c>
      <x:c r="F2725" s="1" t="str">
        <x:v>Física</x:v>
      </x:c>
      <x:c r="G2725" s="10" t="n">
        <x:v>50</x:v>
      </x:c>
      <x:c r="H2725" s="10" t="n">
        <x:f>IF(F2725="Física",'Pokémon'!G296,IF(F2725="Especial",'Pokémon'!I296,""))</x:f>
        <x:v>120</x:v>
      </x:c>
      <x:c r="I2725" s="10" t="n">
        <x:f>IF(OR(F2725="Status",G2725=0),"",G2725+H2725)</x:f>
        <x:v>170</x:v>
      </x:c>
      <x:c r="J2725" s="10" t="n">
        <x:v>34</x:v>
      </x:c>
      <x:c r="K2725" s="12" t="n">
        <x:v>15</x:v>
      </x:c>
      <x:c r="L2725" s="1" t="str"/>
      <x:c r="M2725" s="9" t="str">
        <x:v>https://poke.idleworld.online/pokepedia/pokemon/sharpedo</x:v>
      </x:c>
    </x:row>
    <x:row r="2726" ht="22" customHeight="1">
      <x:c r="A2726" s="1" t="n">
        <x:v>319</x:v>
      </x:c>
      <x:c r="B2726" s="1" t="str">
        <x:v>Sharpedo</x:v>
      </x:c>
      <x:c r="C2726" s="1" t="n">
        <x:v>5</x:v>
      </x:c>
      <x:c r="D2726" s="1" t="str">
        <x:v>Aqua Jet</x:v>
      </x:c>
      <x:c r="E2726" s="1" t="str">
        <x:v>Água</x:v>
      </x:c>
      <x:c r="F2726" s="1" t="str">
        <x:v>Física</x:v>
      </x:c>
      <x:c r="G2726" s="10" t="n">
        <x:v>40</x:v>
      </x:c>
      <x:c r="H2726" s="10" t="n">
        <x:f>IF(F2726="Física",'Pokémon'!G296,IF(F2726="Especial",'Pokémon'!I296,""))</x:f>
        <x:v>120</x:v>
      </x:c>
      <x:c r="I2726" s="10" t="n">
        <x:f>IF(OR(F2726="Status",G2726=0),"",G2726+H2726)</x:f>
        <x:v>160</x:v>
      </x:c>
      <x:c r="J2726" s="10" t="n">
        <x:v>11</x:v>
      </x:c>
      <x:c r="K2726" s="12" t="n">
        <x:v>30</x:v>
      </x:c>
      <x:c r="L2726" s="1" t="str"/>
      <x:c r="M2726" s="9" t="str">
        <x:v>https://poke.idleworld.online/pokepedia/pokemon/sharpedo</x:v>
      </x:c>
    </x:row>
    <x:row r="2727" ht="22" customHeight="1">
      <x:c r="A2727" s="1" t="n">
        <x:v>319</x:v>
      </x:c>
      <x:c r="B2727" s="1" t="str">
        <x:v>Sharpedo</x:v>
      </x:c>
      <x:c r="C2727" s="1" t="n">
        <x:v>2</x:v>
      </x:c>
      <x:c r="D2727" s="1" t="str">
        <x:v>Feint</x:v>
      </x:c>
      <x:c r="E2727" s="1" t="str">
        <x:v>Normal</x:v>
      </x:c>
      <x:c r="F2727" s="1" t="str">
        <x:v>Física</x:v>
      </x:c>
      <x:c r="G2727" s="10" t="n">
        <x:v>30</x:v>
      </x:c>
      <x:c r="H2727" s="10" t="n">
        <x:f>IF(F2727="Física",'Pokémon'!G296,IF(F2727="Especial",'Pokémon'!I296,""))</x:f>
        <x:v>120</x:v>
      </x:c>
      <x:c r="I2727" s="10" t="n">
        <x:f>IF(OR(F2727="Status",G2727=0),"",G2727+H2727)</x:f>
        <x:v>150</x:v>
      </x:c>
      <x:c r="J2727" s="10" t="n">
        <x:v>1</x:v>
      </x:c>
      <x:c r="K2727" s="12" t="n">
        <x:v>15</x:v>
      </x:c>
      <x:c r="L2727" s="1" t="str"/>
      <x:c r="M2727" s="9" t="str">
        <x:v>https://poke.idleworld.online/pokepedia/pokemon/sharpedo</x:v>
      </x:c>
    </x:row>
    <x:row r="2728" ht="22" customHeight="1">
      <x:c r="A2728" s="1" t="n">
        <x:v>319</x:v>
      </x:c>
      <x:c r="B2728" s="1" t="str">
        <x:v>Sharpedo</x:v>
      </x:c>
      <x:c r="C2728" s="1" t="n">
        <x:v>1</x:v>
      </x:c>
      <x:c r="D2728" s="1" t="str">
        <x:v>Rage</x:v>
      </x:c>
      <x:c r="E2728" s="1" t="str">
        <x:v>Normal</x:v>
      </x:c>
      <x:c r="F2728" s="1" t="str">
        <x:v>Física</x:v>
      </x:c>
      <x:c r="G2728" s="10" t="n">
        <x:v>20</x:v>
      </x:c>
      <x:c r="H2728" s="10" t="n">
        <x:f>IF(F2728="Física",'Pokémon'!G296,IF(F2728="Especial",'Pokémon'!I296,""))</x:f>
        <x:v>120</x:v>
      </x:c>
      <x:c r="I2728" s="10" t="n">
        <x:f>IF(OR(F2728="Status",G2728=0),"",G2728+H2728)</x:f>
        <x:v>140</x:v>
      </x:c>
      <x:c r="J2728" s="10" t="n">
        <x:v>1</x:v>
      </x:c>
      <x:c r="K2728" s="12" t="n">
        <x:v>15</x:v>
      </x:c>
      <x:c r="L2728" s="1" t="str"/>
      <x:c r="M2728" s="9" t="str">
        <x:v>https://poke.idleworld.online/pokepedia/pokemon/sharpedo</x:v>
      </x:c>
    </x:row>
    <x:row r="2729" ht="22" customHeight="1">
      <x:c r="A2729" s="1" t="n">
        <x:v>322</x:v>
      </x:c>
      <x:c r="B2729" s="1" t="str">
        <x:v>Numel</x:v>
      </x:c>
      <x:c r="C2729" s="1" t="n">
        <x:v>9</x:v>
      </x:c>
      <x:c r="D2729" s="1" t="str">
        <x:v>Double-Edge</x:v>
      </x:c>
      <x:c r="E2729" s="1" t="str">
        <x:v>Normal</x:v>
      </x:c>
      <x:c r="F2729" s="1" t="str">
        <x:v>Física</x:v>
      </x:c>
      <x:c r="G2729" s="10" t="n">
        <x:v>120</x:v>
      </x:c>
      <x:c r="H2729" s="10" t="n">
        <x:f>IF(F2729="Física",'Pokémon'!G297,IF(F2729="Especial",'Pokémon'!I297,""))</x:f>
        <x:v>60</x:v>
      </x:c>
      <x:c r="I2729" s="10" t="n">
        <x:f>IF(OR(F2729="Status",G2729=0),"",G2729+H2729)</x:f>
        <x:v>180</x:v>
      </x:c>
      <x:c r="J2729" s="10" t="n">
        <x:v>47</x:v>
      </x:c>
      <x:c r="K2729" s="12" t="n">
        <x:v>50</x:v>
      </x:c>
      <x:c r="L2729" s="1" t="str"/>
      <x:c r="M2729" s="9" t="str">
        <x:v>https://poke.idleworld.online/pokepedia/pokemon/numel</x:v>
      </x:c>
    </x:row>
    <x:row r="2730" ht="22" customHeight="1">
      <x:c r="A2730" s="1" t="n">
        <x:v>322</x:v>
      </x:c>
      <x:c r="B2730" s="1" t="str">
        <x:v>Numel</x:v>
      </x:c>
      <x:c r="C2730" s="1" t="n">
        <x:v>7</x:v>
      </x:c>
      <x:c r="D2730" s="1" t="str">
        <x:v>Earthquake</x:v>
      </x:c>
      <x:c r="E2730" s="1" t="str">
        <x:v>Terrestre</x:v>
      </x:c>
      <x:c r="F2730" s="1" t="str">
        <x:v>Física</x:v>
      </x:c>
      <x:c r="G2730" s="10" t="n">
        <x:v>100</x:v>
      </x:c>
      <x:c r="H2730" s="10" t="n">
        <x:f>IF(F2730="Física",'Pokémon'!G297,IF(F2730="Especial",'Pokémon'!I297,""))</x:f>
        <x:v>60</x:v>
      </x:c>
      <x:c r="I2730" s="10" t="n">
        <x:f>IF(OR(F2730="Status",G2730=0),"",G2730+H2730)</x:f>
        <x:v>160</x:v>
      </x:c>
      <x:c r="J2730" s="10" t="n">
        <x:v>40</x:v>
      </x:c>
      <x:c r="K2730" s="12" t="n">
        <x:v>40</x:v>
      </x:c>
      <x:c r="L2730" s="1" t="str"/>
      <x:c r="M2730" s="9" t="str">
        <x:v>https://poke.idleworld.online/pokepedia/pokemon/numel</x:v>
      </x:c>
    </x:row>
    <x:row r="2731" ht="22" customHeight="1">
      <x:c r="A2731" s="1" t="n">
        <x:v>322</x:v>
      </x:c>
      <x:c r="B2731" s="1" t="str">
        <x:v>Numel</x:v>
      </x:c>
      <x:c r="C2731" s="1" t="n">
        <x:v>5</x:v>
      </x:c>
      <x:c r="D2731" s="1" t="str">
        <x:v>Earth Power</x:v>
      </x:c>
      <x:c r="E2731" s="1" t="str">
        <x:v>Terrestre</x:v>
      </x:c>
      <x:c r="F2731" s="1" t="str">
        <x:v>Especial</x:v>
      </x:c>
      <x:c r="G2731" s="10" t="n">
        <x:v>90</x:v>
      </x:c>
      <x:c r="H2731" s="10" t="n">
        <x:f>IF(F2731="Física",'Pokémon'!G297,IF(F2731="Especial",'Pokémon'!I297,""))</x:f>
        <x:v>65</x:v>
      </x:c>
      <x:c r="I2731" s="10" t="n">
        <x:f>IF(OR(F2731="Status",G2731=0),"",G2731+H2731)</x:f>
        <x:v>155</x:v>
      </x:c>
      <x:c r="J2731" s="10" t="n">
        <x:v>26</x:v>
      </x:c>
      <x:c r="K2731" s="12" t="n">
        <x:v>22</x:v>
      </x:c>
      <x:c r="L2731" s="1" t="str"/>
      <x:c r="M2731" s="9" t="str">
        <x:v>https://poke.idleworld.online/pokepedia/pokemon/numel</x:v>
      </x:c>
    </x:row>
    <x:row r="2732" ht="22" customHeight="1">
      <x:c r="A2732" s="1" t="n">
        <x:v>322</x:v>
      </x:c>
      <x:c r="B2732" s="1" t="str">
        <x:v>Numel</x:v>
      </x:c>
      <x:c r="C2732" s="1" t="n">
        <x:v>8</x:v>
      </x:c>
      <x:c r="D2732" s="1" t="str">
        <x:v>Flamethrower</x:v>
      </x:c>
      <x:c r="E2732" s="1" t="str">
        <x:v>Fogo</x:v>
      </x:c>
      <x:c r="F2732" s="1" t="str">
        <x:v>Especial</x:v>
      </x:c>
      <x:c r="G2732" s="10" t="n">
        <x:v>90</x:v>
      </x:c>
      <x:c r="H2732" s="10" t="n">
        <x:f>IF(F2732="Física",'Pokémon'!G297,IF(F2732="Especial",'Pokémon'!I297,""))</x:f>
        <x:v>65</x:v>
      </x:c>
      <x:c r="I2732" s="10" t="n">
        <x:f>IF(OR(F2732="Status",G2732=0),"",G2732+H2732)</x:f>
        <x:v>155</x:v>
      </x:c>
      <x:c r="J2732" s="10" t="n">
        <x:v>43</x:v>
      </x:c>
      <x:c r="K2732" s="12" t="n">
        <x:v>22</x:v>
      </x:c>
      <x:c r="L2732" s="1" t="str"/>
      <x:c r="M2732" s="9" t="str">
        <x:v>https://poke.idleworld.online/pokepedia/pokemon/numel</x:v>
      </x:c>
    </x:row>
    <x:row r="2733" ht="22" customHeight="1">
      <x:c r="A2733" s="1" t="n">
        <x:v>322</x:v>
      </x:c>
      <x:c r="B2733" s="1" t="str">
        <x:v>Numel</x:v>
      </x:c>
      <x:c r="C2733" s="1" t="n">
        <x:v>6</x:v>
      </x:c>
      <x:c r="D2733" s="1" t="str">
        <x:v>Take Down</x:v>
      </x:c>
      <x:c r="E2733" s="1" t="str">
        <x:v>Normal</x:v>
      </x:c>
      <x:c r="F2733" s="1" t="str">
        <x:v>Física</x:v>
      </x:c>
      <x:c r="G2733" s="10" t="n">
        <x:v>90</x:v>
      </x:c>
      <x:c r="H2733" s="10" t="n">
        <x:f>IF(F2733="Física",'Pokémon'!G297,IF(F2733="Especial",'Pokémon'!I297,""))</x:f>
        <x:v>60</x:v>
      </x:c>
      <x:c r="I2733" s="10" t="n">
        <x:f>IF(OR(F2733="Status",G2733=0),"",G2733+H2733)</x:f>
        <x:v>150</x:v>
      </x:c>
      <x:c r="J2733" s="10" t="n">
        <x:v>31</x:v>
      </x:c>
      <x:c r="K2733" s="12" t="n">
        <x:v>22</x:v>
      </x:c>
      <x:c r="L2733" s="1" t="str"/>
      <x:c r="M2733" s="9" t="str">
        <x:v>https://poke.idleworld.online/pokepedia/pokemon/numel</x:v>
      </x:c>
    </x:row>
    <x:row r="2734" ht="22" customHeight="1">
      <x:c r="A2734" s="1" t="n">
        <x:v>322</x:v>
      </x:c>
      <x:c r="B2734" s="1" t="str">
        <x:v>Numel</x:v>
      </x:c>
      <x:c r="C2734" s="1" t="n">
        <x:v>4</x:v>
      </x:c>
      <x:c r="D2734" s="1" t="str">
        <x:v>Lava Plume</x:v>
      </x:c>
      <x:c r="E2734" s="1" t="str">
        <x:v>Fogo</x:v>
      </x:c>
      <x:c r="F2734" s="1" t="str">
        <x:v>Especial</x:v>
      </x:c>
      <x:c r="G2734" s="10" t="n">
        <x:v>80</x:v>
      </x:c>
      <x:c r="H2734" s="10" t="n">
        <x:f>IF(F2734="Física",'Pokémon'!G297,IF(F2734="Especial",'Pokémon'!I297,""))</x:f>
        <x:v>65</x:v>
      </x:c>
      <x:c r="I2734" s="10" t="n">
        <x:f>IF(OR(F2734="Status",G2734=0),"",G2734+H2734)</x:f>
        <x:v>145</x:v>
      </x:c>
      <x:c r="J2734" s="10" t="n">
        <x:v>22</x:v>
      </x:c>
      <x:c r="K2734" s="12" t="n">
        <x:v>30</x:v>
      </x:c>
      <x:c r="L2734" s="1" t="str"/>
      <x:c r="M2734" s="9" t="str">
        <x:v>https://poke.idleworld.online/pokepedia/pokemon/numel</x:v>
      </x:c>
    </x:row>
    <x:row r="2735" ht="22" customHeight="1">
      <x:c r="A2735" s="1" t="n">
        <x:v>322</x:v>
      </x:c>
      <x:c r="B2735" s="1" t="str">
        <x:v>Numel</x:v>
      </x:c>
      <x:c r="C2735" s="1" t="n">
        <x:v>3</x:v>
      </x:c>
      <x:c r="D2735" s="1" t="str">
        <x:v>Flame Burst</x:v>
      </x:c>
      <x:c r="E2735" s="1" t="str">
        <x:v>Fogo</x:v>
      </x:c>
      <x:c r="F2735" s="1" t="str">
        <x:v>Especial</x:v>
      </x:c>
      <x:c r="G2735" s="10" t="n">
        <x:v>70</x:v>
      </x:c>
      <x:c r="H2735" s="10" t="n">
        <x:f>IF(F2735="Física",'Pokémon'!G297,IF(F2735="Especial",'Pokémon'!I297,""))</x:f>
        <x:v>65</x:v>
      </x:c>
      <x:c r="I2735" s="10" t="n">
        <x:f>IF(OR(F2735="Status",G2735=0),"",G2735+H2735)</x:f>
        <x:v>135</x:v>
      </x:c>
      <x:c r="J2735" s="10" t="n">
        <x:v>15</x:v>
      </x:c>
      <x:c r="K2735" s="12" t="n">
        <x:v>25</x:v>
      </x:c>
      <x:c r="L2735" s="1" t="str"/>
      <x:c r="M2735" s="9" t="str">
        <x:v>https://poke.idleworld.online/pokepedia/pokemon/numel</x:v>
      </x:c>
    </x:row>
    <x:row r="2736" ht="22" customHeight="1">
      <x:c r="A2736" s="1" t="n">
        <x:v>322</x:v>
      </x:c>
      <x:c r="B2736" s="1" t="str">
        <x:v>Numel</x:v>
      </x:c>
      <x:c r="C2736" s="1" t="n">
        <x:v>1</x:v>
      </x:c>
      <x:c r="D2736" s="1" t="str">
        <x:v>Tackle</x:v>
      </x:c>
      <x:c r="E2736" s="1" t="str">
        <x:v>Normal</x:v>
      </x:c>
      <x:c r="F2736" s="1" t="str">
        <x:v>Física</x:v>
      </x:c>
      <x:c r="G2736" s="10" t="n">
        <x:v>50</x:v>
      </x:c>
      <x:c r="H2736" s="10" t="n">
        <x:f>IF(F2736="Física",'Pokémon'!G297,IF(F2736="Especial",'Pokémon'!I297,""))</x:f>
        <x:v>60</x:v>
      </x:c>
      <x:c r="I2736" s="10" t="n">
        <x:f>IF(OR(F2736="Status",G2736=0),"",G2736+H2736)</x:f>
        <x:v>110</x:v>
      </x:c>
      <x:c r="J2736" s="10" t="n">
        <x:v>1</x:v>
      </x:c>
      <x:c r="K2736" s="12" t="n">
        <x:v>15</x:v>
      </x:c>
      <x:c r="L2736" s="1" t="str"/>
      <x:c r="M2736" s="9" t="str">
        <x:v>https://poke.idleworld.online/pokepedia/pokemon/numel</x:v>
      </x:c>
    </x:row>
    <x:row r="2737" ht="22" customHeight="1">
      <x:c r="A2737" s="1" t="n">
        <x:v>322</x:v>
      </x:c>
      <x:c r="B2737" s="1" t="str">
        <x:v>Numel</x:v>
      </x:c>
      <x:c r="C2737" s="1" t="n">
        <x:v>2</x:v>
      </x:c>
      <x:c r="D2737" s="1" t="str">
        <x:v>Ember</x:v>
      </x:c>
      <x:c r="E2737" s="1" t="str">
        <x:v>Fogo</x:v>
      </x:c>
      <x:c r="F2737" s="1" t="str">
        <x:v>Especial</x:v>
      </x:c>
      <x:c r="G2737" s="10" t="n">
        <x:v>40</x:v>
      </x:c>
      <x:c r="H2737" s="10" t="n">
        <x:f>IF(F2737="Física",'Pokémon'!G297,IF(F2737="Especial",'Pokémon'!I297,""))</x:f>
        <x:v>65</x:v>
      </x:c>
      <x:c r="I2737" s="10" t="n">
        <x:f>IF(OR(F2737="Status",G2737=0),"",G2737+H2737)</x:f>
        <x:v>105</x:v>
      </x:c>
      <x:c r="J2737" s="10" t="n">
        <x:v>5</x:v>
      </x:c>
      <x:c r="K2737" s="12" t="n">
        <x:v>10</x:v>
      </x:c>
      <x:c r="L2737" s="1" t="str"/>
      <x:c r="M2737" s="9" t="str">
        <x:v>https://poke.idleworld.online/pokepedia/pokemon/numel</x:v>
      </x:c>
    </x:row>
    <x:row r="2738" ht="22" customHeight="1">
      <x:c r="A2738" s="1" t="n">
        <x:v>323</x:v>
      </x:c>
      <x:c r="B2738" s="1" t="str">
        <x:v>Camerupt</x:v>
      </x:c>
      <x:c r="C2738" s="1" t="n">
        <x:v>2</x:v>
      </x:c>
      <x:c r="D2738" s="1" t="str">
        <x:v>Eruption</x:v>
      </x:c>
      <x:c r="E2738" s="1" t="str">
        <x:v>Fogo</x:v>
      </x:c>
      <x:c r="F2738" s="1" t="str">
        <x:v>Especial</x:v>
      </x:c>
      <x:c r="G2738" s="10" t="n">
        <x:v>150</x:v>
      </x:c>
      <x:c r="H2738" s="10" t="n">
        <x:f>IF(F2738="Física",'Pokémon'!G298,IF(F2738="Especial",'Pokémon'!I298,""))</x:f>
        <x:v>105</x:v>
      </x:c>
      <x:c r="I2738" s="10" t="n">
        <x:f>IF(OR(F2738="Status",G2738=0),"",G2738+H2738)</x:f>
        <x:v>255</x:v>
      </x:c>
      <x:c r="J2738" s="10" t="n">
        <x:v>1</x:v>
      </x:c>
      <x:c r="K2738" s="12" t="n">
        <x:v>30</x:v>
      </x:c>
      <x:c r="L2738" s="1" t="str"/>
      <x:c r="M2738" s="9" t="str">
        <x:v>https://poke.idleworld.online/pokepedia/pokemon/camerupt</x:v>
      </x:c>
    </x:row>
    <x:row r="2739" ht="22" customHeight="1">
      <x:c r="A2739" s="1" t="n">
        <x:v>323</x:v>
      </x:c>
      <x:c r="B2739" s="1" t="str">
        <x:v>Camerupt</x:v>
      </x:c>
      <x:c r="C2739" s="1" t="n">
        <x:v>9</x:v>
      </x:c>
      <x:c r="D2739" s="1" t="str">
        <x:v>Earthquake</x:v>
      </x:c>
      <x:c r="E2739" s="1" t="str">
        <x:v>Terrestre</x:v>
      </x:c>
      <x:c r="F2739" s="1" t="str">
        <x:v>Física</x:v>
      </x:c>
      <x:c r="G2739" s="10" t="n">
        <x:v>100</x:v>
      </x:c>
      <x:c r="H2739" s="10" t="n">
        <x:f>IF(F2739="Física",'Pokémon'!G298,IF(F2739="Especial",'Pokémon'!I298,""))</x:f>
        <x:v>100</x:v>
      </x:c>
      <x:c r="I2739" s="10" t="n">
        <x:f>IF(OR(F2739="Status",G2739=0),"",G2739+H2739)</x:f>
        <x:v>200</x:v>
      </x:c>
      <x:c r="J2739" s="10" t="n">
        <x:v>46</x:v>
      </x:c>
      <x:c r="K2739" s="12" t="n">
        <x:v>40</x:v>
      </x:c>
      <x:c r="L2739" s="1" t="str"/>
      <x:c r="M2739" s="9" t="str">
        <x:v>https://poke.idleworld.online/pokepedia/pokemon/camerupt</x:v>
      </x:c>
    </x:row>
    <x:row r="2740" ht="22" customHeight="1">
      <x:c r="A2740" s="1" t="n">
        <x:v>323</x:v>
      </x:c>
      <x:c r="B2740" s="1" t="str">
        <x:v>Camerupt</x:v>
      </x:c>
      <x:c r="C2740" s="1" t="n">
        <x:v>6</x:v>
      </x:c>
      <x:c r="D2740" s="1" t="str">
        <x:v>Earth Power</x:v>
      </x:c>
      <x:c r="E2740" s="1" t="str">
        <x:v>Terrestre</x:v>
      </x:c>
      <x:c r="F2740" s="1" t="str">
        <x:v>Especial</x:v>
      </x:c>
      <x:c r="G2740" s="10" t="n">
        <x:v>90</x:v>
      </x:c>
      <x:c r="H2740" s="10" t="n">
        <x:f>IF(F2740="Física",'Pokémon'!G298,IF(F2740="Especial",'Pokémon'!I298,""))</x:f>
        <x:v>105</x:v>
      </x:c>
      <x:c r="I2740" s="10" t="n">
        <x:f>IF(OR(F2740="Status",G2740=0),"",G2740+H2740)</x:f>
        <x:v>195</x:v>
      </x:c>
      <x:c r="J2740" s="10" t="n">
        <x:v>26</x:v>
      </x:c>
      <x:c r="K2740" s="12" t="n">
        <x:v>22</x:v>
      </x:c>
      <x:c r="L2740" s="1" t="str"/>
      <x:c r="M2740" s="9" t="str">
        <x:v>https://poke.idleworld.online/pokepedia/pokemon/camerupt</x:v>
      </x:c>
    </x:row>
    <x:row r="2741" ht="22" customHeight="1">
      <x:c r="A2741" s="1" t="n">
        <x:v>323</x:v>
      </x:c>
      <x:c r="B2741" s="1" t="str">
        <x:v>Camerupt</x:v>
      </x:c>
      <x:c r="C2741" s="1" t="n">
        <x:v>7</x:v>
      </x:c>
      <x:c r="D2741" s="1" t="str">
        <x:v>Take Down</x:v>
      </x:c>
      <x:c r="E2741" s="1" t="str">
        <x:v>Normal</x:v>
      </x:c>
      <x:c r="F2741" s="1" t="str">
        <x:v>Física</x:v>
      </x:c>
      <x:c r="G2741" s="10" t="n">
        <x:v>90</x:v>
      </x:c>
      <x:c r="H2741" s="10" t="n">
        <x:f>IF(F2741="Física",'Pokémon'!G298,IF(F2741="Especial",'Pokémon'!I298,""))</x:f>
        <x:v>100</x:v>
      </x:c>
      <x:c r="I2741" s="10" t="n">
        <x:f>IF(OR(F2741="Status",G2741=0),"",G2741+H2741)</x:f>
        <x:v>190</x:v>
      </x:c>
      <x:c r="J2741" s="10" t="n">
        <x:v>31</x:v>
      </x:c>
      <x:c r="K2741" s="12" t="n">
        <x:v>22</x:v>
      </x:c>
      <x:c r="L2741" s="1" t="str"/>
      <x:c r="M2741" s="9" t="str">
        <x:v>https://poke.idleworld.online/pokepedia/pokemon/camerupt</x:v>
      </x:c>
    </x:row>
    <x:row r="2742" ht="22" customHeight="1">
      <x:c r="A2742" s="1" t="n">
        <x:v>323</x:v>
      </x:c>
      <x:c r="B2742" s="1" t="str">
        <x:v>Camerupt</x:v>
      </x:c>
      <x:c r="C2742" s="1" t="n">
        <x:v>5</x:v>
      </x:c>
      <x:c r="D2742" s="1" t="str">
        <x:v>Lava Plume</x:v>
      </x:c>
      <x:c r="E2742" s="1" t="str">
        <x:v>Fogo</x:v>
      </x:c>
      <x:c r="F2742" s="1" t="str">
        <x:v>Especial</x:v>
      </x:c>
      <x:c r="G2742" s="10" t="n">
        <x:v>80</x:v>
      </x:c>
      <x:c r="H2742" s="10" t="n">
        <x:f>IF(F2742="Física",'Pokémon'!G298,IF(F2742="Especial",'Pokémon'!I298,""))</x:f>
        <x:v>105</x:v>
      </x:c>
      <x:c r="I2742" s="10" t="n">
        <x:f>IF(OR(F2742="Status",G2742=0),"",G2742+H2742)</x:f>
        <x:v>185</x:v>
      </x:c>
      <x:c r="J2742" s="10" t="n">
        <x:v>22</x:v>
      </x:c>
      <x:c r="K2742" s="12" t="n">
        <x:v>30</x:v>
      </x:c>
      <x:c r="L2742" s="1" t="str"/>
      <x:c r="M2742" s="9" t="str">
        <x:v>https://poke.idleworld.online/pokepedia/pokemon/camerupt</x:v>
      </x:c>
    </x:row>
    <x:row r="2743" ht="22" customHeight="1">
      <x:c r="A2743" s="1" t="n">
        <x:v>323</x:v>
      </x:c>
      <x:c r="B2743" s="1" t="str">
        <x:v>Camerupt</x:v>
      </x:c>
      <x:c r="C2743" s="1" t="n">
        <x:v>8</x:v>
      </x:c>
      <x:c r="D2743" s="1" t="str">
        <x:v>Rock Slide</x:v>
      </x:c>
      <x:c r="E2743" s="1" t="str">
        <x:v>Pedra</x:v>
      </x:c>
      <x:c r="F2743" s="1" t="str">
        <x:v>Física</x:v>
      </x:c>
      <x:c r="G2743" s="10" t="n">
        <x:v>75</x:v>
      </x:c>
      <x:c r="H2743" s="10" t="n">
        <x:f>IF(F2743="Física",'Pokémon'!G298,IF(F2743="Especial",'Pokémon'!I298,""))</x:f>
        <x:v>100</x:v>
      </x:c>
      <x:c r="I2743" s="10" t="n">
        <x:f>IF(OR(F2743="Status",G2743=0),"",G2743+H2743)</x:f>
        <x:v>175</x:v>
      </x:c>
      <x:c r="J2743" s="10" t="n">
        <x:v>33</x:v>
      </x:c>
      <x:c r="K2743" s="12" t="n">
        <x:v>22</x:v>
      </x:c>
      <x:c r="L2743" s="1" t="str"/>
      <x:c r="M2743" s="9" t="str">
        <x:v>https://poke.idleworld.online/pokepedia/pokemon/camerupt</x:v>
      </x:c>
    </x:row>
    <x:row r="2744" ht="22" customHeight="1">
      <x:c r="A2744" s="1" t="n">
        <x:v>323</x:v>
      </x:c>
      <x:c r="B2744" s="1" t="str">
        <x:v>Camerupt</x:v>
      </x:c>
      <x:c r="C2744" s="1" t="n">
        <x:v>4</x:v>
      </x:c>
      <x:c r="D2744" s="1" t="str">
        <x:v>Flame Burst</x:v>
      </x:c>
      <x:c r="E2744" s="1" t="str">
        <x:v>Fogo</x:v>
      </x:c>
      <x:c r="F2744" s="1" t="str">
        <x:v>Especial</x:v>
      </x:c>
      <x:c r="G2744" s="10" t="n">
        <x:v>70</x:v>
      </x:c>
      <x:c r="H2744" s="10" t="n">
        <x:f>IF(F2744="Física",'Pokémon'!G298,IF(F2744="Especial",'Pokémon'!I298,""))</x:f>
        <x:v>105</x:v>
      </x:c>
      <x:c r="I2744" s="10" t="n">
        <x:f>IF(OR(F2744="Status",G2744=0),"",G2744+H2744)</x:f>
        <x:v>175</x:v>
      </x:c>
      <x:c r="J2744" s="10" t="n">
        <x:v>15</x:v>
      </x:c>
      <x:c r="K2744" s="12" t="n">
        <x:v>20</x:v>
      </x:c>
      <x:c r="L2744" s="1" t="str"/>
      <x:c r="M2744" s="9" t="str">
        <x:v>https://poke.idleworld.online/pokepedia/pokemon/camerupt</x:v>
      </x:c>
    </x:row>
    <x:row r="2745" ht="22" customHeight="1">
      <x:c r="A2745" s="1" t="n">
        <x:v>323</x:v>
      </x:c>
      <x:c r="B2745" s="1" t="str">
        <x:v>Camerupt</x:v>
      </x:c>
      <x:c r="C2745" s="1" t="n">
        <x:v>3</x:v>
      </x:c>
      <x:c r="D2745" s="1" t="str">
        <x:v>Tackle</x:v>
      </x:c>
      <x:c r="E2745" s="1" t="str">
        <x:v>Normal</x:v>
      </x:c>
      <x:c r="F2745" s="1" t="str">
        <x:v>Física</x:v>
      </x:c>
      <x:c r="G2745" s="10" t="n">
        <x:v>50</x:v>
      </x:c>
      <x:c r="H2745" s="10" t="n">
        <x:f>IF(F2745="Física",'Pokémon'!G298,IF(F2745="Especial",'Pokémon'!I298,""))</x:f>
        <x:v>100</x:v>
      </x:c>
      <x:c r="I2745" s="10" t="n">
        <x:f>IF(OR(F2745="Status",G2745=0),"",G2745+H2745)</x:f>
        <x:v>150</x:v>
      </x:c>
      <x:c r="J2745" s="10" t="n">
        <x:v>1</x:v>
      </x:c>
      <x:c r="K2745" s="12" t="n">
        <x:v>15</x:v>
      </x:c>
      <x:c r="L2745" s="1" t="str"/>
      <x:c r="M2745" s="9" t="str">
        <x:v>https://poke.idleworld.online/pokepedia/pokemon/camerupt</x:v>
      </x:c>
    </x:row>
    <x:row r="2746" ht="22" customHeight="1">
      <x:c r="A2746" s="1" t="n">
        <x:v>323</x:v>
      </x:c>
      <x:c r="B2746" s="1" t="str">
        <x:v>Camerupt</x:v>
      </x:c>
      <x:c r="C2746" s="1" t="n">
        <x:v>1</x:v>
      </x:c>
      <x:c r="D2746" s="1" t="str">
        <x:v>Ember</x:v>
      </x:c>
      <x:c r="E2746" s="1" t="str">
        <x:v>Fogo</x:v>
      </x:c>
      <x:c r="F2746" s="1" t="str">
        <x:v>Especial</x:v>
      </x:c>
      <x:c r="G2746" s="10" t="n">
        <x:v>40</x:v>
      </x:c>
      <x:c r="H2746" s="10" t="n">
        <x:f>IF(F2746="Física",'Pokémon'!G298,IF(F2746="Especial",'Pokémon'!I298,""))</x:f>
        <x:v>105</x:v>
      </x:c>
      <x:c r="I2746" s="10" t="n">
        <x:f>IF(OR(F2746="Status",G2746=0),"",G2746+H2746)</x:f>
        <x:v>145</x:v>
      </x:c>
      <x:c r="J2746" s="10" t="n">
        <x:v>1</x:v>
      </x:c>
      <x:c r="K2746" s="12" t="n">
        <x:v>10</x:v>
      </x:c>
      <x:c r="L2746" s="1" t="str"/>
      <x:c r="M2746" s="9" t="str">
        <x:v>https://poke.idleworld.online/pokepedia/pokemon/camerupt</x:v>
      </x:c>
    </x:row>
    <x:row r="2747" ht="22" customHeight="1">
      <x:c r="A2747" s="1" t="n">
        <x:v>324</x:v>
      </x:c>
      <x:c r="B2747" s="1" t="str">
        <x:v>Torkoal</x:v>
      </x:c>
      <x:c r="C2747" s="1" t="n">
        <x:v>12</x:v>
      </x:c>
      <x:c r="D2747" s="1" t="str">
        <x:v>Inferno</x:v>
      </x:c>
      <x:c r="E2747" s="1" t="str">
        <x:v>Fogo</x:v>
      </x:c>
      <x:c r="F2747" s="1" t="str">
        <x:v>Especial</x:v>
      </x:c>
      <x:c r="G2747" s="10" t="n">
        <x:v>100</x:v>
      </x:c>
      <x:c r="H2747" s="10" t="n">
        <x:f>IF(F2747="Física",'Pokémon'!G299,IF(F2747="Especial",'Pokémon'!I299,""))</x:f>
        <x:v>85</x:v>
      </x:c>
      <x:c r="I2747" s="10" t="n">
        <x:f>IF(OR(F2747="Status",G2747=0),"",G2747+H2747)</x:f>
        <x:v>185</x:v>
      </x:c>
      <x:c r="J2747" s="10" t="n">
        <x:v>50</x:v>
      </x:c>
      <x:c r="K2747" s="12" t="n">
        <x:v>40</x:v>
      </x:c>
      <x:c r="L2747" s="1" t="str"/>
      <x:c r="M2747" s="9" t="str">
        <x:v>https://poke.idleworld.online/pokepedia/pokemon/torkoal</x:v>
      </x:c>
    </x:row>
    <x:row r="2748" ht="22" customHeight="1">
      <x:c r="A2748" s="1" t="n">
        <x:v>324</x:v>
      </x:c>
      <x:c r="B2748" s="1" t="str">
        <x:v>Torkoal</x:v>
      </x:c>
      <x:c r="C2748" s="1" t="n">
        <x:v>11</x:v>
      </x:c>
      <x:c r="D2748" s="1" t="str">
        <x:v>Heat Wave</x:v>
      </x:c>
      <x:c r="E2748" s="1" t="str">
        <x:v>Fogo</x:v>
      </x:c>
      <x:c r="F2748" s="1" t="str">
        <x:v>Especial</x:v>
      </x:c>
      <x:c r="G2748" s="10" t="n">
        <x:v>95</x:v>
      </x:c>
      <x:c r="H2748" s="10" t="n">
        <x:f>IF(F2748="Física",'Pokémon'!G299,IF(F2748="Especial",'Pokémon'!I299,""))</x:f>
        <x:v>85</x:v>
      </x:c>
      <x:c r="I2748" s="10" t="n">
        <x:f>IF(OR(F2748="Status",G2748=0),"",G2748+H2748)</x:f>
        <x:v>180</x:v>
      </x:c>
      <x:c r="J2748" s="10" t="n">
        <x:v>45</x:v>
      </x:c>
      <x:c r="K2748" s="12" t="n">
        <x:v>40</x:v>
      </x:c>
      <x:c r="L2748" s="1" t="str"/>
      <x:c r="M2748" s="9" t="str">
        <x:v>https://poke.idleworld.online/pokepedia/pokemon/torkoal</x:v>
      </x:c>
    </x:row>
    <x:row r="2749" ht="22" customHeight="1">
      <x:c r="A2749" s="1" t="n">
        <x:v>324</x:v>
      </x:c>
      <x:c r="B2749" s="1" t="str">
        <x:v>Torkoal</x:v>
      </x:c>
      <x:c r="C2749" s="1" t="n">
        <x:v>10</x:v>
      </x:c>
      <x:c r="D2749" s="1" t="str">
        <x:v>Flamethrower</x:v>
      </x:c>
      <x:c r="E2749" s="1" t="str">
        <x:v>Fogo</x:v>
      </x:c>
      <x:c r="F2749" s="1" t="str">
        <x:v>Especial</x:v>
      </x:c>
      <x:c r="G2749" s="10" t="n">
        <x:v>90</x:v>
      </x:c>
      <x:c r="H2749" s="10" t="n">
        <x:f>IF(F2749="Física",'Pokémon'!G299,IF(F2749="Especial",'Pokémon'!I299,""))</x:f>
        <x:v>85</x:v>
      </x:c>
      <x:c r="I2749" s="10" t="n">
        <x:f>IF(OR(F2749="Status",G2749=0),"",G2749+H2749)</x:f>
        <x:v>175</x:v>
      </x:c>
      <x:c r="J2749" s="10" t="n">
        <x:v>34</x:v>
      </x:c>
      <x:c r="K2749" s="12" t="n">
        <x:v>20</x:v>
      </x:c>
      <x:c r="L2749" s="1" t="str"/>
      <x:c r="M2749" s="9" t="str">
        <x:v>https://poke.idleworld.online/pokepedia/pokemon/torkoal</x:v>
      </x:c>
    </x:row>
    <x:row r="2750" ht="22" customHeight="1">
      <x:c r="A2750" s="1" t="n">
        <x:v>324</x:v>
      </x:c>
      <x:c r="B2750" s="1" t="str">
        <x:v>Torkoal</x:v>
      </x:c>
      <x:c r="C2750" s="1" t="n">
        <x:v>9</x:v>
      </x:c>
      <x:c r="D2750" s="1" t="str">
        <x:v>Body Slam</x:v>
      </x:c>
      <x:c r="E2750" s="1" t="str">
        <x:v>Normal</x:v>
      </x:c>
      <x:c r="F2750" s="1" t="str">
        <x:v>Física</x:v>
      </x:c>
      <x:c r="G2750" s="10" t="n">
        <x:v>85</x:v>
      </x:c>
      <x:c r="H2750" s="10" t="n">
        <x:f>IF(F2750="Física",'Pokémon'!G299,IF(F2750="Especial",'Pokémon'!I299,""))</x:f>
        <x:v>85</x:v>
      </x:c>
      <x:c r="I2750" s="10" t="n">
        <x:f>IF(OR(F2750="Status",G2750=0),"",G2750+H2750)</x:f>
        <x:v>170</x:v>
      </x:c>
      <x:c r="J2750" s="10" t="n">
        <x:v>27</x:v>
      </x:c>
      <x:c r="K2750" s="12" t="n">
        <x:v>22</x:v>
      </x:c>
      <x:c r="L2750" s="1" t="str"/>
      <x:c r="M2750" s="9" t="str">
        <x:v>https://poke.idleworld.online/pokepedia/pokemon/torkoal</x:v>
      </x:c>
    </x:row>
    <x:row r="2751" ht="22" customHeight="1">
      <x:c r="A2751" s="1" t="n">
        <x:v>324</x:v>
      </x:c>
      <x:c r="B2751" s="1" t="str">
        <x:v>Torkoal</x:v>
      </x:c>
      <x:c r="C2751" s="1" t="n">
        <x:v>8</x:v>
      </x:c>
      <x:c r="D2751" s="1" t="str">
        <x:v>Lava Plume</x:v>
      </x:c>
      <x:c r="E2751" s="1" t="str">
        <x:v>Fogo</x:v>
      </x:c>
      <x:c r="F2751" s="1" t="str">
        <x:v>Especial</x:v>
      </x:c>
      <x:c r="G2751" s="10" t="n">
        <x:v>80</x:v>
      </x:c>
      <x:c r="H2751" s="10" t="n">
        <x:f>IF(F2751="Física",'Pokémon'!G299,IF(F2751="Especial",'Pokémon'!I299,""))</x:f>
        <x:v>85</x:v>
      </x:c>
      <x:c r="I2751" s="10" t="n">
        <x:f>IF(OR(F2751="Status",G2751=0),"",G2751+H2751)</x:f>
        <x:v>165</x:v>
      </x:c>
      <x:c r="J2751" s="10" t="n">
        <x:v>25</x:v>
      </x:c>
      <x:c r="K2751" s="12" t="n">
        <x:v>40</x:v>
      </x:c>
      <x:c r="L2751" s="1" t="str"/>
      <x:c r="M2751" s="9" t="str">
        <x:v>https://poke.idleworld.online/pokepedia/pokemon/torkoal</x:v>
      </x:c>
    </x:row>
    <x:row r="2752" ht="22" customHeight="1">
      <x:c r="A2752" s="1" t="n">
        <x:v>324</x:v>
      </x:c>
      <x:c r="B2752" s="1" t="str">
        <x:v>Torkoal</x:v>
      </x:c>
      <x:c r="C2752" s="1" t="n">
        <x:v>7</x:v>
      </x:c>
      <x:c r="D2752" s="1" t="str">
        <x:v>Flame Wheel</x:v>
      </x:c>
      <x:c r="E2752" s="1" t="str">
        <x:v>Fogo</x:v>
      </x:c>
      <x:c r="F2752" s="1" t="str">
        <x:v>Física</x:v>
      </x:c>
      <x:c r="G2752" s="10" t="n">
        <x:v>60</x:v>
      </x:c>
      <x:c r="H2752" s="10" t="n">
        <x:f>IF(F2752="Física",'Pokémon'!G299,IF(F2752="Especial",'Pokémon'!I299,""))</x:f>
        <x:v>85</x:v>
      </x:c>
      <x:c r="I2752" s="10" t="n">
        <x:f>IF(OR(F2752="Status",G2752=0),"",G2752+H2752)</x:f>
        <x:v>145</x:v>
      </x:c>
      <x:c r="J2752" s="10" t="n">
        <x:v>18</x:v>
      </x:c>
      <x:c r="K2752" s="12" t="n">
        <x:v>20</x:v>
      </x:c>
      <x:c r="L2752" s="1" t="str"/>
      <x:c r="M2752" s="9" t="str">
        <x:v>https://poke.idleworld.online/pokepedia/pokemon/torkoal</x:v>
      </x:c>
    </x:row>
    <x:row r="2753" ht="22" customHeight="1">
      <x:c r="A2753" s="1" t="n">
        <x:v>324</x:v>
      </x:c>
      <x:c r="B2753" s="1" t="str">
        <x:v>Torkoal</x:v>
      </x:c>
      <x:c r="C2753" s="1" t="n">
        <x:v>1</x:v>
      </x:c>
      <x:c r="D2753" s="1" t="str">
        <x:v>Ember</x:v>
      </x:c>
      <x:c r="E2753" s="1" t="str">
        <x:v>Fogo</x:v>
      </x:c>
      <x:c r="F2753" s="1" t="str">
        <x:v>Especial</x:v>
      </x:c>
      <x:c r="G2753" s="10" t="n">
        <x:v>40</x:v>
      </x:c>
      <x:c r="H2753" s="10" t="n">
        <x:f>IF(F2753="Física",'Pokémon'!G299,IF(F2753="Especial",'Pokémon'!I299,""))</x:f>
        <x:v>85</x:v>
      </x:c>
      <x:c r="I2753" s="10" t="n">
        <x:f>IF(OR(F2753="Status",G2753=0),"",G2753+H2753)</x:f>
        <x:v>125</x:v>
      </x:c>
      <x:c r="J2753" s="10" t="n">
        <x:v>1</x:v>
      </x:c>
      <x:c r="K2753" s="12" t="n">
        <x:v>10</x:v>
      </x:c>
      <x:c r="L2753" s="1" t="str"/>
      <x:c r="M2753" s="9" t="str">
        <x:v>https://poke.idleworld.online/pokepedia/pokemon/torkoal</x:v>
      </x:c>
    </x:row>
    <x:row r="2754" ht="22" customHeight="1">
      <x:c r="A2754" s="1" t="n">
        <x:v>324</x:v>
      </x:c>
      <x:c r="B2754" s="1" t="str">
        <x:v>Torkoal</x:v>
      </x:c>
      <x:c r="C2754" s="1" t="n">
        <x:v>5</x:v>
      </x:c>
      <x:c r="D2754" s="1" t="str">
        <x:v>Fire Spin</x:v>
      </x:c>
      <x:c r="E2754" s="1" t="str">
        <x:v>Fogo</x:v>
      </x:c>
      <x:c r="F2754" s="1" t="str">
        <x:v>Especial</x:v>
      </x:c>
      <x:c r="G2754" s="10" t="n">
        <x:v>35</x:v>
      </x:c>
      <x:c r="H2754" s="10" t="n">
        <x:f>IF(F2754="Física",'Pokémon'!G299,IF(F2754="Especial",'Pokémon'!I299,""))</x:f>
        <x:v>85</x:v>
      </x:c>
      <x:c r="I2754" s="10" t="n">
        <x:f>IF(OR(F2754="Status",G2754=0),"",G2754+H2754)</x:f>
        <x:v>120</x:v>
      </x:c>
      <x:c r="J2754" s="10" t="n">
        <x:v>13</x:v>
      </x:c>
      <x:c r="K2754" s="12" t="n">
        <x:v>15</x:v>
      </x:c>
      <x:c r="L2754" s="1" t="str"/>
      <x:c r="M2754" s="9" t="str">
        <x:v>https://poke.idleworld.online/pokepedia/pokemon/torkoal</x:v>
      </x:c>
    </x:row>
    <x:row r="2755" ht="22" customHeight="1">
      <x:c r="A2755" s="1" t="n">
        <x:v>324</x:v>
      </x:c>
      <x:c r="B2755" s="1" t="str">
        <x:v>Torkoal</x:v>
      </x:c>
      <x:c r="C2755" s="1" t="n">
        <x:v>2</x:v>
      </x:c>
      <x:c r="D2755" s="1" t="str">
        <x:v>Smog</x:v>
      </x:c>
      <x:c r="E2755" s="1" t="str">
        <x:v>Venenoso</x:v>
      </x:c>
      <x:c r="F2755" s="1" t="str">
        <x:v>Especial</x:v>
      </x:c>
      <x:c r="G2755" s="10" t="n">
        <x:v>30</x:v>
      </x:c>
      <x:c r="H2755" s="10" t="n">
        <x:f>IF(F2755="Física",'Pokémon'!G299,IF(F2755="Especial",'Pokémon'!I299,""))</x:f>
        <x:v>85</x:v>
      </x:c>
      <x:c r="I2755" s="10" t="n">
        <x:f>IF(OR(F2755="Status",G2755=0),"",G2755+H2755)</x:f>
        <x:v>115</x:v>
      </x:c>
      <x:c r="J2755" s="10" t="n">
        <x:v>4</x:v>
      </x:c>
      <x:c r="K2755" s="12" t="n">
        <x:v>15</x:v>
      </x:c>
      <x:c r="L2755" s="1" t="str"/>
      <x:c r="M2755" s="9" t="str">
        <x:v>https://poke.idleworld.online/pokepedia/pokemon/torkoal</x:v>
      </x:c>
    </x:row>
    <x:row r="2756" ht="22" customHeight="1">
      <x:c r="A2756" s="1" t="n">
        <x:v>324</x:v>
      </x:c>
      <x:c r="B2756" s="1" t="str">
        <x:v>Torkoal</x:v>
      </x:c>
      <x:c r="C2756" s="1" t="n">
        <x:v>4</x:v>
      </x:c>
      <x:c r="D2756" s="1" t="str">
        <x:v>Rapid Spin</x:v>
      </x:c>
      <x:c r="E2756" s="1" t="str">
        <x:v>Normal</x:v>
      </x:c>
      <x:c r="F2756" s="1" t="str">
        <x:v>Física</x:v>
      </x:c>
      <x:c r="G2756" s="10" t="n">
        <x:v>20</x:v>
      </x:c>
      <x:c r="H2756" s="10" t="n">
        <x:f>IF(F2756="Física",'Pokémon'!G299,IF(F2756="Especial",'Pokémon'!I299,""))</x:f>
        <x:v>85</x:v>
      </x:c>
      <x:c r="I2756" s="10" t="n">
        <x:f>IF(OR(F2756="Status",G2756=0),"",G2756+H2756)</x:f>
        <x:v>105</x:v>
      </x:c>
      <x:c r="J2756" s="10" t="n">
        <x:v>10</x:v>
      </x:c>
      <x:c r="K2756" s="12" t="n">
        <x:v>15</x:v>
      </x:c>
      <x:c r="L2756" s="1" t="str"/>
      <x:c r="M2756" s="9" t="str">
        <x:v>https://poke.idleworld.online/pokepedia/pokemon/torkoal</x:v>
      </x:c>
    </x:row>
    <x:row r="2757" ht="22" customHeight="1">
      <x:c r="A2757" s="1" t="n">
        <x:v>324</x:v>
      </x:c>
      <x:c r="B2757" s="1" t="str">
        <x:v>Torkoal</x:v>
      </x:c>
      <x:c r="C2757" s="1" t="n">
        <x:v>3</x:v>
      </x:c>
      <x:c r="D2757" s="1" t="str">
        <x:v>Withdraw</x:v>
      </x:c>
      <x:c r="E2757" s="1" t="str">
        <x:v>Água</x:v>
      </x:c>
      <x:c r="F2757" s="1" t="str">
        <x:v>Status</x:v>
      </x:c>
      <x:c r="G2757" s="10" t="n">
        <x:v>0</x:v>
      </x:c>
      <x:c r="H2757" s="10" t="str">
        <x:f>IF(F2757="Física",'Pokémon'!G299,IF(F2757="Especial",'Pokémon'!I299,""))</x:f>
      </x:c>
      <x:c r="I2757" s="10" t="str">
        <x:f>IF(OR(F2757="Status",G2757=0),"",G2757+H2757)</x:f>
      </x:c>
      <x:c r="J2757" s="10" t="n">
        <x:v>7</x:v>
      </x:c>
      <x:c r="K2757" s="12" t="n">
        <x:v>40</x:v>
      </x:c>
      <x:c r="L2757" s="1" t="str"/>
      <x:c r="M2757" s="9" t="str">
        <x:v>https://poke.idleworld.online/pokepedia/pokemon/torkoal</x:v>
      </x:c>
    </x:row>
    <x:row r="2758" ht="22" customHeight="1">
      <x:c r="A2758" s="1" t="n">
        <x:v>324</x:v>
      </x:c>
      <x:c r="B2758" s="1" t="str">
        <x:v>Torkoal</x:v>
      </x:c>
      <x:c r="C2758" s="1" t="n">
        <x:v>6</x:v>
      </x:c>
      <x:c r="D2758" s="1" t="str">
        <x:v>Smokescreen</x:v>
      </x:c>
      <x:c r="E2758" s="1" t="str">
        <x:v>Normal</x:v>
      </x:c>
      <x:c r="F2758" s="1" t="str">
        <x:v>Status</x:v>
      </x:c>
      <x:c r="G2758" s="10" t="n">
        <x:v>0</x:v>
      </x:c>
      <x:c r="H2758" s="10" t="str">
        <x:f>IF(F2758="Física",'Pokémon'!G299,IF(F2758="Especial",'Pokémon'!I299,""))</x:f>
      </x:c>
      <x:c r="I2758" s="10" t="str">
        <x:f>IF(OR(F2758="Status",G2758=0),"",G2758+H2758)</x:f>
      </x:c>
      <x:c r="J2758" s="10" t="n">
        <x:v>15</x:v>
      </x:c>
      <x:c r="K2758" s="12" t="n">
        <x:v>30</x:v>
      </x:c>
      <x:c r="L2758" s="1" t="str"/>
      <x:c r="M2758" s="9" t="str">
        <x:v>https://poke.idleworld.online/pokepedia/pokemon/torkoal</x:v>
      </x:c>
    </x:row>
    <x:row r="2759" ht="22" customHeight="1">
      <x:c r="A2759" s="1" t="n">
        <x:v>325</x:v>
      </x:c>
      <x:c r="B2759" s="1" t="str">
        <x:v>Spoink</x:v>
      </x:c>
      <x:c r="C2759" s="1" t="n">
        <x:v>10</x:v>
      </x:c>
      <x:c r="D2759" s="1" t="str">
        <x:v>Psychic</x:v>
      </x:c>
      <x:c r="E2759" s="1" t="str">
        <x:v>Psíquico</x:v>
      </x:c>
      <x:c r="F2759" s="1" t="str">
        <x:v>Especial</x:v>
      </x:c>
      <x:c r="G2759" s="10" t="n">
        <x:v>90</x:v>
      </x:c>
      <x:c r="H2759" s="10" t="n">
        <x:f>IF(F2759="Física",'Pokémon'!G300,IF(F2759="Especial",'Pokémon'!I300,""))</x:f>
        <x:v>70</x:v>
      </x:c>
      <x:c r="I2759" s="10" t="n">
        <x:f>IF(OR(F2759="Status",G2759=0),"",G2759+H2759)</x:f>
        <x:v>160</x:v>
      </x:c>
      <x:c r="J2759" s="10" t="n">
        <x:v>44</x:v>
      </x:c>
      <x:c r="K2759" s="12" t="n">
        <x:v>30</x:v>
      </x:c>
      <x:c r="L2759" s="1" t="str"/>
      <x:c r="M2759" s="9" t="str">
        <x:v>https://poke.idleworld.online/pokepedia/pokemon/spoink</x:v>
      </x:c>
    </x:row>
    <x:row r="2760" ht="22" customHeight="1">
      <x:c r="A2760" s="1" t="n">
        <x:v>325</x:v>
      </x:c>
      <x:c r="B2760" s="1" t="str">
        <x:v>Spoink</x:v>
      </x:c>
      <x:c r="C2760" s="1" t="n">
        <x:v>6</x:v>
      </x:c>
      <x:c r="D2760" s="1" t="str">
        <x:v>Power Gem</x:v>
      </x:c>
      <x:c r="E2760" s="1" t="str">
        <x:v>Pedra</x:v>
      </x:c>
      <x:c r="F2760" s="1" t="str">
        <x:v>Especial</x:v>
      </x:c>
      <x:c r="G2760" s="10" t="n">
        <x:v>80</x:v>
      </x:c>
      <x:c r="H2760" s="10" t="n">
        <x:f>IF(F2760="Física",'Pokémon'!G300,IF(F2760="Especial",'Pokémon'!I300,""))</x:f>
        <x:v>70</x:v>
      </x:c>
      <x:c r="I2760" s="10" t="n">
        <x:f>IF(OR(F2760="Status",G2760=0),"",G2760+H2760)</x:f>
        <x:v>150</x:v>
      </x:c>
      <x:c r="J2760" s="10" t="n">
        <x:v>29</x:v>
      </x:c>
      <x:c r="K2760" s="12" t="n">
        <x:v>22</x:v>
      </x:c>
      <x:c r="L2760" s="1" t="str"/>
      <x:c r="M2760" s="9" t="str">
        <x:v>https://poke.idleworld.online/pokepedia/pokemon/spoink</x:v>
      </x:c>
    </x:row>
    <x:row r="2761" ht="22" customHeight="1">
      <x:c r="A2761" s="1" t="n">
        <x:v>325</x:v>
      </x:c>
      <x:c r="B2761" s="1" t="str">
        <x:v>Spoink</x:v>
      </x:c>
      <x:c r="C2761" s="1" t="n">
        <x:v>8</x:v>
      </x:c>
      <x:c r="D2761" s="1" t="str">
        <x:v>Psyshock</x:v>
      </x:c>
      <x:c r="E2761" s="1" t="str">
        <x:v>Psíquico</x:v>
      </x:c>
      <x:c r="F2761" s="1" t="str">
        <x:v>Especial</x:v>
      </x:c>
      <x:c r="G2761" s="10" t="n">
        <x:v>80</x:v>
      </x:c>
      <x:c r="H2761" s="10" t="n">
        <x:f>IF(F2761="Física",'Pokémon'!G300,IF(F2761="Especial",'Pokémon'!I300,""))</x:f>
        <x:v>70</x:v>
      </x:c>
      <x:c r="I2761" s="10" t="n">
        <x:f>IF(OR(F2761="Status",G2761=0),"",G2761+H2761)</x:f>
        <x:v>150</x:v>
      </x:c>
      <x:c r="J2761" s="10" t="n">
        <x:v>38</x:v>
      </x:c>
      <x:c r="K2761" s="12" t="n">
        <x:v>22</x:v>
      </x:c>
      <x:c r="L2761" s="1" t="str"/>
      <x:c r="M2761" s="9" t="str">
        <x:v>https://poke.idleworld.online/pokepedia/pokemon/spoink</x:v>
      </x:c>
    </x:row>
    <x:row r="2762" ht="22" customHeight="1">
      <x:c r="A2762" s="1" t="n">
        <x:v>325</x:v>
      </x:c>
      <x:c r="B2762" s="1" t="str">
        <x:v>Spoink</x:v>
      </x:c>
      <x:c r="C2762" s="1" t="n">
        <x:v>2</x:v>
      </x:c>
      <x:c r="D2762" s="1" t="str">
        <x:v>Psybeam</x:v>
      </x:c>
      <x:c r="E2762" s="1" t="str">
        <x:v>Psíquico</x:v>
      </x:c>
      <x:c r="F2762" s="1" t="str">
        <x:v>Especial</x:v>
      </x:c>
      <x:c r="G2762" s="10" t="n">
        <x:v>65</x:v>
      </x:c>
      <x:c r="H2762" s="10" t="n">
        <x:f>IF(F2762="Física",'Pokémon'!G300,IF(F2762="Especial",'Pokémon'!I300,""))</x:f>
        <x:v>70</x:v>
      </x:c>
      <x:c r="I2762" s="10" t="n">
        <x:f>IF(OR(F2762="Status",G2762=0),"",G2762+H2762)</x:f>
        <x:v>135</x:v>
      </x:c>
      <x:c r="J2762" s="10" t="n">
        <x:v>14</x:v>
      </x:c>
      <x:c r="K2762" s="12" t="n">
        <x:v>20</x:v>
      </x:c>
      <x:c r="L2762" s="1" t="str"/>
      <x:c r="M2762" s="9" t="str">
        <x:v>https://poke.idleworld.online/pokepedia/pokemon/spoink</x:v>
      </x:c>
    </x:row>
    <x:row r="2763" ht="22" customHeight="1">
      <x:c r="A2763" s="1" t="n">
        <x:v>325</x:v>
      </x:c>
      <x:c r="B2763" s="1" t="str">
        <x:v>Spoink</x:v>
      </x:c>
      <x:c r="C2763" s="1" t="n">
        <x:v>1</x:v>
      </x:c>
      <x:c r="D2763" s="1" t="str">
        <x:v>Psywave</x:v>
      </x:c>
      <x:c r="E2763" s="1" t="str">
        <x:v>Psíquico</x:v>
      </x:c>
      <x:c r="F2763" s="1" t="str">
        <x:v>Especial</x:v>
      </x:c>
      <x:c r="G2763" s="10" t="n">
        <x:v>56</x:v>
      </x:c>
      <x:c r="H2763" s="10" t="n">
        <x:f>IF(F2763="Física",'Pokémon'!G300,IF(F2763="Especial",'Pokémon'!I300,""))</x:f>
        <x:v>70</x:v>
      </x:c>
      <x:c r="I2763" s="10" t="n">
        <x:f>IF(OR(F2763="Status",G2763=0),"",G2763+H2763)</x:f>
        <x:v>126</x:v>
      </x:c>
      <x:c r="J2763" s="10" t="n">
        <x:v>7</x:v>
      </x:c>
      <x:c r="K2763" s="12" t="n">
        <x:v>15</x:v>
      </x:c>
      <x:c r="L2763" s="1" t="str"/>
      <x:c r="M2763" s="9" t="str">
        <x:v>https://poke.idleworld.online/pokepedia/pokemon/spoink</x:v>
      </x:c>
    </x:row>
    <x:row r="2764" ht="22" customHeight="1">
      <x:c r="A2764" s="1" t="n">
        <x:v>325</x:v>
      </x:c>
      <x:c r="B2764" s="1" t="str">
        <x:v>Spoink</x:v>
      </x:c>
      <x:c r="C2764" s="1" t="n">
        <x:v>7</x:v>
      </x:c>
      <x:c r="D2764" s="1" t="str">
        <x:v>Snore</x:v>
      </x:c>
      <x:c r="E2764" s="1" t="str">
        <x:v>Normal</x:v>
      </x:c>
      <x:c r="F2764" s="1" t="str">
        <x:v>Especial</x:v>
      </x:c>
      <x:c r="G2764" s="10" t="n">
        <x:v>50</x:v>
      </x:c>
      <x:c r="H2764" s="10" t="n">
        <x:f>IF(F2764="Física",'Pokémon'!G300,IF(F2764="Especial",'Pokémon'!I300,""))</x:f>
        <x:v>70</x:v>
      </x:c>
      <x:c r="I2764" s="10" t="n">
        <x:f>IF(OR(F2764="Status",G2764=0),"",G2764+H2764)</x:f>
        <x:v>120</x:v>
      </x:c>
      <x:c r="J2764" s="10" t="n">
        <x:v>33</x:v>
      </x:c>
      <x:c r="K2764" s="12" t="n">
        <x:v>15</x:v>
      </x:c>
      <x:c r="L2764" s="1" t="str"/>
      <x:c r="M2764" s="9" t="str">
        <x:v>https://poke.idleworld.online/pokepedia/pokemon/spoink</x:v>
      </x:c>
    </x:row>
    <x:row r="2765" ht="22" customHeight="1">
      <x:c r="A2765" s="1" t="n">
        <x:v>325</x:v>
      </x:c>
      <x:c r="B2765" s="1" t="str">
        <x:v>Spoink</x:v>
      </x:c>
      <x:c r="C2765" s="1" t="n">
        <x:v>11</x:v>
      </x:c>
      <x:c r="D2765" s="1" t="str">
        <x:v>Bounce</x:v>
      </x:c>
      <x:c r="E2765" s="1" t="str">
        <x:v>Voador</x:v>
      </x:c>
      <x:c r="F2765" s="1" t="str">
        <x:v>Física</x:v>
      </x:c>
      <x:c r="G2765" s="10" t="n">
        <x:v>85</x:v>
      </x:c>
      <x:c r="H2765" s="10" t="n">
        <x:f>IF(F2765="Física",'Pokémon'!G300,IF(F2765="Especial",'Pokémon'!I300,""))</x:f>
        <x:v>25</x:v>
      </x:c>
      <x:c r="I2765" s="10" t="n">
        <x:f>IF(OR(F2765="Status",G2765=0),"",G2765+H2765)</x:f>
        <x:v>110</x:v>
      </x:c>
      <x:c r="J2765" s="10" t="n">
        <x:v>50</x:v>
      </x:c>
      <x:c r="K2765" s="12" t="n">
        <x:v>22</x:v>
      </x:c>
      <x:c r="L2765" s="1" t="str"/>
      <x:c r="M2765" s="9" t="str">
        <x:v>https://poke.idleworld.online/pokepedia/pokemon/spoink</x:v>
      </x:c>
    </x:row>
    <x:row r="2766" ht="22" customHeight="1">
      <x:c r="A2766" s="1" t="n">
        <x:v>325</x:v>
      </x:c>
      <x:c r="B2766" s="1" t="str">
        <x:v>Spoink</x:v>
      </x:c>
      <x:c r="C2766" s="1" t="n">
        <x:v>5</x:v>
      </x:c>
      <x:c r="D2766" s="1" t="str">
        <x:v>Zen Headbutt</x:v>
      </x:c>
      <x:c r="E2766" s="1" t="str">
        <x:v>Psíquico</x:v>
      </x:c>
      <x:c r="F2766" s="1" t="str">
        <x:v>Física</x:v>
      </x:c>
      <x:c r="G2766" s="10" t="n">
        <x:v>80</x:v>
      </x:c>
      <x:c r="H2766" s="10" t="n">
        <x:f>IF(F2766="Física",'Pokémon'!G300,IF(F2766="Especial",'Pokémon'!I300,""))</x:f>
        <x:v>25</x:v>
      </x:c>
      <x:c r="I2766" s="10" t="n">
        <x:f>IF(OR(F2766="Status",G2766=0),"",G2766+H2766)</x:f>
        <x:v>105</x:v>
      </x:c>
      <x:c r="J2766" s="10" t="n">
        <x:v>26</x:v>
      </x:c>
      <x:c r="K2766" s="12" t="n">
        <x:v>22</x:v>
      </x:c>
      <x:c r="L2766" s="1" t="str"/>
      <x:c r="M2766" s="9" t="str">
        <x:v>https://poke.idleworld.online/pokepedia/pokemon/spoink</x:v>
      </x:c>
    </x:row>
    <x:row r="2767" ht="22" customHeight="1">
      <x:c r="A2767" s="1" t="n">
        <x:v>325</x:v>
      </x:c>
      <x:c r="B2767" s="1" t="str">
        <x:v>Spoink</x:v>
      </x:c>
      <x:c r="C2767" s="1" t="n">
        <x:v>9</x:v>
      </x:c>
      <x:c r="D2767" s="1" t="str">
        <x:v>Payback</x:v>
      </x:c>
      <x:c r="E2767" s="1" t="str">
        <x:v>Sombrio</x:v>
      </x:c>
      <x:c r="F2767" s="1" t="str">
        <x:v>Física</x:v>
      </x:c>
      <x:c r="G2767" s="10" t="n">
        <x:v>50</x:v>
      </x:c>
      <x:c r="H2767" s="10" t="n">
        <x:f>IF(F2767="Física",'Pokémon'!G300,IF(F2767="Especial",'Pokémon'!I300,""))</x:f>
        <x:v>25</x:v>
      </x:c>
      <x:c r="I2767" s="10" t="n">
        <x:f>IF(OR(F2767="Status",G2767=0),"",G2767+H2767)</x:f>
        <x:v>75</x:v>
      </x:c>
      <x:c r="J2767" s="10" t="n">
        <x:v>40</x:v>
      </x:c>
      <x:c r="K2767" s="12" t="n">
        <x:v>15</x:v>
      </x:c>
      <x:c r="L2767" s="1" t="str"/>
      <x:c r="M2767" s="9" t="str">
        <x:v>https://poke.idleworld.online/pokepedia/pokemon/spoink</x:v>
      </x:c>
    </x:row>
    <x:row r="2768" ht="22" customHeight="1">
      <x:c r="A2768" s="1" t="n">
        <x:v>325</x:v>
      </x:c>
      <x:c r="B2768" s="1" t="str">
        <x:v>Spoink</x:v>
      </x:c>
      <x:c r="C2768" s="1" t="n">
        <x:v>3</x:v>
      </x:c>
      <x:c r="D2768" s="1" t="str">
        <x:v>Confuse Ray</x:v>
      </x:c>
      <x:c r="E2768" s="1" t="str">
        <x:v>Fantasma</x:v>
      </x:c>
      <x:c r="F2768" s="1" t="str">
        <x:v>Status</x:v>
      </x:c>
      <x:c r="G2768" s="10" t="n">
        <x:v>0</x:v>
      </x:c>
      <x:c r="H2768" s="10" t="str">
        <x:f>IF(F2768="Física",'Pokémon'!G300,IF(F2768="Especial",'Pokémon'!I300,""))</x:f>
      </x:c>
      <x:c r="I2768" s="10" t="str">
        <x:f>IF(OR(F2768="Status",G2768=0),"",G2768+H2768)</x:f>
      </x:c>
      <x:c r="J2768" s="10" t="n">
        <x:v>18</x:v>
      </x:c>
      <x:c r="K2768" s="12" t="n">
        <x:v>25</x:v>
      </x:c>
      <x:c r="L2768" s="1" t="str"/>
      <x:c r="M2768" s="9" t="str">
        <x:v>https://poke.idleworld.online/pokepedia/pokemon/spoink</x:v>
      </x:c>
    </x:row>
    <x:row r="2769" ht="22" customHeight="1">
      <x:c r="A2769" s="1" t="n">
        <x:v>325</x:v>
      </x:c>
      <x:c r="B2769" s="1" t="str">
        <x:v>Spoink</x:v>
      </x:c>
      <x:c r="C2769" s="1" t="n">
        <x:v>4</x:v>
      </x:c>
      <x:c r="D2769" s="1" t="str">
        <x:v>Magic Coat</x:v>
      </x:c>
      <x:c r="E2769" s="1" t="str">
        <x:v>Psíquico</x:v>
      </x:c>
      <x:c r="F2769" s="1" t="str">
        <x:v>Status</x:v>
      </x:c>
      <x:c r="G2769" s="10" t="n">
        <x:v>0</x:v>
      </x:c>
      <x:c r="H2769" s="10" t="str">
        <x:f>IF(F2769="Física",'Pokémon'!G300,IF(F2769="Especial",'Pokémon'!I300,""))</x:f>
      </x:c>
      <x:c r="I2769" s="10" t="str">
        <x:f>IF(OR(F2769="Status",G2769=0),"",G2769+H2769)</x:f>
      </x:c>
      <x:c r="J2769" s="10" t="n">
        <x:v>21</x:v>
      </x:c>
      <x:c r="K2769" s="12" t="n">
        <x:v>50</x:v>
      </x:c>
      <x:c r="L2769" s="1" t="str"/>
      <x:c r="M2769" s="9" t="str">
        <x:v>https://poke.idleworld.online/pokepedia/pokemon/spoink</x:v>
      </x:c>
    </x:row>
    <x:row r="2770" ht="22" customHeight="1">
      <x:c r="A2770" s="1" t="n">
        <x:v>326</x:v>
      </x:c>
      <x:c r="B2770" s="1" t="str">
        <x:v>Grumpig</x:v>
      </x:c>
      <x:c r="C2770" s="1" t="n">
        <x:v>9</x:v>
      </x:c>
      <x:c r="D2770" s="1" t="str">
        <x:v>Psychic</x:v>
      </x:c>
      <x:c r="E2770" s="1" t="str">
        <x:v>Psíquico</x:v>
      </x:c>
      <x:c r="F2770" s="1" t="str">
        <x:v>Especial</x:v>
      </x:c>
      <x:c r="G2770" s="10" t="n">
        <x:v>90</x:v>
      </x:c>
      <x:c r="H2770" s="10" t="n">
        <x:f>IF(F2770="Física",'Pokémon'!G301,IF(F2770="Especial",'Pokémon'!I301,""))</x:f>
        <x:v>90</x:v>
      </x:c>
      <x:c r="I2770" s="10" t="n">
        <x:f>IF(OR(F2770="Status",G2770=0),"",G2770+H2770)</x:f>
        <x:v>180</x:v>
      </x:c>
      <x:c r="J2770" s="10" t="n">
        <x:v>52</x:v>
      </x:c>
      <x:c r="K2770" s="12" t="n">
        <x:v>30</x:v>
      </x:c>
      <x:c r="L2770" s="1" t="str"/>
      <x:c r="M2770" s="9" t="str">
        <x:v>https://poke.idleworld.online/pokepedia/pokemon/grumpig</x:v>
      </x:c>
    </x:row>
    <x:row r="2771" ht="22" customHeight="1">
      <x:c r="A2771" s="1" t="n">
        <x:v>326</x:v>
      </x:c>
      <x:c r="B2771" s="1" t="str">
        <x:v>Grumpig</x:v>
      </x:c>
      <x:c r="C2771" s="1" t="n">
        <x:v>4</x:v>
      </x:c>
      <x:c r="D2771" s="1" t="str">
        <x:v>Power Gem</x:v>
      </x:c>
      <x:c r="E2771" s="1" t="str">
        <x:v>Pedra</x:v>
      </x:c>
      <x:c r="F2771" s="1" t="str">
        <x:v>Especial</x:v>
      </x:c>
      <x:c r="G2771" s="10" t="n">
        <x:v>80</x:v>
      </x:c>
      <x:c r="H2771" s="10" t="n">
        <x:f>IF(F2771="Física",'Pokémon'!G301,IF(F2771="Especial",'Pokémon'!I301,""))</x:f>
        <x:v>90</x:v>
      </x:c>
      <x:c r="I2771" s="10" t="n">
        <x:f>IF(OR(F2771="Status",G2771=0),"",G2771+H2771)</x:f>
        <x:v>170</x:v>
      </x:c>
      <x:c r="J2771" s="10" t="n">
        <x:v>29</x:v>
      </x:c>
      <x:c r="K2771" s="12" t="n">
        <x:v>18</x:v>
      </x:c>
      <x:c r="L2771" s="1" t="str"/>
      <x:c r="M2771" s="9" t="str">
        <x:v>https://poke.idleworld.online/pokepedia/pokemon/grumpig</x:v>
      </x:c>
    </x:row>
    <x:row r="2772" ht="22" customHeight="1">
      <x:c r="A2772" s="1" t="n">
        <x:v>326</x:v>
      </x:c>
      <x:c r="B2772" s="1" t="str">
        <x:v>Grumpig</x:v>
      </x:c>
      <x:c r="C2772" s="1" t="n">
        <x:v>7</x:v>
      </x:c>
      <x:c r="D2772" s="1" t="str">
        <x:v>Psyshock</x:v>
      </x:c>
      <x:c r="E2772" s="1" t="str">
        <x:v>Psíquico</x:v>
      </x:c>
      <x:c r="F2772" s="1" t="str">
        <x:v>Especial</x:v>
      </x:c>
      <x:c r="G2772" s="10" t="n">
        <x:v>80</x:v>
      </x:c>
      <x:c r="H2772" s="10" t="n">
        <x:f>IF(F2772="Física",'Pokémon'!G301,IF(F2772="Especial",'Pokémon'!I301,""))</x:f>
        <x:v>90</x:v>
      </x:c>
      <x:c r="I2772" s="10" t="n">
        <x:f>IF(OR(F2772="Status",G2772=0),"",G2772+H2772)</x:f>
        <x:v>170</x:v>
      </x:c>
      <x:c r="J2772" s="10" t="n">
        <x:v>42</x:v>
      </x:c>
      <x:c r="K2772" s="12" t="n">
        <x:v>22</x:v>
      </x:c>
      <x:c r="L2772" s="1" t="str"/>
      <x:c r="M2772" s="9" t="str">
        <x:v>https://poke.idleworld.online/pokepedia/pokemon/grumpig</x:v>
      </x:c>
    </x:row>
    <x:row r="2773" ht="22" customHeight="1">
      <x:c r="A2773" s="1" t="n">
        <x:v>326</x:v>
      </x:c>
      <x:c r="B2773" s="1" t="str">
        <x:v>Grumpig</x:v>
      </x:c>
      <x:c r="C2773" s="1" t="n">
        <x:v>1</x:v>
      </x:c>
      <x:c r="D2773" s="1" t="str">
        <x:v>Psybeam</x:v>
      </x:c>
      <x:c r="E2773" s="1" t="str">
        <x:v>Psíquico</x:v>
      </x:c>
      <x:c r="F2773" s="1" t="str">
        <x:v>Especial</x:v>
      </x:c>
      <x:c r="G2773" s="10" t="n">
        <x:v>65</x:v>
      </x:c>
      <x:c r="H2773" s="10" t="n">
        <x:f>IF(F2773="Física",'Pokémon'!G301,IF(F2773="Especial",'Pokémon'!I301,""))</x:f>
        <x:v>90</x:v>
      </x:c>
      <x:c r="I2773" s="10" t="n">
        <x:f>IF(OR(F2773="Status",G2773=0),"",G2773+H2773)</x:f>
        <x:v>155</x:v>
      </x:c>
      <x:c r="J2773" s="10" t="n">
        <x:v>1</x:v>
      </x:c>
      <x:c r="K2773" s="12" t="n">
        <x:v>20</x:v>
      </x:c>
      <x:c r="L2773" s="1" t="str"/>
      <x:c r="M2773" s="9" t="str">
        <x:v>https://poke.idleworld.online/pokepedia/pokemon/grumpig</x:v>
      </x:c>
    </x:row>
    <x:row r="2774" ht="22" customHeight="1">
      <x:c r="A2774" s="1" t="n">
        <x:v>326</x:v>
      </x:c>
      <x:c r="B2774" s="1" t="str">
        <x:v>Grumpig</x:v>
      </x:c>
      <x:c r="C2774" s="1" t="n">
        <x:v>6</x:v>
      </x:c>
      <x:c r="D2774" s="1" t="str">
        <x:v>Snore</x:v>
      </x:c>
      <x:c r="E2774" s="1" t="str">
        <x:v>Normal</x:v>
      </x:c>
      <x:c r="F2774" s="1" t="str">
        <x:v>Especial</x:v>
      </x:c>
      <x:c r="G2774" s="10" t="n">
        <x:v>50</x:v>
      </x:c>
      <x:c r="H2774" s="10" t="n">
        <x:f>IF(F2774="Física",'Pokémon'!G301,IF(F2774="Especial",'Pokémon'!I301,""))</x:f>
        <x:v>90</x:v>
      </x:c>
      <x:c r="I2774" s="10" t="n">
        <x:f>IF(OR(F2774="Status",G2774=0),"",G2774+H2774)</x:f>
        <x:v>140</x:v>
      </x:c>
      <x:c r="J2774" s="10" t="n">
        <x:v>35</x:v>
      </x:c>
      <x:c r="K2774" s="12" t="n">
        <x:v>15</x:v>
      </x:c>
      <x:c r="L2774" s="1" t="str"/>
      <x:c r="M2774" s="9" t="str">
        <x:v>https://poke.idleworld.online/pokepedia/pokemon/grumpig</x:v>
      </x:c>
    </x:row>
    <x:row r="2775" ht="22" customHeight="1">
      <x:c r="A2775" s="1" t="n">
        <x:v>326</x:v>
      </x:c>
      <x:c r="B2775" s="1" t="str">
        <x:v>Grumpig</x:v>
      </x:c>
      <x:c r="C2775" s="1" t="n">
        <x:v>10</x:v>
      </x:c>
      <x:c r="D2775" s="1" t="str">
        <x:v>Bounce</x:v>
      </x:c>
      <x:c r="E2775" s="1" t="str">
        <x:v>Voador</x:v>
      </x:c>
      <x:c r="F2775" s="1" t="str">
        <x:v>Física</x:v>
      </x:c>
      <x:c r="G2775" s="10" t="n">
        <x:v>85</x:v>
      </x:c>
      <x:c r="H2775" s="10" t="n">
        <x:f>IF(F2775="Física",'Pokémon'!G301,IF(F2775="Especial",'Pokémon'!I301,""))</x:f>
        <x:v>45</x:v>
      </x:c>
      <x:c r="I2775" s="10" t="n">
        <x:f>IF(OR(F2775="Status",G2775=0),"",G2775+H2775)</x:f>
        <x:v>130</x:v>
      </x:c>
      <x:c r="J2775" s="10" t="n">
        <x:v>60</x:v>
      </x:c>
      <x:c r="K2775" s="12" t="n">
        <x:v>22</x:v>
      </x:c>
      <x:c r="L2775" s="1" t="str"/>
      <x:c r="M2775" s="9" t="str">
        <x:v>https://poke.idleworld.online/pokepedia/pokemon/grumpig</x:v>
      </x:c>
    </x:row>
    <x:row r="2776" ht="22" customHeight="1">
      <x:c r="A2776" s="1" t="n">
        <x:v>326</x:v>
      </x:c>
      <x:c r="B2776" s="1" t="str">
        <x:v>Grumpig</x:v>
      </x:c>
      <x:c r="C2776" s="1" t="n">
        <x:v>3</x:v>
      </x:c>
      <x:c r="D2776" s="1" t="str">
        <x:v>Zen Headbutt</x:v>
      </x:c>
      <x:c r="E2776" s="1" t="str">
        <x:v>Psíquico</x:v>
      </x:c>
      <x:c r="F2776" s="1" t="str">
        <x:v>Física</x:v>
      </x:c>
      <x:c r="G2776" s="10" t="n">
        <x:v>80</x:v>
      </x:c>
      <x:c r="H2776" s="10" t="n">
        <x:f>IF(F2776="Física",'Pokémon'!G301,IF(F2776="Especial",'Pokémon'!I301,""))</x:f>
        <x:v>45</x:v>
      </x:c>
      <x:c r="I2776" s="10" t="n">
        <x:f>IF(OR(F2776="Status",G2776=0),"",G2776+H2776)</x:f>
        <x:v>125</x:v>
      </x:c>
      <x:c r="J2776" s="10" t="n">
        <x:v>26</x:v>
      </x:c>
      <x:c r="K2776" s="12" t="n">
        <x:v>22</x:v>
      </x:c>
      <x:c r="L2776" s="1" t="str"/>
      <x:c r="M2776" s="9" t="str">
        <x:v>https://poke.idleworld.online/pokepedia/pokemon/grumpig</x:v>
      </x:c>
    </x:row>
    <x:row r="2777" ht="22" customHeight="1">
      <x:c r="A2777" s="1" t="n">
        <x:v>326</x:v>
      </x:c>
      <x:c r="B2777" s="1" t="str">
        <x:v>Grumpig</x:v>
      </x:c>
      <x:c r="C2777" s="1" t="n">
        <x:v>8</x:v>
      </x:c>
      <x:c r="D2777" s="1" t="str">
        <x:v>Payback</x:v>
      </x:c>
      <x:c r="E2777" s="1" t="str">
        <x:v>Sombrio</x:v>
      </x:c>
      <x:c r="F2777" s="1" t="str">
        <x:v>Física</x:v>
      </x:c>
      <x:c r="G2777" s="10" t="n">
        <x:v>50</x:v>
      </x:c>
      <x:c r="H2777" s="10" t="n">
        <x:f>IF(F2777="Física",'Pokémon'!G301,IF(F2777="Especial",'Pokémon'!I301,""))</x:f>
        <x:v>45</x:v>
      </x:c>
      <x:c r="I2777" s="10" t="n">
        <x:f>IF(OR(F2777="Status",G2777=0),"",G2777+H2777)</x:f>
        <x:v>95</x:v>
      </x:c>
      <x:c r="J2777" s="10" t="n">
        <x:v>46</x:v>
      </x:c>
      <x:c r="K2777" s="12" t="n">
        <x:v>60</x:v>
      </x:c>
      <x:c r="L2777" s="1" t="str"/>
      <x:c r="M2777" s="9" t="str">
        <x:v>https://poke.idleworld.online/pokepedia/pokemon/grumpig</x:v>
      </x:c>
    </x:row>
    <x:row r="2778" ht="22" customHeight="1">
      <x:c r="A2778" s="1" t="n">
        <x:v>326</x:v>
      </x:c>
      <x:c r="B2778" s="1" t="str">
        <x:v>Grumpig</x:v>
      </x:c>
      <x:c r="C2778" s="1" t="n">
        <x:v>2</x:v>
      </x:c>
      <x:c r="D2778" s="1" t="str">
        <x:v>Magic Coat</x:v>
      </x:c>
      <x:c r="E2778" s="1" t="str">
        <x:v>Psíquico</x:v>
      </x:c>
      <x:c r="F2778" s="1" t="str">
        <x:v>Status</x:v>
      </x:c>
      <x:c r="G2778" s="10" t="n">
        <x:v>0</x:v>
      </x:c>
      <x:c r="H2778" s="10" t="str">
        <x:f>IF(F2778="Física",'Pokémon'!G301,IF(F2778="Especial",'Pokémon'!I301,""))</x:f>
      </x:c>
      <x:c r="I2778" s="10" t="str">
        <x:f>IF(OR(F2778="Status",G2778=0),"",G2778+H2778)</x:f>
      </x:c>
      <x:c r="J2778" s="10" t="n">
        <x:v>21</x:v>
      </x:c>
      <x:c r="K2778" s="12" t="n">
        <x:v>30</x:v>
      </x:c>
      <x:c r="L2778" s="1" t="str"/>
      <x:c r="M2778" s="9" t="str">
        <x:v>https://poke.idleworld.online/pokepedia/pokemon/grumpig</x:v>
      </x:c>
    </x:row>
    <x:row r="2779" ht="22" customHeight="1">
      <x:c r="A2779" s="1" t="n">
        <x:v>326</x:v>
      </x:c>
      <x:c r="B2779" s="1" t="str">
        <x:v>Grumpig</x:v>
      </x:c>
      <x:c r="C2779" s="1" t="n">
        <x:v>5</x:v>
      </x:c>
      <x:c r="D2779" s="1" t="str">
        <x:v>Teeter Dance</x:v>
      </x:c>
      <x:c r="E2779" s="1" t="str">
        <x:v>Normal</x:v>
      </x:c>
      <x:c r="F2779" s="1" t="str">
        <x:v>Status</x:v>
      </x:c>
      <x:c r="G2779" s="10" t="n">
        <x:v>0</x:v>
      </x:c>
      <x:c r="H2779" s="10" t="str">
        <x:f>IF(F2779="Física",'Pokémon'!G301,IF(F2779="Especial",'Pokémon'!I301,""))</x:f>
      </x:c>
      <x:c r="I2779" s="10" t="str">
        <x:f>IF(OR(F2779="Status",G2779=0),"",G2779+H2779)</x:f>
      </x:c>
      <x:c r="J2779" s="10" t="n">
        <x:v>32</x:v>
      </x:c>
      <x:c r="K2779" s="12" t="n">
        <x:v>40</x:v>
      </x:c>
      <x:c r="L2779" s="1" t="str"/>
      <x:c r="M2779" s="9" t="str">
        <x:v>https://poke.idleworld.online/pokepedia/pokemon/grumpig</x:v>
      </x:c>
    </x:row>
    <x:row r="2780" ht="22" customHeight="1">
      <x:c r="A2780" s="1" t="n">
        <x:v>328</x:v>
      </x:c>
      <x:c r="B2780" s="1" t="str">
        <x:v>Trapinch</x:v>
      </x:c>
      <x:c r="C2780" s="1" t="n">
        <x:v>13</x:v>
      </x:c>
      <x:c r="D2780" s="1" t="str">
        <x:v>Superpower</x:v>
      </x:c>
      <x:c r="E2780" s="1" t="str">
        <x:v>Lutador</x:v>
      </x:c>
      <x:c r="F2780" s="1" t="str">
        <x:v>Física</x:v>
      </x:c>
      <x:c r="G2780" s="10" t="n">
        <x:v>120</x:v>
      </x:c>
      <x:c r="H2780" s="10" t="n">
        <x:f>IF(F2780="Física",'Pokémon'!G302,IF(F2780="Especial",'Pokémon'!I302,""))</x:f>
        <x:v>100</x:v>
      </x:c>
      <x:c r="I2780" s="10" t="n">
        <x:f>IF(OR(F2780="Status",G2780=0),"",G2780+H2780)</x:f>
        <x:v>220</x:v>
      </x:c>
      <x:c r="J2780" s="10" t="n">
        <x:v>40</x:v>
      </x:c>
      <x:c r="K2780" s="12" t="n">
        <x:v>50</x:v>
      </x:c>
      <x:c r="L2780" s="1" t="str"/>
      <x:c r="M2780" s="9" t="str">
        <x:v>https://poke.idleworld.online/pokepedia/pokemon/trapinch</x:v>
      </x:c>
    </x:row>
    <x:row r="2781" ht="22" customHeight="1">
      <x:c r="A2781" s="1" t="n">
        <x:v>328</x:v>
      </x:c>
      <x:c r="B2781" s="1" t="str">
        <x:v>Trapinch</x:v>
      </x:c>
      <x:c r="C2781" s="1" t="n">
        <x:v>12</x:v>
      </x:c>
      <x:c r="D2781" s="1" t="str">
        <x:v>Earthquake</x:v>
      </x:c>
      <x:c r="E2781" s="1" t="str">
        <x:v>Terrestre</x:v>
      </x:c>
      <x:c r="F2781" s="1" t="str">
        <x:v>Física</x:v>
      </x:c>
      <x:c r="G2781" s="10" t="n">
        <x:v>100</x:v>
      </x:c>
      <x:c r="H2781" s="10" t="n">
        <x:f>IF(F2781="Física",'Pokémon'!G302,IF(F2781="Especial",'Pokémon'!I302,""))</x:f>
        <x:v>100</x:v>
      </x:c>
      <x:c r="I2781" s="10" t="n">
        <x:f>IF(OR(F2781="Status",G2781=0),"",G2781+H2781)</x:f>
        <x:v>200</x:v>
      </x:c>
      <x:c r="J2781" s="10" t="n">
        <x:v>33</x:v>
      </x:c>
      <x:c r="K2781" s="12" t="n">
        <x:v>40</x:v>
      </x:c>
      <x:c r="L2781" s="1" t="str"/>
      <x:c r="M2781" s="9" t="str">
        <x:v>https://poke.idleworld.online/pokepedia/pokemon/trapinch</x:v>
      </x:c>
    </x:row>
    <x:row r="2782" ht="22" customHeight="1">
      <x:c r="A2782" s="1" t="n">
        <x:v>328</x:v>
      </x:c>
      <x:c r="B2782" s="1" t="str">
        <x:v>Trapinch</x:v>
      </x:c>
      <x:c r="C2782" s="1" t="n">
        <x:v>14</x:v>
      </x:c>
      <x:c r="D2782" s="1" t="str">
        <x:v>Hyper Beam</x:v>
      </x:c>
      <x:c r="E2782" s="1" t="str">
        <x:v>Normal</x:v>
      </x:c>
      <x:c r="F2782" s="1" t="str">
        <x:v>Especial</x:v>
      </x:c>
      <x:c r="G2782" s="10" t="n">
        <x:v>150</x:v>
      </x:c>
      <x:c r="H2782" s="10" t="n">
        <x:f>IF(F2782="Física",'Pokémon'!G302,IF(F2782="Especial",'Pokémon'!I302,""))</x:f>
        <x:v>45</x:v>
      </x:c>
      <x:c r="I2782" s="10" t="n">
        <x:f>IF(OR(F2782="Status",G2782=0),"",G2782+H2782)</x:f>
        <x:v>195</x:v>
      </x:c>
      <x:c r="J2782" s="10" t="n">
        <x:v>43</x:v>
      </x:c>
      <x:c r="K2782" s="12" t="n">
        <x:v>50</x:v>
      </x:c>
      <x:c r="L2782" s="1" t="str"/>
      <x:c r="M2782" s="9" t="str">
        <x:v>https://poke.idleworld.online/pokepedia/pokemon/trapinch</x:v>
      </x:c>
    </x:row>
    <x:row r="2783" ht="22" customHeight="1">
      <x:c r="A2783" s="1" t="n">
        <x:v>328</x:v>
      </x:c>
      <x:c r="B2783" s="1" t="str">
        <x:v>Trapinch</x:v>
      </x:c>
      <x:c r="C2783" s="1" t="n">
        <x:v>8</x:v>
      </x:c>
      <x:c r="D2783" s="1" t="str">
        <x:v>Dig</x:v>
      </x:c>
      <x:c r="E2783" s="1" t="str">
        <x:v>Terrestre</x:v>
      </x:c>
      <x:c r="F2783" s="1" t="str">
        <x:v>Física</x:v>
      </x:c>
      <x:c r="G2783" s="10" t="n">
        <x:v>80</x:v>
      </x:c>
      <x:c r="H2783" s="10" t="n">
        <x:f>IF(F2783="Física",'Pokémon'!G302,IF(F2783="Especial",'Pokémon'!I302,""))</x:f>
        <x:v>100</x:v>
      </x:c>
      <x:c r="I2783" s="10" t="n">
        <x:f>IF(OR(F2783="Status",G2783=0),"",G2783+H2783)</x:f>
        <x:v>180</x:v>
      </x:c>
      <x:c r="J2783" s="10" t="n">
        <x:v>19</x:v>
      </x:c>
      <x:c r="K2783" s="12" t="n">
        <x:v>40</x:v>
      </x:c>
      <x:c r="L2783" s="1" t="str"/>
      <x:c r="M2783" s="9" t="str">
        <x:v>https://poke.idleworld.online/pokepedia/pokemon/trapinch</x:v>
      </x:c>
    </x:row>
    <x:row r="2784" ht="22" customHeight="1">
      <x:c r="A2784" s="1" t="n">
        <x:v>328</x:v>
      </x:c>
      <x:c r="B2784" s="1" t="str">
        <x:v>Trapinch</x:v>
      </x:c>
      <x:c r="C2784" s="1" t="n">
        <x:v>9</x:v>
      </x:c>
      <x:c r="D2784" s="1" t="str">
        <x:v>Crunch</x:v>
      </x:c>
      <x:c r="E2784" s="1" t="str">
        <x:v>Sombrio</x:v>
      </x:c>
      <x:c r="F2784" s="1" t="str">
        <x:v>Física</x:v>
      </x:c>
      <x:c r="G2784" s="10" t="n">
        <x:v>80</x:v>
      </x:c>
      <x:c r="H2784" s="10" t="n">
        <x:f>IF(F2784="Física",'Pokémon'!G302,IF(F2784="Especial",'Pokémon'!I302,""))</x:f>
        <x:v>100</x:v>
      </x:c>
      <x:c r="I2784" s="10" t="n">
        <x:f>IF(OR(F2784="Status",G2784=0),"",G2784+H2784)</x:f>
        <x:v>180</x:v>
      </x:c>
      <x:c r="J2784" s="10" t="n">
        <x:v>22</x:v>
      </x:c>
      <x:c r="K2784" s="12" t="n">
        <x:v>22</x:v>
      </x:c>
      <x:c r="L2784" s="1" t="str"/>
      <x:c r="M2784" s="9" t="str">
        <x:v>https://poke.idleworld.online/pokepedia/pokemon/trapinch</x:v>
      </x:c>
    </x:row>
    <x:row r="2785" ht="22" customHeight="1">
      <x:c r="A2785" s="1" t="n">
        <x:v>328</x:v>
      </x:c>
      <x:c r="B2785" s="1" t="str">
        <x:v>Trapinch</x:v>
      </x:c>
      <x:c r="C2785" s="1" t="n">
        <x:v>7</x:v>
      </x:c>
      <x:c r="D2785" s="1" t="str">
        <x:v>Rock Slide</x:v>
      </x:c>
      <x:c r="E2785" s="1" t="str">
        <x:v>Pedra</x:v>
      </x:c>
      <x:c r="F2785" s="1" t="str">
        <x:v>Física</x:v>
      </x:c>
      <x:c r="G2785" s="10" t="n">
        <x:v>75</x:v>
      </x:c>
      <x:c r="H2785" s="10" t="n">
        <x:f>IF(F2785="Física",'Pokémon'!G302,IF(F2785="Especial",'Pokémon'!I302,""))</x:f>
        <x:v>100</x:v>
      </x:c>
      <x:c r="I2785" s="10" t="n">
        <x:f>IF(OR(F2785="Status",G2785=0),"",G2785+H2785)</x:f>
        <x:v>175</x:v>
      </x:c>
      <x:c r="J2785" s="10" t="n">
        <x:v>15</x:v>
      </x:c>
      <x:c r="K2785" s="12" t="n">
        <x:v>22</x:v>
      </x:c>
      <x:c r="L2785" s="1" t="str"/>
      <x:c r="M2785" s="9" t="str">
        <x:v>https://poke.idleworld.online/pokepedia/pokemon/trapinch</x:v>
      </x:c>
    </x:row>
    <x:row r="2786" ht="22" customHeight="1">
      <x:c r="A2786" s="1" t="n">
        <x:v>328</x:v>
      </x:c>
      <x:c r="B2786" s="1" t="str">
        <x:v>Trapinch</x:v>
      </x:c>
      <x:c r="C2786" s="1" t="n">
        <x:v>2</x:v>
      </x:c>
      <x:c r="D2786" s="1" t="str">
        <x:v>Bite</x:v>
      </x:c>
      <x:c r="E2786" s="1" t="str">
        <x:v>Sombrio</x:v>
      </x:c>
      <x:c r="F2786" s="1" t="str">
        <x:v>Física</x:v>
      </x:c>
      <x:c r="G2786" s="10" t="n">
        <x:v>60</x:v>
      </x:c>
      <x:c r="H2786" s="10" t="n">
        <x:f>IF(F2786="Física",'Pokémon'!G302,IF(F2786="Especial",'Pokémon'!I302,""))</x:f>
        <x:v>100</x:v>
      </x:c>
      <x:c r="I2786" s="10" t="n">
        <x:f>IF(OR(F2786="Status",G2786=0),"",G2786+H2786)</x:f>
        <x:v>160</x:v>
      </x:c>
      <x:c r="J2786" s="10" t="n">
        <x:v>1</x:v>
      </x:c>
      <x:c r="K2786" s="12" t="n">
        <x:v>10</x:v>
      </x:c>
      <x:c r="L2786" s="1" t="str"/>
      <x:c r="M2786" s="9" t="str">
        <x:v>https://poke.idleworld.online/pokepedia/pokemon/trapinch</x:v>
      </x:c>
    </x:row>
    <x:row r="2787" ht="22" customHeight="1">
      <x:c r="A2787" s="1" t="n">
        <x:v>328</x:v>
      </x:c>
      <x:c r="B2787" s="1" t="str">
        <x:v>Trapinch</x:v>
      </x:c>
      <x:c r="C2787" s="1" t="n">
        <x:v>3</x:v>
      </x:c>
      <x:c r="D2787" s="1" t="str">
        <x:v>Feint Attack</x:v>
      </x:c>
      <x:c r="E2787" s="1" t="str">
        <x:v>Sombrio</x:v>
      </x:c>
      <x:c r="F2787" s="1" t="str">
        <x:v>Física</x:v>
      </x:c>
      <x:c r="G2787" s="10" t="n">
        <x:v>60</x:v>
      </x:c>
      <x:c r="H2787" s="10" t="n">
        <x:f>IF(F2787="Física",'Pokémon'!G302,IF(F2787="Especial",'Pokémon'!I302,""))</x:f>
        <x:v>100</x:v>
      </x:c>
      <x:c r="I2787" s="10" t="n">
        <x:f>IF(OR(F2787="Status",G2787=0),"",G2787+H2787)</x:f>
        <x:v>160</x:v>
      </x:c>
      <x:c r="J2787" s="10" t="n">
        <x:v>1</x:v>
      </x:c>
      <x:c r="K2787" s="12" t="n">
        <x:v>20</x:v>
      </x:c>
      <x:c r="L2787" s="1" t="str"/>
      <x:c r="M2787" s="9" t="str">
        <x:v>https://poke.idleworld.online/pokepedia/pokemon/trapinch</x:v>
      </x:c>
    </x:row>
    <x:row r="2788" ht="22" customHeight="1">
      <x:c r="A2788" s="1" t="n">
        <x:v>328</x:v>
      </x:c>
      <x:c r="B2788" s="1" t="str">
        <x:v>Trapinch</x:v>
      </x:c>
      <x:c r="C2788" s="1" t="n">
        <x:v>5</x:v>
      </x:c>
      <x:c r="D2788" s="1" t="str">
        <x:v>Bulldoze</x:v>
      </x:c>
      <x:c r="E2788" s="1" t="str">
        <x:v>Terrestre</x:v>
      </x:c>
      <x:c r="F2788" s="1" t="str">
        <x:v>Física</x:v>
      </x:c>
      <x:c r="G2788" s="10" t="n">
        <x:v>60</x:v>
      </x:c>
      <x:c r="H2788" s="10" t="n">
        <x:f>IF(F2788="Física",'Pokémon'!G302,IF(F2788="Especial",'Pokémon'!I302,""))</x:f>
        <x:v>100</x:v>
      </x:c>
      <x:c r="I2788" s="10" t="n">
        <x:f>IF(OR(F2788="Status",G2788=0),"",G2788+H2788)</x:f>
        <x:v>160</x:v>
      </x:c>
      <x:c r="J2788" s="10" t="n">
        <x:v>8</x:v>
      </x:c>
      <x:c r="K2788" s="12" t="n">
        <x:v>20</x:v>
      </x:c>
      <x:c r="L2788" s="1" t="str"/>
      <x:c r="M2788" s="9" t="str">
        <x:v>https://poke.idleworld.online/pokepedia/pokemon/trapinch</x:v>
      </x:c>
    </x:row>
    <x:row r="2789" ht="22" customHeight="1">
      <x:c r="A2789" s="1" t="n">
        <x:v>328</x:v>
      </x:c>
      <x:c r="B2789" s="1" t="str">
        <x:v>Trapinch</x:v>
      </x:c>
      <x:c r="C2789" s="1" t="n">
        <x:v>10</x:v>
      </x:c>
      <x:c r="D2789" s="1" t="str">
        <x:v>Earth Power</x:v>
      </x:c>
      <x:c r="E2789" s="1" t="str">
        <x:v>Terrestre</x:v>
      </x:c>
      <x:c r="F2789" s="1" t="str">
        <x:v>Especial</x:v>
      </x:c>
      <x:c r="G2789" s="10" t="n">
        <x:v>90</x:v>
      </x:c>
      <x:c r="H2789" s="10" t="n">
        <x:f>IF(F2789="Física",'Pokémon'!G302,IF(F2789="Especial",'Pokémon'!I302,""))</x:f>
        <x:v>45</x:v>
      </x:c>
      <x:c r="I2789" s="10" t="n">
        <x:f>IF(OR(F2789="Status",G2789=0),"",G2789+H2789)</x:f>
        <x:v>135</x:v>
      </x:c>
      <x:c r="J2789" s="10" t="n">
        <x:v>26</x:v>
      </x:c>
      <x:c r="K2789" s="12" t="n">
        <x:v>45</x:v>
      </x:c>
      <x:c r="L2789" s="1" t="str"/>
      <x:c r="M2789" s="9" t="str">
        <x:v>https://poke.idleworld.online/pokepedia/pokemon/trapinch</x:v>
      </x:c>
    </x:row>
    <x:row r="2790" ht="22" customHeight="1">
      <x:c r="A2790" s="1" t="n">
        <x:v>328</x:v>
      </x:c>
      <x:c r="B2790" s="1" t="str">
        <x:v>Trapinch</x:v>
      </x:c>
      <x:c r="C2790" s="1" t="n">
        <x:v>6</x:v>
      </x:c>
      <x:c r="D2790" s="1" t="str">
        <x:v>Sand Tomb</x:v>
      </x:c>
      <x:c r="E2790" s="1" t="str">
        <x:v>Terrestre</x:v>
      </x:c>
      <x:c r="F2790" s="1" t="str">
        <x:v>Física</x:v>
      </x:c>
      <x:c r="G2790" s="10" t="n">
        <x:v>35</x:v>
      </x:c>
      <x:c r="H2790" s="10" t="n">
        <x:f>IF(F2790="Física",'Pokémon'!G302,IF(F2790="Especial",'Pokémon'!I302,""))</x:f>
        <x:v>100</x:v>
      </x:c>
      <x:c r="I2790" s="10" t="n">
        <x:f>IF(OR(F2790="Status",G2790=0),"",G2790+H2790)</x:f>
        <x:v>135</x:v>
      </x:c>
      <x:c r="J2790" s="10" t="n">
        <x:v>12</x:v>
      </x:c>
      <x:c r="K2790" s="12" t="n">
        <x:v>15</x:v>
      </x:c>
      <x:c r="L2790" s="1" t="str"/>
      <x:c r="M2790" s="9" t="str">
        <x:v>https://poke.idleworld.online/pokepedia/pokemon/trapinch</x:v>
      </x:c>
    </x:row>
    <x:row r="2791" ht="22" customHeight="1">
      <x:c r="A2791" s="1" t="n">
        <x:v>328</x:v>
      </x:c>
      <x:c r="B2791" s="1" t="str">
        <x:v>Trapinch</x:v>
      </x:c>
      <x:c r="C2791" s="1" t="n">
        <x:v>11</x:v>
      </x:c>
      <x:c r="D2791" s="1" t="str">
        <x:v>Feint</x:v>
      </x:c>
      <x:c r="E2791" s="1" t="str">
        <x:v>Normal</x:v>
      </x:c>
      <x:c r="F2791" s="1" t="str">
        <x:v>Física</x:v>
      </x:c>
      <x:c r="G2791" s="10" t="n">
        <x:v>30</x:v>
      </x:c>
      <x:c r="H2791" s="10" t="n">
        <x:f>IF(F2791="Física",'Pokémon'!G302,IF(F2791="Especial",'Pokémon'!I302,""))</x:f>
        <x:v>100</x:v>
      </x:c>
      <x:c r="I2791" s="10" t="n">
        <x:f>IF(OR(F2791="Status",G2791=0),"",G2791+H2791)</x:f>
        <x:v>130</x:v>
      </x:c>
      <x:c r="J2791" s="10" t="n">
        <x:v>29</x:v>
      </x:c>
      <x:c r="K2791" s="12" t="n">
        <x:v>15</x:v>
      </x:c>
      <x:c r="L2791" s="1" t="str"/>
      <x:c r="M2791" s="9" t="str">
        <x:v>https://poke.idleworld.online/pokepedia/pokemon/trapinch</x:v>
      </x:c>
    </x:row>
    <x:row r="2792" ht="22" customHeight="1">
      <x:c r="A2792" s="1" t="n">
        <x:v>328</x:v>
      </x:c>
      <x:c r="B2792" s="1" t="str">
        <x:v>Trapinch</x:v>
      </x:c>
      <x:c r="C2792" s="1" t="n">
        <x:v>4</x:v>
      </x:c>
      <x:c r="D2792" s="1" t="str">
        <x:v>Mud-Slap</x:v>
      </x:c>
      <x:c r="E2792" s="1" t="str">
        <x:v>Terrestre</x:v>
      </x:c>
      <x:c r="F2792" s="1" t="str">
        <x:v>Especial</x:v>
      </x:c>
      <x:c r="G2792" s="10" t="n">
        <x:v>20</x:v>
      </x:c>
      <x:c r="H2792" s="10" t="n">
        <x:f>IF(F2792="Física",'Pokémon'!G302,IF(F2792="Especial",'Pokémon'!I302,""))</x:f>
        <x:v>45</x:v>
      </x:c>
      <x:c r="I2792" s="10" t="n">
        <x:f>IF(OR(F2792="Status",G2792=0),"",G2792+H2792)</x:f>
        <x:v>65</x:v>
      </x:c>
      <x:c r="J2792" s="10" t="n">
        <x:v>5</x:v>
      </x:c>
      <x:c r="K2792" s="12" t="n">
        <x:v>25</x:v>
      </x:c>
      <x:c r="L2792" s="1" t="str"/>
      <x:c r="M2792" s="9" t="str">
        <x:v>https://poke.idleworld.online/pokepedia/pokemon/trapinch</x:v>
      </x:c>
    </x:row>
    <x:row r="2793" ht="22" customHeight="1">
      <x:c r="A2793" s="1" t="n">
        <x:v>328</x:v>
      </x:c>
      <x:c r="B2793" s="1" t="str">
        <x:v>Trapinch</x:v>
      </x:c>
      <x:c r="C2793" s="1" t="n">
        <x:v>1</x:v>
      </x:c>
      <x:c r="D2793" s="1" t="str">
        <x:v>Sand Attack</x:v>
      </x:c>
      <x:c r="E2793" s="1" t="str">
        <x:v>Terrestre</x:v>
      </x:c>
      <x:c r="F2793" s="1" t="str">
        <x:v>Status</x:v>
      </x:c>
      <x:c r="G2793" s="10" t="n">
        <x:v>0</x:v>
      </x:c>
      <x:c r="H2793" s="10" t="str">
        <x:f>IF(F2793="Física",'Pokémon'!G302,IF(F2793="Especial",'Pokémon'!I302,""))</x:f>
      </x:c>
      <x:c r="I2793" s="10" t="str">
        <x:f>IF(OR(F2793="Status",G2793=0),"",G2793+H2793)</x:f>
      </x:c>
      <x:c r="J2793" s="10" t="n">
        <x:v>1</x:v>
      </x:c>
      <x:c r="K2793" s="12" t="n">
        <x:v>20</x:v>
      </x:c>
      <x:c r="L2793" s="1" t="str"/>
      <x:c r="M2793" s="9" t="str">
        <x:v>https://poke.idleworld.online/pokepedia/pokemon/trapinch</x:v>
      </x:c>
    </x:row>
    <x:row r="2794" ht="22" customHeight="1">
      <x:c r="A2794" s="1" t="n">
        <x:v>329</x:v>
      </x:c>
      <x:c r="B2794" s="1" t="str">
        <x:v>Vibrava</x:v>
      </x:c>
      <x:c r="C2794" s="1" t="n">
        <x:v>13</x:v>
      </x:c>
      <x:c r="D2794" s="1" t="str">
        <x:v>Hyper Beam</x:v>
      </x:c>
      <x:c r="E2794" s="1" t="str">
        <x:v>Normal</x:v>
      </x:c>
      <x:c r="F2794" s="1" t="str">
        <x:v>Especial</x:v>
      </x:c>
      <x:c r="G2794" s="10" t="n">
        <x:v>150</x:v>
      </x:c>
      <x:c r="H2794" s="10" t="n">
        <x:f>IF(F2794="Física",'Pokémon'!G303,IF(F2794="Especial",'Pokémon'!I303,""))</x:f>
        <x:v>50</x:v>
      </x:c>
      <x:c r="I2794" s="10" t="n">
        <x:f>IF(OR(F2794="Status",G2794=0),"",G2794+H2794)</x:f>
        <x:v>200</x:v>
      </x:c>
      <x:c r="J2794" s="10" t="n">
        <x:v>43</x:v>
      </x:c>
      <x:c r="K2794" s="12" t="n">
        <x:v>50</x:v>
      </x:c>
      <x:c r="L2794" s="1" t="str"/>
      <x:c r="M2794" s="9" t="str">
        <x:v>https://poke.idleworld.online/pokepedia/pokemon/vibrava</x:v>
      </x:c>
    </x:row>
    <x:row r="2795" ht="22" customHeight="1">
      <x:c r="A2795" s="1" t="n">
        <x:v>329</x:v>
      </x:c>
      <x:c r="B2795" s="1" t="str">
        <x:v>Vibrava</x:v>
      </x:c>
      <x:c r="C2795" s="1" t="n">
        <x:v>14</x:v>
      </x:c>
      <x:c r="D2795" s="1" t="str">
        <x:v>Boomburst</x:v>
      </x:c>
      <x:c r="E2795" s="1" t="str">
        <x:v>Normal</x:v>
      </x:c>
      <x:c r="F2795" s="1" t="str">
        <x:v>Especial</x:v>
      </x:c>
      <x:c r="G2795" s="10" t="n">
        <x:v>140</x:v>
      </x:c>
      <x:c r="H2795" s="10" t="n">
        <x:f>IF(F2795="Física",'Pokémon'!G303,IF(F2795="Especial",'Pokémon'!I303,""))</x:f>
        <x:v>50</x:v>
      </x:c>
      <x:c r="I2795" s="10" t="n">
        <x:f>IF(OR(F2795="Status",G2795=0),"",G2795+H2795)</x:f>
        <x:v>190</x:v>
      </x:c>
      <x:c r="J2795" s="10" t="n">
        <x:v>47</x:v>
      </x:c>
      <x:c r="K2795" s="12" t="n">
        <x:v>50</x:v>
      </x:c>
      <x:c r="L2795" s="1" t="str"/>
      <x:c r="M2795" s="9" t="str">
        <x:v>https://poke.idleworld.online/pokepedia/pokemon/vibrava</x:v>
      </x:c>
    </x:row>
    <x:row r="2796" ht="22" customHeight="1">
      <x:c r="A2796" s="1" t="n">
        <x:v>329</x:v>
      </x:c>
      <x:c r="B2796" s="1" t="str">
        <x:v>Vibrava</x:v>
      </x:c>
      <x:c r="C2796" s="1" t="n">
        <x:v>10</x:v>
      </x:c>
      <x:c r="D2796" s="1" t="str">
        <x:v>Earthquake</x:v>
      </x:c>
      <x:c r="E2796" s="1" t="str">
        <x:v>Terrestre</x:v>
      </x:c>
      <x:c r="F2796" s="1" t="str">
        <x:v>Física</x:v>
      </x:c>
      <x:c r="G2796" s="10" t="n">
        <x:v>100</x:v>
      </x:c>
      <x:c r="H2796" s="10" t="n">
        <x:f>IF(F2796="Física",'Pokémon'!G303,IF(F2796="Especial",'Pokémon'!I303,""))</x:f>
        <x:v>70</x:v>
      </x:c>
      <x:c r="I2796" s="10" t="n">
        <x:f>IF(OR(F2796="Status",G2796=0),"",G2796+H2796)</x:f>
        <x:v>170</x:v>
      </x:c>
      <x:c r="J2796" s="10" t="n">
        <x:v>33</x:v>
      </x:c>
      <x:c r="K2796" s="12" t="n">
        <x:v>50</x:v>
      </x:c>
      <x:c r="L2796" s="1" t="str"/>
      <x:c r="M2796" s="9" t="str">
        <x:v>https://poke.idleworld.online/pokepedia/pokemon/vibrava</x:v>
      </x:c>
    </x:row>
    <x:row r="2797" ht="22" customHeight="1">
      <x:c r="A2797" s="1" t="n">
        <x:v>329</x:v>
      </x:c>
      <x:c r="B2797" s="1" t="str">
        <x:v>Vibrava</x:v>
      </x:c>
      <x:c r="C2797" s="1" t="n">
        <x:v>6</x:v>
      </x:c>
      <x:c r="D2797" s="1" t="str">
        <x:v>Rock Slide</x:v>
      </x:c>
      <x:c r="E2797" s="1" t="str">
        <x:v>Pedra</x:v>
      </x:c>
      <x:c r="F2797" s="1" t="str">
        <x:v>Física</x:v>
      </x:c>
      <x:c r="G2797" s="10" t="n">
        <x:v>75</x:v>
      </x:c>
      <x:c r="H2797" s="10" t="n">
        <x:f>IF(F2797="Física",'Pokémon'!G303,IF(F2797="Especial",'Pokémon'!I303,""))</x:f>
        <x:v>70</x:v>
      </x:c>
      <x:c r="I2797" s="10" t="n">
        <x:f>IF(OR(F2797="Status",G2797=0),"",G2797+H2797)</x:f>
        <x:v>145</x:v>
      </x:c>
      <x:c r="J2797" s="10" t="n">
        <x:v>15</x:v>
      </x:c>
      <x:c r="K2797" s="12" t="n">
        <x:v>22</x:v>
      </x:c>
      <x:c r="L2797" s="1" t="str"/>
      <x:c r="M2797" s="9" t="str">
        <x:v>https://poke.idleworld.online/pokepedia/pokemon/vibrava</x:v>
      </x:c>
    </x:row>
    <x:row r="2798" ht="22" customHeight="1">
      <x:c r="A2798" s="1" t="n">
        <x:v>329</x:v>
      </x:c>
      <x:c r="B2798" s="1" t="str">
        <x:v>Vibrava</x:v>
      </x:c>
      <x:c r="C2798" s="1" t="n">
        <x:v>8</x:v>
      </x:c>
      <x:c r="D2798" s="1" t="str">
        <x:v>Earth Power</x:v>
      </x:c>
      <x:c r="E2798" s="1" t="str">
        <x:v>Terrestre</x:v>
      </x:c>
      <x:c r="F2798" s="1" t="str">
        <x:v>Especial</x:v>
      </x:c>
      <x:c r="G2798" s="10" t="n">
        <x:v>90</x:v>
      </x:c>
      <x:c r="H2798" s="10" t="n">
        <x:f>IF(F2798="Física",'Pokémon'!G303,IF(F2798="Especial",'Pokémon'!I303,""))</x:f>
        <x:v>50</x:v>
      </x:c>
      <x:c r="I2798" s="10" t="n">
        <x:f>IF(OR(F2798="Status",G2798=0),"",G2798+H2798)</x:f>
        <x:v>140</x:v>
      </x:c>
      <x:c r="J2798" s="10" t="n">
        <x:v>26</x:v>
      </x:c>
      <x:c r="K2798" s="12" t="n">
        <x:v>22</x:v>
      </x:c>
      <x:c r="L2798" s="1" t="str"/>
      <x:c r="M2798" s="9" t="str">
        <x:v>https://poke.idleworld.online/pokepedia/pokemon/vibrava</x:v>
      </x:c>
    </x:row>
    <x:row r="2799" ht="22" customHeight="1">
      <x:c r="A2799" s="1" t="n">
        <x:v>329</x:v>
      </x:c>
      <x:c r="B2799" s="1" t="str">
        <x:v>Vibrava</x:v>
      </x:c>
      <x:c r="C2799" s="1" t="n">
        <x:v>9</x:v>
      </x:c>
      <x:c r="D2799" s="1" t="str">
        <x:v>Bug Buzz</x:v>
      </x:c>
      <x:c r="E2799" s="1" t="str">
        <x:v>Inseto</x:v>
      </x:c>
      <x:c r="F2799" s="1" t="str">
        <x:v>Especial</x:v>
      </x:c>
      <x:c r="G2799" s="10" t="n">
        <x:v>90</x:v>
      </x:c>
      <x:c r="H2799" s="10" t="n">
        <x:f>IF(F2799="Física",'Pokémon'!G303,IF(F2799="Especial",'Pokémon'!I303,""))</x:f>
        <x:v>50</x:v>
      </x:c>
      <x:c r="I2799" s="10" t="n">
        <x:f>IF(OR(F2799="Status",G2799=0),"",G2799+H2799)</x:f>
        <x:v>140</x:v>
      </x:c>
      <x:c r="J2799" s="10" t="n">
        <x:v>29</x:v>
      </x:c>
      <x:c r="K2799" s="12" t="n">
        <x:v>22</x:v>
      </x:c>
      <x:c r="L2799" s="1" t="str"/>
      <x:c r="M2799" s="9" t="str">
        <x:v>https://poke.idleworld.online/pokepedia/pokemon/vibrava</x:v>
      </x:c>
    </x:row>
    <x:row r="2800" ht="22" customHeight="1">
      <x:c r="A2800" s="1" t="n">
        <x:v>329</x:v>
      </x:c>
      <x:c r="B2800" s="1" t="str">
        <x:v>Vibrava</x:v>
      </x:c>
      <x:c r="C2800" s="1" t="n">
        <x:v>12</x:v>
      </x:c>
      <x:c r="D2800" s="1" t="str">
        <x:v>Uproar</x:v>
      </x:c>
      <x:c r="E2800" s="1" t="str">
        <x:v>Normal</x:v>
      </x:c>
      <x:c r="F2800" s="1" t="str">
        <x:v>Especial</x:v>
      </x:c>
      <x:c r="G2800" s="10" t="n">
        <x:v>90</x:v>
      </x:c>
      <x:c r="H2800" s="10" t="n">
        <x:f>IF(F2800="Física",'Pokémon'!G303,IF(F2800="Especial",'Pokémon'!I303,""))</x:f>
        <x:v>50</x:v>
      </x:c>
      <x:c r="I2800" s="10" t="n">
        <x:f>IF(OR(F2800="Status",G2800=0),"",G2800+H2800)</x:f>
        <x:v>140</x:v>
      </x:c>
      <x:c r="J2800" s="10" t="n">
        <x:v>40</x:v>
      </x:c>
      <x:c r="K2800" s="12" t="n">
        <x:v>22</x:v>
      </x:c>
      <x:c r="L2800" s="1" t="str"/>
      <x:c r="M2800" s="9" t="str">
        <x:v>https://poke.idleworld.online/pokepedia/pokemon/vibrava</x:v>
      </x:c>
    </x:row>
    <x:row r="2801" ht="22" customHeight="1">
      <x:c r="A2801" s="1" t="n">
        <x:v>329</x:v>
      </x:c>
      <x:c r="B2801" s="1" t="str">
        <x:v>Vibrava</x:v>
      </x:c>
      <x:c r="C2801" s="1" t="n">
        <x:v>2</x:v>
      </x:c>
      <x:c r="D2801" s="1" t="str">
        <x:v>Feint Attack</x:v>
      </x:c>
      <x:c r="E2801" s="1" t="str">
        <x:v>Sombrio</x:v>
      </x:c>
      <x:c r="F2801" s="1" t="str">
        <x:v>Física</x:v>
      </x:c>
      <x:c r="G2801" s="10" t="n">
        <x:v>60</x:v>
      </x:c>
      <x:c r="H2801" s="10" t="n">
        <x:f>IF(F2801="Física",'Pokémon'!G303,IF(F2801="Especial",'Pokémon'!I303,""))</x:f>
        <x:v>70</x:v>
      </x:c>
      <x:c r="I2801" s="10" t="n">
        <x:f>IF(OR(F2801="Status",G2801=0),"",G2801+H2801)</x:f>
        <x:v>130</x:v>
      </x:c>
      <x:c r="J2801" s="10" t="n">
        <x:v>1</x:v>
      </x:c>
      <x:c r="K2801" s="12" t="n">
        <x:v>20</x:v>
      </x:c>
      <x:c r="L2801" s="1" t="str"/>
      <x:c r="M2801" s="9" t="str">
        <x:v>https://poke.idleworld.online/pokepedia/pokemon/vibrava</x:v>
      </x:c>
    </x:row>
    <x:row r="2802" ht="22" customHeight="1">
      <x:c r="A2802" s="1" t="n">
        <x:v>329</x:v>
      </x:c>
      <x:c r="B2802" s="1" t="str">
        <x:v>Vibrava</x:v>
      </x:c>
      <x:c r="C2802" s="1" t="n">
        <x:v>4</x:v>
      </x:c>
      <x:c r="D2802" s="1" t="str">
        <x:v>Bulldoze</x:v>
      </x:c>
      <x:c r="E2802" s="1" t="str">
        <x:v>Terrestre</x:v>
      </x:c>
      <x:c r="F2802" s="1" t="str">
        <x:v>Física</x:v>
      </x:c>
      <x:c r="G2802" s="10" t="n">
        <x:v>60</x:v>
      </x:c>
      <x:c r="H2802" s="10" t="n">
        <x:f>IF(F2802="Física",'Pokémon'!G303,IF(F2802="Especial",'Pokémon'!I303,""))</x:f>
        <x:v>70</x:v>
      </x:c>
      <x:c r="I2802" s="10" t="n">
        <x:f>IF(OR(F2802="Status",G2802=0),"",G2802+H2802)</x:f>
        <x:v>130</x:v>
      </x:c>
      <x:c r="J2802" s="10" t="n">
        <x:v>8</x:v>
      </x:c>
      <x:c r="K2802" s="12" t="n">
        <x:v>30</x:v>
      </x:c>
      <x:c r="L2802" s="1" t="str"/>
      <x:c r="M2802" s="9" t="str">
        <x:v>https://poke.idleworld.online/pokepedia/pokemon/vibrava</x:v>
      </x:c>
    </x:row>
    <x:row r="2803" ht="22" customHeight="1">
      <x:c r="A2803" s="1" t="n">
        <x:v>329</x:v>
      </x:c>
      <x:c r="B2803" s="1" t="str">
        <x:v>Vibrava</x:v>
      </x:c>
      <x:c r="C2803" s="1" t="n">
        <x:v>11</x:v>
      </x:c>
      <x:c r="D2803" s="1" t="str">
        <x:v>Dragon Breath</x:v>
      </x:c>
      <x:c r="E2803" s="1" t="str">
        <x:v>Dragão</x:v>
      </x:c>
      <x:c r="F2803" s="1" t="str">
        <x:v>Especial</x:v>
      </x:c>
      <x:c r="G2803" s="10" t="n">
        <x:v>60</x:v>
      </x:c>
      <x:c r="H2803" s="10" t="n">
        <x:f>IF(F2803="Física",'Pokémon'!G303,IF(F2803="Especial",'Pokémon'!I303,""))</x:f>
        <x:v>50</x:v>
      </x:c>
      <x:c r="I2803" s="10" t="n">
        <x:f>IF(OR(F2803="Status",G2803=0),"",G2803+H2803)</x:f>
        <x:v>110</x:v>
      </x:c>
      <x:c r="J2803" s="10" t="n">
        <x:v>35</x:v>
      </x:c>
      <x:c r="K2803" s="12" t="n">
        <x:v>20</x:v>
      </x:c>
      <x:c r="L2803" s="1" t="str"/>
      <x:c r="M2803" s="9" t="str">
        <x:v>https://poke.idleworld.online/pokepedia/pokemon/vibrava</x:v>
      </x:c>
    </x:row>
    <x:row r="2804" ht="22" customHeight="1">
      <x:c r="A2804" s="1" t="n">
        <x:v>329</x:v>
      </x:c>
      <x:c r="B2804" s="1" t="str">
        <x:v>Vibrava</x:v>
      </x:c>
      <x:c r="C2804" s="1" t="n">
        <x:v>5</x:v>
      </x:c>
      <x:c r="D2804" s="1" t="str">
        <x:v>Sand Tomb</x:v>
      </x:c>
      <x:c r="E2804" s="1" t="str">
        <x:v>Terrestre</x:v>
      </x:c>
      <x:c r="F2804" s="1" t="str">
        <x:v>Física</x:v>
      </x:c>
      <x:c r="G2804" s="10" t="n">
        <x:v>35</x:v>
      </x:c>
      <x:c r="H2804" s="10" t="n">
        <x:f>IF(F2804="Física",'Pokémon'!G303,IF(F2804="Especial",'Pokémon'!I303,""))</x:f>
        <x:v>70</x:v>
      </x:c>
      <x:c r="I2804" s="10" t="n">
        <x:f>IF(OR(F2804="Status",G2804=0),"",G2804+H2804)</x:f>
        <x:v>105</x:v>
      </x:c>
      <x:c r="J2804" s="10" t="n">
        <x:v>12</x:v>
      </x:c>
      <x:c r="K2804" s="12" t="n">
        <x:v>25</x:v>
      </x:c>
      <x:c r="L2804" s="1" t="str"/>
      <x:c r="M2804" s="9" t="str">
        <x:v>https://poke.idleworld.online/pokepedia/pokemon/vibrava</x:v>
      </x:c>
    </x:row>
    <x:row r="2805" ht="22" customHeight="1">
      <x:c r="A2805" s="1" t="n">
        <x:v>329</x:v>
      </x:c>
      <x:c r="B2805" s="1" t="str">
        <x:v>Vibrava</x:v>
      </x:c>
      <x:c r="C2805" s="1" t="n">
        <x:v>3</x:v>
      </x:c>
      <x:c r="D2805" s="1" t="str">
        <x:v>Mud-Slap</x:v>
      </x:c>
      <x:c r="E2805" s="1" t="str">
        <x:v>Terrestre</x:v>
      </x:c>
      <x:c r="F2805" s="1" t="str">
        <x:v>Especial</x:v>
      </x:c>
      <x:c r="G2805" s="10" t="n">
        <x:v>20</x:v>
      </x:c>
      <x:c r="H2805" s="10" t="n">
        <x:f>IF(F2805="Física",'Pokémon'!G303,IF(F2805="Especial",'Pokémon'!I303,""))</x:f>
        <x:v>50</x:v>
      </x:c>
      <x:c r="I2805" s="10" t="n">
        <x:f>IF(OR(F2805="Status",G2805=0),"",G2805+H2805)</x:f>
        <x:v>70</x:v>
      </x:c>
      <x:c r="J2805" s="10" t="n">
        <x:v>5</x:v>
      </x:c>
      <x:c r="K2805" s="12" t="n">
        <x:v>15</x:v>
      </x:c>
      <x:c r="L2805" s="1" t="str"/>
      <x:c r="M2805" s="9" t="str">
        <x:v>https://poke.idleworld.online/pokepedia/pokemon/vibrava</x:v>
      </x:c>
    </x:row>
    <x:row r="2806" ht="22" customHeight="1">
      <x:c r="A2806" s="1" t="n">
        <x:v>329</x:v>
      </x:c>
      <x:c r="B2806" s="1" t="str">
        <x:v>Vibrava</x:v>
      </x:c>
      <x:c r="C2806" s="1" t="n">
        <x:v>1</x:v>
      </x:c>
      <x:c r="D2806" s="1" t="str">
        <x:v>Sand Attack</x:v>
      </x:c>
      <x:c r="E2806" s="1" t="str">
        <x:v>Terrestre</x:v>
      </x:c>
      <x:c r="F2806" s="1" t="str">
        <x:v>Status</x:v>
      </x:c>
      <x:c r="G2806" s="10" t="n">
        <x:v>0</x:v>
      </x:c>
      <x:c r="H2806" s="10" t="str">
        <x:f>IF(F2806="Física",'Pokémon'!G303,IF(F2806="Especial",'Pokémon'!I303,""))</x:f>
      </x:c>
      <x:c r="I2806" s="10" t="str">
        <x:f>IF(OR(F2806="Status",G2806=0),"",G2806+H2806)</x:f>
      </x:c>
      <x:c r="J2806" s="10" t="n">
        <x:v>1</x:v>
      </x:c>
      <x:c r="K2806" s="12" t="n">
        <x:v>10</x:v>
      </x:c>
      <x:c r="L2806" s="1" t="str"/>
      <x:c r="M2806" s="9" t="str">
        <x:v>https://poke.idleworld.online/pokepedia/pokemon/vibrava</x:v>
      </x:c>
    </x:row>
    <x:row r="2807" ht="22" customHeight="1">
      <x:c r="A2807" s="1" t="n">
        <x:v>329</x:v>
      </x:c>
      <x:c r="B2807" s="1" t="str">
        <x:v>Vibrava</x:v>
      </x:c>
      <x:c r="C2807" s="1" t="n">
        <x:v>7</x:v>
      </x:c>
      <x:c r="D2807" s="1" t="str">
        <x:v>Super Sonic</x:v>
      </x:c>
      <x:c r="E2807" s="1" t="str">
        <x:v>Normal</x:v>
      </x:c>
      <x:c r="F2807" s="1" t="str">
        <x:v>Status</x:v>
      </x:c>
      <x:c r="G2807" s="10" t="n">
        <x:v>0</x:v>
      </x:c>
      <x:c r="H2807" s="10" t="str">
        <x:f>IF(F2807="Física",'Pokémon'!G303,IF(F2807="Especial",'Pokémon'!I303,""))</x:f>
      </x:c>
      <x:c r="I2807" s="10" t="str">
        <x:f>IF(OR(F2807="Status",G2807=0),"",G2807+H2807)</x:f>
      </x:c>
      <x:c r="J2807" s="10" t="n">
        <x:v>19</x:v>
      </x:c>
      <x:c r="K2807" s="12" t="n">
        <x:v>25</x:v>
      </x:c>
      <x:c r="L2807" s="1" t="str"/>
      <x:c r="M2807" s="9" t="str">
        <x:v>https://poke.idleworld.online/pokepedia/pokemon/vibrava</x:v>
      </x:c>
    </x:row>
    <x:row r="2808" ht="22" customHeight="1">
      <x:c r="A2808" s="1" t="n">
        <x:v>330</x:v>
      </x:c>
      <x:c r="B2808" s="1" t="str">
        <x:v>Flygon</x:v>
      </x:c>
      <x:c r="C2808" s="1" t="n">
        <x:v>2</x:v>
      </x:c>
      <x:c r="D2808" s="1" t="str">
        <x:v>Draconic Soul</x:v>
      </x:c>
      <x:c r="E2808" s="1" t="str">
        <x:v>Dragão</x:v>
      </x:c>
      <x:c r="F2808" s="1" t="str">
        <x:v>Especial</x:v>
      </x:c>
      <x:c r="G2808" s="10" t="n">
        <x:v>300</x:v>
      </x:c>
      <x:c r="H2808" s="10" t="n">
        <x:f>IF(F2808="Física",'Pokémon'!G304,IF(F2808="Especial",'Pokémon'!I304,""))</x:f>
        <x:v>80</x:v>
      </x:c>
      <x:c r="I2808" s="10" t="n">
        <x:f>IF(OR(F2808="Status",G2808=0),"",G2808+H2808)</x:f>
        <x:v>380</x:v>
      </x:c>
      <x:c r="J2808" s="10" t="n">
        <x:v>1</x:v>
      </x:c>
      <x:c r="K2808" s="12" t="n">
        <x:v>10</x:v>
      </x:c>
      <x:c r="L2808" s="1" t="str">
        <x:v>Sim</x:v>
      </x:c>
      <x:c r="M2808" s="9" t="str">
        <x:v>https://poke.idleworld.online/pokepedia/pokemon/flygon</x:v>
      </x:c>
    </x:row>
    <x:row r="2809" ht="22" customHeight="1">
      <x:c r="A2809" s="1" t="n">
        <x:v>330</x:v>
      </x:c>
      <x:c r="B2809" s="1" t="str">
        <x:v>Flygon</x:v>
      </x:c>
      <x:c r="C2809" s="1" t="n">
        <x:v>16</x:v>
      </x:c>
      <x:c r="D2809" s="1" t="str">
        <x:v>Hyper Beam</x:v>
      </x:c>
      <x:c r="E2809" s="1" t="str">
        <x:v>Normal</x:v>
      </x:c>
      <x:c r="F2809" s="1" t="str">
        <x:v>Especial</x:v>
      </x:c>
      <x:c r="G2809" s="10" t="n">
        <x:v>150</x:v>
      </x:c>
      <x:c r="H2809" s="10" t="n">
        <x:f>IF(F2809="Física",'Pokémon'!G304,IF(F2809="Especial",'Pokémon'!I304,""))</x:f>
        <x:v>80</x:v>
      </x:c>
      <x:c r="I2809" s="10" t="n">
        <x:f>IF(OR(F2809="Status",G2809=0),"",G2809+H2809)</x:f>
        <x:v>230</x:v>
      </x:c>
      <x:c r="J2809" s="10" t="n">
        <x:v>43</x:v>
      </x:c>
      <x:c r="K2809" s="12" t="n">
        <x:v>60</x:v>
      </x:c>
      <x:c r="L2809" s="1" t="str"/>
      <x:c r="M2809" s="9" t="str">
        <x:v>https://poke.idleworld.online/pokepedia/pokemon/flygon</x:v>
      </x:c>
    </x:row>
    <x:row r="2810" ht="22" customHeight="1">
      <x:c r="A2810" s="1" t="n">
        <x:v>330</x:v>
      </x:c>
      <x:c r="B2810" s="1" t="str">
        <x:v>Flygon</x:v>
      </x:c>
      <x:c r="C2810" s="1" t="n">
        <x:v>12</x:v>
      </x:c>
      <x:c r="D2810" s="1" t="str">
        <x:v>Earthquake</x:v>
      </x:c>
      <x:c r="E2810" s="1" t="str">
        <x:v>Terrestre</x:v>
      </x:c>
      <x:c r="F2810" s="1" t="str">
        <x:v>Física</x:v>
      </x:c>
      <x:c r="G2810" s="10" t="n">
        <x:v>100</x:v>
      </x:c>
      <x:c r="H2810" s="10" t="n">
        <x:f>IF(F2810="Física",'Pokémon'!G304,IF(F2810="Especial",'Pokémon'!I304,""))</x:f>
        <x:v>100</x:v>
      </x:c>
      <x:c r="I2810" s="10" t="n">
        <x:f>IF(OR(F2810="Status",G2810=0),"",G2810+H2810)</x:f>
        <x:v>200</x:v>
      </x:c>
      <x:c r="J2810" s="10" t="n">
        <x:v>33</x:v>
      </x:c>
      <x:c r="K2810" s="12" t="n">
        <x:v>60</x:v>
      </x:c>
      <x:c r="L2810" s="1" t="str"/>
      <x:c r="M2810" s="9" t="str">
        <x:v>https://poke.idleworld.online/pokepedia/pokemon/flygon</x:v>
      </x:c>
    </x:row>
    <x:row r="2811" ht="22" customHeight="1">
      <x:c r="A2811" s="1" t="n">
        <x:v>330</x:v>
      </x:c>
      <x:c r="B2811" s="1" t="str">
        <x:v>Flygon</x:v>
      </x:c>
      <x:c r="C2811" s="1" t="n">
        <x:v>18</x:v>
      </x:c>
      <x:c r="D2811" s="1" t="str">
        <x:v>Dragon Rush</x:v>
      </x:c>
      <x:c r="E2811" s="1" t="str">
        <x:v>Dragão</x:v>
      </x:c>
      <x:c r="F2811" s="1" t="str">
        <x:v>Física</x:v>
      </x:c>
      <x:c r="G2811" s="10" t="n">
        <x:v>100</x:v>
      </x:c>
      <x:c r="H2811" s="10" t="n">
        <x:f>IF(F2811="Física",'Pokémon'!G304,IF(F2811="Especial",'Pokémon'!I304,""))</x:f>
        <x:v>100</x:v>
      </x:c>
      <x:c r="I2811" s="10" t="n">
        <x:f>IF(OR(F2811="Status",G2811=0),"",G2811+H2811)</x:f>
        <x:v>200</x:v>
      </x:c>
      <x:c r="J2811" s="10" t="n">
        <x:v>47</x:v>
      </x:c>
      <x:c r="K2811" s="12" t="n">
        <x:v>40</x:v>
      </x:c>
      <x:c r="L2811" s="1" t="str"/>
      <x:c r="M2811" s="9" t="str">
        <x:v>https://poke.idleworld.online/pokepedia/pokemon/flygon</x:v>
      </x:c>
    </x:row>
    <x:row r="2812" ht="22" customHeight="1">
      <x:c r="A2812" s="1" t="n">
        <x:v>330</x:v>
      </x:c>
      <x:c r="B2812" s="1" t="str">
        <x:v>Flygon</x:v>
      </x:c>
      <x:c r="C2812" s="1" t="n">
        <x:v>17</x:v>
      </x:c>
      <x:c r="D2812" s="1" t="str">
        <x:v>Dragon Claw</x:v>
      </x:c>
      <x:c r="E2812" s="1" t="str">
        <x:v>Dragão</x:v>
      </x:c>
      <x:c r="F2812" s="1" t="str">
        <x:v>Física</x:v>
      </x:c>
      <x:c r="G2812" s="10" t="n">
        <x:v>80</x:v>
      </x:c>
      <x:c r="H2812" s="10" t="n">
        <x:f>IF(F2812="Física",'Pokémon'!G304,IF(F2812="Especial",'Pokémon'!I304,""))</x:f>
        <x:v>100</x:v>
      </x:c>
      <x:c r="I2812" s="10" t="n">
        <x:f>IF(OR(F2812="Status",G2812=0),"",G2812+H2812)</x:f>
        <x:v>180</x:v>
      </x:c>
      <x:c r="J2812" s="10" t="n">
        <x:v>45</x:v>
      </x:c>
      <x:c r="K2812" s="12" t="n">
        <x:v>22</x:v>
      </x:c>
      <x:c r="L2812" s="1" t="str"/>
      <x:c r="M2812" s="9" t="str">
        <x:v>https://poke.idleworld.online/pokepedia/pokemon/flygon</x:v>
      </x:c>
    </x:row>
    <x:row r="2813" ht="22" customHeight="1">
      <x:c r="A2813" s="1" t="n">
        <x:v>330</x:v>
      </x:c>
      <x:c r="B2813" s="1" t="str">
        <x:v>Flygon</x:v>
      </x:c>
      <x:c r="C2813" s="1" t="n">
        <x:v>7</x:v>
      </x:c>
      <x:c r="D2813" s="1" t="str">
        <x:v>Rock Slide</x:v>
      </x:c>
      <x:c r="E2813" s="1" t="str">
        <x:v>Pedra</x:v>
      </x:c>
      <x:c r="F2813" s="1" t="str">
        <x:v>Física</x:v>
      </x:c>
      <x:c r="G2813" s="10" t="n">
        <x:v>75</x:v>
      </x:c>
      <x:c r="H2813" s="10" t="n">
        <x:f>IF(F2813="Física",'Pokémon'!G304,IF(F2813="Especial",'Pokémon'!I304,""))</x:f>
        <x:v>100</x:v>
      </x:c>
      <x:c r="I2813" s="10" t="n">
        <x:f>IF(OR(F2813="Status",G2813=0),"",G2813+H2813)</x:f>
        <x:v>175</x:v>
      </x:c>
      <x:c r="J2813" s="10" t="n">
        <x:v>15</x:v>
      </x:c>
      <x:c r="K2813" s="12" t="n">
        <x:v>22</x:v>
      </x:c>
      <x:c r="L2813" s="1" t="str"/>
      <x:c r="M2813" s="9" t="str">
        <x:v>https://poke.idleworld.online/pokepedia/pokemon/flygon</x:v>
      </x:c>
    </x:row>
    <x:row r="2814" ht="22" customHeight="1">
      <x:c r="A2814" s="1" t="n">
        <x:v>330</x:v>
      </x:c>
      <x:c r="B2814" s="1" t="str">
        <x:v>Flygon</x:v>
      </x:c>
      <x:c r="C2814" s="1" t="n">
        <x:v>10</x:v>
      </x:c>
      <x:c r="D2814" s="1" t="str">
        <x:v>Earth Power</x:v>
      </x:c>
      <x:c r="E2814" s="1" t="str">
        <x:v>Terrestre</x:v>
      </x:c>
      <x:c r="F2814" s="1" t="str">
        <x:v>Especial</x:v>
      </x:c>
      <x:c r="G2814" s="10" t="n">
        <x:v>90</x:v>
      </x:c>
      <x:c r="H2814" s="10" t="n">
        <x:f>IF(F2814="Física",'Pokémon'!G304,IF(F2814="Especial",'Pokémon'!I304,""))</x:f>
        <x:v>80</x:v>
      </x:c>
      <x:c r="I2814" s="10" t="n">
        <x:f>IF(OR(F2814="Status",G2814=0),"",G2814+H2814)</x:f>
        <x:v>170</x:v>
      </x:c>
      <x:c r="J2814" s="10" t="n">
        <x:v>26</x:v>
      </x:c>
      <x:c r="K2814" s="12" t="n">
        <x:v>22</x:v>
      </x:c>
      <x:c r="L2814" s="1" t="str"/>
      <x:c r="M2814" s="9" t="str">
        <x:v>https://poke.idleworld.online/pokepedia/pokemon/flygon</x:v>
      </x:c>
    </x:row>
    <x:row r="2815" ht="22" customHeight="1">
      <x:c r="A2815" s="1" t="n">
        <x:v>330</x:v>
      </x:c>
      <x:c r="B2815" s="1" t="str">
        <x:v>Flygon</x:v>
      </x:c>
      <x:c r="C2815" s="1" t="n">
        <x:v>15</x:v>
      </x:c>
      <x:c r="D2815" s="1" t="str">
        <x:v>Uproar</x:v>
      </x:c>
      <x:c r="E2815" s="1" t="str">
        <x:v>Normal</x:v>
      </x:c>
      <x:c r="F2815" s="1" t="str">
        <x:v>Especial</x:v>
      </x:c>
      <x:c r="G2815" s="10" t="n">
        <x:v>90</x:v>
      </x:c>
      <x:c r="H2815" s="10" t="n">
        <x:f>IF(F2815="Física",'Pokémon'!G304,IF(F2815="Especial",'Pokémon'!I304,""))</x:f>
        <x:v>80</x:v>
      </x:c>
      <x:c r="I2815" s="10" t="n">
        <x:f>IF(OR(F2815="Status",G2815=0),"",G2815+H2815)</x:f>
        <x:v>170</x:v>
      </x:c>
      <x:c r="J2815" s="10" t="n">
        <x:v>40</x:v>
      </x:c>
      <x:c r="K2815" s="12" t="n">
        <x:v>22</x:v>
      </x:c>
      <x:c r="L2815" s="1" t="str"/>
      <x:c r="M2815" s="9" t="str">
        <x:v>https://poke.idleworld.online/pokepedia/pokemon/flygon</x:v>
      </x:c>
    </x:row>
    <x:row r="2816" ht="22" customHeight="1">
      <x:c r="A2816" s="1" t="n">
        <x:v>330</x:v>
      </x:c>
      <x:c r="B2816" s="1" t="str">
        <x:v>Flygon</x:v>
      </x:c>
      <x:c r="C2816" s="1" t="n">
        <x:v>3</x:v>
      </x:c>
      <x:c r="D2816" s="1" t="str">
        <x:v>Feint Attack</x:v>
      </x:c>
      <x:c r="E2816" s="1" t="str">
        <x:v>Sombrio</x:v>
      </x:c>
      <x:c r="F2816" s="1" t="str">
        <x:v>Física</x:v>
      </x:c>
      <x:c r="G2816" s="10" t="n">
        <x:v>60</x:v>
      </x:c>
      <x:c r="H2816" s="10" t="n">
        <x:f>IF(F2816="Física",'Pokémon'!G304,IF(F2816="Especial",'Pokémon'!I304,""))</x:f>
        <x:v>100</x:v>
      </x:c>
      <x:c r="I2816" s="10" t="n">
        <x:f>IF(OR(F2816="Status",G2816=0),"",G2816+H2816)</x:f>
        <x:v>160</x:v>
      </x:c>
      <x:c r="J2816" s="10" t="n">
        <x:v>1</x:v>
      </x:c>
      <x:c r="K2816" s="12" t="n">
        <x:v>20</x:v>
      </x:c>
      <x:c r="L2816" s="1" t="str"/>
      <x:c r="M2816" s="9" t="str">
        <x:v>https://poke.idleworld.online/pokepedia/pokemon/flygon</x:v>
      </x:c>
    </x:row>
    <x:row r="2817" ht="22" customHeight="1">
      <x:c r="A2817" s="1" t="n">
        <x:v>330</x:v>
      </x:c>
      <x:c r="B2817" s="1" t="str">
        <x:v>Flygon</x:v>
      </x:c>
      <x:c r="C2817" s="1" t="n">
        <x:v>5</x:v>
      </x:c>
      <x:c r="D2817" s="1" t="str">
        <x:v>Bulldoze</x:v>
      </x:c>
      <x:c r="E2817" s="1" t="str">
        <x:v>Terrestre</x:v>
      </x:c>
      <x:c r="F2817" s="1" t="str">
        <x:v>Física</x:v>
      </x:c>
      <x:c r="G2817" s="10" t="n">
        <x:v>60</x:v>
      </x:c>
      <x:c r="H2817" s="10" t="n">
        <x:f>IF(F2817="Física",'Pokémon'!G304,IF(F2817="Especial",'Pokémon'!I304,""))</x:f>
        <x:v>100</x:v>
      </x:c>
      <x:c r="I2817" s="10" t="n">
        <x:f>IF(OR(F2817="Status",G2817=0),"",G2817+H2817)</x:f>
        <x:v>160</x:v>
      </x:c>
      <x:c r="J2817" s="10" t="n">
        <x:v>8</x:v>
      </x:c>
      <x:c r="K2817" s="12" t="n">
        <x:v>25</x:v>
      </x:c>
      <x:c r="L2817" s="1" t="str"/>
      <x:c r="M2817" s="9" t="str">
        <x:v>https://poke.idleworld.online/pokepedia/pokemon/flygon</x:v>
      </x:c>
    </x:row>
    <x:row r="2818" ht="22" customHeight="1">
      <x:c r="A2818" s="1" t="n">
        <x:v>330</x:v>
      </x:c>
      <x:c r="B2818" s="1" t="str">
        <x:v>Flygon</x:v>
      </x:c>
      <x:c r="C2818" s="1" t="n">
        <x:v>11</x:v>
      </x:c>
      <x:c r="D2818" s="1" t="str">
        <x:v>Dragon Tail</x:v>
      </x:c>
      <x:c r="E2818" s="1" t="str">
        <x:v>Dragão</x:v>
      </x:c>
      <x:c r="F2818" s="1" t="str">
        <x:v>Física</x:v>
      </x:c>
      <x:c r="G2818" s="10" t="n">
        <x:v>60</x:v>
      </x:c>
      <x:c r="H2818" s="10" t="n">
        <x:f>IF(F2818="Física",'Pokémon'!G304,IF(F2818="Especial",'Pokémon'!I304,""))</x:f>
        <x:v>100</x:v>
      </x:c>
      <x:c r="I2818" s="10" t="n">
        <x:f>IF(OR(F2818="Status",G2818=0),"",G2818+H2818)</x:f>
        <x:v>160</x:v>
      </x:c>
      <x:c r="J2818" s="10" t="n">
        <x:v>29</x:v>
      </x:c>
      <x:c r="K2818" s="12" t="n">
        <x:v>20</x:v>
      </x:c>
      <x:c r="L2818" s="1" t="str"/>
      <x:c r="M2818" s="9" t="str">
        <x:v>https://poke.idleworld.online/pokepedia/pokemon/flygon</x:v>
      </x:c>
    </x:row>
    <x:row r="2819" ht="22" customHeight="1">
      <x:c r="A2819" s="1" t="n">
        <x:v>330</x:v>
      </x:c>
      <x:c r="B2819" s="1" t="str">
        <x:v>Flygon</x:v>
      </x:c>
      <x:c r="C2819" s="1" t="n">
        <x:v>13</x:v>
      </x:c>
      <x:c r="D2819" s="1" t="str">
        <x:v>Dragon Breath</x:v>
      </x:c>
      <x:c r="E2819" s="1" t="str">
        <x:v>Dragão</x:v>
      </x:c>
      <x:c r="F2819" s="1" t="str">
        <x:v>Especial</x:v>
      </x:c>
      <x:c r="G2819" s="10" t="n">
        <x:v>60</x:v>
      </x:c>
      <x:c r="H2819" s="10" t="n">
        <x:f>IF(F2819="Física",'Pokémon'!G304,IF(F2819="Especial",'Pokémon'!I304,""))</x:f>
        <x:v>80</x:v>
      </x:c>
      <x:c r="I2819" s="10" t="n">
        <x:f>IF(OR(F2819="Status",G2819=0),"",G2819+H2819)</x:f>
        <x:v>140</x:v>
      </x:c>
      <x:c r="J2819" s="10" t="n">
        <x:v>35</x:v>
      </x:c>
      <x:c r="K2819" s="12" t="n">
        <x:v>20</x:v>
      </x:c>
      <x:c r="L2819" s="1" t="str"/>
      <x:c r="M2819" s="9" t="str">
        <x:v>https://poke.idleworld.online/pokepedia/pokemon/flygon</x:v>
      </x:c>
    </x:row>
    <x:row r="2820" ht="22" customHeight="1">
      <x:c r="A2820" s="1" t="n">
        <x:v>330</x:v>
      </x:c>
      <x:c r="B2820" s="1" t="str">
        <x:v>Flygon</x:v>
      </x:c>
      <x:c r="C2820" s="1" t="n">
        <x:v>6</x:v>
      </x:c>
      <x:c r="D2820" s="1" t="str">
        <x:v>Sand Tomb</x:v>
      </x:c>
      <x:c r="E2820" s="1" t="str">
        <x:v>Terrestre</x:v>
      </x:c>
      <x:c r="F2820" s="1" t="str">
        <x:v>Física</x:v>
      </x:c>
      <x:c r="G2820" s="10" t="n">
        <x:v>35</x:v>
      </x:c>
      <x:c r="H2820" s="10" t="n">
        <x:f>IF(F2820="Física",'Pokémon'!G304,IF(F2820="Especial",'Pokémon'!I304,""))</x:f>
        <x:v>100</x:v>
      </x:c>
      <x:c r="I2820" s="10" t="n">
        <x:f>IF(OR(F2820="Status",G2820=0),"",G2820+H2820)</x:f>
        <x:v>135</x:v>
      </x:c>
      <x:c r="J2820" s="10" t="n">
        <x:v>12</x:v>
      </x:c>
      <x:c r="K2820" s="12" t="n">
        <x:v>40</x:v>
      </x:c>
      <x:c r="L2820" s="1" t="str"/>
      <x:c r="M2820" s="9" t="str">
        <x:v>https://poke.idleworld.online/pokepedia/pokemon/flygon</x:v>
      </x:c>
    </x:row>
    <x:row r="2821" ht="22" customHeight="1">
      <x:c r="A2821" s="1" t="n">
        <x:v>330</x:v>
      </x:c>
      <x:c r="B2821" s="1" t="str">
        <x:v>Flygon</x:v>
      </x:c>
      <x:c r="C2821" s="1" t="n">
        <x:v>4</x:v>
      </x:c>
      <x:c r="D2821" s="1" t="str">
        <x:v>Mud-Slap</x:v>
      </x:c>
      <x:c r="E2821" s="1" t="str">
        <x:v>Terrestre</x:v>
      </x:c>
      <x:c r="F2821" s="1" t="str">
        <x:v>Especial</x:v>
      </x:c>
      <x:c r="G2821" s="10" t="n">
        <x:v>20</x:v>
      </x:c>
      <x:c r="H2821" s="10" t="n">
        <x:f>IF(F2821="Física",'Pokémon'!G304,IF(F2821="Especial",'Pokémon'!I304,""))</x:f>
        <x:v>80</x:v>
      </x:c>
      <x:c r="I2821" s="10" t="n">
        <x:f>IF(OR(F2821="Status",G2821=0),"",G2821+H2821)</x:f>
        <x:v>100</x:v>
      </x:c>
      <x:c r="J2821" s="10" t="n">
        <x:v>5</x:v>
      </x:c>
      <x:c r="K2821" s="12" t="n">
        <x:v>15</x:v>
      </x:c>
      <x:c r="L2821" s="1" t="str"/>
      <x:c r="M2821" s="9" t="str">
        <x:v>https://poke.idleworld.online/pokepedia/pokemon/flygon</x:v>
      </x:c>
    </x:row>
    <x:row r="2822" ht="22" customHeight="1">
      <x:c r="A2822" s="1" t="n">
        <x:v>330</x:v>
      </x:c>
      <x:c r="B2822" s="1" t="str">
        <x:v>Flygon</x:v>
      </x:c>
      <x:c r="C2822" s="1" t="n">
        <x:v>1</x:v>
      </x:c>
      <x:c r="D2822" s="1" t="str">
        <x:v>Sand Attack</x:v>
      </x:c>
      <x:c r="E2822" s="1" t="str">
        <x:v>Terrestre</x:v>
      </x:c>
      <x:c r="F2822" s="1" t="str">
        <x:v>Status</x:v>
      </x:c>
      <x:c r="G2822" s="10" t="n">
        <x:v>0</x:v>
      </x:c>
      <x:c r="H2822" s="10" t="str">
        <x:f>IF(F2822="Física",'Pokémon'!G304,IF(F2822="Especial",'Pokémon'!I304,""))</x:f>
      </x:c>
      <x:c r="I2822" s="10" t="str">
        <x:f>IF(OR(F2822="Status",G2822=0),"",G2822+H2822)</x:f>
      </x:c>
      <x:c r="J2822" s="10" t="n">
        <x:v>1</x:v>
      </x:c>
      <x:c r="K2822" s="12" t="n">
        <x:v>10</x:v>
      </x:c>
      <x:c r="L2822" s="1" t="str"/>
      <x:c r="M2822" s="9" t="str">
        <x:v>https://poke.idleworld.online/pokepedia/pokemon/flygon</x:v>
      </x:c>
    </x:row>
    <x:row r="2823" ht="22" customHeight="1">
      <x:c r="A2823" s="1" t="n">
        <x:v>330</x:v>
      </x:c>
      <x:c r="B2823" s="1" t="str">
        <x:v>Flygon</x:v>
      </x:c>
      <x:c r="C2823" s="1" t="n">
        <x:v>8</x:v>
      </x:c>
      <x:c r="D2823" s="1" t="str">
        <x:v>Super Sonic</x:v>
      </x:c>
      <x:c r="E2823" s="1" t="str">
        <x:v>Normal</x:v>
      </x:c>
      <x:c r="F2823" s="1" t="str">
        <x:v>Status</x:v>
      </x:c>
      <x:c r="G2823" s="10" t="n">
        <x:v>0</x:v>
      </x:c>
      <x:c r="H2823" s="10" t="str">
        <x:f>IF(F2823="Física",'Pokémon'!G304,IF(F2823="Especial",'Pokémon'!I304,""))</x:f>
      </x:c>
      <x:c r="I2823" s="10" t="str">
        <x:f>IF(OR(F2823="Status",G2823=0),"",G2823+H2823)</x:f>
      </x:c>
      <x:c r="J2823" s="10" t="n">
        <x:v>19</x:v>
      </x:c>
      <x:c r="K2823" s="12" t="n">
        <x:v>25</x:v>
      </x:c>
      <x:c r="L2823" s="1" t="str"/>
      <x:c r="M2823" s="9" t="str">
        <x:v>https://poke.idleworld.online/pokepedia/pokemon/flygon</x:v>
      </x:c>
    </x:row>
    <x:row r="2824" ht="22" customHeight="1">
      <x:c r="A2824" s="1" t="n">
        <x:v>330</x:v>
      </x:c>
      <x:c r="B2824" s="1" t="str">
        <x:v>Flygon</x:v>
      </x:c>
      <x:c r="C2824" s="1" t="n">
        <x:v>9</x:v>
      </x:c>
      <x:c r="D2824" s="1" t="str">
        <x:v>Screech</x:v>
      </x:c>
      <x:c r="E2824" s="1" t="str">
        <x:v>Normal</x:v>
      </x:c>
      <x:c r="F2824" s="1" t="str">
        <x:v>Status</x:v>
      </x:c>
      <x:c r="G2824" s="10" t="n">
        <x:v>0</x:v>
      </x:c>
      <x:c r="H2824" s="10" t="str">
        <x:f>IF(F2824="Física",'Pokémon'!G304,IF(F2824="Especial",'Pokémon'!I304,""))</x:f>
      </x:c>
      <x:c r="I2824" s="10" t="str">
        <x:f>IF(OR(F2824="Status",G2824=0),"",G2824+H2824)</x:f>
      </x:c>
      <x:c r="J2824" s="10" t="n">
        <x:v>22</x:v>
      </x:c>
      <x:c r="K2824" s="12" t="n">
        <x:v>60</x:v>
      </x:c>
      <x:c r="L2824" s="1" t="str"/>
      <x:c r="M2824" s="9" t="str">
        <x:v>https://poke.idleworld.online/pokepedia/pokemon/flygon</x:v>
      </x:c>
    </x:row>
    <x:row r="2825" ht="22" customHeight="1">
      <x:c r="A2825" s="1" t="n">
        <x:v>330</x:v>
      </x:c>
      <x:c r="B2825" s="1" t="str">
        <x:v>Flygon</x:v>
      </x:c>
      <x:c r="C2825" s="1" t="n">
        <x:v>14</x:v>
      </x:c>
      <x:c r="D2825" s="1" t="str">
        <x:v>Sandstorm</x:v>
      </x:c>
      <x:c r="E2825" s="1" t="str">
        <x:v>Pedra</x:v>
      </x:c>
      <x:c r="F2825" s="1" t="str">
        <x:v>Status</x:v>
      </x:c>
      <x:c r="G2825" s="10" t="n">
        <x:v>0</x:v>
      </x:c>
      <x:c r="H2825" s="10" t="str">
        <x:f>IF(F2825="Física",'Pokémon'!G304,IF(F2825="Especial",'Pokémon'!I304,""))</x:f>
      </x:c>
      <x:c r="I2825" s="10" t="str">
        <x:f>IF(OR(F2825="Status",G2825=0),"",G2825+H2825)</x:f>
      </x:c>
      <x:c r="J2825" s="10" t="n">
        <x:v>36</x:v>
      </x:c>
      <x:c r="K2825" s="12" t="n">
        <x:v>60</x:v>
      </x:c>
      <x:c r="L2825" s="1" t="str"/>
      <x:c r="M2825" s="9" t="str">
        <x:v>https://poke.idleworld.online/pokepedia/pokemon/flygon</x:v>
      </x:c>
    </x:row>
    <x:row r="2826" ht="22" customHeight="1">
      <x:c r="A2826" s="1" t="n">
        <x:v>332</x:v>
      </x:c>
      <x:c r="B2826" s="1" t="str">
        <x:v>Cacturne</x:v>
      </x:c>
      <x:c r="C2826" s="1" t="n">
        <x:v>10</x:v>
      </x:c>
      <x:c r="D2826" s="1" t="str">
        <x:v>Energy Ball</x:v>
      </x:c>
      <x:c r="E2826" s="1" t="str">
        <x:v>Planta</x:v>
      </x:c>
      <x:c r="F2826" s="1" t="str">
        <x:v>Especial</x:v>
      </x:c>
      <x:c r="G2826" s="10" t="n">
        <x:v>90</x:v>
      </x:c>
      <x:c r="H2826" s="10" t="n">
        <x:f>IF(F2826="Física",'Pokémon'!G305,IF(F2826="Especial",'Pokémon'!I305,""))</x:f>
        <x:v>115</x:v>
      </x:c>
      <x:c r="I2826" s="10" t="n">
        <x:f>IF(OR(F2826="Status",G2826=0),"",G2826+H2826)</x:f>
        <x:v>205</x:v>
      </x:c>
      <x:c r="J2826" s="10" t="n">
        <x:v>44</x:v>
      </x:c>
      <x:c r="K2826" s="12" t="n">
        <x:v>22</x:v>
      </x:c>
      <x:c r="L2826" s="1" t="str"/>
      <x:c r="M2826" s="9" t="str">
        <x:v>https://poke.idleworld.online/pokepedia/pokemon/cacturne</x:v>
      </x:c>
    </x:row>
    <x:row r="2827" ht="22" customHeight="1">
      <x:c r="A2827" s="1" t="n">
        <x:v>332</x:v>
      </x:c>
      <x:c r="B2827" s="1" t="str">
        <x:v>Cacturne</x:v>
      </x:c>
      <x:c r="C2827" s="1" t="n">
        <x:v>8</x:v>
      </x:c>
      <x:c r="D2827" s="1" t="str">
        <x:v>Sucker Punch</x:v>
      </x:c>
      <x:c r="E2827" s="1" t="str">
        <x:v>Sombrio</x:v>
      </x:c>
      <x:c r="F2827" s="1" t="str">
        <x:v>Física</x:v>
      </x:c>
      <x:c r="G2827" s="10" t="n">
        <x:v>80</x:v>
      </x:c>
      <x:c r="H2827" s="10" t="n">
        <x:f>IF(F2827="Física",'Pokémon'!G305,IF(F2827="Especial",'Pokémon'!I305,""))</x:f>
        <x:v>115</x:v>
      </x:c>
      <x:c r="I2827" s="10" t="n">
        <x:f>IF(OR(F2827="Status",G2827=0),"",G2827+H2827)</x:f>
        <x:v>195</x:v>
      </x:c>
      <x:c r="J2827" s="10" t="n">
        <x:v>35</x:v>
      </x:c>
      <x:c r="K2827" s="12" t="n">
        <x:v>15</x:v>
      </x:c>
      <x:c r="L2827" s="1" t="str"/>
      <x:c r="M2827" s="9" t="str">
        <x:v>https://poke.idleworld.online/pokepedia/pokemon/cacturne</x:v>
      </x:c>
    </x:row>
    <x:row r="2828" ht="22" customHeight="1">
      <x:c r="A2828" s="1" t="n">
        <x:v>332</x:v>
      </x:c>
      <x:c r="B2828" s="1" t="str">
        <x:v>Cacturne</x:v>
      </x:c>
      <x:c r="C2828" s="1" t="n">
        <x:v>3</x:v>
      </x:c>
      <x:c r="D2828" s="1" t="str">
        <x:v>Revenge</x:v>
      </x:c>
      <x:c r="E2828" s="1" t="str">
        <x:v>Lutador</x:v>
      </x:c>
      <x:c r="F2828" s="1" t="str">
        <x:v>Física</x:v>
      </x:c>
      <x:c r="G2828" s="10" t="n">
        <x:v>60</x:v>
      </x:c>
      <x:c r="H2828" s="10" t="n">
        <x:f>IF(F2828="Física",'Pokémon'!G305,IF(F2828="Especial",'Pokémon'!I305,""))</x:f>
        <x:v>115</x:v>
      </x:c>
      <x:c r="I2828" s="10" t="n">
        <x:f>IF(OR(F2828="Status",G2828=0),"",G2828+H2828)</x:f>
        <x:v>175</x:v>
      </x:c>
      <x:c r="J2828" s="10" t="n">
        <x:v>1</x:v>
      </x:c>
      <x:c r="K2828" s="12" t="n">
        <x:v>20</x:v>
      </x:c>
      <x:c r="L2828" s="1" t="str"/>
      <x:c r="M2828" s="9" t="str">
        <x:v>https://poke.idleworld.online/pokepedia/pokemon/cacturne</x:v>
      </x:c>
    </x:row>
    <x:row r="2829" ht="22" customHeight="1">
      <x:c r="A2829" s="1" t="n">
        <x:v>332</x:v>
      </x:c>
      <x:c r="B2829" s="1" t="str">
        <x:v>Cacturne</x:v>
      </x:c>
      <x:c r="C2829" s="1" t="n">
        <x:v>4</x:v>
      </x:c>
      <x:c r="D2829" s="1" t="str">
        <x:v>Needle Arm</x:v>
      </x:c>
      <x:c r="E2829" s="1" t="str">
        <x:v>Planta</x:v>
      </x:c>
      <x:c r="F2829" s="1" t="str">
        <x:v>Física</x:v>
      </x:c>
      <x:c r="G2829" s="10" t="n">
        <x:v>60</x:v>
      </x:c>
      <x:c r="H2829" s="10" t="n">
        <x:f>IF(F2829="Física",'Pokémon'!G305,IF(F2829="Especial",'Pokémon'!I305,""))</x:f>
        <x:v>115</x:v>
      </x:c>
      <x:c r="I2829" s="10" t="n">
        <x:f>IF(OR(F2829="Status",G2829=0),"",G2829+H2829)</x:f>
        <x:v>175</x:v>
      </x:c>
      <x:c r="J2829" s="10" t="n">
        <x:v>16</x:v>
      </x:c>
      <x:c r="K2829" s="12" t="n">
        <x:v>45</x:v>
      </x:c>
      <x:c r="L2829" s="1" t="str"/>
      <x:c r="M2829" s="9" t="str">
        <x:v>https://poke.idleworld.online/pokepedia/pokemon/cacturne</x:v>
      </x:c>
    </x:row>
    <x:row r="2830" ht="22" customHeight="1">
      <x:c r="A2830" s="1" t="n">
        <x:v>332</x:v>
      </x:c>
      <x:c r="B2830" s="1" t="str">
        <x:v>Cacturne</x:v>
      </x:c>
      <x:c r="C2830" s="1" t="n">
        <x:v>5</x:v>
      </x:c>
      <x:c r="D2830" s="1" t="str">
        <x:v>Feint Attack</x:v>
      </x:c>
      <x:c r="E2830" s="1" t="str">
        <x:v>Sombrio</x:v>
      </x:c>
      <x:c r="F2830" s="1" t="str">
        <x:v>Física</x:v>
      </x:c>
      <x:c r="G2830" s="10" t="n">
        <x:v>60</x:v>
      </x:c>
      <x:c r="H2830" s="10" t="n">
        <x:f>IF(F2830="Física",'Pokémon'!G305,IF(F2830="Especial",'Pokémon'!I305,""))</x:f>
        <x:v>115</x:v>
      </x:c>
      <x:c r="I2830" s="10" t="n">
        <x:f>IF(OR(F2830="Status",G2830=0),"",G2830+H2830)</x:f>
        <x:v>175</x:v>
      </x:c>
      <x:c r="J2830" s="10" t="n">
        <x:v>19</x:v>
      </x:c>
      <x:c r="K2830" s="12" t="n">
        <x:v>20</x:v>
      </x:c>
      <x:c r="L2830" s="1" t="str"/>
      <x:c r="M2830" s="9" t="str">
        <x:v>https://poke.idleworld.online/pokepedia/pokemon/cacturne</x:v>
      </x:c>
    </x:row>
    <x:row r="2831" ht="22" customHeight="1">
      <x:c r="A2831" s="1" t="n">
        <x:v>332</x:v>
      </x:c>
      <x:c r="B2831" s="1" t="str">
        <x:v>Cacturne</x:v>
      </x:c>
      <x:c r="C2831" s="1" t="n">
        <x:v>6</x:v>
      </x:c>
      <x:c r="D2831" s="1" t="str">
        <x:v>Payback</x:v>
      </x:c>
      <x:c r="E2831" s="1" t="str">
        <x:v>Sombrio</x:v>
      </x:c>
      <x:c r="F2831" s="1" t="str">
        <x:v>Física</x:v>
      </x:c>
      <x:c r="G2831" s="10" t="n">
        <x:v>50</x:v>
      </x:c>
      <x:c r="H2831" s="10" t="n">
        <x:f>IF(F2831="Física",'Pokémon'!G305,IF(F2831="Especial",'Pokémon'!I305,""))</x:f>
        <x:v>115</x:v>
      </x:c>
      <x:c r="I2831" s="10" t="n">
        <x:f>IF(OR(F2831="Status",G2831=0),"",G2831+H2831)</x:f>
        <x:v>165</x:v>
      </x:c>
      <x:c r="J2831" s="10" t="n">
        <x:v>26</x:v>
      </x:c>
      <x:c r="K2831" s="12" t="n">
        <x:v>60</x:v>
      </x:c>
      <x:c r="L2831" s="1" t="str"/>
      <x:c r="M2831" s="9" t="str">
        <x:v>https://poke.idleworld.online/pokepedia/pokemon/cacturne</x:v>
      </x:c>
    </x:row>
    <x:row r="2832" ht="22" customHeight="1">
      <x:c r="A2832" s="1" t="n">
        <x:v>332</x:v>
      </x:c>
      <x:c r="B2832" s="1" t="str">
        <x:v>Cacturne</x:v>
      </x:c>
      <x:c r="C2832" s="1" t="n">
        <x:v>9</x:v>
      </x:c>
      <x:c r="D2832" s="1" t="str">
        <x:v>Pin Missile</x:v>
      </x:c>
      <x:c r="E2832" s="1" t="str">
        <x:v>Inseto</x:v>
      </x:c>
      <x:c r="F2832" s="1" t="str">
        <x:v>Física</x:v>
      </x:c>
      <x:c r="G2832" s="10" t="n">
        <x:v>25</x:v>
      </x:c>
      <x:c r="H2832" s="10" t="n">
        <x:f>IF(F2832="Física",'Pokémon'!G305,IF(F2832="Especial",'Pokémon'!I305,""))</x:f>
        <x:v>115</x:v>
      </x:c>
      <x:c r="I2832" s="10" t="n">
        <x:f>IF(OR(F2832="Status",G2832=0),"",G2832+H2832)</x:f>
        <x:v>140</x:v>
      </x:c>
      <x:c r="J2832" s="10" t="n">
        <x:v>38</x:v>
      </x:c>
      <x:c r="K2832" s="12" t="n">
        <x:v>15</x:v>
      </x:c>
      <x:c r="L2832" s="1" t="str"/>
      <x:c r="M2832" s="9" t="str">
        <x:v>https://poke.idleworld.online/pokepedia/pokemon/cacturne</x:v>
      </x:c>
    </x:row>
    <x:row r="2833" ht="22" customHeight="1">
      <x:c r="A2833" s="1" t="n">
        <x:v>332</x:v>
      </x:c>
      <x:c r="B2833" s="1" t="str">
        <x:v>Cacturne</x:v>
      </x:c>
      <x:c r="C2833" s="1" t="n">
        <x:v>2</x:v>
      </x:c>
      <x:c r="D2833" s="1" t="str">
        <x:v>Absorb</x:v>
      </x:c>
      <x:c r="E2833" s="1" t="str">
        <x:v>Planta</x:v>
      </x:c>
      <x:c r="F2833" s="1" t="str">
        <x:v>Especial</x:v>
      </x:c>
      <x:c r="G2833" s="10" t="n">
        <x:v>20</x:v>
      </x:c>
      <x:c r="H2833" s="10" t="n">
        <x:f>IF(F2833="Física",'Pokémon'!G305,IF(F2833="Especial",'Pokémon'!I305,""))</x:f>
        <x:v>115</x:v>
      </x:c>
      <x:c r="I2833" s="10" t="n">
        <x:f>IF(OR(F2833="Status",G2833=0),"",G2833+H2833)</x:f>
        <x:v>135</x:v>
      </x:c>
      <x:c r="J2833" s="10" t="n">
        <x:v>1</x:v>
      </x:c>
      <x:c r="K2833" s="12" t="n">
        <x:v>15</x:v>
      </x:c>
      <x:c r="L2833" s="1" t="str"/>
      <x:c r="M2833" s="9" t="str">
        <x:v>https://poke.idleworld.online/pokepedia/pokemon/cacturne</x:v>
      </x:c>
    </x:row>
    <x:row r="2834" ht="22" customHeight="1">
      <x:c r="A2834" s="1" t="n">
        <x:v>332</x:v>
      </x:c>
      <x:c r="B2834" s="1" t="str">
        <x:v>Cacturne</x:v>
      </x:c>
      <x:c r="C2834" s="1" t="n">
        <x:v>1</x:v>
      </x:c>
      <x:c r="D2834" s="1" t="str">
        <x:v>Poison Sting</x:v>
      </x:c>
      <x:c r="E2834" s="1" t="str">
        <x:v>Venenoso</x:v>
      </x:c>
      <x:c r="F2834" s="1" t="str">
        <x:v>Física</x:v>
      </x:c>
      <x:c r="G2834" s="10" t="n">
        <x:v>15</x:v>
      </x:c>
      <x:c r="H2834" s="10" t="n">
        <x:f>IF(F2834="Física",'Pokémon'!G305,IF(F2834="Especial",'Pokémon'!I305,""))</x:f>
        <x:v>115</x:v>
      </x:c>
      <x:c r="I2834" s="10" t="n">
        <x:f>IF(OR(F2834="Status",G2834=0),"",G2834+H2834)</x:f>
        <x:v>130</x:v>
      </x:c>
      <x:c r="J2834" s="10" t="n">
        <x:v>1</x:v>
      </x:c>
      <x:c r="K2834" s="12" t="n">
        <x:v>15</x:v>
      </x:c>
      <x:c r="L2834" s="1" t="str"/>
      <x:c r="M2834" s="9" t="str">
        <x:v>https://poke.idleworld.online/pokepedia/pokemon/cacturne</x:v>
      </x:c>
    </x:row>
    <x:row r="2835" ht="22" customHeight="1">
      <x:c r="A2835" s="1" t="n">
        <x:v>332</x:v>
      </x:c>
      <x:c r="B2835" s="1" t="str">
        <x:v>Cacturne</x:v>
      </x:c>
      <x:c r="C2835" s="1" t="n">
        <x:v>7</x:v>
      </x:c>
      <x:c r="D2835" s="1" t="str">
        <x:v>Spiky Shield</x:v>
      </x:c>
      <x:c r="E2835" s="1" t="str">
        <x:v>Planta</x:v>
      </x:c>
      <x:c r="F2835" s="1" t="str">
        <x:v>Status</x:v>
      </x:c>
      <x:c r="G2835" s="10" t="n">
        <x:v>0</x:v>
      </x:c>
      <x:c r="H2835" s="10" t="str">
        <x:f>IF(F2835="Física",'Pokémon'!G305,IF(F2835="Especial",'Pokémon'!I305,""))</x:f>
      </x:c>
      <x:c r="I2835" s="10" t="str">
        <x:f>IF(OR(F2835="Status",G2835=0),"",G2835+H2835)</x:f>
      </x:c>
      <x:c r="J2835" s="10" t="n">
        <x:v>32</x:v>
      </x:c>
      <x:c r="K2835" s="12" t="n">
        <x:v>60</x:v>
      </x:c>
      <x:c r="L2835" s="1" t="str"/>
      <x:c r="M2835" s="9" t="str">
        <x:v>https://poke.idleworld.online/pokepedia/pokemon/cacturne</x:v>
      </x:c>
    </x:row>
    <x:row r="2836" ht="22" customHeight="1">
      <x:c r="A2836" s="1" t="n">
        <x:v>332</x:v>
      </x:c>
      <x:c r="B2836" s="1" t="str">
        <x:v>Cacturne</x:v>
      </x:c>
      <x:c r="C2836" s="1" t="n">
        <x:v>11</x:v>
      </x:c>
      <x:c r="D2836" s="1" t="str">
        <x:v>Sandstorm</x:v>
      </x:c>
      <x:c r="E2836" s="1" t="str">
        <x:v>Pedra</x:v>
      </x:c>
      <x:c r="F2836" s="1" t="str">
        <x:v>Status</x:v>
      </x:c>
      <x:c r="G2836" s="10" t="n">
        <x:v>0</x:v>
      </x:c>
      <x:c r="H2836" s="10" t="str">
        <x:f>IF(F2836="Física",'Pokémon'!G305,IF(F2836="Especial",'Pokémon'!I305,""))</x:f>
      </x:c>
      <x:c r="I2836" s="10" t="str">
        <x:f>IF(OR(F2836="Status",G2836=0),"",G2836+H2836)</x:f>
      </x:c>
      <x:c r="J2836" s="10" t="n">
        <x:v>54</x:v>
      </x:c>
      <x:c r="K2836" s="12" t="n">
        <x:v>50</x:v>
      </x:c>
      <x:c r="L2836" s="1" t="str"/>
      <x:c r="M2836" s="9" t="str">
        <x:v>https://poke.idleworld.online/pokepedia/pokemon/cacturne</x:v>
      </x:c>
    </x:row>
    <x:row r="2837" ht="22" customHeight="1">
      <x:c r="A2837" s="1" t="n">
        <x:v>333</x:v>
      </x:c>
      <x:c r="B2837" s="1" t="str">
        <x:v>Swablu</x:v>
      </x:c>
      <x:c r="C2837" s="1" t="n">
        <x:v>9</x:v>
      </x:c>
      <x:c r="D2837" s="1" t="str">
        <x:v>Moonblast</x:v>
      </x:c>
      <x:c r="E2837" s="1" t="str">
        <x:v>Fada</x:v>
      </x:c>
      <x:c r="F2837" s="1" t="str">
        <x:v>Especial</x:v>
      </x:c>
      <x:c r="G2837" s="10" t="n">
        <x:v>95</x:v>
      </x:c>
      <x:c r="H2837" s="10" t="n">
        <x:f>IF(F2837="Física",'Pokémon'!G306,IF(F2837="Especial",'Pokémon'!I306,""))</x:f>
        <x:v>40</x:v>
      </x:c>
      <x:c r="I2837" s="10" t="n">
        <x:f>IF(OR(F2837="Status",G2837=0),"",G2837+H2837)</x:f>
        <x:v>135</x:v>
      </x:c>
      <x:c r="J2837" s="10" t="n">
        <x:v>46</x:v>
      </x:c>
      <x:c r="K2837" s="12" t="n">
        <x:v>40</x:v>
      </x:c>
      <x:c r="L2837" s="1" t="str"/>
      <x:c r="M2837" s="9" t="str">
        <x:v>https://poke.idleworld.online/pokepedia/pokemon/swablu</x:v>
      </x:c>
    </x:row>
    <x:row r="2838" ht="22" customHeight="1">
      <x:c r="A2838" s="1" t="n">
        <x:v>333</x:v>
      </x:c>
      <x:c r="B2838" s="1" t="str">
        <x:v>Swablu</x:v>
      </x:c>
      <x:c r="C2838" s="1" t="n">
        <x:v>7</x:v>
      </x:c>
      <x:c r="D2838" s="1" t="str">
        <x:v>Take Down</x:v>
      </x:c>
      <x:c r="E2838" s="1" t="str">
        <x:v>Normal</x:v>
      </x:c>
      <x:c r="F2838" s="1" t="str">
        <x:v>Física</x:v>
      </x:c>
      <x:c r="G2838" s="10" t="n">
        <x:v>90</x:v>
      </x:c>
      <x:c r="H2838" s="10" t="n">
        <x:f>IF(F2838="Física",'Pokémon'!G306,IF(F2838="Especial",'Pokémon'!I306,""))</x:f>
        <x:v>40</x:v>
      </x:c>
      <x:c r="I2838" s="10" t="n">
        <x:f>IF(OR(F2838="Status",G2838=0),"",G2838+H2838)</x:f>
        <x:v>130</x:v>
      </x:c>
      <x:c r="J2838" s="10" t="n">
        <x:v>23</x:v>
      </x:c>
      <x:c r="K2838" s="12" t="n">
        <x:v>22</x:v>
      </x:c>
      <x:c r="L2838" s="1" t="str"/>
      <x:c r="M2838" s="9" t="str">
        <x:v>https://poke.idleworld.online/pokepedia/pokemon/swablu</x:v>
      </x:c>
    </x:row>
    <x:row r="2839" ht="22" customHeight="1">
      <x:c r="A2839" s="1" t="n">
        <x:v>333</x:v>
      </x:c>
      <x:c r="B2839" s="1" t="str">
        <x:v>Swablu</x:v>
      </x:c>
      <x:c r="C2839" s="1" t="n">
        <x:v>8</x:v>
      </x:c>
      <x:c r="D2839" s="1" t="str">
        <x:v>Dragon Pulse</x:v>
      </x:c>
      <x:c r="E2839" s="1" t="str">
        <x:v>Dragão</x:v>
      </x:c>
      <x:c r="F2839" s="1" t="str">
        <x:v>Especial</x:v>
      </x:c>
      <x:c r="G2839" s="10" t="n">
        <x:v>85</x:v>
      </x:c>
      <x:c r="H2839" s="10" t="n">
        <x:f>IF(F2839="Física",'Pokémon'!G306,IF(F2839="Especial",'Pokémon'!I306,""))</x:f>
        <x:v>40</x:v>
      </x:c>
      <x:c r="I2839" s="10" t="n">
        <x:f>IF(OR(F2839="Status",G2839=0),"",G2839+H2839)</x:f>
        <x:v>125</x:v>
      </x:c>
      <x:c r="J2839" s="10" t="n">
        <x:v>38</x:v>
      </x:c>
      <x:c r="K2839" s="12" t="n">
        <x:v>45</x:v>
      </x:c>
      <x:c r="L2839" s="1" t="str"/>
      <x:c r="M2839" s="9" t="str">
        <x:v>https://poke.idleworld.online/pokepedia/pokemon/swablu</x:v>
      </x:c>
    </x:row>
    <x:row r="2840" ht="22" customHeight="1">
      <x:c r="A2840" s="1" t="n">
        <x:v>333</x:v>
      </x:c>
      <x:c r="B2840" s="1" t="str">
        <x:v>Swablu</x:v>
      </x:c>
      <x:c r="C2840" s="1" t="n">
        <x:v>6</x:v>
      </x:c>
      <x:c r="D2840" s="1" t="str">
        <x:v>Round</x:v>
      </x:c>
      <x:c r="E2840" s="1" t="str">
        <x:v>Normal</x:v>
      </x:c>
      <x:c r="F2840" s="1" t="str">
        <x:v>Especial</x:v>
      </x:c>
      <x:c r="G2840" s="10" t="n">
        <x:v>60</x:v>
      </x:c>
      <x:c r="H2840" s="10" t="n">
        <x:f>IF(F2840="Física",'Pokémon'!G306,IF(F2840="Especial",'Pokémon'!I306,""))</x:f>
        <x:v>40</x:v>
      </x:c>
      <x:c r="I2840" s="10" t="n">
        <x:f>IF(OR(F2840="Status",G2840=0),"",G2840+H2840)</x:f>
        <x:v>100</x:v>
      </x:c>
      <x:c r="J2840" s="10" t="n">
        <x:v>17</x:v>
      </x:c>
      <x:c r="K2840" s="12" t="n">
        <x:v>20</x:v>
      </x:c>
      <x:c r="L2840" s="1" t="str"/>
      <x:c r="M2840" s="9" t="str">
        <x:v>https://poke.idleworld.online/pokepedia/pokemon/swablu</x:v>
      </x:c>
    </x:row>
    <x:row r="2841" ht="22" customHeight="1">
      <x:c r="A2841" s="1" t="n">
        <x:v>333</x:v>
      </x:c>
      <x:c r="B2841" s="1" t="str">
        <x:v>Swablu</x:v>
      </x:c>
      <x:c r="C2841" s="1" t="n">
        <x:v>5</x:v>
      </x:c>
      <x:c r="D2841" s="1" t="str">
        <x:v>Disarming Voice</x:v>
      </x:c>
      <x:c r="E2841" s="1" t="str">
        <x:v>Fada</x:v>
      </x:c>
      <x:c r="F2841" s="1" t="str">
        <x:v>Especial</x:v>
      </x:c>
      <x:c r="G2841" s="10" t="n">
        <x:v>40</x:v>
      </x:c>
      <x:c r="H2841" s="10" t="n">
        <x:f>IF(F2841="Física",'Pokémon'!G306,IF(F2841="Especial",'Pokémon'!I306,""))</x:f>
        <x:v>40</x:v>
      </x:c>
      <x:c r="I2841" s="10" t="n">
        <x:f>IF(OR(F2841="Status",G2841=0),"",G2841+H2841)</x:f>
        <x:v>80</x:v>
      </x:c>
      <x:c r="J2841" s="10" t="n">
        <x:v>11</x:v>
      </x:c>
      <x:c r="K2841" s="12" t="n">
        <x:v>15</x:v>
      </x:c>
      <x:c r="L2841" s="1" t="str"/>
      <x:c r="M2841" s="9" t="str">
        <x:v>https://poke.idleworld.online/pokepedia/pokemon/swablu</x:v>
      </x:c>
    </x:row>
    <x:row r="2842" ht="22" customHeight="1">
      <x:c r="A2842" s="1" t="n">
        <x:v>333</x:v>
      </x:c>
      <x:c r="B2842" s="1" t="str">
        <x:v>Swablu</x:v>
      </x:c>
      <x:c r="C2842" s="1" t="n">
        <x:v>1</x:v>
      </x:c>
      <x:c r="D2842" s="1" t="str">
        <x:v>Peck</x:v>
      </x:c>
      <x:c r="E2842" s="1" t="str">
        <x:v>Voador</x:v>
      </x:c>
      <x:c r="F2842" s="1" t="str">
        <x:v>Física</x:v>
      </x:c>
      <x:c r="G2842" s="10" t="n">
        <x:v>35</x:v>
      </x:c>
      <x:c r="H2842" s="10" t="n">
        <x:f>IF(F2842="Física",'Pokémon'!G306,IF(F2842="Especial",'Pokémon'!I306,""))</x:f>
        <x:v>40</x:v>
      </x:c>
      <x:c r="I2842" s="10" t="n">
        <x:f>IF(OR(F2842="Status",G2842=0),"",G2842+H2842)</x:f>
        <x:v>75</x:v>
      </x:c>
      <x:c r="J2842" s="10" t="n">
        <x:v>1</x:v>
      </x:c>
      <x:c r="K2842" s="12" t="n">
        <x:v>10</x:v>
      </x:c>
      <x:c r="L2842" s="1" t="str"/>
      <x:c r="M2842" s="9" t="str">
        <x:v>https://poke.idleworld.online/pokepedia/pokemon/swablu</x:v>
      </x:c>
    </x:row>
    <x:row r="2843" ht="22" customHeight="1">
      <x:c r="A2843" s="1" t="n">
        <x:v>333</x:v>
      </x:c>
      <x:c r="B2843" s="1" t="str">
        <x:v>Swablu</x:v>
      </x:c>
      <x:c r="C2843" s="1" t="n">
        <x:v>2</x:v>
      </x:c>
      <x:c r="D2843" s="1" t="str">
        <x:v>Astonish</x:v>
      </x:c>
      <x:c r="E2843" s="1" t="str">
        <x:v>Fantasma</x:v>
      </x:c>
      <x:c r="F2843" s="1" t="str">
        <x:v>Física</x:v>
      </x:c>
      <x:c r="G2843" s="10" t="n">
        <x:v>30</x:v>
      </x:c>
      <x:c r="H2843" s="10" t="n">
        <x:f>IF(F2843="Física",'Pokémon'!G306,IF(F2843="Especial",'Pokémon'!I306,""))</x:f>
        <x:v>40</x:v>
      </x:c>
      <x:c r="I2843" s="10" t="n">
        <x:f>IF(OR(F2843="Status",G2843=0),"",G2843+H2843)</x:f>
        <x:v>70</x:v>
      </x:c>
      <x:c r="J2843" s="10" t="n">
        <x:v>3</x:v>
      </x:c>
      <x:c r="K2843" s="12" t="n">
        <x:v>15</x:v>
      </x:c>
      <x:c r="L2843" s="1" t="str"/>
      <x:c r="M2843" s="9" t="str">
        <x:v>https://poke.idleworld.online/pokepedia/pokemon/swablu</x:v>
      </x:c>
    </x:row>
    <x:row r="2844" ht="22" customHeight="1">
      <x:c r="A2844" s="1" t="n">
        <x:v>333</x:v>
      </x:c>
      <x:c r="B2844" s="1" t="str">
        <x:v>Swablu</x:v>
      </x:c>
      <x:c r="C2844" s="1" t="n">
        <x:v>4</x:v>
      </x:c>
      <x:c r="D2844" s="1" t="str">
        <x:v>Fury Attack</x:v>
      </x:c>
      <x:c r="E2844" s="1" t="str">
        <x:v>Normal</x:v>
      </x:c>
      <x:c r="F2844" s="1" t="str">
        <x:v>Física</x:v>
      </x:c>
      <x:c r="G2844" s="10" t="n">
        <x:v>15</x:v>
      </x:c>
      <x:c r="H2844" s="10" t="n">
        <x:f>IF(F2844="Física",'Pokémon'!G306,IF(F2844="Especial",'Pokémon'!I306,""))</x:f>
        <x:v>40</x:v>
      </x:c>
      <x:c r="I2844" s="10" t="n">
        <x:f>IF(OR(F2844="Status",G2844=0),"",G2844+H2844)</x:f>
        <x:v>55</x:v>
      </x:c>
      <x:c r="J2844" s="10" t="n">
        <x:v>7</x:v>
      </x:c>
      <x:c r="K2844" s="12" t="n">
        <x:v>15</x:v>
      </x:c>
      <x:c r="L2844" s="1" t="str"/>
      <x:c r="M2844" s="9" t="str">
        <x:v>https://poke.idleworld.online/pokepedia/pokemon/swablu</x:v>
      </x:c>
    </x:row>
    <x:row r="2845" ht="22" customHeight="1">
      <x:c r="A2845" s="1" t="n">
        <x:v>333</x:v>
      </x:c>
      <x:c r="B2845" s="1" t="str">
        <x:v>Swablu</x:v>
      </x:c>
      <x:c r="C2845" s="1" t="n">
        <x:v>3</x:v>
      </x:c>
      <x:c r="D2845" s="1" t="str">
        <x:v>Sing</x:v>
      </x:c>
      <x:c r="E2845" s="1" t="str">
        <x:v>Normal</x:v>
      </x:c>
      <x:c r="F2845" s="1" t="str">
        <x:v>Status</x:v>
      </x:c>
      <x:c r="G2845" s="10" t="n">
        <x:v>0</x:v>
      </x:c>
      <x:c r="H2845" s="10" t="str">
        <x:f>IF(F2845="Física",'Pokémon'!G306,IF(F2845="Especial",'Pokémon'!I306,""))</x:f>
      </x:c>
      <x:c r="I2845" s="10" t="str">
        <x:f>IF(OR(F2845="Status",G2845=0),"",G2845+H2845)</x:f>
      </x:c>
      <x:c r="J2845" s="10" t="n">
        <x:v>5</x:v>
      </x:c>
      <x:c r="K2845" s="12" t="n">
        <x:v>50</x:v>
      </x:c>
      <x:c r="L2845" s="1" t="str"/>
      <x:c r="M2845" s="9" t="str">
        <x:v>https://poke.idleworld.online/pokepedia/pokemon/swablu</x:v>
      </x:c>
    </x:row>
    <x:row r="2846" ht="22" customHeight="1">
      <x:c r="A2846" s="1" t="n">
        <x:v>334</x:v>
      </x:c>
      <x:c r="B2846" s="1" t="str">
        <x:v>Altaria</x:v>
      </x:c>
      <x:c r="C2846" s="1" t="n">
        <x:v>3</x:v>
      </x:c>
      <x:c r="D2846" s="1" t="str">
        <x:v>Sky Attack</x:v>
      </x:c>
      <x:c r="E2846" s="1" t="str">
        <x:v>Voador</x:v>
      </x:c>
      <x:c r="F2846" s="1" t="str">
        <x:v>Física</x:v>
      </x:c>
      <x:c r="G2846" s="10" t="n">
        <x:v>140</x:v>
      </x:c>
      <x:c r="H2846" s="10" t="n">
        <x:f>IF(F2846="Física",'Pokémon'!G307,IF(F2846="Especial",'Pokémon'!I307,""))</x:f>
        <x:v>70</x:v>
      </x:c>
      <x:c r="I2846" s="10" t="n">
        <x:f>IF(OR(F2846="Status",G2846=0),"",G2846+H2846)</x:f>
        <x:v>210</x:v>
      </x:c>
      <x:c r="J2846" s="10" t="n">
        <x:v>1</x:v>
      </x:c>
      <x:c r="K2846" s="12" t="n">
        <x:v>80</x:v>
      </x:c>
      <x:c r="L2846" s="1" t="str"/>
      <x:c r="M2846" s="9" t="str">
        <x:v>https://poke.idleworld.online/pokepedia/pokemon/altaria</x:v>
      </x:c>
    </x:row>
    <x:row r="2847" ht="22" customHeight="1">
      <x:c r="A2847" s="1" t="n">
        <x:v>334</x:v>
      </x:c>
      <x:c r="B2847" s="1" t="str">
        <x:v>Altaria</x:v>
      </x:c>
      <x:c r="C2847" s="1" t="n">
        <x:v>12</x:v>
      </x:c>
      <x:c r="D2847" s="1" t="str">
        <x:v>Moonblast</x:v>
      </x:c>
      <x:c r="E2847" s="1" t="str">
        <x:v>Fada</x:v>
      </x:c>
      <x:c r="F2847" s="1" t="str">
        <x:v>Especial</x:v>
      </x:c>
      <x:c r="G2847" s="10" t="n">
        <x:v>95</x:v>
      </x:c>
      <x:c r="H2847" s="10" t="n">
        <x:f>IF(F2847="Física",'Pokémon'!G307,IF(F2847="Especial",'Pokémon'!I307,""))</x:f>
        <x:v>70</x:v>
      </x:c>
      <x:c r="I2847" s="10" t="n">
        <x:f>IF(OR(F2847="Status",G2847=0),"",G2847+H2847)</x:f>
        <x:v>165</x:v>
      </x:c>
      <x:c r="J2847" s="10" t="n">
        <x:v>52</x:v>
      </x:c>
      <x:c r="K2847" s="12" t="n">
        <x:v>40</x:v>
      </x:c>
      <x:c r="L2847" s="1" t="str"/>
      <x:c r="M2847" s="9" t="str">
        <x:v>https://poke.idleworld.online/pokepedia/pokemon/altaria</x:v>
      </x:c>
    </x:row>
    <x:row r="2848" ht="22" customHeight="1">
      <x:c r="A2848" s="1" t="n">
        <x:v>334</x:v>
      </x:c>
      <x:c r="B2848" s="1" t="str">
        <x:v>Altaria</x:v>
      </x:c>
      <x:c r="C2848" s="1" t="n">
        <x:v>9</x:v>
      </x:c>
      <x:c r="D2848" s="1" t="str">
        <x:v>Take Down</x:v>
      </x:c>
      <x:c r="E2848" s="1" t="str">
        <x:v>Normal</x:v>
      </x:c>
      <x:c r="F2848" s="1" t="str">
        <x:v>Física</x:v>
      </x:c>
      <x:c r="G2848" s="10" t="n">
        <x:v>90</x:v>
      </x:c>
      <x:c r="H2848" s="10" t="n">
        <x:f>IF(F2848="Física",'Pokémon'!G307,IF(F2848="Especial",'Pokémon'!I307,""))</x:f>
        <x:v>70</x:v>
      </x:c>
      <x:c r="I2848" s="10" t="n">
        <x:f>IF(OR(F2848="Status",G2848=0),"",G2848+H2848)</x:f>
        <x:v>160</x:v>
      </x:c>
      <x:c r="J2848" s="10" t="n">
        <x:v>23</x:v>
      </x:c>
      <x:c r="K2848" s="12" t="n">
        <x:v>22</x:v>
      </x:c>
      <x:c r="L2848" s="1" t="str"/>
      <x:c r="M2848" s="9" t="str">
        <x:v>https://poke.idleworld.online/pokepedia/pokemon/altaria</x:v>
      </x:c>
    </x:row>
    <x:row r="2849" ht="22" customHeight="1">
      <x:c r="A2849" s="1" t="n">
        <x:v>334</x:v>
      </x:c>
      <x:c r="B2849" s="1" t="str">
        <x:v>Altaria</x:v>
      </x:c>
      <x:c r="C2849" s="1" t="n">
        <x:v>11</x:v>
      </x:c>
      <x:c r="D2849" s="1" t="str">
        <x:v>Dragon Pulse</x:v>
      </x:c>
      <x:c r="E2849" s="1" t="str">
        <x:v>Dragão</x:v>
      </x:c>
      <x:c r="F2849" s="1" t="str">
        <x:v>Especial</x:v>
      </x:c>
      <x:c r="G2849" s="10" t="n">
        <x:v>85</x:v>
      </x:c>
      <x:c r="H2849" s="10" t="n">
        <x:f>IF(F2849="Física",'Pokémon'!G307,IF(F2849="Especial",'Pokémon'!I307,""))</x:f>
        <x:v>70</x:v>
      </x:c>
      <x:c r="I2849" s="10" t="n">
        <x:f>IF(OR(F2849="Status",G2849=0),"",G2849+H2849)</x:f>
        <x:v>155</x:v>
      </x:c>
      <x:c r="J2849" s="10" t="n">
        <x:v>40</x:v>
      </x:c>
      <x:c r="K2849" s="12" t="n">
        <x:v>22</x:v>
      </x:c>
      <x:c r="L2849" s="1" t="str"/>
      <x:c r="M2849" s="9" t="str">
        <x:v>https://poke.idleworld.online/pokepedia/pokemon/altaria</x:v>
      </x:c>
    </x:row>
    <x:row r="2850" ht="22" customHeight="1">
      <x:c r="A2850" s="1" t="n">
        <x:v>334</x:v>
      </x:c>
      <x:c r="B2850" s="1" t="str">
        <x:v>Altaria</x:v>
      </x:c>
      <x:c r="C2850" s="1" t="n">
        <x:v>1</x:v>
      </x:c>
      <x:c r="D2850" s="1" t="str">
        <x:v>Pluck</x:v>
      </x:c>
      <x:c r="E2850" s="1" t="str">
        <x:v>Voador</x:v>
      </x:c>
      <x:c r="F2850" s="1" t="str">
        <x:v>Física</x:v>
      </x:c>
      <x:c r="G2850" s="10" t="n">
        <x:v>60</x:v>
      </x:c>
      <x:c r="H2850" s="10" t="n">
        <x:f>IF(F2850="Física",'Pokémon'!G307,IF(F2850="Especial",'Pokémon'!I307,""))</x:f>
        <x:v>70</x:v>
      </x:c>
      <x:c r="I2850" s="10" t="n">
        <x:f>IF(OR(F2850="Status",G2850=0),"",G2850+H2850)</x:f>
        <x:v>130</x:v>
      </x:c>
      <x:c r="J2850" s="10" t="n">
        <x:v>1</x:v>
      </x:c>
      <x:c r="K2850" s="12" t="n">
        <x:v>10</x:v>
      </x:c>
      <x:c r="L2850" s="1" t="str"/>
      <x:c r="M2850" s="9" t="str">
        <x:v>https://poke.idleworld.online/pokepedia/pokemon/altaria</x:v>
      </x:c>
    </x:row>
    <x:row r="2851" ht="22" customHeight="1">
      <x:c r="A2851" s="1" t="n">
        <x:v>334</x:v>
      </x:c>
      <x:c r="B2851" s="1" t="str">
        <x:v>Altaria</x:v>
      </x:c>
      <x:c r="C2851" s="1" t="n">
        <x:v>8</x:v>
      </x:c>
      <x:c r="D2851" s="1" t="str">
        <x:v>Round</x:v>
      </x:c>
      <x:c r="E2851" s="1" t="str">
        <x:v>Normal</x:v>
      </x:c>
      <x:c r="F2851" s="1" t="str">
        <x:v>Especial</x:v>
      </x:c>
      <x:c r="G2851" s="10" t="n">
        <x:v>60</x:v>
      </x:c>
      <x:c r="H2851" s="10" t="n">
        <x:f>IF(F2851="Física",'Pokémon'!G307,IF(F2851="Especial",'Pokémon'!I307,""))</x:f>
        <x:v>70</x:v>
      </x:c>
      <x:c r="I2851" s="10" t="n">
        <x:f>IF(OR(F2851="Status",G2851=0),"",G2851+H2851)</x:f>
        <x:v>130</x:v>
      </x:c>
      <x:c r="J2851" s="10" t="n">
        <x:v>17</x:v>
      </x:c>
      <x:c r="K2851" s="12" t="n">
        <x:v>20</x:v>
      </x:c>
      <x:c r="L2851" s="1" t="str"/>
      <x:c r="M2851" s="9" t="str">
        <x:v>https://poke.idleworld.online/pokepedia/pokemon/altaria</x:v>
      </x:c>
    </x:row>
    <x:row r="2852" ht="22" customHeight="1">
      <x:c r="A2852" s="1" t="n">
        <x:v>334</x:v>
      </x:c>
      <x:c r="B2852" s="1" t="str">
        <x:v>Altaria</x:v>
      </x:c>
      <x:c r="C2852" s="1" t="n">
        <x:v>10</x:v>
      </x:c>
      <x:c r="D2852" s="1" t="str">
        <x:v>Dragon Breath</x:v>
      </x:c>
      <x:c r="E2852" s="1" t="str">
        <x:v>Dragão</x:v>
      </x:c>
      <x:c r="F2852" s="1" t="str">
        <x:v>Especial</x:v>
      </x:c>
      <x:c r="G2852" s="10" t="n">
        <x:v>60</x:v>
      </x:c>
      <x:c r="H2852" s="10" t="n">
        <x:f>IF(F2852="Física",'Pokémon'!G307,IF(F2852="Especial",'Pokémon'!I307,""))</x:f>
        <x:v>70</x:v>
      </x:c>
      <x:c r="I2852" s="10" t="n">
        <x:f>IF(OR(F2852="Status",G2852=0),"",G2852+H2852)</x:f>
        <x:v>130</x:v>
      </x:c>
      <x:c r="J2852" s="10" t="n">
        <x:v>35</x:v>
      </x:c>
      <x:c r="K2852" s="12" t="n">
        <x:v>30</x:v>
      </x:c>
      <x:c r="L2852" s="1" t="str"/>
      <x:c r="M2852" s="9" t="str">
        <x:v>https://poke.idleworld.online/pokepedia/pokemon/altaria</x:v>
      </x:c>
    </x:row>
    <x:row r="2853" ht="22" customHeight="1">
      <x:c r="A2853" s="1" t="n">
        <x:v>334</x:v>
      </x:c>
      <x:c r="B2853" s="1" t="str">
        <x:v>Altaria</x:v>
      </x:c>
      <x:c r="C2853" s="1" t="n">
        <x:v>7</x:v>
      </x:c>
      <x:c r="D2853" s="1" t="str">
        <x:v>Disarming Voice</x:v>
      </x:c>
      <x:c r="E2853" s="1" t="str">
        <x:v>Fada</x:v>
      </x:c>
      <x:c r="F2853" s="1" t="str">
        <x:v>Especial</x:v>
      </x:c>
      <x:c r="G2853" s="10" t="n">
        <x:v>40</x:v>
      </x:c>
      <x:c r="H2853" s="10" t="n">
        <x:f>IF(F2853="Física",'Pokémon'!G307,IF(F2853="Especial",'Pokémon'!I307,""))</x:f>
        <x:v>70</x:v>
      </x:c>
      <x:c r="I2853" s="10" t="n">
        <x:f>IF(OR(F2853="Status",G2853=0),"",G2853+H2853)</x:f>
        <x:v>110</x:v>
      </x:c>
      <x:c r="J2853" s="10" t="n">
        <x:v>11</x:v>
      </x:c>
      <x:c r="K2853" s="12" t="n">
        <x:v>15</x:v>
      </x:c>
      <x:c r="L2853" s="1" t="str"/>
      <x:c r="M2853" s="9" t="str">
        <x:v>https://poke.idleworld.online/pokepedia/pokemon/altaria</x:v>
      </x:c>
    </x:row>
    <x:row r="2854" ht="22" customHeight="1">
      <x:c r="A2854" s="1" t="n">
        <x:v>334</x:v>
      </x:c>
      <x:c r="B2854" s="1" t="str">
        <x:v>Altaria</x:v>
      </x:c>
      <x:c r="C2854" s="1" t="n">
        <x:v>5</x:v>
      </x:c>
      <x:c r="D2854" s="1" t="str">
        <x:v>Peck</x:v>
      </x:c>
      <x:c r="E2854" s="1" t="str">
        <x:v>Voador</x:v>
      </x:c>
      <x:c r="F2854" s="1" t="str">
        <x:v>Física</x:v>
      </x:c>
      <x:c r="G2854" s="10" t="n">
        <x:v>35</x:v>
      </x:c>
      <x:c r="H2854" s="10" t="n">
        <x:f>IF(F2854="Física",'Pokémon'!G307,IF(F2854="Especial",'Pokémon'!I307,""))</x:f>
        <x:v>70</x:v>
      </x:c>
      <x:c r="I2854" s="10" t="n">
        <x:f>IF(OR(F2854="Status",G2854=0),"",G2854+H2854)</x:f>
        <x:v>105</x:v>
      </x:c>
      <x:c r="J2854" s="10" t="n">
        <x:v>1</x:v>
      </x:c>
      <x:c r="K2854" s="12" t="n">
        <x:v>15</x:v>
      </x:c>
      <x:c r="L2854" s="1" t="str"/>
      <x:c r="M2854" s="9" t="str">
        <x:v>https://poke.idleworld.online/pokepedia/pokemon/altaria</x:v>
      </x:c>
    </x:row>
    <x:row r="2855" ht="22" customHeight="1">
      <x:c r="A2855" s="1" t="n">
        <x:v>334</x:v>
      </x:c>
      <x:c r="B2855" s="1" t="str">
        <x:v>Altaria</x:v>
      </x:c>
      <x:c r="C2855" s="1" t="n">
        <x:v>4</x:v>
      </x:c>
      <x:c r="D2855" s="1" t="str">
        <x:v>Astonish</x:v>
      </x:c>
      <x:c r="E2855" s="1" t="str">
        <x:v>Fantasma</x:v>
      </x:c>
      <x:c r="F2855" s="1" t="str">
        <x:v>Física</x:v>
      </x:c>
      <x:c r="G2855" s="10" t="n">
        <x:v>30</x:v>
      </x:c>
      <x:c r="H2855" s="10" t="n">
        <x:f>IF(F2855="Física",'Pokémon'!G307,IF(F2855="Especial",'Pokémon'!I307,""))</x:f>
        <x:v>70</x:v>
      </x:c>
      <x:c r="I2855" s="10" t="n">
        <x:f>IF(OR(F2855="Status",G2855=0),"",G2855+H2855)</x:f>
        <x:v>100</x:v>
      </x:c>
      <x:c r="J2855" s="10" t="n">
        <x:v>1</x:v>
      </x:c>
      <x:c r="K2855" s="12" t="n">
        <x:v>15</x:v>
      </x:c>
      <x:c r="L2855" s="1" t="str"/>
      <x:c r="M2855" s="9" t="str">
        <x:v>https://poke.idleworld.online/pokepedia/pokemon/altaria</x:v>
      </x:c>
    </x:row>
    <x:row r="2856" ht="22" customHeight="1">
      <x:c r="A2856" s="1" t="n">
        <x:v>334</x:v>
      </x:c>
      <x:c r="B2856" s="1" t="str">
        <x:v>Altaria</x:v>
      </x:c>
      <x:c r="C2856" s="1" t="n">
        <x:v>6</x:v>
      </x:c>
      <x:c r="D2856" s="1" t="str">
        <x:v>Fury Attack</x:v>
      </x:c>
      <x:c r="E2856" s="1" t="str">
        <x:v>Normal</x:v>
      </x:c>
      <x:c r="F2856" s="1" t="str">
        <x:v>Física</x:v>
      </x:c>
      <x:c r="G2856" s="10" t="n">
        <x:v>15</x:v>
      </x:c>
      <x:c r="H2856" s="10" t="n">
        <x:f>IF(F2856="Física",'Pokémon'!G307,IF(F2856="Especial",'Pokémon'!I307,""))</x:f>
        <x:v>70</x:v>
      </x:c>
      <x:c r="I2856" s="10" t="n">
        <x:f>IF(OR(F2856="Status",G2856=0),"",G2856+H2856)</x:f>
        <x:v>85</x:v>
      </x:c>
      <x:c r="J2856" s="10" t="n">
        <x:v>7</x:v>
      </x:c>
      <x:c r="K2856" s="12" t="n">
        <x:v>15</x:v>
      </x:c>
      <x:c r="L2856" s="1" t="str"/>
      <x:c r="M2856" s="9" t="str">
        <x:v>https://poke.idleworld.online/pokepedia/pokemon/altaria</x:v>
      </x:c>
    </x:row>
    <x:row r="2857" ht="22" customHeight="1">
      <x:c r="A2857" s="1" t="n">
        <x:v>334</x:v>
      </x:c>
      <x:c r="B2857" s="1" t="str">
        <x:v>Altaria</x:v>
      </x:c>
      <x:c r="C2857" s="1" t="n">
        <x:v>2</x:v>
      </x:c>
      <x:c r="D2857" s="1" t="str">
        <x:v>Sing</x:v>
      </x:c>
      <x:c r="E2857" s="1" t="str">
        <x:v>Normal</x:v>
      </x:c>
      <x:c r="F2857" s="1" t="str">
        <x:v>Status</x:v>
      </x:c>
      <x:c r="G2857" s="10" t="n">
        <x:v>0</x:v>
      </x:c>
      <x:c r="H2857" s="10" t="str">
        <x:f>IF(F2857="Física",'Pokémon'!G307,IF(F2857="Especial",'Pokémon'!I307,""))</x:f>
      </x:c>
      <x:c r="I2857" s="10" t="str">
        <x:f>IF(OR(F2857="Status",G2857=0),"",G2857+H2857)</x:f>
      </x:c>
      <x:c r="J2857" s="10" t="n">
        <x:v>1</x:v>
      </x:c>
      <x:c r="K2857" s="12" t="n">
        <x:v>48</x:v>
      </x:c>
      <x:c r="L2857" s="1" t="str"/>
      <x:c r="M2857" s="9" t="str">
        <x:v>https://poke.idleworld.online/pokepedia/pokemon/altaria</x:v>
      </x:c>
    </x:row>
    <x:row r="2858" ht="22" customHeight="1">
      <x:c r="A2858" s="1" t="n">
        <x:v>335</x:v>
      </x:c>
      <x:c r="B2858" s="1" t="str">
        <x:v>Zangoose</x:v>
      </x:c>
      <x:c r="C2858" s="1" t="n">
        <x:v>12</x:v>
      </x:c>
      <x:c r="D2858" s="1" t="str">
        <x:v>Close Combat</x:v>
      </x:c>
      <x:c r="E2858" s="1" t="str">
        <x:v>Lutador</x:v>
      </x:c>
      <x:c r="F2858" s="1" t="str">
        <x:v>Física</x:v>
      </x:c>
      <x:c r="G2858" s="10" t="n">
        <x:v>120</x:v>
      </x:c>
      <x:c r="H2858" s="10" t="n">
        <x:f>IF(F2858="Física",'Pokémon'!G308,IF(F2858="Especial",'Pokémon'!I308,""))</x:f>
        <x:v>115</x:v>
      </x:c>
      <x:c r="I2858" s="10" t="n">
        <x:f>IF(OR(F2858="Status",G2858=0),"",G2858+H2858)</x:f>
        <x:v>235</x:v>
      </x:c>
      <x:c r="J2858" s="10" t="n">
        <x:v>50</x:v>
      </x:c>
      <x:c r="K2858" s="12" t="n">
        <x:v>50</x:v>
      </x:c>
      <x:c r="L2858" s="1" t="str"/>
      <x:c r="M2858" s="9" t="str">
        <x:v>https://poke.idleworld.online/pokepedia/pokemon/zangoose</x:v>
      </x:c>
    </x:row>
    <x:row r="2859" ht="22" customHeight="1">
      <x:c r="A2859" s="1" t="n">
        <x:v>335</x:v>
      </x:c>
      <x:c r="B2859" s="1" t="str">
        <x:v>Zangoose</x:v>
      </x:c>
      <x:c r="C2859" s="1" t="n">
        <x:v>9</x:v>
      </x:c>
      <x:c r="D2859" s="1" t="str">
        <x:v>X-Scissor</x:v>
      </x:c>
      <x:c r="E2859" s="1" t="str">
        <x:v>Inseto</x:v>
      </x:c>
      <x:c r="F2859" s="1" t="str">
        <x:v>Física</x:v>
      </x:c>
      <x:c r="G2859" s="10" t="n">
        <x:v>80</x:v>
      </x:c>
      <x:c r="H2859" s="10" t="n">
        <x:f>IF(F2859="Física",'Pokémon'!G308,IF(F2859="Especial",'Pokémon'!I308,""))</x:f>
        <x:v>115</x:v>
      </x:c>
      <x:c r="I2859" s="10" t="n">
        <x:f>IF(OR(F2859="Status",G2859=0),"",G2859+H2859)</x:f>
        <x:v>195</x:v>
      </x:c>
      <x:c r="J2859" s="10" t="n">
        <x:v>40</x:v>
      </x:c>
      <x:c r="K2859" s="12" t="n">
        <x:v>22</x:v>
      </x:c>
      <x:c r="L2859" s="1" t="str"/>
      <x:c r="M2859" s="9" t="str">
        <x:v>https://poke.idleworld.online/pokepedia/pokemon/zangoose</x:v>
      </x:c>
    </x:row>
    <x:row r="2860" ht="22" customHeight="1">
      <x:c r="A2860" s="1" t="n">
        <x:v>335</x:v>
      </x:c>
      <x:c r="B2860" s="1" t="str">
        <x:v>Zangoose</x:v>
      </x:c>
      <x:c r="C2860" s="1" t="n">
        <x:v>7</x:v>
      </x:c>
      <x:c r="D2860" s="1" t="str">
        <x:v>Crush Claw</x:v>
      </x:c>
      <x:c r="E2860" s="1" t="str">
        <x:v>Normal</x:v>
      </x:c>
      <x:c r="F2860" s="1" t="str">
        <x:v>Física</x:v>
      </x:c>
      <x:c r="G2860" s="10" t="n">
        <x:v>75</x:v>
      </x:c>
      <x:c r="H2860" s="10" t="n">
        <x:f>IF(F2860="Física",'Pokémon'!G308,IF(F2860="Especial",'Pokémon'!I308,""))</x:f>
        <x:v>115</x:v>
      </x:c>
      <x:c r="I2860" s="10" t="n">
        <x:f>IF(OR(F2860="Status",G2860=0),"",G2860+H2860)</x:f>
        <x:v>190</x:v>
      </x:c>
      <x:c r="J2860" s="10" t="n">
        <x:v>26</x:v>
      </x:c>
      <x:c r="K2860" s="12" t="n">
        <x:v>45</x:v>
      </x:c>
      <x:c r="L2860" s="1" t="str"/>
      <x:c r="M2860" s="9" t="str">
        <x:v>https://poke.idleworld.online/pokepedia/pokemon/zangoose</x:v>
      </x:c>
    </x:row>
    <x:row r="2861" ht="22" customHeight="1">
      <x:c r="A2861" s="1" t="n">
        <x:v>335</x:v>
      </x:c>
      <x:c r="B2861" s="1" t="str">
        <x:v>Zangoose</x:v>
      </x:c>
      <x:c r="C2861" s="1" t="n">
        <x:v>5</x:v>
      </x:c>
      <x:c r="D2861" s="1" t="str">
        <x:v>Slash</x:v>
      </x:c>
      <x:c r="E2861" s="1" t="str">
        <x:v>Normal</x:v>
      </x:c>
      <x:c r="F2861" s="1" t="str">
        <x:v>Física</x:v>
      </x:c>
      <x:c r="G2861" s="10" t="n">
        <x:v>70</x:v>
      </x:c>
      <x:c r="H2861" s="10" t="n">
        <x:f>IF(F2861="Física",'Pokémon'!G308,IF(F2861="Especial",'Pokémon'!I308,""))</x:f>
        <x:v>115</x:v>
      </x:c>
      <x:c r="I2861" s="10" t="n">
        <x:f>IF(OR(F2861="Status",G2861=0),"",G2861+H2861)</x:f>
        <x:v>185</x:v>
      </x:c>
      <x:c r="J2861" s="10" t="n">
        <x:v>19</x:v>
      </x:c>
      <x:c r="K2861" s="12" t="n">
        <x:v>20</x:v>
      </x:c>
      <x:c r="L2861" s="1" t="str"/>
      <x:c r="M2861" s="9" t="str">
        <x:v>https://poke.idleworld.online/pokepedia/pokemon/zangoose</x:v>
      </x:c>
    </x:row>
    <x:row r="2862" ht="22" customHeight="1">
      <x:c r="A2862" s="1" t="n">
        <x:v>335</x:v>
      </x:c>
      <x:c r="B2862" s="1" t="str">
        <x:v>Zangoose</x:v>
      </x:c>
      <x:c r="C2862" s="1" t="n">
        <x:v>6</x:v>
      </x:c>
      <x:c r="D2862" s="1" t="str">
        <x:v>Revenge</x:v>
      </x:c>
      <x:c r="E2862" s="1" t="str">
        <x:v>Lutador</x:v>
      </x:c>
      <x:c r="F2862" s="1" t="str">
        <x:v>Física</x:v>
      </x:c>
      <x:c r="G2862" s="10" t="n">
        <x:v>60</x:v>
      </x:c>
      <x:c r="H2862" s="10" t="n">
        <x:f>IF(F2862="Física",'Pokémon'!G308,IF(F2862="Especial",'Pokémon'!I308,""))</x:f>
        <x:v>115</x:v>
      </x:c>
      <x:c r="I2862" s="10" t="n">
        <x:f>IF(OR(F2862="Status",G2862=0),"",G2862+H2862)</x:f>
        <x:v>175</x:v>
      </x:c>
      <x:c r="J2862" s="10" t="n">
        <x:v>22</x:v>
      </x:c>
      <x:c r="K2862" s="12" t="n">
        <x:v>20</x:v>
      </x:c>
      <x:c r="L2862" s="1" t="str"/>
      <x:c r="M2862" s="9" t="str">
        <x:v>https://poke.idleworld.online/pokepedia/pokemon/zangoose</x:v>
      </x:c>
    </x:row>
    <x:row r="2863" ht="22" customHeight="1">
      <x:c r="A2863" s="1" t="n">
        <x:v>335</x:v>
      </x:c>
      <x:c r="B2863" s="1" t="str">
        <x:v>Zangoose</x:v>
      </x:c>
      <x:c r="C2863" s="1" t="n">
        <x:v>1</x:v>
      </x:c>
      <x:c r="D2863" s="1" t="str">
        <x:v>Scratch</x:v>
      </x:c>
      <x:c r="E2863" s="1" t="str">
        <x:v>Normal</x:v>
      </x:c>
      <x:c r="F2863" s="1" t="str">
        <x:v>Física</x:v>
      </x:c>
      <x:c r="G2863" s="10" t="n">
        <x:v>40</x:v>
      </x:c>
      <x:c r="H2863" s="10" t="n">
        <x:f>IF(F2863="Física",'Pokémon'!G308,IF(F2863="Especial",'Pokémon'!I308,""))</x:f>
        <x:v>115</x:v>
      </x:c>
      <x:c r="I2863" s="10" t="n">
        <x:f>IF(OR(F2863="Status",G2863=0),"",G2863+H2863)</x:f>
        <x:v>155</x:v>
      </x:c>
      <x:c r="J2863" s="10" t="n">
        <x:v>1</x:v>
      </x:c>
      <x:c r="K2863" s="12" t="n">
        <x:v>10</x:v>
      </x:c>
      <x:c r="L2863" s="1" t="str"/>
      <x:c r="M2863" s="9" t="str">
        <x:v>https://poke.idleworld.online/pokepedia/pokemon/zangoose</x:v>
      </x:c>
    </x:row>
    <x:row r="2864" ht="22" customHeight="1">
      <x:c r="A2864" s="1" t="n">
        <x:v>335</x:v>
      </x:c>
      <x:c r="B2864" s="1" t="str">
        <x:v>Zangoose</x:v>
      </x:c>
      <x:c r="C2864" s="1" t="n">
        <x:v>2</x:v>
      </x:c>
      <x:c r="D2864" s="1" t="str">
        <x:v>Quick Attack</x:v>
      </x:c>
      <x:c r="E2864" s="1" t="str">
        <x:v>Normal</x:v>
      </x:c>
      <x:c r="F2864" s="1" t="str">
        <x:v>Física</x:v>
      </x:c>
      <x:c r="G2864" s="10" t="n">
        <x:v>40</x:v>
      </x:c>
      <x:c r="H2864" s="10" t="n">
        <x:f>IF(F2864="Física",'Pokémon'!G308,IF(F2864="Especial",'Pokémon'!I308,""))</x:f>
        <x:v>115</x:v>
      </x:c>
      <x:c r="I2864" s="10" t="n">
        <x:f>IF(OR(F2864="Status",G2864=0),"",G2864+H2864)</x:f>
        <x:v>155</x:v>
      </x:c>
      <x:c r="J2864" s="10" t="n">
        <x:v>5</x:v>
      </x:c>
      <x:c r="K2864" s="12" t="n">
        <x:v>15</x:v>
      </x:c>
      <x:c r="L2864" s="1" t="str"/>
      <x:c r="M2864" s="9" t="str">
        <x:v>https://poke.idleworld.online/pokepedia/pokemon/zangoose</x:v>
      </x:c>
    </x:row>
    <x:row r="2865" ht="22" customHeight="1">
      <x:c r="A2865" s="1" t="n">
        <x:v>335</x:v>
      </x:c>
      <x:c r="B2865" s="1" t="str">
        <x:v>Zangoose</x:v>
      </x:c>
      <x:c r="C2865" s="1" t="n">
        <x:v>3</x:v>
      </x:c>
      <x:c r="D2865" s="1" t="str">
        <x:v>Fury Cutter</x:v>
      </x:c>
      <x:c r="E2865" s="1" t="str">
        <x:v>Inseto</x:v>
      </x:c>
      <x:c r="F2865" s="1" t="str">
        <x:v>Física</x:v>
      </x:c>
      <x:c r="G2865" s="10" t="n">
        <x:v>40</x:v>
      </x:c>
      <x:c r="H2865" s="10" t="n">
        <x:f>IF(F2865="Física",'Pokémon'!G308,IF(F2865="Especial",'Pokémon'!I308,""))</x:f>
        <x:v>115</x:v>
      </x:c>
      <x:c r="I2865" s="10" t="n">
        <x:f>IF(OR(F2865="Status",G2865=0),"",G2865+H2865)</x:f>
        <x:v>155</x:v>
      </x:c>
      <x:c r="J2865" s="10" t="n">
        <x:v>8</x:v>
      </x:c>
      <x:c r="K2865" s="12" t="n">
        <x:v>15</x:v>
      </x:c>
      <x:c r="L2865" s="1" t="str"/>
      <x:c r="M2865" s="9" t="str">
        <x:v>https://poke.idleworld.online/pokepedia/pokemon/zangoose</x:v>
      </x:c>
    </x:row>
    <x:row r="2866" ht="22" customHeight="1">
      <x:c r="A2866" s="1" t="n">
        <x:v>335</x:v>
      </x:c>
      <x:c r="B2866" s="1" t="str">
        <x:v>Zangoose</x:v>
      </x:c>
      <x:c r="C2866" s="1" t="n">
        <x:v>4</x:v>
      </x:c>
      <x:c r="D2866" s="1" t="str">
        <x:v>Pursuit</x:v>
      </x:c>
      <x:c r="E2866" s="1" t="str">
        <x:v>Sombrio</x:v>
      </x:c>
      <x:c r="F2866" s="1" t="str">
        <x:v>Física</x:v>
      </x:c>
      <x:c r="G2866" s="10" t="n">
        <x:v>40</x:v>
      </x:c>
      <x:c r="H2866" s="10" t="n">
        <x:f>IF(F2866="Física",'Pokémon'!G308,IF(F2866="Especial",'Pokémon'!I308,""))</x:f>
        <x:v>115</x:v>
      </x:c>
      <x:c r="I2866" s="10" t="n">
        <x:f>IF(OR(F2866="Status",G2866=0),"",G2866+H2866)</x:f>
        <x:v>155</x:v>
      </x:c>
      <x:c r="J2866" s="10" t="n">
        <x:v>12</x:v>
      </x:c>
      <x:c r="K2866" s="12" t="n">
        <x:v>22</x:v>
      </x:c>
      <x:c r="L2866" s="1" t="str"/>
      <x:c r="M2866" s="9" t="str">
        <x:v>https://poke.idleworld.online/pokepedia/pokemon/zangoose</x:v>
      </x:c>
    </x:row>
    <x:row r="2867" ht="22" customHeight="1">
      <x:c r="A2867" s="1" t="n">
        <x:v>335</x:v>
      </x:c>
      <x:c r="B2867" s="1" t="str">
        <x:v>Zangoose</x:v>
      </x:c>
      <x:c r="C2867" s="1" t="n">
        <x:v>8</x:v>
      </x:c>
      <x:c r="D2867" s="1" t="str">
        <x:v>False Swipe</x:v>
      </x:c>
      <x:c r="E2867" s="1" t="str">
        <x:v>Normal</x:v>
      </x:c>
      <x:c r="F2867" s="1" t="str">
        <x:v>Física</x:v>
      </x:c>
      <x:c r="G2867" s="10" t="n">
        <x:v>40</x:v>
      </x:c>
      <x:c r="H2867" s="10" t="n">
        <x:f>IF(F2867="Física",'Pokémon'!G308,IF(F2867="Especial",'Pokémon'!I308,""))</x:f>
        <x:v>115</x:v>
      </x:c>
      <x:c r="I2867" s="10" t="n">
        <x:f>IF(OR(F2867="Status",G2867=0),"",G2867+H2867)</x:f>
        <x:v>155</x:v>
      </x:c>
      <x:c r="J2867" s="10" t="n">
        <x:v>29</x:v>
      </x:c>
      <x:c r="K2867" s="12" t="n">
        <x:v>15</x:v>
      </x:c>
      <x:c r="L2867" s="1" t="str"/>
      <x:c r="M2867" s="9" t="str">
        <x:v>https://poke.idleworld.online/pokepedia/pokemon/zangoose</x:v>
      </x:c>
    </x:row>
    <x:row r="2868" ht="22" customHeight="1">
      <x:c r="A2868" s="1" t="n">
        <x:v>335</x:v>
      </x:c>
      <x:c r="B2868" s="1" t="str">
        <x:v>Zangoose</x:v>
      </x:c>
      <x:c r="C2868" s="1" t="n">
        <x:v>10</x:v>
      </x:c>
      <x:c r="D2868" s="1" t="str">
        <x:v>Taunt</x:v>
      </x:c>
      <x:c r="E2868" s="1" t="str">
        <x:v>Sombrio</x:v>
      </x:c>
      <x:c r="F2868" s="1" t="str">
        <x:v>Status</x:v>
      </x:c>
      <x:c r="G2868" s="10" t="n">
        <x:v>0</x:v>
      </x:c>
      <x:c r="H2868" s="10" t="str">
        <x:f>IF(F2868="Física",'Pokémon'!G308,IF(F2868="Especial",'Pokémon'!I308,""))</x:f>
      </x:c>
      <x:c r="I2868" s="10" t="str">
        <x:f>IF(OR(F2868="Status",G2868=0),"",G2868+H2868)</x:f>
      </x:c>
      <x:c r="J2868" s="10" t="n">
        <x:v>43</x:v>
      </x:c>
      <x:c r="K2868" s="12" t="n">
        <x:v>60</x:v>
      </x:c>
      <x:c r="L2868" s="1" t="str"/>
      <x:c r="M2868" s="9" t="str">
        <x:v>https://poke.idleworld.online/pokepedia/pokemon/zangoose</x:v>
      </x:c>
    </x:row>
    <x:row r="2869" ht="22" customHeight="1">
      <x:c r="A2869" s="1" t="n">
        <x:v>335</x:v>
      </x:c>
      <x:c r="B2869" s="1" t="str">
        <x:v>Zangoose</x:v>
      </x:c>
      <x:c r="C2869" s="1" t="n">
        <x:v>11</x:v>
      </x:c>
      <x:c r="D2869" s="1" t="str">
        <x:v>Swords Dance</x:v>
      </x:c>
      <x:c r="E2869" s="1" t="str">
        <x:v>Normal</x:v>
      </x:c>
      <x:c r="F2869" s="1" t="str">
        <x:v>Status</x:v>
      </x:c>
      <x:c r="G2869" s="10" t="n">
        <x:v>0</x:v>
      </x:c>
      <x:c r="H2869" s="10" t="str">
        <x:f>IF(F2869="Física",'Pokémon'!G308,IF(F2869="Especial",'Pokémon'!I308,""))</x:f>
      </x:c>
      <x:c r="I2869" s="10" t="str">
        <x:f>IF(OR(F2869="Status",G2869=0),"",G2869+H2869)</x:f>
      </x:c>
      <x:c r="J2869" s="10" t="n">
        <x:v>47</x:v>
      </x:c>
      <x:c r="K2869" s="12" t="n">
        <x:v>60</x:v>
      </x:c>
      <x:c r="L2869" s="1" t="str"/>
      <x:c r="M2869" s="9" t="str">
        <x:v>https://poke.idleworld.online/pokepedia/pokemon/zangoose</x:v>
      </x:c>
    </x:row>
    <x:row r="2870" ht="22" customHeight="1">
      <x:c r="A2870" s="1" t="n">
        <x:v>336</x:v>
      </x:c>
      <x:c r="B2870" s="1" t="str">
        <x:v>Seviper</x:v>
      </x:c>
      <x:c r="C2870" s="1" t="n">
        <x:v>10</x:v>
      </x:c>
      <x:c r="D2870" s="1" t="str">
        <x:v>Belch</x:v>
      </x:c>
      <x:c r="E2870" s="1" t="str">
        <x:v>Venenoso</x:v>
      </x:c>
      <x:c r="F2870" s="1" t="str">
        <x:v>Especial</x:v>
      </x:c>
      <x:c r="G2870" s="10" t="n">
        <x:v>120</x:v>
      </x:c>
      <x:c r="H2870" s="10" t="n">
        <x:f>IF(F2870="Física",'Pokémon'!G309,IF(F2870="Especial",'Pokémon'!I309,""))</x:f>
        <x:v>100</x:v>
      </x:c>
      <x:c r="I2870" s="10" t="n">
        <x:f>IF(OR(F2870="Status",G2870=0),"",G2870+H2870)</x:f>
        <x:v>220</x:v>
      </x:c>
      <x:c r="J2870" s="10" t="n">
        <x:v>43</x:v>
      </x:c>
      <x:c r="K2870" s="12" t="n">
        <x:v>50</x:v>
      </x:c>
      <x:c r="L2870" s="1" t="str"/>
      <x:c r="M2870" s="9" t="str">
        <x:v>https://poke.idleworld.online/pokepedia/pokemon/seviper</x:v>
      </x:c>
    </x:row>
    <x:row r="2871" ht="22" customHeight="1">
      <x:c r="A2871" s="1" t="n">
        <x:v>336</x:v>
      </x:c>
      <x:c r="B2871" s="1" t="str">
        <x:v>Seviper</x:v>
      </x:c>
      <x:c r="C2871" s="1" t="n">
        <x:v>8</x:v>
      </x:c>
      <x:c r="D2871" s="1" t="str">
        <x:v>Poison Jab</x:v>
      </x:c>
      <x:c r="E2871" s="1" t="str">
        <x:v>Venenoso</x:v>
      </x:c>
      <x:c r="F2871" s="1" t="str">
        <x:v>Física</x:v>
      </x:c>
      <x:c r="G2871" s="10" t="n">
        <x:v>80</x:v>
      </x:c>
      <x:c r="H2871" s="10" t="n">
        <x:f>IF(F2871="Física",'Pokémon'!G309,IF(F2871="Especial",'Pokémon'!I309,""))</x:f>
        <x:v>100</x:v>
      </x:c>
      <x:c r="I2871" s="10" t="n">
        <x:f>IF(OR(F2871="Status",G2871=0),"",G2871+H2871)</x:f>
        <x:v>180</x:v>
      </x:c>
      <x:c r="J2871" s="10" t="n">
        <x:v>34</x:v>
      </x:c>
      <x:c r="K2871" s="12" t="n">
        <x:v>22</x:v>
      </x:c>
      <x:c r="L2871" s="1" t="str"/>
      <x:c r="M2871" s="9" t="str">
        <x:v>https://poke.idleworld.online/pokepedia/pokemon/seviper</x:v>
      </x:c>
    </x:row>
    <x:row r="2872" ht="22" customHeight="1">
      <x:c r="A2872" s="1" t="n">
        <x:v>336</x:v>
      </x:c>
      <x:c r="B2872" s="1" t="str">
        <x:v>Seviper</x:v>
      </x:c>
      <x:c r="C2872" s="1" t="n">
        <x:v>9</x:v>
      </x:c>
      <x:c r="D2872" s="1" t="str">
        <x:v>Crunch</x:v>
      </x:c>
      <x:c r="E2872" s="1" t="str">
        <x:v>Sombrio</x:v>
      </x:c>
      <x:c r="F2872" s="1" t="str">
        <x:v>Física</x:v>
      </x:c>
      <x:c r="G2872" s="10" t="n">
        <x:v>80</x:v>
      </x:c>
      <x:c r="H2872" s="10" t="n">
        <x:f>IF(F2872="Física",'Pokémon'!G309,IF(F2872="Especial",'Pokémon'!I309,""))</x:f>
        <x:v>100</x:v>
      </x:c>
      <x:c r="I2872" s="10" t="n">
        <x:f>IF(OR(F2872="Status",G2872=0),"",G2872+H2872)</x:f>
        <x:v>180</x:v>
      </x:c>
      <x:c r="J2872" s="10" t="n">
        <x:v>40</x:v>
      </x:c>
      <x:c r="K2872" s="12" t="n">
        <x:v>22</x:v>
      </x:c>
      <x:c r="L2872" s="1" t="str"/>
      <x:c r="M2872" s="9" t="str">
        <x:v>https://poke.idleworld.online/pokepedia/pokemon/seviper</x:v>
      </x:c>
    </x:row>
    <x:row r="2873" ht="22" customHeight="1">
      <x:c r="A2873" s="1" t="n">
        <x:v>336</x:v>
      </x:c>
      <x:c r="B2873" s="1" t="str">
        <x:v>Seviper</x:v>
      </x:c>
      <x:c r="C2873" s="1" t="n">
        <x:v>7</x:v>
      </x:c>
      <x:c r="D2873" s="1" t="str">
        <x:v>Night Slash</x:v>
      </x:c>
      <x:c r="E2873" s="1" t="str">
        <x:v>Sombrio</x:v>
      </x:c>
      <x:c r="F2873" s="1" t="str">
        <x:v>Física</x:v>
      </x:c>
      <x:c r="G2873" s="10" t="n">
        <x:v>70</x:v>
      </x:c>
      <x:c r="H2873" s="10" t="n">
        <x:f>IF(F2873="Física",'Pokémon'!G309,IF(F2873="Especial",'Pokémon'!I309,""))</x:f>
        <x:v>100</x:v>
      </x:c>
      <x:c r="I2873" s="10" t="n">
        <x:f>IF(OR(F2873="Status",G2873=0),"",G2873+H2873)</x:f>
        <x:v>170</x:v>
      </x:c>
      <x:c r="J2873" s="10" t="n">
        <x:v>28</x:v>
      </x:c>
      <x:c r="K2873" s="12" t="n">
        <x:v>20</x:v>
      </x:c>
      <x:c r="L2873" s="1" t="str"/>
      <x:c r="M2873" s="9" t="str">
        <x:v>https://poke.idleworld.online/pokepedia/pokemon/seviper</x:v>
      </x:c>
    </x:row>
    <x:row r="2874" ht="22" customHeight="1">
      <x:c r="A2874" s="1" t="n">
        <x:v>336</x:v>
      </x:c>
      <x:c r="B2874" s="1" t="str">
        <x:v>Seviper</x:v>
      </x:c>
      <x:c r="C2874" s="1" t="n">
        <x:v>5</x:v>
      </x:c>
      <x:c r="D2874" s="1" t="str">
        <x:v>Venoshock</x:v>
      </x:c>
      <x:c r="E2874" s="1" t="str">
        <x:v>Venenoso</x:v>
      </x:c>
      <x:c r="F2874" s="1" t="str">
        <x:v>Especial</x:v>
      </x:c>
      <x:c r="G2874" s="10" t="n">
        <x:v>65</x:v>
      </x:c>
      <x:c r="H2874" s="10" t="n">
        <x:f>IF(F2874="Física",'Pokémon'!G309,IF(F2874="Especial",'Pokémon'!I309,""))</x:f>
        <x:v>100</x:v>
      </x:c>
      <x:c r="I2874" s="10" t="n">
        <x:f>IF(OR(F2874="Status",G2874=0),"",G2874+H2874)</x:f>
        <x:v>165</x:v>
      </x:c>
      <x:c r="J2874" s="10" t="n">
        <x:v>16</x:v>
      </x:c>
      <x:c r="K2874" s="12" t="n">
        <x:v>20</x:v>
      </x:c>
      <x:c r="L2874" s="1" t="str"/>
      <x:c r="M2874" s="9" t="str">
        <x:v>https://poke.idleworld.online/pokepedia/pokemon/seviper</x:v>
      </x:c>
    </x:row>
    <x:row r="2875" ht="22" customHeight="1">
      <x:c r="A2875" s="1" t="n">
        <x:v>336</x:v>
      </x:c>
      <x:c r="B2875" s="1" t="str">
        <x:v>Seviper</x:v>
      </x:c>
      <x:c r="C2875" s="1" t="n">
        <x:v>2</x:v>
      </x:c>
      <x:c r="D2875" s="1" t="str">
        <x:v>Bite</x:v>
      </x:c>
      <x:c r="E2875" s="1" t="str">
        <x:v>Sombrio</x:v>
      </x:c>
      <x:c r="F2875" s="1" t="str">
        <x:v>Física</x:v>
      </x:c>
      <x:c r="G2875" s="10" t="n">
        <x:v>60</x:v>
      </x:c>
      <x:c r="H2875" s="10" t="n">
        <x:f>IF(F2875="Física",'Pokémon'!G309,IF(F2875="Especial",'Pokémon'!I309,""))</x:f>
        <x:v>100</x:v>
      </x:c>
      <x:c r="I2875" s="10" t="n">
        <x:f>IF(OR(F2875="Status",G2875=0),"",G2875+H2875)</x:f>
        <x:v>160</x:v>
      </x:c>
      <x:c r="J2875" s="10" t="n">
        <x:v>4</x:v>
      </x:c>
      <x:c r="K2875" s="12" t="n">
        <x:v>15</x:v>
      </x:c>
      <x:c r="L2875" s="1" t="str"/>
      <x:c r="M2875" s="9" t="str">
        <x:v>https://poke.idleworld.online/pokepedia/pokemon/seviper</x:v>
      </x:c>
    </x:row>
    <x:row r="2876" ht="22" customHeight="1">
      <x:c r="A2876" s="1" t="n">
        <x:v>336</x:v>
      </x:c>
      <x:c r="B2876" s="1" t="str">
        <x:v>Seviper</x:v>
      </x:c>
      <x:c r="C2876" s="1" t="n">
        <x:v>4</x:v>
      </x:c>
      <x:c r="D2876" s="1" t="str">
        <x:v>Poison Tail</x:v>
      </x:c>
      <x:c r="E2876" s="1" t="str">
        <x:v>Venenoso</x:v>
      </x:c>
      <x:c r="F2876" s="1" t="str">
        <x:v>Física</x:v>
      </x:c>
      <x:c r="G2876" s="10" t="n">
        <x:v>50</x:v>
      </x:c>
      <x:c r="H2876" s="10" t="n">
        <x:f>IF(F2876="Física",'Pokémon'!G309,IF(F2876="Especial",'Pokémon'!I309,""))</x:f>
        <x:v>100</x:v>
      </x:c>
      <x:c r="I2876" s="10" t="n">
        <x:f>IF(OR(F2876="Status",G2876=0),"",G2876+H2876)</x:f>
        <x:v>150</x:v>
      </x:c>
      <x:c r="J2876" s="10" t="n">
        <x:v>10</x:v>
      </x:c>
      <x:c r="K2876" s="12" t="n">
        <x:v>25</x:v>
      </x:c>
      <x:c r="L2876" s="1" t="str"/>
      <x:c r="M2876" s="9" t="str">
        <x:v>https://poke.idleworld.online/pokepedia/pokemon/seviper</x:v>
      </x:c>
    </x:row>
    <x:row r="2877" ht="22" customHeight="1">
      <x:c r="A2877" s="1" t="n">
        <x:v>336</x:v>
      </x:c>
      <x:c r="B2877" s="1" t="str">
        <x:v>Seviper</x:v>
      </x:c>
      <x:c r="C2877" s="1" t="n">
        <x:v>6</x:v>
      </x:c>
      <x:c r="D2877" s="1" t="str">
        <x:v>Poison Fang</x:v>
      </x:c>
      <x:c r="E2877" s="1" t="str">
        <x:v>Venenoso</x:v>
      </x:c>
      <x:c r="F2877" s="1" t="str">
        <x:v>Física</x:v>
      </x:c>
      <x:c r="G2877" s="10" t="n">
        <x:v>50</x:v>
      </x:c>
      <x:c r="H2877" s="10" t="n">
        <x:f>IF(F2877="Física",'Pokémon'!G309,IF(F2877="Especial",'Pokémon'!I309,""))</x:f>
        <x:v>100</x:v>
      </x:c>
      <x:c r="I2877" s="10" t="n">
        <x:f>IF(OR(F2877="Status",G2877=0),"",G2877+H2877)</x:f>
        <x:v>150</x:v>
      </x:c>
      <x:c r="J2877" s="10" t="n">
        <x:v>22</x:v>
      </x:c>
      <x:c r="K2877" s="12" t="n">
        <x:v>15</x:v>
      </x:c>
      <x:c r="L2877" s="1" t="str"/>
      <x:c r="M2877" s="9" t="str">
        <x:v>https://poke.idleworld.online/pokepedia/pokemon/seviper</x:v>
      </x:c>
    </x:row>
    <x:row r="2878" ht="22" customHeight="1">
      <x:c r="A2878" s="1" t="n">
        <x:v>336</x:v>
      </x:c>
      <x:c r="B2878" s="1" t="str">
        <x:v>Seviper</x:v>
      </x:c>
      <x:c r="C2878" s="1" t="n">
        <x:v>3</x:v>
      </x:c>
      <x:c r="D2878" s="1" t="str">
        <x:v>Lick</x:v>
      </x:c>
      <x:c r="E2878" s="1" t="str">
        <x:v>Fantasma</x:v>
      </x:c>
      <x:c r="F2878" s="1" t="str">
        <x:v>Física</x:v>
      </x:c>
      <x:c r="G2878" s="10" t="n">
        <x:v>30</x:v>
      </x:c>
      <x:c r="H2878" s="10" t="n">
        <x:f>IF(F2878="Física",'Pokémon'!G309,IF(F2878="Especial",'Pokémon'!I309,""))</x:f>
        <x:v>100</x:v>
      </x:c>
      <x:c r="I2878" s="10" t="n">
        <x:f>IF(OR(F2878="Status",G2878=0),"",G2878+H2878)</x:f>
        <x:v>130</x:v>
      </x:c>
      <x:c r="J2878" s="10" t="n">
        <x:v>7</x:v>
      </x:c>
      <x:c r="K2878" s="12" t="n">
        <x:v>15</x:v>
      </x:c>
      <x:c r="L2878" s="1" t="str"/>
      <x:c r="M2878" s="9" t="str">
        <x:v>https://poke.idleworld.online/pokepedia/pokemon/seviper</x:v>
      </x:c>
    </x:row>
    <x:row r="2879" ht="22" customHeight="1">
      <x:c r="A2879" s="1" t="n">
        <x:v>336</x:v>
      </x:c>
      <x:c r="B2879" s="1" t="str">
        <x:v>Seviper</x:v>
      </x:c>
      <x:c r="C2879" s="1" t="n">
        <x:v>1</x:v>
      </x:c>
      <x:c r="D2879" s="1" t="str">
        <x:v>Wrap</x:v>
      </x:c>
      <x:c r="E2879" s="1" t="str">
        <x:v>Normal</x:v>
      </x:c>
      <x:c r="F2879" s="1" t="str">
        <x:v>Física</x:v>
      </x:c>
      <x:c r="G2879" s="10" t="n">
        <x:v>15</x:v>
      </x:c>
      <x:c r="H2879" s="10" t="n">
        <x:f>IF(F2879="Física",'Pokémon'!G309,IF(F2879="Especial",'Pokémon'!I309,""))</x:f>
        <x:v>100</x:v>
      </x:c>
      <x:c r="I2879" s="10" t="n">
        <x:f>IF(OR(F2879="Status",G2879=0),"",G2879+H2879)</x:f>
        <x:v>115</x:v>
      </x:c>
      <x:c r="J2879" s="10" t="n">
        <x:v>1</x:v>
      </x:c>
      <x:c r="K2879" s="12" t="n">
        <x:v>15</x:v>
      </x:c>
      <x:c r="L2879" s="1" t="str"/>
      <x:c r="M2879" s="9" t="str">
        <x:v>https://poke.idleworld.online/pokepedia/pokemon/seviper</x:v>
      </x:c>
    </x:row>
    <x:row r="2880" ht="22" customHeight="1">
      <x:c r="A2880" s="1" t="n">
        <x:v>337</x:v>
      </x:c>
      <x:c r="B2880" s="1" t="str">
        <x:v>Lunatone</x:v>
      </x:c>
      <x:c r="C2880" s="1" t="n">
        <x:v>8</x:v>
      </x:c>
      <x:c r="D2880" s="1" t="str">
        <x:v>Future Sight</x:v>
      </x:c>
      <x:c r="E2880" s="1" t="str">
        <x:v>Psíquico</x:v>
      </x:c>
      <x:c r="F2880" s="1" t="str">
        <x:v>Especial</x:v>
      </x:c>
      <x:c r="G2880" s="10" t="n">
        <x:v>120</x:v>
      </x:c>
      <x:c r="H2880" s="10" t="n">
        <x:f>IF(F2880="Física",'Pokémon'!G310,IF(F2880="Especial",'Pokémon'!I310,""))</x:f>
        <x:v>95</x:v>
      </x:c>
      <x:c r="I2880" s="10" t="n">
        <x:f>IF(OR(F2880="Status",G2880=0),"",G2880+H2880)</x:f>
        <x:v>215</x:v>
      </x:c>
      <x:c r="J2880" s="10" t="n">
        <x:v>41</x:v>
      </x:c>
      <x:c r="K2880" s="12" t="n">
        <x:v>50</x:v>
      </x:c>
      <x:c r="L2880" s="1" t="str"/>
      <x:c r="M2880" s="9" t="str">
        <x:v>https://poke.idleworld.online/pokepedia/pokemon/lunatone</x:v>
      </x:c>
    </x:row>
    <x:row r="2881" ht="22" customHeight="1">
      <x:c r="A2881" s="1" t="n">
        <x:v>337</x:v>
      </x:c>
      <x:c r="B2881" s="1" t="str">
        <x:v>Lunatone</x:v>
      </x:c>
      <x:c r="C2881" s="1" t="n">
        <x:v>4</x:v>
      </x:c>
      <x:c r="D2881" s="1" t="str">
        <x:v>Moonblast</x:v>
      </x:c>
      <x:c r="E2881" s="1" t="str">
        <x:v>Fada</x:v>
      </x:c>
      <x:c r="F2881" s="1" t="str">
        <x:v>Especial</x:v>
      </x:c>
      <x:c r="G2881" s="10" t="n">
        <x:v>95</x:v>
      </x:c>
      <x:c r="H2881" s="10" t="n">
        <x:f>IF(F2881="Física",'Pokémon'!G310,IF(F2881="Especial",'Pokémon'!I310,""))</x:f>
        <x:v>95</x:v>
      </x:c>
      <x:c r="I2881" s="10" t="n">
        <x:f>IF(OR(F2881="Status",G2881=0),"",G2881+H2881)</x:f>
        <x:v>190</x:v>
      </x:c>
      <x:c r="J2881" s="10" t="n">
        <x:v>1</x:v>
      </x:c>
      <x:c r="K2881" s="12" t="n">
        <x:v>40</x:v>
      </x:c>
      <x:c r="L2881" s="1" t="str"/>
      <x:c r="M2881" s="9" t="str">
        <x:v>https://poke.idleworld.online/pokepedia/pokemon/lunatone</x:v>
      </x:c>
    </x:row>
    <x:row r="2882" ht="22" customHeight="1">
      <x:c r="A2882" s="1" t="n">
        <x:v>337</x:v>
      </x:c>
      <x:c r="B2882" s="1" t="str">
        <x:v>Lunatone</x:v>
      </x:c>
      <x:c r="C2882" s="1" t="n">
        <x:v>6</x:v>
      </x:c>
      <x:c r="D2882" s="1" t="str">
        <x:v>Psychic</x:v>
      </x:c>
      <x:c r="E2882" s="1" t="str">
        <x:v>Psíquico</x:v>
      </x:c>
      <x:c r="F2882" s="1" t="str">
        <x:v>Especial</x:v>
      </x:c>
      <x:c r="G2882" s="10" t="n">
        <x:v>90</x:v>
      </x:c>
      <x:c r="H2882" s="10" t="n">
        <x:f>IF(F2882="Física",'Pokémon'!G310,IF(F2882="Especial",'Pokémon'!I310,""))</x:f>
        <x:v>95</x:v>
      </x:c>
      <x:c r="I2882" s="10" t="n">
        <x:f>IF(OR(F2882="Status",G2882=0),"",G2882+H2882)</x:f>
        <x:v>185</x:v>
      </x:c>
      <x:c r="J2882" s="10" t="n">
        <x:v>29</x:v>
      </x:c>
      <x:c r="K2882" s="12" t="n">
        <x:v>22</x:v>
      </x:c>
      <x:c r="L2882" s="1" t="str"/>
      <x:c r="M2882" s="9" t="str">
        <x:v>https://poke.idleworld.online/pokepedia/pokemon/lunatone</x:v>
      </x:c>
    </x:row>
    <x:row r="2883" ht="22" customHeight="1">
      <x:c r="A2883" s="1" t="n">
        <x:v>337</x:v>
      </x:c>
      <x:c r="B2883" s="1" t="str">
        <x:v>Lunatone</x:v>
      </x:c>
      <x:c r="C2883" s="1" t="n">
        <x:v>7</x:v>
      </x:c>
      <x:c r="D2883" s="1" t="str">
        <x:v>Stone Edge</x:v>
      </x:c>
      <x:c r="E2883" s="1" t="str">
        <x:v>Pedra</x:v>
      </x:c>
      <x:c r="F2883" s="1" t="str">
        <x:v>Física</x:v>
      </x:c>
      <x:c r="G2883" s="10" t="n">
        <x:v>100</x:v>
      </x:c>
      <x:c r="H2883" s="10" t="n">
        <x:f>IF(F2883="Física",'Pokémon'!G310,IF(F2883="Especial",'Pokémon'!I310,""))</x:f>
        <x:v>55</x:v>
      </x:c>
      <x:c r="I2883" s="10" t="n">
        <x:f>IF(OR(F2883="Status",G2883=0),"",G2883+H2883)</x:f>
        <x:v>155</x:v>
      </x:c>
      <x:c r="J2883" s="10" t="n">
        <x:v>37</x:v>
      </x:c>
      <x:c r="K2883" s="12" t="n">
        <x:v>40</x:v>
      </x:c>
      <x:c r="L2883" s="1" t="str"/>
      <x:c r="M2883" s="9" t="str">
        <x:v>https://poke.idleworld.online/pokepedia/pokemon/lunatone</x:v>
      </x:c>
    </x:row>
    <x:row r="2884" ht="22" customHeight="1">
      <x:c r="A2884" s="1" t="n">
        <x:v>337</x:v>
      </x:c>
      <x:c r="B2884" s="1" t="str">
        <x:v>Lunatone</x:v>
      </x:c>
      <x:c r="C2884" s="1" t="n">
        <x:v>2</x:v>
      </x:c>
      <x:c r="D2884" s="1" t="str">
        <x:v>Confusion</x:v>
      </x:c>
      <x:c r="E2884" s="1" t="str">
        <x:v>Psíquico</x:v>
      </x:c>
      <x:c r="F2884" s="1" t="str">
        <x:v>Especial</x:v>
      </x:c>
      <x:c r="G2884" s="10" t="n">
        <x:v>50</x:v>
      </x:c>
      <x:c r="H2884" s="10" t="n">
        <x:f>IF(F2884="Física",'Pokémon'!G310,IF(F2884="Especial",'Pokémon'!I310,""))</x:f>
        <x:v>95</x:v>
      </x:c>
      <x:c r="I2884" s="10" t="n">
        <x:f>IF(OR(F2884="Status",G2884=0),"",G2884+H2884)</x:f>
        <x:v>145</x:v>
      </x:c>
      <x:c r="J2884" s="10" t="n">
        <x:v>1</x:v>
      </x:c>
      <x:c r="K2884" s="12" t="n">
        <x:v>25</x:v>
      </x:c>
      <x:c r="L2884" s="1" t="str"/>
      <x:c r="M2884" s="9" t="str">
        <x:v>https://poke.idleworld.online/pokepedia/pokemon/lunatone</x:v>
      </x:c>
    </x:row>
    <x:row r="2885" ht="22" customHeight="1">
      <x:c r="A2885" s="1" t="n">
        <x:v>337</x:v>
      </x:c>
      <x:c r="B2885" s="1" t="str">
        <x:v>Lunatone</x:v>
      </x:c>
      <x:c r="C2885" s="1" t="n">
        <x:v>5</x:v>
      </x:c>
      <x:c r="D2885" s="1" t="str">
        <x:v>Rock Slide</x:v>
      </x:c>
      <x:c r="E2885" s="1" t="str">
        <x:v>Pedra</x:v>
      </x:c>
      <x:c r="F2885" s="1" t="str">
        <x:v>Física</x:v>
      </x:c>
      <x:c r="G2885" s="10" t="n">
        <x:v>75</x:v>
      </x:c>
      <x:c r="H2885" s="10" t="n">
        <x:f>IF(F2885="Física",'Pokémon'!G310,IF(F2885="Especial",'Pokémon'!I310,""))</x:f>
        <x:v>55</x:v>
      </x:c>
      <x:c r="I2885" s="10" t="n">
        <x:f>IF(OR(F2885="Status",G2885=0),"",G2885+H2885)</x:f>
        <x:v>130</x:v>
      </x:c>
      <x:c r="J2885" s="10" t="n">
        <x:v>21</x:v>
      </x:c>
      <x:c r="K2885" s="12" t="n">
        <x:v>22</x:v>
      </x:c>
      <x:c r="L2885" s="1" t="str"/>
      <x:c r="M2885" s="9" t="str">
        <x:v>https://poke.idleworld.online/pokepedia/pokemon/lunatone</x:v>
      </x:c>
    </x:row>
    <x:row r="2886" ht="22" customHeight="1">
      <x:c r="A2886" s="1" t="n">
        <x:v>337</x:v>
      </x:c>
      <x:c r="B2886" s="1" t="str">
        <x:v>Lunatone</x:v>
      </x:c>
      <x:c r="C2886" s="1" t="n">
        <x:v>1</x:v>
      </x:c>
      <x:c r="D2886" s="1" t="str">
        <x:v>Rock Throw</x:v>
      </x:c>
      <x:c r="E2886" s="1" t="str">
        <x:v>Pedra</x:v>
      </x:c>
      <x:c r="F2886" s="1" t="str">
        <x:v>Física</x:v>
      </x:c>
      <x:c r="G2886" s="10" t="n">
        <x:v>50</x:v>
      </x:c>
      <x:c r="H2886" s="10" t="n">
        <x:f>IF(F2886="Física",'Pokémon'!G310,IF(F2886="Especial",'Pokémon'!I310,""))</x:f>
        <x:v>55</x:v>
      </x:c>
      <x:c r="I2886" s="10" t="n">
        <x:f>IF(OR(F2886="Status",G2886=0),"",G2886+H2886)</x:f>
        <x:v>105</x:v>
      </x:c>
      <x:c r="J2886" s="10" t="n">
        <x:v>1</x:v>
      </x:c>
      <x:c r="K2886" s="12" t="n">
        <x:v>10</x:v>
      </x:c>
      <x:c r="L2886" s="1" t="str"/>
      <x:c r="M2886" s="9" t="str">
        <x:v>https://poke.idleworld.online/pokepedia/pokemon/lunatone</x:v>
      </x:c>
    </x:row>
    <x:row r="2887" ht="22" customHeight="1">
      <x:c r="A2887" s="1" t="n">
        <x:v>337</x:v>
      </x:c>
      <x:c r="B2887" s="1" t="str">
        <x:v>Lunatone</x:v>
      </x:c>
      <x:c r="C2887" s="1" t="n">
        <x:v>3</x:v>
      </x:c>
      <x:c r="D2887" s="1" t="str">
        <x:v>Tackle</x:v>
      </x:c>
      <x:c r="E2887" s="1" t="str">
        <x:v>Normal</x:v>
      </x:c>
      <x:c r="F2887" s="1" t="str">
        <x:v>Física</x:v>
      </x:c>
      <x:c r="G2887" s="10" t="n">
        <x:v>50</x:v>
      </x:c>
      <x:c r="H2887" s="10" t="n">
        <x:f>IF(F2887="Física",'Pokémon'!G310,IF(F2887="Especial",'Pokémon'!I310,""))</x:f>
        <x:v>55</x:v>
      </x:c>
      <x:c r="I2887" s="10" t="n">
        <x:f>IF(OR(F2887="Status",G2887=0),"",G2887+H2887)</x:f>
        <x:v>105</x:v>
      </x:c>
      <x:c r="J2887" s="10" t="n">
        <x:v>1</x:v>
      </x:c>
      <x:c r="K2887" s="12" t="n">
        <x:v>15</x:v>
      </x:c>
      <x:c r="L2887" s="1" t="str"/>
      <x:c r="M2887" s="9" t="str">
        <x:v>https://poke.idleworld.online/pokepedia/pokemon/lunatone</x:v>
      </x:c>
    </x:row>
    <x:row r="2888" ht="22" customHeight="1">
      <x:c r="A2888" s="1" t="n">
        <x:v>337</x:v>
      </x:c>
      <x:c r="B2888" s="1" t="str">
        <x:v>Lunatone</x:v>
      </x:c>
      <x:c r="C2888" s="1" t="n">
        <x:v>9</x:v>
      </x:c>
      <x:c r="D2888" s="1" t="str">
        <x:v>Magic Room</x:v>
      </x:c>
      <x:c r="E2888" s="1" t="str">
        <x:v>Psíquico</x:v>
      </x:c>
      <x:c r="F2888" s="1" t="str">
        <x:v>Status</x:v>
      </x:c>
      <x:c r="G2888" s="10" t="n">
        <x:v>0</x:v>
      </x:c>
      <x:c r="H2888" s="10" t="str">
        <x:f>IF(F2888="Física",'Pokémon'!G310,IF(F2888="Especial",'Pokémon'!I310,""))</x:f>
      </x:c>
      <x:c r="I2888" s="10" t="str">
        <x:f>IF(OR(F2888="Status",G2888=0),"",G2888+H2888)</x:f>
      </x:c>
      <x:c r="J2888" s="10" t="n">
        <x:v>49</x:v>
      </x:c>
      <x:c r="K2888" s="12" t="n">
        <x:v>40</x:v>
      </x:c>
      <x:c r="L2888" s="1" t="str"/>
      <x:c r="M2888" s="9" t="str">
        <x:v>https://poke.idleworld.online/pokepedia/pokemon/lunatone</x:v>
      </x:c>
    </x:row>
    <x:row r="2889" ht="22" customHeight="1">
      <x:c r="A2889" s="1" t="n">
        <x:v>338</x:v>
      </x:c>
      <x:c r="B2889" s="1" t="str">
        <x:v>Solrock</x:v>
      </x:c>
      <x:c r="C2889" s="1" t="n">
        <x:v>7</x:v>
      </x:c>
      <x:c r="D2889" s="1" t="str">
        <x:v>Stone Edge</x:v>
      </x:c>
      <x:c r="E2889" s="1" t="str">
        <x:v>Pedra</x:v>
      </x:c>
      <x:c r="F2889" s="1" t="str">
        <x:v>Física</x:v>
      </x:c>
      <x:c r="G2889" s="10" t="n">
        <x:v>100</x:v>
      </x:c>
      <x:c r="H2889" s="10" t="n">
        <x:f>IF(F2889="Física",'Pokémon'!G311,IF(F2889="Especial",'Pokémon'!I311,""))</x:f>
        <x:v>95</x:v>
      </x:c>
      <x:c r="I2889" s="10" t="n">
        <x:f>IF(OR(F2889="Status",G2889=0),"",G2889+H2889)</x:f>
        <x:v>195</x:v>
      </x:c>
      <x:c r="J2889" s="10" t="n">
        <x:v>37</x:v>
      </x:c>
      <x:c r="K2889" s="12" t="n">
        <x:v>20</x:v>
      </x:c>
      <x:c r="L2889" s="1" t="str"/>
      <x:c r="M2889" s="9" t="str">
        <x:v>https://poke.idleworld.online/pokepedia/pokemon/solrock</x:v>
      </x:c>
    </x:row>
    <x:row r="2890" ht="22" customHeight="1">
      <x:c r="A2890" s="1" t="n">
        <x:v>338</x:v>
      </x:c>
      <x:c r="B2890" s="1" t="str">
        <x:v>Solrock</x:v>
      </x:c>
      <x:c r="C2890" s="1" t="n">
        <x:v>8</x:v>
      </x:c>
      <x:c r="D2890" s="1" t="str">
        <x:v>Solar Beam</x:v>
      </x:c>
      <x:c r="E2890" s="1" t="str">
        <x:v>Planta</x:v>
      </x:c>
      <x:c r="F2890" s="1" t="str">
        <x:v>Especial</x:v>
      </x:c>
      <x:c r="G2890" s="10" t="n">
        <x:v>120</x:v>
      </x:c>
      <x:c r="H2890" s="10" t="n">
        <x:f>IF(F2890="Física",'Pokémon'!G311,IF(F2890="Especial",'Pokémon'!I311,""))</x:f>
        <x:v>55</x:v>
      </x:c>
      <x:c r="I2890" s="10" t="n">
        <x:f>IF(OR(F2890="Status",G2890=0),"",G2890+H2890)</x:f>
        <x:v>175</x:v>
      </x:c>
      <x:c r="J2890" s="10" t="n">
        <x:v>41</x:v>
      </x:c>
      <x:c r="K2890" s="12" t="n">
        <x:v>50</x:v>
      </x:c>
      <x:c r="L2890" s="1" t="str"/>
      <x:c r="M2890" s="9" t="str">
        <x:v>https://poke.idleworld.online/pokepedia/pokemon/solrock</x:v>
      </x:c>
    </x:row>
    <x:row r="2891" ht="22" customHeight="1">
      <x:c r="A2891" s="1" t="n">
        <x:v>338</x:v>
      </x:c>
      <x:c r="B2891" s="1" t="str">
        <x:v>Solrock</x:v>
      </x:c>
      <x:c r="C2891" s="1" t="n">
        <x:v>5</x:v>
      </x:c>
      <x:c r="D2891" s="1" t="str">
        <x:v>Rock Slide</x:v>
      </x:c>
      <x:c r="E2891" s="1" t="str">
        <x:v>Pedra</x:v>
      </x:c>
      <x:c r="F2891" s="1" t="str">
        <x:v>Física</x:v>
      </x:c>
      <x:c r="G2891" s="10" t="n">
        <x:v>75</x:v>
      </x:c>
      <x:c r="H2891" s="10" t="n">
        <x:f>IF(F2891="Física",'Pokémon'!G311,IF(F2891="Especial",'Pokémon'!I311,""))</x:f>
        <x:v>95</x:v>
      </x:c>
      <x:c r="I2891" s="10" t="n">
        <x:f>IF(OR(F2891="Status",G2891=0),"",G2891+H2891)</x:f>
        <x:v>170</x:v>
      </x:c>
      <x:c r="J2891" s="10" t="n">
        <x:v>21</x:v>
      </x:c>
      <x:c r="K2891" s="12" t="n">
        <x:v>15</x:v>
      </x:c>
      <x:c r="L2891" s="1" t="str"/>
      <x:c r="M2891" s="9" t="str">
        <x:v>https://poke.idleworld.online/pokepedia/pokemon/solrock</x:v>
      </x:c>
    </x:row>
    <x:row r="2892" ht="22" customHeight="1">
      <x:c r="A2892" s="1" t="n">
        <x:v>338</x:v>
      </x:c>
      <x:c r="B2892" s="1" t="str">
        <x:v>Solrock</x:v>
      </x:c>
      <x:c r="C2892" s="1" t="n">
        <x:v>6</x:v>
      </x:c>
      <x:c r="D2892" s="1" t="str">
        <x:v>Psychic</x:v>
      </x:c>
      <x:c r="E2892" s="1" t="str">
        <x:v>Psíquico</x:v>
      </x:c>
      <x:c r="F2892" s="1" t="str">
        <x:v>Especial</x:v>
      </x:c>
      <x:c r="G2892" s="10" t="n">
        <x:v>90</x:v>
      </x:c>
      <x:c r="H2892" s="10" t="n">
        <x:f>IF(F2892="Física",'Pokémon'!G311,IF(F2892="Especial",'Pokémon'!I311,""))</x:f>
        <x:v>55</x:v>
      </x:c>
      <x:c r="I2892" s="10" t="n">
        <x:f>IF(OR(F2892="Status",G2892=0),"",G2892+H2892)</x:f>
        <x:v>145</x:v>
      </x:c>
      <x:c r="J2892" s="10" t="n">
        <x:v>29</x:v>
      </x:c>
      <x:c r="K2892" s="12" t="n">
        <x:v>22</x:v>
      </x:c>
      <x:c r="L2892" s="1" t="str"/>
      <x:c r="M2892" s="9" t="str">
        <x:v>https://poke.idleworld.online/pokepedia/pokemon/solrock</x:v>
      </x:c>
    </x:row>
    <x:row r="2893" ht="22" customHeight="1">
      <x:c r="A2893" s="1" t="n">
        <x:v>338</x:v>
      </x:c>
      <x:c r="B2893" s="1" t="str">
        <x:v>Solrock</x:v>
      </x:c>
      <x:c r="C2893" s="1" t="n">
        <x:v>1</x:v>
      </x:c>
      <x:c r="D2893" s="1" t="str">
        <x:v>Rock Throw</x:v>
      </x:c>
      <x:c r="E2893" s="1" t="str">
        <x:v>Pedra</x:v>
      </x:c>
      <x:c r="F2893" s="1" t="str">
        <x:v>Física</x:v>
      </x:c>
      <x:c r="G2893" s="10" t="n">
        <x:v>50</x:v>
      </x:c>
      <x:c r="H2893" s="10" t="n">
        <x:f>IF(F2893="Física",'Pokémon'!G311,IF(F2893="Especial",'Pokémon'!I311,""))</x:f>
        <x:v>95</x:v>
      </x:c>
      <x:c r="I2893" s="10" t="n">
        <x:f>IF(OR(F2893="Status",G2893=0),"",G2893+H2893)</x:f>
        <x:v>145</x:v>
      </x:c>
      <x:c r="J2893" s="10" t="n">
        <x:v>1</x:v>
      </x:c>
      <x:c r="K2893" s="12" t="n">
        <x:v>10</x:v>
      </x:c>
      <x:c r="L2893" s="1" t="str"/>
      <x:c r="M2893" s="9" t="str">
        <x:v>https://poke.idleworld.online/pokepedia/pokemon/solrock</x:v>
      </x:c>
    </x:row>
    <x:row r="2894" ht="22" customHeight="1">
      <x:c r="A2894" s="1" t="n">
        <x:v>338</x:v>
      </x:c>
      <x:c r="B2894" s="1" t="str">
        <x:v>Solrock</x:v>
      </x:c>
      <x:c r="C2894" s="1" t="n">
        <x:v>2</x:v>
      </x:c>
      <x:c r="D2894" s="1" t="str">
        <x:v>Tackle</x:v>
      </x:c>
      <x:c r="E2894" s="1" t="str">
        <x:v>Normal</x:v>
      </x:c>
      <x:c r="F2894" s="1" t="str">
        <x:v>Física</x:v>
      </x:c>
      <x:c r="G2894" s="10" t="n">
        <x:v>50</x:v>
      </x:c>
      <x:c r="H2894" s="10" t="n">
        <x:f>IF(F2894="Física",'Pokémon'!G311,IF(F2894="Especial",'Pokémon'!I311,""))</x:f>
        <x:v>95</x:v>
      </x:c>
      <x:c r="I2894" s="10" t="n">
        <x:f>IF(OR(F2894="Status",G2894=0),"",G2894+H2894)</x:f>
        <x:v>145</x:v>
      </x:c>
      <x:c r="J2894" s="10" t="n">
        <x:v>1</x:v>
      </x:c>
      <x:c r="K2894" s="12" t="n">
        <x:v>15</x:v>
      </x:c>
      <x:c r="L2894" s="1" t="str"/>
      <x:c r="M2894" s="9" t="str">
        <x:v>https://poke.idleworld.online/pokepedia/pokemon/solrock</x:v>
      </x:c>
    </x:row>
    <x:row r="2895" ht="22" customHeight="1">
      <x:c r="A2895" s="1" t="n">
        <x:v>338</x:v>
      </x:c>
      <x:c r="B2895" s="1" t="str">
        <x:v>Solrock</x:v>
      </x:c>
      <x:c r="C2895" s="1" t="n">
        <x:v>3</x:v>
      </x:c>
      <x:c r="D2895" s="1" t="str">
        <x:v>Confusion</x:v>
      </x:c>
      <x:c r="E2895" s="1" t="str">
        <x:v>Psíquico</x:v>
      </x:c>
      <x:c r="F2895" s="1" t="str">
        <x:v>Especial</x:v>
      </x:c>
      <x:c r="G2895" s="10" t="n">
        <x:v>50</x:v>
      </x:c>
      <x:c r="H2895" s="10" t="n">
        <x:f>IF(F2895="Física",'Pokémon'!G311,IF(F2895="Especial",'Pokémon'!I311,""))</x:f>
        <x:v>55</x:v>
      </x:c>
      <x:c r="I2895" s="10" t="n">
        <x:f>IF(OR(F2895="Status",G2895=0),"",G2895+H2895)</x:f>
        <x:v>105</x:v>
      </x:c>
      <x:c r="J2895" s="10" t="n">
        <x:v>1</x:v>
      </x:c>
      <x:c r="K2895" s="12" t="n">
        <x:v>15</x:v>
      </x:c>
      <x:c r="L2895" s="1" t="str"/>
      <x:c r="M2895" s="9" t="str">
        <x:v>https://poke.idleworld.online/pokepedia/pokemon/solrock</x:v>
      </x:c>
    </x:row>
    <x:row r="2896" ht="22" customHeight="1">
      <x:c r="A2896" s="1" t="n">
        <x:v>338</x:v>
      </x:c>
      <x:c r="B2896" s="1" t="str">
        <x:v>Solrock</x:v>
      </x:c>
      <x:c r="C2896" s="1" t="n">
        <x:v>4</x:v>
      </x:c>
      <x:c r="D2896" s="1" t="str">
        <x:v>Fire Spin</x:v>
      </x:c>
      <x:c r="E2896" s="1" t="str">
        <x:v>Fogo</x:v>
      </x:c>
      <x:c r="F2896" s="1" t="str">
        <x:v>Especial</x:v>
      </x:c>
      <x:c r="G2896" s="10" t="n">
        <x:v>35</x:v>
      </x:c>
      <x:c r="H2896" s="10" t="n">
        <x:f>IF(F2896="Física",'Pokémon'!G311,IF(F2896="Especial",'Pokémon'!I311,""))</x:f>
        <x:v>55</x:v>
      </x:c>
      <x:c r="I2896" s="10" t="n">
        <x:f>IF(OR(F2896="Status",G2896=0),"",G2896+H2896)</x:f>
        <x:v>90</x:v>
      </x:c>
      <x:c r="J2896" s="10" t="n">
        <x:v>5</x:v>
      </x:c>
      <x:c r="K2896" s="12" t="n">
        <x:v>15</x:v>
      </x:c>
      <x:c r="L2896" s="1" t="str"/>
      <x:c r="M2896" s="9" t="str">
        <x:v>https://poke.idleworld.online/pokepedia/pokemon/solrock</x:v>
      </x:c>
    </x:row>
    <x:row r="2897" ht="22" customHeight="1">
      <x:c r="A2897" s="1" t="n">
        <x:v>339</x:v>
      </x:c>
      <x:c r="B2897" s="1" t="str">
        <x:v>Barboach</x:v>
      </x:c>
      <x:c r="C2897" s="1" t="n">
        <x:v>9</x:v>
      </x:c>
      <x:c r="D2897" s="1" t="str">
        <x:v>Future Sight</x:v>
      </x:c>
      <x:c r="E2897" s="1" t="str">
        <x:v>Psíquico</x:v>
      </x:c>
      <x:c r="F2897" s="1" t="str">
        <x:v>Especial</x:v>
      </x:c>
      <x:c r="G2897" s="10" t="n">
        <x:v>120</x:v>
      </x:c>
      <x:c r="H2897" s="10" t="n">
        <x:f>IF(F2897="Física",'Pokémon'!G312,IF(F2897="Especial",'Pokémon'!I312,""))</x:f>
        <x:v>46</x:v>
      </x:c>
      <x:c r="I2897" s="10" t="n">
        <x:f>IF(OR(F2897="Status",G2897=0),"",G2897+H2897)</x:f>
        <x:v>166</x:v>
      </x:c>
      <x:c r="J2897" s="10" t="n">
        <x:v>39</x:v>
      </x:c>
      <x:c r="K2897" s="12" t="n">
        <x:v>50</x:v>
      </x:c>
      <x:c r="L2897" s="1" t="str"/>
      <x:c r="M2897" s="9" t="str">
        <x:v>https://poke.idleworld.online/pokepedia/pokemon/barboach</x:v>
      </x:c>
    </x:row>
    <x:row r="2898" ht="22" customHeight="1">
      <x:c r="A2898" s="1" t="n">
        <x:v>339</x:v>
      </x:c>
      <x:c r="B2898" s="1" t="str">
        <x:v>Barboach</x:v>
      </x:c>
      <x:c r="C2898" s="1" t="n">
        <x:v>7</x:v>
      </x:c>
      <x:c r="D2898" s="1" t="str">
        <x:v>Earthquake</x:v>
      </x:c>
      <x:c r="E2898" s="1" t="str">
        <x:v>Terrestre</x:v>
      </x:c>
      <x:c r="F2898" s="1" t="str">
        <x:v>Física</x:v>
      </x:c>
      <x:c r="G2898" s="10" t="n">
        <x:v>100</x:v>
      </x:c>
      <x:c r="H2898" s="10" t="n">
        <x:f>IF(F2898="Física",'Pokémon'!G312,IF(F2898="Especial",'Pokémon'!I312,""))</x:f>
        <x:v>48</x:v>
      </x:c>
      <x:c r="I2898" s="10" t="n">
        <x:f>IF(OR(F2898="Status",G2898=0),"",G2898+H2898)</x:f>
        <x:v>148</x:v>
      </x:c>
      <x:c r="J2898" s="10" t="n">
        <x:v>32</x:v>
      </x:c>
      <x:c r="K2898" s="12" t="n">
        <x:v>40</x:v>
      </x:c>
      <x:c r="L2898" s="1" t="str"/>
      <x:c r="M2898" s="9" t="str">
        <x:v>https://poke.idleworld.online/pokepedia/pokemon/barboach</x:v>
      </x:c>
    </x:row>
    <x:row r="2899" ht="22" customHeight="1">
      <x:c r="A2899" s="1" t="n">
        <x:v>339</x:v>
      </x:c>
      <x:c r="B2899" s="1" t="str">
        <x:v>Barboach</x:v>
      </x:c>
      <x:c r="C2899" s="1" t="n">
        <x:v>6</x:v>
      </x:c>
      <x:c r="D2899" s="1" t="str">
        <x:v>Aqua Tail</x:v>
      </x:c>
      <x:c r="E2899" s="1" t="str">
        <x:v>Água</x:v>
      </x:c>
      <x:c r="F2899" s="1" t="str">
        <x:v>Física</x:v>
      </x:c>
      <x:c r="G2899" s="10" t="n">
        <x:v>90</x:v>
      </x:c>
      <x:c r="H2899" s="10" t="n">
        <x:f>IF(F2899="Física",'Pokémon'!G312,IF(F2899="Especial",'Pokémon'!I312,""))</x:f>
        <x:v>48</x:v>
      </x:c>
      <x:c r="I2899" s="10" t="n">
        <x:f>IF(OR(F2899="Status",G2899=0),"",G2899+H2899)</x:f>
        <x:v>138</x:v>
      </x:c>
      <x:c r="J2899" s="10" t="n">
        <x:v>28</x:v>
      </x:c>
      <x:c r="K2899" s="12" t="n">
        <x:v>10</x:v>
      </x:c>
      <x:c r="L2899" s="1" t="str"/>
      <x:c r="M2899" s="9" t="str">
        <x:v>https://poke.idleworld.online/pokepedia/pokemon/barboach</x:v>
      </x:c>
    </x:row>
    <x:row r="2900" ht="22" customHeight="1">
      <x:c r="A2900" s="1" t="n">
        <x:v>339</x:v>
      </x:c>
      <x:c r="B2900" s="1" t="str">
        <x:v>Barboach</x:v>
      </x:c>
      <x:c r="C2900" s="1" t="n">
        <x:v>8</x:v>
      </x:c>
      <x:c r="D2900" s="1" t="str">
        <x:v>Muddy Water</x:v>
      </x:c>
      <x:c r="E2900" s="1" t="str">
        <x:v>Água</x:v>
      </x:c>
      <x:c r="F2900" s="1" t="str">
        <x:v>Especial</x:v>
      </x:c>
      <x:c r="G2900" s="10" t="n">
        <x:v>90</x:v>
      </x:c>
      <x:c r="H2900" s="10" t="n">
        <x:f>IF(F2900="Física",'Pokémon'!G312,IF(F2900="Especial",'Pokémon'!I312,""))</x:f>
        <x:v>46</x:v>
      </x:c>
      <x:c r="I2900" s="10" t="n">
        <x:f>IF(OR(F2900="Status",G2900=0),"",G2900+H2900)</x:f>
        <x:v>136</x:v>
      </x:c>
      <x:c r="J2900" s="10" t="n">
        <x:v>35</x:v>
      </x:c>
      <x:c r="K2900" s="12" t="n">
        <x:v>35</x:v>
      </x:c>
      <x:c r="L2900" s="1" t="str"/>
      <x:c r="M2900" s="9" t="str">
        <x:v>https://poke.idleworld.online/pokepedia/pokemon/barboach</x:v>
      </x:c>
    </x:row>
    <x:row r="2901" ht="22" customHeight="1">
      <x:c r="A2901" s="1" t="n">
        <x:v>339</x:v>
      </x:c>
      <x:c r="B2901" s="1" t="str">
        <x:v>Barboach</x:v>
      </x:c>
      <x:c r="C2901" s="1" t="n">
        <x:v>3</x:v>
      </x:c>
      <x:c r="D2901" s="1" t="str">
        <x:v>Mud Bomb</x:v>
      </x:c>
      <x:c r="E2901" s="1" t="str">
        <x:v>Terrestre</x:v>
      </x:c>
      <x:c r="F2901" s="1" t="str">
        <x:v>Especial</x:v>
      </x:c>
      <x:c r="G2901" s="10" t="n">
        <x:v>65</x:v>
      </x:c>
      <x:c r="H2901" s="10" t="n">
        <x:f>IF(F2901="Física",'Pokémon'!G312,IF(F2901="Especial",'Pokémon'!I312,""))</x:f>
        <x:v>46</x:v>
      </x:c>
      <x:c r="I2901" s="10" t="n">
        <x:f>IF(OR(F2901="Status",G2901=0),"",G2901+H2901)</x:f>
        <x:v>111</x:v>
      </x:c>
      <x:c r="J2901" s="10" t="n">
        <x:v>13</x:v>
      </x:c>
      <x:c r="K2901" s="12" t="n">
        <x:v>25</x:v>
      </x:c>
      <x:c r="L2901" s="1" t="str"/>
      <x:c r="M2901" s="9" t="str">
        <x:v>https://poke.idleworld.online/pokepedia/pokemon/barboach</x:v>
      </x:c>
    </x:row>
    <x:row r="2902" ht="22" customHeight="1">
      <x:c r="A2902" s="1" t="n">
        <x:v>339</x:v>
      </x:c>
      <x:c r="B2902" s="1" t="str">
        <x:v>Barboach</x:v>
      </x:c>
      <x:c r="C2902" s="1" t="n">
        <x:v>4</x:v>
      </x:c>
      <x:c r="D2902" s="1" t="str">
        <x:v>Water Pulse</x:v>
      </x:c>
      <x:c r="E2902" s="1" t="str">
        <x:v>Água</x:v>
      </x:c>
      <x:c r="F2902" s="1" t="str">
        <x:v>Especial</x:v>
      </x:c>
      <x:c r="G2902" s="10" t="n">
        <x:v>60</x:v>
      </x:c>
      <x:c r="H2902" s="10" t="n">
        <x:f>IF(F2902="Física",'Pokémon'!G312,IF(F2902="Especial",'Pokémon'!I312,""))</x:f>
        <x:v>46</x:v>
      </x:c>
      <x:c r="I2902" s="10" t="n">
        <x:f>IF(OR(F2902="Status",G2902=0),"",G2902+H2902)</x:f>
        <x:v>106</x:v>
      </x:c>
      <x:c r="J2902" s="10" t="n">
        <x:v>17</x:v>
      </x:c>
      <x:c r="K2902" s="12" t="n">
        <x:v>20</x:v>
      </x:c>
      <x:c r="L2902" s="1" t="str"/>
      <x:c r="M2902" s="9" t="str">
        <x:v>https://poke.idleworld.online/pokepedia/pokemon/barboach</x:v>
      </x:c>
    </x:row>
    <x:row r="2903" ht="22" customHeight="1">
      <x:c r="A2903" s="1" t="n">
        <x:v>339</x:v>
      </x:c>
      <x:c r="B2903" s="1" t="str">
        <x:v>Barboach</x:v>
      </x:c>
      <x:c r="C2903" s="1" t="n">
        <x:v>5</x:v>
      </x:c>
      <x:c r="D2903" s="1" t="str">
        <x:v>Snore</x:v>
      </x:c>
      <x:c r="E2903" s="1" t="str">
        <x:v>Normal</x:v>
      </x:c>
      <x:c r="F2903" s="1" t="str">
        <x:v>Especial</x:v>
      </x:c>
      <x:c r="G2903" s="10" t="n">
        <x:v>50</x:v>
      </x:c>
      <x:c r="H2903" s="10" t="n">
        <x:f>IF(F2903="Física",'Pokémon'!G312,IF(F2903="Especial",'Pokémon'!I312,""))</x:f>
        <x:v>46</x:v>
      </x:c>
      <x:c r="I2903" s="10" t="n">
        <x:f>IF(OR(F2903="Status",G2903=0),"",G2903+H2903)</x:f>
        <x:v>96</x:v>
      </x:c>
      <x:c r="J2903" s="10" t="n">
        <x:v>25</x:v>
      </x:c>
      <x:c r="K2903" s="12" t="n">
        <x:v>15</x:v>
      </x:c>
      <x:c r="L2903" s="1" t="str"/>
      <x:c r="M2903" s="9" t="str">
        <x:v>https://poke.idleworld.online/pokepedia/pokemon/barboach</x:v>
      </x:c>
    </x:row>
    <x:row r="2904" ht="22" customHeight="1">
      <x:c r="A2904" s="1" t="n">
        <x:v>339</x:v>
      </x:c>
      <x:c r="B2904" s="1" t="str">
        <x:v>Barboach</x:v>
      </x:c>
      <x:c r="C2904" s="1" t="n">
        <x:v>2</x:v>
      </x:c>
      <x:c r="D2904" s="1" t="str">
        <x:v>Water Gun</x:v>
      </x:c>
      <x:c r="E2904" s="1" t="str">
        <x:v>Água</x:v>
      </x:c>
      <x:c r="F2904" s="1" t="str">
        <x:v>Especial</x:v>
      </x:c>
      <x:c r="G2904" s="10" t="n">
        <x:v>40</x:v>
      </x:c>
      <x:c r="H2904" s="10" t="n">
        <x:f>IF(F2904="Física",'Pokémon'!G312,IF(F2904="Especial",'Pokémon'!I312,""))</x:f>
        <x:v>46</x:v>
      </x:c>
      <x:c r="I2904" s="10" t="n">
        <x:f>IF(OR(F2904="Status",G2904=0),"",G2904+H2904)</x:f>
        <x:v>86</x:v>
      </x:c>
      <x:c r="J2904" s="10" t="n">
        <x:v>9</x:v>
      </x:c>
      <x:c r="K2904" s="12" t="n">
        <x:v>20</x:v>
      </x:c>
      <x:c r="L2904" s="1" t="str"/>
      <x:c r="M2904" s="9" t="str">
        <x:v>https://poke.idleworld.online/pokepedia/pokemon/barboach</x:v>
      </x:c>
    </x:row>
    <x:row r="2905" ht="22" customHeight="1">
      <x:c r="A2905" s="1" t="n">
        <x:v>339</x:v>
      </x:c>
      <x:c r="B2905" s="1" t="str">
        <x:v>Barboach</x:v>
      </x:c>
      <x:c r="C2905" s="1" t="n">
        <x:v>1</x:v>
      </x:c>
      <x:c r="D2905" s="1" t="str">
        <x:v>Mud-Slap</x:v>
      </x:c>
      <x:c r="E2905" s="1" t="str">
        <x:v>Terrestre</x:v>
      </x:c>
      <x:c r="F2905" s="1" t="str">
        <x:v>Especial</x:v>
      </x:c>
      <x:c r="G2905" s="10" t="n">
        <x:v>20</x:v>
      </x:c>
      <x:c r="H2905" s="10" t="n">
        <x:f>IF(F2905="Física",'Pokémon'!G312,IF(F2905="Especial",'Pokémon'!I312,""))</x:f>
        <x:v>46</x:v>
      </x:c>
      <x:c r="I2905" s="10" t="n">
        <x:f>IF(OR(F2905="Status",G2905=0),"",G2905+H2905)</x:f>
        <x:v>66</x:v>
      </x:c>
      <x:c r="J2905" s="10" t="n">
        <x:v>1</x:v>
      </x:c>
      <x:c r="K2905" s="12" t="n">
        <x:v>20</x:v>
      </x:c>
      <x:c r="L2905" s="1" t="str"/>
      <x:c r="M2905" s="9" t="str">
        <x:v>https://poke.idleworld.online/pokepedia/pokemon/barboach</x:v>
      </x:c>
    </x:row>
    <x:row r="2906" ht="22" customHeight="1">
      <x:c r="A2906" s="1" t="n">
        <x:v>340</x:v>
      </x:c>
      <x:c r="B2906" s="1" t="str">
        <x:v>Whiscash</x:v>
      </x:c>
      <x:c r="C2906" s="1" t="n">
        <x:v>10</x:v>
      </x:c>
      <x:c r="D2906" s="1" t="str">
        <x:v>Future Sight</x:v>
      </x:c>
      <x:c r="E2906" s="1" t="str">
        <x:v>Psíquico</x:v>
      </x:c>
      <x:c r="F2906" s="1" t="str">
        <x:v>Especial</x:v>
      </x:c>
      <x:c r="G2906" s="10" t="n">
        <x:v>120</x:v>
      </x:c>
      <x:c r="H2906" s="10" t="n">
        <x:f>IF(F2906="Física",'Pokémon'!G313,IF(F2906="Especial",'Pokémon'!I313,""))</x:f>
        <x:v>76</x:v>
      </x:c>
      <x:c r="I2906" s="10" t="n">
        <x:f>IF(OR(F2906="Status",G2906=0),"",G2906+H2906)</x:f>
        <x:v>196</x:v>
      </x:c>
      <x:c r="J2906" s="10" t="n">
        <x:v>45</x:v>
      </x:c>
      <x:c r="K2906" s="12" t="n">
        <x:v>50</x:v>
      </x:c>
      <x:c r="L2906" s="1" t="str"/>
      <x:c r="M2906" s="9" t="str">
        <x:v>https://poke.idleworld.online/pokepedia/pokemon/whiscash</x:v>
      </x:c>
    </x:row>
    <x:row r="2907" ht="22" customHeight="1">
      <x:c r="A2907" s="1" t="n">
        <x:v>340</x:v>
      </x:c>
      <x:c r="B2907" s="1" t="str">
        <x:v>Whiscash</x:v>
      </x:c>
      <x:c r="C2907" s="1" t="n">
        <x:v>8</x:v>
      </x:c>
      <x:c r="D2907" s="1" t="str">
        <x:v>Earthquake</x:v>
      </x:c>
      <x:c r="E2907" s="1" t="str">
        <x:v>Terrestre</x:v>
      </x:c>
      <x:c r="F2907" s="1" t="str">
        <x:v>Física</x:v>
      </x:c>
      <x:c r="G2907" s="10" t="n">
        <x:v>100</x:v>
      </x:c>
      <x:c r="H2907" s="10" t="n">
        <x:f>IF(F2907="Física",'Pokémon'!G313,IF(F2907="Especial",'Pokémon'!I313,""))</x:f>
        <x:v>78</x:v>
      </x:c>
      <x:c r="I2907" s="10" t="n">
        <x:f>IF(OR(F2907="Status",G2907=0),"",G2907+H2907)</x:f>
        <x:v>178</x:v>
      </x:c>
      <x:c r="J2907" s="10" t="n">
        <x:v>34</x:v>
      </x:c>
      <x:c r="K2907" s="12" t="n">
        <x:v>40</x:v>
      </x:c>
      <x:c r="L2907" s="1" t="str"/>
      <x:c r="M2907" s="9" t="str">
        <x:v>https://poke.idleworld.online/pokepedia/pokemon/whiscash</x:v>
      </x:c>
    </x:row>
    <x:row r="2908" ht="22" customHeight="1">
      <x:c r="A2908" s="1" t="n">
        <x:v>340</x:v>
      </x:c>
      <x:c r="B2908" s="1" t="str">
        <x:v>Whiscash</x:v>
      </x:c>
      <x:c r="C2908" s="1" t="n">
        <x:v>6</x:v>
      </x:c>
      <x:c r="D2908" s="1" t="str">
        <x:v>Aqua Tail</x:v>
      </x:c>
      <x:c r="E2908" s="1" t="str">
        <x:v>Água</x:v>
      </x:c>
      <x:c r="F2908" s="1" t="str">
        <x:v>Física</x:v>
      </x:c>
      <x:c r="G2908" s="10" t="n">
        <x:v>90</x:v>
      </x:c>
      <x:c r="H2908" s="10" t="n">
        <x:f>IF(F2908="Física",'Pokémon'!G313,IF(F2908="Especial",'Pokémon'!I313,""))</x:f>
        <x:v>78</x:v>
      </x:c>
      <x:c r="I2908" s="10" t="n">
        <x:f>IF(OR(F2908="Status",G2908=0),"",G2908+H2908)</x:f>
        <x:v>168</x:v>
      </x:c>
      <x:c r="J2908" s="10" t="n">
        <x:v>28</x:v>
      </x:c>
      <x:c r="K2908" s="12" t="n">
        <x:v>10</x:v>
      </x:c>
      <x:c r="L2908" s="1" t="str"/>
      <x:c r="M2908" s="9" t="str">
        <x:v>https://poke.idleworld.online/pokepedia/pokemon/whiscash</x:v>
      </x:c>
    </x:row>
    <x:row r="2909" ht="22" customHeight="1">
      <x:c r="A2909" s="1" t="n">
        <x:v>340</x:v>
      </x:c>
      <x:c r="B2909" s="1" t="str">
        <x:v>Whiscash</x:v>
      </x:c>
      <x:c r="C2909" s="1" t="n">
        <x:v>9</x:v>
      </x:c>
      <x:c r="D2909" s="1" t="str">
        <x:v>Muddy Water</x:v>
      </x:c>
      <x:c r="E2909" s="1" t="str">
        <x:v>Água</x:v>
      </x:c>
      <x:c r="F2909" s="1" t="str">
        <x:v>Especial</x:v>
      </x:c>
      <x:c r="G2909" s="10" t="n">
        <x:v>90</x:v>
      </x:c>
      <x:c r="H2909" s="10" t="n">
        <x:f>IF(F2909="Física",'Pokémon'!G313,IF(F2909="Especial",'Pokémon'!I313,""))</x:f>
        <x:v>76</x:v>
      </x:c>
      <x:c r="I2909" s="10" t="n">
        <x:f>IF(OR(F2909="Status",G2909=0),"",G2909+H2909)</x:f>
        <x:v>166</x:v>
      </x:c>
      <x:c r="J2909" s="10" t="n">
        <x:v>39</x:v>
      </x:c>
      <x:c r="K2909" s="12" t="n">
        <x:v>22</x:v>
      </x:c>
      <x:c r="L2909" s="1" t="str"/>
      <x:c r="M2909" s="9" t="str">
        <x:v>https://poke.idleworld.online/pokepedia/pokemon/whiscash</x:v>
      </x:c>
    </x:row>
    <x:row r="2910" ht="22" customHeight="1">
      <x:c r="A2910" s="1" t="n">
        <x:v>340</x:v>
      </x:c>
      <x:c r="B2910" s="1" t="str">
        <x:v>Whiscash</x:v>
      </x:c>
      <x:c r="C2910" s="1" t="n">
        <x:v>7</x:v>
      </x:c>
      <x:c r="D2910" s="1" t="str">
        <x:v>Zen Headbutt</x:v>
      </x:c>
      <x:c r="E2910" s="1" t="str">
        <x:v>Psíquico</x:v>
      </x:c>
      <x:c r="F2910" s="1" t="str">
        <x:v>Física</x:v>
      </x:c>
      <x:c r="G2910" s="10" t="n">
        <x:v>80</x:v>
      </x:c>
      <x:c r="H2910" s="10" t="n">
        <x:f>IF(F2910="Física",'Pokémon'!G313,IF(F2910="Especial",'Pokémon'!I313,""))</x:f>
        <x:v>78</x:v>
      </x:c>
      <x:c r="I2910" s="10" t="n">
        <x:f>IF(OR(F2910="Status",G2910=0),"",G2910+H2910)</x:f>
        <x:v>158</x:v>
      </x:c>
      <x:c r="J2910" s="10" t="n">
        <x:v>30</x:v>
      </x:c>
      <x:c r="K2910" s="12" t="n">
        <x:v>22</x:v>
      </x:c>
      <x:c r="L2910" s="1" t="str"/>
      <x:c r="M2910" s="9" t="str">
        <x:v>https://poke.idleworld.online/pokepedia/pokemon/whiscash</x:v>
      </x:c>
    </x:row>
    <x:row r="2911" ht="22" customHeight="1">
      <x:c r="A2911" s="1" t="n">
        <x:v>340</x:v>
      </x:c>
      <x:c r="B2911" s="1" t="str">
        <x:v>Whiscash</x:v>
      </x:c>
      <x:c r="C2911" s="1" t="n">
        <x:v>3</x:v>
      </x:c>
      <x:c r="D2911" s="1" t="str">
        <x:v>Mud Bomb</x:v>
      </x:c>
      <x:c r="E2911" s="1" t="str">
        <x:v>Terrestre</x:v>
      </x:c>
      <x:c r="F2911" s="1" t="str">
        <x:v>Especial</x:v>
      </x:c>
      <x:c r="G2911" s="10" t="n">
        <x:v>65</x:v>
      </x:c>
      <x:c r="H2911" s="10" t="n">
        <x:f>IF(F2911="Física",'Pokémon'!G313,IF(F2911="Especial",'Pokémon'!I313,""))</x:f>
        <x:v>76</x:v>
      </x:c>
      <x:c r="I2911" s="10" t="n">
        <x:f>IF(OR(F2911="Status",G2911=0),"",G2911+H2911)</x:f>
        <x:v>141</x:v>
      </x:c>
      <x:c r="J2911" s="10" t="n">
        <x:v>13</x:v>
      </x:c>
      <x:c r="K2911" s="12" t="n">
        <x:v>20</x:v>
      </x:c>
      <x:c r="L2911" s="1" t="str"/>
      <x:c r="M2911" s="9" t="str">
        <x:v>https://poke.idleworld.online/pokepedia/pokemon/whiscash</x:v>
      </x:c>
    </x:row>
    <x:row r="2912" ht="22" customHeight="1">
      <x:c r="A2912" s="1" t="n">
        <x:v>340</x:v>
      </x:c>
      <x:c r="B2912" s="1" t="str">
        <x:v>Whiscash</x:v>
      </x:c>
      <x:c r="C2912" s="1" t="n">
        <x:v>4</x:v>
      </x:c>
      <x:c r="D2912" s="1" t="str">
        <x:v>Water Pulse</x:v>
      </x:c>
      <x:c r="E2912" s="1" t="str">
        <x:v>Água</x:v>
      </x:c>
      <x:c r="F2912" s="1" t="str">
        <x:v>Especial</x:v>
      </x:c>
      <x:c r="G2912" s="10" t="n">
        <x:v>60</x:v>
      </x:c>
      <x:c r="H2912" s="10" t="n">
        <x:f>IF(F2912="Física",'Pokémon'!G313,IF(F2912="Especial",'Pokémon'!I313,""))</x:f>
        <x:v>76</x:v>
      </x:c>
      <x:c r="I2912" s="10" t="n">
        <x:f>IF(OR(F2912="Status",G2912=0),"",G2912+H2912)</x:f>
        <x:v>136</x:v>
      </x:c>
      <x:c r="J2912" s="10" t="n">
        <x:v>17</x:v>
      </x:c>
      <x:c r="K2912" s="12" t="n">
        <x:v>20</x:v>
      </x:c>
      <x:c r="L2912" s="1" t="str"/>
      <x:c r="M2912" s="9" t="str">
        <x:v>https://poke.idleworld.online/pokepedia/pokemon/whiscash</x:v>
      </x:c>
    </x:row>
    <x:row r="2913" ht="22" customHeight="1">
      <x:c r="A2913" s="1" t="n">
        <x:v>340</x:v>
      </x:c>
      <x:c r="B2913" s="1" t="str">
        <x:v>Whiscash</x:v>
      </x:c>
      <x:c r="C2913" s="1" t="n">
        <x:v>5</x:v>
      </x:c>
      <x:c r="D2913" s="1" t="str">
        <x:v>Snore</x:v>
      </x:c>
      <x:c r="E2913" s="1" t="str">
        <x:v>Normal</x:v>
      </x:c>
      <x:c r="F2913" s="1" t="str">
        <x:v>Especial</x:v>
      </x:c>
      <x:c r="G2913" s="10" t="n">
        <x:v>50</x:v>
      </x:c>
      <x:c r="H2913" s="10" t="n">
        <x:f>IF(F2913="Física",'Pokémon'!G313,IF(F2913="Especial",'Pokémon'!I313,""))</x:f>
        <x:v>76</x:v>
      </x:c>
      <x:c r="I2913" s="10" t="n">
        <x:f>IF(OR(F2913="Status",G2913=0),"",G2913+H2913)</x:f>
        <x:v>126</x:v>
      </x:c>
      <x:c r="J2913" s="10" t="n">
        <x:v>25</x:v>
      </x:c>
      <x:c r="K2913" s="12" t="n">
        <x:v>15</x:v>
      </x:c>
      <x:c r="L2913" s="1" t="str"/>
      <x:c r="M2913" s="9" t="str">
        <x:v>https://poke.idleworld.online/pokepedia/pokemon/whiscash</x:v>
      </x:c>
    </x:row>
    <x:row r="2914" ht="22" customHeight="1">
      <x:c r="A2914" s="1" t="n">
        <x:v>340</x:v>
      </x:c>
      <x:c r="B2914" s="1" t="str">
        <x:v>Whiscash</x:v>
      </x:c>
      <x:c r="C2914" s="1" t="n">
        <x:v>2</x:v>
      </x:c>
      <x:c r="D2914" s="1" t="str">
        <x:v>Water Gun</x:v>
      </x:c>
      <x:c r="E2914" s="1" t="str">
        <x:v>Água</x:v>
      </x:c>
      <x:c r="F2914" s="1" t="str">
        <x:v>Especial</x:v>
      </x:c>
      <x:c r="G2914" s="10" t="n">
        <x:v>40</x:v>
      </x:c>
      <x:c r="H2914" s="10" t="n">
        <x:f>IF(F2914="Física",'Pokémon'!G313,IF(F2914="Especial",'Pokémon'!I313,""))</x:f>
        <x:v>76</x:v>
      </x:c>
      <x:c r="I2914" s="10" t="n">
        <x:f>IF(OR(F2914="Status",G2914=0),"",G2914+H2914)</x:f>
        <x:v>116</x:v>
      </x:c>
      <x:c r="J2914" s="10" t="n">
        <x:v>1</x:v>
      </x:c>
      <x:c r="K2914" s="12" t="n">
        <x:v>15</x:v>
      </x:c>
      <x:c r="L2914" s="1" t="str"/>
      <x:c r="M2914" s="9" t="str">
        <x:v>https://poke.idleworld.online/pokepedia/pokemon/whiscash</x:v>
      </x:c>
    </x:row>
    <x:row r="2915" ht="22" customHeight="1">
      <x:c r="A2915" s="1" t="n">
        <x:v>340</x:v>
      </x:c>
      <x:c r="B2915" s="1" t="str">
        <x:v>Whiscash</x:v>
      </x:c>
      <x:c r="C2915" s="1" t="n">
        <x:v>1</x:v>
      </x:c>
      <x:c r="D2915" s="1" t="str">
        <x:v>Mud-Slap</x:v>
      </x:c>
      <x:c r="E2915" s="1" t="str">
        <x:v>Terrestre</x:v>
      </x:c>
      <x:c r="F2915" s="1" t="str">
        <x:v>Especial</x:v>
      </x:c>
      <x:c r="G2915" s="10" t="n">
        <x:v>20</x:v>
      </x:c>
      <x:c r="H2915" s="10" t="n">
        <x:f>IF(F2915="Física",'Pokémon'!G313,IF(F2915="Especial",'Pokémon'!I313,""))</x:f>
        <x:v>76</x:v>
      </x:c>
      <x:c r="I2915" s="10" t="n">
        <x:f>IF(OR(F2915="Status",G2915=0),"",G2915+H2915)</x:f>
        <x:v>96</x:v>
      </x:c>
      <x:c r="J2915" s="10" t="n">
        <x:v>1</x:v>
      </x:c>
      <x:c r="K2915" s="12" t="n">
        <x:v>15</x:v>
      </x:c>
      <x:c r="L2915" s="1" t="str"/>
      <x:c r="M2915" s="9" t="str">
        <x:v>https://poke.idleworld.online/pokepedia/pokemon/whiscash</x:v>
      </x:c>
    </x:row>
    <x:row r="2916" ht="22" customHeight="1">
      <x:c r="A2916" s="1" t="n">
        <x:v>341</x:v>
      </x:c>
      <x:c r="B2916" s="1" t="str">
        <x:v>Corphish</x:v>
      </x:c>
      <x:c r="C2916" s="1" t="n">
        <x:v>11</x:v>
      </x:c>
      <x:c r="D2916" s="1" t="str">
        <x:v>Crabhammer</x:v>
      </x:c>
      <x:c r="E2916" s="1" t="str">
        <x:v>Água</x:v>
      </x:c>
      <x:c r="F2916" s="1" t="str">
        <x:v>Física</x:v>
      </x:c>
      <x:c r="G2916" s="10" t="n">
        <x:v>100</x:v>
      </x:c>
      <x:c r="H2916" s="10" t="n">
        <x:f>IF(F2916="Física",'Pokémon'!G314,IF(F2916="Especial",'Pokémon'!I314,""))</x:f>
        <x:v>80</x:v>
      </x:c>
      <x:c r="I2916" s="10" t="n">
        <x:f>IF(OR(F2916="Status",G2916=0),"",G2916+H2916)</x:f>
        <x:v>180</x:v>
      </x:c>
      <x:c r="J2916" s="10" t="n">
        <x:v>43</x:v>
      </x:c>
      <x:c r="K2916" s="12" t="n">
        <x:v>12</x:v>
      </x:c>
      <x:c r="L2916" s="1" t="str"/>
      <x:c r="M2916" s="9" t="str">
        <x:v>https://poke.idleworld.online/pokepedia/pokemon/corphish</x:v>
      </x:c>
    </x:row>
    <x:row r="2917" ht="22" customHeight="1">
      <x:c r="A2917" s="1" t="n">
        <x:v>341</x:v>
      </x:c>
      <x:c r="B2917" s="1" t="str">
        <x:v>Corphish</x:v>
      </x:c>
      <x:c r="C2917" s="1" t="n">
        <x:v>10</x:v>
      </x:c>
      <x:c r="D2917" s="1" t="str">
        <x:v>Crunch</x:v>
      </x:c>
      <x:c r="E2917" s="1" t="str">
        <x:v>Sombrio</x:v>
      </x:c>
      <x:c r="F2917" s="1" t="str">
        <x:v>Física</x:v>
      </x:c>
      <x:c r="G2917" s="10" t="n">
        <x:v>80</x:v>
      </x:c>
      <x:c r="H2917" s="10" t="n">
        <x:f>IF(F2917="Física",'Pokémon'!G314,IF(F2917="Especial",'Pokémon'!I314,""))</x:f>
        <x:v>80</x:v>
      </x:c>
      <x:c r="I2917" s="10" t="n">
        <x:f>IF(OR(F2917="Status",G2917=0),"",G2917+H2917)</x:f>
        <x:v>160</x:v>
      </x:c>
      <x:c r="J2917" s="10" t="n">
        <x:v>39</x:v>
      </x:c>
      <x:c r="K2917" s="12" t="n">
        <x:v>22</x:v>
      </x:c>
      <x:c r="L2917" s="1" t="str"/>
      <x:c r="M2917" s="9" t="str">
        <x:v>https://poke.idleworld.online/pokepedia/pokemon/corphish</x:v>
      </x:c>
    </x:row>
    <x:row r="2918" ht="22" customHeight="1">
      <x:c r="A2918" s="1" t="n">
        <x:v>341</x:v>
      </x:c>
      <x:c r="B2918" s="1" t="str">
        <x:v>Corphish</x:v>
      </x:c>
      <x:c r="C2918" s="1" t="n">
        <x:v>8</x:v>
      </x:c>
      <x:c r="D2918" s="1" t="str">
        <x:v>Razor Shell</x:v>
      </x:c>
      <x:c r="E2918" s="1" t="str">
        <x:v>Água</x:v>
      </x:c>
      <x:c r="F2918" s="1" t="str">
        <x:v>Física</x:v>
      </x:c>
      <x:c r="G2918" s="10" t="n">
        <x:v>75</x:v>
      </x:c>
      <x:c r="H2918" s="10" t="n">
        <x:f>IF(F2918="Física",'Pokémon'!G314,IF(F2918="Especial",'Pokémon'!I314,""))</x:f>
        <x:v>80</x:v>
      </x:c>
      <x:c r="I2918" s="10" t="n">
        <x:f>IF(OR(F2918="Status",G2918=0),"",G2918+H2918)</x:f>
        <x:v>155</x:v>
      </x:c>
      <x:c r="J2918" s="10" t="n">
        <x:v>31</x:v>
      </x:c>
      <x:c r="K2918" s="12" t="n">
        <x:v>22</x:v>
      </x:c>
      <x:c r="L2918" s="1" t="str"/>
      <x:c r="M2918" s="9" t="str">
        <x:v>https://poke.idleworld.online/pokepedia/pokemon/corphish</x:v>
      </x:c>
    </x:row>
    <x:row r="2919" ht="22" customHeight="1">
      <x:c r="A2919" s="1" t="n">
        <x:v>341</x:v>
      </x:c>
      <x:c r="B2919" s="1" t="str">
        <x:v>Corphish</x:v>
      </x:c>
      <x:c r="C2919" s="1" t="n">
        <x:v>7</x:v>
      </x:c>
      <x:c r="D2919" s="1" t="str">
        <x:v>Night Slash</x:v>
      </x:c>
      <x:c r="E2919" s="1" t="str">
        <x:v>Sombrio</x:v>
      </x:c>
      <x:c r="F2919" s="1" t="str">
        <x:v>Física</x:v>
      </x:c>
      <x:c r="G2919" s="10" t="n">
        <x:v>70</x:v>
      </x:c>
      <x:c r="H2919" s="10" t="n">
        <x:f>IF(F2919="Física",'Pokémon'!G314,IF(F2919="Especial",'Pokémon'!I314,""))</x:f>
        <x:v>80</x:v>
      </x:c>
      <x:c r="I2919" s="10" t="n">
        <x:f>IF(OR(F2919="Status",G2919=0),"",G2919+H2919)</x:f>
        <x:v>150</x:v>
      </x:c>
      <x:c r="J2919" s="10" t="n">
        <x:v>26</x:v>
      </x:c>
      <x:c r="K2919" s="12" t="n">
        <x:v>22</x:v>
      </x:c>
      <x:c r="L2919" s="1" t="str"/>
      <x:c r="M2919" s="9" t="str">
        <x:v>https://poke.idleworld.online/pokepedia/pokemon/corphish</x:v>
      </x:c>
    </x:row>
    <x:row r="2920" ht="22" customHeight="1">
      <x:c r="A2920" s="1" t="n">
        <x:v>341</x:v>
      </x:c>
      <x:c r="B2920" s="1" t="str">
        <x:v>Corphish</x:v>
      </x:c>
      <x:c r="C2920" s="1" t="n">
        <x:v>6</x:v>
      </x:c>
      <x:c r="D2920" s="1" t="str">
        <x:v>Knock Off</x:v>
      </x:c>
      <x:c r="E2920" s="1" t="str">
        <x:v>Sombrio</x:v>
      </x:c>
      <x:c r="F2920" s="1" t="str">
        <x:v>Física</x:v>
      </x:c>
      <x:c r="G2920" s="10" t="n">
        <x:v>65</x:v>
      </x:c>
      <x:c r="H2920" s="10" t="n">
        <x:f>IF(F2920="Física",'Pokémon'!G314,IF(F2920="Especial",'Pokémon'!I314,""))</x:f>
        <x:v>80</x:v>
      </x:c>
      <x:c r="I2920" s="10" t="n">
        <x:f>IF(OR(F2920="Status",G2920=0),"",G2920+H2920)</x:f>
        <x:v>145</x:v>
      </x:c>
      <x:c r="J2920" s="10" t="n">
        <x:v>23</x:v>
      </x:c>
      <x:c r="K2920" s="12" t="n">
        <x:v>20</x:v>
      </x:c>
      <x:c r="L2920" s="1" t="str"/>
      <x:c r="M2920" s="9" t="str">
        <x:v>https://poke.idleworld.online/pokepedia/pokemon/corphish</x:v>
      </x:c>
    </x:row>
    <x:row r="2921" ht="22" customHeight="1">
      <x:c r="A2921" s="1" t="n">
        <x:v>341</x:v>
      </x:c>
      <x:c r="B2921" s="1" t="str">
        <x:v>Corphish</x:v>
      </x:c>
      <x:c r="C2921" s="1" t="n">
        <x:v>3</x:v>
      </x:c>
      <x:c r="D2921" s="1" t="str">
        <x:v>Vise Grip</x:v>
      </x:c>
      <x:c r="E2921" s="1" t="str">
        <x:v>Normal</x:v>
      </x:c>
      <x:c r="F2921" s="1" t="str">
        <x:v>Física</x:v>
      </x:c>
      <x:c r="G2921" s="10" t="n">
        <x:v>55</x:v>
      </x:c>
      <x:c r="H2921" s="10" t="n">
        <x:f>IF(F2921="Física",'Pokémon'!G314,IF(F2921="Especial",'Pokémon'!I314,""))</x:f>
        <x:v>80</x:v>
      </x:c>
      <x:c r="I2921" s="10" t="n">
        <x:f>IF(OR(F2921="Status",G2921=0),"",G2921+H2921)</x:f>
        <x:v>135</x:v>
      </x:c>
      <x:c r="J2921" s="10" t="n">
        <x:v>7</x:v>
      </x:c>
      <x:c r="K2921" s="12" t="n">
        <x:v>20</x:v>
      </x:c>
      <x:c r="L2921" s="1" t="str"/>
      <x:c r="M2921" s="9" t="str">
        <x:v>https://poke.idleworld.online/pokepedia/pokemon/corphish</x:v>
      </x:c>
    </x:row>
    <x:row r="2922" ht="22" customHeight="1">
      <x:c r="A2922" s="1" t="n">
        <x:v>341</x:v>
      </x:c>
      <x:c r="B2922" s="1" t="str">
        <x:v>Corphish</x:v>
      </x:c>
      <x:c r="C2922" s="1" t="n">
        <x:v>4</x:v>
      </x:c>
      <x:c r="D2922" s="1" t="str">
        <x:v>Bubble Beam</x:v>
      </x:c>
      <x:c r="E2922" s="1" t="str">
        <x:v>Água</x:v>
      </x:c>
      <x:c r="F2922" s="1" t="str">
        <x:v>Especial</x:v>
      </x:c>
      <x:c r="G2922" s="10" t="n">
        <x:v>65</x:v>
      </x:c>
      <x:c r="H2922" s="10" t="n">
        <x:f>IF(F2922="Física",'Pokémon'!G314,IF(F2922="Especial",'Pokémon'!I314,""))</x:f>
        <x:v>50</x:v>
      </x:c>
      <x:c r="I2922" s="10" t="n">
        <x:f>IF(OR(F2922="Status",G2922=0),"",G2922+H2922)</x:f>
        <x:v>115</x:v>
      </x:c>
      <x:c r="J2922" s="10" t="n">
        <x:v>14</x:v>
      </x:c>
      <x:c r="K2922" s="12" t="n">
        <x:v>20</x:v>
      </x:c>
      <x:c r="L2922" s="1" t="str"/>
      <x:c r="M2922" s="9" t="str">
        <x:v>https://poke.idleworld.online/pokepedia/pokemon/corphish</x:v>
      </x:c>
    </x:row>
    <x:row r="2923" ht="22" customHeight="1">
      <x:c r="A2923" s="1" t="n">
        <x:v>341</x:v>
      </x:c>
      <x:c r="B2923" s="1" t="str">
        <x:v>Corphish</x:v>
      </x:c>
      <x:c r="C2923" s="1" t="n">
        <x:v>5</x:v>
      </x:c>
      <x:c r="D2923" s="1" t="str">
        <x:v>Double Hit</x:v>
      </x:c>
      <x:c r="E2923" s="1" t="str">
        <x:v>Normal</x:v>
      </x:c>
      <x:c r="F2923" s="1" t="str">
        <x:v>Física</x:v>
      </x:c>
      <x:c r="G2923" s="10" t="n">
        <x:v>35</x:v>
      </x:c>
      <x:c r="H2923" s="10" t="n">
        <x:f>IF(F2923="Física",'Pokémon'!G314,IF(F2923="Especial",'Pokémon'!I314,""))</x:f>
        <x:v>80</x:v>
      </x:c>
      <x:c r="I2923" s="10" t="n">
        <x:f>IF(OR(F2923="Status",G2923=0),"",G2923+H2923)</x:f>
        <x:v>115</x:v>
      </x:c>
      <x:c r="J2923" s="10" t="n">
        <x:v>20</x:v>
      </x:c>
      <x:c r="K2923" s="12" t="n">
        <x:v>15</x:v>
      </x:c>
      <x:c r="L2923" s="1" t="str"/>
      <x:c r="M2923" s="9" t="str">
        <x:v>https://poke.idleworld.online/pokepedia/pokemon/corphish</x:v>
      </x:c>
    </x:row>
    <x:row r="2924" ht="22" customHeight="1">
      <x:c r="A2924" s="1" t="n">
        <x:v>341</x:v>
      </x:c>
      <x:c r="B2924" s="1" t="str">
        <x:v>Corphish</x:v>
      </x:c>
      <x:c r="C2924" s="1" t="n">
        <x:v>1</x:v>
      </x:c>
      <x:c r="D2924" s="1" t="str">
        <x:v>Bubble</x:v>
      </x:c>
      <x:c r="E2924" s="1" t="str">
        <x:v>Água</x:v>
      </x:c>
      <x:c r="F2924" s="1" t="str">
        <x:v>Especial</x:v>
      </x:c>
      <x:c r="G2924" s="10" t="n">
        <x:v>40</x:v>
      </x:c>
      <x:c r="H2924" s="10" t="n">
        <x:f>IF(F2924="Física",'Pokémon'!G314,IF(F2924="Especial",'Pokémon'!I314,""))</x:f>
        <x:v>50</x:v>
      </x:c>
      <x:c r="I2924" s="10" t="n">
        <x:f>IF(OR(F2924="Status",G2924=0),"",G2924+H2924)</x:f>
        <x:v>90</x:v>
      </x:c>
      <x:c r="J2924" s="10" t="n">
        <x:v>1</x:v>
      </x:c>
      <x:c r="K2924" s="12" t="n">
        <x:v>10</x:v>
      </x:c>
      <x:c r="L2924" s="1" t="str"/>
      <x:c r="M2924" s="9" t="str">
        <x:v>https://poke.idleworld.online/pokepedia/pokemon/corphish</x:v>
      </x:c>
    </x:row>
    <x:row r="2925" ht="22" customHeight="1">
      <x:c r="A2925" s="1" t="n">
        <x:v>341</x:v>
      </x:c>
      <x:c r="B2925" s="1" t="str">
        <x:v>Corphish</x:v>
      </x:c>
      <x:c r="C2925" s="1" t="n">
        <x:v>2</x:v>
      </x:c>
      <x:c r="D2925" s="1" t="str">
        <x:v>Harden</x:v>
      </x:c>
      <x:c r="E2925" s="1" t="str">
        <x:v>Normal</x:v>
      </x:c>
      <x:c r="F2925" s="1" t="str">
        <x:v>Status</x:v>
      </x:c>
      <x:c r="G2925" s="10" t="n">
        <x:v>0</x:v>
      </x:c>
      <x:c r="H2925" s="10" t="str">
        <x:f>IF(F2925="Física",'Pokémon'!G314,IF(F2925="Especial",'Pokémon'!I314,""))</x:f>
      </x:c>
      <x:c r="I2925" s="10" t="str">
        <x:f>IF(OR(F2925="Status",G2925=0),"",G2925+H2925)</x:f>
      </x:c>
      <x:c r="J2925" s="10" t="n">
        <x:v>5</x:v>
      </x:c>
      <x:c r="K2925" s="12" t="n">
        <x:v>40</x:v>
      </x:c>
      <x:c r="L2925" s="1" t="str"/>
      <x:c r="M2925" s="9" t="str">
        <x:v>https://poke.idleworld.online/pokepedia/pokemon/corphish</x:v>
      </x:c>
    </x:row>
    <x:row r="2926" ht="22" customHeight="1">
      <x:c r="A2926" s="1" t="n">
        <x:v>341</x:v>
      </x:c>
      <x:c r="B2926" s="1" t="str">
        <x:v>Corphish</x:v>
      </x:c>
      <x:c r="C2926" s="1" t="n">
        <x:v>9</x:v>
      </x:c>
      <x:c r="D2926" s="1" t="str">
        <x:v>Swords Dance</x:v>
      </x:c>
      <x:c r="E2926" s="1" t="str">
        <x:v>Normal</x:v>
      </x:c>
      <x:c r="F2926" s="1" t="str">
        <x:v>Status</x:v>
      </x:c>
      <x:c r="G2926" s="10" t="n">
        <x:v>0</x:v>
      </x:c>
      <x:c r="H2926" s="10" t="str">
        <x:f>IF(F2926="Física",'Pokémon'!G314,IF(F2926="Especial",'Pokémon'!I314,""))</x:f>
      </x:c>
      <x:c r="I2926" s="10" t="str">
        <x:f>IF(OR(F2926="Status",G2926=0),"",G2926+H2926)</x:f>
      </x:c>
      <x:c r="J2926" s="10" t="n">
        <x:v>37</x:v>
      </x:c>
      <x:c r="K2926" s="12" t="n">
        <x:v>40</x:v>
      </x:c>
      <x:c r="L2926" s="1" t="str"/>
      <x:c r="M2926" s="9" t="str">
        <x:v>https://poke.idleworld.online/pokepedia/pokemon/corphish</x:v>
      </x:c>
    </x:row>
    <x:row r="2927" ht="22" customHeight="1">
      <x:c r="A2927" s="1" t="n">
        <x:v>342</x:v>
      </x:c>
      <x:c r="B2927" s="1" t="str">
        <x:v>Crawdaunt</x:v>
      </x:c>
      <x:c r="C2927" s="1" t="n">
        <x:v>11</x:v>
      </x:c>
      <x:c r="D2927" s="1" t="str">
        <x:v>Crabhammer</x:v>
      </x:c>
      <x:c r="E2927" s="1" t="str">
        <x:v>Água</x:v>
      </x:c>
      <x:c r="F2927" s="1" t="str">
        <x:v>Física</x:v>
      </x:c>
      <x:c r="G2927" s="10" t="n">
        <x:v>100</x:v>
      </x:c>
      <x:c r="H2927" s="10" t="n">
        <x:f>IF(F2927="Física",'Pokémon'!G315,IF(F2927="Especial",'Pokémon'!I315,""))</x:f>
        <x:v>120</x:v>
      </x:c>
      <x:c r="I2927" s="10" t="n">
        <x:f>IF(OR(F2927="Status",G2927=0),"",G2927+H2927)</x:f>
        <x:v>220</x:v>
      </x:c>
      <x:c r="J2927" s="10" t="n">
        <x:v>48</x:v>
      </x:c>
      <x:c r="K2927" s="12" t="n">
        <x:v>12</x:v>
      </x:c>
      <x:c r="L2927" s="1" t="str"/>
      <x:c r="M2927" s="9" t="str">
        <x:v>https://poke.idleworld.online/pokepedia/pokemon/crawdaunt</x:v>
      </x:c>
    </x:row>
    <x:row r="2928" ht="22" customHeight="1">
      <x:c r="A2928" s="1" t="n">
        <x:v>342</x:v>
      </x:c>
      <x:c r="B2928" s="1" t="str">
        <x:v>Crawdaunt</x:v>
      </x:c>
      <x:c r="C2928" s="1" t="n">
        <x:v>10</x:v>
      </x:c>
      <x:c r="D2928" s="1" t="str">
        <x:v>Crunch</x:v>
      </x:c>
      <x:c r="E2928" s="1" t="str">
        <x:v>Sombrio</x:v>
      </x:c>
      <x:c r="F2928" s="1" t="str">
        <x:v>Física</x:v>
      </x:c>
      <x:c r="G2928" s="10" t="n">
        <x:v>80</x:v>
      </x:c>
      <x:c r="H2928" s="10" t="n">
        <x:f>IF(F2928="Física",'Pokémon'!G315,IF(F2928="Especial",'Pokémon'!I315,""))</x:f>
        <x:v>120</x:v>
      </x:c>
      <x:c r="I2928" s="10" t="n">
        <x:f>IF(OR(F2928="Status",G2928=0),"",G2928+H2928)</x:f>
        <x:v>200</x:v>
      </x:c>
      <x:c r="J2928" s="10" t="n">
        <x:v>43</x:v>
      </x:c>
      <x:c r="K2928" s="12" t="n">
        <x:v>15</x:v>
      </x:c>
      <x:c r="L2928" s="1" t="str"/>
      <x:c r="M2928" s="9" t="str">
        <x:v>https://poke.idleworld.online/pokepedia/pokemon/crawdaunt</x:v>
      </x:c>
    </x:row>
    <x:row r="2929" ht="22" customHeight="1">
      <x:c r="A2929" s="1" t="n">
        <x:v>342</x:v>
      </x:c>
      <x:c r="B2929" s="1" t="str">
        <x:v>Crawdaunt</x:v>
      </x:c>
      <x:c r="C2929" s="1" t="n">
        <x:v>9</x:v>
      </x:c>
      <x:c r="D2929" s="1" t="str">
        <x:v>Razor Shell</x:v>
      </x:c>
      <x:c r="E2929" s="1" t="str">
        <x:v>Água</x:v>
      </x:c>
      <x:c r="F2929" s="1" t="str">
        <x:v>Física</x:v>
      </x:c>
      <x:c r="G2929" s="10" t="n">
        <x:v>75</x:v>
      </x:c>
      <x:c r="H2929" s="10" t="n">
        <x:f>IF(F2929="Física",'Pokémon'!G315,IF(F2929="Especial",'Pokémon'!I315,""))</x:f>
        <x:v>120</x:v>
      </x:c>
      <x:c r="I2929" s="10" t="n">
        <x:f>IF(OR(F2929="Status",G2929=0),"",G2929+H2929)</x:f>
        <x:v>195</x:v>
      </x:c>
      <x:c r="J2929" s="10" t="n">
        <x:v>32</x:v>
      </x:c>
      <x:c r="K2929" s="12" t="n">
        <x:v>22</x:v>
      </x:c>
      <x:c r="L2929" s="1" t="str"/>
      <x:c r="M2929" s="9" t="str">
        <x:v>https://poke.idleworld.online/pokepedia/pokemon/crawdaunt</x:v>
      </x:c>
    </x:row>
    <x:row r="2930" ht="22" customHeight="1">
      <x:c r="A2930" s="1" t="n">
        <x:v>342</x:v>
      </x:c>
      <x:c r="B2930" s="1" t="str">
        <x:v>Crawdaunt</x:v>
      </x:c>
      <x:c r="C2930" s="1" t="n">
        <x:v>7</x:v>
      </x:c>
      <x:c r="D2930" s="1" t="str">
        <x:v>Night Slash</x:v>
      </x:c>
      <x:c r="E2930" s="1" t="str">
        <x:v>Sombrio</x:v>
      </x:c>
      <x:c r="F2930" s="1" t="str">
        <x:v>Física</x:v>
      </x:c>
      <x:c r="G2930" s="10" t="n">
        <x:v>70</x:v>
      </x:c>
      <x:c r="H2930" s="10" t="n">
        <x:f>IF(F2930="Física",'Pokémon'!G315,IF(F2930="Especial",'Pokémon'!I315,""))</x:f>
        <x:v>120</x:v>
      </x:c>
      <x:c r="I2930" s="10" t="n">
        <x:f>IF(OR(F2930="Status",G2930=0),"",G2930+H2930)</x:f>
        <x:v>190</x:v>
      </x:c>
      <x:c r="J2930" s="10" t="n">
        <x:v>26</x:v>
      </x:c>
      <x:c r="K2930" s="12" t="n">
        <x:v>20</x:v>
      </x:c>
      <x:c r="L2930" s="1" t="str"/>
      <x:c r="M2930" s="9" t="str">
        <x:v>https://poke.idleworld.online/pokepedia/pokemon/crawdaunt</x:v>
      </x:c>
    </x:row>
    <x:row r="2931" ht="22" customHeight="1">
      <x:c r="A2931" s="1" t="n">
        <x:v>342</x:v>
      </x:c>
      <x:c r="B2931" s="1" t="str">
        <x:v>Crawdaunt</x:v>
      </x:c>
      <x:c r="C2931" s="1" t="n">
        <x:v>6</x:v>
      </x:c>
      <x:c r="D2931" s="1" t="str">
        <x:v>Knock Off</x:v>
      </x:c>
      <x:c r="E2931" s="1" t="str">
        <x:v>Sombrio</x:v>
      </x:c>
      <x:c r="F2931" s="1" t="str">
        <x:v>Física</x:v>
      </x:c>
      <x:c r="G2931" s="10" t="n">
        <x:v>65</x:v>
      </x:c>
      <x:c r="H2931" s="10" t="n">
        <x:f>IF(F2931="Física",'Pokémon'!G315,IF(F2931="Especial",'Pokémon'!I315,""))</x:f>
        <x:v>120</x:v>
      </x:c>
      <x:c r="I2931" s="10" t="n">
        <x:f>IF(OR(F2931="Status",G2931=0),"",G2931+H2931)</x:f>
        <x:v>185</x:v>
      </x:c>
      <x:c r="J2931" s="10" t="n">
        <x:v>23</x:v>
      </x:c>
      <x:c r="K2931" s="12" t="n">
        <x:v>20</x:v>
      </x:c>
      <x:c r="L2931" s="1" t="str"/>
      <x:c r="M2931" s="9" t="str">
        <x:v>https://poke.idleworld.online/pokepedia/pokemon/crawdaunt</x:v>
      </x:c>
    </x:row>
    <x:row r="2932" ht="22" customHeight="1">
      <x:c r="A2932" s="1" t="n">
        <x:v>342</x:v>
      </x:c>
      <x:c r="B2932" s="1" t="str">
        <x:v>Crawdaunt</x:v>
      </x:c>
      <x:c r="C2932" s="1" t="n">
        <x:v>2</x:v>
      </x:c>
      <x:c r="D2932" s="1" t="str">
        <x:v>Vise Grip</x:v>
      </x:c>
      <x:c r="E2932" s="1" t="str">
        <x:v>Normal</x:v>
      </x:c>
      <x:c r="F2932" s="1" t="str">
        <x:v>Física</x:v>
      </x:c>
      <x:c r="G2932" s="10" t="n">
        <x:v>55</x:v>
      </x:c>
      <x:c r="H2932" s="10" t="n">
        <x:f>IF(F2932="Física",'Pokémon'!G315,IF(F2932="Especial",'Pokémon'!I315,""))</x:f>
        <x:v>120</x:v>
      </x:c>
      <x:c r="I2932" s="10" t="n">
        <x:f>IF(OR(F2932="Status",G2932=0),"",G2932+H2932)</x:f>
        <x:v>175</x:v>
      </x:c>
      <x:c r="J2932" s="10" t="n">
        <x:v>1</x:v>
      </x:c>
      <x:c r="K2932" s="12" t="n">
        <x:v>20</x:v>
      </x:c>
      <x:c r="L2932" s="1" t="str"/>
      <x:c r="M2932" s="9" t="str">
        <x:v>https://poke.idleworld.online/pokepedia/pokemon/crawdaunt</x:v>
      </x:c>
    </x:row>
    <x:row r="2933" ht="22" customHeight="1">
      <x:c r="A2933" s="1" t="n">
        <x:v>342</x:v>
      </x:c>
      <x:c r="B2933" s="1" t="str">
        <x:v>Crawdaunt</x:v>
      </x:c>
      <x:c r="C2933" s="1" t="n">
        <x:v>3</x:v>
      </x:c>
      <x:c r="D2933" s="1" t="str">
        <x:v>Bubble Beam</x:v>
      </x:c>
      <x:c r="E2933" s="1" t="str">
        <x:v>Água</x:v>
      </x:c>
      <x:c r="F2933" s="1" t="str">
        <x:v>Especial</x:v>
      </x:c>
      <x:c r="G2933" s="10" t="n">
        <x:v>65</x:v>
      </x:c>
      <x:c r="H2933" s="10" t="n">
        <x:f>IF(F2933="Física",'Pokémon'!G315,IF(F2933="Especial",'Pokémon'!I315,""))</x:f>
        <x:v>90</x:v>
      </x:c>
      <x:c r="I2933" s="10" t="n">
        <x:f>IF(OR(F2933="Status",G2933=0),"",G2933+H2933)</x:f>
        <x:v>155</x:v>
      </x:c>
      <x:c r="J2933" s="10" t="n">
        <x:v>14</x:v>
      </x:c>
      <x:c r="K2933" s="12" t="n">
        <x:v>15</x:v>
      </x:c>
      <x:c r="L2933" s="1" t="str"/>
      <x:c r="M2933" s="9" t="str">
        <x:v>https://poke.idleworld.online/pokepedia/pokemon/crawdaunt</x:v>
      </x:c>
    </x:row>
    <x:row r="2934" ht="22" customHeight="1">
      <x:c r="A2934" s="1" t="n">
        <x:v>342</x:v>
      </x:c>
      <x:c r="B2934" s="1" t="str">
        <x:v>Crawdaunt</x:v>
      </x:c>
      <x:c r="C2934" s="1" t="n">
        <x:v>5</x:v>
      </x:c>
      <x:c r="D2934" s="1" t="str">
        <x:v>Double Hit</x:v>
      </x:c>
      <x:c r="E2934" s="1" t="str">
        <x:v>Normal</x:v>
      </x:c>
      <x:c r="F2934" s="1" t="str">
        <x:v>Física</x:v>
      </x:c>
      <x:c r="G2934" s="10" t="n">
        <x:v>35</x:v>
      </x:c>
      <x:c r="H2934" s="10" t="n">
        <x:f>IF(F2934="Física",'Pokémon'!G315,IF(F2934="Especial",'Pokémon'!I315,""))</x:f>
        <x:v>120</x:v>
      </x:c>
      <x:c r="I2934" s="10" t="n">
        <x:f>IF(OR(F2934="Status",G2934=0),"",G2934+H2934)</x:f>
        <x:v>155</x:v>
      </x:c>
      <x:c r="J2934" s="10" t="n">
        <x:v>20</x:v>
      </x:c>
      <x:c r="K2934" s="12" t="n">
        <x:v>15</x:v>
      </x:c>
      <x:c r="L2934" s="1" t="str"/>
      <x:c r="M2934" s="9" t="str">
        <x:v>https://poke.idleworld.online/pokepedia/pokemon/crawdaunt</x:v>
      </x:c>
    </x:row>
    <x:row r="2935" ht="22" customHeight="1">
      <x:c r="A2935" s="1" t="n">
        <x:v>342</x:v>
      </x:c>
      <x:c r="B2935" s="1" t="str">
        <x:v>Crawdaunt</x:v>
      </x:c>
      <x:c r="C2935" s="1" t="n">
        <x:v>8</x:v>
      </x:c>
      <x:c r="D2935" s="1" t="str">
        <x:v>Swift</x:v>
      </x:c>
      <x:c r="E2935" s="1" t="str">
        <x:v>Normal</x:v>
      </x:c>
      <x:c r="F2935" s="1" t="str">
        <x:v>Especial</x:v>
      </x:c>
      <x:c r="G2935" s="10" t="n">
        <x:v>60</x:v>
      </x:c>
      <x:c r="H2935" s="10" t="n">
        <x:f>IF(F2935="Física",'Pokémon'!G315,IF(F2935="Especial",'Pokémon'!I315,""))</x:f>
        <x:v>90</x:v>
      </x:c>
      <x:c r="I2935" s="10" t="n">
        <x:f>IF(OR(F2935="Status",G2935=0),"",G2935+H2935)</x:f>
        <x:v>150</x:v>
      </x:c>
      <x:c r="J2935" s="10" t="n">
        <x:v>30</x:v>
      </x:c>
      <x:c r="K2935" s="12" t="n">
        <x:v>20</x:v>
      </x:c>
      <x:c r="L2935" s="1" t="str"/>
      <x:c r="M2935" s="9" t="str">
        <x:v>https://poke.idleworld.online/pokepedia/pokemon/crawdaunt</x:v>
      </x:c>
    </x:row>
    <x:row r="2936" ht="22" customHeight="1">
      <x:c r="A2936" s="1" t="n">
        <x:v>342</x:v>
      </x:c>
      <x:c r="B2936" s="1" t="str">
        <x:v>Crawdaunt</x:v>
      </x:c>
      <x:c r="C2936" s="1" t="n">
        <x:v>1</x:v>
      </x:c>
      <x:c r="D2936" s="1" t="str">
        <x:v>Bubble</x:v>
      </x:c>
      <x:c r="E2936" s="1" t="str">
        <x:v>Água</x:v>
      </x:c>
      <x:c r="F2936" s="1" t="str">
        <x:v>Especial</x:v>
      </x:c>
      <x:c r="G2936" s="10" t="n">
        <x:v>40</x:v>
      </x:c>
      <x:c r="H2936" s="10" t="n">
        <x:f>IF(F2936="Física",'Pokémon'!G315,IF(F2936="Especial",'Pokémon'!I315,""))</x:f>
        <x:v>90</x:v>
      </x:c>
      <x:c r="I2936" s="10" t="n">
        <x:f>IF(OR(F2936="Status",G2936=0),"",G2936+H2936)</x:f>
        <x:v>130</x:v>
      </x:c>
      <x:c r="J2936" s="10" t="n">
        <x:v>1</x:v>
      </x:c>
      <x:c r="K2936" s="12" t="n">
        <x:v>15</x:v>
      </x:c>
      <x:c r="L2936" s="1" t="str"/>
      <x:c r="M2936" s="9" t="str">
        <x:v>https://poke.idleworld.online/pokepedia/pokemon/crawdaunt</x:v>
      </x:c>
    </x:row>
    <x:row r="2937" ht="22" customHeight="1">
      <x:c r="A2937" s="1" t="n">
        <x:v>342</x:v>
      </x:c>
      <x:c r="B2937" s="1" t="str">
        <x:v>Crawdaunt</x:v>
      </x:c>
      <x:c r="C2937" s="1" t="n">
        <x:v>4</x:v>
      </x:c>
      <x:c r="D2937" s="1" t="str">
        <x:v>Protect</x:v>
      </x:c>
      <x:c r="E2937" s="1" t="str">
        <x:v>Normal</x:v>
      </x:c>
      <x:c r="F2937" s="1" t="str">
        <x:v>Status</x:v>
      </x:c>
      <x:c r="G2937" s="10" t="n">
        <x:v>0</x:v>
      </x:c>
      <x:c r="H2937" s="10" t="str">
        <x:f>IF(F2937="Física",'Pokémon'!G315,IF(F2937="Especial",'Pokémon'!I315,""))</x:f>
      </x:c>
      <x:c r="I2937" s="10" t="str">
        <x:f>IF(OR(F2937="Status",G2937=0),"",G2937+H2937)</x:f>
      </x:c>
      <x:c r="J2937" s="10" t="n">
        <x:v>17</x:v>
      </x:c>
      <x:c r="K2937" s="12" t="n">
        <x:v>40</x:v>
      </x:c>
      <x:c r="L2937" s="1" t="str"/>
      <x:c r="M2937" s="9" t="str">
        <x:v>https://poke.idleworld.online/pokepedia/pokemon/crawdaunt</x:v>
      </x:c>
    </x:row>
    <x:row r="2938" ht="22" customHeight="1">
      <x:c r="A2938" s="1" t="n">
        <x:v>343</x:v>
      </x:c>
      <x:c r="B2938" s="1" t="str">
        <x:v>Baltoy</x:v>
      </x:c>
      <x:c r="C2938" s="1" t="n">
        <x:v>9</x:v>
      </x:c>
      <x:c r="D2938" s="1" t="str">
        <x:v>Earth Power</x:v>
      </x:c>
      <x:c r="E2938" s="1" t="str">
        <x:v>Terrestre</x:v>
      </x:c>
      <x:c r="F2938" s="1" t="str">
        <x:v>Especial</x:v>
      </x:c>
      <x:c r="G2938" s="10" t="n">
        <x:v>90</x:v>
      </x:c>
      <x:c r="H2938" s="10" t="n">
        <x:f>IF(F2938="Física",'Pokémon'!G316,IF(F2938="Especial",'Pokémon'!I316,""))</x:f>
        <x:v>40</x:v>
      </x:c>
      <x:c r="I2938" s="10" t="n">
        <x:f>IF(OR(F2938="Status",G2938=0),"",G2938+H2938)</x:f>
        <x:v>130</x:v>
      </x:c>
      <x:c r="J2938" s="10" t="n">
        <x:v>37</x:v>
      </x:c>
      <x:c r="K2938" s="12" t="n">
        <x:v>50</x:v>
      </x:c>
      <x:c r="L2938" s="1" t="str"/>
      <x:c r="M2938" s="9" t="str">
        <x:v>https://poke.idleworld.online/pokepedia/pokemon/baltoy</x:v>
      </x:c>
    </x:row>
    <x:row r="2939" ht="22" customHeight="1">
      <x:c r="A2939" s="1" t="n">
        <x:v>343</x:v>
      </x:c>
      <x:c r="B2939" s="1" t="str">
        <x:v>Baltoy</x:v>
      </x:c>
      <x:c r="C2939" s="1" t="n">
        <x:v>7</x:v>
      </x:c>
      <x:c r="D2939" s="1" t="str">
        <x:v>Extrasensory</x:v>
      </x:c>
      <x:c r="E2939" s="1" t="str">
        <x:v>Psíquico</x:v>
      </x:c>
      <x:c r="F2939" s="1" t="str">
        <x:v>Especial</x:v>
      </x:c>
      <x:c r="G2939" s="10" t="n">
        <x:v>80</x:v>
      </x:c>
      <x:c r="H2939" s="10" t="n">
        <x:f>IF(F2939="Física",'Pokémon'!G316,IF(F2939="Especial",'Pokémon'!I316,""))</x:f>
        <x:v>40</x:v>
      </x:c>
      <x:c r="I2939" s="10" t="n">
        <x:f>IF(OR(F2939="Status",G2939=0),"",G2939+H2939)</x:f>
        <x:v>120</x:v>
      </x:c>
      <x:c r="J2939" s="10" t="n">
        <x:v>31</x:v>
      </x:c>
      <x:c r="K2939" s="12" t="n">
        <x:v>15</x:v>
      </x:c>
      <x:c r="L2939" s="1" t="str"/>
      <x:c r="M2939" s="9" t="str">
        <x:v>https://poke.idleworld.online/pokepedia/pokemon/baltoy</x:v>
      </x:c>
    </x:row>
    <x:row r="2940" ht="22" customHeight="1">
      <x:c r="A2940" s="1" t="n">
        <x:v>343</x:v>
      </x:c>
      <x:c r="B2940" s="1" t="str">
        <x:v>Baltoy</x:v>
      </x:c>
      <x:c r="C2940" s="1" t="n">
        <x:v>5</x:v>
      </x:c>
      <x:c r="D2940" s="1" t="str">
        <x:v>Psybeam</x:v>
      </x:c>
      <x:c r="E2940" s="1" t="str">
        <x:v>Psíquico</x:v>
      </x:c>
      <x:c r="F2940" s="1" t="str">
        <x:v>Especial</x:v>
      </x:c>
      <x:c r="G2940" s="10" t="n">
        <x:v>65</x:v>
      </x:c>
      <x:c r="H2940" s="10" t="n">
        <x:f>IF(F2940="Física",'Pokémon'!G316,IF(F2940="Especial",'Pokémon'!I316,""))</x:f>
        <x:v>40</x:v>
      </x:c>
      <x:c r="I2940" s="10" t="n">
        <x:f>IF(OR(F2940="Status",G2940=0),"",G2940+H2940)</x:f>
        <x:v>105</x:v>
      </x:c>
      <x:c r="J2940" s="10" t="n">
        <x:v>16</x:v>
      </x:c>
      <x:c r="K2940" s="12" t="n">
        <x:v>10</x:v>
      </x:c>
      <x:c r="L2940" s="1" t="str"/>
      <x:c r="M2940" s="9" t="str">
        <x:v>https://poke.idleworld.online/pokepedia/pokemon/baltoy</x:v>
      </x:c>
    </x:row>
    <x:row r="2941" ht="22" customHeight="1">
      <x:c r="A2941" s="1" t="n">
        <x:v>343</x:v>
      </x:c>
      <x:c r="B2941" s="1" t="str">
        <x:v>Baltoy</x:v>
      </x:c>
      <x:c r="C2941" s="1" t="n">
        <x:v>4</x:v>
      </x:c>
      <x:c r="D2941" s="1" t="str">
        <x:v>Rock Tomb</x:v>
      </x:c>
      <x:c r="E2941" s="1" t="str">
        <x:v>Pedra</x:v>
      </x:c>
      <x:c r="F2941" s="1" t="str">
        <x:v>Física</x:v>
      </x:c>
      <x:c r="G2941" s="10" t="n">
        <x:v>60</x:v>
      </x:c>
      <x:c r="H2941" s="10" t="n">
        <x:f>IF(F2941="Física",'Pokémon'!G316,IF(F2941="Especial",'Pokémon'!I316,""))</x:f>
        <x:v>40</x:v>
      </x:c>
      <x:c r="I2941" s="10" t="n">
        <x:f>IF(OR(F2941="Status",G2941=0),"",G2941+H2941)</x:f>
        <x:v>100</x:v>
      </x:c>
      <x:c r="J2941" s="10" t="n">
        <x:v>13</x:v>
      </x:c>
      <x:c r="K2941" s="12" t="n">
        <x:v>20</x:v>
      </x:c>
      <x:c r="L2941" s="1" t="str"/>
      <x:c r="M2941" s="9" t="str">
        <x:v>https://poke.idleworld.online/pokepedia/pokemon/baltoy</x:v>
      </x:c>
    </x:row>
    <x:row r="2942" ht="22" customHeight="1">
      <x:c r="A2942" s="1" t="n">
        <x:v>343</x:v>
      </x:c>
      <x:c r="B2942" s="1" t="str">
        <x:v>Baltoy</x:v>
      </x:c>
      <x:c r="C2942" s="1" t="n">
        <x:v>6</x:v>
      </x:c>
      <x:c r="D2942" s="1" t="str">
        <x:v>Ancient Power</x:v>
      </x:c>
      <x:c r="E2942" s="1" t="str">
        <x:v>Pedra</x:v>
      </x:c>
      <x:c r="F2942" s="1" t="str">
        <x:v>Especial</x:v>
      </x:c>
      <x:c r="G2942" s="10" t="n">
        <x:v>60</x:v>
      </x:c>
      <x:c r="H2942" s="10" t="n">
        <x:f>IF(F2942="Física",'Pokémon'!G316,IF(F2942="Especial",'Pokémon'!I316,""))</x:f>
        <x:v>40</x:v>
      </x:c>
      <x:c r="I2942" s="10" t="n">
        <x:f>IF(OR(F2942="Status",G2942=0),"",G2942+H2942)</x:f>
        <x:v>100</x:v>
      </x:c>
      <x:c r="J2942" s="10" t="n">
        <x:v>19</x:v>
      </x:c>
      <x:c r="K2942" s="12" t="n">
        <x:v>20</x:v>
      </x:c>
      <x:c r="L2942" s="1" t="str"/>
      <x:c r="M2942" s="9" t="str">
        <x:v>https://poke.idleworld.online/pokepedia/pokemon/baltoy</x:v>
      </x:c>
    </x:row>
    <x:row r="2943" ht="22" customHeight="1">
      <x:c r="A2943" s="1" t="n">
        <x:v>343</x:v>
      </x:c>
      <x:c r="B2943" s="1" t="str">
        <x:v>Baltoy</x:v>
      </x:c>
      <x:c r="C2943" s="1" t="n">
        <x:v>1</x:v>
      </x:c>
      <x:c r="D2943" s="1" t="str">
        <x:v>Confusion</x:v>
      </x:c>
      <x:c r="E2943" s="1" t="str">
        <x:v>Psíquico</x:v>
      </x:c>
      <x:c r="F2943" s="1" t="str">
        <x:v>Especial</x:v>
      </x:c>
      <x:c r="G2943" s="10" t="n">
        <x:v>50</x:v>
      </x:c>
      <x:c r="H2943" s="10" t="n">
        <x:f>IF(F2943="Física",'Pokémon'!G316,IF(F2943="Especial",'Pokémon'!I316,""))</x:f>
        <x:v>40</x:v>
      </x:c>
      <x:c r="I2943" s="10" t="n">
        <x:f>IF(OR(F2943="Status",G2943=0),"",G2943+H2943)</x:f>
        <x:v>90</x:v>
      </x:c>
      <x:c r="J2943" s="10" t="n">
        <x:v>1</x:v>
      </x:c>
      <x:c r="K2943" s="12" t="n">
        <x:v>15</x:v>
      </x:c>
      <x:c r="L2943" s="1" t="str"/>
      <x:c r="M2943" s="9" t="str">
        <x:v>https://poke.idleworld.online/pokepedia/pokemon/baltoy</x:v>
      </x:c>
    </x:row>
    <x:row r="2944" ht="22" customHeight="1">
      <x:c r="A2944" s="1" t="n">
        <x:v>343</x:v>
      </x:c>
      <x:c r="B2944" s="1" t="str">
        <x:v>Baltoy</x:v>
      </x:c>
      <x:c r="C2944" s="1" t="n">
        <x:v>2</x:v>
      </x:c>
      <x:c r="D2944" s="1" t="str">
        <x:v>Rapid Spin</x:v>
      </x:c>
      <x:c r="E2944" s="1" t="str">
        <x:v>Normal</x:v>
      </x:c>
      <x:c r="F2944" s="1" t="str">
        <x:v>Física</x:v>
      </x:c>
      <x:c r="G2944" s="10" t="n">
        <x:v>20</x:v>
      </x:c>
      <x:c r="H2944" s="10" t="n">
        <x:f>IF(F2944="Física",'Pokémon'!G316,IF(F2944="Especial",'Pokémon'!I316,""))</x:f>
        <x:v>40</x:v>
      </x:c>
      <x:c r="I2944" s="10" t="n">
        <x:f>IF(OR(F2944="Status",G2944=0),"",G2944+H2944)</x:f>
        <x:v>60</x:v>
      </x:c>
      <x:c r="J2944" s="10" t="n">
        <x:v>4</x:v>
      </x:c>
      <x:c r="K2944" s="12" t="n">
        <x:v>15</x:v>
      </x:c>
      <x:c r="L2944" s="1" t="str"/>
      <x:c r="M2944" s="9" t="str">
        <x:v>https://poke.idleworld.online/pokepedia/pokemon/baltoy</x:v>
      </x:c>
    </x:row>
    <x:row r="2945" ht="22" customHeight="1">
      <x:c r="A2945" s="1" t="n">
        <x:v>343</x:v>
      </x:c>
      <x:c r="B2945" s="1" t="str">
        <x:v>Baltoy</x:v>
      </x:c>
      <x:c r="C2945" s="1" t="n">
        <x:v>3</x:v>
      </x:c>
      <x:c r="D2945" s="1" t="str">
        <x:v>Mud-Slap</x:v>
      </x:c>
      <x:c r="E2945" s="1" t="str">
        <x:v>Terrestre</x:v>
      </x:c>
      <x:c r="F2945" s="1" t="str">
        <x:v>Especial</x:v>
      </x:c>
      <x:c r="G2945" s="10" t="n">
        <x:v>20</x:v>
      </x:c>
      <x:c r="H2945" s="10" t="n">
        <x:f>IF(F2945="Física",'Pokémon'!G316,IF(F2945="Especial",'Pokémon'!I316,""))</x:f>
        <x:v>40</x:v>
      </x:c>
      <x:c r="I2945" s="10" t="n">
        <x:f>IF(OR(F2945="Status",G2945=0),"",G2945+H2945)</x:f>
        <x:v>60</x:v>
      </x:c>
      <x:c r="J2945" s="10" t="n">
        <x:v>7</x:v>
      </x:c>
      <x:c r="K2945" s="12" t="n">
        <x:v>25</x:v>
      </x:c>
      <x:c r="L2945" s="1" t="str"/>
      <x:c r="M2945" s="9" t="str">
        <x:v>https://poke.idleworld.online/pokepedia/pokemon/baltoy</x:v>
      </x:c>
    </x:row>
    <x:row r="2946" ht="22" customHeight="1">
      <x:c r="A2946" s="1" t="n">
        <x:v>343</x:v>
      </x:c>
      <x:c r="B2946" s="1" t="str">
        <x:v>Baltoy</x:v>
      </x:c>
      <x:c r="C2946" s="1" t="n">
        <x:v>8</x:v>
      </x:c>
      <x:c r="D2946" s="1" t="str">
        <x:v>Guard Split</x:v>
      </x:c>
      <x:c r="E2946" s="1" t="str">
        <x:v>Psíquico</x:v>
      </x:c>
      <x:c r="F2946" s="1" t="str">
        <x:v>Status</x:v>
      </x:c>
      <x:c r="G2946" s="10" t="n">
        <x:v>0</x:v>
      </x:c>
      <x:c r="H2946" s="10" t="str">
        <x:f>IF(F2946="Física",'Pokémon'!G316,IF(F2946="Especial",'Pokémon'!I316,""))</x:f>
      </x:c>
      <x:c r="I2946" s="10" t="str">
        <x:f>IF(OR(F2946="Status",G2946=0),"",G2946+H2946)</x:f>
      </x:c>
      <x:c r="J2946" s="10" t="n">
        <x:v>34</x:v>
      </x:c>
      <x:c r="K2946" s="12" t="n">
        <x:v>50</x:v>
      </x:c>
      <x:c r="L2946" s="1" t="str"/>
      <x:c r="M2946" s="9" t="str">
        <x:v>https://poke.idleworld.online/pokepedia/pokemon/baltoy</x:v>
      </x:c>
    </x:row>
    <x:row r="2947" ht="22" customHeight="1">
      <x:c r="A2947" s="1" t="n">
        <x:v>344</x:v>
      </x:c>
      <x:c r="B2947" s="1" t="str">
        <x:v>Claydol</x:v>
      </x:c>
      <x:c r="C2947" s="1" t="n">
        <x:v>10</x:v>
      </x:c>
      <x:c r="D2947" s="1" t="str">
        <x:v>Hyper Beam</x:v>
      </x:c>
      <x:c r="E2947" s="1" t="str">
        <x:v>Normal</x:v>
      </x:c>
      <x:c r="F2947" s="1" t="str">
        <x:v>Especial</x:v>
      </x:c>
      <x:c r="G2947" s="10" t="n">
        <x:v>150</x:v>
      </x:c>
      <x:c r="H2947" s="10" t="n">
        <x:f>IF(F2947="Física",'Pokémon'!G317,IF(F2947="Especial",'Pokémon'!I317,""))</x:f>
        <x:v>70</x:v>
      </x:c>
      <x:c r="I2947" s="10" t="n">
        <x:f>IF(OR(F2947="Status",G2947=0),"",G2947+H2947)</x:f>
        <x:v>220</x:v>
      </x:c>
      <x:c r="J2947" s="10" t="n">
        <x:v>36</x:v>
      </x:c>
      <x:c r="K2947" s="12" t="n">
        <x:v>50</x:v>
      </x:c>
      <x:c r="L2947" s="1" t="str"/>
      <x:c r="M2947" s="9" t="str">
        <x:v>https://poke.idleworld.online/pokepedia/pokemon/claydol</x:v>
      </x:c>
    </x:row>
    <x:row r="2948" ht="22" customHeight="1">
      <x:c r="A2948" s="1" t="n">
        <x:v>344</x:v>
      </x:c>
      <x:c r="B2948" s="1" t="str">
        <x:v>Claydol</x:v>
      </x:c>
      <x:c r="C2948" s="1" t="n">
        <x:v>11</x:v>
      </x:c>
      <x:c r="D2948" s="1" t="str">
        <x:v>Earth Power</x:v>
      </x:c>
      <x:c r="E2948" s="1" t="str">
        <x:v>Terrestre</x:v>
      </x:c>
      <x:c r="F2948" s="1" t="str">
        <x:v>Especial</x:v>
      </x:c>
      <x:c r="G2948" s="10" t="n">
        <x:v>90</x:v>
      </x:c>
      <x:c r="H2948" s="10" t="n">
        <x:f>IF(F2948="Física",'Pokémon'!G317,IF(F2948="Especial",'Pokémon'!I317,""))</x:f>
        <x:v>70</x:v>
      </x:c>
      <x:c r="I2948" s="10" t="n">
        <x:f>IF(OR(F2948="Status",G2948=0),"",G2948+H2948)</x:f>
        <x:v>160</x:v>
      </x:c>
      <x:c r="J2948" s="10" t="n">
        <x:v>40</x:v>
      </x:c>
      <x:c r="K2948" s="12" t="n">
        <x:v>35</x:v>
      </x:c>
      <x:c r="L2948" s="1" t="str"/>
      <x:c r="M2948" s="9" t="str">
        <x:v>https://poke.idleworld.online/pokepedia/pokemon/claydol</x:v>
      </x:c>
    </x:row>
    <x:row r="2949" ht="22" customHeight="1">
      <x:c r="A2949" s="1" t="n">
        <x:v>344</x:v>
      </x:c>
      <x:c r="B2949" s="1" t="str">
        <x:v>Claydol</x:v>
      </x:c>
      <x:c r="C2949" s="1" t="n">
        <x:v>8</x:v>
      </x:c>
      <x:c r="D2949" s="1" t="str">
        <x:v>Extrasensory</x:v>
      </x:c>
      <x:c r="E2949" s="1" t="str">
        <x:v>Psíquico</x:v>
      </x:c>
      <x:c r="F2949" s="1" t="str">
        <x:v>Especial</x:v>
      </x:c>
      <x:c r="G2949" s="10" t="n">
        <x:v>80</x:v>
      </x:c>
      <x:c r="H2949" s="10" t="n">
        <x:f>IF(F2949="Física",'Pokémon'!G317,IF(F2949="Especial",'Pokémon'!I317,""))</x:f>
        <x:v>70</x:v>
      </x:c>
      <x:c r="I2949" s="10" t="n">
        <x:f>IF(OR(F2949="Status",G2949=0),"",G2949+H2949)</x:f>
        <x:v>150</x:v>
      </x:c>
      <x:c r="J2949" s="10" t="n">
        <x:v>31</x:v>
      </x:c>
      <x:c r="K2949" s="12" t="n">
        <x:v>25</x:v>
      </x:c>
      <x:c r="L2949" s="1" t="str"/>
      <x:c r="M2949" s="9" t="str">
        <x:v>https://poke.idleworld.online/pokepedia/pokemon/claydol</x:v>
      </x:c>
    </x:row>
    <x:row r="2950" ht="22" customHeight="1">
      <x:c r="A2950" s="1" t="n">
        <x:v>344</x:v>
      </x:c>
      <x:c r="B2950" s="1" t="str">
        <x:v>Claydol</x:v>
      </x:c>
      <x:c r="C2950" s="1" t="n">
        <x:v>6</x:v>
      </x:c>
      <x:c r="D2950" s="1" t="str">
        <x:v>Psybeam</x:v>
      </x:c>
      <x:c r="E2950" s="1" t="str">
        <x:v>Psíquico</x:v>
      </x:c>
      <x:c r="F2950" s="1" t="str">
        <x:v>Especial</x:v>
      </x:c>
      <x:c r="G2950" s="10" t="n">
        <x:v>65</x:v>
      </x:c>
      <x:c r="H2950" s="10" t="n">
        <x:f>IF(F2950="Física",'Pokémon'!G317,IF(F2950="Especial",'Pokémon'!I317,""))</x:f>
        <x:v>70</x:v>
      </x:c>
      <x:c r="I2950" s="10" t="n">
        <x:f>IF(OR(F2950="Status",G2950=0),"",G2950+H2950)</x:f>
        <x:v>135</x:v>
      </x:c>
      <x:c r="J2950" s="10" t="n">
        <x:v>16</x:v>
      </x:c>
      <x:c r="K2950" s="12" t="n">
        <x:v>10</x:v>
      </x:c>
      <x:c r="L2950" s="1" t="str"/>
      <x:c r="M2950" s="9" t="str">
        <x:v>https://poke.idleworld.online/pokepedia/pokemon/claydol</x:v>
      </x:c>
    </x:row>
    <x:row r="2951" ht="22" customHeight="1">
      <x:c r="A2951" s="1" t="n">
        <x:v>344</x:v>
      </x:c>
      <x:c r="B2951" s="1" t="str">
        <x:v>Claydol</x:v>
      </x:c>
      <x:c r="C2951" s="1" t="n">
        <x:v>5</x:v>
      </x:c>
      <x:c r="D2951" s="1" t="str">
        <x:v>Rock Tomb</x:v>
      </x:c>
      <x:c r="E2951" s="1" t="str">
        <x:v>Pedra</x:v>
      </x:c>
      <x:c r="F2951" s="1" t="str">
        <x:v>Física</x:v>
      </x:c>
      <x:c r="G2951" s="10" t="n">
        <x:v>60</x:v>
      </x:c>
      <x:c r="H2951" s="10" t="n">
        <x:f>IF(F2951="Física",'Pokémon'!G317,IF(F2951="Especial",'Pokémon'!I317,""))</x:f>
        <x:v>70</x:v>
      </x:c>
      <x:c r="I2951" s="10" t="n">
        <x:f>IF(OR(F2951="Status",G2951=0),"",G2951+H2951)</x:f>
        <x:v>130</x:v>
      </x:c>
      <x:c r="J2951" s="10" t="n">
        <x:v>13</x:v>
      </x:c>
      <x:c r="K2951" s="12" t="n">
        <x:v>20</x:v>
      </x:c>
      <x:c r="L2951" s="1" t="str"/>
      <x:c r="M2951" s="9" t="str">
        <x:v>https://poke.idleworld.online/pokepedia/pokemon/claydol</x:v>
      </x:c>
    </x:row>
    <x:row r="2952" ht="22" customHeight="1">
      <x:c r="A2952" s="1" t="n">
        <x:v>344</x:v>
      </x:c>
      <x:c r="B2952" s="1" t="str">
        <x:v>Claydol</x:v>
      </x:c>
      <x:c r="C2952" s="1" t="n">
        <x:v>7</x:v>
      </x:c>
      <x:c r="D2952" s="1" t="str">
        <x:v>Ancient Power</x:v>
      </x:c>
      <x:c r="E2952" s="1" t="str">
        <x:v>Pedra</x:v>
      </x:c>
      <x:c r="F2952" s="1" t="str">
        <x:v>Especial</x:v>
      </x:c>
      <x:c r="G2952" s="10" t="n">
        <x:v>60</x:v>
      </x:c>
      <x:c r="H2952" s="10" t="n">
        <x:f>IF(F2952="Física",'Pokémon'!G317,IF(F2952="Especial",'Pokémon'!I317,""))</x:f>
        <x:v>70</x:v>
      </x:c>
      <x:c r="I2952" s="10" t="n">
        <x:f>IF(OR(F2952="Status",G2952=0),"",G2952+H2952)</x:f>
        <x:v>130</x:v>
      </x:c>
      <x:c r="J2952" s="10" t="n">
        <x:v>19</x:v>
      </x:c>
      <x:c r="K2952" s="12" t="n">
        <x:v>20</x:v>
      </x:c>
      <x:c r="L2952" s="1" t="str"/>
      <x:c r="M2952" s="9" t="str">
        <x:v>https://poke.idleworld.online/pokepedia/pokemon/claydol</x:v>
      </x:c>
    </x:row>
    <x:row r="2953" ht="22" customHeight="1">
      <x:c r="A2953" s="1" t="n">
        <x:v>344</x:v>
      </x:c>
      <x:c r="B2953" s="1" t="str">
        <x:v>Claydol</x:v>
      </x:c>
      <x:c r="C2953" s="1" t="n">
        <x:v>2</x:v>
      </x:c>
      <x:c r="D2953" s="1" t="str">
        <x:v>Confusion</x:v>
      </x:c>
      <x:c r="E2953" s="1" t="str">
        <x:v>Psíquico</x:v>
      </x:c>
      <x:c r="F2953" s="1" t="str">
        <x:v>Especial</x:v>
      </x:c>
      <x:c r="G2953" s="10" t="n">
        <x:v>50</x:v>
      </x:c>
      <x:c r="H2953" s="10" t="n">
        <x:f>IF(F2953="Física",'Pokémon'!G317,IF(F2953="Especial",'Pokémon'!I317,""))</x:f>
        <x:v>70</x:v>
      </x:c>
      <x:c r="I2953" s="10" t="n">
        <x:f>IF(OR(F2953="Status",G2953=0),"",G2953+H2953)</x:f>
        <x:v>120</x:v>
      </x:c>
      <x:c r="J2953" s="10" t="n">
        <x:v>1</x:v>
      </x:c>
      <x:c r="K2953" s="12" t="n">
        <x:v>15</x:v>
      </x:c>
      <x:c r="L2953" s="1" t="str"/>
      <x:c r="M2953" s="9" t="str">
        <x:v>https://poke.idleworld.online/pokepedia/pokemon/claydol</x:v>
      </x:c>
    </x:row>
    <x:row r="2954" ht="22" customHeight="1">
      <x:c r="A2954" s="1" t="n">
        <x:v>344</x:v>
      </x:c>
      <x:c r="B2954" s="1" t="str">
        <x:v>Claydol</x:v>
      </x:c>
      <x:c r="C2954" s="1" t="n">
        <x:v>1</x:v>
      </x:c>
      <x:c r="D2954" s="1" t="str">
        <x:v>Rapid Spin</x:v>
      </x:c>
      <x:c r="E2954" s="1" t="str">
        <x:v>Normal</x:v>
      </x:c>
      <x:c r="F2954" s="1" t="str">
        <x:v>Física</x:v>
      </x:c>
      <x:c r="G2954" s="10" t="n">
        <x:v>20</x:v>
      </x:c>
      <x:c r="H2954" s="10" t="n">
        <x:f>IF(F2954="Física",'Pokémon'!G317,IF(F2954="Especial",'Pokémon'!I317,""))</x:f>
        <x:v>70</x:v>
      </x:c>
      <x:c r="I2954" s="10" t="n">
        <x:f>IF(OR(F2954="Status",G2954=0),"",G2954+H2954)</x:f>
        <x:v>90</x:v>
      </x:c>
      <x:c r="J2954" s="10" t="n">
        <x:v>1</x:v>
      </x:c>
      <x:c r="K2954" s="12" t="n">
        <x:v>15</x:v>
      </x:c>
      <x:c r="L2954" s="1" t="str"/>
      <x:c r="M2954" s="9" t="str">
        <x:v>https://poke.idleworld.online/pokepedia/pokemon/claydol</x:v>
      </x:c>
    </x:row>
    <x:row r="2955" ht="22" customHeight="1">
      <x:c r="A2955" s="1" t="n">
        <x:v>344</x:v>
      </x:c>
      <x:c r="B2955" s="1" t="str">
        <x:v>Claydol</x:v>
      </x:c>
      <x:c r="C2955" s="1" t="n">
        <x:v>3</x:v>
      </x:c>
      <x:c r="D2955" s="1" t="str">
        <x:v>Mud-Slap</x:v>
      </x:c>
      <x:c r="E2955" s="1" t="str">
        <x:v>Terrestre</x:v>
      </x:c>
      <x:c r="F2955" s="1" t="str">
        <x:v>Especial</x:v>
      </x:c>
      <x:c r="G2955" s="10" t="n">
        <x:v>20</x:v>
      </x:c>
      <x:c r="H2955" s="10" t="n">
        <x:f>IF(F2955="Física",'Pokémon'!G317,IF(F2955="Especial",'Pokémon'!I317,""))</x:f>
        <x:v>70</x:v>
      </x:c>
      <x:c r="I2955" s="10" t="n">
        <x:f>IF(OR(F2955="Status",G2955=0),"",G2955+H2955)</x:f>
        <x:v>90</x:v>
      </x:c>
      <x:c r="J2955" s="10" t="n">
        <x:v>7</x:v>
      </x:c>
      <x:c r="K2955" s="12" t="n">
        <x:v>15</x:v>
      </x:c>
      <x:c r="L2955" s="1" t="str"/>
      <x:c r="M2955" s="9" t="str">
        <x:v>https://poke.idleworld.online/pokepedia/pokemon/claydol</x:v>
      </x:c>
    </x:row>
    <x:row r="2956" ht="22" customHeight="1">
      <x:c r="A2956" s="1" t="n">
        <x:v>344</x:v>
      </x:c>
      <x:c r="B2956" s="1" t="str">
        <x:v>Claydol</x:v>
      </x:c>
      <x:c r="C2956" s="1" t="n">
        <x:v>4</x:v>
      </x:c>
      <x:c r="D2956" s="1" t="str">
        <x:v>Heal Block</x:v>
      </x:c>
      <x:c r="E2956" s="1" t="str">
        <x:v>Psíquico</x:v>
      </x:c>
      <x:c r="F2956" s="1" t="str">
        <x:v>Status</x:v>
      </x:c>
      <x:c r="G2956" s="10" t="n">
        <x:v>0</x:v>
      </x:c>
      <x:c r="H2956" s="10" t="str">
        <x:f>IF(F2956="Física",'Pokémon'!G317,IF(F2956="Especial",'Pokémon'!I317,""))</x:f>
      </x:c>
      <x:c r="I2956" s="10" t="str">
        <x:f>IF(OR(F2956="Status",G2956=0),"",G2956+H2956)</x:f>
      </x:c>
      <x:c r="J2956" s="10" t="n">
        <x:v>10</x:v>
      </x:c>
      <x:c r="K2956" s="12" t="n">
        <x:v>80</x:v>
      </x:c>
      <x:c r="L2956" s="1" t="str"/>
      <x:c r="M2956" s="9" t="str">
        <x:v>https://poke.idleworld.online/pokepedia/pokemon/claydol</x:v>
      </x:c>
    </x:row>
    <x:row r="2957" ht="22" customHeight="1">
      <x:c r="A2957" s="1" t="n">
        <x:v>344</x:v>
      </x:c>
      <x:c r="B2957" s="1" t="str">
        <x:v>Claydol</x:v>
      </x:c>
      <x:c r="C2957" s="1" t="n">
        <x:v>9</x:v>
      </x:c>
      <x:c r="D2957" s="1" t="str">
        <x:v>Guard Split</x:v>
      </x:c>
      <x:c r="E2957" s="1" t="str">
        <x:v>Psíquico</x:v>
      </x:c>
      <x:c r="F2957" s="1" t="str">
        <x:v>Status</x:v>
      </x:c>
      <x:c r="G2957" s="10" t="n">
        <x:v>0</x:v>
      </x:c>
      <x:c r="H2957" s="10" t="str">
        <x:f>IF(F2957="Física",'Pokémon'!G317,IF(F2957="Especial",'Pokémon'!I317,""))</x:f>
      </x:c>
      <x:c r="I2957" s="10" t="str">
        <x:f>IF(OR(F2957="Status",G2957=0),"",G2957+H2957)</x:f>
      </x:c>
      <x:c r="J2957" s="10" t="n">
        <x:v>34</x:v>
      </x:c>
      <x:c r="K2957" s="12" t="n">
        <x:v>80</x:v>
      </x:c>
      <x:c r="L2957" s="1" t="str"/>
      <x:c r="M2957" s="9" t="str">
        <x:v>https://poke.idleworld.online/pokepedia/pokemon/claydol</x:v>
      </x:c>
    </x:row>
    <x:row r="2958" ht="22" customHeight="1">
      <x:c r="A2958" s="1" t="n">
        <x:v>344</x:v>
      </x:c>
      <x:c r="B2958" s="1" t="str">
        <x:v>Claydol</x:v>
      </x:c>
      <x:c r="C2958" s="1" t="n">
        <x:v>12</x:v>
      </x:c>
      <x:c r="D2958" s="1" t="str">
        <x:v>Sandstorm</x:v>
      </x:c>
      <x:c r="E2958" s="1" t="str">
        <x:v>Pedra</x:v>
      </x:c>
      <x:c r="F2958" s="1" t="str">
        <x:v>Status</x:v>
      </x:c>
      <x:c r="G2958" s="10" t="n">
        <x:v>0</x:v>
      </x:c>
      <x:c r="H2958" s="10" t="str">
        <x:f>IF(F2958="Física",'Pokémon'!G317,IF(F2958="Especial",'Pokémon'!I317,""))</x:f>
      </x:c>
      <x:c r="I2958" s="10" t="str">
        <x:f>IF(OR(F2958="Status",G2958=0),"",G2958+H2958)</x:f>
      </x:c>
      <x:c r="J2958" s="10" t="n">
        <x:v>46</x:v>
      </x:c>
      <x:c r="K2958" s="12" t="n">
        <x:v>60</x:v>
      </x:c>
      <x:c r="L2958" s="1" t="str"/>
      <x:c r="M2958" s="9" t="str">
        <x:v>https://poke.idleworld.online/pokepedia/pokemon/claydol</x:v>
      </x:c>
    </x:row>
    <x:row r="2959" ht="22" customHeight="1">
      <x:c r="A2959" s="1" t="n">
        <x:v>349</x:v>
      </x:c>
      <x:c r="B2959" s="1" t="str">
        <x:v>Feebas</x:v>
      </x:c>
      <x:c r="C2959" s="1" t="n">
        <x:v>1</x:v>
      </x:c>
      <x:c r="D2959" s="1" t="str">
        <x:v>Tackle</x:v>
      </x:c>
      <x:c r="E2959" s="1" t="str">
        <x:v>Normal</x:v>
      </x:c>
      <x:c r="F2959" s="1" t="str">
        <x:v>Física</x:v>
      </x:c>
      <x:c r="G2959" s="10" t="n">
        <x:v>50</x:v>
      </x:c>
      <x:c r="H2959" s="10" t="n">
        <x:f>IF(F2959="Física",'Pokémon'!G318,IF(F2959="Especial",'Pokémon'!I318,""))</x:f>
        <x:v>15</x:v>
      </x:c>
      <x:c r="I2959" s="10" t="n">
        <x:f>IF(OR(F2959="Status",G2959=0),"",G2959+H2959)</x:f>
        <x:v>65</x:v>
      </x:c>
      <x:c r="J2959" s="10" t="n">
        <x:v>15</x:v>
      </x:c>
      <x:c r="K2959" s="12" t="n">
        <x:v>8</x:v>
      </x:c>
      <x:c r="L2959" s="1" t="str"/>
      <x:c r="M2959" s="9" t="str">
        <x:v>https://poke.idleworld.online/pokepedia/pokemon/feebas</x:v>
      </x:c>
    </x:row>
    <x:row r="2960" ht="22" customHeight="1">
      <x:c r="A2960" s="1" t="n">
        <x:v>350</x:v>
      </x:c>
      <x:c r="B2960" s="1" t="str">
        <x:v>Milotic</x:v>
      </x:c>
      <x:c r="C2960" s="1" t="n">
        <x:v>8</x:v>
      </x:c>
      <x:c r="D2960" s="1" t="str">
        <x:v>Hydro Pump</x:v>
      </x:c>
      <x:c r="E2960" s="1" t="str">
        <x:v>Água</x:v>
      </x:c>
      <x:c r="F2960" s="1" t="str">
        <x:v>Especial</x:v>
      </x:c>
      <x:c r="G2960" s="10" t="n">
        <x:v>110</x:v>
      </x:c>
      <x:c r="H2960" s="10" t="n">
        <x:f>IF(F2960="Física",'Pokémon'!G319,IF(F2960="Especial",'Pokémon'!I319,""))</x:f>
        <x:v>100</x:v>
      </x:c>
      <x:c r="I2960" s="10" t="n">
        <x:f>IF(OR(F2960="Status",G2960=0),"",G2960+H2960)</x:f>
        <x:v>210</x:v>
      </x:c>
      <x:c r="J2960" s="10" t="n">
        <x:v>47</x:v>
      </x:c>
      <x:c r="K2960" s="12" t="n">
        <x:v>50</x:v>
      </x:c>
      <x:c r="L2960" s="1" t="str"/>
      <x:c r="M2960" s="9" t="str">
        <x:v>https://poke.idleworld.online/pokepedia/pokemon/milotic</x:v>
      </x:c>
    </x:row>
    <x:row r="2961" ht="22" customHeight="1">
      <x:c r="A2961" s="1" t="n">
        <x:v>350</x:v>
      </x:c>
      <x:c r="B2961" s="1" t="str">
        <x:v>Milotic</x:v>
      </x:c>
      <x:c r="C2961" s="1" t="n">
        <x:v>5</x:v>
      </x:c>
      <x:c r="D2961" s="1" t="str">
        <x:v>Water Pulse</x:v>
      </x:c>
      <x:c r="E2961" s="1" t="str">
        <x:v>Água</x:v>
      </x:c>
      <x:c r="F2961" s="1" t="str">
        <x:v>Especial</x:v>
      </x:c>
      <x:c r="G2961" s="10" t="n">
        <x:v>60</x:v>
      </x:c>
      <x:c r="H2961" s="10" t="n">
        <x:f>IF(F2961="Física",'Pokémon'!G319,IF(F2961="Especial",'Pokémon'!I319,""))</x:f>
        <x:v>100</x:v>
      </x:c>
      <x:c r="I2961" s="10" t="n">
        <x:f>IF(OR(F2961="Status",G2961=0),"",G2961+H2961)</x:f>
        <x:v>160</x:v>
      </x:c>
      <x:c r="J2961" s="10" t="n">
        <x:v>17</x:v>
      </x:c>
      <x:c r="K2961" s="12" t="n">
        <x:v>20</x:v>
      </x:c>
      <x:c r="L2961" s="1" t="str"/>
      <x:c r="M2961" s="9" t="str">
        <x:v>https://poke.idleworld.online/pokepedia/pokemon/milotic</x:v>
      </x:c>
    </x:row>
    <x:row r="2962" ht="22" customHeight="1">
      <x:c r="A2962" s="1" t="n">
        <x:v>350</x:v>
      </x:c>
      <x:c r="B2962" s="1" t="str">
        <x:v>Milotic</x:v>
      </x:c>
      <x:c r="C2962" s="1" t="n">
        <x:v>7</x:v>
      </x:c>
      <x:c r="D2962" s="1" t="str">
        <x:v>Aqua Tail</x:v>
      </x:c>
      <x:c r="E2962" s="1" t="str">
        <x:v>Água</x:v>
      </x:c>
      <x:c r="F2962" s="1" t="str">
        <x:v>Física</x:v>
      </x:c>
      <x:c r="G2962" s="10" t="n">
        <x:v>90</x:v>
      </x:c>
      <x:c r="H2962" s="10" t="n">
        <x:f>IF(F2962="Física",'Pokémon'!G319,IF(F2962="Especial",'Pokémon'!I319,""))</x:f>
        <x:v>60</x:v>
      </x:c>
      <x:c r="I2962" s="10" t="n">
        <x:f>IF(OR(F2962="Status",G2962=0),"",G2962+H2962)</x:f>
        <x:v>150</x:v>
      </x:c>
      <x:c r="J2962" s="10" t="n">
        <x:v>34</x:v>
      </x:c>
      <x:c r="K2962" s="12" t="n">
        <x:v>8</x:v>
      </x:c>
      <x:c r="L2962" s="1" t="str"/>
      <x:c r="M2962" s="9" t="str">
        <x:v>https://poke.idleworld.online/pokepedia/pokemon/milotic</x:v>
      </x:c>
    </x:row>
    <x:row r="2963" ht="22" customHeight="1">
      <x:c r="A2963" s="1" t="n">
        <x:v>350</x:v>
      </x:c>
      <x:c r="B2963" s="1" t="str">
        <x:v>Milotic</x:v>
      </x:c>
      <x:c r="C2963" s="1" t="n">
        <x:v>1</x:v>
      </x:c>
      <x:c r="D2963" s="1" t="str">
        <x:v>Water Gun</x:v>
      </x:c>
      <x:c r="E2963" s="1" t="str">
        <x:v>Água</x:v>
      </x:c>
      <x:c r="F2963" s="1" t="str">
        <x:v>Especial</x:v>
      </x:c>
      <x:c r="G2963" s="10" t="n">
        <x:v>40</x:v>
      </x:c>
      <x:c r="H2963" s="10" t="n">
        <x:f>IF(F2963="Física",'Pokémon'!G319,IF(F2963="Especial",'Pokémon'!I319,""))</x:f>
        <x:v>100</x:v>
      </x:c>
      <x:c r="I2963" s="10" t="n">
        <x:f>IF(OR(F2963="Status",G2963=0),"",G2963+H2963)</x:f>
        <x:v>140</x:v>
      </x:c>
      <x:c r="J2963" s="10" t="n">
        <x:v>1</x:v>
      </x:c>
      <x:c r="K2963" s="12" t="n">
        <x:v>18</x:v>
      </x:c>
      <x:c r="L2963" s="1" t="str"/>
      <x:c r="M2963" s="9" t="str">
        <x:v>https://poke.idleworld.online/pokepedia/pokemon/milotic</x:v>
      </x:c>
    </x:row>
    <x:row r="2964" ht="22" customHeight="1">
      <x:c r="A2964" s="1" t="n">
        <x:v>350</x:v>
      </x:c>
      <x:c r="B2964" s="1" t="str">
        <x:v>Milotic</x:v>
      </x:c>
      <x:c r="C2964" s="1" t="n">
        <x:v>3</x:v>
      </x:c>
      <x:c r="D2964" s="1" t="str">
        <x:v>Disarming Voice</x:v>
      </x:c>
      <x:c r="E2964" s="1" t="str">
        <x:v>Fada</x:v>
      </x:c>
      <x:c r="F2964" s="1" t="str">
        <x:v>Especial</x:v>
      </x:c>
      <x:c r="G2964" s="10" t="n">
        <x:v>40</x:v>
      </x:c>
      <x:c r="H2964" s="10" t="n">
        <x:f>IF(F2964="Física",'Pokémon'!G319,IF(F2964="Especial",'Pokémon'!I319,""))</x:f>
        <x:v>100</x:v>
      </x:c>
      <x:c r="I2964" s="10" t="n">
        <x:f>IF(OR(F2964="Status",G2964=0),"",G2964+H2964)</x:f>
        <x:v>140</x:v>
      </x:c>
      <x:c r="J2964" s="10" t="n">
        <x:v>11</x:v>
      </x:c>
      <x:c r="K2964" s="12" t="n">
        <x:v>15</x:v>
      </x:c>
      <x:c r="L2964" s="1" t="str"/>
      <x:c r="M2964" s="9" t="str">
        <x:v>https://poke.idleworld.online/pokepedia/pokemon/milotic</x:v>
      </x:c>
    </x:row>
    <x:row r="2965" ht="22" customHeight="1">
      <x:c r="A2965" s="1" t="n">
        <x:v>350</x:v>
      </x:c>
      <x:c r="B2965" s="1" t="str">
        <x:v>Milotic</x:v>
      </x:c>
      <x:c r="C2965" s="1" t="n">
        <x:v>4</x:v>
      </x:c>
      <x:c r="D2965" s="1" t="str">
        <x:v>Twister</x:v>
      </x:c>
      <x:c r="E2965" s="1" t="str">
        <x:v>Dragão</x:v>
      </x:c>
      <x:c r="F2965" s="1" t="str">
        <x:v>Especial</x:v>
      </x:c>
      <x:c r="G2965" s="10" t="n">
        <x:v>40</x:v>
      </x:c>
      <x:c r="H2965" s="10" t="n">
        <x:f>IF(F2965="Física",'Pokémon'!G319,IF(F2965="Especial",'Pokémon'!I319,""))</x:f>
        <x:v>100</x:v>
      </x:c>
      <x:c r="I2965" s="10" t="n">
        <x:f>IF(OR(F2965="Status",G2965=0),"",G2965+H2965)</x:f>
        <x:v>140</x:v>
      </x:c>
      <x:c r="J2965" s="10" t="n">
        <x:v>14</x:v>
      </x:c>
      <x:c r="K2965" s="12" t="n">
        <x:v>35</x:v>
      </x:c>
      <x:c r="L2965" s="1" t="str"/>
      <x:c r="M2965" s="9" t="str">
        <x:v>https://poke.idleworld.online/pokepedia/pokemon/milotic</x:v>
      </x:c>
    </x:row>
    <x:row r="2966" ht="22" customHeight="1">
      <x:c r="A2966" s="1" t="n">
        <x:v>350</x:v>
      </x:c>
      <x:c r="B2966" s="1" t="str">
        <x:v>Milotic</x:v>
      </x:c>
      <x:c r="C2966" s="1" t="n">
        <x:v>6</x:v>
      </x:c>
      <x:c r="D2966" s="1" t="str">
        <x:v>Dragon Tail</x:v>
      </x:c>
      <x:c r="E2966" s="1" t="str">
        <x:v>Dragão</x:v>
      </x:c>
      <x:c r="F2966" s="1" t="str">
        <x:v>Física</x:v>
      </x:c>
      <x:c r="G2966" s="10" t="n">
        <x:v>60</x:v>
      </x:c>
      <x:c r="H2966" s="10" t="n">
        <x:f>IF(F2966="Física",'Pokémon'!G319,IF(F2966="Especial",'Pokémon'!I319,""))</x:f>
        <x:v>60</x:v>
      </x:c>
      <x:c r="I2966" s="10" t="n">
        <x:f>IF(OR(F2966="Status",G2966=0),"",G2966+H2966)</x:f>
        <x:v>120</x:v>
      </x:c>
      <x:c r="J2966" s="10" t="n">
        <x:v>27</x:v>
      </x:c>
      <x:c r="K2966" s="12" t="n">
        <x:v>20</x:v>
      </x:c>
      <x:c r="L2966" s="1" t="str"/>
      <x:c r="M2966" s="9" t="str">
        <x:v>https://poke.idleworld.online/pokepedia/pokemon/milotic</x:v>
      </x:c>
    </x:row>
    <x:row r="2967" ht="22" customHeight="1">
      <x:c r="A2967" s="1" t="n">
        <x:v>350</x:v>
      </x:c>
      <x:c r="B2967" s="1" t="str">
        <x:v>Milotic</x:v>
      </x:c>
      <x:c r="C2967" s="1" t="n">
        <x:v>2</x:v>
      </x:c>
      <x:c r="D2967" s="1" t="str">
        <x:v>Wrap</x:v>
      </x:c>
      <x:c r="E2967" s="1" t="str">
        <x:v>Normal</x:v>
      </x:c>
      <x:c r="F2967" s="1" t="str">
        <x:v>Física</x:v>
      </x:c>
      <x:c r="G2967" s="10" t="n">
        <x:v>15</x:v>
      </x:c>
      <x:c r="H2967" s="10" t="n">
        <x:f>IF(F2967="Física",'Pokémon'!G319,IF(F2967="Especial",'Pokémon'!I319,""))</x:f>
        <x:v>60</x:v>
      </x:c>
      <x:c r="I2967" s="10" t="n">
        <x:f>IF(OR(F2967="Status",G2967=0),"",G2967+H2967)</x:f>
        <x:v>75</x:v>
      </x:c>
      <x:c r="J2967" s="10" t="n">
        <x:v>1</x:v>
      </x:c>
      <x:c r="K2967" s="12" t="n">
        <x:v>15</x:v>
      </x:c>
      <x:c r="L2967" s="1" t="str"/>
      <x:c r="M2967" s="9" t="str">
        <x:v>https://poke.idleworld.online/pokepedia/pokemon/milotic</x:v>
      </x:c>
    </x:row>
    <x:row r="2968" ht="22" customHeight="1">
      <x:c r="A2968" s="1" t="n">
        <x:v>353</x:v>
      </x:c>
      <x:c r="B2968" s="1" t="str">
        <x:v>Shuppet</x:v>
      </x:c>
      <x:c r="C2968" s="1" t="n">
        <x:v>2</x:v>
      </x:c>
      <x:c r="D2968" s="1" t="str">
        <x:v>Night Shade</x:v>
      </x:c>
      <x:c r="E2968" s="1" t="str">
        <x:v>Fantasma</x:v>
      </x:c>
      <x:c r="F2968" s="1" t="str">
        <x:v>Especial</x:v>
      </x:c>
      <x:c r="G2968" s="10" t="n">
        <x:v>140</x:v>
      </x:c>
      <x:c r="H2968" s="10" t="n">
        <x:f>IF(F2968="Física",'Pokémon'!G320,IF(F2968="Especial",'Pokémon'!I320,""))</x:f>
        <x:v>63</x:v>
      </x:c>
      <x:c r="I2968" s="10" t="n">
        <x:f>IF(OR(F2968="Status",G2968=0),"",G2968+H2968)</x:f>
        <x:v>203</x:v>
      </x:c>
      <x:c r="J2968" s="10" t="n">
        <x:v>7</x:v>
      </x:c>
      <x:c r="K2968" s="12" t="n">
        <x:v>30</x:v>
      </x:c>
      <x:c r="L2968" s="1" t="str"/>
      <x:c r="M2968" s="9" t="str">
        <x:v>https://poke.idleworld.online/pokepedia/pokemon/shuppet</x:v>
      </x:c>
    </x:row>
    <x:row r="2969" ht="22" customHeight="1">
      <x:c r="A2969" s="1" t="n">
        <x:v>353</x:v>
      </x:c>
      <x:c r="B2969" s="1" t="str">
        <x:v>Shuppet</x:v>
      </x:c>
      <x:c r="C2969" s="1" t="n">
        <x:v>8</x:v>
      </x:c>
      <x:c r="D2969" s="1" t="str">
        <x:v>Phantom Force</x:v>
      </x:c>
      <x:c r="E2969" s="1" t="str">
        <x:v>Fantasma</x:v>
      </x:c>
      <x:c r="F2969" s="1" t="str">
        <x:v>Física</x:v>
      </x:c>
      <x:c r="G2969" s="10" t="n">
        <x:v>90</x:v>
      </x:c>
      <x:c r="H2969" s="10" t="n">
        <x:f>IF(F2969="Física",'Pokémon'!G320,IF(F2969="Especial",'Pokémon'!I320,""))</x:f>
        <x:v>75</x:v>
      </x:c>
      <x:c r="I2969" s="10" t="n">
        <x:f>IF(OR(F2969="Status",G2969=0),"",G2969+H2969)</x:f>
        <x:v>165</x:v>
      </x:c>
      <x:c r="J2969" s="10" t="n">
        <x:v>54</x:v>
      </x:c>
      <x:c r="K2969" s="12" t="n">
        <x:v>22</x:v>
      </x:c>
      <x:c r="L2969" s="1" t="str"/>
      <x:c r="M2969" s="9" t="str">
        <x:v>https://poke.idleworld.online/pokepedia/pokemon/shuppet</x:v>
      </x:c>
    </x:row>
    <x:row r="2970" ht="22" customHeight="1">
      <x:c r="A2970" s="1" t="n">
        <x:v>353</x:v>
      </x:c>
      <x:c r="B2970" s="1" t="str">
        <x:v>Shuppet</x:v>
      </x:c>
      <x:c r="C2970" s="1" t="n">
        <x:v>7</x:v>
      </x:c>
      <x:c r="D2970" s="1" t="str">
        <x:v>Sucker Punch</x:v>
      </x:c>
      <x:c r="E2970" s="1" t="str">
        <x:v>Sombrio</x:v>
      </x:c>
      <x:c r="F2970" s="1" t="str">
        <x:v>Física</x:v>
      </x:c>
      <x:c r="G2970" s="10" t="n">
        <x:v>80</x:v>
      </x:c>
      <x:c r="H2970" s="10" t="n">
        <x:f>IF(F2970="Física",'Pokémon'!G320,IF(F2970="Especial",'Pokémon'!I320,""))</x:f>
        <x:v>75</x:v>
      </x:c>
      <x:c r="I2970" s="10" t="n">
        <x:f>IF(OR(F2970="Status",G2970=0),"",G2970+H2970)</x:f>
        <x:v>155</x:v>
      </x:c>
      <x:c r="J2970" s="10" t="n">
        <x:v>38</x:v>
      </x:c>
      <x:c r="K2970" s="12" t="n">
        <x:v>22</x:v>
      </x:c>
      <x:c r="L2970" s="1" t="str"/>
      <x:c r="M2970" s="9" t="str">
        <x:v>https://poke.idleworld.online/pokepedia/pokemon/shuppet</x:v>
      </x:c>
    </x:row>
    <x:row r="2971" ht="22" customHeight="1">
      <x:c r="A2971" s="1" t="n">
        <x:v>353</x:v>
      </x:c>
      <x:c r="B2971" s="1" t="str">
        <x:v>Shuppet</x:v>
      </x:c>
      <x:c r="C2971" s="1" t="n">
        <x:v>6</x:v>
      </x:c>
      <x:c r="D2971" s="1" t="str">
        <x:v>Shadow Ball</x:v>
      </x:c>
      <x:c r="E2971" s="1" t="str">
        <x:v>Fantasma</x:v>
      </x:c>
      <x:c r="F2971" s="1" t="str">
        <x:v>Especial</x:v>
      </x:c>
      <x:c r="G2971" s="10" t="n">
        <x:v>80</x:v>
      </x:c>
      <x:c r="H2971" s="10" t="n">
        <x:f>IF(F2971="Física",'Pokémon'!G320,IF(F2971="Especial",'Pokémon'!I320,""))</x:f>
        <x:v>63</x:v>
      </x:c>
      <x:c r="I2971" s="10" t="n">
        <x:f>IF(OR(F2971="Status",G2971=0),"",G2971+H2971)</x:f>
        <x:v>143</x:v>
      </x:c>
      <x:c r="J2971" s="10" t="n">
        <x:v>30</x:v>
      </x:c>
      <x:c r="K2971" s="12" t="n">
        <x:v>10</x:v>
      </x:c>
      <x:c r="L2971" s="1" t="str"/>
      <x:c r="M2971" s="9" t="str">
        <x:v>https://poke.idleworld.online/pokepedia/pokemon/shuppet</x:v>
      </x:c>
    </x:row>
    <x:row r="2972" ht="22" customHeight="1">
      <x:c r="A2972" s="1" t="n">
        <x:v>353</x:v>
      </x:c>
      <x:c r="B2972" s="1" t="str">
        <x:v>Shuppet</x:v>
      </x:c>
      <x:c r="C2972" s="1" t="n">
        <x:v>1</x:v>
      </x:c>
      <x:c r="D2972" s="1" t="str">
        <x:v>Knock Off</x:v>
      </x:c>
      <x:c r="E2972" s="1" t="str">
        <x:v>Sombrio</x:v>
      </x:c>
      <x:c r="F2972" s="1" t="str">
        <x:v>Física</x:v>
      </x:c>
      <x:c r="G2972" s="10" t="n">
        <x:v>65</x:v>
      </x:c>
      <x:c r="H2972" s="10" t="n">
        <x:f>IF(F2972="Física",'Pokémon'!G320,IF(F2972="Especial",'Pokémon'!I320,""))</x:f>
        <x:v>75</x:v>
      </x:c>
      <x:c r="I2972" s="10" t="n">
        <x:f>IF(OR(F2972="Status",G2972=0),"",G2972+H2972)</x:f>
        <x:v>140</x:v>
      </x:c>
      <x:c r="J2972" s="10" t="n">
        <x:v>1</x:v>
      </x:c>
      <x:c r="K2972" s="12" t="n">
        <x:v>20</x:v>
      </x:c>
      <x:c r="L2972" s="1" t="str"/>
      <x:c r="M2972" s="9" t="str">
        <x:v>https://poke.idleworld.online/pokepedia/pokemon/shuppet</x:v>
      </x:c>
    </x:row>
    <x:row r="2973" ht="22" customHeight="1">
      <x:c r="A2973" s="1" t="n">
        <x:v>353</x:v>
      </x:c>
      <x:c r="B2973" s="1" t="str">
        <x:v>Shuppet</x:v>
      </x:c>
      <x:c r="C2973" s="1" t="n">
        <x:v>4</x:v>
      </x:c>
      <x:c r="D2973" s="1" t="str">
        <x:v>Feint Attack</x:v>
      </x:c>
      <x:c r="E2973" s="1" t="str">
        <x:v>Sombrio</x:v>
      </x:c>
      <x:c r="F2973" s="1" t="str">
        <x:v>Física</x:v>
      </x:c>
      <x:c r="G2973" s="10" t="n">
        <x:v>60</x:v>
      </x:c>
      <x:c r="H2973" s="10" t="n">
        <x:f>IF(F2973="Física",'Pokémon'!G320,IF(F2973="Especial",'Pokémon'!I320,""))</x:f>
        <x:v>75</x:v>
      </x:c>
      <x:c r="I2973" s="10" t="n">
        <x:f>IF(OR(F2973="Status",G2973=0),"",G2973+H2973)</x:f>
        <x:v>135</x:v>
      </x:c>
      <x:c r="J2973" s="10" t="n">
        <x:v>19</x:v>
      </x:c>
      <x:c r="K2973" s="12" t="n">
        <x:v>25</x:v>
      </x:c>
      <x:c r="L2973" s="1" t="str"/>
      <x:c r="M2973" s="9" t="str">
        <x:v>https://poke.idleworld.online/pokepedia/pokemon/shuppet</x:v>
      </x:c>
    </x:row>
    <x:row r="2974" ht="22" customHeight="1">
      <x:c r="A2974" s="1" t="n">
        <x:v>353</x:v>
      </x:c>
      <x:c r="B2974" s="1" t="str">
        <x:v>Shuppet</x:v>
      </x:c>
      <x:c r="C2974" s="1" t="n">
        <x:v>5</x:v>
      </x:c>
      <x:c r="D2974" s="1" t="str">
        <x:v>Hex</x:v>
      </x:c>
      <x:c r="E2974" s="1" t="str">
        <x:v>Fantasma</x:v>
      </x:c>
      <x:c r="F2974" s="1" t="str">
        <x:v>Especial</x:v>
      </x:c>
      <x:c r="G2974" s="10" t="n">
        <x:v>65</x:v>
      </x:c>
      <x:c r="H2974" s="10" t="n">
        <x:f>IF(F2974="Física",'Pokémon'!G320,IF(F2974="Especial",'Pokémon'!I320,""))</x:f>
        <x:v>63</x:v>
      </x:c>
      <x:c r="I2974" s="10" t="n">
        <x:f>IF(OR(F2974="Status",G2974=0),"",G2974+H2974)</x:f>
        <x:v>128</x:v>
      </x:c>
      <x:c r="J2974" s="10" t="n">
        <x:v>22</x:v>
      </x:c>
      <x:c r="K2974" s="12" t="n">
        <x:v>20</x:v>
      </x:c>
      <x:c r="L2974" s="1" t="str"/>
      <x:c r="M2974" s="9" t="str">
        <x:v>https://poke.idleworld.online/pokepedia/pokemon/shuppet</x:v>
      </x:c>
    </x:row>
    <x:row r="2975" ht="22" customHeight="1">
      <x:c r="A2975" s="1" t="n">
        <x:v>353</x:v>
      </x:c>
      <x:c r="B2975" s="1" t="str">
        <x:v>Shuppet</x:v>
      </x:c>
      <x:c r="C2975" s="1" t="n">
        <x:v>3</x:v>
      </x:c>
      <x:c r="D2975" s="1" t="str">
        <x:v>Shadow Sneak</x:v>
      </x:c>
      <x:c r="E2975" s="1" t="str">
        <x:v>Fantasma</x:v>
      </x:c>
      <x:c r="F2975" s="1" t="str">
        <x:v>Física</x:v>
      </x:c>
      <x:c r="G2975" s="10" t="n">
        <x:v>40</x:v>
      </x:c>
      <x:c r="H2975" s="10" t="n">
        <x:f>IF(F2975="Física",'Pokémon'!G320,IF(F2975="Especial",'Pokémon'!I320,""))</x:f>
        <x:v>75</x:v>
      </x:c>
      <x:c r="I2975" s="10" t="n">
        <x:f>IF(OR(F2975="Status",G2975=0),"",G2975+H2975)</x:f>
        <x:v>115</x:v>
      </x:c>
      <x:c r="J2975" s="10" t="n">
        <x:v>13</x:v>
      </x:c>
      <x:c r="K2975" s="12" t="n">
        <x:v>15</x:v>
      </x:c>
      <x:c r="L2975" s="1" t="str"/>
      <x:c r="M2975" s="9" t="str">
        <x:v>https://poke.idleworld.online/pokepedia/pokemon/shuppet</x:v>
      </x:c>
    </x:row>
    <x:row r="2976" ht="22" customHeight="1">
      <x:c r="A2976" s="1" t="n">
        <x:v>354</x:v>
      </x:c>
      <x:c r="B2976" s="1" t="str">
        <x:v>Banette</x:v>
      </x:c>
      <x:c r="C2976" s="1" t="n">
        <x:v>2</x:v>
      </x:c>
      <x:c r="D2976" s="1" t="str">
        <x:v>Phantom Force</x:v>
      </x:c>
      <x:c r="E2976" s="1" t="str">
        <x:v>Fantasma</x:v>
      </x:c>
      <x:c r="F2976" s="1" t="str">
        <x:v>Física</x:v>
      </x:c>
      <x:c r="G2976" s="10" t="n">
        <x:v>90</x:v>
      </x:c>
      <x:c r="H2976" s="10" t="n">
        <x:f>IF(F2976="Física",'Pokémon'!G321,IF(F2976="Especial",'Pokémon'!I321,""))</x:f>
        <x:v>115</x:v>
      </x:c>
      <x:c r="I2976" s="10" t="n">
        <x:f>IF(OR(F2976="Status",G2976=0),"",G2976+H2976)</x:f>
        <x:v>205</x:v>
      </x:c>
      <x:c r="J2976" s="10" t="n">
        <x:v>1</x:v>
      </x:c>
      <x:c r="K2976" s="12" t="n">
        <x:v>22</x:v>
      </x:c>
      <x:c r="L2976" s="1" t="str"/>
      <x:c r="M2976" s="9" t="str">
        <x:v>https://poke.idleworld.online/pokepedia/pokemon/banette</x:v>
      </x:c>
    </x:row>
    <x:row r="2977" ht="22" customHeight="1">
      <x:c r="A2977" s="1" t="n">
        <x:v>354</x:v>
      </x:c>
      <x:c r="B2977" s="1" t="str">
        <x:v>Banette</x:v>
      </x:c>
      <x:c r="C2977" s="1" t="n">
        <x:v>7</x:v>
      </x:c>
      <x:c r="D2977" s="1" t="str">
        <x:v>Sucker Punch</x:v>
      </x:c>
      <x:c r="E2977" s="1" t="str">
        <x:v>Sombrio</x:v>
      </x:c>
      <x:c r="F2977" s="1" t="str">
        <x:v>Física</x:v>
      </x:c>
      <x:c r="G2977" s="10" t="n">
        <x:v>80</x:v>
      </x:c>
      <x:c r="H2977" s="10" t="n">
        <x:f>IF(F2977="Física",'Pokémon'!G321,IF(F2977="Especial",'Pokémon'!I321,""))</x:f>
        <x:v>115</x:v>
      </x:c>
      <x:c r="I2977" s="10" t="n">
        <x:f>IF(OR(F2977="Status",G2977=0),"",G2977+H2977)</x:f>
        <x:v>195</x:v>
      </x:c>
      <x:c r="J2977" s="10" t="n">
        <x:v>40</x:v>
      </x:c>
      <x:c r="K2977" s="12" t="n">
        <x:v>22</x:v>
      </x:c>
      <x:c r="L2977" s="1" t="str"/>
      <x:c r="M2977" s="9" t="str">
        <x:v>https://poke.idleworld.online/pokepedia/pokemon/banette</x:v>
      </x:c>
    </x:row>
    <x:row r="2978" ht="22" customHeight="1">
      <x:c r="A2978" s="1" t="n">
        <x:v>354</x:v>
      </x:c>
      <x:c r="B2978" s="1" t="str">
        <x:v>Banette</x:v>
      </x:c>
      <x:c r="C2978" s="1" t="n">
        <x:v>1</x:v>
      </x:c>
      <x:c r="D2978" s="1" t="str">
        <x:v>Knock Off</x:v>
      </x:c>
      <x:c r="E2978" s="1" t="str">
        <x:v>Sombrio</x:v>
      </x:c>
      <x:c r="F2978" s="1" t="str">
        <x:v>Física</x:v>
      </x:c>
      <x:c r="G2978" s="10" t="n">
        <x:v>65</x:v>
      </x:c>
      <x:c r="H2978" s="10" t="n">
        <x:f>IF(F2978="Física",'Pokémon'!G321,IF(F2978="Especial",'Pokémon'!I321,""))</x:f>
        <x:v>115</x:v>
      </x:c>
      <x:c r="I2978" s="10" t="n">
        <x:f>IF(OR(F2978="Status",G2978=0),"",G2978+H2978)</x:f>
        <x:v>180</x:v>
      </x:c>
      <x:c r="J2978" s="10" t="n">
        <x:v>1</x:v>
      </x:c>
      <x:c r="K2978" s="12" t="n">
        <x:v>20</x:v>
      </x:c>
      <x:c r="L2978" s="1" t="str"/>
      <x:c r="M2978" s="9" t="str">
        <x:v>https://poke.idleworld.online/pokepedia/pokemon/banette</x:v>
      </x:c>
    </x:row>
    <x:row r="2979" ht="22" customHeight="1">
      <x:c r="A2979" s="1" t="n">
        <x:v>354</x:v>
      </x:c>
      <x:c r="B2979" s="1" t="str">
        <x:v>Banette</x:v>
      </x:c>
      <x:c r="C2979" s="1" t="n">
        <x:v>4</x:v>
      </x:c>
      <x:c r="D2979" s="1" t="str">
        <x:v>Feint Attack</x:v>
      </x:c>
      <x:c r="E2979" s="1" t="str">
        <x:v>Sombrio</x:v>
      </x:c>
      <x:c r="F2979" s="1" t="str">
        <x:v>Física</x:v>
      </x:c>
      <x:c r="G2979" s="10" t="n">
        <x:v>60</x:v>
      </x:c>
      <x:c r="H2979" s="10" t="n">
        <x:f>IF(F2979="Física",'Pokémon'!G321,IF(F2979="Especial",'Pokémon'!I321,""))</x:f>
        <x:v>115</x:v>
      </x:c>
      <x:c r="I2979" s="10" t="n">
        <x:f>IF(OR(F2979="Status",G2979=0),"",G2979+H2979)</x:f>
        <x:v>175</x:v>
      </x:c>
      <x:c r="J2979" s="10" t="n">
        <x:v>19</x:v>
      </x:c>
      <x:c r="K2979" s="12" t="n">
        <x:v>20</x:v>
      </x:c>
      <x:c r="L2979" s="1" t="str"/>
      <x:c r="M2979" s="9" t="str">
        <x:v>https://poke.idleworld.online/pokepedia/pokemon/banette</x:v>
      </x:c>
    </x:row>
    <x:row r="2980" ht="22" customHeight="1">
      <x:c r="A2980" s="1" t="n">
        <x:v>354</x:v>
      </x:c>
      <x:c r="B2980" s="1" t="str">
        <x:v>Banette</x:v>
      </x:c>
      <x:c r="C2980" s="1" t="n">
        <x:v>6</x:v>
      </x:c>
      <x:c r="D2980" s="1" t="str">
        <x:v>Shadow Ball</x:v>
      </x:c>
      <x:c r="E2980" s="1" t="str">
        <x:v>Fantasma</x:v>
      </x:c>
      <x:c r="F2980" s="1" t="str">
        <x:v>Especial</x:v>
      </x:c>
      <x:c r="G2980" s="10" t="n">
        <x:v>80</x:v>
      </x:c>
      <x:c r="H2980" s="10" t="n">
        <x:f>IF(F2980="Física",'Pokémon'!G321,IF(F2980="Especial",'Pokémon'!I321,""))</x:f>
        <x:v>83</x:v>
      </x:c>
      <x:c r="I2980" s="10" t="n">
        <x:f>IF(OR(F2980="Status",G2980=0),"",G2980+H2980)</x:f>
        <x:v>163</x:v>
      </x:c>
      <x:c r="J2980" s="10" t="n">
        <x:v>30</x:v>
      </x:c>
      <x:c r="K2980" s="12" t="n">
        <x:v>10</x:v>
      </x:c>
      <x:c r="L2980" s="1" t="str"/>
      <x:c r="M2980" s="9" t="str">
        <x:v>https://poke.idleworld.online/pokepedia/pokemon/banette</x:v>
      </x:c>
    </x:row>
    <x:row r="2981" ht="22" customHeight="1">
      <x:c r="A2981" s="1" t="n">
        <x:v>354</x:v>
      </x:c>
      <x:c r="B2981" s="1" t="str">
        <x:v>Banette</x:v>
      </x:c>
      <x:c r="C2981" s="1" t="n">
        <x:v>3</x:v>
      </x:c>
      <x:c r="D2981" s="1" t="str">
        <x:v>Shadow Sneak</x:v>
      </x:c>
      <x:c r="E2981" s="1" t="str">
        <x:v>Fantasma</x:v>
      </x:c>
      <x:c r="F2981" s="1" t="str">
        <x:v>Física</x:v>
      </x:c>
      <x:c r="G2981" s="10" t="n">
        <x:v>40</x:v>
      </x:c>
      <x:c r="H2981" s="10" t="n">
        <x:f>IF(F2981="Física",'Pokémon'!G321,IF(F2981="Especial",'Pokémon'!I321,""))</x:f>
        <x:v>115</x:v>
      </x:c>
      <x:c r="I2981" s="10" t="n">
        <x:f>IF(OR(F2981="Status",G2981=0),"",G2981+H2981)</x:f>
        <x:v>155</x:v>
      </x:c>
      <x:c r="J2981" s="10" t="n">
        <x:v>13</x:v>
      </x:c>
      <x:c r="K2981" s="12" t="n">
        <x:v>15</x:v>
      </x:c>
      <x:c r="L2981" s="1" t="str"/>
      <x:c r="M2981" s="9" t="str">
        <x:v>https://poke.idleworld.online/pokepedia/pokemon/banette</x:v>
      </x:c>
    </x:row>
    <x:row r="2982" ht="22" customHeight="1">
      <x:c r="A2982" s="1" t="n">
        <x:v>354</x:v>
      </x:c>
      <x:c r="B2982" s="1" t="str">
        <x:v>Banette</x:v>
      </x:c>
      <x:c r="C2982" s="1" t="n">
        <x:v>5</x:v>
      </x:c>
      <x:c r="D2982" s="1" t="str">
        <x:v>Hex</x:v>
      </x:c>
      <x:c r="E2982" s="1" t="str">
        <x:v>Fantasma</x:v>
      </x:c>
      <x:c r="F2982" s="1" t="str">
        <x:v>Especial</x:v>
      </x:c>
      <x:c r="G2982" s="10" t="n">
        <x:v>65</x:v>
      </x:c>
      <x:c r="H2982" s="10" t="n">
        <x:f>IF(F2982="Física",'Pokémon'!G321,IF(F2982="Especial",'Pokémon'!I321,""))</x:f>
        <x:v>83</x:v>
      </x:c>
      <x:c r="I2982" s="10" t="n">
        <x:f>IF(OR(F2982="Status",G2982=0),"",G2982+H2982)</x:f>
        <x:v>148</x:v>
      </x:c>
      <x:c r="J2982" s="10" t="n">
        <x:v>22</x:v>
      </x:c>
      <x:c r="K2982" s="12" t="n">
        <x:v>20</x:v>
      </x:c>
      <x:c r="L2982" s="1" t="str"/>
      <x:c r="M2982" s="9" t="str">
        <x:v>https://poke.idleworld.online/pokepedia/pokemon/banette</x:v>
      </x:c>
    </x:row>
    <x:row r="2983" ht="22" customHeight="1">
      <x:c r="A2983" s="1" t="n">
        <x:v>355</x:v>
      </x:c>
      <x:c r="B2983" s="1" t="str">
        <x:v>Duskull</x:v>
      </x:c>
      <x:c r="C2983" s="1" t="n">
        <x:v>9</x:v>
      </x:c>
      <x:c r="D2983" s="1" t="str">
        <x:v>Future Sight</x:v>
      </x:c>
      <x:c r="E2983" s="1" t="str">
        <x:v>Psíquico</x:v>
      </x:c>
      <x:c r="F2983" s="1" t="str">
        <x:v>Especial</x:v>
      </x:c>
      <x:c r="G2983" s="10" t="n">
        <x:v>120</x:v>
      </x:c>
      <x:c r="H2983" s="10" t="n">
        <x:f>IF(F2983="Física",'Pokémon'!G322,IF(F2983="Especial",'Pokémon'!I322,""))</x:f>
        <x:v>30</x:v>
      </x:c>
      <x:c r="I2983" s="10" t="n">
        <x:f>IF(OR(F2983="Status",G2983=0),"",G2983+H2983)</x:f>
        <x:v>150</x:v>
      </x:c>
      <x:c r="J2983" s="10" t="n">
        <x:v>54</x:v>
      </x:c>
      <x:c r="K2983" s="12" t="n">
        <x:v>50</x:v>
      </x:c>
      <x:c r="L2983" s="1" t="str"/>
      <x:c r="M2983" s="9" t="str">
        <x:v>https://poke.idleworld.online/pokepedia/pokemon/duskull</x:v>
      </x:c>
    </x:row>
    <x:row r="2984" ht="22" customHeight="1">
      <x:c r="A2984" s="1" t="n">
        <x:v>355</x:v>
      </x:c>
      <x:c r="B2984" s="1" t="str">
        <x:v>Duskull</x:v>
      </x:c>
      <x:c r="C2984" s="1" t="n">
        <x:v>7</x:v>
      </x:c>
      <x:c r="D2984" s="1" t="str">
        <x:v>Shadow Ball</x:v>
      </x:c>
      <x:c r="E2984" s="1" t="str">
        <x:v>Fantasma</x:v>
      </x:c>
      <x:c r="F2984" s="1" t="str">
        <x:v>Especial</x:v>
      </x:c>
      <x:c r="G2984" s="10" t="n">
        <x:v>80</x:v>
      </x:c>
      <x:c r="H2984" s="10" t="n">
        <x:f>IF(F2984="Física",'Pokémon'!G322,IF(F2984="Especial",'Pokémon'!I322,""))</x:f>
        <x:v>30</x:v>
      </x:c>
      <x:c r="I2984" s="10" t="n">
        <x:f>IF(OR(F2984="Status",G2984=0),"",G2984+H2984)</x:f>
        <x:v>110</x:v>
      </x:c>
      <x:c r="J2984" s="10" t="n">
        <x:v>41</x:v>
      </x:c>
      <x:c r="K2984" s="12" t="n">
        <x:v>10</x:v>
      </x:c>
      <x:c r="L2984" s="1" t="str"/>
      <x:c r="M2984" s="9" t="str">
        <x:v>https://poke.idleworld.online/pokepedia/pokemon/duskull</x:v>
      </x:c>
    </x:row>
    <x:row r="2985" ht="22" customHeight="1">
      <x:c r="A2985" s="1" t="n">
        <x:v>355</x:v>
      </x:c>
      <x:c r="B2985" s="1" t="str">
        <x:v>Duskull</x:v>
      </x:c>
      <x:c r="C2985" s="1" t="n">
        <x:v>6</x:v>
      </x:c>
      <x:c r="D2985" s="1" t="str">
        <x:v>Hex</x:v>
      </x:c>
      <x:c r="E2985" s="1" t="str">
        <x:v>Fantasma</x:v>
      </x:c>
      <x:c r="F2985" s="1" t="str">
        <x:v>Especial</x:v>
      </x:c>
      <x:c r="G2985" s="10" t="n">
        <x:v>65</x:v>
      </x:c>
      <x:c r="H2985" s="10" t="n">
        <x:f>IF(F2985="Física",'Pokémon'!G322,IF(F2985="Especial",'Pokémon'!I322,""))</x:f>
        <x:v>30</x:v>
      </x:c>
      <x:c r="I2985" s="10" t="n">
        <x:f>IF(OR(F2985="Status",G2985=0),"",G2985+H2985)</x:f>
        <x:v>95</x:v>
      </x:c>
      <x:c r="J2985" s="10" t="n">
        <x:v>38</x:v>
      </x:c>
      <x:c r="K2985" s="12" t="n">
        <x:v>20</x:v>
      </x:c>
      <x:c r="L2985" s="1" t="str"/>
      <x:c r="M2985" s="9" t="str">
        <x:v>https://poke.idleworld.online/pokepedia/pokemon/duskull</x:v>
      </x:c>
    </x:row>
    <x:row r="2986" ht="22" customHeight="1">
      <x:c r="A2986" s="1" t="n">
        <x:v>355</x:v>
      </x:c>
      <x:c r="B2986" s="1" t="str">
        <x:v>Duskull</x:v>
      </x:c>
      <x:c r="C2986" s="1" t="n">
        <x:v>8</x:v>
      </x:c>
      <x:c r="D2986" s="1" t="str">
        <x:v>Payback</x:v>
      </x:c>
      <x:c r="E2986" s="1" t="str">
        <x:v>Sombrio</x:v>
      </x:c>
      <x:c r="F2986" s="1" t="str">
        <x:v>Física</x:v>
      </x:c>
      <x:c r="G2986" s="10" t="n">
        <x:v>50</x:v>
      </x:c>
      <x:c r="H2986" s="10" t="n">
        <x:f>IF(F2986="Física",'Pokémon'!G322,IF(F2986="Especial",'Pokémon'!I322,""))</x:f>
        <x:v>40</x:v>
      </x:c>
      <x:c r="I2986" s="10" t="n">
        <x:f>IF(OR(F2986="Status",G2986=0),"",G2986+H2986)</x:f>
        <x:v>90</x:v>
      </x:c>
      <x:c r="J2986" s="10" t="n">
        <x:v>49</x:v>
      </x:c>
      <x:c r="K2986" s="12" t="n">
        <x:v>15</x:v>
      </x:c>
      <x:c r="L2986" s="1" t="str"/>
      <x:c r="M2986" s="9" t="str">
        <x:v>https://poke.idleworld.online/pokepedia/pokemon/duskull</x:v>
      </x:c>
    </x:row>
    <x:row r="2987" ht="22" customHeight="1">
      <x:c r="A2987" s="1" t="n">
        <x:v>355</x:v>
      </x:c>
      <x:c r="B2987" s="1" t="str">
        <x:v>Duskull</x:v>
      </x:c>
      <x:c r="C2987" s="1" t="n">
        <x:v>1</x:v>
      </x:c>
      <x:c r="D2987" s="1" t="str">
        <x:v>Night Shade</x:v>
      </x:c>
      <x:c r="E2987" s="1" t="str">
        <x:v>Fantasma</x:v>
      </x:c>
      <x:c r="F2987" s="1" t="str">
        <x:v>Especial</x:v>
      </x:c>
      <x:c r="G2987" s="10" t="n">
        <x:v>56</x:v>
      </x:c>
      <x:c r="H2987" s="10" t="n">
        <x:f>IF(F2987="Física",'Pokémon'!G322,IF(F2987="Especial",'Pokémon'!I322,""))</x:f>
        <x:v>30</x:v>
      </x:c>
      <x:c r="I2987" s="10" t="n">
        <x:f>IF(OR(F2987="Status",G2987=0),"",G2987+H2987)</x:f>
        <x:v>86</x:v>
      </x:c>
      <x:c r="J2987" s="10" t="n">
        <x:v>1</x:v>
      </x:c>
      <x:c r="K2987" s="12" t="n">
        <x:v>30</x:v>
      </x:c>
      <x:c r="L2987" s="1" t="str"/>
      <x:c r="M2987" s="9" t="str">
        <x:v>https://poke.idleworld.online/pokepedia/pokemon/duskull</x:v>
      </x:c>
    </x:row>
    <x:row r="2988" ht="22" customHeight="1">
      <x:c r="A2988" s="1" t="n">
        <x:v>355</x:v>
      </x:c>
      <x:c r="B2988" s="1" t="str">
        <x:v>Duskull</x:v>
      </x:c>
      <x:c r="C2988" s="1" t="n">
        <x:v>3</x:v>
      </x:c>
      <x:c r="D2988" s="1" t="str">
        <x:v>Shadow Sneak</x:v>
      </x:c>
      <x:c r="E2988" s="1" t="str">
        <x:v>Fantasma</x:v>
      </x:c>
      <x:c r="F2988" s="1" t="str">
        <x:v>Física</x:v>
      </x:c>
      <x:c r="G2988" s="10" t="n">
        <x:v>40</x:v>
      </x:c>
      <x:c r="H2988" s="10" t="n">
        <x:f>IF(F2988="Física",'Pokémon'!G322,IF(F2988="Especial",'Pokémon'!I322,""))</x:f>
        <x:v>40</x:v>
      </x:c>
      <x:c r="I2988" s="10" t="n">
        <x:f>IF(OR(F2988="Status",G2988=0),"",G2988+H2988)</x:f>
        <x:v>80</x:v>
      </x:c>
      <x:c r="J2988" s="10" t="n">
        <x:v>17</x:v>
      </x:c>
      <x:c r="K2988" s="12" t="n">
        <x:v>15</x:v>
      </x:c>
      <x:c r="L2988" s="1" t="str"/>
      <x:c r="M2988" s="9" t="str">
        <x:v>https://poke.idleworld.online/pokepedia/pokemon/duskull</x:v>
      </x:c>
    </x:row>
    <x:row r="2989" ht="22" customHeight="1">
      <x:c r="A2989" s="1" t="n">
        <x:v>355</x:v>
      </x:c>
      <x:c r="B2989" s="1" t="str">
        <x:v>Duskull</x:v>
      </x:c>
      <x:c r="C2989" s="1" t="n">
        <x:v>4</x:v>
      </x:c>
      <x:c r="D2989" s="1" t="str">
        <x:v>Pursuit</x:v>
      </x:c>
      <x:c r="E2989" s="1" t="str">
        <x:v>Sombrio</x:v>
      </x:c>
      <x:c r="F2989" s="1" t="str">
        <x:v>Física</x:v>
      </x:c>
      <x:c r="G2989" s="10" t="n">
        <x:v>40</x:v>
      </x:c>
      <x:c r="H2989" s="10" t="n">
        <x:f>IF(F2989="Física",'Pokémon'!G322,IF(F2989="Especial",'Pokémon'!I322,""))</x:f>
        <x:v>40</x:v>
      </x:c>
      <x:c r="I2989" s="10" t="n">
        <x:f>IF(OR(F2989="Status",G2989=0),"",G2989+H2989)</x:f>
        <x:v>80</x:v>
      </x:c>
      <x:c r="J2989" s="10" t="n">
        <x:v>22</x:v>
      </x:c>
      <x:c r="K2989" s="12" t="n">
        <x:v>15</x:v>
      </x:c>
      <x:c r="L2989" s="1" t="str"/>
      <x:c r="M2989" s="9" t="str">
        <x:v>https://poke.idleworld.online/pokepedia/pokemon/duskull</x:v>
      </x:c>
    </x:row>
    <x:row r="2990" ht="22" customHeight="1">
      <x:c r="A2990" s="1" t="n">
        <x:v>355</x:v>
      </x:c>
      <x:c r="B2990" s="1" t="str">
        <x:v>Duskull</x:v>
      </x:c>
      <x:c r="C2990" s="1" t="n">
        <x:v>2</x:v>
      </x:c>
      <x:c r="D2990" s="1" t="str">
        <x:v>Astonish</x:v>
      </x:c>
      <x:c r="E2990" s="1" t="str">
        <x:v>Fantasma</x:v>
      </x:c>
      <x:c r="F2990" s="1" t="str">
        <x:v>Física</x:v>
      </x:c>
      <x:c r="G2990" s="10" t="n">
        <x:v>30</x:v>
      </x:c>
      <x:c r="H2990" s="10" t="n">
        <x:f>IF(F2990="Física",'Pokémon'!G322,IF(F2990="Especial",'Pokémon'!I322,""))</x:f>
        <x:v>40</x:v>
      </x:c>
      <x:c r="I2990" s="10" t="n">
        <x:f>IF(OR(F2990="Status",G2990=0),"",G2990+H2990)</x:f>
        <x:v>70</x:v>
      </x:c>
      <x:c r="J2990" s="10" t="n">
        <x:v>9</x:v>
      </x:c>
      <x:c r="K2990" s="12" t="n">
        <x:v>40</x:v>
      </x:c>
      <x:c r="L2990" s="1" t="str"/>
      <x:c r="M2990" s="9" t="str">
        <x:v>https://poke.idleworld.online/pokepedia/pokemon/duskull</x:v>
      </x:c>
    </x:row>
    <x:row r="2991" ht="22" customHeight="1">
      <x:c r="A2991" s="1" t="n">
        <x:v>355</x:v>
      </x:c>
      <x:c r="B2991" s="1" t="str">
        <x:v>Duskull</x:v>
      </x:c>
      <x:c r="C2991" s="1" t="n">
        <x:v>5</x:v>
      </x:c>
      <x:c r="D2991" s="1" t="str">
        <x:v>Confuse Ray</x:v>
      </x:c>
      <x:c r="E2991" s="1" t="str">
        <x:v>Fantasma</x:v>
      </x:c>
      <x:c r="F2991" s="1" t="str">
        <x:v>Status</x:v>
      </x:c>
      <x:c r="G2991" s="10" t="n">
        <x:v>0</x:v>
      </x:c>
      <x:c r="H2991" s="10" t="str">
        <x:f>IF(F2991="Física",'Pokémon'!G322,IF(F2991="Especial",'Pokémon'!I322,""))</x:f>
      </x:c>
      <x:c r="I2991" s="10" t="str">
        <x:f>IF(OR(F2991="Status",G2991=0),"",G2991+H2991)</x:f>
      </x:c>
      <x:c r="J2991" s="10" t="n">
        <x:v>30</x:v>
      </x:c>
      <x:c r="K2991" s="12" t="n">
        <x:v>35</x:v>
      </x:c>
      <x:c r="L2991" s="1" t="str"/>
      <x:c r="M2991" s="9" t="str">
        <x:v>https://poke.idleworld.online/pokepedia/pokemon/duskull</x:v>
      </x:c>
    </x:row>
    <x:row r="2992" ht="22" customHeight="1">
      <x:c r="A2992" s="1" t="n">
        <x:v>356</x:v>
      </x:c>
      <x:c r="B2992" s="1" t="str">
        <x:v>Dusclops</x:v>
      </x:c>
      <x:c r="C2992" s="1" t="n">
        <x:v>6</x:v>
      </x:c>
      <x:c r="D2992" s="1" t="str">
        <x:v>Future Sight</x:v>
      </x:c>
      <x:c r="E2992" s="1" t="str">
        <x:v>Psíquico</x:v>
      </x:c>
      <x:c r="F2992" s="1" t="str">
        <x:v>Especial</x:v>
      </x:c>
      <x:c r="G2992" s="10" t="n">
        <x:v>120</x:v>
      </x:c>
      <x:c r="H2992" s="10" t="n">
        <x:f>IF(F2992="Física",'Pokémon'!G323,IF(F2992="Especial",'Pokémon'!I323,""))</x:f>
        <x:v>60</x:v>
      </x:c>
      <x:c r="I2992" s="10" t="n">
        <x:f>IF(OR(F2992="Status",G2992=0),"",G2992+H2992)</x:f>
        <x:v>180</x:v>
      </x:c>
      <x:c r="J2992" s="10" t="n">
        <x:v>1</x:v>
      </x:c>
      <x:c r="K2992" s="12" t="n">
        <x:v>50</x:v>
      </x:c>
      <x:c r="L2992" s="1" t="str"/>
      <x:c r="M2992" s="9" t="str">
        <x:v>https://poke.idleworld.online/pokepedia/pokemon/dusclops</x:v>
      </x:c>
    </x:row>
    <x:row r="2993" ht="22" customHeight="1">
      <x:c r="A2993" s="1" t="n">
        <x:v>356</x:v>
      </x:c>
      <x:c r="B2993" s="1" t="str">
        <x:v>Dusclops</x:v>
      </x:c>
      <x:c r="C2993" s="1" t="n">
        <x:v>3</x:v>
      </x:c>
      <x:c r="D2993" s="1" t="str">
        <x:v>Fire Punch</x:v>
      </x:c>
      <x:c r="E2993" s="1" t="str">
        <x:v>Fogo</x:v>
      </x:c>
      <x:c r="F2993" s="1" t="str">
        <x:v>Física</x:v>
      </x:c>
      <x:c r="G2993" s="10" t="n">
        <x:v>75</x:v>
      </x:c>
      <x:c r="H2993" s="10" t="n">
        <x:f>IF(F2993="Física",'Pokémon'!G323,IF(F2993="Especial",'Pokémon'!I323,""))</x:f>
        <x:v>70</x:v>
      </x:c>
      <x:c r="I2993" s="10" t="n">
        <x:f>IF(OR(F2993="Status",G2993=0),"",G2993+H2993)</x:f>
        <x:v>145</x:v>
      </x:c>
      <x:c r="J2993" s="10" t="n">
        <x:v>1</x:v>
      </x:c>
      <x:c r="K2993" s="12" t="n">
        <x:v>22</x:v>
      </x:c>
      <x:c r="L2993" s="1" t="str"/>
      <x:c r="M2993" s="9" t="str">
        <x:v>https://poke.idleworld.online/pokepedia/pokemon/dusclops</x:v>
      </x:c>
    </x:row>
    <x:row r="2994" ht="22" customHeight="1">
      <x:c r="A2994" s="1" t="n">
        <x:v>356</x:v>
      </x:c>
      <x:c r="B2994" s="1" t="str">
        <x:v>Dusclops</x:v>
      </x:c>
      <x:c r="C2994" s="1" t="n">
        <x:v>4</x:v>
      </x:c>
      <x:c r="D2994" s="1" t="str">
        <x:v>Ice Punch</x:v>
      </x:c>
      <x:c r="E2994" s="1" t="str">
        <x:v>Gelo</x:v>
      </x:c>
      <x:c r="F2994" s="1" t="str">
        <x:v>Física</x:v>
      </x:c>
      <x:c r="G2994" s="10" t="n">
        <x:v>75</x:v>
      </x:c>
      <x:c r="H2994" s="10" t="n">
        <x:f>IF(F2994="Física",'Pokémon'!G323,IF(F2994="Especial",'Pokémon'!I323,""))</x:f>
        <x:v>70</x:v>
      </x:c>
      <x:c r="I2994" s="10" t="n">
        <x:f>IF(OR(F2994="Status",G2994=0),"",G2994+H2994)</x:f>
        <x:v>145</x:v>
      </x:c>
      <x:c r="J2994" s="10" t="n">
        <x:v>1</x:v>
      </x:c>
      <x:c r="K2994" s="12" t="n">
        <x:v>22</x:v>
      </x:c>
      <x:c r="L2994" s="1" t="str"/>
      <x:c r="M2994" s="9" t="str">
        <x:v>https://poke.idleworld.online/pokepedia/pokemon/dusclops</x:v>
      </x:c>
    </x:row>
    <x:row r="2995" ht="22" customHeight="1">
      <x:c r="A2995" s="1" t="n">
        <x:v>356</x:v>
      </x:c>
      <x:c r="B2995" s="1" t="str">
        <x:v>Dusclops</x:v>
      </x:c>
      <x:c r="C2995" s="1" t="n">
        <x:v>5</x:v>
      </x:c>
      <x:c r="D2995" s="1" t="str">
        <x:v>Thunder Punch</x:v>
      </x:c>
      <x:c r="E2995" s="1" t="str">
        <x:v>Elétrico</x:v>
      </x:c>
      <x:c r="F2995" s="1" t="str">
        <x:v>Física</x:v>
      </x:c>
      <x:c r="G2995" s="10" t="n">
        <x:v>75</x:v>
      </x:c>
      <x:c r="H2995" s="10" t="n">
        <x:f>IF(F2995="Física",'Pokémon'!G323,IF(F2995="Especial",'Pokémon'!I323,""))</x:f>
        <x:v>70</x:v>
      </x:c>
      <x:c r="I2995" s="10" t="n">
        <x:f>IF(OR(F2995="Status",G2995=0),"",G2995+H2995)</x:f>
        <x:v>145</x:v>
      </x:c>
      <x:c r="J2995" s="10" t="n">
        <x:v>1</x:v>
      </x:c>
      <x:c r="K2995" s="12" t="n">
        <x:v>22</x:v>
      </x:c>
      <x:c r="L2995" s="1" t="str"/>
      <x:c r="M2995" s="9" t="str">
        <x:v>https://poke.idleworld.online/pokepedia/pokemon/dusclops</x:v>
      </x:c>
    </x:row>
    <x:row r="2996" ht="22" customHeight="1">
      <x:c r="A2996" s="1" t="n">
        <x:v>356</x:v>
      </x:c>
      <x:c r="B2996" s="1" t="str">
        <x:v>Dusclops</x:v>
      </x:c>
      <x:c r="C2996" s="1" t="n">
        <x:v>12</x:v>
      </x:c>
      <x:c r="D2996" s="1" t="str">
        <x:v>Shadow Ball</x:v>
      </x:c>
      <x:c r="E2996" s="1" t="str">
        <x:v>Fantasma</x:v>
      </x:c>
      <x:c r="F2996" s="1" t="str">
        <x:v>Especial</x:v>
      </x:c>
      <x:c r="G2996" s="10" t="n">
        <x:v>80</x:v>
      </x:c>
      <x:c r="H2996" s="10" t="n">
        <x:f>IF(F2996="Física",'Pokémon'!G323,IF(F2996="Especial",'Pokémon'!I323,""))</x:f>
        <x:v>60</x:v>
      </x:c>
      <x:c r="I2996" s="10" t="n">
        <x:f>IF(OR(F2996="Status",G2996=0),"",G2996+H2996)</x:f>
        <x:v>140</x:v>
      </x:c>
      <x:c r="J2996" s="10" t="n">
        <x:v>45</x:v>
      </x:c>
      <x:c r="K2996" s="12" t="n">
        <x:v>8</x:v>
      </x:c>
      <x:c r="L2996" s="1" t="str"/>
      <x:c r="M2996" s="9" t="str">
        <x:v>https://poke.idleworld.online/pokepedia/pokemon/dusclops</x:v>
      </x:c>
    </x:row>
    <x:row r="2997" ht="22" customHeight="1">
      <x:c r="A2997" s="1" t="n">
        <x:v>356</x:v>
      </x:c>
      <x:c r="B2997" s="1" t="str">
        <x:v>Dusclops</x:v>
      </x:c>
      <x:c r="C2997" s="1" t="n">
        <x:v>10</x:v>
      </x:c>
      <x:c r="D2997" s="1" t="str">
        <x:v>Shadow Punch</x:v>
      </x:c>
      <x:c r="E2997" s="1" t="str">
        <x:v>Fantasma</x:v>
      </x:c>
      <x:c r="F2997" s="1" t="str">
        <x:v>Física</x:v>
      </x:c>
      <x:c r="G2997" s="10" t="n">
        <x:v>60</x:v>
      </x:c>
      <x:c r="H2997" s="10" t="n">
        <x:f>IF(F2997="Física",'Pokémon'!G323,IF(F2997="Especial",'Pokémon'!I323,""))</x:f>
        <x:v>70</x:v>
      </x:c>
      <x:c r="I2997" s="10" t="n">
        <x:f>IF(OR(F2997="Status",G2997=0),"",G2997+H2997)</x:f>
        <x:v>130</x:v>
      </x:c>
      <x:c r="J2997" s="10" t="n">
        <x:v>37</x:v>
      </x:c>
      <x:c r="K2997" s="12" t="n">
        <x:v>25</x:v>
      </x:c>
      <x:c r="L2997" s="1" t="str"/>
      <x:c r="M2997" s="9" t="str">
        <x:v>https://poke.idleworld.online/pokepedia/pokemon/dusclops</x:v>
      </x:c>
    </x:row>
    <x:row r="2998" ht="22" customHeight="1">
      <x:c r="A2998" s="1" t="n">
        <x:v>356</x:v>
      </x:c>
      <x:c r="B2998" s="1" t="str">
        <x:v>Dusclops</x:v>
      </x:c>
      <x:c r="C2998" s="1" t="n">
        <x:v>11</x:v>
      </x:c>
      <x:c r="D2998" s="1" t="str">
        <x:v>Hex</x:v>
      </x:c>
      <x:c r="E2998" s="1" t="str">
        <x:v>Fantasma</x:v>
      </x:c>
      <x:c r="F2998" s="1" t="str">
        <x:v>Especial</x:v>
      </x:c>
      <x:c r="G2998" s="10" t="n">
        <x:v>65</x:v>
      </x:c>
      <x:c r="H2998" s="10" t="n">
        <x:f>IF(F2998="Física",'Pokémon'!G323,IF(F2998="Especial",'Pokémon'!I323,""))</x:f>
        <x:v>60</x:v>
      </x:c>
      <x:c r="I2998" s="10" t="n">
        <x:f>IF(OR(F2998="Status",G2998=0),"",G2998+H2998)</x:f>
        <x:v>125</x:v>
      </x:c>
      <x:c r="J2998" s="10" t="n">
        <x:v>40</x:v>
      </x:c>
      <x:c r="K2998" s="12" t="n">
        <x:v>40</x:v>
      </x:c>
      <x:c r="L2998" s="1" t="str"/>
      <x:c r="M2998" s="9" t="str">
        <x:v>https://poke.idleworld.online/pokepedia/pokemon/dusclops</x:v>
      </x:c>
    </x:row>
    <x:row r="2999" ht="22" customHeight="1">
      <x:c r="A2999" s="1" t="n">
        <x:v>356</x:v>
      </x:c>
      <x:c r="B2999" s="1" t="str">
        <x:v>Dusclops</x:v>
      </x:c>
      <x:c r="C2999" s="1" t="n">
        <x:v>13</x:v>
      </x:c>
      <x:c r="D2999" s="1" t="str">
        <x:v>Payback</x:v>
      </x:c>
      <x:c r="E2999" s="1" t="str">
        <x:v>Sombrio</x:v>
      </x:c>
      <x:c r="F2999" s="1" t="str">
        <x:v>Física</x:v>
      </x:c>
      <x:c r="G2999" s="10" t="n">
        <x:v>50</x:v>
      </x:c>
      <x:c r="H2999" s="10" t="n">
        <x:f>IF(F2999="Física",'Pokémon'!G323,IF(F2999="Especial",'Pokémon'!I323,""))</x:f>
        <x:v>70</x:v>
      </x:c>
      <x:c r="I2999" s="10" t="n">
        <x:f>IF(OR(F2999="Status",G2999=0),"",G2999+H2999)</x:f>
        <x:v>120</x:v>
      </x:c>
      <x:c r="J2999" s="10" t="n">
        <x:v>57</x:v>
      </x:c>
      <x:c r="K2999" s="12" t="n">
        <x:v>15</x:v>
      </x:c>
      <x:c r="L2999" s="1" t="str"/>
      <x:c r="M2999" s="9" t="str">
        <x:v>https://poke.idleworld.online/pokepedia/pokemon/dusclops</x:v>
      </x:c>
    </x:row>
    <x:row r="3000" ht="22" customHeight="1">
      <x:c r="A3000" s="1" t="n">
        <x:v>356</x:v>
      </x:c>
      <x:c r="B3000" s="1" t="str">
        <x:v>Dusclops</x:v>
      </x:c>
      <x:c r="C3000" s="1" t="n">
        <x:v>7</x:v>
      </x:c>
      <x:c r="D3000" s="1" t="str">
        <x:v>Shadow Sneak</x:v>
      </x:c>
      <x:c r="E3000" s="1" t="str">
        <x:v>Fantasma</x:v>
      </x:c>
      <x:c r="F3000" s="1" t="str">
        <x:v>Física</x:v>
      </x:c>
      <x:c r="G3000" s="10" t="n">
        <x:v>40</x:v>
      </x:c>
      <x:c r="H3000" s="10" t="n">
        <x:f>IF(F3000="Física",'Pokémon'!G323,IF(F3000="Especial",'Pokémon'!I323,""))</x:f>
        <x:v>70</x:v>
      </x:c>
      <x:c r="I3000" s="10" t="n">
        <x:f>IF(OR(F3000="Status",G3000=0),"",G3000+H3000)</x:f>
        <x:v>110</x:v>
      </x:c>
      <x:c r="J3000" s="10" t="n">
        <x:v>17</x:v>
      </x:c>
      <x:c r="K3000" s="12" t="n">
        <x:v>15</x:v>
      </x:c>
      <x:c r="L3000" s="1" t="str"/>
      <x:c r="M3000" s="9" t="str">
        <x:v>https://poke.idleworld.online/pokepedia/pokemon/dusclops</x:v>
      </x:c>
    </x:row>
    <x:row r="3001" ht="22" customHeight="1">
      <x:c r="A3001" s="1" t="n">
        <x:v>356</x:v>
      </x:c>
      <x:c r="B3001" s="1" t="str">
        <x:v>Dusclops</x:v>
      </x:c>
      <x:c r="C3001" s="1" t="n">
        <x:v>8</x:v>
      </x:c>
      <x:c r="D3001" s="1" t="str">
        <x:v>Pursuit</x:v>
      </x:c>
      <x:c r="E3001" s="1" t="str">
        <x:v>Sombrio</x:v>
      </x:c>
      <x:c r="F3001" s="1" t="str">
        <x:v>Física</x:v>
      </x:c>
      <x:c r="G3001" s="10" t="n">
        <x:v>40</x:v>
      </x:c>
      <x:c r="H3001" s="10" t="n">
        <x:f>IF(F3001="Física",'Pokémon'!G323,IF(F3001="Especial",'Pokémon'!I323,""))</x:f>
        <x:v>70</x:v>
      </x:c>
      <x:c r="I3001" s="10" t="n">
        <x:f>IF(OR(F3001="Status",G3001=0),"",G3001+H3001)</x:f>
        <x:v>110</x:v>
      </x:c>
      <x:c r="J3001" s="10" t="n">
        <x:v>22</x:v>
      </x:c>
      <x:c r="K3001" s="12" t="n">
        <x:v>15</x:v>
      </x:c>
      <x:c r="L3001" s="1" t="str"/>
      <x:c r="M3001" s="9" t="str">
        <x:v>https://poke.idleworld.online/pokepedia/pokemon/dusclops</x:v>
      </x:c>
    </x:row>
    <x:row r="3002" ht="22" customHeight="1">
      <x:c r="A3002" s="1" t="n">
        <x:v>356</x:v>
      </x:c>
      <x:c r="B3002" s="1" t="str">
        <x:v>Dusclops</x:v>
      </x:c>
      <x:c r="C3002" s="1" t="n">
        <x:v>2</x:v>
      </x:c>
      <x:c r="D3002" s="1" t="str">
        <x:v>Astonish</x:v>
      </x:c>
      <x:c r="E3002" s="1" t="str">
        <x:v>Fantasma</x:v>
      </x:c>
      <x:c r="F3002" s="1" t="str">
        <x:v>Física</x:v>
      </x:c>
      <x:c r="G3002" s="10" t="n">
        <x:v>30</x:v>
      </x:c>
      <x:c r="H3002" s="10" t="n">
        <x:f>IF(F3002="Física",'Pokémon'!G323,IF(F3002="Especial",'Pokémon'!I323,""))</x:f>
        <x:v>70</x:v>
      </x:c>
      <x:c r="I3002" s="10" t="n">
        <x:f>IF(OR(F3002="Status",G3002=0),"",G3002+H3002)</x:f>
        <x:v>100</x:v>
      </x:c>
      <x:c r="J3002" s="10" t="n">
        <x:v>1</x:v>
      </x:c>
      <x:c r="K3002" s="12" t="n">
        <x:v>15</x:v>
      </x:c>
      <x:c r="L3002" s="1" t="str"/>
      <x:c r="M3002" s="9" t="str">
        <x:v>https://poke.idleworld.online/pokepedia/pokemon/dusclops</x:v>
      </x:c>
    </x:row>
    <x:row r="3003" ht="22" customHeight="1">
      <x:c r="A3003" s="1" t="n">
        <x:v>356</x:v>
      </x:c>
      <x:c r="B3003" s="1" t="str">
        <x:v>Dusclops</x:v>
      </x:c>
      <x:c r="C3003" s="1" t="n">
        <x:v>1</x:v>
      </x:c>
      <x:c r="D3003" s="1" t="str">
        <x:v>Bind</x:v>
      </x:c>
      <x:c r="E3003" s="1" t="str">
        <x:v>Normal</x:v>
      </x:c>
      <x:c r="F3003" s="1" t="str">
        <x:v>Física</x:v>
      </x:c>
      <x:c r="G3003" s="10" t="n">
        <x:v>15</x:v>
      </x:c>
      <x:c r="H3003" s="10" t="n">
        <x:f>IF(F3003="Física",'Pokémon'!G323,IF(F3003="Especial",'Pokémon'!I323,""))</x:f>
        <x:v>70</x:v>
      </x:c>
      <x:c r="I3003" s="10" t="n">
        <x:f>IF(OR(F3003="Status",G3003=0),"",G3003+H3003)</x:f>
        <x:v>85</x:v>
      </x:c>
      <x:c r="J3003" s="10" t="n">
        <x:v>1</x:v>
      </x:c>
      <x:c r="K3003" s="12" t="n">
        <x:v>15</x:v>
      </x:c>
      <x:c r="L3003" s="1" t="str"/>
      <x:c r="M3003" s="9" t="str">
        <x:v>https://poke.idleworld.online/pokepedia/pokemon/dusclops</x:v>
      </x:c>
    </x:row>
    <x:row r="3004" ht="22" customHeight="1">
      <x:c r="A3004" s="1" t="n">
        <x:v>356</x:v>
      </x:c>
      <x:c r="B3004" s="1" t="str">
        <x:v>Dusclops</x:v>
      </x:c>
      <x:c r="C3004" s="1" t="n">
        <x:v>9</x:v>
      </x:c>
      <x:c r="D3004" s="1" t="str">
        <x:v>Curse</x:v>
      </x:c>
      <x:c r="E3004" s="1" t="str">
        <x:v>Fantasma</x:v>
      </x:c>
      <x:c r="F3004" s="1" t="str">
        <x:v>Status</x:v>
      </x:c>
      <x:c r="G3004" s="10" t="n">
        <x:v>0</x:v>
      </x:c>
      <x:c r="H3004" s="10" t="str">
        <x:f>IF(F3004="Física",'Pokémon'!G323,IF(F3004="Especial",'Pokémon'!I323,""))</x:f>
      </x:c>
      <x:c r="I3004" s="10" t="str">
        <x:f>IF(OR(F3004="Status",G3004=0),"",G3004+H3004)</x:f>
      </x:c>
      <x:c r="J3004" s="10" t="n">
        <x:v>33</x:v>
      </x:c>
      <x:c r="K3004" s="12" t="n">
        <x:v>40</x:v>
      </x:c>
      <x:c r="L3004" s="1" t="str"/>
      <x:c r="M3004" s="9" t="str">
        <x:v>https://poke.idleworld.online/pokepedia/pokemon/dusclops</x:v>
      </x:c>
    </x:row>
    <x:row r="3005" ht="22" customHeight="1">
      <x:c r="A3005" s="1" t="n">
        <x:v>357</x:v>
      </x:c>
      <x:c r="B3005" s="1" t="str">
        <x:v>Tropius</x:v>
      </x:c>
      <x:c r="C3005" s="1" t="n">
        <x:v>2</x:v>
      </x:c>
      <x:c r="D3005" s="1" t="str">
        <x:v>Leaf Storm</x:v>
      </x:c>
      <x:c r="E3005" s="1" t="str">
        <x:v>Planta</x:v>
      </x:c>
      <x:c r="F3005" s="1" t="str">
        <x:v>Especial</x:v>
      </x:c>
      <x:c r="G3005" s="10" t="n">
        <x:v>130</x:v>
      </x:c>
      <x:c r="H3005" s="10" t="n">
        <x:f>IF(F3005="Física",'Pokémon'!G324,IF(F3005="Especial",'Pokémon'!I324,""))</x:f>
        <x:v>72</x:v>
      </x:c>
      <x:c r="I3005" s="10" t="n">
        <x:f>IF(OR(F3005="Status",G3005=0),"",G3005+H3005)</x:f>
        <x:v>202</x:v>
      </x:c>
      <x:c r="J3005" s="10" t="n">
        <x:v>1</x:v>
      </x:c>
      <x:c r="K3005" s="12" t="n">
        <x:v>50</x:v>
      </x:c>
      <x:c r="L3005" s="1" t="str"/>
      <x:c r="M3005" s="9" t="str">
        <x:v>https://poke.idleworld.online/pokepedia/pokemon/tropius</x:v>
      </x:c>
    </x:row>
    <x:row r="3006" ht="22" customHeight="1">
      <x:c r="A3006" s="1" t="n">
        <x:v>357</x:v>
      </x:c>
      <x:c r="B3006" s="1" t="str">
        <x:v>Tropius</x:v>
      </x:c>
      <x:c r="C3006" s="1" t="n">
        <x:v>10</x:v>
      </x:c>
      <x:c r="D3006" s="1" t="str">
        <x:v>Solar Beam</x:v>
      </x:c>
      <x:c r="E3006" s="1" t="str">
        <x:v>Planta</x:v>
      </x:c>
      <x:c r="F3006" s="1" t="str">
        <x:v>Especial</x:v>
      </x:c>
      <x:c r="G3006" s="10" t="n">
        <x:v>120</x:v>
      </x:c>
      <x:c r="H3006" s="10" t="n">
        <x:f>IF(F3006="Física",'Pokémon'!G324,IF(F3006="Especial",'Pokémon'!I324,""))</x:f>
        <x:v>72</x:v>
      </x:c>
      <x:c r="I3006" s="10" t="n">
        <x:f>IF(OR(F3006="Status",G3006=0),"",G3006+H3006)</x:f>
        <x:v>192</x:v>
      </x:c>
      <x:c r="J3006" s="10" t="n">
        <x:v>56</x:v>
      </x:c>
      <x:c r="K3006" s="12" t="n">
        <x:v>50</x:v>
      </x:c>
      <x:c r="L3006" s="1" t="str"/>
      <x:c r="M3006" s="9" t="str">
        <x:v>https://poke.idleworld.online/pokepedia/pokemon/tropius</x:v>
      </x:c>
    </x:row>
    <x:row r="3007" ht="22" customHeight="1">
      <x:c r="A3007" s="1" t="n">
        <x:v>357</x:v>
      </x:c>
      <x:c r="B3007" s="1" t="str">
        <x:v>Tropius</x:v>
      </x:c>
      <x:c r="C3007" s="1" t="n">
        <x:v>9</x:v>
      </x:c>
      <x:c r="D3007" s="1" t="str">
        <x:v>Body Slam</x:v>
      </x:c>
      <x:c r="E3007" s="1" t="str">
        <x:v>Normal</x:v>
      </x:c>
      <x:c r="F3007" s="1" t="str">
        <x:v>Física</x:v>
      </x:c>
      <x:c r="G3007" s="10" t="n">
        <x:v>85</x:v>
      </x:c>
      <x:c r="H3007" s="10" t="n">
        <x:f>IF(F3007="Física",'Pokémon'!G324,IF(F3007="Especial",'Pokémon'!I324,""))</x:f>
        <x:v>68</x:v>
      </x:c>
      <x:c r="I3007" s="10" t="n">
        <x:f>IF(OR(F3007="Status",G3007=0),"",G3007+H3007)</x:f>
        <x:v>153</x:v>
      </x:c>
      <x:c r="J3007" s="10" t="n">
        <x:v>41</x:v>
      </x:c>
      <x:c r="K3007" s="12" t="n">
        <x:v>40</x:v>
      </x:c>
      <x:c r="L3007" s="1" t="str"/>
      <x:c r="M3007" s="9" t="str">
        <x:v>https://poke.idleworld.online/pokepedia/pokemon/tropius</x:v>
      </x:c>
    </x:row>
    <x:row r="3008" ht="22" customHeight="1">
      <x:c r="A3008" s="1" t="n">
        <x:v>357</x:v>
      </x:c>
      <x:c r="B3008" s="1" t="str">
        <x:v>Tropius</x:v>
      </x:c>
      <x:c r="C3008" s="1" t="n">
        <x:v>8</x:v>
      </x:c>
      <x:c r="D3008" s="1" t="str">
        <x:v>Air Slash</x:v>
      </x:c>
      <x:c r="E3008" s="1" t="str">
        <x:v>Voador</x:v>
      </x:c>
      <x:c r="F3008" s="1" t="str">
        <x:v>Especial</x:v>
      </x:c>
      <x:c r="G3008" s="10" t="n">
        <x:v>75</x:v>
      </x:c>
      <x:c r="H3008" s="10" t="n">
        <x:f>IF(F3008="Física",'Pokémon'!G324,IF(F3008="Especial",'Pokémon'!I324,""))</x:f>
        <x:v>72</x:v>
      </x:c>
      <x:c r="I3008" s="10" t="n">
        <x:f>IF(OR(F3008="Status",G3008=0),"",G3008+H3008)</x:f>
        <x:v>147</x:v>
      </x:c>
      <x:c r="J3008" s="10" t="n">
        <x:v>36</x:v>
      </x:c>
      <x:c r="K3008" s="12" t="n">
        <x:v>22</x:v>
      </x:c>
      <x:c r="L3008" s="1" t="str"/>
      <x:c r="M3008" s="9" t="str">
        <x:v>https://poke.idleworld.online/pokepedia/pokemon/tropius</x:v>
      </x:c>
    </x:row>
    <x:row r="3009" ht="22" customHeight="1">
      <x:c r="A3009" s="1" t="n">
        <x:v>357</x:v>
      </x:c>
      <x:c r="B3009" s="1" t="str">
        <x:v>Tropius</x:v>
      </x:c>
      <x:c r="C3009" s="1" t="n">
        <x:v>7</x:v>
      </x:c>
      <x:c r="D3009" s="1" t="str">
        <x:v>Leaf Tornado</x:v>
      </x:c>
      <x:c r="E3009" s="1" t="str">
        <x:v>Planta</x:v>
      </x:c>
      <x:c r="F3009" s="1" t="str">
        <x:v>Especial</x:v>
      </x:c>
      <x:c r="G3009" s="10" t="n">
        <x:v>65</x:v>
      </x:c>
      <x:c r="H3009" s="10" t="n">
        <x:f>IF(F3009="Física",'Pokémon'!G324,IF(F3009="Especial",'Pokémon'!I324,""))</x:f>
        <x:v>72</x:v>
      </x:c>
      <x:c r="I3009" s="10" t="n">
        <x:f>IF(OR(F3009="Status",G3009=0),"",G3009+H3009)</x:f>
        <x:v>137</x:v>
      </x:c>
      <x:c r="J3009" s="10" t="n">
        <x:v>26</x:v>
      </x:c>
      <x:c r="K3009" s="12" t="n">
        <x:v>50</x:v>
      </x:c>
      <x:c r="L3009" s="1" t="str"/>
      <x:c r="M3009" s="9" t="str">
        <x:v>https://poke.idleworld.online/pokepedia/pokemon/tropius</x:v>
      </x:c>
    </x:row>
    <x:row r="3010" ht="22" customHeight="1">
      <x:c r="A3010" s="1" t="n">
        <x:v>357</x:v>
      </x:c>
      <x:c r="B3010" s="1" t="str">
        <x:v>Tropius</x:v>
      </x:c>
      <x:c r="C3010" s="1" t="n">
        <x:v>5</x:v>
      </x:c>
      <x:c r="D3010" s="1" t="str">
        <x:v>Stomp</x:v>
      </x:c>
      <x:c r="E3010" s="1" t="str">
        <x:v>Normal</x:v>
      </x:c>
      <x:c r="F3010" s="1" t="str">
        <x:v>Física</x:v>
      </x:c>
      <x:c r="G3010" s="10" t="n">
        <x:v>65</x:v>
      </x:c>
      <x:c r="H3010" s="10" t="n">
        <x:f>IF(F3010="Física",'Pokémon'!G324,IF(F3010="Especial",'Pokémon'!I324,""))</x:f>
        <x:v>68</x:v>
      </x:c>
      <x:c r="I3010" s="10" t="n">
        <x:f>IF(OR(F3010="Status",G3010=0),"",G3010+H3010)</x:f>
        <x:v>133</x:v>
      </x:c>
      <x:c r="J3010" s="10" t="n">
        <x:v>10</x:v>
      </x:c>
      <x:c r="K3010" s="12" t="n">
        <x:v>25</x:v>
      </x:c>
      <x:c r="L3010" s="1" t="str"/>
      <x:c r="M3010" s="9" t="str">
        <x:v>https://poke.idleworld.online/pokepedia/pokemon/tropius</x:v>
      </x:c>
    </x:row>
    <x:row r="3011" ht="22" customHeight="1">
      <x:c r="A3011" s="1" t="n">
        <x:v>357</x:v>
      </x:c>
      <x:c r="B3011" s="1" t="str">
        <x:v>Tropius</x:v>
      </x:c>
      <x:c r="C3011" s="1" t="n">
        <x:v>6</x:v>
      </x:c>
      <x:c r="D3011" s="1" t="str">
        <x:v>Magical Leaf</x:v>
      </x:c>
      <x:c r="E3011" s="1" t="str">
        <x:v>Planta</x:v>
      </x:c>
      <x:c r="F3011" s="1" t="str">
        <x:v>Especial</x:v>
      </x:c>
      <x:c r="G3011" s="10" t="n">
        <x:v>60</x:v>
      </x:c>
      <x:c r="H3011" s="10" t="n">
        <x:f>IF(F3011="Física",'Pokémon'!G324,IF(F3011="Especial",'Pokémon'!I324,""))</x:f>
        <x:v>72</x:v>
      </x:c>
      <x:c r="I3011" s="10" t="n">
        <x:f>IF(OR(F3011="Status",G3011=0),"",G3011+H3011)</x:f>
        <x:v>132</x:v>
      </x:c>
      <x:c r="J3011" s="10" t="n">
        <x:v>16</x:v>
      </x:c>
      <x:c r="K3011" s="12" t="n">
        <x:v>25</x:v>
      </x:c>
      <x:c r="L3011" s="1" t="str"/>
      <x:c r="M3011" s="9" t="str">
        <x:v>https://poke.idleworld.online/pokepedia/pokemon/tropius</x:v>
      </x:c>
    </x:row>
    <x:row r="3012" ht="22" customHeight="1">
      <x:c r="A3012" s="1" t="n">
        <x:v>357</x:v>
      </x:c>
      <x:c r="B3012" s="1" t="str">
        <x:v>Tropius</x:v>
      </x:c>
      <x:c r="C3012" s="1" t="n">
        <x:v>1</x:v>
      </x:c>
      <x:c r="D3012" s="1" t="str">
        <x:v>Razor Leaf</x:v>
      </x:c>
      <x:c r="E3012" s="1" t="str">
        <x:v>Planta</x:v>
      </x:c>
      <x:c r="F3012" s="1" t="str">
        <x:v>Física</x:v>
      </x:c>
      <x:c r="G3012" s="10" t="n">
        <x:v>55</x:v>
      </x:c>
      <x:c r="H3012" s="10" t="n">
        <x:f>IF(F3012="Física",'Pokémon'!G324,IF(F3012="Especial",'Pokémon'!I324,""))</x:f>
        <x:v>68</x:v>
      </x:c>
      <x:c r="I3012" s="10" t="n">
        <x:f>IF(OR(F3012="Status",G3012=0),"",G3012+H3012)</x:f>
        <x:v>123</x:v>
      </x:c>
      <x:c r="J3012" s="10" t="n">
        <x:v>1</x:v>
      </x:c>
      <x:c r="K3012" s="12" t="n">
        <x:v>10</x:v>
      </x:c>
      <x:c r="L3012" s="1" t="str"/>
      <x:c r="M3012" s="9" t="str">
        <x:v>https://poke.idleworld.online/pokepedia/pokemon/tropius</x:v>
      </x:c>
    </x:row>
    <x:row r="3013" ht="22" customHeight="1">
      <x:c r="A3013" s="1" t="n">
        <x:v>357</x:v>
      </x:c>
      <x:c r="B3013" s="1" t="str">
        <x:v>Tropius</x:v>
      </x:c>
      <x:c r="C3013" s="1" t="n">
        <x:v>4</x:v>
      </x:c>
      <x:c r="D3013" s="1" t="str">
        <x:v>Gust</x:v>
      </x:c>
      <x:c r="E3013" s="1" t="str">
        <x:v>Voador</x:v>
      </x:c>
      <x:c r="F3013" s="1" t="str">
        <x:v>Especial</x:v>
      </x:c>
      <x:c r="G3013" s="10" t="n">
        <x:v>40</x:v>
      </x:c>
      <x:c r="H3013" s="10" t="n">
        <x:f>IF(F3013="Física",'Pokémon'!G324,IF(F3013="Especial",'Pokémon'!I324,""))</x:f>
        <x:v>72</x:v>
      </x:c>
      <x:c r="I3013" s="10" t="n">
        <x:f>IF(OR(F3013="Status",G3013=0),"",G3013+H3013)</x:f>
        <x:v>112</x:v>
      </x:c>
      <x:c r="J3013" s="10" t="n">
        <x:v>1</x:v>
      </x:c>
      <x:c r="K3013" s="12" t="n">
        <x:v>15</x:v>
      </x:c>
      <x:c r="L3013" s="1" t="str"/>
      <x:c r="M3013" s="9" t="str">
        <x:v>https://poke.idleworld.online/pokepedia/pokemon/tropius</x:v>
      </x:c>
    </x:row>
    <x:row r="3014" ht="22" customHeight="1">
      <x:c r="A3014" s="1" t="n">
        <x:v>357</x:v>
      </x:c>
      <x:c r="B3014" s="1" t="str">
        <x:v>Tropius</x:v>
      </x:c>
      <x:c r="C3014" s="1" t="n">
        <x:v>3</x:v>
      </x:c>
      <x:c r="D3014" s="1" t="str">
        <x:v>Growth</x:v>
      </x:c>
      <x:c r="E3014" s="1" t="str">
        <x:v>Normal</x:v>
      </x:c>
      <x:c r="F3014" s="1" t="str">
        <x:v>Status</x:v>
      </x:c>
      <x:c r="G3014" s="10" t="n">
        <x:v>0</x:v>
      </x:c>
      <x:c r="H3014" s="10" t="str">
        <x:f>IF(F3014="Física",'Pokémon'!G324,IF(F3014="Especial",'Pokémon'!I324,""))</x:f>
      </x:c>
      <x:c r="I3014" s="10" t="str">
        <x:f>IF(OR(F3014="Status",G3014=0),"",G3014+H3014)</x:f>
      </x:c>
      <x:c r="J3014" s="10" t="n">
        <x:v>1</x:v>
      </x:c>
      <x:c r="K3014" s="12" t="n">
        <x:v>40</x:v>
      </x:c>
      <x:c r="L3014" s="1" t="str"/>
      <x:c r="M3014" s="9" t="str">
        <x:v>https://poke.idleworld.online/pokepedia/pokemon/tropius</x:v>
      </x:c>
    </x:row>
    <x:row r="3015" ht="22" customHeight="1">
      <x:c r="A3015" s="1" t="n">
        <x:v>359</x:v>
      </x:c>
      <x:c r="B3015" s="1" t="str">
        <x:v>Absol</x:v>
      </x:c>
      <x:c r="C3015" s="1" t="n">
        <x:v>12</x:v>
      </x:c>
      <x:c r="D3015" s="1" t="str">
        <x:v>Sucker Punch</x:v>
      </x:c>
      <x:c r="E3015" s="1" t="str">
        <x:v>Sombrio</x:v>
      </x:c>
      <x:c r="F3015" s="1" t="str">
        <x:v>Física</x:v>
      </x:c>
      <x:c r="G3015" s="10" t="n">
        <x:v>80</x:v>
      </x:c>
      <x:c r="H3015" s="10" t="n">
        <x:f>IF(F3015="Física",'Pokémon'!G325,IF(F3015="Especial",'Pokémon'!I325,""))</x:f>
        <x:v>130</x:v>
      </x:c>
      <x:c r="I3015" s="10" t="n">
        <x:f>IF(OR(F3015="Status",G3015=0),"",G3015+H3015)</x:f>
        <x:v>210</x:v>
      </x:c>
      <x:c r="J3015" s="10" t="n">
        <x:v>45</x:v>
      </x:c>
      <x:c r="K3015" s="12" t="n">
        <x:v>20</x:v>
      </x:c>
      <x:c r="L3015" s="1" t="str"/>
      <x:c r="M3015" s="9" t="str">
        <x:v>https://poke.idleworld.online/pokepedia/pokemon/absol</x:v>
      </x:c>
    </x:row>
    <x:row r="3016" ht="22" customHeight="1">
      <x:c r="A3016" s="1" t="n">
        <x:v>359</x:v>
      </x:c>
      <x:c r="B3016" s="1" t="str">
        <x:v>Absol</x:v>
      </x:c>
      <x:c r="C3016" s="1" t="n">
        <x:v>8</x:v>
      </x:c>
      <x:c r="D3016" s="1" t="str">
        <x:v>Slash</x:v>
      </x:c>
      <x:c r="E3016" s="1" t="str">
        <x:v>Normal</x:v>
      </x:c>
      <x:c r="F3016" s="1" t="str">
        <x:v>Física</x:v>
      </x:c>
      <x:c r="G3016" s="10" t="n">
        <x:v>70</x:v>
      </x:c>
      <x:c r="H3016" s="10" t="n">
        <x:f>IF(F3016="Física",'Pokémon'!G325,IF(F3016="Especial",'Pokémon'!I325,""))</x:f>
        <x:v>130</x:v>
      </x:c>
      <x:c r="I3016" s="10" t="n">
        <x:f>IF(OR(F3016="Status",G3016=0),"",G3016+H3016)</x:f>
        <x:v>200</x:v>
      </x:c>
      <x:c r="J3016" s="10" t="n">
        <x:v>22</x:v>
      </x:c>
      <x:c r="K3016" s="12" t="n">
        <x:v>20</x:v>
      </x:c>
      <x:c r="L3016" s="1" t="str"/>
      <x:c r="M3016" s="9" t="str">
        <x:v>https://poke.idleworld.online/pokepedia/pokemon/absol</x:v>
      </x:c>
    </x:row>
    <x:row r="3017" ht="22" customHeight="1">
      <x:c r="A3017" s="1" t="n">
        <x:v>359</x:v>
      </x:c>
      <x:c r="B3017" s="1" t="str">
        <x:v>Absol</x:v>
      </x:c>
      <x:c r="C3017" s="1" t="n">
        <x:v>10</x:v>
      </x:c>
      <x:c r="D3017" s="1" t="str">
        <x:v>Night Slash</x:v>
      </x:c>
      <x:c r="E3017" s="1" t="str">
        <x:v>Sombrio</x:v>
      </x:c>
      <x:c r="F3017" s="1" t="str">
        <x:v>Física</x:v>
      </x:c>
      <x:c r="G3017" s="10" t="n">
        <x:v>70</x:v>
      </x:c>
      <x:c r="H3017" s="10" t="n">
        <x:f>IF(F3017="Física",'Pokémon'!G325,IF(F3017="Especial",'Pokémon'!I325,""))</x:f>
        <x:v>130</x:v>
      </x:c>
      <x:c r="I3017" s="10" t="n">
        <x:f>IF(OR(F3017="Status",G3017=0),"",G3017+H3017)</x:f>
        <x:v>200</x:v>
      </x:c>
      <x:c r="J3017" s="10" t="n">
        <x:v>29</x:v>
      </x:c>
      <x:c r="K3017" s="12" t="n">
        <x:v>20</x:v>
      </x:c>
      <x:c r="L3017" s="1" t="str"/>
      <x:c r="M3017" s="9" t="str">
        <x:v>https://poke.idleworld.online/pokepedia/pokemon/absol</x:v>
      </x:c>
    </x:row>
    <x:row r="3018" ht="22" customHeight="1">
      <x:c r="A3018" s="1" t="n">
        <x:v>359</x:v>
      </x:c>
      <x:c r="B3018" s="1" t="str">
        <x:v>Absol</x:v>
      </x:c>
      <x:c r="C3018" s="1" t="n">
        <x:v>11</x:v>
      </x:c>
      <x:c r="D3018" s="1" t="str">
        <x:v>Psycho Cut</x:v>
      </x:c>
      <x:c r="E3018" s="1" t="str">
        <x:v>Psíquico</x:v>
      </x:c>
      <x:c r="F3018" s="1" t="str">
        <x:v>Física</x:v>
      </x:c>
      <x:c r="G3018" s="10" t="n">
        <x:v>70</x:v>
      </x:c>
      <x:c r="H3018" s="10" t="n">
        <x:f>IF(F3018="Física",'Pokémon'!G325,IF(F3018="Especial",'Pokémon'!I325,""))</x:f>
        <x:v>130</x:v>
      </x:c>
      <x:c r="I3018" s="10" t="n">
        <x:f>IF(OR(F3018="Status",G3018=0),"",G3018+H3018)</x:f>
        <x:v>200</x:v>
      </x:c>
      <x:c r="J3018" s="10" t="n">
        <x:v>37</x:v>
      </x:c>
      <x:c r="K3018" s="12" t="n">
        <x:v>20</x:v>
      </x:c>
      <x:c r="L3018" s="1" t="str"/>
      <x:c r="M3018" s="9" t="str">
        <x:v>https://poke.idleworld.online/pokepedia/pokemon/absol</x:v>
      </x:c>
    </x:row>
    <x:row r="3019" ht="22" customHeight="1">
      <x:c r="A3019" s="1" t="n">
        <x:v>359</x:v>
      </x:c>
      <x:c r="B3019" s="1" t="str">
        <x:v>Absol</x:v>
      </x:c>
      <x:c r="C3019" s="1" t="n">
        <x:v>4</x:v>
      </x:c>
      <x:c r="D3019" s="1" t="str">
        <x:v>Future Sight</x:v>
      </x:c>
      <x:c r="E3019" s="1" t="str">
        <x:v>Psíquico</x:v>
      </x:c>
      <x:c r="F3019" s="1" t="str">
        <x:v>Especial</x:v>
      </x:c>
      <x:c r="G3019" s="10" t="n">
        <x:v>120</x:v>
      </x:c>
      <x:c r="H3019" s="10" t="n">
        <x:f>IF(F3019="Física",'Pokémon'!G325,IF(F3019="Especial",'Pokémon'!I325,""))</x:f>
        <x:v>75</x:v>
      </x:c>
      <x:c r="I3019" s="10" t="n">
        <x:f>IF(OR(F3019="Status",G3019=0),"",G3019+H3019)</x:f>
        <x:v>195</x:v>
      </x:c>
      <x:c r="J3019" s="10" t="n">
        <x:v>1</x:v>
      </x:c>
      <x:c r="K3019" s="12" t="n">
        <x:v>50</x:v>
      </x:c>
      <x:c r="L3019" s="1" t="str"/>
      <x:c r="M3019" s="9" t="str">
        <x:v>https://poke.idleworld.online/pokepedia/pokemon/absol</x:v>
      </x:c>
    </x:row>
    <x:row r="3020" ht="22" customHeight="1">
      <x:c r="A3020" s="1" t="n">
        <x:v>359</x:v>
      </x:c>
      <x:c r="B3020" s="1" t="str">
        <x:v>Absol</x:v>
      </x:c>
      <x:c r="C3020" s="1" t="n">
        <x:v>7</x:v>
      </x:c>
      <x:c r="D3020" s="1" t="str">
        <x:v>Bite</x:v>
      </x:c>
      <x:c r="E3020" s="1" t="str">
        <x:v>Sombrio</x:v>
      </x:c>
      <x:c r="F3020" s="1" t="str">
        <x:v>Física</x:v>
      </x:c>
      <x:c r="G3020" s="10" t="n">
        <x:v>60</x:v>
      </x:c>
      <x:c r="H3020" s="10" t="n">
        <x:f>IF(F3020="Física",'Pokémon'!G325,IF(F3020="Especial",'Pokémon'!I325,""))</x:f>
        <x:v>130</x:v>
      </x:c>
      <x:c r="I3020" s="10" t="n">
        <x:f>IF(OR(F3020="Status",G3020=0),"",G3020+H3020)</x:f>
        <x:v>190</x:v>
      </x:c>
      <x:c r="J3020" s="10" t="n">
        <x:v>16</x:v>
      </x:c>
      <x:c r="K3020" s="12" t="n">
        <x:v>20</x:v>
      </x:c>
      <x:c r="L3020" s="1" t="str"/>
      <x:c r="M3020" s="9" t="str">
        <x:v>https://poke.idleworld.online/pokepedia/pokemon/absol</x:v>
      </x:c>
    </x:row>
    <x:row r="3021" ht="22" customHeight="1">
      <x:c r="A3021" s="1" t="n">
        <x:v>359</x:v>
      </x:c>
      <x:c r="B3021" s="1" t="str">
        <x:v>Absol</x:v>
      </x:c>
      <x:c r="C3021" s="1" t="n">
        <x:v>1</x:v>
      </x:c>
      <x:c r="D3021" s="1" t="str">
        <x:v>Quick Attack</x:v>
      </x:c>
      <x:c r="E3021" s="1" t="str">
        <x:v>Normal</x:v>
      </x:c>
      <x:c r="F3021" s="1" t="str">
        <x:v>Física</x:v>
      </x:c>
      <x:c r="G3021" s="10" t="n">
        <x:v>40</x:v>
      </x:c>
      <x:c r="H3021" s="10" t="n">
        <x:f>IF(F3021="Física",'Pokémon'!G325,IF(F3021="Especial",'Pokémon'!I325,""))</x:f>
        <x:v>130</x:v>
      </x:c>
      <x:c r="I3021" s="10" t="n">
        <x:f>IF(OR(F3021="Status",G3021=0),"",G3021+H3021)</x:f>
        <x:v>170</x:v>
      </x:c>
      <x:c r="J3021" s="10" t="n">
        <x:v>1</x:v>
      </x:c>
      <x:c r="K3021" s="12" t="n">
        <x:v>20</x:v>
      </x:c>
      <x:c r="L3021" s="1" t="str"/>
      <x:c r="M3021" s="9" t="str">
        <x:v>https://poke.idleworld.online/pokepedia/pokemon/absol</x:v>
      </x:c>
    </x:row>
    <x:row r="3022" ht="22" customHeight="1">
      <x:c r="A3022" s="1" t="n">
        <x:v>359</x:v>
      </x:c>
      <x:c r="B3022" s="1" t="str">
        <x:v>Absol</x:v>
      </x:c>
      <x:c r="C3022" s="1" t="n">
        <x:v>3</x:v>
      </x:c>
      <x:c r="D3022" s="1" t="str">
        <x:v>Scratch</x:v>
      </x:c>
      <x:c r="E3022" s="1" t="str">
        <x:v>Normal</x:v>
      </x:c>
      <x:c r="F3022" s="1" t="str">
        <x:v>Física</x:v>
      </x:c>
      <x:c r="G3022" s="10" t="n">
        <x:v>40</x:v>
      </x:c>
      <x:c r="H3022" s="10" t="n">
        <x:f>IF(F3022="Física",'Pokémon'!G325,IF(F3022="Especial",'Pokémon'!I325,""))</x:f>
        <x:v>130</x:v>
      </x:c>
      <x:c r="I3022" s="10" t="n">
        <x:f>IF(OR(F3022="Status",G3022=0),"",G3022+H3022)</x:f>
        <x:v>170</x:v>
      </x:c>
      <x:c r="J3022" s="10" t="n">
        <x:v>1</x:v>
      </x:c>
      <x:c r="K3022" s="12" t="n">
        <x:v>15</x:v>
      </x:c>
      <x:c r="L3022" s="1" t="str"/>
      <x:c r="M3022" s="9" t="str">
        <x:v>https://poke.idleworld.online/pokepedia/pokemon/absol</x:v>
      </x:c>
    </x:row>
    <x:row r="3023" ht="22" customHeight="1">
      <x:c r="A3023" s="1" t="n">
        <x:v>359</x:v>
      </x:c>
      <x:c r="B3023" s="1" t="str">
        <x:v>Absol</x:v>
      </x:c>
      <x:c r="C3023" s="1" t="n">
        <x:v>5</x:v>
      </x:c>
      <x:c r="D3023" s="1" t="str">
        <x:v>Pursuit</x:v>
      </x:c>
      <x:c r="E3023" s="1" t="str">
        <x:v>Sombrio</x:v>
      </x:c>
      <x:c r="F3023" s="1" t="str">
        <x:v>Física</x:v>
      </x:c>
      <x:c r="G3023" s="10" t="n">
        <x:v>40</x:v>
      </x:c>
      <x:c r="H3023" s="10" t="n">
        <x:f>IF(F3023="Física",'Pokémon'!G325,IF(F3023="Especial",'Pokémon'!I325,""))</x:f>
        <x:v>130</x:v>
      </x:c>
      <x:c r="I3023" s="10" t="n">
        <x:f>IF(OR(F3023="Status",G3023=0),"",G3023+H3023)</x:f>
        <x:v>170</x:v>
      </x:c>
      <x:c r="J3023" s="10" t="n">
        <x:v>10</x:v>
      </x:c>
      <x:c r="K3023" s="12" t="n">
        <x:v>10</x:v>
      </x:c>
      <x:c r="L3023" s="1" t="str"/>
      <x:c r="M3023" s="9" t="str">
        <x:v>https://poke.idleworld.online/pokepedia/pokemon/absol</x:v>
      </x:c>
    </x:row>
    <x:row r="3024" ht="22" customHeight="1">
      <x:c r="A3024" s="1" t="n">
        <x:v>359</x:v>
      </x:c>
      <x:c r="B3024" s="1" t="str">
        <x:v>Absol</x:v>
      </x:c>
      <x:c r="C3024" s="1" t="n">
        <x:v>2</x:v>
      </x:c>
      <x:c r="D3024" s="1" t="str">
        <x:v>Feint</x:v>
      </x:c>
      <x:c r="E3024" s="1" t="str">
        <x:v>Normal</x:v>
      </x:c>
      <x:c r="F3024" s="1" t="str">
        <x:v>Física</x:v>
      </x:c>
      <x:c r="G3024" s="10" t="n">
        <x:v>30</x:v>
      </x:c>
      <x:c r="H3024" s="10" t="n">
        <x:f>IF(F3024="Física",'Pokémon'!G325,IF(F3024="Especial",'Pokémon'!I325,""))</x:f>
        <x:v>130</x:v>
      </x:c>
      <x:c r="I3024" s="10" t="n">
        <x:f>IF(OR(F3024="Status",G3024=0),"",G3024+H3024)</x:f>
        <x:v>160</x:v>
      </x:c>
      <x:c r="J3024" s="10" t="n">
        <x:v>1</x:v>
      </x:c>
      <x:c r="K3024" s="12" t="n">
        <x:v>15</x:v>
      </x:c>
      <x:c r="L3024" s="1" t="str"/>
      <x:c r="M3024" s="9" t="str">
        <x:v>https://poke.idleworld.online/pokepedia/pokemon/absol</x:v>
      </x:c>
    </x:row>
    <x:row r="3025" ht="22" customHeight="1">
      <x:c r="A3025" s="1" t="n">
        <x:v>359</x:v>
      </x:c>
      <x:c r="B3025" s="1" t="str">
        <x:v>Absol</x:v>
      </x:c>
      <x:c r="C3025" s="1" t="n">
        <x:v>13</x:v>
      </x:c>
      <x:c r="D3025" s="1" t="str">
        <x:v>Razor Wind</x:v>
      </x:c>
      <x:c r="E3025" s="1" t="str">
        <x:v>Normal</x:v>
      </x:c>
      <x:c r="F3025" s="1" t="str">
        <x:v>Especial</x:v>
      </x:c>
      <x:c r="G3025" s="10" t="n">
        <x:v>80</x:v>
      </x:c>
      <x:c r="H3025" s="10" t="n">
        <x:f>IF(F3025="Física",'Pokémon'!G325,IF(F3025="Especial",'Pokémon'!I325,""))</x:f>
        <x:v>75</x:v>
      </x:c>
      <x:c r="I3025" s="10" t="n">
        <x:f>IF(OR(F3025="Status",G3025=0),"",G3025+H3025)</x:f>
        <x:v>155</x:v>
      </x:c>
      <x:c r="J3025" s="10" t="n">
        <x:v>49</x:v>
      </x:c>
      <x:c r="K3025" s="12" t="n">
        <x:v>50</x:v>
      </x:c>
      <x:c r="L3025" s="1" t="str"/>
      <x:c r="M3025" s="9" t="str">
        <x:v>https://poke.idleworld.online/pokepedia/pokemon/absol</x:v>
      </x:c>
    </x:row>
    <x:row r="3026" ht="22" customHeight="1">
      <x:c r="A3026" s="1" t="n">
        <x:v>359</x:v>
      </x:c>
      <x:c r="B3026" s="1" t="str">
        <x:v>Absol</x:v>
      </x:c>
      <x:c r="C3026" s="1" t="n">
        <x:v>6</x:v>
      </x:c>
      <x:c r="D3026" s="1" t="str">
        <x:v>Taunt</x:v>
      </x:c>
      <x:c r="E3026" s="1" t="str">
        <x:v>Sombrio</x:v>
      </x:c>
      <x:c r="F3026" s="1" t="str">
        <x:v>Status</x:v>
      </x:c>
      <x:c r="G3026" s="10" t="n">
        <x:v>0</x:v>
      </x:c>
      <x:c r="H3026" s="10" t="str">
        <x:f>IF(F3026="Física",'Pokémon'!G325,IF(F3026="Especial",'Pokémon'!I325,""))</x:f>
      </x:c>
      <x:c r="I3026" s="10" t="str">
        <x:f>IF(OR(F3026="Status",G3026=0),"",G3026+H3026)</x:f>
      </x:c>
      <x:c r="J3026" s="10" t="n">
        <x:v>13</x:v>
      </x:c>
      <x:c r="K3026" s="12" t="n">
        <x:v>40</x:v>
      </x:c>
      <x:c r="L3026" s="1" t="str"/>
      <x:c r="M3026" s="9" t="str">
        <x:v>https://poke.idleworld.online/pokepedia/pokemon/absol</x:v>
      </x:c>
    </x:row>
    <x:row r="3027" ht="22" customHeight="1">
      <x:c r="A3027" s="1" t="n">
        <x:v>359</x:v>
      </x:c>
      <x:c r="B3027" s="1" t="str">
        <x:v>Absol</x:v>
      </x:c>
      <x:c r="C3027" s="1" t="n">
        <x:v>9</x:v>
      </x:c>
      <x:c r="D3027" s="1" t="str">
        <x:v>Swords Dance</x:v>
      </x:c>
      <x:c r="E3027" s="1" t="str">
        <x:v>Normal</x:v>
      </x:c>
      <x:c r="F3027" s="1" t="str">
        <x:v>Status</x:v>
      </x:c>
      <x:c r="G3027" s="10" t="n">
        <x:v>0</x:v>
      </x:c>
      <x:c r="H3027" s="10" t="str">
        <x:f>IF(F3027="Física",'Pokémon'!G325,IF(F3027="Especial",'Pokémon'!I325,""))</x:f>
      </x:c>
      <x:c r="I3027" s="10" t="str">
        <x:f>IF(OR(F3027="Status",G3027=0),"",G3027+H3027)</x:f>
      </x:c>
      <x:c r="J3027" s="10" t="n">
        <x:v>25</x:v>
      </x:c>
      <x:c r="K3027" s="12" t="n">
        <x:v>50</x:v>
      </x:c>
      <x:c r="L3027" s="1" t="str"/>
      <x:c r="M3027" s="9" t="str">
        <x:v>https://poke.idleworld.online/pokepedia/pokemon/absol</x:v>
      </x:c>
    </x:row>
    <x:row r="3028" ht="22" customHeight="1">
      <x:c r="A3028" s="1" t="n">
        <x:v>361</x:v>
      </x:c>
      <x:c r="B3028" s="1" t="str">
        <x:v>Snorunt</x:v>
      </x:c>
      <x:c r="C3028" s="1" t="n">
        <x:v>9</x:v>
      </x:c>
      <x:c r="D3028" s="1" t="str">
        <x:v>Blizzard</x:v>
      </x:c>
      <x:c r="E3028" s="1" t="str">
        <x:v>Gelo</x:v>
      </x:c>
      <x:c r="F3028" s="1" t="str">
        <x:v>Especial</x:v>
      </x:c>
      <x:c r="G3028" s="10" t="n">
        <x:v>110</x:v>
      </x:c>
      <x:c r="H3028" s="10" t="n">
        <x:f>IF(F3028="Física",'Pokémon'!G326,IF(F3028="Especial",'Pokémon'!I326,""))</x:f>
        <x:v>50</x:v>
      </x:c>
      <x:c r="I3028" s="10" t="n">
        <x:f>IF(OR(F3028="Status",G3028=0),"",G3028+H3028)</x:f>
        <x:v>160</x:v>
      </x:c>
      <x:c r="J3028" s="10" t="n">
        <x:v>46</x:v>
      </x:c>
      <x:c r="K3028" s="12" t="n">
        <x:v>40</x:v>
      </x:c>
      <x:c r="L3028" s="1" t="str"/>
      <x:c r="M3028" s="9" t="str">
        <x:v>https://poke.idleworld.online/pokepedia/pokemon/snorunt</x:v>
      </x:c>
    </x:row>
    <x:row r="3029" ht="22" customHeight="1">
      <x:c r="A3029" s="1" t="n">
        <x:v>361</x:v>
      </x:c>
      <x:c r="B3029" s="1" t="str">
        <x:v>Snorunt</x:v>
      </x:c>
      <x:c r="C3029" s="1" t="n">
        <x:v>8</x:v>
      </x:c>
      <x:c r="D3029" s="1" t="str">
        <x:v>Crunch</x:v>
      </x:c>
      <x:c r="E3029" s="1" t="str">
        <x:v>Sombrio</x:v>
      </x:c>
      <x:c r="F3029" s="1" t="str">
        <x:v>Física</x:v>
      </x:c>
      <x:c r="G3029" s="10" t="n">
        <x:v>80</x:v>
      </x:c>
      <x:c r="H3029" s="10" t="n">
        <x:f>IF(F3029="Física",'Pokémon'!G326,IF(F3029="Especial",'Pokémon'!I326,""))</x:f>
        <x:v>50</x:v>
      </x:c>
      <x:c r="I3029" s="10" t="n">
        <x:f>IF(OR(F3029="Status",G3029=0),"",G3029+H3029)</x:f>
        <x:v>130</x:v>
      </x:c>
      <x:c r="J3029" s="10" t="n">
        <x:v>41</x:v>
      </x:c>
      <x:c r="K3029" s="12" t="n">
        <x:v>22</x:v>
      </x:c>
      <x:c r="L3029" s="1" t="str"/>
      <x:c r="M3029" s="9" t="str">
        <x:v>https://poke.idleworld.online/pokepedia/pokemon/snorunt</x:v>
      </x:c>
    </x:row>
    <x:row r="3030" ht="22" customHeight="1">
      <x:c r="A3030" s="1" t="n">
        <x:v>361</x:v>
      </x:c>
      <x:c r="B3030" s="1" t="str">
        <x:v>Snorunt</x:v>
      </x:c>
      <x:c r="C3030" s="1" t="n">
        <x:v>6</x:v>
      </x:c>
      <x:c r="D3030" s="1" t="str">
        <x:v>Headbutt</x:v>
      </x:c>
      <x:c r="E3030" s="1" t="str">
        <x:v>Normal</x:v>
      </x:c>
      <x:c r="F3030" s="1" t="str">
        <x:v>Física</x:v>
      </x:c>
      <x:c r="G3030" s="10" t="n">
        <x:v>70</x:v>
      </x:c>
      <x:c r="H3030" s="10" t="n">
        <x:f>IF(F3030="Física",'Pokémon'!G326,IF(F3030="Especial",'Pokémon'!I326,""))</x:f>
        <x:v>50</x:v>
      </x:c>
      <x:c r="I3030" s="10" t="n">
        <x:f>IF(OR(F3030="Status",G3030=0),"",G3030+H3030)</x:f>
        <x:v>120</x:v>
      </x:c>
      <x:c r="J3030" s="10" t="n">
        <x:v>28</x:v>
      </x:c>
      <x:c r="K3030" s="12" t="n">
        <x:v>20</x:v>
      </x:c>
      <x:c r="L3030" s="1" t="str"/>
      <x:c r="M3030" s="9" t="str">
        <x:v>https://poke.idleworld.online/pokepedia/pokemon/snorunt</x:v>
      </x:c>
    </x:row>
    <x:row r="3031" ht="22" customHeight="1">
      <x:c r="A3031" s="1" t="n">
        <x:v>361</x:v>
      </x:c>
      <x:c r="B3031" s="1" t="str">
        <x:v>Snorunt</x:v>
      </x:c>
      <x:c r="C3031" s="1" t="n">
        <x:v>5</x:v>
      </x:c>
      <x:c r="D3031" s="1" t="str">
        <x:v>Ice Fang</x:v>
      </x:c>
      <x:c r="E3031" s="1" t="str">
        <x:v>Gelo</x:v>
      </x:c>
      <x:c r="F3031" s="1" t="str">
        <x:v>Física</x:v>
      </x:c>
      <x:c r="G3031" s="10" t="n">
        <x:v>65</x:v>
      </x:c>
      <x:c r="H3031" s="10" t="n">
        <x:f>IF(F3031="Física",'Pokémon'!G326,IF(F3031="Especial",'Pokémon'!I326,""))</x:f>
        <x:v>50</x:v>
      </x:c>
      <x:c r="I3031" s="10" t="n">
        <x:f>IF(OR(F3031="Status",G3031=0),"",G3031+H3031)</x:f>
        <x:v>115</x:v>
      </x:c>
      <x:c r="J3031" s="10" t="n">
        <x:v>23</x:v>
      </x:c>
      <x:c r="K3031" s="12" t="n">
        <x:v>10</x:v>
      </x:c>
      <x:c r="L3031" s="1" t="str"/>
      <x:c r="M3031" s="9" t="str">
        <x:v>https://poke.idleworld.online/pokepedia/pokemon/snorunt</x:v>
      </x:c>
    </x:row>
    <x:row r="3032" ht="22" customHeight="1">
      <x:c r="A3032" s="1" t="n">
        <x:v>361</x:v>
      </x:c>
      <x:c r="B3032" s="1" t="str">
        <x:v>Snorunt</x:v>
      </x:c>
      <x:c r="C3032" s="1" t="n">
        <x:v>4</x:v>
      </x:c>
      <x:c r="D3032" s="1" t="str">
        <x:v>Bite</x:v>
      </x:c>
      <x:c r="E3032" s="1" t="str">
        <x:v>Sombrio</x:v>
      </x:c>
      <x:c r="F3032" s="1" t="str">
        <x:v>Física</x:v>
      </x:c>
      <x:c r="G3032" s="10" t="n">
        <x:v>60</x:v>
      </x:c>
      <x:c r="H3032" s="10" t="n">
        <x:f>IF(F3032="Física",'Pokémon'!G326,IF(F3032="Especial",'Pokémon'!I326,""))</x:f>
        <x:v>50</x:v>
      </x:c>
      <x:c r="I3032" s="10" t="n">
        <x:f>IF(OR(F3032="Status",G3032=0),"",G3032+H3032)</x:f>
        <x:v>110</x:v>
      </x:c>
      <x:c r="J3032" s="10" t="n">
        <x:v>19</x:v>
      </x:c>
      <x:c r="K3032" s="12" t="n">
        <x:v>10</x:v>
      </x:c>
      <x:c r="L3032" s="1" t="str"/>
      <x:c r="M3032" s="9" t="str">
        <x:v>https://poke.idleworld.online/pokepedia/pokemon/snorunt</x:v>
      </x:c>
    </x:row>
    <x:row r="3033" ht="22" customHeight="1">
      <x:c r="A3033" s="1" t="n">
        <x:v>361</x:v>
      </x:c>
      <x:c r="B3033" s="1" t="str">
        <x:v>Snorunt</x:v>
      </x:c>
      <x:c r="C3033" s="1" t="n">
        <x:v>7</x:v>
      </x:c>
      <x:c r="D3033" s="1" t="str">
        <x:v>Frost Breath</x:v>
      </x:c>
      <x:c r="E3033" s="1" t="str">
        <x:v>Gelo</x:v>
      </x:c>
      <x:c r="F3033" s="1" t="str">
        <x:v>Especial</x:v>
      </x:c>
      <x:c r="G3033" s="10" t="n">
        <x:v>60</x:v>
      </x:c>
      <x:c r="H3033" s="10" t="n">
        <x:f>IF(F3033="Física",'Pokémon'!G326,IF(F3033="Especial",'Pokémon'!I326,""))</x:f>
        <x:v>50</x:v>
      </x:c>
      <x:c r="I3033" s="10" t="n">
        <x:f>IF(OR(F3033="Status",G3033=0),"",G3033+H3033)</x:f>
        <x:v>110</x:v>
      </x:c>
      <x:c r="J3033" s="10" t="n">
        <x:v>37</x:v>
      </x:c>
      <x:c r="K3033" s="12" t="n">
        <x:v>20</x:v>
      </x:c>
      <x:c r="L3033" s="1" t="str"/>
      <x:c r="M3033" s="9" t="str">
        <x:v>https://poke.idleworld.online/pokepedia/pokemon/snorunt</x:v>
      </x:c>
    </x:row>
    <x:row r="3034" ht="22" customHeight="1">
      <x:c r="A3034" s="1" t="n">
        <x:v>361</x:v>
      </x:c>
      <x:c r="B3034" s="1" t="str">
        <x:v>Snorunt</x:v>
      </x:c>
      <x:c r="C3034" s="1" t="n">
        <x:v>3</x:v>
      </x:c>
      <x:c r="D3034" s="1" t="str">
        <x:v>Icy Wind</x:v>
      </x:c>
      <x:c r="E3034" s="1" t="str">
        <x:v>Gelo</x:v>
      </x:c>
      <x:c r="F3034" s="1" t="str">
        <x:v>Especial</x:v>
      </x:c>
      <x:c r="G3034" s="10" t="n">
        <x:v>55</x:v>
      </x:c>
      <x:c r="H3034" s="10" t="n">
        <x:f>IF(F3034="Física",'Pokémon'!G326,IF(F3034="Especial",'Pokémon'!I326,""))</x:f>
        <x:v>50</x:v>
      </x:c>
      <x:c r="I3034" s="10" t="n">
        <x:f>IF(OR(F3034="Status",G3034=0),"",G3034+H3034)</x:f>
        <x:v>105</x:v>
      </x:c>
      <x:c r="J3034" s="10" t="n">
        <x:v>14</x:v>
      </x:c>
      <x:c r="K3034" s="12" t="n">
        <x:v>20</x:v>
      </x:c>
      <x:c r="L3034" s="1" t="str"/>
      <x:c r="M3034" s="9" t="str">
        <x:v>https://poke.idleworld.online/pokepedia/pokemon/snorunt</x:v>
      </x:c>
    </x:row>
    <x:row r="3035" ht="22" customHeight="1">
      <x:c r="A3035" s="1" t="n">
        <x:v>361</x:v>
      </x:c>
      <x:c r="B3035" s="1" t="str">
        <x:v>Snorunt</x:v>
      </x:c>
      <x:c r="C3035" s="1" t="n">
        <x:v>1</x:v>
      </x:c>
      <x:c r="D3035" s="1" t="str">
        <x:v>Powder Snow</x:v>
      </x:c>
      <x:c r="E3035" s="1" t="str">
        <x:v>Gelo</x:v>
      </x:c>
      <x:c r="F3035" s="1" t="str">
        <x:v>Especial</x:v>
      </x:c>
      <x:c r="G3035" s="10" t="n">
        <x:v>40</x:v>
      </x:c>
      <x:c r="H3035" s="10" t="n">
        <x:f>IF(F3035="Física",'Pokémon'!G326,IF(F3035="Especial",'Pokémon'!I326,""))</x:f>
        <x:v>50</x:v>
      </x:c>
      <x:c r="I3035" s="10" t="n">
        <x:f>IF(OR(F3035="Status",G3035=0),"",G3035+H3035)</x:f>
        <x:v>90</x:v>
      </x:c>
      <x:c r="J3035" s="10" t="n">
        <x:v>1</x:v>
      </x:c>
      <x:c r="K3035" s="12" t="n">
        <x:v>15</x:v>
      </x:c>
      <x:c r="L3035" s="1" t="str"/>
      <x:c r="M3035" s="9" t="str">
        <x:v>https://poke.idleworld.online/pokepedia/pokemon/snorunt</x:v>
      </x:c>
    </x:row>
    <x:row r="3036" ht="22" customHeight="1">
      <x:c r="A3036" s="1" t="n">
        <x:v>361</x:v>
      </x:c>
      <x:c r="B3036" s="1" t="str">
        <x:v>Snorunt</x:v>
      </x:c>
      <x:c r="C3036" s="1" t="n">
        <x:v>2</x:v>
      </x:c>
      <x:c r="D3036" s="1" t="str">
        <x:v>Ice Shard</x:v>
      </x:c>
      <x:c r="E3036" s="1" t="str">
        <x:v>Gelo</x:v>
      </x:c>
      <x:c r="F3036" s="1" t="str">
        <x:v>Física</x:v>
      </x:c>
      <x:c r="G3036" s="10" t="n">
        <x:v>40</x:v>
      </x:c>
      <x:c r="H3036" s="10" t="n">
        <x:f>IF(F3036="Física",'Pokémon'!G326,IF(F3036="Especial",'Pokémon'!I326,""))</x:f>
        <x:v>50</x:v>
      </x:c>
      <x:c r="I3036" s="10" t="n">
        <x:f>IF(OR(F3036="Status",G3036=0),"",G3036+H3036)</x:f>
        <x:v>90</x:v>
      </x:c>
      <x:c r="J3036" s="10" t="n">
        <x:v>10</x:v>
      </x:c>
      <x:c r="K3036" s="12" t="n">
        <x:v>15</x:v>
      </x:c>
      <x:c r="L3036" s="1" t="str"/>
      <x:c r="M3036" s="9" t="str">
        <x:v>https://poke.idleworld.online/pokepedia/pokemon/snorunt</x:v>
      </x:c>
    </x:row>
    <x:row r="3037" ht="22" customHeight="1">
      <x:c r="A3037" s="1" t="n">
        <x:v>362</x:v>
      </x:c>
      <x:c r="B3037" s="1" t="str">
        <x:v>Glalie</x:v>
      </x:c>
      <x:c r="C3037" s="1" t="n">
        <x:v>1</x:v>
      </x:c>
      <x:c r="D3037" s="1" t="str">
        <x:v>Ice Time</x:v>
      </x:c>
      <x:c r="E3037" s="1" t="str">
        <x:v>Gelo</x:v>
      </x:c>
      <x:c r="F3037" s="1" t="str">
        <x:v>Especial</x:v>
      </x:c>
      <x:c r="G3037" s="10" t="n">
        <x:v>300</x:v>
      </x:c>
      <x:c r="H3037" s="10" t="n">
        <x:f>IF(F3037="Física",'Pokémon'!G327,IF(F3037="Especial",'Pokémon'!I327,""))</x:f>
        <x:v>80</x:v>
      </x:c>
      <x:c r="I3037" s="10" t="n">
        <x:f>IF(OR(F3037="Status",G3037=0),"",G3037+H3037)</x:f>
        <x:v>380</x:v>
      </x:c>
      <x:c r="J3037" s="10" t="n">
        <x:v>1</x:v>
      </x:c>
      <x:c r="K3037" s="12" t="n">
        <x:v>10</x:v>
      </x:c>
      <x:c r="L3037" s="1" t="str">
        <x:v>Sim</x:v>
      </x:c>
      <x:c r="M3037" s="9" t="str">
        <x:v>https://poke.idleworld.online/pokepedia/pokemon/glalie</x:v>
      </x:c>
    </x:row>
    <x:row r="3038" ht="22" customHeight="1">
      <x:c r="A3038" s="1" t="n">
        <x:v>362</x:v>
      </x:c>
      <x:c r="B3038" s="1" t="str">
        <x:v>Glalie</x:v>
      </x:c>
      <x:c r="C3038" s="1" t="n">
        <x:v>11</x:v>
      </x:c>
      <x:c r="D3038" s="1" t="str">
        <x:v>Blizzard</x:v>
      </x:c>
      <x:c r="E3038" s="1" t="str">
        <x:v>Gelo</x:v>
      </x:c>
      <x:c r="F3038" s="1" t="str">
        <x:v>Especial</x:v>
      </x:c>
      <x:c r="G3038" s="10" t="n">
        <x:v>110</x:v>
      </x:c>
      <x:c r="H3038" s="10" t="n">
        <x:f>IF(F3038="Física",'Pokémon'!G327,IF(F3038="Especial",'Pokémon'!I327,""))</x:f>
        <x:v>80</x:v>
      </x:c>
      <x:c r="I3038" s="10" t="n">
        <x:f>IF(OR(F3038="Status",G3038=0),"",G3038+H3038)</x:f>
        <x:v>190</x:v>
      </x:c>
      <x:c r="J3038" s="10" t="n">
        <x:v>48</x:v>
      </x:c>
      <x:c r="K3038" s="12" t="n">
        <x:v>80</x:v>
      </x:c>
      <x:c r="L3038" s="1" t="str"/>
      <x:c r="M3038" s="9" t="str">
        <x:v>https://poke.idleworld.online/pokepedia/pokemon/glalie</x:v>
      </x:c>
    </x:row>
    <x:row r="3039" ht="22" customHeight="1">
      <x:c r="A3039" s="1" t="n">
        <x:v>362</x:v>
      </x:c>
      <x:c r="B3039" s="1" t="str">
        <x:v>Glalie</x:v>
      </x:c>
      <x:c r="C3039" s="1" t="n">
        <x:v>9</x:v>
      </x:c>
      <x:c r="D3039" s="1" t="str">
        <x:v>Crunch</x:v>
      </x:c>
      <x:c r="E3039" s="1" t="str">
        <x:v>Sombrio</x:v>
      </x:c>
      <x:c r="F3039" s="1" t="str">
        <x:v>Física</x:v>
      </x:c>
      <x:c r="G3039" s="10" t="n">
        <x:v>80</x:v>
      </x:c>
      <x:c r="H3039" s="10" t="n">
        <x:f>IF(F3039="Física",'Pokémon'!G327,IF(F3039="Especial",'Pokémon'!I327,""))</x:f>
        <x:v>80</x:v>
      </x:c>
      <x:c r="I3039" s="10" t="n">
        <x:f>IF(OR(F3039="Status",G3039=0),"",G3039+H3039)</x:f>
        <x:v>160</x:v>
      </x:c>
      <x:c r="J3039" s="10" t="n">
        <x:v>41</x:v>
      </x:c>
      <x:c r="K3039" s="12" t="n">
        <x:v>15</x:v>
      </x:c>
      <x:c r="L3039" s="1" t="str"/>
      <x:c r="M3039" s="9" t="str">
        <x:v>https://poke.idleworld.online/pokepedia/pokemon/glalie</x:v>
      </x:c>
    </x:row>
    <x:row r="3040" ht="22" customHeight="1">
      <x:c r="A3040" s="1" t="n">
        <x:v>362</x:v>
      </x:c>
      <x:c r="B3040" s="1" t="str">
        <x:v>Glalie</x:v>
      </x:c>
      <x:c r="C3040" s="1" t="n">
        <x:v>7</x:v>
      </x:c>
      <x:c r="D3040" s="1" t="str">
        <x:v>Headbutt</x:v>
      </x:c>
      <x:c r="E3040" s="1" t="str">
        <x:v>Normal</x:v>
      </x:c>
      <x:c r="F3040" s="1" t="str">
        <x:v>Física</x:v>
      </x:c>
      <x:c r="G3040" s="10" t="n">
        <x:v>70</x:v>
      </x:c>
      <x:c r="H3040" s="10" t="n">
        <x:f>IF(F3040="Física",'Pokémon'!G327,IF(F3040="Especial",'Pokémon'!I327,""))</x:f>
        <x:v>80</x:v>
      </x:c>
      <x:c r="I3040" s="10" t="n">
        <x:f>IF(OR(F3040="Status",G3040=0),"",G3040+H3040)</x:f>
        <x:v>150</x:v>
      </x:c>
      <x:c r="J3040" s="10" t="n">
        <x:v>28</x:v>
      </x:c>
      <x:c r="K3040" s="12" t="n">
        <x:v>20</x:v>
      </x:c>
      <x:c r="L3040" s="1" t="str"/>
      <x:c r="M3040" s="9" t="str">
        <x:v>https://poke.idleworld.online/pokepedia/pokemon/glalie</x:v>
      </x:c>
    </x:row>
    <x:row r="3041" ht="22" customHeight="1">
      <x:c r="A3041" s="1" t="n">
        <x:v>362</x:v>
      </x:c>
      <x:c r="B3041" s="1" t="str">
        <x:v>Glalie</x:v>
      </x:c>
      <x:c r="C3041" s="1" t="n">
        <x:v>10</x:v>
      </x:c>
      <x:c r="D3041" s="1" t="str">
        <x:v>Freeze-Dry</x:v>
      </x:c>
      <x:c r="E3041" s="1" t="str">
        <x:v>Gelo</x:v>
      </x:c>
      <x:c r="F3041" s="1" t="str">
        <x:v>Especial</x:v>
      </x:c>
      <x:c r="G3041" s="10" t="n">
        <x:v>70</x:v>
      </x:c>
      <x:c r="H3041" s="10" t="n">
        <x:f>IF(F3041="Física",'Pokémon'!G327,IF(F3041="Especial",'Pokémon'!I327,""))</x:f>
        <x:v>80</x:v>
      </x:c>
      <x:c r="I3041" s="10" t="n">
        <x:f>IF(OR(F3041="Status",G3041=0),"",G3041+H3041)</x:f>
        <x:v>150</x:v>
      </x:c>
      <x:c r="J3041" s="10" t="n">
        <x:v>42</x:v>
      </x:c>
      <x:c r="K3041" s="12" t="n">
        <x:v>20</x:v>
      </x:c>
      <x:c r="L3041" s="1" t="str"/>
      <x:c r="M3041" s="9" t="str">
        <x:v>https://poke.idleworld.online/pokepedia/pokemon/glalie</x:v>
      </x:c>
    </x:row>
    <x:row r="3042" ht="22" customHeight="1">
      <x:c r="A3042" s="1" t="n">
        <x:v>362</x:v>
      </x:c>
      <x:c r="B3042" s="1" t="str">
        <x:v>Glalie</x:v>
      </x:c>
      <x:c r="C3042" s="1" t="n">
        <x:v>6</x:v>
      </x:c>
      <x:c r="D3042" s="1" t="str">
        <x:v>Ice Fang</x:v>
      </x:c>
      <x:c r="E3042" s="1" t="str">
        <x:v>Gelo</x:v>
      </x:c>
      <x:c r="F3042" s="1" t="str">
        <x:v>Física</x:v>
      </x:c>
      <x:c r="G3042" s="10" t="n">
        <x:v>65</x:v>
      </x:c>
      <x:c r="H3042" s="10" t="n">
        <x:f>IF(F3042="Física",'Pokémon'!G327,IF(F3042="Especial",'Pokémon'!I327,""))</x:f>
        <x:v>80</x:v>
      </x:c>
      <x:c r="I3042" s="10" t="n">
        <x:f>IF(OR(F3042="Status",G3042=0),"",G3042+H3042)</x:f>
        <x:v>145</x:v>
      </x:c>
      <x:c r="J3042" s="10" t="n">
        <x:v>23</x:v>
      </x:c>
      <x:c r="K3042" s="12" t="n">
        <x:v>20</x:v>
      </x:c>
      <x:c r="L3042" s="1" t="str"/>
      <x:c r="M3042" s="9" t="str">
        <x:v>https://poke.idleworld.online/pokepedia/pokemon/glalie</x:v>
      </x:c>
    </x:row>
    <x:row r="3043" ht="22" customHeight="1">
      <x:c r="A3043" s="1" t="n">
        <x:v>362</x:v>
      </x:c>
      <x:c r="B3043" s="1" t="str">
        <x:v>Glalie</x:v>
      </x:c>
      <x:c r="C3043" s="1" t="n">
        <x:v>5</x:v>
      </x:c>
      <x:c r="D3043" s="1" t="str">
        <x:v>Bite</x:v>
      </x:c>
      <x:c r="E3043" s="1" t="str">
        <x:v>Sombrio</x:v>
      </x:c>
      <x:c r="F3043" s="1" t="str">
        <x:v>Física</x:v>
      </x:c>
      <x:c r="G3043" s="10" t="n">
        <x:v>60</x:v>
      </x:c>
      <x:c r="H3043" s="10" t="n">
        <x:f>IF(F3043="Física",'Pokémon'!G327,IF(F3043="Especial",'Pokémon'!I327,""))</x:f>
        <x:v>80</x:v>
      </x:c>
      <x:c r="I3043" s="10" t="n">
        <x:f>IF(OR(F3043="Status",G3043=0),"",G3043+H3043)</x:f>
        <x:v>140</x:v>
      </x:c>
      <x:c r="J3043" s="10" t="n">
        <x:v>19</x:v>
      </x:c>
      <x:c r="K3043" s="12" t="n">
        <x:v>15</x:v>
      </x:c>
      <x:c r="L3043" s="1" t="str"/>
      <x:c r="M3043" s="9" t="str">
        <x:v>https://poke.idleworld.online/pokepedia/pokemon/glalie</x:v>
      </x:c>
    </x:row>
    <x:row r="3044" ht="22" customHeight="1">
      <x:c r="A3044" s="1" t="n">
        <x:v>362</x:v>
      </x:c>
      <x:c r="B3044" s="1" t="str">
        <x:v>Glalie</x:v>
      </x:c>
      <x:c r="C3044" s="1" t="n">
        <x:v>8</x:v>
      </x:c>
      <x:c r="D3044" s="1" t="str">
        <x:v>Frost Breath</x:v>
      </x:c>
      <x:c r="E3044" s="1" t="str">
        <x:v>Gelo</x:v>
      </x:c>
      <x:c r="F3044" s="1" t="str">
        <x:v>Especial</x:v>
      </x:c>
      <x:c r="G3044" s="10" t="n">
        <x:v>60</x:v>
      </x:c>
      <x:c r="H3044" s="10" t="n">
        <x:f>IF(F3044="Física",'Pokémon'!G327,IF(F3044="Especial",'Pokémon'!I327,""))</x:f>
        <x:v>80</x:v>
      </x:c>
      <x:c r="I3044" s="10" t="n">
        <x:f>IF(OR(F3044="Status",G3044=0),"",G3044+H3044)</x:f>
        <x:v>140</x:v>
      </x:c>
      <x:c r="J3044" s="10" t="n">
        <x:v>37</x:v>
      </x:c>
      <x:c r="K3044" s="12" t="n">
        <x:v>20</x:v>
      </x:c>
      <x:c r="L3044" s="1" t="str"/>
      <x:c r="M3044" s="9" t="str">
        <x:v>https://poke.idleworld.online/pokepedia/pokemon/glalie</x:v>
      </x:c>
    </x:row>
    <x:row r="3045" ht="22" customHeight="1">
      <x:c r="A3045" s="1" t="n">
        <x:v>362</x:v>
      </x:c>
      <x:c r="B3045" s="1" t="str">
        <x:v>Glalie</x:v>
      </x:c>
      <x:c r="C3045" s="1" t="n">
        <x:v>4</x:v>
      </x:c>
      <x:c r="D3045" s="1" t="str">
        <x:v>Icy Wind</x:v>
      </x:c>
      <x:c r="E3045" s="1" t="str">
        <x:v>Gelo</x:v>
      </x:c>
      <x:c r="F3045" s="1" t="str">
        <x:v>Especial</x:v>
      </x:c>
      <x:c r="G3045" s="10" t="n">
        <x:v>55</x:v>
      </x:c>
      <x:c r="H3045" s="10" t="n">
        <x:f>IF(F3045="Física",'Pokémon'!G327,IF(F3045="Especial",'Pokémon'!I327,""))</x:f>
        <x:v>80</x:v>
      </x:c>
      <x:c r="I3045" s="10" t="n">
        <x:f>IF(OR(F3045="Status",G3045=0),"",G3045+H3045)</x:f>
        <x:v>135</x:v>
      </x:c>
      <x:c r="J3045" s="10" t="n">
        <x:v>14</x:v>
      </x:c>
      <x:c r="K3045" s="12" t="n">
        <x:v>25</x:v>
      </x:c>
      <x:c r="L3045" s="1" t="str"/>
      <x:c r="M3045" s="9" t="str">
        <x:v>https://poke.idleworld.online/pokepedia/pokemon/glalie</x:v>
      </x:c>
    </x:row>
    <x:row r="3046" ht="22" customHeight="1">
      <x:c r="A3046" s="1" t="n">
        <x:v>362</x:v>
      </x:c>
      <x:c r="B3046" s="1" t="str">
        <x:v>Glalie</x:v>
      </x:c>
      <x:c r="C3046" s="1" t="n">
        <x:v>2</x:v>
      </x:c>
      <x:c r="D3046" s="1" t="str">
        <x:v>Powder Snow</x:v>
      </x:c>
      <x:c r="E3046" s="1" t="str">
        <x:v>Gelo</x:v>
      </x:c>
      <x:c r="F3046" s="1" t="str">
        <x:v>Especial</x:v>
      </x:c>
      <x:c r="G3046" s="10" t="n">
        <x:v>40</x:v>
      </x:c>
      <x:c r="H3046" s="10" t="n">
        <x:f>IF(F3046="Física",'Pokémon'!G327,IF(F3046="Especial",'Pokémon'!I327,""))</x:f>
        <x:v>80</x:v>
      </x:c>
      <x:c r="I3046" s="10" t="n">
        <x:f>IF(OR(F3046="Status",G3046=0),"",G3046+H3046)</x:f>
        <x:v>120</x:v>
      </x:c>
      <x:c r="J3046" s="10" t="n">
        <x:v>1</x:v>
      </x:c>
      <x:c r="K3046" s="12" t="n">
        <x:v>15</x:v>
      </x:c>
      <x:c r="L3046" s="1" t="str"/>
      <x:c r="M3046" s="9" t="str">
        <x:v>https://poke.idleworld.online/pokepedia/pokemon/glalie</x:v>
      </x:c>
    </x:row>
    <x:row r="3047" ht="22" customHeight="1">
      <x:c r="A3047" s="1" t="n">
        <x:v>362</x:v>
      </x:c>
      <x:c r="B3047" s="1" t="str">
        <x:v>Glalie</x:v>
      </x:c>
      <x:c r="C3047" s="1" t="n">
        <x:v>3</x:v>
      </x:c>
      <x:c r="D3047" s="1" t="str">
        <x:v>Ice Shard</x:v>
      </x:c>
      <x:c r="E3047" s="1" t="str">
        <x:v>Gelo</x:v>
      </x:c>
      <x:c r="F3047" s="1" t="str">
        <x:v>Física</x:v>
      </x:c>
      <x:c r="G3047" s="10" t="n">
        <x:v>40</x:v>
      </x:c>
      <x:c r="H3047" s="10" t="n">
        <x:f>IF(F3047="Física",'Pokémon'!G327,IF(F3047="Especial",'Pokémon'!I327,""))</x:f>
        <x:v>80</x:v>
      </x:c>
      <x:c r="I3047" s="10" t="n">
        <x:f>IF(OR(F3047="Status",G3047=0),"",G3047+H3047)</x:f>
        <x:v>120</x:v>
      </x:c>
      <x:c r="J3047" s="10" t="n">
        <x:v>1</x:v>
      </x:c>
      <x:c r="K3047" s="12" t="n">
        <x:v>15</x:v>
      </x:c>
      <x:c r="L3047" s="1" t="str"/>
      <x:c r="M3047" s="9" t="str">
        <x:v>https://poke.idleworld.online/pokepedia/pokemon/glalie</x:v>
      </x:c>
    </x:row>
    <x:row r="3048" ht="22" customHeight="1">
      <x:c r="A3048" s="1" t="n">
        <x:v>362</x:v>
      </x:c>
      <x:c r="B3048" s="1" t="str">
        <x:v>Glalie</x:v>
      </x:c>
      <x:c r="C3048" s="1" t="n">
        <x:v>12</x:v>
      </x:c>
      <x:c r="D3048" s="1" t="str">
        <x:v>Hail</x:v>
      </x:c>
      <x:c r="E3048" s="1" t="str">
        <x:v>Gelo</x:v>
      </x:c>
      <x:c r="F3048" s="1" t="str">
        <x:v>Status</x:v>
      </x:c>
      <x:c r="G3048" s="10" t="n">
        <x:v>0</x:v>
      </x:c>
      <x:c r="H3048" s="10" t="str">
        <x:f>IF(F3048="Física",'Pokémon'!G327,IF(F3048="Especial",'Pokémon'!I327,""))</x:f>
      </x:c>
      <x:c r="I3048" s="10" t="str">
        <x:f>IF(OR(F3048="Status",G3048=0),"",G3048+H3048)</x:f>
      </x:c>
      <x:c r="J3048" s="10" t="n">
        <x:v>54</x:v>
      </x:c>
      <x:c r="K3048" s="12" t="n">
        <x:v>40</x:v>
      </x:c>
      <x:c r="L3048" s="1" t="str"/>
      <x:c r="M3048" s="9" t="str">
        <x:v>https://poke.idleworld.online/pokepedia/pokemon/glalie</x:v>
      </x:c>
    </x:row>
    <x:row r="3049" ht="22" customHeight="1">
      <x:c r="A3049" s="1" t="n">
        <x:v>363</x:v>
      </x:c>
      <x:c r="B3049" s="1" t="str">
        <x:v>Spheal</x:v>
      </x:c>
      <x:c r="C3049" s="1" t="n">
        <x:v>10</x:v>
      </x:c>
      <x:c r="D3049" s="1" t="str">
        <x:v>Blizzard</x:v>
      </x:c>
      <x:c r="E3049" s="1" t="str">
        <x:v>Gelo</x:v>
      </x:c>
      <x:c r="F3049" s="1" t="str">
        <x:v>Especial</x:v>
      </x:c>
      <x:c r="G3049" s="10" t="n">
        <x:v>110</x:v>
      </x:c>
      <x:c r="H3049" s="10" t="n">
        <x:f>IF(F3049="Física",'Pokémon'!G328,IF(F3049="Especial",'Pokémon'!I328,""))</x:f>
        <x:v>55</x:v>
      </x:c>
      <x:c r="I3049" s="10" t="n">
        <x:f>IF(OR(F3049="Status",G3049=0),"",G3049+H3049)</x:f>
        <x:v>165</x:v>
      </x:c>
      <x:c r="J3049" s="10" t="n">
        <x:v>41</x:v>
      </x:c>
      <x:c r="K3049" s="12" t="n">
        <x:v>40</x:v>
      </x:c>
      <x:c r="L3049" s="1" t="str"/>
      <x:c r="M3049" s="9" t="str">
        <x:v>https://poke.idleworld.online/pokepedia/pokemon/spheal</x:v>
      </x:c>
    </x:row>
    <x:row r="3050" ht="22" customHeight="1">
      <x:c r="A3050" s="1" t="n">
        <x:v>363</x:v>
      </x:c>
      <x:c r="B3050" s="1" t="str">
        <x:v>Spheal</x:v>
      </x:c>
      <x:c r="C3050" s="1" t="n">
        <x:v>8</x:v>
      </x:c>
      <x:c r="D3050" s="1" t="str">
        <x:v>Body Slam</x:v>
      </x:c>
      <x:c r="E3050" s="1" t="str">
        <x:v>Normal</x:v>
      </x:c>
      <x:c r="F3050" s="1" t="str">
        <x:v>Física</x:v>
      </x:c>
      <x:c r="G3050" s="10" t="n">
        <x:v>85</x:v>
      </x:c>
      <x:c r="H3050" s="10" t="n">
        <x:f>IF(F3050="Física",'Pokémon'!G328,IF(F3050="Especial",'Pokémon'!I328,""))</x:f>
        <x:v>40</x:v>
      </x:c>
      <x:c r="I3050" s="10" t="n">
        <x:f>IF(OR(F3050="Status",G3050=0),"",G3050+H3050)</x:f>
        <x:v>125</x:v>
      </x:c>
      <x:c r="J3050" s="10" t="n">
        <x:v>26</x:v>
      </x:c>
      <x:c r="K3050" s="12" t="n">
        <x:v>22</x:v>
      </x:c>
      <x:c r="L3050" s="1" t="str"/>
      <x:c r="M3050" s="9" t="str">
        <x:v>https://poke.idleworld.online/pokepedia/pokemon/spheal</x:v>
      </x:c>
    </x:row>
    <x:row r="3051" ht="22" customHeight="1">
      <x:c r="A3051" s="1" t="n">
        <x:v>363</x:v>
      </x:c>
      <x:c r="B3051" s="1" t="str">
        <x:v>Spheal</x:v>
      </x:c>
      <x:c r="C3051" s="1" t="n">
        <x:v>6</x:v>
      </x:c>
      <x:c r="D3051" s="1" t="str">
        <x:v>Brine</x:v>
      </x:c>
      <x:c r="E3051" s="1" t="str">
        <x:v>Água</x:v>
      </x:c>
      <x:c r="F3051" s="1" t="str">
        <x:v>Especial</x:v>
      </x:c>
      <x:c r="G3051" s="10" t="n">
        <x:v>65</x:v>
      </x:c>
      <x:c r="H3051" s="10" t="n">
        <x:f>IF(F3051="Física",'Pokémon'!G328,IF(F3051="Especial",'Pokémon'!I328,""))</x:f>
        <x:v>55</x:v>
      </x:c>
      <x:c r="I3051" s="10" t="n">
        <x:f>IF(OR(F3051="Status",G3051=0),"",G3051+H3051)</x:f>
        <x:v>120</x:v>
      </x:c>
      <x:c r="J3051" s="10" t="n">
        <x:v>17</x:v>
      </x:c>
      <x:c r="K3051" s="12" t="n">
        <x:v>20</x:v>
      </x:c>
      <x:c r="L3051" s="1" t="str"/>
      <x:c r="M3051" s="9" t="str">
        <x:v>https://poke.idleworld.online/pokepedia/pokemon/spheal</x:v>
      </x:c>
    </x:row>
    <x:row r="3052" ht="22" customHeight="1">
      <x:c r="A3052" s="1" t="n">
        <x:v>363</x:v>
      </x:c>
      <x:c r="B3052" s="1" t="str">
        <x:v>Spheal</x:v>
      </x:c>
      <x:c r="C3052" s="1" t="n">
        <x:v>7</x:v>
      </x:c>
      <x:c r="D3052" s="1" t="str">
        <x:v>Aurora Beam</x:v>
      </x:c>
      <x:c r="E3052" s="1" t="str">
        <x:v>Gelo</x:v>
      </x:c>
      <x:c r="F3052" s="1" t="str">
        <x:v>Especial</x:v>
      </x:c>
      <x:c r="G3052" s="10" t="n">
        <x:v>65</x:v>
      </x:c>
      <x:c r="H3052" s="10" t="n">
        <x:f>IF(F3052="Física",'Pokémon'!G328,IF(F3052="Especial",'Pokémon'!I328,""))</x:f>
        <x:v>55</x:v>
      </x:c>
      <x:c r="I3052" s="10" t="n">
        <x:f>IF(OR(F3052="Status",G3052=0),"",G3052+H3052)</x:f>
        <x:v>120</x:v>
      </x:c>
      <x:c r="J3052" s="10" t="n">
        <x:v>21</x:v>
      </x:c>
      <x:c r="K3052" s="12" t="n">
        <x:v>20</x:v>
      </x:c>
      <x:c r="L3052" s="1" t="str"/>
      <x:c r="M3052" s="9" t="str">
        <x:v>https://poke.idleworld.online/pokepedia/pokemon/spheal</x:v>
      </x:c>
    </x:row>
    <x:row r="3053" ht="22" customHeight="1">
      <x:c r="A3053" s="1" t="n">
        <x:v>363</x:v>
      </x:c>
      <x:c r="B3053" s="1" t="str">
        <x:v>Spheal</x:v>
      </x:c>
      <x:c r="C3053" s="1" t="n">
        <x:v>9</x:v>
      </x:c>
      <x:c r="D3053" s="1" t="str">
        <x:v>Snore</x:v>
      </x:c>
      <x:c r="E3053" s="1" t="str">
        <x:v>Normal</x:v>
      </x:c>
      <x:c r="F3053" s="1" t="str">
        <x:v>Especial</x:v>
      </x:c>
      <x:c r="G3053" s="10" t="n">
        <x:v>50</x:v>
      </x:c>
      <x:c r="H3053" s="10" t="n">
        <x:f>IF(F3053="Física",'Pokémon'!G328,IF(F3053="Especial",'Pokémon'!I328,""))</x:f>
        <x:v>55</x:v>
      </x:c>
      <x:c r="I3053" s="10" t="n">
        <x:f>IF(OR(F3053="Status",G3053=0),"",G3053+H3053)</x:f>
        <x:v>105</x:v>
      </x:c>
      <x:c r="J3053" s="10" t="n">
        <x:v>31</x:v>
      </x:c>
      <x:c r="K3053" s="12" t="n">
        <x:v>15</x:v>
      </x:c>
      <x:c r="L3053" s="1" t="str"/>
      <x:c r="M3053" s="9" t="str">
        <x:v>https://poke.idleworld.online/pokepedia/pokemon/spheal</x:v>
      </x:c>
    </x:row>
    <x:row r="3054" ht="22" customHeight="1">
      <x:c r="A3054" s="1" t="n">
        <x:v>363</x:v>
      </x:c>
      <x:c r="B3054" s="1" t="str">
        <x:v>Spheal</x:v>
      </x:c>
      <x:c r="C3054" s="1" t="n">
        <x:v>1</x:v>
      </x:c>
      <x:c r="D3054" s="1" t="str">
        <x:v>Powder Snow</x:v>
      </x:c>
      <x:c r="E3054" s="1" t="str">
        <x:v>Gelo</x:v>
      </x:c>
      <x:c r="F3054" s="1" t="str">
        <x:v>Especial</x:v>
      </x:c>
      <x:c r="G3054" s="10" t="n">
        <x:v>40</x:v>
      </x:c>
      <x:c r="H3054" s="10" t="n">
        <x:f>IF(F3054="Física",'Pokémon'!G328,IF(F3054="Especial",'Pokémon'!I328,""))</x:f>
        <x:v>55</x:v>
      </x:c>
      <x:c r="I3054" s="10" t="n">
        <x:f>IF(OR(F3054="Status",G3054=0),"",G3054+H3054)</x:f>
        <x:v>95</x:v>
      </x:c>
      <x:c r="J3054" s="10" t="n">
        <x:v>1</x:v>
      </x:c>
      <x:c r="K3054" s="12" t="n">
        <x:v>40</x:v>
      </x:c>
      <x:c r="L3054" s="1" t="str"/>
      <x:c r="M3054" s="9" t="str">
        <x:v>https://poke.idleworld.online/pokepedia/pokemon/spheal</x:v>
      </x:c>
    </x:row>
    <x:row r="3055" ht="22" customHeight="1">
      <x:c r="A3055" s="1" t="n">
        <x:v>363</x:v>
      </x:c>
      <x:c r="B3055" s="1" t="str">
        <x:v>Spheal</x:v>
      </x:c>
      <x:c r="C3055" s="1" t="n">
        <x:v>3</x:v>
      </x:c>
      <x:c r="D3055" s="1" t="str">
        <x:v>Water Gun</x:v>
      </x:c>
      <x:c r="E3055" s="1" t="str">
        <x:v>Água</x:v>
      </x:c>
      <x:c r="F3055" s="1" t="str">
        <x:v>Especial</x:v>
      </x:c>
      <x:c r="G3055" s="10" t="n">
        <x:v>40</x:v>
      </x:c>
      <x:c r="H3055" s="10" t="n">
        <x:f>IF(F3055="Física",'Pokémon'!G328,IF(F3055="Especial",'Pokémon'!I328,""))</x:f>
        <x:v>55</x:v>
      </x:c>
      <x:c r="I3055" s="10" t="n">
        <x:f>IF(OR(F3055="Status",G3055=0),"",G3055+H3055)</x:f>
        <x:v>95</x:v>
      </x:c>
      <x:c r="J3055" s="10" t="n">
        <x:v>1</x:v>
      </x:c>
      <x:c r="K3055" s="12" t="n">
        <x:v>15</x:v>
      </x:c>
      <x:c r="L3055" s="1" t="str"/>
      <x:c r="M3055" s="9" t="str">
        <x:v>https://poke.idleworld.online/pokepedia/pokemon/spheal</x:v>
      </x:c>
    </x:row>
    <x:row r="3056" ht="22" customHeight="1">
      <x:c r="A3056" s="1" t="n">
        <x:v>363</x:v>
      </x:c>
      <x:c r="B3056" s="1" t="str">
        <x:v>Spheal</x:v>
      </x:c>
      <x:c r="C3056" s="1" t="n">
        <x:v>4</x:v>
      </x:c>
      <x:c r="D3056" s="1" t="str">
        <x:v>Rollout</x:v>
      </x:c>
      <x:c r="E3056" s="1" t="str">
        <x:v>Pedra</x:v>
      </x:c>
      <x:c r="F3056" s="1" t="str">
        <x:v>Física</x:v>
      </x:c>
      <x:c r="G3056" s="10" t="n">
        <x:v>30</x:v>
      </x:c>
      <x:c r="H3056" s="10" t="n">
        <x:f>IF(F3056="Física",'Pokémon'!G328,IF(F3056="Especial",'Pokémon'!I328,""))</x:f>
        <x:v>40</x:v>
      </x:c>
      <x:c r="I3056" s="10" t="n">
        <x:f>IF(OR(F3056="Status",G3056=0),"",G3056+H3056)</x:f>
        <x:v>70</x:v>
      </x:c>
      <x:c r="J3056" s="10" t="n">
        <x:v>5</x:v>
      </x:c>
      <x:c r="K3056" s="12" t="n">
        <x:v>15</x:v>
      </x:c>
      <x:c r="L3056" s="1" t="str"/>
      <x:c r="M3056" s="9" t="str">
        <x:v>https://poke.idleworld.online/pokepedia/pokemon/spheal</x:v>
      </x:c>
    </x:row>
    <x:row r="3057" ht="22" customHeight="1">
      <x:c r="A3057" s="1" t="n">
        <x:v>363</x:v>
      </x:c>
      <x:c r="B3057" s="1" t="str">
        <x:v>Spheal</x:v>
      </x:c>
      <x:c r="C3057" s="1" t="n">
        <x:v>5</x:v>
      </x:c>
      <x:c r="D3057" s="1" t="str">
        <x:v>Ice Ball</x:v>
      </x:c>
      <x:c r="E3057" s="1" t="str">
        <x:v>Gelo</x:v>
      </x:c>
      <x:c r="F3057" s="1" t="str">
        <x:v>Física</x:v>
      </x:c>
      <x:c r="G3057" s="10" t="n">
        <x:v>30</x:v>
      </x:c>
      <x:c r="H3057" s="10" t="n">
        <x:f>IF(F3057="Física",'Pokémon'!G328,IF(F3057="Especial",'Pokémon'!I328,""))</x:f>
        <x:v>40</x:v>
      </x:c>
      <x:c r="I3057" s="10" t="n">
        <x:f>IF(OR(F3057="Status",G3057=0),"",G3057+H3057)</x:f>
        <x:v>70</x:v>
      </x:c>
      <x:c r="J3057" s="10" t="n">
        <x:v>13</x:v>
      </x:c>
      <x:c r="K3057" s="12" t="n">
        <x:v>28</x:v>
      </x:c>
      <x:c r="L3057" s="1" t="str"/>
      <x:c r="M3057" s="9" t="str">
        <x:v>https://poke.idleworld.online/pokepedia/pokemon/spheal</x:v>
      </x:c>
    </x:row>
    <x:row r="3058" ht="22" customHeight="1">
      <x:c r="A3058" s="1" t="n">
        <x:v>363</x:v>
      </x:c>
      <x:c r="B3058" s="1" t="str">
        <x:v>Spheal</x:v>
      </x:c>
      <x:c r="C3058" s="1" t="n">
        <x:v>2</x:v>
      </x:c>
      <x:c r="D3058" s="1" t="str">
        <x:v>Defense Curl</x:v>
      </x:c>
      <x:c r="E3058" s="1" t="str">
        <x:v>Normal</x:v>
      </x:c>
      <x:c r="F3058" s="1" t="str">
        <x:v>Status</x:v>
      </x:c>
      <x:c r="G3058" s="10" t="n">
        <x:v>0</x:v>
      </x:c>
      <x:c r="H3058" s="10" t="str">
        <x:f>IF(F3058="Física",'Pokémon'!G328,IF(F3058="Especial",'Pokémon'!I328,""))</x:f>
      </x:c>
      <x:c r="I3058" s="10" t="str">
        <x:f>IF(OR(F3058="Status",G3058=0),"",G3058+H3058)</x:f>
      </x:c>
      <x:c r="J3058" s="10" t="n">
        <x:v>1</x:v>
      </x:c>
      <x:c r="K3058" s="12" t="n">
        <x:v>40</x:v>
      </x:c>
      <x:c r="L3058" s="1" t="str"/>
      <x:c r="M3058" s="9" t="str">
        <x:v>https://poke.idleworld.online/pokepedia/pokemon/spheal</x:v>
      </x:c>
    </x:row>
    <x:row r="3059" ht="22" customHeight="1">
      <x:c r="A3059" s="1" t="n">
        <x:v>364</x:v>
      </x:c>
      <x:c r="B3059" s="1" t="str">
        <x:v>Sealeo</x:v>
      </x:c>
      <x:c r="C3059" s="1" t="n">
        <x:v>11</x:v>
      </x:c>
      <x:c r="D3059" s="1" t="str">
        <x:v>Blizzard</x:v>
      </x:c>
      <x:c r="E3059" s="1" t="str">
        <x:v>Gelo</x:v>
      </x:c>
      <x:c r="F3059" s="1" t="str">
        <x:v>Especial</x:v>
      </x:c>
      <x:c r="G3059" s="10" t="n">
        <x:v>110</x:v>
      </x:c>
      <x:c r="H3059" s="10" t="n">
        <x:f>IF(F3059="Física",'Pokémon'!G329,IF(F3059="Especial",'Pokémon'!I329,""))</x:f>
        <x:v>75</x:v>
      </x:c>
      <x:c r="I3059" s="10" t="n">
        <x:f>IF(OR(F3059="Status",G3059=0),"",G3059+H3059)</x:f>
        <x:v>185</x:v>
      </x:c>
      <x:c r="J3059" s="10" t="n">
        <x:v>45</x:v>
      </x:c>
      <x:c r="K3059" s="12" t="n">
        <x:v>40</x:v>
      </x:c>
      <x:c r="L3059" s="1" t="str"/>
      <x:c r="M3059" s="9" t="str">
        <x:v>https://poke.idleworld.online/pokepedia/pokemon/sealeo</x:v>
      </x:c>
    </x:row>
    <x:row r="3060" ht="22" customHeight="1">
      <x:c r="A3060" s="1" t="n">
        <x:v>364</x:v>
      </x:c>
      <x:c r="B3060" s="1" t="str">
        <x:v>Sealeo</x:v>
      </x:c>
      <x:c r="C3060" s="1" t="n">
        <x:v>8</x:v>
      </x:c>
      <x:c r="D3060" s="1" t="str">
        <x:v>Body Slam</x:v>
      </x:c>
      <x:c r="E3060" s="1" t="str">
        <x:v>Normal</x:v>
      </x:c>
      <x:c r="F3060" s="1" t="str">
        <x:v>Física</x:v>
      </x:c>
      <x:c r="G3060" s="10" t="n">
        <x:v>85</x:v>
      </x:c>
      <x:c r="H3060" s="10" t="n">
        <x:f>IF(F3060="Física",'Pokémon'!G329,IF(F3060="Especial",'Pokémon'!I329,""))</x:f>
        <x:v>60</x:v>
      </x:c>
      <x:c r="I3060" s="10" t="n">
        <x:f>IF(OR(F3060="Status",G3060=0),"",G3060+H3060)</x:f>
        <x:v>145</x:v>
      </x:c>
      <x:c r="J3060" s="10" t="n">
        <x:v>26</x:v>
      </x:c>
      <x:c r="K3060" s="12" t="n">
        <x:v>22</x:v>
      </x:c>
      <x:c r="L3060" s="1" t="str"/>
      <x:c r="M3060" s="9" t="str">
        <x:v>https://poke.idleworld.online/pokepedia/pokemon/sealeo</x:v>
      </x:c>
    </x:row>
    <x:row r="3061" ht="22" customHeight="1">
      <x:c r="A3061" s="1" t="n">
        <x:v>364</x:v>
      </x:c>
      <x:c r="B3061" s="1" t="str">
        <x:v>Sealeo</x:v>
      </x:c>
      <x:c r="C3061" s="1" t="n">
        <x:v>6</x:v>
      </x:c>
      <x:c r="D3061" s="1" t="str">
        <x:v>Brine</x:v>
      </x:c>
      <x:c r="E3061" s="1" t="str">
        <x:v>Água</x:v>
      </x:c>
      <x:c r="F3061" s="1" t="str">
        <x:v>Especial</x:v>
      </x:c>
      <x:c r="G3061" s="10" t="n">
        <x:v>65</x:v>
      </x:c>
      <x:c r="H3061" s="10" t="n">
        <x:f>IF(F3061="Física",'Pokémon'!G329,IF(F3061="Especial",'Pokémon'!I329,""))</x:f>
        <x:v>75</x:v>
      </x:c>
      <x:c r="I3061" s="10" t="n">
        <x:f>IF(OR(F3061="Status",G3061=0),"",G3061+H3061)</x:f>
        <x:v>140</x:v>
      </x:c>
      <x:c r="J3061" s="10" t="n">
        <x:v>17</x:v>
      </x:c>
      <x:c r="K3061" s="12" t="n">
        <x:v>20</x:v>
      </x:c>
      <x:c r="L3061" s="1" t="str"/>
      <x:c r="M3061" s="9" t="str">
        <x:v>https://poke.idleworld.online/pokepedia/pokemon/sealeo</x:v>
      </x:c>
    </x:row>
    <x:row r="3062" ht="22" customHeight="1">
      <x:c r="A3062" s="1" t="n">
        <x:v>364</x:v>
      </x:c>
      <x:c r="B3062" s="1" t="str">
        <x:v>Sealeo</x:v>
      </x:c>
      <x:c r="C3062" s="1" t="n">
        <x:v>7</x:v>
      </x:c>
      <x:c r="D3062" s="1" t="str">
        <x:v>Aurora Beam</x:v>
      </x:c>
      <x:c r="E3062" s="1" t="str">
        <x:v>Gelo</x:v>
      </x:c>
      <x:c r="F3062" s="1" t="str">
        <x:v>Especial</x:v>
      </x:c>
      <x:c r="G3062" s="10" t="n">
        <x:v>65</x:v>
      </x:c>
      <x:c r="H3062" s="10" t="n">
        <x:f>IF(F3062="Física",'Pokémon'!G329,IF(F3062="Especial",'Pokémon'!I329,""))</x:f>
        <x:v>75</x:v>
      </x:c>
      <x:c r="I3062" s="10" t="n">
        <x:f>IF(OR(F3062="Status",G3062=0),"",G3062+H3062)</x:f>
        <x:v>140</x:v>
      </x:c>
      <x:c r="J3062" s="10" t="n">
        <x:v>21</x:v>
      </x:c>
      <x:c r="K3062" s="12" t="n">
        <x:v>45</x:v>
      </x:c>
      <x:c r="L3062" s="1" t="str"/>
      <x:c r="M3062" s="9" t="str">
        <x:v>https://poke.idleworld.online/pokepedia/pokemon/sealeo</x:v>
      </x:c>
    </x:row>
    <x:row r="3063" ht="22" customHeight="1">
      <x:c r="A3063" s="1" t="n">
        <x:v>364</x:v>
      </x:c>
      <x:c r="B3063" s="1" t="str">
        <x:v>Sealeo</x:v>
      </x:c>
      <x:c r="C3063" s="1" t="n">
        <x:v>9</x:v>
      </x:c>
      <x:c r="D3063" s="1" t="str">
        <x:v>Snore</x:v>
      </x:c>
      <x:c r="E3063" s="1" t="str">
        <x:v>Normal</x:v>
      </x:c>
      <x:c r="F3063" s="1" t="str">
        <x:v>Especial</x:v>
      </x:c>
      <x:c r="G3063" s="10" t="n">
        <x:v>50</x:v>
      </x:c>
      <x:c r="H3063" s="10" t="n">
        <x:f>IF(F3063="Física",'Pokémon'!G329,IF(F3063="Especial",'Pokémon'!I329,""))</x:f>
        <x:v>75</x:v>
      </x:c>
      <x:c r="I3063" s="10" t="n">
        <x:f>IF(OR(F3063="Status",G3063=0),"",G3063+H3063)</x:f>
        <x:v>125</x:v>
      </x:c>
      <x:c r="J3063" s="10" t="n">
        <x:v>31</x:v>
      </x:c>
      <x:c r="K3063" s="12" t="n">
        <x:v>15</x:v>
      </x:c>
      <x:c r="L3063" s="1" t="str"/>
      <x:c r="M3063" s="9" t="str">
        <x:v>https://poke.idleworld.online/pokepedia/pokemon/sealeo</x:v>
      </x:c>
    </x:row>
    <x:row r="3064" ht="22" customHeight="1">
      <x:c r="A3064" s="1" t="n">
        <x:v>364</x:v>
      </x:c>
      <x:c r="B3064" s="1" t="str">
        <x:v>Sealeo</x:v>
      </x:c>
      <x:c r="C3064" s="1" t="n">
        <x:v>1</x:v>
      </x:c>
      <x:c r="D3064" s="1" t="str">
        <x:v>Powder Snow</x:v>
      </x:c>
      <x:c r="E3064" s="1" t="str">
        <x:v>Gelo</x:v>
      </x:c>
      <x:c r="F3064" s="1" t="str">
        <x:v>Especial</x:v>
      </x:c>
      <x:c r="G3064" s="10" t="n">
        <x:v>40</x:v>
      </x:c>
      <x:c r="H3064" s="10" t="n">
        <x:f>IF(F3064="Física",'Pokémon'!G329,IF(F3064="Especial",'Pokémon'!I329,""))</x:f>
        <x:v>75</x:v>
      </x:c>
      <x:c r="I3064" s="10" t="n">
        <x:f>IF(OR(F3064="Status",G3064=0),"",G3064+H3064)</x:f>
        <x:v>115</x:v>
      </x:c>
      <x:c r="J3064" s="10" t="n">
        <x:v>1</x:v>
      </x:c>
      <x:c r="K3064" s="12" t="n">
        <x:v>40</x:v>
      </x:c>
      <x:c r="L3064" s="1" t="str"/>
      <x:c r="M3064" s="9" t="str">
        <x:v>https://poke.idleworld.online/pokepedia/pokemon/sealeo</x:v>
      </x:c>
    </x:row>
    <x:row r="3065" ht="22" customHeight="1">
      <x:c r="A3065" s="1" t="n">
        <x:v>364</x:v>
      </x:c>
      <x:c r="B3065" s="1" t="str">
        <x:v>Sealeo</x:v>
      </x:c>
      <x:c r="C3065" s="1" t="n">
        <x:v>3</x:v>
      </x:c>
      <x:c r="D3065" s="1" t="str">
        <x:v>Water Gun</x:v>
      </x:c>
      <x:c r="E3065" s="1" t="str">
        <x:v>Água</x:v>
      </x:c>
      <x:c r="F3065" s="1" t="str">
        <x:v>Especial</x:v>
      </x:c>
      <x:c r="G3065" s="10" t="n">
        <x:v>40</x:v>
      </x:c>
      <x:c r="H3065" s="10" t="n">
        <x:f>IF(F3065="Física",'Pokémon'!G329,IF(F3065="Especial",'Pokémon'!I329,""))</x:f>
        <x:v>75</x:v>
      </x:c>
      <x:c r="I3065" s="10" t="n">
        <x:f>IF(OR(F3065="Status",G3065=0),"",G3065+H3065)</x:f>
        <x:v>115</x:v>
      </x:c>
      <x:c r="J3065" s="10" t="n">
        <x:v>1</x:v>
      </x:c>
      <x:c r="K3065" s="12" t="n">
        <x:v>15</x:v>
      </x:c>
      <x:c r="L3065" s="1" t="str"/>
      <x:c r="M3065" s="9" t="str">
        <x:v>https://poke.idleworld.online/pokepedia/pokemon/sealeo</x:v>
      </x:c>
    </x:row>
    <x:row r="3066" ht="22" customHeight="1">
      <x:c r="A3066" s="1" t="n">
        <x:v>364</x:v>
      </x:c>
      <x:c r="B3066" s="1" t="str">
        <x:v>Sealeo</x:v>
      </x:c>
      <x:c r="C3066" s="1" t="n">
        <x:v>4</x:v>
      </x:c>
      <x:c r="D3066" s="1" t="str">
        <x:v>Rollout</x:v>
      </x:c>
      <x:c r="E3066" s="1" t="str">
        <x:v>Pedra</x:v>
      </x:c>
      <x:c r="F3066" s="1" t="str">
        <x:v>Física</x:v>
      </x:c>
      <x:c r="G3066" s="10" t="n">
        <x:v>30</x:v>
      </x:c>
      <x:c r="H3066" s="10" t="n">
        <x:f>IF(F3066="Física",'Pokémon'!G329,IF(F3066="Especial",'Pokémon'!I329,""))</x:f>
        <x:v>60</x:v>
      </x:c>
      <x:c r="I3066" s="10" t="n">
        <x:f>IF(OR(F3066="Status",G3066=0),"",G3066+H3066)</x:f>
        <x:v>90</x:v>
      </x:c>
      <x:c r="J3066" s="10" t="n">
        <x:v>5</x:v>
      </x:c>
      <x:c r="K3066" s="12" t="n">
        <x:v>15</x:v>
      </x:c>
      <x:c r="L3066" s="1" t="str"/>
      <x:c r="M3066" s="9" t="str">
        <x:v>https://poke.idleworld.online/pokepedia/pokemon/sealeo</x:v>
      </x:c>
    </x:row>
    <x:row r="3067" ht="22" customHeight="1">
      <x:c r="A3067" s="1" t="n">
        <x:v>364</x:v>
      </x:c>
      <x:c r="B3067" s="1" t="str">
        <x:v>Sealeo</x:v>
      </x:c>
      <x:c r="C3067" s="1" t="n">
        <x:v>5</x:v>
      </x:c>
      <x:c r="D3067" s="1" t="str">
        <x:v>Ice Ball</x:v>
      </x:c>
      <x:c r="E3067" s="1" t="str">
        <x:v>Gelo</x:v>
      </x:c>
      <x:c r="F3067" s="1" t="str">
        <x:v>Física</x:v>
      </x:c>
      <x:c r="G3067" s="10" t="n">
        <x:v>30</x:v>
      </x:c>
      <x:c r="H3067" s="10" t="n">
        <x:f>IF(F3067="Física",'Pokémon'!G329,IF(F3067="Especial",'Pokémon'!I329,""))</x:f>
        <x:v>60</x:v>
      </x:c>
      <x:c r="I3067" s="10" t="n">
        <x:f>IF(OR(F3067="Status",G3067=0),"",G3067+H3067)</x:f>
        <x:v>90</x:v>
      </x:c>
      <x:c r="J3067" s="10" t="n">
        <x:v>13</x:v>
      </x:c>
      <x:c r="K3067" s="12" t="n">
        <x:v>25</x:v>
      </x:c>
      <x:c r="L3067" s="1" t="str"/>
      <x:c r="M3067" s="9" t="str">
        <x:v>https://poke.idleworld.online/pokepedia/pokemon/sealeo</x:v>
      </x:c>
    </x:row>
    <x:row r="3068" ht="22" customHeight="1">
      <x:c r="A3068" s="1" t="n">
        <x:v>364</x:v>
      </x:c>
      <x:c r="B3068" s="1" t="str">
        <x:v>Sealeo</x:v>
      </x:c>
      <x:c r="C3068" s="1" t="n">
        <x:v>2</x:v>
      </x:c>
      <x:c r="D3068" s="1" t="str">
        <x:v>Defense Curl</x:v>
      </x:c>
      <x:c r="E3068" s="1" t="str">
        <x:v>Normal</x:v>
      </x:c>
      <x:c r="F3068" s="1" t="str">
        <x:v>Status</x:v>
      </x:c>
      <x:c r="G3068" s="10" t="n">
        <x:v>0</x:v>
      </x:c>
      <x:c r="H3068" s="10" t="str">
        <x:f>IF(F3068="Física",'Pokémon'!G329,IF(F3068="Especial",'Pokémon'!I329,""))</x:f>
      </x:c>
      <x:c r="I3068" s="10" t="str">
        <x:f>IF(OR(F3068="Status",G3068=0),"",G3068+H3068)</x:f>
      </x:c>
      <x:c r="J3068" s="10" t="n">
        <x:v>1</x:v>
      </x:c>
      <x:c r="K3068" s="12" t="n">
        <x:v>40</x:v>
      </x:c>
      <x:c r="L3068" s="1" t="str"/>
      <x:c r="M3068" s="9" t="str">
        <x:v>https://poke.idleworld.online/pokepedia/pokemon/sealeo</x:v>
      </x:c>
    </x:row>
    <x:row r="3069" ht="22" customHeight="1">
      <x:c r="A3069" s="1" t="n">
        <x:v>364</x:v>
      </x:c>
      <x:c r="B3069" s="1" t="str">
        <x:v>Sealeo</x:v>
      </x:c>
      <x:c r="C3069" s="1" t="n">
        <x:v>10</x:v>
      </x:c>
      <x:c r="D3069" s="1" t="str">
        <x:v>Hail</x:v>
      </x:c>
      <x:c r="E3069" s="1" t="str">
        <x:v>Gelo</x:v>
      </x:c>
      <x:c r="F3069" s="1" t="str">
        <x:v>Status</x:v>
      </x:c>
      <x:c r="G3069" s="10" t="n">
        <x:v>0</x:v>
      </x:c>
      <x:c r="H3069" s="10" t="str">
        <x:f>IF(F3069="Física",'Pokémon'!G329,IF(F3069="Especial",'Pokémon'!I329,""))</x:f>
      </x:c>
      <x:c r="I3069" s="10" t="str">
        <x:f>IF(OR(F3069="Status",G3069=0),"",G3069+H3069)</x:f>
      </x:c>
      <x:c r="J3069" s="10" t="n">
        <x:v>38</x:v>
      </x:c>
      <x:c r="K3069" s="12" t="n">
        <x:v>60</x:v>
      </x:c>
      <x:c r="L3069" s="1" t="str"/>
      <x:c r="M3069" s="9" t="str">
        <x:v>https://poke.idleworld.online/pokepedia/pokemon/sealeo</x:v>
      </x:c>
    </x:row>
    <x:row r="3070" ht="22" customHeight="1">
      <x:c r="A3070" s="1" t="n">
        <x:v>365</x:v>
      </x:c>
      <x:c r="B3070" s="1" t="str">
        <x:v>Walrein</x:v>
      </x:c>
      <x:c r="C3070" s="1" t="n">
        <x:v>13</x:v>
      </x:c>
      <x:c r="D3070" s="1" t="str">
        <x:v>Blizzard</x:v>
      </x:c>
      <x:c r="E3070" s="1" t="str">
        <x:v>Gelo</x:v>
      </x:c>
      <x:c r="F3070" s="1" t="str">
        <x:v>Especial</x:v>
      </x:c>
      <x:c r="G3070" s="10" t="n">
        <x:v>110</x:v>
      </x:c>
      <x:c r="H3070" s="10" t="n">
        <x:f>IF(F3070="Física",'Pokémon'!G330,IF(F3070="Especial",'Pokémon'!I330,""))</x:f>
        <x:v>95</x:v>
      </x:c>
      <x:c r="I3070" s="10" t="n">
        <x:f>IF(OR(F3070="Status",G3070=0),"",G3070+H3070)</x:f>
        <x:v>205</x:v>
      </x:c>
      <x:c r="J3070" s="10" t="n">
        <x:v>49</x:v>
      </x:c>
      <x:c r="K3070" s="12" t="n">
        <x:v>40</x:v>
      </x:c>
      <x:c r="L3070" s="1" t="str"/>
      <x:c r="M3070" s="9" t="str">
        <x:v>https://poke.idleworld.online/pokepedia/pokemon/walrein</x:v>
      </x:c>
    </x:row>
    <x:row r="3071" ht="22" customHeight="1">
      <x:c r="A3071" s="1" t="n">
        <x:v>365</x:v>
      </x:c>
      <x:c r="B3071" s="1" t="str">
        <x:v>Walrein</x:v>
      </x:c>
      <x:c r="C3071" s="1" t="n">
        <x:v>9</x:v>
      </x:c>
      <x:c r="D3071" s="1" t="str">
        <x:v>Body Slam</x:v>
      </x:c>
      <x:c r="E3071" s="1" t="str">
        <x:v>Normal</x:v>
      </x:c>
      <x:c r="F3071" s="1" t="str">
        <x:v>Física</x:v>
      </x:c>
      <x:c r="G3071" s="10" t="n">
        <x:v>85</x:v>
      </x:c>
      <x:c r="H3071" s="10" t="n">
        <x:f>IF(F3071="Física",'Pokémon'!G330,IF(F3071="Especial",'Pokémon'!I330,""))</x:f>
        <x:v>80</x:v>
      </x:c>
      <x:c r="I3071" s="10" t="n">
        <x:f>IF(OR(F3071="Status",G3071=0),"",G3071+H3071)</x:f>
        <x:v>165</x:v>
      </x:c>
      <x:c r="J3071" s="10" t="n">
        <x:v>25</x:v>
      </x:c>
      <x:c r="K3071" s="12" t="n">
        <x:v>22</x:v>
      </x:c>
      <x:c r="L3071" s="1" t="str"/>
      <x:c r="M3071" s="9" t="str">
        <x:v>https://poke.idleworld.online/pokepedia/pokemon/walrein</x:v>
      </x:c>
    </x:row>
    <x:row r="3072" ht="22" customHeight="1">
      <x:c r="A3072" s="1" t="n">
        <x:v>365</x:v>
      </x:c>
      <x:c r="B3072" s="1" t="str">
        <x:v>Walrein</x:v>
      </x:c>
      <x:c r="C3072" s="1" t="n">
        <x:v>4</x:v>
      </x:c>
      <x:c r="D3072" s="1" t="str">
        <x:v>Crunch</x:v>
      </x:c>
      <x:c r="E3072" s="1" t="str">
        <x:v>Sombrio</x:v>
      </x:c>
      <x:c r="F3072" s="1" t="str">
        <x:v>Física</x:v>
      </x:c>
      <x:c r="G3072" s="10" t="n">
        <x:v>80</x:v>
      </x:c>
      <x:c r="H3072" s="10" t="n">
        <x:f>IF(F3072="Física",'Pokémon'!G330,IF(F3072="Especial",'Pokémon'!I330,""))</x:f>
        <x:v>80</x:v>
      </x:c>
      <x:c r="I3072" s="10" t="n">
        <x:f>IF(OR(F3072="Status",G3072=0),"",G3072+H3072)</x:f>
        <x:v>160</x:v>
      </x:c>
      <x:c r="J3072" s="10" t="n">
        <x:v>1</x:v>
      </x:c>
      <x:c r="K3072" s="12" t="n">
        <x:v>22</x:v>
      </x:c>
      <x:c r="L3072" s="1" t="str"/>
      <x:c r="M3072" s="9" t="str">
        <x:v>https://poke.idleworld.online/pokepedia/pokemon/walrein</x:v>
      </x:c>
    </x:row>
    <x:row r="3073" ht="22" customHeight="1">
      <x:c r="A3073" s="1" t="n">
        <x:v>365</x:v>
      </x:c>
      <x:c r="B3073" s="1" t="str">
        <x:v>Walrein</x:v>
      </x:c>
      <x:c r="C3073" s="1" t="n">
        <x:v>7</x:v>
      </x:c>
      <x:c r="D3073" s="1" t="str">
        <x:v>Aurora Beam</x:v>
      </x:c>
      <x:c r="E3073" s="1" t="str">
        <x:v>Gelo</x:v>
      </x:c>
      <x:c r="F3073" s="1" t="str">
        <x:v>Especial</x:v>
      </x:c>
      <x:c r="G3073" s="10" t="n">
        <x:v>65</x:v>
      </x:c>
      <x:c r="H3073" s="10" t="n">
        <x:f>IF(F3073="Física",'Pokémon'!G330,IF(F3073="Especial",'Pokémon'!I330,""))</x:f>
        <x:v>95</x:v>
      </x:c>
      <x:c r="I3073" s="10" t="n">
        <x:f>IF(OR(F3073="Status",G3073=0),"",G3073+H3073)</x:f>
        <x:v>160</x:v>
      </x:c>
      <x:c r="J3073" s="10" t="n">
        <x:v>19</x:v>
      </x:c>
      <x:c r="K3073" s="12" t="n">
        <x:v>45</x:v>
      </x:c>
      <x:c r="L3073" s="1" t="str"/>
      <x:c r="M3073" s="9" t="str">
        <x:v>https://poke.idleworld.online/pokepedia/pokemon/walrein</x:v>
      </x:c>
    </x:row>
    <x:row r="3074" ht="22" customHeight="1">
      <x:c r="A3074" s="1" t="n">
        <x:v>365</x:v>
      </x:c>
      <x:c r="B3074" s="1" t="str">
        <x:v>Walrein</x:v>
      </x:c>
      <x:c r="C3074" s="1" t="n">
        <x:v>8</x:v>
      </x:c>
      <x:c r="D3074" s="1" t="str">
        <x:v>Brine</x:v>
      </x:c>
      <x:c r="E3074" s="1" t="str">
        <x:v>Água</x:v>
      </x:c>
      <x:c r="F3074" s="1" t="str">
        <x:v>Especial</x:v>
      </x:c>
      <x:c r="G3074" s="10" t="n">
        <x:v>65</x:v>
      </x:c>
      <x:c r="H3074" s="10" t="n">
        <x:f>IF(F3074="Física",'Pokémon'!G330,IF(F3074="Especial",'Pokémon'!I330,""))</x:f>
        <x:v>95</x:v>
      </x:c>
      <x:c r="I3074" s="10" t="n">
        <x:f>IF(OR(F3074="Status",G3074=0),"",G3074+H3074)</x:f>
        <x:v>160</x:v>
      </x:c>
      <x:c r="J3074" s="10" t="n">
        <x:v>19</x:v>
      </x:c>
      <x:c r="K3074" s="12" t="n">
        <x:v>20</x:v>
      </x:c>
      <x:c r="L3074" s="1" t="str"/>
      <x:c r="M3074" s="9" t="str">
        <x:v>https://poke.idleworld.online/pokepedia/pokemon/walrein</x:v>
      </x:c>
    </x:row>
    <x:row r="3075" ht="22" customHeight="1">
      <x:c r="A3075" s="1" t="n">
        <x:v>365</x:v>
      </x:c>
      <x:c r="B3075" s="1" t="str">
        <x:v>Walrein</x:v>
      </x:c>
      <x:c r="C3075" s="1" t="n">
        <x:v>12</x:v>
      </x:c>
      <x:c r="D3075" s="1" t="str">
        <x:v>Ice Fang</x:v>
      </x:c>
      <x:c r="E3075" s="1" t="str">
        <x:v>Gelo</x:v>
      </x:c>
      <x:c r="F3075" s="1" t="str">
        <x:v>Física</x:v>
      </x:c>
      <x:c r="G3075" s="10" t="n">
        <x:v>65</x:v>
      </x:c>
      <x:c r="H3075" s="10" t="n">
        <x:f>IF(F3075="Física",'Pokémon'!G330,IF(F3075="Especial",'Pokémon'!I330,""))</x:f>
        <x:v>80</x:v>
      </x:c>
      <x:c r="I3075" s="10" t="n">
        <x:f>IF(OR(F3075="Status",G3075=0),"",G3075+H3075)</x:f>
        <x:v>145</x:v>
      </x:c>
      <x:c r="J3075" s="10" t="n">
        <x:v>44</x:v>
      </x:c>
      <x:c r="K3075" s="12" t="n">
        <x:v>25</x:v>
      </x:c>
      <x:c r="L3075" s="1" t="str"/>
      <x:c r="M3075" s="9" t="str">
        <x:v>https://poke.idleworld.online/pokepedia/pokemon/walrein</x:v>
      </x:c>
    </x:row>
    <x:row r="3076" ht="22" customHeight="1">
      <x:c r="A3076" s="1" t="n">
        <x:v>365</x:v>
      </x:c>
      <x:c r="B3076" s="1" t="str">
        <x:v>Walrein</x:v>
      </x:c>
      <x:c r="C3076" s="1" t="n">
        <x:v>10</x:v>
      </x:c>
      <x:c r="D3076" s="1" t="str">
        <x:v>Snore</x:v>
      </x:c>
      <x:c r="E3076" s="1" t="str">
        <x:v>Normal</x:v>
      </x:c>
      <x:c r="F3076" s="1" t="str">
        <x:v>Especial</x:v>
      </x:c>
      <x:c r="G3076" s="10" t="n">
        <x:v>50</x:v>
      </x:c>
      <x:c r="H3076" s="10" t="n">
        <x:f>IF(F3076="Física",'Pokémon'!G330,IF(F3076="Especial",'Pokémon'!I330,""))</x:f>
        <x:v>95</x:v>
      </x:c>
      <x:c r="I3076" s="10" t="n">
        <x:f>IF(OR(F3076="Status",G3076=0),"",G3076+H3076)</x:f>
        <x:v>145</x:v>
      </x:c>
      <x:c r="J3076" s="10" t="n">
        <x:v>31</x:v>
      </x:c>
      <x:c r="K3076" s="12" t="n">
        <x:v>15</x:v>
      </x:c>
      <x:c r="L3076" s="1" t="str"/>
      <x:c r="M3076" s="9" t="str">
        <x:v>https://poke.idleworld.online/pokepedia/pokemon/walrein</x:v>
      </x:c>
    </x:row>
    <x:row r="3077" ht="22" customHeight="1">
      <x:c r="A3077" s="1" t="n">
        <x:v>365</x:v>
      </x:c>
      <x:c r="B3077" s="1" t="str">
        <x:v>Walrein</x:v>
      </x:c>
      <x:c r="C3077" s="1" t="n">
        <x:v>1</x:v>
      </x:c>
      <x:c r="D3077" s="1" t="str">
        <x:v>Powder Snow</x:v>
      </x:c>
      <x:c r="E3077" s="1" t="str">
        <x:v>Gelo</x:v>
      </x:c>
      <x:c r="F3077" s="1" t="str">
        <x:v>Especial</x:v>
      </x:c>
      <x:c r="G3077" s="10" t="n">
        <x:v>40</x:v>
      </x:c>
      <x:c r="H3077" s="10" t="n">
        <x:f>IF(F3077="Física",'Pokémon'!G330,IF(F3077="Especial",'Pokémon'!I330,""))</x:f>
        <x:v>95</x:v>
      </x:c>
      <x:c r="I3077" s="10" t="n">
        <x:f>IF(OR(F3077="Status",G3077=0),"",G3077+H3077)</x:f>
        <x:v>135</x:v>
      </x:c>
      <x:c r="J3077" s="10" t="n">
        <x:v>1</x:v>
      </x:c>
      <x:c r="K3077" s="12" t="n">
        <x:v>40</x:v>
      </x:c>
      <x:c r="L3077" s="1" t="str"/>
      <x:c r="M3077" s="9" t="str">
        <x:v>https://poke.idleworld.online/pokepedia/pokemon/walrein</x:v>
      </x:c>
    </x:row>
    <x:row r="3078" ht="22" customHeight="1">
      <x:c r="A3078" s="1" t="n">
        <x:v>365</x:v>
      </x:c>
      <x:c r="B3078" s="1" t="str">
        <x:v>Walrein</x:v>
      </x:c>
      <x:c r="C3078" s="1" t="n">
        <x:v>3</x:v>
      </x:c>
      <x:c r="D3078" s="1" t="str">
        <x:v>Water Gun</x:v>
      </x:c>
      <x:c r="E3078" s="1" t="str">
        <x:v>Água</x:v>
      </x:c>
      <x:c r="F3078" s="1" t="str">
        <x:v>Especial</x:v>
      </x:c>
      <x:c r="G3078" s="10" t="n">
        <x:v>40</x:v>
      </x:c>
      <x:c r="H3078" s="10" t="n">
        <x:f>IF(F3078="Física",'Pokémon'!G330,IF(F3078="Especial",'Pokémon'!I330,""))</x:f>
        <x:v>95</x:v>
      </x:c>
      <x:c r="I3078" s="10" t="n">
        <x:f>IF(OR(F3078="Status",G3078=0),"",G3078+H3078)</x:f>
        <x:v>135</x:v>
      </x:c>
      <x:c r="J3078" s="10" t="n">
        <x:v>1</x:v>
      </x:c>
      <x:c r="K3078" s="12" t="n">
        <x:v>15</x:v>
      </x:c>
      <x:c r="L3078" s="1" t="str"/>
      <x:c r="M3078" s="9" t="str">
        <x:v>https://poke.idleworld.online/pokepedia/pokemon/walrein</x:v>
      </x:c>
    </x:row>
    <x:row r="3079" ht="22" customHeight="1">
      <x:c r="A3079" s="1" t="n">
        <x:v>365</x:v>
      </x:c>
      <x:c r="B3079" s="1" t="str">
        <x:v>Walrein</x:v>
      </x:c>
      <x:c r="C3079" s="1" t="n">
        <x:v>5</x:v>
      </x:c>
      <x:c r="D3079" s="1" t="str">
        <x:v>Rollout</x:v>
      </x:c>
      <x:c r="E3079" s="1" t="str">
        <x:v>Pedra</x:v>
      </x:c>
      <x:c r="F3079" s="1" t="str">
        <x:v>Física</x:v>
      </x:c>
      <x:c r="G3079" s="10" t="n">
        <x:v>30</x:v>
      </x:c>
      <x:c r="H3079" s="10" t="n">
        <x:f>IF(F3079="Física",'Pokémon'!G330,IF(F3079="Especial",'Pokémon'!I330,""))</x:f>
        <x:v>80</x:v>
      </x:c>
      <x:c r="I3079" s="10" t="n">
        <x:f>IF(OR(F3079="Status",G3079=0),"",G3079+H3079)</x:f>
        <x:v>110</x:v>
      </x:c>
      <x:c r="J3079" s="10" t="n">
        <x:v>7</x:v>
      </x:c>
      <x:c r="K3079" s="12" t="n">
        <x:v>15</x:v>
      </x:c>
      <x:c r="L3079" s="1" t="str"/>
      <x:c r="M3079" s="9" t="str">
        <x:v>https://poke.idleworld.online/pokepedia/pokemon/walrein</x:v>
      </x:c>
    </x:row>
    <x:row r="3080" ht="22" customHeight="1">
      <x:c r="A3080" s="1" t="n">
        <x:v>365</x:v>
      </x:c>
      <x:c r="B3080" s="1" t="str">
        <x:v>Walrein</x:v>
      </x:c>
      <x:c r="C3080" s="1" t="n">
        <x:v>6</x:v>
      </x:c>
      <x:c r="D3080" s="1" t="str">
        <x:v>Ice Ball</x:v>
      </x:c>
      <x:c r="E3080" s="1" t="str">
        <x:v>Gelo</x:v>
      </x:c>
      <x:c r="F3080" s="1" t="str">
        <x:v>Física</x:v>
      </x:c>
      <x:c r="G3080" s="10" t="n">
        <x:v>30</x:v>
      </x:c>
      <x:c r="H3080" s="10" t="n">
        <x:f>IF(F3080="Física",'Pokémon'!G330,IF(F3080="Especial",'Pokémon'!I330,""))</x:f>
        <x:v>80</x:v>
      </x:c>
      <x:c r="I3080" s="10" t="n">
        <x:f>IF(OR(F3080="Status",G3080=0),"",G3080+H3080)</x:f>
        <x:v>110</x:v>
      </x:c>
      <x:c r="J3080" s="10" t="n">
        <x:v>13</x:v>
      </x:c>
      <x:c r="K3080" s="12" t="n">
        <x:v>25</x:v>
      </x:c>
      <x:c r="L3080" s="1" t="str"/>
      <x:c r="M3080" s="9" t="str">
        <x:v>https://poke.idleworld.online/pokepedia/pokemon/walrein</x:v>
      </x:c>
    </x:row>
    <x:row r="3081" ht="22" customHeight="1">
      <x:c r="A3081" s="1" t="n">
        <x:v>365</x:v>
      </x:c>
      <x:c r="B3081" s="1" t="str">
        <x:v>Walrein</x:v>
      </x:c>
      <x:c r="C3081" s="1" t="n">
        <x:v>2</x:v>
      </x:c>
      <x:c r="D3081" s="1" t="str">
        <x:v>Growl</x:v>
      </x:c>
      <x:c r="E3081" s="1" t="str">
        <x:v>Normal</x:v>
      </x:c>
      <x:c r="F3081" s="1" t="str">
        <x:v>Status</x:v>
      </x:c>
      <x:c r="G3081" s="10" t="n">
        <x:v>0</x:v>
      </x:c>
      <x:c r="H3081" s="10" t="str">
        <x:f>IF(F3081="Física",'Pokémon'!G330,IF(F3081="Especial",'Pokémon'!I330,""))</x:f>
      </x:c>
      <x:c r="I3081" s="10" t="str">
        <x:f>IF(OR(F3081="Status",G3081=0),"",G3081+H3081)</x:f>
      </x:c>
      <x:c r="J3081" s="10" t="n">
        <x:v>1</x:v>
      </x:c>
      <x:c r="K3081" s="12" t="n">
        <x:v>45</x:v>
      </x:c>
      <x:c r="L3081" s="1" t="str"/>
      <x:c r="M3081" s="9" t="str">
        <x:v>https://poke.idleworld.online/pokepedia/pokemon/walrein</x:v>
      </x:c>
    </x:row>
    <x:row r="3082" ht="22" customHeight="1">
      <x:c r="A3082" s="1" t="n">
        <x:v>365</x:v>
      </x:c>
      <x:c r="B3082" s="1" t="str">
        <x:v>Walrein</x:v>
      </x:c>
      <x:c r="C3082" s="1" t="n">
        <x:v>11</x:v>
      </x:c>
      <x:c r="D3082" s="1" t="str">
        <x:v>Hail</x:v>
      </x:c>
      <x:c r="E3082" s="1" t="str">
        <x:v>Gelo</x:v>
      </x:c>
      <x:c r="F3082" s="1" t="str">
        <x:v>Status</x:v>
      </x:c>
      <x:c r="G3082" s="10" t="n">
        <x:v>0</x:v>
      </x:c>
      <x:c r="H3082" s="10" t="str">
        <x:f>IF(F3082="Física",'Pokémon'!G330,IF(F3082="Especial",'Pokémon'!I330,""))</x:f>
      </x:c>
      <x:c r="I3082" s="10" t="str">
        <x:f>IF(OR(F3082="Status",G3082=0),"",G3082+H3082)</x:f>
      </x:c>
      <x:c r="J3082" s="10" t="n">
        <x:v>38</x:v>
      </x:c>
      <x:c r="K3082" s="12" t="n">
        <x:v>45</x:v>
      </x:c>
      <x:c r="L3082" s="1" t="str"/>
      <x:c r="M3082" s="9" t="str">
        <x:v>https://poke.idleworld.online/pokepedia/pokemon/walrein</x:v>
      </x:c>
    </x:row>
    <x:row r="3083" ht="22" customHeight="1">
      <x:c r="A3083" s="1" t="n">
        <x:v>371</x:v>
      </x:c>
      <x:c r="B3083" s="1" t="str">
        <x:v>Bagon</x:v>
      </x:c>
      <x:c r="C3083" s="1" t="n">
        <x:v>11</x:v>
      </x:c>
      <x:c r="D3083" s="1" t="str">
        <x:v>Double-Edge</x:v>
      </x:c>
      <x:c r="E3083" s="1" t="str">
        <x:v>Normal</x:v>
      </x:c>
      <x:c r="F3083" s="1" t="str">
        <x:v>Física</x:v>
      </x:c>
      <x:c r="G3083" s="10" t="n">
        <x:v>120</x:v>
      </x:c>
      <x:c r="H3083" s="10" t="n">
        <x:f>IF(F3083="Física",'Pokémon'!G331,IF(F3083="Especial",'Pokémon'!I331,""))</x:f>
        <x:v>75</x:v>
      </x:c>
      <x:c r="I3083" s="10" t="n">
        <x:f>IF(OR(F3083="Status",G3083=0),"",G3083+H3083)</x:f>
        <x:v>195</x:v>
      </x:c>
      <x:c r="J3083" s="10" t="n">
        <x:v>49</x:v>
      </x:c>
      <x:c r="K3083" s="12" t="n">
        <x:v>50</x:v>
      </x:c>
      <x:c r="L3083" s="1" t="str"/>
      <x:c r="M3083" s="9" t="str">
        <x:v>https://poke.idleworld.online/pokepedia/pokemon/bagon</x:v>
      </x:c>
    </x:row>
    <x:row r="3084" ht="22" customHeight="1">
      <x:c r="A3084" s="1" t="n">
        <x:v>371</x:v>
      </x:c>
      <x:c r="B3084" s="1" t="str">
        <x:v>Bagon</x:v>
      </x:c>
      <x:c r="C3084" s="1" t="n">
        <x:v>6</x:v>
      </x:c>
      <x:c r="D3084" s="1" t="str">
        <x:v>Crunch</x:v>
      </x:c>
      <x:c r="E3084" s="1" t="str">
        <x:v>Sombrio</x:v>
      </x:c>
      <x:c r="F3084" s="1" t="str">
        <x:v>Física</x:v>
      </x:c>
      <x:c r="G3084" s="10" t="n">
        <x:v>80</x:v>
      </x:c>
      <x:c r="H3084" s="10" t="n">
        <x:f>IF(F3084="Física",'Pokémon'!G331,IF(F3084="Especial",'Pokémon'!I331,""))</x:f>
        <x:v>75</x:v>
      </x:c>
      <x:c r="I3084" s="10" t="n">
        <x:f>IF(OR(F3084="Status",G3084=0),"",G3084+H3084)</x:f>
        <x:v>155</x:v>
      </x:c>
      <x:c r="J3084" s="10" t="n">
        <x:v>25</x:v>
      </x:c>
      <x:c r="K3084" s="12" t="n">
        <x:v>22</x:v>
      </x:c>
      <x:c r="L3084" s="1" t="str"/>
      <x:c r="M3084" s="9" t="str">
        <x:v>https://poke.idleworld.online/pokepedia/pokemon/bagon</x:v>
      </x:c>
    </x:row>
    <x:row r="3085" ht="22" customHeight="1">
      <x:c r="A3085" s="1" t="n">
        <x:v>371</x:v>
      </x:c>
      <x:c r="B3085" s="1" t="str">
        <x:v>Bagon</x:v>
      </x:c>
      <x:c r="C3085" s="1" t="n">
        <x:v>7</x:v>
      </x:c>
      <x:c r="D3085" s="1" t="str">
        <x:v>Dragon Claw</x:v>
      </x:c>
      <x:c r="E3085" s="1" t="str">
        <x:v>Dragão</x:v>
      </x:c>
      <x:c r="F3085" s="1" t="str">
        <x:v>Física</x:v>
      </x:c>
      <x:c r="G3085" s="10" t="n">
        <x:v>80</x:v>
      </x:c>
      <x:c r="H3085" s="10" t="n">
        <x:f>IF(F3085="Física",'Pokémon'!G331,IF(F3085="Especial",'Pokémon'!I331,""))</x:f>
        <x:v>75</x:v>
      </x:c>
      <x:c r="I3085" s="10" t="n">
        <x:f>IF(OR(F3085="Status",G3085=0),"",G3085+H3085)</x:f>
        <x:v>155</x:v>
      </x:c>
      <x:c r="J3085" s="10" t="n">
        <x:v>29</x:v>
      </x:c>
      <x:c r="K3085" s="12" t="n">
        <x:v>20</x:v>
      </x:c>
      <x:c r="L3085" s="1" t="str"/>
      <x:c r="M3085" s="9" t="str">
        <x:v>https://poke.idleworld.online/pokepedia/pokemon/bagon</x:v>
      </x:c>
    </x:row>
    <x:row r="3086" ht="22" customHeight="1">
      <x:c r="A3086" s="1" t="n">
        <x:v>371</x:v>
      </x:c>
      <x:c r="B3086" s="1" t="str">
        <x:v>Bagon</x:v>
      </x:c>
      <x:c r="C3086" s="1" t="n">
        <x:v>8</x:v>
      </x:c>
      <x:c r="D3086" s="1" t="str">
        <x:v>Zen Headbutt</x:v>
      </x:c>
      <x:c r="E3086" s="1" t="str">
        <x:v>Psíquico</x:v>
      </x:c>
      <x:c r="F3086" s="1" t="str">
        <x:v>Física</x:v>
      </x:c>
      <x:c r="G3086" s="10" t="n">
        <x:v>80</x:v>
      </x:c>
      <x:c r="H3086" s="10" t="n">
        <x:f>IF(F3086="Física",'Pokémon'!G331,IF(F3086="Especial",'Pokémon'!I331,""))</x:f>
        <x:v>75</x:v>
      </x:c>
      <x:c r="I3086" s="10" t="n">
        <x:f>IF(OR(F3086="Status",G3086=0),"",G3086+H3086)</x:f>
        <x:v>155</x:v>
      </x:c>
      <x:c r="J3086" s="10" t="n">
        <x:v>34</x:v>
      </x:c>
      <x:c r="K3086" s="12" t="n">
        <x:v>22</x:v>
      </x:c>
      <x:c r="L3086" s="1" t="str"/>
      <x:c r="M3086" s="9" t="str">
        <x:v>https://poke.idleworld.online/pokepedia/pokemon/bagon</x:v>
      </x:c>
    </x:row>
    <x:row r="3087" ht="22" customHeight="1">
      <x:c r="A3087" s="1" t="n">
        <x:v>371</x:v>
      </x:c>
      <x:c r="B3087" s="1" t="str">
        <x:v>Bagon</x:v>
      </x:c>
      <x:c r="C3087" s="1" t="n">
        <x:v>5</x:v>
      </x:c>
      <x:c r="D3087" s="1" t="str">
        <x:v>Headbutt</x:v>
      </x:c>
      <x:c r="E3087" s="1" t="str">
        <x:v>Normal</x:v>
      </x:c>
      <x:c r="F3087" s="1" t="str">
        <x:v>Física</x:v>
      </x:c>
      <x:c r="G3087" s="10" t="n">
        <x:v>70</x:v>
      </x:c>
      <x:c r="H3087" s="10" t="n">
        <x:f>IF(F3087="Física",'Pokémon'!G331,IF(F3087="Especial",'Pokémon'!I331,""))</x:f>
        <x:v>75</x:v>
      </x:c>
      <x:c r="I3087" s="10" t="n">
        <x:f>IF(OR(F3087="Status",G3087=0),"",G3087+H3087)</x:f>
        <x:v>145</x:v>
      </x:c>
      <x:c r="J3087" s="10" t="n">
        <x:v>17</x:v>
      </x:c>
      <x:c r="K3087" s="12" t="n">
        <x:v>12</x:v>
      </x:c>
      <x:c r="L3087" s="1" t="str"/>
      <x:c r="M3087" s="9" t="str">
        <x:v>https://poke.idleworld.online/pokepedia/pokemon/bagon</x:v>
      </x:c>
    </x:row>
    <x:row r="3088" ht="22" customHeight="1">
      <x:c r="A3088" s="1" t="n">
        <x:v>371</x:v>
      </x:c>
      <x:c r="B3088" s="1" t="str">
        <x:v>Bagon</x:v>
      </x:c>
      <x:c r="C3088" s="1" t="n">
        <x:v>3</x:v>
      </x:c>
      <x:c r="D3088" s="1" t="str">
        <x:v>Bite</x:v>
      </x:c>
      <x:c r="E3088" s="1" t="str">
        <x:v>Sombrio</x:v>
      </x:c>
      <x:c r="F3088" s="1" t="str">
        <x:v>Física</x:v>
      </x:c>
      <x:c r="G3088" s="10" t="n">
        <x:v>60</x:v>
      </x:c>
      <x:c r="H3088" s="10" t="n">
        <x:f>IF(F3088="Física",'Pokémon'!G331,IF(F3088="Especial",'Pokémon'!I331,""))</x:f>
        <x:v>75</x:v>
      </x:c>
      <x:c r="I3088" s="10" t="n">
        <x:f>IF(OR(F3088="Status",G3088=0),"",G3088+H3088)</x:f>
        <x:v>135</x:v>
      </x:c>
      <x:c r="J3088" s="10" t="n">
        <x:v>10</x:v>
      </x:c>
      <x:c r="K3088" s="12" t="n">
        <x:v>20</x:v>
      </x:c>
      <x:c r="L3088" s="1" t="str"/>
      <x:c r="M3088" s="9" t="str">
        <x:v>https://poke.idleworld.online/pokepedia/pokemon/bagon</x:v>
      </x:c>
    </x:row>
    <x:row r="3089" ht="22" customHeight="1">
      <x:c r="A3089" s="1" t="n">
        <x:v>371</x:v>
      </x:c>
      <x:c r="B3089" s="1" t="str">
        <x:v>Bagon</x:v>
      </x:c>
      <x:c r="C3089" s="1" t="n">
        <x:v>10</x:v>
      </x:c>
      <x:c r="D3089" s="1" t="str">
        <x:v>Flamethrower</x:v>
      </x:c>
      <x:c r="E3089" s="1" t="str">
        <x:v>Fogo</x:v>
      </x:c>
      <x:c r="F3089" s="1" t="str">
        <x:v>Especial</x:v>
      </x:c>
      <x:c r="G3089" s="10" t="n">
        <x:v>90</x:v>
      </x:c>
      <x:c r="H3089" s="10" t="n">
        <x:f>IF(F3089="Física",'Pokémon'!G331,IF(F3089="Especial",'Pokémon'!I331,""))</x:f>
        <x:v>40</x:v>
      </x:c>
      <x:c r="I3089" s="10" t="n">
        <x:f>IF(OR(F3089="Status",G3089=0),"",G3089+H3089)</x:f>
        <x:v>130</x:v>
      </x:c>
      <x:c r="J3089" s="10" t="n">
        <x:v>44</x:v>
      </x:c>
      <x:c r="K3089" s="12" t="n">
        <x:v>22</x:v>
      </x:c>
      <x:c r="L3089" s="1" t="str"/>
      <x:c r="M3089" s="9" t="str">
        <x:v>https://poke.idleworld.online/pokepedia/pokemon/bagon</x:v>
      </x:c>
    </x:row>
    <x:row r="3090" ht="22" customHeight="1">
      <x:c r="A3090" s="1" t="n">
        <x:v>371</x:v>
      </x:c>
      <x:c r="B3090" s="1" t="str">
        <x:v>Bagon</x:v>
      </x:c>
      <x:c r="C3090" s="1" t="n">
        <x:v>4</x:v>
      </x:c>
      <x:c r="D3090" s="1" t="str">
        <x:v>Dragon Breath</x:v>
      </x:c>
      <x:c r="E3090" s="1" t="str">
        <x:v>Dragão</x:v>
      </x:c>
      <x:c r="F3090" s="1" t="str">
        <x:v>Especial</x:v>
      </x:c>
      <x:c r="G3090" s="10" t="n">
        <x:v>60</x:v>
      </x:c>
      <x:c r="H3090" s="10" t="n">
        <x:f>IF(F3090="Física",'Pokémon'!G331,IF(F3090="Especial",'Pokémon'!I331,""))</x:f>
        <x:v>40</x:v>
      </x:c>
      <x:c r="I3090" s="10" t="n">
        <x:f>IF(OR(F3090="Status",G3090=0),"",G3090+H3090)</x:f>
        <x:v>100</x:v>
      </x:c>
      <x:c r="J3090" s="10" t="n">
        <x:v>13</x:v>
      </x:c>
      <x:c r="K3090" s="12" t="n">
        <x:v>25</x:v>
      </x:c>
      <x:c r="L3090" s="1" t="str"/>
      <x:c r="M3090" s="9" t="str">
        <x:v>https://poke.idleworld.online/pokepedia/pokemon/bagon</x:v>
      </x:c>
    </x:row>
    <x:row r="3091" ht="22" customHeight="1">
      <x:c r="A3091" s="1" t="n">
        <x:v>371</x:v>
      </x:c>
      <x:c r="B3091" s="1" t="str">
        <x:v>Bagon</x:v>
      </x:c>
      <x:c r="C3091" s="1" t="n">
        <x:v>1</x:v>
      </x:c>
      <x:c r="D3091" s="1" t="str">
        <x:v>Rage</x:v>
      </x:c>
      <x:c r="E3091" s="1" t="str">
        <x:v>Normal</x:v>
      </x:c>
      <x:c r="F3091" s="1" t="str">
        <x:v>Física</x:v>
      </x:c>
      <x:c r="G3091" s="10" t="n">
        <x:v>20</x:v>
      </x:c>
      <x:c r="H3091" s="10" t="n">
        <x:f>IF(F3091="Física",'Pokémon'!G331,IF(F3091="Especial",'Pokémon'!I331,""))</x:f>
        <x:v>75</x:v>
      </x:c>
      <x:c r="I3091" s="10" t="n">
        <x:f>IF(OR(F3091="Status",G3091=0),"",G3091+H3091)</x:f>
        <x:v>95</x:v>
      </x:c>
      <x:c r="J3091" s="10" t="n">
        <x:v>1</x:v>
      </x:c>
      <x:c r="K3091" s="12" t="n">
        <x:v>15</x:v>
      </x:c>
      <x:c r="L3091" s="1" t="str"/>
      <x:c r="M3091" s="9" t="str">
        <x:v>https://poke.idleworld.online/pokepedia/pokemon/bagon</x:v>
      </x:c>
    </x:row>
    <x:row r="3092" ht="22" customHeight="1">
      <x:c r="A3092" s="1" t="n">
        <x:v>371</x:v>
      </x:c>
      <x:c r="B3092" s="1" t="str">
        <x:v>Bagon</x:v>
      </x:c>
      <x:c r="C3092" s="1" t="n">
        <x:v>2</x:v>
      </x:c>
      <x:c r="D3092" s="1" t="str">
        <x:v>Ember</x:v>
      </x:c>
      <x:c r="E3092" s="1" t="str">
        <x:v>Fogo</x:v>
      </x:c>
      <x:c r="F3092" s="1" t="str">
        <x:v>Especial</x:v>
      </x:c>
      <x:c r="G3092" s="10" t="n">
        <x:v>40</x:v>
      </x:c>
      <x:c r="H3092" s="10" t="n">
        <x:f>IF(F3092="Física",'Pokémon'!G331,IF(F3092="Especial",'Pokémon'!I331,""))</x:f>
        <x:v>40</x:v>
      </x:c>
      <x:c r="I3092" s="10" t="n">
        <x:f>IF(OR(F3092="Status",G3092=0),"",G3092+H3092)</x:f>
        <x:v>80</x:v>
      </x:c>
      <x:c r="J3092" s="10" t="n">
        <x:v>4</x:v>
      </x:c>
      <x:c r="K3092" s="12" t="n">
        <x:v>15</x:v>
      </x:c>
      <x:c r="L3092" s="1" t="str"/>
      <x:c r="M3092" s="9" t="str">
        <x:v>https://poke.idleworld.online/pokepedia/pokemon/bagon</x:v>
      </x:c>
    </x:row>
    <x:row r="3093" ht="22" customHeight="1">
      <x:c r="A3093" s="1" t="n">
        <x:v>371</x:v>
      </x:c>
      <x:c r="B3093" s="1" t="str">
        <x:v>Bagon</x:v>
      </x:c>
      <x:c r="C3093" s="1" t="n">
        <x:v>9</x:v>
      </x:c>
      <x:c r="D3093" s="1" t="str">
        <x:v>Scary Face</x:v>
      </x:c>
      <x:c r="E3093" s="1" t="str">
        <x:v>Normal</x:v>
      </x:c>
      <x:c r="F3093" s="1" t="str">
        <x:v>Status</x:v>
      </x:c>
      <x:c r="G3093" s="10" t="n">
        <x:v>0</x:v>
      </x:c>
      <x:c r="H3093" s="10" t="str">
        <x:f>IF(F3093="Física",'Pokémon'!G331,IF(F3093="Especial",'Pokémon'!I331,""))</x:f>
      </x:c>
      <x:c r="I3093" s="10" t="str">
        <x:f>IF(OR(F3093="Status",G3093=0),"",G3093+H3093)</x:f>
      </x:c>
      <x:c r="J3093" s="10" t="n">
        <x:v>39</x:v>
      </x:c>
      <x:c r="K3093" s="12" t="n">
        <x:v>40</x:v>
      </x:c>
      <x:c r="L3093" s="1" t="str"/>
      <x:c r="M3093" s="9" t="str">
        <x:v>https://poke.idleworld.online/pokepedia/pokemon/bagon</x:v>
      </x:c>
    </x:row>
    <x:row r="3094" ht="22" customHeight="1">
      <x:c r="A3094" s="1" t="n">
        <x:v>372</x:v>
      </x:c>
      <x:c r="B3094" s="1" t="str">
        <x:v>Shelgon</x:v>
      </x:c>
      <x:c r="C3094" s="1" t="n">
        <x:v>1</x:v>
      </x:c>
      <x:c r="D3094" s="1" t="str">
        <x:v>Draconic Soul</x:v>
      </x:c>
      <x:c r="E3094" s="1" t="str">
        <x:v>Dragão</x:v>
      </x:c>
      <x:c r="F3094" s="1" t="str">
        <x:v>Especial</x:v>
      </x:c>
      <x:c r="G3094" s="10" t="n">
        <x:v>300</x:v>
      </x:c>
      <x:c r="H3094" s="10" t="n">
        <x:f>IF(F3094="Física",'Pokémon'!G332,IF(F3094="Especial",'Pokémon'!I332,""))</x:f>
        <x:v>60</x:v>
      </x:c>
      <x:c r="I3094" s="10" t="n">
        <x:f>IF(OR(F3094="Status",G3094=0),"",G3094+H3094)</x:f>
        <x:v>360</x:v>
      </x:c>
      <x:c r="J3094" s="10" t="n">
        <x:v>1</x:v>
      </x:c>
      <x:c r="K3094" s="12" t="n">
        <x:v>10</x:v>
      </x:c>
      <x:c r="L3094" s="1" t="str">
        <x:v>Sim</x:v>
      </x:c>
      <x:c r="M3094" s="9" t="str">
        <x:v>https://poke.idleworld.online/pokepedia/pokemon/shelgon</x:v>
      </x:c>
    </x:row>
    <x:row r="3095" ht="22" customHeight="1">
      <x:c r="A3095" s="1" t="n">
        <x:v>372</x:v>
      </x:c>
      <x:c r="B3095" s="1" t="str">
        <x:v>Shelgon</x:v>
      </x:c>
      <x:c r="C3095" s="1" t="n">
        <x:v>14</x:v>
      </x:c>
      <x:c r="D3095" s="1" t="str">
        <x:v>Double-Edge</x:v>
      </x:c>
      <x:c r="E3095" s="1" t="str">
        <x:v>Normal</x:v>
      </x:c>
      <x:c r="F3095" s="1" t="str">
        <x:v>Física</x:v>
      </x:c>
      <x:c r="G3095" s="10" t="n">
        <x:v>120</x:v>
      </x:c>
      <x:c r="H3095" s="10" t="n">
        <x:f>IF(F3095="Física",'Pokémon'!G332,IF(F3095="Especial",'Pokémon'!I332,""))</x:f>
        <x:v>95</x:v>
      </x:c>
      <x:c r="I3095" s="10" t="n">
        <x:f>IF(OR(F3095="Status",G3095=0),"",G3095+H3095)</x:f>
        <x:v>215</x:v>
      </x:c>
      <x:c r="J3095" s="10" t="n">
        <x:v>56</x:v>
      </x:c>
      <x:c r="K3095" s="12" t="n">
        <x:v>50</x:v>
      </x:c>
      <x:c r="L3095" s="1" t="str"/>
      <x:c r="M3095" s="9" t="str">
        <x:v>https://poke.idleworld.online/pokepedia/pokemon/shelgon</x:v>
      </x:c>
    </x:row>
    <x:row r="3096" ht="22" customHeight="1">
      <x:c r="A3096" s="1" t="n">
        <x:v>372</x:v>
      </x:c>
      <x:c r="B3096" s="1" t="str">
        <x:v>Shelgon</x:v>
      </x:c>
      <x:c r="C3096" s="1" t="n">
        <x:v>8</x:v>
      </x:c>
      <x:c r="D3096" s="1" t="str">
        <x:v>Crunch</x:v>
      </x:c>
      <x:c r="E3096" s="1" t="str">
        <x:v>Sombrio</x:v>
      </x:c>
      <x:c r="F3096" s="1" t="str">
        <x:v>Física</x:v>
      </x:c>
      <x:c r="G3096" s="10" t="n">
        <x:v>80</x:v>
      </x:c>
      <x:c r="H3096" s="10" t="n">
        <x:f>IF(F3096="Física",'Pokémon'!G332,IF(F3096="Especial",'Pokémon'!I332,""))</x:f>
        <x:v>95</x:v>
      </x:c>
      <x:c r="I3096" s="10" t="n">
        <x:f>IF(OR(F3096="Status",G3096=0),"",G3096+H3096)</x:f>
        <x:v>175</x:v>
      </x:c>
      <x:c r="J3096" s="10" t="n">
        <x:v>25</x:v>
      </x:c>
      <x:c r="K3096" s="12" t="n">
        <x:v>22</x:v>
      </x:c>
      <x:c r="L3096" s="1" t="str"/>
      <x:c r="M3096" s="9" t="str">
        <x:v>https://poke.idleworld.online/pokepedia/pokemon/shelgon</x:v>
      </x:c>
    </x:row>
    <x:row r="3097" ht="22" customHeight="1">
      <x:c r="A3097" s="1" t="n">
        <x:v>372</x:v>
      </x:c>
      <x:c r="B3097" s="1" t="str">
        <x:v>Shelgon</x:v>
      </x:c>
      <x:c r="C3097" s="1" t="n">
        <x:v>9</x:v>
      </x:c>
      <x:c r="D3097" s="1" t="str">
        <x:v>Dragon Claw</x:v>
      </x:c>
      <x:c r="E3097" s="1" t="str">
        <x:v>Dragão</x:v>
      </x:c>
      <x:c r="F3097" s="1" t="str">
        <x:v>Física</x:v>
      </x:c>
      <x:c r="G3097" s="10" t="n">
        <x:v>80</x:v>
      </x:c>
      <x:c r="H3097" s="10" t="n">
        <x:f>IF(F3097="Física",'Pokémon'!G332,IF(F3097="Especial",'Pokémon'!I332,""))</x:f>
        <x:v>95</x:v>
      </x:c>
      <x:c r="I3097" s="10" t="n">
        <x:f>IF(OR(F3097="Status",G3097=0),"",G3097+H3097)</x:f>
        <x:v>175</x:v>
      </x:c>
      <x:c r="J3097" s="10" t="n">
        <x:v>29</x:v>
      </x:c>
      <x:c r="K3097" s="12" t="n">
        <x:v>20</x:v>
      </x:c>
      <x:c r="L3097" s="1" t="str"/>
      <x:c r="M3097" s="9" t="str">
        <x:v>https://poke.idleworld.online/pokepedia/pokemon/shelgon</x:v>
      </x:c>
    </x:row>
    <x:row r="3098" ht="22" customHeight="1">
      <x:c r="A3098" s="1" t="n">
        <x:v>372</x:v>
      </x:c>
      <x:c r="B3098" s="1" t="str">
        <x:v>Shelgon</x:v>
      </x:c>
      <x:c r="C3098" s="1" t="n">
        <x:v>11</x:v>
      </x:c>
      <x:c r="D3098" s="1" t="str">
        <x:v>Zen Headbutt</x:v>
      </x:c>
      <x:c r="E3098" s="1" t="str">
        <x:v>Psíquico</x:v>
      </x:c>
      <x:c r="F3098" s="1" t="str">
        <x:v>Física</x:v>
      </x:c>
      <x:c r="G3098" s="10" t="n">
        <x:v>80</x:v>
      </x:c>
      <x:c r="H3098" s="10" t="n">
        <x:f>IF(F3098="Física",'Pokémon'!G332,IF(F3098="Especial",'Pokémon'!I332,""))</x:f>
        <x:v>95</x:v>
      </x:c>
      <x:c r="I3098" s="10" t="n">
        <x:f>IF(OR(F3098="Status",G3098=0),"",G3098+H3098)</x:f>
        <x:v>175</x:v>
      </x:c>
      <x:c r="J3098" s="10" t="n">
        <x:v>35</x:v>
      </x:c>
      <x:c r="K3098" s="12" t="n">
        <x:v>22</x:v>
      </x:c>
      <x:c r="L3098" s="1" t="str"/>
      <x:c r="M3098" s="9" t="str">
        <x:v>https://poke.idleworld.online/pokepedia/pokemon/shelgon</x:v>
      </x:c>
    </x:row>
    <x:row r="3099" ht="22" customHeight="1">
      <x:c r="A3099" s="1" t="n">
        <x:v>372</x:v>
      </x:c>
      <x:c r="B3099" s="1" t="str">
        <x:v>Shelgon</x:v>
      </x:c>
      <x:c r="C3099" s="1" t="n">
        <x:v>6</x:v>
      </x:c>
      <x:c r="D3099" s="1" t="str">
        <x:v>Headbutt</x:v>
      </x:c>
      <x:c r="E3099" s="1" t="str">
        <x:v>Normal</x:v>
      </x:c>
      <x:c r="F3099" s="1" t="str">
        <x:v>Física</x:v>
      </x:c>
      <x:c r="G3099" s="10" t="n">
        <x:v>70</x:v>
      </x:c>
      <x:c r="H3099" s="10" t="n">
        <x:f>IF(F3099="Física",'Pokémon'!G332,IF(F3099="Especial",'Pokémon'!I332,""))</x:f>
        <x:v>95</x:v>
      </x:c>
      <x:c r="I3099" s="10" t="n">
        <x:f>IF(OR(F3099="Status",G3099=0),"",G3099+H3099)</x:f>
        <x:v>165</x:v>
      </x:c>
      <x:c r="J3099" s="10" t="n">
        <x:v>17</x:v>
      </x:c>
      <x:c r="K3099" s="12" t="n">
        <x:v>12</x:v>
      </x:c>
      <x:c r="L3099" s="1" t="str"/>
      <x:c r="M3099" s="9" t="str">
        <x:v>https://poke.idleworld.online/pokepedia/pokemon/shelgon</x:v>
      </x:c>
    </x:row>
    <x:row r="3100" ht="22" customHeight="1">
      <x:c r="A3100" s="1" t="n">
        <x:v>372</x:v>
      </x:c>
      <x:c r="B3100" s="1" t="str">
        <x:v>Shelgon</x:v>
      </x:c>
      <x:c r="C3100" s="1" t="n">
        <x:v>4</x:v>
      </x:c>
      <x:c r="D3100" s="1" t="str">
        <x:v>Bite</x:v>
      </x:c>
      <x:c r="E3100" s="1" t="str">
        <x:v>Sombrio</x:v>
      </x:c>
      <x:c r="F3100" s="1" t="str">
        <x:v>Física</x:v>
      </x:c>
      <x:c r="G3100" s="10" t="n">
        <x:v>60</x:v>
      </x:c>
      <x:c r="H3100" s="10" t="n">
        <x:f>IF(F3100="Física",'Pokémon'!G332,IF(F3100="Especial",'Pokémon'!I332,""))</x:f>
        <x:v>95</x:v>
      </x:c>
      <x:c r="I3100" s="10" t="n">
        <x:f>IF(OR(F3100="Status",G3100=0),"",G3100+H3100)</x:f>
        <x:v>155</x:v>
      </x:c>
      <x:c r="J3100" s="10" t="n">
        <x:v>1</x:v>
      </x:c>
      <x:c r="K3100" s="12" t="n">
        <x:v>20</x:v>
      </x:c>
      <x:c r="L3100" s="1" t="str"/>
      <x:c r="M3100" s="9" t="str">
        <x:v>https://poke.idleworld.online/pokepedia/pokemon/shelgon</x:v>
      </x:c>
    </x:row>
    <x:row r="3101" ht="22" customHeight="1">
      <x:c r="A3101" s="1" t="n">
        <x:v>372</x:v>
      </x:c>
      <x:c r="B3101" s="1" t="str">
        <x:v>Shelgon</x:v>
      </x:c>
      <x:c r="C3101" s="1" t="n">
        <x:v>13</x:v>
      </x:c>
      <x:c r="D3101" s="1" t="str">
        <x:v>Flamethrower</x:v>
      </x:c>
      <x:c r="E3101" s="1" t="str">
        <x:v>Fogo</x:v>
      </x:c>
      <x:c r="F3101" s="1" t="str">
        <x:v>Especial</x:v>
      </x:c>
      <x:c r="G3101" s="10" t="n">
        <x:v>90</x:v>
      </x:c>
      <x:c r="H3101" s="10" t="n">
        <x:f>IF(F3101="Física",'Pokémon'!G332,IF(F3101="Especial",'Pokémon'!I332,""))</x:f>
        <x:v>60</x:v>
      </x:c>
      <x:c r="I3101" s="10" t="n">
        <x:f>IF(OR(F3101="Status",G3101=0),"",G3101+H3101)</x:f>
        <x:v>150</x:v>
      </x:c>
      <x:c r="J3101" s="10" t="n">
        <x:v>49</x:v>
      </x:c>
      <x:c r="K3101" s="12" t="n">
        <x:v>22</x:v>
      </x:c>
      <x:c r="L3101" s="1" t="str"/>
      <x:c r="M3101" s="9" t="str">
        <x:v>https://poke.idleworld.online/pokepedia/pokemon/shelgon</x:v>
      </x:c>
    </x:row>
    <x:row r="3102" ht="22" customHeight="1">
      <x:c r="A3102" s="1" t="n">
        <x:v>372</x:v>
      </x:c>
      <x:c r="B3102" s="1" t="str">
        <x:v>Shelgon</x:v>
      </x:c>
      <x:c r="C3102" s="1" t="n">
        <x:v>5</x:v>
      </x:c>
      <x:c r="D3102" s="1" t="str">
        <x:v>Dragon Breath</x:v>
      </x:c>
      <x:c r="E3102" s="1" t="str">
        <x:v>Dragão</x:v>
      </x:c>
      <x:c r="F3102" s="1" t="str">
        <x:v>Especial</x:v>
      </x:c>
      <x:c r="G3102" s="10" t="n">
        <x:v>60</x:v>
      </x:c>
      <x:c r="H3102" s="10" t="n">
        <x:f>IF(F3102="Física",'Pokémon'!G332,IF(F3102="Especial",'Pokémon'!I332,""))</x:f>
        <x:v>60</x:v>
      </x:c>
      <x:c r="I3102" s="10" t="n">
        <x:f>IF(OR(F3102="Status",G3102=0),"",G3102+H3102)</x:f>
        <x:v>120</x:v>
      </x:c>
      <x:c r="J3102" s="10" t="n">
        <x:v>13</x:v>
      </x:c>
      <x:c r="K3102" s="12" t="n">
        <x:v>40</x:v>
      </x:c>
      <x:c r="L3102" s="1" t="str"/>
      <x:c r="M3102" s="9" t="str">
        <x:v>https://poke.idleworld.online/pokepedia/pokemon/shelgon</x:v>
      </x:c>
    </x:row>
    <x:row r="3103" ht="22" customHeight="1">
      <x:c r="A3103" s="1" t="n">
        <x:v>372</x:v>
      </x:c>
      <x:c r="B3103" s="1" t="str">
        <x:v>Shelgon</x:v>
      </x:c>
      <x:c r="C3103" s="1" t="n">
        <x:v>2</x:v>
      </x:c>
      <x:c r="D3103" s="1" t="str">
        <x:v>Rage</x:v>
      </x:c>
      <x:c r="E3103" s="1" t="str">
        <x:v>Normal</x:v>
      </x:c>
      <x:c r="F3103" s="1" t="str">
        <x:v>Física</x:v>
      </x:c>
      <x:c r="G3103" s="10" t="n">
        <x:v>20</x:v>
      </x:c>
      <x:c r="H3103" s="10" t="n">
        <x:f>IF(F3103="Física",'Pokémon'!G332,IF(F3103="Especial",'Pokémon'!I332,""))</x:f>
        <x:v>95</x:v>
      </x:c>
      <x:c r="I3103" s="10" t="n">
        <x:f>IF(OR(F3103="Status",G3103=0),"",G3103+H3103)</x:f>
        <x:v>115</x:v>
      </x:c>
      <x:c r="J3103" s="10" t="n">
        <x:v>1</x:v>
      </x:c>
      <x:c r="K3103" s="12" t="n">
        <x:v>15</x:v>
      </x:c>
      <x:c r="L3103" s="1" t="str"/>
      <x:c r="M3103" s="9" t="str">
        <x:v>https://poke.idleworld.online/pokepedia/pokemon/shelgon</x:v>
      </x:c>
    </x:row>
    <x:row r="3104" ht="22" customHeight="1">
      <x:c r="A3104" s="1" t="n">
        <x:v>372</x:v>
      </x:c>
      <x:c r="B3104" s="1" t="str">
        <x:v>Shelgon</x:v>
      </x:c>
      <x:c r="C3104" s="1" t="n">
        <x:v>3</x:v>
      </x:c>
      <x:c r="D3104" s="1" t="str">
        <x:v>Ember</x:v>
      </x:c>
      <x:c r="E3104" s="1" t="str">
        <x:v>Fogo</x:v>
      </x:c>
      <x:c r="F3104" s="1" t="str">
        <x:v>Especial</x:v>
      </x:c>
      <x:c r="G3104" s="10" t="n">
        <x:v>40</x:v>
      </x:c>
      <x:c r="H3104" s="10" t="n">
        <x:f>IF(F3104="Física",'Pokémon'!G332,IF(F3104="Especial",'Pokémon'!I332,""))</x:f>
        <x:v>60</x:v>
      </x:c>
      <x:c r="I3104" s="10" t="n">
        <x:f>IF(OR(F3104="Status",G3104=0),"",G3104+H3104)</x:f>
        <x:v>100</x:v>
      </x:c>
      <x:c r="J3104" s="10" t="n">
        <x:v>1</x:v>
      </x:c>
      <x:c r="K3104" s="12" t="n">
        <x:v>15</x:v>
      </x:c>
      <x:c r="L3104" s="1" t="str"/>
      <x:c r="M3104" s="9" t="str">
        <x:v>https://poke.idleworld.online/pokepedia/pokemon/shelgon</x:v>
      </x:c>
    </x:row>
    <x:row r="3105" ht="22" customHeight="1">
      <x:c r="A3105" s="1" t="n">
        <x:v>372</x:v>
      </x:c>
      <x:c r="B3105" s="1" t="str">
        <x:v>Shelgon</x:v>
      </x:c>
      <x:c r="C3105" s="1" t="n">
        <x:v>7</x:v>
      </x:c>
      <x:c r="D3105" s="1" t="str">
        <x:v>Focus Energy</x:v>
      </x:c>
      <x:c r="E3105" s="1" t="str">
        <x:v>Normal</x:v>
      </x:c>
      <x:c r="F3105" s="1" t="str">
        <x:v>Status</x:v>
      </x:c>
      <x:c r="G3105" s="10" t="n">
        <x:v>0</x:v>
      </x:c>
      <x:c r="H3105" s="10" t="str">
        <x:f>IF(F3105="Física",'Pokémon'!G332,IF(F3105="Especial",'Pokémon'!I332,""))</x:f>
      </x:c>
      <x:c r="I3105" s="10" t="str">
        <x:f>IF(OR(F3105="Status",G3105=0),"",G3105+H3105)</x:f>
      </x:c>
      <x:c r="J3105" s="10" t="n">
        <x:v>21</x:v>
      </x:c>
      <x:c r="K3105" s="12" t="n">
        <x:v>50</x:v>
      </x:c>
      <x:c r="L3105" s="1" t="str"/>
      <x:c r="M3105" s="9" t="str">
        <x:v>https://poke.idleworld.online/pokepedia/pokemon/shelgon</x:v>
      </x:c>
    </x:row>
    <x:row r="3106" ht="22" customHeight="1">
      <x:c r="A3106" s="1" t="n">
        <x:v>372</x:v>
      </x:c>
      <x:c r="B3106" s="1" t="str">
        <x:v>Shelgon</x:v>
      </x:c>
      <x:c r="C3106" s="1" t="n">
        <x:v>10</x:v>
      </x:c>
      <x:c r="D3106" s="1" t="str">
        <x:v>Protect</x:v>
      </x:c>
      <x:c r="E3106" s="1" t="str">
        <x:v>Normal</x:v>
      </x:c>
      <x:c r="F3106" s="1" t="str">
        <x:v>Status</x:v>
      </x:c>
      <x:c r="G3106" s="10" t="n">
        <x:v>0</x:v>
      </x:c>
      <x:c r="H3106" s="10" t="str">
        <x:f>IF(F3106="Física",'Pokémon'!G332,IF(F3106="Especial",'Pokémon'!I332,""))</x:f>
      </x:c>
      <x:c r="I3106" s="10" t="str">
        <x:f>IF(OR(F3106="Status",G3106=0),"",G3106+H3106)</x:f>
      </x:c>
      <x:c r="J3106" s="10" t="n">
        <x:v>30</x:v>
      </x:c>
      <x:c r="K3106" s="12" t="n">
        <x:v>40</x:v>
      </x:c>
      <x:c r="L3106" s="1" t="str"/>
      <x:c r="M3106" s="9" t="str">
        <x:v>https://poke.idleworld.online/pokepedia/pokemon/shelgon</x:v>
      </x:c>
    </x:row>
    <x:row r="3107" ht="22" customHeight="1">
      <x:c r="A3107" s="1" t="n">
        <x:v>372</x:v>
      </x:c>
      <x:c r="B3107" s="1" t="str">
        <x:v>Shelgon</x:v>
      </x:c>
      <x:c r="C3107" s="1" t="n">
        <x:v>12</x:v>
      </x:c>
      <x:c r="D3107" s="1" t="str">
        <x:v>Scary Face</x:v>
      </x:c>
      <x:c r="E3107" s="1" t="str">
        <x:v>Normal</x:v>
      </x:c>
      <x:c r="F3107" s="1" t="str">
        <x:v>Status</x:v>
      </x:c>
      <x:c r="G3107" s="10" t="n">
        <x:v>0</x:v>
      </x:c>
      <x:c r="H3107" s="10" t="str">
        <x:f>IF(F3107="Física",'Pokémon'!G332,IF(F3107="Especial",'Pokémon'!I332,""))</x:f>
      </x:c>
      <x:c r="I3107" s="10" t="str">
        <x:f>IF(OR(F3107="Status",G3107=0),"",G3107+H3107)</x:f>
      </x:c>
      <x:c r="J3107" s="10" t="n">
        <x:v>42</x:v>
      </x:c>
      <x:c r="K3107" s="12" t="n">
        <x:v>50</x:v>
      </x:c>
      <x:c r="L3107" s="1" t="str"/>
      <x:c r="M3107" s="9" t="str">
        <x:v>https://poke.idleworld.online/pokepedia/pokemon/shelgon</x:v>
      </x:c>
    </x:row>
    <x:row r="3108" ht="22" customHeight="1">
      <x:c r="A3108" s="1" t="n">
        <x:v>373</x:v>
      </x:c>
      <x:c r="B3108" s="1" t="str">
        <x:v>Salamence</x:v>
      </x:c>
      <x:c r="C3108" s="1" t="n">
        <x:v>14</x:v>
      </x:c>
      <x:c r="D3108" s="1" t="str">
        <x:v>Double-Edge</x:v>
      </x:c>
      <x:c r="E3108" s="1" t="str">
        <x:v>Normal</x:v>
      </x:c>
      <x:c r="F3108" s="1" t="str">
        <x:v>Física</x:v>
      </x:c>
      <x:c r="G3108" s="10" t="n">
        <x:v>120</x:v>
      </x:c>
      <x:c r="H3108" s="10" t="n">
        <x:f>IF(F3108="Física",'Pokémon'!G333,IF(F3108="Especial",'Pokémon'!I333,""))</x:f>
        <x:v>135</x:v>
      </x:c>
      <x:c r="I3108" s="10" t="n">
        <x:f>IF(OR(F3108="Status",G3108=0),"",G3108+H3108)</x:f>
        <x:v>255</x:v>
      </x:c>
      <x:c r="J3108" s="10" t="n">
        <x:v>63</x:v>
      </x:c>
      <x:c r="K3108" s="12" t="n">
        <x:v>50</x:v>
      </x:c>
      <x:c r="L3108" s="1" t="str"/>
      <x:c r="M3108" s="9" t="str">
        <x:v>https://poke.idleworld.online/pokepedia/pokemon/salamence</x:v>
      </x:c>
    </x:row>
    <x:row r="3109" ht="22" customHeight="1">
      <x:c r="A3109" s="1" t="n">
        <x:v>373</x:v>
      </x:c>
      <x:c r="B3109" s="1" t="str">
        <x:v>Salamence</x:v>
      </x:c>
      <x:c r="C3109" s="1" t="n">
        <x:v>13</x:v>
      </x:c>
      <x:c r="D3109" s="1" t="str">
        <x:v>Fly</x:v>
      </x:c>
      <x:c r="E3109" s="1" t="str">
        <x:v>Voador</x:v>
      </x:c>
      <x:c r="F3109" s="1" t="str">
        <x:v>Física</x:v>
      </x:c>
      <x:c r="G3109" s="10" t="n">
        <x:v>90</x:v>
      </x:c>
      <x:c r="H3109" s="10" t="n">
        <x:f>IF(F3109="Física",'Pokémon'!G333,IF(F3109="Especial",'Pokémon'!I333,""))</x:f>
        <x:v>135</x:v>
      </x:c>
      <x:c r="I3109" s="10" t="n">
        <x:f>IF(OR(F3109="Status",G3109=0),"",G3109+H3109)</x:f>
        <x:v>225</x:v>
      </x:c>
      <x:c r="J3109" s="10" t="n">
        <x:v>50</x:v>
      </x:c>
      <x:c r="K3109" s="12" t="n">
        <x:v>22</x:v>
      </x:c>
      <x:c r="L3109" s="1" t="str"/>
      <x:c r="M3109" s="9" t="str">
        <x:v>https://poke.idleworld.online/pokepedia/pokemon/salamence</x:v>
      </x:c>
    </x:row>
    <x:row r="3110" ht="22" customHeight="1">
      <x:c r="A3110" s="1" t="n">
        <x:v>373</x:v>
      </x:c>
      <x:c r="B3110" s="1" t="str">
        <x:v>Salamence</x:v>
      </x:c>
      <x:c r="C3110" s="1" t="n">
        <x:v>9</x:v>
      </x:c>
      <x:c r="D3110" s="1" t="str">
        <x:v>Crunch</x:v>
      </x:c>
      <x:c r="E3110" s="1" t="str">
        <x:v>Sombrio</x:v>
      </x:c>
      <x:c r="F3110" s="1" t="str">
        <x:v>Física</x:v>
      </x:c>
      <x:c r="G3110" s="10" t="n">
        <x:v>80</x:v>
      </x:c>
      <x:c r="H3110" s="10" t="n">
        <x:f>IF(F3110="Física",'Pokémon'!G333,IF(F3110="Especial",'Pokémon'!I333,""))</x:f>
        <x:v>135</x:v>
      </x:c>
      <x:c r="I3110" s="10" t="n">
        <x:f>IF(OR(F3110="Status",G3110=0),"",G3110+H3110)</x:f>
        <x:v>215</x:v>
      </x:c>
      <x:c r="J3110" s="10" t="n">
        <x:v>25</x:v>
      </x:c>
      <x:c r="K3110" s="12" t="n">
        <x:v>22</x:v>
      </x:c>
      <x:c r="L3110" s="1" t="str"/>
      <x:c r="M3110" s="9" t="str">
        <x:v>https://poke.idleworld.online/pokepedia/pokemon/salamence</x:v>
      </x:c>
    </x:row>
    <x:row r="3111" ht="22" customHeight="1">
      <x:c r="A3111" s="1" t="n">
        <x:v>373</x:v>
      </x:c>
      <x:c r="B3111" s="1" t="str">
        <x:v>Salamence</x:v>
      </x:c>
      <x:c r="C3111" s="1" t="n">
        <x:v>10</x:v>
      </x:c>
      <x:c r="D3111" s="1" t="str">
        <x:v>Dragon Claw</x:v>
      </x:c>
      <x:c r="E3111" s="1" t="str">
        <x:v>Dragão</x:v>
      </x:c>
      <x:c r="F3111" s="1" t="str">
        <x:v>Física</x:v>
      </x:c>
      <x:c r="G3111" s="10" t="n">
        <x:v>80</x:v>
      </x:c>
      <x:c r="H3111" s="10" t="n">
        <x:f>IF(F3111="Física",'Pokémon'!G333,IF(F3111="Especial",'Pokémon'!I333,""))</x:f>
        <x:v>135</x:v>
      </x:c>
      <x:c r="I3111" s="10" t="n">
        <x:f>IF(OR(F3111="Status",G3111=0),"",G3111+H3111)</x:f>
        <x:v>215</x:v>
      </x:c>
      <x:c r="J3111" s="10" t="n">
        <x:v>29</x:v>
      </x:c>
      <x:c r="K3111" s="12" t="n">
        <x:v>22</x:v>
      </x:c>
      <x:c r="L3111" s="1" t="str"/>
      <x:c r="M3111" s="9" t="str">
        <x:v>https://poke.idleworld.online/pokepedia/pokemon/salamence</x:v>
      </x:c>
    </x:row>
    <x:row r="3112" ht="22" customHeight="1">
      <x:c r="A3112" s="1" t="n">
        <x:v>373</x:v>
      </x:c>
      <x:c r="B3112" s="1" t="str">
        <x:v>Salamence</x:v>
      </x:c>
      <x:c r="C3112" s="1" t="n">
        <x:v>11</x:v>
      </x:c>
      <x:c r="D3112" s="1" t="str">
        <x:v>Zen Headbutt</x:v>
      </x:c>
      <x:c r="E3112" s="1" t="str">
        <x:v>Psíquico</x:v>
      </x:c>
      <x:c r="F3112" s="1" t="str">
        <x:v>Física</x:v>
      </x:c>
      <x:c r="G3112" s="10" t="n">
        <x:v>80</x:v>
      </x:c>
      <x:c r="H3112" s="10" t="n">
        <x:f>IF(F3112="Física",'Pokémon'!G333,IF(F3112="Especial",'Pokémon'!I333,""))</x:f>
        <x:v>135</x:v>
      </x:c>
      <x:c r="I3112" s="10" t="n">
        <x:f>IF(OR(F3112="Status",G3112=0),"",G3112+H3112)</x:f>
        <x:v>215</x:v>
      </x:c>
      <x:c r="J3112" s="10" t="n">
        <x:v>35</x:v>
      </x:c>
      <x:c r="K3112" s="12" t="n">
        <x:v>22</x:v>
      </x:c>
      <x:c r="L3112" s="1" t="str"/>
      <x:c r="M3112" s="9" t="str">
        <x:v>https://poke.idleworld.online/pokepedia/pokemon/salamence</x:v>
      </x:c>
    </x:row>
    <x:row r="3113" ht="22" customHeight="1">
      <x:c r="A3113" s="1" t="n">
        <x:v>373</x:v>
      </x:c>
      <x:c r="B3113" s="1" t="str">
        <x:v>Salamence</x:v>
      </x:c>
      <x:c r="C3113" s="1" t="n">
        <x:v>8</x:v>
      </x:c>
      <x:c r="D3113" s="1" t="str">
        <x:v>Headbutt</x:v>
      </x:c>
      <x:c r="E3113" s="1" t="str">
        <x:v>Normal</x:v>
      </x:c>
      <x:c r="F3113" s="1" t="str">
        <x:v>Física</x:v>
      </x:c>
      <x:c r="G3113" s="10" t="n">
        <x:v>70</x:v>
      </x:c>
      <x:c r="H3113" s="10" t="n">
        <x:f>IF(F3113="Física",'Pokémon'!G333,IF(F3113="Especial",'Pokémon'!I333,""))</x:f>
        <x:v>135</x:v>
      </x:c>
      <x:c r="I3113" s="10" t="n">
        <x:f>IF(OR(F3113="Status",G3113=0),"",G3113+H3113)</x:f>
        <x:v>205</x:v>
      </x:c>
      <x:c r="J3113" s="10" t="n">
        <x:v>17</x:v>
      </x:c>
      <x:c r="K3113" s="12" t="n">
        <x:v>20</x:v>
      </x:c>
      <x:c r="L3113" s="1" t="str"/>
      <x:c r="M3113" s="9" t="str">
        <x:v>https://poke.idleworld.online/pokepedia/pokemon/salamence</x:v>
      </x:c>
    </x:row>
    <x:row r="3114" ht="22" customHeight="1">
      <x:c r="A3114" s="1" t="n">
        <x:v>373</x:v>
      </x:c>
      <x:c r="B3114" s="1" t="str">
        <x:v>Salamence</x:v>
      </x:c>
      <x:c r="C3114" s="1" t="n">
        <x:v>12</x:v>
      </x:c>
      <x:c r="D3114" s="1" t="str">
        <x:v>Flamethrower</x:v>
      </x:c>
      <x:c r="E3114" s="1" t="str">
        <x:v>Fogo</x:v>
      </x:c>
      <x:c r="F3114" s="1" t="str">
        <x:v>Especial</x:v>
      </x:c>
      <x:c r="G3114" s="10" t="n">
        <x:v>90</x:v>
      </x:c>
      <x:c r="H3114" s="10" t="n">
        <x:f>IF(F3114="Física",'Pokémon'!G333,IF(F3114="Especial",'Pokémon'!I333,""))</x:f>
        <x:v>110</x:v>
      </x:c>
      <x:c r="I3114" s="10" t="n">
        <x:f>IF(OR(F3114="Status",G3114=0),"",G3114+H3114)</x:f>
        <x:v>200</x:v>
      </x:c>
      <x:c r="J3114" s="10" t="n">
        <x:v>49</x:v>
      </x:c>
      <x:c r="K3114" s="12" t="n">
        <x:v>22</x:v>
      </x:c>
      <x:c r="L3114" s="1" t="str"/>
      <x:c r="M3114" s="9" t="str">
        <x:v>https://poke.idleworld.online/pokepedia/pokemon/salamence</x:v>
      </x:c>
    </x:row>
    <x:row r="3115" ht="22" customHeight="1">
      <x:c r="A3115" s="1" t="n">
        <x:v>373</x:v>
      </x:c>
      <x:c r="B3115" s="1" t="str">
        <x:v>Salamence</x:v>
      </x:c>
      <x:c r="C3115" s="1" t="n">
        <x:v>5</x:v>
      </x:c>
      <x:c r="D3115" s="1" t="str">
        <x:v>Thunder Fang</x:v>
      </x:c>
      <x:c r="E3115" s="1" t="str">
        <x:v>Elétrico</x:v>
      </x:c>
      <x:c r="F3115" s="1" t="str">
        <x:v>Física</x:v>
      </x:c>
      <x:c r="G3115" s="10" t="n">
        <x:v>65</x:v>
      </x:c>
      <x:c r="H3115" s="10" t="n">
        <x:f>IF(F3115="Física",'Pokémon'!G333,IF(F3115="Especial",'Pokémon'!I333,""))</x:f>
        <x:v>135</x:v>
      </x:c>
      <x:c r="I3115" s="10" t="n">
        <x:f>IF(OR(F3115="Status",G3115=0),"",G3115+H3115)</x:f>
        <x:v>200</x:v>
      </x:c>
      <x:c r="J3115" s="10" t="n">
        <x:v>1</x:v>
      </x:c>
      <x:c r="K3115" s="12" t="n">
        <x:v>20</x:v>
      </x:c>
      <x:c r="L3115" s="1" t="str"/>
      <x:c r="M3115" s="9" t="str">
        <x:v>https://poke.idleworld.online/pokepedia/pokemon/salamence</x:v>
      </x:c>
    </x:row>
    <x:row r="3116" ht="22" customHeight="1">
      <x:c r="A3116" s="1" t="n">
        <x:v>373</x:v>
      </x:c>
      <x:c r="B3116" s="1" t="str">
        <x:v>Salamence</x:v>
      </x:c>
      <x:c r="C3116" s="1" t="n">
        <x:v>6</x:v>
      </x:c>
      <x:c r="D3116" s="1" t="str">
        <x:v>Fire Fang</x:v>
      </x:c>
      <x:c r="E3116" s="1" t="str">
        <x:v>Fogo</x:v>
      </x:c>
      <x:c r="F3116" s="1" t="str">
        <x:v>Física</x:v>
      </x:c>
      <x:c r="G3116" s="10" t="n">
        <x:v>65</x:v>
      </x:c>
      <x:c r="H3116" s="10" t="n">
        <x:f>IF(F3116="Física",'Pokémon'!G333,IF(F3116="Especial",'Pokémon'!I333,""))</x:f>
        <x:v>135</x:v>
      </x:c>
      <x:c r="I3116" s="10" t="n">
        <x:f>IF(OR(F3116="Status",G3116=0),"",G3116+H3116)</x:f>
        <x:v>200</x:v>
      </x:c>
      <x:c r="J3116" s="10" t="n">
        <x:v>1</x:v>
      </x:c>
      <x:c r="K3116" s="12" t="n">
        <x:v>20</x:v>
      </x:c>
      <x:c r="L3116" s="1" t="str"/>
      <x:c r="M3116" s="9" t="str">
        <x:v>https://poke.idleworld.online/pokepedia/pokemon/salamence</x:v>
      </x:c>
    </x:row>
    <x:row r="3117" ht="22" customHeight="1">
      <x:c r="A3117" s="1" t="n">
        <x:v>373</x:v>
      </x:c>
      <x:c r="B3117" s="1" t="str">
        <x:v>Salamence</x:v>
      </x:c>
      <x:c r="C3117" s="1" t="n">
        <x:v>1</x:v>
      </x:c>
      <x:c r="D3117" s="1" t="str">
        <x:v>Dragon Tail</x:v>
      </x:c>
      <x:c r="E3117" s="1" t="str">
        <x:v>Dragão</x:v>
      </x:c>
      <x:c r="F3117" s="1" t="str">
        <x:v>Física</x:v>
      </x:c>
      <x:c r="G3117" s="10" t="n">
        <x:v>60</x:v>
      </x:c>
      <x:c r="H3117" s="10" t="n">
        <x:f>IF(F3117="Física",'Pokémon'!G333,IF(F3117="Especial",'Pokémon'!I333,""))</x:f>
        <x:v>135</x:v>
      </x:c>
      <x:c r="I3117" s="10" t="n">
        <x:f>IF(OR(F3117="Status",G3117=0),"",G3117+H3117)</x:f>
        <x:v>195</x:v>
      </x:c>
      <x:c r="J3117" s="10" t="n">
        <x:v>1</x:v>
      </x:c>
      <x:c r="K3117" s="12" t="n">
        <x:v>10</x:v>
      </x:c>
      <x:c r="L3117" s="1" t="str"/>
      <x:c r="M3117" s="9" t="str">
        <x:v>https://poke.idleworld.online/pokepedia/pokemon/salamence</x:v>
      </x:c>
    </x:row>
    <x:row r="3118" ht="22" customHeight="1">
      <x:c r="A3118" s="1" t="n">
        <x:v>373</x:v>
      </x:c>
      <x:c r="B3118" s="1" t="str">
        <x:v>Salamence</x:v>
      </x:c>
      <x:c r="C3118" s="1" t="n">
        <x:v>4</x:v>
      </x:c>
      <x:c r="D3118" s="1" t="str">
        <x:v>Bite</x:v>
      </x:c>
      <x:c r="E3118" s="1" t="str">
        <x:v>Sombrio</x:v>
      </x:c>
      <x:c r="F3118" s="1" t="str">
        <x:v>Física</x:v>
      </x:c>
      <x:c r="G3118" s="10" t="n">
        <x:v>60</x:v>
      </x:c>
      <x:c r="H3118" s="10" t="n">
        <x:f>IF(F3118="Física",'Pokémon'!G333,IF(F3118="Especial",'Pokémon'!I333,""))</x:f>
        <x:v>135</x:v>
      </x:c>
      <x:c r="I3118" s="10" t="n">
        <x:f>IF(OR(F3118="Status",G3118=0),"",G3118+H3118)</x:f>
        <x:v>195</x:v>
      </x:c>
      <x:c r="J3118" s="10" t="n">
        <x:v>1</x:v>
      </x:c>
      <x:c r="K3118" s="12" t="n">
        <x:v>20</x:v>
      </x:c>
      <x:c r="L3118" s="1" t="str"/>
      <x:c r="M3118" s="9" t="str">
        <x:v>https://poke.idleworld.online/pokepedia/pokemon/salamence</x:v>
      </x:c>
    </x:row>
    <x:row r="3119" ht="22" customHeight="1">
      <x:c r="A3119" s="1" t="n">
        <x:v>373</x:v>
      </x:c>
      <x:c r="B3119" s="1" t="str">
        <x:v>Salamence</x:v>
      </x:c>
      <x:c r="C3119" s="1" t="n">
        <x:v>7</x:v>
      </x:c>
      <x:c r="D3119" s="1" t="str">
        <x:v>Dragon Breath</x:v>
      </x:c>
      <x:c r="E3119" s="1" t="str">
        <x:v>Dragão</x:v>
      </x:c>
      <x:c r="F3119" s="1" t="str">
        <x:v>Especial</x:v>
      </x:c>
      <x:c r="G3119" s="10" t="n">
        <x:v>60</x:v>
      </x:c>
      <x:c r="H3119" s="10" t="n">
        <x:f>IF(F3119="Física",'Pokémon'!G333,IF(F3119="Especial",'Pokémon'!I333,""))</x:f>
        <x:v>110</x:v>
      </x:c>
      <x:c r="I3119" s="10" t="n">
        <x:f>IF(OR(F3119="Status",G3119=0),"",G3119+H3119)</x:f>
        <x:v>170</x:v>
      </x:c>
      <x:c r="J3119" s="10" t="n">
        <x:v>13</x:v>
      </x:c>
      <x:c r="K3119" s="12" t="n">
        <x:v>30</x:v>
      </x:c>
      <x:c r="L3119" s="1" t="str"/>
      <x:c r="M3119" s="9" t="str">
        <x:v>https://poke.idleworld.online/pokepedia/pokemon/salamence</x:v>
      </x:c>
    </x:row>
    <x:row r="3120" ht="22" customHeight="1">
      <x:c r="A3120" s="1" t="n">
        <x:v>373</x:v>
      </x:c>
      <x:c r="B3120" s="1" t="str">
        <x:v>Salamence</x:v>
      </x:c>
      <x:c r="C3120" s="1" t="n">
        <x:v>2</x:v>
      </x:c>
      <x:c r="D3120" s="1" t="str">
        <x:v>Rage</x:v>
      </x:c>
      <x:c r="E3120" s="1" t="str">
        <x:v>Normal</x:v>
      </x:c>
      <x:c r="F3120" s="1" t="str">
        <x:v>Física</x:v>
      </x:c>
      <x:c r="G3120" s="10" t="n">
        <x:v>20</x:v>
      </x:c>
      <x:c r="H3120" s="10" t="n">
        <x:f>IF(F3120="Física",'Pokémon'!G333,IF(F3120="Especial",'Pokémon'!I333,""))</x:f>
        <x:v>135</x:v>
      </x:c>
      <x:c r="I3120" s="10" t="n">
        <x:f>IF(OR(F3120="Status",G3120=0),"",G3120+H3120)</x:f>
        <x:v>155</x:v>
      </x:c>
      <x:c r="J3120" s="10" t="n">
        <x:v>1</x:v>
      </x:c>
      <x:c r="K3120" s="12" t="n">
        <x:v>15</x:v>
      </x:c>
      <x:c r="L3120" s="1" t="str"/>
      <x:c r="M3120" s="9" t="str">
        <x:v>https://poke.idleworld.online/pokepedia/pokemon/salamence</x:v>
      </x:c>
    </x:row>
    <x:row r="3121" ht="22" customHeight="1">
      <x:c r="A3121" s="1" t="n">
        <x:v>373</x:v>
      </x:c>
      <x:c r="B3121" s="1" t="str">
        <x:v>Salamence</x:v>
      </x:c>
      <x:c r="C3121" s="1" t="n">
        <x:v>3</x:v>
      </x:c>
      <x:c r="D3121" s="1" t="str">
        <x:v>Ember</x:v>
      </x:c>
      <x:c r="E3121" s="1" t="str">
        <x:v>Fogo</x:v>
      </x:c>
      <x:c r="F3121" s="1" t="str">
        <x:v>Especial</x:v>
      </x:c>
      <x:c r="G3121" s="10" t="n">
        <x:v>40</x:v>
      </x:c>
      <x:c r="H3121" s="10" t="n">
        <x:f>IF(F3121="Física",'Pokémon'!G333,IF(F3121="Especial",'Pokémon'!I333,""))</x:f>
        <x:v>110</x:v>
      </x:c>
      <x:c r="I3121" s="10" t="n">
        <x:f>IF(OR(F3121="Status",G3121=0),"",G3121+H3121)</x:f>
        <x:v>150</x:v>
      </x:c>
      <x:c r="J3121" s="10" t="n">
        <x:v>1</x:v>
      </x:c>
      <x:c r="K3121" s="12" t="n">
        <x:v>15</x:v>
      </x:c>
      <x:c r="L3121" s="1" t="str"/>
      <x:c r="M3121" s="9" t="str">
        <x:v>https://poke.idleworld.online/pokepedia/pokemon/salamence</x:v>
      </x:c>
    </x:row>
    <x:row r="3122" ht="22" customHeight="1">
      <x:c r="A3122" s="1" t="n">
        <x:v>374</x:v>
      </x:c>
      <x:c r="B3122" s="1" t="str">
        <x:v>Beldum</x:v>
      </x:c>
      <x:c r="C3122" s="1" t="n">
        <x:v>1</x:v>
      </x:c>
      <x:c r="D3122" s="1" t="str">
        <x:v>Take Down</x:v>
      </x:c>
      <x:c r="E3122" s="1" t="str">
        <x:v>Normal</x:v>
      </x:c>
      <x:c r="F3122" s="1" t="str">
        <x:v>Física</x:v>
      </x:c>
      <x:c r="G3122" s="10" t="n">
        <x:v>90</x:v>
      </x:c>
      <x:c r="H3122" s="10" t="n">
        <x:f>IF(F3122="Física",'Pokémon'!G334,IF(F3122="Especial",'Pokémon'!I334,""))</x:f>
        <x:v>55</x:v>
      </x:c>
      <x:c r="I3122" s="10" t="n">
        <x:f>IF(OR(F3122="Status",G3122=0),"",G3122+H3122)</x:f>
        <x:v>145</x:v>
      </x:c>
      <x:c r="J3122" s="10" t="n">
        <x:v>1</x:v>
      </x:c>
      <x:c r="K3122" s="12" t="n">
        <x:v>22</x:v>
      </x:c>
      <x:c r="L3122" s="1" t="str"/>
      <x:c r="M3122" s="9" t="str">
        <x:v>https://poke.idleworld.online/pokepedia/pokemon/beldum</x:v>
      </x:c>
    </x:row>
    <x:row r="3123" ht="22" customHeight="1">
      <x:c r="A3123" s="1" t="n">
        <x:v>375</x:v>
      </x:c>
      <x:c r="B3123" s="1" t="str">
        <x:v>Metang</x:v>
      </x:c>
      <x:c r="C3123" s="1" t="n">
        <x:v>9</x:v>
      </x:c>
      <x:c r="D3123" s="1" t="str">
        <x:v>Hyper Beam</x:v>
      </x:c>
      <x:c r="E3123" s="1" t="str">
        <x:v>Normal</x:v>
      </x:c>
      <x:c r="F3123" s="1" t="str">
        <x:v>Especial</x:v>
      </x:c>
      <x:c r="G3123" s="10" t="n">
        <x:v>150</x:v>
      </x:c>
      <x:c r="H3123" s="10" t="n">
        <x:f>IF(F3123="Física",'Pokémon'!G335,IF(F3123="Especial",'Pokémon'!I335,""))</x:f>
        <x:v>55</x:v>
      </x:c>
      <x:c r="I3123" s="10" t="n">
        <x:f>IF(OR(F3123="Status",G3123=0),"",G3123+H3123)</x:f>
        <x:v>205</x:v>
      </x:c>
      <x:c r="J3123" s="10" t="n">
        <x:v>50</x:v>
      </x:c>
      <x:c r="K3123" s="12" t="n">
        <x:v>50</x:v>
      </x:c>
      <x:c r="L3123" s="1" t="str"/>
      <x:c r="M3123" s="9" t="str">
        <x:v>https://poke.idleworld.online/pokepedia/pokemon/metang</x:v>
      </x:c>
    </x:row>
    <x:row r="3124" ht="22" customHeight="1">
      <x:c r="A3124" s="1" t="n">
        <x:v>375</x:v>
      </x:c>
      <x:c r="B3124" s="1" t="str">
        <x:v>Metang</x:v>
      </x:c>
      <x:c r="C3124" s="1" t="n">
        <x:v>3</x:v>
      </x:c>
      <x:c r="D3124" s="1" t="str">
        <x:v>Take Down</x:v>
      </x:c>
      <x:c r="E3124" s="1" t="str">
        <x:v>Normal</x:v>
      </x:c>
      <x:c r="F3124" s="1" t="str">
        <x:v>Física</x:v>
      </x:c>
      <x:c r="G3124" s="10" t="n">
        <x:v>90</x:v>
      </x:c>
      <x:c r="H3124" s="10" t="n">
        <x:f>IF(F3124="Física",'Pokémon'!G335,IF(F3124="Especial",'Pokémon'!I335,""))</x:f>
        <x:v>75</x:v>
      </x:c>
      <x:c r="I3124" s="10" t="n">
        <x:f>IF(OR(F3124="Status",G3124=0),"",G3124+H3124)</x:f>
        <x:v>165</x:v>
      </x:c>
      <x:c r="J3124" s="10" t="n">
        <x:v>1</x:v>
      </x:c>
      <x:c r="K3124" s="12" t="n">
        <x:v>22</x:v>
      </x:c>
      <x:c r="L3124" s="1" t="str"/>
      <x:c r="M3124" s="9" t="str">
        <x:v>https://poke.idleworld.online/pokepedia/pokemon/metang</x:v>
      </x:c>
    </x:row>
    <x:row r="3125" ht="22" customHeight="1">
      <x:c r="A3125" s="1" t="n">
        <x:v>375</x:v>
      </x:c>
      <x:c r="B3125" s="1" t="str">
        <x:v>Metang</x:v>
      </x:c>
      <x:c r="C3125" s="1" t="n">
        <x:v>8</x:v>
      </x:c>
      <x:c r="D3125" s="1" t="str">
        <x:v>Meteor Mash</x:v>
      </x:c>
      <x:c r="E3125" s="1" t="str">
        <x:v>Aço</x:v>
      </x:c>
      <x:c r="F3125" s="1" t="str">
        <x:v>Física</x:v>
      </x:c>
      <x:c r="G3125" s="10" t="n">
        <x:v>90</x:v>
      </x:c>
      <x:c r="H3125" s="10" t="n">
        <x:f>IF(F3125="Física",'Pokémon'!G335,IF(F3125="Especial",'Pokémon'!I335,""))</x:f>
        <x:v>75</x:v>
      </x:c>
      <x:c r="I3125" s="10" t="n">
        <x:f>IF(OR(F3125="Status",G3125=0),"",G3125+H3125)</x:f>
        <x:v>165</x:v>
      </x:c>
      <x:c r="J3125" s="10" t="n">
        <x:v>44</x:v>
      </x:c>
      <x:c r="K3125" s="12" t="n">
        <x:v>60</x:v>
      </x:c>
      <x:c r="L3125" s="1" t="str"/>
      <x:c r="M3125" s="9" t="str">
        <x:v>https://poke.idleworld.online/pokepedia/pokemon/metang</x:v>
      </x:c>
    </x:row>
    <x:row r="3126" ht="22" customHeight="1">
      <x:c r="A3126" s="1" t="n">
        <x:v>375</x:v>
      </x:c>
      <x:c r="B3126" s="1" t="str">
        <x:v>Metang</x:v>
      </x:c>
      <x:c r="C3126" s="1" t="n">
        <x:v>6</x:v>
      </x:c>
      <x:c r="D3126" s="1" t="str">
        <x:v>Zen Headbutt</x:v>
      </x:c>
      <x:c r="E3126" s="1" t="str">
        <x:v>Psíquico</x:v>
      </x:c>
      <x:c r="F3126" s="1" t="str">
        <x:v>Física</x:v>
      </x:c>
      <x:c r="G3126" s="10" t="n">
        <x:v>80</x:v>
      </x:c>
      <x:c r="H3126" s="10" t="n">
        <x:f>IF(F3126="Física",'Pokémon'!G335,IF(F3126="Especial",'Pokémon'!I335,""))</x:f>
        <x:v>75</x:v>
      </x:c>
      <x:c r="I3126" s="10" t="n">
        <x:f>IF(OR(F3126="Status",G3126=0),"",G3126+H3126)</x:f>
        <x:v>155</x:v>
      </x:c>
      <x:c r="J3126" s="10" t="n">
        <x:v>32</x:v>
      </x:c>
      <x:c r="K3126" s="12" t="n">
        <x:v>22</x:v>
      </x:c>
      <x:c r="L3126" s="1" t="str"/>
      <x:c r="M3126" s="9" t="str">
        <x:v>https://poke.idleworld.online/pokepedia/pokemon/metang</x:v>
      </x:c>
    </x:row>
    <x:row r="3127" ht="22" customHeight="1">
      <x:c r="A3127" s="1" t="n">
        <x:v>375</x:v>
      </x:c>
      <x:c r="B3127" s="1" t="str">
        <x:v>Metang</x:v>
      </x:c>
      <x:c r="C3127" s="1" t="n">
        <x:v>7</x:v>
      </x:c>
      <x:c r="D3127" s="1" t="str">
        <x:v>Psychic</x:v>
      </x:c>
      <x:c r="E3127" s="1" t="str">
        <x:v>Psíquico</x:v>
      </x:c>
      <x:c r="F3127" s="1" t="str">
        <x:v>Especial</x:v>
      </x:c>
      <x:c r="G3127" s="10" t="n">
        <x:v>90</x:v>
      </x:c>
      <x:c r="H3127" s="10" t="n">
        <x:f>IF(F3127="Física",'Pokémon'!G335,IF(F3127="Especial",'Pokémon'!I335,""))</x:f>
        <x:v>55</x:v>
      </x:c>
      <x:c r="I3127" s="10" t="n">
        <x:f>IF(OR(F3127="Status",G3127=0),"",G3127+H3127)</x:f>
        <x:v>145</x:v>
      </x:c>
      <x:c r="J3127" s="10" t="n">
        <x:v>38</x:v>
      </x:c>
      <x:c r="K3127" s="12" t="n">
        <x:v>22</x:v>
      </x:c>
      <x:c r="L3127" s="1" t="str"/>
      <x:c r="M3127" s="9" t="str">
        <x:v>https://poke.idleworld.online/pokepedia/pokemon/metang</x:v>
      </x:c>
    </x:row>
    <x:row r="3128" ht="22" customHeight="1">
      <x:c r="A3128" s="1" t="n">
        <x:v>375</x:v>
      </x:c>
      <x:c r="B3128" s="1" t="str">
        <x:v>Metang</x:v>
      </x:c>
      <x:c r="C3128" s="1" t="n">
        <x:v>1</x:v>
      </x:c>
      <x:c r="D3128" s="1" t="str">
        <x:v>Metal Claw</x:v>
      </x:c>
      <x:c r="E3128" s="1" t="str">
        <x:v>Aço</x:v>
      </x:c>
      <x:c r="F3128" s="1" t="str">
        <x:v>Física</x:v>
      </x:c>
      <x:c r="G3128" s="10" t="n">
        <x:v>50</x:v>
      </x:c>
      <x:c r="H3128" s="10" t="n">
        <x:f>IF(F3128="Física",'Pokémon'!G335,IF(F3128="Especial",'Pokémon'!I335,""))</x:f>
        <x:v>75</x:v>
      </x:c>
      <x:c r="I3128" s="10" t="n">
        <x:f>IF(OR(F3128="Status",G3128=0),"",G3128+H3128)</x:f>
        <x:v>125</x:v>
      </x:c>
      <x:c r="J3128" s="10" t="n">
        <x:v>1</x:v>
      </x:c>
      <x:c r="K3128" s="12" t="n">
        <x:v>50</x:v>
      </x:c>
      <x:c r="L3128" s="1" t="str"/>
      <x:c r="M3128" s="9" t="str">
        <x:v>https://poke.idleworld.online/pokepedia/pokemon/metang</x:v>
      </x:c>
    </x:row>
    <x:row r="3129" ht="22" customHeight="1">
      <x:c r="A3129" s="1" t="n">
        <x:v>375</x:v>
      </x:c>
      <x:c r="B3129" s="1" t="str">
        <x:v>Metang</x:v>
      </x:c>
      <x:c r="C3129" s="1" t="n">
        <x:v>4</x:v>
      </x:c>
      <x:c r="D3129" s="1" t="str">
        <x:v>Pursuit</x:v>
      </x:c>
      <x:c r="E3129" s="1" t="str">
        <x:v>Sombrio</x:v>
      </x:c>
      <x:c r="F3129" s="1" t="str">
        <x:v>Física</x:v>
      </x:c>
      <x:c r="G3129" s="10" t="n">
        <x:v>40</x:v>
      </x:c>
      <x:c r="H3129" s="10" t="n">
        <x:f>IF(F3129="Física",'Pokémon'!G335,IF(F3129="Especial",'Pokémon'!I335,""))</x:f>
        <x:v>75</x:v>
      </x:c>
      <x:c r="I3129" s="10" t="n">
        <x:f>IF(OR(F3129="Status",G3129=0),"",G3129+H3129)</x:f>
        <x:v>115</x:v>
      </x:c>
      <x:c r="J3129" s="10" t="n">
        <x:v>23</x:v>
      </x:c>
      <x:c r="K3129" s="12" t="n">
        <x:v>15</x:v>
      </x:c>
      <x:c r="L3129" s="1" t="str"/>
      <x:c r="M3129" s="9" t="str">
        <x:v>https://poke.idleworld.online/pokepedia/pokemon/metang</x:v>
      </x:c>
    </x:row>
    <x:row r="3130" ht="22" customHeight="1">
      <x:c r="A3130" s="1" t="n">
        <x:v>375</x:v>
      </x:c>
      <x:c r="B3130" s="1" t="str">
        <x:v>Metang</x:v>
      </x:c>
      <x:c r="C3130" s="1" t="n">
        <x:v>5</x:v>
      </x:c>
      <x:c r="D3130" s="1" t="str">
        <x:v>Bullet Punch</x:v>
      </x:c>
      <x:c r="E3130" s="1" t="str">
        <x:v>Aço</x:v>
      </x:c>
      <x:c r="F3130" s="1" t="str">
        <x:v>Física</x:v>
      </x:c>
      <x:c r="G3130" s="10" t="n">
        <x:v>40</x:v>
      </x:c>
      <x:c r="H3130" s="10" t="n">
        <x:f>IF(F3130="Física",'Pokémon'!G335,IF(F3130="Especial",'Pokémon'!I335,""))</x:f>
        <x:v>75</x:v>
      </x:c>
      <x:c r="I3130" s="10" t="n">
        <x:f>IF(OR(F3130="Status",G3130=0),"",G3130+H3130)</x:f>
        <x:v>115</x:v>
      </x:c>
      <x:c r="J3130" s="10" t="n">
        <x:v>26</x:v>
      </x:c>
      <x:c r="K3130" s="12" t="n">
        <x:v>15</x:v>
      </x:c>
      <x:c r="L3130" s="1" t="str"/>
      <x:c r="M3130" s="9" t="str">
        <x:v>https://poke.idleworld.online/pokepedia/pokemon/metang</x:v>
      </x:c>
    </x:row>
    <x:row r="3131" ht="22" customHeight="1">
      <x:c r="A3131" s="1" t="n">
        <x:v>375</x:v>
      </x:c>
      <x:c r="B3131" s="1" t="str">
        <x:v>Metang</x:v>
      </x:c>
      <x:c r="C3131" s="1" t="n">
        <x:v>2</x:v>
      </x:c>
      <x:c r="D3131" s="1" t="str">
        <x:v>Confusion</x:v>
      </x:c>
      <x:c r="E3131" s="1" t="str">
        <x:v>Psíquico</x:v>
      </x:c>
      <x:c r="F3131" s="1" t="str">
        <x:v>Especial</x:v>
      </x:c>
      <x:c r="G3131" s="10" t="n">
        <x:v>50</x:v>
      </x:c>
      <x:c r="H3131" s="10" t="n">
        <x:f>IF(F3131="Física",'Pokémon'!G335,IF(F3131="Especial",'Pokémon'!I335,""))</x:f>
        <x:v>55</x:v>
      </x:c>
      <x:c r="I3131" s="10" t="n">
        <x:f>IF(OR(F3131="Status",G3131=0),"",G3131+H3131)</x:f>
        <x:v>105</x:v>
      </x:c>
      <x:c r="J3131" s="10" t="n">
        <x:v>1</x:v>
      </x:c>
      <x:c r="K3131" s="12" t="n">
        <x:v>15</x:v>
      </x:c>
      <x:c r="L3131" s="1" t="str"/>
      <x:c r="M3131" s="9" t="str">
        <x:v>https://poke.idleworld.online/pokepedia/pokemon/metang</x:v>
      </x:c>
    </x:row>
    <x:row r="3132" ht="22" customHeight="1">
      <x:c r="A3132" s="1" t="n">
        <x:v>376</x:v>
      </x:c>
      <x:c r="B3132" s="1" t="str">
        <x:v>Metagross</x:v>
      </x:c>
      <x:c r="C3132" s="1" t="n">
        <x:v>10</x:v>
      </x:c>
      <x:c r="D3132" s="1" t="str">
        <x:v>Hyper Beam</x:v>
      </x:c>
      <x:c r="E3132" s="1" t="str">
        <x:v>Normal</x:v>
      </x:c>
      <x:c r="F3132" s="1" t="str">
        <x:v>Especial</x:v>
      </x:c>
      <x:c r="G3132" s="10" t="n">
        <x:v>150</x:v>
      </x:c>
      <x:c r="H3132" s="10" t="n">
        <x:f>IF(F3132="Física",'Pokémon'!G336,IF(F3132="Especial",'Pokémon'!I336,""))</x:f>
        <x:v>95</x:v>
      </x:c>
      <x:c r="I3132" s="10" t="n">
        <x:f>IF(OR(F3132="Status",G3132=0),"",G3132+H3132)</x:f>
        <x:v>245</x:v>
      </x:c>
      <x:c r="J3132" s="10" t="n">
        <x:v>60</x:v>
      </x:c>
      <x:c r="K3132" s="12" t="n">
        <x:v>50</x:v>
      </x:c>
      <x:c r="L3132" s="1" t="str"/>
      <x:c r="M3132" s="9" t="str">
        <x:v>https://poke.idleworld.online/pokepedia/pokemon/metagross</x:v>
      </x:c>
    </x:row>
    <x:row r="3133" ht="22" customHeight="1">
      <x:c r="A3133" s="1" t="n">
        <x:v>376</x:v>
      </x:c>
      <x:c r="B3133" s="1" t="str">
        <x:v>Metagross</x:v>
      </x:c>
      <x:c r="C3133" s="1" t="n">
        <x:v>9</x:v>
      </x:c>
      <x:c r="D3133" s="1" t="str">
        <x:v>Hammer Arm</x:v>
      </x:c>
      <x:c r="E3133" s="1" t="str">
        <x:v>Lutador</x:v>
      </x:c>
      <x:c r="F3133" s="1" t="str">
        <x:v>Física</x:v>
      </x:c>
      <x:c r="G3133" s="10" t="n">
        <x:v>100</x:v>
      </x:c>
      <x:c r="H3133" s="10" t="n">
        <x:f>IF(F3133="Física",'Pokémon'!G336,IF(F3133="Especial",'Pokémon'!I336,""))</x:f>
        <x:v>135</x:v>
      </x:c>
      <x:c r="I3133" s="10" t="n">
        <x:f>IF(OR(F3133="Status",G3133=0),"",G3133+H3133)</x:f>
        <x:v>235</x:v>
      </x:c>
      <x:c r="J3133" s="10" t="n">
        <x:v>45</x:v>
      </x:c>
      <x:c r="K3133" s="12" t="n">
        <x:v>40</x:v>
      </x:c>
      <x:c r="L3133" s="1" t="str"/>
      <x:c r="M3133" s="9" t="str">
        <x:v>https://poke.idleworld.online/pokepedia/pokemon/metagross</x:v>
      </x:c>
    </x:row>
    <x:row r="3134" ht="22" customHeight="1">
      <x:c r="A3134" s="1" t="n">
        <x:v>376</x:v>
      </x:c>
      <x:c r="B3134" s="1" t="str">
        <x:v>Metagross</x:v>
      </x:c>
      <x:c r="C3134" s="1" t="n">
        <x:v>3</x:v>
      </x:c>
      <x:c r="D3134" s="1" t="str">
        <x:v>Take Down</x:v>
      </x:c>
      <x:c r="E3134" s="1" t="str">
        <x:v>Normal</x:v>
      </x:c>
      <x:c r="F3134" s="1" t="str">
        <x:v>Física</x:v>
      </x:c>
      <x:c r="G3134" s="10" t="n">
        <x:v>90</x:v>
      </x:c>
      <x:c r="H3134" s="10" t="n">
        <x:f>IF(F3134="Física",'Pokémon'!G336,IF(F3134="Especial",'Pokémon'!I336,""))</x:f>
        <x:v>135</x:v>
      </x:c>
      <x:c r="I3134" s="10" t="n">
        <x:f>IF(OR(F3134="Status",G3134=0),"",G3134+H3134)</x:f>
        <x:v>225</x:v>
      </x:c>
      <x:c r="J3134" s="10" t="n">
        <x:v>1</x:v>
      </x:c>
      <x:c r="K3134" s="12" t="n">
        <x:v>22</x:v>
      </x:c>
      <x:c r="L3134" s="1" t="str"/>
      <x:c r="M3134" s="9" t="str">
        <x:v>https://poke.idleworld.online/pokepedia/pokemon/metagross</x:v>
      </x:c>
    </x:row>
    <x:row r="3135" ht="22" customHeight="1">
      <x:c r="A3135" s="1" t="n">
        <x:v>376</x:v>
      </x:c>
      <x:c r="B3135" s="1" t="str">
        <x:v>Metagross</x:v>
      </x:c>
      <x:c r="C3135" s="1" t="n">
        <x:v>8</x:v>
      </x:c>
      <x:c r="D3135" s="1" t="str">
        <x:v>Meteor Mash</x:v>
      </x:c>
      <x:c r="E3135" s="1" t="str">
        <x:v>Aço</x:v>
      </x:c>
      <x:c r="F3135" s="1" t="str">
        <x:v>Física</x:v>
      </x:c>
      <x:c r="G3135" s="10" t="n">
        <x:v>90</x:v>
      </x:c>
      <x:c r="H3135" s="10" t="n">
        <x:f>IF(F3135="Física",'Pokémon'!G336,IF(F3135="Especial",'Pokémon'!I336,""))</x:f>
        <x:v>135</x:v>
      </x:c>
      <x:c r="I3135" s="10" t="n">
        <x:f>IF(OR(F3135="Status",G3135=0),"",G3135+H3135)</x:f>
        <x:v>225</x:v>
      </x:c>
      <x:c r="J3135" s="10" t="n">
        <x:v>44</x:v>
      </x:c>
      <x:c r="K3135" s="12" t="n">
        <x:v>40</x:v>
      </x:c>
      <x:c r="L3135" s="1" t="str"/>
      <x:c r="M3135" s="9" t="str">
        <x:v>https://poke.idleworld.online/pokepedia/pokemon/metagross</x:v>
      </x:c>
    </x:row>
    <x:row r="3136" ht="22" customHeight="1">
      <x:c r="A3136" s="1" t="n">
        <x:v>376</x:v>
      </x:c>
      <x:c r="B3136" s="1" t="str">
        <x:v>Metagross</x:v>
      </x:c>
      <x:c r="C3136" s="1" t="n">
        <x:v>6</x:v>
      </x:c>
      <x:c r="D3136" s="1" t="str">
        <x:v>Zen Headbutt</x:v>
      </x:c>
      <x:c r="E3136" s="1" t="str">
        <x:v>Psíquico</x:v>
      </x:c>
      <x:c r="F3136" s="1" t="str">
        <x:v>Física</x:v>
      </x:c>
      <x:c r="G3136" s="10" t="n">
        <x:v>80</x:v>
      </x:c>
      <x:c r="H3136" s="10" t="n">
        <x:f>IF(F3136="Física",'Pokémon'!G336,IF(F3136="Especial",'Pokémon'!I336,""))</x:f>
        <x:v>135</x:v>
      </x:c>
      <x:c r="I3136" s="10" t="n">
        <x:f>IF(OR(F3136="Status",G3136=0),"",G3136+H3136)</x:f>
        <x:v>215</x:v>
      </x:c>
      <x:c r="J3136" s="10" t="n">
        <x:v>32</x:v>
      </x:c>
      <x:c r="K3136" s="12" t="n">
        <x:v>22</x:v>
      </x:c>
      <x:c r="L3136" s="1" t="str"/>
      <x:c r="M3136" s="9" t="str">
        <x:v>https://poke.idleworld.online/pokepedia/pokemon/metagross</x:v>
      </x:c>
    </x:row>
    <x:row r="3137" ht="22" customHeight="1">
      <x:c r="A3137" s="1" t="n">
        <x:v>376</x:v>
      </x:c>
      <x:c r="B3137" s="1" t="str">
        <x:v>Metagross</x:v>
      </x:c>
      <x:c r="C3137" s="1" t="n">
        <x:v>7</x:v>
      </x:c>
      <x:c r="D3137" s="1" t="str">
        <x:v>Psychic</x:v>
      </x:c>
      <x:c r="E3137" s="1" t="str">
        <x:v>Psíquico</x:v>
      </x:c>
      <x:c r="F3137" s="1" t="str">
        <x:v>Especial</x:v>
      </x:c>
      <x:c r="G3137" s="10" t="n">
        <x:v>90</x:v>
      </x:c>
      <x:c r="H3137" s="10" t="n">
        <x:f>IF(F3137="Física",'Pokémon'!G336,IF(F3137="Especial",'Pokémon'!I336,""))</x:f>
        <x:v>95</x:v>
      </x:c>
      <x:c r="I3137" s="10" t="n">
        <x:f>IF(OR(F3137="Status",G3137=0),"",G3137+H3137)</x:f>
        <x:v>185</x:v>
      </x:c>
      <x:c r="J3137" s="10" t="n">
        <x:v>38</x:v>
      </x:c>
      <x:c r="K3137" s="12" t="n">
        <x:v>30</x:v>
      </x:c>
      <x:c r="L3137" s="1" t="str"/>
      <x:c r="M3137" s="9" t="str">
        <x:v>https://poke.idleworld.online/pokepedia/pokemon/metagross</x:v>
      </x:c>
    </x:row>
    <x:row r="3138" ht="22" customHeight="1">
      <x:c r="A3138" s="1" t="n">
        <x:v>376</x:v>
      </x:c>
      <x:c r="B3138" s="1" t="str">
        <x:v>Metagross</x:v>
      </x:c>
      <x:c r="C3138" s="1" t="n">
        <x:v>1</x:v>
      </x:c>
      <x:c r="D3138" s="1" t="str">
        <x:v>Metal Claw</x:v>
      </x:c>
      <x:c r="E3138" s="1" t="str">
        <x:v>Aço</x:v>
      </x:c>
      <x:c r="F3138" s="1" t="str">
        <x:v>Física</x:v>
      </x:c>
      <x:c r="G3138" s="10" t="n">
        <x:v>50</x:v>
      </x:c>
      <x:c r="H3138" s="10" t="n">
        <x:f>IF(F3138="Física",'Pokémon'!G336,IF(F3138="Especial",'Pokémon'!I336,""))</x:f>
        <x:v>135</x:v>
      </x:c>
      <x:c r="I3138" s="10" t="n">
        <x:f>IF(OR(F3138="Status",G3138=0),"",G3138+H3138)</x:f>
        <x:v>185</x:v>
      </x:c>
      <x:c r="J3138" s="10" t="n">
        <x:v>1</x:v>
      </x:c>
      <x:c r="K3138" s="12" t="n">
        <x:v>32</x:v>
      </x:c>
      <x:c r="L3138" s="1" t="str"/>
      <x:c r="M3138" s="9" t="str">
        <x:v>https://poke.idleworld.online/pokepedia/pokemon/metagross</x:v>
      </x:c>
    </x:row>
    <x:row r="3139" ht="22" customHeight="1">
      <x:c r="A3139" s="1" t="n">
        <x:v>376</x:v>
      </x:c>
      <x:c r="B3139" s="1" t="str">
        <x:v>Metagross</x:v>
      </x:c>
      <x:c r="C3139" s="1" t="n">
        <x:v>4</x:v>
      </x:c>
      <x:c r="D3139" s="1" t="str">
        <x:v>Pursuit</x:v>
      </x:c>
      <x:c r="E3139" s="1" t="str">
        <x:v>Sombrio</x:v>
      </x:c>
      <x:c r="F3139" s="1" t="str">
        <x:v>Física</x:v>
      </x:c>
      <x:c r="G3139" s="10" t="n">
        <x:v>40</x:v>
      </x:c>
      <x:c r="H3139" s="10" t="n">
        <x:f>IF(F3139="Física",'Pokémon'!G336,IF(F3139="Especial",'Pokémon'!I336,""))</x:f>
        <x:v>135</x:v>
      </x:c>
      <x:c r="I3139" s="10" t="n">
        <x:f>IF(OR(F3139="Status",G3139=0),"",G3139+H3139)</x:f>
        <x:v>175</x:v>
      </x:c>
      <x:c r="J3139" s="10" t="n">
        <x:v>23</x:v>
      </x:c>
      <x:c r="K3139" s="12" t="n">
        <x:v>15</x:v>
      </x:c>
      <x:c r="L3139" s="1" t="str"/>
      <x:c r="M3139" s="9" t="str">
        <x:v>https://poke.idleworld.online/pokepedia/pokemon/metagross</x:v>
      </x:c>
    </x:row>
    <x:row r="3140" ht="22" customHeight="1">
      <x:c r="A3140" s="1" t="n">
        <x:v>376</x:v>
      </x:c>
      <x:c r="B3140" s="1" t="str">
        <x:v>Metagross</x:v>
      </x:c>
      <x:c r="C3140" s="1" t="n">
        <x:v>5</x:v>
      </x:c>
      <x:c r="D3140" s="1" t="str">
        <x:v>Bullet Punch</x:v>
      </x:c>
      <x:c r="E3140" s="1" t="str">
        <x:v>Aço</x:v>
      </x:c>
      <x:c r="F3140" s="1" t="str">
        <x:v>Física</x:v>
      </x:c>
      <x:c r="G3140" s="10" t="n">
        <x:v>40</x:v>
      </x:c>
      <x:c r="H3140" s="10" t="n">
        <x:f>IF(F3140="Física",'Pokémon'!G336,IF(F3140="Especial",'Pokémon'!I336,""))</x:f>
        <x:v>135</x:v>
      </x:c>
      <x:c r="I3140" s="10" t="n">
        <x:f>IF(OR(F3140="Status",G3140=0),"",G3140+H3140)</x:f>
        <x:v>175</x:v>
      </x:c>
      <x:c r="J3140" s="10" t="n">
        <x:v>26</x:v>
      </x:c>
      <x:c r="K3140" s="12" t="n">
        <x:v>15</x:v>
      </x:c>
      <x:c r="L3140" s="1" t="str"/>
      <x:c r="M3140" s="9" t="str">
        <x:v>https://poke.idleworld.online/pokepedia/pokemon/metagross</x:v>
      </x:c>
    </x:row>
    <x:row r="3141" ht="22" customHeight="1">
      <x:c r="A3141" s="1" t="n">
        <x:v>376</x:v>
      </x:c>
      <x:c r="B3141" s="1" t="str">
        <x:v>Metagross</x:v>
      </x:c>
      <x:c r="C3141" s="1" t="n">
        <x:v>2</x:v>
      </x:c>
      <x:c r="D3141" s="1" t="str">
        <x:v>Confusion</x:v>
      </x:c>
      <x:c r="E3141" s="1" t="str">
        <x:v>Psíquico</x:v>
      </x:c>
      <x:c r="F3141" s="1" t="str">
        <x:v>Especial</x:v>
      </x:c>
      <x:c r="G3141" s="10" t="n">
        <x:v>50</x:v>
      </x:c>
      <x:c r="H3141" s="10" t="n">
        <x:f>IF(F3141="Física",'Pokémon'!G336,IF(F3141="Especial",'Pokémon'!I336,""))</x:f>
        <x:v>95</x:v>
      </x:c>
      <x:c r="I3141" s="10" t="n">
        <x:f>IF(OR(F3141="Status",G3141=0),"",G3141+H3141)</x:f>
        <x:v>145</x:v>
      </x:c>
      <x:c r="J3141" s="10" t="n">
        <x:v>1</x:v>
      </x:c>
      <x:c r="K3141" s="12" t="n">
        <x:v>15</x:v>
      </x:c>
      <x:c r="L3141" s="1" t="str"/>
      <x:c r="M3141" s="9" t="str">
        <x:v>https://poke.idleworld.online/pokepedia/pokemon/metagross</x:v>
      </x:c>
    </x:row>
    <x:row r="3142" ht="22" customHeight="1">
      <x:c r="A3142" s="1" t="n">
        <x:v>392</x:v>
      </x:c>
      <x:c r="B3142" s="1" t="str">
        <x:v>Infernape</x:v>
      </x:c>
      <x:c r="C3142" s="1" t="n">
        <x:v>3</x:v>
      </x:c>
      <x:c r="D3142" s="1" t="str">
        <x:v>Flare Blitz</x:v>
      </x:c>
      <x:c r="E3142" s="1" t="str">
        <x:v>Fogo</x:v>
      </x:c>
      <x:c r="F3142" s="1" t="str">
        <x:v>Física</x:v>
      </x:c>
      <x:c r="G3142" s="10" t="n">
        <x:v>120</x:v>
      </x:c>
      <x:c r="H3142" s="10" t="n">
        <x:f>IF(F3142="Física",'Pokémon'!G337,IF(F3142="Especial",'Pokémon'!I337,""))</x:f>
        <x:v>104</x:v>
      </x:c>
      <x:c r="I3142" s="10" t="n">
        <x:f>IF(OR(F3142="Status",G3142=0),"",G3142+H3142)</x:f>
        <x:v>224</x:v>
      </x:c>
      <x:c r="J3142" s="10" t="n">
        <x:v>1</x:v>
      </x:c>
      <x:c r="K3142" s="12" t="n">
        <x:v>50</x:v>
      </x:c>
      <x:c r="L3142" s="1" t="str"/>
      <x:c r="M3142" s="9" t="str">
        <x:v>https://poke.idleworld.online/pokepedia/pokemon/infernape</x:v>
      </x:c>
    </x:row>
    <x:row r="3143" ht="22" customHeight="1">
      <x:c r="A3143" s="1" t="n">
        <x:v>392</x:v>
      </x:c>
      <x:c r="B3143" s="1" t="str">
        <x:v>Infernape</x:v>
      </x:c>
      <x:c r="C3143" s="1" t="n">
        <x:v>8</x:v>
      </x:c>
      <x:c r="D3143" s="1" t="str">
        <x:v>Close Combat</x:v>
      </x:c>
      <x:c r="E3143" s="1" t="str">
        <x:v>Lutador</x:v>
      </x:c>
      <x:c r="F3143" s="1" t="str">
        <x:v>Física</x:v>
      </x:c>
      <x:c r="G3143" s="10" t="n">
        <x:v>120</x:v>
      </x:c>
      <x:c r="H3143" s="10" t="n">
        <x:f>IF(F3143="Física",'Pokémon'!G337,IF(F3143="Especial",'Pokémon'!I337,""))</x:f>
        <x:v>104</x:v>
      </x:c>
      <x:c r="I3143" s="10" t="n">
        <x:f>IF(OR(F3143="Status",G3143=0),"",G3143+H3143)</x:f>
        <x:v>224</x:v>
      </x:c>
      <x:c r="J3143" s="10" t="n">
        <x:v>36</x:v>
      </x:c>
      <x:c r="K3143" s="12" t="n">
        <x:v>30</x:v>
      </x:c>
      <x:c r="L3143" s="1" t="str"/>
      <x:c r="M3143" s="9" t="str">
        <x:v>https://poke.idleworld.online/pokepedia/pokemon/infernape</x:v>
      </x:c>
    </x:row>
    <x:row r="3144" ht="22" customHeight="1">
      <x:c r="A3144" s="1" t="n">
        <x:v>392</x:v>
      </x:c>
      <x:c r="B3144" s="1" t="str">
        <x:v>Infernape</x:v>
      </x:c>
      <x:c r="C3144" s="1" t="n">
        <x:v>6</x:v>
      </x:c>
      <x:c r="D3144" s="1" t="str">
        <x:v>Flame Wheel</x:v>
      </x:c>
      <x:c r="E3144" s="1" t="str">
        <x:v>Fogo</x:v>
      </x:c>
      <x:c r="F3144" s="1" t="str">
        <x:v>Física</x:v>
      </x:c>
      <x:c r="G3144" s="10" t="n">
        <x:v>60</x:v>
      </x:c>
      <x:c r="H3144" s="10" t="n">
        <x:f>IF(F3144="Física",'Pokémon'!G337,IF(F3144="Especial",'Pokémon'!I337,""))</x:f>
        <x:v>104</x:v>
      </x:c>
      <x:c r="I3144" s="10" t="n">
        <x:f>IF(OR(F3144="Status",G3144=0),"",G3144+H3144)</x:f>
        <x:v>164</x:v>
      </x:c>
      <x:c r="J3144" s="10" t="n">
        <x:v>19</x:v>
      </x:c>
      <x:c r="K3144" s="12" t="n">
        <x:v>20</x:v>
      </x:c>
      <x:c r="L3144" s="1" t="str"/>
      <x:c r="M3144" s="9" t="str">
        <x:v>https://poke.idleworld.online/pokepedia/pokemon/infernape</x:v>
      </x:c>
    </x:row>
    <x:row r="3145" ht="22" customHeight="1">
      <x:c r="A3145" s="1" t="n">
        <x:v>392</x:v>
      </x:c>
      <x:c r="B3145" s="1" t="str">
        <x:v>Infernape</x:v>
      </x:c>
      <x:c r="C3145" s="1" t="n">
        <x:v>10</x:v>
      </x:c>
      <x:c r="D3145" s="1" t="str">
        <x:v>Acrobatics</x:v>
      </x:c>
      <x:c r="E3145" s="1" t="str">
        <x:v>Voador</x:v>
      </x:c>
      <x:c r="F3145" s="1" t="str">
        <x:v>Física</x:v>
      </x:c>
      <x:c r="G3145" s="10" t="n">
        <x:v>55</x:v>
      </x:c>
      <x:c r="H3145" s="10" t="n">
        <x:f>IF(F3145="Física",'Pokémon'!G337,IF(F3145="Especial",'Pokémon'!I337,""))</x:f>
        <x:v>104</x:v>
      </x:c>
      <x:c r="I3145" s="10" t="n">
        <x:f>IF(OR(F3145="Status",G3145=0),"",G3145+H3145)</x:f>
        <x:v>159</x:v>
      </x:c>
      <x:c r="J3145" s="10" t="n">
        <x:v>52</x:v>
      </x:c>
      <x:c r="K3145" s="12" t="n">
        <x:v>20</x:v>
      </x:c>
      <x:c r="L3145" s="1" t="str"/>
      <x:c r="M3145" s="9" t="str">
        <x:v>https://poke.idleworld.online/pokepedia/pokemon/infernape</x:v>
      </x:c>
    </x:row>
    <x:row r="3146" ht="22" customHeight="1">
      <x:c r="A3146" s="1" t="n">
        <x:v>392</x:v>
      </x:c>
      <x:c r="B3146" s="1" t="str">
        <x:v>Infernape</x:v>
      </x:c>
      <x:c r="C3146" s="1" t="n">
        <x:v>1</x:v>
      </x:c>
      <x:c r="D3146" s="1" t="str">
        <x:v>Ember</x:v>
      </x:c>
      <x:c r="E3146" s="1" t="str">
        <x:v>Fogo</x:v>
      </x:c>
      <x:c r="F3146" s="1" t="str">
        <x:v>Especial</x:v>
      </x:c>
      <x:c r="G3146" s="10" t="n">
        <x:v>40</x:v>
      </x:c>
      <x:c r="H3146" s="10" t="n">
        <x:f>IF(F3146="Física",'Pokémon'!G337,IF(F3146="Especial",'Pokémon'!I337,""))</x:f>
        <x:v>104</x:v>
      </x:c>
      <x:c r="I3146" s="10" t="n">
        <x:f>IF(OR(F3146="Status",G3146=0),"",G3146+H3146)</x:f>
        <x:v>144</x:v>
      </x:c>
      <x:c r="J3146" s="10" t="n">
        <x:v>1</x:v>
      </x:c>
      <x:c r="K3146" s="12" t="n">
        <x:v>10</x:v>
      </x:c>
      <x:c r="L3146" s="1" t="str"/>
      <x:c r="M3146" s="9" t="str">
        <x:v>https://poke.idleworld.online/pokepedia/pokemon/infernape</x:v>
      </x:c>
    </x:row>
    <x:row r="3147" ht="22" customHeight="1">
      <x:c r="A3147" s="1" t="n">
        <x:v>392</x:v>
      </x:c>
      <x:c r="B3147" s="1" t="str">
        <x:v>Infernape</x:v>
      </x:c>
      <x:c r="C3147" s="1" t="n">
        <x:v>2</x:v>
      </x:c>
      <x:c r="D3147" s="1" t="str">
        <x:v>Scratch</x:v>
      </x:c>
      <x:c r="E3147" s="1" t="str">
        <x:v>Normal</x:v>
      </x:c>
      <x:c r="F3147" s="1" t="str">
        <x:v>Física</x:v>
      </x:c>
      <x:c r="G3147" s="10" t="n">
        <x:v>40</x:v>
      </x:c>
      <x:c r="H3147" s="10" t="n">
        <x:f>IF(F3147="Física",'Pokémon'!G337,IF(F3147="Especial",'Pokémon'!I337,""))</x:f>
        <x:v>104</x:v>
      </x:c>
      <x:c r="I3147" s="10" t="n">
        <x:f>IF(OR(F3147="Status",G3147=0),"",G3147+H3147)</x:f>
        <x:v>144</x:v>
      </x:c>
      <x:c r="J3147" s="10" t="n">
        <x:v>1</x:v>
      </x:c>
      <x:c r="K3147" s="12" t="n">
        <x:v>15</x:v>
      </x:c>
      <x:c r="L3147" s="1" t="str"/>
      <x:c r="M3147" s="9" t="str">
        <x:v>https://poke.idleworld.online/pokepedia/pokemon/infernape</x:v>
      </x:c>
    </x:row>
    <x:row r="3148" ht="22" customHeight="1">
      <x:c r="A3148" s="1" t="n">
        <x:v>392</x:v>
      </x:c>
      <x:c r="B3148" s="1" t="str">
        <x:v>Infernape</x:v>
      </x:c>
      <x:c r="C3148" s="1" t="n">
        <x:v>4</x:v>
      </x:c>
      <x:c r="D3148" s="1" t="str">
        <x:v>Mach Punch</x:v>
      </x:c>
      <x:c r="E3148" s="1" t="str">
        <x:v>Lutador</x:v>
      </x:c>
      <x:c r="F3148" s="1" t="str">
        <x:v>Física</x:v>
      </x:c>
      <x:c r="G3148" s="10" t="n">
        <x:v>40</x:v>
      </x:c>
      <x:c r="H3148" s="10" t="n">
        <x:f>IF(F3148="Física",'Pokémon'!G337,IF(F3148="Especial",'Pokémon'!I337,""))</x:f>
        <x:v>104</x:v>
      </x:c>
      <x:c r="I3148" s="10" t="n">
        <x:f>IF(OR(F3148="Status",G3148=0),"",G3148+H3148)</x:f>
        <x:v>144</x:v>
      </x:c>
      <x:c r="J3148" s="10" t="n">
        <x:v>14</x:v>
      </x:c>
      <x:c r="K3148" s="12" t="n">
        <x:v>30</x:v>
      </x:c>
      <x:c r="L3148" s="1" t="str"/>
      <x:c r="M3148" s="9" t="str">
        <x:v>https://poke.idleworld.online/pokepedia/pokemon/infernape</x:v>
      </x:c>
    </x:row>
    <x:row r="3149" ht="22" customHeight="1">
      <x:c r="A3149" s="1" t="n">
        <x:v>392</x:v>
      </x:c>
      <x:c r="B3149" s="1" t="str">
        <x:v>Infernape</x:v>
      </x:c>
      <x:c r="C3149" s="1" t="n">
        <x:v>9</x:v>
      </x:c>
      <x:c r="D3149" s="1" t="str">
        <x:v>Fire Spin</x:v>
      </x:c>
      <x:c r="E3149" s="1" t="str">
        <x:v>Fogo</x:v>
      </x:c>
      <x:c r="F3149" s="1" t="str">
        <x:v>Especial</x:v>
      </x:c>
      <x:c r="G3149" s="10" t="n">
        <x:v>35</x:v>
      </x:c>
      <x:c r="H3149" s="10" t="n">
        <x:f>IF(F3149="Física",'Pokémon'!G337,IF(F3149="Especial",'Pokémon'!I337,""))</x:f>
        <x:v>104</x:v>
      </x:c>
      <x:c r="I3149" s="10" t="n">
        <x:f>IF(OR(F3149="Status",G3149=0),"",G3149+H3149)</x:f>
        <x:v>139</x:v>
      </x:c>
      <x:c r="J3149" s="10" t="n">
        <x:v>42</x:v>
      </x:c>
      <x:c r="K3149" s="12" t="n">
        <x:v>15</x:v>
      </x:c>
      <x:c r="L3149" s="1" t="str"/>
      <x:c r="M3149" s="9" t="str">
        <x:v>https://poke.idleworld.online/pokepedia/pokemon/infernape</x:v>
      </x:c>
    </x:row>
    <x:row r="3150" ht="22" customHeight="1">
      <x:c r="A3150" s="1" t="n">
        <x:v>392</x:v>
      </x:c>
      <x:c r="B3150" s="1" t="str">
        <x:v>Infernape</x:v>
      </x:c>
      <x:c r="C3150" s="1" t="n">
        <x:v>7</x:v>
      </x:c>
      <x:c r="D3150" s="1" t="str">
        <x:v>Feint</x:v>
      </x:c>
      <x:c r="E3150" s="1" t="str">
        <x:v>Normal</x:v>
      </x:c>
      <x:c r="F3150" s="1" t="str">
        <x:v>Física</x:v>
      </x:c>
      <x:c r="G3150" s="10" t="n">
        <x:v>30</x:v>
      </x:c>
      <x:c r="H3150" s="10" t="n">
        <x:f>IF(F3150="Física",'Pokémon'!G337,IF(F3150="Especial",'Pokémon'!I337,""))</x:f>
        <x:v>104</x:v>
      </x:c>
      <x:c r="I3150" s="10" t="n">
        <x:f>IF(OR(F3150="Status",G3150=0),"",G3150+H3150)</x:f>
        <x:v>134</x:v>
      </x:c>
      <x:c r="J3150" s="10" t="n">
        <x:v>26</x:v>
      </x:c>
      <x:c r="K3150" s="12" t="n">
        <x:v>15</x:v>
      </x:c>
      <x:c r="L3150" s="1" t="str"/>
      <x:c r="M3150" s="9" t="str">
        <x:v>https://poke.idleworld.online/pokepedia/pokemon/infernape</x:v>
      </x:c>
    </x:row>
    <x:row r="3151" ht="22" customHeight="1">
      <x:c r="A3151" s="1" t="n">
        <x:v>392</x:v>
      </x:c>
      <x:c r="B3151" s="1" t="str">
        <x:v>Infernape</x:v>
      </x:c>
      <x:c r="C3151" s="1" t="n">
        <x:v>5</x:v>
      </x:c>
      <x:c r="D3151" s="1" t="str">
        <x:v>Fury Swipes</x:v>
      </x:c>
      <x:c r="E3151" s="1" t="str">
        <x:v>Normal</x:v>
      </x:c>
      <x:c r="F3151" s="1" t="str">
        <x:v>Física</x:v>
      </x:c>
      <x:c r="G3151" s="10" t="n">
        <x:v>18</x:v>
      </x:c>
      <x:c r="H3151" s="10" t="n">
        <x:f>IF(F3151="Física",'Pokémon'!G337,IF(F3151="Especial",'Pokémon'!I337,""))</x:f>
        <x:v>104</x:v>
      </x:c>
      <x:c r="I3151" s="10" t="n">
        <x:f>IF(OR(F3151="Status",G3151=0),"",G3151+H3151)</x:f>
        <x:v>122</x:v>
      </x:c>
      <x:c r="J3151" s="10" t="n">
        <x:v>16</x:v>
      </x:c>
      <x:c r="K3151" s="12" t="n">
        <x:v>15</x:v>
      </x:c>
      <x:c r="L3151" s="1" t="str"/>
      <x:c r="M3151" s="9" t="str">
        <x:v>https://poke.idleworld.online/pokepedia/pokemon/infernape</x:v>
      </x:c>
    </x:row>
    <x:row r="3152" ht="22" customHeight="1">
      <x:c r="A3152" s="1" t="n">
        <x:v>405</x:v>
      </x:c>
      <x:c r="B3152" s="1" t="str">
        <x:v>Luxray</x:v>
      </x:c>
      <x:c r="C3152" s="1" t="n">
        <x:v>7</x:v>
      </x:c>
      <x:c r="D3152" s="1" t="str">
        <x:v>Wild Charge</x:v>
      </x:c>
      <x:c r="E3152" s="1" t="str">
        <x:v>Elétrico</x:v>
      </x:c>
      <x:c r="F3152" s="1" t="str">
        <x:v>Física</x:v>
      </x:c>
      <x:c r="G3152" s="10" t="n">
        <x:v>90</x:v>
      </x:c>
      <x:c r="H3152" s="10" t="n">
        <x:f>IF(F3152="Física",'Pokémon'!G338,IF(F3152="Especial",'Pokémon'!I338,""))</x:f>
        <x:v>120</x:v>
      </x:c>
      <x:c r="I3152" s="10" t="n">
        <x:f>IF(OR(F3152="Status",G3152=0),"",G3152+H3152)</x:f>
        <x:v>210</x:v>
      </x:c>
      <x:c r="J3152" s="10" t="n">
        <x:v>63</x:v>
      </x:c>
      <x:c r="K3152" s="12" t="n">
        <x:v>22</x:v>
      </x:c>
      <x:c r="L3152" s="1" t="str"/>
      <x:c r="M3152" s="9" t="str">
        <x:v>https://poke.idleworld.online/pokepedia/pokemon/luxray</x:v>
      </x:c>
    </x:row>
    <x:row r="3153" ht="22" customHeight="1">
      <x:c r="A3153" s="1" t="n">
        <x:v>405</x:v>
      </x:c>
      <x:c r="B3153" s="1" t="str">
        <x:v>Luxray</x:v>
      </x:c>
      <x:c r="C3153" s="1" t="n">
        <x:v>5</x:v>
      </x:c>
      <x:c r="D3153" s="1" t="str">
        <x:v>Crunch</x:v>
      </x:c>
      <x:c r="E3153" s="1" t="str">
        <x:v>Sombrio</x:v>
      </x:c>
      <x:c r="F3153" s="1" t="str">
        <x:v>Física</x:v>
      </x:c>
      <x:c r="G3153" s="10" t="n">
        <x:v>80</x:v>
      </x:c>
      <x:c r="H3153" s="10" t="n">
        <x:f>IF(F3153="Física",'Pokémon'!G338,IF(F3153="Especial",'Pokémon'!I338,""))</x:f>
        <x:v>120</x:v>
      </x:c>
      <x:c r="I3153" s="10" t="n">
        <x:f>IF(OR(F3153="Status",G3153=0),"",G3153+H3153)</x:f>
        <x:v>200</x:v>
      </x:c>
      <x:c r="J3153" s="10" t="n">
        <x:v>42</x:v>
      </x:c>
      <x:c r="K3153" s="12" t="n">
        <x:v>22</x:v>
      </x:c>
      <x:c r="L3153" s="1" t="str"/>
      <x:c r="M3153" s="9" t="str">
        <x:v>https://poke.idleworld.online/pokepedia/pokemon/luxray</x:v>
      </x:c>
    </x:row>
    <x:row r="3154" ht="22" customHeight="1">
      <x:c r="A3154" s="1" t="n">
        <x:v>405</x:v>
      </x:c>
      <x:c r="B3154" s="1" t="str">
        <x:v>Luxray</x:v>
      </x:c>
      <x:c r="C3154" s="1" t="n">
        <x:v>2</x:v>
      </x:c>
      <x:c r="D3154" s="1" t="str">
        <x:v>Spark</x:v>
      </x:c>
      <x:c r="E3154" s="1" t="str">
        <x:v>Elétrico</x:v>
      </x:c>
      <x:c r="F3154" s="1" t="str">
        <x:v>Física</x:v>
      </x:c>
      <x:c r="G3154" s="10" t="n">
        <x:v>65</x:v>
      </x:c>
      <x:c r="H3154" s="10" t="n">
        <x:f>IF(F3154="Física",'Pokémon'!G338,IF(F3154="Especial",'Pokémon'!I338,""))</x:f>
        <x:v>120</x:v>
      </x:c>
      <x:c r="I3154" s="10" t="n">
        <x:f>IF(OR(F3154="Status",G3154=0),"",G3154+H3154)</x:f>
        <x:v>185</x:v>
      </x:c>
      <x:c r="J3154" s="10" t="n">
        <x:v>13</x:v>
      </x:c>
      <x:c r="K3154" s="12" t="n">
        <x:v>10</x:v>
      </x:c>
      <x:c r="L3154" s="1" t="str"/>
      <x:c r="M3154" s="9" t="str">
        <x:v>https://poke.idleworld.online/pokepedia/pokemon/luxray</x:v>
      </x:c>
    </x:row>
    <x:row r="3155" ht="22" customHeight="1">
      <x:c r="A3155" s="1" t="n">
        <x:v>405</x:v>
      </x:c>
      <x:c r="B3155" s="1" t="str">
        <x:v>Luxray</x:v>
      </x:c>
      <x:c r="C3155" s="1" t="n">
        <x:v>4</x:v>
      </x:c>
      <x:c r="D3155" s="1" t="str">
        <x:v>Thunder Fang</x:v>
      </x:c>
      <x:c r="E3155" s="1" t="str">
        <x:v>Elétrico</x:v>
      </x:c>
      <x:c r="F3155" s="1" t="str">
        <x:v>Física</x:v>
      </x:c>
      <x:c r="G3155" s="10" t="n">
        <x:v>65</x:v>
      </x:c>
      <x:c r="H3155" s="10" t="n">
        <x:f>IF(F3155="Física",'Pokémon'!G338,IF(F3155="Especial",'Pokémon'!I338,""))</x:f>
        <x:v>120</x:v>
      </x:c>
      <x:c r="I3155" s="10" t="n">
        <x:f>IF(OR(F3155="Status",G3155=0),"",G3155+H3155)</x:f>
        <x:v>185</x:v>
      </x:c>
      <x:c r="J3155" s="10" t="n">
        <x:v>35</x:v>
      </x:c>
      <x:c r="K3155" s="12" t="n">
        <x:v>20</x:v>
      </x:c>
      <x:c r="L3155" s="1" t="str"/>
      <x:c r="M3155" s="9" t="str">
        <x:v>https://poke.idleworld.online/pokepedia/pokemon/luxray</x:v>
      </x:c>
    </x:row>
    <x:row r="3156" ht="22" customHeight="1">
      <x:c r="A3156" s="1" t="n">
        <x:v>405</x:v>
      </x:c>
      <x:c r="B3156" s="1" t="str">
        <x:v>Luxray</x:v>
      </x:c>
      <x:c r="C3156" s="1" t="n">
        <x:v>3</x:v>
      </x:c>
      <x:c r="D3156" s="1" t="str">
        <x:v>Bite</x:v>
      </x:c>
      <x:c r="E3156" s="1" t="str">
        <x:v>Sombrio</x:v>
      </x:c>
      <x:c r="F3156" s="1" t="str">
        <x:v>Física</x:v>
      </x:c>
      <x:c r="G3156" s="10" t="n">
        <x:v>60</x:v>
      </x:c>
      <x:c r="H3156" s="10" t="n">
        <x:f>IF(F3156="Física",'Pokémon'!G338,IF(F3156="Especial",'Pokémon'!I338,""))</x:f>
        <x:v>120</x:v>
      </x:c>
      <x:c r="I3156" s="10" t="n">
        <x:f>IF(OR(F3156="Status",G3156=0),"",G3156+H3156)</x:f>
        <x:v>180</x:v>
      </x:c>
      <x:c r="J3156" s="10" t="n">
        <x:v>18</x:v>
      </x:c>
      <x:c r="K3156" s="12" t="n">
        <x:v>20</x:v>
      </x:c>
      <x:c r="L3156" s="1" t="str"/>
      <x:c r="M3156" s="9" t="str">
        <x:v>https://poke.idleworld.online/pokepedia/pokemon/luxray</x:v>
      </x:c>
    </x:row>
    <x:row r="3157" ht="22" customHeight="1">
      <x:c r="A3157" s="1" t="n">
        <x:v>405</x:v>
      </x:c>
      <x:c r="B3157" s="1" t="str">
        <x:v>Luxray</x:v>
      </x:c>
      <x:c r="C3157" s="1" t="n">
        <x:v>6</x:v>
      </x:c>
      <x:c r="D3157" s="1" t="str">
        <x:v>Discharge</x:v>
      </x:c>
      <x:c r="E3157" s="1" t="str">
        <x:v>Elétrico</x:v>
      </x:c>
      <x:c r="F3157" s="1" t="str">
        <x:v>Especial</x:v>
      </x:c>
      <x:c r="G3157" s="10" t="n">
        <x:v>80</x:v>
      </x:c>
      <x:c r="H3157" s="10" t="n">
        <x:f>IF(F3157="Física",'Pokémon'!G338,IF(F3157="Especial",'Pokémon'!I338,""))</x:f>
        <x:v>95</x:v>
      </x:c>
      <x:c r="I3157" s="10" t="n">
        <x:f>IF(OR(F3157="Status",G3157=0),"",G3157+H3157)</x:f>
        <x:v>175</x:v>
      </x:c>
      <x:c r="J3157" s="10" t="n">
        <x:v>56</x:v>
      </x:c>
      <x:c r="K3157" s="12" t="n">
        <x:v>22</x:v>
      </x:c>
      <x:c r="L3157" s="1" t="str"/>
      <x:c r="M3157" s="9" t="str">
        <x:v>https://poke.idleworld.online/pokepedia/pokemon/luxray</x:v>
      </x:c>
    </x:row>
    <x:row r="3158" ht="22" customHeight="1">
      <x:c r="A3158" s="1" t="n">
        <x:v>405</x:v>
      </x:c>
      <x:c r="B3158" s="1" t="str">
        <x:v>Luxray</x:v>
      </x:c>
      <x:c r="C3158" s="1" t="n">
        <x:v>1</x:v>
      </x:c>
      <x:c r="D3158" s="1" t="str">
        <x:v>Tackle</x:v>
      </x:c>
      <x:c r="E3158" s="1" t="str">
        <x:v>Normal</x:v>
      </x:c>
      <x:c r="F3158" s="1" t="str">
        <x:v>Física</x:v>
      </x:c>
      <x:c r="G3158" s="10" t="n">
        <x:v>50</x:v>
      </x:c>
      <x:c r="H3158" s="10" t="n">
        <x:f>IF(F3158="Física",'Pokémon'!G338,IF(F3158="Especial",'Pokémon'!I338,""))</x:f>
        <x:v>120</x:v>
      </x:c>
      <x:c r="I3158" s="10" t="n">
        <x:f>IF(OR(F3158="Status",G3158=0),"",G3158+H3158)</x:f>
        <x:v>170</x:v>
      </x:c>
      <x:c r="J3158" s="10" t="n">
        <x:v>1</x:v>
      </x:c>
      <x:c r="K3158" s="12" t="n">
        <x:v>15</x:v>
      </x:c>
      <x:c r="L3158" s="1" t="str"/>
      <x:c r="M3158" s="9" t="str">
        <x:v>https://poke.idleworld.online/pokepedia/pokemon/luxray</x:v>
      </x:c>
    </x:row>
    <x:row r="3159" ht="22" customHeight="1">
      <x:c r="A3159" s="1" t="n">
        <x:v>408</x:v>
      </x:c>
      <x:c r="B3159" s="1" t="str">
        <x:v>Cranidos</x:v>
      </x:c>
      <x:c r="C3159" s="1" t="n">
        <x:v>8</x:v>
      </x:c>
      <x:c r="D3159" s="1" t="str">
        <x:v>Head Smash</x:v>
      </x:c>
      <x:c r="E3159" s="1" t="str">
        <x:v>Pedra</x:v>
      </x:c>
      <x:c r="F3159" s="1" t="str">
        <x:v>Física</x:v>
      </x:c>
      <x:c r="G3159" s="10" t="n">
        <x:v>150</x:v>
      </x:c>
      <x:c r="H3159" s="10" t="n">
        <x:f>IF(F3159="Física",'Pokémon'!G339,IF(F3159="Especial",'Pokémon'!I339,""))</x:f>
        <x:v>125</x:v>
      </x:c>
      <x:c r="I3159" s="10" t="n">
        <x:f>IF(OR(F3159="Status",G3159=0),"",G3159+H3159)</x:f>
        <x:v>275</x:v>
      </x:c>
      <x:c r="J3159" s="10" t="n">
        <x:v>46</x:v>
      </x:c>
      <x:c r="K3159" s="12" t="n">
        <x:v>40</x:v>
      </x:c>
      <x:c r="L3159" s="1" t="str"/>
      <x:c r="M3159" s="9" t="str">
        <x:v>https://poke.idleworld.online/pokepedia/pokemon/cranidos</x:v>
      </x:c>
    </x:row>
    <x:row r="3160" ht="22" customHeight="1">
      <x:c r="A3160" s="1" t="n">
        <x:v>408</x:v>
      </x:c>
      <x:c r="B3160" s="1" t="str">
        <x:v>Cranidos</x:v>
      </x:c>
      <x:c r="C3160" s="1" t="n">
        <x:v>3</x:v>
      </x:c>
      <x:c r="D3160" s="1" t="str">
        <x:v>Take Down</x:v>
      </x:c>
      <x:c r="E3160" s="1" t="str">
        <x:v>Normal</x:v>
      </x:c>
      <x:c r="F3160" s="1" t="str">
        <x:v>Física</x:v>
      </x:c>
      <x:c r="G3160" s="10" t="n">
        <x:v>90</x:v>
      </x:c>
      <x:c r="H3160" s="10" t="n">
        <x:f>IF(F3160="Física",'Pokémon'!G339,IF(F3160="Especial",'Pokémon'!I339,""))</x:f>
        <x:v>125</x:v>
      </x:c>
      <x:c r="I3160" s="10" t="n">
        <x:f>IF(OR(F3160="Status",G3160=0),"",G3160+H3160)</x:f>
        <x:v>215</x:v>
      </x:c>
      <x:c r="J3160" s="10" t="n">
        <x:v>15</x:v>
      </x:c>
      <x:c r="K3160" s="12" t="n">
        <x:v>22</x:v>
      </x:c>
      <x:c r="L3160" s="1" t="str"/>
      <x:c r="M3160" s="9" t="str">
        <x:v>https://poke.idleworld.online/pokepedia/pokemon/cranidos</x:v>
      </x:c>
    </x:row>
    <x:row r="3161" ht="22" customHeight="1">
      <x:c r="A3161" s="1" t="n">
        <x:v>408</x:v>
      </x:c>
      <x:c r="B3161" s="1" t="str">
        <x:v>Cranidos</x:v>
      </x:c>
      <x:c r="C3161" s="1" t="n">
        <x:v>7</x:v>
      </x:c>
      <x:c r="D3161" s="1" t="str">
        <x:v>Zen Headbutt</x:v>
      </x:c>
      <x:c r="E3161" s="1" t="str">
        <x:v>Psíquico</x:v>
      </x:c>
      <x:c r="F3161" s="1" t="str">
        <x:v>Física</x:v>
      </x:c>
      <x:c r="G3161" s="10" t="n">
        <x:v>80</x:v>
      </x:c>
      <x:c r="H3161" s="10" t="n">
        <x:f>IF(F3161="Física",'Pokémon'!G339,IF(F3161="Especial",'Pokémon'!I339,""))</x:f>
        <x:v>125</x:v>
      </x:c>
      <x:c r="I3161" s="10" t="n">
        <x:f>IF(OR(F3161="Status",G3161=0),"",G3161+H3161)</x:f>
        <x:v>205</x:v>
      </x:c>
      <x:c r="J3161" s="10" t="n">
        <x:v>37</x:v>
      </x:c>
      <x:c r="K3161" s="12" t="n">
        <x:v>22</x:v>
      </x:c>
      <x:c r="L3161" s="1" t="str"/>
      <x:c r="M3161" s="9" t="str">
        <x:v>https://poke.idleworld.online/pokepedia/pokemon/cranidos</x:v>
      </x:c>
    </x:row>
    <x:row r="3162" ht="22" customHeight="1">
      <x:c r="A3162" s="1" t="n">
        <x:v>408</x:v>
      </x:c>
      <x:c r="B3162" s="1" t="str">
        <x:v>Cranidos</x:v>
      </x:c>
      <x:c r="C3162" s="1" t="n">
        <x:v>1</x:v>
      </x:c>
      <x:c r="D3162" s="1" t="str">
        <x:v>Headbutt</x:v>
      </x:c>
      <x:c r="E3162" s="1" t="str">
        <x:v>Normal</x:v>
      </x:c>
      <x:c r="F3162" s="1" t="str">
        <x:v>Física</x:v>
      </x:c>
      <x:c r="G3162" s="10" t="n">
        <x:v>70</x:v>
      </x:c>
      <x:c r="H3162" s="10" t="n">
        <x:f>IF(F3162="Física",'Pokémon'!G339,IF(F3162="Especial",'Pokémon'!I339,""))</x:f>
        <x:v>125</x:v>
      </x:c>
      <x:c r="I3162" s="10" t="n">
        <x:f>IF(OR(F3162="Status",G3162=0),"",G3162+H3162)</x:f>
        <x:v>195</x:v>
      </x:c>
      <x:c r="J3162" s="10" t="n">
        <x:v>1</x:v>
      </x:c>
      <x:c r="K3162" s="12" t="n">
        <x:v>8</x:v>
      </x:c>
      <x:c r="L3162" s="1" t="str"/>
      <x:c r="M3162" s="9" t="str">
        <x:v>https://poke.idleworld.online/pokepedia/pokemon/cranidos</x:v>
      </x:c>
    </x:row>
    <x:row r="3163" ht="22" customHeight="1">
      <x:c r="A3163" s="1" t="n">
        <x:v>408</x:v>
      </x:c>
      <x:c r="B3163" s="1" t="str">
        <x:v>Cranidos</x:v>
      </x:c>
      <x:c r="C3163" s="1" t="n">
        <x:v>5</x:v>
      </x:c>
      <x:c r="D3163" s="1" t="str">
        <x:v>Chip Away</x:v>
      </x:c>
      <x:c r="E3163" s="1" t="str">
        <x:v>Normal</x:v>
      </x:c>
      <x:c r="F3163" s="1" t="str">
        <x:v>Física</x:v>
      </x:c>
      <x:c r="G3163" s="10" t="n">
        <x:v>70</x:v>
      </x:c>
      <x:c r="H3163" s="10" t="n">
        <x:f>IF(F3163="Física",'Pokémon'!G339,IF(F3163="Especial",'Pokémon'!I339,""))</x:f>
        <x:v>125</x:v>
      </x:c>
      <x:c r="I3163" s="10" t="n">
        <x:f>IF(OR(F3163="Status",G3163=0),"",G3163+H3163)</x:f>
        <x:v>195</x:v>
      </x:c>
      <x:c r="J3163" s="10" t="n">
        <x:v>28</x:v>
      </x:c>
      <x:c r="K3163" s="12" t="n">
        <x:v>20</x:v>
      </x:c>
      <x:c r="L3163" s="1" t="str"/>
      <x:c r="M3163" s="9" t="str">
        <x:v>https://poke.idleworld.online/pokepedia/pokemon/cranidos</x:v>
      </x:c>
    </x:row>
    <x:row r="3164" ht="22" customHeight="1">
      <x:c r="A3164" s="1" t="n">
        <x:v>408</x:v>
      </x:c>
      <x:c r="B3164" s="1" t="str">
        <x:v>Cranidos</x:v>
      </x:c>
      <x:c r="C3164" s="1" t="n">
        <x:v>4</x:v>
      </x:c>
      <x:c r="D3164" s="1" t="str">
        <x:v>Assurance</x:v>
      </x:c>
      <x:c r="E3164" s="1" t="str">
        <x:v>Sombrio</x:v>
      </x:c>
      <x:c r="F3164" s="1" t="str">
        <x:v>Física</x:v>
      </x:c>
      <x:c r="G3164" s="10" t="n">
        <x:v>60</x:v>
      </x:c>
      <x:c r="H3164" s="10" t="n">
        <x:f>IF(F3164="Física",'Pokémon'!G339,IF(F3164="Especial",'Pokémon'!I339,""))</x:f>
        <x:v>125</x:v>
      </x:c>
      <x:c r="I3164" s="10" t="n">
        <x:f>IF(OR(F3164="Status",G3164=0),"",G3164+H3164)</x:f>
        <x:v>185</x:v>
      </x:c>
      <x:c r="J3164" s="10" t="n">
        <x:v>24</x:v>
      </x:c>
      <x:c r="K3164" s="12" t="n">
        <x:v>20</x:v>
      </x:c>
      <x:c r="L3164" s="1" t="str"/>
      <x:c r="M3164" s="9" t="str">
        <x:v>https://poke.idleworld.online/pokepedia/pokemon/cranidos</x:v>
      </x:c>
    </x:row>
    <x:row r="3165" ht="22" customHeight="1">
      <x:c r="A3165" s="1" t="n">
        <x:v>408</x:v>
      </x:c>
      <x:c r="B3165" s="1" t="str">
        <x:v>Cranidos</x:v>
      </x:c>
      <x:c r="C3165" s="1" t="n">
        <x:v>2</x:v>
      </x:c>
      <x:c r="D3165" s="1" t="str">
        <x:v>Pursuit</x:v>
      </x:c>
      <x:c r="E3165" s="1" t="str">
        <x:v>Sombrio</x:v>
      </x:c>
      <x:c r="F3165" s="1" t="str">
        <x:v>Física</x:v>
      </x:c>
      <x:c r="G3165" s="10" t="n">
        <x:v>40</x:v>
      </x:c>
      <x:c r="H3165" s="10" t="n">
        <x:f>IF(F3165="Física",'Pokémon'!G339,IF(F3165="Especial",'Pokémon'!I339,""))</x:f>
        <x:v>125</x:v>
      </x:c>
      <x:c r="I3165" s="10" t="n">
        <x:f>IF(OR(F3165="Status",G3165=0),"",G3165+H3165)</x:f>
        <x:v>165</x:v>
      </x:c>
      <x:c r="J3165" s="10" t="n">
        <x:v>10</x:v>
      </x:c>
      <x:c r="K3165" s="12" t="n">
        <x:v>15</x:v>
      </x:c>
      <x:c r="L3165" s="1" t="str"/>
      <x:c r="M3165" s="9" t="str">
        <x:v>https://poke.idleworld.online/pokepedia/pokemon/cranidos</x:v>
      </x:c>
    </x:row>
    <x:row r="3166" ht="22" customHeight="1">
      <x:c r="A3166" s="1" t="n">
        <x:v>408</x:v>
      </x:c>
      <x:c r="B3166" s="1" t="str">
        <x:v>Cranidos</x:v>
      </x:c>
      <x:c r="C3166" s="1" t="n">
        <x:v>6</x:v>
      </x:c>
      <x:c r="D3166" s="1" t="str">
        <x:v>Ancient Power</x:v>
      </x:c>
      <x:c r="E3166" s="1" t="str">
        <x:v>Pedra</x:v>
      </x:c>
      <x:c r="F3166" s="1" t="str">
        <x:v>Especial</x:v>
      </x:c>
      <x:c r="G3166" s="10" t="n">
        <x:v>60</x:v>
      </x:c>
      <x:c r="H3166" s="10" t="n">
        <x:f>IF(F3166="Física",'Pokémon'!G339,IF(F3166="Especial",'Pokémon'!I339,""))</x:f>
        <x:v>30</x:v>
      </x:c>
      <x:c r="I3166" s="10" t="n">
        <x:f>IF(OR(F3166="Status",G3166=0),"",G3166+H3166)</x:f>
        <x:v>90</x:v>
      </x:c>
      <x:c r="J3166" s="10" t="n">
        <x:v>33</x:v>
      </x:c>
      <x:c r="K3166" s="12" t="n">
        <x:v>50</x:v>
      </x:c>
      <x:c r="L3166" s="1" t="str"/>
      <x:c r="M3166" s="9" t="str">
        <x:v>https://poke.idleworld.online/pokepedia/pokemon/cranidos</x:v>
      </x:c>
    </x:row>
    <x:row r="3167" ht="22" customHeight="1">
      <x:c r="A3167" s="1" t="n">
        <x:v>409</x:v>
      </x:c>
      <x:c r="B3167" s="1" t="str">
        <x:v>Rampardos</x:v>
      </x:c>
      <x:c r="C3167" s="1" t="n">
        <x:v>8</x:v>
      </x:c>
      <x:c r="D3167" s="1" t="str">
        <x:v>Head Smash</x:v>
      </x:c>
      <x:c r="E3167" s="1" t="str">
        <x:v>Pedra</x:v>
      </x:c>
      <x:c r="F3167" s="1" t="str">
        <x:v>Física</x:v>
      </x:c>
      <x:c r="G3167" s="10" t="n">
        <x:v>150</x:v>
      </x:c>
      <x:c r="H3167" s="10" t="n">
        <x:f>IF(F3167="Física",'Pokémon'!G340,IF(F3167="Especial",'Pokémon'!I340,""))</x:f>
        <x:v>165</x:v>
      </x:c>
      <x:c r="I3167" s="10" t="n">
        <x:f>IF(OR(F3167="Status",G3167=0),"",G3167+H3167)</x:f>
        <x:v>315</x:v>
      </x:c>
      <x:c r="J3167" s="10" t="n">
        <x:v>58</x:v>
      </x:c>
      <x:c r="K3167" s="12" t="n">
        <x:v>40</x:v>
      </x:c>
      <x:c r="L3167" s="1" t="str"/>
      <x:c r="M3167" s="9" t="str">
        <x:v>https://poke.idleworld.online/pokepedia/pokemon/rampardos</x:v>
      </x:c>
    </x:row>
    <x:row r="3168" ht="22" customHeight="1">
      <x:c r="A3168" s="1" t="n">
        <x:v>409</x:v>
      </x:c>
      <x:c r="B3168" s="1" t="str">
        <x:v>Rampardos</x:v>
      </x:c>
      <x:c r="C3168" s="1" t="n">
        <x:v>3</x:v>
      </x:c>
      <x:c r="D3168" s="1" t="str">
        <x:v>Take Down</x:v>
      </x:c>
      <x:c r="E3168" s="1" t="str">
        <x:v>Normal</x:v>
      </x:c>
      <x:c r="F3168" s="1" t="str">
        <x:v>Física</x:v>
      </x:c>
      <x:c r="G3168" s="10" t="n">
        <x:v>90</x:v>
      </x:c>
      <x:c r="H3168" s="10" t="n">
        <x:f>IF(F3168="Física",'Pokémon'!G340,IF(F3168="Especial",'Pokémon'!I340,""))</x:f>
        <x:v>165</x:v>
      </x:c>
      <x:c r="I3168" s="10" t="n">
        <x:f>IF(OR(F3168="Status",G3168=0),"",G3168+H3168)</x:f>
        <x:v>255</x:v>
      </x:c>
      <x:c r="J3168" s="10" t="n">
        <x:v>15</x:v>
      </x:c>
      <x:c r="K3168" s="12" t="n">
        <x:v>22</x:v>
      </x:c>
      <x:c r="L3168" s="1" t="str"/>
      <x:c r="M3168" s="9" t="str">
        <x:v>https://poke.idleworld.online/pokepedia/pokemon/rampardos</x:v>
      </x:c>
    </x:row>
    <x:row r="3169" ht="22" customHeight="1">
      <x:c r="A3169" s="1" t="n">
        <x:v>409</x:v>
      </x:c>
      <x:c r="B3169" s="1" t="str">
        <x:v>Rampardos</x:v>
      </x:c>
      <x:c r="C3169" s="1" t="n">
        <x:v>7</x:v>
      </x:c>
      <x:c r="D3169" s="1" t="str">
        <x:v>Zen Headbutt</x:v>
      </x:c>
      <x:c r="E3169" s="1" t="str">
        <x:v>Psíquico</x:v>
      </x:c>
      <x:c r="F3169" s="1" t="str">
        <x:v>Física</x:v>
      </x:c>
      <x:c r="G3169" s="10" t="n">
        <x:v>80</x:v>
      </x:c>
      <x:c r="H3169" s="10" t="n">
        <x:f>IF(F3169="Física",'Pokémon'!G340,IF(F3169="Especial",'Pokémon'!I340,""))</x:f>
        <x:v>165</x:v>
      </x:c>
      <x:c r="I3169" s="10" t="n">
        <x:f>IF(OR(F3169="Status",G3169=0),"",G3169+H3169)</x:f>
        <x:v>245</x:v>
      </x:c>
      <x:c r="J3169" s="10" t="n">
        <x:v>43</x:v>
      </x:c>
      <x:c r="K3169" s="12" t="n">
        <x:v>22</x:v>
      </x:c>
      <x:c r="L3169" s="1" t="str"/>
      <x:c r="M3169" s="9" t="str">
        <x:v>https://poke.idleworld.online/pokepedia/pokemon/rampardos</x:v>
      </x:c>
    </x:row>
    <x:row r="3170" ht="22" customHeight="1">
      <x:c r="A3170" s="1" t="n">
        <x:v>409</x:v>
      </x:c>
      <x:c r="B3170" s="1" t="str">
        <x:v>Rampardos</x:v>
      </x:c>
      <x:c r="C3170" s="1" t="n">
        <x:v>1</x:v>
      </x:c>
      <x:c r="D3170" s="1" t="str">
        <x:v>Headbutt</x:v>
      </x:c>
      <x:c r="E3170" s="1" t="str">
        <x:v>Normal</x:v>
      </x:c>
      <x:c r="F3170" s="1" t="str">
        <x:v>Física</x:v>
      </x:c>
      <x:c r="G3170" s="10" t="n">
        <x:v>70</x:v>
      </x:c>
      <x:c r="H3170" s="10" t="n">
        <x:f>IF(F3170="Física",'Pokémon'!G340,IF(F3170="Especial",'Pokémon'!I340,""))</x:f>
        <x:v>165</x:v>
      </x:c>
      <x:c r="I3170" s="10" t="n">
        <x:f>IF(OR(F3170="Status",G3170=0),"",G3170+H3170)</x:f>
        <x:v>235</x:v>
      </x:c>
      <x:c r="J3170" s="10" t="n">
        <x:v>1</x:v>
      </x:c>
      <x:c r="K3170" s="12" t="n">
        <x:v>5</x:v>
      </x:c>
      <x:c r="L3170" s="1" t="str"/>
      <x:c r="M3170" s="9" t="str">
        <x:v>https://poke.idleworld.online/pokepedia/pokemon/rampardos</x:v>
      </x:c>
    </x:row>
    <x:row r="3171" ht="22" customHeight="1">
      <x:c r="A3171" s="1" t="n">
        <x:v>409</x:v>
      </x:c>
      <x:c r="B3171" s="1" t="str">
        <x:v>Rampardos</x:v>
      </x:c>
      <x:c r="C3171" s="1" t="n">
        <x:v>5</x:v>
      </x:c>
      <x:c r="D3171" s="1" t="str">
        <x:v>Chip Away</x:v>
      </x:c>
      <x:c r="E3171" s="1" t="str">
        <x:v>Normal</x:v>
      </x:c>
      <x:c r="F3171" s="1" t="str">
        <x:v>Física</x:v>
      </x:c>
      <x:c r="G3171" s="10" t="n">
        <x:v>70</x:v>
      </x:c>
      <x:c r="H3171" s="10" t="n">
        <x:f>IF(F3171="Física",'Pokémon'!G340,IF(F3171="Especial",'Pokémon'!I340,""))</x:f>
        <x:v>165</x:v>
      </x:c>
      <x:c r="I3171" s="10" t="n">
        <x:f>IF(OR(F3171="Status",G3171=0),"",G3171+H3171)</x:f>
        <x:v>235</x:v>
      </x:c>
      <x:c r="J3171" s="10" t="n">
        <x:v>28</x:v>
      </x:c>
      <x:c r="K3171" s="12" t="n">
        <x:v>20</x:v>
      </x:c>
      <x:c r="L3171" s="1" t="str"/>
      <x:c r="M3171" s="9" t="str">
        <x:v>https://poke.idleworld.online/pokepedia/pokemon/rampardos</x:v>
      </x:c>
    </x:row>
    <x:row r="3172" ht="22" customHeight="1">
      <x:c r="A3172" s="1" t="n">
        <x:v>409</x:v>
      </x:c>
      <x:c r="B3172" s="1" t="str">
        <x:v>Rampardos</x:v>
      </x:c>
      <x:c r="C3172" s="1" t="n">
        <x:v>4</x:v>
      </x:c>
      <x:c r="D3172" s="1" t="str">
        <x:v>Assurance</x:v>
      </x:c>
      <x:c r="E3172" s="1" t="str">
        <x:v>Sombrio</x:v>
      </x:c>
      <x:c r="F3172" s="1" t="str">
        <x:v>Física</x:v>
      </x:c>
      <x:c r="G3172" s="10" t="n">
        <x:v>60</x:v>
      </x:c>
      <x:c r="H3172" s="10" t="n">
        <x:f>IF(F3172="Física",'Pokémon'!G340,IF(F3172="Especial",'Pokémon'!I340,""))</x:f>
        <x:v>165</x:v>
      </x:c>
      <x:c r="I3172" s="10" t="n">
        <x:f>IF(OR(F3172="Status",G3172=0),"",G3172+H3172)</x:f>
        <x:v>225</x:v>
      </x:c>
      <x:c r="J3172" s="10" t="n">
        <x:v>24</x:v>
      </x:c>
      <x:c r="K3172" s="12" t="n">
        <x:v>20</x:v>
      </x:c>
      <x:c r="L3172" s="1" t="str"/>
      <x:c r="M3172" s="9" t="str">
        <x:v>https://poke.idleworld.online/pokepedia/pokemon/rampardos</x:v>
      </x:c>
    </x:row>
    <x:row r="3173" ht="22" customHeight="1">
      <x:c r="A3173" s="1" t="n">
        <x:v>409</x:v>
      </x:c>
      <x:c r="B3173" s="1" t="str">
        <x:v>Rampardos</x:v>
      </x:c>
      <x:c r="C3173" s="1" t="n">
        <x:v>2</x:v>
      </x:c>
      <x:c r="D3173" s="1" t="str">
        <x:v>Pursuit</x:v>
      </x:c>
      <x:c r="E3173" s="1" t="str">
        <x:v>Sombrio</x:v>
      </x:c>
      <x:c r="F3173" s="1" t="str">
        <x:v>Física</x:v>
      </x:c>
      <x:c r="G3173" s="10" t="n">
        <x:v>40</x:v>
      </x:c>
      <x:c r="H3173" s="10" t="n">
        <x:f>IF(F3173="Física",'Pokémon'!G340,IF(F3173="Especial",'Pokémon'!I340,""))</x:f>
        <x:v>165</x:v>
      </x:c>
      <x:c r="I3173" s="10" t="n">
        <x:f>IF(OR(F3173="Status",G3173=0),"",G3173+H3173)</x:f>
        <x:v>205</x:v>
      </x:c>
      <x:c r="J3173" s="10" t="n">
        <x:v>10</x:v>
      </x:c>
      <x:c r="K3173" s="12" t="n">
        <x:v>15</x:v>
      </x:c>
      <x:c r="L3173" s="1" t="str"/>
      <x:c r="M3173" s="9" t="str">
        <x:v>https://poke.idleworld.online/pokepedia/pokemon/rampardos</x:v>
      </x:c>
    </x:row>
    <x:row r="3174" ht="22" customHeight="1">
      <x:c r="A3174" s="1" t="n">
        <x:v>409</x:v>
      </x:c>
      <x:c r="B3174" s="1" t="str">
        <x:v>Rampardos</x:v>
      </x:c>
      <x:c r="C3174" s="1" t="n">
        <x:v>6</x:v>
      </x:c>
      <x:c r="D3174" s="1" t="str">
        <x:v>Ancient Power</x:v>
      </x:c>
      <x:c r="E3174" s="1" t="str">
        <x:v>Pedra</x:v>
      </x:c>
      <x:c r="F3174" s="1" t="str">
        <x:v>Especial</x:v>
      </x:c>
      <x:c r="G3174" s="10" t="n">
        <x:v>60</x:v>
      </x:c>
      <x:c r="H3174" s="10" t="n">
        <x:f>IF(F3174="Física",'Pokémon'!G340,IF(F3174="Especial",'Pokémon'!I340,""))</x:f>
        <x:v>65</x:v>
      </x:c>
      <x:c r="I3174" s="10" t="n">
        <x:f>IF(OR(F3174="Status",G3174=0),"",G3174+H3174)</x:f>
        <x:v>125</x:v>
      </x:c>
      <x:c r="J3174" s="10" t="n">
        <x:v>36</x:v>
      </x:c>
      <x:c r="K3174" s="12" t="n">
        <x:v>40</x:v>
      </x:c>
      <x:c r="L3174" s="1" t="str"/>
      <x:c r="M3174" s="9" t="str">
        <x:v>https://poke.idleworld.online/pokepedia/pokemon/rampardos</x:v>
      </x:c>
    </x:row>
    <x:row r="3175" ht="22" customHeight="1">
      <x:c r="A3175" s="1" t="n">
        <x:v>410</x:v>
      </x:c>
      <x:c r="B3175" s="1" t="str">
        <x:v>Shieldon</x:v>
      </x:c>
      <x:c r="C3175" s="1" t="n">
        <x:v>5</x:v>
      </x:c>
      <x:c r="D3175" s="1" t="str">
        <x:v>Heavy Slam</x:v>
      </x:c>
      <x:c r="E3175" s="1" t="str">
        <x:v>Aço</x:v>
      </x:c>
      <x:c r="F3175" s="1" t="str">
        <x:v>Física</x:v>
      </x:c>
      <x:c r="G3175" s="10" t="n">
        <x:v>120</x:v>
      </x:c>
      <x:c r="H3175" s="10" t="n">
        <x:f>IF(F3175="Física",'Pokémon'!G341,IF(F3175="Especial",'Pokémon'!I341,""))</x:f>
        <x:v>42</x:v>
      </x:c>
      <x:c r="I3175" s="10" t="n">
        <x:f>IF(OR(F3175="Status",G3175=0),"",G3175+H3175)</x:f>
        <x:v>162</x:v>
      </x:c>
      <x:c r="J3175" s="10" t="n">
        <x:v>46</x:v>
      </x:c>
      <x:c r="K3175" s="12" t="n">
        <x:v>40</x:v>
      </x:c>
      <x:c r="L3175" s="1" t="str"/>
      <x:c r="M3175" s="9" t="str">
        <x:v>https://poke.idleworld.online/pokepedia/pokemon/shieldon</x:v>
      </x:c>
    </x:row>
    <x:row r="3176" ht="22" customHeight="1">
      <x:c r="A3176" s="1" t="n">
        <x:v>410</x:v>
      </x:c>
      <x:c r="B3176" s="1" t="str">
        <x:v>Shieldon</x:v>
      </x:c>
      <x:c r="C3176" s="1" t="n">
        <x:v>2</x:v>
      </x:c>
      <x:c r="D3176" s="1" t="str">
        <x:v>Take Down</x:v>
      </x:c>
      <x:c r="E3176" s="1" t="str">
        <x:v>Normal</x:v>
      </x:c>
      <x:c r="F3176" s="1" t="str">
        <x:v>Física</x:v>
      </x:c>
      <x:c r="G3176" s="10" t="n">
        <x:v>90</x:v>
      </x:c>
      <x:c r="H3176" s="10" t="n">
        <x:f>IF(F3176="Física",'Pokémon'!G341,IF(F3176="Especial",'Pokémon'!I341,""))</x:f>
        <x:v>42</x:v>
      </x:c>
      <x:c r="I3176" s="10" t="n">
        <x:f>IF(OR(F3176="Status",G3176=0),"",G3176+H3176)</x:f>
        <x:v>132</x:v>
      </x:c>
      <x:c r="J3176" s="10" t="n">
        <x:v>15</x:v>
      </x:c>
      <x:c r="K3176" s="12" t="n">
        <x:v>22</x:v>
      </x:c>
      <x:c r="L3176" s="1" t="str"/>
      <x:c r="M3176" s="9" t="str">
        <x:v>https://poke.idleworld.online/pokepedia/pokemon/shieldon</x:v>
      </x:c>
    </x:row>
    <x:row r="3177" ht="22" customHeight="1">
      <x:c r="A3177" s="1" t="n">
        <x:v>410</x:v>
      </x:c>
      <x:c r="B3177" s="1" t="str">
        <x:v>Shieldon</x:v>
      </x:c>
      <x:c r="C3177" s="1" t="n">
        <x:v>4</x:v>
      </x:c>
      <x:c r="D3177" s="1" t="str">
        <x:v>Iron Head</x:v>
      </x:c>
      <x:c r="E3177" s="1" t="str">
        <x:v>Aço</x:v>
      </x:c>
      <x:c r="F3177" s="1" t="str">
        <x:v>Física</x:v>
      </x:c>
      <x:c r="G3177" s="10" t="n">
        <x:v>80</x:v>
      </x:c>
      <x:c r="H3177" s="10" t="n">
        <x:f>IF(F3177="Física",'Pokémon'!G341,IF(F3177="Especial",'Pokémon'!I341,""))</x:f>
        <x:v>42</x:v>
      </x:c>
      <x:c r="I3177" s="10" t="n">
        <x:f>IF(OR(F3177="Status",G3177=0),"",G3177+H3177)</x:f>
        <x:v>122</x:v>
      </x:c>
      <x:c r="J3177" s="10" t="n">
        <x:v>42</x:v>
      </x:c>
      <x:c r="K3177" s="12" t="n">
        <x:v>20</x:v>
      </x:c>
      <x:c r="L3177" s="1" t="str"/>
      <x:c r="M3177" s="9" t="str">
        <x:v>https://poke.idleworld.online/pokepedia/pokemon/shieldon</x:v>
      </x:c>
    </x:row>
    <x:row r="3178" ht="22" customHeight="1">
      <x:c r="A3178" s="1" t="n">
        <x:v>410</x:v>
      </x:c>
      <x:c r="B3178" s="1" t="str">
        <x:v>Shieldon</x:v>
      </x:c>
      <x:c r="C3178" s="1" t="n">
        <x:v>3</x:v>
      </x:c>
      <x:c r="D3178" s="1" t="str">
        <x:v>Ancient Power</x:v>
      </x:c>
      <x:c r="E3178" s="1" t="str">
        <x:v>Pedra</x:v>
      </x:c>
      <x:c r="F3178" s="1" t="str">
        <x:v>Especial</x:v>
      </x:c>
      <x:c r="G3178" s="10" t="n">
        <x:v>60</x:v>
      </x:c>
      <x:c r="H3178" s="10" t="n">
        <x:f>IF(F3178="Física",'Pokémon'!G341,IF(F3178="Especial",'Pokémon'!I341,""))</x:f>
        <x:v>42</x:v>
      </x:c>
      <x:c r="I3178" s="10" t="n">
        <x:f>IF(OR(F3178="Status",G3178=0),"",G3178+H3178)</x:f>
        <x:v>102</x:v>
      </x:c>
      <x:c r="J3178" s="10" t="n">
        <x:v>28</x:v>
      </x:c>
      <x:c r="K3178" s="12" t="n">
        <x:v>20</x:v>
      </x:c>
      <x:c r="L3178" s="1" t="str"/>
      <x:c r="M3178" s="9" t="str">
        <x:v>https://poke.idleworld.online/pokepedia/pokemon/shieldon</x:v>
      </x:c>
    </x:row>
    <x:row r="3179" ht="22" customHeight="1">
      <x:c r="A3179" s="1" t="n">
        <x:v>410</x:v>
      </x:c>
      <x:c r="B3179" s="1" t="str">
        <x:v>Shieldon</x:v>
      </x:c>
      <x:c r="C3179" s="1" t="n">
        <x:v>1</x:v>
      </x:c>
      <x:c r="D3179" s="1" t="str">
        <x:v>Tackle</x:v>
      </x:c>
      <x:c r="E3179" s="1" t="str">
        <x:v>Normal</x:v>
      </x:c>
      <x:c r="F3179" s="1" t="str">
        <x:v>Física</x:v>
      </x:c>
      <x:c r="G3179" s="10" t="n">
        <x:v>50</x:v>
      </x:c>
      <x:c r="H3179" s="10" t="n">
        <x:f>IF(F3179="Física",'Pokémon'!G341,IF(F3179="Especial",'Pokémon'!I341,""))</x:f>
        <x:v>42</x:v>
      </x:c>
      <x:c r="I3179" s="10" t="n">
        <x:f>IF(OR(F3179="Status",G3179=0),"",G3179+H3179)</x:f>
        <x:v>92</x:v>
      </x:c>
      <x:c r="J3179" s="10" t="n">
        <x:v>1</x:v>
      </x:c>
      <x:c r="K3179" s="12" t="n">
        <x:v>15</x:v>
      </x:c>
      <x:c r="L3179" s="1" t="str"/>
      <x:c r="M3179" s="9" t="str">
        <x:v>https://poke.idleworld.online/pokepedia/pokemon/shieldon</x:v>
      </x:c>
    </x:row>
    <x:row r="3180" ht="22" customHeight="1">
      <x:c r="A3180" s="1" t="n">
        <x:v>411</x:v>
      </x:c>
      <x:c r="B3180" s="1" t="str">
        <x:v>Bastiodon</x:v>
      </x:c>
      <x:c r="C3180" s="1" t="n">
        <x:v>2</x:v>
      </x:c>
      <x:c r="D3180" s="1" t="str">
        <x:v>Take Down</x:v>
      </x:c>
      <x:c r="E3180" s="1" t="str">
        <x:v>Normal</x:v>
      </x:c>
      <x:c r="F3180" s="1" t="str">
        <x:v>Física</x:v>
      </x:c>
      <x:c r="G3180" s="10" t="n">
        <x:v>90</x:v>
      </x:c>
      <x:c r="H3180" s="10" t="n">
        <x:f>IF(F3180="Física",'Pokémon'!G342,IF(F3180="Especial",'Pokémon'!I342,""))</x:f>
        <x:v>52</x:v>
      </x:c>
      <x:c r="I3180" s="10" t="n">
        <x:f>IF(OR(F3180="Status",G3180=0),"",G3180+H3180)</x:f>
        <x:v>142</x:v>
      </x:c>
      <x:c r="J3180" s="10" t="n">
        <x:v>15</x:v>
      </x:c>
      <x:c r="K3180" s="12" t="n">
        <x:v>22</x:v>
      </x:c>
      <x:c r="L3180" s="1" t="str"/>
      <x:c r="M3180" s="9" t="str">
        <x:v>https://poke.idleworld.online/pokepedia/pokemon/bastiodon</x:v>
      </x:c>
    </x:row>
    <x:row r="3181" ht="22" customHeight="1">
      <x:c r="A3181" s="1" t="n">
        <x:v>411</x:v>
      </x:c>
      <x:c r="B3181" s="1" t="str">
        <x:v>Bastiodon</x:v>
      </x:c>
      <x:c r="C3181" s="1" t="n">
        <x:v>4</x:v>
      </x:c>
      <x:c r="D3181" s="1" t="str">
        <x:v>Iron Head</x:v>
      </x:c>
      <x:c r="E3181" s="1" t="str">
        <x:v>Aço</x:v>
      </x:c>
      <x:c r="F3181" s="1" t="str">
        <x:v>Física</x:v>
      </x:c>
      <x:c r="G3181" s="10" t="n">
        <x:v>80</x:v>
      </x:c>
      <x:c r="H3181" s="10" t="n">
        <x:f>IF(F3181="Física",'Pokémon'!G342,IF(F3181="Especial",'Pokémon'!I342,""))</x:f>
        <x:v>52</x:v>
      </x:c>
      <x:c r="I3181" s="10" t="n">
        <x:f>IF(OR(F3181="Status",G3181=0),"",G3181+H3181)</x:f>
        <x:v>132</x:v>
      </x:c>
      <x:c r="J3181" s="10" t="n">
        <x:v>51</x:v>
      </x:c>
      <x:c r="K3181" s="12" t="n">
        <x:v>15</x:v>
      </x:c>
      <x:c r="L3181" s="1" t="str"/>
      <x:c r="M3181" s="9" t="str">
        <x:v>https://poke.idleworld.online/pokepedia/pokemon/bastiodon</x:v>
      </x:c>
    </x:row>
    <x:row r="3182" ht="22" customHeight="1">
      <x:c r="A3182" s="1" t="n">
        <x:v>411</x:v>
      </x:c>
      <x:c r="B3182" s="1" t="str">
        <x:v>Bastiodon</x:v>
      </x:c>
      <x:c r="C3182" s="1" t="n">
        <x:v>3</x:v>
      </x:c>
      <x:c r="D3182" s="1" t="str">
        <x:v>Ancient Power</x:v>
      </x:c>
      <x:c r="E3182" s="1" t="str">
        <x:v>Pedra</x:v>
      </x:c>
      <x:c r="F3182" s="1" t="str">
        <x:v>Especial</x:v>
      </x:c>
      <x:c r="G3182" s="10" t="n">
        <x:v>60</x:v>
      </x:c>
      <x:c r="H3182" s="10" t="n">
        <x:f>IF(F3182="Física",'Pokémon'!G342,IF(F3182="Especial",'Pokémon'!I342,""))</x:f>
        <x:v>47</x:v>
      </x:c>
      <x:c r="I3182" s="10" t="n">
        <x:f>IF(OR(F3182="Status",G3182=0),"",G3182+H3182)</x:f>
        <x:v>107</x:v>
      </x:c>
      <x:c r="J3182" s="10" t="n">
        <x:v>28</x:v>
      </x:c>
      <x:c r="K3182" s="12" t="n">
        <x:v>40</x:v>
      </x:c>
      <x:c r="L3182" s="1" t="str"/>
      <x:c r="M3182" s="9" t="str">
        <x:v>https://poke.idleworld.online/pokepedia/pokemon/bastiodon</x:v>
      </x:c>
    </x:row>
    <x:row r="3183" ht="22" customHeight="1">
      <x:c r="A3183" s="1" t="n">
        <x:v>411</x:v>
      </x:c>
      <x:c r="B3183" s="1" t="str">
        <x:v>Bastiodon</x:v>
      </x:c>
      <x:c r="C3183" s="1" t="n">
        <x:v>1</x:v>
      </x:c>
      <x:c r="D3183" s="1" t="str">
        <x:v>Tackle</x:v>
      </x:c>
      <x:c r="E3183" s="1" t="str">
        <x:v>Normal</x:v>
      </x:c>
      <x:c r="F3183" s="1" t="str">
        <x:v>Física</x:v>
      </x:c>
      <x:c r="G3183" s="10" t="n">
        <x:v>50</x:v>
      </x:c>
      <x:c r="H3183" s="10" t="n">
        <x:f>IF(F3183="Física",'Pokémon'!G342,IF(F3183="Especial",'Pokémon'!I342,""))</x:f>
        <x:v>52</x:v>
      </x:c>
      <x:c r="I3183" s="10" t="n">
        <x:f>IF(OR(F3183="Status",G3183=0),"",G3183+H3183)</x:f>
        <x:v>102</x:v>
      </x:c>
      <x:c r="J3183" s="10" t="n">
        <x:v>1</x:v>
      </x:c>
      <x:c r="K3183" s="12" t="n">
        <x:v>15</x:v>
      </x:c>
      <x:c r="L3183" s="1" t="str"/>
      <x:c r="M3183" s="9" t="str">
        <x:v>https://poke.idleworld.online/pokepedia/pokemon/bastiodon</x:v>
      </x:c>
    </x:row>
    <x:row r="3184" ht="22" customHeight="1">
      <x:c r="A3184" s="1" t="n">
        <x:v>413</x:v>
      </x:c>
      <x:c r="B3184" s="1" t="str">
        <x:v>Wormadam</x:v>
      </x:c>
      <x:c r="C3184" s="1" t="n">
        <x:v>8</x:v>
      </x:c>
      <x:c r="D3184" s="1" t="str">
        <x:v>Leaf Storm</x:v>
      </x:c>
      <x:c r="E3184" s="1" t="str">
        <x:v>Planta</x:v>
      </x:c>
      <x:c r="F3184" s="1" t="str">
        <x:v>Especial</x:v>
      </x:c>
      <x:c r="G3184" s="10" t="n">
        <x:v>130</x:v>
      </x:c>
      <x:c r="H3184" s="10" t="n">
        <x:f>IF(F3184="Física",'Pokémon'!G343,IF(F3184="Especial",'Pokémon'!I343,""))</x:f>
        <x:v>79</x:v>
      </x:c>
      <x:c r="I3184" s="10" t="n">
        <x:f>IF(OR(F3184="Status",G3184=0),"",G3184+H3184)</x:f>
        <x:v>209</x:v>
      </x:c>
      <x:c r="J3184" s="10" t="n">
        <x:v>47</x:v>
      </x:c>
      <x:c r="K3184" s="12" t="n">
        <x:v>50</x:v>
      </x:c>
      <x:c r="L3184" s="1" t="str"/>
      <x:c r="M3184" s="9" t="str">
        <x:v>https://poke.idleworld.online/pokepedia/pokemon/wormadam</x:v>
      </x:c>
    </x:row>
    <x:row r="3185" ht="22" customHeight="1">
      <x:c r="A3185" s="1" t="n">
        <x:v>413</x:v>
      </x:c>
      <x:c r="B3185" s="1" t="str">
        <x:v>Wormadam</x:v>
      </x:c>
      <x:c r="C3185" s="1" t="n">
        <x:v>7</x:v>
      </x:c>
      <x:c r="D3185" s="1" t="str">
        <x:v>Psychic</x:v>
      </x:c>
      <x:c r="E3185" s="1" t="str">
        <x:v>Psíquico</x:v>
      </x:c>
      <x:c r="F3185" s="1" t="str">
        <x:v>Especial</x:v>
      </x:c>
      <x:c r="G3185" s="10" t="n">
        <x:v>90</x:v>
      </x:c>
      <x:c r="H3185" s="10" t="n">
        <x:f>IF(F3185="Física",'Pokémon'!G343,IF(F3185="Especial",'Pokémon'!I343,""))</x:f>
        <x:v>79</x:v>
      </x:c>
      <x:c r="I3185" s="10" t="n">
        <x:f>IF(OR(F3185="Status",G3185=0),"",G3185+H3185)</x:f>
        <x:v>169</x:v>
      </x:c>
      <x:c r="J3185" s="10" t="n">
        <x:v>44</x:v>
      </x:c>
      <x:c r="K3185" s="12" t="n">
        <x:v>22</x:v>
      </x:c>
      <x:c r="L3185" s="1" t="str"/>
      <x:c r="M3185" s="9" t="str">
        <x:v>https://poke.idleworld.online/pokepedia/pokemon/wormadam</x:v>
      </x:c>
    </x:row>
    <x:row r="3186" ht="22" customHeight="1">
      <x:c r="A3186" s="1" t="n">
        <x:v>413</x:v>
      </x:c>
      <x:c r="B3186" s="1" t="str">
        <x:v>Wormadam</x:v>
      </x:c>
      <x:c r="C3186" s="1" t="n">
        <x:v>6</x:v>
      </x:c>
      <x:c r="D3186" s="1" t="str">
        <x:v>Psybeam</x:v>
      </x:c>
      <x:c r="E3186" s="1" t="str">
        <x:v>Psíquico</x:v>
      </x:c>
      <x:c r="F3186" s="1" t="str">
        <x:v>Especial</x:v>
      </x:c>
      <x:c r="G3186" s="10" t="n">
        <x:v>65</x:v>
      </x:c>
      <x:c r="H3186" s="10" t="n">
        <x:f>IF(F3186="Física",'Pokémon'!G343,IF(F3186="Especial",'Pokémon'!I343,""))</x:f>
        <x:v>79</x:v>
      </x:c>
      <x:c r="I3186" s="10" t="n">
        <x:f>IF(OR(F3186="Status",G3186=0),"",G3186+H3186)</x:f>
        <x:v>144</x:v>
      </x:c>
      <x:c r="J3186" s="10" t="n">
        <x:v>32</x:v>
      </x:c>
      <x:c r="K3186" s="12" t="n">
        <x:v>20</x:v>
      </x:c>
      <x:c r="L3186" s="1" t="str"/>
      <x:c r="M3186" s="9" t="str">
        <x:v>https://poke.idleworld.online/pokepedia/pokemon/wormadam</x:v>
      </x:c>
    </x:row>
    <x:row r="3187" ht="22" customHeight="1">
      <x:c r="A3187" s="1" t="n">
        <x:v>413</x:v>
      </x:c>
      <x:c r="B3187" s="1" t="str">
        <x:v>Wormadam</x:v>
      </x:c>
      <x:c r="C3187" s="1" t="n">
        <x:v>3</x:v>
      </x:c>
      <x:c r="D3187" s="1" t="str">
        <x:v>Hidden Power</x:v>
      </x:c>
      <x:c r="E3187" s="1" t="str">
        <x:v>Normal</x:v>
      </x:c>
      <x:c r="F3187" s="1" t="str">
        <x:v>Especial</x:v>
      </x:c>
      <x:c r="G3187" s="10" t="n">
        <x:v>60</x:v>
      </x:c>
      <x:c r="H3187" s="10" t="n">
        <x:f>IF(F3187="Física",'Pokémon'!G343,IF(F3187="Especial",'Pokémon'!I343,""))</x:f>
        <x:v>79</x:v>
      </x:c>
      <x:c r="I3187" s="10" t="n">
        <x:f>IF(OR(F3187="Status",G3187=0),"",G3187+H3187)</x:f>
        <x:v>139</x:v>
      </x:c>
      <x:c r="J3187" s="10" t="n">
        <x:v>20</x:v>
      </x:c>
      <x:c r="K3187" s="12" t="n">
        <x:v>20</x:v>
      </x:c>
      <x:c r="L3187" s="1" t="str"/>
      <x:c r="M3187" s="9" t="str">
        <x:v>https://poke.idleworld.online/pokepedia/pokemon/wormadam</x:v>
      </x:c>
    </x:row>
    <x:row r="3188" ht="22" customHeight="1">
      <x:c r="A3188" s="1" t="n">
        <x:v>413</x:v>
      </x:c>
      <x:c r="B3188" s="1" t="str">
        <x:v>Wormadam</x:v>
      </x:c>
      <x:c r="C3188" s="1" t="n">
        <x:v>4</x:v>
      </x:c>
      <x:c r="D3188" s="1" t="str">
        <x:v>Confusion</x:v>
      </x:c>
      <x:c r="E3188" s="1" t="str">
        <x:v>Psíquico</x:v>
      </x:c>
      <x:c r="F3188" s="1" t="str">
        <x:v>Especial</x:v>
      </x:c>
      <x:c r="G3188" s="10" t="n">
        <x:v>50</x:v>
      </x:c>
      <x:c r="H3188" s="10" t="n">
        <x:f>IF(F3188="Física",'Pokémon'!G343,IF(F3188="Especial",'Pokémon'!I343,""))</x:f>
        <x:v>79</x:v>
      </x:c>
      <x:c r="I3188" s="10" t="n">
        <x:f>IF(OR(F3188="Status",G3188=0),"",G3188+H3188)</x:f>
        <x:v>129</x:v>
      </x:c>
      <x:c r="J3188" s="10" t="n">
        <x:v>23</x:v>
      </x:c>
      <x:c r="K3188" s="12" t="n">
        <x:v>15</x:v>
      </x:c>
      <x:c r="L3188" s="1" t="str"/>
      <x:c r="M3188" s="9" t="str">
        <x:v>https://poke.idleworld.online/pokepedia/pokemon/wormadam</x:v>
      </x:c>
    </x:row>
    <x:row r="3189" ht="22" customHeight="1">
      <x:c r="A3189" s="1" t="n">
        <x:v>413</x:v>
      </x:c>
      <x:c r="B3189" s="1" t="str">
        <x:v>Wormadam</x:v>
      </x:c>
      <x:c r="C3189" s="1" t="n">
        <x:v>2</x:v>
      </x:c>
      <x:c r="D3189" s="1" t="str">
        <x:v>Bug Bite</x:v>
      </x:c>
      <x:c r="E3189" s="1" t="str">
        <x:v>Inseto</x:v>
      </x:c>
      <x:c r="F3189" s="1" t="str">
        <x:v>Física</x:v>
      </x:c>
      <x:c r="G3189" s="10" t="n">
        <x:v>60</x:v>
      </x:c>
      <x:c r="H3189" s="10" t="n">
        <x:f>IF(F3189="Física",'Pokémon'!G343,IF(F3189="Especial",'Pokémon'!I343,""))</x:f>
        <x:v>59</x:v>
      </x:c>
      <x:c r="I3189" s="10" t="n">
        <x:f>IF(OR(F3189="Status",G3189=0),"",G3189+H3189)</x:f>
        <x:v>119</x:v>
      </x:c>
      <x:c r="J3189" s="10" t="n">
        <x:v>15</x:v>
      </x:c>
      <x:c r="K3189" s="12" t="n">
        <x:v>20</x:v>
      </x:c>
      <x:c r="L3189" s="1" t="str"/>
      <x:c r="M3189" s="9" t="str">
        <x:v>https://poke.idleworld.online/pokepedia/pokemon/wormadam</x:v>
      </x:c>
    </x:row>
    <x:row r="3190" ht="22" customHeight="1">
      <x:c r="A3190" s="1" t="n">
        <x:v>413</x:v>
      </x:c>
      <x:c r="B3190" s="1" t="str">
        <x:v>Wormadam</x:v>
      </x:c>
      <x:c r="C3190" s="1" t="n">
        <x:v>5</x:v>
      </x:c>
      <x:c r="D3190" s="1" t="str">
        <x:v>Razor Leaf</x:v>
      </x:c>
      <x:c r="E3190" s="1" t="str">
        <x:v>Planta</x:v>
      </x:c>
      <x:c r="F3190" s="1" t="str">
        <x:v>Física</x:v>
      </x:c>
      <x:c r="G3190" s="10" t="n">
        <x:v>55</x:v>
      </x:c>
      <x:c r="H3190" s="10" t="n">
        <x:f>IF(F3190="Física",'Pokémon'!G343,IF(F3190="Especial",'Pokémon'!I343,""))</x:f>
        <x:v>59</x:v>
      </x:c>
      <x:c r="I3190" s="10" t="n">
        <x:f>IF(OR(F3190="Status",G3190=0),"",G3190+H3190)</x:f>
        <x:v>114</x:v>
      </x:c>
      <x:c r="J3190" s="10" t="n">
        <x:v>26</x:v>
      </x:c>
      <x:c r="K3190" s="12" t="n">
        <x:v>10</x:v>
      </x:c>
      <x:c r="L3190" s="1" t="str"/>
      <x:c r="M3190" s="9" t="str">
        <x:v>https://poke.idleworld.online/pokepedia/pokemon/wormadam</x:v>
      </x:c>
    </x:row>
    <x:row r="3191" ht="22" customHeight="1">
      <x:c r="A3191" s="1" t="n">
        <x:v>413</x:v>
      </x:c>
      <x:c r="B3191" s="1" t="str">
        <x:v>Wormadam</x:v>
      </x:c>
      <x:c r="C3191" s="1" t="n">
        <x:v>1</x:v>
      </x:c>
      <x:c r="D3191" s="1" t="str">
        <x:v>Tackle</x:v>
      </x:c>
      <x:c r="E3191" s="1" t="str">
        <x:v>Normal</x:v>
      </x:c>
      <x:c r="F3191" s="1" t="str">
        <x:v>Física</x:v>
      </x:c>
      <x:c r="G3191" s="10" t="n">
        <x:v>50</x:v>
      </x:c>
      <x:c r="H3191" s="10" t="n">
        <x:f>IF(F3191="Física",'Pokémon'!G343,IF(F3191="Especial",'Pokémon'!I343,""))</x:f>
        <x:v>59</x:v>
      </x:c>
      <x:c r="I3191" s="10" t="n">
        <x:f>IF(OR(F3191="Status",G3191=0),"",G3191+H3191)</x:f>
        <x:v>109</x:v>
      </x:c>
      <x:c r="J3191" s="10" t="n">
        <x:v>1</x:v>
      </x:c>
      <x:c r="K3191" s="12" t="n">
        <x:v>15</x:v>
      </x:c>
      <x:c r="L3191" s="1" t="str"/>
      <x:c r="M3191" s="9" t="str">
        <x:v>https://poke.idleworld.online/pokepedia/pokemon/wormadam</x:v>
      </x:c>
    </x:row>
    <x:row r="3192" ht="22" customHeight="1">
      <x:c r="A3192" s="1" t="n">
        <x:v>416</x:v>
      </x:c>
      <x:c r="B3192" s="1" t="str">
        <x:v>Vespiquen</x:v>
      </x:c>
      <x:c r="C3192" s="1" t="n">
        <x:v>10</x:v>
      </x:c>
      <x:c r="D3192" s="1" t="str">
        <x:v>Attack Order</x:v>
      </x:c>
      <x:c r="E3192" s="1" t="str">
        <x:v>Inseto</x:v>
      </x:c>
      <x:c r="F3192" s="1" t="str">
        <x:v>Física</x:v>
      </x:c>
      <x:c r="G3192" s="10" t="n">
        <x:v>90</x:v>
      </x:c>
      <x:c r="H3192" s="10" t="n">
        <x:f>IF(F3192="Física",'Pokémon'!G344,IF(F3192="Especial",'Pokémon'!I344,""))</x:f>
        <x:v>80</x:v>
      </x:c>
      <x:c r="I3192" s="10" t="n">
        <x:f>IF(OR(F3192="Status",G3192=0),"",G3192+H3192)</x:f>
        <x:v>170</x:v>
      </x:c>
      <x:c r="J3192" s="10" t="n">
        <x:v>45</x:v>
      </x:c>
      <x:c r="K3192" s="12" t="n">
        <x:v>40</x:v>
      </x:c>
      <x:c r="L3192" s="1" t="str"/>
      <x:c r="M3192" s="9" t="str">
        <x:v>https://poke.idleworld.online/pokepedia/pokemon/vespiquen</x:v>
      </x:c>
    </x:row>
    <x:row r="3193" ht="22" customHeight="1">
      <x:c r="A3193" s="1" t="n">
        <x:v>416</x:v>
      </x:c>
      <x:c r="B3193" s="1" t="str">
        <x:v>Vespiquen</x:v>
      </x:c>
      <x:c r="C3193" s="1" t="n">
        <x:v>8</x:v>
      </x:c>
      <x:c r="D3193" s="1" t="str">
        <x:v>Power Gem</x:v>
      </x:c>
      <x:c r="E3193" s="1" t="str">
        <x:v>Pedra</x:v>
      </x:c>
      <x:c r="F3193" s="1" t="str">
        <x:v>Especial</x:v>
      </x:c>
      <x:c r="G3193" s="10" t="n">
        <x:v>80</x:v>
      </x:c>
      <x:c r="H3193" s="10" t="n">
        <x:f>IF(F3193="Física",'Pokémon'!G344,IF(F3193="Especial",'Pokémon'!I344,""))</x:f>
        <x:v>80</x:v>
      </x:c>
      <x:c r="I3193" s="10" t="n">
        <x:f>IF(OR(F3193="Status",G3193=0),"",G3193+H3193)</x:f>
        <x:v>160</x:v>
      </x:c>
      <x:c r="J3193" s="10" t="n">
        <x:v>25</x:v>
      </x:c>
      <x:c r="K3193" s="12" t="n">
        <x:v>22</x:v>
      </x:c>
      <x:c r="L3193" s="1" t="str"/>
      <x:c r="M3193" s="9" t="str">
        <x:v>https://poke.idleworld.online/pokepedia/pokemon/vespiquen</x:v>
      </x:c>
    </x:row>
    <x:row r="3194" ht="22" customHeight="1">
      <x:c r="A3194" s="1" t="n">
        <x:v>416</x:v>
      </x:c>
      <x:c r="B3194" s="1" t="str">
        <x:v>Vespiquen</x:v>
      </x:c>
      <x:c r="C3194" s="1" t="n">
        <x:v>9</x:v>
      </x:c>
      <x:c r="D3194" s="1" t="str">
        <x:v>Air Slash</x:v>
      </x:c>
      <x:c r="E3194" s="1" t="str">
        <x:v>Voador</x:v>
      </x:c>
      <x:c r="F3194" s="1" t="str">
        <x:v>Especial</x:v>
      </x:c>
      <x:c r="G3194" s="10" t="n">
        <x:v>75</x:v>
      </x:c>
      <x:c r="H3194" s="10" t="n">
        <x:f>IF(F3194="Física",'Pokémon'!G344,IF(F3194="Especial",'Pokémon'!I344,""))</x:f>
        <x:v>80</x:v>
      </x:c>
      <x:c r="I3194" s="10" t="n">
        <x:f>IF(OR(F3194="Status",G3194=0),"",G3194+H3194)</x:f>
        <x:v>155</x:v>
      </x:c>
      <x:c r="J3194" s="10" t="n">
        <x:v>37</x:v>
      </x:c>
      <x:c r="K3194" s="12" t="n">
        <x:v>22</x:v>
      </x:c>
      <x:c r="L3194" s="1" t="str"/>
      <x:c r="M3194" s="9" t="str">
        <x:v>https://poke.idleworld.online/pokepedia/pokemon/vespiquen</x:v>
      </x:c>
    </x:row>
    <x:row r="3195" ht="22" customHeight="1">
      <x:c r="A3195" s="1" t="n">
        <x:v>416</x:v>
      </x:c>
      <x:c r="B3195" s="1" t="str">
        <x:v>Vespiquen</x:v>
      </x:c>
      <x:c r="C3195" s="1" t="n">
        <x:v>7</x:v>
      </x:c>
      <x:c r="D3195" s="1" t="str">
        <x:v>Slash</x:v>
      </x:c>
      <x:c r="E3195" s="1" t="str">
        <x:v>Normal</x:v>
      </x:c>
      <x:c r="F3195" s="1" t="str">
        <x:v>Física</x:v>
      </x:c>
      <x:c r="G3195" s="10" t="n">
        <x:v>70</x:v>
      </x:c>
      <x:c r="H3195" s="10" t="n">
        <x:f>IF(F3195="Física",'Pokémon'!G344,IF(F3195="Especial",'Pokémon'!I344,""))</x:f>
        <x:v>80</x:v>
      </x:c>
      <x:c r="I3195" s="10" t="n">
        <x:f>IF(OR(F3195="Status",G3195=0),"",G3195+H3195)</x:f>
        <x:v>150</x:v>
      </x:c>
      <x:c r="J3195" s="10" t="n">
        <x:v>21</x:v>
      </x:c>
      <x:c r="K3195" s="12" t="n">
        <x:v>15</x:v>
      </x:c>
      <x:c r="L3195" s="1" t="str"/>
      <x:c r="M3195" s="9" t="str">
        <x:v>https://poke.idleworld.online/pokepedia/pokemon/vespiquen</x:v>
      </x:c>
    </x:row>
    <x:row r="3196" ht="22" customHeight="1">
      <x:c r="A3196" s="1" t="n">
        <x:v>416</x:v>
      </x:c>
      <x:c r="B3196" s="1" t="str">
        <x:v>Vespiquen</x:v>
      </x:c>
      <x:c r="C3196" s="1" t="n">
        <x:v>3</x:v>
      </x:c>
      <x:c r="D3196" s="1" t="str">
        <x:v>Gust</x:v>
      </x:c>
      <x:c r="E3196" s="1" t="str">
        <x:v>Voador</x:v>
      </x:c>
      <x:c r="F3196" s="1" t="str">
        <x:v>Especial</x:v>
      </x:c>
      <x:c r="G3196" s="10" t="n">
        <x:v>40</x:v>
      </x:c>
      <x:c r="H3196" s="10" t="n">
        <x:f>IF(F3196="Física",'Pokémon'!G344,IF(F3196="Especial",'Pokémon'!I344,""))</x:f>
        <x:v>80</x:v>
      </x:c>
      <x:c r="I3196" s="10" t="n">
        <x:f>IF(OR(F3196="Status",G3196=0),"",G3196+H3196)</x:f>
        <x:v>120</x:v>
      </x:c>
      <x:c r="J3196" s="10" t="n">
        <x:v>1</x:v>
      </x:c>
      <x:c r="K3196" s="12" t="n">
        <x:v>15</x:v>
      </x:c>
      <x:c r="L3196" s="1" t="str"/>
      <x:c r="M3196" s="9" t="str">
        <x:v>https://poke.idleworld.online/pokepedia/pokemon/vespiquen</x:v>
      </x:c>
    </x:row>
    <x:row r="3197" ht="22" customHeight="1">
      <x:c r="A3197" s="1" t="n">
        <x:v>416</x:v>
      </x:c>
      <x:c r="B3197" s="1" t="str">
        <x:v>Vespiquen</x:v>
      </x:c>
      <x:c r="C3197" s="1" t="n">
        <x:v>4</x:v>
      </x:c>
      <x:c r="D3197" s="1" t="str">
        <x:v>Fury Cutter</x:v>
      </x:c>
      <x:c r="E3197" s="1" t="str">
        <x:v>Inseto</x:v>
      </x:c>
      <x:c r="F3197" s="1" t="str">
        <x:v>Física</x:v>
      </x:c>
      <x:c r="G3197" s="10" t="n">
        <x:v>40</x:v>
      </x:c>
      <x:c r="H3197" s="10" t="n">
        <x:f>IF(F3197="Física",'Pokémon'!G344,IF(F3197="Especial",'Pokémon'!I344,""))</x:f>
        <x:v>80</x:v>
      </x:c>
      <x:c r="I3197" s="10" t="n">
        <x:f>IF(OR(F3197="Status",G3197=0),"",G3197+H3197)</x:f>
        <x:v>120</x:v>
      </x:c>
      <x:c r="J3197" s="10" t="n">
        <x:v>5</x:v>
      </x:c>
      <x:c r="K3197" s="12" t="n">
        <x:v>15</x:v>
      </x:c>
      <x:c r="L3197" s="1" t="str"/>
      <x:c r="M3197" s="9" t="str">
        <x:v>https://poke.idleworld.online/pokepedia/pokemon/vespiquen</x:v>
      </x:c>
    </x:row>
    <x:row r="3198" ht="22" customHeight="1">
      <x:c r="A3198" s="1" t="n">
        <x:v>416</x:v>
      </x:c>
      <x:c r="B3198" s="1" t="str">
        <x:v>Vespiquen</x:v>
      </x:c>
      <x:c r="C3198" s="1" t="n">
        <x:v>5</x:v>
      </x:c>
      <x:c r="D3198" s="1" t="str">
        <x:v>Pursuit</x:v>
      </x:c>
      <x:c r="E3198" s="1" t="str">
        <x:v>Sombrio</x:v>
      </x:c>
      <x:c r="F3198" s="1" t="str">
        <x:v>Física</x:v>
      </x:c>
      <x:c r="G3198" s="10" t="n">
        <x:v>40</x:v>
      </x:c>
      <x:c r="H3198" s="10" t="n">
        <x:f>IF(F3198="Física",'Pokémon'!G344,IF(F3198="Especial",'Pokémon'!I344,""))</x:f>
        <x:v>80</x:v>
      </x:c>
      <x:c r="I3198" s="10" t="n">
        <x:f>IF(OR(F3198="Status",G3198=0),"",G3198+H3198)</x:f>
        <x:v>120</x:v>
      </x:c>
      <x:c r="J3198" s="10" t="n">
        <x:v>9</x:v>
      </x:c>
      <x:c r="K3198" s="12" t="n">
        <x:v>15</x:v>
      </x:c>
      <x:c r="L3198" s="1" t="str"/>
      <x:c r="M3198" s="9" t="str">
        <x:v>https://poke.idleworld.online/pokepedia/pokemon/vespiquen</x:v>
      </x:c>
    </x:row>
    <x:row r="3199" ht="22" customHeight="1">
      <x:c r="A3199" s="1" t="n">
        <x:v>416</x:v>
      </x:c>
      <x:c r="B3199" s="1" t="str">
        <x:v>Vespiquen</x:v>
      </x:c>
      <x:c r="C3199" s="1" t="n">
        <x:v>1</x:v>
      </x:c>
      <x:c r="D3199" s="1" t="str">
        <x:v>Fell Stinger</x:v>
      </x:c>
      <x:c r="E3199" s="1" t="str">
        <x:v>Inseto</x:v>
      </x:c>
      <x:c r="F3199" s="1" t="str">
        <x:v>Física</x:v>
      </x:c>
      <x:c r="G3199" s="10" t="n">
        <x:v>30</x:v>
      </x:c>
      <x:c r="H3199" s="10" t="n">
        <x:f>IF(F3199="Física",'Pokémon'!G344,IF(F3199="Especial",'Pokémon'!I344,""))</x:f>
        <x:v>80</x:v>
      </x:c>
      <x:c r="I3199" s="10" t="n">
        <x:f>IF(OR(F3199="Status",G3199=0),"",G3199+H3199)</x:f>
        <x:v>110</x:v>
      </x:c>
      <x:c r="J3199" s="10" t="n">
        <x:v>1</x:v>
      </x:c>
      <x:c r="K3199" s="12" t="n">
        <x:v>35</x:v>
      </x:c>
      <x:c r="L3199" s="1" t="str"/>
      <x:c r="M3199" s="9" t="str">
        <x:v>https://poke.idleworld.online/pokepedia/pokemon/vespiquen</x:v>
      </x:c>
    </x:row>
    <x:row r="3200" ht="22" customHeight="1">
      <x:c r="A3200" s="1" t="n">
        <x:v>416</x:v>
      </x:c>
      <x:c r="B3200" s="1" t="str">
        <x:v>Vespiquen</x:v>
      </x:c>
      <x:c r="C3200" s="1" t="n">
        <x:v>6</x:v>
      </x:c>
      <x:c r="D3200" s="1" t="str">
        <x:v>Fury Swipes</x:v>
      </x:c>
      <x:c r="E3200" s="1" t="str">
        <x:v>Normal</x:v>
      </x:c>
      <x:c r="F3200" s="1" t="str">
        <x:v>Física</x:v>
      </x:c>
      <x:c r="G3200" s="10" t="n">
        <x:v>18</x:v>
      </x:c>
      <x:c r="H3200" s="10" t="n">
        <x:f>IF(F3200="Física",'Pokémon'!G344,IF(F3200="Especial",'Pokémon'!I344,""))</x:f>
        <x:v>80</x:v>
      </x:c>
      <x:c r="I3200" s="10" t="n">
        <x:f>IF(OR(F3200="Status",G3200=0),"",G3200+H3200)</x:f>
        <x:v>98</x:v>
      </x:c>
      <x:c r="J3200" s="10" t="n">
        <x:v>13</x:v>
      </x:c>
      <x:c r="K3200" s="12" t="n">
        <x:v>15</x:v>
      </x:c>
      <x:c r="L3200" s="1" t="str"/>
      <x:c r="M3200" s="9" t="str">
        <x:v>https://poke.idleworld.online/pokepedia/pokemon/vespiquen</x:v>
      </x:c>
    </x:row>
    <x:row r="3201" ht="22" customHeight="1">
      <x:c r="A3201" s="1" t="n">
        <x:v>416</x:v>
      </x:c>
      <x:c r="B3201" s="1" t="str">
        <x:v>Vespiquen</x:v>
      </x:c>
      <x:c r="C3201" s="1" t="n">
        <x:v>2</x:v>
      </x:c>
      <x:c r="D3201" s="1" t="str">
        <x:v>Poison Sting</x:v>
      </x:c>
      <x:c r="E3201" s="1" t="str">
        <x:v>Venenoso</x:v>
      </x:c>
      <x:c r="F3201" s="1" t="str">
        <x:v>Física</x:v>
      </x:c>
      <x:c r="G3201" s="10" t="n">
        <x:v>15</x:v>
      </x:c>
      <x:c r="H3201" s="10" t="n">
        <x:f>IF(F3201="Física",'Pokémon'!G344,IF(F3201="Especial",'Pokémon'!I344,""))</x:f>
        <x:v>80</x:v>
      </x:c>
      <x:c r="I3201" s="10" t="n">
        <x:f>IF(OR(F3201="Status",G3201=0),"",G3201+H3201)</x:f>
        <x:v>95</x:v>
      </x:c>
      <x:c r="J3201" s="10" t="n">
        <x:v>1</x:v>
      </x:c>
      <x:c r="K3201" s="12" t="n">
        <x:v>15</x:v>
      </x:c>
      <x:c r="L3201" s="1" t="str"/>
      <x:c r="M3201" s="9" t="str">
        <x:v>https://poke.idleworld.online/pokepedia/pokemon/vespiquen</x:v>
      </x:c>
    </x:row>
    <x:row r="3202" ht="22" customHeight="1">
      <x:c r="A3202" s="1" t="n">
        <x:v>417</x:v>
      </x:c>
      <x:c r="B3202" s="1" t="str">
        <x:v>Pachirisu</x:v>
      </x:c>
      <x:c r="C3202" s="1" t="n">
        <x:v>7</x:v>
      </x:c>
      <x:c r="D3202" s="1" t="str">
        <x:v>Last Resort</x:v>
      </x:c>
      <x:c r="E3202" s="1" t="str">
        <x:v>Normal</x:v>
      </x:c>
      <x:c r="F3202" s="1" t="str">
        <x:v>Física</x:v>
      </x:c>
      <x:c r="G3202" s="10" t="n">
        <x:v>140</x:v>
      </x:c>
      <x:c r="H3202" s="10" t="n">
        <x:f>IF(F3202="Física",'Pokémon'!G345,IF(F3202="Especial",'Pokémon'!I345,""))</x:f>
        <x:v>45</x:v>
      </x:c>
      <x:c r="I3202" s="10" t="n">
        <x:f>IF(OR(F3202="Status",G3202=0),"",G3202+H3202)</x:f>
        <x:v>185</x:v>
      </x:c>
      <x:c r="J3202" s="10" t="n">
        <x:v>45</x:v>
      </x:c>
      <x:c r="K3202" s="12" t="n">
        <x:v>50</x:v>
      </x:c>
      <x:c r="L3202" s="1" t="str"/>
      <x:c r="M3202" s="9" t="str">
        <x:v>https://poke.idleworld.online/pokepedia/pokemon/pachirisu</x:v>
      </x:c>
    </x:row>
    <x:row r="3203" ht="22" customHeight="1">
      <x:c r="A3203" s="1" t="n">
        <x:v>417</x:v>
      </x:c>
      <x:c r="B3203" s="1" t="str">
        <x:v>Pachirisu</x:v>
      </x:c>
      <x:c r="C3203" s="1" t="n">
        <x:v>5</x:v>
      </x:c>
      <x:c r="D3203" s="1" t="str">
        <x:v>Super Fang</x:v>
      </x:c>
      <x:c r="E3203" s="1" t="str">
        <x:v>Normal</x:v>
      </x:c>
      <x:c r="F3203" s="1" t="str">
        <x:v>Física</x:v>
      </x:c>
      <x:c r="G3203" s="10" t="n">
        <x:v>96</x:v>
      </x:c>
      <x:c r="H3203" s="10" t="n">
        <x:f>IF(F3203="Física",'Pokémon'!G345,IF(F3203="Especial",'Pokémon'!I345,""))</x:f>
        <x:v>45</x:v>
      </x:c>
      <x:c r="I3203" s="10" t="n">
        <x:f>IF(OR(F3203="Status",G3203=0),"",G3203+H3203)</x:f>
        <x:v>141</x:v>
      </x:c>
      <x:c r="J3203" s="10" t="n">
        <x:v>37</x:v>
      </x:c>
      <x:c r="K3203" s="12" t="n">
        <x:v>20</x:v>
      </x:c>
      <x:c r="L3203" s="1" t="str"/>
      <x:c r="M3203" s="9" t="str">
        <x:v>https://poke.idleworld.online/pokepedia/pokemon/pachirisu</x:v>
      </x:c>
    </x:row>
    <x:row r="3204" ht="22" customHeight="1">
      <x:c r="A3204" s="1" t="n">
        <x:v>417</x:v>
      </x:c>
      <x:c r="B3204" s="1" t="str">
        <x:v>Pachirisu</x:v>
      </x:c>
      <x:c r="C3204" s="1" t="n">
        <x:v>6</x:v>
      </x:c>
      <x:c r="D3204" s="1" t="str">
        <x:v>Discharge</x:v>
      </x:c>
      <x:c r="E3204" s="1" t="str">
        <x:v>Elétrico</x:v>
      </x:c>
      <x:c r="F3204" s="1" t="str">
        <x:v>Especial</x:v>
      </x:c>
      <x:c r="G3204" s="10" t="n">
        <x:v>80</x:v>
      </x:c>
      <x:c r="H3204" s="10" t="n">
        <x:f>IF(F3204="Física",'Pokémon'!G345,IF(F3204="Especial",'Pokémon'!I345,""))</x:f>
        <x:v>45</x:v>
      </x:c>
      <x:c r="I3204" s="10" t="n">
        <x:f>IF(OR(F3204="Status",G3204=0),"",G3204+H3204)</x:f>
        <x:v>125</x:v>
      </x:c>
      <x:c r="J3204" s="10" t="n">
        <x:v>41</x:v>
      </x:c>
      <x:c r="K3204" s="12" t="n">
        <x:v>50</x:v>
      </x:c>
      <x:c r="L3204" s="1" t="str"/>
      <x:c r="M3204" s="9" t="str">
        <x:v>https://poke.idleworld.online/pokepedia/pokemon/pachirisu</x:v>
      </x:c>
    </x:row>
    <x:row r="3205" ht="22" customHeight="1">
      <x:c r="A3205" s="1" t="n">
        <x:v>417</x:v>
      </x:c>
      <x:c r="B3205" s="1" t="str">
        <x:v>Pachirisu</x:v>
      </x:c>
      <x:c r="C3205" s="1" t="n">
        <x:v>8</x:v>
      </x:c>
      <x:c r="D3205" s="1" t="str">
        <x:v>Hyper Fang</x:v>
      </x:c>
      <x:c r="E3205" s="1" t="str">
        <x:v>Normal</x:v>
      </x:c>
      <x:c r="F3205" s="1" t="str">
        <x:v>Física</x:v>
      </x:c>
      <x:c r="G3205" s="10" t="n">
        <x:v>80</x:v>
      </x:c>
      <x:c r="H3205" s="10" t="n">
        <x:f>IF(F3205="Física",'Pokémon'!G345,IF(F3205="Especial",'Pokémon'!I345,""))</x:f>
        <x:v>45</x:v>
      </x:c>
      <x:c r="I3205" s="10" t="n">
        <x:f>IF(OR(F3205="Status",G3205=0),"",G3205+H3205)</x:f>
        <x:v>125</x:v>
      </x:c>
      <x:c r="J3205" s="10" t="n">
        <x:v>49</x:v>
      </x:c>
      <x:c r="K3205" s="12" t="n">
        <x:v>22</x:v>
      </x:c>
      <x:c r="L3205" s="1" t="str"/>
      <x:c r="M3205" s="9" t="str">
        <x:v>https://poke.idleworld.online/pokepedia/pokemon/pachirisu</x:v>
      </x:c>
    </x:row>
    <x:row r="3206" ht="22" customHeight="1">
      <x:c r="A3206" s="1" t="n">
        <x:v>417</x:v>
      </x:c>
      <x:c r="B3206" s="1" t="str">
        <x:v>Pachirisu</x:v>
      </x:c>
      <x:c r="C3206" s="1" t="n">
        <x:v>2</x:v>
      </x:c>
      <x:c r="D3206" s="1" t="str">
        <x:v>Spark</x:v>
      </x:c>
      <x:c r="E3206" s="1" t="str">
        <x:v>Elétrico</x:v>
      </x:c>
      <x:c r="F3206" s="1" t="str">
        <x:v>Física</x:v>
      </x:c>
      <x:c r="G3206" s="10" t="n">
        <x:v>65</x:v>
      </x:c>
      <x:c r="H3206" s="10" t="n">
        <x:f>IF(F3206="Física",'Pokémon'!G345,IF(F3206="Especial",'Pokémon'!I345,""))</x:f>
        <x:v>45</x:v>
      </x:c>
      <x:c r="I3206" s="10" t="n">
        <x:f>IF(OR(F3206="Status",G3206=0),"",G3206+H3206)</x:f>
        <x:v>110</x:v>
      </x:c>
      <x:c r="J3206" s="10" t="n">
        <x:v>13</x:v>
      </x:c>
      <x:c r="K3206" s="12" t="n">
        <x:v>10</x:v>
      </x:c>
      <x:c r="L3206" s="1" t="str"/>
      <x:c r="M3206" s="9" t="str">
        <x:v>https://poke.idleworld.online/pokepedia/pokemon/pachirisu</x:v>
      </x:c>
    </x:row>
    <x:row r="3207" ht="22" customHeight="1">
      <x:c r="A3207" s="1" t="n">
        <x:v>417</x:v>
      </x:c>
      <x:c r="B3207" s="1" t="str">
        <x:v>Pachirisu</x:v>
      </x:c>
      <x:c r="C3207" s="1" t="n">
        <x:v>4</x:v>
      </x:c>
      <x:c r="D3207" s="1" t="str">
        <x:v>Swift</x:v>
      </x:c>
      <x:c r="E3207" s="1" t="str">
        <x:v>Normal</x:v>
      </x:c>
      <x:c r="F3207" s="1" t="str">
        <x:v>Especial</x:v>
      </x:c>
      <x:c r="G3207" s="10" t="n">
        <x:v>60</x:v>
      </x:c>
      <x:c r="H3207" s="10" t="n">
        <x:f>IF(F3207="Física",'Pokémon'!G345,IF(F3207="Especial",'Pokémon'!I345,""))</x:f>
        <x:v>45</x:v>
      </x:c>
      <x:c r="I3207" s="10" t="n">
        <x:f>IF(OR(F3207="Status",G3207=0),"",G3207+H3207)</x:f>
        <x:v>105</x:v>
      </x:c>
      <x:c r="J3207" s="10" t="n">
        <x:v>21</x:v>
      </x:c>
      <x:c r="K3207" s="12" t="n">
        <x:v>10</x:v>
      </x:c>
      <x:c r="L3207" s="1" t="str"/>
      <x:c r="M3207" s="9" t="str">
        <x:v>https://poke.idleworld.online/pokepedia/pokemon/pachirisu</x:v>
      </x:c>
    </x:row>
    <x:row r="3208" ht="22" customHeight="1">
      <x:c r="A3208" s="1" t="n">
        <x:v>417</x:v>
      </x:c>
      <x:c r="B3208" s="1" t="str">
        <x:v>Pachirisu</x:v>
      </x:c>
      <x:c r="C3208" s="1" t="n">
        <x:v>1</x:v>
      </x:c>
      <x:c r="D3208" s="1" t="str">
        <x:v>Quick Attack</x:v>
      </x:c>
      <x:c r="E3208" s="1" t="str">
        <x:v>Normal</x:v>
      </x:c>
      <x:c r="F3208" s="1" t="str">
        <x:v>Física</x:v>
      </x:c>
      <x:c r="G3208" s="10" t="n">
        <x:v>40</x:v>
      </x:c>
      <x:c r="H3208" s="10" t="n">
        <x:f>IF(F3208="Física",'Pokémon'!G345,IF(F3208="Especial",'Pokémon'!I345,""))</x:f>
        <x:v>45</x:v>
      </x:c>
      <x:c r="I3208" s="10" t="n">
        <x:f>IF(OR(F3208="Status",G3208=0),"",G3208+H3208)</x:f>
        <x:v>85</x:v>
      </x:c>
      <x:c r="J3208" s="10" t="n">
        <x:v>5</x:v>
      </x:c>
      <x:c r="K3208" s="12" t="n">
        <x:v>15</x:v>
      </x:c>
      <x:c r="L3208" s="1" t="str"/>
      <x:c r="M3208" s="9" t="str">
        <x:v>https://poke.idleworld.online/pokepedia/pokemon/pachirisu</x:v>
      </x:c>
    </x:row>
    <x:row r="3209" ht="22" customHeight="1">
      <x:c r="A3209" s="1" t="n">
        <x:v>417</x:v>
      </x:c>
      <x:c r="B3209" s="1" t="str">
        <x:v>Pachirisu</x:v>
      </x:c>
      <x:c r="C3209" s="1" t="n">
        <x:v>3</x:v>
      </x:c>
      <x:c r="D3209" s="1" t="str">
        <x:v>Nuzzle</x:v>
      </x:c>
      <x:c r="E3209" s="1" t="str">
        <x:v>Elétrico</x:v>
      </x:c>
      <x:c r="F3209" s="1" t="str">
        <x:v>Física</x:v>
      </x:c>
      <x:c r="G3209" s="10" t="n">
        <x:v>20</x:v>
      </x:c>
      <x:c r="H3209" s="10" t="n">
        <x:f>IF(F3209="Física",'Pokémon'!G345,IF(F3209="Especial",'Pokémon'!I345,""))</x:f>
        <x:v>45</x:v>
      </x:c>
      <x:c r="I3209" s="10" t="n">
        <x:f>IF(OR(F3209="Status",G3209=0),"",G3209+H3209)</x:f>
        <x:v>65</x:v>
      </x:c>
      <x:c r="J3209" s="10" t="n">
        <x:v>19</x:v>
      </x:c>
      <x:c r="K3209" s="12" t="n">
        <x:v>32</x:v>
      </x:c>
      <x:c r="L3209" s="1" t="str"/>
      <x:c r="M3209" s="9" t="str">
        <x:v>https://poke.idleworld.online/pokepedia/pokemon/pachirisu</x:v>
      </x:c>
    </x:row>
    <x:row r="3210" ht="22" customHeight="1">
      <x:c r="A3210" s="1" t="n">
        <x:v>428</x:v>
      </x:c>
      <x:c r="B3210" s="1" t="str">
        <x:v>Lopunny</x:v>
      </x:c>
      <x:c r="C3210" s="1" t="n">
        <x:v>6</x:v>
      </x:c>
      <x:c r="D3210" s="1" t="str">
        <x:v>High Jump Kick</x:v>
      </x:c>
      <x:c r="E3210" s="1" t="str">
        <x:v>Lutador</x:v>
      </x:c>
      <x:c r="F3210" s="1" t="str">
        <x:v>Física</x:v>
      </x:c>
      <x:c r="G3210" s="10" t="n">
        <x:v>130</x:v>
      </x:c>
      <x:c r="H3210" s="10" t="n">
        <x:f>IF(F3210="Física",'Pokémon'!G346,IF(F3210="Especial",'Pokémon'!I346,""))</x:f>
        <x:v>76</x:v>
      </x:c>
      <x:c r="I3210" s="10" t="n">
        <x:f>IF(OR(F3210="Status",G3210=0),"",G3210+H3210)</x:f>
        <x:v>206</x:v>
      </x:c>
      <x:c r="J3210" s="10" t="n">
        <x:v>66</x:v>
      </x:c>
      <x:c r="K3210" s="12" t="n">
        <x:v>50</x:v>
      </x:c>
      <x:c r="L3210" s="1" t="str"/>
      <x:c r="M3210" s="9" t="str">
        <x:v>https://poke.idleworld.online/pokepedia/pokemon/lopunny</x:v>
      </x:c>
    </x:row>
    <x:row r="3211" ht="22" customHeight="1">
      <x:c r="A3211" s="1" t="n">
        <x:v>428</x:v>
      </x:c>
      <x:c r="B3211" s="1" t="str">
        <x:v>Lopunny</x:v>
      </x:c>
      <x:c r="C3211" s="1" t="n">
        <x:v>4</x:v>
      </x:c>
      <x:c r="D3211" s="1" t="str">
        <x:v>Jump Kick</x:v>
      </x:c>
      <x:c r="E3211" s="1" t="str">
        <x:v>Lutador</x:v>
      </x:c>
      <x:c r="F3211" s="1" t="str">
        <x:v>Física</x:v>
      </x:c>
      <x:c r="G3211" s="10" t="n">
        <x:v>100</x:v>
      </x:c>
      <x:c r="H3211" s="10" t="n">
        <x:f>IF(F3211="Física",'Pokémon'!G346,IF(F3211="Especial",'Pokémon'!I346,""))</x:f>
        <x:v>76</x:v>
      </x:c>
      <x:c r="I3211" s="10" t="n">
        <x:f>IF(OR(F3211="Status",G3211=0),"",G3211+H3211)</x:f>
        <x:v>176</x:v>
      </x:c>
      <x:c r="J3211" s="10" t="n">
        <x:v>23</x:v>
      </x:c>
      <x:c r="K3211" s="12" t="n">
        <x:v>40</x:v>
      </x:c>
      <x:c r="L3211" s="1" t="str"/>
      <x:c r="M3211" s="9" t="str">
        <x:v>https://poke.idleworld.online/pokepedia/pokemon/lopunny</x:v>
      </x:c>
    </x:row>
    <x:row r="3212" ht="22" customHeight="1">
      <x:c r="A3212" s="1" t="n">
        <x:v>428</x:v>
      </x:c>
      <x:c r="B3212" s="1" t="str">
        <x:v>Lopunny</x:v>
      </x:c>
      <x:c r="C3212" s="1" t="n">
        <x:v>2</x:v>
      </x:c>
      <x:c r="D3212" s="1" t="str">
        <x:v>Bounce</x:v>
      </x:c>
      <x:c r="E3212" s="1" t="str">
        <x:v>Voador</x:v>
      </x:c>
      <x:c r="F3212" s="1" t="str">
        <x:v>Física</x:v>
      </x:c>
      <x:c r="G3212" s="10" t="n">
        <x:v>85</x:v>
      </x:c>
      <x:c r="H3212" s="10" t="n">
        <x:f>IF(F3212="Física",'Pokémon'!G346,IF(F3212="Especial",'Pokémon'!I346,""))</x:f>
        <x:v>76</x:v>
      </x:c>
      <x:c r="I3212" s="10" t="n">
        <x:f>IF(OR(F3212="Status",G3212=0),"",G3212+H3212)</x:f>
        <x:v>161</x:v>
      </x:c>
      <x:c r="J3212" s="10" t="n">
        <x:v>1</x:v>
      </x:c>
      <x:c r="K3212" s="12" t="n">
        <x:v>22</x:v>
      </x:c>
      <x:c r="L3212" s="1" t="str"/>
      <x:c r="M3212" s="9" t="str">
        <x:v>https://poke.idleworld.online/pokepedia/pokemon/lopunny</x:v>
      </x:c>
    </x:row>
    <x:row r="3213" ht="22" customHeight="1">
      <x:c r="A3213" s="1" t="n">
        <x:v>428</x:v>
      </x:c>
      <x:c r="B3213" s="1" t="str">
        <x:v>Lopunny</x:v>
      </x:c>
      <x:c r="C3213" s="1" t="n">
        <x:v>5</x:v>
      </x:c>
      <x:c r="D3213" s="1" t="str">
        <x:v>Dizzy Punch</x:v>
      </x:c>
      <x:c r="E3213" s="1" t="str">
        <x:v>Normal</x:v>
      </x:c>
      <x:c r="F3213" s="1" t="str">
        <x:v>Física</x:v>
      </x:c>
      <x:c r="G3213" s="10" t="n">
        <x:v>70</x:v>
      </x:c>
      <x:c r="H3213" s="10" t="n">
        <x:f>IF(F3213="Física",'Pokémon'!G346,IF(F3213="Especial",'Pokémon'!I346,""))</x:f>
        <x:v>76</x:v>
      </x:c>
      <x:c r="I3213" s="10" t="n">
        <x:f>IF(OR(F3213="Status",G3213=0),"",G3213+H3213)</x:f>
        <x:v>146</x:v>
      </x:c>
      <x:c r="J3213" s="10" t="n">
        <x:v>36</x:v>
      </x:c>
      <x:c r="K3213" s="12" t="n">
        <x:v>20</x:v>
      </x:c>
      <x:c r="L3213" s="1" t="str"/>
      <x:c r="M3213" s="9" t="str">
        <x:v>https://poke.idleworld.online/pokepedia/pokemon/lopunny</x:v>
      </x:c>
    </x:row>
    <x:row r="3214" ht="22" customHeight="1">
      <x:c r="A3214" s="1" t="n">
        <x:v>428</x:v>
      </x:c>
      <x:c r="B3214" s="1" t="str">
        <x:v>Lopunny</x:v>
      </x:c>
      <x:c r="C3214" s="1" t="n">
        <x:v>1</x:v>
      </x:c>
      <x:c r="D3214" s="1" t="str">
        <x:v>Pound</x:v>
      </x:c>
      <x:c r="E3214" s="1" t="str">
        <x:v>Normal</x:v>
      </x:c>
      <x:c r="F3214" s="1" t="str">
        <x:v>Física</x:v>
      </x:c>
      <x:c r="G3214" s="10" t="n">
        <x:v>40</x:v>
      </x:c>
      <x:c r="H3214" s="10" t="n">
        <x:f>IF(F3214="Física",'Pokémon'!G346,IF(F3214="Especial",'Pokémon'!I346,""))</x:f>
        <x:v>76</x:v>
      </x:c>
      <x:c r="I3214" s="10" t="n">
        <x:f>IF(OR(F3214="Status",G3214=0),"",G3214+H3214)</x:f>
        <x:v>116</x:v>
      </x:c>
      <x:c r="J3214" s="10" t="n">
        <x:v>1</x:v>
      </x:c>
      <x:c r="K3214" s="12" t="n">
        <x:v>15</x:v>
      </x:c>
      <x:c r="L3214" s="1" t="str"/>
      <x:c r="M3214" s="9" t="str">
        <x:v>https://poke.idleworld.online/pokepedia/pokemon/lopunny</x:v>
      </x:c>
    </x:row>
    <x:row r="3215" ht="22" customHeight="1">
      <x:c r="A3215" s="1" t="n">
        <x:v>428</x:v>
      </x:c>
      <x:c r="B3215" s="1" t="str">
        <x:v>Lopunny</x:v>
      </x:c>
      <x:c r="C3215" s="1" t="n">
        <x:v>3</x:v>
      </x:c>
      <x:c r="D3215" s="1" t="str">
        <x:v>Quick Attack</x:v>
      </x:c>
      <x:c r="E3215" s="1" t="str">
        <x:v>Normal</x:v>
      </x:c>
      <x:c r="F3215" s="1" t="str">
        <x:v>Física</x:v>
      </x:c>
      <x:c r="G3215" s="10" t="n">
        <x:v>40</x:v>
      </x:c>
      <x:c r="H3215" s="10" t="n">
        <x:f>IF(F3215="Física",'Pokémon'!G346,IF(F3215="Especial",'Pokémon'!I346,""))</x:f>
        <x:v>76</x:v>
      </x:c>
      <x:c r="I3215" s="10" t="n">
        <x:f>IF(OR(F3215="Status",G3215=0),"",G3215+H3215)</x:f>
        <x:v>116</x:v>
      </x:c>
      <x:c r="J3215" s="10" t="n">
        <x:v>16</x:v>
      </x:c>
      <x:c r="K3215" s="12" t="n">
        <x:v>15</x:v>
      </x:c>
      <x:c r="L3215" s="1" t="str"/>
      <x:c r="M3215" s="9" t="str">
        <x:v>https://poke.idleworld.online/pokepedia/pokemon/lopunny</x:v>
      </x:c>
    </x:row>
    <x:row r="3216" ht="22" customHeight="1">
      <x:c r="A3216" s="1" t="n">
        <x:v>443</x:v>
      </x:c>
      <x:c r="B3216" s="1" t="str">
        <x:v>Gible</x:v>
      </x:c>
      <x:c r="C3216" s="1" t="n">
        <x:v>7</x:v>
      </x:c>
      <x:c r="D3216" s="1" t="str">
        <x:v>Dragon Rush</x:v>
      </x:c>
      <x:c r="E3216" s="1" t="str">
        <x:v>Dragão</x:v>
      </x:c>
      <x:c r="F3216" s="1" t="str">
        <x:v>Física</x:v>
      </x:c>
      <x:c r="G3216" s="10" t="n">
        <x:v>100</x:v>
      </x:c>
      <x:c r="H3216" s="10" t="n">
        <x:f>IF(F3216="Física",'Pokémon'!G347,IF(F3216="Especial",'Pokémon'!I347,""))</x:f>
        <x:v>70</x:v>
      </x:c>
      <x:c r="I3216" s="10" t="n">
        <x:f>IF(OR(F3216="Status",G3216=0),"",G3216+H3216)</x:f>
        <x:v>170</x:v>
      </x:c>
      <x:c r="J3216" s="10" t="n">
        <x:v>37</x:v>
      </x:c>
      <x:c r="K3216" s="12" t="n">
        <x:v>40</x:v>
      </x:c>
      <x:c r="L3216" s="1" t="str"/>
      <x:c r="M3216" s="9" t="str">
        <x:v>https://poke.idleworld.online/pokepedia/pokemon/gible</x:v>
      </x:c>
    </x:row>
    <x:row r="3217" ht="22" customHeight="1">
      <x:c r="A3217" s="1" t="n">
        <x:v>443</x:v>
      </x:c>
      <x:c r="B3217" s="1" t="str">
        <x:v>Gible</x:v>
      </x:c>
      <x:c r="C3217" s="1" t="n">
        <x:v>2</x:v>
      </x:c>
      <x:c r="D3217" s="1" t="str">
        <x:v>Take Down</x:v>
      </x:c>
      <x:c r="E3217" s="1" t="str">
        <x:v>Normal</x:v>
      </x:c>
      <x:c r="F3217" s="1" t="str">
        <x:v>Física</x:v>
      </x:c>
      <x:c r="G3217" s="10" t="n">
        <x:v>90</x:v>
      </x:c>
      <x:c r="H3217" s="10" t="n">
        <x:f>IF(F3217="Física",'Pokémon'!G347,IF(F3217="Especial",'Pokémon'!I347,""))</x:f>
        <x:v>70</x:v>
      </x:c>
      <x:c r="I3217" s="10" t="n">
        <x:f>IF(OR(F3217="Status",G3217=0),"",G3217+H3217)</x:f>
        <x:v>160</x:v>
      </x:c>
      <x:c r="J3217" s="10" t="n">
        <x:v>15</x:v>
      </x:c>
      <x:c r="K3217" s="12" t="n">
        <x:v>22</x:v>
      </x:c>
      <x:c r="L3217" s="1" t="str"/>
      <x:c r="M3217" s="9" t="str">
        <x:v>https://poke.idleworld.online/pokepedia/pokemon/gible</x:v>
      </x:c>
    </x:row>
    <x:row r="3218" ht="22" customHeight="1">
      <x:c r="A3218" s="1" t="n">
        <x:v>443</x:v>
      </x:c>
      <x:c r="B3218" s="1" t="str">
        <x:v>Gible</x:v>
      </x:c>
      <x:c r="C3218" s="1" t="n">
        <x:v>5</x:v>
      </x:c>
      <x:c r="D3218" s="1" t="str">
        <x:v>Dragon Claw</x:v>
      </x:c>
      <x:c r="E3218" s="1" t="str">
        <x:v>Dragão</x:v>
      </x:c>
      <x:c r="F3218" s="1" t="str">
        <x:v>Física</x:v>
      </x:c>
      <x:c r="G3218" s="10" t="n">
        <x:v>80</x:v>
      </x:c>
      <x:c r="H3218" s="10" t="n">
        <x:f>IF(F3218="Física",'Pokémon'!G347,IF(F3218="Especial",'Pokémon'!I347,""))</x:f>
        <x:v>70</x:v>
      </x:c>
      <x:c r="I3218" s="10" t="n">
        <x:f>IF(OR(F3218="Status",G3218=0),"",G3218+H3218)</x:f>
        <x:v>150</x:v>
      </x:c>
      <x:c r="J3218" s="10" t="n">
        <x:v>27</x:v>
      </x:c>
      <x:c r="K3218" s="12" t="n">
        <x:v>15</x:v>
      </x:c>
      <x:c r="L3218" s="1" t="str"/>
      <x:c r="M3218" s="9" t="str">
        <x:v>https://poke.idleworld.online/pokepedia/pokemon/gible</x:v>
      </x:c>
    </x:row>
    <x:row r="3219" ht="22" customHeight="1">
      <x:c r="A3219" s="1" t="n">
        <x:v>443</x:v>
      </x:c>
      <x:c r="B3219" s="1" t="str">
        <x:v>Gible</x:v>
      </x:c>
      <x:c r="C3219" s="1" t="n">
        <x:v>6</x:v>
      </x:c>
      <x:c r="D3219" s="1" t="str">
        <x:v>Dig</x:v>
      </x:c>
      <x:c r="E3219" s="1" t="str">
        <x:v>Terrestre</x:v>
      </x:c>
      <x:c r="F3219" s="1" t="str">
        <x:v>Física</x:v>
      </x:c>
      <x:c r="G3219" s="10" t="n">
        <x:v>80</x:v>
      </x:c>
      <x:c r="H3219" s="10" t="n">
        <x:f>IF(F3219="Física",'Pokémon'!G347,IF(F3219="Especial",'Pokémon'!I347,""))</x:f>
        <x:v>70</x:v>
      </x:c>
      <x:c r="I3219" s="10" t="n">
        <x:f>IF(OR(F3219="Status",G3219=0),"",G3219+H3219)</x:f>
        <x:v>150</x:v>
      </x:c>
      <x:c r="J3219" s="10" t="n">
        <x:v>31</x:v>
      </x:c>
      <x:c r="K3219" s="12" t="n">
        <x:v>22</x:v>
      </x:c>
      <x:c r="L3219" s="1" t="str"/>
      <x:c r="M3219" s="9" t="str">
        <x:v>https://poke.idleworld.online/pokepedia/pokemon/gible</x:v>
      </x:c>
    </x:row>
    <x:row r="3220" ht="22" customHeight="1">
      <x:c r="A3220" s="1" t="n">
        <x:v>443</x:v>
      </x:c>
      <x:c r="B3220" s="1" t="str">
        <x:v>Gible</x:v>
      </x:c>
      <x:c r="C3220" s="1" t="n">
        <x:v>4</x:v>
      </x:c>
      <x:c r="D3220" s="1" t="str">
        <x:v>Slash</x:v>
      </x:c>
      <x:c r="E3220" s="1" t="str">
        <x:v>Normal</x:v>
      </x:c>
      <x:c r="F3220" s="1" t="str">
        <x:v>Física</x:v>
      </x:c>
      <x:c r="G3220" s="10" t="n">
        <x:v>70</x:v>
      </x:c>
      <x:c r="H3220" s="10" t="n">
        <x:f>IF(F3220="Física",'Pokémon'!G347,IF(F3220="Especial",'Pokémon'!I347,""))</x:f>
        <x:v>70</x:v>
      </x:c>
      <x:c r="I3220" s="10" t="n">
        <x:f>IF(OR(F3220="Status",G3220=0),"",G3220+H3220)</x:f>
        <x:v>140</x:v>
      </x:c>
      <x:c r="J3220" s="10" t="n">
        <x:v>25</x:v>
      </x:c>
      <x:c r="K3220" s="12" t="n">
        <x:v>20</x:v>
      </x:c>
      <x:c r="L3220" s="1" t="str"/>
      <x:c r="M3220" s="9" t="str">
        <x:v>https://poke.idleworld.online/pokepedia/pokemon/gible</x:v>
      </x:c>
    </x:row>
    <x:row r="3221" ht="22" customHeight="1">
      <x:c r="A3221" s="1" t="n">
        <x:v>443</x:v>
      </x:c>
      <x:c r="B3221" s="1" t="str">
        <x:v>Gible</x:v>
      </x:c>
      <x:c r="C3221" s="1" t="n">
        <x:v>1</x:v>
      </x:c>
      <x:c r="D3221" s="1" t="str">
        <x:v>Tackle</x:v>
      </x:c>
      <x:c r="E3221" s="1" t="str">
        <x:v>Normal</x:v>
      </x:c>
      <x:c r="F3221" s="1" t="str">
        <x:v>Física</x:v>
      </x:c>
      <x:c r="G3221" s="10" t="n">
        <x:v>50</x:v>
      </x:c>
      <x:c r="H3221" s="10" t="n">
        <x:f>IF(F3221="Física",'Pokémon'!G347,IF(F3221="Especial",'Pokémon'!I347,""))</x:f>
        <x:v>70</x:v>
      </x:c>
      <x:c r="I3221" s="10" t="n">
        <x:f>IF(OR(F3221="Status",G3221=0),"",G3221+H3221)</x:f>
        <x:v>120</x:v>
      </x:c>
      <x:c r="J3221" s="10" t="n">
        <x:v>1</x:v>
      </x:c>
      <x:c r="K3221" s="12" t="n">
        <x:v>15</x:v>
      </x:c>
      <x:c r="L3221" s="1" t="str"/>
      <x:c r="M3221" s="9" t="str">
        <x:v>https://poke.idleworld.online/pokepedia/pokemon/gible</x:v>
      </x:c>
    </x:row>
    <x:row r="3222" ht="22" customHeight="1">
      <x:c r="A3222" s="1" t="n">
        <x:v>443</x:v>
      </x:c>
      <x:c r="B3222" s="1" t="str">
        <x:v>Gible</x:v>
      </x:c>
      <x:c r="C3222" s="1" t="n">
        <x:v>3</x:v>
      </x:c>
      <x:c r="D3222" s="1" t="str">
        <x:v>Sand Tomb</x:v>
      </x:c>
      <x:c r="E3222" s="1" t="str">
        <x:v>Terrestre</x:v>
      </x:c>
      <x:c r="F3222" s="1" t="str">
        <x:v>Física</x:v>
      </x:c>
      <x:c r="G3222" s="10" t="n">
        <x:v>35</x:v>
      </x:c>
      <x:c r="H3222" s="10" t="n">
        <x:f>IF(F3222="Física",'Pokémon'!G347,IF(F3222="Especial",'Pokémon'!I347,""))</x:f>
        <x:v>70</x:v>
      </x:c>
      <x:c r="I3222" s="10" t="n">
        <x:f>IF(OR(F3222="Status",G3222=0),"",G3222+H3222)</x:f>
        <x:v>105</x:v>
      </x:c>
      <x:c r="J3222" s="10" t="n">
        <x:v>19</x:v>
      </x:c>
      <x:c r="K3222" s="12" t="n">
        <x:v>40</x:v>
      </x:c>
      <x:c r="L3222" s="1" t="str"/>
      <x:c r="M3222" s="9" t="str">
        <x:v>https://poke.idleworld.online/pokepedia/pokemon/gible</x:v>
      </x:c>
    </x:row>
    <x:row r="3223" ht="22" customHeight="1">
      <x:c r="A3223" s="1" t="n">
        <x:v>444</x:v>
      </x:c>
      <x:c r="B3223" s="1" t="str">
        <x:v>Gabite</x:v>
      </x:c>
      <x:c r="C3223" s="1" t="n">
        <x:v>8</x:v>
      </x:c>
      <x:c r="D3223" s="1" t="str">
        <x:v>Dragon Rush</x:v>
      </x:c>
      <x:c r="E3223" s="1" t="str">
        <x:v>Dragão</x:v>
      </x:c>
      <x:c r="F3223" s="1" t="str">
        <x:v>Física</x:v>
      </x:c>
      <x:c r="G3223" s="10" t="n">
        <x:v>100</x:v>
      </x:c>
      <x:c r="H3223" s="10" t="n">
        <x:f>IF(F3223="Física",'Pokémon'!G348,IF(F3223="Especial",'Pokémon'!I348,""))</x:f>
        <x:v>90</x:v>
      </x:c>
      <x:c r="I3223" s="10" t="n">
        <x:f>IF(OR(F3223="Status",G3223=0),"",G3223+H3223)</x:f>
        <x:v>190</x:v>
      </x:c>
      <x:c r="J3223" s="10" t="n">
        <x:v>49</x:v>
      </x:c>
      <x:c r="K3223" s="12" t="n">
        <x:v>40</x:v>
      </x:c>
      <x:c r="L3223" s="1" t="str"/>
      <x:c r="M3223" s="9" t="str">
        <x:v>https://poke.idleworld.online/pokepedia/pokemon/gabite</x:v>
      </x:c>
    </x:row>
    <x:row r="3224" ht="22" customHeight="1">
      <x:c r="A3224" s="1" t="n">
        <x:v>444</x:v>
      </x:c>
      <x:c r="B3224" s="1" t="str">
        <x:v>Gabite</x:v>
      </x:c>
      <x:c r="C3224" s="1" t="n">
        <x:v>2</x:v>
      </x:c>
      <x:c r="D3224" s="1" t="str">
        <x:v>Take Down</x:v>
      </x:c>
      <x:c r="E3224" s="1" t="str">
        <x:v>Normal</x:v>
      </x:c>
      <x:c r="F3224" s="1" t="str">
        <x:v>Física</x:v>
      </x:c>
      <x:c r="G3224" s="10" t="n">
        <x:v>90</x:v>
      </x:c>
      <x:c r="H3224" s="10" t="n">
        <x:f>IF(F3224="Física",'Pokémon'!G348,IF(F3224="Especial",'Pokémon'!I348,""))</x:f>
        <x:v>90</x:v>
      </x:c>
      <x:c r="I3224" s="10" t="n">
        <x:f>IF(OR(F3224="Status",G3224=0),"",G3224+H3224)</x:f>
        <x:v>180</x:v>
      </x:c>
      <x:c r="J3224" s="10" t="n">
        <x:v>15</x:v>
      </x:c>
      <x:c r="K3224" s="12" t="n">
        <x:v>22</x:v>
      </x:c>
      <x:c r="L3224" s="1" t="str"/>
      <x:c r="M3224" s="9" t="str">
        <x:v>https://poke.idleworld.online/pokepedia/pokemon/gabite</x:v>
      </x:c>
    </x:row>
    <x:row r="3225" ht="22" customHeight="1">
      <x:c r="A3225" s="1" t="n">
        <x:v>444</x:v>
      </x:c>
      <x:c r="B3225" s="1" t="str">
        <x:v>Gabite</x:v>
      </x:c>
      <x:c r="C3225" s="1" t="n">
        <x:v>6</x:v>
      </x:c>
      <x:c r="D3225" s="1" t="str">
        <x:v>Dragon Claw</x:v>
      </x:c>
      <x:c r="E3225" s="1" t="str">
        <x:v>Dragão</x:v>
      </x:c>
      <x:c r="F3225" s="1" t="str">
        <x:v>Física</x:v>
      </x:c>
      <x:c r="G3225" s="10" t="n">
        <x:v>80</x:v>
      </x:c>
      <x:c r="H3225" s="10" t="n">
        <x:f>IF(F3225="Física",'Pokémon'!G348,IF(F3225="Especial",'Pokémon'!I348,""))</x:f>
        <x:v>90</x:v>
      </x:c>
      <x:c r="I3225" s="10" t="n">
        <x:f>IF(OR(F3225="Status",G3225=0),"",G3225+H3225)</x:f>
        <x:v>170</x:v>
      </x:c>
      <x:c r="J3225" s="10" t="n">
        <x:v>33</x:v>
      </x:c>
      <x:c r="K3225" s="12" t="n">
        <x:v>15</x:v>
      </x:c>
      <x:c r="L3225" s="1" t="str"/>
      <x:c r="M3225" s="9" t="str">
        <x:v>https://poke.idleworld.online/pokepedia/pokemon/gabite</x:v>
      </x:c>
    </x:row>
    <x:row r="3226" ht="22" customHeight="1">
      <x:c r="A3226" s="1" t="n">
        <x:v>444</x:v>
      </x:c>
      <x:c r="B3226" s="1" t="str">
        <x:v>Gabite</x:v>
      </x:c>
      <x:c r="C3226" s="1" t="n">
        <x:v>7</x:v>
      </x:c>
      <x:c r="D3226" s="1" t="str">
        <x:v>Dig</x:v>
      </x:c>
      <x:c r="E3226" s="1" t="str">
        <x:v>Terrestre</x:v>
      </x:c>
      <x:c r="F3226" s="1" t="str">
        <x:v>Física</x:v>
      </x:c>
      <x:c r="G3226" s="10" t="n">
        <x:v>80</x:v>
      </x:c>
      <x:c r="H3226" s="10" t="n">
        <x:f>IF(F3226="Física",'Pokémon'!G348,IF(F3226="Especial",'Pokémon'!I348,""))</x:f>
        <x:v>90</x:v>
      </x:c>
      <x:c r="I3226" s="10" t="n">
        <x:f>IF(OR(F3226="Status",G3226=0),"",G3226+H3226)</x:f>
        <x:v>170</x:v>
      </x:c>
      <x:c r="J3226" s="10" t="n">
        <x:v>40</x:v>
      </x:c>
      <x:c r="K3226" s="12" t="n">
        <x:v>22</x:v>
      </x:c>
      <x:c r="L3226" s="1" t="str"/>
      <x:c r="M3226" s="9" t="str">
        <x:v>https://poke.idleworld.online/pokepedia/pokemon/gabite</x:v>
      </x:c>
    </x:row>
    <x:row r="3227" ht="22" customHeight="1">
      <x:c r="A3227" s="1" t="n">
        <x:v>444</x:v>
      </x:c>
      <x:c r="B3227" s="1" t="str">
        <x:v>Gabite</x:v>
      </x:c>
      <x:c r="C3227" s="1" t="n">
        <x:v>5</x:v>
      </x:c>
      <x:c r="D3227" s="1" t="str">
        <x:v>Slash</x:v>
      </x:c>
      <x:c r="E3227" s="1" t="str">
        <x:v>Normal</x:v>
      </x:c>
      <x:c r="F3227" s="1" t="str">
        <x:v>Física</x:v>
      </x:c>
      <x:c r="G3227" s="10" t="n">
        <x:v>70</x:v>
      </x:c>
      <x:c r="H3227" s="10" t="n">
        <x:f>IF(F3227="Física",'Pokémon'!G348,IF(F3227="Especial",'Pokémon'!I348,""))</x:f>
        <x:v>90</x:v>
      </x:c>
      <x:c r="I3227" s="10" t="n">
        <x:f>IF(OR(F3227="Status",G3227=0),"",G3227+H3227)</x:f>
        <x:v>160</x:v>
      </x:c>
      <x:c r="J3227" s="10" t="n">
        <x:v>28</x:v>
      </x:c>
      <x:c r="K3227" s="12" t="n">
        <x:v>20</x:v>
      </x:c>
      <x:c r="L3227" s="1" t="str"/>
      <x:c r="M3227" s="9" t="str">
        <x:v>https://poke.idleworld.online/pokepedia/pokemon/gabite</x:v>
      </x:c>
    </x:row>
    <x:row r="3228" ht="22" customHeight="1">
      <x:c r="A3228" s="1" t="n">
        <x:v>444</x:v>
      </x:c>
      <x:c r="B3228" s="1" t="str">
        <x:v>Gabite</x:v>
      </x:c>
      <x:c r="C3228" s="1" t="n">
        <x:v>1</x:v>
      </x:c>
      <x:c r="D3228" s="1" t="str">
        <x:v>Tackle</x:v>
      </x:c>
      <x:c r="E3228" s="1" t="str">
        <x:v>Normal</x:v>
      </x:c>
      <x:c r="F3228" s="1" t="str">
        <x:v>Física</x:v>
      </x:c>
      <x:c r="G3228" s="10" t="n">
        <x:v>50</x:v>
      </x:c>
      <x:c r="H3228" s="10" t="n">
        <x:f>IF(F3228="Física",'Pokémon'!G348,IF(F3228="Especial",'Pokémon'!I348,""))</x:f>
        <x:v>90</x:v>
      </x:c>
      <x:c r="I3228" s="10" t="n">
        <x:f>IF(OR(F3228="Status",G3228=0),"",G3228+H3228)</x:f>
        <x:v>140</x:v>
      </x:c>
      <x:c r="J3228" s="10" t="n">
        <x:v>1</x:v>
      </x:c>
      <x:c r="K3228" s="12" t="n">
        <x:v>15</x:v>
      </x:c>
      <x:c r="L3228" s="1" t="str"/>
      <x:c r="M3228" s="9" t="str">
        <x:v>https://poke.idleworld.online/pokepedia/pokemon/gabite</x:v>
      </x:c>
    </x:row>
    <x:row r="3229" ht="22" customHeight="1">
      <x:c r="A3229" s="1" t="n">
        <x:v>444</x:v>
      </x:c>
      <x:c r="B3229" s="1" t="str">
        <x:v>Gabite</x:v>
      </x:c>
      <x:c r="C3229" s="1" t="n">
        <x:v>4</x:v>
      </x:c>
      <x:c r="D3229" s="1" t="str">
        <x:v>Dual Chop</x:v>
      </x:c>
      <x:c r="E3229" s="1" t="str">
        <x:v>Dragão</x:v>
      </x:c>
      <x:c r="F3229" s="1" t="str">
        <x:v>Física</x:v>
      </x:c>
      <x:c r="G3229" s="10" t="n">
        <x:v>40</x:v>
      </x:c>
      <x:c r="H3229" s="10" t="n">
        <x:f>IF(F3229="Física",'Pokémon'!G348,IF(F3229="Especial",'Pokémon'!I348,""))</x:f>
        <x:v>90</x:v>
      </x:c>
      <x:c r="I3229" s="10" t="n">
        <x:f>IF(OR(F3229="Status",G3229=0),"",G3229+H3229)</x:f>
        <x:v>130</x:v>
      </x:c>
      <x:c r="J3229" s="10" t="n">
        <x:v>24</x:v>
      </x:c>
      <x:c r="K3229" s="12" t="n">
        <x:v>20</x:v>
      </x:c>
      <x:c r="L3229" s="1" t="str"/>
      <x:c r="M3229" s="9" t="str">
        <x:v>https://poke.idleworld.online/pokepedia/pokemon/gabite</x:v>
      </x:c>
    </x:row>
    <x:row r="3230" ht="22" customHeight="1">
      <x:c r="A3230" s="1" t="n">
        <x:v>444</x:v>
      </x:c>
      <x:c r="B3230" s="1" t="str">
        <x:v>Gabite</x:v>
      </x:c>
      <x:c r="C3230" s="1" t="n">
        <x:v>3</x:v>
      </x:c>
      <x:c r="D3230" s="1" t="str">
        <x:v>Sand Tomb</x:v>
      </x:c>
      <x:c r="E3230" s="1" t="str">
        <x:v>Terrestre</x:v>
      </x:c>
      <x:c r="F3230" s="1" t="str">
        <x:v>Física</x:v>
      </x:c>
      <x:c r="G3230" s="10" t="n">
        <x:v>35</x:v>
      </x:c>
      <x:c r="H3230" s="10" t="n">
        <x:f>IF(F3230="Física",'Pokémon'!G348,IF(F3230="Especial",'Pokémon'!I348,""))</x:f>
        <x:v>90</x:v>
      </x:c>
      <x:c r="I3230" s="10" t="n">
        <x:f>IF(OR(F3230="Status",G3230=0),"",G3230+H3230)</x:f>
        <x:v>125</x:v>
      </x:c>
      <x:c r="J3230" s="10" t="n">
        <x:v>19</x:v>
      </x:c>
      <x:c r="K3230" s="12" t="n">
        <x:v>40</x:v>
      </x:c>
      <x:c r="L3230" s="1" t="str"/>
      <x:c r="M3230" s="9" t="str">
        <x:v>https://poke.idleworld.online/pokepedia/pokemon/gabite</x:v>
      </x:c>
    </x:row>
    <x:row r="3231" ht="22" customHeight="1">
      <x:c r="A3231" s="1" t="n">
        <x:v>445</x:v>
      </x:c>
      <x:c r="B3231" s="1" t="str">
        <x:v>Garchomp</x:v>
      </x:c>
      <x:c r="C3231" s="1" t="n">
        <x:v>10</x:v>
      </x:c>
      <x:c r="D3231" s="1" t="str">
        <x:v>Dragon Rush</x:v>
      </x:c>
      <x:c r="E3231" s="1" t="str">
        <x:v>Dragão</x:v>
      </x:c>
      <x:c r="F3231" s="1" t="str">
        <x:v>Física</x:v>
      </x:c>
      <x:c r="G3231" s="10" t="n">
        <x:v>100</x:v>
      </x:c>
      <x:c r="H3231" s="10" t="n">
        <x:f>IF(F3231="Física",'Pokémon'!G349,IF(F3231="Especial",'Pokémon'!I349,""))</x:f>
        <x:v>130</x:v>
      </x:c>
      <x:c r="I3231" s="10" t="n">
        <x:f>IF(OR(F3231="Status",G3231=0),"",G3231+H3231)</x:f>
        <x:v>230</x:v>
      </x:c>
      <x:c r="J3231" s="10" t="n">
        <x:v>55</x:v>
      </x:c>
      <x:c r="K3231" s="12" t="n">
        <x:v>40</x:v>
      </x:c>
      <x:c r="L3231" s="1" t="str"/>
      <x:c r="M3231" s="9" t="str">
        <x:v>https://poke.idleworld.online/pokepedia/pokemon/garchomp</x:v>
      </x:c>
    </x:row>
    <x:row r="3232" ht="22" customHeight="1">
      <x:c r="A3232" s="1" t="n">
        <x:v>445</x:v>
      </x:c>
      <x:c r="B3232" s="1" t="str">
        <x:v>Garchomp</x:v>
      </x:c>
      <x:c r="C3232" s="1" t="n">
        <x:v>3</x:v>
      </x:c>
      <x:c r="D3232" s="1" t="str">
        <x:v>Take Down</x:v>
      </x:c>
      <x:c r="E3232" s="1" t="str">
        <x:v>Normal</x:v>
      </x:c>
      <x:c r="F3232" s="1" t="str">
        <x:v>Física</x:v>
      </x:c>
      <x:c r="G3232" s="10" t="n">
        <x:v>90</x:v>
      </x:c>
      <x:c r="H3232" s="10" t="n">
        <x:f>IF(F3232="Física",'Pokémon'!G349,IF(F3232="Especial",'Pokémon'!I349,""))</x:f>
        <x:v>130</x:v>
      </x:c>
      <x:c r="I3232" s="10" t="n">
        <x:f>IF(OR(F3232="Status",G3232=0),"",G3232+H3232)</x:f>
        <x:v>220</x:v>
      </x:c>
      <x:c r="J3232" s="10" t="n">
        <x:v>15</x:v>
      </x:c>
      <x:c r="K3232" s="12" t="n">
        <x:v>22</x:v>
      </x:c>
      <x:c r="L3232" s="1" t="str"/>
      <x:c r="M3232" s="9" t="str">
        <x:v>https://poke.idleworld.online/pokepedia/pokemon/garchomp</x:v>
      </x:c>
    </x:row>
    <x:row r="3233" ht="22" customHeight="1">
      <x:c r="A3233" s="1" t="n">
        <x:v>445</x:v>
      </x:c>
      <x:c r="B3233" s="1" t="str">
        <x:v>Garchomp</x:v>
      </x:c>
      <x:c r="C3233" s="1" t="n">
        <x:v>7</x:v>
      </x:c>
      <x:c r="D3233" s="1" t="str">
        <x:v>Dragon Claw</x:v>
      </x:c>
      <x:c r="E3233" s="1" t="str">
        <x:v>Dragão</x:v>
      </x:c>
      <x:c r="F3233" s="1" t="str">
        <x:v>Física</x:v>
      </x:c>
      <x:c r="G3233" s="10" t="n">
        <x:v>80</x:v>
      </x:c>
      <x:c r="H3233" s="10" t="n">
        <x:f>IF(F3233="Física",'Pokémon'!G349,IF(F3233="Especial",'Pokémon'!I349,""))</x:f>
        <x:v>130</x:v>
      </x:c>
      <x:c r="I3233" s="10" t="n">
        <x:f>IF(OR(F3233="Status",G3233=0),"",G3233+H3233)</x:f>
        <x:v>210</x:v>
      </x:c>
      <x:c r="J3233" s="10" t="n">
        <x:v>33</x:v>
      </x:c>
      <x:c r="K3233" s="12" t="n">
        <x:v>15</x:v>
      </x:c>
      <x:c r="L3233" s="1" t="str"/>
      <x:c r="M3233" s="9" t="str">
        <x:v>https://poke.idleworld.online/pokepedia/pokemon/garchomp</x:v>
      </x:c>
    </x:row>
    <x:row r="3234" ht="22" customHeight="1">
      <x:c r="A3234" s="1" t="n">
        <x:v>445</x:v>
      </x:c>
      <x:c r="B3234" s="1" t="str">
        <x:v>Garchomp</x:v>
      </x:c>
      <x:c r="C3234" s="1" t="n">
        <x:v>8</x:v>
      </x:c>
      <x:c r="D3234" s="1" t="str">
        <x:v>Dig</x:v>
      </x:c>
      <x:c r="E3234" s="1" t="str">
        <x:v>Terrestre</x:v>
      </x:c>
      <x:c r="F3234" s="1" t="str">
        <x:v>Física</x:v>
      </x:c>
      <x:c r="G3234" s="10" t="n">
        <x:v>80</x:v>
      </x:c>
      <x:c r="H3234" s="10" t="n">
        <x:f>IF(F3234="Física",'Pokémon'!G349,IF(F3234="Especial",'Pokémon'!I349,""))</x:f>
        <x:v>130</x:v>
      </x:c>
      <x:c r="I3234" s="10" t="n">
        <x:f>IF(OR(F3234="Status",G3234=0),"",G3234+H3234)</x:f>
        <x:v>210</x:v>
      </x:c>
      <x:c r="J3234" s="10" t="n">
        <x:v>40</x:v>
      </x:c>
      <x:c r="K3234" s="12" t="n">
        <x:v>22</x:v>
      </x:c>
      <x:c r="L3234" s="1" t="str"/>
      <x:c r="M3234" s="9" t="str">
        <x:v>https://poke.idleworld.online/pokepedia/pokemon/garchomp</x:v>
      </x:c>
    </x:row>
    <x:row r="3235" ht="22" customHeight="1">
      <x:c r="A3235" s="1" t="n">
        <x:v>445</x:v>
      </x:c>
      <x:c r="B3235" s="1" t="str">
        <x:v>Garchomp</x:v>
      </x:c>
      <x:c r="C3235" s="1" t="n">
        <x:v>9</x:v>
      </x:c>
      <x:c r="D3235" s="1" t="str">
        <x:v>Crunch</x:v>
      </x:c>
      <x:c r="E3235" s="1" t="str">
        <x:v>Sombrio</x:v>
      </x:c>
      <x:c r="F3235" s="1" t="str">
        <x:v>Física</x:v>
      </x:c>
      <x:c r="G3235" s="10" t="n">
        <x:v>80</x:v>
      </x:c>
      <x:c r="H3235" s="10" t="n">
        <x:f>IF(F3235="Física",'Pokémon'!G349,IF(F3235="Especial",'Pokémon'!I349,""))</x:f>
        <x:v>130</x:v>
      </x:c>
      <x:c r="I3235" s="10" t="n">
        <x:f>IF(OR(F3235="Status",G3235=0),"",G3235+H3235)</x:f>
        <x:v>210</x:v>
      </x:c>
      <x:c r="J3235" s="10" t="n">
        <x:v>48</x:v>
      </x:c>
      <x:c r="K3235" s="12" t="n">
        <x:v>22</x:v>
      </x:c>
      <x:c r="L3235" s="1" t="str"/>
      <x:c r="M3235" s="9" t="str">
        <x:v>https://poke.idleworld.online/pokepedia/pokemon/garchomp</x:v>
      </x:c>
    </x:row>
    <x:row r="3236" ht="22" customHeight="1">
      <x:c r="A3236" s="1" t="n">
        <x:v>445</x:v>
      </x:c>
      <x:c r="B3236" s="1" t="str">
        <x:v>Garchomp</x:v>
      </x:c>
      <x:c r="C3236" s="1" t="n">
        <x:v>6</x:v>
      </x:c>
      <x:c r="D3236" s="1" t="str">
        <x:v>Slash</x:v>
      </x:c>
      <x:c r="E3236" s="1" t="str">
        <x:v>Normal</x:v>
      </x:c>
      <x:c r="F3236" s="1" t="str">
        <x:v>Física</x:v>
      </x:c>
      <x:c r="G3236" s="10" t="n">
        <x:v>70</x:v>
      </x:c>
      <x:c r="H3236" s="10" t="n">
        <x:f>IF(F3236="Física",'Pokémon'!G349,IF(F3236="Especial",'Pokémon'!I349,""))</x:f>
        <x:v>130</x:v>
      </x:c>
      <x:c r="I3236" s="10" t="n">
        <x:f>IF(OR(F3236="Status",G3236=0),"",G3236+H3236)</x:f>
        <x:v>200</x:v>
      </x:c>
      <x:c r="J3236" s="10" t="n">
        <x:v>28</x:v>
      </x:c>
      <x:c r="K3236" s="12" t="n">
        <x:v>20</x:v>
      </x:c>
      <x:c r="L3236" s="1" t="str"/>
      <x:c r="M3236" s="9" t="str">
        <x:v>https://poke.idleworld.online/pokepedia/pokemon/garchomp</x:v>
      </x:c>
    </x:row>
    <x:row r="3237" ht="22" customHeight="1">
      <x:c r="A3237" s="1" t="n">
        <x:v>445</x:v>
      </x:c>
      <x:c r="B3237" s="1" t="str">
        <x:v>Garchomp</x:v>
      </x:c>
      <x:c r="C3237" s="1" t="n">
        <x:v>2</x:v>
      </x:c>
      <x:c r="D3237" s="1" t="str">
        <x:v>Fire Fang</x:v>
      </x:c>
      <x:c r="E3237" s="1" t="str">
        <x:v>Fogo</x:v>
      </x:c>
      <x:c r="F3237" s="1" t="str">
        <x:v>Física</x:v>
      </x:c>
      <x:c r="G3237" s="10" t="n">
        <x:v>65</x:v>
      </x:c>
      <x:c r="H3237" s="10" t="n">
        <x:f>IF(F3237="Física",'Pokémon'!G349,IF(F3237="Especial",'Pokémon'!I349,""))</x:f>
        <x:v>130</x:v>
      </x:c>
      <x:c r="I3237" s="10" t="n">
        <x:f>IF(OR(F3237="Status",G3237=0),"",G3237+H3237)</x:f>
        <x:v>195</x:v>
      </x:c>
      <x:c r="J3237" s="10" t="n">
        <x:v>1</x:v>
      </x:c>
      <x:c r="K3237" s="12" t="n">
        <x:v>20</x:v>
      </x:c>
      <x:c r="L3237" s="1" t="str"/>
      <x:c r="M3237" s="9" t="str">
        <x:v>https://poke.idleworld.online/pokepedia/pokemon/garchomp</x:v>
      </x:c>
    </x:row>
    <x:row r="3238" ht="22" customHeight="1">
      <x:c r="A3238" s="1" t="n">
        <x:v>445</x:v>
      </x:c>
      <x:c r="B3238" s="1" t="str">
        <x:v>Garchomp</x:v>
      </x:c>
      <x:c r="C3238" s="1" t="n">
        <x:v>1</x:v>
      </x:c>
      <x:c r="D3238" s="1" t="str">
        <x:v>Tackle</x:v>
      </x:c>
      <x:c r="E3238" s="1" t="str">
        <x:v>Normal</x:v>
      </x:c>
      <x:c r="F3238" s="1" t="str">
        <x:v>Física</x:v>
      </x:c>
      <x:c r="G3238" s="10" t="n">
        <x:v>50</x:v>
      </x:c>
      <x:c r="H3238" s="10" t="n">
        <x:f>IF(F3238="Física",'Pokémon'!G349,IF(F3238="Especial",'Pokémon'!I349,""))</x:f>
        <x:v>130</x:v>
      </x:c>
      <x:c r="I3238" s="10" t="n">
        <x:f>IF(OR(F3238="Status",G3238=0),"",G3238+H3238)</x:f>
        <x:v>180</x:v>
      </x:c>
      <x:c r="J3238" s="10" t="n">
        <x:v>1</x:v>
      </x:c>
      <x:c r="K3238" s="12" t="n">
        <x:v>15</x:v>
      </x:c>
      <x:c r="L3238" s="1" t="str"/>
      <x:c r="M3238" s="9" t="str">
        <x:v>https://poke.idleworld.online/pokepedia/pokemon/garchomp</x:v>
      </x:c>
    </x:row>
    <x:row r="3239" ht="22" customHeight="1">
      <x:c r="A3239" s="1" t="n">
        <x:v>445</x:v>
      </x:c>
      <x:c r="B3239" s="1" t="str">
        <x:v>Garchomp</x:v>
      </x:c>
      <x:c r="C3239" s="1" t="n">
        <x:v>5</x:v>
      </x:c>
      <x:c r="D3239" s="1" t="str">
        <x:v>Dual Chop</x:v>
      </x:c>
      <x:c r="E3239" s="1" t="str">
        <x:v>Dragão</x:v>
      </x:c>
      <x:c r="F3239" s="1" t="str">
        <x:v>Física</x:v>
      </x:c>
      <x:c r="G3239" s="10" t="n">
        <x:v>40</x:v>
      </x:c>
      <x:c r="H3239" s="10" t="n">
        <x:f>IF(F3239="Física",'Pokémon'!G349,IF(F3239="Especial",'Pokémon'!I349,""))</x:f>
        <x:v>130</x:v>
      </x:c>
      <x:c r="I3239" s="10" t="n">
        <x:f>IF(OR(F3239="Status",G3239=0),"",G3239+H3239)</x:f>
        <x:v>170</x:v>
      </x:c>
      <x:c r="J3239" s="10" t="n">
        <x:v>24</x:v>
      </x:c>
      <x:c r="K3239" s="12" t="n">
        <x:v>20</x:v>
      </x:c>
      <x:c r="L3239" s="1" t="str"/>
      <x:c r="M3239" s="9" t="str">
        <x:v>https://poke.idleworld.online/pokepedia/pokemon/garchomp</x:v>
      </x:c>
    </x:row>
    <x:row r="3240" ht="22" customHeight="1">
      <x:c r="A3240" s="1" t="n">
        <x:v>445</x:v>
      </x:c>
      <x:c r="B3240" s="1" t="str">
        <x:v>Garchomp</x:v>
      </x:c>
      <x:c r="C3240" s="1" t="n">
        <x:v>4</x:v>
      </x:c>
      <x:c r="D3240" s="1" t="str">
        <x:v>Sand Tomb</x:v>
      </x:c>
      <x:c r="E3240" s="1" t="str">
        <x:v>Terrestre</x:v>
      </x:c>
      <x:c r="F3240" s="1" t="str">
        <x:v>Física</x:v>
      </x:c>
      <x:c r="G3240" s="10" t="n">
        <x:v>35</x:v>
      </x:c>
      <x:c r="H3240" s="10" t="n">
        <x:f>IF(F3240="Física",'Pokémon'!G349,IF(F3240="Especial",'Pokémon'!I349,""))</x:f>
        <x:v>130</x:v>
      </x:c>
      <x:c r="I3240" s="10" t="n">
        <x:f>IF(OR(F3240="Status",G3240=0),"",G3240+H3240)</x:f>
        <x:v>165</x:v>
      </x:c>
      <x:c r="J3240" s="10" t="n">
        <x:v>19</x:v>
      </x:c>
      <x:c r="K3240" s="12" t="n">
        <x:v>15</x:v>
      </x:c>
      <x:c r="L3240" s="1" t="str"/>
      <x:c r="M3240" s="9" t="str">
        <x:v>https://poke.idleworld.online/pokepedia/pokemon/garchomp</x:v>
      </x:c>
    </x:row>
    <x:row r="3241" ht="22" customHeight="1">
      <x:c r="A3241" s="1" t="n">
        <x:v>447</x:v>
      </x:c>
      <x:c r="B3241" s="1" t="str">
        <x:v>Riolu</x:v>
      </x:c>
      <x:c r="C3241" s="1" t="n">
        <x:v>3</x:v>
      </x:c>
      <x:c r="D3241" s="1" t="str">
        <x:v>Force Palm</x:v>
      </x:c>
      <x:c r="E3241" s="1" t="str">
        <x:v>Lutador</x:v>
      </x:c>
      <x:c r="F3241" s="1" t="str">
        <x:v>Física</x:v>
      </x:c>
      <x:c r="G3241" s="10" t="n">
        <x:v>60</x:v>
      </x:c>
      <x:c r="H3241" s="10" t="n">
        <x:f>IF(F3241="Física",'Pokémon'!G350,IF(F3241="Especial",'Pokémon'!I350,""))</x:f>
        <x:v>70</x:v>
      </x:c>
      <x:c r="I3241" s="10" t="n">
        <x:f>IF(OR(F3241="Status",G3241=0),"",G3241+H3241)</x:f>
        <x:v>130</x:v>
      </x:c>
      <x:c r="J3241" s="10" t="n">
        <x:v>15</x:v>
      </x:c>
      <x:c r="K3241" s="12" t="n">
        <x:v>20</x:v>
      </x:c>
      <x:c r="L3241" s="1" t="str"/>
      <x:c r="M3241" s="9" t="str">
        <x:v>https://poke.idleworld.online/pokepedia/pokemon/riolu</x:v>
      </x:c>
    </x:row>
    <x:row r="3242" ht="22" customHeight="1">
      <x:c r="A3242" s="1" t="n">
        <x:v>447</x:v>
      </x:c>
      <x:c r="B3242" s="1" t="str">
        <x:v>Riolu</x:v>
      </x:c>
      <x:c r="C3242" s="1" t="n">
        <x:v>1</x:v>
      </x:c>
      <x:c r="D3242" s="1" t="str">
        <x:v>Quick Attack</x:v>
      </x:c>
      <x:c r="E3242" s="1" t="str">
        <x:v>Normal</x:v>
      </x:c>
      <x:c r="F3242" s="1" t="str">
        <x:v>Física</x:v>
      </x:c>
      <x:c r="G3242" s="10" t="n">
        <x:v>40</x:v>
      </x:c>
      <x:c r="H3242" s="10" t="n">
        <x:f>IF(F3242="Física",'Pokémon'!G350,IF(F3242="Especial",'Pokémon'!I350,""))</x:f>
        <x:v>70</x:v>
      </x:c>
      <x:c r="I3242" s="10" t="n">
        <x:f>IF(OR(F3242="Status",G3242=0),"",G3242+H3242)</x:f>
        <x:v>110</x:v>
      </x:c>
      <x:c r="J3242" s="10" t="n">
        <x:v>1</x:v>
      </x:c>
      <x:c r="K3242" s="12" t="n">
        <x:v>15</x:v>
      </x:c>
      <x:c r="L3242" s="1" t="str"/>
      <x:c r="M3242" s="9" t="str">
        <x:v>https://poke.idleworld.online/pokepedia/pokemon/riolu</x:v>
      </x:c>
    </x:row>
    <x:row r="3243" ht="22" customHeight="1">
      <x:c r="A3243" s="1" t="n">
        <x:v>447</x:v>
      </x:c>
      <x:c r="B3243" s="1" t="str">
        <x:v>Riolu</x:v>
      </x:c>
      <x:c r="C3243" s="1" t="n">
        <x:v>2</x:v>
      </x:c>
      <x:c r="D3243" s="1" t="str">
        <x:v>Feint</x:v>
      </x:c>
      <x:c r="E3243" s="1" t="str">
        <x:v>Normal</x:v>
      </x:c>
      <x:c r="F3243" s="1" t="str">
        <x:v>Física</x:v>
      </x:c>
      <x:c r="G3243" s="10" t="n">
        <x:v>30</x:v>
      </x:c>
      <x:c r="H3243" s="10" t="n">
        <x:f>IF(F3243="Física",'Pokémon'!G350,IF(F3243="Especial",'Pokémon'!I350,""))</x:f>
        <x:v>70</x:v>
      </x:c>
      <x:c r="I3243" s="10" t="n">
        <x:f>IF(OR(F3243="Status",G3243=0),"",G3243+H3243)</x:f>
        <x:v>100</x:v>
      </x:c>
      <x:c r="J3243" s="10" t="n">
        <x:v>11</x:v>
      </x:c>
      <x:c r="K3243" s="12" t="n">
        <x:v>15</x:v>
      </x:c>
      <x:c r="L3243" s="1" t="str"/>
      <x:c r="M3243" s="9" t="str">
        <x:v>https://poke.idleworld.online/pokepedia/pokemon/riolu</x:v>
      </x:c>
    </x:row>
    <x:row r="3244" ht="22" customHeight="1">
      <x:c r="A3244" s="1" t="n">
        <x:v>448</x:v>
      </x:c>
      <x:c r="B3244" s="1" t="str">
        <x:v>Lucario</x:v>
      </x:c>
      <x:c r="C3244" s="1" t="n">
        <x:v>7</x:v>
      </x:c>
      <x:c r="D3244" s="1" t="str">
        <x:v>Close Combat</x:v>
      </x:c>
      <x:c r="E3244" s="1" t="str">
        <x:v>Lutador</x:v>
      </x:c>
      <x:c r="F3244" s="1" t="str">
        <x:v>Física</x:v>
      </x:c>
      <x:c r="G3244" s="10" t="n">
        <x:v>120</x:v>
      </x:c>
      <x:c r="H3244" s="10" t="n">
        <x:f>IF(F3244="Física",'Pokémon'!G351,IF(F3244="Especial",'Pokémon'!I351,""))</x:f>
        <x:v>110</x:v>
      </x:c>
      <x:c r="I3244" s="10" t="n">
        <x:f>IF(OR(F3244="Status",G3244=0),"",G3244+H3244)</x:f>
        <x:v>230</x:v>
      </x:c>
      <x:c r="J3244" s="10" t="n">
        <x:v>1</x:v>
      </x:c>
      <x:c r="K3244" s="12" t="n">
        <x:v>50</x:v>
      </x:c>
      <x:c r="L3244" s="1" t="str"/>
      <x:c r="M3244" s="9" t="str">
        <x:v>https://poke.idleworld.online/pokepedia/pokemon/lucario</x:v>
      </x:c>
    </x:row>
    <x:row r="3245" ht="22" customHeight="1">
      <x:c r="A3245" s="1" t="n">
        <x:v>448</x:v>
      </x:c>
      <x:c r="B3245" s="1" t="str">
        <x:v>Lucario</x:v>
      </x:c>
      <x:c r="C3245" s="1" t="n">
        <x:v>6</x:v>
      </x:c>
      <x:c r="D3245" s="1" t="str">
        <x:v>Dragon Pulse</x:v>
      </x:c>
      <x:c r="E3245" s="1" t="str">
        <x:v>Dragão</x:v>
      </x:c>
      <x:c r="F3245" s="1" t="str">
        <x:v>Especial</x:v>
      </x:c>
      <x:c r="G3245" s="10" t="n">
        <x:v>85</x:v>
      </x:c>
      <x:c r="H3245" s="10" t="n">
        <x:f>IF(F3245="Física",'Pokémon'!G351,IF(F3245="Especial",'Pokémon'!I351,""))</x:f>
        <x:v>115</x:v>
      </x:c>
      <x:c r="I3245" s="10" t="n">
        <x:f>IF(OR(F3245="Status",G3245=0),"",G3245+H3245)</x:f>
        <x:v>200</x:v>
      </x:c>
      <x:c r="J3245" s="10" t="n">
        <x:v>1</x:v>
      </x:c>
      <x:c r="K3245" s="12" t="n">
        <x:v>22</x:v>
      </x:c>
      <x:c r="L3245" s="1" t="str"/>
      <x:c r="M3245" s="9" t="str">
        <x:v>https://poke.idleworld.online/pokepedia/pokemon/lucario</x:v>
      </x:c>
    </x:row>
    <x:row r="3246" ht="22" customHeight="1">
      <x:c r="A3246" s="1" t="n">
        <x:v>448</x:v>
      </x:c>
      <x:c r="B3246" s="1" t="str">
        <x:v>Lucario</x:v>
      </x:c>
      <x:c r="C3246" s="1" t="n">
        <x:v>2</x:v>
      </x:c>
      <x:c r="D3246" s="1" t="str">
        <x:v>Aura Sphere</x:v>
      </x:c>
      <x:c r="E3246" s="1" t="str">
        <x:v>Lutador</x:v>
      </x:c>
      <x:c r="F3246" s="1" t="str">
        <x:v>Especial</x:v>
      </x:c>
      <x:c r="G3246" s="10" t="n">
        <x:v>80</x:v>
      </x:c>
      <x:c r="H3246" s="10" t="n">
        <x:f>IF(F3246="Física",'Pokémon'!G351,IF(F3246="Especial",'Pokémon'!I351,""))</x:f>
        <x:v>115</x:v>
      </x:c>
      <x:c r="I3246" s="10" t="n">
        <x:f>IF(OR(F3246="Status",G3246=0),"",G3246+H3246)</x:f>
        <x:v>195</x:v>
      </x:c>
      <x:c r="J3246" s="10" t="n">
        <x:v>1</x:v>
      </x:c>
      <x:c r="K3246" s="12" t="n">
        <x:v>25</x:v>
      </x:c>
      <x:c r="L3246" s="1" t="str"/>
      <x:c r="M3246" s="9" t="str">
        <x:v>https://poke.idleworld.online/pokepedia/pokemon/lucario</x:v>
      </x:c>
    </x:row>
    <x:row r="3247" ht="22" customHeight="1">
      <x:c r="A3247" s="1" t="n">
        <x:v>448</x:v>
      </x:c>
      <x:c r="B3247" s="1" t="str">
        <x:v>Lucario</x:v>
      </x:c>
      <x:c r="C3247" s="1" t="n">
        <x:v>1</x:v>
      </x:c>
      <x:c r="D3247" s="1" t="str">
        <x:v>Extreme Speed</x:v>
      </x:c>
      <x:c r="E3247" s="1" t="str">
        <x:v>Normal</x:v>
      </x:c>
      <x:c r="F3247" s="1" t="str">
        <x:v>Física</x:v>
      </x:c>
      <x:c r="G3247" s="10" t="n">
        <x:v>80</x:v>
      </x:c>
      <x:c r="H3247" s="10" t="n">
        <x:f>IF(F3247="Física",'Pokémon'!G351,IF(F3247="Especial",'Pokémon'!I351,""))</x:f>
        <x:v>110</x:v>
      </x:c>
      <x:c r="I3247" s="10" t="n">
        <x:f>IF(OR(F3247="Status",G3247=0),"",G3247+H3247)</x:f>
        <x:v>190</x:v>
      </x:c>
      <x:c r="J3247" s="10" t="n">
        <x:v>1</x:v>
      </x:c>
      <x:c r="K3247" s="12" t="n">
        <x:v>25</x:v>
      </x:c>
      <x:c r="L3247" s="1" t="str"/>
      <x:c r="M3247" s="9" t="str">
        <x:v>https://poke.idleworld.online/pokepedia/pokemon/lucario</x:v>
      </x:c>
    </x:row>
    <x:row r="3248" ht="22" customHeight="1">
      <x:c r="A3248" s="1" t="n">
        <x:v>448</x:v>
      </x:c>
      <x:c r="B3248" s="1" t="str">
        <x:v>Lucario</x:v>
      </x:c>
      <x:c r="C3248" s="1" t="n">
        <x:v>3</x:v>
      </x:c>
      <x:c r="D3248" s="1" t="str">
        <x:v>Metal Claw</x:v>
      </x:c>
      <x:c r="E3248" s="1" t="str">
        <x:v>Aço</x:v>
      </x:c>
      <x:c r="F3248" s="1" t="str">
        <x:v>Física</x:v>
      </x:c>
      <x:c r="G3248" s="10" t="n">
        <x:v>50</x:v>
      </x:c>
      <x:c r="H3248" s="10" t="n">
        <x:f>IF(F3248="Física",'Pokémon'!G351,IF(F3248="Especial",'Pokémon'!I351,""))</x:f>
        <x:v>110</x:v>
      </x:c>
      <x:c r="I3248" s="10" t="n">
        <x:f>IF(OR(F3248="Status",G3248=0),"",G3248+H3248)</x:f>
        <x:v>160</x:v>
      </x:c>
      <x:c r="J3248" s="10" t="n">
        <x:v>1</x:v>
      </x:c>
      <x:c r="K3248" s="12" t="n">
        <x:v>35</x:v>
      </x:c>
      <x:c r="L3248" s="1" t="str"/>
      <x:c r="M3248" s="9" t="str">
        <x:v>https://poke.idleworld.online/pokepedia/pokemon/lucario</x:v>
      </x:c>
    </x:row>
    <x:row r="3249" ht="22" customHeight="1">
      <x:c r="A3249" s="1" t="n">
        <x:v>448</x:v>
      </x:c>
      <x:c r="B3249" s="1" t="str">
        <x:v>Lucario</x:v>
      </x:c>
      <x:c r="C3249" s="1" t="n">
        <x:v>5</x:v>
      </x:c>
      <x:c r="D3249" s="1" t="str">
        <x:v>Quick Attack</x:v>
      </x:c>
      <x:c r="E3249" s="1" t="str">
        <x:v>Normal</x:v>
      </x:c>
      <x:c r="F3249" s="1" t="str">
        <x:v>Física</x:v>
      </x:c>
      <x:c r="G3249" s="10" t="n">
        <x:v>40</x:v>
      </x:c>
      <x:c r="H3249" s="10" t="n">
        <x:f>IF(F3249="Física",'Pokémon'!G351,IF(F3249="Especial",'Pokémon'!I351,""))</x:f>
        <x:v>110</x:v>
      </x:c>
      <x:c r="I3249" s="10" t="n">
        <x:f>IF(OR(F3249="Status",G3249=0),"",G3249+H3249)</x:f>
        <x:v>150</x:v>
      </x:c>
      <x:c r="J3249" s="10" t="n">
        <x:v>1</x:v>
      </x:c>
      <x:c r="K3249" s="12" t="n">
        <x:v>15</x:v>
      </x:c>
      <x:c r="L3249" s="1" t="str"/>
      <x:c r="M3249" s="9" t="str">
        <x:v>https://poke.idleworld.online/pokepedia/pokemon/lucario</x:v>
      </x:c>
    </x:row>
    <x:row r="3250" ht="22" customHeight="1">
      <x:c r="A3250" s="1" t="n">
        <x:v>448</x:v>
      </x:c>
      <x:c r="B3250" s="1" t="str">
        <x:v>Lucario</x:v>
      </x:c>
      <x:c r="C3250" s="1" t="n">
        <x:v>9</x:v>
      </x:c>
      <x:c r="D3250" s="1" t="str">
        <x:v>Power-Up Punch</x:v>
      </x:c>
      <x:c r="E3250" s="1" t="str">
        <x:v>Lutador</x:v>
      </x:c>
      <x:c r="F3250" s="1" t="str">
        <x:v>Física</x:v>
      </x:c>
      <x:c r="G3250" s="10" t="n">
        <x:v>40</x:v>
      </x:c>
      <x:c r="H3250" s="10" t="n">
        <x:f>IF(F3250="Física",'Pokémon'!G351,IF(F3250="Especial",'Pokémon'!I351,""))</x:f>
        <x:v>110</x:v>
      </x:c>
      <x:c r="I3250" s="10" t="n">
        <x:f>IF(OR(F3250="Status",G3250=0),"",G3250+H3250)</x:f>
        <x:v>150</x:v>
      </x:c>
      <x:c r="J3250" s="10" t="n">
        <x:v>15</x:v>
      </x:c>
      <x:c r="K3250" s="12" t="n">
        <x:v>15</x:v>
      </x:c>
      <x:c r="L3250" s="1" t="str"/>
      <x:c r="M3250" s="9" t="str">
        <x:v>https://poke.idleworld.online/pokepedia/pokemon/lucario</x:v>
      </x:c>
    </x:row>
    <x:row r="3251" ht="22" customHeight="1">
      <x:c r="A3251" s="1" t="n">
        <x:v>448</x:v>
      </x:c>
      <x:c r="B3251" s="1" t="str">
        <x:v>Lucario</x:v>
      </x:c>
      <x:c r="C3251" s="1" t="n">
        <x:v>8</x:v>
      </x:c>
      <x:c r="D3251" s="1" t="str">
        <x:v>Feint</x:v>
      </x:c>
      <x:c r="E3251" s="1" t="str">
        <x:v>Normal</x:v>
      </x:c>
      <x:c r="F3251" s="1" t="str">
        <x:v>Física</x:v>
      </x:c>
      <x:c r="G3251" s="10" t="n">
        <x:v>30</x:v>
      </x:c>
      <x:c r="H3251" s="10" t="n">
        <x:f>IF(F3251="Física",'Pokémon'!G351,IF(F3251="Especial",'Pokémon'!I351,""))</x:f>
        <x:v>110</x:v>
      </x:c>
      <x:c r="I3251" s="10" t="n">
        <x:f>IF(OR(F3251="Status",G3251=0),"",G3251+H3251)</x:f>
        <x:v>140</x:v>
      </x:c>
      <x:c r="J3251" s="10" t="n">
        <x:v>11</x:v>
      </x:c>
      <x:c r="K3251" s="12" t="n">
        <x:v>15</x:v>
      </x:c>
      <x:c r="L3251" s="1" t="str"/>
      <x:c r="M3251" s="9" t="str">
        <x:v>https://poke.idleworld.online/pokepedia/pokemon/lucario</x:v>
      </x:c>
    </x:row>
    <x:row r="3252" ht="22" customHeight="1">
      <x:c r="A3252" s="1" t="n">
        <x:v>448</x:v>
      </x:c>
      <x:c r="B3252" s="1" t="str">
        <x:v>Lucario</x:v>
      </x:c>
      <x:c r="C3252" s="1" t="n">
        <x:v>11</x:v>
      </x:c>
      <x:c r="D3252" s="1" t="str">
        <x:v>Bone Rush</x:v>
      </x:c>
      <x:c r="E3252" s="1" t="str">
        <x:v>Terrestre</x:v>
      </x:c>
      <x:c r="F3252" s="1" t="str">
        <x:v>Física</x:v>
      </x:c>
      <x:c r="G3252" s="10" t="n">
        <x:v>25</x:v>
      </x:c>
      <x:c r="H3252" s="10" t="n">
        <x:f>IF(F3252="Física",'Pokémon'!G351,IF(F3252="Especial",'Pokémon'!I351,""))</x:f>
        <x:v>110</x:v>
      </x:c>
      <x:c r="I3252" s="10" t="n">
        <x:f>IF(OR(F3252="Status",G3252=0),"",G3252+H3252)</x:f>
        <x:v>135</x:v>
      </x:c>
      <x:c r="J3252" s="10" t="n">
        <x:v>29</x:v>
      </x:c>
      <x:c r="K3252" s="12" t="n">
        <x:v>15</x:v>
      </x:c>
      <x:c r="L3252" s="1" t="str"/>
      <x:c r="M3252" s="9" t="str">
        <x:v>https://poke.idleworld.online/pokepedia/pokemon/lucario</x:v>
      </x:c>
    </x:row>
    <x:row r="3253" ht="22" customHeight="1">
      <x:c r="A3253" s="1" t="n">
        <x:v>448</x:v>
      </x:c>
      <x:c r="B3253" s="1" t="str">
        <x:v>Lucario</x:v>
      </x:c>
      <x:c r="C3253" s="1" t="n">
        <x:v>4</x:v>
      </x:c>
      <x:c r="D3253" s="1" t="str">
        <x:v>Detect</x:v>
      </x:c>
      <x:c r="E3253" s="1" t="str">
        <x:v>Lutador</x:v>
      </x:c>
      <x:c r="F3253" s="1" t="str">
        <x:v>Status</x:v>
      </x:c>
      <x:c r="G3253" s="10" t="n">
        <x:v>0</x:v>
      </x:c>
      <x:c r="H3253" s="10" t="str">
        <x:f>IF(F3253="Física",'Pokémon'!G351,IF(F3253="Especial",'Pokémon'!I351,""))</x:f>
      </x:c>
      <x:c r="I3253" s="10" t="str">
        <x:f>IF(OR(F3253="Status",G3253=0),"",G3253+H3253)</x:f>
      </x:c>
      <x:c r="J3253" s="10" t="n">
        <x:v>1</x:v>
      </x:c>
      <x:c r="K3253" s="12" t="n">
        <x:v>50</x:v>
      </x:c>
      <x:c r="L3253" s="1" t="str"/>
      <x:c r="M3253" s="9" t="str">
        <x:v>https://poke.idleworld.online/pokepedia/pokemon/lucario</x:v>
      </x:c>
    </x:row>
    <x:row r="3254" ht="22" customHeight="1">
      <x:c r="A3254" s="1" t="n">
        <x:v>448</x:v>
      </x:c>
      <x:c r="B3254" s="1" t="str">
        <x:v>Lucario</x:v>
      </x:c>
      <x:c r="C3254" s="1" t="n">
        <x:v>10</x:v>
      </x:c>
      <x:c r="D3254" s="1" t="str">
        <x:v>Metal Sound</x:v>
      </x:c>
      <x:c r="E3254" s="1" t="str">
        <x:v>Aço</x:v>
      </x:c>
      <x:c r="F3254" s="1" t="str">
        <x:v>Status</x:v>
      </x:c>
      <x:c r="G3254" s="10" t="n">
        <x:v>0</x:v>
      </x:c>
      <x:c r="H3254" s="10" t="str">
        <x:f>IF(F3254="Física",'Pokémon'!G351,IF(F3254="Especial",'Pokémon'!I351,""))</x:f>
      </x:c>
      <x:c r="I3254" s="10" t="str">
        <x:f>IF(OR(F3254="Status",G3254=0),"",G3254+H3254)</x:f>
      </x:c>
      <x:c r="J3254" s="10" t="n">
        <x:v>24</x:v>
      </x:c>
      <x:c r="K3254" s="12" t="n">
        <x:v>40</x:v>
      </x:c>
      <x:c r="L3254" s="1" t="str"/>
      <x:c r="M3254" s="9" t="str">
        <x:v>https://poke.idleworld.online/pokepedia/pokemon/lucario</x:v>
      </x:c>
    </x:row>
    <x:row r="3255" ht="22" customHeight="1">
      <x:c r="A3255" s="1" t="n">
        <x:v>458</x:v>
      </x:c>
      <x:c r="B3255" s="1" t="str">
        <x:v>Mantyke</x:v>
      </x:c>
      <x:c r="C3255" s="1" t="n">
        <x:v>10</x:v>
      </x:c>
      <x:c r="D3255" s="1" t="str">
        <x:v>Hydro Pump</x:v>
      </x:c>
      <x:c r="E3255" s="1" t="str">
        <x:v>Água</x:v>
      </x:c>
      <x:c r="F3255" s="1" t="str">
        <x:v>Especial</x:v>
      </x:c>
      <x:c r="G3255" s="10" t="n">
        <x:v>110</x:v>
      </x:c>
      <x:c r="H3255" s="10" t="n">
        <x:f>IF(F3255="Física",'Pokémon'!G352,IF(F3255="Especial",'Pokémon'!I352,""))</x:f>
        <x:v>60</x:v>
      </x:c>
      <x:c r="I3255" s="10" t="n">
        <x:f>IF(OR(F3255="Status",G3255=0),"",G3255+H3255)</x:f>
        <x:v>170</x:v>
      </x:c>
      <x:c r="J3255" s="10" t="n">
        <x:v>49</x:v>
      </x:c>
      <x:c r="K3255" s="12" t="n">
        <x:v>40</x:v>
      </x:c>
      <x:c r="L3255" s="1" t="str"/>
      <x:c r="M3255" s="9" t="str">
        <x:v>https://poke.idleworld.online/pokepedia/pokemon/mantyke</x:v>
      </x:c>
    </x:row>
    <x:row r="3256" ht="22" customHeight="1">
      <x:c r="A3256" s="1" t="n">
        <x:v>458</x:v>
      </x:c>
      <x:c r="B3256" s="1" t="str">
        <x:v>Mantyke</x:v>
      </x:c>
      <x:c r="C3256" s="1" t="n">
        <x:v>8</x:v>
      </x:c>
      <x:c r="D3256" s="1" t="str">
        <x:v>Air Slash</x:v>
      </x:c>
      <x:c r="E3256" s="1" t="str">
        <x:v>Voador</x:v>
      </x:c>
      <x:c r="F3256" s="1" t="str">
        <x:v>Especial</x:v>
      </x:c>
      <x:c r="G3256" s="10" t="n">
        <x:v>75</x:v>
      </x:c>
      <x:c r="H3256" s="10" t="n">
        <x:f>IF(F3256="Física",'Pokémon'!G352,IF(F3256="Especial",'Pokémon'!I352,""))</x:f>
        <x:v>60</x:v>
      </x:c>
      <x:c r="I3256" s="10" t="n">
        <x:f>IF(OR(F3256="Status",G3256=0),"",G3256+H3256)</x:f>
        <x:v>135</x:v>
      </x:c>
      <x:c r="J3256" s="10" t="n">
        <x:v>36</x:v>
      </x:c>
      <x:c r="K3256" s="12" t="n">
        <x:v>22</x:v>
      </x:c>
      <x:c r="L3256" s="1" t="str"/>
      <x:c r="M3256" s="9" t="str">
        <x:v>https://poke.idleworld.online/pokepedia/pokemon/mantyke</x:v>
      </x:c>
    </x:row>
    <x:row r="3257" ht="22" customHeight="1">
      <x:c r="A3257" s="1" t="n">
        <x:v>458</x:v>
      </x:c>
      <x:c r="B3257" s="1" t="str">
        <x:v>Mantyke</x:v>
      </x:c>
      <x:c r="C3257" s="1" t="n">
        <x:v>3</x:v>
      </x:c>
      <x:c r="D3257" s="1" t="str">
        <x:v>Bubble Beam</x:v>
      </x:c>
      <x:c r="E3257" s="1" t="str">
        <x:v>Água</x:v>
      </x:c>
      <x:c r="F3257" s="1" t="str">
        <x:v>Especial</x:v>
      </x:c>
      <x:c r="G3257" s="10" t="n">
        <x:v>65</x:v>
      </x:c>
      <x:c r="H3257" s="10" t="n">
        <x:f>IF(F3257="Física",'Pokémon'!G352,IF(F3257="Especial",'Pokémon'!I352,""))</x:f>
        <x:v>60</x:v>
      </x:c>
      <x:c r="I3257" s="10" t="n">
        <x:f>IF(OR(F3257="Status",G3257=0),"",G3257+H3257)</x:f>
        <x:v>125</x:v>
      </x:c>
      <x:c r="J3257" s="10" t="n">
        <x:v>7</x:v>
      </x:c>
      <x:c r="K3257" s="12" t="n">
        <x:v>20</x:v>
      </x:c>
      <x:c r="L3257" s="1" t="str"/>
      <x:c r="M3257" s="9" t="str">
        <x:v>https://poke.idleworld.online/pokepedia/pokemon/mantyke</x:v>
      </x:c>
    </x:row>
    <x:row r="3258" ht="22" customHeight="1">
      <x:c r="A3258" s="1" t="n">
        <x:v>458</x:v>
      </x:c>
      <x:c r="B3258" s="1" t="str">
        <x:v>Mantyke</x:v>
      </x:c>
      <x:c r="C3258" s="1" t="n">
        <x:v>6</x:v>
      </x:c>
      <x:c r="D3258" s="1" t="str">
        <x:v>Water Pulse</x:v>
      </x:c>
      <x:c r="E3258" s="1" t="str">
        <x:v>Água</x:v>
      </x:c>
      <x:c r="F3258" s="1" t="str">
        <x:v>Especial</x:v>
      </x:c>
      <x:c r="G3258" s="10" t="n">
        <x:v>60</x:v>
      </x:c>
      <x:c r="H3258" s="10" t="n">
        <x:f>IF(F3258="Física",'Pokémon'!G352,IF(F3258="Especial",'Pokémon'!I352,""))</x:f>
        <x:v>60</x:v>
      </x:c>
      <x:c r="I3258" s="10" t="n">
        <x:f>IF(OR(F3258="Status",G3258=0),"",G3258+H3258)</x:f>
        <x:v>120</x:v>
      </x:c>
      <x:c r="J3258" s="10" t="n">
        <x:v>19</x:v>
      </x:c>
      <x:c r="K3258" s="12" t="n">
        <x:v>25</x:v>
      </x:c>
      <x:c r="L3258" s="1" t="str"/>
      <x:c r="M3258" s="9" t="str">
        <x:v>https://poke.idleworld.online/pokepedia/pokemon/mantyke</x:v>
      </x:c>
    </x:row>
    <x:row r="3259" ht="22" customHeight="1">
      <x:c r="A3259" s="1" t="n">
        <x:v>458</x:v>
      </x:c>
      <x:c r="B3259" s="1" t="str">
        <x:v>Mantyke</x:v>
      </x:c>
      <x:c r="C3259" s="1" t="n">
        <x:v>7</x:v>
      </x:c>
      <x:c r="D3259" s="1" t="str">
        <x:v>Take Down</x:v>
      </x:c>
      <x:c r="E3259" s="1" t="str">
        <x:v>Normal</x:v>
      </x:c>
      <x:c r="F3259" s="1" t="str">
        <x:v>Física</x:v>
      </x:c>
      <x:c r="G3259" s="10" t="n">
        <x:v>90</x:v>
      </x:c>
      <x:c r="H3259" s="10" t="n">
        <x:f>IF(F3259="Física",'Pokémon'!G352,IF(F3259="Especial",'Pokémon'!I352,""))</x:f>
        <x:v>20</x:v>
      </x:c>
      <x:c r="I3259" s="10" t="n">
        <x:f>IF(OR(F3259="Status",G3259=0),"",G3259+H3259)</x:f>
        <x:v>110</x:v>
      </x:c>
      <x:c r="J3259" s="10" t="n">
        <x:v>27</x:v>
      </x:c>
      <x:c r="K3259" s="12" t="n">
        <x:v>22</x:v>
      </x:c>
      <x:c r="L3259" s="1" t="str"/>
      <x:c r="M3259" s="9" t="str">
        <x:v>https://poke.idleworld.online/pokepedia/pokemon/mantyke</x:v>
      </x:c>
    </x:row>
    <x:row r="3260" ht="22" customHeight="1">
      <x:c r="A3260" s="1" t="n">
        <x:v>458</x:v>
      </x:c>
      <x:c r="B3260" s="1" t="str">
        <x:v>Mantyke</x:v>
      </x:c>
      <x:c r="C3260" s="1" t="n">
        <x:v>9</x:v>
      </x:c>
      <x:c r="D3260" s="1" t="str">
        <x:v>Bounce</x:v>
      </x:c>
      <x:c r="E3260" s="1" t="str">
        <x:v>Voador</x:v>
      </x:c>
      <x:c r="F3260" s="1" t="str">
        <x:v>Física</x:v>
      </x:c>
      <x:c r="G3260" s="10" t="n">
        <x:v>85</x:v>
      </x:c>
      <x:c r="H3260" s="10" t="n">
        <x:f>IF(F3260="Física",'Pokémon'!G352,IF(F3260="Especial",'Pokémon'!I352,""))</x:f>
        <x:v>20</x:v>
      </x:c>
      <x:c r="I3260" s="10" t="n">
        <x:f>IF(OR(F3260="Status",G3260=0),"",G3260+H3260)</x:f>
        <x:v>105</x:v>
      </x:c>
      <x:c r="J3260" s="10" t="n">
        <x:v>46</x:v>
      </x:c>
      <x:c r="K3260" s="12" t="n">
        <x:v>22</x:v>
      </x:c>
      <x:c r="L3260" s="1" t="str"/>
      <x:c r="M3260" s="9" t="str">
        <x:v>https://poke.idleworld.online/pokepedia/pokemon/mantyke</x:v>
      </x:c>
    </x:row>
    <x:row r="3261" ht="22" customHeight="1">
      <x:c r="A3261" s="1" t="n">
        <x:v>458</x:v>
      </x:c>
      <x:c r="B3261" s="1" t="str">
        <x:v>Mantyke</x:v>
      </x:c>
      <x:c r="C3261" s="1" t="n">
        <x:v>1</x:v>
      </x:c>
      <x:c r="D3261" s="1" t="str">
        <x:v>Bubble</x:v>
      </x:c>
      <x:c r="E3261" s="1" t="str">
        <x:v>Água</x:v>
      </x:c>
      <x:c r="F3261" s="1" t="str">
        <x:v>Especial</x:v>
      </x:c>
      <x:c r="G3261" s="10" t="n">
        <x:v>40</x:v>
      </x:c>
      <x:c r="H3261" s="10" t="n">
        <x:f>IF(F3261="Física",'Pokémon'!G352,IF(F3261="Especial",'Pokémon'!I352,""))</x:f>
        <x:v>60</x:v>
      </x:c>
      <x:c r="I3261" s="10" t="n">
        <x:f>IF(OR(F3261="Status",G3261=0),"",G3261+H3261)</x:f>
        <x:v>100</x:v>
      </x:c>
      <x:c r="J3261" s="10" t="n">
        <x:v>1</x:v>
      </x:c>
      <x:c r="K3261" s="12" t="n">
        <x:v>10</x:v>
      </x:c>
      <x:c r="L3261" s="1" t="str"/>
      <x:c r="M3261" s="9" t="str">
        <x:v>https://poke.idleworld.online/pokepedia/pokemon/mantyke</x:v>
      </x:c>
    </x:row>
    <x:row r="3262" ht="22" customHeight="1">
      <x:c r="A3262" s="1" t="n">
        <x:v>458</x:v>
      </x:c>
      <x:c r="B3262" s="1" t="str">
        <x:v>Mantyke</x:v>
      </x:c>
      <x:c r="C3262" s="1" t="n">
        <x:v>5</x:v>
      </x:c>
      <x:c r="D3262" s="1" t="str">
        <x:v>Headbutt</x:v>
      </x:c>
      <x:c r="E3262" s="1" t="str">
        <x:v>Normal</x:v>
      </x:c>
      <x:c r="F3262" s="1" t="str">
        <x:v>Física</x:v>
      </x:c>
      <x:c r="G3262" s="10" t="n">
        <x:v>70</x:v>
      </x:c>
      <x:c r="H3262" s="10" t="n">
        <x:f>IF(F3262="Física",'Pokémon'!G352,IF(F3262="Especial",'Pokémon'!I352,""))</x:f>
        <x:v>20</x:v>
      </x:c>
      <x:c r="I3262" s="10" t="n">
        <x:f>IF(OR(F3262="Status",G3262=0),"",G3262+H3262)</x:f>
        <x:v>90</x:v>
      </x:c>
      <x:c r="J3262" s="10" t="n">
        <x:v>16</x:v>
      </x:c>
      <x:c r="K3262" s="12" t="n">
        <x:v>20</x:v>
      </x:c>
      <x:c r="L3262" s="1" t="str"/>
      <x:c r="M3262" s="9" t="str">
        <x:v>https://poke.idleworld.online/pokepedia/pokemon/mantyke</x:v>
      </x:c>
    </x:row>
    <x:row r="3263" ht="22" customHeight="1">
      <x:c r="A3263" s="1" t="n">
        <x:v>458</x:v>
      </x:c>
      <x:c r="B3263" s="1" t="str">
        <x:v>Mantyke</x:v>
      </x:c>
      <x:c r="C3263" s="1" t="n">
        <x:v>4</x:v>
      </x:c>
      <x:c r="D3263" s="1" t="str">
        <x:v>Wing Attack</x:v>
      </x:c>
      <x:c r="E3263" s="1" t="str">
        <x:v>Voador</x:v>
      </x:c>
      <x:c r="F3263" s="1" t="str">
        <x:v>Física</x:v>
      </x:c>
      <x:c r="G3263" s="10" t="n">
        <x:v>60</x:v>
      </x:c>
      <x:c r="H3263" s="10" t="n">
        <x:f>IF(F3263="Física",'Pokémon'!G352,IF(F3263="Especial",'Pokémon'!I352,""))</x:f>
        <x:v>20</x:v>
      </x:c>
      <x:c r="I3263" s="10" t="n">
        <x:f>IF(OR(F3263="Status",G3263=0),"",G3263+H3263)</x:f>
        <x:v>80</x:v>
      </x:c>
      <x:c r="J3263" s="10" t="n">
        <x:v>14</x:v>
      </x:c>
      <x:c r="K3263" s="12" t="n">
        <x:v>25</x:v>
      </x:c>
      <x:c r="L3263" s="1" t="str"/>
      <x:c r="M3263" s="9" t="str">
        <x:v>https://poke.idleworld.online/pokepedia/pokemon/mantyke</x:v>
      </x:c>
    </x:row>
    <x:row r="3264" ht="22" customHeight="1">
      <x:c r="A3264" s="1" t="n">
        <x:v>458</x:v>
      </x:c>
      <x:c r="B3264" s="1" t="str">
        <x:v>Mantyke</x:v>
      </x:c>
      <x:c r="C3264" s="1" t="n">
        <x:v>2</x:v>
      </x:c>
      <x:c r="D3264" s="1" t="str">
        <x:v>Tackle</x:v>
      </x:c>
      <x:c r="E3264" s="1" t="str">
        <x:v>Normal</x:v>
      </x:c>
      <x:c r="F3264" s="1" t="str">
        <x:v>Física</x:v>
      </x:c>
      <x:c r="G3264" s="10" t="n">
        <x:v>50</x:v>
      </x:c>
      <x:c r="H3264" s="10" t="n">
        <x:f>IF(F3264="Física",'Pokémon'!G352,IF(F3264="Especial",'Pokémon'!I352,""))</x:f>
        <x:v>20</x:v>
      </x:c>
      <x:c r="I3264" s="10" t="n">
        <x:f>IF(OR(F3264="Status",G3264=0),"",G3264+H3264)</x:f>
        <x:v>70</x:v>
      </x:c>
      <x:c r="J3264" s="10" t="n">
        <x:v>1</x:v>
      </x:c>
      <x:c r="K3264" s="12" t="n">
        <x:v>15</x:v>
      </x:c>
      <x:c r="L3264" s="1" t="str"/>
      <x:c r="M3264" s="9" t="str">
        <x:v>https://poke.idleworld.online/pokepedia/pokemon/mantyke</x:v>
      </x:c>
    </x:row>
    <x:row r="3265" ht="22" customHeight="1">
      <x:c r="A3265" s="1" t="n">
        <x:v>460</x:v>
      </x:c>
      <x:c r="B3265" s="1" t="str">
        <x:v>Abomasnow</x:v>
      </x:c>
      <x:c r="C3265" s="1" t="n">
        <x:v>6</x:v>
      </x:c>
      <x:c r="D3265" s="1" t="str">
        <x:v>Wood Hammer</x:v>
      </x:c>
      <x:c r="E3265" s="1" t="str">
        <x:v>Planta</x:v>
      </x:c>
      <x:c r="F3265" s="1" t="str">
        <x:v>Física</x:v>
      </x:c>
      <x:c r="G3265" s="10" t="n">
        <x:v>120</x:v>
      </x:c>
      <x:c r="H3265" s="10" t="n">
        <x:f>IF(F3265="Física",'Pokémon'!G353,IF(F3265="Especial",'Pokémon'!I353,""))</x:f>
        <x:v>92</x:v>
      </x:c>
      <x:c r="I3265" s="10" t="n">
        <x:f>IF(OR(F3265="Status",G3265=0),"",G3265+H3265)</x:f>
        <x:v>212</x:v>
      </x:c>
      <x:c r="J3265" s="10" t="n">
        <x:v>36</x:v>
      </x:c>
      <x:c r="K3265" s="12" t="n">
        <x:v>30</x:v>
      </x:c>
      <x:c r="L3265" s="1" t="str"/>
      <x:c r="M3265" s="9" t="str">
        <x:v>https://poke.idleworld.online/pokepedia/pokemon/abomasnow</x:v>
      </x:c>
    </x:row>
    <x:row r="3266" ht="22" customHeight="1">
      <x:c r="A3266" s="1" t="n">
        <x:v>460</x:v>
      </x:c>
      <x:c r="B3266" s="1" t="str">
        <x:v>Abomasnow</x:v>
      </x:c>
      <x:c r="C3266" s="1" t="n">
        <x:v>7</x:v>
      </x:c>
      <x:c r="D3266" s="1" t="str">
        <x:v>Blizzard</x:v>
      </x:c>
      <x:c r="E3266" s="1" t="str">
        <x:v>Gelo</x:v>
      </x:c>
      <x:c r="F3266" s="1" t="str">
        <x:v>Especial</x:v>
      </x:c>
      <x:c r="G3266" s="10" t="n">
        <x:v>110</x:v>
      </x:c>
      <x:c r="H3266" s="10" t="n">
        <x:f>IF(F3266="Física",'Pokémon'!G353,IF(F3266="Especial",'Pokémon'!I353,""))</x:f>
        <x:v>92</x:v>
      </x:c>
      <x:c r="I3266" s="10" t="n">
        <x:f>IF(OR(F3266="Status",G3266=0),"",G3266+H3266)</x:f>
        <x:v>202</x:v>
      </x:c>
      <x:c r="J3266" s="10" t="n">
        <x:v>47</x:v>
      </x:c>
      <x:c r="K3266" s="12" t="n">
        <x:v>40</x:v>
      </x:c>
      <x:c r="L3266" s="1" t="str"/>
      <x:c r="M3266" s="9" t="str">
        <x:v>https://poke.idleworld.online/pokepedia/pokemon/abomasnow</x:v>
      </x:c>
    </x:row>
    <x:row r="3267" ht="22" customHeight="1">
      <x:c r="A3267" s="1" t="n">
        <x:v>460</x:v>
      </x:c>
      <x:c r="B3267" s="1" t="str">
        <x:v>Abomasnow</x:v>
      </x:c>
      <x:c r="C3267" s="1" t="n">
        <x:v>1</x:v>
      </x:c>
      <x:c r="D3267" s="1" t="str">
        <x:v>Ice Punch</x:v>
      </x:c>
      <x:c r="E3267" s="1" t="str">
        <x:v>Gelo</x:v>
      </x:c>
      <x:c r="F3267" s="1" t="str">
        <x:v>Física</x:v>
      </x:c>
      <x:c r="G3267" s="10" t="n">
        <x:v>75</x:v>
      </x:c>
      <x:c r="H3267" s="10" t="n">
        <x:f>IF(F3267="Física",'Pokémon'!G353,IF(F3267="Especial",'Pokémon'!I353,""))</x:f>
        <x:v>92</x:v>
      </x:c>
      <x:c r="I3267" s="10" t="n">
        <x:f>IF(OR(F3267="Status",G3267=0),"",G3267+H3267)</x:f>
        <x:v>167</x:v>
      </x:c>
      <x:c r="J3267" s="10" t="n">
        <x:v>1</x:v>
      </x:c>
      <x:c r="K3267" s="12" t="n">
        <x:v>20</x:v>
      </x:c>
      <x:c r="L3267" s="1" t="str"/>
      <x:c r="M3267" s="9" t="str">
        <x:v>https://poke.idleworld.online/pokepedia/pokemon/abomasnow</x:v>
      </x:c>
    </x:row>
    <x:row r="3268" ht="22" customHeight="1">
      <x:c r="A3268" s="1" t="n">
        <x:v>460</x:v>
      </x:c>
      <x:c r="B3268" s="1" t="str">
        <x:v>Abomasnow</x:v>
      </x:c>
      <x:c r="C3268" s="1" t="n">
        <x:v>3</x:v>
      </x:c>
      <x:c r="D3268" s="1" t="str">
        <x:v>Razor Leaf</x:v>
      </x:c>
      <x:c r="E3268" s="1" t="str">
        <x:v>Planta</x:v>
      </x:c>
      <x:c r="F3268" s="1" t="str">
        <x:v>Física</x:v>
      </x:c>
      <x:c r="G3268" s="10" t="n">
        <x:v>55</x:v>
      </x:c>
      <x:c r="H3268" s="10" t="n">
        <x:f>IF(F3268="Física",'Pokémon'!G353,IF(F3268="Especial",'Pokémon'!I353,""))</x:f>
        <x:v>92</x:v>
      </x:c>
      <x:c r="I3268" s="10" t="n">
        <x:f>IF(OR(F3268="Status",G3268=0),"",G3268+H3268)</x:f>
        <x:v>147</x:v>
      </x:c>
      <x:c r="J3268" s="10" t="n">
        <x:v>1</x:v>
      </x:c>
      <x:c r="K3268" s="12" t="n">
        <x:v>20</x:v>
      </x:c>
      <x:c r="L3268" s="1" t="str"/>
      <x:c r="M3268" s="9" t="str">
        <x:v>https://poke.idleworld.online/pokepedia/pokemon/abomasnow</x:v>
      </x:c>
    </x:row>
    <x:row r="3269" ht="22" customHeight="1">
      <x:c r="A3269" s="1" t="n">
        <x:v>460</x:v>
      </x:c>
      <x:c r="B3269" s="1" t="str">
        <x:v>Abomasnow</x:v>
      </x:c>
      <x:c r="C3269" s="1" t="n">
        <x:v>4</x:v>
      </x:c>
      <x:c r="D3269" s="1" t="str">
        <x:v>Icy Wind</x:v>
      </x:c>
      <x:c r="E3269" s="1" t="str">
        <x:v>Gelo</x:v>
      </x:c>
      <x:c r="F3269" s="1" t="str">
        <x:v>Especial</x:v>
      </x:c>
      <x:c r="G3269" s="10" t="n">
        <x:v>55</x:v>
      </x:c>
      <x:c r="H3269" s="10" t="n">
        <x:f>IF(F3269="Física",'Pokémon'!G353,IF(F3269="Especial",'Pokémon'!I353,""))</x:f>
        <x:v>92</x:v>
      </x:c>
      <x:c r="I3269" s="10" t="n">
        <x:f>IF(OR(F3269="Status",G3269=0),"",G3269+H3269)</x:f>
        <x:v>147</x:v>
      </x:c>
      <x:c r="J3269" s="10" t="n">
        <x:v>1</x:v>
      </x:c>
      <x:c r="K3269" s="12" t="n">
        <x:v>20</x:v>
      </x:c>
      <x:c r="L3269" s="1" t="str"/>
      <x:c r="M3269" s="9" t="str">
        <x:v>https://poke.idleworld.online/pokepedia/pokemon/abomasnow</x:v>
      </x:c>
    </x:row>
    <x:row r="3270" ht="22" customHeight="1">
      <x:c r="A3270" s="1" t="n">
        <x:v>460</x:v>
      </x:c>
      <x:c r="B3270" s="1" t="str">
        <x:v>Abomasnow</x:v>
      </x:c>
      <x:c r="C3270" s="1" t="n">
        <x:v>2</x:v>
      </x:c>
      <x:c r="D3270" s="1" t="str">
        <x:v>Powder Snow</x:v>
      </x:c>
      <x:c r="E3270" s="1" t="str">
        <x:v>Gelo</x:v>
      </x:c>
      <x:c r="F3270" s="1" t="str">
        <x:v>Especial</x:v>
      </x:c>
      <x:c r="G3270" s="10" t="n">
        <x:v>40</x:v>
      </x:c>
      <x:c r="H3270" s="10" t="n">
        <x:f>IF(F3270="Física",'Pokémon'!G353,IF(F3270="Especial",'Pokémon'!I353,""))</x:f>
        <x:v>92</x:v>
      </x:c>
      <x:c r="I3270" s="10" t="n">
        <x:f>IF(OR(F3270="Status",G3270=0),"",G3270+H3270)</x:f>
        <x:v>132</x:v>
      </x:c>
      <x:c r="J3270" s="10" t="n">
        <x:v>1</x:v>
      </x:c>
      <x:c r="K3270" s="12" t="n">
        <x:v>40</x:v>
      </x:c>
      <x:c r="L3270" s="1" t="str"/>
      <x:c r="M3270" s="9" t="str">
        <x:v>https://poke.idleworld.online/pokepedia/pokemon/abomasnow</x:v>
      </x:c>
    </x:row>
    <x:row r="3271" ht="22" customHeight="1">
      <x:c r="A3271" s="1" t="n">
        <x:v>460</x:v>
      </x:c>
      <x:c r="B3271" s="1" t="str">
        <x:v>Abomasnow</x:v>
      </x:c>
      <x:c r="C3271" s="1" t="n">
        <x:v>5</x:v>
      </x:c>
      <x:c r="D3271" s="1" t="str">
        <x:v>Ice Shard</x:v>
      </x:c>
      <x:c r="E3271" s="1" t="str">
        <x:v>Gelo</x:v>
      </x:c>
      <x:c r="F3271" s="1" t="str">
        <x:v>Física</x:v>
      </x:c>
      <x:c r="G3271" s="10" t="n">
        <x:v>40</x:v>
      </x:c>
      <x:c r="H3271" s="10" t="n">
        <x:f>IF(F3271="Física",'Pokémon'!G353,IF(F3271="Especial",'Pokémon'!I353,""))</x:f>
        <x:v>92</x:v>
      </x:c>
      <x:c r="I3271" s="10" t="n">
        <x:f>IF(OR(F3271="Status",G3271=0),"",G3271+H3271)</x:f>
        <x:v>132</x:v>
      </x:c>
      <x:c r="J3271" s="10" t="n">
        <x:v>26</x:v>
      </x:c>
      <x:c r="K3271" s="12" t="n">
        <x:v>10</x:v>
      </x:c>
      <x:c r="L3271" s="1" t="str"/>
      <x:c r="M3271" s="9" t="str">
        <x:v>https://poke.idleworld.online/pokepedia/pokemon/abomasnow</x:v>
      </x:c>
    </x:row>
    <x:row r="3272" ht="22" customHeight="1">
      <x:c r="A3272" s="1" t="n">
        <x:v>461</x:v>
      </x:c>
      <x:c r="B3272" s="1" t="str">
        <x:v>Weavile</x:v>
      </x:c>
      <x:c r="C3272" s="1" t="n">
        <x:v>9</x:v>
      </x:c>
      <x:c r="D3272" s="1" t="str">
        <x:v>Night Slash</x:v>
      </x:c>
      <x:c r="E3272" s="1" t="str">
        <x:v>Sombrio</x:v>
      </x:c>
      <x:c r="F3272" s="1" t="str">
        <x:v>Física</x:v>
      </x:c>
      <x:c r="G3272" s="10" t="n">
        <x:v>70</x:v>
      </x:c>
      <x:c r="H3272" s="10" t="n">
        <x:f>IF(F3272="Física",'Pokémon'!G354,IF(F3272="Especial",'Pokémon'!I354,""))</x:f>
        <x:v>120</x:v>
      </x:c>
      <x:c r="I3272" s="10" t="n">
        <x:f>IF(OR(F3272="Status",G3272=0),"",G3272+H3272)</x:f>
        <x:v>190</x:v>
      </x:c>
      <x:c r="J3272" s="10" t="n">
        <x:v>35</x:v>
      </x:c>
      <x:c r="K3272" s="12" t="n">
        <x:v>35</x:v>
      </x:c>
      <x:c r="L3272" s="1" t="str"/>
      <x:c r="M3272" s="9" t="str">
        <x:v>https://poke.idleworld.online/pokepedia/pokemon/weavile</x:v>
      </x:c>
    </x:row>
    <x:row r="3273" ht="22" customHeight="1">
      <x:c r="A3273" s="1" t="n">
        <x:v>461</x:v>
      </x:c>
      <x:c r="B3273" s="1" t="str">
        <x:v>Weavile</x:v>
      </x:c>
      <x:c r="C3273" s="1" t="n">
        <x:v>3</x:v>
      </x:c>
      <x:c r="D3273" s="1" t="str">
        <x:v>Revenge</x:v>
      </x:c>
      <x:c r="E3273" s="1" t="str">
        <x:v>Lutador</x:v>
      </x:c>
      <x:c r="F3273" s="1" t="str">
        <x:v>Física</x:v>
      </x:c>
      <x:c r="G3273" s="10" t="n">
        <x:v>60</x:v>
      </x:c>
      <x:c r="H3273" s="10" t="n">
        <x:f>IF(F3273="Física",'Pokémon'!G354,IF(F3273="Especial",'Pokémon'!I354,""))</x:f>
        <x:v>120</x:v>
      </x:c>
      <x:c r="I3273" s="10" t="n">
        <x:f>IF(OR(F3273="Status",G3273=0),"",G3273+H3273)</x:f>
        <x:v>180</x:v>
      </x:c>
      <x:c r="J3273" s="10" t="n">
        <x:v>1</x:v>
      </x:c>
      <x:c r="K3273" s="12" t="n">
        <x:v>20</x:v>
      </x:c>
      <x:c r="L3273" s="1" t="str"/>
      <x:c r="M3273" s="9" t="str">
        <x:v>https://poke.idleworld.online/pokepedia/pokemon/weavile</x:v>
      </x:c>
    </x:row>
    <x:row r="3274" ht="22" customHeight="1">
      <x:c r="A3274" s="1" t="n">
        <x:v>461</x:v>
      </x:c>
      <x:c r="B3274" s="1" t="str">
        <x:v>Weavile</x:v>
      </x:c>
      <x:c r="C3274" s="1" t="n">
        <x:v>4</x:v>
      </x:c>
      <x:c r="D3274" s="1" t="str">
        <x:v>Assurance</x:v>
      </x:c>
      <x:c r="E3274" s="1" t="str">
        <x:v>Sombrio</x:v>
      </x:c>
      <x:c r="F3274" s="1" t="str">
        <x:v>Física</x:v>
      </x:c>
      <x:c r="G3274" s="10" t="n">
        <x:v>60</x:v>
      </x:c>
      <x:c r="H3274" s="10" t="n">
        <x:f>IF(F3274="Física",'Pokémon'!G354,IF(F3274="Especial",'Pokémon'!I354,""))</x:f>
        <x:v>120</x:v>
      </x:c>
      <x:c r="I3274" s="10" t="n">
        <x:f>IF(OR(F3274="Status",G3274=0),"",G3274+H3274)</x:f>
        <x:v>180</x:v>
      </x:c>
      <x:c r="J3274" s="10" t="n">
        <x:v>1</x:v>
      </x:c>
      <x:c r="K3274" s="12" t="n">
        <x:v>20</x:v>
      </x:c>
      <x:c r="L3274" s="1" t="str"/>
      <x:c r="M3274" s="9" t="str">
        <x:v>https://poke.idleworld.online/pokepedia/pokemon/weavile</x:v>
      </x:c>
    </x:row>
    <x:row r="3275" ht="22" customHeight="1">
      <x:c r="A3275" s="1" t="n">
        <x:v>461</x:v>
      </x:c>
      <x:c r="B3275" s="1" t="str">
        <x:v>Weavile</x:v>
      </x:c>
      <x:c r="C3275" s="1" t="n">
        <x:v>5</x:v>
      </x:c>
      <x:c r="D3275" s="1" t="str">
        <x:v>Feint Attack</x:v>
      </x:c>
      <x:c r="E3275" s="1" t="str">
        <x:v>Sombrio</x:v>
      </x:c>
      <x:c r="F3275" s="1" t="str">
        <x:v>Física</x:v>
      </x:c>
      <x:c r="G3275" s="10" t="n">
        <x:v>60</x:v>
      </x:c>
      <x:c r="H3275" s="10" t="n">
        <x:f>IF(F3275="Física",'Pokémon'!G354,IF(F3275="Especial",'Pokémon'!I354,""))</x:f>
        <x:v>120</x:v>
      </x:c>
      <x:c r="I3275" s="10" t="n">
        <x:f>IF(OR(F3275="Status",G3275=0),"",G3275+H3275)</x:f>
        <x:v>180</x:v>
      </x:c>
      <x:c r="J3275" s="10" t="n">
        <x:v>10</x:v>
      </x:c>
      <x:c r="K3275" s="12" t="n">
        <x:v>20</x:v>
      </x:c>
      <x:c r="L3275" s="1" t="str"/>
      <x:c r="M3275" s="9" t="str">
        <x:v>https://poke.idleworld.online/pokepedia/pokemon/weavile</x:v>
      </x:c>
    </x:row>
    <x:row r="3276" ht="22" customHeight="1">
      <x:c r="A3276" s="1" t="n">
        <x:v>461</x:v>
      </x:c>
      <x:c r="B3276" s="1" t="str">
        <x:v>Weavile</x:v>
      </x:c>
      <x:c r="C3276" s="1" t="n">
        <x:v>8</x:v>
      </x:c>
      <x:c r="D3276" s="1" t="str">
        <x:v>Metal Claw</x:v>
      </x:c>
      <x:c r="E3276" s="1" t="str">
        <x:v>Aço</x:v>
      </x:c>
      <x:c r="F3276" s="1" t="str">
        <x:v>Física</x:v>
      </x:c>
      <x:c r="G3276" s="10" t="n">
        <x:v>50</x:v>
      </x:c>
      <x:c r="H3276" s="10" t="n">
        <x:f>IF(F3276="Física",'Pokémon'!G354,IF(F3276="Especial",'Pokémon'!I354,""))</x:f>
        <x:v>120</x:v>
      </x:c>
      <x:c r="I3276" s="10" t="n">
        <x:f>IF(OR(F3276="Status",G3276=0),"",G3276+H3276)</x:f>
        <x:v>170</x:v>
      </x:c>
      <x:c r="J3276" s="10" t="n">
        <x:v>22</x:v>
      </x:c>
      <x:c r="K3276" s="12" t="n">
        <x:v>15</x:v>
      </x:c>
      <x:c r="L3276" s="1" t="str"/>
      <x:c r="M3276" s="9" t="str">
        <x:v>https://poke.idleworld.online/pokepedia/pokemon/weavile</x:v>
      </x:c>
    </x:row>
    <x:row r="3277" ht="22" customHeight="1">
      <x:c r="A3277" s="1" t="n">
        <x:v>461</x:v>
      </x:c>
      <x:c r="B3277" s="1" t="str">
        <x:v>Weavile</x:v>
      </x:c>
      <x:c r="C3277" s="1" t="n">
        <x:v>1</x:v>
      </x:c>
      <x:c r="D3277" s="1" t="str">
        <x:v>Scratch</x:v>
      </x:c>
      <x:c r="E3277" s="1" t="str">
        <x:v>Normal</x:v>
      </x:c>
      <x:c r="F3277" s="1" t="str">
        <x:v>Física</x:v>
      </x:c>
      <x:c r="G3277" s="10" t="n">
        <x:v>40</x:v>
      </x:c>
      <x:c r="H3277" s="10" t="n">
        <x:f>IF(F3277="Física",'Pokémon'!G354,IF(F3277="Especial",'Pokémon'!I354,""))</x:f>
        <x:v>120</x:v>
      </x:c>
      <x:c r="I3277" s="10" t="n">
        <x:f>IF(OR(F3277="Status",G3277=0),"",G3277+H3277)</x:f>
        <x:v>160</x:v>
      </x:c>
      <x:c r="J3277" s="10" t="n">
        <x:v>1</x:v>
      </x:c>
      <x:c r="K3277" s="12" t="n">
        <x:v>15</x:v>
      </x:c>
      <x:c r="L3277" s="1" t="str"/>
      <x:c r="M3277" s="9" t="str">
        <x:v>https://poke.idleworld.online/pokepedia/pokemon/weavile</x:v>
      </x:c>
    </x:row>
    <x:row r="3278" ht="22" customHeight="1">
      <x:c r="A3278" s="1" t="n">
        <x:v>461</x:v>
      </x:c>
      <x:c r="B3278" s="1" t="str">
        <x:v>Weavile</x:v>
      </x:c>
      <x:c r="C3278" s="1" t="n">
        <x:v>2</x:v>
      </x:c>
      <x:c r="D3278" s="1" t="str">
        <x:v>Quick Attack</x:v>
      </x:c>
      <x:c r="E3278" s="1" t="str">
        <x:v>Normal</x:v>
      </x:c>
      <x:c r="F3278" s="1" t="str">
        <x:v>Física</x:v>
      </x:c>
      <x:c r="G3278" s="10" t="n">
        <x:v>40</x:v>
      </x:c>
      <x:c r="H3278" s="10" t="n">
        <x:f>IF(F3278="Física",'Pokémon'!G354,IF(F3278="Especial",'Pokémon'!I354,""))</x:f>
        <x:v>120</x:v>
      </x:c>
      <x:c r="I3278" s="10" t="n">
        <x:f>IF(OR(F3278="Status",G3278=0),"",G3278+H3278)</x:f>
        <x:v>160</x:v>
      </x:c>
      <x:c r="J3278" s="10" t="n">
        <x:v>1</x:v>
      </x:c>
      <x:c r="K3278" s="12" t="n">
        <x:v>15</x:v>
      </x:c>
      <x:c r="L3278" s="1" t="str"/>
      <x:c r="M3278" s="9" t="str">
        <x:v>https://poke.idleworld.online/pokepedia/pokemon/weavile</x:v>
      </x:c>
    </x:row>
    <x:row r="3279" ht="22" customHeight="1">
      <x:c r="A3279" s="1" t="n">
        <x:v>461</x:v>
      </x:c>
      <x:c r="B3279" s="1" t="str">
        <x:v>Weavile</x:v>
      </x:c>
      <x:c r="C3279" s="1" t="n">
        <x:v>7</x:v>
      </x:c>
      <x:c r="D3279" s="1" t="str">
        <x:v>Fury Swipes</x:v>
      </x:c>
      <x:c r="E3279" s="1" t="str">
        <x:v>Normal</x:v>
      </x:c>
      <x:c r="F3279" s="1" t="str">
        <x:v>Física</x:v>
      </x:c>
      <x:c r="G3279" s="10" t="n">
        <x:v>18</x:v>
      </x:c>
      <x:c r="H3279" s="10" t="n">
        <x:f>IF(F3279="Física",'Pokémon'!G354,IF(F3279="Especial",'Pokémon'!I354,""))</x:f>
        <x:v>120</x:v>
      </x:c>
      <x:c r="I3279" s="10" t="n">
        <x:f>IF(OR(F3279="Status",G3279=0),"",G3279+H3279)</x:f>
        <x:v>138</x:v>
      </x:c>
      <x:c r="J3279" s="10" t="n">
        <x:v>16</x:v>
      </x:c>
      <x:c r="K3279" s="12" t="n">
        <x:v>15</x:v>
      </x:c>
      <x:c r="L3279" s="1" t="str"/>
      <x:c r="M3279" s="9" t="str">
        <x:v>https://poke.idleworld.online/pokepedia/pokemon/weavile</x:v>
      </x:c>
    </x:row>
    <x:row r="3280" ht="22" customHeight="1">
      <x:c r="A3280" s="1" t="n">
        <x:v>461</x:v>
      </x:c>
      <x:c r="B3280" s="1" t="str">
        <x:v>Weavile</x:v>
      </x:c>
      <x:c r="C3280" s="1" t="n">
        <x:v>10</x:v>
      </x:c>
      <x:c r="D3280" s="1" t="str">
        <x:v>Dark Pulse</x:v>
      </x:c>
      <x:c r="E3280" s="1" t="str">
        <x:v>Sombrio</x:v>
      </x:c>
      <x:c r="F3280" s="1" t="str">
        <x:v>Especial</x:v>
      </x:c>
      <x:c r="G3280" s="10" t="n">
        <x:v>80</x:v>
      </x:c>
      <x:c r="H3280" s="10" t="n">
        <x:f>IF(F3280="Física",'Pokémon'!G354,IF(F3280="Especial",'Pokémon'!I354,""))</x:f>
        <x:v>45</x:v>
      </x:c>
      <x:c r="I3280" s="10" t="n">
        <x:f>IF(OR(F3280="Status",G3280=0),"",G3280+H3280)</x:f>
        <x:v>125</x:v>
      </x:c>
      <x:c r="J3280" s="10" t="n">
        <x:v>47</x:v>
      </x:c>
      <x:c r="K3280" s="12" t="n">
        <x:v>22</x:v>
      </x:c>
      <x:c r="L3280" s="1" t="str"/>
      <x:c r="M3280" s="9" t="str">
        <x:v>https://poke.idleworld.online/pokepedia/pokemon/weavile</x:v>
      </x:c>
    </x:row>
    <x:row r="3281" ht="22" customHeight="1">
      <x:c r="A3281" s="1" t="n">
        <x:v>461</x:v>
      </x:c>
      <x:c r="B3281" s="1" t="str">
        <x:v>Weavile</x:v>
      </x:c>
      <x:c r="C3281" s="1" t="n">
        <x:v>6</x:v>
      </x:c>
      <x:c r="D3281" s="1" t="str">
        <x:v>Icy Wind</x:v>
      </x:c>
      <x:c r="E3281" s="1" t="str">
        <x:v>Gelo</x:v>
      </x:c>
      <x:c r="F3281" s="1" t="str">
        <x:v>Especial</x:v>
      </x:c>
      <x:c r="G3281" s="10" t="n">
        <x:v>55</x:v>
      </x:c>
      <x:c r="H3281" s="10" t="n">
        <x:f>IF(F3281="Física",'Pokémon'!G354,IF(F3281="Especial",'Pokémon'!I354,""))</x:f>
        <x:v>45</x:v>
      </x:c>
      <x:c r="I3281" s="10" t="n">
        <x:f>IF(OR(F3281="Status",G3281=0),"",G3281+H3281)</x:f>
        <x:v>100</x:v>
      </x:c>
      <x:c r="J3281" s="10" t="n">
        <x:v>14</x:v>
      </x:c>
      <x:c r="K3281" s="12" t="n">
        <x:v>20</x:v>
      </x:c>
      <x:c r="L3281" s="1" t="str"/>
      <x:c r="M3281" s="9" t="str">
        <x:v>https://poke.idleworld.online/pokepedia/pokemon/weavile</x:v>
      </x:c>
    </x:row>
    <x:row r="3282" ht="22" customHeight="1">
      <x:c r="A3282" s="1" t="n">
        <x:v>462</x:v>
      </x:c>
      <x:c r="B3282" s="1" t="str">
        <x:v>Magnezone</x:v>
      </x:c>
      <x:c r="C3282" s="1" t="n">
        <x:v>3</x:v>
      </x:c>
      <x:c r="D3282" s="1" t="str">
        <x:v>Zap Cannon</x:v>
      </x:c>
      <x:c r="E3282" s="1" t="str">
        <x:v>Elétrico</x:v>
      </x:c>
      <x:c r="F3282" s="1" t="str">
        <x:v>Especial</x:v>
      </x:c>
      <x:c r="G3282" s="10" t="n">
        <x:v>120</x:v>
      </x:c>
      <x:c r="H3282" s="10" t="n">
        <x:f>IF(F3282="Física",'Pokémon'!G355,IF(F3282="Especial",'Pokémon'!I355,""))</x:f>
        <x:v>130</x:v>
      </x:c>
      <x:c r="I3282" s="10" t="n">
        <x:f>IF(OR(F3282="Status",G3282=0),"",G3282+H3282)</x:f>
        <x:v>250</x:v>
      </x:c>
      <x:c r="J3282" s="10" t="n">
        <x:v>1</x:v>
      </x:c>
      <x:c r="K3282" s="12" t="n">
        <x:v>50</x:v>
      </x:c>
      <x:c r="L3282" s="1" t="str"/>
      <x:c r="M3282" s="9" t="str">
        <x:v>https://poke.idleworld.online/pokepedia/pokemon/magnezone</x:v>
      </x:c>
    </x:row>
    <x:row r="3283" ht="22" customHeight="1">
      <x:c r="A3283" s="1" t="n">
        <x:v>462</x:v>
      </x:c>
      <x:c r="B3283" s="1" t="str">
        <x:v>Magnezone</x:v>
      </x:c>
      <x:c r="C3283" s="1" t="n">
        <x:v>8</x:v>
      </x:c>
      <x:c r="D3283" s="1" t="str">
        <x:v>Flash Cannon</x:v>
      </x:c>
      <x:c r="E3283" s="1" t="str">
        <x:v>Aço</x:v>
      </x:c>
      <x:c r="F3283" s="1" t="str">
        <x:v>Especial</x:v>
      </x:c>
      <x:c r="G3283" s="10" t="n">
        <x:v>80</x:v>
      </x:c>
      <x:c r="H3283" s="10" t="n">
        <x:f>IF(F3283="Física",'Pokémon'!G355,IF(F3283="Especial",'Pokémon'!I355,""))</x:f>
        <x:v>130</x:v>
      </x:c>
      <x:c r="I3283" s="10" t="n">
        <x:f>IF(OR(F3283="Status",G3283=0),"",G3283+H3283)</x:f>
        <x:v>210</x:v>
      </x:c>
      <x:c r="J3283" s="10" t="n">
        <x:v>33</x:v>
      </x:c>
      <x:c r="K3283" s="12" t="n">
        <x:v>40</x:v>
      </x:c>
      <x:c r="L3283" s="1" t="str"/>
      <x:c r="M3283" s="9" t="str">
        <x:v>https://poke.idleworld.online/pokepedia/pokemon/magnezone</x:v>
      </x:c>
    </x:row>
    <x:row r="3284" ht="22" customHeight="1">
      <x:c r="A3284" s="1" t="n">
        <x:v>462</x:v>
      </x:c>
      <x:c r="B3284" s="1" t="str">
        <x:v>Magnezone</x:v>
      </x:c>
      <x:c r="C3284" s="1" t="n">
        <x:v>9</x:v>
      </x:c>
      <x:c r="D3284" s="1" t="str">
        <x:v>Discharge</x:v>
      </x:c>
      <x:c r="E3284" s="1" t="str">
        <x:v>Elétrico</x:v>
      </x:c>
      <x:c r="F3284" s="1" t="str">
        <x:v>Especial</x:v>
      </x:c>
      <x:c r="G3284" s="10" t="n">
        <x:v>80</x:v>
      </x:c>
      <x:c r="H3284" s="10" t="n">
        <x:f>IF(F3284="Física",'Pokémon'!G355,IF(F3284="Especial",'Pokémon'!I355,""))</x:f>
        <x:v>130</x:v>
      </x:c>
      <x:c r="I3284" s="10" t="n">
        <x:f>IF(OR(F3284="Status",G3284=0),"",G3284+H3284)</x:f>
        <x:v>210</x:v>
      </x:c>
      <x:c r="J3284" s="10" t="n">
        <x:v>43</x:v>
      </x:c>
      <x:c r="K3284" s="12" t="n">
        <x:v>22</x:v>
      </x:c>
      <x:c r="L3284" s="1" t="str"/>
      <x:c r="M3284" s="9" t="str">
        <x:v>https://poke.idleworld.online/pokepedia/pokemon/magnezone</x:v>
      </x:c>
    </x:row>
    <x:row r="3285" ht="22" customHeight="1">
      <x:c r="A3285" s="1" t="n">
        <x:v>462</x:v>
      </x:c>
      <x:c r="B3285" s="1" t="str">
        <x:v>Magnezone</x:v>
      </x:c>
      <x:c r="C3285" s="1" t="n">
        <x:v>7</x:v>
      </x:c>
      <x:c r="D3285" s="1" t="str">
        <x:v>Mirror Shot</x:v>
      </x:c>
      <x:c r="E3285" s="1" t="str">
        <x:v>Aço</x:v>
      </x:c>
      <x:c r="F3285" s="1" t="str">
        <x:v>Especial</x:v>
      </x:c>
      <x:c r="G3285" s="10" t="n">
        <x:v>65</x:v>
      </x:c>
      <x:c r="H3285" s="10" t="n">
        <x:f>IF(F3285="Física",'Pokémon'!G355,IF(F3285="Especial",'Pokémon'!I355,""))</x:f>
        <x:v>130</x:v>
      </x:c>
      <x:c r="I3285" s="10" t="n">
        <x:f>IF(OR(F3285="Status",G3285=0),"",G3285+H3285)</x:f>
        <x:v>195</x:v>
      </x:c>
      <x:c r="J3285" s="10" t="n">
        <x:v>23</x:v>
      </x:c>
      <x:c r="K3285" s="12" t="n">
        <x:v>20</x:v>
      </x:c>
      <x:c r="L3285" s="1" t="str"/>
      <x:c r="M3285" s="9" t="str">
        <x:v>https://poke.idleworld.online/pokepedia/pokemon/magnezone</x:v>
      </x:c>
    </x:row>
    <x:row r="3286" ht="22" customHeight="1">
      <x:c r="A3286" s="1" t="n">
        <x:v>462</x:v>
      </x:c>
      <x:c r="B3286" s="1" t="str">
        <x:v>Magnezone</x:v>
      </x:c>
      <x:c r="C3286" s="1" t="n">
        <x:v>1</x:v>
      </x:c>
      <x:c r="D3286" s="1" t="str">
        <x:v>Thunder Shock</x:v>
      </x:c>
      <x:c r="E3286" s="1" t="str">
        <x:v>Elétrico</x:v>
      </x:c>
      <x:c r="F3286" s="1" t="str">
        <x:v>Especial</x:v>
      </x:c>
      <x:c r="G3286" s="10" t="n">
        <x:v>40</x:v>
      </x:c>
      <x:c r="H3286" s="10" t="n">
        <x:f>IF(F3286="Física",'Pokémon'!G355,IF(F3286="Especial",'Pokémon'!I355,""))</x:f>
        <x:v>130</x:v>
      </x:c>
      <x:c r="I3286" s="10" t="n">
        <x:f>IF(OR(F3286="Status",G3286=0),"",G3286+H3286)</x:f>
        <x:v>170</x:v>
      </x:c>
      <x:c r="J3286" s="10" t="n">
        <x:v>1</x:v>
      </x:c>
      <x:c r="K3286" s="12" t="n">
        <x:v>15</x:v>
      </x:c>
      <x:c r="L3286" s="1" t="str"/>
      <x:c r="M3286" s="9" t="str">
        <x:v>https://poke.idleworld.online/pokepedia/pokemon/magnezone</x:v>
      </x:c>
    </x:row>
    <x:row r="3287" ht="22" customHeight="1">
      <x:c r="A3287" s="1" t="n">
        <x:v>462</x:v>
      </x:c>
      <x:c r="B3287" s="1" t="str">
        <x:v>Magnezone</x:v>
      </x:c>
      <x:c r="C3287" s="1" t="n">
        <x:v>6</x:v>
      </x:c>
      <x:c r="D3287" s="1" t="str">
        <x:v>Spark</x:v>
      </x:c>
      <x:c r="E3287" s="1" t="str">
        <x:v>Elétrico</x:v>
      </x:c>
      <x:c r="F3287" s="1" t="str">
        <x:v>Física</x:v>
      </x:c>
      <x:c r="G3287" s="10" t="n">
        <x:v>65</x:v>
      </x:c>
      <x:c r="H3287" s="10" t="n">
        <x:f>IF(F3287="Física",'Pokémon'!G355,IF(F3287="Especial",'Pokémon'!I355,""))</x:f>
        <x:v>70</x:v>
      </x:c>
      <x:c r="I3287" s="10" t="n">
        <x:f>IF(OR(F3287="Status",G3287=0),"",G3287+H3287)</x:f>
        <x:v>135</x:v>
      </x:c>
      <x:c r="J3287" s="10" t="n">
        <x:v>19</x:v>
      </x:c>
      <x:c r="K3287" s="12" t="n">
        <x:v>20</x:v>
      </x:c>
      <x:c r="L3287" s="1" t="str"/>
      <x:c r="M3287" s="9" t="str">
        <x:v>https://poke.idleworld.online/pokepedia/pokemon/magnezone</x:v>
      </x:c>
    </x:row>
    <x:row r="3288" ht="22" customHeight="1">
      <x:c r="A3288" s="1" t="n">
        <x:v>462</x:v>
      </x:c>
      <x:c r="B3288" s="1" t="str">
        <x:v>Magnezone</x:v>
      </x:c>
      <x:c r="C3288" s="1" t="n">
        <x:v>5</x:v>
      </x:c>
      <x:c r="D3288" s="1" t="str">
        <x:v>Magnet Bomb</x:v>
      </x:c>
      <x:c r="E3288" s="1" t="str">
        <x:v>Aço</x:v>
      </x:c>
      <x:c r="F3288" s="1" t="str">
        <x:v>Física</x:v>
      </x:c>
      <x:c r="G3288" s="10" t="n">
        <x:v>60</x:v>
      </x:c>
      <x:c r="H3288" s="10" t="n">
        <x:f>IF(F3288="Física",'Pokémon'!G355,IF(F3288="Especial",'Pokémon'!I355,""))</x:f>
        <x:v>70</x:v>
      </x:c>
      <x:c r="I3288" s="10" t="n">
        <x:f>IF(OR(F3288="Status",G3288=0),"",G3288+H3288)</x:f>
        <x:v>130</x:v>
      </x:c>
      <x:c r="J3288" s="10" t="n">
        <x:v>17</x:v>
      </x:c>
      <x:c r="K3288" s="12" t="n">
        <x:v>32</x:v>
      </x:c>
      <x:c r="L3288" s="1" t="str"/>
      <x:c r="M3288" s="9" t="str">
        <x:v>https://poke.idleworld.online/pokepedia/pokemon/magnezone</x:v>
      </x:c>
    </x:row>
    <x:row r="3289" ht="22" customHeight="1">
      <x:c r="A3289" s="1" t="n">
        <x:v>462</x:v>
      </x:c>
      <x:c r="B3289" s="1" t="str">
        <x:v>Magnezone</x:v>
      </x:c>
      <x:c r="C3289" s="1" t="n">
        <x:v>2</x:v>
      </x:c>
      <x:c r="D3289" s="1" t="str">
        <x:v>Tackle</x:v>
      </x:c>
      <x:c r="E3289" s="1" t="str">
        <x:v>Normal</x:v>
      </x:c>
      <x:c r="F3289" s="1" t="str">
        <x:v>Física</x:v>
      </x:c>
      <x:c r="G3289" s="10" t="n">
        <x:v>50</x:v>
      </x:c>
      <x:c r="H3289" s="10" t="n">
        <x:f>IF(F3289="Física",'Pokémon'!G355,IF(F3289="Especial",'Pokémon'!I355,""))</x:f>
        <x:v>70</x:v>
      </x:c>
      <x:c r="I3289" s="10" t="n">
        <x:f>IF(OR(F3289="Status",G3289=0),"",G3289+H3289)</x:f>
        <x:v>120</x:v>
      </x:c>
      <x:c r="J3289" s="10" t="n">
        <x:v>1</x:v>
      </x:c>
      <x:c r="K3289" s="12" t="n">
        <x:v>15</x:v>
      </x:c>
      <x:c r="L3289" s="1" t="str"/>
      <x:c r="M3289" s="9" t="str">
        <x:v>https://poke.idleworld.online/pokepedia/pokemon/magnezone</x:v>
      </x:c>
    </x:row>
    <x:row r="3290" ht="22" customHeight="1">
      <x:c r="A3290" s="1" t="n">
        <x:v>462</x:v>
      </x:c>
      <x:c r="B3290" s="1" t="str">
        <x:v>Magnezone</x:v>
      </x:c>
      <x:c r="C3290" s="1" t="n">
        <x:v>4</x:v>
      </x:c>
      <x:c r="D3290" s="1" t="str">
        <x:v>Thunder Wave</x:v>
      </x:c>
      <x:c r="E3290" s="1" t="str">
        <x:v>Elétrico</x:v>
      </x:c>
      <x:c r="F3290" s="1" t="str">
        <x:v>Status</x:v>
      </x:c>
      <x:c r="G3290" s="10" t="n">
        <x:v>0</x:v>
      </x:c>
      <x:c r="H3290" s="10" t="str">
        <x:f>IF(F3290="Física",'Pokémon'!G355,IF(F3290="Especial",'Pokémon'!I355,""))</x:f>
      </x:c>
      <x:c r="I3290" s="10" t="str">
        <x:f>IF(OR(F3290="Status",G3290=0),"",G3290+H3290)</x:f>
      </x:c>
      <x:c r="J3290" s="10" t="n">
        <x:v>13</x:v>
      </x:c>
      <x:c r="K3290" s="12" t="n">
        <x:v>30</x:v>
      </x:c>
      <x:c r="L3290" s="1" t="str"/>
      <x:c r="M3290" s="9" t="str">
        <x:v>https://poke.idleworld.online/pokepedia/pokemon/magnezone</x:v>
      </x:c>
    </x:row>
    <x:row r="3291" ht="22" customHeight="1">
      <x:c r="A3291" s="1" t="n">
        <x:v>464</x:v>
      </x:c>
      <x:c r="B3291" s="1" t="str">
        <x:v>Rhyperior</x:v>
      </x:c>
      <x:c r="C3291" s="1" t="n">
        <x:v>1</x:v>
      </x:c>
      <x:c r="D3291" s="1" t="str">
        <x:v>Rock Wrecker</x:v>
      </x:c>
      <x:c r="E3291" s="1" t="str">
        <x:v>Pedra</x:v>
      </x:c>
      <x:c r="F3291" s="1" t="str">
        <x:v>Física</x:v>
      </x:c>
      <x:c r="G3291" s="10" t="n">
        <x:v>150</x:v>
      </x:c>
      <x:c r="H3291" s="10" t="n">
        <x:f>IF(F3291="Física",'Pokémon'!G356,IF(F3291="Especial",'Pokémon'!I356,""))</x:f>
        <x:v>140</x:v>
      </x:c>
      <x:c r="I3291" s="10" t="n">
        <x:f>IF(OR(F3291="Status",G3291=0),"",G3291+H3291)</x:f>
        <x:v>290</x:v>
      </x:c>
      <x:c r="J3291" s="10" t="n">
        <x:v>1</x:v>
      </x:c>
      <x:c r="K3291" s="12" t="n">
        <x:v>50</x:v>
      </x:c>
      <x:c r="L3291" s="1" t="str"/>
      <x:c r="M3291" s="9" t="str">
        <x:v>https://poke.idleworld.online/pokepedia/pokemon/rhyperior</x:v>
      </x:c>
    </x:row>
    <x:row r="3292" ht="22" customHeight="1">
      <x:c r="A3292" s="1" t="n">
        <x:v>464</x:v>
      </x:c>
      <x:c r="B3292" s="1" t="str">
        <x:v>Rhyperior</x:v>
      </x:c>
      <x:c r="C3292" s="1" t="n">
        <x:v>15</x:v>
      </x:c>
      <x:c r="D3292" s="1" t="str">
        <x:v>Megahorn</x:v>
      </x:c>
      <x:c r="E3292" s="1" t="str">
        <x:v>Inseto</x:v>
      </x:c>
      <x:c r="F3292" s="1" t="str">
        <x:v>Física</x:v>
      </x:c>
      <x:c r="G3292" s="10" t="n">
        <x:v>120</x:v>
      </x:c>
      <x:c r="H3292" s="10" t="n">
        <x:f>IF(F3292="Física",'Pokémon'!G356,IF(F3292="Especial",'Pokémon'!I356,""))</x:f>
        <x:v>140</x:v>
      </x:c>
      <x:c r="I3292" s="10" t="n">
        <x:f>IF(OR(F3292="Status",G3292=0),"",G3292+H3292)</x:f>
        <x:v>260</x:v>
      </x:c>
      <x:c r="J3292" s="10" t="n">
        <x:v>55</x:v>
      </x:c>
      <x:c r="K3292" s="12" t="n">
        <x:v>50</x:v>
      </x:c>
      <x:c r="L3292" s="1" t="str"/>
      <x:c r="M3292" s="9" t="str">
        <x:v>https://poke.idleworld.online/pokepedia/pokemon/rhyperior</x:v>
      </x:c>
    </x:row>
    <x:row r="3293" ht="22" customHeight="1">
      <x:c r="A3293" s="1" t="n">
        <x:v>464</x:v>
      </x:c>
      <x:c r="B3293" s="1" t="str">
        <x:v>Rhyperior</x:v>
      </x:c>
      <x:c r="C3293" s="1" t="n">
        <x:v>12</x:v>
      </x:c>
      <x:c r="D3293" s="1" t="str">
        <x:v>Stone Edge</x:v>
      </x:c>
      <x:c r="E3293" s="1" t="str">
        <x:v>Pedra</x:v>
      </x:c>
      <x:c r="F3293" s="1" t="str">
        <x:v>Física</x:v>
      </x:c>
      <x:c r="G3293" s="10" t="n">
        <x:v>100</x:v>
      </x:c>
      <x:c r="H3293" s="10" t="n">
        <x:f>IF(F3293="Física",'Pokémon'!G356,IF(F3293="Especial",'Pokémon'!I356,""))</x:f>
        <x:v>140</x:v>
      </x:c>
      <x:c r="I3293" s="10" t="n">
        <x:f>IF(OR(F3293="Status",G3293=0),"",G3293+H3293)</x:f>
        <x:v>240</x:v>
      </x:c>
      <x:c r="J3293" s="10" t="n">
        <x:v>41</x:v>
      </x:c>
      <x:c r="K3293" s="12" t="n">
        <x:v>20</x:v>
      </x:c>
      <x:c r="L3293" s="1" t="str"/>
      <x:c r="M3293" s="9" t="str">
        <x:v>https://poke.idleworld.online/pokepedia/pokemon/rhyperior</x:v>
      </x:c>
    </x:row>
    <x:row r="3294" ht="22" customHeight="1">
      <x:c r="A3294" s="1" t="n">
        <x:v>464</x:v>
      </x:c>
      <x:c r="B3294" s="1" t="str">
        <x:v>Rhyperior</x:v>
      </x:c>
      <x:c r="C3294" s="1" t="n">
        <x:v>13</x:v>
      </x:c>
      <x:c r="D3294" s="1" t="str">
        <x:v>Hammer Arm</x:v>
      </x:c>
      <x:c r="E3294" s="1" t="str">
        <x:v>Lutador</x:v>
      </x:c>
      <x:c r="F3294" s="1" t="str">
        <x:v>Física</x:v>
      </x:c>
      <x:c r="G3294" s="10" t="n">
        <x:v>100</x:v>
      </x:c>
      <x:c r="H3294" s="10" t="n">
        <x:f>IF(F3294="Física",'Pokémon'!G356,IF(F3294="Especial",'Pokémon'!I356,""))</x:f>
        <x:v>140</x:v>
      </x:c>
      <x:c r="I3294" s="10" t="n">
        <x:f>IF(OR(F3294="Status",G3294=0),"",G3294+H3294)</x:f>
        <x:v>240</x:v>
      </x:c>
      <x:c r="J3294" s="10" t="n">
        <x:v>42</x:v>
      </x:c>
      <x:c r="K3294" s="12" t="n">
        <x:v>40</x:v>
      </x:c>
      <x:c r="L3294" s="1" t="str"/>
      <x:c r="M3294" s="9" t="str">
        <x:v>https://poke.idleworld.online/pokepedia/pokemon/rhyperior</x:v>
      </x:c>
    </x:row>
    <x:row r="3295" ht="22" customHeight="1">
      <x:c r="A3295" s="1" t="n">
        <x:v>464</x:v>
      </x:c>
      <x:c r="B3295" s="1" t="str">
        <x:v>Rhyperior</x:v>
      </x:c>
      <x:c r="C3295" s="1" t="n">
        <x:v>14</x:v>
      </x:c>
      <x:c r="D3295" s="1" t="str">
        <x:v>Earthquake</x:v>
      </x:c>
      <x:c r="E3295" s="1" t="str">
        <x:v>Terrestre</x:v>
      </x:c>
      <x:c r="F3295" s="1" t="str">
        <x:v>Física</x:v>
      </x:c>
      <x:c r="G3295" s="10" t="n">
        <x:v>100</x:v>
      </x:c>
      <x:c r="H3295" s="10" t="n">
        <x:f>IF(F3295="Física",'Pokémon'!G356,IF(F3295="Especial",'Pokémon'!I356,""))</x:f>
        <x:v>140</x:v>
      </x:c>
      <x:c r="I3295" s="10" t="n">
        <x:f>IF(OR(F3295="Status",G3295=0),"",G3295+H3295)</x:f>
        <x:v>240</x:v>
      </x:c>
      <x:c r="J3295" s="10" t="n">
        <x:v>48</x:v>
      </x:c>
      <x:c r="K3295" s="12" t="n">
        <x:v>40</x:v>
      </x:c>
      <x:c r="L3295" s="1" t="str"/>
      <x:c r="M3295" s="9" t="str">
        <x:v>https://poke.idleworld.online/pokepedia/pokemon/rhyperior</x:v>
      </x:c>
    </x:row>
    <x:row r="3296" ht="22" customHeight="1">
      <x:c r="A3296" s="1" t="n">
        <x:v>464</x:v>
      </x:c>
      <x:c r="B3296" s="1" t="str">
        <x:v>Rhyperior</x:v>
      </x:c>
      <x:c r="C3296" s="1" t="n">
        <x:v>11</x:v>
      </x:c>
      <x:c r="D3296" s="1" t="str">
        <x:v>Take Down</x:v>
      </x:c>
      <x:c r="E3296" s="1" t="str">
        <x:v>Normal</x:v>
      </x:c>
      <x:c r="F3296" s="1" t="str">
        <x:v>Física</x:v>
      </x:c>
      <x:c r="G3296" s="10" t="n">
        <x:v>90</x:v>
      </x:c>
      <x:c r="H3296" s="10" t="n">
        <x:f>IF(F3296="Física",'Pokémon'!G356,IF(F3296="Especial",'Pokémon'!I356,""))</x:f>
        <x:v>140</x:v>
      </x:c>
      <x:c r="I3296" s="10" t="n">
        <x:f>IF(OR(F3296="Status",G3296=0),"",G3296+H3296)</x:f>
        <x:v>230</x:v>
      </x:c>
      <x:c r="J3296" s="10" t="n">
        <x:v>37</x:v>
      </x:c>
      <x:c r="K3296" s="12" t="n">
        <x:v>22</x:v>
      </x:c>
      <x:c r="L3296" s="1" t="str"/>
      <x:c r="M3296" s="9" t="str">
        <x:v>https://poke.idleworld.online/pokepedia/pokemon/rhyperior</x:v>
      </x:c>
    </x:row>
    <x:row r="3297" ht="22" customHeight="1">
      <x:c r="A3297" s="1" t="n">
        <x:v>464</x:v>
      </x:c>
      <x:c r="B3297" s="1" t="str">
        <x:v>Rhyperior</x:v>
      </x:c>
      <x:c r="C3297" s="1" t="n">
        <x:v>4</x:v>
      </x:c>
      <x:c r="D3297" s="1" t="str">
        <x:v>Poison Jab</x:v>
      </x:c>
      <x:c r="E3297" s="1" t="str">
        <x:v>Venenoso</x:v>
      </x:c>
      <x:c r="F3297" s="1" t="str">
        <x:v>Física</x:v>
      </x:c>
      <x:c r="G3297" s="10" t="n">
        <x:v>80</x:v>
      </x:c>
      <x:c r="H3297" s="10" t="n">
        <x:f>IF(F3297="Física",'Pokémon'!G356,IF(F3297="Especial",'Pokémon'!I356,""))</x:f>
        <x:v>140</x:v>
      </x:c>
      <x:c r="I3297" s="10" t="n">
        <x:f>IF(OR(F3297="Status",G3297=0),"",G3297+H3297)</x:f>
        <x:v>220</x:v>
      </x:c>
      <x:c r="J3297" s="10" t="n">
        <x:v>1</x:v>
      </x:c>
      <x:c r="K3297" s="12" t="n">
        <x:v>22</x:v>
      </x:c>
      <x:c r="L3297" s="1" t="str"/>
      <x:c r="M3297" s="9" t="str">
        <x:v>https://poke.idleworld.online/pokepedia/pokemon/rhyperior</x:v>
      </x:c>
    </x:row>
    <x:row r="3298" ht="22" customHeight="1">
      <x:c r="A3298" s="1" t="n">
        <x:v>464</x:v>
      </x:c>
      <x:c r="B3298" s="1" t="str">
        <x:v>Rhyperior</x:v>
      </x:c>
      <x:c r="C3298" s="1" t="n">
        <x:v>10</x:v>
      </x:c>
      <x:c r="D3298" s="1" t="str">
        <x:v>Drill Run</x:v>
      </x:c>
      <x:c r="E3298" s="1" t="str">
        <x:v>Terrestre</x:v>
      </x:c>
      <x:c r="F3298" s="1" t="str">
        <x:v>Física</x:v>
      </x:c>
      <x:c r="G3298" s="10" t="n">
        <x:v>80</x:v>
      </x:c>
      <x:c r="H3298" s="10" t="n">
        <x:f>IF(F3298="Física",'Pokémon'!G356,IF(F3298="Especial",'Pokémon'!I356,""))</x:f>
        <x:v>140</x:v>
      </x:c>
      <x:c r="I3298" s="10" t="n">
        <x:f>IF(OR(F3298="Status",G3298=0),"",G3298+H3298)</x:f>
        <x:v>220</x:v>
      </x:c>
      <x:c r="J3298" s="10" t="n">
        <x:v>33</x:v>
      </x:c>
      <x:c r="K3298" s="12" t="n">
        <x:v>30</x:v>
      </x:c>
      <x:c r="L3298" s="1" t="str"/>
      <x:c r="M3298" s="9" t="str">
        <x:v>https://poke.idleworld.online/pokepedia/pokemon/rhyperior</x:v>
      </x:c>
    </x:row>
    <x:row r="3299" ht="22" customHeight="1">
      <x:c r="A3299" s="1" t="n">
        <x:v>464</x:v>
      </x:c>
      <x:c r="B3299" s="1" t="str">
        <x:v>Rhyperior</x:v>
      </x:c>
      <x:c r="C3299" s="1" t="n">
        <x:v>8</x:v>
      </x:c>
      <x:c r="D3299" s="1" t="str">
        <x:v>Chip Away</x:v>
      </x:c>
      <x:c r="E3299" s="1" t="str">
        <x:v>Normal</x:v>
      </x:c>
      <x:c r="F3299" s="1" t="str">
        <x:v>Física</x:v>
      </x:c>
      <x:c r="G3299" s="10" t="n">
        <x:v>70</x:v>
      </x:c>
      <x:c r="H3299" s="10" t="n">
        <x:f>IF(F3299="Física",'Pokémon'!G356,IF(F3299="Especial",'Pokémon'!I356,""))</x:f>
        <x:v>140</x:v>
      </x:c>
      <x:c r="I3299" s="10" t="n">
        <x:f>IF(OR(F3299="Status",G3299=0),"",G3299+H3299)</x:f>
        <x:v>210</x:v>
      </x:c>
      <x:c r="J3299" s="10" t="n">
        <x:v>25</x:v>
      </x:c>
      <x:c r="K3299" s="12" t="n">
        <x:v>20</x:v>
      </x:c>
      <x:c r="L3299" s="1" t="str"/>
      <x:c r="M3299" s="9" t="str">
        <x:v>https://poke.idleworld.online/pokepedia/pokemon/rhyperior</x:v>
      </x:c>
    </x:row>
    <x:row r="3300" ht="22" customHeight="1">
      <x:c r="A3300" s="1" t="n">
        <x:v>464</x:v>
      </x:c>
      <x:c r="B3300" s="1" t="str">
        <x:v>Rhyperior</x:v>
      </x:c>
      <x:c r="C3300" s="1" t="n">
        <x:v>3</x:v>
      </x:c>
      <x:c r="D3300" s="1" t="str">
        <x:v>Horn Attack</x:v>
      </x:c>
      <x:c r="E3300" s="1" t="str">
        <x:v>Normal</x:v>
      </x:c>
      <x:c r="F3300" s="1" t="str">
        <x:v>Física</x:v>
      </x:c>
      <x:c r="G3300" s="10" t="n">
        <x:v>65</x:v>
      </x:c>
      <x:c r="H3300" s="10" t="n">
        <x:f>IF(F3300="Física",'Pokémon'!G356,IF(F3300="Especial",'Pokémon'!I356,""))</x:f>
        <x:v>140</x:v>
      </x:c>
      <x:c r="I3300" s="10" t="n">
        <x:f>IF(OR(F3300="Status",G3300=0),"",G3300+H3300)</x:f>
        <x:v>205</x:v>
      </x:c>
      <x:c r="J3300" s="10" t="n">
        <x:v>1</x:v>
      </x:c>
      <x:c r="K3300" s="12" t="n">
        <x:v>20</x:v>
      </x:c>
      <x:c r="L3300" s="1" t="str"/>
      <x:c r="M3300" s="9" t="str">
        <x:v>https://poke.idleworld.online/pokepedia/pokemon/rhyperior</x:v>
      </x:c>
    </x:row>
    <x:row r="3301" ht="22" customHeight="1">
      <x:c r="A3301" s="1" t="n">
        <x:v>464</x:v>
      </x:c>
      <x:c r="B3301" s="1" t="str">
        <x:v>Rhyperior</x:v>
      </x:c>
      <x:c r="C3301" s="1" t="n">
        <x:v>6</x:v>
      </x:c>
      <x:c r="D3301" s="1" t="str">
        <x:v>Stomp</x:v>
      </x:c>
      <x:c r="E3301" s="1" t="str">
        <x:v>Normal</x:v>
      </x:c>
      <x:c r="F3301" s="1" t="str">
        <x:v>Física</x:v>
      </x:c>
      <x:c r="G3301" s="10" t="n">
        <x:v>65</x:v>
      </x:c>
      <x:c r="H3301" s="10" t="n">
        <x:f>IF(F3301="Física",'Pokémon'!G356,IF(F3301="Especial",'Pokémon'!I356,""))</x:f>
        <x:v>140</x:v>
      </x:c>
      <x:c r="I3301" s="10" t="n">
        <x:f>IF(OR(F3301="Status",G3301=0),"",G3301+H3301)</x:f>
        <x:v>205</x:v>
      </x:c>
      <x:c r="J3301" s="10" t="n">
        <x:v>17</x:v>
      </x:c>
      <x:c r="K3301" s="12" t="n">
        <x:v>20</x:v>
      </x:c>
      <x:c r="L3301" s="1" t="str"/>
      <x:c r="M3301" s="9" t="str">
        <x:v>https://poke.idleworld.online/pokepedia/pokemon/rhyperior</x:v>
      </x:c>
    </x:row>
    <x:row r="3302" ht="22" customHeight="1">
      <x:c r="A3302" s="1" t="n">
        <x:v>464</x:v>
      </x:c>
      <x:c r="B3302" s="1" t="str">
        <x:v>Rhyperior</x:v>
      </x:c>
      <x:c r="C3302" s="1" t="n">
        <x:v>7</x:v>
      </x:c>
      <x:c r="D3302" s="1" t="str">
        <x:v>Bulldoze</x:v>
      </x:c>
      <x:c r="E3302" s="1" t="str">
        <x:v>Terrestre</x:v>
      </x:c>
      <x:c r="F3302" s="1" t="str">
        <x:v>Física</x:v>
      </x:c>
      <x:c r="G3302" s="10" t="n">
        <x:v>60</x:v>
      </x:c>
      <x:c r="H3302" s="10" t="n">
        <x:f>IF(F3302="Física",'Pokémon'!G356,IF(F3302="Especial",'Pokémon'!I356,""))</x:f>
        <x:v>140</x:v>
      </x:c>
      <x:c r="I3302" s="10" t="n">
        <x:f>IF(OR(F3302="Status",G3302=0),"",G3302+H3302)</x:f>
        <x:v>200</x:v>
      </x:c>
      <x:c r="J3302" s="10" t="n">
        <x:v>21</x:v>
      </x:c>
      <x:c r="K3302" s="12" t="n">
        <x:v>40</x:v>
      </x:c>
      <x:c r="L3302" s="1" t="str"/>
      <x:c r="M3302" s="9" t="str">
        <x:v>https://poke.idleworld.online/pokepedia/pokemon/rhyperior</x:v>
      </x:c>
    </x:row>
    <x:row r="3303" ht="22" customHeight="1">
      <x:c r="A3303" s="1" t="n">
        <x:v>464</x:v>
      </x:c>
      <x:c r="B3303" s="1" t="str">
        <x:v>Rhyperior</x:v>
      </x:c>
      <x:c r="C3303" s="1" t="n">
        <x:v>5</x:v>
      </x:c>
      <x:c r="D3303" s="1" t="str">
        <x:v>Smack Down</x:v>
      </x:c>
      <x:c r="E3303" s="1" t="str">
        <x:v>Pedra</x:v>
      </x:c>
      <x:c r="F3303" s="1" t="str">
        <x:v>Física</x:v>
      </x:c>
      <x:c r="G3303" s="10" t="n">
        <x:v>50</x:v>
      </x:c>
      <x:c r="H3303" s="10" t="n">
        <x:f>IF(F3303="Física",'Pokémon'!G356,IF(F3303="Especial",'Pokémon'!I356,""))</x:f>
        <x:v>140</x:v>
      </x:c>
      <x:c r="I3303" s="10" t="n">
        <x:f>IF(OR(F3303="Status",G3303=0),"",G3303+H3303)</x:f>
        <x:v>190</x:v>
      </x:c>
      <x:c r="J3303" s="10" t="n">
        <x:v>13</x:v>
      </x:c>
      <x:c r="K3303" s="12" t="n">
        <x:v>15</x:v>
      </x:c>
      <x:c r="L3303" s="1" t="str"/>
      <x:c r="M3303" s="9" t="str">
        <x:v>https://poke.idleworld.online/pokepedia/pokemon/rhyperior</x:v>
      </x:c>
    </x:row>
    <x:row r="3304" ht="22" customHeight="1">
      <x:c r="A3304" s="1" t="n">
        <x:v>464</x:v>
      </x:c>
      <x:c r="B3304" s="1" t="str">
        <x:v>Rhyperior</x:v>
      </x:c>
      <x:c r="C3304" s="1" t="n">
        <x:v>9</x:v>
      </x:c>
      <x:c r="D3304" s="1" t="str">
        <x:v>Rock Blast</x:v>
      </x:c>
      <x:c r="E3304" s="1" t="str">
        <x:v>Pedra</x:v>
      </x:c>
      <x:c r="F3304" s="1" t="str">
        <x:v>Física</x:v>
      </x:c>
      <x:c r="G3304" s="10" t="n">
        <x:v>25</x:v>
      </x:c>
      <x:c r="H3304" s="10" t="n">
        <x:f>IF(F3304="Física",'Pokémon'!G356,IF(F3304="Especial",'Pokémon'!I356,""))</x:f>
        <x:v>140</x:v>
      </x:c>
      <x:c r="I3304" s="10" t="n">
        <x:f>IF(OR(F3304="Status",G3304=0),"",G3304+H3304)</x:f>
        <x:v>165</x:v>
      </x:c>
      <x:c r="J3304" s="10" t="n">
        <x:v>29</x:v>
      </x:c>
      <x:c r="K3304" s="12" t="n">
        <x:v>15</x:v>
      </x:c>
      <x:c r="L3304" s="1" t="str"/>
      <x:c r="M3304" s="9" t="str">
        <x:v>https://poke.idleworld.online/pokepedia/pokemon/rhyperior</x:v>
      </x:c>
    </x:row>
    <x:row r="3305" ht="22" customHeight="1">
      <x:c r="A3305" s="1" t="n">
        <x:v>464</x:v>
      </x:c>
      <x:c r="B3305" s="1" t="str">
        <x:v>Rhyperior</x:v>
      </x:c>
      <x:c r="C3305" s="1" t="n">
        <x:v>2</x:v>
      </x:c>
      <x:c r="D3305" s="1" t="str">
        <x:v>Fury Attack</x:v>
      </x:c>
      <x:c r="E3305" s="1" t="str">
        <x:v>Normal</x:v>
      </x:c>
      <x:c r="F3305" s="1" t="str">
        <x:v>Física</x:v>
      </x:c>
      <x:c r="G3305" s="10" t="n">
        <x:v>15</x:v>
      </x:c>
      <x:c r="H3305" s="10" t="n">
        <x:f>IF(F3305="Física",'Pokémon'!G356,IF(F3305="Especial",'Pokémon'!I356,""))</x:f>
        <x:v>140</x:v>
      </x:c>
      <x:c r="I3305" s="10" t="n">
        <x:f>IF(OR(F3305="Status",G3305=0),"",G3305+H3305)</x:f>
        <x:v>155</x:v>
      </x:c>
      <x:c r="J3305" s="10" t="n">
        <x:v>1</x:v>
      </x:c>
      <x:c r="K3305" s="12" t="n">
        <x:v>15</x:v>
      </x:c>
      <x:c r="L3305" s="1" t="str"/>
      <x:c r="M3305" s="9" t="str">
        <x:v>https://poke.idleworld.online/pokepedia/pokemon/rhyperior</x:v>
      </x:c>
    </x:row>
    <x:row r="3306" ht="22" customHeight="1">
      <x:c r="A3306" s="1" t="n">
        <x:v>465</x:v>
      </x:c>
      <x:c r="B3306" s="1" t="str">
        <x:v>Tangrowth</x:v>
      </x:c>
      <x:c r="C3306" s="1" t="n">
        <x:v>10</x:v>
      </x:c>
      <x:c r="D3306" s="1" t="str">
        <x:v>Power Whip</x:v>
      </x:c>
      <x:c r="E3306" s="1" t="str">
        <x:v>Planta</x:v>
      </x:c>
      <x:c r="F3306" s="1" t="str">
        <x:v>Física</x:v>
      </x:c>
      <x:c r="G3306" s="10" t="n">
        <x:v>120</x:v>
      </x:c>
      <x:c r="H3306" s="10" t="n">
        <x:f>IF(F3306="Física",'Pokémon'!G357,IF(F3306="Especial",'Pokémon'!I357,""))</x:f>
        <x:v>100</x:v>
      </x:c>
      <x:c r="I3306" s="10" t="n">
        <x:f>IF(OR(F3306="Status",G3306=0),"",G3306+H3306)</x:f>
        <x:v>220</x:v>
      </x:c>
      <x:c r="J3306" s="10" t="n">
        <x:v>53</x:v>
      </x:c>
      <x:c r="K3306" s="12" t="n">
        <x:v>50</x:v>
      </x:c>
      <x:c r="L3306" s="1" t="str"/>
      <x:c r="M3306" s="9" t="str">
        <x:v>https://poke.idleworld.online/pokepedia/pokemon/tangrowth</x:v>
      </x:c>
    </x:row>
    <x:row r="3307" ht="22" customHeight="1">
      <x:c r="A3307" s="1" t="n">
        <x:v>465</x:v>
      </x:c>
      <x:c r="B3307" s="1" t="str">
        <x:v>Tangrowth</x:v>
      </x:c>
      <x:c r="C3307" s="1" t="n">
        <x:v>7</x:v>
      </x:c>
      <x:c r="D3307" s="1" t="str">
        <x:v>Giga Drain</x:v>
      </x:c>
      <x:c r="E3307" s="1" t="str">
        <x:v>Planta</x:v>
      </x:c>
      <x:c r="F3307" s="1" t="str">
        <x:v>Especial</x:v>
      </x:c>
      <x:c r="G3307" s="10" t="n">
        <x:v>75</x:v>
      </x:c>
      <x:c r="H3307" s="10" t="n">
        <x:f>IF(F3307="Física",'Pokémon'!G357,IF(F3307="Especial",'Pokémon'!I357,""))</x:f>
        <x:v>110</x:v>
      </x:c>
      <x:c r="I3307" s="10" t="n">
        <x:f>IF(OR(F3307="Status",G3307=0),"",G3307+H3307)</x:f>
        <x:v>185</x:v>
      </x:c>
      <x:c r="J3307" s="10" t="n">
        <x:v>36</x:v>
      </x:c>
      <x:c r="K3307" s="12" t="n">
        <x:v>50</x:v>
      </x:c>
      <x:c r="L3307" s="1" t="str"/>
      <x:c r="M3307" s="9" t="str">
        <x:v>https://poke.idleworld.online/pokepedia/pokemon/tangrowth</x:v>
      </x:c>
    </x:row>
    <x:row r="3308" ht="22" customHeight="1">
      <x:c r="A3308" s="1" t="n">
        <x:v>465</x:v>
      </x:c>
      <x:c r="B3308" s="1" t="str">
        <x:v>Tangrowth</x:v>
      </x:c>
      <x:c r="C3308" s="1" t="n">
        <x:v>9</x:v>
      </x:c>
      <x:c r="D3308" s="1" t="str">
        <x:v>Slam</x:v>
      </x:c>
      <x:c r="E3308" s="1" t="str">
        <x:v>Normal</x:v>
      </x:c>
      <x:c r="F3308" s="1" t="str">
        <x:v>Física</x:v>
      </x:c>
      <x:c r="G3308" s="10" t="n">
        <x:v>80</x:v>
      </x:c>
      <x:c r="H3308" s="10" t="n">
        <x:f>IF(F3308="Física",'Pokémon'!G357,IF(F3308="Especial",'Pokémon'!I357,""))</x:f>
        <x:v>100</x:v>
      </x:c>
      <x:c r="I3308" s="10" t="n">
        <x:f>IF(OR(F3308="Status",G3308=0),"",G3308+H3308)</x:f>
        <x:v>180</x:v>
      </x:c>
      <x:c r="J3308" s="10" t="n">
        <x:v>43</x:v>
      </x:c>
      <x:c r="K3308" s="12" t="n">
        <x:v>22</x:v>
      </x:c>
      <x:c r="L3308" s="1" t="str"/>
      <x:c r="M3308" s="9" t="str">
        <x:v>https://poke.idleworld.online/pokepedia/pokemon/tangrowth</x:v>
      </x:c>
    </x:row>
    <x:row r="3309" ht="22" customHeight="1">
      <x:c r="A3309" s="1" t="n">
        <x:v>465</x:v>
      </x:c>
      <x:c r="B3309" s="1" t="str">
        <x:v>Tangrowth</x:v>
      </x:c>
      <x:c r="C3309" s="1" t="n">
        <x:v>8</x:v>
      </x:c>
      <x:c r="D3309" s="1" t="str">
        <x:v>Ancient Power</x:v>
      </x:c>
      <x:c r="E3309" s="1" t="str">
        <x:v>Pedra</x:v>
      </x:c>
      <x:c r="F3309" s="1" t="str">
        <x:v>Especial</x:v>
      </x:c>
      <x:c r="G3309" s="10" t="n">
        <x:v>60</x:v>
      </x:c>
      <x:c r="H3309" s="10" t="n">
        <x:f>IF(F3309="Física",'Pokémon'!G357,IF(F3309="Especial",'Pokémon'!I357,""))</x:f>
        <x:v>110</x:v>
      </x:c>
      <x:c r="I3309" s="10" t="n">
        <x:f>IF(OR(F3309="Status",G3309=0),"",G3309+H3309)</x:f>
        <x:v>170</x:v>
      </x:c>
      <x:c r="J3309" s="10" t="n">
        <x:v>40</x:v>
      </x:c>
      <x:c r="K3309" s="12" t="n">
        <x:v>40</x:v>
      </x:c>
      <x:c r="L3309" s="1" t="str"/>
      <x:c r="M3309" s="9" t="str">
        <x:v>https://poke.idleworld.online/pokepedia/pokemon/tangrowth</x:v>
      </x:c>
    </x:row>
    <x:row r="3310" ht="22" customHeight="1">
      <x:c r="A3310" s="1" t="n">
        <x:v>465</x:v>
      </x:c>
      <x:c r="B3310" s="1" t="str">
        <x:v>Tangrowth</x:v>
      </x:c>
      <x:c r="C3310" s="1" t="n">
        <x:v>6</x:v>
      </x:c>
      <x:c r="D3310" s="1" t="str">
        <x:v>Knock Off</x:v>
      </x:c>
      <x:c r="E3310" s="1" t="str">
        <x:v>Sombrio</x:v>
      </x:c>
      <x:c r="F3310" s="1" t="str">
        <x:v>Física</x:v>
      </x:c>
      <x:c r="G3310" s="10" t="n">
        <x:v>65</x:v>
      </x:c>
      <x:c r="H3310" s="10" t="n">
        <x:f>IF(F3310="Física",'Pokémon'!G357,IF(F3310="Especial",'Pokémon'!I357,""))</x:f>
        <x:v>100</x:v>
      </x:c>
      <x:c r="I3310" s="10" t="n">
        <x:f>IF(OR(F3310="Status",G3310=0),"",G3310+H3310)</x:f>
        <x:v>165</x:v>
      </x:c>
      <x:c r="J3310" s="10" t="n">
        <x:v>27</x:v>
      </x:c>
      <x:c r="K3310" s="12" t="n">
        <x:v>18</x:v>
      </x:c>
      <x:c r="L3310" s="1" t="str"/>
      <x:c r="M3310" s="9" t="str">
        <x:v>https://poke.idleworld.online/pokepedia/pokemon/tangrowth</x:v>
      </x:c>
    </x:row>
    <x:row r="3311" ht="22" customHeight="1">
      <x:c r="A3311" s="1" t="n">
        <x:v>465</x:v>
      </x:c>
      <x:c r="B3311" s="1" t="str">
        <x:v>Tangrowth</x:v>
      </x:c>
      <x:c r="C3311" s="1" t="n">
        <x:v>5</x:v>
      </x:c>
      <x:c r="D3311" s="1" t="str">
        <x:v>Mega Drain</x:v>
      </x:c>
      <x:c r="E3311" s="1" t="str">
        <x:v>Planta</x:v>
      </x:c>
      <x:c r="F3311" s="1" t="str">
        <x:v>Especial</x:v>
      </x:c>
      <x:c r="G3311" s="10" t="n">
        <x:v>40</x:v>
      </x:c>
      <x:c r="H3311" s="10" t="n">
        <x:f>IF(F3311="Física",'Pokémon'!G357,IF(F3311="Especial",'Pokémon'!I357,""))</x:f>
        <x:v>110</x:v>
      </x:c>
      <x:c r="I3311" s="10" t="n">
        <x:f>IF(OR(F3311="Status",G3311=0),"",G3311+H3311)</x:f>
        <x:v>150</x:v>
      </x:c>
      <x:c r="J3311" s="10" t="n">
        <x:v>23</x:v>
      </x:c>
      <x:c r="K3311" s="12" t="n">
        <x:v>15</x:v>
      </x:c>
      <x:c r="L3311" s="1" t="str"/>
      <x:c r="M3311" s="9" t="str">
        <x:v>https://poke.idleworld.online/pokepedia/pokemon/tangrowth</x:v>
      </x:c>
    </x:row>
    <x:row r="3312" ht="22" customHeight="1">
      <x:c r="A3312" s="1" t="n">
        <x:v>465</x:v>
      </x:c>
      <x:c r="B3312" s="1" t="str">
        <x:v>Tangrowth</x:v>
      </x:c>
      <x:c r="C3312" s="1" t="n">
        <x:v>2</x:v>
      </x:c>
      <x:c r="D3312" s="1" t="str">
        <x:v>Vine Whip</x:v>
      </x:c>
      <x:c r="E3312" s="1" t="str">
        <x:v>Planta</x:v>
      </x:c>
      <x:c r="F3312" s="1" t="str">
        <x:v>Física</x:v>
      </x:c>
      <x:c r="G3312" s="10" t="n">
        <x:v>45</x:v>
      </x:c>
      <x:c r="H3312" s="10" t="n">
        <x:f>IF(F3312="Física",'Pokémon'!G357,IF(F3312="Especial",'Pokémon'!I357,""))</x:f>
        <x:v>100</x:v>
      </x:c>
      <x:c r="I3312" s="10" t="n">
        <x:f>IF(OR(F3312="Status",G3312=0),"",G3312+H3312)</x:f>
        <x:v>145</x:v>
      </x:c>
      <x:c r="J3312" s="10" t="n">
        <x:v>7</x:v>
      </x:c>
      <x:c r="K3312" s="12" t="n">
        <x:v>10</x:v>
      </x:c>
      <x:c r="L3312" s="1" t="str"/>
      <x:c r="M3312" s="9" t="str">
        <x:v>https://poke.idleworld.online/pokepedia/pokemon/tangrowth</x:v>
      </x:c>
    </x:row>
    <x:row r="3313" ht="22" customHeight="1">
      <x:c r="A3313" s="1" t="n">
        <x:v>465</x:v>
      </x:c>
      <x:c r="B3313" s="1" t="str">
        <x:v>Tangrowth</x:v>
      </x:c>
      <x:c r="C3313" s="1" t="n">
        <x:v>3</x:v>
      </x:c>
      <x:c r="D3313" s="1" t="str">
        <x:v>Absorb</x:v>
      </x:c>
      <x:c r="E3313" s="1" t="str">
        <x:v>Planta</x:v>
      </x:c>
      <x:c r="F3313" s="1" t="str">
        <x:v>Especial</x:v>
      </x:c>
      <x:c r="G3313" s="10" t="n">
        <x:v>20</x:v>
      </x:c>
      <x:c r="H3313" s="10" t="n">
        <x:f>IF(F3313="Física",'Pokémon'!G357,IF(F3313="Especial",'Pokémon'!I357,""))</x:f>
        <x:v>110</x:v>
      </x:c>
      <x:c r="I3313" s="10" t="n">
        <x:f>IF(OR(F3313="Status",G3313=0),"",G3313+H3313)</x:f>
        <x:v>130</x:v>
      </x:c>
      <x:c r="J3313" s="10" t="n">
        <x:v>10</x:v>
      </x:c>
      <x:c r="K3313" s="12" t="n">
        <x:v>15</x:v>
      </x:c>
      <x:c r="L3313" s="1" t="str"/>
      <x:c r="M3313" s="9" t="str">
        <x:v>https://poke.idleworld.online/pokepedia/pokemon/tangrowth</x:v>
      </x:c>
    </x:row>
    <x:row r="3314" ht="22" customHeight="1">
      <x:c r="A3314" s="1" t="n">
        <x:v>465</x:v>
      </x:c>
      <x:c r="B3314" s="1" t="str">
        <x:v>Tangrowth</x:v>
      </x:c>
      <x:c r="C3314" s="1" t="n">
        <x:v>4</x:v>
      </x:c>
      <x:c r="D3314" s="1" t="str">
        <x:v>Bind</x:v>
      </x:c>
      <x:c r="E3314" s="1" t="str">
        <x:v>Normal</x:v>
      </x:c>
      <x:c r="F3314" s="1" t="str">
        <x:v>Física</x:v>
      </x:c>
      <x:c r="G3314" s="10" t="n">
        <x:v>15</x:v>
      </x:c>
      <x:c r="H3314" s="10" t="n">
        <x:f>IF(F3314="Física",'Pokémon'!G357,IF(F3314="Especial",'Pokémon'!I357,""))</x:f>
        <x:v>100</x:v>
      </x:c>
      <x:c r="I3314" s="10" t="n">
        <x:f>IF(OR(F3314="Status",G3314=0),"",G3314+H3314)</x:f>
        <x:v>115</x:v>
      </x:c>
      <x:c r="J3314" s="10" t="n">
        <x:v>17</x:v>
      </x:c>
      <x:c r="K3314" s="12" t="n">
        <x:v>15</x:v>
      </x:c>
      <x:c r="L3314" s="1" t="str"/>
      <x:c r="M3314" s="9" t="str">
        <x:v>https://poke.idleworld.online/pokepedia/pokemon/tangrowth</x:v>
      </x:c>
    </x:row>
    <x:row r="3315" ht="22" customHeight="1">
      <x:c r="A3315" s="1" t="n">
        <x:v>465</x:v>
      </x:c>
      <x:c r="B3315" s="1" t="str">
        <x:v>Tangrowth</x:v>
      </x:c>
      <x:c r="C3315" s="1" t="n">
        <x:v>1</x:v>
      </x:c>
      <x:c r="D3315" s="1" t="str">
        <x:v>Constrict</x:v>
      </x:c>
      <x:c r="E3315" s="1" t="str">
        <x:v>Normal</x:v>
      </x:c>
      <x:c r="F3315" s="1" t="str">
        <x:v>Física</x:v>
      </x:c>
      <x:c r="G3315" s="10" t="n">
        <x:v>10</x:v>
      </x:c>
      <x:c r="H3315" s="10" t="n">
        <x:f>IF(F3315="Física",'Pokémon'!G357,IF(F3315="Especial",'Pokémon'!I357,""))</x:f>
        <x:v>100</x:v>
      </x:c>
      <x:c r="I3315" s="10" t="n">
        <x:f>IF(OR(F3315="Status",G3315=0),"",G3315+H3315)</x:f>
        <x:v>110</x:v>
      </x:c>
      <x:c r="J3315" s="10" t="n">
        <x:v>1</x:v>
      </x:c>
      <x:c r="K3315" s="12" t="n">
        <x:v>15</x:v>
      </x:c>
      <x:c r="L3315" s="1" t="str"/>
      <x:c r="M3315" s="9" t="str">
        <x:v>https://poke.idleworld.online/pokepedia/pokemon/tangrowth</x:v>
      </x:c>
    </x:row>
    <x:row r="3316" ht="22" customHeight="1">
      <x:c r="A3316" s="1" t="n">
        <x:v>466</x:v>
      </x:c>
      <x:c r="B3316" s="1" t="str">
        <x:v>Electivire</x:v>
      </x:c>
      <x:c r="C3316" s="1" t="n">
        <x:v>11</x:v>
      </x:c>
      <x:c r="D3316" s="1" t="str">
        <x:v>Giga Impact</x:v>
      </x:c>
      <x:c r="E3316" s="1" t="str">
        <x:v>Normal</x:v>
      </x:c>
      <x:c r="F3316" s="1" t="str">
        <x:v>Física</x:v>
      </x:c>
      <x:c r="G3316" s="10" t="n">
        <x:v>150</x:v>
      </x:c>
      <x:c r="H3316" s="10" t="n">
        <x:f>IF(F3316="Física",'Pokémon'!G358,IF(F3316="Especial",'Pokémon'!I358,""))</x:f>
        <x:v>123</x:v>
      </x:c>
      <x:c r="I3316" s="10" t="n">
        <x:f>IF(OR(F3316="Status",G3316=0),"",G3316+H3316)</x:f>
        <x:v>273</x:v>
      </x:c>
      <x:c r="J3316" s="10" t="n">
        <x:v>62</x:v>
      </x:c>
      <x:c r="K3316" s="12" t="n">
        <x:v>50</x:v>
      </x:c>
      <x:c r="L3316" s="1" t="str"/>
      <x:c r="M3316" s="9" t="str">
        <x:v>https://poke.idleworld.online/pokepedia/pokemon/electivire</x:v>
      </x:c>
    </x:row>
    <x:row r="3317" ht="22" customHeight="1">
      <x:c r="A3317" s="1" t="n">
        <x:v>466</x:v>
      </x:c>
      <x:c r="B3317" s="1" t="str">
        <x:v>Electivire</x:v>
      </x:c>
      <x:c r="C3317" s="1" t="n">
        <x:v>10</x:v>
      </x:c>
      <x:c r="D3317" s="1" t="str">
        <x:v>Thunder</x:v>
      </x:c>
      <x:c r="E3317" s="1" t="str">
        <x:v>Elétrico</x:v>
      </x:c>
      <x:c r="F3317" s="1" t="str">
        <x:v>Especial</x:v>
      </x:c>
      <x:c r="G3317" s="10" t="n">
        <x:v>110</x:v>
      </x:c>
      <x:c r="H3317" s="10" t="n">
        <x:f>IF(F3317="Física",'Pokémon'!G358,IF(F3317="Especial",'Pokémon'!I358,""))</x:f>
        <x:v>95</x:v>
      </x:c>
      <x:c r="I3317" s="10" t="n">
        <x:f>IF(OR(F3317="Status",G3317=0),"",G3317+H3317)</x:f>
        <x:v>205</x:v>
      </x:c>
      <x:c r="J3317" s="10" t="n">
        <x:v>55</x:v>
      </x:c>
      <x:c r="K3317" s="12" t="n">
        <x:v>40</x:v>
      </x:c>
      <x:c r="L3317" s="1" t="str"/>
      <x:c r="M3317" s="9" t="str">
        <x:v>https://poke.idleworld.online/pokepedia/pokemon/electivire</x:v>
      </x:c>
    </x:row>
    <x:row r="3318" ht="22" customHeight="1">
      <x:c r="A3318" s="1" t="n">
        <x:v>466</x:v>
      </x:c>
      <x:c r="B3318" s="1" t="str">
        <x:v>Electivire</x:v>
      </x:c>
      <x:c r="C3318" s="1" t="n">
        <x:v>4</x:v>
      </x:c>
      <x:c r="D3318" s="1" t="str">
        <x:v>Fire Punch</x:v>
      </x:c>
      <x:c r="E3318" s="1" t="str">
        <x:v>Fogo</x:v>
      </x:c>
      <x:c r="F3318" s="1" t="str">
        <x:v>Física</x:v>
      </x:c>
      <x:c r="G3318" s="10" t="n">
        <x:v>75</x:v>
      </x:c>
      <x:c r="H3318" s="10" t="n">
        <x:f>IF(F3318="Física",'Pokémon'!G358,IF(F3318="Especial",'Pokémon'!I358,""))</x:f>
        <x:v>123</x:v>
      </x:c>
      <x:c r="I3318" s="10" t="n">
        <x:f>IF(OR(F3318="Status",G3318=0),"",G3318+H3318)</x:f>
        <x:v>198</x:v>
      </x:c>
      <x:c r="J3318" s="10" t="n">
        <x:v>1</x:v>
      </x:c>
      <x:c r="K3318" s="12" t="n">
        <x:v>22</x:v>
      </x:c>
      <x:c r="L3318" s="1" t="str"/>
      <x:c r="M3318" s="9" t="str">
        <x:v>https://poke.idleworld.online/pokepedia/pokemon/electivire</x:v>
      </x:c>
    </x:row>
    <x:row r="3319" ht="22" customHeight="1">
      <x:c r="A3319" s="1" t="n">
        <x:v>466</x:v>
      </x:c>
      <x:c r="B3319" s="1" t="str">
        <x:v>Electivire</x:v>
      </x:c>
      <x:c r="C3319" s="1" t="n">
        <x:v>7</x:v>
      </x:c>
      <x:c r="D3319" s="1" t="str">
        <x:v>Thunder Punch</x:v>
      </x:c>
      <x:c r="E3319" s="1" t="str">
        <x:v>Elétrico</x:v>
      </x:c>
      <x:c r="F3319" s="1" t="str">
        <x:v>Física</x:v>
      </x:c>
      <x:c r="G3319" s="10" t="n">
        <x:v>75</x:v>
      </x:c>
      <x:c r="H3319" s="10" t="n">
        <x:f>IF(F3319="Física",'Pokémon'!G358,IF(F3319="Especial",'Pokémon'!I358,""))</x:f>
        <x:v>123</x:v>
      </x:c>
      <x:c r="I3319" s="10" t="n">
        <x:f>IF(OR(F3319="Status",G3319=0),"",G3319+H3319)</x:f>
        <x:v>198</x:v>
      </x:c>
      <x:c r="J3319" s="10" t="n">
        <x:v>29</x:v>
      </x:c>
      <x:c r="K3319" s="12" t="n">
        <x:v>22</x:v>
      </x:c>
      <x:c r="L3319" s="1" t="str"/>
      <x:c r="M3319" s="9" t="str">
        <x:v>https://poke.idleworld.online/pokepedia/pokemon/electivire</x:v>
      </x:c>
    </x:row>
    <x:row r="3320" ht="22" customHeight="1">
      <x:c r="A3320" s="1" t="n">
        <x:v>466</x:v>
      </x:c>
      <x:c r="B3320" s="1" t="str">
        <x:v>Electivire</x:v>
      </x:c>
      <x:c r="C3320" s="1" t="n">
        <x:v>1</x:v>
      </x:c>
      <x:c r="D3320" s="1" t="str">
        <x:v>Low Kick</x:v>
      </x:c>
      <x:c r="E3320" s="1" t="str">
        <x:v>Lutador</x:v>
      </x:c>
      <x:c r="F3320" s="1" t="str">
        <x:v>Física</x:v>
      </x:c>
      <x:c r="G3320" s="10" t="n">
        <x:v>72</x:v>
      </x:c>
      <x:c r="H3320" s="10" t="n">
        <x:f>IF(F3320="Física",'Pokémon'!G358,IF(F3320="Especial",'Pokémon'!I358,""))</x:f>
        <x:v>123</x:v>
      </x:c>
      <x:c r="I3320" s="10" t="n">
        <x:f>IF(OR(F3320="Status",G3320=0),"",G3320+H3320)</x:f>
        <x:v>195</x:v>
      </x:c>
      <x:c r="J3320" s="10" t="n">
        <x:v>1</x:v>
      </x:c>
      <x:c r="K3320" s="12" t="n">
        <x:v>12</x:v>
      </x:c>
      <x:c r="L3320" s="1" t="str"/>
      <x:c r="M3320" s="9" t="str">
        <x:v>https://poke.idleworld.online/pokepedia/pokemon/electivire</x:v>
      </x:c>
    </x:row>
    <x:row r="3321" ht="22" customHeight="1">
      <x:c r="A3321" s="1" t="n">
        <x:v>466</x:v>
      </x:c>
      <x:c r="B3321" s="1" t="str">
        <x:v>Electivire</x:v>
      </x:c>
      <x:c r="C3321" s="1" t="n">
        <x:v>9</x:v>
      </x:c>
      <x:c r="D3321" s="1" t="str">
        <x:v>Thunderbolt</x:v>
      </x:c>
      <x:c r="E3321" s="1" t="str">
        <x:v>Elétrico</x:v>
      </x:c>
      <x:c r="F3321" s="1" t="str">
        <x:v>Especial</x:v>
      </x:c>
      <x:c r="G3321" s="10" t="n">
        <x:v>90</x:v>
      </x:c>
      <x:c r="H3321" s="10" t="n">
        <x:f>IF(F3321="Física",'Pokémon'!G358,IF(F3321="Especial",'Pokémon'!I358,""))</x:f>
        <x:v>95</x:v>
      </x:c>
      <x:c r="I3321" s="10" t="n">
        <x:f>IF(OR(F3321="Status",G3321=0),"",G3321+H3321)</x:f>
        <x:v>185</x:v>
      </x:c>
      <x:c r="J3321" s="10" t="n">
        <x:v>49</x:v>
      </x:c>
      <x:c r="K3321" s="12" t="n">
        <x:v>22</x:v>
      </x:c>
      <x:c r="L3321" s="1" t="str"/>
      <x:c r="M3321" s="9" t="str">
        <x:v>https://poke.idleworld.online/pokepedia/pokemon/electivire</x:v>
      </x:c>
    </x:row>
    <x:row r="3322" ht="22" customHeight="1">
      <x:c r="A3322" s="1" t="n">
        <x:v>466</x:v>
      </x:c>
      <x:c r="B3322" s="1" t="str">
        <x:v>Electivire</x:v>
      </x:c>
      <x:c r="C3322" s="1" t="n">
        <x:v>8</x:v>
      </x:c>
      <x:c r="D3322" s="1" t="str">
        <x:v>Discharge</x:v>
      </x:c>
      <x:c r="E3322" s="1" t="str">
        <x:v>Elétrico</x:v>
      </x:c>
      <x:c r="F3322" s="1" t="str">
        <x:v>Especial</x:v>
      </x:c>
      <x:c r="G3322" s="10" t="n">
        <x:v>80</x:v>
      </x:c>
      <x:c r="H3322" s="10" t="n">
        <x:f>IF(F3322="Física",'Pokémon'!G358,IF(F3322="Especial",'Pokémon'!I358,""))</x:f>
        <x:v>95</x:v>
      </x:c>
      <x:c r="I3322" s="10" t="n">
        <x:f>IF(OR(F3322="Status",G3322=0),"",G3322+H3322)</x:f>
        <x:v>175</x:v>
      </x:c>
      <x:c r="J3322" s="10" t="n">
        <x:v>36</x:v>
      </x:c>
      <x:c r="K3322" s="12" t="n">
        <x:v>22</x:v>
      </x:c>
      <x:c r="L3322" s="1" t="str"/>
      <x:c r="M3322" s="9" t="str">
        <x:v>https://poke.idleworld.online/pokepedia/pokemon/electivire</x:v>
      </x:c>
    </x:row>
    <x:row r="3323" ht="22" customHeight="1">
      <x:c r="A3323" s="1" t="n">
        <x:v>466</x:v>
      </x:c>
      <x:c r="B3323" s="1" t="str">
        <x:v>Electivire</x:v>
      </x:c>
      <x:c r="C3323" s="1" t="n">
        <x:v>3</x:v>
      </x:c>
      <x:c r="D3323" s="1" t="str">
        <x:v>Quick Attack</x:v>
      </x:c>
      <x:c r="E3323" s="1" t="str">
        <x:v>Normal</x:v>
      </x:c>
      <x:c r="F3323" s="1" t="str">
        <x:v>Física</x:v>
      </x:c>
      <x:c r="G3323" s="10" t="n">
        <x:v>40</x:v>
      </x:c>
      <x:c r="H3323" s="10" t="n">
        <x:f>IF(F3323="Física",'Pokémon'!G358,IF(F3323="Especial",'Pokémon'!I358,""))</x:f>
        <x:v>123</x:v>
      </x:c>
      <x:c r="I3323" s="10" t="n">
        <x:f>IF(OR(F3323="Status",G3323=0),"",G3323+H3323)</x:f>
        <x:v>163</x:v>
      </x:c>
      <x:c r="J3323" s="10" t="n">
        <x:v>1</x:v>
      </x:c>
      <x:c r="K3323" s="12" t="n">
        <x:v>15</x:v>
      </x:c>
      <x:c r="L3323" s="1" t="str"/>
      <x:c r="M3323" s="9" t="str">
        <x:v>https://poke.idleworld.online/pokepedia/pokemon/electivire</x:v>
      </x:c>
    </x:row>
    <x:row r="3324" ht="22" customHeight="1">
      <x:c r="A3324" s="1" t="n">
        <x:v>466</x:v>
      </x:c>
      <x:c r="B3324" s="1" t="str">
        <x:v>Electivire</x:v>
      </x:c>
      <x:c r="C3324" s="1" t="n">
        <x:v>5</x:v>
      </x:c>
      <x:c r="D3324" s="1" t="str">
        <x:v>Swift</x:v>
      </x:c>
      <x:c r="E3324" s="1" t="str">
        <x:v>Normal</x:v>
      </x:c>
      <x:c r="F3324" s="1" t="str">
        <x:v>Especial</x:v>
      </x:c>
      <x:c r="G3324" s="10" t="n">
        <x:v>60</x:v>
      </x:c>
      <x:c r="H3324" s="10" t="n">
        <x:f>IF(F3324="Física",'Pokémon'!G358,IF(F3324="Especial",'Pokémon'!I358,""))</x:f>
        <x:v>95</x:v>
      </x:c>
      <x:c r="I3324" s="10" t="n">
        <x:f>IF(OR(F3324="Status",G3324=0),"",G3324+H3324)</x:f>
        <x:v>155</x:v>
      </x:c>
      <x:c r="J3324" s="10" t="n">
        <x:v>12</x:v>
      </x:c>
      <x:c r="K3324" s="12" t="n">
        <x:v>20</x:v>
      </x:c>
      <x:c r="L3324" s="1" t="str"/>
      <x:c r="M3324" s="9" t="str">
        <x:v>https://poke.idleworld.online/pokepedia/pokemon/electivire</x:v>
      </x:c>
    </x:row>
    <x:row r="3325" ht="22" customHeight="1">
      <x:c r="A3325" s="1" t="n">
        <x:v>466</x:v>
      </x:c>
      <x:c r="B3325" s="1" t="str">
        <x:v>Electivire</x:v>
      </x:c>
      <x:c r="C3325" s="1" t="n">
        <x:v>6</x:v>
      </x:c>
      <x:c r="D3325" s="1" t="str">
        <x:v>Shock Wave</x:v>
      </x:c>
      <x:c r="E3325" s="1" t="str">
        <x:v>Elétrico</x:v>
      </x:c>
      <x:c r="F3325" s="1" t="str">
        <x:v>Especial</x:v>
      </x:c>
      <x:c r="G3325" s="10" t="n">
        <x:v>60</x:v>
      </x:c>
      <x:c r="H3325" s="10" t="n">
        <x:f>IF(F3325="Física",'Pokémon'!G358,IF(F3325="Especial",'Pokémon'!I358,""))</x:f>
        <x:v>95</x:v>
      </x:c>
      <x:c r="I3325" s="10" t="n">
        <x:f>IF(OR(F3325="Status",G3325=0),"",G3325+H3325)</x:f>
        <x:v>155</x:v>
      </x:c>
      <x:c r="J3325" s="10" t="n">
        <x:v>15</x:v>
      </x:c>
      <x:c r="K3325" s="12" t="n">
        <x:v>40</x:v>
      </x:c>
      <x:c r="L3325" s="1" t="str"/>
      <x:c r="M3325" s="9" t="str">
        <x:v>https://poke.idleworld.online/pokepedia/pokemon/electivire</x:v>
      </x:c>
    </x:row>
    <x:row r="3326" ht="22" customHeight="1">
      <x:c r="A3326" s="1" t="n">
        <x:v>466</x:v>
      </x:c>
      <x:c r="B3326" s="1" t="str">
        <x:v>Electivire</x:v>
      </x:c>
      <x:c r="C3326" s="1" t="n">
        <x:v>2</x:v>
      </x:c>
      <x:c r="D3326" s="1" t="str">
        <x:v>Thunder Shock</x:v>
      </x:c>
      <x:c r="E3326" s="1" t="str">
        <x:v>Elétrico</x:v>
      </x:c>
      <x:c r="F3326" s="1" t="str">
        <x:v>Especial</x:v>
      </x:c>
      <x:c r="G3326" s="10" t="n">
        <x:v>40</x:v>
      </x:c>
      <x:c r="H3326" s="10" t="n">
        <x:f>IF(F3326="Física",'Pokémon'!G358,IF(F3326="Especial",'Pokémon'!I358,""))</x:f>
        <x:v>95</x:v>
      </x:c>
      <x:c r="I3326" s="10" t="n">
        <x:f>IF(OR(F3326="Status",G3326=0),"",G3326+H3326)</x:f>
        <x:v>135</x:v>
      </x:c>
      <x:c r="J3326" s="10" t="n">
        <x:v>1</x:v>
      </x:c>
      <x:c r="K3326" s="12" t="n">
        <x:v>15</x:v>
      </x:c>
      <x:c r="L3326" s="1" t="str"/>
      <x:c r="M3326" s="9" t="str">
        <x:v>https://poke.idleworld.online/pokepedia/pokemon/electivire</x:v>
      </x:c>
    </x:row>
    <x:row r="3327" ht="22" customHeight="1">
      <x:c r="A3327" s="1" t="n">
        <x:v>467</x:v>
      </x:c>
      <x:c r="B3327" s="1" t="str">
        <x:v>Magmortar</x:v>
      </x:c>
      <x:c r="C3327" s="1" t="n">
        <x:v>12</x:v>
      </x:c>
      <x:c r="D3327" s="1" t="str">
        <x:v>Hyper Beam</x:v>
      </x:c>
      <x:c r="E3327" s="1" t="str">
        <x:v>Normal</x:v>
      </x:c>
      <x:c r="F3327" s="1" t="str">
        <x:v>Especial</x:v>
      </x:c>
      <x:c r="G3327" s="10" t="n">
        <x:v>150</x:v>
      </x:c>
      <x:c r="H3327" s="10" t="n">
        <x:f>IF(F3327="Física",'Pokémon'!G359,IF(F3327="Especial",'Pokémon'!I359,""))</x:f>
        <x:v>125</x:v>
      </x:c>
      <x:c r="I3327" s="10" t="n">
        <x:f>IF(OR(F3327="Status",G3327=0),"",G3327+H3327)</x:f>
        <x:v>275</x:v>
      </x:c>
      <x:c r="J3327" s="10" t="n">
        <x:v>62</x:v>
      </x:c>
      <x:c r="K3327" s="12" t="n">
        <x:v>50</x:v>
      </x:c>
      <x:c r="L3327" s="1" t="str"/>
      <x:c r="M3327" s="9" t="str">
        <x:v>https://poke.idleworld.online/pokepedia/pokemon/magmortar</x:v>
      </x:c>
    </x:row>
    <x:row r="3328" ht="22" customHeight="1">
      <x:c r="A3328" s="1" t="n">
        <x:v>467</x:v>
      </x:c>
      <x:c r="B3328" s="1" t="str">
        <x:v>Magmortar</x:v>
      </x:c>
      <x:c r="C3328" s="1" t="n">
        <x:v>11</x:v>
      </x:c>
      <x:c r="D3328" s="1" t="str">
        <x:v>Fire Blast</x:v>
      </x:c>
      <x:c r="E3328" s="1" t="str">
        <x:v>Fogo</x:v>
      </x:c>
      <x:c r="F3328" s="1" t="str">
        <x:v>Especial</x:v>
      </x:c>
      <x:c r="G3328" s="10" t="n">
        <x:v>110</x:v>
      </x:c>
      <x:c r="H3328" s="10" t="n">
        <x:f>IF(F3328="Física",'Pokémon'!G359,IF(F3328="Especial",'Pokémon'!I359,""))</x:f>
        <x:v>125</x:v>
      </x:c>
      <x:c r="I3328" s="10" t="n">
        <x:f>IF(OR(F3328="Status",G3328=0),"",G3328+H3328)</x:f>
        <x:v>235</x:v>
      </x:c>
      <x:c r="J3328" s="10" t="n">
        <x:v>55</x:v>
      </x:c>
      <x:c r="K3328" s="12" t="n">
        <x:v>40</x:v>
      </x:c>
      <x:c r="L3328" s="1" t="str"/>
      <x:c r="M3328" s="9" t="str">
        <x:v>https://poke.idleworld.online/pokepedia/pokemon/magmortar</x:v>
      </x:c>
    </x:row>
    <x:row r="3329" ht="22" customHeight="1">
      <x:c r="A3329" s="1" t="n">
        <x:v>467</x:v>
      </x:c>
      <x:c r="B3329" s="1" t="str">
        <x:v>Magmortar</x:v>
      </x:c>
      <x:c r="C3329" s="1" t="n">
        <x:v>10</x:v>
      </x:c>
      <x:c r="D3329" s="1" t="str">
        <x:v>Flamethrower</x:v>
      </x:c>
      <x:c r="E3329" s="1" t="str">
        <x:v>Fogo</x:v>
      </x:c>
      <x:c r="F3329" s="1" t="str">
        <x:v>Especial</x:v>
      </x:c>
      <x:c r="G3329" s="10" t="n">
        <x:v>90</x:v>
      </x:c>
      <x:c r="H3329" s="10" t="n">
        <x:f>IF(F3329="Física",'Pokémon'!G359,IF(F3329="Especial",'Pokémon'!I359,""))</x:f>
        <x:v>125</x:v>
      </x:c>
      <x:c r="I3329" s="10" t="n">
        <x:f>IF(OR(F3329="Status",G3329=0),"",G3329+H3329)</x:f>
        <x:v>215</x:v>
      </x:c>
      <x:c r="J3329" s="10" t="n">
        <x:v>49</x:v>
      </x:c>
      <x:c r="K3329" s="12" t="n">
        <x:v>30</x:v>
      </x:c>
      <x:c r="L3329" s="1" t="str"/>
      <x:c r="M3329" s="9" t="str">
        <x:v>https://poke.idleworld.online/pokepedia/pokemon/magmortar</x:v>
      </x:c>
    </x:row>
    <x:row r="3330" ht="22" customHeight="1">
      <x:c r="A3330" s="1" t="n">
        <x:v>467</x:v>
      </x:c>
      <x:c r="B3330" s="1" t="str">
        <x:v>Magmortar</x:v>
      </x:c>
      <x:c r="C3330" s="1" t="n">
        <x:v>9</x:v>
      </x:c>
      <x:c r="D3330" s="1" t="str">
        <x:v>Lava Plume</x:v>
      </x:c>
      <x:c r="E3330" s="1" t="str">
        <x:v>Fogo</x:v>
      </x:c>
      <x:c r="F3330" s="1" t="str">
        <x:v>Especial</x:v>
      </x:c>
      <x:c r="G3330" s="10" t="n">
        <x:v>80</x:v>
      </x:c>
      <x:c r="H3330" s="10" t="n">
        <x:f>IF(F3330="Física",'Pokémon'!G359,IF(F3330="Especial",'Pokémon'!I359,""))</x:f>
        <x:v>125</x:v>
      </x:c>
      <x:c r="I3330" s="10" t="n">
        <x:f>IF(OR(F3330="Status",G3330=0),"",G3330+H3330)</x:f>
        <x:v>205</x:v>
      </x:c>
      <x:c r="J3330" s="10" t="n">
        <x:v>36</x:v>
      </x:c>
      <x:c r="K3330" s="12" t="n">
        <x:v>22</x:v>
      </x:c>
      <x:c r="L3330" s="1" t="str"/>
      <x:c r="M3330" s="9" t="str">
        <x:v>https://poke.idleworld.online/pokepedia/pokemon/magmortar</x:v>
      </x:c>
    </x:row>
    <x:row r="3331" ht="22" customHeight="1">
      <x:c r="A3331" s="1" t="n">
        <x:v>467</x:v>
      </x:c>
      <x:c r="B3331" s="1" t="str">
        <x:v>Magmortar</x:v>
      </x:c>
      <x:c r="C3331" s="1" t="n">
        <x:v>7</x:v>
      </x:c>
      <x:c r="D3331" s="1" t="str">
        <x:v>Flame Burst</x:v>
      </x:c>
      <x:c r="E3331" s="1" t="str">
        <x:v>Fogo</x:v>
      </x:c>
      <x:c r="F3331" s="1" t="str">
        <x:v>Especial</x:v>
      </x:c>
      <x:c r="G3331" s="10" t="n">
        <x:v>70</x:v>
      </x:c>
      <x:c r="H3331" s="10" t="n">
        <x:f>IF(F3331="Física",'Pokémon'!G359,IF(F3331="Especial",'Pokémon'!I359,""))</x:f>
        <x:v>125</x:v>
      </x:c>
      <x:c r="I3331" s="10" t="n">
        <x:f>IF(OR(F3331="Status",G3331=0),"",G3331+H3331)</x:f>
        <x:v>195</x:v>
      </x:c>
      <x:c r="J3331" s="10" t="n">
        <x:v>22</x:v>
      </x:c>
      <x:c r="K3331" s="12" t="n">
        <x:v>20</x:v>
      </x:c>
      <x:c r="L3331" s="1" t="str"/>
      <x:c r="M3331" s="9" t="str">
        <x:v>https://poke.idleworld.online/pokepedia/pokemon/magmortar</x:v>
      </x:c>
    </x:row>
    <x:row r="3332" ht="22" customHeight="1">
      <x:c r="A3332" s="1" t="n">
        <x:v>467</x:v>
      </x:c>
      <x:c r="B3332" s="1" t="str">
        <x:v>Magmortar</x:v>
      </x:c>
      <x:c r="C3332" s="1" t="n">
        <x:v>6</x:v>
      </x:c>
      <x:c r="D3332" s="1" t="str">
        <x:v>Clear Smog</x:v>
      </x:c>
      <x:c r="E3332" s="1" t="str">
        <x:v>Venenoso</x:v>
      </x:c>
      <x:c r="F3332" s="1" t="str">
        <x:v>Especial</x:v>
      </x:c>
      <x:c r="G3332" s="10" t="n">
        <x:v>50</x:v>
      </x:c>
      <x:c r="H3332" s="10" t="n">
        <x:f>IF(F3332="Física",'Pokémon'!G359,IF(F3332="Especial",'Pokémon'!I359,""))</x:f>
        <x:v>125</x:v>
      </x:c>
      <x:c r="I3332" s="10" t="n">
        <x:f>IF(OR(F3332="Status",G3332=0),"",G3332+H3332)</x:f>
        <x:v>175</x:v>
      </x:c>
      <x:c r="J3332" s="10" t="n">
        <x:v>19</x:v>
      </x:c>
      <x:c r="K3332" s="12" t="n">
        <x:v>15</x:v>
      </x:c>
      <x:c r="L3332" s="1" t="str"/>
      <x:c r="M3332" s="9" t="str">
        <x:v>https://poke.idleworld.online/pokepedia/pokemon/magmortar</x:v>
      </x:c>
    </x:row>
    <x:row r="3333" ht="22" customHeight="1">
      <x:c r="A3333" s="1" t="n">
        <x:v>467</x:v>
      </x:c>
      <x:c r="B3333" s="1" t="str">
        <x:v>Magmortar</x:v>
      </x:c>
      <x:c r="C3333" s="1" t="n">
        <x:v>3</x:v>
      </x:c>
      <x:c r="D3333" s="1" t="str">
        <x:v>Thunder Punch</x:v>
      </x:c>
      <x:c r="E3333" s="1" t="str">
        <x:v>Elétrico</x:v>
      </x:c>
      <x:c r="F3333" s="1" t="str">
        <x:v>Física</x:v>
      </x:c>
      <x:c r="G3333" s="10" t="n">
        <x:v>75</x:v>
      </x:c>
      <x:c r="H3333" s="10" t="n">
        <x:f>IF(F3333="Física",'Pokémon'!G359,IF(F3333="Especial",'Pokémon'!I359,""))</x:f>
        <x:v>95</x:v>
      </x:c>
      <x:c r="I3333" s="10" t="n">
        <x:f>IF(OR(F3333="Status",G3333=0),"",G3333+H3333)</x:f>
        <x:v>170</x:v>
      </x:c>
      <x:c r="J3333" s="10" t="n">
        <x:v>1</x:v>
      </x:c>
      <x:c r="K3333" s="12" t="n">
        <x:v>22</x:v>
      </x:c>
      <x:c r="L3333" s="1" t="str"/>
      <x:c r="M3333" s="9" t="str">
        <x:v>https://poke.idleworld.online/pokepedia/pokemon/magmortar</x:v>
      </x:c>
    </x:row>
    <x:row r="3334" ht="22" customHeight="1">
      <x:c r="A3334" s="1" t="n">
        <x:v>467</x:v>
      </x:c>
      <x:c r="B3334" s="1" t="str">
        <x:v>Magmortar</x:v>
      </x:c>
      <x:c r="C3334" s="1" t="n">
        <x:v>8</x:v>
      </x:c>
      <x:c r="D3334" s="1" t="str">
        <x:v>Fire Punch</x:v>
      </x:c>
      <x:c r="E3334" s="1" t="str">
        <x:v>Fogo</x:v>
      </x:c>
      <x:c r="F3334" s="1" t="str">
        <x:v>Física</x:v>
      </x:c>
      <x:c r="G3334" s="10" t="n">
        <x:v>75</x:v>
      </x:c>
      <x:c r="H3334" s="10" t="n">
        <x:f>IF(F3334="Física",'Pokémon'!G359,IF(F3334="Especial",'Pokémon'!I359,""))</x:f>
        <x:v>95</x:v>
      </x:c>
      <x:c r="I3334" s="10" t="n">
        <x:f>IF(OR(F3334="Status",G3334=0),"",G3334+H3334)</x:f>
        <x:v>170</x:v>
      </x:c>
      <x:c r="J3334" s="10" t="n">
        <x:v>29</x:v>
      </x:c>
      <x:c r="K3334" s="12" t="n">
        <x:v>22</x:v>
      </x:c>
      <x:c r="L3334" s="1" t="str"/>
      <x:c r="M3334" s="9" t="str">
        <x:v>https://poke.idleworld.online/pokepedia/pokemon/magmortar</x:v>
      </x:c>
    </x:row>
    <x:row r="3335" ht="22" customHeight="1">
      <x:c r="A3335" s="1" t="n">
        <x:v>467</x:v>
      </x:c>
      <x:c r="B3335" s="1" t="str">
        <x:v>Magmortar</x:v>
      </x:c>
      <x:c r="C3335" s="1" t="n">
        <x:v>1</x:v>
      </x:c>
      <x:c r="D3335" s="1" t="str">
        <x:v>Ember</x:v>
      </x:c>
      <x:c r="E3335" s="1" t="str">
        <x:v>Fogo</x:v>
      </x:c>
      <x:c r="F3335" s="1" t="str">
        <x:v>Especial</x:v>
      </x:c>
      <x:c r="G3335" s="10" t="n">
        <x:v>40</x:v>
      </x:c>
      <x:c r="H3335" s="10" t="n">
        <x:f>IF(F3335="Física",'Pokémon'!G359,IF(F3335="Especial",'Pokémon'!I359,""))</x:f>
        <x:v>125</x:v>
      </x:c>
      <x:c r="I3335" s="10" t="n">
        <x:f>IF(OR(F3335="Status",G3335=0),"",G3335+H3335)</x:f>
        <x:v>165</x:v>
      </x:c>
      <x:c r="J3335" s="10" t="n">
        <x:v>1</x:v>
      </x:c>
      <x:c r="K3335" s="12" t="n">
        <x:v>12</x:v>
      </x:c>
      <x:c r="L3335" s="1" t="str"/>
      <x:c r="M3335" s="9" t="str">
        <x:v>https://poke.idleworld.online/pokepedia/pokemon/magmortar</x:v>
      </x:c>
    </x:row>
    <x:row r="3336" ht="22" customHeight="1">
      <x:c r="A3336" s="1" t="n">
        <x:v>467</x:v>
      </x:c>
      <x:c r="B3336" s="1" t="str">
        <x:v>Magmortar</x:v>
      </x:c>
      <x:c r="C3336" s="1" t="n">
        <x:v>5</x:v>
      </x:c>
      <x:c r="D3336" s="1" t="str">
        <x:v>Fire Spin</x:v>
      </x:c>
      <x:c r="E3336" s="1" t="str">
        <x:v>Fogo</x:v>
      </x:c>
      <x:c r="F3336" s="1" t="str">
        <x:v>Especial</x:v>
      </x:c>
      <x:c r="G3336" s="10" t="n">
        <x:v>35</x:v>
      </x:c>
      <x:c r="H3336" s="10" t="n">
        <x:f>IF(F3336="Física",'Pokémon'!G359,IF(F3336="Especial",'Pokémon'!I359,""))</x:f>
        <x:v>125</x:v>
      </x:c>
      <x:c r="I3336" s="10" t="n">
        <x:f>IF(OR(F3336="Status",G3336=0),"",G3336+H3336)</x:f>
        <x:v>160</x:v>
      </x:c>
      <x:c r="J3336" s="10" t="n">
        <x:v>15</x:v>
      </x:c>
      <x:c r="K3336" s="12" t="n">
        <x:v>15</x:v>
      </x:c>
      <x:c r="L3336" s="1" t="str"/>
      <x:c r="M3336" s="9" t="str">
        <x:v>https://poke.idleworld.online/pokepedia/pokemon/magmortar</x:v>
      </x:c>
    </x:row>
    <x:row r="3337" ht="22" customHeight="1">
      <x:c r="A3337" s="1" t="n">
        <x:v>467</x:v>
      </x:c>
      <x:c r="B3337" s="1" t="str">
        <x:v>Magmortar</x:v>
      </x:c>
      <x:c r="C3337" s="1" t="n">
        <x:v>4</x:v>
      </x:c>
      <x:c r="D3337" s="1" t="str">
        <x:v>Feint Attack</x:v>
      </x:c>
      <x:c r="E3337" s="1" t="str">
        <x:v>Sombrio</x:v>
      </x:c>
      <x:c r="F3337" s="1" t="str">
        <x:v>Física</x:v>
      </x:c>
      <x:c r="G3337" s="10" t="n">
        <x:v>60</x:v>
      </x:c>
      <x:c r="H3337" s="10" t="n">
        <x:f>IF(F3337="Física",'Pokémon'!G359,IF(F3337="Especial",'Pokémon'!I359,""))</x:f>
        <x:v>95</x:v>
      </x:c>
      <x:c r="I3337" s="10" t="n">
        <x:f>IF(OR(F3337="Status",G3337=0),"",G3337+H3337)</x:f>
        <x:v>155</x:v>
      </x:c>
      <x:c r="J3337" s="10" t="n">
        <x:v>12</x:v>
      </x:c>
      <x:c r="K3337" s="12" t="n">
        <x:v>20</x:v>
      </x:c>
      <x:c r="L3337" s="1" t="str"/>
      <x:c r="M3337" s="9" t="str">
        <x:v>https://poke.idleworld.online/pokepedia/pokemon/magmortar</x:v>
      </x:c>
    </x:row>
    <x:row r="3338" ht="22" customHeight="1">
      <x:c r="A3338" s="1" t="n">
        <x:v>467</x:v>
      </x:c>
      <x:c r="B3338" s="1" t="str">
        <x:v>Magmortar</x:v>
      </x:c>
      <x:c r="C3338" s="1" t="n">
        <x:v>2</x:v>
      </x:c>
      <x:c r="D3338" s="1" t="str">
        <x:v>Smog</x:v>
      </x:c>
      <x:c r="E3338" s="1" t="str">
        <x:v>Venenoso</x:v>
      </x:c>
      <x:c r="F3338" s="1" t="str">
        <x:v>Especial</x:v>
      </x:c>
      <x:c r="G3338" s="10" t="n">
        <x:v>30</x:v>
      </x:c>
      <x:c r="H3338" s="10" t="n">
        <x:f>IF(F3338="Física",'Pokémon'!G359,IF(F3338="Especial",'Pokémon'!I359,""))</x:f>
        <x:v>125</x:v>
      </x:c>
      <x:c r="I3338" s="10" t="n">
        <x:f>IF(OR(F3338="Status",G3338=0),"",G3338+H3338)</x:f>
        <x:v>155</x:v>
      </x:c>
      <x:c r="J3338" s="10" t="n">
        <x:v>1</x:v>
      </x:c>
      <x:c r="K3338" s="12" t="n">
        <x:v>15</x:v>
      </x:c>
      <x:c r="L3338" s="1" t="str"/>
      <x:c r="M3338" s="9" t="str">
        <x:v>https://poke.idleworld.online/pokepedia/pokemon/magmortar</x:v>
      </x:c>
    </x:row>
    <x:row r="3339" ht="22" customHeight="1">
      <x:c r="A3339" s="1" t="n">
        <x:v>468</x:v>
      </x:c>
      <x:c r="B3339" s="1" t="str">
        <x:v>Togekiss</x:v>
      </x:c>
      <x:c r="C3339" s="1" t="n">
        <x:v>2</x:v>
      </x:c>
      <x:c r="D3339" s="1" t="str">
        <x:v>Aura Sphere</x:v>
      </x:c>
      <x:c r="E3339" s="1" t="str">
        <x:v>Lutador</x:v>
      </x:c>
      <x:c r="F3339" s="1" t="str">
        <x:v>Especial</x:v>
      </x:c>
      <x:c r="G3339" s="10" t="n">
        <x:v>80</x:v>
      </x:c>
      <x:c r="H3339" s="10" t="n">
        <x:f>IF(F3339="Física",'Pokémon'!G360,IF(F3339="Especial",'Pokémon'!I360,""))</x:f>
        <x:v>120</x:v>
      </x:c>
      <x:c r="I3339" s="10" t="n">
        <x:f>IF(OR(F3339="Status",G3339=0),"",G3339+H3339)</x:f>
        <x:v>200</x:v>
      </x:c>
      <x:c r="J3339" s="10" t="n">
        <x:v>1</x:v>
      </x:c>
      <x:c r="K3339" s="12" t="n">
        <x:v>35</x:v>
      </x:c>
      <x:c r="L3339" s="1" t="str"/>
      <x:c r="M3339" s="9" t="str">
        <x:v>https://poke.idleworld.online/pokepedia/pokemon/togekiss</x:v>
      </x:c>
    </x:row>
    <x:row r="3340" ht="22" customHeight="1">
      <x:c r="A3340" s="1" t="n">
        <x:v>468</x:v>
      </x:c>
      <x:c r="B3340" s="1" t="str">
        <x:v>Togekiss</x:v>
      </x:c>
      <x:c r="C3340" s="1" t="n">
        <x:v>1</x:v>
      </x:c>
      <x:c r="D3340" s="1" t="str">
        <x:v>Air Slash</x:v>
      </x:c>
      <x:c r="E3340" s="1" t="str">
        <x:v>Voador</x:v>
      </x:c>
      <x:c r="F3340" s="1" t="str">
        <x:v>Especial</x:v>
      </x:c>
      <x:c r="G3340" s="10" t="n">
        <x:v>75</x:v>
      </x:c>
      <x:c r="H3340" s="10" t="n">
        <x:f>IF(F3340="Física",'Pokémon'!G360,IF(F3340="Especial",'Pokémon'!I360,""))</x:f>
        <x:v>120</x:v>
      </x:c>
      <x:c r="I3340" s="10" t="n">
        <x:f>IF(OR(F3340="Status",G3340=0),"",G3340+H3340)</x:f>
        <x:v>195</x:v>
      </x:c>
      <x:c r="J3340" s="10" t="n">
        <x:v>1</x:v>
      </x:c>
      <x:c r="K3340" s="12" t="n">
        <x:v>12</x:v>
      </x:c>
      <x:c r="L3340" s="1" t="str"/>
      <x:c r="M3340" s="9" t="str">
        <x:v>https://poke.idleworld.online/pokepedia/pokemon/togekiss</x:v>
      </x:c>
    </x:row>
    <x:row r="3341" ht="22" customHeight="1">
      <x:c r="A3341" s="1" t="n">
        <x:v>468</x:v>
      </x:c>
      <x:c r="B3341" s="1" t="str">
        <x:v>Togekiss</x:v>
      </x:c>
      <x:c r="C3341" s="1" t="n">
        <x:v>3</x:v>
      </x:c>
      <x:c r="D3341" s="1" t="str">
        <x:v>Sky Attack</x:v>
      </x:c>
      <x:c r="E3341" s="1" t="str">
        <x:v>Voador</x:v>
      </x:c>
      <x:c r="F3341" s="1" t="str">
        <x:v>Física</x:v>
      </x:c>
      <x:c r="G3341" s="10" t="n">
        <x:v>140</x:v>
      </x:c>
      <x:c r="H3341" s="10" t="n">
        <x:f>IF(F3341="Física",'Pokémon'!G360,IF(F3341="Especial",'Pokémon'!I360,""))</x:f>
        <x:v>50</x:v>
      </x:c>
      <x:c r="I3341" s="10" t="n">
        <x:f>IF(OR(F3341="Status",G3341=0),"",G3341+H3341)</x:f>
        <x:v>190</x:v>
      </x:c>
      <x:c r="J3341" s="10" t="n">
        <x:v>1</x:v>
      </x:c>
      <x:c r="K3341" s="12" t="n">
        <x:v>50</x:v>
      </x:c>
      <x:c r="L3341" s="1" t="str"/>
      <x:c r="M3341" s="9" t="str">
        <x:v>https://poke.idleworld.online/pokepedia/pokemon/togekiss</x:v>
      </x:c>
    </x:row>
    <x:row r="3342" ht="22" customHeight="1">
      <x:c r="A3342" s="1" t="n">
        <x:v>468</x:v>
      </x:c>
      <x:c r="B3342" s="1" t="str">
        <x:v>Togekiss</x:v>
      </x:c>
      <x:c r="C3342" s="1" t="n">
        <x:v>4</x:v>
      </x:c>
      <x:c r="D3342" s="1" t="str">
        <x:v>Extreme Speed</x:v>
      </x:c>
      <x:c r="E3342" s="1" t="str">
        <x:v>Normal</x:v>
      </x:c>
      <x:c r="F3342" s="1" t="str">
        <x:v>Física</x:v>
      </x:c>
      <x:c r="G3342" s="10" t="n">
        <x:v>80</x:v>
      </x:c>
      <x:c r="H3342" s="10" t="n">
        <x:f>IF(F3342="Física",'Pokémon'!G360,IF(F3342="Especial",'Pokémon'!I360,""))</x:f>
        <x:v>50</x:v>
      </x:c>
      <x:c r="I3342" s="10" t="n">
        <x:f>IF(OR(F3342="Status",G3342=0),"",G3342+H3342)</x:f>
        <x:v>130</x:v>
      </x:c>
      <x:c r="J3342" s="10" t="n">
        <x:v>1</x:v>
      </x:c>
      <x:c r="K3342" s="12" t="n">
        <x:v>22</x:v>
      </x:c>
      <x:c r="L3342" s="1" t="str"/>
      <x:c r="M3342" s="9" t="str">
        <x:v>https://poke.idleworld.online/pokepedia/pokemon/togekiss</x:v>
      </x:c>
    </x:row>
    <x:row r="3343" ht="22" customHeight="1">
      <x:c r="A3343" s="1" t="n">
        <x:v>470</x:v>
      </x:c>
      <x:c r="B3343" s="1" t="str">
        <x:v>Leafeon</x:v>
      </x:c>
      <x:c r="C3343" s="1" t="n">
        <x:v>2</x:v>
      </x:c>
      <x:c r="D3343" s="1" t="str">
        <x:v>Petal Bloom</x:v>
      </x:c>
      <x:c r="E3343" s="1" t="str">
        <x:v>Planta</x:v>
      </x:c>
      <x:c r="F3343" s="1" t="str">
        <x:v>Especial</x:v>
      </x:c>
      <x:c r="G3343" s="10" t="n">
        <x:v>300</x:v>
      </x:c>
      <x:c r="H3343" s="10" t="n">
        <x:f>IF(F3343="Física",'Pokémon'!G361,IF(F3343="Especial",'Pokémon'!I361,""))</x:f>
        <x:v>60</x:v>
      </x:c>
      <x:c r="I3343" s="10" t="n">
        <x:f>IF(OR(F3343="Status",G3343=0),"",G3343+H3343)</x:f>
        <x:v>360</x:v>
      </x:c>
      <x:c r="J3343" s="10" t="n">
        <x:v>1</x:v>
      </x:c>
      <x:c r="K3343" s="12" t="n">
        <x:v>10</x:v>
      </x:c>
      <x:c r="L3343" s="1" t="str">
        <x:v>Sim</x:v>
      </x:c>
      <x:c r="M3343" s="9" t="str">
        <x:v>https://poke.idleworld.online/pokepedia/pokemon/leafeon</x:v>
      </x:c>
    </x:row>
    <x:row r="3344" ht="22" customHeight="1">
      <x:c r="A3344" s="1" t="n">
        <x:v>470</x:v>
      </x:c>
      <x:c r="B3344" s="1" t="str">
        <x:v>Leafeon</x:v>
      </x:c>
      <x:c r="C3344" s="1" t="n">
        <x:v>7</x:v>
      </x:c>
      <x:c r="D3344" s="1" t="str">
        <x:v>Last Resort</x:v>
      </x:c>
      <x:c r="E3344" s="1" t="str">
        <x:v>Normal</x:v>
      </x:c>
      <x:c r="F3344" s="1" t="str">
        <x:v>Física</x:v>
      </x:c>
      <x:c r="G3344" s="10" t="n">
        <x:v>140</x:v>
      </x:c>
      <x:c r="H3344" s="10" t="n">
        <x:f>IF(F3344="Física",'Pokémon'!G361,IF(F3344="Especial",'Pokémon'!I361,""))</x:f>
        <x:v>110</x:v>
      </x:c>
      <x:c r="I3344" s="10" t="n">
        <x:f>IF(OR(F3344="Status",G3344=0),"",G3344+H3344)</x:f>
        <x:v>250</x:v>
      </x:c>
      <x:c r="J3344" s="10" t="n">
        <x:v>41</x:v>
      </x:c>
      <x:c r="K3344" s="12" t="n">
        <x:v>50</x:v>
      </x:c>
      <x:c r="L3344" s="1" t="str"/>
      <x:c r="M3344" s="9" t="str">
        <x:v>https://poke.idleworld.online/pokepedia/pokemon/leafeon</x:v>
      </x:c>
    </x:row>
    <x:row r="3345" ht="22" customHeight="1">
      <x:c r="A3345" s="1" t="n">
        <x:v>470</x:v>
      </x:c>
      <x:c r="B3345" s="1" t="str">
        <x:v>Leafeon</x:v>
      </x:c>
      <x:c r="C3345" s="1" t="n">
        <x:v>8</x:v>
      </x:c>
      <x:c r="D3345" s="1" t="str">
        <x:v>Leaf Blade</x:v>
      </x:c>
      <x:c r="E3345" s="1" t="str">
        <x:v>Planta</x:v>
      </x:c>
      <x:c r="F3345" s="1" t="str">
        <x:v>Física</x:v>
      </x:c>
      <x:c r="G3345" s="10" t="n">
        <x:v>90</x:v>
      </x:c>
      <x:c r="H3345" s="10" t="n">
        <x:f>IF(F3345="Física",'Pokémon'!G361,IF(F3345="Especial",'Pokémon'!I361,""))</x:f>
        <x:v>110</x:v>
      </x:c>
      <x:c r="I3345" s="10" t="n">
        <x:f>IF(OR(F3345="Status",G3345=0),"",G3345+H3345)</x:f>
        <x:v>200</x:v>
      </x:c>
      <x:c r="J3345" s="10" t="n">
        <x:v>45</x:v>
      </x:c>
      <x:c r="K3345" s="12" t="n">
        <x:v>20</x:v>
      </x:c>
      <x:c r="L3345" s="1" t="str"/>
      <x:c r="M3345" s="9" t="str">
        <x:v>https://poke.idleworld.online/pokepedia/pokemon/leafeon</x:v>
      </x:c>
    </x:row>
    <x:row r="3346" ht="22" customHeight="1">
      <x:c r="A3346" s="1" t="n">
        <x:v>470</x:v>
      </x:c>
      <x:c r="B3346" s="1" t="str">
        <x:v>Leafeon</x:v>
      </x:c>
      <x:c r="C3346" s="1" t="n">
        <x:v>3</x:v>
      </x:c>
      <x:c r="D3346" s="1" t="str">
        <x:v>Razor Leaf</x:v>
      </x:c>
      <x:c r="E3346" s="1" t="str">
        <x:v>Planta</x:v>
      </x:c>
      <x:c r="F3346" s="1" t="str">
        <x:v>Física</x:v>
      </x:c>
      <x:c r="G3346" s="10" t="n">
        <x:v>55</x:v>
      </x:c>
      <x:c r="H3346" s="10" t="n">
        <x:f>IF(F3346="Física",'Pokémon'!G361,IF(F3346="Especial",'Pokémon'!I361,""))</x:f>
        <x:v>110</x:v>
      </x:c>
      <x:c r="I3346" s="10" t="n">
        <x:f>IF(OR(F3346="Status",G3346=0),"",G3346+H3346)</x:f>
        <x:v>165</x:v>
      </x:c>
      <x:c r="J3346" s="10" t="n">
        <x:v>9</x:v>
      </x:c>
      <x:c r="K3346" s="12" t="n">
        <x:v>10</x:v>
      </x:c>
      <x:c r="L3346" s="1" t="str"/>
      <x:c r="M3346" s="9" t="str">
        <x:v>https://poke.idleworld.online/pokepedia/pokemon/leafeon</x:v>
      </x:c>
    </x:row>
    <x:row r="3347" ht="22" customHeight="1">
      <x:c r="A3347" s="1" t="n">
        <x:v>470</x:v>
      </x:c>
      <x:c r="B3347" s="1" t="str">
        <x:v>Leafeon</x:v>
      </x:c>
      <x:c r="C3347" s="1" t="n">
        <x:v>1</x:v>
      </x:c>
      <x:c r="D3347" s="1" t="str">
        <x:v>Tackle</x:v>
      </x:c>
      <x:c r="E3347" s="1" t="str">
        <x:v>Normal</x:v>
      </x:c>
      <x:c r="F3347" s="1" t="str">
        <x:v>Física</x:v>
      </x:c>
      <x:c r="G3347" s="10" t="n">
        <x:v>50</x:v>
      </x:c>
      <x:c r="H3347" s="10" t="n">
        <x:f>IF(F3347="Física",'Pokémon'!G361,IF(F3347="Especial",'Pokémon'!I361,""))</x:f>
        <x:v>110</x:v>
      </x:c>
      <x:c r="I3347" s="10" t="n">
        <x:f>IF(OR(F3347="Status",G3347=0),"",G3347+H3347)</x:f>
        <x:v>160</x:v>
      </x:c>
      <x:c r="J3347" s="10" t="n">
        <x:v>1</x:v>
      </x:c>
      <x:c r="K3347" s="12" t="n">
        <x:v>15</x:v>
      </x:c>
      <x:c r="L3347" s="1" t="str"/>
      <x:c r="M3347" s="9" t="str">
        <x:v>https://poke.idleworld.online/pokepedia/pokemon/leafeon</x:v>
      </x:c>
    </x:row>
    <x:row r="3348" ht="22" customHeight="1">
      <x:c r="A3348" s="1" t="n">
        <x:v>470</x:v>
      </x:c>
      <x:c r="B3348" s="1" t="str">
        <x:v>Leafeon</x:v>
      </x:c>
      <x:c r="C3348" s="1" t="n">
        <x:v>4</x:v>
      </x:c>
      <x:c r="D3348" s="1" t="str">
        <x:v>Quick Attack</x:v>
      </x:c>
      <x:c r="E3348" s="1" t="str">
        <x:v>Normal</x:v>
      </x:c>
      <x:c r="F3348" s="1" t="str">
        <x:v>Física</x:v>
      </x:c>
      <x:c r="G3348" s="10" t="n">
        <x:v>40</x:v>
      </x:c>
      <x:c r="H3348" s="10" t="n">
        <x:f>IF(F3348="Física",'Pokémon'!G361,IF(F3348="Especial",'Pokémon'!I361,""))</x:f>
        <x:v>110</x:v>
      </x:c>
      <x:c r="I3348" s="10" t="n">
        <x:f>IF(OR(F3348="Status",G3348=0),"",G3348+H3348)</x:f>
        <x:v>150</x:v>
      </x:c>
      <x:c r="J3348" s="10" t="n">
        <x:v>13</x:v>
      </x:c>
      <x:c r="K3348" s="12" t="n">
        <x:v>8</x:v>
      </x:c>
      <x:c r="L3348" s="1" t="str"/>
      <x:c r="M3348" s="9" t="str">
        <x:v>https://poke.idleworld.online/pokepedia/pokemon/leafeon</x:v>
      </x:c>
    </x:row>
    <x:row r="3349" ht="22" customHeight="1">
      <x:c r="A3349" s="1" t="n">
        <x:v>470</x:v>
      </x:c>
      <x:c r="B3349" s="1" t="str">
        <x:v>Leafeon</x:v>
      </x:c>
      <x:c r="C3349" s="1" t="n">
        <x:v>6</x:v>
      </x:c>
      <x:c r="D3349" s="1" t="str">
        <x:v>Giga Drain</x:v>
      </x:c>
      <x:c r="E3349" s="1" t="str">
        <x:v>Planta</x:v>
      </x:c>
      <x:c r="F3349" s="1" t="str">
        <x:v>Especial</x:v>
      </x:c>
      <x:c r="G3349" s="10" t="n">
        <x:v>75</x:v>
      </x:c>
      <x:c r="H3349" s="10" t="n">
        <x:f>IF(F3349="Física",'Pokémon'!G361,IF(F3349="Especial",'Pokémon'!I361,""))</x:f>
        <x:v>60</x:v>
      </x:c>
      <x:c r="I3349" s="10" t="n">
        <x:f>IF(OR(F3349="Status",G3349=0),"",G3349+H3349)</x:f>
        <x:v>135</x:v>
      </x:c>
      <x:c r="J3349" s="10" t="n">
        <x:v>25</x:v>
      </x:c>
      <x:c r="K3349" s="12" t="n">
        <x:v>25</x:v>
      </x:c>
      <x:c r="L3349" s="1" t="str"/>
      <x:c r="M3349" s="9" t="str">
        <x:v>https://poke.idleworld.online/pokepedia/pokemon/leafeon</x:v>
      </x:c>
    </x:row>
    <x:row r="3350" ht="22" customHeight="1">
      <x:c r="A3350" s="1" t="n">
        <x:v>470</x:v>
      </x:c>
      <x:c r="B3350" s="1" t="str">
        <x:v>Leafeon</x:v>
      </x:c>
      <x:c r="C3350" s="1" t="n">
        <x:v>5</x:v>
      </x:c>
      <x:c r="D3350" s="1" t="str">
        <x:v>Magical Leaf</x:v>
      </x:c>
      <x:c r="E3350" s="1" t="str">
        <x:v>Planta</x:v>
      </x:c>
      <x:c r="F3350" s="1" t="str">
        <x:v>Especial</x:v>
      </x:c>
      <x:c r="G3350" s="10" t="n">
        <x:v>60</x:v>
      </x:c>
      <x:c r="H3350" s="10" t="n">
        <x:f>IF(F3350="Física",'Pokémon'!G361,IF(F3350="Especial",'Pokémon'!I361,""))</x:f>
        <x:v>60</x:v>
      </x:c>
      <x:c r="I3350" s="10" t="n">
        <x:f>IF(OR(F3350="Status",G3350=0),"",G3350+H3350)</x:f>
        <x:v>120</x:v>
      </x:c>
      <x:c r="J3350" s="10" t="n">
        <x:v>20</x:v>
      </x:c>
      <x:c r="K3350" s="12" t="n">
        <x:v>12</x:v>
      </x:c>
      <x:c r="L3350" s="1" t="str"/>
      <x:c r="M3350" s="9" t="str">
        <x:v>https://poke.idleworld.online/pokepedia/pokemon/leafeon</x:v>
      </x:c>
    </x:row>
    <x:row r="3351" ht="22" customHeight="1">
      <x:c r="A3351" s="1" t="n">
        <x:v>471</x:v>
      </x:c>
      <x:c r="B3351" s="1" t="str">
        <x:v>Glaceon</x:v>
      </x:c>
      <x:c r="C3351" s="1" t="n">
        <x:v>2</x:v>
      </x:c>
      <x:c r="D3351" s="1" t="str">
        <x:v>Ice Time</x:v>
      </x:c>
      <x:c r="E3351" s="1" t="str">
        <x:v>Gelo</x:v>
      </x:c>
      <x:c r="F3351" s="1" t="str">
        <x:v>Especial</x:v>
      </x:c>
      <x:c r="G3351" s="10" t="n">
        <x:v>300</x:v>
      </x:c>
      <x:c r="H3351" s="10" t="n">
        <x:f>IF(F3351="Física",'Pokémon'!G362,IF(F3351="Especial",'Pokémon'!I362,""))</x:f>
        <x:v>130</x:v>
      </x:c>
      <x:c r="I3351" s="10" t="n">
        <x:f>IF(OR(F3351="Status",G3351=0),"",G3351+H3351)</x:f>
        <x:v>430</x:v>
      </x:c>
      <x:c r="J3351" s="10" t="n">
        <x:v>1</x:v>
      </x:c>
      <x:c r="K3351" s="12" t="n">
        <x:v>10</x:v>
      </x:c>
      <x:c r="L3351" s="1" t="str">
        <x:v>Sim</x:v>
      </x:c>
      <x:c r="M3351" s="9" t="str">
        <x:v>https://poke.idleworld.online/pokepedia/pokemon/glaceon</x:v>
      </x:c>
    </x:row>
    <x:row r="3352" ht="22" customHeight="1">
      <x:c r="A3352" s="1" t="n">
        <x:v>471</x:v>
      </x:c>
      <x:c r="B3352" s="1" t="str">
        <x:v>Glaceon</x:v>
      </x:c>
      <x:c r="C3352" s="1" t="n">
        <x:v>9</x:v>
      </x:c>
      <x:c r="D3352" s="1" t="str">
        <x:v>Blizzard</x:v>
      </x:c>
      <x:c r="E3352" s="1" t="str">
        <x:v>Gelo</x:v>
      </x:c>
      <x:c r="F3352" s="1" t="str">
        <x:v>Especial</x:v>
      </x:c>
      <x:c r="G3352" s="10" t="n">
        <x:v>110</x:v>
      </x:c>
      <x:c r="H3352" s="10" t="n">
        <x:f>IF(F3352="Física",'Pokémon'!G362,IF(F3352="Especial",'Pokémon'!I362,""))</x:f>
        <x:v>130</x:v>
      </x:c>
      <x:c r="I3352" s="10" t="n">
        <x:f>IF(OR(F3352="Status",G3352=0),"",G3352+H3352)</x:f>
        <x:v>240</x:v>
      </x:c>
      <x:c r="J3352" s="10" t="n">
        <x:v>45</x:v>
      </x:c>
      <x:c r="K3352" s="12" t="n">
        <x:v>40</x:v>
      </x:c>
      <x:c r="L3352" s="1" t="str"/>
      <x:c r="M3352" s="9" t="str">
        <x:v>https://poke.idleworld.online/pokepedia/pokemon/glaceon</x:v>
      </x:c>
    </x:row>
    <x:row r="3353" ht="22" customHeight="1">
      <x:c r="A3353" s="1" t="n">
        <x:v>471</x:v>
      </x:c>
      <x:c r="B3353" s="1" t="str">
        <x:v>Glaceon</x:v>
      </x:c>
      <x:c r="C3353" s="1" t="n">
        <x:v>8</x:v>
      </x:c>
      <x:c r="D3353" s="1" t="str">
        <x:v>Last Resort</x:v>
      </x:c>
      <x:c r="E3353" s="1" t="str">
        <x:v>Normal</x:v>
      </x:c>
      <x:c r="F3353" s="1" t="str">
        <x:v>Física</x:v>
      </x:c>
      <x:c r="G3353" s="10" t="n">
        <x:v>140</x:v>
      </x:c>
      <x:c r="H3353" s="10" t="n">
        <x:f>IF(F3353="Física",'Pokémon'!G362,IF(F3353="Especial",'Pokémon'!I362,""))</x:f>
        <x:v>60</x:v>
      </x:c>
      <x:c r="I3353" s="10" t="n">
        <x:f>IF(OR(F3353="Status",G3353=0),"",G3353+H3353)</x:f>
        <x:v>200</x:v>
      </x:c>
      <x:c r="J3353" s="10" t="n">
        <x:v>41</x:v>
      </x:c>
      <x:c r="K3353" s="12" t="n">
        <x:v>50</x:v>
      </x:c>
      <x:c r="L3353" s="1" t="str"/>
      <x:c r="M3353" s="9" t="str">
        <x:v>https://poke.idleworld.online/pokepedia/pokemon/glaceon</x:v>
      </x:c>
    </x:row>
    <x:row r="3354" ht="22" customHeight="1">
      <x:c r="A3354" s="1" t="n">
        <x:v>471</x:v>
      </x:c>
      <x:c r="B3354" s="1" t="str">
        <x:v>Glaceon</x:v>
      </x:c>
      <x:c r="C3354" s="1" t="n">
        <x:v>3</x:v>
      </x:c>
      <x:c r="D3354" s="1" t="str">
        <x:v>Icy Wind</x:v>
      </x:c>
      <x:c r="E3354" s="1" t="str">
        <x:v>Gelo</x:v>
      </x:c>
      <x:c r="F3354" s="1" t="str">
        <x:v>Especial</x:v>
      </x:c>
      <x:c r="G3354" s="10" t="n">
        <x:v>55</x:v>
      </x:c>
      <x:c r="H3354" s="10" t="n">
        <x:f>IF(F3354="Física",'Pokémon'!G362,IF(F3354="Especial",'Pokémon'!I362,""))</x:f>
        <x:v>130</x:v>
      </x:c>
      <x:c r="I3354" s="10" t="n">
        <x:f>IF(OR(F3354="Status",G3354=0),"",G3354+H3354)</x:f>
        <x:v>185</x:v>
      </x:c>
      <x:c r="J3354" s="10" t="n">
        <x:v>9</x:v>
      </x:c>
      <x:c r="K3354" s="12" t="n">
        <x:v>20</x:v>
      </x:c>
      <x:c r="L3354" s="1" t="str"/>
      <x:c r="M3354" s="9" t="str">
        <x:v>https://poke.idleworld.online/pokepedia/pokemon/glaceon</x:v>
      </x:c>
    </x:row>
    <x:row r="3355" ht="22" customHeight="1">
      <x:c r="A3355" s="1" t="n">
        <x:v>471</x:v>
      </x:c>
      <x:c r="B3355" s="1" t="str">
        <x:v>Glaceon</x:v>
      </x:c>
      <x:c r="C3355" s="1" t="n">
        <x:v>6</x:v>
      </x:c>
      <x:c r="D3355" s="1" t="str">
        <x:v>Ice Fang</x:v>
      </x:c>
      <x:c r="E3355" s="1" t="str">
        <x:v>Gelo</x:v>
      </x:c>
      <x:c r="F3355" s="1" t="str">
        <x:v>Física</x:v>
      </x:c>
      <x:c r="G3355" s="10" t="n">
        <x:v>65</x:v>
      </x:c>
      <x:c r="H3355" s="10" t="n">
        <x:f>IF(F3355="Física",'Pokémon'!G362,IF(F3355="Especial",'Pokémon'!I362,""))</x:f>
        <x:v>60</x:v>
      </x:c>
      <x:c r="I3355" s="10" t="n">
        <x:f>IF(OR(F3355="Status",G3355=0),"",G3355+H3355)</x:f>
        <x:v>125</x:v>
      </x:c>
      <x:c r="J3355" s="10" t="n">
        <x:v>20</x:v>
      </x:c>
      <x:c r="K3355" s="12" t="n">
        <x:v>25</x:v>
      </x:c>
      <x:c r="L3355" s="1" t="str"/>
      <x:c r="M3355" s="9" t="str">
        <x:v>https://poke.idleworld.online/pokepedia/pokemon/glaceon</x:v>
      </x:c>
    </x:row>
    <x:row r="3356" ht="22" customHeight="1">
      <x:c r="A3356" s="1" t="n">
        <x:v>471</x:v>
      </x:c>
      <x:c r="B3356" s="1" t="str">
        <x:v>Glaceon</x:v>
      </x:c>
      <x:c r="C3356" s="1" t="n">
        <x:v>5</x:v>
      </x:c>
      <x:c r="D3356" s="1" t="str">
        <x:v>Bite</x:v>
      </x:c>
      <x:c r="E3356" s="1" t="str">
        <x:v>Sombrio</x:v>
      </x:c>
      <x:c r="F3356" s="1" t="str">
        <x:v>Física</x:v>
      </x:c>
      <x:c r="G3356" s="10" t="n">
        <x:v>60</x:v>
      </x:c>
      <x:c r="H3356" s="10" t="n">
        <x:f>IF(F3356="Física",'Pokémon'!G362,IF(F3356="Especial",'Pokémon'!I362,""))</x:f>
        <x:v>60</x:v>
      </x:c>
      <x:c r="I3356" s="10" t="n">
        <x:f>IF(OR(F3356="Status",G3356=0),"",G3356+H3356)</x:f>
        <x:v>120</x:v>
      </x:c>
      <x:c r="J3356" s="10" t="n">
        <x:v>17</x:v>
      </x:c>
      <x:c r="K3356" s="12" t="n">
        <x:v>15</x:v>
      </x:c>
      <x:c r="L3356" s="1" t="str"/>
      <x:c r="M3356" s="9" t="str">
        <x:v>https://poke.idleworld.online/pokepedia/pokemon/glaceon</x:v>
      </x:c>
    </x:row>
    <x:row r="3357" ht="22" customHeight="1">
      <x:c r="A3357" s="1" t="n">
        <x:v>471</x:v>
      </x:c>
      <x:c r="B3357" s="1" t="str">
        <x:v>Glaceon</x:v>
      </x:c>
      <x:c r="C3357" s="1" t="n">
        <x:v>1</x:v>
      </x:c>
      <x:c r="D3357" s="1" t="str">
        <x:v>Tackle</x:v>
      </x:c>
      <x:c r="E3357" s="1" t="str">
        <x:v>Normal</x:v>
      </x:c>
      <x:c r="F3357" s="1" t="str">
        <x:v>Física</x:v>
      </x:c>
      <x:c r="G3357" s="10" t="n">
        <x:v>50</x:v>
      </x:c>
      <x:c r="H3357" s="10" t="n">
        <x:f>IF(F3357="Física",'Pokémon'!G362,IF(F3357="Especial",'Pokémon'!I362,""))</x:f>
        <x:v>60</x:v>
      </x:c>
      <x:c r="I3357" s="10" t="n">
        <x:f>IF(OR(F3357="Status",G3357=0),"",G3357+H3357)</x:f>
        <x:v>110</x:v>
      </x:c>
      <x:c r="J3357" s="10" t="n">
        <x:v>1</x:v>
      </x:c>
      <x:c r="K3357" s="12" t="n">
        <x:v>15</x:v>
      </x:c>
      <x:c r="L3357" s="1" t="str"/>
      <x:c r="M3357" s="9" t="str">
        <x:v>https://poke.idleworld.online/pokepedia/pokemon/glaceon</x:v>
      </x:c>
    </x:row>
    <x:row r="3358" ht="22" customHeight="1">
      <x:c r="A3358" s="1" t="n">
        <x:v>471</x:v>
      </x:c>
      <x:c r="B3358" s="1" t="str">
        <x:v>Glaceon</x:v>
      </x:c>
      <x:c r="C3358" s="1" t="n">
        <x:v>4</x:v>
      </x:c>
      <x:c r="D3358" s="1" t="str">
        <x:v>Quick Attack</x:v>
      </x:c>
      <x:c r="E3358" s="1" t="str">
        <x:v>Normal</x:v>
      </x:c>
      <x:c r="F3358" s="1" t="str">
        <x:v>Física</x:v>
      </x:c>
      <x:c r="G3358" s="10" t="n">
        <x:v>40</x:v>
      </x:c>
      <x:c r="H3358" s="10" t="n">
        <x:f>IF(F3358="Física",'Pokémon'!G362,IF(F3358="Especial",'Pokémon'!I362,""))</x:f>
        <x:v>60</x:v>
      </x:c>
      <x:c r="I3358" s="10" t="n">
        <x:f>IF(OR(F3358="Status",G3358=0),"",G3358+H3358)</x:f>
        <x:v>100</x:v>
      </x:c>
      <x:c r="J3358" s="10" t="n">
        <x:v>13</x:v>
      </x:c>
      <x:c r="K3358" s="12" t="n">
        <x:v>8</x:v>
      </x:c>
      <x:c r="L3358" s="1" t="str"/>
      <x:c r="M3358" s="9" t="str">
        <x:v>https://poke.idleworld.online/pokepedia/pokemon/glaceon</x:v>
      </x:c>
    </x:row>
    <x:row r="3359" ht="22" customHeight="1">
      <x:c r="A3359" s="1" t="n">
        <x:v>471</x:v>
      </x:c>
      <x:c r="B3359" s="1" t="str">
        <x:v>Glaceon</x:v>
      </x:c>
      <x:c r="C3359" s="1" t="n">
        <x:v>7</x:v>
      </x:c>
      <x:c r="D3359" s="1" t="str">
        <x:v>Ice Shard</x:v>
      </x:c>
      <x:c r="E3359" s="1" t="str">
        <x:v>Gelo</x:v>
      </x:c>
      <x:c r="F3359" s="1" t="str">
        <x:v>Física</x:v>
      </x:c>
      <x:c r="G3359" s="10" t="n">
        <x:v>40</x:v>
      </x:c>
      <x:c r="H3359" s="10" t="n">
        <x:f>IF(F3359="Física",'Pokémon'!G362,IF(F3359="Especial",'Pokémon'!I362,""))</x:f>
        <x:v>60</x:v>
      </x:c>
      <x:c r="I3359" s="10" t="n">
        <x:f>IF(OR(F3359="Status",G3359=0),"",G3359+H3359)</x:f>
        <x:v>100</x:v>
      </x:c>
      <x:c r="J3359" s="10" t="n">
        <x:v>25</x:v>
      </x:c>
      <x:c r="K3359" s="12" t="n">
        <x:v>10</x:v>
      </x:c>
      <x:c r="L3359" s="1" t="str"/>
      <x:c r="M3359" s="9" t="str">
        <x:v>https://poke.idleworld.online/pokepedia/pokemon/glaceon</x:v>
      </x:c>
    </x:row>
    <x:row r="3360" ht="22" customHeight="1">
      <x:c r="A3360" s="1" t="n">
        <x:v>472</x:v>
      </x:c>
      <x:c r="B3360" s="1" t="str">
        <x:v>Gliscor</x:v>
      </x:c>
      <x:c r="C3360" s="1" t="n">
        <x:v>1</x:v>
      </x:c>
      <x:c r="D3360" s="1" t="str">
        <x:v>Guillotine</x:v>
      </x:c>
      <x:c r="E3360" s="1" t="str">
        <x:v>Normal</x:v>
      </x:c>
      <x:c r="F3360" s="1" t="str">
        <x:v>Física</x:v>
      </x:c>
      <x:c r="G3360" s="10" t="n">
        <x:v>120</x:v>
      </x:c>
      <x:c r="H3360" s="10" t="n">
        <x:f>IF(F3360="Física",'Pokémon'!G363,IF(F3360="Especial",'Pokémon'!I363,""))</x:f>
        <x:v>95</x:v>
      </x:c>
      <x:c r="I3360" s="10" t="n">
        <x:f>IF(OR(F3360="Status",G3360=0),"",G3360+H3360)</x:f>
        <x:v>215</x:v>
      </x:c>
      <x:c r="J3360" s="10" t="n">
        <x:v>1</x:v>
      </x:c>
      <x:c r="K3360" s="12" t="n">
        <x:v>30</x:v>
      </x:c>
      <x:c r="L3360" s="1" t="str"/>
      <x:c r="M3360" s="9" t="str">
        <x:v>https://poke.idleworld.online/pokepedia/pokemon/gliscor</x:v>
      </x:c>
    </x:row>
    <x:row r="3361" ht="22" customHeight="1">
      <x:c r="A3361" s="1" t="n">
        <x:v>472</x:v>
      </x:c>
      <x:c r="B3361" s="1" t="str">
        <x:v>Gliscor</x:v>
      </x:c>
      <x:c r="C3361" s="1" t="n">
        <x:v>14</x:v>
      </x:c>
      <x:c r="D3361" s="1" t="str">
        <x:v>Sky Uppercut</x:v>
      </x:c>
      <x:c r="E3361" s="1" t="str">
        <x:v>Lutador</x:v>
      </x:c>
      <x:c r="F3361" s="1" t="str">
        <x:v>Física</x:v>
      </x:c>
      <x:c r="G3361" s="10" t="n">
        <x:v>85</x:v>
      </x:c>
      <x:c r="H3361" s="10" t="n">
        <x:f>IF(F3361="Física",'Pokémon'!G363,IF(F3361="Especial",'Pokémon'!I363,""))</x:f>
        <x:v>95</x:v>
      </x:c>
      <x:c r="I3361" s="10" t="n">
        <x:f>IF(OR(F3361="Status",G3361=0),"",G3361+H3361)</x:f>
        <x:v>180</x:v>
      </x:c>
      <x:c r="J3361" s="10" t="n">
        <x:v>45</x:v>
      </x:c>
      <x:c r="K3361" s="12" t="n">
        <x:v>22</x:v>
      </x:c>
      <x:c r="L3361" s="1" t="str"/>
      <x:c r="M3361" s="9" t="str">
        <x:v>https://poke.idleworld.online/pokepedia/pokemon/gliscor</x:v>
      </x:c>
    </x:row>
    <x:row r="3362" ht="22" customHeight="1">
      <x:c r="A3362" s="1" t="n">
        <x:v>472</x:v>
      </x:c>
      <x:c r="B3362" s="1" t="str">
        <x:v>Gliscor</x:v>
      </x:c>
      <x:c r="C3362" s="1" t="n">
        <x:v>6</x:v>
      </x:c>
      <x:c r="D3362" s="1" t="str">
        <x:v>Poison Jab</x:v>
      </x:c>
      <x:c r="E3362" s="1" t="str">
        <x:v>Venenoso</x:v>
      </x:c>
      <x:c r="F3362" s="1" t="str">
        <x:v>Física</x:v>
      </x:c>
      <x:c r="G3362" s="10" t="n">
        <x:v>80</x:v>
      </x:c>
      <x:c r="H3362" s="10" t="n">
        <x:f>IF(F3362="Física",'Pokémon'!G363,IF(F3362="Especial",'Pokémon'!I363,""))</x:f>
        <x:v>95</x:v>
      </x:c>
      <x:c r="I3362" s="10" t="n">
        <x:f>IF(OR(F3362="Status",G3362=0),"",G3362+H3362)</x:f>
        <x:v>175</x:v>
      </x:c>
      <x:c r="J3362" s="10" t="n">
        <x:v>1</x:v>
      </x:c>
      <x:c r="K3362" s="12" t="n">
        <x:v>22</x:v>
      </x:c>
      <x:c r="L3362" s="1" t="str"/>
      <x:c r="M3362" s="9" t="str">
        <x:v>https://poke.idleworld.online/pokepedia/pokemon/gliscor</x:v>
      </x:c>
    </x:row>
    <x:row r="3363" ht="22" customHeight="1">
      <x:c r="A3363" s="1" t="n">
        <x:v>472</x:v>
      </x:c>
      <x:c r="B3363" s="1" t="str">
        <x:v>Gliscor</x:v>
      </x:c>
      <x:c r="C3363" s="1" t="n">
        <x:v>13</x:v>
      </x:c>
      <x:c r="D3363" s="1" t="str">
        <x:v>X-Scissor</x:v>
      </x:c>
      <x:c r="E3363" s="1" t="str">
        <x:v>Inseto</x:v>
      </x:c>
      <x:c r="F3363" s="1" t="str">
        <x:v>Física</x:v>
      </x:c>
      <x:c r="G3363" s="10" t="n">
        <x:v>80</x:v>
      </x:c>
      <x:c r="H3363" s="10" t="n">
        <x:f>IF(F3363="Física",'Pokémon'!G363,IF(F3363="Especial",'Pokémon'!I363,""))</x:f>
        <x:v>95</x:v>
      </x:c>
      <x:c r="I3363" s="10" t="n">
        <x:f>IF(OR(F3363="Status",G3363=0),"",G3363+H3363)</x:f>
        <x:v>175</x:v>
      </x:c>
      <x:c r="J3363" s="10" t="n">
        <x:v>40</x:v>
      </x:c>
      <x:c r="K3363" s="12" t="n">
        <x:v>22</x:v>
      </x:c>
      <x:c r="L3363" s="1" t="str"/>
      <x:c r="M3363" s="9" t="str">
        <x:v>https://poke.idleworld.online/pokepedia/pokemon/gliscor</x:v>
      </x:c>
    </x:row>
    <x:row r="3364" ht="22" customHeight="1">
      <x:c r="A3364" s="1" t="n">
        <x:v>472</x:v>
      </x:c>
      <x:c r="B3364" s="1" t="str">
        <x:v>Gliscor</x:v>
      </x:c>
      <x:c r="C3364" s="1" t="n">
        <x:v>11</x:v>
      </x:c>
      <x:c r="D3364" s="1" t="str">
        <x:v>Night Slash</x:v>
      </x:c>
      <x:c r="E3364" s="1" t="str">
        <x:v>Sombrio</x:v>
      </x:c>
      <x:c r="F3364" s="1" t="str">
        <x:v>Física</x:v>
      </x:c>
      <x:c r="G3364" s="10" t="n">
        <x:v>70</x:v>
      </x:c>
      <x:c r="H3364" s="10" t="n">
        <x:f>IF(F3364="Física",'Pokémon'!G363,IF(F3364="Especial",'Pokémon'!I363,""))</x:f>
        <x:v>95</x:v>
      </x:c>
      <x:c r="I3364" s="10" t="n">
        <x:f>IF(OR(F3364="Status",G3364=0),"",G3364+H3364)</x:f>
        <x:v>165</x:v>
      </x:c>
      <x:c r="J3364" s="10" t="n">
        <x:v>27</x:v>
      </x:c>
      <x:c r="K3364" s="12" t="n">
        <x:v>20</x:v>
      </x:c>
      <x:c r="L3364" s="1" t="str"/>
      <x:c r="M3364" s="9" t="str">
        <x:v>https://poke.idleworld.online/pokepedia/pokemon/gliscor</x:v>
      </x:c>
    </x:row>
    <x:row r="3365" ht="22" customHeight="1">
      <x:c r="A3365" s="1" t="n">
        <x:v>472</x:v>
      </x:c>
      <x:c r="B3365" s="1" t="str">
        <x:v>Gliscor</x:v>
      </x:c>
      <x:c r="C3365" s="1" t="n">
        <x:v>12</x:v>
      </x:c>
      <x:c r="D3365" s="1" t="str">
        <x:v>U-turn</x:v>
      </x:c>
      <x:c r="E3365" s="1" t="str">
        <x:v>Inseto</x:v>
      </x:c>
      <x:c r="F3365" s="1" t="str">
        <x:v>Física</x:v>
      </x:c>
      <x:c r="G3365" s="10" t="n">
        <x:v>70</x:v>
      </x:c>
      <x:c r="H3365" s="10" t="n">
        <x:f>IF(F3365="Física",'Pokémon'!G363,IF(F3365="Especial",'Pokémon'!I363,""))</x:f>
        <x:v>95</x:v>
      </x:c>
      <x:c r="I3365" s="10" t="n">
        <x:f>IF(OR(F3365="Status",G3365=0),"",G3365+H3365)</x:f>
        <x:v>165</x:v>
      </x:c>
      <x:c r="J3365" s="10" t="n">
        <x:v>30</x:v>
      </x:c>
      <x:c r="K3365" s="12" t="n">
        <x:v>20</x:v>
      </x:c>
      <x:c r="L3365" s="1" t="str"/>
      <x:c r="M3365" s="9" t="str">
        <x:v>https://poke.idleworld.online/pokepedia/pokemon/gliscor</x:v>
      </x:c>
    </x:row>
    <x:row r="3366" ht="22" customHeight="1">
      <x:c r="A3366" s="1" t="n">
        <x:v>472</x:v>
      </x:c>
      <x:c r="B3366" s="1" t="str">
        <x:v>Gliscor</x:v>
      </x:c>
      <x:c r="C3366" s="1" t="n">
        <x:v>2</x:v>
      </x:c>
      <x:c r="D3366" s="1" t="str">
        <x:v>Ice Fang</x:v>
      </x:c>
      <x:c r="E3366" s="1" t="str">
        <x:v>Gelo</x:v>
      </x:c>
      <x:c r="F3366" s="1" t="str">
        <x:v>Física</x:v>
      </x:c>
      <x:c r="G3366" s="10" t="n">
        <x:v>65</x:v>
      </x:c>
      <x:c r="H3366" s="10" t="n">
        <x:f>IF(F3366="Física",'Pokémon'!G363,IF(F3366="Especial",'Pokémon'!I363,""))</x:f>
        <x:v>95</x:v>
      </x:c>
      <x:c r="I3366" s="10" t="n">
        <x:f>IF(OR(F3366="Status",G3366=0),"",G3366+H3366)</x:f>
        <x:v>160</x:v>
      </x:c>
      <x:c r="J3366" s="10" t="n">
        <x:v>1</x:v>
      </x:c>
      <x:c r="K3366" s="12" t="n">
        <x:v>25</x:v>
      </x:c>
      <x:c r="L3366" s="1" t="str"/>
      <x:c r="M3366" s="9" t="str">
        <x:v>https://poke.idleworld.online/pokepedia/pokemon/gliscor</x:v>
      </x:c>
    </x:row>
    <x:row r="3367" ht="22" customHeight="1">
      <x:c r="A3367" s="1" t="n">
        <x:v>472</x:v>
      </x:c>
      <x:c r="B3367" s="1" t="str">
        <x:v>Gliscor</x:v>
      </x:c>
      <x:c r="C3367" s="1" t="n">
        <x:v>3</x:v>
      </x:c>
      <x:c r="D3367" s="1" t="str">
        <x:v>Knock Off</x:v>
      </x:c>
      <x:c r="E3367" s="1" t="str">
        <x:v>Sombrio</x:v>
      </x:c>
      <x:c r="F3367" s="1" t="str">
        <x:v>Física</x:v>
      </x:c>
      <x:c r="G3367" s="10" t="n">
        <x:v>65</x:v>
      </x:c>
      <x:c r="H3367" s="10" t="n">
        <x:f>IF(F3367="Física",'Pokémon'!G363,IF(F3367="Especial",'Pokémon'!I363,""))</x:f>
        <x:v>95</x:v>
      </x:c>
      <x:c r="I3367" s="10" t="n">
        <x:f>IF(OR(F3367="Status",G3367=0),"",G3367+H3367)</x:f>
        <x:v>160</x:v>
      </x:c>
      <x:c r="J3367" s="10" t="n">
        <x:v>1</x:v>
      </x:c>
      <x:c r="K3367" s="12" t="n">
        <x:v>20</x:v>
      </x:c>
      <x:c r="L3367" s="1" t="str"/>
      <x:c r="M3367" s="9" t="str">
        <x:v>https://poke.idleworld.online/pokepedia/pokemon/gliscor</x:v>
      </x:c>
    </x:row>
    <x:row r="3368" ht="22" customHeight="1">
      <x:c r="A3368" s="1" t="n">
        <x:v>472</x:v>
      </x:c>
      <x:c r="B3368" s="1" t="str">
        <x:v>Gliscor</x:v>
      </x:c>
      <x:c r="C3368" s="1" t="n">
        <x:v>4</x:v>
      </x:c>
      <x:c r="D3368" s="1" t="str">
        <x:v>Thunder Fang</x:v>
      </x:c>
      <x:c r="E3368" s="1" t="str">
        <x:v>Elétrico</x:v>
      </x:c>
      <x:c r="F3368" s="1" t="str">
        <x:v>Física</x:v>
      </x:c>
      <x:c r="G3368" s="10" t="n">
        <x:v>65</x:v>
      </x:c>
      <x:c r="H3368" s="10" t="n">
        <x:f>IF(F3368="Física",'Pokémon'!G363,IF(F3368="Especial",'Pokémon'!I363,""))</x:f>
        <x:v>95</x:v>
      </x:c>
      <x:c r="I3368" s="10" t="n">
        <x:f>IF(OR(F3368="Status",G3368=0),"",G3368+H3368)</x:f>
        <x:v>160</x:v>
      </x:c>
      <x:c r="J3368" s="10" t="n">
        <x:v>1</x:v>
      </x:c>
      <x:c r="K3368" s="12" t="n">
        <x:v>20</x:v>
      </x:c>
      <x:c r="L3368" s="1" t="str"/>
      <x:c r="M3368" s="9" t="str">
        <x:v>https://poke.idleworld.online/pokepedia/pokemon/gliscor</x:v>
      </x:c>
    </x:row>
    <x:row r="3369" ht="22" customHeight="1">
      <x:c r="A3369" s="1" t="n">
        <x:v>472</x:v>
      </x:c>
      <x:c r="B3369" s="1" t="str">
        <x:v>Gliscor</x:v>
      </x:c>
      <x:c r="C3369" s="1" t="n">
        <x:v>5</x:v>
      </x:c>
      <x:c r="D3369" s="1" t="str">
        <x:v>Fire Fang</x:v>
      </x:c>
      <x:c r="E3369" s="1" t="str">
        <x:v>Fogo</x:v>
      </x:c>
      <x:c r="F3369" s="1" t="str">
        <x:v>Física</x:v>
      </x:c>
      <x:c r="G3369" s="10" t="n">
        <x:v>65</x:v>
      </x:c>
      <x:c r="H3369" s="10" t="n">
        <x:f>IF(F3369="Física",'Pokémon'!G363,IF(F3369="Especial",'Pokémon'!I363,""))</x:f>
        <x:v>95</x:v>
      </x:c>
      <x:c r="I3369" s="10" t="n">
        <x:f>IF(OR(F3369="Status",G3369=0),"",G3369+H3369)</x:f>
        <x:v>160</x:v>
      </x:c>
      <x:c r="J3369" s="10" t="n">
        <x:v>1</x:v>
      </x:c>
      <x:c r="K3369" s="12" t="n">
        <x:v>20</x:v>
      </x:c>
      <x:c r="L3369" s="1" t="str"/>
      <x:c r="M3369" s="9" t="str">
        <x:v>https://poke.idleworld.online/pokepedia/pokemon/gliscor</x:v>
      </x:c>
    </x:row>
    <x:row r="3370" ht="22" customHeight="1">
      <x:c r="A3370" s="1" t="n">
        <x:v>472</x:v>
      </x:c>
      <x:c r="B3370" s="1" t="str">
        <x:v>Gliscor</x:v>
      </x:c>
      <x:c r="C3370" s="1" t="n">
        <x:v>9</x:v>
      </x:c>
      <x:c r="D3370" s="1" t="str">
        <x:v>Feint Attack</x:v>
      </x:c>
      <x:c r="E3370" s="1" t="str">
        <x:v>Sombrio</x:v>
      </x:c>
      <x:c r="F3370" s="1" t="str">
        <x:v>Física</x:v>
      </x:c>
      <x:c r="G3370" s="10" t="n">
        <x:v>60</x:v>
      </x:c>
      <x:c r="H3370" s="10" t="n">
        <x:f>IF(F3370="Física",'Pokémon'!G363,IF(F3370="Especial",'Pokémon'!I363,""))</x:f>
        <x:v>95</x:v>
      </x:c>
      <x:c r="I3370" s="10" t="n">
        <x:f>IF(OR(F3370="Status",G3370=0),"",G3370+H3370)</x:f>
        <x:v>155</x:v>
      </x:c>
      <x:c r="J3370" s="10" t="n">
        <x:v>19</x:v>
      </x:c>
      <x:c r="K3370" s="12" t="n">
        <x:v>20</x:v>
      </x:c>
      <x:c r="L3370" s="1" t="str"/>
      <x:c r="M3370" s="9" t="str">
        <x:v>https://poke.idleworld.online/pokepedia/pokemon/gliscor</x:v>
      </x:c>
    </x:row>
    <x:row r="3371" ht="22" customHeight="1">
      <x:c r="A3371" s="1" t="n">
        <x:v>472</x:v>
      </x:c>
      <x:c r="B3371" s="1" t="str">
        <x:v>Gliscor</x:v>
      </x:c>
      <x:c r="C3371" s="1" t="n">
        <x:v>10</x:v>
      </x:c>
      <x:c r="D3371" s="1" t="str">
        <x:v>Acrobatics</x:v>
      </x:c>
      <x:c r="E3371" s="1" t="str">
        <x:v>Voador</x:v>
      </x:c>
      <x:c r="F3371" s="1" t="str">
        <x:v>Física</x:v>
      </x:c>
      <x:c r="G3371" s="10" t="n">
        <x:v>55</x:v>
      </x:c>
      <x:c r="H3371" s="10" t="n">
        <x:f>IF(F3371="Física",'Pokémon'!G363,IF(F3371="Especial",'Pokémon'!I363,""))</x:f>
        <x:v>95</x:v>
      </x:c>
      <x:c r="I3371" s="10" t="n">
        <x:f>IF(OR(F3371="Status",G3371=0),"",G3371+H3371)</x:f>
        <x:v>150</x:v>
      </x:c>
      <x:c r="J3371" s="10" t="n">
        <x:v>22</x:v>
      </x:c>
      <x:c r="K3371" s="12" t="n">
        <x:v>20</x:v>
      </x:c>
      <x:c r="L3371" s="1" t="str"/>
      <x:c r="M3371" s="9" t="str">
        <x:v>https://poke.idleworld.online/pokepedia/pokemon/gliscor</x:v>
      </x:c>
    </x:row>
    <x:row r="3372" ht="22" customHeight="1">
      <x:c r="A3372" s="1" t="n">
        <x:v>472</x:v>
      </x:c>
      <x:c r="B3372" s="1" t="str">
        <x:v>Gliscor</x:v>
      </x:c>
      <x:c r="C3372" s="1" t="n">
        <x:v>7</x:v>
      </x:c>
      <x:c r="D3372" s="1" t="str">
        <x:v>Quick Attack</x:v>
      </x:c>
      <x:c r="E3372" s="1" t="str">
        <x:v>Normal</x:v>
      </x:c>
      <x:c r="F3372" s="1" t="str">
        <x:v>Física</x:v>
      </x:c>
      <x:c r="G3372" s="10" t="n">
        <x:v>40</x:v>
      </x:c>
      <x:c r="H3372" s="10" t="n">
        <x:f>IF(F3372="Física",'Pokémon'!G363,IF(F3372="Especial",'Pokémon'!I363,""))</x:f>
        <x:v>95</x:v>
      </x:c>
      <x:c r="I3372" s="10" t="n">
        <x:f>IF(OR(F3372="Status",G3372=0),"",G3372+H3372)</x:f>
        <x:v>135</x:v>
      </x:c>
      <x:c r="J3372" s="10" t="n">
        <x:v>13</x:v>
      </x:c>
      <x:c r="K3372" s="12" t="n">
        <x:v>15</x:v>
      </x:c>
      <x:c r="L3372" s="1" t="str"/>
      <x:c r="M3372" s="9" t="str">
        <x:v>https://poke.idleworld.online/pokepedia/pokemon/gliscor</x:v>
      </x:c>
    </x:row>
    <x:row r="3373" ht="22" customHeight="1">
      <x:c r="A3373" s="1" t="n">
        <x:v>472</x:v>
      </x:c>
      <x:c r="B3373" s="1" t="str">
        <x:v>Gliscor</x:v>
      </x:c>
      <x:c r="C3373" s="1" t="n">
        <x:v>8</x:v>
      </x:c>
      <x:c r="D3373" s="1" t="str">
        <x:v>Fury Cutter</x:v>
      </x:c>
      <x:c r="E3373" s="1" t="str">
        <x:v>Inseto</x:v>
      </x:c>
      <x:c r="F3373" s="1" t="str">
        <x:v>Física</x:v>
      </x:c>
      <x:c r="G3373" s="10" t="n">
        <x:v>40</x:v>
      </x:c>
      <x:c r="H3373" s="10" t="n">
        <x:f>IF(F3373="Física",'Pokémon'!G363,IF(F3373="Especial",'Pokémon'!I363,""))</x:f>
        <x:v>95</x:v>
      </x:c>
      <x:c r="I3373" s="10" t="n">
        <x:f>IF(OR(F3373="Status",G3373=0),"",G3373+H3373)</x:f>
        <x:v>135</x:v>
      </x:c>
      <x:c r="J3373" s="10" t="n">
        <x:v>16</x:v>
      </x:c>
      <x:c r="K3373" s="12" t="n">
        <x:v>15</x:v>
      </x:c>
      <x:c r="L3373" s="1" t="str"/>
      <x:c r="M3373" s="9" t="str">
        <x:v>https://poke.idleworld.online/pokepedia/pokemon/gliscor</x:v>
      </x:c>
    </x:row>
    <x:row r="3374" ht="22" customHeight="1">
      <x:c r="A3374" s="1" t="n">
        <x:v>475</x:v>
      </x:c>
      <x:c r="B3374" s="1" t="str">
        <x:v>Gallade</x:v>
      </x:c>
      <x:c r="C3374" s="1" t="n">
        <x:v>5</x:v>
      </x:c>
      <x:c r="D3374" s="1" t="str">
        <x:v>Close Combat</x:v>
      </x:c>
      <x:c r="E3374" s="1" t="str">
        <x:v>Lutador</x:v>
      </x:c>
      <x:c r="F3374" s="1" t="str">
        <x:v>Física</x:v>
      </x:c>
      <x:c r="G3374" s="10" t="n">
        <x:v>120</x:v>
      </x:c>
      <x:c r="H3374" s="10" t="n">
        <x:f>IF(F3374="Física",'Pokémon'!G364,IF(F3374="Especial",'Pokémon'!I364,""))</x:f>
        <x:v>125</x:v>
      </x:c>
      <x:c r="I3374" s="10" t="n">
        <x:f>IF(OR(F3374="Status",G3374=0),"",G3374+H3374)</x:f>
        <x:v>245</x:v>
      </x:c>
      <x:c r="J3374" s="10" t="n">
        <x:v>1</x:v>
      </x:c>
      <x:c r="K3374" s="12" t="n">
        <x:v>50</x:v>
      </x:c>
      <x:c r="L3374" s="1" t="str"/>
      <x:c r="M3374" s="9" t="str">
        <x:v>https://poke.idleworld.online/pokepedia/pokemon/gallade</x:v>
      </x:c>
    </x:row>
    <x:row r="3375" ht="22" customHeight="1">
      <x:c r="A3375" s="1" t="n">
        <x:v>475</x:v>
      </x:c>
      <x:c r="B3375" s="1" t="str">
        <x:v>Gallade</x:v>
      </x:c>
      <x:c r="C3375" s="1" t="n">
        <x:v>4</x:v>
      </x:c>
      <x:c r="D3375" s="1" t="str">
        <x:v>Leaf Blade</x:v>
      </x:c>
      <x:c r="E3375" s="1" t="str">
        <x:v>Planta</x:v>
      </x:c>
      <x:c r="F3375" s="1" t="str">
        <x:v>Física</x:v>
      </x:c>
      <x:c r="G3375" s="10" t="n">
        <x:v>90</x:v>
      </x:c>
      <x:c r="H3375" s="10" t="n">
        <x:f>IF(F3375="Física",'Pokémon'!G364,IF(F3375="Especial",'Pokémon'!I364,""))</x:f>
        <x:v>125</x:v>
      </x:c>
      <x:c r="I3375" s="10" t="n">
        <x:f>IF(OR(F3375="Status",G3375=0),"",G3375+H3375)</x:f>
        <x:v>215</x:v>
      </x:c>
      <x:c r="J3375" s="10" t="n">
        <x:v>1</x:v>
      </x:c>
      <x:c r="K3375" s="12" t="n">
        <x:v>22</x:v>
      </x:c>
      <x:c r="L3375" s="1" t="str"/>
      <x:c r="M3375" s="9" t="str">
        <x:v>https://poke.idleworld.online/pokepedia/pokemon/gallade</x:v>
      </x:c>
    </x:row>
    <x:row r="3376" ht="22" customHeight="1">
      <x:c r="A3376" s="1" t="n">
        <x:v>475</x:v>
      </x:c>
      <x:c r="B3376" s="1" t="str">
        <x:v>Gallade</x:v>
      </x:c>
      <x:c r="C3376" s="1" t="n">
        <x:v>3</x:v>
      </x:c>
      <x:c r="D3376" s="1" t="str">
        <x:v>Night Slash</x:v>
      </x:c>
      <x:c r="E3376" s="1" t="str">
        <x:v>Sombrio</x:v>
      </x:c>
      <x:c r="F3376" s="1" t="str">
        <x:v>Física</x:v>
      </x:c>
      <x:c r="G3376" s="10" t="n">
        <x:v>70</x:v>
      </x:c>
      <x:c r="H3376" s="10" t="n">
        <x:f>IF(F3376="Física",'Pokémon'!G364,IF(F3376="Especial",'Pokémon'!I364,""))</x:f>
        <x:v>125</x:v>
      </x:c>
      <x:c r="I3376" s="10" t="n">
        <x:f>IF(OR(F3376="Status",G3376=0),"",G3376+H3376)</x:f>
        <x:v>195</x:v>
      </x:c>
      <x:c r="J3376" s="10" t="n">
        <x:v>1</x:v>
      </x:c>
      <x:c r="K3376" s="12" t="n">
        <x:v>20</x:v>
      </x:c>
      <x:c r="L3376" s="1" t="str"/>
      <x:c r="M3376" s="9" t="str">
        <x:v>https://poke.idleworld.online/pokepedia/pokemon/gallade</x:v>
      </x:c>
    </x:row>
    <x:row r="3377" ht="22" customHeight="1">
      <x:c r="A3377" s="1" t="n">
        <x:v>475</x:v>
      </x:c>
      <x:c r="B3377" s="1" t="str">
        <x:v>Gallade</x:v>
      </x:c>
      <x:c r="C3377" s="1" t="n">
        <x:v>7</x:v>
      </x:c>
      <x:c r="D3377" s="1" t="str">
        <x:v>Slash</x:v>
      </x:c>
      <x:c r="E3377" s="1" t="str">
        <x:v>Normal</x:v>
      </x:c>
      <x:c r="F3377" s="1" t="str">
        <x:v>Física</x:v>
      </x:c>
      <x:c r="G3377" s="10" t="n">
        <x:v>70</x:v>
      </x:c>
      <x:c r="H3377" s="10" t="n">
        <x:f>IF(F3377="Física",'Pokémon'!G364,IF(F3377="Especial",'Pokémon'!I364,""))</x:f>
        <x:v>125</x:v>
      </x:c>
      <x:c r="I3377" s="10" t="n">
        <x:f>IF(OR(F3377="Status",G3377=0),"",G3377+H3377)</x:f>
        <x:v>195</x:v>
      </x:c>
      <x:c r="J3377" s="10" t="n">
        <x:v>17</x:v>
      </x:c>
      <x:c r="K3377" s="12" t="n">
        <x:v>20</x:v>
      </x:c>
      <x:c r="L3377" s="1" t="str"/>
      <x:c r="M3377" s="9" t="str">
        <x:v>https://poke.idleworld.online/pokepedia/pokemon/gallade</x:v>
      </x:c>
    </x:row>
    <x:row r="3378" ht="22" customHeight="1">
      <x:c r="A3378" s="1" t="n">
        <x:v>475</x:v>
      </x:c>
      <x:c r="B3378" s="1" t="str">
        <x:v>Gallade</x:v>
      </x:c>
      <x:c r="C3378" s="1" t="n">
        <x:v>8</x:v>
      </x:c>
      <x:c r="D3378" s="1" t="str">
        <x:v>Psycho Cut</x:v>
      </x:c>
      <x:c r="E3378" s="1" t="str">
        <x:v>Psíquico</x:v>
      </x:c>
      <x:c r="F3378" s="1" t="str">
        <x:v>Física</x:v>
      </x:c>
      <x:c r="G3378" s="10" t="n">
        <x:v>70</x:v>
      </x:c>
      <x:c r="H3378" s="10" t="n">
        <x:f>IF(F3378="Física",'Pokémon'!G364,IF(F3378="Especial",'Pokémon'!I364,""))</x:f>
        <x:v>125</x:v>
      </x:c>
      <x:c r="I3378" s="10" t="n">
        <x:f>IF(OR(F3378="Status",G3378=0),"",G3378+H3378)</x:f>
        <x:v>195</x:v>
      </x:c>
      <x:c r="J3378" s="10" t="n">
        <x:v>31</x:v>
      </x:c>
      <x:c r="K3378" s="12" t="n">
        <x:v>10</x:v>
      </x:c>
      <x:c r="L3378" s="1" t="str"/>
      <x:c r="M3378" s="9" t="str">
        <x:v>https://poke.idleworld.online/pokepedia/pokemon/gallade</x:v>
      </x:c>
    </x:row>
    <x:row r="3379" ht="22" customHeight="1">
      <x:c r="A3379" s="1" t="n">
        <x:v>475</x:v>
      </x:c>
      <x:c r="B3379" s="1" t="str">
        <x:v>Gallade</x:v>
      </x:c>
      <x:c r="C3379" s="1" t="n">
        <x:v>6</x:v>
      </x:c>
      <x:c r="D3379" s="1" t="str">
        <x:v>Fury Cutter</x:v>
      </x:c>
      <x:c r="E3379" s="1" t="str">
        <x:v>Inseto</x:v>
      </x:c>
      <x:c r="F3379" s="1" t="str">
        <x:v>Física</x:v>
      </x:c>
      <x:c r="G3379" s="10" t="n">
        <x:v>40</x:v>
      </x:c>
      <x:c r="H3379" s="10" t="n">
        <x:f>IF(F3379="Física",'Pokémon'!G364,IF(F3379="Especial",'Pokémon'!I364,""))</x:f>
        <x:v>125</x:v>
      </x:c>
      <x:c r="I3379" s="10" t="n">
        <x:f>IF(OR(F3379="Status",G3379=0),"",G3379+H3379)</x:f>
        <x:v>165</x:v>
      </x:c>
      <x:c r="J3379" s="10" t="n">
        <x:v>14</x:v>
      </x:c>
      <x:c r="K3379" s="12" t="n">
        <x:v>15</x:v>
      </x:c>
      <x:c r="L3379" s="1" t="str"/>
      <x:c r="M3379" s="9" t="str">
        <x:v>https://poke.idleworld.online/pokepedia/pokemon/gallade</x:v>
      </x:c>
    </x:row>
    <x:row r="3380" ht="22" customHeight="1">
      <x:c r="A3380" s="1" t="n">
        <x:v>475</x:v>
      </x:c>
      <x:c r="B3380" s="1" t="str">
        <x:v>Gallade</x:v>
      </x:c>
      <x:c r="C3380" s="1" t="n">
        <x:v>10</x:v>
      </x:c>
      <x:c r="D3380" s="1" t="str">
        <x:v>False Swipe</x:v>
      </x:c>
      <x:c r="E3380" s="1" t="str">
        <x:v>Normal</x:v>
      </x:c>
      <x:c r="F3380" s="1" t="str">
        <x:v>Física</x:v>
      </x:c>
      <x:c r="G3380" s="10" t="n">
        <x:v>40</x:v>
      </x:c>
      <x:c r="H3380" s="10" t="n">
        <x:f>IF(F3380="Física",'Pokémon'!G364,IF(F3380="Especial",'Pokémon'!I364,""))</x:f>
        <x:v>125</x:v>
      </x:c>
      <x:c r="I3380" s="10" t="n">
        <x:f>IF(OR(F3380="Status",G3380=0),"",G3380+H3380)</x:f>
        <x:v>165</x:v>
      </x:c>
      <x:c r="J3380" s="10" t="n">
        <x:v>44</x:v>
      </x:c>
      <x:c r="K3380" s="12" t="n">
        <x:v>15</x:v>
      </x:c>
      <x:c r="L3380" s="1" t="str"/>
      <x:c r="M3380" s="9" t="str">
        <x:v>https://poke.idleworld.online/pokepedia/pokemon/gallade</x:v>
      </x:c>
    </x:row>
    <x:row r="3381" ht="22" customHeight="1">
      <x:c r="A3381" s="1" t="n">
        <x:v>475</x:v>
      </x:c>
      <x:c r="B3381" s="1" t="str">
        <x:v>Gallade</x:v>
      </x:c>
      <x:c r="C3381" s="1" t="n">
        <x:v>9</x:v>
      </x:c>
      <x:c r="D3381" s="1" t="str">
        <x:v>Feint</x:v>
      </x:c>
      <x:c r="E3381" s="1" t="str">
        <x:v>Normal</x:v>
      </x:c>
      <x:c r="F3381" s="1" t="str">
        <x:v>Física</x:v>
      </x:c>
      <x:c r="G3381" s="10" t="n">
        <x:v>30</x:v>
      </x:c>
      <x:c r="H3381" s="10" t="n">
        <x:f>IF(F3381="Física",'Pokémon'!G364,IF(F3381="Especial",'Pokémon'!I364,""))</x:f>
        <x:v>125</x:v>
      </x:c>
      <x:c r="I3381" s="10" t="n">
        <x:f>IF(OR(F3381="Status",G3381=0),"",G3381+H3381)</x:f>
        <x:v>155</x:v>
      </x:c>
      <x:c r="J3381" s="10" t="n">
        <x:v>40</x:v>
      </x:c>
      <x:c r="K3381" s="12" t="n">
        <x:v>15</x:v>
      </x:c>
      <x:c r="L3381" s="1" t="str"/>
      <x:c r="M3381" s="9" t="str">
        <x:v>https://poke.idleworld.online/pokepedia/pokemon/gallade</x:v>
      </x:c>
    </x:row>
    <x:row r="3382" ht="22" customHeight="1">
      <x:c r="A3382" s="1" t="n">
        <x:v>475</x:v>
      </x:c>
      <x:c r="B3382" s="1" t="str">
        <x:v>Gallade</x:v>
      </x:c>
      <x:c r="C3382" s="1" t="n">
        <x:v>2</x:v>
      </x:c>
      <x:c r="D3382" s="1" t="str">
        <x:v>Confusion</x:v>
      </x:c>
      <x:c r="E3382" s="1" t="str">
        <x:v>Psíquico</x:v>
      </x:c>
      <x:c r="F3382" s="1" t="str">
        <x:v>Especial</x:v>
      </x:c>
      <x:c r="G3382" s="10" t="n">
        <x:v>50</x:v>
      </x:c>
      <x:c r="H3382" s="10" t="n">
        <x:f>IF(F3382="Física",'Pokémon'!G364,IF(F3382="Especial",'Pokémon'!I364,""))</x:f>
        <x:v>65</x:v>
      </x:c>
      <x:c r="I3382" s="10" t="n">
        <x:f>IF(OR(F3382="Status",G3382=0),"",G3382+H3382)</x:f>
        <x:v>115</x:v>
      </x:c>
      <x:c r="J3382" s="10" t="n">
        <x:v>1</x:v>
      </x:c>
      <x:c r="K3382" s="12" t="n">
        <x:v>15</x:v>
      </x:c>
      <x:c r="L3382" s="1" t="str"/>
      <x:c r="M3382" s="9" t="str">
        <x:v>https://poke.idleworld.online/pokepedia/pokemon/gallade</x:v>
      </x:c>
    </x:row>
    <x:row r="3383" ht="22" customHeight="1">
      <x:c r="A3383" s="1" t="n">
        <x:v>475</x:v>
      </x:c>
      <x:c r="B3383" s="1" t="str">
        <x:v>Gallade</x:v>
      </x:c>
      <x:c r="C3383" s="1" t="n">
        <x:v>1</x:v>
      </x:c>
      <x:c r="D3383" s="1" t="str">
        <x:v>Stored Power</x:v>
      </x:c>
      <x:c r="E3383" s="1" t="str">
        <x:v>Psíquico</x:v>
      </x:c>
      <x:c r="F3383" s="1" t="str">
        <x:v>Especial</x:v>
      </x:c>
      <x:c r="G3383" s="10" t="n">
        <x:v>20</x:v>
      </x:c>
      <x:c r="H3383" s="10" t="n">
        <x:f>IF(F3383="Física",'Pokémon'!G364,IF(F3383="Especial",'Pokémon'!I364,""))</x:f>
        <x:v>65</x:v>
      </x:c>
      <x:c r="I3383" s="10" t="n">
        <x:f>IF(OR(F3383="Status",G3383=0),"",G3383+H3383)</x:f>
        <x:v>85</x:v>
      </x:c>
      <x:c r="J3383" s="10" t="n">
        <x:v>1</x:v>
      </x:c>
      <x:c r="K3383" s="12" t="n">
        <x:v>15</x:v>
      </x:c>
      <x:c r="L3383" s="1" t="str"/>
      <x:c r="M3383" s="9" t="str">
        <x:v>https://poke.idleworld.online/pokepedia/pokemon/gallade</x:v>
      </x:c>
    </x:row>
    <x:row r="3384" ht="22" customHeight="1">
      <x:c r="A3384" s="1" t="n">
        <x:v>477</x:v>
      </x:c>
      <x:c r="B3384" s="1" t="str">
        <x:v>Dusknoir</x:v>
      </x:c>
      <x:c r="C3384" s="1" t="n">
        <x:v>6</x:v>
      </x:c>
      <x:c r="D3384" s="1" t="str">
        <x:v>Future Sight</x:v>
      </x:c>
      <x:c r="E3384" s="1" t="str">
        <x:v>Psíquico</x:v>
      </x:c>
      <x:c r="F3384" s="1" t="str">
        <x:v>Especial</x:v>
      </x:c>
      <x:c r="G3384" s="10" t="n">
        <x:v>120</x:v>
      </x:c>
      <x:c r="H3384" s="10" t="n">
        <x:f>IF(F3384="Física",'Pokémon'!G365,IF(F3384="Especial",'Pokémon'!I365,""))</x:f>
        <x:v>65</x:v>
      </x:c>
      <x:c r="I3384" s="10" t="n">
        <x:f>IF(OR(F3384="Status",G3384=0),"",G3384+H3384)</x:f>
        <x:v>185</x:v>
      </x:c>
      <x:c r="J3384" s="10" t="n">
        <x:v>1</x:v>
      </x:c>
      <x:c r="K3384" s="12" t="n">
        <x:v>50</x:v>
      </x:c>
      <x:c r="L3384" s="1" t="str"/>
      <x:c r="M3384" s="9" t="str">
        <x:v>https://poke.idleworld.online/pokepedia/pokemon/dusknoir</x:v>
      </x:c>
    </x:row>
    <x:row r="3385" ht="22" customHeight="1">
      <x:c r="A3385" s="1" t="n">
        <x:v>477</x:v>
      </x:c>
      <x:c r="B3385" s="1" t="str">
        <x:v>Dusknoir</x:v>
      </x:c>
      <x:c r="C3385" s="1" t="n">
        <x:v>3</x:v>
      </x:c>
      <x:c r="D3385" s="1" t="str">
        <x:v>Fire Punch</x:v>
      </x:c>
      <x:c r="E3385" s="1" t="str">
        <x:v>Fogo</x:v>
      </x:c>
      <x:c r="F3385" s="1" t="str">
        <x:v>Física</x:v>
      </x:c>
      <x:c r="G3385" s="10" t="n">
        <x:v>75</x:v>
      </x:c>
      <x:c r="H3385" s="10" t="n">
        <x:f>IF(F3385="Física",'Pokémon'!G365,IF(F3385="Especial",'Pokémon'!I365,""))</x:f>
        <x:v>100</x:v>
      </x:c>
      <x:c r="I3385" s="10" t="n">
        <x:f>IF(OR(F3385="Status",G3385=0),"",G3385+H3385)</x:f>
        <x:v>175</x:v>
      </x:c>
      <x:c r="J3385" s="10" t="n">
        <x:v>1</x:v>
      </x:c>
      <x:c r="K3385" s="12" t="n">
        <x:v>22</x:v>
      </x:c>
      <x:c r="L3385" s="1" t="str"/>
      <x:c r="M3385" s="9" t="str">
        <x:v>https://poke.idleworld.online/pokepedia/pokemon/dusknoir</x:v>
      </x:c>
    </x:row>
    <x:row r="3386" ht="22" customHeight="1">
      <x:c r="A3386" s="1" t="n">
        <x:v>477</x:v>
      </x:c>
      <x:c r="B3386" s="1" t="str">
        <x:v>Dusknoir</x:v>
      </x:c>
      <x:c r="C3386" s="1" t="n">
        <x:v>4</x:v>
      </x:c>
      <x:c r="D3386" s="1" t="str">
        <x:v>Ice Punch</x:v>
      </x:c>
      <x:c r="E3386" s="1" t="str">
        <x:v>Gelo</x:v>
      </x:c>
      <x:c r="F3386" s="1" t="str">
        <x:v>Física</x:v>
      </x:c>
      <x:c r="G3386" s="10" t="n">
        <x:v>75</x:v>
      </x:c>
      <x:c r="H3386" s="10" t="n">
        <x:f>IF(F3386="Física",'Pokémon'!G365,IF(F3386="Especial",'Pokémon'!I365,""))</x:f>
        <x:v>100</x:v>
      </x:c>
      <x:c r="I3386" s="10" t="n">
        <x:f>IF(OR(F3386="Status",G3386=0),"",G3386+H3386)</x:f>
        <x:v>175</x:v>
      </x:c>
      <x:c r="J3386" s="10" t="n">
        <x:v>1</x:v>
      </x:c>
      <x:c r="K3386" s="12" t="n">
        <x:v>22</x:v>
      </x:c>
      <x:c r="L3386" s="1" t="str"/>
      <x:c r="M3386" s="9" t="str">
        <x:v>https://poke.idleworld.online/pokepedia/pokemon/dusknoir</x:v>
      </x:c>
    </x:row>
    <x:row r="3387" ht="22" customHeight="1">
      <x:c r="A3387" s="1" t="n">
        <x:v>477</x:v>
      </x:c>
      <x:c r="B3387" s="1" t="str">
        <x:v>Dusknoir</x:v>
      </x:c>
      <x:c r="C3387" s="1" t="n">
        <x:v>5</x:v>
      </x:c>
      <x:c r="D3387" s="1" t="str">
        <x:v>Thunder Punch</x:v>
      </x:c>
      <x:c r="E3387" s="1" t="str">
        <x:v>Elétrico</x:v>
      </x:c>
      <x:c r="F3387" s="1" t="str">
        <x:v>Física</x:v>
      </x:c>
      <x:c r="G3387" s="10" t="n">
        <x:v>75</x:v>
      </x:c>
      <x:c r="H3387" s="10" t="n">
        <x:f>IF(F3387="Física",'Pokémon'!G365,IF(F3387="Especial",'Pokémon'!I365,""))</x:f>
        <x:v>100</x:v>
      </x:c>
      <x:c r="I3387" s="10" t="n">
        <x:f>IF(OR(F3387="Status",G3387=0),"",G3387+H3387)</x:f>
        <x:v>175</x:v>
      </x:c>
      <x:c r="J3387" s="10" t="n">
        <x:v>1</x:v>
      </x:c>
      <x:c r="K3387" s="12" t="n">
        <x:v>22</x:v>
      </x:c>
      <x:c r="L3387" s="1" t="str"/>
      <x:c r="M3387" s="9" t="str">
        <x:v>https://poke.idleworld.online/pokepedia/pokemon/dusknoir</x:v>
      </x:c>
    </x:row>
    <x:row r="3388" ht="22" customHeight="1">
      <x:c r="A3388" s="1" t="n">
        <x:v>477</x:v>
      </x:c>
      <x:c r="B3388" s="1" t="str">
        <x:v>Dusknoir</x:v>
      </x:c>
      <x:c r="C3388" s="1" t="n">
        <x:v>9</x:v>
      </x:c>
      <x:c r="D3388" s="1" t="str">
        <x:v>Shadow Punch</x:v>
      </x:c>
      <x:c r="E3388" s="1" t="str">
        <x:v>Fantasma</x:v>
      </x:c>
      <x:c r="F3388" s="1" t="str">
        <x:v>Física</x:v>
      </x:c>
      <x:c r="G3388" s="10" t="n">
        <x:v>60</x:v>
      </x:c>
      <x:c r="H3388" s="10" t="n">
        <x:f>IF(F3388="Física",'Pokémon'!G365,IF(F3388="Especial",'Pokémon'!I365,""))</x:f>
        <x:v>100</x:v>
      </x:c>
      <x:c r="I3388" s="10" t="n">
        <x:f>IF(OR(F3388="Status",G3388=0),"",G3388+H3388)</x:f>
        <x:v>160</x:v>
      </x:c>
      <x:c r="J3388" s="10" t="n">
        <x:v>37</x:v>
      </x:c>
      <x:c r="K3388" s="12" t="n">
        <x:v>25</x:v>
      </x:c>
      <x:c r="L3388" s="1" t="str"/>
      <x:c r="M3388" s="9" t="str">
        <x:v>https://poke.idleworld.online/pokepedia/pokemon/dusknoir</x:v>
      </x:c>
    </x:row>
    <x:row r="3389" ht="22" customHeight="1">
      <x:c r="A3389" s="1" t="n">
        <x:v>477</x:v>
      </x:c>
      <x:c r="B3389" s="1" t="str">
        <x:v>Dusknoir</x:v>
      </x:c>
      <x:c r="C3389" s="1" t="n">
        <x:v>12</x:v>
      </x:c>
      <x:c r="D3389" s="1" t="str">
        <x:v>Payback</x:v>
      </x:c>
      <x:c r="E3389" s="1" t="str">
        <x:v>Sombrio</x:v>
      </x:c>
      <x:c r="F3389" s="1" t="str">
        <x:v>Física</x:v>
      </x:c>
      <x:c r="G3389" s="10" t="n">
        <x:v>50</x:v>
      </x:c>
      <x:c r="H3389" s="10" t="n">
        <x:f>IF(F3389="Física",'Pokémon'!G365,IF(F3389="Especial",'Pokémon'!I365,""))</x:f>
        <x:v>100</x:v>
      </x:c>
      <x:c r="I3389" s="10" t="n">
        <x:f>IF(OR(F3389="Status",G3389=0),"",G3389+H3389)</x:f>
        <x:v>150</x:v>
      </x:c>
      <x:c r="J3389" s="10" t="n">
        <x:v>57</x:v>
      </x:c>
      <x:c r="K3389" s="12" t="n">
        <x:v>15</x:v>
      </x:c>
      <x:c r="L3389" s="1" t="str"/>
      <x:c r="M3389" s="9" t="str">
        <x:v>https://poke.idleworld.online/pokepedia/pokemon/dusknoir</x:v>
      </x:c>
    </x:row>
    <x:row r="3390" ht="22" customHeight="1">
      <x:c r="A3390" s="1" t="n">
        <x:v>477</x:v>
      </x:c>
      <x:c r="B3390" s="1" t="str">
        <x:v>Dusknoir</x:v>
      </x:c>
      <x:c r="C3390" s="1" t="n">
        <x:v>11</x:v>
      </x:c>
      <x:c r="D3390" s="1" t="str">
        <x:v>Shadow Ball</x:v>
      </x:c>
      <x:c r="E3390" s="1" t="str">
        <x:v>Fantasma</x:v>
      </x:c>
      <x:c r="F3390" s="1" t="str">
        <x:v>Especial</x:v>
      </x:c>
      <x:c r="G3390" s="10" t="n">
        <x:v>80</x:v>
      </x:c>
      <x:c r="H3390" s="10" t="n">
        <x:f>IF(F3390="Física",'Pokémon'!G365,IF(F3390="Especial",'Pokémon'!I365,""))</x:f>
        <x:v>65</x:v>
      </x:c>
      <x:c r="I3390" s="10" t="n">
        <x:f>IF(OR(F3390="Status",G3390=0),"",G3390+H3390)</x:f>
        <x:v>145</x:v>
      </x:c>
      <x:c r="J3390" s="10" t="n">
        <x:v>45</x:v>
      </x:c>
      <x:c r="K3390" s="12" t="n">
        <x:v>10</x:v>
      </x:c>
      <x:c r="L3390" s="1" t="str"/>
      <x:c r="M3390" s="9" t="str">
        <x:v>https://poke.idleworld.online/pokepedia/pokemon/dusknoir</x:v>
      </x:c>
    </x:row>
    <x:row r="3391" ht="22" customHeight="1">
      <x:c r="A3391" s="1" t="n">
        <x:v>477</x:v>
      </x:c>
      <x:c r="B3391" s="1" t="str">
        <x:v>Dusknoir</x:v>
      </x:c>
      <x:c r="C3391" s="1" t="n">
        <x:v>7</x:v>
      </x:c>
      <x:c r="D3391" s="1" t="str">
        <x:v>Shadow Sneak</x:v>
      </x:c>
      <x:c r="E3391" s="1" t="str">
        <x:v>Fantasma</x:v>
      </x:c>
      <x:c r="F3391" s="1" t="str">
        <x:v>Física</x:v>
      </x:c>
      <x:c r="G3391" s="10" t="n">
        <x:v>40</x:v>
      </x:c>
      <x:c r="H3391" s="10" t="n">
        <x:f>IF(F3391="Física",'Pokémon'!G365,IF(F3391="Especial",'Pokémon'!I365,""))</x:f>
        <x:v>100</x:v>
      </x:c>
      <x:c r="I3391" s="10" t="n">
        <x:f>IF(OR(F3391="Status",G3391=0),"",G3391+H3391)</x:f>
        <x:v>140</x:v>
      </x:c>
      <x:c r="J3391" s="10" t="n">
        <x:v>17</x:v>
      </x:c>
      <x:c r="K3391" s="12" t="n">
        <x:v>40</x:v>
      </x:c>
      <x:c r="L3391" s="1" t="str"/>
      <x:c r="M3391" s="9" t="str">
        <x:v>https://poke.idleworld.online/pokepedia/pokemon/dusknoir</x:v>
      </x:c>
    </x:row>
    <x:row r="3392" ht="22" customHeight="1">
      <x:c r="A3392" s="1" t="n">
        <x:v>477</x:v>
      </x:c>
      <x:c r="B3392" s="1" t="str">
        <x:v>Dusknoir</x:v>
      </x:c>
      <x:c r="C3392" s="1" t="n">
        <x:v>8</x:v>
      </x:c>
      <x:c r="D3392" s="1" t="str">
        <x:v>Pursuit</x:v>
      </x:c>
      <x:c r="E3392" s="1" t="str">
        <x:v>Sombrio</x:v>
      </x:c>
      <x:c r="F3392" s="1" t="str">
        <x:v>Física</x:v>
      </x:c>
      <x:c r="G3392" s="10" t="n">
        <x:v>40</x:v>
      </x:c>
      <x:c r="H3392" s="10" t="n">
        <x:f>IF(F3392="Física",'Pokémon'!G365,IF(F3392="Especial",'Pokémon'!I365,""))</x:f>
        <x:v>100</x:v>
      </x:c>
      <x:c r="I3392" s="10" t="n">
        <x:f>IF(OR(F3392="Status",G3392=0),"",G3392+H3392)</x:f>
        <x:v>140</x:v>
      </x:c>
      <x:c r="J3392" s="10" t="n">
        <x:v>22</x:v>
      </x:c>
      <x:c r="K3392" s="12" t="n">
        <x:v>15</x:v>
      </x:c>
      <x:c r="L3392" s="1" t="str"/>
      <x:c r="M3392" s="9" t="str">
        <x:v>https://poke.idleworld.online/pokepedia/pokemon/dusknoir</x:v>
      </x:c>
    </x:row>
    <x:row r="3393" ht="22" customHeight="1">
      <x:c r="A3393" s="1" t="n">
        <x:v>477</x:v>
      </x:c>
      <x:c r="B3393" s="1" t="str">
        <x:v>Dusknoir</x:v>
      </x:c>
      <x:c r="C3393" s="1" t="n">
        <x:v>10</x:v>
      </x:c>
      <x:c r="D3393" s="1" t="str">
        <x:v>Hex</x:v>
      </x:c>
      <x:c r="E3393" s="1" t="str">
        <x:v>Fantasma</x:v>
      </x:c>
      <x:c r="F3393" s="1" t="str">
        <x:v>Especial</x:v>
      </x:c>
      <x:c r="G3393" s="10" t="n">
        <x:v>65</x:v>
      </x:c>
      <x:c r="H3393" s="10" t="n">
        <x:f>IF(F3393="Física",'Pokémon'!G365,IF(F3393="Especial",'Pokémon'!I365,""))</x:f>
        <x:v>65</x:v>
      </x:c>
      <x:c r="I3393" s="10" t="n">
        <x:f>IF(OR(F3393="Status",G3393=0),"",G3393+H3393)</x:f>
        <x:v>130</x:v>
      </x:c>
      <x:c r="J3393" s="10" t="n">
        <x:v>40</x:v>
      </x:c>
      <x:c r="K3393" s="12" t="n">
        <x:v>50</x:v>
      </x:c>
      <x:c r="L3393" s="1" t="str"/>
      <x:c r="M3393" s="9" t="str">
        <x:v>https://poke.idleworld.online/pokepedia/pokemon/dusknoir</x:v>
      </x:c>
    </x:row>
    <x:row r="3394" ht="22" customHeight="1">
      <x:c r="A3394" s="1" t="n">
        <x:v>477</x:v>
      </x:c>
      <x:c r="B3394" s="1" t="str">
        <x:v>Dusknoir</x:v>
      </x:c>
      <x:c r="C3394" s="1" t="n">
        <x:v>2</x:v>
      </x:c>
      <x:c r="D3394" s="1" t="str">
        <x:v>Astonish</x:v>
      </x:c>
      <x:c r="E3394" s="1" t="str">
        <x:v>Fantasma</x:v>
      </x:c>
      <x:c r="F3394" s="1" t="str">
        <x:v>Física</x:v>
      </x:c>
      <x:c r="G3394" s="10" t="n">
        <x:v>30</x:v>
      </x:c>
      <x:c r="H3394" s="10" t="n">
        <x:f>IF(F3394="Física",'Pokémon'!G365,IF(F3394="Especial",'Pokémon'!I365,""))</x:f>
        <x:v>100</x:v>
      </x:c>
      <x:c r="I3394" s="10" t="n">
        <x:f>IF(OR(F3394="Status",G3394=0),"",G3394+H3394)</x:f>
        <x:v>130</x:v>
      </x:c>
      <x:c r="J3394" s="10" t="n">
        <x:v>1</x:v>
      </x:c>
      <x:c r="K3394" s="12" t="n">
        <x:v>15</x:v>
      </x:c>
      <x:c r="L3394" s="1" t="str"/>
      <x:c r="M3394" s="9" t="str">
        <x:v>https://poke.idleworld.online/pokepedia/pokemon/dusknoir</x:v>
      </x:c>
    </x:row>
    <x:row r="3395" ht="22" customHeight="1">
      <x:c r="A3395" s="1" t="n">
        <x:v>477</x:v>
      </x:c>
      <x:c r="B3395" s="1" t="str">
        <x:v>Dusknoir</x:v>
      </x:c>
      <x:c r="C3395" s="1" t="n">
        <x:v>1</x:v>
      </x:c>
      <x:c r="D3395" s="1" t="str">
        <x:v>Bind</x:v>
      </x:c>
      <x:c r="E3395" s="1" t="str">
        <x:v>Normal</x:v>
      </x:c>
      <x:c r="F3395" s="1" t="str">
        <x:v>Física</x:v>
      </x:c>
      <x:c r="G3395" s="10" t="n">
        <x:v>15</x:v>
      </x:c>
      <x:c r="H3395" s="10" t="n">
        <x:f>IF(F3395="Física",'Pokémon'!G365,IF(F3395="Especial",'Pokémon'!I365,""))</x:f>
        <x:v>100</x:v>
      </x:c>
      <x:c r="I3395" s="10" t="n">
        <x:f>IF(OR(F3395="Status",G3395=0),"",G3395+H3395)</x:f>
        <x:v>115</x:v>
      </x:c>
      <x:c r="J3395" s="10" t="n">
        <x:v>1</x:v>
      </x:c>
      <x:c r="K3395" s="12" t="n">
        <x:v>15</x:v>
      </x:c>
      <x:c r="L3395" s="1" t="str"/>
      <x:c r="M3395" s="9" t="str">
        <x:v>https://poke.idleworld.online/pokepedia/pokemon/dusknoir</x:v>
      </x:c>
    </x:row>
    <x:row r="3396" ht="22" customHeight="1">
      <x:c r="A3396" s="1" t="n">
        <x:v>514</x:v>
      </x:c>
      <x:c r="B3396" s="1" t="str">
        <x:v>Simisear</x:v>
      </x:c>
      <x:c r="C3396" s="1" t="n">
        <x:v>3</x:v>
      </x:c>
      <x:c r="D3396" s="1" t="str">
        <x:v>Flame Burst</x:v>
      </x:c>
      <x:c r="E3396" s="1" t="str">
        <x:v>Fogo</x:v>
      </x:c>
      <x:c r="F3396" s="1" t="str">
        <x:v>Especial</x:v>
      </x:c>
      <x:c r="G3396" s="10" t="n">
        <x:v>70</x:v>
      </x:c>
      <x:c r="H3396" s="10" t="n">
        <x:f>IF(F3396="Física",'Pokémon'!G366,IF(F3396="Especial",'Pokémon'!I366,""))</x:f>
        <x:v>98</x:v>
      </x:c>
      <x:c r="I3396" s="10" t="n">
        <x:f>IF(OR(F3396="Status",G3396=0),"",G3396+H3396)</x:f>
        <x:v>168</x:v>
      </x:c>
      <x:c r="J3396" s="10" t="n">
        <x:v>1</x:v>
      </x:c>
      <x:c r="K3396" s="12" t="n">
        <x:v>20</x:v>
      </x:c>
      <x:c r="L3396" s="1" t="str"/>
      <x:c r="M3396" s="9" t="str">
        <x:v>https://poke.idleworld.online/pokepedia/pokemon/simisear</x:v>
      </x:c>
    </x:row>
    <x:row r="3397" ht="22" customHeight="1">
      <x:c r="A3397" s="1" t="n">
        <x:v>514</x:v>
      </x:c>
      <x:c r="B3397" s="1" t="str">
        <x:v>Simisear</x:v>
      </x:c>
      <x:c r="C3397" s="1" t="n">
        <x:v>2</x:v>
      </x:c>
      <x:c r="D3397" s="1" t="str">
        <x:v>Lick</x:v>
      </x:c>
      <x:c r="E3397" s="1" t="str">
        <x:v>Fantasma</x:v>
      </x:c>
      <x:c r="F3397" s="1" t="str">
        <x:v>Física</x:v>
      </x:c>
      <x:c r="G3397" s="10" t="n">
        <x:v>30</x:v>
      </x:c>
      <x:c r="H3397" s="10" t="n">
        <x:f>IF(F3397="Física",'Pokémon'!G366,IF(F3397="Especial",'Pokémon'!I366,""))</x:f>
        <x:v>98</x:v>
      </x:c>
      <x:c r="I3397" s="10" t="n">
        <x:f>IF(OR(F3397="Status",G3397=0),"",G3397+H3397)</x:f>
        <x:v>128</x:v>
      </x:c>
      <x:c r="J3397" s="10" t="n">
        <x:v>1</x:v>
      </x:c>
      <x:c r="K3397" s="12" t="n">
        <x:v>15</x:v>
      </x:c>
      <x:c r="L3397" s="1" t="str"/>
      <x:c r="M3397" s="9" t="str">
        <x:v>https://poke.idleworld.online/pokepedia/pokemon/simisear</x:v>
      </x:c>
    </x:row>
    <x:row r="3398" ht="22" customHeight="1">
      <x:c r="A3398" s="1" t="n">
        <x:v>514</x:v>
      </x:c>
      <x:c r="B3398" s="1" t="str">
        <x:v>Simisear</x:v>
      </x:c>
      <x:c r="C3398" s="1" t="n">
        <x:v>1</x:v>
      </x:c>
      <x:c r="D3398" s="1" t="str">
        <x:v>Fury Swipes</x:v>
      </x:c>
      <x:c r="E3398" s="1" t="str">
        <x:v>Normal</x:v>
      </x:c>
      <x:c r="F3398" s="1" t="str">
        <x:v>Física</x:v>
      </x:c>
      <x:c r="G3398" s="10" t="n">
        <x:v>18</x:v>
      </x:c>
      <x:c r="H3398" s="10" t="n">
        <x:f>IF(F3398="Física",'Pokémon'!G366,IF(F3398="Especial",'Pokémon'!I366,""))</x:f>
        <x:v>98</x:v>
      </x:c>
      <x:c r="I3398" s="10" t="n">
        <x:f>IF(OR(F3398="Status",G3398=0),"",G3398+H3398)</x:f>
        <x:v>116</x:v>
      </x:c>
      <x:c r="J3398" s="10" t="n">
        <x:v>1</x:v>
      </x:c>
      <x:c r="K3398" s="12" t="n">
        <x:v>10</x:v>
      </x:c>
      <x:c r="L3398" s="1" t="str"/>
      <x:c r="M3398" s="9" t="str">
        <x:v>https://poke.idleworld.online/pokepedia/pokemon/simisear</x:v>
      </x:c>
    </x:row>
    <x:row r="3399" ht="22" customHeight="1">
      <x:c r="A3399" s="1" t="n">
        <x:v>538</x:v>
      </x:c>
      <x:c r="B3399" s="1" t="str">
        <x:v>Throh</x:v>
      </x:c>
      <x:c r="C3399" s="1" t="n">
        <x:v>7</x:v>
      </x:c>
      <x:c r="D3399" s="1" t="str">
        <x:v>Superpower</x:v>
      </x:c>
      <x:c r="E3399" s="1" t="str">
        <x:v>Lutador</x:v>
      </x:c>
      <x:c r="F3399" s="1" t="str">
        <x:v>Física</x:v>
      </x:c>
      <x:c r="G3399" s="10" t="n">
        <x:v>120</x:v>
      </x:c>
      <x:c r="H3399" s="10" t="n">
        <x:f>IF(F3399="Física",'Pokémon'!G367,IF(F3399="Especial",'Pokémon'!I367,""))</x:f>
        <x:v>100</x:v>
      </x:c>
      <x:c r="I3399" s="10" t="n">
        <x:f>IF(OR(F3399="Status",G3399=0),"",G3399+H3399)</x:f>
        <x:v>220</x:v>
      </x:c>
      <x:c r="J3399" s="10" t="n">
        <x:v>48</x:v>
      </x:c>
      <x:c r="K3399" s="12" t="n">
        <x:v>50</x:v>
      </x:c>
      <x:c r="L3399" s="1" t="str"/>
      <x:c r="M3399" s="9" t="str">
        <x:v>https://poke.idleworld.online/pokepedia/pokemon/throh</x:v>
      </x:c>
    </x:row>
    <x:row r="3400" ht="22" customHeight="1">
      <x:c r="A3400" s="1" t="n">
        <x:v>538</x:v>
      </x:c>
      <x:c r="B3400" s="1" t="str">
        <x:v>Throh</x:v>
      </x:c>
      <x:c r="C3400" s="1" t="n">
        <x:v>5</x:v>
      </x:c>
      <x:c r="D3400" s="1" t="str">
        <x:v>Body Slam</x:v>
      </x:c>
      <x:c r="E3400" s="1" t="str">
        <x:v>Normal</x:v>
      </x:c>
      <x:c r="F3400" s="1" t="str">
        <x:v>Física</x:v>
      </x:c>
      <x:c r="G3400" s="10" t="n">
        <x:v>85</x:v>
      </x:c>
      <x:c r="H3400" s="10" t="n">
        <x:f>IF(F3400="Física",'Pokémon'!G367,IF(F3400="Especial",'Pokémon'!I367,""))</x:f>
        <x:v>100</x:v>
      </x:c>
      <x:c r="I3400" s="10" t="n">
        <x:f>IF(OR(F3400="Status",G3400=0),"",G3400+H3400)</x:f>
        <x:v>185</x:v>
      </x:c>
      <x:c r="J3400" s="10" t="n">
        <x:v>29</x:v>
      </x:c>
      <x:c r="K3400" s="12" t="n">
        <x:v>20</x:v>
      </x:c>
      <x:c r="L3400" s="1" t="str"/>
      <x:c r="M3400" s="9" t="str">
        <x:v>https://poke.idleworld.online/pokepedia/pokemon/throh</x:v>
      </x:c>
    </x:row>
    <x:row r="3401" ht="22" customHeight="1">
      <x:c r="A3401" s="1" t="n">
        <x:v>538</x:v>
      </x:c>
      <x:c r="B3401" s="1" t="str">
        <x:v>Throh</x:v>
      </x:c>
      <x:c r="C3401" s="1" t="n">
        <x:v>2</x:v>
      </x:c>
      <x:c r="D3401" s="1" t="str">
        <x:v>Vital Throw</x:v>
      </x:c>
      <x:c r="E3401" s="1" t="str">
        <x:v>Lutador</x:v>
      </x:c>
      <x:c r="F3401" s="1" t="str">
        <x:v>Física</x:v>
      </x:c>
      <x:c r="G3401" s="10" t="n">
        <x:v>70</x:v>
      </x:c>
      <x:c r="H3401" s="10" t="n">
        <x:f>IF(F3401="Física",'Pokémon'!G367,IF(F3401="Especial",'Pokémon'!I367,""))</x:f>
        <x:v>100</x:v>
      </x:c>
      <x:c r="I3401" s="10" t="n">
        <x:f>IF(OR(F3401="Status",G3401=0),"",G3401+H3401)</x:f>
        <x:v>170</x:v>
      </x:c>
      <x:c r="J3401" s="10" t="n">
        <x:v>17</x:v>
      </x:c>
      <x:c r="K3401" s="12" t="n">
        <x:v>20</x:v>
      </x:c>
      <x:c r="L3401" s="1" t="str"/>
      <x:c r="M3401" s="9" t="str">
        <x:v>https://poke.idleworld.online/pokepedia/pokemon/throh</x:v>
      </x:c>
    </x:row>
    <x:row r="3402" ht="22" customHeight="1">
      <x:c r="A3402" s="1" t="n">
        <x:v>538</x:v>
      </x:c>
      <x:c r="B3402" s="1" t="str">
        <x:v>Throh</x:v>
      </x:c>
      <x:c r="C3402" s="1" t="n">
        <x:v>3</x:v>
      </x:c>
      <x:c r="D3402" s="1" t="str">
        <x:v>Revenge</x:v>
      </x:c>
      <x:c r="E3402" s="1" t="str">
        <x:v>Lutador</x:v>
      </x:c>
      <x:c r="F3402" s="1" t="str">
        <x:v>Física</x:v>
      </x:c>
      <x:c r="G3402" s="10" t="n">
        <x:v>60</x:v>
      </x:c>
      <x:c r="H3402" s="10" t="n">
        <x:f>IF(F3402="Física",'Pokémon'!G367,IF(F3402="Especial",'Pokémon'!I367,""))</x:f>
        <x:v>100</x:v>
      </x:c>
      <x:c r="I3402" s="10" t="n">
        <x:f>IF(OR(F3402="Status",G3402=0),"",G3402+H3402)</x:f>
        <x:v>160</x:v>
      </x:c>
      <x:c r="J3402" s="10" t="n">
        <x:v>21</x:v>
      </x:c>
      <x:c r="K3402" s="12" t="n">
        <x:v>40</x:v>
      </x:c>
      <x:c r="L3402" s="1" t="str"/>
      <x:c r="M3402" s="9" t="str">
        <x:v>https://poke.idleworld.online/pokepedia/pokemon/throh</x:v>
      </x:c>
    </x:row>
    <x:row r="3403" ht="22" customHeight="1">
      <x:c r="A3403" s="1" t="n">
        <x:v>538</x:v>
      </x:c>
      <x:c r="B3403" s="1" t="str">
        <x:v>Throh</x:v>
      </x:c>
      <x:c r="C3403" s="1" t="n">
        <x:v>4</x:v>
      </x:c>
      <x:c r="D3403" s="1" t="str">
        <x:v>Storm Throw</x:v>
      </x:c>
      <x:c r="E3403" s="1" t="str">
        <x:v>Lutador</x:v>
      </x:c>
      <x:c r="F3403" s="1" t="str">
        <x:v>Física</x:v>
      </x:c>
      <x:c r="G3403" s="10" t="n">
        <x:v>60</x:v>
      </x:c>
      <x:c r="H3403" s="10" t="n">
        <x:f>IF(F3403="Física",'Pokémon'!G367,IF(F3403="Especial",'Pokémon'!I367,""))</x:f>
        <x:v>100</x:v>
      </x:c>
      <x:c r="I3403" s="10" t="n">
        <x:f>IF(OR(F3403="Status",G3403=0),"",G3403+H3403)</x:f>
        <x:v>160</x:v>
      </x:c>
      <x:c r="J3403" s="10" t="n">
        <x:v>25</x:v>
      </x:c>
      <x:c r="K3403" s="12" t="n">
        <x:v>40</x:v>
      </x:c>
      <x:c r="L3403" s="1" t="str"/>
      <x:c r="M3403" s="9" t="str">
        <x:v>https://poke.idleworld.online/pokepedia/pokemon/throh</x:v>
      </x:c>
    </x:row>
    <x:row r="3404" ht="22" customHeight="1">
      <x:c r="A3404" s="1" t="n">
        <x:v>538</x:v>
      </x:c>
      <x:c r="B3404" s="1" t="str">
        <x:v>Throh</x:v>
      </x:c>
      <x:c r="C3404" s="1" t="n">
        <x:v>6</x:v>
      </x:c>
      <x:c r="D3404" s="1" t="str">
        <x:v>Circle Throw</x:v>
      </x:c>
      <x:c r="E3404" s="1" t="str">
        <x:v>Lutador</x:v>
      </x:c>
      <x:c r="F3404" s="1" t="str">
        <x:v>Física</x:v>
      </x:c>
      <x:c r="G3404" s="10" t="n">
        <x:v>60</x:v>
      </x:c>
      <x:c r="H3404" s="10" t="n">
        <x:f>IF(F3404="Física",'Pokémon'!G367,IF(F3404="Especial",'Pokémon'!I367,""))</x:f>
        <x:v>100</x:v>
      </x:c>
      <x:c r="I3404" s="10" t="n">
        <x:f>IF(OR(F3404="Status",G3404=0),"",G3404+H3404)</x:f>
        <x:v>160</x:v>
      </x:c>
      <x:c r="J3404" s="10" t="n">
        <x:v>37</x:v>
      </x:c>
      <x:c r="K3404" s="12" t="n">
        <x:v>20</x:v>
      </x:c>
      <x:c r="L3404" s="1" t="str"/>
      <x:c r="M3404" s="9" t="str">
        <x:v>https://poke.idleworld.online/pokepedia/pokemon/throh</x:v>
      </x:c>
    </x:row>
    <x:row r="3405" ht="22" customHeight="1">
      <x:c r="A3405" s="1" t="n">
        <x:v>538</x:v>
      </x:c>
      <x:c r="B3405" s="1" t="str">
        <x:v>Throh</x:v>
      </x:c>
      <x:c r="C3405" s="1" t="n">
        <x:v>1</x:v>
      </x:c>
      <x:c r="D3405" s="1" t="str">
        <x:v>Bind</x:v>
      </x:c>
      <x:c r="E3405" s="1" t="str">
        <x:v>Normal</x:v>
      </x:c>
      <x:c r="F3405" s="1" t="str">
        <x:v>Física</x:v>
      </x:c>
      <x:c r="G3405" s="10" t="n">
        <x:v>15</x:v>
      </x:c>
      <x:c r="H3405" s="10" t="n">
        <x:f>IF(F3405="Física",'Pokémon'!G367,IF(F3405="Especial",'Pokémon'!I367,""))</x:f>
        <x:v>100</x:v>
      </x:c>
      <x:c r="I3405" s="10" t="n">
        <x:f>IF(OR(F3405="Status",G3405=0),"",G3405+H3405)</x:f>
        <x:v>115</x:v>
      </x:c>
      <x:c r="J3405" s="10" t="n">
        <x:v>1</x:v>
      </x:c>
      <x:c r="K3405" s="12" t="n">
        <x:v>15</x:v>
      </x:c>
      <x:c r="L3405" s="1" t="str"/>
      <x:c r="M3405" s="9" t="str">
        <x:v>https://poke.idleworld.online/pokepedia/pokemon/throh</x:v>
      </x:c>
    </x:row>
    <x:row r="3406" ht="22" customHeight="1">
      <x:c r="A3406" s="1" t="n">
        <x:v>539</x:v>
      </x:c>
      <x:c r="B3406" s="1" t="str">
        <x:v>Sawk</x:v>
      </x:c>
      <x:c r="C3406" s="1" t="n">
        <x:v>7</x:v>
      </x:c>
      <x:c r="D3406" s="1" t="str">
        <x:v>Close Combat</x:v>
      </x:c>
      <x:c r="E3406" s="1" t="str">
        <x:v>Lutador</x:v>
      </x:c>
      <x:c r="F3406" s="1" t="str">
        <x:v>Física</x:v>
      </x:c>
      <x:c r="G3406" s="10" t="n">
        <x:v>120</x:v>
      </x:c>
      <x:c r="H3406" s="10" t="n">
        <x:f>IF(F3406="Física",'Pokémon'!G368,IF(F3406="Especial",'Pokémon'!I368,""))</x:f>
        <x:v>125</x:v>
      </x:c>
      <x:c r="I3406" s="10" t="n">
        <x:f>IF(OR(F3406="Status",G3406=0),"",G3406+H3406)</x:f>
        <x:v>245</x:v>
      </x:c>
      <x:c r="J3406" s="10" t="n">
        <x:v>48</x:v>
      </x:c>
      <x:c r="K3406" s="12" t="n">
        <x:v>50</x:v>
      </x:c>
      <x:c r="L3406" s="1" t="str"/>
      <x:c r="M3406" s="9" t="str">
        <x:v>https://poke.idleworld.online/pokepedia/pokemon/sawk</x:v>
      </x:c>
    </x:row>
    <x:row r="3407" ht="22" customHeight="1">
      <x:c r="A3407" s="1" t="n">
        <x:v>539</x:v>
      </x:c>
      <x:c r="B3407" s="1" t="str">
        <x:v>Sawk</x:v>
      </x:c>
      <x:c r="C3407" s="1" t="n">
        <x:v>5</x:v>
      </x:c>
      <x:c r="D3407" s="1" t="str">
        <x:v>Brick Break</x:v>
      </x:c>
      <x:c r="E3407" s="1" t="str">
        <x:v>Lutador</x:v>
      </x:c>
      <x:c r="F3407" s="1" t="str">
        <x:v>Física</x:v>
      </x:c>
      <x:c r="G3407" s="10" t="n">
        <x:v>75</x:v>
      </x:c>
      <x:c r="H3407" s="10" t="n">
        <x:f>IF(F3407="Física",'Pokémon'!G368,IF(F3407="Especial",'Pokémon'!I368,""))</x:f>
        <x:v>125</x:v>
      </x:c>
      <x:c r="I3407" s="10" t="n">
        <x:f>IF(OR(F3407="Status",G3407=0),"",G3407+H3407)</x:f>
        <x:v>200</x:v>
      </x:c>
      <x:c r="J3407" s="10" t="n">
        <x:v>29</x:v>
      </x:c>
      <x:c r="K3407" s="12" t="n">
        <x:v>22</x:v>
      </x:c>
      <x:c r="L3407" s="1" t="str"/>
      <x:c r="M3407" s="9" t="str">
        <x:v>https://poke.idleworld.online/pokepedia/pokemon/sawk</x:v>
      </x:c>
    </x:row>
    <x:row r="3408" ht="22" customHeight="1">
      <x:c r="A3408" s="1" t="n">
        <x:v>539</x:v>
      </x:c>
      <x:c r="B3408" s="1" t="str">
        <x:v>Sawk</x:v>
      </x:c>
      <x:c r="C3408" s="1" t="n">
        <x:v>6</x:v>
      </x:c>
      <x:c r="D3408" s="1" t="str">
        <x:v>Retaliate</x:v>
      </x:c>
      <x:c r="E3408" s="1" t="str">
        <x:v>Normal</x:v>
      </x:c>
      <x:c r="F3408" s="1" t="str">
        <x:v>Física</x:v>
      </x:c>
      <x:c r="G3408" s="10" t="n">
        <x:v>70</x:v>
      </x:c>
      <x:c r="H3408" s="10" t="n">
        <x:f>IF(F3408="Física",'Pokémon'!G368,IF(F3408="Especial",'Pokémon'!I368,""))</x:f>
        <x:v>125</x:v>
      </x:c>
      <x:c r="I3408" s="10" t="n">
        <x:f>IF(OR(F3408="Status",G3408=0),"",G3408+H3408)</x:f>
        <x:v>195</x:v>
      </x:c>
      <x:c r="J3408" s="10" t="n">
        <x:v>37</x:v>
      </x:c>
      <x:c r="K3408" s="12" t="n">
        <x:v>20</x:v>
      </x:c>
      <x:c r="L3408" s="1" t="str"/>
      <x:c r="M3408" s="9" t="str">
        <x:v>https://poke.idleworld.online/pokepedia/pokemon/sawk</x:v>
      </x:c>
    </x:row>
    <x:row r="3409" ht="22" customHeight="1">
      <x:c r="A3409" s="1" t="n">
        <x:v>539</x:v>
      </x:c>
      <x:c r="B3409" s="1" t="str">
        <x:v>Sawk</x:v>
      </x:c>
      <x:c r="C3409" s="1" t="n">
        <x:v>3</x:v>
      </x:c>
      <x:c r="D3409" s="1" t="str">
        <x:v>Low Sweep</x:v>
      </x:c>
      <x:c r="E3409" s="1" t="str">
        <x:v>Lutador</x:v>
      </x:c>
      <x:c r="F3409" s="1" t="str">
        <x:v>Física</x:v>
      </x:c>
      <x:c r="G3409" s="10" t="n">
        <x:v>65</x:v>
      </x:c>
      <x:c r="H3409" s="10" t="n">
        <x:f>IF(F3409="Física",'Pokémon'!G368,IF(F3409="Especial",'Pokémon'!I368,""))</x:f>
        <x:v>125</x:v>
      </x:c>
      <x:c r="I3409" s="10" t="n">
        <x:f>IF(OR(F3409="Status",G3409=0),"",G3409+H3409)</x:f>
        <x:v>190</x:v>
      </x:c>
      <x:c r="J3409" s="10" t="n">
        <x:v>17</x:v>
      </x:c>
      <x:c r="K3409" s="12" t="n">
        <x:v>40</x:v>
      </x:c>
      <x:c r="L3409" s="1" t="str"/>
      <x:c r="M3409" s="9" t="str">
        <x:v>https://poke.idleworld.online/pokepedia/pokemon/sawk</x:v>
      </x:c>
    </x:row>
    <x:row r="3410" ht="22" customHeight="1">
      <x:c r="A3410" s="1" t="n">
        <x:v>539</x:v>
      </x:c>
      <x:c r="B3410" s="1" t="str">
        <x:v>Sawk</x:v>
      </x:c>
      <x:c r="C3410" s="1" t="n">
        <x:v>4</x:v>
      </x:c>
      <x:c r="D3410" s="1" t="str">
        <x:v>Karate Chop</x:v>
      </x:c>
      <x:c r="E3410" s="1" t="str">
        <x:v>Lutador</x:v>
      </x:c>
      <x:c r="F3410" s="1" t="str">
        <x:v>Física</x:v>
      </x:c>
      <x:c r="G3410" s="10" t="n">
        <x:v>50</x:v>
      </x:c>
      <x:c r="H3410" s="10" t="n">
        <x:f>IF(F3410="Física",'Pokémon'!G368,IF(F3410="Especial",'Pokémon'!I368,""))</x:f>
        <x:v>125</x:v>
      </x:c>
      <x:c r="I3410" s="10" t="n">
        <x:f>IF(OR(F3410="Status",G3410=0),"",G3410+H3410)</x:f>
        <x:v>175</x:v>
      </x:c>
      <x:c r="J3410" s="10" t="n">
        <x:v>25</x:v>
      </x:c>
      <x:c r="K3410" s="12" t="n">
        <x:v>15</x:v>
      </x:c>
      <x:c r="L3410" s="1" t="str"/>
      <x:c r="M3410" s="9" t="str">
        <x:v>https://poke.idleworld.online/pokepedia/pokemon/sawk</x:v>
      </x:c>
    </x:row>
    <x:row r="3411" ht="22" customHeight="1">
      <x:c r="A3411" s="1" t="n">
        <x:v>539</x:v>
      </x:c>
      <x:c r="B3411" s="1" t="str">
        <x:v>Sawk</x:v>
      </x:c>
      <x:c r="C3411" s="1" t="n">
        <x:v>1</x:v>
      </x:c>
      <x:c r="D3411" s="1" t="str">
        <x:v>Rock Smash</x:v>
      </x:c>
      <x:c r="E3411" s="1" t="str">
        <x:v>Lutador</x:v>
      </x:c>
      <x:c r="F3411" s="1" t="str">
        <x:v>Física</x:v>
      </x:c>
      <x:c r="G3411" s="10" t="n">
        <x:v>40</x:v>
      </x:c>
      <x:c r="H3411" s="10" t="n">
        <x:f>IF(F3411="Física",'Pokémon'!G368,IF(F3411="Especial",'Pokémon'!I368,""))</x:f>
        <x:v>125</x:v>
      </x:c>
      <x:c r="I3411" s="10" t="n">
        <x:f>IF(OR(F3411="Status",G3411=0),"",G3411+H3411)</x:f>
        <x:v>165</x:v>
      </x:c>
      <x:c r="J3411" s="10" t="n">
        <x:v>1</x:v>
      </x:c>
      <x:c r="K3411" s="12" t="n">
        <x:v>15</x:v>
      </x:c>
      <x:c r="L3411" s="1" t="str"/>
      <x:c r="M3411" s="9" t="str">
        <x:v>https://poke.idleworld.online/pokepedia/pokemon/sawk</x:v>
      </x:c>
    </x:row>
    <x:row r="3412" ht="22" customHeight="1">
      <x:c r="A3412" s="1" t="n">
        <x:v>539</x:v>
      </x:c>
      <x:c r="B3412" s="1" t="str">
        <x:v>Sawk</x:v>
      </x:c>
      <x:c r="C3412" s="1" t="n">
        <x:v>2</x:v>
      </x:c>
      <x:c r="D3412" s="1" t="str">
        <x:v>Double Kick</x:v>
      </x:c>
      <x:c r="E3412" s="1" t="str">
        <x:v>Lutador</x:v>
      </x:c>
      <x:c r="F3412" s="1" t="str">
        <x:v>Física</x:v>
      </x:c>
      <x:c r="G3412" s="10" t="n">
        <x:v>30</x:v>
      </x:c>
      <x:c r="H3412" s="10" t="n">
        <x:f>IF(F3412="Física",'Pokémon'!G368,IF(F3412="Especial",'Pokémon'!I368,""))</x:f>
        <x:v>125</x:v>
      </x:c>
      <x:c r="I3412" s="10" t="n">
        <x:f>IF(OR(F3412="Status",G3412=0),"",G3412+H3412)</x:f>
        <x:v>155</x:v>
      </x:c>
      <x:c r="J3412" s="10" t="n">
        <x:v>13</x:v>
      </x:c>
      <x:c r="K3412" s="12" t="n">
        <x:v>15</x:v>
      </x:c>
      <x:c r="L3412" s="1" t="str"/>
      <x:c r="M3412" s="9" t="str">
        <x:v>https://poke.idleworld.online/pokepedia/pokemon/sawk</x:v>
      </x:c>
    </x:row>
    <x:row r="3413" ht="22" customHeight="1">
      <x:c r="A3413" s="1" t="n">
        <x:v>543</x:v>
      </x:c>
      <x:c r="B3413" s="1" t="str">
        <x:v>Venipede</x:v>
      </x:c>
      <x:c r="C3413" s="1" t="n">
        <x:v>9</x:v>
      </x:c>
      <x:c r="D3413" s="1" t="str">
        <x:v>Double-Edge</x:v>
      </x:c>
      <x:c r="E3413" s="1" t="str">
        <x:v>Normal</x:v>
      </x:c>
      <x:c r="F3413" s="1" t="str">
        <x:v>Física</x:v>
      </x:c>
      <x:c r="G3413" s="10" t="n">
        <x:v>120</x:v>
      </x:c>
      <x:c r="H3413" s="10" t="n">
        <x:f>IF(F3413="Física",'Pokémon'!G369,IF(F3413="Especial",'Pokémon'!I369,""))</x:f>
        <x:v>45</x:v>
      </x:c>
      <x:c r="I3413" s="10" t="n">
        <x:f>IF(OR(F3413="Status",G3413=0),"",G3413+H3413)</x:f>
        <x:v>165</x:v>
      </x:c>
      <x:c r="J3413" s="10" t="n">
        <x:v>43</x:v>
      </x:c>
      <x:c r="K3413" s="12" t="n">
        <x:v>50</x:v>
      </x:c>
      <x:c r="L3413" s="1" t="str"/>
      <x:c r="M3413" s="9" t="str">
        <x:v>https://poke.idleworld.online/pokepedia/pokemon/venipede</x:v>
      </x:c>
    </x:row>
    <x:row r="3414" ht="22" customHeight="1">
      <x:c r="A3414" s="1" t="n">
        <x:v>543</x:v>
      </x:c>
      <x:c r="B3414" s="1" t="str">
        <x:v>Venipede</x:v>
      </x:c>
      <x:c r="C3414" s="1" t="n">
        <x:v>8</x:v>
      </x:c>
      <x:c r="D3414" s="1" t="str">
        <x:v>Rock Climb</x:v>
      </x:c>
      <x:c r="E3414" s="1" t="str">
        <x:v>Normal</x:v>
      </x:c>
      <x:c r="F3414" s="1" t="str">
        <x:v>Física</x:v>
      </x:c>
      <x:c r="G3414" s="10" t="n">
        <x:v>90</x:v>
      </x:c>
      <x:c r="H3414" s="10" t="n">
        <x:f>IF(F3414="Física",'Pokémon'!G369,IF(F3414="Especial",'Pokémon'!I369,""))</x:f>
        <x:v>45</x:v>
      </x:c>
      <x:c r="I3414" s="10" t="n">
        <x:f>IF(OR(F3414="Status",G3414=0),"",G3414+H3414)</x:f>
        <x:v>135</x:v>
      </x:c>
      <x:c r="J3414" s="10" t="n">
        <x:v>40</x:v>
      </x:c>
      <x:c r="K3414" s="12" t="n">
        <x:v>22</x:v>
      </x:c>
      <x:c r="L3414" s="1" t="str"/>
      <x:c r="M3414" s="9" t="str">
        <x:v>https://poke.idleworld.online/pokepedia/pokemon/venipede</x:v>
      </x:c>
    </x:row>
    <x:row r="3415" ht="22" customHeight="1">
      <x:c r="A3415" s="1" t="n">
        <x:v>543</x:v>
      </x:c>
      <x:c r="B3415" s="1" t="str">
        <x:v>Venipede</x:v>
      </x:c>
      <x:c r="C3415" s="1" t="n">
        <x:v>7</x:v>
      </x:c>
      <x:c r="D3415" s="1" t="str">
        <x:v>Steamroller</x:v>
      </x:c>
      <x:c r="E3415" s="1" t="str">
        <x:v>Inseto</x:v>
      </x:c>
      <x:c r="F3415" s="1" t="str">
        <x:v>Física</x:v>
      </x:c>
      <x:c r="G3415" s="10" t="n">
        <x:v>65</x:v>
      </x:c>
      <x:c r="H3415" s="10" t="n">
        <x:f>IF(F3415="Física",'Pokémon'!G369,IF(F3415="Especial",'Pokémon'!I369,""))</x:f>
        <x:v>45</x:v>
      </x:c>
      <x:c r="I3415" s="10" t="n">
        <x:f>IF(OR(F3415="Status",G3415=0),"",G3415+H3415)</x:f>
        <x:v>110</x:v>
      </x:c>
      <x:c r="J3415" s="10" t="n">
        <x:v>33</x:v>
      </x:c>
      <x:c r="K3415" s="12" t="n">
        <x:v>20</x:v>
      </x:c>
      <x:c r="L3415" s="1" t="str"/>
      <x:c r="M3415" s="9" t="str">
        <x:v>https://poke.idleworld.online/pokepedia/pokemon/venipede</x:v>
      </x:c>
    </x:row>
    <x:row r="3416" ht="22" customHeight="1">
      <x:c r="A3416" s="1" t="n">
        <x:v>543</x:v>
      </x:c>
      <x:c r="B3416" s="1" t="str">
        <x:v>Venipede</x:v>
      </x:c>
      <x:c r="C3416" s="1" t="n">
        <x:v>5</x:v>
      </x:c>
      <x:c r="D3416" s="1" t="str">
        <x:v>Bug Bite</x:v>
      </x:c>
      <x:c r="E3416" s="1" t="str">
        <x:v>Inseto</x:v>
      </x:c>
      <x:c r="F3416" s="1" t="str">
        <x:v>Física</x:v>
      </x:c>
      <x:c r="G3416" s="10" t="n">
        <x:v>60</x:v>
      </x:c>
      <x:c r="H3416" s="10" t="n">
        <x:f>IF(F3416="Física",'Pokémon'!G369,IF(F3416="Especial",'Pokémon'!I369,""))</x:f>
        <x:v>45</x:v>
      </x:c>
      <x:c r="I3416" s="10" t="n">
        <x:f>IF(OR(F3416="Status",G3416=0),"",G3416+H3416)</x:f>
        <x:v>105</x:v>
      </x:c>
      <x:c r="J3416" s="10" t="n">
        <x:v>22</x:v>
      </x:c>
      <x:c r="K3416" s="12" t="n">
        <x:v>10</x:v>
      </x:c>
      <x:c r="L3416" s="1" t="str"/>
      <x:c r="M3416" s="9" t="str">
        <x:v>https://poke.idleworld.online/pokepedia/pokemon/venipede</x:v>
      </x:c>
    </x:row>
    <x:row r="3417" ht="22" customHeight="1">
      <x:c r="A3417" s="1" t="n">
        <x:v>543</x:v>
      </x:c>
      <x:c r="B3417" s="1" t="str">
        <x:v>Venipede</x:v>
      </x:c>
      <x:c r="C3417" s="1" t="n">
        <x:v>6</x:v>
      </x:c>
      <x:c r="D3417" s="1" t="str">
        <x:v>Venoshock</x:v>
      </x:c>
      <x:c r="E3417" s="1" t="str">
        <x:v>Venenoso</x:v>
      </x:c>
      <x:c r="F3417" s="1" t="str">
        <x:v>Especial</x:v>
      </x:c>
      <x:c r="G3417" s="10" t="n">
        <x:v>65</x:v>
      </x:c>
      <x:c r="H3417" s="10" t="n">
        <x:f>IF(F3417="Física",'Pokémon'!G369,IF(F3417="Especial",'Pokémon'!I369,""))</x:f>
        <x:v>30</x:v>
      </x:c>
      <x:c r="I3417" s="10" t="n">
        <x:f>IF(OR(F3417="Status",G3417=0),"",G3417+H3417)</x:f>
        <x:v>95</x:v>
      </x:c>
      <x:c r="J3417" s="10" t="n">
        <x:v>26</x:v>
      </x:c>
      <x:c r="K3417" s="12" t="n">
        <x:v>20</x:v>
      </x:c>
      <x:c r="L3417" s="1" t="str"/>
      <x:c r="M3417" s="9" t="str">
        <x:v>https://poke.idleworld.online/pokepedia/pokemon/venipede</x:v>
      </x:c>
    </x:row>
    <x:row r="3418" ht="22" customHeight="1">
      <x:c r="A3418" s="1" t="n">
        <x:v>543</x:v>
      </x:c>
      <x:c r="B3418" s="1" t="str">
        <x:v>Venipede</x:v>
      </x:c>
      <x:c r="C3418" s="1" t="n">
        <x:v>4</x:v>
      </x:c>
      <x:c r="D3418" s="1" t="str">
        <x:v>Poison Tail</x:v>
      </x:c>
      <x:c r="E3418" s="1" t="str">
        <x:v>Venenoso</x:v>
      </x:c>
      <x:c r="F3418" s="1" t="str">
        <x:v>Física</x:v>
      </x:c>
      <x:c r="G3418" s="10" t="n">
        <x:v>50</x:v>
      </x:c>
      <x:c r="H3418" s="10" t="n">
        <x:f>IF(F3418="Física",'Pokémon'!G369,IF(F3418="Especial",'Pokémon'!I369,""))</x:f>
        <x:v>45</x:v>
      </x:c>
      <x:c r="I3418" s="10" t="n">
        <x:f>IF(OR(F3418="Status",G3418=0),"",G3418+H3418)</x:f>
        <x:v>95</x:v>
      </x:c>
      <x:c r="J3418" s="10" t="n">
        <x:v>19</x:v>
      </x:c>
      <x:c r="K3418" s="12" t="n">
        <x:v>25</x:v>
      </x:c>
      <x:c r="L3418" s="1" t="str"/>
      <x:c r="M3418" s="9" t="str">
        <x:v>https://poke.idleworld.online/pokepedia/pokemon/venipede</x:v>
      </x:c>
    </x:row>
    <x:row r="3419" ht="22" customHeight="1">
      <x:c r="A3419" s="1" t="n">
        <x:v>543</x:v>
      </x:c>
      <x:c r="B3419" s="1" t="str">
        <x:v>Venipede</x:v>
      </x:c>
      <x:c r="C3419" s="1" t="n">
        <x:v>3</x:v>
      </x:c>
      <x:c r="D3419" s="1" t="str">
        <x:v>Pursuit</x:v>
      </x:c>
      <x:c r="E3419" s="1" t="str">
        <x:v>Sombrio</x:v>
      </x:c>
      <x:c r="F3419" s="1" t="str">
        <x:v>Física</x:v>
      </x:c>
      <x:c r="G3419" s="10" t="n">
        <x:v>40</x:v>
      </x:c>
      <x:c r="H3419" s="10" t="n">
        <x:f>IF(F3419="Física",'Pokémon'!G369,IF(F3419="Especial",'Pokémon'!I369,""))</x:f>
        <x:v>45</x:v>
      </x:c>
      <x:c r="I3419" s="10" t="n">
        <x:f>IF(OR(F3419="Status",G3419=0),"",G3419+H3419)</x:f>
        <x:v>85</x:v>
      </x:c>
      <x:c r="J3419" s="10" t="n">
        <x:v>12</x:v>
      </x:c>
      <x:c r="K3419" s="12" t="n">
        <x:v>15</x:v>
      </x:c>
      <x:c r="L3419" s="1" t="str"/>
      <x:c r="M3419" s="9" t="str">
        <x:v>https://poke.idleworld.online/pokepedia/pokemon/venipede</x:v>
      </x:c>
    </x:row>
    <x:row r="3420" ht="22" customHeight="1">
      <x:c r="A3420" s="1" t="n">
        <x:v>543</x:v>
      </x:c>
      <x:c r="B3420" s="1" t="str">
        <x:v>Venipede</x:v>
      </x:c>
      <x:c r="C3420" s="1" t="n">
        <x:v>1</x:v>
      </x:c>
      <x:c r="D3420" s="1" t="str">
        <x:v>Rollout</x:v>
      </x:c>
      <x:c r="E3420" s="1" t="str">
        <x:v>Pedra</x:v>
      </x:c>
      <x:c r="F3420" s="1" t="str">
        <x:v>Física</x:v>
      </x:c>
      <x:c r="G3420" s="10" t="n">
        <x:v>30</x:v>
      </x:c>
      <x:c r="H3420" s="10" t="n">
        <x:f>IF(F3420="Física",'Pokémon'!G369,IF(F3420="Especial",'Pokémon'!I369,""))</x:f>
        <x:v>45</x:v>
      </x:c>
      <x:c r="I3420" s="10" t="n">
        <x:f>IF(OR(F3420="Status",G3420=0),"",G3420+H3420)</x:f>
        <x:v>75</x:v>
      </x:c>
      <x:c r="J3420" s="10" t="n">
        <x:v>1</x:v>
      </x:c>
      <x:c r="K3420" s="12" t="n">
        <x:v>15</x:v>
      </x:c>
      <x:c r="L3420" s="1" t="str"/>
      <x:c r="M3420" s="9" t="str">
        <x:v>https://poke.idleworld.online/pokepedia/pokemon/venipede</x:v>
      </x:c>
    </x:row>
    <x:row r="3421" ht="22" customHeight="1">
      <x:c r="A3421" s="1" t="n">
        <x:v>543</x:v>
      </x:c>
      <x:c r="B3421" s="1" t="str">
        <x:v>Venipede</x:v>
      </x:c>
      <x:c r="C3421" s="1" t="n">
        <x:v>2</x:v>
      </x:c>
      <x:c r="D3421" s="1" t="str">
        <x:v>Poison Sting</x:v>
      </x:c>
      <x:c r="E3421" s="1" t="str">
        <x:v>Venenoso</x:v>
      </x:c>
      <x:c r="F3421" s="1" t="str">
        <x:v>Física</x:v>
      </x:c>
      <x:c r="G3421" s="10" t="n">
        <x:v>15</x:v>
      </x:c>
      <x:c r="H3421" s="10" t="n">
        <x:f>IF(F3421="Física",'Pokémon'!G369,IF(F3421="Especial",'Pokémon'!I369,""))</x:f>
        <x:v>45</x:v>
      </x:c>
      <x:c r="I3421" s="10" t="n">
        <x:f>IF(OR(F3421="Status",G3421=0),"",G3421+H3421)</x:f>
        <x:v>60</x:v>
      </x:c>
      <x:c r="J3421" s="10" t="n">
        <x:v>5</x:v>
      </x:c>
      <x:c r="K3421" s="12" t="n">
        <x:v>10</x:v>
      </x:c>
      <x:c r="L3421" s="1" t="str"/>
      <x:c r="M3421" s="9" t="str">
        <x:v>https://poke.idleworld.online/pokepedia/pokemon/venipede</x:v>
      </x:c>
    </x:row>
    <x:row r="3422" ht="22" customHeight="1">
      <x:c r="A3422" s="1" t="n">
        <x:v>545</x:v>
      </x:c>
      <x:c r="B3422" s="1" t="str">
        <x:v>Scolipede</x:v>
      </x:c>
      <x:c r="C3422" s="1" t="n">
        <x:v>3</x:v>
      </x:c>
      <x:c r="D3422" s="1" t="str">
        <x:v>Megahorn</x:v>
      </x:c>
      <x:c r="E3422" s="1" t="str">
        <x:v>Inseto</x:v>
      </x:c>
      <x:c r="F3422" s="1" t="str">
        <x:v>Física</x:v>
      </x:c>
      <x:c r="G3422" s="10" t="n">
        <x:v>120</x:v>
      </x:c>
      <x:c r="H3422" s="10" t="n">
        <x:f>IF(F3422="Física",'Pokémon'!G370,IF(F3422="Especial",'Pokémon'!I370,""))</x:f>
        <x:v>100</x:v>
      </x:c>
      <x:c r="I3422" s="10" t="n">
        <x:f>IF(OR(F3422="Status",G3422=0),"",G3422+H3422)</x:f>
        <x:v>220</x:v>
      </x:c>
      <x:c r="J3422" s="10" t="n">
        <x:v>1</x:v>
      </x:c>
      <x:c r="K3422" s="12" t="n">
        <x:v>50</x:v>
      </x:c>
      <x:c r="L3422" s="1" t="str"/>
      <x:c r="M3422" s="9" t="str">
        <x:v>https://poke.idleworld.online/pokepedia/pokemon/scolipede</x:v>
      </x:c>
    </x:row>
    <x:row r="3423" ht="22" customHeight="1">
      <x:c r="A3423" s="1" t="n">
        <x:v>545</x:v>
      </x:c>
      <x:c r="B3423" s="1" t="str">
        <x:v>Scolipede</x:v>
      </x:c>
      <x:c r="C3423" s="1" t="n">
        <x:v>10</x:v>
      </x:c>
      <x:c r="D3423" s="1" t="str">
        <x:v>Double-Edge</x:v>
      </x:c>
      <x:c r="E3423" s="1" t="str">
        <x:v>Normal</x:v>
      </x:c>
      <x:c r="F3423" s="1" t="str">
        <x:v>Física</x:v>
      </x:c>
      <x:c r="G3423" s="10" t="n">
        <x:v>120</x:v>
      </x:c>
      <x:c r="H3423" s="10" t="n">
        <x:f>IF(F3423="Física",'Pokémon'!G370,IF(F3423="Especial",'Pokémon'!I370,""))</x:f>
        <x:v>100</x:v>
      </x:c>
      <x:c r="I3423" s="10" t="n">
        <x:f>IF(OR(F3423="Status",G3423=0),"",G3423+H3423)</x:f>
        <x:v>220</x:v>
      </x:c>
      <x:c r="J3423" s="10" t="n">
        <x:v>55</x:v>
      </x:c>
      <x:c r="K3423" s="12" t="n">
        <x:v>50</x:v>
      </x:c>
      <x:c r="L3423" s="1" t="str"/>
      <x:c r="M3423" s="9" t="str">
        <x:v>https://poke.idleworld.online/pokepedia/pokemon/scolipede</x:v>
      </x:c>
    </x:row>
    <x:row r="3424" ht="22" customHeight="1">
      <x:c r="A3424" s="1" t="n">
        <x:v>545</x:v>
      </x:c>
      <x:c r="B3424" s="1" t="str">
        <x:v>Scolipede</x:v>
      </x:c>
      <x:c r="C3424" s="1" t="n">
        <x:v>9</x:v>
      </x:c>
      <x:c r="D3424" s="1" t="str">
        <x:v>Rock Climb</x:v>
      </x:c>
      <x:c r="E3424" s="1" t="str">
        <x:v>Normal</x:v>
      </x:c>
      <x:c r="F3424" s="1" t="str">
        <x:v>Física</x:v>
      </x:c>
      <x:c r="G3424" s="10" t="n">
        <x:v>90</x:v>
      </x:c>
      <x:c r="H3424" s="10" t="n">
        <x:f>IF(F3424="Física",'Pokémon'!G370,IF(F3424="Especial",'Pokémon'!I370,""))</x:f>
        <x:v>100</x:v>
      </x:c>
      <x:c r="I3424" s="10" t="n">
        <x:f>IF(OR(F3424="Status",G3424=0),"",G3424+H3424)</x:f>
        <x:v>190</x:v>
      </x:c>
      <x:c r="J3424" s="10" t="n">
        <x:v>50</x:v>
      </x:c>
      <x:c r="K3424" s="12" t="n">
        <x:v>22</x:v>
      </x:c>
      <x:c r="L3424" s="1" t="str"/>
      <x:c r="M3424" s="9" t="str">
        <x:v>https://poke.idleworld.online/pokepedia/pokemon/scolipede</x:v>
      </x:c>
    </x:row>
    <x:row r="3425" ht="22" customHeight="1">
      <x:c r="A3425" s="1" t="n">
        <x:v>545</x:v>
      </x:c>
      <x:c r="B3425" s="1" t="str">
        <x:v>Scolipede</x:v>
      </x:c>
      <x:c r="C3425" s="1" t="n">
        <x:v>8</x:v>
      </x:c>
      <x:c r="D3425" s="1" t="str">
        <x:v>Steamroller</x:v>
      </x:c>
      <x:c r="E3425" s="1" t="str">
        <x:v>Inseto</x:v>
      </x:c>
      <x:c r="F3425" s="1" t="str">
        <x:v>Física</x:v>
      </x:c>
      <x:c r="G3425" s="10" t="n">
        <x:v>65</x:v>
      </x:c>
      <x:c r="H3425" s="10" t="n">
        <x:f>IF(F3425="Física",'Pokémon'!G370,IF(F3425="Especial",'Pokémon'!I370,""))</x:f>
        <x:v>100</x:v>
      </x:c>
      <x:c r="I3425" s="10" t="n">
        <x:f>IF(OR(F3425="Status",G3425=0),"",G3425+H3425)</x:f>
        <x:v>165</x:v>
      </x:c>
      <x:c r="J3425" s="10" t="n">
        <x:v>39</x:v>
      </x:c>
      <x:c r="K3425" s="12" t="n">
        <x:v>20</x:v>
      </x:c>
      <x:c r="L3425" s="1" t="str"/>
      <x:c r="M3425" s="9" t="str">
        <x:v>https://poke.idleworld.online/pokepedia/pokemon/scolipede</x:v>
      </x:c>
    </x:row>
    <x:row r="3426" ht="22" customHeight="1">
      <x:c r="A3426" s="1" t="n">
        <x:v>545</x:v>
      </x:c>
      <x:c r="B3426" s="1" t="str">
        <x:v>Scolipede</x:v>
      </x:c>
      <x:c r="C3426" s="1" t="n">
        <x:v>6</x:v>
      </x:c>
      <x:c r="D3426" s="1" t="str">
        <x:v>Bug Bite</x:v>
      </x:c>
      <x:c r="E3426" s="1" t="str">
        <x:v>Inseto</x:v>
      </x:c>
      <x:c r="F3426" s="1" t="str">
        <x:v>Física</x:v>
      </x:c>
      <x:c r="G3426" s="10" t="n">
        <x:v>60</x:v>
      </x:c>
      <x:c r="H3426" s="10" t="n">
        <x:f>IF(F3426="Física",'Pokémon'!G370,IF(F3426="Especial",'Pokémon'!I370,""))</x:f>
        <x:v>100</x:v>
      </x:c>
      <x:c r="I3426" s="10" t="n">
        <x:f>IF(OR(F3426="Status",G3426=0),"",G3426+H3426)</x:f>
        <x:v>160</x:v>
      </x:c>
      <x:c r="J3426" s="10" t="n">
        <x:v>23</x:v>
      </x:c>
      <x:c r="K3426" s="12" t="n">
        <x:v>10</x:v>
      </x:c>
      <x:c r="L3426" s="1" t="str"/>
      <x:c r="M3426" s="9" t="str">
        <x:v>https://poke.idleworld.online/pokepedia/pokemon/scolipede</x:v>
      </x:c>
    </x:row>
    <x:row r="3427" ht="22" customHeight="1">
      <x:c r="A3427" s="1" t="n">
        <x:v>545</x:v>
      </x:c>
      <x:c r="B3427" s="1" t="str">
        <x:v>Scolipede</x:v>
      </x:c>
      <x:c r="C3427" s="1" t="n">
        <x:v>5</x:v>
      </x:c>
      <x:c r="D3427" s="1" t="str">
        <x:v>Poison Tail</x:v>
      </x:c>
      <x:c r="E3427" s="1" t="str">
        <x:v>Venenoso</x:v>
      </x:c>
      <x:c r="F3427" s="1" t="str">
        <x:v>Física</x:v>
      </x:c>
      <x:c r="G3427" s="10" t="n">
        <x:v>50</x:v>
      </x:c>
      <x:c r="H3427" s="10" t="n">
        <x:f>IF(F3427="Física",'Pokémon'!G370,IF(F3427="Especial",'Pokémon'!I370,""))</x:f>
        <x:v>100</x:v>
      </x:c>
      <x:c r="I3427" s="10" t="n">
        <x:f>IF(OR(F3427="Status",G3427=0),"",G3427+H3427)</x:f>
        <x:v>150</x:v>
      </x:c>
      <x:c r="J3427" s="10" t="n">
        <x:v>19</x:v>
      </x:c>
      <x:c r="K3427" s="12" t="n">
        <x:v>35</x:v>
      </x:c>
      <x:c r="L3427" s="1" t="str"/>
      <x:c r="M3427" s="9" t="str">
        <x:v>https://poke.idleworld.online/pokepedia/pokemon/scolipede</x:v>
      </x:c>
    </x:row>
    <x:row r="3428" ht="22" customHeight="1">
      <x:c r="A3428" s="1" t="n">
        <x:v>545</x:v>
      </x:c>
      <x:c r="B3428" s="1" t="str">
        <x:v>Scolipede</x:v>
      </x:c>
      <x:c r="C3428" s="1" t="n">
        <x:v>4</x:v>
      </x:c>
      <x:c r="D3428" s="1" t="str">
        <x:v>Pursuit</x:v>
      </x:c>
      <x:c r="E3428" s="1" t="str">
        <x:v>Sombrio</x:v>
      </x:c>
      <x:c r="F3428" s="1" t="str">
        <x:v>Física</x:v>
      </x:c>
      <x:c r="G3428" s="10" t="n">
        <x:v>40</x:v>
      </x:c>
      <x:c r="H3428" s="10" t="n">
        <x:f>IF(F3428="Física",'Pokémon'!G370,IF(F3428="Especial",'Pokémon'!I370,""))</x:f>
        <x:v>100</x:v>
      </x:c>
      <x:c r="I3428" s="10" t="n">
        <x:f>IF(OR(F3428="Status",G3428=0),"",G3428+H3428)</x:f>
        <x:v>140</x:v>
      </x:c>
      <x:c r="J3428" s="10" t="n">
        <x:v>12</x:v>
      </x:c>
      <x:c r="K3428" s="12" t="n">
        <x:v>15</x:v>
      </x:c>
      <x:c r="L3428" s="1" t="str"/>
      <x:c r="M3428" s="9" t="str">
        <x:v>https://poke.idleworld.online/pokepedia/pokemon/scolipede</x:v>
      </x:c>
    </x:row>
    <x:row r="3429" ht="22" customHeight="1">
      <x:c r="A3429" s="1" t="n">
        <x:v>545</x:v>
      </x:c>
      <x:c r="B3429" s="1" t="str">
        <x:v>Scolipede</x:v>
      </x:c>
      <x:c r="C3429" s="1" t="n">
        <x:v>2</x:v>
      </x:c>
      <x:c r="D3429" s="1" t="str">
        <x:v>Rollout</x:v>
      </x:c>
      <x:c r="E3429" s="1" t="str">
        <x:v>Pedra</x:v>
      </x:c>
      <x:c r="F3429" s="1" t="str">
        <x:v>Física</x:v>
      </x:c>
      <x:c r="G3429" s="10" t="n">
        <x:v>30</x:v>
      </x:c>
      <x:c r="H3429" s="10" t="n">
        <x:f>IF(F3429="Física",'Pokémon'!G370,IF(F3429="Especial",'Pokémon'!I370,""))</x:f>
        <x:v>100</x:v>
      </x:c>
      <x:c r="I3429" s="10" t="n">
        <x:f>IF(OR(F3429="Status",G3429=0),"",G3429+H3429)</x:f>
        <x:v>130</x:v>
      </x:c>
      <x:c r="J3429" s="10" t="n">
        <x:v>1</x:v>
      </x:c>
      <x:c r="K3429" s="12" t="n">
        <x:v>15</x:v>
      </x:c>
      <x:c r="L3429" s="1" t="str"/>
      <x:c r="M3429" s="9" t="str">
        <x:v>https://poke.idleworld.online/pokepedia/pokemon/scolipede</x:v>
      </x:c>
    </x:row>
    <x:row r="3430" ht="22" customHeight="1">
      <x:c r="A3430" s="1" t="n">
        <x:v>545</x:v>
      </x:c>
      <x:c r="B3430" s="1" t="str">
        <x:v>Scolipede</x:v>
      </x:c>
      <x:c r="C3430" s="1" t="n">
        <x:v>7</x:v>
      </x:c>
      <x:c r="D3430" s="1" t="str">
        <x:v>Venoshock</x:v>
      </x:c>
      <x:c r="E3430" s="1" t="str">
        <x:v>Venenoso</x:v>
      </x:c>
      <x:c r="F3430" s="1" t="str">
        <x:v>Especial</x:v>
      </x:c>
      <x:c r="G3430" s="10" t="n">
        <x:v>65</x:v>
      </x:c>
      <x:c r="H3430" s="10" t="n">
        <x:f>IF(F3430="Física",'Pokémon'!G370,IF(F3430="Especial",'Pokémon'!I370,""))</x:f>
        <x:v>55</x:v>
      </x:c>
      <x:c r="I3430" s="10" t="n">
        <x:f>IF(OR(F3430="Status",G3430=0),"",G3430+H3430)</x:f>
        <x:v>120</x:v>
      </x:c>
      <x:c r="J3430" s="10" t="n">
        <x:v>28</x:v>
      </x:c>
      <x:c r="K3430" s="12" t="n">
        <x:v>20</x:v>
      </x:c>
      <x:c r="L3430" s="1" t="str"/>
      <x:c r="M3430" s="9" t="str">
        <x:v>https://poke.idleworld.online/pokepedia/pokemon/scolipede</x:v>
      </x:c>
    </x:row>
    <x:row r="3431" ht="22" customHeight="1">
      <x:c r="A3431" s="1" t="n">
        <x:v>545</x:v>
      </x:c>
      <x:c r="B3431" s="1" t="str">
        <x:v>Scolipede</x:v>
      </x:c>
      <x:c r="C3431" s="1" t="n">
        <x:v>1</x:v>
      </x:c>
      <x:c r="D3431" s="1" t="str">
        <x:v>Poison Sting</x:v>
      </x:c>
      <x:c r="E3431" s="1" t="str">
        <x:v>Venenoso</x:v>
      </x:c>
      <x:c r="F3431" s="1" t="str">
        <x:v>Física</x:v>
      </x:c>
      <x:c r="G3431" s="10" t="n">
        <x:v>15</x:v>
      </x:c>
      <x:c r="H3431" s="10" t="n">
        <x:f>IF(F3431="Física",'Pokémon'!G370,IF(F3431="Especial",'Pokémon'!I370,""))</x:f>
        <x:v>100</x:v>
      </x:c>
      <x:c r="I3431" s="10" t="n">
        <x:f>IF(OR(F3431="Status",G3431=0),"",G3431+H3431)</x:f>
        <x:v>115</x:v>
      </x:c>
      <x:c r="J3431" s="10" t="n">
        <x:v>1</x:v>
      </x:c>
      <x:c r="K3431" s="12" t="n">
        <x:v>10</x:v>
      </x:c>
      <x:c r="L3431" s="1" t="str"/>
      <x:c r="M3431" s="9" t="str">
        <x:v>https://poke.idleworld.online/pokepedia/pokemon/scolipede</x:v>
      </x:c>
    </x:row>
    <x:row r="3432" ht="22" customHeight="1">
      <x:c r="A3432" s="1" t="n">
        <x:v>548</x:v>
      </x:c>
      <x:c r="B3432" s="1" t="str">
        <x:v>Petilil</x:v>
      </x:c>
      <x:c r="C3432" s="1" t="n">
        <x:v>6</x:v>
      </x:c>
      <x:c r="D3432" s="1" t="str">
        <x:v>Leaf Storm</x:v>
      </x:c>
      <x:c r="E3432" s="1" t="str">
        <x:v>Planta</x:v>
      </x:c>
      <x:c r="F3432" s="1" t="str">
        <x:v>Especial</x:v>
      </x:c>
      <x:c r="G3432" s="10" t="n">
        <x:v>130</x:v>
      </x:c>
      <x:c r="H3432" s="10" t="n">
        <x:f>IF(F3432="Física",'Pokémon'!G371,IF(F3432="Especial",'Pokémon'!I371,""))</x:f>
        <x:v>70</x:v>
      </x:c>
      <x:c r="I3432" s="10" t="n">
        <x:f>IF(OR(F3432="Status",G3432=0),"",G3432+H3432)</x:f>
        <x:v>200</x:v>
      </x:c>
      <x:c r="J3432" s="10" t="n">
        <x:v>46</x:v>
      </x:c>
      <x:c r="K3432" s="12" t="n">
        <x:v>50</x:v>
      </x:c>
      <x:c r="L3432" s="1" t="str"/>
      <x:c r="M3432" s="9" t="str">
        <x:v>https://poke.idleworld.online/pokepedia/pokemon/petilil</x:v>
      </x:c>
    </x:row>
    <x:row r="3433" ht="22" customHeight="1">
      <x:c r="A3433" s="1" t="n">
        <x:v>548</x:v>
      </x:c>
      <x:c r="B3433" s="1" t="str">
        <x:v>Petilil</x:v>
      </x:c>
      <x:c r="C3433" s="1" t="n">
        <x:v>5</x:v>
      </x:c>
      <x:c r="D3433" s="1" t="str">
        <x:v>Energy Ball</x:v>
      </x:c>
      <x:c r="E3433" s="1" t="str">
        <x:v>Planta</x:v>
      </x:c>
      <x:c r="F3433" s="1" t="str">
        <x:v>Especial</x:v>
      </x:c>
      <x:c r="G3433" s="10" t="n">
        <x:v>90</x:v>
      </x:c>
      <x:c r="H3433" s="10" t="n">
        <x:f>IF(F3433="Física",'Pokémon'!G371,IF(F3433="Especial",'Pokémon'!I371,""))</x:f>
        <x:v>70</x:v>
      </x:c>
      <x:c r="I3433" s="10" t="n">
        <x:f>IF(OR(F3433="Status",G3433=0),"",G3433+H3433)</x:f>
        <x:v>160</x:v>
      </x:c>
      <x:c r="J3433" s="10" t="n">
        <x:v>35</x:v>
      </x:c>
      <x:c r="K3433" s="12" t="n">
        <x:v>22</x:v>
      </x:c>
      <x:c r="L3433" s="1" t="str"/>
      <x:c r="M3433" s="9" t="str">
        <x:v>https://poke.idleworld.online/pokepedia/pokemon/petilil</x:v>
      </x:c>
    </x:row>
    <x:row r="3434" ht="22" customHeight="1">
      <x:c r="A3434" s="1" t="n">
        <x:v>548</x:v>
      </x:c>
      <x:c r="B3434" s="1" t="str">
        <x:v>Petilil</x:v>
      </x:c>
      <x:c r="C3434" s="1" t="n">
        <x:v>4</x:v>
      </x:c>
      <x:c r="D3434" s="1" t="str">
        <x:v>Giga Drain</x:v>
      </x:c>
      <x:c r="E3434" s="1" t="str">
        <x:v>Planta</x:v>
      </x:c>
      <x:c r="F3434" s="1" t="str">
        <x:v>Especial</x:v>
      </x:c>
      <x:c r="G3434" s="10" t="n">
        <x:v>75</x:v>
      </x:c>
      <x:c r="H3434" s="10" t="n">
        <x:f>IF(F3434="Física",'Pokémon'!G371,IF(F3434="Especial",'Pokémon'!I371,""))</x:f>
        <x:v>70</x:v>
      </x:c>
      <x:c r="I3434" s="10" t="n">
        <x:f>IF(OR(F3434="Status",G3434=0),"",G3434+H3434)</x:f>
        <x:v>145</x:v>
      </x:c>
      <x:c r="J3434" s="10" t="n">
        <x:v>26</x:v>
      </x:c>
      <x:c r="K3434" s="12" t="n">
        <x:v>22</x:v>
      </x:c>
      <x:c r="L3434" s="1" t="str"/>
      <x:c r="M3434" s="9" t="str">
        <x:v>https://poke.idleworld.online/pokepedia/pokemon/petilil</x:v>
      </x:c>
    </x:row>
    <x:row r="3435" ht="22" customHeight="1">
      <x:c r="A3435" s="1" t="n">
        <x:v>548</x:v>
      </x:c>
      <x:c r="B3435" s="1" t="str">
        <x:v>Petilil</x:v>
      </x:c>
      <x:c r="C3435" s="1" t="n">
        <x:v>3</x:v>
      </x:c>
      <x:c r="D3435" s="1" t="str">
        <x:v>Magical Leaf</x:v>
      </x:c>
      <x:c r="E3435" s="1" t="str">
        <x:v>Planta</x:v>
      </x:c>
      <x:c r="F3435" s="1" t="str">
        <x:v>Especial</x:v>
      </x:c>
      <x:c r="G3435" s="10" t="n">
        <x:v>60</x:v>
      </x:c>
      <x:c r="H3435" s="10" t="n">
        <x:f>IF(F3435="Física",'Pokémon'!G371,IF(F3435="Especial",'Pokémon'!I371,""))</x:f>
        <x:v>70</x:v>
      </x:c>
      <x:c r="I3435" s="10" t="n">
        <x:f>IF(OR(F3435="Status",G3435=0),"",G3435+H3435)</x:f>
        <x:v>130</x:v>
      </x:c>
      <x:c r="J3435" s="10" t="n">
        <x:v>19</x:v>
      </x:c>
      <x:c r="K3435" s="12" t="n">
        <x:v>12</x:v>
      </x:c>
      <x:c r="L3435" s="1" t="str"/>
      <x:c r="M3435" s="9" t="str">
        <x:v>https://poke.idleworld.online/pokepedia/pokemon/petilil</x:v>
      </x:c>
    </x:row>
    <x:row r="3436" ht="22" customHeight="1">
      <x:c r="A3436" s="1" t="n">
        <x:v>548</x:v>
      </x:c>
      <x:c r="B3436" s="1" t="str">
        <x:v>Petilil</x:v>
      </x:c>
      <x:c r="C3436" s="1" t="n">
        <x:v>2</x:v>
      </x:c>
      <x:c r="D3436" s="1" t="str">
        <x:v>Mega Drain</x:v>
      </x:c>
      <x:c r="E3436" s="1" t="str">
        <x:v>Planta</x:v>
      </x:c>
      <x:c r="F3436" s="1" t="str">
        <x:v>Especial</x:v>
      </x:c>
      <x:c r="G3436" s="10" t="n">
        <x:v>40</x:v>
      </x:c>
      <x:c r="H3436" s="10" t="n">
        <x:f>IF(F3436="Física",'Pokémon'!G371,IF(F3436="Especial",'Pokémon'!I371,""))</x:f>
        <x:v>70</x:v>
      </x:c>
      <x:c r="I3436" s="10" t="n">
        <x:f>IF(OR(F3436="Status",G3436=0),"",G3436+H3436)</x:f>
        <x:v>110</x:v>
      </x:c>
      <x:c r="J3436" s="10" t="n">
        <x:v>13</x:v>
      </x:c>
      <x:c r="K3436" s="12" t="n">
        <x:v>15</x:v>
      </x:c>
      <x:c r="L3436" s="1" t="str"/>
      <x:c r="M3436" s="9" t="str">
        <x:v>https://poke.idleworld.online/pokepedia/pokemon/petilil</x:v>
      </x:c>
    </x:row>
    <x:row r="3437" ht="22" customHeight="1">
      <x:c r="A3437" s="1" t="n">
        <x:v>548</x:v>
      </x:c>
      <x:c r="B3437" s="1" t="str">
        <x:v>Petilil</x:v>
      </x:c>
      <x:c r="C3437" s="1" t="n">
        <x:v>1</x:v>
      </x:c>
      <x:c r="D3437" s="1" t="str">
        <x:v>Absorb</x:v>
      </x:c>
      <x:c r="E3437" s="1" t="str">
        <x:v>Planta</x:v>
      </x:c>
      <x:c r="F3437" s="1" t="str">
        <x:v>Especial</x:v>
      </x:c>
      <x:c r="G3437" s="10" t="n">
        <x:v>20</x:v>
      </x:c>
      <x:c r="H3437" s="10" t="n">
        <x:f>IF(F3437="Física",'Pokémon'!G371,IF(F3437="Especial",'Pokémon'!I371,""))</x:f>
        <x:v>70</x:v>
      </x:c>
      <x:c r="I3437" s="10" t="n">
        <x:f>IF(OR(F3437="Status",G3437=0),"",G3437+H3437)</x:f>
        <x:v>90</x:v>
      </x:c>
      <x:c r="J3437" s="10" t="n">
        <x:v>1</x:v>
      </x:c>
      <x:c r="K3437" s="12" t="n">
        <x:v>15</x:v>
      </x:c>
      <x:c r="L3437" s="1" t="str"/>
      <x:c r="M3437" s="9" t="str">
        <x:v>https://poke.idleworld.online/pokepedia/pokemon/petilil</x:v>
      </x:c>
    </x:row>
    <x:row r="3438" ht="22" customHeight="1">
      <x:c r="A3438" s="1" t="n">
        <x:v>549</x:v>
      </x:c>
      <x:c r="B3438" s="1" t="str">
        <x:v>Lilligant</x:v>
      </x:c>
      <x:c r="C3438" s="1" t="n">
        <x:v>3</x:v>
      </x:c>
      <x:c r="D3438" s="1" t="str">
        <x:v>Petal Dance</x:v>
      </x:c>
      <x:c r="E3438" s="1" t="str">
        <x:v>Planta</x:v>
      </x:c>
      <x:c r="F3438" s="1" t="str">
        <x:v>Especial</x:v>
      </x:c>
      <x:c r="G3438" s="10" t="n">
        <x:v>120</x:v>
      </x:c>
      <x:c r="H3438" s="10" t="n">
        <x:f>IF(F3438="Física",'Pokémon'!G372,IF(F3438="Especial",'Pokémon'!I372,""))</x:f>
        <x:v>110</x:v>
      </x:c>
      <x:c r="I3438" s="10" t="n">
        <x:f>IF(OR(F3438="Status",G3438=0),"",G3438+H3438)</x:f>
        <x:v>230</x:v>
      </x:c>
      <x:c r="J3438" s="10" t="n">
        <x:v>46</x:v>
      </x:c>
      <x:c r="K3438" s="12" t="n">
        <x:v>40</x:v>
      </x:c>
      <x:c r="L3438" s="1" t="str"/>
      <x:c r="M3438" s="9" t="str">
        <x:v>https://poke.idleworld.online/pokepedia/pokemon/lilligant</x:v>
      </x:c>
    </x:row>
    <x:row r="3439" ht="22" customHeight="1">
      <x:c r="A3439" s="1" t="n">
        <x:v>549</x:v>
      </x:c>
      <x:c r="B3439" s="1" t="str">
        <x:v>Lilligant</x:v>
      </x:c>
      <x:c r="C3439" s="1" t="n">
        <x:v>4</x:v>
      </x:c>
      <x:c r="D3439" s="1" t="str">
        <x:v>Petal Blizzard</x:v>
      </x:c>
      <x:c r="E3439" s="1" t="str">
        <x:v>Planta</x:v>
      </x:c>
      <x:c r="F3439" s="1" t="str">
        <x:v>Física</x:v>
      </x:c>
      <x:c r="G3439" s="10" t="n">
        <x:v>90</x:v>
      </x:c>
      <x:c r="H3439" s="10" t="n">
        <x:f>IF(F3439="Física",'Pokémon'!G372,IF(F3439="Especial",'Pokémon'!I372,""))</x:f>
        <x:v>60</x:v>
      </x:c>
      <x:c r="I3439" s="10" t="n">
        <x:f>IF(OR(F3439="Status",G3439=0),"",G3439+H3439)</x:f>
        <x:v>150</x:v>
      </x:c>
      <x:c r="J3439" s="10" t="n">
        <x:v>50</x:v>
      </x:c>
      <x:c r="K3439" s="12" t="n">
        <x:v>50</x:v>
      </x:c>
      <x:c r="L3439" s="1" t="str"/>
      <x:c r="M3439" s="9" t="str">
        <x:v>https://poke.idleworld.online/pokepedia/pokemon/lilligant</x:v>
      </x:c>
    </x:row>
    <x:row r="3440" ht="22" customHeight="1">
      <x:c r="A3440" s="1" t="n">
        <x:v>549</x:v>
      </x:c>
      <x:c r="B3440" s="1" t="str">
        <x:v>Lilligant</x:v>
      </x:c>
      <x:c r="C3440" s="1" t="n">
        <x:v>1</x:v>
      </x:c>
      <x:c r="D3440" s="1" t="str">
        <x:v>Mega Drain</x:v>
      </x:c>
      <x:c r="E3440" s="1" t="str">
        <x:v>Planta</x:v>
      </x:c>
      <x:c r="F3440" s="1" t="str">
        <x:v>Especial</x:v>
      </x:c>
      <x:c r="G3440" s="10" t="n">
        <x:v>40</x:v>
      </x:c>
      <x:c r="H3440" s="10" t="n">
        <x:f>IF(F3440="Física",'Pokémon'!G372,IF(F3440="Especial",'Pokémon'!I372,""))</x:f>
        <x:v>110</x:v>
      </x:c>
      <x:c r="I3440" s="10" t="n">
        <x:f>IF(OR(F3440="Status",G3440=0),"",G3440+H3440)</x:f>
        <x:v>150</x:v>
      </x:c>
      <x:c r="J3440" s="10" t="n">
        <x:v>1</x:v>
      </x:c>
      <x:c r="K3440" s="12" t="n">
        <x:v>15</x:v>
      </x:c>
      <x:c r="L3440" s="1" t="str"/>
      <x:c r="M3440" s="9" t="str">
        <x:v>https://poke.idleworld.online/pokepedia/pokemon/lilligant</x:v>
      </x:c>
    </x:row>
    <x:row r="3441" ht="22" customHeight="1">
      <x:c r="A3441" s="1" t="n">
        <x:v>549</x:v>
      </x:c>
      <x:c r="B3441" s="1" t="str">
        <x:v>Lilligant</x:v>
      </x:c>
      <x:c r="C3441" s="1" t="n">
        <x:v>2</x:v>
      </x:c>
      <x:c r="D3441" s="1" t="str">
        <x:v>Teeter Dance</x:v>
      </x:c>
      <x:c r="E3441" s="1" t="str">
        <x:v>Normal</x:v>
      </x:c>
      <x:c r="F3441" s="1" t="str">
        <x:v>Status</x:v>
      </x:c>
      <x:c r="G3441" s="10" t="n">
        <x:v>0</x:v>
      </x:c>
      <x:c r="H3441" s="10" t="str">
        <x:f>IF(F3441="Física",'Pokémon'!G372,IF(F3441="Especial",'Pokémon'!I372,""))</x:f>
      </x:c>
      <x:c r="I3441" s="10" t="str">
        <x:f>IF(OR(F3441="Status",G3441=0),"",G3441+H3441)</x:f>
      </x:c>
      <x:c r="J3441" s="10" t="n">
        <x:v>10</x:v>
      </x:c>
      <x:c r="K3441" s="12" t="n">
        <x:v>40</x:v>
      </x:c>
      <x:c r="L3441" s="1" t="str"/>
      <x:c r="M3441" s="9" t="str">
        <x:v>https://poke.idleworld.online/pokepedia/pokemon/lilligant</x:v>
      </x:c>
    </x:row>
    <x:row r="3442" ht="22" customHeight="1">
      <x:c r="A3442" s="1" t="n">
        <x:v>564</x:v>
      </x:c>
      <x:c r="B3442" s="1" t="str">
        <x:v>Tirtouga</x:v>
      </x:c>
      <x:c r="C3442" s="1" t="n">
        <x:v>9</x:v>
      </x:c>
      <x:c r="D3442" s="1" t="str">
        <x:v>Aqua Tail</x:v>
      </x:c>
      <x:c r="E3442" s="1" t="str">
        <x:v>Água</x:v>
      </x:c>
      <x:c r="F3442" s="1" t="str">
        <x:v>Física</x:v>
      </x:c>
      <x:c r="G3442" s="10" t="n">
        <x:v>90</x:v>
      </x:c>
      <x:c r="H3442" s="10" t="n">
        <x:f>IF(F3442="Física",'Pokémon'!G373,IF(F3442="Especial",'Pokémon'!I373,""))</x:f>
        <x:v>78</x:v>
      </x:c>
      <x:c r="I3442" s="10" t="n">
        <x:f>IF(OR(F3442="Status",G3442=0),"",G3442+H3442)</x:f>
        <x:v>168</x:v>
      </x:c>
      <x:c r="J3442" s="10" t="n">
        <x:v>41</x:v>
      </x:c>
      <x:c r="K3442" s="12" t="n">
        <x:v>22</x:v>
      </x:c>
      <x:c r="L3442" s="1" t="str"/>
      <x:c r="M3442" s="9" t="str">
        <x:v>https://poke.idleworld.online/pokepedia/pokemon/tirtouga</x:v>
      </x:c>
    </x:row>
    <x:row r="3443" ht="22" customHeight="1">
      <x:c r="A3443" s="1" t="n">
        <x:v>564</x:v>
      </x:c>
      <x:c r="B3443" s="1" t="str">
        <x:v>Tirtouga</x:v>
      </x:c>
      <x:c r="C3443" s="1" t="n">
        <x:v>11</x:v>
      </x:c>
      <x:c r="D3443" s="1" t="str">
        <x:v>Hydro Pump</x:v>
      </x:c>
      <x:c r="E3443" s="1" t="str">
        <x:v>Água</x:v>
      </x:c>
      <x:c r="F3443" s="1" t="str">
        <x:v>Especial</x:v>
      </x:c>
      <x:c r="G3443" s="10" t="n">
        <x:v>110</x:v>
      </x:c>
      <x:c r="H3443" s="10" t="n">
        <x:f>IF(F3443="Física",'Pokémon'!G373,IF(F3443="Especial",'Pokémon'!I373,""))</x:f>
        <x:v>53</x:v>
      </x:c>
      <x:c r="I3443" s="10" t="n">
        <x:f>IF(OR(F3443="Status",G3443=0),"",G3443+H3443)</x:f>
        <x:v>163</x:v>
      </x:c>
      <x:c r="J3443" s="10" t="n">
        <x:v>50</x:v>
      </x:c>
      <x:c r="K3443" s="12" t="n">
        <x:v>40</x:v>
      </x:c>
      <x:c r="L3443" s="1" t="str"/>
      <x:c r="M3443" s="9" t="str">
        <x:v>https://poke.idleworld.online/pokepedia/pokemon/tirtouga</x:v>
      </x:c>
    </x:row>
    <x:row r="3444" ht="22" customHeight="1">
      <x:c r="A3444" s="1" t="n">
        <x:v>564</x:v>
      </x:c>
      <x:c r="B3444" s="1" t="str">
        <x:v>Tirtouga</x:v>
      </x:c>
      <x:c r="C3444" s="1" t="n">
        <x:v>6</x:v>
      </x:c>
      <x:c r="D3444" s="1" t="str">
        <x:v>Crunch</x:v>
      </x:c>
      <x:c r="E3444" s="1" t="str">
        <x:v>Sombrio</x:v>
      </x:c>
      <x:c r="F3444" s="1" t="str">
        <x:v>Física</x:v>
      </x:c>
      <x:c r="G3444" s="10" t="n">
        <x:v>80</x:v>
      </x:c>
      <x:c r="H3444" s="10" t="n">
        <x:f>IF(F3444="Física",'Pokémon'!G373,IF(F3444="Especial",'Pokémon'!I373,""))</x:f>
        <x:v>78</x:v>
      </x:c>
      <x:c r="I3444" s="10" t="n">
        <x:f>IF(OR(F3444="Status",G3444=0),"",G3444+H3444)</x:f>
        <x:v>158</x:v>
      </x:c>
      <x:c r="J3444" s="10" t="n">
        <x:v>21</x:v>
      </x:c>
      <x:c r="K3444" s="12" t="n">
        <x:v>22</x:v>
      </x:c>
      <x:c r="L3444" s="1" t="str"/>
      <x:c r="M3444" s="9" t="str">
        <x:v>https://poke.idleworld.online/pokepedia/pokemon/tirtouga</x:v>
      </x:c>
    </x:row>
    <x:row r="3445" ht="22" customHeight="1">
      <x:c r="A3445" s="1" t="n">
        <x:v>564</x:v>
      </x:c>
      <x:c r="B3445" s="1" t="str">
        <x:v>Tirtouga</x:v>
      </x:c>
      <x:c r="C3445" s="1" t="n">
        <x:v>10</x:v>
      </x:c>
      <x:c r="D3445" s="1" t="str">
        <x:v>Rock Slide</x:v>
      </x:c>
      <x:c r="E3445" s="1" t="str">
        <x:v>Pedra</x:v>
      </x:c>
      <x:c r="F3445" s="1" t="str">
        <x:v>Física</x:v>
      </x:c>
      <x:c r="G3445" s="10" t="n">
        <x:v>75</x:v>
      </x:c>
      <x:c r="H3445" s="10" t="n">
        <x:f>IF(F3445="Física",'Pokémon'!G373,IF(F3445="Especial",'Pokémon'!I373,""))</x:f>
        <x:v>78</x:v>
      </x:c>
      <x:c r="I3445" s="10" t="n">
        <x:f>IF(OR(F3445="Status",G3445=0),"",G3445+H3445)</x:f>
        <x:v>153</x:v>
      </x:c>
      <x:c r="J3445" s="10" t="n">
        <x:v>45</x:v>
      </x:c>
      <x:c r="K3445" s="12" t="n">
        <x:v>15</x:v>
      </x:c>
      <x:c r="L3445" s="1" t="str"/>
      <x:c r="M3445" s="9" t="str">
        <x:v>https://poke.idleworld.online/pokepedia/pokemon/tirtouga</x:v>
      </x:c>
    </x:row>
    <x:row r="3446" ht="22" customHeight="1">
      <x:c r="A3446" s="1" t="n">
        <x:v>564</x:v>
      </x:c>
      <x:c r="B3446" s="1" t="str">
        <x:v>Tirtouga</x:v>
      </x:c>
      <x:c r="C3446" s="1" t="n">
        <x:v>3</x:v>
      </x:c>
      <x:c r="D3446" s="1" t="str">
        <x:v>Bite</x:v>
      </x:c>
      <x:c r="E3446" s="1" t="str">
        <x:v>Sombrio</x:v>
      </x:c>
      <x:c r="F3446" s="1" t="str">
        <x:v>Física</x:v>
      </x:c>
      <x:c r="G3446" s="10" t="n">
        <x:v>60</x:v>
      </x:c>
      <x:c r="H3446" s="10" t="n">
        <x:f>IF(F3446="Física",'Pokémon'!G373,IF(F3446="Especial",'Pokémon'!I373,""))</x:f>
        <x:v>78</x:v>
      </x:c>
      <x:c r="I3446" s="10" t="n">
        <x:f>IF(OR(F3446="Status",G3446=0),"",G3446+H3446)</x:f>
        <x:v>138</x:v>
      </x:c>
      <x:c r="J3446" s="10" t="n">
        <x:v>8</x:v>
      </x:c>
      <x:c r="K3446" s="12" t="n">
        <x:v>20</x:v>
      </x:c>
      <x:c r="L3446" s="1" t="str"/>
      <x:c r="M3446" s="9" t="str">
        <x:v>https://poke.idleworld.online/pokepedia/pokemon/tirtouga</x:v>
      </x:c>
    </x:row>
    <x:row r="3447" ht="22" customHeight="1">
      <x:c r="A3447" s="1" t="n">
        <x:v>564</x:v>
      </x:c>
      <x:c r="B3447" s="1" t="str">
        <x:v>Tirtouga</x:v>
      </x:c>
      <x:c r="C3447" s="1" t="n">
        <x:v>8</x:v>
      </x:c>
      <x:c r="D3447" s="1" t="str">
        <x:v>Smack Down</x:v>
      </x:c>
      <x:c r="E3447" s="1" t="str">
        <x:v>Pedra</x:v>
      </x:c>
      <x:c r="F3447" s="1" t="str">
        <x:v>Física</x:v>
      </x:c>
      <x:c r="G3447" s="10" t="n">
        <x:v>50</x:v>
      </x:c>
      <x:c r="H3447" s="10" t="n">
        <x:f>IF(F3447="Física",'Pokémon'!G373,IF(F3447="Especial",'Pokémon'!I373,""))</x:f>
        <x:v>78</x:v>
      </x:c>
      <x:c r="I3447" s="10" t="n">
        <x:f>IF(OR(F3447="Status",G3447=0),"",G3447+H3447)</x:f>
        <x:v>128</x:v>
      </x:c>
      <x:c r="J3447" s="10" t="n">
        <x:v>31</x:v>
      </x:c>
      <x:c r="K3447" s="12" t="n">
        <x:v>15</x:v>
      </x:c>
      <x:c r="L3447" s="1" t="str"/>
      <x:c r="M3447" s="9" t="str">
        <x:v>https://poke.idleworld.online/pokepedia/pokemon/tirtouga</x:v>
      </x:c>
    </x:row>
    <x:row r="3448" ht="22" customHeight="1">
      <x:c r="A3448" s="1" t="n">
        <x:v>564</x:v>
      </x:c>
      <x:c r="B3448" s="1" t="str">
        <x:v>Tirtouga</x:v>
      </x:c>
      <x:c r="C3448" s="1" t="n">
        <x:v>7</x:v>
      </x:c>
      <x:c r="D3448" s="1" t="str">
        <x:v>Brine</x:v>
      </x:c>
      <x:c r="E3448" s="1" t="str">
        <x:v>Água</x:v>
      </x:c>
      <x:c r="F3448" s="1" t="str">
        <x:v>Especial</x:v>
      </x:c>
      <x:c r="G3448" s="10" t="n">
        <x:v>65</x:v>
      </x:c>
      <x:c r="H3448" s="10" t="n">
        <x:f>IF(F3448="Física",'Pokémon'!G373,IF(F3448="Especial",'Pokémon'!I373,""))</x:f>
        <x:v>53</x:v>
      </x:c>
      <x:c r="I3448" s="10" t="n">
        <x:f>IF(OR(F3448="Status",G3448=0),"",G3448+H3448)</x:f>
        <x:v>118</x:v>
      </x:c>
      <x:c r="J3448" s="10" t="n">
        <x:v>28</x:v>
      </x:c>
      <x:c r="K3448" s="12" t="n">
        <x:v>35</x:v>
      </x:c>
      <x:c r="L3448" s="1" t="str"/>
      <x:c r="M3448" s="9" t="str">
        <x:v>https://poke.idleworld.online/pokepedia/pokemon/tirtouga</x:v>
      </x:c>
    </x:row>
    <x:row r="3449" ht="22" customHeight="1">
      <x:c r="A3449" s="1" t="n">
        <x:v>564</x:v>
      </x:c>
      <x:c r="B3449" s="1" t="str">
        <x:v>Tirtouga</x:v>
      </x:c>
      <x:c r="C3449" s="1" t="n">
        <x:v>4</x:v>
      </x:c>
      <x:c r="D3449" s="1" t="str">
        <x:v>Aqua Jet</x:v>
      </x:c>
      <x:c r="E3449" s="1" t="str">
        <x:v>Água</x:v>
      </x:c>
      <x:c r="F3449" s="1" t="str">
        <x:v>Física</x:v>
      </x:c>
      <x:c r="G3449" s="10" t="n">
        <x:v>40</x:v>
      </x:c>
      <x:c r="H3449" s="10" t="n">
        <x:f>IF(F3449="Física",'Pokémon'!G373,IF(F3449="Especial",'Pokémon'!I373,""))</x:f>
        <x:v>78</x:v>
      </x:c>
      <x:c r="I3449" s="10" t="n">
        <x:f>IF(OR(F3449="Status",G3449=0),"",G3449+H3449)</x:f>
        <x:v>118</x:v>
      </x:c>
      <x:c r="J3449" s="10" t="n">
        <x:v>15</x:v>
      </x:c>
      <x:c r="K3449" s="12" t="n">
        <x:v>15</x:v>
      </x:c>
      <x:c r="L3449" s="1" t="str"/>
      <x:c r="M3449" s="9" t="str">
        <x:v>https://poke.idleworld.online/pokepedia/pokemon/tirtouga</x:v>
      </x:c>
    </x:row>
    <x:row r="3450" ht="22" customHeight="1">
      <x:c r="A3450" s="1" t="n">
        <x:v>564</x:v>
      </x:c>
      <x:c r="B3450" s="1" t="str">
        <x:v>Tirtouga</x:v>
      </x:c>
      <x:c r="C3450" s="1" t="n">
        <x:v>5</x:v>
      </x:c>
      <x:c r="D3450" s="1" t="str">
        <x:v>Ancient Power</x:v>
      </x:c>
      <x:c r="E3450" s="1" t="str">
        <x:v>Pedra</x:v>
      </x:c>
      <x:c r="F3450" s="1" t="str">
        <x:v>Especial</x:v>
      </x:c>
      <x:c r="G3450" s="10" t="n">
        <x:v>60</x:v>
      </x:c>
      <x:c r="H3450" s="10" t="n">
        <x:f>IF(F3450="Física",'Pokémon'!G373,IF(F3450="Especial",'Pokémon'!I373,""))</x:f>
        <x:v>53</x:v>
      </x:c>
      <x:c r="I3450" s="10" t="n">
        <x:f>IF(OR(F3450="Status",G3450=0),"",G3450+H3450)</x:f>
        <x:v>113</x:v>
      </x:c>
      <x:c r="J3450" s="10" t="n">
        <x:v>18</x:v>
      </x:c>
      <x:c r="K3450" s="12" t="n">
        <x:v>50</x:v>
      </x:c>
      <x:c r="L3450" s="1" t="str"/>
      <x:c r="M3450" s="9" t="str">
        <x:v>https://poke.idleworld.online/pokepedia/pokemon/tirtouga</x:v>
      </x:c>
    </x:row>
    <x:row r="3451" ht="22" customHeight="1">
      <x:c r="A3451" s="1" t="n">
        <x:v>564</x:v>
      </x:c>
      <x:c r="B3451" s="1" t="str">
        <x:v>Tirtouga</x:v>
      </x:c>
      <x:c r="C3451" s="1" t="n">
        <x:v>2</x:v>
      </x:c>
      <x:c r="D3451" s="1" t="str">
        <x:v>Rollout</x:v>
      </x:c>
      <x:c r="E3451" s="1" t="str">
        <x:v>Pedra</x:v>
      </x:c>
      <x:c r="F3451" s="1" t="str">
        <x:v>Física</x:v>
      </x:c>
      <x:c r="G3451" s="10" t="n">
        <x:v>30</x:v>
      </x:c>
      <x:c r="H3451" s="10" t="n">
        <x:f>IF(F3451="Física",'Pokémon'!G373,IF(F3451="Especial",'Pokémon'!I373,""))</x:f>
        <x:v>78</x:v>
      </x:c>
      <x:c r="I3451" s="10" t="n">
        <x:f>IF(OR(F3451="Status",G3451=0),"",G3451+H3451)</x:f>
        <x:v>108</x:v>
      </x:c>
      <x:c r="J3451" s="10" t="n">
        <x:v>5</x:v>
      </x:c>
      <x:c r="K3451" s="12" t="n">
        <x:v>15</x:v>
      </x:c>
      <x:c r="L3451" s="1" t="str"/>
      <x:c r="M3451" s="9" t="str">
        <x:v>https://poke.idleworld.online/pokepedia/pokemon/tirtouga</x:v>
      </x:c>
    </x:row>
    <x:row r="3452" ht="22" customHeight="1">
      <x:c r="A3452" s="1" t="n">
        <x:v>564</x:v>
      </x:c>
      <x:c r="B3452" s="1" t="str">
        <x:v>Tirtouga</x:v>
      </x:c>
      <x:c r="C3452" s="1" t="n">
        <x:v>1</x:v>
      </x:c>
      <x:c r="D3452" s="1" t="str">
        <x:v>Water Gun</x:v>
      </x:c>
      <x:c r="E3452" s="1" t="str">
        <x:v>Água</x:v>
      </x:c>
      <x:c r="F3452" s="1" t="str">
        <x:v>Especial</x:v>
      </x:c>
      <x:c r="G3452" s="10" t="n">
        <x:v>40</x:v>
      </x:c>
      <x:c r="H3452" s="10" t="n">
        <x:f>IF(F3452="Física",'Pokémon'!G373,IF(F3452="Especial",'Pokémon'!I373,""))</x:f>
        <x:v>53</x:v>
      </x:c>
      <x:c r="I3452" s="10" t="n">
        <x:f>IF(OR(F3452="Status",G3452=0),"",G3452+H3452)</x:f>
        <x:v>93</x:v>
      </x:c>
      <x:c r="J3452" s="10" t="n">
        <x:v>1</x:v>
      </x:c>
      <x:c r="K3452" s="12" t="n">
        <x:v>15</x:v>
      </x:c>
      <x:c r="L3452" s="1" t="str"/>
      <x:c r="M3452" s="9" t="str">
        <x:v>https://poke.idleworld.online/pokepedia/pokemon/tirtouga</x:v>
      </x:c>
    </x:row>
    <x:row r="3453" ht="22" customHeight="1">
      <x:c r="A3453" s="1" t="n">
        <x:v>565</x:v>
      </x:c>
      <x:c r="B3453" s="1" t="str">
        <x:v>Carracosta</x:v>
      </x:c>
      <x:c r="C3453" s="1" t="n">
        <x:v>9</x:v>
      </x:c>
      <x:c r="D3453" s="1" t="str">
        <x:v>Aqua Tail</x:v>
      </x:c>
      <x:c r="E3453" s="1" t="str">
        <x:v>Água</x:v>
      </x:c>
      <x:c r="F3453" s="1" t="str">
        <x:v>Física</x:v>
      </x:c>
      <x:c r="G3453" s="10" t="n">
        <x:v>90</x:v>
      </x:c>
      <x:c r="H3453" s="10" t="n">
        <x:f>IF(F3453="Física",'Pokémon'!G374,IF(F3453="Especial",'Pokémon'!I374,""))</x:f>
        <x:v>108</x:v>
      </x:c>
      <x:c r="I3453" s="10" t="n">
        <x:f>IF(OR(F3453="Status",G3453=0),"",G3453+H3453)</x:f>
        <x:v>198</x:v>
      </x:c>
      <x:c r="J3453" s="10" t="n">
        <x:v>45</x:v>
      </x:c>
      <x:c r="K3453" s="12" t="n">
        <x:v>22</x:v>
      </x:c>
      <x:c r="L3453" s="1" t="str"/>
      <x:c r="M3453" s="9" t="str">
        <x:v>https://poke.idleworld.online/pokepedia/pokemon/carracosta</x:v>
      </x:c>
    </x:row>
    <x:row r="3454" ht="22" customHeight="1">
      <x:c r="A3454" s="1" t="n">
        <x:v>565</x:v>
      </x:c>
      <x:c r="B3454" s="1" t="str">
        <x:v>Carracosta</x:v>
      </x:c>
      <x:c r="C3454" s="1" t="n">
        <x:v>11</x:v>
      </x:c>
      <x:c r="D3454" s="1" t="str">
        <x:v>Hydro Pump</x:v>
      </x:c>
      <x:c r="E3454" s="1" t="str">
        <x:v>Água</x:v>
      </x:c>
      <x:c r="F3454" s="1" t="str">
        <x:v>Especial</x:v>
      </x:c>
      <x:c r="G3454" s="10" t="n">
        <x:v>110</x:v>
      </x:c>
      <x:c r="H3454" s="10" t="n">
        <x:f>IF(F3454="Física",'Pokémon'!G374,IF(F3454="Especial",'Pokémon'!I374,""))</x:f>
        <x:v>83</x:v>
      </x:c>
      <x:c r="I3454" s="10" t="n">
        <x:f>IF(OR(F3454="Status",G3454=0),"",G3454+H3454)</x:f>
        <x:v>193</x:v>
      </x:c>
      <x:c r="J3454" s="10" t="n">
        <x:v>61</x:v>
      </x:c>
      <x:c r="K3454" s="12" t="n">
        <x:v>40</x:v>
      </x:c>
      <x:c r="L3454" s="1" t="str"/>
      <x:c r="M3454" s="9" t="str">
        <x:v>https://poke.idleworld.online/pokepedia/pokemon/carracosta</x:v>
      </x:c>
    </x:row>
    <x:row r="3455" ht="22" customHeight="1">
      <x:c r="A3455" s="1" t="n">
        <x:v>565</x:v>
      </x:c>
      <x:c r="B3455" s="1" t="str">
        <x:v>Carracosta</x:v>
      </x:c>
      <x:c r="C3455" s="1" t="n">
        <x:v>6</x:v>
      </x:c>
      <x:c r="D3455" s="1" t="str">
        <x:v>Crunch</x:v>
      </x:c>
      <x:c r="E3455" s="1" t="str">
        <x:v>Sombrio</x:v>
      </x:c>
      <x:c r="F3455" s="1" t="str">
        <x:v>Física</x:v>
      </x:c>
      <x:c r="G3455" s="10" t="n">
        <x:v>80</x:v>
      </x:c>
      <x:c r="H3455" s="10" t="n">
        <x:f>IF(F3455="Física",'Pokémon'!G374,IF(F3455="Especial",'Pokémon'!I374,""))</x:f>
        <x:v>108</x:v>
      </x:c>
      <x:c r="I3455" s="10" t="n">
        <x:f>IF(OR(F3455="Status",G3455=0),"",G3455+H3455)</x:f>
        <x:v>188</x:v>
      </x:c>
      <x:c r="J3455" s="10" t="n">
        <x:v>21</x:v>
      </x:c>
      <x:c r="K3455" s="12" t="n">
        <x:v>22</x:v>
      </x:c>
      <x:c r="L3455" s="1" t="str"/>
      <x:c r="M3455" s="9" t="str">
        <x:v>https://poke.idleworld.online/pokepedia/pokemon/carracosta</x:v>
      </x:c>
    </x:row>
    <x:row r="3456" ht="22" customHeight="1">
      <x:c r="A3456" s="1" t="n">
        <x:v>565</x:v>
      </x:c>
      <x:c r="B3456" s="1" t="str">
        <x:v>Carracosta</x:v>
      </x:c>
      <x:c r="C3456" s="1" t="n">
        <x:v>10</x:v>
      </x:c>
      <x:c r="D3456" s="1" t="str">
        <x:v>Rock Slide</x:v>
      </x:c>
      <x:c r="E3456" s="1" t="str">
        <x:v>Pedra</x:v>
      </x:c>
      <x:c r="F3456" s="1" t="str">
        <x:v>Física</x:v>
      </x:c>
      <x:c r="G3456" s="10" t="n">
        <x:v>75</x:v>
      </x:c>
      <x:c r="H3456" s="10" t="n">
        <x:f>IF(F3456="Física",'Pokémon'!G374,IF(F3456="Especial",'Pokémon'!I374,""))</x:f>
        <x:v>108</x:v>
      </x:c>
      <x:c r="I3456" s="10" t="n">
        <x:f>IF(OR(F3456="Status",G3456=0),"",G3456+H3456)</x:f>
        <x:v>183</x:v>
      </x:c>
      <x:c r="J3456" s="10" t="n">
        <x:v>51</x:v>
      </x:c>
      <x:c r="K3456" s="12" t="n">
        <x:v>15</x:v>
      </x:c>
      <x:c r="L3456" s="1" t="str"/>
      <x:c r="M3456" s="9" t="str">
        <x:v>https://poke.idleworld.online/pokepedia/pokemon/carracosta</x:v>
      </x:c>
    </x:row>
    <x:row r="3457" ht="22" customHeight="1">
      <x:c r="A3457" s="1" t="n">
        <x:v>565</x:v>
      </x:c>
      <x:c r="B3457" s="1" t="str">
        <x:v>Carracosta</x:v>
      </x:c>
      <x:c r="C3457" s="1" t="n">
        <x:v>3</x:v>
      </x:c>
      <x:c r="D3457" s="1" t="str">
        <x:v>Bite</x:v>
      </x:c>
      <x:c r="E3457" s="1" t="str">
        <x:v>Sombrio</x:v>
      </x:c>
      <x:c r="F3457" s="1" t="str">
        <x:v>Física</x:v>
      </x:c>
      <x:c r="G3457" s="10" t="n">
        <x:v>60</x:v>
      </x:c>
      <x:c r="H3457" s="10" t="n">
        <x:f>IF(F3457="Física",'Pokémon'!G374,IF(F3457="Especial",'Pokémon'!I374,""))</x:f>
        <x:v>108</x:v>
      </x:c>
      <x:c r="I3457" s="10" t="n">
        <x:f>IF(OR(F3457="Status",G3457=0),"",G3457+H3457)</x:f>
        <x:v>168</x:v>
      </x:c>
      <x:c r="J3457" s="10" t="n">
        <x:v>8</x:v>
      </x:c>
      <x:c r="K3457" s="12" t="n">
        <x:v>20</x:v>
      </x:c>
      <x:c r="L3457" s="1" t="str"/>
      <x:c r="M3457" s="9" t="str">
        <x:v>https://poke.idleworld.online/pokepedia/pokemon/carracosta</x:v>
      </x:c>
    </x:row>
    <x:row r="3458" ht="22" customHeight="1">
      <x:c r="A3458" s="1" t="n">
        <x:v>565</x:v>
      </x:c>
      <x:c r="B3458" s="1" t="str">
        <x:v>Carracosta</x:v>
      </x:c>
      <x:c r="C3458" s="1" t="n">
        <x:v>8</x:v>
      </x:c>
      <x:c r="D3458" s="1" t="str">
        <x:v>Smack Down</x:v>
      </x:c>
      <x:c r="E3458" s="1" t="str">
        <x:v>Pedra</x:v>
      </x:c>
      <x:c r="F3458" s="1" t="str">
        <x:v>Física</x:v>
      </x:c>
      <x:c r="G3458" s="10" t="n">
        <x:v>50</x:v>
      </x:c>
      <x:c r="H3458" s="10" t="n">
        <x:f>IF(F3458="Física",'Pokémon'!G374,IF(F3458="Especial",'Pokémon'!I374,""))</x:f>
        <x:v>108</x:v>
      </x:c>
      <x:c r="I3458" s="10" t="n">
        <x:f>IF(OR(F3458="Status",G3458=0),"",G3458+H3458)</x:f>
        <x:v>158</x:v>
      </x:c>
      <x:c r="J3458" s="10" t="n">
        <x:v>31</x:v>
      </x:c>
      <x:c r="K3458" s="12" t="n">
        <x:v>15</x:v>
      </x:c>
      <x:c r="L3458" s="1" t="str"/>
      <x:c r="M3458" s="9" t="str">
        <x:v>https://poke.idleworld.online/pokepedia/pokemon/carracosta</x:v>
      </x:c>
    </x:row>
    <x:row r="3459" ht="22" customHeight="1">
      <x:c r="A3459" s="1" t="n">
        <x:v>565</x:v>
      </x:c>
      <x:c r="B3459" s="1" t="str">
        <x:v>Carracosta</x:v>
      </x:c>
      <x:c r="C3459" s="1" t="n">
        <x:v>7</x:v>
      </x:c>
      <x:c r="D3459" s="1" t="str">
        <x:v>Brine</x:v>
      </x:c>
      <x:c r="E3459" s="1" t="str">
        <x:v>Água</x:v>
      </x:c>
      <x:c r="F3459" s="1" t="str">
        <x:v>Especial</x:v>
      </x:c>
      <x:c r="G3459" s="10" t="n">
        <x:v>65</x:v>
      </x:c>
      <x:c r="H3459" s="10" t="n">
        <x:f>IF(F3459="Física",'Pokémon'!G374,IF(F3459="Especial",'Pokémon'!I374,""))</x:f>
        <x:v>83</x:v>
      </x:c>
      <x:c r="I3459" s="10" t="n">
        <x:f>IF(OR(F3459="Status",G3459=0),"",G3459+H3459)</x:f>
        <x:v>148</x:v>
      </x:c>
      <x:c r="J3459" s="10" t="n">
        <x:v>28</x:v>
      </x:c>
      <x:c r="K3459" s="12" t="n">
        <x:v>35</x:v>
      </x:c>
      <x:c r="L3459" s="1" t="str"/>
      <x:c r="M3459" s="9" t="str">
        <x:v>https://poke.idleworld.online/pokepedia/pokemon/carracosta</x:v>
      </x:c>
    </x:row>
    <x:row r="3460" ht="22" customHeight="1">
      <x:c r="A3460" s="1" t="n">
        <x:v>565</x:v>
      </x:c>
      <x:c r="B3460" s="1" t="str">
        <x:v>Carracosta</x:v>
      </x:c>
      <x:c r="C3460" s="1" t="n">
        <x:v>4</x:v>
      </x:c>
      <x:c r="D3460" s="1" t="str">
        <x:v>Aqua Jet</x:v>
      </x:c>
      <x:c r="E3460" s="1" t="str">
        <x:v>Água</x:v>
      </x:c>
      <x:c r="F3460" s="1" t="str">
        <x:v>Física</x:v>
      </x:c>
      <x:c r="G3460" s="10" t="n">
        <x:v>40</x:v>
      </x:c>
      <x:c r="H3460" s="10" t="n">
        <x:f>IF(F3460="Física",'Pokémon'!G374,IF(F3460="Especial",'Pokémon'!I374,""))</x:f>
        <x:v>108</x:v>
      </x:c>
      <x:c r="I3460" s="10" t="n">
        <x:f>IF(OR(F3460="Status",G3460=0),"",G3460+H3460)</x:f>
        <x:v>148</x:v>
      </x:c>
      <x:c r="J3460" s="10" t="n">
        <x:v>15</x:v>
      </x:c>
      <x:c r="K3460" s="12" t="n">
        <x:v>15</x:v>
      </x:c>
      <x:c r="L3460" s="1" t="str"/>
      <x:c r="M3460" s="9" t="str">
        <x:v>https://poke.idleworld.online/pokepedia/pokemon/carracosta</x:v>
      </x:c>
    </x:row>
    <x:row r="3461" ht="22" customHeight="1">
      <x:c r="A3461" s="1" t="n">
        <x:v>565</x:v>
      </x:c>
      <x:c r="B3461" s="1" t="str">
        <x:v>Carracosta</x:v>
      </x:c>
      <x:c r="C3461" s="1" t="n">
        <x:v>5</x:v>
      </x:c>
      <x:c r="D3461" s="1" t="str">
        <x:v>Ancient Power</x:v>
      </x:c>
      <x:c r="E3461" s="1" t="str">
        <x:v>Pedra</x:v>
      </x:c>
      <x:c r="F3461" s="1" t="str">
        <x:v>Especial</x:v>
      </x:c>
      <x:c r="G3461" s="10" t="n">
        <x:v>60</x:v>
      </x:c>
      <x:c r="H3461" s="10" t="n">
        <x:f>IF(F3461="Física",'Pokémon'!G374,IF(F3461="Especial",'Pokémon'!I374,""))</x:f>
        <x:v>83</x:v>
      </x:c>
      <x:c r="I3461" s="10" t="n">
        <x:f>IF(OR(F3461="Status",G3461=0),"",G3461+H3461)</x:f>
        <x:v>143</x:v>
      </x:c>
      <x:c r="J3461" s="10" t="n">
        <x:v>18</x:v>
      </x:c>
      <x:c r="K3461" s="12" t="n">
        <x:v>50</x:v>
      </x:c>
      <x:c r="L3461" s="1" t="str"/>
      <x:c r="M3461" s="9" t="str">
        <x:v>https://poke.idleworld.online/pokepedia/pokemon/carracosta</x:v>
      </x:c>
    </x:row>
    <x:row r="3462" ht="22" customHeight="1">
      <x:c r="A3462" s="1" t="n">
        <x:v>565</x:v>
      </x:c>
      <x:c r="B3462" s="1" t="str">
        <x:v>Carracosta</x:v>
      </x:c>
      <x:c r="C3462" s="1" t="n">
        <x:v>1</x:v>
      </x:c>
      <x:c r="D3462" s="1" t="str">
        <x:v>Rollout</x:v>
      </x:c>
      <x:c r="E3462" s="1" t="str">
        <x:v>Pedra</x:v>
      </x:c>
      <x:c r="F3462" s="1" t="str">
        <x:v>Física</x:v>
      </x:c>
      <x:c r="G3462" s="10" t="n">
        <x:v>30</x:v>
      </x:c>
      <x:c r="H3462" s="10" t="n">
        <x:f>IF(F3462="Física",'Pokémon'!G374,IF(F3462="Especial",'Pokémon'!I374,""))</x:f>
        <x:v>108</x:v>
      </x:c>
      <x:c r="I3462" s="10" t="n">
        <x:f>IF(OR(F3462="Status",G3462=0),"",G3462+H3462)</x:f>
        <x:v>138</x:v>
      </x:c>
      <x:c r="J3462" s="10" t="n">
        <x:v>1</x:v>
      </x:c>
      <x:c r="K3462" s="12" t="n">
        <x:v>15</x:v>
      </x:c>
      <x:c r="L3462" s="1" t="str"/>
      <x:c r="M3462" s="9" t="str">
        <x:v>https://poke.idleworld.online/pokepedia/pokemon/carracosta</x:v>
      </x:c>
    </x:row>
    <x:row r="3463" ht="22" customHeight="1">
      <x:c r="A3463" s="1" t="n">
        <x:v>565</x:v>
      </x:c>
      <x:c r="B3463" s="1" t="str">
        <x:v>Carracosta</x:v>
      </x:c>
      <x:c r="C3463" s="1" t="n">
        <x:v>2</x:v>
      </x:c>
      <x:c r="D3463" s="1" t="str">
        <x:v>Water Gun</x:v>
      </x:c>
      <x:c r="E3463" s="1" t="str">
        <x:v>Água</x:v>
      </x:c>
      <x:c r="F3463" s="1" t="str">
        <x:v>Especial</x:v>
      </x:c>
      <x:c r="G3463" s="10" t="n">
        <x:v>40</x:v>
      </x:c>
      <x:c r="H3463" s="10" t="n">
        <x:f>IF(F3463="Física",'Pokémon'!G374,IF(F3463="Especial",'Pokémon'!I374,""))</x:f>
        <x:v>83</x:v>
      </x:c>
      <x:c r="I3463" s="10" t="n">
        <x:f>IF(OR(F3463="Status",G3463=0),"",G3463+H3463)</x:f>
        <x:v>123</x:v>
      </x:c>
      <x:c r="J3463" s="10" t="n">
        <x:v>1</x:v>
      </x:c>
      <x:c r="K3463" s="12" t="n">
        <x:v>15</x:v>
      </x:c>
      <x:c r="L3463" s="1" t="str"/>
      <x:c r="M3463" s="9" t="str">
        <x:v>https://poke.idleworld.online/pokepedia/pokemon/carracosta</x:v>
      </x:c>
    </x:row>
    <x:row r="3464" ht="22" customHeight="1">
      <x:c r="A3464" s="1" t="n">
        <x:v>566</x:v>
      </x:c>
      <x:c r="B3464" s="1" t="str">
        <x:v>Archen</x:v>
      </x:c>
      <x:c r="C3464" s="1" t="n">
        <x:v>12</x:v>
      </x:c>
      <x:c r="D3464" s="1" t="str">
        <x:v>Thrash</x:v>
      </x:c>
      <x:c r="E3464" s="1" t="str">
        <x:v>Normal</x:v>
      </x:c>
      <x:c r="F3464" s="1" t="str">
        <x:v>Física</x:v>
      </x:c>
      <x:c r="G3464" s="10" t="n">
        <x:v>120</x:v>
      </x:c>
      <x:c r="H3464" s="10" t="n">
        <x:f>IF(F3464="Física",'Pokémon'!G375,IF(F3464="Especial",'Pokémon'!I375,""))</x:f>
        <x:v>112</x:v>
      </x:c>
      <x:c r="I3464" s="10" t="n">
        <x:f>IF(OR(F3464="Status",G3464=0),"",G3464+H3464)</x:f>
        <x:v>232</x:v>
      </x:c>
      <x:c r="J3464" s="10" t="n">
        <x:v>50</x:v>
      </x:c>
      <x:c r="K3464" s="12" t="n">
        <x:v>50</x:v>
      </x:c>
      <x:c r="L3464" s="1" t="str"/>
      <x:c r="M3464" s="9" t="str">
        <x:v>https://poke.idleworld.online/pokepedia/pokemon/archen</x:v>
      </x:c>
    </x:row>
    <x:row r="3465" ht="22" customHeight="1">
      <x:c r="A3465" s="1" t="n">
        <x:v>566</x:v>
      </x:c>
      <x:c r="B3465" s="1" t="str">
        <x:v>Archen</x:v>
      </x:c>
      <x:c r="C3465" s="1" t="n">
        <x:v>8</x:v>
      </x:c>
      <x:c r="D3465" s="1" t="str">
        <x:v>Crunch</x:v>
      </x:c>
      <x:c r="E3465" s="1" t="str">
        <x:v>Sombrio</x:v>
      </x:c>
      <x:c r="F3465" s="1" t="str">
        <x:v>Física</x:v>
      </x:c>
      <x:c r="G3465" s="10" t="n">
        <x:v>80</x:v>
      </x:c>
      <x:c r="H3465" s="10" t="n">
        <x:f>IF(F3465="Física",'Pokémon'!G375,IF(F3465="Especial",'Pokémon'!I375,""))</x:f>
        <x:v>112</x:v>
      </x:c>
      <x:c r="I3465" s="10" t="n">
        <x:f>IF(OR(F3465="Status",G3465=0),"",G3465+H3465)</x:f>
        <x:v>192</x:v>
      </x:c>
      <x:c r="J3465" s="10" t="n">
        <x:v>35</x:v>
      </x:c>
      <x:c r="K3465" s="12" t="n">
        <x:v>22</x:v>
      </x:c>
      <x:c r="L3465" s="1" t="str"/>
      <x:c r="M3465" s="9" t="str">
        <x:v>https://poke.idleworld.online/pokepedia/pokemon/archen</x:v>
      </x:c>
    </x:row>
    <x:row r="3466" ht="22" customHeight="1">
      <x:c r="A3466" s="1" t="n">
        <x:v>566</x:v>
      </x:c>
      <x:c r="B3466" s="1" t="str">
        <x:v>Archen</x:v>
      </x:c>
      <x:c r="C3466" s="1" t="n">
        <x:v>11</x:v>
      </x:c>
      <x:c r="D3466" s="1" t="str">
        <x:v>Dragon Claw</x:v>
      </x:c>
      <x:c r="E3466" s="1" t="str">
        <x:v>Dragão</x:v>
      </x:c>
      <x:c r="F3466" s="1" t="str">
        <x:v>Física</x:v>
      </x:c>
      <x:c r="G3466" s="10" t="n">
        <x:v>80</x:v>
      </x:c>
      <x:c r="H3466" s="10" t="n">
        <x:f>IF(F3466="Física",'Pokémon'!G375,IF(F3466="Especial",'Pokémon'!I375,""))</x:f>
        <x:v>112</x:v>
      </x:c>
      <x:c r="I3466" s="10" t="n">
        <x:f>IF(OR(F3466="Status",G3466=0),"",G3466+H3466)</x:f>
        <x:v>192</x:v>
      </x:c>
      <x:c r="J3466" s="10" t="n">
        <x:v>48</x:v>
      </x:c>
      <x:c r="K3466" s="12" t="n">
        <x:v>22</x:v>
      </x:c>
      <x:c r="L3466" s="1" t="str"/>
      <x:c r="M3466" s="9" t="str">
        <x:v>https://poke.idleworld.online/pokepedia/pokemon/archen</x:v>
      </x:c>
    </x:row>
    <x:row r="3467" ht="22" customHeight="1">
      <x:c r="A3467" s="1" t="n">
        <x:v>566</x:v>
      </x:c>
      <x:c r="B3467" s="1" t="str">
        <x:v>Archen</x:v>
      </x:c>
      <x:c r="C3467" s="1" t="n">
        <x:v>10</x:v>
      </x:c>
      <x:c r="D3467" s="1" t="str">
        <x:v>Rock Slide</x:v>
      </x:c>
      <x:c r="E3467" s="1" t="str">
        <x:v>Pedra</x:v>
      </x:c>
      <x:c r="F3467" s="1" t="str">
        <x:v>Física</x:v>
      </x:c>
      <x:c r="G3467" s="10" t="n">
        <x:v>75</x:v>
      </x:c>
      <x:c r="H3467" s="10" t="n">
        <x:f>IF(F3467="Física",'Pokémon'!G375,IF(F3467="Especial",'Pokémon'!I375,""))</x:f>
        <x:v>112</x:v>
      </x:c>
      <x:c r="I3467" s="10" t="n">
        <x:f>IF(OR(F3467="Status",G3467=0),"",G3467+H3467)</x:f>
        <x:v>187</x:v>
      </x:c>
      <x:c r="J3467" s="10" t="n">
        <x:v>45</x:v>
      </x:c>
      <x:c r="K3467" s="12" t="n">
        <x:v>15</x:v>
      </x:c>
      <x:c r="L3467" s="1" t="str"/>
      <x:c r="M3467" s="9" t="str">
        <x:v>https://poke.idleworld.online/pokepedia/pokemon/archen</x:v>
      </x:c>
    </x:row>
    <x:row r="3468" ht="22" customHeight="1">
      <x:c r="A3468" s="1" t="n">
        <x:v>566</x:v>
      </x:c>
      <x:c r="B3468" s="1" t="str">
        <x:v>Archen</x:v>
      </x:c>
      <x:c r="C3468" s="1" t="n">
        <x:v>9</x:v>
      </x:c>
      <x:c r="D3468" s="1" t="str">
        <x:v>U-turn</x:v>
      </x:c>
      <x:c r="E3468" s="1" t="str">
        <x:v>Inseto</x:v>
      </x:c>
      <x:c r="F3468" s="1" t="str">
        <x:v>Física</x:v>
      </x:c>
      <x:c r="G3468" s="10" t="n">
        <x:v>70</x:v>
      </x:c>
      <x:c r="H3468" s="10" t="n">
        <x:f>IF(F3468="Física",'Pokémon'!G375,IF(F3468="Especial",'Pokémon'!I375,""))</x:f>
        <x:v>112</x:v>
      </x:c>
      <x:c r="I3468" s="10" t="n">
        <x:f>IF(OR(F3468="Status",G3468=0),"",G3468+H3468)</x:f>
        <x:v>182</x:v>
      </x:c>
      <x:c r="J3468" s="10" t="n">
        <x:v>41</x:v>
      </x:c>
      <x:c r="K3468" s="12" t="n">
        <x:v>20</x:v>
      </x:c>
      <x:c r="L3468" s="1" t="str"/>
      <x:c r="M3468" s="9" t="str">
        <x:v>https://poke.idleworld.online/pokepedia/pokemon/archen</x:v>
      </x:c>
    </x:row>
    <x:row r="3469" ht="22" customHeight="1">
      <x:c r="A3469" s="1" t="n">
        <x:v>566</x:v>
      </x:c>
      <x:c r="B3469" s="1" t="str">
        <x:v>Archen</x:v>
      </x:c>
      <x:c r="C3469" s="1" t="n">
        <x:v>1</x:v>
      </x:c>
      <x:c r="D3469" s="1" t="str">
        <x:v>Wing Attack</x:v>
      </x:c>
      <x:c r="E3469" s="1" t="str">
        <x:v>Voador</x:v>
      </x:c>
      <x:c r="F3469" s="1" t="str">
        <x:v>Física</x:v>
      </x:c>
      <x:c r="G3469" s="10" t="n">
        <x:v>60</x:v>
      </x:c>
      <x:c r="H3469" s="10" t="n">
        <x:f>IF(F3469="Física",'Pokémon'!G375,IF(F3469="Especial",'Pokémon'!I375,""))</x:f>
        <x:v>112</x:v>
      </x:c>
      <x:c r="I3469" s="10" t="n">
        <x:f>IF(OR(F3469="Status",G3469=0),"",G3469+H3469)</x:f>
        <x:v>172</x:v>
      </x:c>
      <x:c r="J3469" s="10" t="n">
        <x:v>1</x:v>
      </x:c>
      <x:c r="K3469" s="12" t="n">
        <x:v>25</x:v>
      </x:c>
      <x:c r="L3469" s="1" t="str"/>
      <x:c r="M3469" s="9" t="str">
        <x:v>https://poke.idleworld.online/pokepedia/pokemon/archen</x:v>
      </x:c>
    </x:row>
    <x:row r="3470" ht="22" customHeight="1">
      <x:c r="A3470" s="1" t="n">
        <x:v>566</x:v>
      </x:c>
      <x:c r="B3470" s="1" t="str">
        <x:v>Archen</x:v>
      </x:c>
      <x:c r="C3470" s="1" t="n">
        <x:v>4</x:v>
      </x:c>
      <x:c r="D3470" s="1" t="str">
        <x:v>Pluck</x:v>
      </x:c>
      <x:c r="E3470" s="1" t="str">
        <x:v>Voador</x:v>
      </x:c>
      <x:c r="F3470" s="1" t="str">
        <x:v>Física</x:v>
      </x:c>
      <x:c r="G3470" s="10" t="n">
        <x:v>60</x:v>
      </x:c>
      <x:c r="H3470" s="10" t="n">
        <x:f>IF(F3470="Física",'Pokémon'!G375,IF(F3470="Especial",'Pokémon'!I375,""))</x:f>
        <x:v>112</x:v>
      </x:c>
      <x:c r="I3470" s="10" t="n">
        <x:f>IF(OR(F3470="Status",G3470=0),"",G3470+H3470)</x:f>
        <x:v>172</x:v>
      </x:c>
      <x:c r="J3470" s="10" t="n">
        <x:v>15</x:v>
      </x:c>
      <x:c r="K3470" s="12" t="n">
        <x:v>12</x:v>
      </x:c>
      <x:c r="L3470" s="1" t="str"/>
      <x:c r="M3470" s="9" t="str">
        <x:v>https://poke.idleworld.online/pokepedia/pokemon/archen</x:v>
      </x:c>
    </x:row>
    <x:row r="3471" ht="22" customHeight="1">
      <x:c r="A3471" s="1" t="n">
        <x:v>566</x:v>
      </x:c>
      <x:c r="B3471" s="1" t="str">
        <x:v>Archen</x:v>
      </x:c>
      <x:c r="C3471" s="1" t="n">
        <x:v>6</x:v>
      </x:c>
      <x:c r="D3471" s="1" t="str">
        <x:v>Acrobatics</x:v>
      </x:c>
      <x:c r="E3471" s="1" t="str">
        <x:v>Voador</x:v>
      </x:c>
      <x:c r="F3471" s="1" t="str">
        <x:v>Física</x:v>
      </x:c>
      <x:c r="G3471" s="10" t="n">
        <x:v>55</x:v>
      </x:c>
      <x:c r="H3471" s="10" t="n">
        <x:f>IF(F3471="Física",'Pokémon'!G375,IF(F3471="Especial",'Pokémon'!I375,""))</x:f>
        <x:v>112</x:v>
      </x:c>
      <x:c r="I3471" s="10" t="n">
        <x:f>IF(OR(F3471="Status",G3471=0),"",G3471+H3471)</x:f>
        <x:v>167</x:v>
      </x:c>
      <x:c r="J3471" s="10" t="n">
        <x:v>28</x:v>
      </x:c>
      <x:c r="K3471" s="12" t="n">
        <x:v>20</x:v>
      </x:c>
      <x:c r="L3471" s="1" t="str"/>
      <x:c r="M3471" s="9" t="str">
        <x:v>https://poke.idleworld.online/pokepedia/pokemon/archen</x:v>
      </x:c>
    </x:row>
    <x:row r="3472" ht="22" customHeight="1">
      <x:c r="A3472" s="1" t="n">
        <x:v>566</x:v>
      </x:c>
      <x:c r="B3472" s="1" t="str">
        <x:v>Archen</x:v>
      </x:c>
      <x:c r="C3472" s="1" t="n">
        <x:v>3</x:v>
      </x:c>
      <x:c r="D3472" s="1" t="str">
        <x:v>Rock Throw</x:v>
      </x:c>
      <x:c r="E3472" s="1" t="str">
        <x:v>Pedra</x:v>
      </x:c>
      <x:c r="F3472" s="1" t="str">
        <x:v>Física</x:v>
      </x:c>
      <x:c r="G3472" s="10" t="n">
        <x:v>50</x:v>
      </x:c>
      <x:c r="H3472" s="10" t="n">
        <x:f>IF(F3472="Física",'Pokémon'!G375,IF(F3472="Especial",'Pokémon'!I375,""))</x:f>
        <x:v>112</x:v>
      </x:c>
      <x:c r="I3472" s="10" t="n">
        <x:f>IF(OR(F3472="Status",G3472=0),"",G3472+H3472)</x:f>
        <x:v>162</x:v>
      </x:c>
      <x:c r="J3472" s="10" t="n">
        <x:v>5</x:v>
      </x:c>
      <x:c r="K3472" s="12" t="n">
        <x:v>15</x:v>
      </x:c>
      <x:c r="L3472" s="1" t="str"/>
      <x:c r="M3472" s="9" t="str">
        <x:v>https://poke.idleworld.online/pokepedia/pokemon/archen</x:v>
      </x:c>
    </x:row>
    <x:row r="3473" ht="22" customHeight="1">
      <x:c r="A3473" s="1" t="n">
        <x:v>566</x:v>
      </x:c>
      <x:c r="B3473" s="1" t="str">
        <x:v>Archen</x:v>
      </x:c>
      <x:c r="C3473" s="1" t="n">
        <x:v>2</x:v>
      </x:c>
      <x:c r="D3473" s="1" t="str">
        <x:v>Quick Attack</x:v>
      </x:c>
      <x:c r="E3473" s="1" t="str">
        <x:v>Normal</x:v>
      </x:c>
      <x:c r="F3473" s="1" t="str">
        <x:v>Física</x:v>
      </x:c>
      <x:c r="G3473" s="10" t="n">
        <x:v>40</x:v>
      </x:c>
      <x:c r="H3473" s="10" t="n">
        <x:f>IF(F3473="Física",'Pokémon'!G375,IF(F3473="Especial",'Pokémon'!I375,""))</x:f>
        <x:v>112</x:v>
      </x:c>
      <x:c r="I3473" s="10" t="n">
        <x:f>IF(OR(F3473="Status",G3473=0),"",G3473+H3473)</x:f>
        <x:v>152</x:v>
      </x:c>
      <x:c r="J3473" s="10" t="n">
        <x:v>1</x:v>
      </x:c>
      <x:c r="K3473" s="12" t="n">
        <x:v>15</x:v>
      </x:c>
      <x:c r="L3473" s="1" t="str"/>
      <x:c r="M3473" s="9" t="str">
        <x:v>https://poke.idleworld.online/pokepedia/pokemon/archen</x:v>
      </x:c>
    </x:row>
    <x:row r="3474" ht="22" customHeight="1">
      <x:c r="A3474" s="1" t="n">
        <x:v>566</x:v>
      </x:c>
      <x:c r="B3474" s="1" t="str">
        <x:v>Archen</x:v>
      </x:c>
      <x:c r="C3474" s="1" t="n">
        <x:v>5</x:v>
      </x:c>
      <x:c r="D3474" s="1" t="str">
        <x:v>Ancient Power</x:v>
      </x:c>
      <x:c r="E3474" s="1" t="str">
        <x:v>Pedra</x:v>
      </x:c>
      <x:c r="F3474" s="1" t="str">
        <x:v>Especial</x:v>
      </x:c>
      <x:c r="G3474" s="10" t="n">
        <x:v>60</x:v>
      </x:c>
      <x:c r="H3474" s="10" t="n">
        <x:f>IF(F3474="Física",'Pokémon'!G375,IF(F3474="Especial",'Pokémon'!I375,""))</x:f>
        <x:v>74</x:v>
      </x:c>
      <x:c r="I3474" s="10" t="n">
        <x:f>IF(OR(F3474="Status",G3474=0),"",G3474+H3474)</x:f>
        <x:v>134</x:v>
      </x:c>
      <x:c r="J3474" s="10" t="n">
        <x:v>18</x:v>
      </x:c>
      <x:c r="K3474" s="12" t="n">
        <x:v>20</x:v>
      </x:c>
      <x:c r="L3474" s="1" t="str"/>
      <x:c r="M3474" s="9" t="str">
        <x:v>https://poke.idleworld.online/pokepedia/pokemon/archen</x:v>
      </x:c>
    </x:row>
    <x:row r="3475" ht="22" customHeight="1">
      <x:c r="A3475" s="1" t="n">
        <x:v>566</x:v>
      </x:c>
      <x:c r="B3475" s="1" t="str">
        <x:v>Archen</x:v>
      </x:c>
      <x:c r="C3475" s="1" t="n">
        <x:v>7</x:v>
      </x:c>
      <x:c r="D3475" s="1" t="str">
        <x:v>Dragon Breath</x:v>
      </x:c>
      <x:c r="E3475" s="1" t="str">
        <x:v>Dragão</x:v>
      </x:c>
      <x:c r="F3475" s="1" t="str">
        <x:v>Especial</x:v>
      </x:c>
      <x:c r="G3475" s="10" t="n">
        <x:v>60</x:v>
      </x:c>
      <x:c r="H3475" s="10" t="n">
        <x:f>IF(F3475="Física",'Pokémon'!G375,IF(F3475="Especial",'Pokémon'!I375,""))</x:f>
        <x:v>74</x:v>
      </x:c>
      <x:c r="I3475" s="10" t="n">
        <x:f>IF(OR(F3475="Status",G3475=0),"",G3475+H3475)</x:f>
        <x:v>134</x:v>
      </x:c>
      <x:c r="J3475" s="10" t="n">
        <x:v>31</x:v>
      </x:c>
      <x:c r="K3475" s="12" t="n">
        <x:v>20</x:v>
      </x:c>
      <x:c r="L3475" s="1" t="str"/>
      <x:c r="M3475" s="9" t="str">
        <x:v>https://poke.idleworld.online/pokepedia/pokemon/archen</x:v>
      </x:c>
    </x:row>
    <x:row r="3476" ht="22" customHeight="1">
      <x:c r="A3476" s="1" t="n">
        <x:v>567</x:v>
      </x:c>
      <x:c r="B3476" s="1" t="str">
        <x:v>Archeops</x:v>
      </x:c>
      <x:c r="C3476" s="1" t="n">
        <x:v>12</x:v>
      </x:c>
      <x:c r="D3476" s="1" t="str">
        <x:v>Thrash</x:v>
      </x:c>
      <x:c r="E3476" s="1" t="str">
        <x:v>Normal</x:v>
      </x:c>
      <x:c r="F3476" s="1" t="str">
        <x:v>Física</x:v>
      </x:c>
      <x:c r="G3476" s="10" t="n">
        <x:v>120</x:v>
      </x:c>
      <x:c r="H3476" s="10" t="n">
        <x:f>IF(F3476="Física",'Pokémon'!G376,IF(F3476="Especial",'Pokémon'!I376,""))</x:f>
        <x:v>140</x:v>
      </x:c>
      <x:c r="I3476" s="10" t="n">
        <x:f>IF(OR(F3476="Status",G3476=0),"",G3476+H3476)</x:f>
        <x:v>260</x:v>
      </x:c>
      <x:c r="J3476" s="10" t="n">
        <x:v>61</x:v>
      </x:c>
      <x:c r="K3476" s="12" t="n">
        <x:v>50</x:v>
      </x:c>
      <x:c r="L3476" s="1" t="str"/>
      <x:c r="M3476" s="9" t="str">
        <x:v>https://poke.idleworld.online/pokepedia/pokemon/archeops</x:v>
      </x:c>
    </x:row>
    <x:row r="3477" ht="22" customHeight="1">
      <x:c r="A3477" s="1" t="n">
        <x:v>567</x:v>
      </x:c>
      <x:c r="B3477" s="1" t="str">
        <x:v>Archeops</x:v>
      </x:c>
      <x:c r="C3477" s="1" t="n">
        <x:v>8</x:v>
      </x:c>
      <x:c r="D3477" s="1" t="str">
        <x:v>Crunch</x:v>
      </x:c>
      <x:c r="E3477" s="1" t="str">
        <x:v>Sombrio</x:v>
      </x:c>
      <x:c r="F3477" s="1" t="str">
        <x:v>Física</x:v>
      </x:c>
      <x:c r="G3477" s="10" t="n">
        <x:v>80</x:v>
      </x:c>
      <x:c r="H3477" s="10" t="n">
        <x:f>IF(F3477="Física",'Pokémon'!G376,IF(F3477="Especial",'Pokémon'!I376,""))</x:f>
        <x:v>140</x:v>
      </x:c>
      <x:c r="I3477" s="10" t="n">
        <x:f>IF(OR(F3477="Status",G3477=0),"",G3477+H3477)</x:f>
        <x:v>220</x:v>
      </x:c>
      <x:c r="J3477" s="10" t="n">
        <x:v>35</x:v>
      </x:c>
      <x:c r="K3477" s="12" t="n">
        <x:v>22</x:v>
      </x:c>
      <x:c r="L3477" s="1" t="str"/>
      <x:c r="M3477" s="9" t="str">
        <x:v>https://poke.idleworld.online/pokepedia/pokemon/archeops</x:v>
      </x:c>
    </x:row>
    <x:row r="3478" ht="22" customHeight="1">
      <x:c r="A3478" s="1" t="n">
        <x:v>567</x:v>
      </x:c>
      <x:c r="B3478" s="1" t="str">
        <x:v>Archeops</x:v>
      </x:c>
      <x:c r="C3478" s="1" t="n">
        <x:v>11</x:v>
      </x:c>
      <x:c r="D3478" s="1" t="str">
        <x:v>Dragon Claw</x:v>
      </x:c>
      <x:c r="E3478" s="1" t="str">
        <x:v>Dragão</x:v>
      </x:c>
      <x:c r="F3478" s="1" t="str">
        <x:v>Física</x:v>
      </x:c>
      <x:c r="G3478" s="10" t="n">
        <x:v>80</x:v>
      </x:c>
      <x:c r="H3478" s="10" t="n">
        <x:f>IF(F3478="Física",'Pokémon'!G376,IF(F3478="Especial",'Pokémon'!I376,""))</x:f>
        <x:v>140</x:v>
      </x:c>
      <x:c r="I3478" s="10" t="n">
        <x:f>IF(OR(F3478="Status",G3478=0),"",G3478+H3478)</x:f>
        <x:v>220</x:v>
      </x:c>
      <x:c r="J3478" s="10" t="n">
        <x:v>56</x:v>
      </x:c>
      <x:c r="K3478" s="12" t="n">
        <x:v>20</x:v>
      </x:c>
      <x:c r="L3478" s="1" t="str"/>
      <x:c r="M3478" s="9" t="str">
        <x:v>https://poke.idleworld.online/pokepedia/pokemon/archeops</x:v>
      </x:c>
    </x:row>
    <x:row r="3479" ht="22" customHeight="1">
      <x:c r="A3479" s="1" t="n">
        <x:v>567</x:v>
      </x:c>
      <x:c r="B3479" s="1" t="str">
        <x:v>Archeops</x:v>
      </x:c>
      <x:c r="C3479" s="1" t="n">
        <x:v>10</x:v>
      </x:c>
      <x:c r="D3479" s="1" t="str">
        <x:v>Rock Slide</x:v>
      </x:c>
      <x:c r="E3479" s="1" t="str">
        <x:v>Pedra</x:v>
      </x:c>
      <x:c r="F3479" s="1" t="str">
        <x:v>Física</x:v>
      </x:c>
      <x:c r="G3479" s="10" t="n">
        <x:v>75</x:v>
      </x:c>
      <x:c r="H3479" s="10" t="n">
        <x:f>IF(F3479="Física",'Pokémon'!G376,IF(F3479="Especial",'Pokémon'!I376,""))</x:f>
        <x:v>140</x:v>
      </x:c>
      <x:c r="I3479" s="10" t="n">
        <x:f>IF(OR(F3479="Status",G3479=0),"",G3479+H3479)</x:f>
        <x:v>215</x:v>
      </x:c>
      <x:c r="J3479" s="10" t="n">
        <x:v>51</x:v>
      </x:c>
      <x:c r="K3479" s="12" t="n">
        <x:v>22</x:v>
      </x:c>
      <x:c r="L3479" s="1" t="str"/>
      <x:c r="M3479" s="9" t="str">
        <x:v>https://poke.idleworld.online/pokepedia/pokemon/archeops</x:v>
      </x:c>
    </x:row>
    <x:row r="3480" ht="22" customHeight="1">
      <x:c r="A3480" s="1" t="n">
        <x:v>567</x:v>
      </x:c>
      <x:c r="B3480" s="1" t="str">
        <x:v>Archeops</x:v>
      </x:c>
      <x:c r="C3480" s="1" t="n">
        <x:v>9</x:v>
      </x:c>
      <x:c r="D3480" s="1" t="str">
        <x:v>U-turn</x:v>
      </x:c>
      <x:c r="E3480" s="1" t="str">
        <x:v>Inseto</x:v>
      </x:c>
      <x:c r="F3480" s="1" t="str">
        <x:v>Física</x:v>
      </x:c>
      <x:c r="G3480" s="10" t="n">
        <x:v>70</x:v>
      </x:c>
      <x:c r="H3480" s="10" t="n">
        <x:f>IF(F3480="Física",'Pokémon'!G376,IF(F3480="Especial",'Pokémon'!I376,""))</x:f>
        <x:v>140</x:v>
      </x:c>
      <x:c r="I3480" s="10" t="n">
        <x:f>IF(OR(F3480="Status",G3480=0),"",G3480+H3480)</x:f>
        <x:v>210</x:v>
      </x:c>
      <x:c r="J3480" s="10" t="n">
        <x:v>45</x:v>
      </x:c>
      <x:c r="K3480" s="12" t="n">
        <x:v>20</x:v>
      </x:c>
      <x:c r="L3480" s="1" t="str"/>
      <x:c r="M3480" s="9" t="str">
        <x:v>https://poke.idleworld.online/pokepedia/pokemon/archeops</x:v>
      </x:c>
    </x:row>
    <x:row r="3481" ht="22" customHeight="1">
      <x:c r="A3481" s="1" t="n">
        <x:v>567</x:v>
      </x:c>
      <x:c r="B3481" s="1" t="str">
        <x:v>Archeops</x:v>
      </x:c>
      <x:c r="C3481" s="1" t="n">
        <x:v>3</x:v>
      </x:c>
      <x:c r="D3481" s="1" t="str">
        <x:v>Wing Attack</x:v>
      </x:c>
      <x:c r="E3481" s="1" t="str">
        <x:v>Voador</x:v>
      </x:c>
      <x:c r="F3481" s="1" t="str">
        <x:v>Física</x:v>
      </x:c>
      <x:c r="G3481" s="10" t="n">
        <x:v>60</x:v>
      </x:c>
      <x:c r="H3481" s="10" t="n">
        <x:f>IF(F3481="Física",'Pokémon'!G376,IF(F3481="Especial",'Pokémon'!I376,""))</x:f>
        <x:v>140</x:v>
      </x:c>
      <x:c r="I3481" s="10" t="n">
        <x:f>IF(OR(F3481="Status",G3481=0),"",G3481+H3481)</x:f>
        <x:v>200</x:v>
      </x:c>
      <x:c r="J3481" s="10" t="n">
        <x:v>1</x:v>
      </x:c>
      <x:c r="K3481" s="12" t="n">
        <x:v>20</x:v>
      </x:c>
      <x:c r="L3481" s="1" t="str"/>
      <x:c r="M3481" s="9" t="str">
        <x:v>https://poke.idleworld.online/pokepedia/pokemon/archeops</x:v>
      </x:c>
    </x:row>
    <x:row r="3482" ht="22" customHeight="1">
      <x:c r="A3482" s="1" t="n">
        <x:v>567</x:v>
      </x:c>
      <x:c r="B3482" s="1" t="str">
        <x:v>Archeops</x:v>
      </x:c>
      <x:c r="C3482" s="1" t="n">
        <x:v>4</x:v>
      </x:c>
      <x:c r="D3482" s="1" t="str">
        <x:v>Pluck</x:v>
      </x:c>
      <x:c r="E3482" s="1" t="str">
        <x:v>Voador</x:v>
      </x:c>
      <x:c r="F3482" s="1" t="str">
        <x:v>Física</x:v>
      </x:c>
      <x:c r="G3482" s="10" t="n">
        <x:v>60</x:v>
      </x:c>
      <x:c r="H3482" s="10" t="n">
        <x:f>IF(F3482="Física",'Pokémon'!G376,IF(F3482="Especial",'Pokémon'!I376,""))</x:f>
        <x:v>140</x:v>
      </x:c>
      <x:c r="I3482" s="10" t="n">
        <x:f>IF(OR(F3482="Status",G3482=0),"",G3482+H3482)</x:f>
        <x:v>200</x:v>
      </x:c>
      <x:c r="J3482" s="10" t="n">
        <x:v>15</x:v>
      </x:c>
      <x:c r="K3482" s="12" t="n">
        <x:v>10</x:v>
      </x:c>
      <x:c r="L3482" s="1" t="str"/>
      <x:c r="M3482" s="9" t="str">
        <x:v>https://poke.idleworld.online/pokepedia/pokemon/archeops</x:v>
      </x:c>
    </x:row>
    <x:row r="3483" ht="22" customHeight="1">
      <x:c r="A3483" s="1" t="n">
        <x:v>567</x:v>
      </x:c>
      <x:c r="B3483" s="1" t="str">
        <x:v>Archeops</x:v>
      </x:c>
      <x:c r="C3483" s="1" t="n">
        <x:v>6</x:v>
      </x:c>
      <x:c r="D3483" s="1" t="str">
        <x:v>Acrobatics</x:v>
      </x:c>
      <x:c r="E3483" s="1" t="str">
        <x:v>Voador</x:v>
      </x:c>
      <x:c r="F3483" s="1" t="str">
        <x:v>Física</x:v>
      </x:c>
      <x:c r="G3483" s="10" t="n">
        <x:v>55</x:v>
      </x:c>
      <x:c r="H3483" s="10" t="n">
        <x:f>IF(F3483="Física",'Pokémon'!G376,IF(F3483="Especial",'Pokémon'!I376,""))</x:f>
        <x:v>140</x:v>
      </x:c>
      <x:c r="I3483" s="10" t="n">
        <x:f>IF(OR(F3483="Status",G3483=0),"",G3483+H3483)</x:f>
        <x:v>195</x:v>
      </x:c>
      <x:c r="J3483" s="10" t="n">
        <x:v>28</x:v>
      </x:c>
      <x:c r="K3483" s="12" t="n">
        <x:v>30</x:v>
      </x:c>
      <x:c r="L3483" s="1" t="str"/>
      <x:c r="M3483" s="9" t="str">
        <x:v>https://poke.idleworld.online/pokepedia/pokemon/archeops</x:v>
      </x:c>
    </x:row>
    <x:row r="3484" ht="22" customHeight="1">
      <x:c r="A3484" s="1" t="n">
        <x:v>567</x:v>
      </x:c>
      <x:c r="B3484" s="1" t="str">
        <x:v>Archeops</x:v>
      </x:c>
      <x:c r="C3484" s="1" t="n">
        <x:v>2</x:v>
      </x:c>
      <x:c r="D3484" s="1" t="str">
        <x:v>Rock Throw</x:v>
      </x:c>
      <x:c r="E3484" s="1" t="str">
        <x:v>Pedra</x:v>
      </x:c>
      <x:c r="F3484" s="1" t="str">
        <x:v>Física</x:v>
      </x:c>
      <x:c r="G3484" s="10" t="n">
        <x:v>50</x:v>
      </x:c>
      <x:c r="H3484" s="10" t="n">
        <x:f>IF(F3484="Física",'Pokémon'!G376,IF(F3484="Especial",'Pokémon'!I376,""))</x:f>
        <x:v>140</x:v>
      </x:c>
      <x:c r="I3484" s="10" t="n">
        <x:f>IF(OR(F3484="Status",G3484=0),"",G3484+H3484)</x:f>
        <x:v>190</x:v>
      </x:c>
      <x:c r="J3484" s="10" t="n">
        <x:v>1</x:v>
      </x:c>
      <x:c r="K3484" s="12" t="n">
        <x:v>15</x:v>
      </x:c>
      <x:c r="L3484" s="1" t="str"/>
      <x:c r="M3484" s="9" t="str">
        <x:v>https://poke.idleworld.online/pokepedia/pokemon/archeops</x:v>
      </x:c>
    </x:row>
    <x:row r="3485" ht="22" customHeight="1">
      <x:c r="A3485" s="1" t="n">
        <x:v>567</x:v>
      </x:c>
      <x:c r="B3485" s="1" t="str">
        <x:v>Archeops</x:v>
      </x:c>
      <x:c r="C3485" s="1" t="n">
        <x:v>1</x:v>
      </x:c>
      <x:c r="D3485" s="1" t="str">
        <x:v>Quick Attack</x:v>
      </x:c>
      <x:c r="E3485" s="1" t="str">
        <x:v>Normal</x:v>
      </x:c>
      <x:c r="F3485" s="1" t="str">
        <x:v>Física</x:v>
      </x:c>
      <x:c r="G3485" s="10" t="n">
        <x:v>40</x:v>
      </x:c>
      <x:c r="H3485" s="10" t="n">
        <x:f>IF(F3485="Física",'Pokémon'!G376,IF(F3485="Especial",'Pokémon'!I376,""))</x:f>
        <x:v>140</x:v>
      </x:c>
      <x:c r="I3485" s="10" t="n">
        <x:f>IF(OR(F3485="Status",G3485=0),"",G3485+H3485)</x:f>
        <x:v>180</x:v>
      </x:c>
      <x:c r="J3485" s="10" t="n">
        <x:v>1</x:v>
      </x:c>
      <x:c r="K3485" s="12" t="n">
        <x:v>15</x:v>
      </x:c>
      <x:c r="L3485" s="1" t="str"/>
      <x:c r="M3485" s="9" t="str">
        <x:v>https://poke.idleworld.online/pokepedia/pokemon/archeops</x:v>
      </x:c>
    </x:row>
    <x:row r="3486" ht="22" customHeight="1">
      <x:c r="A3486" s="1" t="n">
        <x:v>567</x:v>
      </x:c>
      <x:c r="B3486" s="1" t="str">
        <x:v>Archeops</x:v>
      </x:c>
      <x:c r="C3486" s="1" t="n">
        <x:v>5</x:v>
      </x:c>
      <x:c r="D3486" s="1" t="str">
        <x:v>Ancient Power</x:v>
      </x:c>
      <x:c r="E3486" s="1" t="str">
        <x:v>Pedra</x:v>
      </x:c>
      <x:c r="F3486" s="1" t="str">
        <x:v>Especial</x:v>
      </x:c>
      <x:c r="G3486" s="10" t="n">
        <x:v>60</x:v>
      </x:c>
      <x:c r="H3486" s="10" t="n">
        <x:f>IF(F3486="Física",'Pokémon'!G376,IF(F3486="Especial",'Pokémon'!I376,""))</x:f>
        <x:v>112</x:v>
      </x:c>
      <x:c r="I3486" s="10" t="n">
        <x:f>IF(OR(F3486="Status",G3486=0),"",G3486+H3486)</x:f>
        <x:v>172</x:v>
      </x:c>
      <x:c r="J3486" s="10" t="n">
        <x:v>18</x:v>
      </x:c>
      <x:c r="K3486" s="12" t="n">
        <x:v>20</x:v>
      </x:c>
      <x:c r="L3486" s="1" t="str"/>
      <x:c r="M3486" s="9" t="str">
        <x:v>https://poke.idleworld.online/pokepedia/pokemon/archeops</x:v>
      </x:c>
    </x:row>
    <x:row r="3487" ht="22" customHeight="1">
      <x:c r="A3487" s="1" t="n">
        <x:v>567</x:v>
      </x:c>
      <x:c r="B3487" s="1" t="str">
        <x:v>Archeops</x:v>
      </x:c>
      <x:c r="C3487" s="1" t="n">
        <x:v>7</x:v>
      </x:c>
      <x:c r="D3487" s="1" t="str">
        <x:v>Dragon Breath</x:v>
      </x:c>
      <x:c r="E3487" s="1" t="str">
        <x:v>Dragão</x:v>
      </x:c>
      <x:c r="F3487" s="1" t="str">
        <x:v>Especial</x:v>
      </x:c>
      <x:c r="G3487" s="10" t="n">
        <x:v>60</x:v>
      </x:c>
      <x:c r="H3487" s="10" t="n">
        <x:f>IF(F3487="Física",'Pokémon'!G376,IF(F3487="Especial",'Pokémon'!I376,""))</x:f>
        <x:v>112</x:v>
      </x:c>
      <x:c r="I3487" s="10" t="n">
        <x:f>IF(OR(F3487="Status",G3487=0),"",G3487+H3487)</x:f>
        <x:v>172</x:v>
      </x:c>
      <x:c r="J3487" s="10" t="n">
        <x:v>31</x:v>
      </x:c>
      <x:c r="K3487" s="12" t="n">
        <x:v>20</x:v>
      </x:c>
      <x:c r="L3487" s="1" t="str"/>
      <x:c r="M3487" s="9" t="str">
        <x:v>https://poke.idleworld.online/pokepedia/pokemon/archeops</x:v>
      </x:c>
    </x:row>
    <x:row r="3488" ht="22" customHeight="1">
      <x:c r="A3488" s="1" t="n">
        <x:v>571</x:v>
      </x:c>
      <x:c r="B3488" s="1" t="str">
        <x:v>Zoroark</x:v>
      </x:c>
      <x:c r="C3488" s="1" t="n">
        <x:v>1</x:v>
      </x:c>
      <x:c r="D3488" s="1" t="str">
        <x:v>Night Daze</x:v>
      </x:c>
      <x:c r="E3488" s="1" t="str">
        <x:v>Sombrio</x:v>
      </x:c>
      <x:c r="F3488" s="1" t="str">
        <x:v>Especial</x:v>
      </x:c>
      <x:c r="G3488" s="10" t="n">
        <x:v>85</x:v>
      </x:c>
      <x:c r="H3488" s="10" t="n">
        <x:f>IF(F3488="Física",'Pokémon'!G377,IF(F3488="Especial",'Pokémon'!I377,""))</x:f>
        <x:v>120</x:v>
      </x:c>
      <x:c r="I3488" s="10" t="n">
        <x:f>IF(OR(F3488="Status",G3488=0),"",G3488+H3488)</x:f>
        <x:v>205</x:v>
      </x:c>
      <x:c r="J3488" s="10" t="n">
        <x:v>1</x:v>
      </x:c>
      <x:c r="K3488" s="12" t="n">
        <x:v>50</x:v>
      </x:c>
      <x:c r="L3488" s="1" t="str"/>
      <x:c r="M3488" s="9" t="str">
        <x:v>https://poke.idleworld.online/pokepedia/pokemon/zoroark</x:v>
      </x:c>
    </x:row>
    <x:row r="3489" ht="22" customHeight="1">
      <x:c r="A3489" s="1" t="n">
        <x:v>571</x:v>
      </x:c>
      <x:c r="B3489" s="1" t="str">
        <x:v>Zoroark</x:v>
      </x:c>
      <x:c r="C3489" s="1" t="n">
        <x:v>7</x:v>
      </x:c>
      <x:c r="D3489" s="1" t="str">
        <x:v>Foul Play</x:v>
      </x:c>
      <x:c r="E3489" s="1" t="str">
        <x:v>Sombrio</x:v>
      </x:c>
      <x:c r="F3489" s="1" t="str">
        <x:v>Física</x:v>
      </x:c>
      <x:c r="G3489" s="10" t="n">
        <x:v>95</x:v>
      </x:c>
      <x:c r="H3489" s="10" t="n">
        <x:f>IF(F3489="Física",'Pokémon'!G377,IF(F3489="Especial",'Pokémon'!I377,""))</x:f>
        <x:v>105</x:v>
      </x:c>
      <x:c r="I3489" s="10" t="n">
        <x:f>IF(OR(F3489="Status",G3489=0),"",G3489+H3489)</x:f>
        <x:v>200</x:v>
      </x:c>
      <x:c r="J3489" s="10" t="n">
        <x:v>29</x:v>
      </x:c>
      <x:c r="K3489" s="12" t="n">
        <x:v>35</x:v>
      </x:c>
      <x:c r="L3489" s="1" t="str"/>
      <x:c r="M3489" s="9" t="str">
        <x:v>https://poke.idleworld.online/pokepedia/pokemon/zoroark</x:v>
      </x:c>
    </x:row>
    <x:row r="3490" ht="22" customHeight="1">
      <x:c r="A3490" s="1" t="n">
        <x:v>571</x:v>
      </x:c>
      <x:c r="B3490" s="1" t="str">
        <x:v>Zoroark</x:v>
      </x:c>
      <x:c r="C3490" s="1" t="n">
        <x:v>4</x:v>
      </x:c>
      <x:c r="D3490" s="1" t="str">
        <x:v>U-turn</x:v>
      </x:c>
      <x:c r="E3490" s="1" t="str">
        <x:v>Inseto</x:v>
      </x:c>
      <x:c r="F3490" s="1" t="str">
        <x:v>Física</x:v>
      </x:c>
      <x:c r="G3490" s="10" t="n">
        <x:v>70</x:v>
      </x:c>
      <x:c r="H3490" s="10" t="n">
        <x:f>IF(F3490="Física",'Pokémon'!G377,IF(F3490="Especial",'Pokémon'!I377,""))</x:f>
        <x:v>105</x:v>
      </x:c>
      <x:c r="I3490" s="10" t="n">
        <x:f>IF(OR(F3490="Status",G3490=0),"",G3490+H3490)</x:f>
        <x:v>175</x:v>
      </x:c>
      <x:c r="J3490" s="10" t="n">
        <x:v>1</x:v>
      </x:c>
      <x:c r="K3490" s="12" t="n">
        <x:v>20</x:v>
      </x:c>
      <x:c r="L3490" s="1" t="str"/>
      <x:c r="M3490" s="9" t="str">
        <x:v>https://poke.idleworld.online/pokepedia/pokemon/zoroark</x:v>
      </x:c>
    </x:row>
    <x:row r="3491" ht="22" customHeight="1">
      <x:c r="A3491" s="1" t="n">
        <x:v>571</x:v>
      </x:c>
      <x:c r="B3491" s="1" t="str">
        <x:v>Zoroark</x:v>
      </x:c>
      <x:c r="C3491" s="1" t="n">
        <x:v>8</x:v>
      </x:c>
      <x:c r="D3491" s="1" t="str">
        <x:v>Night Slash</x:v>
      </x:c>
      <x:c r="E3491" s="1" t="str">
        <x:v>Sombrio</x:v>
      </x:c>
      <x:c r="F3491" s="1" t="str">
        <x:v>Física</x:v>
      </x:c>
      <x:c r="G3491" s="10" t="n">
        <x:v>70</x:v>
      </x:c>
      <x:c r="H3491" s="10" t="n">
        <x:f>IF(F3491="Física",'Pokémon'!G377,IF(F3491="Especial",'Pokémon'!I377,""))</x:f>
        <x:v>105</x:v>
      </x:c>
      <x:c r="I3491" s="10" t="n">
        <x:f>IF(OR(F3491="Status",G3491=0),"",G3491+H3491)</x:f>
        <x:v>175</x:v>
      </x:c>
      <x:c r="J3491" s="10" t="n">
        <x:v>30</x:v>
      </x:c>
      <x:c r="K3491" s="12" t="n">
        <x:v>12</x:v>
      </x:c>
      <x:c r="L3491" s="1" t="str"/>
      <x:c r="M3491" s="9" t="str">
        <x:v>https://poke.idleworld.online/pokepedia/pokemon/zoroark</x:v>
      </x:c>
    </x:row>
    <x:row r="3492" ht="22" customHeight="1">
      <x:c r="A3492" s="1" t="n">
        <x:v>571</x:v>
      </x:c>
      <x:c r="B3492" s="1" t="str">
        <x:v>Zoroark</x:v>
      </x:c>
      <x:c r="C3492" s="1" t="n">
        <x:v>6</x:v>
      </x:c>
      <x:c r="D3492" s="1" t="str">
        <x:v>Feint Attack</x:v>
      </x:c>
      <x:c r="E3492" s="1" t="str">
        <x:v>Sombrio</x:v>
      </x:c>
      <x:c r="F3492" s="1" t="str">
        <x:v>Física</x:v>
      </x:c>
      <x:c r="G3492" s="10" t="n">
        <x:v>60</x:v>
      </x:c>
      <x:c r="H3492" s="10" t="n">
        <x:f>IF(F3492="Física",'Pokémon'!G377,IF(F3492="Especial",'Pokémon'!I377,""))</x:f>
        <x:v>105</x:v>
      </x:c>
      <x:c r="I3492" s="10" t="n">
        <x:f>IF(OR(F3492="Status",G3492=0),"",G3492+H3492)</x:f>
        <x:v>165</x:v>
      </x:c>
      <x:c r="J3492" s="10" t="n">
        <x:v>17</x:v>
      </x:c>
      <x:c r="K3492" s="12" t="n">
        <x:v>20</x:v>
      </x:c>
      <x:c r="L3492" s="1" t="str"/>
      <x:c r="M3492" s="9" t="str">
        <x:v>https://poke.idleworld.online/pokepedia/pokemon/zoroark</x:v>
      </x:c>
    </x:row>
    <x:row r="3493" ht="22" customHeight="1">
      <x:c r="A3493" s="1" t="n">
        <x:v>571</x:v>
      </x:c>
      <x:c r="B3493" s="1" t="str">
        <x:v>Zoroark</x:v>
      </x:c>
      <x:c r="C3493" s="1" t="n">
        <x:v>2</x:v>
      </x:c>
      <x:c r="D3493" s="1" t="str">
        <x:v>Scratch</x:v>
      </x:c>
      <x:c r="E3493" s="1" t="str">
        <x:v>Normal</x:v>
      </x:c>
      <x:c r="F3493" s="1" t="str">
        <x:v>Física</x:v>
      </x:c>
      <x:c r="G3493" s="10" t="n">
        <x:v>40</x:v>
      </x:c>
      <x:c r="H3493" s="10" t="n">
        <x:f>IF(F3493="Física",'Pokémon'!G377,IF(F3493="Especial",'Pokémon'!I377,""))</x:f>
        <x:v>105</x:v>
      </x:c>
      <x:c r="I3493" s="10" t="n">
        <x:f>IF(OR(F3493="Status",G3493=0),"",G3493+H3493)</x:f>
        <x:v>145</x:v>
      </x:c>
      <x:c r="J3493" s="10" t="n">
        <x:v>1</x:v>
      </x:c>
      <x:c r="K3493" s="12" t="n">
        <x:v>15</x:v>
      </x:c>
      <x:c r="L3493" s="1" t="str"/>
      <x:c r="M3493" s="9" t="str">
        <x:v>https://poke.idleworld.online/pokepedia/pokemon/zoroark</x:v>
      </x:c>
    </x:row>
    <x:row r="3494" ht="22" customHeight="1">
      <x:c r="A3494" s="1" t="n">
        <x:v>571</x:v>
      </x:c>
      <x:c r="B3494" s="1" t="str">
        <x:v>Zoroark</x:v>
      </x:c>
      <x:c r="C3494" s="1" t="n">
        <x:v>3</x:v>
      </x:c>
      <x:c r="D3494" s="1" t="str">
        <x:v>Pursuit</x:v>
      </x:c>
      <x:c r="E3494" s="1" t="str">
        <x:v>Sombrio</x:v>
      </x:c>
      <x:c r="F3494" s="1" t="str">
        <x:v>Física</x:v>
      </x:c>
      <x:c r="G3494" s="10" t="n">
        <x:v>40</x:v>
      </x:c>
      <x:c r="H3494" s="10" t="n">
        <x:f>IF(F3494="Física",'Pokémon'!G377,IF(F3494="Especial",'Pokémon'!I377,""))</x:f>
        <x:v>105</x:v>
      </x:c>
      <x:c r="I3494" s="10" t="n">
        <x:f>IF(OR(F3494="Status",G3494=0),"",G3494+H3494)</x:f>
        <x:v>145</x:v>
      </x:c>
      <x:c r="J3494" s="10" t="n">
        <x:v>1</x:v>
      </x:c>
      <x:c r="K3494" s="12" t="n">
        <x:v>15</x:v>
      </x:c>
      <x:c r="L3494" s="1" t="str"/>
      <x:c r="M3494" s="9" t="str">
        <x:v>https://poke.idleworld.online/pokepedia/pokemon/zoroark</x:v>
      </x:c>
    </x:row>
    <x:row r="3495" ht="22" customHeight="1">
      <x:c r="A3495" s="1" t="n">
        <x:v>571</x:v>
      </x:c>
      <x:c r="B3495" s="1" t="str">
        <x:v>Zoroark</x:v>
      </x:c>
      <x:c r="C3495" s="1" t="n">
        <x:v>5</x:v>
      </x:c>
      <x:c r="D3495" s="1" t="str">
        <x:v>Fury Swipes</x:v>
      </x:c>
      <x:c r="E3495" s="1" t="str">
        <x:v>Normal</x:v>
      </x:c>
      <x:c r="F3495" s="1" t="str">
        <x:v>Física</x:v>
      </x:c>
      <x:c r="G3495" s="10" t="n">
        <x:v>18</x:v>
      </x:c>
      <x:c r="H3495" s="10" t="n">
        <x:f>IF(F3495="Física",'Pokémon'!G377,IF(F3495="Especial",'Pokémon'!I377,""))</x:f>
        <x:v>105</x:v>
      </x:c>
      <x:c r="I3495" s="10" t="n">
        <x:f>IF(OR(F3495="Status",G3495=0),"",G3495+H3495)</x:f>
        <x:v>123</x:v>
      </x:c>
      <x:c r="J3495" s="10" t="n">
        <x:v>13</x:v>
      </x:c>
      <x:c r="K3495" s="12" t="n">
        <x:v>15</x:v>
      </x:c>
      <x:c r="L3495" s="1" t="str"/>
      <x:c r="M3495" s="9" t="str">
        <x:v>https://poke.idleworld.online/pokepedia/pokemon/zoroark</x:v>
      </x:c>
    </x:row>
    <x:row r="3496" ht="22" customHeight="1">
      <x:c r="A3496" s="1" t="n">
        <x:v>599</x:v>
      </x:c>
      <x:c r="B3496" s="1" t="str">
        <x:v>Klink</x:v>
      </x:c>
      <x:c r="C3496" s="1" t="n">
        <x:v>9</x:v>
      </x:c>
      <x:c r="D3496" s="1" t="str">
        <x:v>Hyper Beam</x:v>
      </x:c>
      <x:c r="E3496" s="1" t="str">
        <x:v>Normal</x:v>
      </x:c>
      <x:c r="F3496" s="1" t="str">
        <x:v>Especial</x:v>
      </x:c>
      <x:c r="G3496" s="10" t="n">
        <x:v>150</x:v>
      </x:c>
      <x:c r="H3496" s="10" t="n">
        <x:f>IF(F3496="Física",'Pokémon'!G378,IF(F3496="Especial",'Pokémon'!I378,""))</x:f>
        <x:v>45</x:v>
      </x:c>
      <x:c r="I3496" s="10" t="n">
        <x:f>IF(OR(F3496="Status",G3496=0),"",G3496+H3496)</x:f>
        <x:v>195</x:v>
      </x:c>
      <x:c r="J3496" s="10" t="n">
        <x:v>57</x:v>
      </x:c>
      <x:c r="K3496" s="12" t="n">
        <x:v>50</x:v>
      </x:c>
      <x:c r="L3496" s="1" t="str"/>
      <x:c r="M3496" s="9" t="str">
        <x:v>https://poke.idleworld.online/pokepedia/pokemon/klink</x:v>
      </x:c>
    </x:row>
    <x:row r="3497" ht="22" customHeight="1">
      <x:c r="A3497" s="1" t="n">
        <x:v>599</x:v>
      </x:c>
      <x:c r="B3497" s="1" t="str">
        <x:v>Klink</x:v>
      </x:c>
      <x:c r="C3497" s="1" t="n">
        <x:v>8</x:v>
      </x:c>
      <x:c r="D3497" s="1" t="str">
        <x:v>Zap Cannon</x:v>
      </x:c>
      <x:c r="E3497" s="1" t="str">
        <x:v>Elétrico</x:v>
      </x:c>
      <x:c r="F3497" s="1" t="str">
        <x:v>Especial</x:v>
      </x:c>
      <x:c r="G3497" s="10" t="n">
        <x:v>120</x:v>
      </x:c>
      <x:c r="H3497" s="10" t="n">
        <x:f>IF(F3497="Física",'Pokémon'!G378,IF(F3497="Especial",'Pokémon'!I378,""))</x:f>
        <x:v>45</x:v>
      </x:c>
      <x:c r="I3497" s="10" t="n">
        <x:f>IF(OR(F3497="Status",G3497=0),"",G3497+H3497)</x:f>
        <x:v>165</x:v>
      </x:c>
      <x:c r="J3497" s="10" t="n">
        <x:v>54</x:v>
      </x:c>
      <x:c r="K3497" s="12" t="n">
        <x:v>50</x:v>
      </x:c>
      <x:c r="L3497" s="1" t="str"/>
      <x:c r="M3497" s="9" t="str">
        <x:v>https://poke.idleworld.online/pokepedia/pokemon/klink</x:v>
      </x:c>
    </x:row>
    <x:row r="3498" ht="22" customHeight="1">
      <x:c r="A3498" s="1" t="n">
        <x:v>599</x:v>
      </x:c>
      <x:c r="B3498" s="1" t="str">
        <x:v>Klink</x:v>
      </x:c>
      <x:c r="C3498" s="1" t="n">
        <x:v>7</x:v>
      </x:c>
      <x:c r="D3498" s="1" t="str">
        <x:v>Discharge</x:v>
      </x:c>
      <x:c r="E3498" s="1" t="str">
        <x:v>Elétrico</x:v>
      </x:c>
      <x:c r="F3498" s="1" t="str">
        <x:v>Especial</x:v>
      </x:c>
      <x:c r="G3498" s="10" t="n">
        <x:v>80</x:v>
      </x:c>
      <x:c r="H3498" s="10" t="n">
        <x:f>IF(F3498="Física",'Pokémon'!G378,IF(F3498="Especial",'Pokémon'!I378,""))</x:f>
        <x:v>45</x:v>
      </x:c>
      <x:c r="I3498" s="10" t="n">
        <x:f>IF(OR(F3498="Status",G3498=0),"",G3498+H3498)</x:f>
        <x:v>125</x:v>
      </x:c>
      <x:c r="J3498" s="10" t="n">
        <x:v>42</x:v>
      </x:c>
      <x:c r="K3498" s="12" t="n">
        <x:v>22</x:v>
      </x:c>
      <x:c r="L3498" s="1" t="str"/>
      <x:c r="M3498" s="9" t="str">
        <x:v>https://poke.idleworld.online/pokepedia/pokemon/klink</x:v>
      </x:c>
    </x:row>
    <x:row r="3499" ht="22" customHeight="1">
      <x:c r="A3499" s="1" t="n">
        <x:v>599</x:v>
      </x:c>
      <x:c r="B3499" s="1" t="str">
        <x:v>Klink</x:v>
      </x:c>
      <x:c r="C3499" s="1" t="n">
        <x:v>6</x:v>
      </x:c>
      <x:c r="D3499" s="1" t="str">
        <x:v>Mirror Shot</x:v>
      </x:c>
      <x:c r="E3499" s="1" t="str">
        <x:v>Aço</x:v>
      </x:c>
      <x:c r="F3499" s="1" t="str">
        <x:v>Especial</x:v>
      </x:c>
      <x:c r="G3499" s="10" t="n">
        <x:v>65</x:v>
      </x:c>
      <x:c r="H3499" s="10" t="n">
        <x:f>IF(F3499="Física",'Pokémon'!G378,IF(F3499="Especial",'Pokémon'!I378,""))</x:f>
        <x:v>45</x:v>
      </x:c>
      <x:c r="I3499" s="10" t="n">
        <x:f>IF(OR(F3499="Status",G3499=0),"",G3499+H3499)</x:f>
        <x:v>110</x:v>
      </x:c>
      <x:c r="J3499" s="10" t="n">
        <x:v>36</x:v>
      </x:c>
      <x:c r="K3499" s="12" t="n">
        <x:v>30</x:v>
      </x:c>
      <x:c r="L3499" s="1" t="str"/>
      <x:c r="M3499" s="9" t="str">
        <x:v>https://poke.idleworld.online/pokepedia/pokemon/klink</x:v>
      </x:c>
    </x:row>
    <x:row r="3500" ht="22" customHeight="1">
      <x:c r="A3500" s="1" t="n">
        <x:v>599</x:v>
      </x:c>
      <x:c r="B3500" s="1" t="str">
        <x:v>Klink</x:v>
      </x:c>
      <x:c r="C3500" s="1" t="n">
        <x:v>1</x:v>
      </x:c>
      <x:c r="D3500" s="1" t="str">
        <x:v>Vise Grip</x:v>
      </x:c>
      <x:c r="E3500" s="1" t="str">
        <x:v>Normal</x:v>
      </x:c>
      <x:c r="F3500" s="1" t="str">
        <x:v>Física</x:v>
      </x:c>
      <x:c r="G3500" s="10" t="n">
        <x:v>55</x:v>
      </x:c>
      <x:c r="H3500" s="10" t="n">
        <x:f>IF(F3500="Física",'Pokémon'!G378,IF(F3500="Especial",'Pokémon'!I378,""))</x:f>
        <x:v>55</x:v>
      </x:c>
      <x:c r="I3500" s="10" t="n">
        <x:f>IF(OR(F3500="Status",G3500=0),"",G3500+H3500)</x:f>
        <x:v>110</x:v>
      </x:c>
      <x:c r="J3500" s="10" t="n">
        <x:v>1</x:v>
      </x:c>
      <x:c r="K3500" s="12" t="n">
        <x:v>20</x:v>
      </x:c>
      <x:c r="L3500" s="1" t="str"/>
      <x:c r="M3500" s="9" t="str">
        <x:v>https://poke.idleworld.online/pokepedia/pokemon/klink</x:v>
      </x:c>
    </x:row>
    <x:row r="3501" ht="22" customHeight="1">
      <x:c r="A3501" s="1" t="n">
        <x:v>599</x:v>
      </x:c>
      <x:c r="B3501" s="1" t="str">
        <x:v>Klink</x:v>
      </x:c>
      <x:c r="C3501" s="1" t="n">
        <x:v>3</x:v>
      </x:c>
      <x:c r="D3501" s="1" t="str">
        <x:v>Gear Grind</x:v>
      </x:c>
      <x:c r="E3501" s="1" t="str">
        <x:v>Aço</x:v>
      </x:c>
      <x:c r="F3501" s="1" t="str">
        <x:v>Física</x:v>
      </x:c>
      <x:c r="G3501" s="10" t="n">
        <x:v>50</x:v>
      </x:c>
      <x:c r="H3501" s="10" t="n">
        <x:f>IF(F3501="Física",'Pokémon'!G378,IF(F3501="Especial",'Pokémon'!I378,""))</x:f>
        <x:v>55</x:v>
      </x:c>
      <x:c r="I3501" s="10" t="n">
        <x:f>IF(OR(F3501="Status",G3501=0),"",G3501+H3501)</x:f>
        <x:v>105</x:v>
      </x:c>
      <x:c r="J3501" s="10" t="n">
        <x:v>16</x:v>
      </x:c>
      <x:c r="K3501" s="12" t="n">
        <x:v>15</x:v>
      </x:c>
      <x:c r="L3501" s="1" t="str"/>
      <x:c r="M3501" s="9" t="str">
        <x:v>https://poke.idleworld.online/pokepedia/pokemon/klink</x:v>
      </x:c>
    </x:row>
    <x:row r="3502" ht="22" customHeight="1">
      <x:c r="A3502" s="1" t="n">
        <x:v>599</x:v>
      </x:c>
      <x:c r="B3502" s="1" t="str">
        <x:v>Klink</x:v>
      </x:c>
      <x:c r="C3502" s="1" t="n">
        <x:v>5</x:v>
      </x:c>
      <x:c r="D3502" s="1" t="str">
        <x:v>Charge Beam</x:v>
      </x:c>
      <x:c r="E3502" s="1" t="str">
        <x:v>Elétrico</x:v>
      </x:c>
      <x:c r="F3502" s="1" t="str">
        <x:v>Especial</x:v>
      </x:c>
      <x:c r="G3502" s="10" t="n">
        <x:v>50</x:v>
      </x:c>
      <x:c r="H3502" s="10" t="n">
        <x:f>IF(F3502="Física",'Pokémon'!G378,IF(F3502="Especial",'Pokémon'!I378,""))</x:f>
        <x:v>45</x:v>
      </x:c>
      <x:c r="I3502" s="10" t="n">
        <x:f>IF(OR(F3502="Status",G3502=0),"",G3502+H3502)</x:f>
        <x:v>95</x:v>
      </x:c>
      <x:c r="J3502" s="10" t="n">
        <x:v>26</x:v>
      </x:c>
      <x:c r="K3502" s="12" t="n">
        <x:v>15</x:v>
      </x:c>
      <x:c r="L3502" s="1" t="str"/>
      <x:c r="M3502" s="9" t="str">
        <x:v>https://poke.idleworld.online/pokepedia/pokemon/klink</x:v>
      </x:c>
    </x:row>
    <x:row r="3503" ht="22" customHeight="1">
      <x:c r="A3503" s="1" t="n">
        <x:v>599</x:v>
      </x:c>
      <x:c r="B3503" s="1" t="str">
        <x:v>Klink</x:v>
      </x:c>
      <x:c r="C3503" s="1" t="n">
        <x:v>2</x:v>
      </x:c>
      <x:c r="D3503" s="1" t="str">
        <x:v>Thunder Shock</x:v>
      </x:c>
      <x:c r="E3503" s="1" t="str">
        <x:v>Elétrico</x:v>
      </x:c>
      <x:c r="F3503" s="1" t="str">
        <x:v>Especial</x:v>
      </x:c>
      <x:c r="G3503" s="10" t="n">
        <x:v>40</x:v>
      </x:c>
      <x:c r="H3503" s="10" t="n">
        <x:f>IF(F3503="Física",'Pokémon'!G378,IF(F3503="Especial",'Pokémon'!I378,""))</x:f>
        <x:v>45</x:v>
      </x:c>
      <x:c r="I3503" s="10" t="n">
        <x:f>IF(OR(F3503="Status",G3503=0),"",G3503+H3503)</x:f>
        <x:v>85</x:v>
      </x:c>
      <x:c r="J3503" s="10" t="n">
        <x:v>11</x:v>
      </x:c>
      <x:c r="K3503" s="12" t="n">
        <x:v>15</x:v>
      </x:c>
      <x:c r="L3503" s="1" t="str"/>
      <x:c r="M3503" s="9" t="str">
        <x:v>https://poke.idleworld.online/pokepedia/pokemon/klink</x:v>
      </x:c>
    </x:row>
    <x:row r="3504" ht="22" customHeight="1">
      <x:c r="A3504" s="1" t="n">
        <x:v>599</x:v>
      </x:c>
      <x:c r="B3504" s="1" t="str">
        <x:v>Klink</x:v>
      </x:c>
      <x:c r="C3504" s="1" t="n">
        <x:v>4</x:v>
      </x:c>
      <x:c r="D3504" s="1" t="str">
        <x:v>Bind</x:v>
      </x:c>
      <x:c r="E3504" s="1" t="str">
        <x:v>Normal</x:v>
      </x:c>
      <x:c r="F3504" s="1" t="str">
        <x:v>Física</x:v>
      </x:c>
      <x:c r="G3504" s="10" t="n">
        <x:v>15</x:v>
      </x:c>
      <x:c r="H3504" s="10" t="n">
        <x:f>IF(F3504="Física",'Pokémon'!G378,IF(F3504="Especial",'Pokémon'!I378,""))</x:f>
        <x:v>55</x:v>
      </x:c>
      <x:c r="I3504" s="10" t="n">
        <x:f>IF(OR(F3504="Status",G3504=0),"",G3504+H3504)</x:f>
        <x:v>70</x:v>
      </x:c>
      <x:c r="J3504" s="10" t="n">
        <x:v>21</x:v>
      </x:c>
      <x:c r="K3504" s="12" t="n">
        <x:v>15</x:v>
      </x:c>
      <x:c r="L3504" s="1" t="str"/>
      <x:c r="M3504" s="9" t="str">
        <x:v>https://poke.idleworld.online/pokepedia/pokemon/klink</x:v>
      </x:c>
    </x:row>
    <x:row r="3505" ht="22" customHeight="1">
      <x:c r="A3505" s="1" t="n">
        <x:v>600</x:v>
      </x:c>
      <x:c r="B3505" s="1" t="str">
        <x:v>Klang</x:v>
      </x:c>
      <x:c r="C3505" s="1" t="n">
        <x:v>9</x:v>
      </x:c>
      <x:c r="D3505" s="1" t="str">
        <x:v>Hyper Beam</x:v>
      </x:c>
      <x:c r="E3505" s="1" t="str">
        <x:v>Normal</x:v>
      </x:c>
      <x:c r="F3505" s="1" t="str">
        <x:v>Especial</x:v>
      </x:c>
      <x:c r="G3505" s="10" t="n">
        <x:v>150</x:v>
      </x:c>
      <x:c r="H3505" s="10" t="n">
        <x:f>IF(F3505="Física",'Pokémon'!G379,IF(F3505="Especial",'Pokémon'!I379,""))</x:f>
        <x:v>70</x:v>
      </x:c>
      <x:c r="I3505" s="10" t="n">
        <x:f>IF(OR(F3505="Status",G3505=0),"",G3505+H3505)</x:f>
        <x:v>220</x:v>
      </x:c>
      <x:c r="J3505" s="10" t="n">
        <x:v>64</x:v>
      </x:c>
      <x:c r="K3505" s="12" t="n">
        <x:v>50</x:v>
      </x:c>
      <x:c r="L3505" s="1" t="str"/>
      <x:c r="M3505" s="9" t="str">
        <x:v>https://poke.idleworld.online/pokepedia/pokemon/klang</x:v>
      </x:c>
    </x:row>
    <x:row r="3506" ht="22" customHeight="1">
      <x:c r="A3506" s="1" t="n">
        <x:v>600</x:v>
      </x:c>
      <x:c r="B3506" s="1" t="str">
        <x:v>Klang</x:v>
      </x:c>
      <x:c r="C3506" s="1" t="n">
        <x:v>8</x:v>
      </x:c>
      <x:c r="D3506" s="1" t="str">
        <x:v>Zap Cannon</x:v>
      </x:c>
      <x:c r="E3506" s="1" t="str">
        <x:v>Elétrico</x:v>
      </x:c>
      <x:c r="F3506" s="1" t="str">
        <x:v>Especial</x:v>
      </x:c>
      <x:c r="G3506" s="10" t="n">
        <x:v>120</x:v>
      </x:c>
      <x:c r="H3506" s="10" t="n">
        <x:f>IF(F3506="Física",'Pokémon'!G379,IF(F3506="Especial",'Pokémon'!I379,""))</x:f>
        <x:v>70</x:v>
      </x:c>
      <x:c r="I3506" s="10" t="n">
        <x:f>IF(OR(F3506="Status",G3506=0),"",G3506+H3506)</x:f>
        <x:v>190</x:v>
      </x:c>
      <x:c r="J3506" s="10" t="n">
        <x:v>60</x:v>
      </x:c>
      <x:c r="K3506" s="12" t="n">
        <x:v>50</x:v>
      </x:c>
      <x:c r="L3506" s="1" t="str"/>
      <x:c r="M3506" s="9" t="str">
        <x:v>https://poke.idleworld.online/pokepedia/pokemon/klang</x:v>
      </x:c>
    </x:row>
    <x:row r="3507" ht="22" customHeight="1">
      <x:c r="A3507" s="1" t="n">
        <x:v>600</x:v>
      </x:c>
      <x:c r="B3507" s="1" t="str">
        <x:v>Klang</x:v>
      </x:c>
      <x:c r="C3507" s="1" t="n">
        <x:v>7</x:v>
      </x:c>
      <x:c r="D3507" s="1" t="str">
        <x:v>Discharge</x:v>
      </x:c>
      <x:c r="E3507" s="1" t="str">
        <x:v>Elétrico</x:v>
      </x:c>
      <x:c r="F3507" s="1" t="str">
        <x:v>Especial</x:v>
      </x:c>
      <x:c r="G3507" s="10" t="n">
        <x:v>80</x:v>
      </x:c>
      <x:c r="H3507" s="10" t="n">
        <x:f>IF(F3507="Física",'Pokémon'!G379,IF(F3507="Especial",'Pokémon'!I379,""))</x:f>
        <x:v>70</x:v>
      </x:c>
      <x:c r="I3507" s="10" t="n">
        <x:f>IF(OR(F3507="Status",G3507=0),"",G3507+H3507)</x:f>
        <x:v>150</x:v>
      </x:c>
      <x:c r="J3507" s="10" t="n">
        <x:v>44</x:v>
      </x:c>
      <x:c r="K3507" s="12" t="n">
        <x:v>22</x:v>
      </x:c>
      <x:c r="L3507" s="1" t="str"/>
      <x:c r="M3507" s="9" t="str">
        <x:v>https://poke.idleworld.online/pokepedia/pokemon/klang</x:v>
      </x:c>
    </x:row>
    <x:row r="3508" ht="22" customHeight="1">
      <x:c r="A3508" s="1" t="n">
        <x:v>600</x:v>
      </x:c>
      <x:c r="B3508" s="1" t="str">
        <x:v>Klang</x:v>
      </x:c>
      <x:c r="C3508" s="1" t="n">
        <x:v>6</x:v>
      </x:c>
      <x:c r="D3508" s="1" t="str">
        <x:v>Mirror Shot</x:v>
      </x:c>
      <x:c r="E3508" s="1" t="str">
        <x:v>Aço</x:v>
      </x:c>
      <x:c r="F3508" s="1" t="str">
        <x:v>Especial</x:v>
      </x:c>
      <x:c r="G3508" s="10" t="n">
        <x:v>65</x:v>
      </x:c>
      <x:c r="H3508" s="10" t="n">
        <x:f>IF(F3508="Física",'Pokémon'!G379,IF(F3508="Especial",'Pokémon'!I379,""))</x:f>
        <x:v>70</x:v>
      </x:c>
      <x:c r="I3508" s="10" t="n">
        <x:f>IF(OR(F3508="Status",G3508=0),"",G3508+H3508)</x:f>
        <x:v>135</x:v>
      </x:c>
      <x:c r="J3508" s="10" t="n">
        <x:v>36</x:v>
      </x:c>
      <x:c r="K3508" s="12" t="n">
        <x:v>30</x:v>
      </x:c>
      <x:c r="L3508" s="1" t="str"/>
      <x:c r="M3508" s="9" t="str">
        <x:v>https://poke.idleworld.online/pokepedia/pokemon/klang</x:v>
      </x:c>
    </x:row>
    <x:row r="3509" ht="22" customHeight="1">
      <x:c r="A3509" s="1" t="n">
        <x:v>600</x:v>
      </x:c>
      <x:c r="B3509" s="1" t="str">
        <x:v>Klang</x:v>
      </x:c>
      <x:c r="C3509" s="1" t="n">
        <x:v>3</x:v>
      </x:c>
      <x:c r="D3509" s="1" t="str">
        <x:v>Vise Grip</x:v>
      </x:c>
      <x:c r="E3509" s="1" t="str">
        <x:v>Normal</x:v>
      </x:c>
      <x:c r="F3509" s="1" t="str">
        <x:v>Física</x:v>
      </x:c>
      <x:c r="G3509" s="10" t="n">
        <x:v>55</x:v>
      </x:c>
      <x:c r="H3509" s="10" t="n">
        <x:f>IF(F3509="Física",'Pokémon'!G379,IF(F3509="Especial",'Pokémon'!I379,""))</x:f>
        <x:v>80</x:v>
      </x:c>
      <x:c r="I3509" s="10" t="n">
        <x:f>IF(OR(F3509="Status",G3509=0),"",G3509+H3509)</x:f>
        <x:v>135</x:v>
      </x:c>
      <x:c r="J3509" s="10" t="n">
        <x:v>1</x:v>
      </x:c>
      <x:c r="K3509" s="12" t="n">
        <x:v>20</x:v>
      </x:c>
      <x:c r="L3509" s="1" t="str"/>
      <x:c r="M3509" s="9" t="str">
        <x:v>https://poke.idleworld.online/pokepedia/pokemon/klang</x:v>
      </x:c>
    </x:row>
    <x:row r="3510" ht="22" customHeight="1">
      <x:c r="A3510" s="1" t="n">
        <x:v>600</x:v>
      </x:c>
      <x:c r="B3510" s="1" t="str">
        <x:v>Klang</x:v>
      </x:c>
      <x:c r="C3510" s="1" t="n">
        <x:v>1</x:v>
      </x:c>
      <x:c r="D3510" s="1" t="str">
        <x:v>Gear Grind</x:v>
      </x:c>
      <x:c r="E3510" s="1" t="str">
        <x:v>Aço</x:v>
      </x:c>
      <x:c r="F3510" s="1" t="str">
        <x:v>Física</x:v>
      </x:c>
      <x:c r="G3510" s="10" t="n">
        <x:v>50</x:v>
      </x:c>
      <x:c r="H3510" s="10" t="n">
        <x:f>IF(F3510="Física",'Pokémon'!G379,IF(F3510="Especial",'Pokémon'!I379,""))</x:f>
        <x:v>80</x:v>
      </x:c>
      <x:c r="I3510" s="10" t="n">
        <x:f>IF(OR(F3510="Status",G3510=0),"",G3510+H3510)</x:f>
        <x:v>130</x:v>
      </x:c>
      <x:c r="J3510" s="10" t="n">
        <x:v>1</x:v>
      </x:c>
      <x:c r="K3510" s="12" t="n">
        <x:v>80</x:v>
      </x:c>
      <x:c r="L3510" s="1" t="str"/>
      <x:c r="M3510" s="9" t="str">
        <x:v>https://poke.idleworld.online/pokepedia/pokemon/klang</x:v>
      </x:c>
    </x:row>
    <x:row r="3511" ht="22" customHeight="1">
      <x:c r="A3511" s="1" t="n">
        <x:v>600</x:v>
      </x:c>
      <x:c r="B3511" s="1" t="str">
        <x:v>Klang</x:v>
      </x:c>
      <x:c r="C3511" s="1" t="n">
        <x:v>5</x:v>
      </x:c>
      <x:c r="D3511" s="1" t="str">
        <x:v>Charge Beam</x:v>
      </x:c>
      <x:c r="E3511" s="1" t="str">
        <x:v>Elétrico</x:v>
      </x:c>
      <x:c r="F3511" s="1" t="str">
        <x:v>Especial</x:v>
      </x:c>
      <x:c r="G3511" s="10" t="n">
        <x:v>50</x:v>
      </x:c>
      <x:c r="H3511" s="10" t="n">
        <x:f>IF(F3511="Física",'Pokémon'!G379,IF(F3511="Especial",'Pokémon'!I379,""))</x:f>
        <x:v>70</x:v>
      </x:c>
      <x:c r="I3511" s="10" t="n">
        <x:f>IF(OR(F3511="Status",G3511=0),"",G3511+H3511)</x:f>
        <x:v>120</x:v>
      </x:c>
      <x:c r="J3511" s="10" t="n">
        <x:v>26</x:v>
      </x:c>
      <x:c r="K3511" s="12" t="n">
        <x:v>15</x:v>
      </x:c>
      <x:c r="L3511" s="1" t="str"/>
      <x:c r="M3511" s="9" t="str">
        <x:v>https://poke.idleworld.online/pokepedia/pokemon/klang</x:v>
      </x:c>
    </x:row>
    <x:row r="3512" ht="22" customHeight="1">
      <x:c r="A3512" s="1" t="n">
        <x:v>600</x:v>
      </x:c>
      <x:c r="B3512" s="1" t="str">
        <x:v>Klang</x:v>
      </x:c>
      <x:c r="C3512" s="1" t="n">
        <x:v>2</x:v>
      </x:c>
      <x:c r="D3512" s="1" t="str">
        <x:v>Thunder Shock</x:v>
      </x:c>
      <x:c r="E3512" s="1" t="str">
        <x:v>Elétrico</x:v>
      </x:c>
      <x:c r="F3512" s="1" t="str">
        <x:v>Especial</x:v>
      </x:c>
      <x:c r="G3512" s="10" t="n">
        <x:v>40</x:v>
      </x:c>
      <x:c r="H3512" s="10" t="n">
        <x:f>IF(F3512="Física",'Pokémon'!G379,IF(F3512="Especial",'Pokémon'!I379,""))</x:f>
        <x:v>70</x:v>
      </x:c>
      <x:c r="I3512" s="10" t="n">
        <x:f>IF(OR(F3512="Status",G3512=0),"",G3512+H3512)</x:f>
        <x:v>110</x:v>
      </x:c>
      <x:c r="J3512" s="10" t="n">
        <x:v>1</x:v>
      </x:c>
      <x:c r="K3512" s="12" t="n">
        <x:v>15</x:v>
      </x:c>
      <x:c r="L3512" s="1" t="str"/>
      <x:c r="M3512" s="9" t="str">
        <x:v>https://poke.idleworld.online/pokepedia/pokemon/klang</x:v>
      </x:c>
    </x:row>
    <x:row r="3513" ht="22" customHeight="1">
      <x:c r="A3513" s="1" t="n">
        <x:v>600</x:v>
      </x:c>
      <x:c r="B3513" s="1" t="str">
        <x:v>Klang</x:v>
      </x:c>
      <x:c r="C3513" s="1" t="n">
        <x:v>4</x:v>
      </x:c>
      <x:c r="D3513" s="1" t="str">
        <x:v>Bind</x:v>
      </x:c>
      <x:c r="E3513" s="1" t="str">
        <x:v>Normal</x:v>
      </x:c>
      <x:c r="F3513" s="1" t="str">
        <x:v>Física</x:v>
      </x:c>
      <x:c r="G3513" s="10" t="n">
        <x:v>15</x:v>
      </x:c>
      <x:c r="H3513" s="10" t="n">
        <x:f>IF(F3513="Física",'Pokémon'!G379,IF(F3513="Especial",'Pokémon'!I379,""))</x:f>
        <x:v>80</x:v>
      </x:c>
      <x:c r="I3513" s="10" t="n">
        <x:f>IF(OR(F3513="Status",G3513=0),"",G3513+H3513)</x:f>
        <x:v>95</x:v>
      </x:c>
      <x:c r="J3513" s="10" t="n">
        <x:v>21</x:v>
      </x:c>
      <x:c r="K3513" s="12" t="n">
        <x:v>15</x:v>
      </x:c>
      <x:c r="L3513" s="1" t="str"/>
      <x:c r="M3513" s="9" t="str">
        <x:v>https://poke.idleworld.online/pokepedia/pokemon/klang</x:v>
      </x:c>
    </x:row>
    <x:row r="3514" ht="22" customHeight="1">
      <x:c r="A3514" s="1" t="n">
        <x:v>601</x:v>
      </x:c>
      <x:c r="B3514" s="1" t="str">
        <x:v>Klinklang</x:v>
      </x:c>
      <x:c r="C3514" s="1" t="n">
        <x:v>10</x:v>
      </x:c>
      <x:c r="D3514" s="1" t="str">
        <x:v>Hyper Beam</x:v>
      </x:c>
      <x:c r="E3514" s="1" t="str">
        <x:v>Normal</x:v>
      </x:c>
      <x:c r="F3514" s="1" t="str">
        <x:v>Especial</x:v>
      </x:c>
      <x:c r="G3514" s="10" t="n">
        <x:v>150</x:v>
      </x:c>
      <x:c r="H3514" s="10" t="n">
        <x:f>IF(F3514="Física",'Pokémon'!G380,IF(F3514="Especial",'Pokémon'!I380,""))</x:f>
        <x:v>70</x:v>
      </x:c>
      <x:c r="I3514" s="10" t="n">
        <x:f>IF(OR(F3514="Status",G3514=0),"",G3514+H3514)</x:f>
        <x:v>220</x:v>
      </x:c>
      <x:c r="J3514" s="10" t="n">
        <x:v>72</x:v>
      </x:c>
      <x:c r="K3514" s="12" t="n">
        <x:v>50</x:v>
      </x:c>
      <x:c r="L3514" s="1" t="str"/>
      <x:c r="M3514" s="9" t="str">
        <x:v>https://poke.idleworld.online/pokepedia/pokemon/klinklang</x:v>
      </x:c>
    </x:row>
    <x:row r="3515" ht="22" customHeight="1">
      <x:c r="A3515" s="1" t="n">
        <x:v>601</x:v>
      </x:c>
      <x:c r="B3515" s="1" t="str">
        <x:v>Klinklang</x:v>
      </x:c>
      <x:c r="C3515" s="1" t="n">
        <x:v>4</x:v>
      </x:c>
      <x:c r="D3515" s="1" t="str">
        <x:v>Zap Cannon</x:v>
      </x:c>
      <x:c r="E3515" s="1" t="str">
        <x:v>Elétrico</x:v>
      </x:c>
      <x:c r="F3515" s="1" t="str">
        <x:v>Especial</x:v>
      </x:c>
      <x:c r="G3515" s="10" t="n">
        <x:v>120</x:v>
      </x:c>
      <x:c r="H3515" s="10" t="n">
        <x:f>IF(F3515="Física",'Pokémon'!G380,IF(F3515="Especial",'Pokémon'!I380,""))</x:f>
        <x:v>70</x:v>
      </x:c>
      <x:c r="I3515" s="10" t="n">
        <x:f>IF(OR(F3515="Status",G3515=0),"",G3515+H3515)</x:f>
        <x:v>190</x:v>
      </x:c>
      <x:c r="J3515" s="10" t="n">
        <x:v>1</x:v>
      </x:c>
      <x:c r="K3515" s="12" t="n">
        <x:v>50</x:v>
      </x:c>
      <x:c r="L3515" s="1" t="str"/>
      <x:c r="M3515" s="9" t="str">
        <x:v>https://poke.idleworld.online/pokepedia/pokemon/klinklang</x:v>
      </x:c>
    </x:row>
    <x:row r="3516" ht="22" customHeight="1">
      <x:c r="A3516" s="1" t="n">
        <x:v>601</x:v>
      </x:c>
      <x:c r="B3516" s="1" t="str">
        <x:v>Klinklang</x:v>
      </x:c>
      <x:c r="C3516" s="1" t="n">
        <x:v>3</x:v>
      </x:c>
      <x:c r="D3516" s="1" t="str">
        <x:v>Vise Grip</x:v>
      </x:c>
      <x:c r="E3516" s="1" t="str">
        <x:v>Normal</x:v>
      </x:c>
      <x:c r="F3516" s="1" t="str">
        <x:v>Física</x:v>
      </x:c>
      <x:c r="G3516" s="10" t="n">
        <x:v>55</x:v>
      </x:c>
      <x:c r="H3516" s="10" t="n">
        <x:f>IF(F3516="Física",'Pokémon'!G380,IF(F3516="Especial",'Pokémon'!I380,""))</x:f>
        <x:v>100</x:v>
      </x:c>
      <x:c r="I3516" s="10" t="n">
        <x:f>IF(OR(F3516="Status",G3516=0),"",G3516+H3516)</x:f>
        <x:v>155</x:v>
      </x:c>
      <x:c r="J3516" s="10" t="n">
        <x:v>1</x:v>
      </x:c>
      <x:c r="K3516" s="12" t="n">
        <x:v>20</x:v>
      </x:c>
      <x:c r="L3516" s="1" t="str"/>
      <x:c r="M3516" s="9" t="str">
        <x:v>https://poke.idleworld.online/pokepedia/pokemon/klinklang</x:v>
      </x:c>
    </x:row>
    <x:row r="3517" ht="22" customHeight="1">
      <x:c r="A3517" s="1" t="n">
        <x:v>601</x:v>
      </x:c>
      <x:c r="B3517" s="1" t="str">
        <x:v>Klinklang</x:v>
      </x:c>
      <x:c r="C3517" s="1" t="n">
        <x:v>8</x:v>
      </x:c>
      <x:c r="D3517" s="1" t="str">
        <x:v>Discharge</x:v>
      </x:c>
      <x:c r="E3517" s="1" t="str">
        <x:v>Elétrico</x:v>
      </x:c>
      <x:c r="F3517" s="1" t="str">
        <x:v>Especial</x:v>
      </x:c>
      <x:c r="G3517" s="10" t="n">
        <x:v>80</x:v>
      </x:c>
      <x:c r="H3517" s="10" t="n">
        <x:f>IF(F3517="Física",'Pokémon'!G380,IF(F3517="Especial",'Pokémon'!I380,""))</x:f>
        <x:v>70</x:v>
      </x:c>
      <x:c r="I3517" s="10" t="n">
        <x:f>IF(OR(F3517="Status",G3517=0),"",G3517+H3517)</x:f>
        <x:v>150</x:v>
      </x:c>
      <x:c r="J3517" s="10" t="n">
        <x:v>44</x:v>
      </x:c>
      <x:c r="K3517" s="12" t="n">
        <x:v>22</x:v>
      </x:c>
      <x:c r="L3517" s="1" t="str"/>
      <x:c r="M3517" s="9" t="str">
        <x:v>https://poke.idleworld.online/pokepedia/pokemon/klinklang</x:v>
      </x:c>
    </x:row>
    <x:row r="3518" ht="22" customHeight="1">
      <x:c r="A3518" s="1" t="n">
        <x:v>601</x:v>
      </x:c>
      <x:c r="B3518" s="1" t="str">
        <x:v>Klinklang</x:v>
      </x:c>
      <x:c r="C3518" s="1" t="n">
        <x:v>1</x:v>
      </x:c>
      <x:c r="D3518" s="1" t="str">
        <x:v>Gear Grind</x:v>
      </x:c>
      <x:c r="E3518" s="1" t="str">
        <x:v>Aço</x:v>
      </x:c>
      <x:c r="F3518" s="1" t="str">
        <x:v>Física</x:v>
      </x:c>
      <x:c r="G3518" s="10" t="n">
        <x:v>50</x:v>
      </x:c>
      <x:c r="H3518" s="10" t="n">
        <x:f>IF(F3518="Física",'Pokémon'!G380,IF(F3518="Especial",'Pokémon'!I380,""))</x:f>
        <x:v>100</x:v>
      </x:c>
      <x:c r="I3518" s="10" t="n">
        <x:f>IF(OR(F3518="Status",G3518=0),"",G3518+H3518)</x:f>
        <x:v>150</x:v>
      </x:c>
      <x:c r="J3518" s="10" t="n">
        <x:v>1</x:v>
      </x:c>
      <x:c r="K3518" s="12" t="n">
        <x:v>60</x:v>
      </x:c>
      <x:c r="L3518" s="1" t="str"/>
      <x:c r="M3518" s="9" t="str">
        <x:v>https://poke.idleworld.online/pokepedia/pokemon/klinklang</x:v>
      </x:c>
    </x:row>
    <x:row r="3519" ht="22" customHeight="1">
      <x:c r="A3519" s="1" t="n">
        <x:v>601</x:v>
      </x:c>
      <x:c r="B3519" s="1" t="str">
        <x:v>Klinklang</x:v>
      </x:c>
      <x:c r="C3519" s="1" t="n">
        <x:v>7</x:v>
      </x:c>
      <x:c r="D3519" s="1" t="str">
        <x:v>Mirror Shot</x:v>
      </x:c>
      <x:c r="E3519" s="1" t="str">
        <x:v>Aço</x:v>
      </x:c>
      <x:c r="F3519" s="1" t="str">
        <x:v>Especial</x:v>
      </x:c>
      <x:c r="G3519" s="10" t="n">
        <x:v>65</x:v>
      </x:c>
      <x:c r="H3519" s="10" t="n">
        <x:f>IF(F3519="Física",'Pokémon'!G380,IF(F3519="Especial",'Pokémon'!I380,""))</x:f>
        <x:v>70</x:v>
      </x:c>
      <x:c r="I3519" s="10" t="n">
        <x:f>IF(OR(F3519="Status",G3519=0),"",G3519+H3519)</x:f>
        <x:v>135</x:v>
      </x:c>
      <x:c r="J3519" s="10" t="n">
        <x:v>36</x:v>
      </x:c>
      <x:c r="K3519" s="12" t="n">
        <x:v>20</x:v>
      </x:c>
      <x:c r="L3519" s="1" t="str"/>
      <x:c r="M3519" s="9" t="str">
        <x:v>https://poke.idleworld.online/pokepedia/pokemon/klinklang</x:v>
      </x:c>
    </x:row>
    <x:row r="3520" ht="22" customHeight="1">
      <x:c r="A3520" s="1" t="n">
        <x:v>601</x:v>
      </x:c>
      <x:c r="B3520" s="1" t="str">
        <x:v>Klinklang</x:v>
      </x:c>
      <x:c r="C3520" s="1" t="n">
        <x:v>6</x:v>
      </x:c>
      <x:c r="D3520" s="1" t="str">
        <x:v>Charge Beam</x:v>
      </x:c>
      <x:c r="E3520" s="1" t="str">
        <x:v>Elétrico</x:v>
      </x:c>
      <x:c r="F3520" s="1" t="str">
        <x:v>Especial</x:v>
      </x:c>
      <x:c r="G3520" s="10" t="n">
        <x:v>50</x:v>
      </x:c>
      <x:c r="H3520" s="10" t="n">
        <x:f>IF(F3520="Física",'Pokémon'!G380,IF(F3520="Especial",'Pokémon'!I380,""))</x:f>
        <x:v>70</x:v>
      </x:c>
      <x:c r="I3520" s="10" t="n">
        <x:f>IF(OR(F3520="Status",G3520=0),"",G3520+H3520)</x:f>
        <x:v>120</x:v>
      </x:c>
      <x:c r="J3520" s="10" t="n">
        <x:v>25</x:v>
      </x:c>
      <x:c r="K3520" s="12" t="n">
        <x:v>15</x:v>
      </x:c>
      <x:c r="L3520" s="1" t="str"/>
      <x:c r="M3520" s="9" t="str">
        <x:v>https://poke.idleworld.online/pokepedia/pokemon/klinklang</x:v>
      </x:c>
    </x:row>
    <x:row r="3521" ht="22" customHeight="1">
      <x:c r="A3521" s="1" t="n">
        <x:v>601</x:v>
      </x:c>
      <x:c r="B3521" s="1" t="str">
        <x:v>Klinklang</x:v>
      </x:c>
      <x:c r="C3521" s="1" t="n">
        <x:v>5</x:v>
      </x:c>
      <x:c r="D3521" s="1" t="str">
        <x:v>Bind</x:v>
      </x:c>
      <x:c r="E3521" s="1" t="str">
        <x:v>Normal</x:v>
      </x:c>
      <x:c r="F3521" s="1" t="str">
        <x:v>Física</x:v>
      </x:c>
      <x:c r="G3521" s="10" t="n">
        <x:v>15</x:v>
      </x:c>
      <x:c r="H3521" s="10" t="n">
        <x:f>IF(F3521="Física",'Pokémon'!G380,IF(F3521="Especial",'Pokémon'!I380,""))</x:f>
        <x:v>100</x:v>
      </x:c>
      <x:c r="I3521" s="10" t="n">
        <x:f>IF(OR(F3521="Status",G3521=0),"",G3521+H3521)</x:f>
        <x:v>115</x:v>
      </x:c>
      <x:c r="J3521" s="10" t="n">
        <x:v>21</x:v>
      </x:c>
      <x:c r="K3521" s="12" t="n">
        <x:v>15</x:v>
      </x:c>
      <x:c r="L3521" s="1" t="str"/>
      <x:c r="M3521" s="9" t="str">
        <x:v>https://poke.idleworld.online/pokepedia/pokemon/klinklang</x:v>
      </x:c>
    </x:row>
    <x:row r="3522" ht="22" customHeight="1">
      <x:c r="A3522" s="1" t="n">
        <x:v>601</x:v>
      </x:c>
      <x:c r="B3522" s="1" t="str">
        <x:v>Klinklang</x:v>
      </x:c>
      <x:c r="C3522" s="1" t="n">
        <x:v>2</x:v>
      </x:c>
      <x:c r="D3522" s="1" t="str">
        <x:v>Thunder Shock</x:v>
      </x:c>
      <x:c r="E3522" s="1" t="str">
        <x:v>Elétrico</x:v>
      </x:c>
      <x:c r="F3522" s="1" t="str">
        <x:v>Especial</x:v>
      </x:c>
      <x:c r="G3522" s="10" t="n">
        <x:v>40</x:v>
      </x:c>
      <x:c r="H3522" s="10" t="n">
        <x:f>IF(F3522="Física",'Pokémon'!G380,IF(F3522="Especial",'Pokémon'!I380,""))</x:f>
        <x:v>70</x:v>
      </x:c>
      <x:c r="I3522" s="10" t="n">
        <x:f>IF(OR(F3522="Status",G3522=0),"",G3522+H3522)</x:f>
        <x:v>110</x:v>
      </x:c>
      <x:c r="J3522" s="10" t="n">
        <x:v>1</x:v>
      </x:c>
      <x:c r="K3522" s="12" t="n">
        <x:v>15</x:v>
      </x:c>
      <x:c r="L3522" s="1" t="str"/>
      <x:c r="M3522" s="9" t="str">
        <x:v>https://poke.idleworld.online/pokepedia/pokemon/klinklang</x:v>
      </x:c>
    </x:row>
    <x:row r="3523" ht="22" customHeight="1">
      <x:c r="A3523" s="1" t="n">
        <x:v>601</x:v>
      </x:c>
      <x:c r="B3523" s="1" t="str">
        <x:v>Klinklang</x:v>
      </x:c>
      <x:c r="C3523" s="1" t="n">
        <x:v>9</x:v>
      </x:c>
      <x:c r="D3523" s="1" t="str">
        <x:v>Metal Sound</x:v>
      </x:c>
      <x:c r="E3523" s="1" t="str">
        <x:v>Aço</x:v>
      </x:c>
      <x:c r="F3523" s="1" t="str">
        <x:v>Status</x:v>
      </x:c>
      <x:c r="G3523" s="10" t="n">
        <x:v>0</x:v>
      </x:c>
      <x:c r="H3523" s="10" t="str">
        <x:f>IF(F3523="Física",'Pokémon'!G380,IF(F3523="Especial",'Pokémon'!I380,""))</x:f>
      </x:c>
      <x:c r="I3523" s="10" t="str">
        <x:f>IF(OR(F3523="Status",G3523=0),"",G3523+H3523)</x:f>
      </x:c>
      <x:c r="J3523" s="10" t="n">
        <x:v>48</x:v>
      </x:c>
      <x:c r="K3523" s="12" t="n">
        <x:v>40</x:v>
      </x:c>
      <x:c r="L3523" s="1" t="str"/>
      <x:c r="M3523" s="9" t="str">
        <x:v>https://poke.idleworld.online/pokepedia/pokemon/klinklang</x:v>
      </x:c>
    </x:row>
    <x:row r="3524" ht="22" customHeight="1">
      <x:c r="A3524" s="1" t="n">
        <x:v>602</x:v>
      </x:c>
      <x:c r="B3524" s="1" t="str">
        <x:v>Tynamo</x:v>
      </x:c>
      <x:c r="C3524" s="1" t="n">
        <x:v>1</x:v>
      </x:c>
      <x:c r="D3524" s="1" t="str">
        <x:v>Spark</x:v>
      </x:c>
      <x:c r="E3524" s="1" t="str">
        <x:v>Elétrico</x:v>
      </x:c>
      <x:c r="F3524" s="1" t="str">
        <x:v>Física</x:v>
      </x:c>
      <x:c r="G3524" s="10" t="n">
        <x:v>65</x:v>
      </x:c>
      <x:c r="H3524" s="10" t="n">
        <x:f>IF(F3524="Física",'Pokémon'!G381,IF(F3524="Especial",'Pokémon'!I381,""))</x:f>
        <x:v>55</x:v>
      </x:c>
      <x:c r="I3524" s="10" t="n">
        <x:f>IF(OR(F3524="Status",G3524=0),"",G3524+H3524)</x:f>
        <x:v>120</x:v>
      </x:c>
      <x:c r="J3524" s="10" t="n">
        <x:v>1</x:v>
      </x:c>
      <x:c r="K3524" s="12" t="n">
        <x:v>10</x:v>
      </x:c>
      <x:c r="L3524" s="1" t="str"/>
      <x:c r="M3524" s="9" t="str">
        <x:v>https://poke.idleworld.online/pokepedia/pokemon/tynamo</x:v>
      </x:c>
    </x:row>
    <x:row r="3525" ht="22" customHeight="1">
      <x:c r="A3525" s="1" t="n">
        <x:v>602</x:v>
      </x:c>
      <x:c r="B3525" s="1" t="str">
        <x:v>Tynamo</x:v>
      </x:c>
      <x:c r="C3525" s="1" t="n">
        <x:v>2</x:v>
      </x:c>
      <x:c r="D3525" s="1" t="str">
        <x:v>Tackle</x:v>
      </x:c>
      <x:c r="E3525" s="1" t="str">
        <x:v>Normal</x:v>
      </x:c>
      <x:c r="F3525" s="1" t="str">
        <x:v>Física</x:v>
      </x:c>
      <x:c r="G3525" s="10" t="n">
        <x:v>50</x:v>
      </x:c>
      <x:c r="H3525" s="10" t="n">
        <x:f>IF(F3525="Física",'Pokémon'!G381,IF(F3525="Especial",'Pokémon'!I381,""))</x:f>
        <x:v>55</x:v>
      </x:c>
      <x:c r="I3525" s="10" t="n">
        <x:f>IF(OR(F3525="Status",G3525=0),"",G3525+H3525)</x:f>
        <x:v>105</x:v>
      </x:c>
      <x:c r="J3525" s="10" t="n">
        <x:v>1</x:v>
      </x:c>
      <x:c r="K3525" s="12" t="n">
        <x:v>15</x:v>
      </x:c>
      <x:c r="L3525" s="1" t="str"/>
      <x:c r="M3525" s="9" t="str">
        <x:v>https://poke.idleworld.online/pokepedia/pokemon/tynamo</x:v>
      </x:c>
    </x:row>
    <x:row r="3526" ht="22" customHeight="1">
      <x:c r="A3526" s="1" t="n">
        <x:v>602</x:v>
      </x:c>
      <x:c r="B3526" s="1" t="str">
        <x:v>Tynamo</x:v>
      </x:c>
      <x:c r="C3526" s="1" t="n">
        <x:v>4</x:v>
      </x:c>
      <x:c r="D3526" s="1" t="str">
        <x:v>Charge Beam</x:v>
      </x:c>
      <x:c r="E3526" s="1" t="str">
        <x:v>Elétrico</x:v>
      </x:c>
      <x:c r="F3526" s="1" t="str">
        <x:v>Especial</x:v>
      </x:c>
      <x:c r="G3526" s="10" t="n">
        <x:v>50</x:v>
      </x:c>
      <x:c r="H3526" s="10" t="n">
        <x:f>IF(F3526="Física",'Pokémon'!G381,IF(F3526="Especial",'Pokémon'!I381,""))</x:f>
        <x:v>45</x:v>
      </x:c>
      <x:c r="I3526" s="10" t="n">
        <x:f>IF(OR(F3526="Status",G3526=0),"",G3526+H3526)</x:f>
        <x:v>95</x:v>
      </x:c>
      <x:c r="J3526" s="10" t="n">
        <x:v>1</x:v>
      </x:c>
      <x:c r="K3526" s="12" t="n">
        <x:v>15</x:v>
      </x:c>
      <x:c r="L3526" s="1" t="str"/>
      <x:c r="M3526" s="9" t="str">
        <x:v>https://poke.idleworld.online/pokepedia/pokemon/tynamo</x:v>
      </x:c>
    </x:row>
    <x:row r="3527" ht="22" customHeight="1">
      <x:c r="A3527" s="1" t="n">
        <x:v>602</x:v>
      </x:c>
      <x:c r="B3527" s="1" t="str">
        <x:v>Tynamo</x:v>
      </x:c>
      <x:c r="C3527" s="1" t="n">
        <x:v>3</x:v>
      </x:c>
      <x:c r="D3527" s="1" t="str">
        <x:v>Thunder Wave</x:v>
      </x:c>
      <x:c r="E3527" s="1" t="str">
        <x:v>Elétrico</x:v>
      </x:c>
      <x:c r="F3527" s="1" t="str">
        <x:v>Status</x:v>
      </x:c>
      <x:c r="G3527" s="10" t="n">
        <x:v>0</x:v>
      </x:c>
      <x:c r="H3527" s="10" t="str">
        <x:f>IF(F3527="Física",'Pokémon'!G381,IF(F3527="Especial",'Pokémon'!I381,""))</x:f>
      </x:c>
      <x:c r="I3527" s="10" t="str">
        <x:f>IF(OR(F3527="Status",G3527=0),"",G3527+H3527)</x:f>
      </x:c>
      <x:c r="J3527" s="10" t="n">
        <x:v>1</x:v>
      </x:c>
      <x:c r="K3527" s="12" t="n">
        <x:v>25</x:v>
      </x:c>
      <x:c r="L3527" s="1" t="str"/>
      <x:c r="M3527" s="9" t="str">
        <x:v>https://poke.idleworld.online/pokepedia/pokemon/tynamo</x:v>
      </x:c>
    </x:row>
    <x:row r="3528" ht="22" customHeight="1">
      <x:c r="A3528" s="1" t="n">
        <x:v>603</x:v>
      </x:c>
      <x:c r="B3528" s="1" t="str">
        <x:v>Eelektrik</x:v>
      </x:c>
      <x:c r="C3528" s="1" t="n">
        <x:v>13</x:v>
      </x:c>
      <x:c r="D3528" s="1" t="str">
        <x:v>Thrash</x:v>
      </x:c>
      <x:c r="E3528" s="1" t="str">
        <x:v>Normal</x:v>
      </x:c>
      <x:c r="F3528" s="1" t="str">
        <x:v>Física</x:v>
      </x:c>
      <x:c r="G3528" s="10" t="n">
        <x:v>120</x:v>
      </x:c>
      <x:c r="H3528" s="10" t="n">
        <x:f>IF(F3528="Física",'Pokémon'!G382,IF(F3528="Especial",'Pokémon'!I382,""))</x:f>
        <x:v>85</x:v>
      </x:c>
      <x:c r="I3528" s="10" t="n">
        <x:f>IF(OR(F3528="Status",G3528=0),"",G3528+H3528)</x:f>
        <x:v>205</x:v>
      </x:c>
      <x:c r="J3528" s="10" t="n">
        <x:v>74</x:v>
      </x:c>
      <x:c r="K3528" s="12" t="n">
        <x:v>50</x:v>
      </x:c>
      <x:c r="L3528" s="1" t="str"/>
      <x:c r="M3528" s="9" t="str">
        <x:v>https://poke.idleworld.online/pokepedia/pokemon/eelektrik</x:v>
      </x:c>
    </x:row>
    <x:row r="3529" ht="22" customHeight="1">
      <x:c r="A3529" s="1" t="n">
        <x:v>603</x:v>
      </x:c>
      <x:c r="B3529" s="1" t="str">
        <x:v>Eelektrik</x:v>
      </x:c>
      <x:c r="C3529" s="1" t="n">
        <x:v>12</x:v>
      </x:c>
      <x:c r="D3529" s="1" t="str">
        <x:v>Zap Cannon</x:v>
      </x:c>
      <x:c r="E3529" s="1" t="str">
        <x:v>Elétrico</x:v>
      </x:c>
      <x:c r="F3529" s="1" t="str">
        <x:v>Especial</x:v>
      </x:c>
      <x:c r="G3529" s="10" t="n">
        <x:v>120</x:v>
      </x:c>
      <x:c r="H3529" s="10" t="n">
        <x:f>IF(F3529="Física",'Pokémon'!G382,IF(F3529="Especial",'Pokémon'!I382,""))</x:f>
        <x:v>75</x:v>
      </x:c>
      <x:c r="I3529" s="10" t="n">
        <x:f>IF(OR(F3529="Status",G3529=0),"",G3529+H3529)</x:f>
        <x:v>195</x:v>
      </x:c>
      <x:c r="J3529" s="10" t="n">
        <x:v>69</x:v>
      </x:c>
      <x:c r="K3529" s="12" t="n">
        <x:v>50</x:v>
      </x:c>
      <x:c r="L3529" s="1" t="str"/>
      <x:c r="M3529" s="9" t="str">
        <x:v>https://poke.idleworld.online/pokepedia/pokemon/eelektrik</x:v>
      </x:c>
    </x:row>
    <x:row r="3530" ht="22" customHeight="1">
      <x:c r="A3530" s="1" t="n">
        <x:v>603</x:v>
      </x:c>
      <x:c r="B3530" s="1" t="str">
        <x:v>Eelektrik</x:v>
      </x:c>
      <x:c r="C3530" s="1" t="n">
        <x:v>10</x:v>
      </x:c>
      <x:c r="D3530" s="1" t="str">
        <x:v>Wild Charge</x:v>
      </x:c>
      <x:c r="E3530" s="1" t="str">
        <x:v>Elétrico</x:v>
      </x:c>
      <x:c r="F3530" s="1" t="str">
        <x:v>Física</x:v>
      </x:c>
      <x:c r="G3530" s="10" t="n">
        <x:v>90</x:v>
      </x:c>
      <x:c r="H3530" s="10" t="n">
        <x:f>IF(F3530="Física",'Pokémon'!G382,IF(F3530="Especial",'Pokémon'!I382,""))</x:f>
        <x:v>85</x:v>
      </x:c>
      <x:c r="I3530" s="10" t="n">
        <x:f>IF(OR(F3530="Status",G3530=0),"",G3530+H3530)</x:f>
        <x:v>175</x:v>
      </x:c>
      <x:c r="J3530" s="10" t="n">
        <x:v>59</x:v>
      </x:c>
      <x:c r="K3530" s="12" t="n">
        <x:v>22</x:v>
      </x:c>
      <x:c r="L3530" s="1" t="str"/>
      <x:c r="M3530" s="9" t="str">
        <x:v>https://poke.idleworld.online/pokepedia/pokemon/eelektrik</x:v>
      </x:c>
    </x:row>
    <x:row r="3531" ht="22" customHeight="1">
      <x:c r="A3531" s="1" t="n">
        <x:v>603</x:v>
      </x:c>
      <x:c r="B3531" s="1" t="str">
        <x:v>Eelektrik</x:v>
      </x:c>
      <x:c r="C3531" s="1" t="n">
        <x:v>8</x:v>
      </x:c>
      <x:c r="D3531" s="1" t="str">
        <x:v>Thunderbolt</x:v>
      </x:c>
      <x:c r="E3531" s="1" t="str">
        <x:v>Elétrico</x:v>
      </x:c>
      <x:c r="F3531" s="1" t="str">
        <x:v>Especial</x:v>
      </x:c>
      <x:c r="G3531" s="10" t="n">
        <x:v>90</x:v>
      </x:c>
      <x:c r="H3531" s="10" t="n">
        <x:f>IF(F3531="Física",'Pokémon'!G382,IF(F3531="Especial",'Pokémon'!I382,""))</x:f>
        <x:v>75</x:v>
      </x:c>
      <x:c r="I3531" s="10" t="n">
        <x:f>IF(OR(F3531="Status",G3531=0),"",G3531+H3531)</x:f>
        <x:v>165</x:v>
      </x:c>
      <x:c r="J3531" s="10" t="n">
        <x:v>44</x:v>
      </x:c>
      <x:c r="K3531" s="12" t="n">
        <x:v>20</x:v>
      </x:c>
      <x:c r="L3531" s="1" t="str"/>
      <x:c r="M3531" s="9" t="str">
        <x:v>https://poke.idleworld.online/pokepedia/pokemon/eelektrik</x:v>
      </x:c>
    </x:row>
    <x:row r="3532" ht="22" customHeight="1">
      <x:c r="A3532" s="1" t="n">
        <x:v>603</x:v>
      </x:c>
      <x:c r="B3532" s="1" t="str">
        <x:v>Eelektrik</x:v>
      </x:c>
      <x:c r="C3532" s="1" t="n">
        <x:v>7</x:v>
      </x:c>
      <x:c r="D3532" s="1" t="str">
        <x:v>Crunch</x:v>
      </x:c>
      <x:c r="E3532" s="1" t="str">
        <x:v>Sombrio</x:v>
      </x:c>
      <x:c r="F3532" s="1" t="str">
        <x:v>Física</x:v>
      </x:c>
      <x:c r="G3532" s="10" t="n">
        <x:v>80</x:v>
      </x:c>
      <x:c r="H3532" s="10" t="n">
        <x:f>IF(F3532="Física",'Pokémon'!G382,IF(F3532="Especial",'Pokémon'!I382,""))</x:f>
        <x:v>85</x:v>
      </x:c>
      <x:c r="I3532" s="10" t="n">
        <x:f>IF(OR(F3532="Status",G3532=0),"",G3532+H3532)</x:f>
        <x:v>165</x:v>
      </x:c>
      <x:c r="J3532" s="10" t="n">
        <x:v>39</x:v>
      </x:c>
      <x:c r="K3532" s="12" t="n">
        <x:v>20</x:v>
      </x:c>
      <x:c r="L3532" s="1" t="str"/>
      <x:c r="M3532" s="9" t="str">
        <x:v>https://poke.idleworld.online/pokepedia/pokemon/eelektrik</x:v>
      </x:c>
    </x:row>
    <x:row r="3533" ht="22" customHeight="1">
      <x:c r="A3533" s="1" t="n">
        <x:v>603</x:v>
      </x:c>
      <x:c r="B3533" s="1" t="str">
        <x:v>Eelektrik</x:v>
      </x:c>
      <x:c r="C3533" s="1" t="n">
        <x:v>6</x:v>
      </x:c>
      <x:c r="D3533" s="1" t="str">
        <x:v>Discharge</x:v>
      </x:c>
      <x:c r="E3533" s="1" t="str">
        <x:v>Elétrico</x:v>
      </x:c>
      <x:c r="F3533" s="1" t="str">
        <x:v>Especial</x:v>
      </x:c>
      <x:c r="G3533" s="10" t="n">
        <x:v>80</x:v>
      </x:c>
      <x:c r="H3533" s="10" t="n">
        <x:f>IF(F3533="Física",'Pokémon'!G382,IF(F3533="Especial",'Pokémon'!I382,""))</x:f>
        <x:v>75</x:v>
      </x:c>
      <x:c r="I3533" s="10" t="n">
        <x:f>IF(OR(F3533="Status",G3533=0),"",G3533+H3533)</x:f>
        <x:v>155</x:v>
      </x:c>
      <x:c r="J3533" s="10" t="n">
        <x:v>29</x:v>
      </x:c>
      <x:c r="K3533" s="12" t="n">
        <x:v>22</x:v>
      </x:c>
      <x:c r="L3533" s="1" t="str"/>
      <x:c r="M3533" s="9" t="str">
        <x:v>https://poke.idleworld.online/pokepedia/pokemon/eelektrik</x:v>
      </x:c>
    </x:row>
    <x:row r="3534" ht="22" customHeight="1">
      <x:c r="A3534" s="1" t="n">
        <x:v>603</x:v>
      </x:c>
      <x:c r="B3534" s="1" t="str">
        <x:v>Eelektrik</x:v>
      </x:c>
      <x:c r="C3534" s="1" t="n">
        <x:v>3</x:v>
      </x:c>
      <x:c r="D3534" s="1" t="str">
        <x:v>Headbutt</x:v>
      </x:c>
      <x:c r="E3534" s="1" t="str">
        <x:v>Normal</x:v>
      </x:c>
      <x:c r="F3534" s="1" t="str">
        <x:v>Física</x:v>
      </x:c>
      <x:c r="G3534" s="10" t="n">
        <x:v>70</x:v>
      </x:c>
      <x:c r="H3534" s="10" t="n">
        <x:f>IF(F3534="Física",'Pokémon'!G382,IF(F3534="Especial",'Pokémon'!I382,""))</x:f>
        <x:v>85</x:v>
      </x:c>
      <x:c r="I3534" s="10" t="n">
        <x:f>IF(OR(F3534="Status",G3534=0),"",G3534+H3534)</x:f>
        <x:v>155</x:v>
      </x:c>
      <x:c r="J3534" s="10" t="n">
        <x:v>1</x:v>
      </x:c>
      <x:c r="K3534" s="12" t="n">
        <x:v>20</x:v>
      </x:c>
      <x:c r="L3534" s="1" t="str"/>
      <x:c r="M3534" s="9" t="str">
        <x:v>https://poke.idleworld.online/pokepedia/pokemon/eelektrik</x:v>
      </x:c>
    </x:row>
    <x:row r="3535" ht="22" customHeight="1">
      <x:c r="A3535" s="1" t="n">
        <x:v>603</x:v>
      </x:c>
      <x:c r="B3535" s="1" t="str">
        <x:v>Eelektrik</x:v>
      </x:c>
      <x:c r="C3535" s="1" t="n">
        <x:v>1</x:v>
      </x:c>
      <x:c r="D3535" s="1" t="str">
        <x:v>Spark</x:v>
      </x:c>
      <x:c r="E3535" s="1" t="str">
        <x:v>Elétrico</x:v>
      </x:c>
      <x:c r="F3535" s="1" t="str">
        <x:v>Física</x:v>
      </x:c>
      <x:c r="G3535" s="10" t="n">
        <x:v>65</x:v>
      </x:c>
      <x:c r="H3535" s="10" t="n">
        <x:f>IF(F3535="Física",'Pokémon'!G382,IF(F3535="Especial",'Pokémon'!I382,""))</x:f>
        <x:v>85</x:v>
      </x:c>
      <x:c r="I3535" s="10" t="n">
        <x:f>IF(OR(F3535="Status",G3535=0),"",G3535+H3535)</x:f>
        <x:v>150</x:v>
      </x:c>
      <x:c r="J3535" s="10" t="n">
        <x:v>1</x:v>
      </x:c>
      <x:c r="K3535" s="12" t="n">
        <x:v>12</x:v>
      </x:c>
      <x:c r="L3535" s="1" t="str"/>
      <x:c r="M3535" s="9" t="str">
        <x:v>https://poke.idleworld.online/pokepedia/pokemon/eelektrik</x:v>
      </x:c>
    </x:row>
    <x:row r="3536" ht="22" customHeight="1">
      <x:c r="A3536" s="1" t="n">
        <x:v>603</x:v>
      </x:c>
      <x:c r="B3536" s="1" t="str">
        <x:v>Eelektrik</x:v>
      </x:c>
      <x:c r="C3536" s="1" t="n">
        <x:v>2</x:v>
      </x:c>
      <x:c r="D3536" s="1" t="str">
        <x:v>Charge Beam</x:v>
      </x:c>
      <x:c r="E3536" s="1" t="str">
        <x:v>Elétrico</x:v>
      </x:c>
      <x:c r="F3536" s="1" t="str">
        <x:v>Especial</x:v>
      </x:c>
      <x:c r="G3536" s="10" t="n">
        <x:v>50</x:v>
      </x:c>
      <x:c r="H3536" s="10" t="n">
        <x:f>IF(F3536="Física",'Pokémon'!G382,IF(F3536="Especial",'Pokémon'!I382,""))</x:f>
        <x:v>75</x:v>
      </x:c>
      <x:c r="I3536" s="10" t="n">
        <x:f>IF(OR(F3536="Status",G3536=0),"",G3536+H3536)</x:f>
        <x:v>125</x:v>
      </x:c>
      <x:c r="J3536" s="10" t="n">
        <x:v>1</x:v>
      </x:c>
      <x:c r="K3536" s="12" t="n">
        <x:v>15</x:v>
      </x:c>
      <x:c r="L3536" s="1" t="str"/>
      <x:c r="M3536" s="9" t="str">
        <x:v>https://poke.idleworld.online/pokepedia/pokemon/eelektrik</x:v>
      </x:c>
    </x:row>
    <x:row r="3537" ht="22" customHeight="1">
      <x:c r="A3537" s="1" t="n">
        <x:v>603</x:v>
      </x:c>
      <x:c r="B3537" s="1" t="str">
        <x:v>Eelektrik</x:v>
      </x:c>
      <x:c r="C3537" s="1" t="n">
        <x:v>5</x:v>
      </x:c>
      <x:c r="D3537" s="1" t="str">
        <x:v>Acid</x:v>
      </x:c>
      <x:c r="E3537" s="1" t="str">
        <x:v>Venenoso</x:v>
      </x:c>
      <x:c r="F3537" s="1" t="str">
        <x:v>Especial</x:v>
      </x:c>
      <x:c r="G3537" s="10" t="n">
        <x:v>40</x:v>
      </x:c>
      <x:c r="H3537" s="10" t="n">
        <x:f>IF(F3537="Física",'Pokémon'!G382,IF(F3537="Especial",'Pokémon'!I382,""))</x:f>
        <x:v>75</x:v>
      </x:c>
      <x:c r="I3537" s="10" t="n">
        <x:f>IF(OR(F3537="Status",G3537=0),"",G3537+H3537)</x:f>
        <x:v>115</x:v>
      </x:c>
      <x:c r="J3537" s="10" t="n">
        <x:v>19</x:v>
      </x:c>
      <x:c r="K3537" s="12" t="n">
        <x:v>10</x:v>
      </x:c>
      <x:c r="L3537" s="1" t="str"/>
      <x:c r="M3537" s="9" t="str">
        <x:v>https://poke.idleworld.online/pokepedia/pokemon/eelektrik</x:v>
      </x:c>
    </x:row>
    <x:row r="3538" ht="22" customHeight="1">
      <x:c r="A3538" s="1" t="n">
        <x:v>603</x:v>
      </x:c>
      <x:c r="B3538" s="1" t="str">
        <x:v>Eelektrik</x:v>
      </x:c>
      <x:c r="C3538" s="1" t="n">
        <x:v>9</x:v>
      </x:c>
      <x:c r="D3538" s="1" t="str">
        <x:v>Acid Spray</x:v>
      </x:c>
      <x:c r="E3538" s="1" t="str">
        <x:v>Venenoso</x:v>
      </x:c>
      <x:c r="F3538" s="1" t="str">
        <x:v>Especial</x:v>
      </x:c>
      <x:c r="G3538" s="10" t="n">
        <x:v>40</x:v>
      </x:c>
      <x:c r="H3538" s="10" t="n">
        <x:f>IF(F3538="Física",'Pokémon'!G382,IF(F3538="Especial",'Pokémon'!I382,""))</x:f>
        <x:v>75</x:v>
      </x:c>
      <x:c r="I3538" s="10" t="n">
        <x:f>IF(OR(F3538="Status",G3538=0),"",G3538+H3538)</x:f>
        <x:v>115</x:v>
      </x:c>
      <x:c r="J3538" s="10" t="n">
        <x:v>49</x:v>
      </x:c>
      <x:c r="K3538" s="12" t="n">
        <x:v>15</x:v>
      </x:c>
      <x:c r="L3538" s="1" t="str"/>
      <x:c r="M3538" s="9" t="str">
        <x:v>https://poke.idleworld.online/pokepedia/pokemon/eelektrik</x:v>
      </x:c>
    </x:row>
    <x:row r="3539" ht="22" customHeight="1">
      <x:c r="A3539" s="1" t="n">
        <x:v>603</x:v>
      </x:c>
      <x:c r="B3539" s="1" t="str">
        <x:v>Eelektrik</x:v>
      </x:c>
      <x:c r="C3539" s="1" t="n">
        <x:v>4</x:v>
      </x:c>
      <x:c r="D3539" s="1" t="str">
        <x:v>Bind</x:v>
      </x:c>
      <x:c r="E3539" s="1" t="str">
        <x:v>Normal</x:v>
      </x:c>
      <x:c r="F3539" s="1" t="str">
        <x:v>Física</x:v>
      </x:c>
      <x:c r="G3539" s="10" t="n">
        <x:v>15</x:v>
      </x:c>
      <x:c r="H3539" s="10" t="n">
        <x:f>IF(F3539="Física",'Pokémon'!G382,IF(F3539="Especial",'Pokémon'!I382,""))</x:f>
        <x:v>85</x:v>
      </x:c>
      <x:c r="I3539" s="10" t="n">
        <x:f>IF(OR(F3539="Status",G3539=0),"",G3539+H3539)</x:f>
        <x:v>100</x:v>
      </x:c>
      <x:c r="J3539" s="10" t="n">
        <x:v>9</x:v>
      </x:c>
      <x:c r="K3539" s="12" t="n">
        <x:v>30</x:v>
      </x:c>
      <x:c r="L3539" s="1" t="str"/>
      <x:c r="M3539" s="9" t="str">
        <x:v>https://poke.idleworld.online/pokepedia/pokemon/eelektrik</x:v>
      </x:c>
    </x:row>
    <x:row r="3540" ht="22" customHeight="1">
      <x:c r="A3540" s="1" t="n">
        <x:v>603</x:v>
      </x:c>
      <x:c r="B3540" s="1" t="str">
        <x:v>Eelektrik</x:v>
      </x:c>
      <x:c r="C3540" s="1" t="n">
        <x:v>11</x:v>
      </x:c>
      <x:c r="D3540" s="1" t="str">
        <x:v>Gastro Acid</x:v>
      </x:c>
      <x:c r="E3540" s="1" t="str">
        <x:v>Venenoso</x:v>
      </x:c>
      <x:c r="F3540" s="1" t="str">
        <x:v>Status</x:v>
      </x:c>
      <x:c r="G3540" s="10" t="n">
        <x:v>0</x:v>
      </x:c>
      <x:c r="H3540" s="10" t="str">
        <x:f>IF(F3540="Física",'Pokémon'!G382,IF(F3540="Especial",'Pokémon'!I382,""))</x:f>
      </x:c>
      <x:c r="I3540" s="10" t="str">
        <x:f>IF(OR(F3540="Status",G3540=0),"",G3540+H3540)</x:f>
      </x:c>
      <x:c r="J3540" s="10" t="n">
        <x:v>64</x:v>
      </x:c>
      <x:c r="K3540" s="12" t="n">
        <x:v>30</x:v>
      </x:c>
      <x:c r="L3540" s="1" t="str"/>
      <x:c r="M3540" s="9" t="str">
        <x:v>https://poke.idleworld.online/pokepedia/pokemon/eelektrik</x:v>
      </x:c>
    </x:row>
    <x:row r="3541" ht="22" customHeight="1">
      <x:c r="A3541" s="1" t="n">
        <x:v>604</x:v>
      </x:c>
      <x:c r="B3541" s="1" t="str">
        <x:v>Eelektross</x:v>
      </x:c>
      <x:c r="C3541" s="1" t="n">
        <x:v>7</x:v>
      </x:c>
      <x:c r="D3541" s="1" t="str">
        <x:v>Thrash</x:v>
      </x:c>
      <x:c r="E3541" s="1" t="str">
        <x:v>Normal</x:v>
      </x:c>
      <x:c r="F3541" s="1" t="str">
        <x:v>Física</x:v>
      </x:c>
      <x:c r="G3541" s="10" t="n">
        <x:v>120</x:v>
      </x:c>
      <x:c r="H3541" s="10" t="n">
        <x:f>IF(F3541="Física",'Pokémon'!G383,IF(F3541="Especial",'Pokémon'!I383,""))</x:f>
        <x:v>115</x:v>
      </x:c>
      <x:c r="I3541" s="10" t="n">
        <x:f>IF(OR(F3541="Status",G3541=0),"",G3541+H3541)</x:f>
        <x:v>235</x:v>
      </x:c>
      <x:c r="J3541" s="10" t="n">
        <x:v>1</x:v>
      </x:c>
      <x:c r="K3541" s="12" t="n">
        <x:v>50</x:v>
      </x:c>
      <x:c r="L3541" s="1" t="str"/>
      <x:c r="M3541" s="9" t="str">
        <x:v>https://poke.idleworld.online/pokepedia/pokemon/eelektross</x:v>
      </x:c>
    </x:row>
    <x:row r="3542" ht="22" customHeight="1">
      <x:c r="A3542" s="1" t="n">
        <x:v>604</x:v>
      </x:c>
      <x:c r="B3542" s="1" t="str">
        <x:v>Eelektross</x:v>
      </x:c>
      <x:c r="C3542" s="1" t="n">
        <x:v>8</x:v>
      </x:c>
      <x:c r="D3542" s="1" t="str">
        <x:v>Zap Cannon</x:v>
      </x:c>
      <x:c r="E3542" s="1" t="str">
        <x:v>Elétrico</x:v>
      </x:c>
      <x:c r="F3542" s="1" t="str">
        <x:v>Especial</x:v>
      </x:c>
      <x:c r="G3542" s="10" t="n">
        <x:v>120</x:v>
      </x:c>
      <x:c r="H3542" s="10" t="n">
        <x:f>IF(F3542="Física",'Pokémon'!G383,IF(F3542="Especial",'Pokémon'!I383,""))</x:f>
        <x:v>105</x:v>
      </x:c>
      <x:c r="I3542" s="10" t="n">
        <x:f>IF(OR(F3542="Status",G3542=0),"",G3542+H3542)</x:f>
        <x:v>225</x:v>
      </x:c>
      <x:c r="J3542" s="10" t="n">
        <x:v>1</x:v>
      </x:c>
      <x:c r="K3542" s="12" t="n">
        <x:v>50</x:v>
      </x:c>
      <x:c r="L3542" s="1" t="str"/>
      <x:c r="M3542" s="9" t="str">
        <x:v>https://poke.idleworld.online/pokepedia/pokemon/eelektross</x:v>
      </x:c>
    </x:row>
    <x:row r="3543" ht="22" customHeight="1">
      <x:c r="A3543" s="1" t="n">
        <x:v>604</x:v>
      </x:c>
      <x:c r="B3543" s="1" t="str">
        <x:v>Eelektross</x:v>
      </x:c>
      <x:c r="C3543" s="1" t="n">
        <x:v>5</x:v>
      </x:c>
      <x:c r="D3543" s="1" t="str">
        <x:v>Crunch</x:v>
      </x:c>
      <x:c r="E3543" s="1" t="str">
        <x:v>Sombrio</x:v>
      </x:c>
      <x:c r="F3543" s="1" t="str">
        <x:v>Física</x:v>
      </x:c>
      <x:c r="G3543" s="10" t="n">
        <x:v>80</x:v>
      </x:c>
      <x:c r="H3543" s="10" t="n">
        <x:f>IF(F3543="Física",'Pokémon'!G383,IF(F3543="Especial",'Pokémon'!I383,""))</x:f>
        <x:v>115</x:v>
      </x:c>
      <x:c r="I3543" s="10" t="n">
        <x:f>IF(OR(F3543="Status",G3543=0),"",G3543+H3543)</x:f>
        <x:v>195</x:v>
      </x:c>
      <x:c r="J3543" s="10" t="n">
        <x:v>1</x:v>
      </x:c>
      <x:c r="K3543" s="12" t="n">
        <x:v>22</x:v>
      </x:c>
      <x:c r="L3543" s="1" t="str"/>
      <x:c r="M3543" s="9" t="str">
        <x:v>https://poke.idleworld.online/pokepedia/pokemon/eelektross</x:v>
      </x:c>
    </x:row>
    <x:row r="3544" ht="22" customHeight="1">
      <x:c r="A3544" s="1" t="n">
        <x:v>604</x:v>
      </x:c>
      <x:c r="B3544" s="1" t="str">
        <x:v>Eelektross</x:v>
      </x:c>
      <x:c r="C3544" s="1" t="n">
        <x:v>4</x:v>
      </x:c>
      <x:c r="D3544" s="1" t="str">
        <x:v>Crush Claw</x:v>
      </x:c>
      <x:c r="E3544" s="1" t="str">
        <x:v>Normal</x:v>
      </x:c>
      <x:c r="F3544" s="1" t="str">
        <x:v>Física</x:v>
      </x:c>
      <x:c r="G3544" s="10" t="n">
        <x:v>75</x:v>
      </x:c>
      <x:c r="H3544" s="10" t="n">
        <x:f>IF(F3544="Física",'Pokémon'!G383,IF(F3544="Especial",'Pokémon'!I383,""))</x:f>
        <x:v>115</x:v>
      </x:c>
      <x:c r="I3544" s="10" t="n">
        <x:f>IF(OR(F3544="Status",G3544=0),"",G3544+H3544)</x:f>
        <x:v>190</x:v>
      </x:c>
      <x:c r="J3544" s="10" t="n">
        <x:v>1</x:v>
      </x:c>
      <x:c r="K3544" s="12" t="n">
        <x:v>22</x:v>
      </x:c>
      <x:c r="L3544" s="1" t="str"/>
      <x:c r="M3544" s="9" t="str">
        <x:v>https://poke.idleworld.online/pokepedia/pokemon/eelektross</x:v>
      </x:c>
    </x:row>
    <x:row r="3545" ht="22" customHeight="1">
      <x:c r="A3545" s="1" t="n">
        <x:v>604</x:v>
      </x:c>
      <x:c r="B3545" s="1" t="str">
        <x:v>Eelektross</x:v>
      </x:c>
      <x:c r="C3545" s="1" t="n">
        <x:v>6</x:v>
      </x:c>
      <x:c r="D3545" s="1" t="str">
        <x:v>Discharge</x:v>
      </x:c>
      <x:c r="E3545" s="1" t="str">
        <x:v>Elétrico</x:v>
      </x:c>
      <x:c r="F3545" s="1" t="str">
        <x:v>Especial</x:v>
      </x:c>
      <x:c r="G3545" s="10" t="n">
        <x:v>80</x:v>
      </x:c>
      <x:c r="H3545" s="10" t="n">
        <x:f>IF(F3545="Física",'Pokémon'!G383,IF(F3545="Especial",'Pokémon'!I383,""))</x:f>
        <x:v>105</x:v>
      </x:c>
      <x:c r="I3545" s="10" t="n">
        <x:f>IF(OR(F3545="Status",G3545=0),"",G3545+H3545)</x:f>
        <x:v>185</x:v>
      </x:c>
      <x:c r="J3545" s="10" t="n">
        <x:v>1</x:v>
      </x:c>
      <x:c r="K3545" s="12" t="n">
        <x:v>22</x:v>
      </x:c>
      <x:c r="L3545" s="1" t="str"/>
      <x:c r="M3545" s="9" t="str">
        <x:v>https://poke.idleworld.online/pokepedia/pokemon/eelektross</x:v>
      </x:c>
    </x:row>
    <x:row r="3546" ht="22" customHeight="1">
      <x:c r="A3546" s="1" t="n">
        <x:v>604</x:v>
      </x:c>
      <x:c r="B3546" s="1" t="str">
        <x:v>Eelektross</x:v>
      </x:c>
      <x:c r="C3546" s="1" t="n">
        <x:v>3</x:v>
      </x:c>
      <x:c r="D3546" s="1" t="str">
        <x:v>Headbutt</x:v>
      </x:c>
      <x:c r="E3546" s="1" t="str">
        <x:v>Normal</x:v>
      </x:c>
      <x:c r="F3546" s="1" t="str">
        <x:v>Física</x:v>
      </x:c>
      <x:c r="G3546" s="10" t="n">
        <x:v>70</x:v>
      </x:c>
      <x:c r="H3546" s="10" t="n">
        <x:f>IF(F3546="Física",'Pokémon'!G383,IF(F3546="Especial",'Pokémon'!I383,""))</x:f>
        <x:v>115</x:v>
      </x:c>
      <x:c r="I3546" s="10" t="n">
        <x:f>IF(OR(F3546="Status",G3546=0),"",G3546+H3546)</x:f>
        <x:v>185</x:v>
      </x:c>
      <x:c r="J3546" s="10" t="n">
        <x:v>1</x:v>
      </x:c>
      <x:c r="K3546" s="12" t="n">
        <x:v>20</x:v>
      </x:c>
      <x:c r="L3546" s="1" t="str"/>
      <x:c r="M3546" s="9" t="str">
        <x:v>https://poke.idleworld.online/pokepedia/pokemon/eelektross</x:v>
      </x:c>
    </x:row>
    <x:row r="3547" ht="22" customHeight="1">
      <x:c r="A3547" s="1" t="n">
        <x:v>604</x:v>
      </x:c>
      <x:c r="B3547" s="1" t="str">
        <x:v>Eelektross</x:v>
      </x:c>
      <x:c r="C3547" s="1" t="n">
        <x:v>2</x:v>
      </x:c>
      <x:c r="D3547" s="1" t="str">
        <x:v>Acid</x:v>
      </x:c>
      <x:c r="E3547" s="1" t="str">
        <x:v>Venenoso</x:v>
      </x:c>
      <x:c r="F3547" s="1" t="str">
        <x:v>Especial</x:v>
      </x:c>
      <x:c r="G3547" s="10" t="n">
        <x:v>40</x:v>
      </x:c>
      <x:c r="H3547" s="10" t="n">
        <x:f>IF(F3547="Física",'Pokémon'!G383,IF(F3547="Especial",'Pokémon'!I383,""))</x:f>
        <x:v>105</x:v>
      </x:c>
      <x:c r="I3547" s="10" t="n">
        <x:f>IF(OR(F3547="Status",G3547=0),"",G3547+H3547)</x:f>
        <x:v>145</x:v>
      </x:c>
      <x:c r="J3547" s="10" t="n">
        <x:v>1</x:v>
      </x:c>
      <x:c r="K3547" s="12" t="n">
        <x:v>15</x:v>
      </x:c>
      <x:c r="L3547" s="1" t="str"/>
      <x:c r="M3547" s="9" t="str">
        <x:v>https://poke.idleworld.online/pokepedia/pokemon/eelektross</x:v>
      </x:c>
    </x:row>
    <x:row r="3548" ht="22" customHeight="1">
      <x:c r="A3548" s="1" t="n">
        <x:v>604</x:v>
      </x:c>
      <x:c r="B3548" s="1" t="str">
        <x:v>Eelektross</x:v>
      </x:c>
      <x:c r="C3548" s="1" t="n">
        <x:v>1</x:v>
      </x:c>
      <x:c r="D3548" s="1" t="str">
        <x:v>Gastro Acid</x:v>
      </x:c>
      <x:c r="E3548" s="1" t="str">
        <x:v>Venenoso</x:v>
      </x:c>
      <x:c r="F3548" s="1" t="str">
        <x:v>Status</x:v>
      </x:c>
      <x:c r="G3548" s="10" t="n">
        <x:v>0</x:v>
      </x:c>
      <x:c r="H3548" s="10" t="str">
        <x:f>IF(F3548="Física",'Pokémon'!G383,IF(F3548="Especial",'Pokémon'!I383,""))</x:f>
      </x:c>
      <x:c r="I3548" s="10" t="str">
        <x:f>IF(OR(F3548="Status",G3548=0),"",G3548+H3548)</x:f>
      </x:c>
      <x:c r="J3548" s="10" t="n">
        <x:v>1</x:v>
      </x:c>
      <x:c r="K3548" s="12" t="n">
        <x:v>30</x:v>
      </x:c>
      <x:c r="L3548" s="1" t="str"/>
      <x:c r="M3548" s="9" t="str">
        <x:v>https://poke.idleworld.online/pokepedia/pokemon/eelektross</x:v>
      </x:c>
    </x:row>
    <x:row r="3549" ht="22" customHeight="1">
      <x:c r="A3549" s="1" t="n">
        <x:v>607</x:v>
      </x:c>
      <x:c r="B3549" s="1" t="str">
        <x:v>Litwick</x:v>
      </x:c>
      <x:c r="C3549" s="1" t="n">
        <x:v>10</x:v>
      </x:c>
      <x:c r="D3549" s="1" t="str">
        <x:v>Overheat</x:v>
      </x:c>
      <x:c r="E3549" s="1" t="str">
        <x:v>Fogo</x:v>
      </x:c>
      <x:c r="F3549" s="1" t="str">
        <x:v>Especial</x:v>
      </x:c>
      <x:c r="G3549" s="10" t="n">
        <x:v>130</x:v>
      </x:c>
      <x:c r="H3549" s="10" t="n">
        <x:f>IF(F3549="Física",'Pokémon'!G384,IF(F3549="Especial",'Pokémon'!I384,""))</x:f>
        <x:v>65</x:v>
      </x:c>
      <x:c r="I3549" s="10" t="n">
        <x:f>IF(OR(F3549="Status",G3549=0),"",G3549+H3549)</x:f>
        <x:v>195</x:v>
      </x:c>
      <x:c r="J3549" s="10" t="n">
        <x:v>61</x:v>
      </x:c>
      <x:c r="K3549" s="12" t="n">
        <x:v>50</x:v>
      </x:c>
      <x:c r="L3549" s="1" t="str"/>
      <x:c r="M3549" s="9" t="str">
        <x:v>https://poke.idleworld.online/pokepedia/pokemon/litwick</x:v>
      </x:c>
    </x:row>
    <x:row r="3550" ht="22" customHeight="1">
      <x:c r="A3550" s="1" t="n">
        <x:v>607</x:v>
      </x:c>
      <x:c r="B3550" s="1" t="str">
        <x:v>Litwick</x:v>
      </x:c>
      <x:c r="C3550" s="1" t="n">
        <x:v>8</x:v>
      </x:c>
      <x:c r="D3550" s="1" t="str">
        <x:v>Inferno</x:v>
      </x:c>
      <x:c r="E3550" s="1" t="str">
        <x:v>Fogo</x:v>
      </x:c>
      <x:c r="F3550" s="1" t="str">
        <x:v>Especial</x:v>
      </x:c>
      <x:c r="G3550" s="10" t="n">
        <x:v>100</x:v>
      </x:c>
      <x:c r="H3550" s="10" t="n">
        <x:f>IF(F3550="Física",'Pokémon'!G384,IF(F3550="Especial",'Pokémon'!I384,""))</x:f>
        <x:v>65</x:v>
      </x:c>
      <x:c r="I3550" s="10" t="n">
        <x:f>IF(OR(F3550="Status",G3550=0),"",G3550+H3550)</x:f>
        <x:v>165</x:v>
      </x:c>
      <x:c r="J3550" s="10" t="n">
        <x:v>38</x:v>
      </x:c>
      <x:c r="K3550" s="12" t="n">
        <x:v>40</x:v>
      </x:c>
      <x:c r="L3550" s="1" t="str"/>
      <x:c r="M3550" s="9" t="str">
        <x:v>https://poke.idleworld.online/pokepedia/pokemon/litwick</x:v>
      </x:c>
    </x:row>
    <x:row r="3551" ht="22" customHeight="1">
      <x:c r="A3551" s="1" t="n">
        <x:v>607</x:v>
      </x:c>
      <x:c r="B3551" s="1" t="str">
        <x:v>Litwick</x:v>
      </x:c>
      <x:c r="C3551" s="1" t="n">
        <x:v>9</x:v>
      </x:c>
      <x:c r="D3551" s="1" t="str">
        <x:v>Shadow Ball</x:v>
      </x:c>
      <x:c r="E3551" s="1" t="str">
        <x:v>Fantasma</x:v>
      </x:c>
      <x:c r="F3551" s="1" t="str">
        <x:v>Especial</x:v>
      </x:c>
      <x:c r="G3551" s="10" t="n">
        <x:v>80</x:v>
      </x:c>
      <x:c r="H3551" s="10" t="n">
        <x:f>IF(F3551="Física",'Pokémon'!G384,IF(F3551="Especial",'Pokémon'!I384,""))</x:f>
        <x:v>65</x:v>
      </x:c>
      <x:c r="I3551" s="10" t="n">
        <x:f>IF(OR(F3551="Status",G3551=0),"",G3551+H3551)</x:f>
        <x:v>145</x:v>
      </x:c>
      <x:c r="J3551" s="10" t="n">
        <x:v>49</x:v>
      </x:c>
      <x:c r="K3551" s="12" t="n">
        <x:v>15</x:v>
      </x:c>
      <x:c r="L3551" s="1" t="str"/>
      <x:c r="M3551" s="9" t="str">
        <x:v>https://poke.idleworld.online/pokepedia/pokemon/litwick</x:v>
      </x:c>
    </x:row>
    <x:row r="3552" ht="22" customHeight="1">
      <x:c r="A3552" s="1" t="n">
        <x:v>607</x:v>
      </x:c>
      <x:c r="B3552" s="1" t="str">
        <x:v>Litwick</x:v>
      </x:c>
      <x:c r="C3552" s="1" t="n">
        <x:v>6</x:v>
      </x:c>
      <x:c r="D3552" s="1" t="str">
        <x:v>Flame Burst</x:v>
      </x:c>
      <x:c r="E3552" s="1" t="str">
        <x:v>Fogo</x:v>
      </x:c>
      <x:c r="F3552" s="1" t="str">
        <x:v>Especial</x:v>
      </x:c>
      <x:c r="G3552" s="10" t="n">
        <x:v>70</x:v>
      </x:c>
      <x:c r="H3552" s="10" t="n">
        <x:f>IF(F3552="Física",'Pokémon'!G384,IF(F3552="Especial",'Pokémon'!I384,""))</x:f>
        <x:v>65</x:v>
      </x:c>
      <x:c r="I3552" s="10" t="n">
        <x:f>IF(OR(F3552="Status",G3552=0),"",G3552+H3552)</x:f>
        <x:v>135</x:v>
      </x:c>
      <x:c r="J3552" s="10" t="n">
        <x:v>20</x:v>
      </x:c>
      <x:c r="K3552" s="12" t="n">
        <x:v>20</x:v>
      </x:c>
      <x:c r="L3552" s="1" t="str"/>
      <x:c r="M3552" s="9" t="str">
        <x:v>https://poke.idleworld.online/pokepedia/pokemon/litwick</x:v>
      </x:c>
    </x:row>
    <x:row r="3553" ht="22" customHeight="1">
      <x:c r="A3553" s="1" t="n">
        <x:v>607</x:v>
      </x:c>
      <x:c r="B3553" s="1" t="str">
        <x:v>Litwick</x:v>
      </x:c>
      <x:c r="C3553" s="1" t="n">
        <x:v>7</x:v>
      </x:c>
      <x:c r="D3553" s="1" t="str">
        <x:v>Hex</x:v>
      </x:c>
      <x:c r="E3553" s="1" t="str">
        <x:v>Fantasma</x:v>
      </x:c>
      <x:c r="F3553" s="1" t="str">
        <x:v>Especial</x:v>
      </x:c>
      <x:c r="G3553" s="10" t="n">
        <x:v>65</x:v>
      </x:c>
      <x:c r="H3553" s="10" t="n">
        <x:f>IF(F3553="Física",'Pokémon'!G384,IF(F3553="Especial",'Pokémon'!I384,""))</x:f>
        <x:v>65</x:v>
      </x:c>
      <x:c r="I3553" s="10" t="n">
        <x:f>IF(OR(F3553="Status",G3553=0),"",G3553+H3553)</x:f>
        <x:v>130</x:v>
      </x:c>
      <x:c r="J3553" s="10" t="n">
        <x:v>28</x:v>
      </x:c>
      <x:c r="K3553" s="12" t="n">
        <x:v>20</x:v>
      </x:c>
      <x:c r="L3553" s="1" t="str"/>
      <x:c r="M3553" s="9" t="str">
        <x:v>https://poke.idleworld.online/pokepedia/pokemon/litwick</x:v>
      </x:c>
    </x:row>
    <x:row r="3554" ht="22" customHeight="1">
      <x:c r="A3554" s="1" t="n">
        <x:v>607</x:v>
      </x:c>
      <x:c r="B3554" s="1" t="str">
        <x:v>Litwick</x:v>
      </x:c>
      <x:c r="C3554" s="1" t="n">
        <x:v>1</x:v>
      </x:c>
      <x:c r="D3554" s="1" t="str">
        <x:v>Ember</x:v>
      </x:c>
      <x:c r="E3554" s="1" t="str">
        <x:v>Fogo</x:v>
      </x:c>
      <x:c r="F3554" s="1" t="str">
        <x:v>Especial</x:v>
      </x:c>
      <x:c r="G3554" s="10" t="n">
        <x:v>40</x:v>
      </x:c>
      <x:c r="H3554" s="10" t="n">
        <x:f>IF(F3554="Física",'Pokémon'!G384,IF(F3554="Especial",'Pokémon'!I384,""))</x:f>
        <x:v>65</x:v>
      </x:c>
      <x:c r="I3554" s="10" t="n">
        <x:f>IF(OR(F3554="Status",G3554=0),"",G3554+H3554)</x:f>
        <x:v>105</x:v>
      </x:c>
      <x:c r="J3554" s="10" t="n">
        <x:v>1</x:v>
      </x:c>
      <x:c r="K3554" s="12" t="n">
        <x:v>10</x:v>
      </x:c>
      <x:c r="L3554" s="1" t="str"/>
      <x:c r="M3554" s="9" t="str">
        <x:v>https://poke.idleworld.online/pokepedia/pokemon/litwick</x:v>
      </x:c>
    </x:row>
    <x:row r="3555" ht="22" customHeight="1">
      <x:c r="A3555" s="1" t="n">
        <x:v>607</x:v>
      </x:c>
      <x:c r="B3555" s="1" t="str">
        <x:v>Litwick</x:v>
      </x:c>
      <x:c r="C3555" s="1" t="n">
        <x:v>4</x:v>
      </x:c>
      <x:c r="D3555" s="1" t="str">
        <x:v>Fire Spin</x:v>
      </x:c>
      <x:c r="E3555" s="1" t="str">
        <x:v>Fogo</x:v>
      </x:c>
      <x:c r="F3555" s="1" t="str">
        <x:v>Especial</x:v>
      </x:c>
      <x:c r="G3555" s="10" t="n">
        <x:v>35</x:v>
      </x:c>
      <x:c r="H3555" s="10" t="n">
        <x:f>IF(F3555="Física",'Pokémon'!G384,IF(F3555="Especial",'Pokémon'!I384,""))</x:f>
        <x:v>65</x:v>
      </x:c>
      <x:c r="I3555" s="10" t="n">
        <x:f>IF(OR(F3555="Status",G3555=0),"",G3555+H3555)</x:f>
        <x:v>100</x:v>
      </x:c>
      <x:c r="J3555" s="10" t="n">
        <x:v>7</x:v>
      </x:c>
      <x:c r="K3555" s="12" t="n">
        <x:v>15</x:v>
      </x:c>
      <x:c r="L3555" s="1" t="str"/>
      <x:c r="M3555" s="9" t="str">
        <x:v>https://poke.idleworld.online/pokepedia/pokemon/litwick</x:v>
      </x:c>
    </x:row>
    <x:row r="3556" ht="22" customHeight="1">
      <x:c r="A3556" s="1" t="n">
        <x:v>607</x:v>
      </x:c>
      <x:c r="B3556" s="1" t="str">
        <x:v>Litwick</x:v>
      </x:c>
      <x:c r="C3556" s="1" t="n">
        <x:v>3</x:v>
      </x:c>
      <x:c r="D3556" s="1" t="str">
        <x:v>Smog</x:v>
      </x:c>
      <x:c r="E3556" s="1" t="str">
        <x:v>Venenoso</x:v>
      </x:c>
      <x:c r="F3556" s="1" t="str">
        <x:v>Especial</x:v>
      </x:c>
      <x:c r="G3556" s="10" t="n">
        <x:v>30</x:v>
      </x:c>
      <x:c r="H3556" s="10" t="n">
        <x:f>IF(F3556="Física",'Pokémon'!G384,IF(F3556="Especial",'Pokémon'!I384,""))</x:f>
        <x:v>65</x:v>
      </x:c>
      <x:c r="I3556" s="10" t="n">
        <x:f>IF(OR(F3556="Status",G3556=0),"",G3556+H3556)</x:f>
        <x:v>95</x:v>
      </x:c>
      <x:c r="J3556" s="10" t="n">
        <x:v>5</x:v>
      </x:c>
      <x:c r="K3556" s="12" t="n">
        <x:v>15</x:v>
      </x:c>
      <x:c r="L3556" s="1" t="str"/>
      <x:c r="M3556" s="9" t="str">
        <x:v>https://poke.idleworld.online/pokepedia/pokemon/litwick</x:v>
      </x:c>
    </x:row>
    <x:row r="3557" ht="22" customHeight="1">
      <x:c r="A3557" s="1" t="n">
        <x:v>607</x:v>
      </x:c>
      <x:c r="B3557" s="1" t="str">
        <x:v>Litwick</x:v>
      </x:c>
      <x:c r="C3557" s="1" t="n">
        <x:v>2</x:v>
      </x:c>
      <x:c r="D3557" s="1" t="str">
        <x:v>Astonish</x:v>
      </x:c>
      <x:c r="E3557" s="1" t="str">
        <x:v>Fantasma</x:v>
      </x:c>
      <x:c r="F3557" s="1" t="str">
        <x:v>Física</x:v>
      </x:c>
      <x:c r="G3557" s="10" t="n">
        <x:v>30</x:v>
      </x:c>
      <x:c r="H3557" s="10" t="n">
        <x:f>IF(F3557="Física",'Pokémon'!G384,IF(F3557="Especial",'Pokémon'!I384,""))</x:f>
        <x:v>30</x:v>
      </x:c>
      <x:c r="I3557" s="10" t="n">
        <x:f>IF(OR(F3557="Status",G3557=0),"",G3557+H3557)</x:f>
        <x:v>60</x:v>
      </x:c>
      <x:c r="J3557" s="10" t="n">
        <x:v>1</x:v>
      </x:c>
      <x:c r="K3557" s="12" t="n">
        <x:v>30</x:v>
      </x:c>
      <x:c r="L3557" s="1" t="str"/>
      <x:c r="M3557" s="9" t="str">
        <x:v>https://poke.idleworld.online/pokepedia/pokemon/litwick</x:v>
      </x:c>
    </x:row>
    <x:row r="3558" ht="22" customHeight="1">
      <x:c r="A3558" s="1" t="n">
        <x:v>607</x:v>
      </x:c>
      <x:c r="B3558" s="1" t="str">
        <x:v>Litwick</x:v>
      </x:c>
      <x:c r="C3558" s="1" t="n">
        <x:v>5</x:v>
      </x:c>
      <x:c r="D3558" s="1" t="str">
        <x:v>Will-O-Wisp</x:v>
      </x:c>
      <x:c r="E3558" s="1" t="str">
        <x:v>Fogo</x:v>
      </x:c>
      <x:c r="F3558" s="1" t="str">
        <x:v>Status</x:v>
      </x:c>
      <x:c r="G3558" s="10" t="n">
        <x:v>0</x:v>
      </x:c>
      <x:c r="H3558" s="10" t="str">
        <x:f>IF(F3558="Física",'Pokémon'!G384,IF(F3558="Especial",'Pokémon'!I384,""))</x:f>
      </x:c>
      <x:c r="I3558" s="10" t="str">
        <x:f>IF(OR(F3558="Status",G3558=0),"",G3558+H3558)</x:f>
      </x:c>
      <x:c r="J3558" s="10" t="n">
        <x:v>16</x:v>
      </x:c>
      <x:c r="K3558" s="12" t="n">
        <x:v>30</x:v>
      </x:c>
      <x:c r="L3558" s="1" t="str"/>
      <x:c r="M3558" s="9" t="str">
        <x:v>https://poke.idleworld.online/pokepedia/pokemon/litwick</x:v>
      </x:c>
    </x:row>
    <x:row r="3559" ht="22" customHeight="1">
      <x:c r="A3559" s="1" t="n">
        <x:v>608</x:v>
      </x:c>
      <x:c r="B3559" s="1" t="str">
        <x:v>Lampent</x:v>
      </x:c>
      <x:c r="C3559" s="1" t="n">
        <x:v>9</x:v>
      </x:c>
      <x:c r="D3559" s="1" t="str">
        <x:v>Overheat</x:v>
      </x:c>
      <x:c r="E3559" s="1" t="str">
        <x:v>Fogo</x:v>
      </x:c>
      <x:c r="F3559" s="1" t="str">
        <x:v>Especial</x:v>
      </x:c>
      <x:c r="G3559" s="10" t="n">
        <x:v>130</x:v>
      </x:c>
      <x:c r="H3559" s="10" t="n">
        <x:f>IF(F3559="Física",'Pokémon'!G385,IF(F3559="Especial",'Pokémon'!I385,""))</x:f>
        <x:v>95</x:v>
      </x:c>
      <x:c r="I3559" s="10" t="n">
        <x:f>IF(OR(F3559="Status",G3559=0),"",G3559+H3559)</x:f>
        <x:v>225</x:v>
      </x:c>
      <x:c r="J3559" s="10" t="n">
        <x:v>69</x:v>
      </x:c>
      <x:c r="K3559" s="12" t="n">
        <x:v>50</x:v>
      </x:c>
      <x:c r="L3559" s="1" t="str"/>
      <x:c r="M3559" s="9" t="str">
        <x:v>https://poke.idleworld.online/pokepedia/pokemon/lampent</x:v>
      </x:c>
    </x:row>
    <x:row r="3560" ht="22" customHeight="1">
      <x:c r="A3560" s="1" t="n">
        <x:v>608</x:v>
      </x:c>
      <x:c r="B3560" s="1" t="str">
        <x:v>Lampent</x:v>
      </x:c>
      <x:c r="C3560" s="1" t="n">
        <x:v>7</x:v>
      </x:c>
      <x:c r="D3560" s="1" t="str">
        <x:v>Inferno</x:v>
      </x:c>
      <x:c r="E3560" s="1" t="str">
        <x:v>Fogo</x:v>
      </x:c>
      <x:c r="F3560" s="1" t="str">
        <x:v>Especial</x:v>
      </x:c>
      <x:c r="G3560" s="10" t="n">
        <x:v>100</x:v>
      </x:c>
      <x:c r="H3560" s="10" t="n">
        <x:f>IF(F3560="Física",'Pokémon'!G385,IF(F3560="Especial",'Pokémon'!I385,""))</x:f>
        <x:v>95</x:v>
      </x:c>
      <x:c r="I3560" s="10" t="n">
        <x:f>IF(OR(F3560="Status",G3560=0),"",G3560+H3560)</x:f>
        <x:v>195</x:v>
      </x:c>
      <x:c r="J3560" s="10" t="n">
        <x:v>38</x:v>
      </x:c>
      <x:c r="K3560" s="12" t="n">
        <x:v>50</x:v>
      </x:c>
      <x:c r="L3560" s="1" t="str"/>
      <x:c r="M3560" s="9" t="str">
        <x:v>https://poke.idleworld.online/pokepedia/pokemon/lampent</x:v>
      </x:c>
    </x:row>
    <x:row r="3561" ht="22" customHeight="1">
      <x:c r="A3561" s="1" t="n">
        <x:v>608</x:v>
      </x:c>
      <x:c r="B3561" s="1" t="str">
        <x:v>Lampent</x:v>
      </x:c>
      <x:c r="C3561" s="1" t="n">
        <x:v>8</x:v>
      </x:c>
      <x:c r="D3561" s="1" t="str">
        <x:v>Shadow Ball</x:v>
      </x:c>
      <x:c r="E3561" s="1" t="str">
        <x:v>Fantasma</x:v>
      </x:c>
      <x:c r="F3561" s="1" t="str">
        <x:v>Especial</x:v>
      </x:c>
      <x:c r="G3561" s="10" t="n">
        <x:v>80</x:v>
      </x:c>
      <x:c r="H3561" s="10" t="n">
        <x:f>IF(F3561="Física",'Pokémon'!G385,IF(F3561="Especial",'Pokémon'!I385,""))</x:f>
        <x:v>95</x:v>
      </x:c>
      <x:c r="I3561" s="10" t="n">
        <x:f>IF(OR(F3561="Status",G3561=0),"",G3561+H3561)</x:f>
        <x:v>175</x:v>
      </x:c>
      <x:c r="J3561" s="10" t="n">
        <x:v>53</x:v>
      </x:c>
      <x:c r="K3561" s="12" t="n">
        <x:v>15</x:v>
      </x:c>
      <x:c r="L3561" s="1" t="str"/>
      <x:c r="M3561" s="9" t="str">
        <x:v>https://poke.idleworld.online/pokepedia/pokemon/lampent</x:v>
      </x:c>
    </x:row>
    <x:row r="3562" ht="22" customHeight="1">
      <x:c r="A3562" s="1" t="n">
        <x:v>608</x:v>
      </x:c>
      <x:c r="B3562" s="1" t="str">
        <x:v>Lampent</x:v>
      </x:c>
      <x:c r="C3562" s="1" t="n">
        <x:v>5</x:v>
      </x:c>
      <x:c r="D3562" s="1" t="str">
        <x:v>Flame Burst</x:v>
      </x:c>
      <x:c r="E3562" s="1" t="str">
        <x:v>Fogo</x:v>
      </x:c>
      <x:c r="F3562" s="1" t="str">
        <x:v>Especial</x:v>
      </x:c>
      <x:c r="G3562" s="10" t="n">
        <x:v>70</x:v>
      </x:c>
      <x:c r="H3562" s="10" t="n">
        <x:f>IF(F3562="Física",'Pokémon'!G385,IF(F3562="Especial",'Pokémon'!I385,""))</x:f>
        <x:v>95</x:v>
      </x:c>
      <x:c r="I3562" s="10" t="n">
        <x:f>IF(OR(F3562="Status",G3562=0),"",G3562+H3562)</x:f>
        <x:v>165</x:v>
      </x:c>
      <x:c r="J3562" s="10" t="n">
        <x:v>20</x:v>
      </x:c>
      <x:c r="K3562" s="12" t="n">
        <x:v>25</x:v>
      </x:c>
      <x:c r="L3562" s="1" t="str"/>
      <x:c r="M3562" s="9" t="str">
        <x:v>https://poke.idleworld.online/pokepedia/pokemon/lampent</x:v>
      </x:c>
    </x:row>
    <x:row r="3563" ht="22" customHeight="1">
      <x:c r="A3563" s="1" t="n">
        <x:v>608</x:v>
      </x:c>
      <x:c r="B3563" s="1" t="str">
        <x:v>Lampent</x:v>
      </x:c>
      <x:c r="C3563" s="1" t="n">
        <x:v>6</x:v>
      </x:c>
      <x:c r="D3563" s="1" t="str">
        <x:v>Hex</x:v>
      </x:c>
      <x:c r="E3563" s="1" t="str">
        <x:v>Fantasma</x:v>
      </x:c>
      <x:c r="F3563" s="1" t="str">
        <x:v>Especial</x:v>
      </x:c>
      <x:c r="G3563" s="10" t="n">
        <x:v>65</x:v>
      </x:c>
      <x:c r="H3563" s="10" t="n">
        <x:f>IF(F3563="Física",'Pokémon'!G385,IF(F3563="Especial",'Pokémon'!I385,""))</x:f>
        <x:v>95</x:v>
      </x:c>
      <x:c r="I3563" s="10" t="n">
        <x:f>IF(OR(F3563="Status",G3563=0),"",G3563+H3563)</x:f>
        <x:v>160</x:v>
      </x:c>
      <x:c r="J3563" s="10" t="n">
        <x:v>28</x:v>
      </x:c>
      <x:c r="K3563" s="12" t="n">
        <x:v>20</x:v>
      </x:c>
      <x:c r="L3563" s="1" t="str"/>
      <x:c r="M3563" s="9" t="str">
        <x:v>https://poke.idleworld.online/pokepedia/pokemon/lampent</x:v>
      </x:c>
    </x:row>
    <x:row r="3564" ht="22" customHeight="1">
      <x:c r="A3564" s="1" t="n">
        <x:v>608</x:v>
      </x:c>
      <x:c r="B3564" s="1" t="str">
        <x:v>Lampent</x:v>
      </x:c>
      <x:c r="C3564" s="1" t="n">
        <x:v>1</x:v>
      </x:c>
      <x:c r="D3564" s="1" t="str">
        <x:v>Ember</x:v>
      </x:c>
      <x:c r="E3564" s="1" t="str">
        <x:v>Fogo</x:v>
      </x:c>
      <x:c r="F3564" s="1" t="str">
        <x:v>Especial</x:v>
      </x:c>
      <x:c r="G3564" s="10" t="n">
        <x:v>40</x:v>
      </x:c>
      <x:c r="H3564" s="10" t="n">
        <x:f>IF(F3564="Física",'Pokémon'!G385,IF(F3564="Especial",'Pokémon'!I385,""))</x:f>
        <x:v>95</x:v>
      </x:c>
      <x:c r="I3564" s="10" t="n">
        <x:f>IF(OR(F3564="Status",G3564=0),"",G3564+H3564)</x:f>
        <x:v>135</x:v>
      </x:c>
      <x:c r="J3564" s="10" t="n">
        <x:v>1</x:v>
      </x:c>
      <x:c r="K3564" s="12" t="n">
        <x:v>10</x:v>
      </x:c>
      <x:c r="L3564" s="1" t="str"/>
      <x:c r="M3564" s="9" t="str">
        <x:v>https://poke.idleworld.online/pokepedia/pokemon/lampent</x:v>
      </x:c>
    </x:row>
    <x:row r="3565" ht="22" customHeight="1">
      <x:c r="A3565" s="1" t="n">
        <x:v>608</x:v>
      </x:c>
      <x:c r="B3565" s="1" t="str">
        <x:v>Lampent</x:v>
      </x:c>
      <x:c r="C3565" s="1" t="n">
        <x:v>4</x:v>
      </x:c>
      <x:c r="D3565" s="1" t="str">
        <x:v>Fire Spin</x:v>
      </x:c>
      <x:c r="E3565" s="1" t="str">
        <x:v>Fogo</x:v>
      </x:c>
      <x:c r="F3565" s="1" t="str">
        <x:v>Especial</x:v>
      </x:c>
      <x:c r="G3565" s="10" t="n">
        <x:v>35</x:v>
      </x:c>
      <x:c r="H3565" s="10" t="n">
        <x:f>IF(F3565="Física",'Pokémon'!G385,IF(F3565="Especial",'Pokémon'!I385,""))</x:f>
        <x:v>95</x:v>
      </x:c>
      <x:c r="I3565" s="10" t="n">
        <x:f>IF(OR(F3565="Status",G3565=0),"",G3565+H3565)</x:f>
        <x:v>130</x:v>
      </x:c>
      <x:c r="J3565" s="10" t="n">
        <x:v>7</x:v>
      </x:c>
      <x:c r="K3565" s="12" t="n">
        <x:v>32</x:v>
      </x:c>
      <x:c r="L3565" s="1" t="str"/>
      <x:c r="M3565" s="9" t="str">
        <x:v>https://poke.idleworld.online/pokepedia/pokemon/lampent</x:v>
      </x:c>
    </x:row>
    <x:row r="3566" ht="22" customHeight="1">
      <x:c r="A3566" s="1" t="n">
        <x:v>608</x:v>
      </x:c>
      <x:c r="B3566" s="1" t="str">
        <x:v>Lampent</x:v>
      </x:c>
      <x:c r="C3566" s="1" t="n">
        <x:v>2</x:v>
      </x:c>
      <x:c r="D3566" s="1" t="str">
        <x:v>Smog</x:v>
      </x:c>
      <x:c r="E3566" s="1" t="str">
        <x:v>Venenoso</x:v>
      </x:c>
      <x:c r="F3566" s="1" t="str">
        <x:v>Especial</x:v>
      </x:c>
      <x:c r="G3566" s="10" t="n">
        <x:v>30</x:v>
      </x:c>
      <x:c r="H3566" s="10" t="n">
        <x:f>IF(F3566="Física",'Pokémon'!G385,IF(F3566="Especial",'Pokémon'!I385,""))</x:f>
        <x:v>95</x:v>
      </x:c>
      <x:c r="I3566" s="10" t="n">
        <x:f>IF(OR(F3566="Status",G3566=0),"",G3566+H3566)</x:f>
        <x:v>125</x:v>
      </x:c>
      <x:c r="J3566" s="10" t="n">
        <x:v>1</x:v>
      </x:c>
      <x:c r="K3566" s="12" t="n">
        <x:v>15</x:v>
      </x:c>
      <x:c r="L3566" s="1" t="str"/>
      <x:c r="M3566" s="9" t="str">
        <x:v>https://poke.idleworld.online/pokepedia/pokemon/lampent</x:v>
      </x:c>
    </x:row>
    <x:row r="3567" ht="22" customHeight="1">
      <x:c r="A3567" s="1" t="n">
        <x:v>608</x:v>
      </x:c>
      <x:c r="B3567" s="1" t="str">
        <x:v>Lampent</x:v>
      </x:c>
      <x:c r="C3567" s="1" t="n">
        <x:v>3</x:v>
      </x:c>
      <x:c r="D3567" s="1" t="str">
        <x:v>Astonish</x:v>
      </x:c>
      <x:c r="E3567" s="1" t="str">
        <x:v>Fantasma</x:v>
      </x:c>
      <x:c r="F3567" s="1" t="str">
        <x:v>Física</x:v>
      </x:c>
      <x:c r="G3567" s="10" t="n">
        <x:v>30</x:v>
      </x:c>
      <x:c r="H3567" s="10" t="n">
        <x:f>IF(F3567="Física",'Pokémon'!G385,IF(F3567="Especial",'Pokémon'!I385,""))</x:f>
        <x:v>40</x:v>
      </x:c>
      <x:c r="I3567" s="10" t="n">
        <x:f>IF(OR(F3567="Status",G3567=0),"",G3567+H3567)</x:f>
        <x:v>70</x:v>
      </x:c>
      <x:c r="J3567" s="10" t="n">
        <x:v>1</x:v>
      </x:c>
      <x:c r="K3567" s="12" t="n">
        <x:v>15</x:v>
      </x:c>
      <x:c r="L3567" s="1" t="str"/>
      <x:c r="M3567" s="9" t="str">
        <x:v>https://poke.idleworld.online/pokepedia/pokemon/lampent</x:v>
      </x:c>
    </x:row>
    <x:row r="3568" ht="22" customHeight="1">
      <x:c r="A3568" s="1" t="n">
        <x:v>609</x:v>
      </x:c>
      <x:c r="B3568" s="1" t="str">
        <x:v>Chandelure</x:v>
      </x:c>
      <x:c r="C3568" s="1" t="n">
        <x:v>3</x:v>
      </x:c>
      <x:c r="D3568" s="1" t="str">
        <x:v>Flame Burst</x:v>
      </x:c>
      <x:c r="E3568" s="1" t="str">
        <x:v>Fogo</x:v>
      </x:c>
      <x:c r="F3568" s="1" t="str">
        <x:v>Especial</x:v>
      </x:c>
      <x:c r="G3568" s="10" t="n">
        <x:v>70</x:v>
      </x:c>
      <x:c r="H3568" s="10" t="n">
        <x:f>IF(F3568="Física",'Pokémon'!G386,IF(F3568="Especial",'Pokémon'!I386,""))</x:f>
        <x:v>145</x:v>
      </x:c>
      <x:c r="I3568" s="10" t="n">
        <x:f>IF(OR(F3568="Status",G3568=0),"",G3568+H3568)</x:f>
        <x:v>215</x:v>
      </x:c>
      <x:c r="J3568" s="10" t="n">
        <x:v>1</x:v>
      </x:c>
      <x:c r="K3568" s="12" t="n">
        <x:v>20</x:v>
      </x:c>
      <x:c r="L3568" s="1" t="str"/>
      <x:c r="M3568" s="9" t="str">
        <x:v>https://poke.idleworld.online/pokepedia/pokemon/chandelure</x:v>
      </x:c>
    </x:row>
    <x:row r="3569" ht="22" customHeight="1">
      <x:c r="A3569" s="1" t="n">
        <x:v>609</x:v>
      </x:c>
      <x:c r="B3569" s="1" t="str">
        <x:v>Chandelure</x:v>
      </x:c>
      <x:c r="C3569" s="1" t="n">
        <x:v>1</x:v>
      </x:c>
      <x:c r="D3569" s="1" t="str">
        <x:v>Hex</x:v>
      </x:c>
      <x:c r="E3569" s="1" t="str">
        <x:v>Fantasma</x:v>
      </x:c>
      <x:c r="F3569" s="1" t="str">
        <x:v>Especial</x:v>
      </x:c>
      <x:c r="G3569" s="10" t="n">
        <x:v>65</x:v>
      </x:c>
      <x:c r="H3569" s="10" t="n">
        <x:f>IF(F3569="Física",'Pokémon'!G386,IF(F3569="Especial",'Pokémon'!I386,""))</x:f>
        <x:v>145</x:v>
      </x:c>
      <x:c r="I3569" s="10" t="n">
        <x:f>IF(OR(F3569="Status",G3569=0),"",G3569+H3569)</x:f>
        <x:v>210</x:v>
      </x:c>
      <x:c r="J3569" s="10" t="n">
        <x:v>1</x:v>
      </x:c>
      <x:c r="K3569" s="12" t="n">
        <x:v>40</x:v>
      </x:c>
      <x:c r="L3569" s="1" t="str"/>
      <x:c r="M3569" s="9" t="str">
        <x:v>https://poke.idleworld.online/pokepedia/pokemon/chandelure</x:v>
      </x:c>
    </x:row>
    <x:row r="3570" ht="22" customHeight="1">
      <x:c r="A3570" s="1" t="n">
        <x:v>609</x:v>
      </x:c>
      <x:c r="B3570" s="1" t="str">
        <x:v>Chandelure</x:v>
      </x:c>
      <x:c r="C3570" s="1" t="n">
        <x:v>2</x:v>
      </x:c>
      <x:c r="D3570" s="1" t="str">
        <x:v>Smog</x:v>
      </x:c>
      <x:c r="E3570" s="1" t="str">
        <x:v>Venenoso</x:v>
      </x:c>
      <x:c r="F3570" s="1" t="str">
        <x:v>Especial</x:v>
      </x:c>
      <x:c r="G3570" s="10" t="n">
        <x:v>30</x:v>
      </x:c>
      <x:c r="H3570" s="10" t="n">
        <x:f>IF(F3570="Física",'Pokémon'!G386,IF(F3570="Especial",'Pokémon'!I386,""))</x:f>
        <x:v>145</x:v>
      </x:c>
      <x:c r="I3570" s="10" t="n">
        <x:f>IF(OR(F3570="Status",G3570=0),"",G3570+H3570)</x:f>
        <x:v>175</x:v>
      </x:c>
      <x:c r="J3570" s="10" t="n">
        <x:v>1</x:v>
      </x:c>
      <x:c r="K3570" s="12" t="n">
        <x:v>15</x:v>
      </x:c>
      <x:c r="L3570" s="1" t="str"/>
      <x:c r="M3570" s="9" t="str">
        <x:v>https://poke.idleworld.online/pokepedia/pokemon/chandelure</x:v>
      </x:c>
    </x:row>
    <x:row r="3571" ht="22" customHeight="1">
      <x:c r="A3571" s="1" t="n">
        <x:v>627</x:v>
      </x:c>
      <x:c r="B3571" s="1" t="str">
        <x:v>Rufflet</x:v>
      </x:c>
      <x:c r="C3571" s="1" t="n">
        <x:v>10</x:v>
      </x:c>
      <x:c r="D3571" s="1" t="str">
        <x:v>Brave Bird</x:v>
      </x:c>
      <x:c r="E3571" s="1" t="str">
        <x:v>Voador</x:v>
      </x:c>
      <x:c r="F3571" s="1" t="str">
        <x:v>Física</x:v>
      </x:c>
      <x:c r="G3571" s="10" t="n">
        <x:v>120</x:v>
      </x:c>
      <x:c r="H3571" s="10" t="n">
        <x:f>IF(F3571="Física",'Pokémon'!G387,IF(F3571="Especial",'Pokémon'!I387,""))</x:f>
        <x:v>83</x:v>
      </x:c>
      <x:c r="I3571" s="10" t="n">
        <x:f>IF(OR(F3571="Status",G3571=0),"",G3571+H3571)</x:f>
        <x:v>203</x:v>
      </x:c>
      <x:c r="J3571" s="10" t="n">
        <x:v>59</x:v>
      </x:c>
      <x:c r="K3571" s="12" t="n">
        <x:v>50</x:v>
      </x:c>
      <x:c r="L3571" s="1" t="str"/>
      <x:c r="M3571" s="9" t="str">
        <x:v>https://poke.idleworld.online/pokepedia/pokemon/rufflet</x:v>
      </x:c>
    </x:row>
    <x:row r="3572" ht="22" customHeight="1">
      <x:c r="A3572" s="1" t="n">
        <x:v>627</x:v>
      </x:c>
      <x:c r="B3572" s="1" t="str">
        <x:v>Rufflet</x:v>
      </x:c>
      <x:c r="C3572" s="1" t="n">
        <x:v>11</x:v>
      </x:c>
      <x:c r="D3572" s="1" t="str">
        <x:v>Thrash</x:v>
      </x:c>
      <x:c r="E3572" s="1" t="str">
        <x:v>Normal</x:v>
      </x:c>
      <x:c r="F3572" s="1" t="str">
        <x:v>Física</x:v>
      </x:c>
      <x:c r="G3572" s="10" t="n">
        <x:v>120</x:v>
      </x:c>
      <x:c r="H3572" s="10" t="n">
        <x:f>IF(F3572="Física",'Pokémon'!G387,IF(F3572="Especial",'Pokémon'!I387,""))</x:f>
        <x:v>83</x:v>
      </x:c>
      <x:c r="I3572" s="10" t="n">
        <x:f>IF(OR(F3572="Status",G3572=0),"",G3572+H3572)</x:f>
        <x:v>203</x:v>
      </x:c>
      <x:c r="J3572" s="10" t="n">
        <x:v>64</x:v>
      </x:c>
      <x:c r="K3572" s="12" t="n">
        <x:v>50</x:v>
      </x:c>
      <x:c r="L3572" s="1" t="str"/>
      <x:c r="M3572" s="9" t="str">
        <x:v>https://poke.idleworld.online/pokepedia/pokemon/rufflet</x:v>
      </x:c>
    </x:row>
    <x:row r="3573" ht="22" customHeight="1">
      <x:c r="A3573" s="1" t="n">
        <x:v>627</x:v>
      </x:c>
      <x:c r="B3573" s="1" t="str">
        <x:v>Rufflet</x:v>
      </x:c>
      <x:c r="C3573" s="1" t="n">
        <x:v>7</x:v>
      </x:c>
      <x:c r="D3573" s="1" t="str">
        <x:v>Crush Claw</x:v>
      </x:c>
      <x:c r="E3573" s="1" t="str">
        <x:v>Normal</x:v>
      </x:c>
      <x:c r="F3573" s="1" t="str">
        <x:v>Física</x:v>
      </x:c>
      <x:c r="G3573" s="10" t="n">
        <x:v>75</x:v>
      </x:c>
      <x:c r="H3573" s="10" t="n">
        <x:f>IF(F3573="Física",'Pokémon'!G387,IF(F3573="Especial",'Pokémon'!I387,""))</x:f>
        <x:v>83</x:v>
      </x:c>
      <x:c r="I3573" s="10" t="n">
        <x:f>IF(OR(F3573="Status",G3573=0),"",G3573+H3573)</x:f>
        <x:v>158</x:v>
      </x:c>
      <x:c r="J3573" s="10" t="n">
        <x:v>46</x:v>
      </x:c>
      <x:c r="K3573" s="12" t="n">
        <x:v>22</x:v>
      </x:c>
      <x:c r="L3573" s="1" t="str"/>
      <x:c r="M3573" s="9" t="str">
        <x:v>https://poke.idleworld.online/pokepedia/pokemon/rufflet</x:v>
      </x:c>
    </x:row>
    <x:row r="3574" ht="22" customHeight="1">
      <x:c r="A3574" s="1" t="n">
        <x:v>627</x:v>
      </x:c>
      <x:c r="B3574" s="1" t="str">
        <x:v>Rufflet</x:v>
      </x:c>
      <x:c r="C3574" s="1" t="n">
        <x:v>5</x:v>
      </x:c>
      <x:c r="D3574" s="1" t="str">
        <x:v>Slash</x:v>
      </x:c>
      <x:c r="E3574" s="1" t="str">
        <x:v>Normal</x:v>
      </x:c>
      <x:c r="F3574" s="1" t="str">
        <x:v>Física</x:v>
      </x:c>
      <x:c r="G3574" s="10" t="n">
        <x:v>70</x:v>
      </x:c>
      <x:c r="H3574" s="10" t="n">
        <x:f>IF(F3574="Física",'Pokémon'!G387,IF(F3574="Especial",'Pokémon'!I387,""))</x:f>
        <x:v>83</x:v>
      </x:c>
      <x:c r="I3574" s="10" t="n">
        <x:f>IF(OR(F3574="Status",G3574=0),"",G3574+H3574)</x:f>
        <x:v>153</x:v>
      </x:c>
      <x:c r="J3574" s="10" t="n">
        <x:v>28</x:v>
      </x:c>
      <x:c r="K3574" s="12" t="n">
        <x:v>10</x:v>
      </x:c>
      <x:c r="L3574" s="1" t="str"/>
      <x:c r="M3574" s="9" t="str">
        <x:v>https://poke.idleworld.online/pokepedia/pokemon/rufflet</x:v>
      </x:c>
    </x:row>
    <x:row r="3575" ht="22" customHeight="1">
      <x:c r="A3575" s="1" t="n">
        <x:v>627</x:v>
      </x:c>
      <x:c r="B3575" s="1" t="str">
        <x:v>Rufflet</x:v>
      </x:c>
      <x:c r="C3575" s="1" t="n">
        <x:v>3</x:v>
      </x:c>
      <x:c r="D3575" s="1" t="str">
        <x:v>Wing Attack</x:v>
      </x:c>
      <x:c r="E3575" s="1" t="str">
        <x:v>Voador</x:v>
      </x:c>
      <x:c r="F3575" s="1" t="str">
        <x:v>Física</x:v>
      </x:c>
      <x:c r="G3575" s="10" t="n">
        <x:v>60</x:v>
      </x:c>
      <x:c r="H3575" s="10" t="n">
        <x:f>IF(F3575="Física",'Pokémon'!G387,IF(F3575="Especial",'Pokémon'!I387,""))</x:f>
        <x:v>83</x:v>
      </x:c>
      <x:c r="I3575" s="10" t="n">
        <x:f>IF(OR(F3575="Status",G3575=0),"",G3575+H3575)</x:f>
        <x:v>143</x:v>
      </x:c>
      <x:c r="J3575" s="10" t="n">
        <x:v>10</x:v>
      </x:c>
      <x:c r="K3575" s="12" t="n">
        <x:v>20</x:v>
      </x:c>
      <x:c r="L3575" s="1" t="str"/>
      <x:c r="M3575" s="9" t="str">
        <x:v>https://poke.idleworld.online/pokepedia/pokemon/rufflet</x:v>
      </x:c>
    </x:row>
    <x:row r="3576" ht="22" customHeight="1">
      <x:c r="A3576" s="1" t="n">
        <x:v>627</x:v>
      </x:c>
      <x:c r="B3576" s="1" t="str">
        <x:v>Rufflet</x:v>
      </x:c>
      <x:c r="C3576" s="1" t="n">
        <x:v>4</x:v>
      </x:c>
      <x:c r="D3576" s="1" t="str">
        <x:v>Aerial Ace</x:v>
      </x:c>
      <x:c r="E3576" s="1" t="str">
        <x:v>Voador</x:v>
      </x:c>
      <x:c r="F3576" s="1" t="str">
        <x:v>Física</x:v>
      </x:c>
      <x:c r="G3576" s="10" t="n">
        <x:v>60</x:v>
      </x:c>
      <x:c r="H3576" s="10" t="n">
        <x:f>IF(F3576="Física",'Pokémon'!G387,IF(F3576="Especial",'Pokémon'!I387,""))</x:f>
        <x:v>83</x:v>
      </x:c>
      <x:c r="I3576" s="10" t="n">
        <x:f>IF(OR(F3576="Status",G3576=0),"",G3576+H3576)</x:f>
        <x:v>143</x:v>
      </x:c>
      <x:c r="J3576" s="10" t="n">
        <x:v>23</x:v>
      </x:c>
      <x:c r="K3576" s="12" t="n">
        <x:v>20</x:v>
      </x:c>
      <x:c r="L3576" s="1" t="str"/>
      <x:c r="M3576" s="9" t="str">
        <x:v>https://poke.idleworld.online/pokepedia/pokemon/rufflet</x:v>
      </x:c>
    </x:row>
    <x:row r="3577" ht="22" customHeight="1">
      <x:c r="A3577" s="1" t="n">
        <x:v>627</x:v>
      </x:c>
      <x:c r="B3577" s="1" t="str">
        <x:v>Rufflet</x:v>
      </x:c>
      <x:c r="C3577" s="1" t="n">
        <x:v>8</x:v>
      </x:c>
      <x:c r="D3577" s="1" t="str">
        <x:v>Sky Drop</x:v>
      </x:c>
      <x:c r="E3577" s="1" t="str">
        <x:v>Voador</x:v>
      </x:c>
      <x:c r="F3577" s="1" t="str">
        <x:v>Física</x:v>
      </x:c>
      <x:c r="G3577" s="10" t="n">
        <x:v>60</x:v>
      </x:c>
      <x:c r="H3577" s="10" t="n">
        <x:f>IF(F3577="Física",'Pokémon'!G387,IF(F3577="Especial",'Pokémon'!I387,""))</x:f>
        <x:v>83</x:v>
      </x:c>
      <x:c r="I3577" s="10" t="n">
        <x:f>IF(OR(F3577="Status",G3577=0),"",G3577+H3577)</x:f>
        <x:v>143</x:v>
      </x:c>
      <x:c r="J3577" s="10" t="n">
        <x:v>50</x:v>
      </x:c>
      <x:c r="K3577" s="12" t="n">
        <x:v>20</x:v>
      </x:c>
      <x:c r="L3577" s="1" t="str"/>
      <x:c r="M3577" s="9" t="str">
        <x:v>https://poke.idleworld.online/pokepedia/pokemon/rufflet</x:v>
      </x:c>
    </x:row>
    <x:row r="3578" ht="22" customHeight="1">
      <x:c r="A3578" s="1" t="n">
        <x:v>627</x:v>
      </x:c>
      <x:c r="B3578" s="1" t="str">
        <x:v>Rufflet</x:v>
      </x:c>
      <x:c r="C3578" s="1" t="n">
        <x:v>1</x:v>
      </x:c>
      <x:c r="D3578" s="1" t="str">
        <x:v>Peck</x:v>
      </x:c>
      <x:c r="E3578" s="1" t="str">
        <x:v>Voador</x:v>
      </x:c>
      <x:c r="F3578" s="1" t="str">
        <x:v>Física</x:v>
      </x:c>
      <x:c r="G3578" s="10" t="n">
        <x:v>35</x:v>
      </x:c>
      <x:c r="H3578" s="10" t="n">
        <x:f>IF(F3578="Física",'Pokémon'!G387,IF(F3578="Especial",'Pokémon'!I387,""))</x:f>
        <x:v>83</x:v>
      </x:c>
      <x:c r="I3578" s="10" t="n">
        <x:f>IF(OR(F3578="Status",G3578=0),"",G3578+H3578)</x:f>
        <x:v>118</x:v>
      </x:c>
      <x:c r="J3578" s="10" t="n">
        <x:v>1</x:v>
      </x:c>
      <x:c r="K3578" s="12" t="n">
        <x:v>10</x:v>
      </x:c>
      <x:c r="L3578" s="1" t="str"/>
      <x:c r="M3578" s="9" t="str">
        <x:v>https://poke.idleworld.online/pokepedia/pokemon/rufflet</x:v>
      </x:c>
    </x:row>
    <x:row r="3579" ht="22" customHeight="1">
      <x:c r="A3579" s="1" t="n">
        <x:v>627</x:v>
      </x:c>
      <x:c r="B3579" s="1" t="str">
        <x:v>Rufflet</x:v>
      </x:c>
      <x:c r="C3579" s="1" t="n">
        <x:v>6</x:v>
      </x:c>
      <x:c r="D3579" s="1" t="str">
        <x:v>Air Slash</x:v>
      </x:c>
      <x:c r="E3579" s="1" t="str">
        <x:v>Voador</x:v>
      </x:c>
      <x:c r="F3579" s="1" t="str">
        <x:v>Especial</x:v>
      </x:c>
      <x:c r="G3579" s="10" t="n">
        <x:v>75</x:v>
      </x:c>
      <x:c r="H3579" s="10" t="n">
        <x:f>IF(F3579="Física",'Pokémon'!G387,IF(F3579="Especial",'Pokémon'!I387,""))</x:f>
        <x:v>37</x:v>
      </x:c>
      <x:c r="I3579" s="10" t="n">
        <x:f>IF(OR(F3579="Status",G3579=0),"",G3579+H3579)</x:f>
        <x:v>112</x:v>
      </x:c>
      <x:c r="J3579" s="10" t="n">
        <x:v>41</x:v>
      </x:c>
      <x:c r="K3579" s="12" t="n">
        <x:v>25</x:v>
      </x:c>
      <x:c r="L3579" s="1" t="str"/>
      <x:c r="M3579" s="9" t="str">
        <x:v>https://poke.idleworld.online/pokepedia/pokemon/rufflet</x:v>
      </x:c>
    </x:row>
    <x:row r="3580" ht="22" customHeight="1">
      <x:c r="A3580" s="1" t="n">
        <x:v>627</x:v>
      </x:c>
      <x:c r="B3580" s="1" t="str">
        <x:v>Rufflet</x:v>
      </x:c>
      <x:c r="C3580" s="1" t="n">
        <x:v>2</x:v>
      </x:c>
      <x:c r="D3580" s="1" t="str">
        <x:v>Fury Attack</x:v>
      </x:c>
      <x:c r="E3580" s="1" t="str">
        <x:v>Normal</x:v>
      </x:c>
      <x:c r="F3580" s="1" t="str">
        <x:v>Física</x:v>
      </x:c>
      <x:c r="G3580" s="10" t="n">
        <x:v>15</x:v>
      </x:c>
      <x:c r="H3580" s="10" t="n">
        <x:f>IF(F3580="Física",'Pokémon'!G387,IF(F3580="Especial",'Pokémon'!I387,""))</x:f>
        <x:v>83</x:v>
      </x:c>
      <x:c r="I3580" s="10" t="n">
        <x:f>IF(OR(F3580="Status",G3580=0),"",G3580+H3580)</x:f>
        <x:v>98</x:v>
      </x:c>
      <x:c r="J3580" s="10" t="n">
        <x:v>5</x:v>
      </x:c>
      <x:c r="K3580" s="12" t="n">
        <x:v>15</x:v>
      </x:c>
      <x:c r="L3580" s="1" t="str"/>
      <x:c r="M3580" s="9" t="str">
        <x:v>https://poke.idleworld.online/pokepedia/pokemon/rufflet</x:v>
      </x:c>
    </x:row>
    <x:row r="3581" ht="22" customHeight="1">
      <x:c r="A3581" s="1" t="n">
        <x:v>627</x:v>
      </x:c>
      <x:c r="B3581" s="1" t="str">
        <x:v>Rufflet</x:v>
      </x:c>
      <x:c r="C3581" s="1" t="n">
        <x:v>9</x:v>
      </x:c>
      <x:c r="D3581" s="1" t="str">
        <x:v>Whirlwind</x:v>
      </x:c>
      <x:c r="E3581" s="1" t="str">
        <x:v>Normal</x:v>
      </x:c>
      <x:c r="F3581" s="1" t="str">
        <x:v>Status</x:v>
      </x:c>
      <x:c r="G3581" s="10" t="n">
        <x:v>0</x:v>
      </x:c>
      <x:c r="H3581" s="10" t="str">
        <x:f>IF(F3581="Física",'Pokémon'!G387,IF(F3581="Especial",'Pokémon'!I387,""))</x:f>
      </x:c>
      <x:c r="I3581" s="10" t="str">
        <x:f>IF(OR(F3581="Status",G3581=0),"",G3581+H3581)</x:f>
      </x:c>
      <x:c r="J3581" s="10" t="n">
        <x:v>55</x:v>
      </x:c>
      <x:c r="K3581" s="12" t="n">
        <x:v>40</x:v>
      </x:c>
      <x:c r="L3581" s="1" t="str"/>
      <x:c r="M3581" s="9" t="str">
        <x:v>https://poke.idleworld.online/pokepedia/pokemon/rufflet</x:v>
      </x:c>
    </x:row>
    <x:row r="3582" ht="22" customHeight="1">
      <x:c r="A3582" s="1" t="n">
        <x:v>628</x:v>
      </x:c>
      <x:c r="B3582" s="1" t="str">
        <x:v>Braviary</x:v>
      </x:c>
      <x:c r="C3582" s="1" t="n">
        <x:v>5</x:v>
      </x:c>
      <x:c r="D3582" s="1" t="str">
        <x:v>Thrash</x:v>
      </x:c>
      <x:c r="E3582" s="1" t="str">
        <x:v>Normal</x:v>
      </x:c>
      <x:c r="F3582" s="1" t="str">
        <x:v>Física</x:v>
      </x:c>
      <x:c r="G3582" s="10" t="n">
        <x:v>120</x:v>
      </x:c>
      <x:c r="H3582" s="10" t="n">
        <x:f>IF(F3582="Física",'Pokémon'!G388,IF(F3582="Especial",'Pokémon'!I388,""))</x:f>
        <x:v>123</x:v>
      </x:c>
      <x:c r="I3582" s="10" t="n">
        <x:f>IF(OR(F3582="Status",G3582=0),"",G3582+H3582)</x:f>
        <x:v>243</x:v>
      </x:c>
      <x:c r="J3582" s="10" t="n">
        <x:v>1</x:v>
      </x:c>
      <x:c r="K3582" s="12" t="n">
        <x:v>50</x:v>
      </x:c>
      <x:c r="L3582" s="1" t="str"/>
      <x:c r="M3582" s="9" t="str">
        <x:v>https://poke.idleworld.online/pokepedia/pokemon/braviary</x:v>
      </x:c>
    </x:row>
    <x:row r="3583" ht="22" customHeight="1">
      <x:c r="A3583" s="1" t="n">
        <x:v>628</x:v>
      </x:c>
      <x:c r="B3583" s="1" t="str">
        <x:v>Braviary</x:v>
      </x:c>
      <x:c r="C3583" s="1" t="n">
        <x:v>6</x:v>
      </x:c>
      <x:c r="D3583" s="1" t="str">
        <x:v>Superpower</x:v>
      </x:c>
      <x:c r="E3583" s="1" t="str">
        <x:v>Lutador</x:v>
      </x:c>
      <x:c r="F3583" s="1" t="str">
        <x:v>Física</x:v>
      </x:c>
      <x:c r="G3583" s="10" t="n">
        <x:v>120</x:v>
      </x:c>
      <x:c r="H3583" s="10" t="n">
        <x:f>IF(F3583="Física",'Pokémon'!G388,IF(F3583="Especial",'Pokémon'!I388,""))</x:f>
        <x:v>123</x:v>
      </x:c>
      <x:c r="I3583" s="10" t="n">
        <x:f>IF(OR(F3583="Status",G3583=0),"",G3583+H3583)</x:f>
        <x:v>243</x:v>
      </x:c>
      <x:c r="J3583" s="10" t="n">
        <x:v>1</x:v>
      </x:c>
      <x:c r="K3583" s="12" t="n">
        <x:v>50</x:v>
      </x:c>
      <x:c r="L3583" s="1" t="str"/>
      <x:c r="M3583" s="9" t="str">
        <x:v>https://poke.idleworld.online/pokepedia/pokemon/braviary</x:v>
      </x:c>
    </x:row>
    <x:row r="3584" ht="22" customHeight="1">
      <x:c r="A3584" s="1" t="n">
        <x:v>628</x:v>
      </x:c>
      <x:c r="B3584" s="1" t="str">
        <x:v>Braviary</x:v>
      </x:c>
      <x:c r="C3584" s="1" t="n">
        <x:v>7</x:v>
      </x:c>
      <x:c r="D3584" s="1" t="str">
        <x:v>Brave Bird</x:v>
      </x:c>
      <x:c r="E3584" s="1" t="str">
        <x:v>Voador</x:v>
      </x:c>
      <x:c r="F3584" s="1" t="str">
        <x:v>Física</x:v>
      </x:c>
      <x:c r="G3584" s="10" t="n">
        <x:v>120</x:v>
      </x:c>
      <x:c r="H3584" s="10" t="n">
        <x:f>IF(F3584="Física",'Pokémon'!G388,IF(F3584="Especial",'Pokémon'!I388,""))</x:f>
        <x:v>123</x:v>
      </x:c>
      <x:c r="I3584" s="10" t="n">
        <x:f>IF(OR(F3584="Status",G3584=0),"",G3584+H3584)</x:f>
        <x:v>243</x:v>
      </x:c>
      <x:c r="J3584" s="10" t="n">
        <x:v>1</x:v>
      </x:c>
      <x:c r="K3584" s="12" t="n">
        <x:v>50</x:v>
      </x:c>
      <x:c r="L3584" s="1" t="str"/>
      <x:c r="M3584" s="9" t="str">
        <x:v>https://poke.idleworld.online/pokepedia/pokemon/braviary</x:v>
      </x:c>
    </x:row>
    <x:row r="3585" ht="22" customHeight="1">
      <x:c r="A3585" s="1" t="n">
        <x:v>628</x:v>
      </x:c>
      <x:c r="B3585" s="1" t="str">
        <x:v>Braviary</x:v>
      </x:c>
      <x:c r="C3585" s="1" t="n">
        <x:v>11</x:v>
      </x:c>
      <x:c r="D3585" s="1" t="str">
        <x:v>Crush Claw</x:v>
      </x:c>
      <x:c r="E3585" s="1" t="str">
        <x:v>Normal</x:v>
      </x:c>
      <x:c r="F3585" s="1" t="str">
        <x:v>Física</x:v>
      </x:c>
      <x:c r="G3585" s="10" t="n">
        <x:v>75</x:v>
      </x:c>
      <x:c r="H3585" s="10" t="n">
        <x:f>IF(F3585="Física",'Pokémon'!G388,IF(F3585="Especial",'Pokémon'!I388,""))</x:f>
        <x:v>123</x:v>
      </x:c>
      <x:c r="I3585" s="10" t="n">
        <x:f>IF(OR(F3585="Status",G3585=0),"",G3585+H3585)</x:f>
        <x:v>198</x:v>
      </x:c>
      <x:c r="J3585" s="10" t="n">
        <x:v>46</x:v>
      </x:c>
      <x:c r="K3585" s="12" t="n">
        <x:v>22</x:v>
      </x:c>
      <x:c r="L3585" s="1" t="str"/>
      <x:c r="M3585" s="9" t="str">
        <x:v>https://poke.idleworld.online/pokepedia/pokemon/braviary</x:v>
      </x:c>
    </x:row>
    <x:row r="3586" ht="22" customHeight="1">
      <x:c r="A3586" s="1" t="n">
        <x:v>628</x:v>
      </x:c>
      <x:c r="B3586" s="1" t="str">
        <x:v>Braviary</x:v>
      </x:c>
      <x:c r="C3586" s="1" t="n">
        <x:v>9</x:v>
      </x:c>
      <x:c r="D3586" s="1" t="str">
        <x:v>Slash</x:v>
      </x:c>
      <x:c r="E3586" s="1" t="str">
        <x:v>Normal</x:v>
      </x:c>
      <x:c r="F3586" s="1" t="str">
        <x:v>Física</x:v>
      </x:c>
      <x:c r="G3586" s="10" t="n">
        <x:v>70</x:v>
      </x:c>
      <x:c r="H3586" s="10" t="n">
        <x:f>IF(F3586="Física",'Pokémon'!G388,IF(F3586="Especial",'Pokémon'!I388,""))</x:f>
        <x:v>123</x:v>
      </x:c>
      <x:c r="I3586" s="10" t="n">
        <x:f>IF(OR(F3586="Status",G3586=0),"",G3586+H3586)</x:f>
        <x:v>193</x:v>
      </x:c>
      <x:c r="J3586" s="10" t="n">
        <x:v>28</x:v>
      </x:c>
      <x:c r="K3586" s="12" t="n">
        <x:v>20</x:v>
      </x:c>
      <x:c r="L3586" s="1" t="str"/>
      <x:c r="M3586" s="9" t="str">
        <x:v>https://poke.idleworld.online/pokepedia/pokemon/braviary</x:v>
      </x:c>
    </x:row>
    <x:row r="3587" ht="22" customHeight="1">
      <x:c r="A3587" s="1" t="n">
        <x:v>628</x:v>
      </x:c>
      <x:c r="B3587" s="1" t="str">
        <x:v>Braviary</x:v>
      </x:c>
      <x:c r="C3587" s="1" t="n">
        <x:v>4</x:v>
      </x:c>
      <x:c r="D3587" s="1" t="str">
        <x:v>Wing Attack</x:v>
      </x:c>
      <x:c r="E3587" s="1" t="str">
        <x:v>Voador</x:v>
      </x:c>
      <x:c r="F3587" s="1" t="str">
        <x:v>Física</x:v>
      </x:c>
      <x:c r="G3587" s="10" t="n">
        <x:v>60</x:v>
      </x:c>
      <x:c r="H3587" s="10" t="n">
        <x:f>IF(F3587="Física",'Pokémon'!G388,IF(F3587="Especial",'Pokémon'!I388,""))</x:f>
        <x:v>123</x:v>
      </x:c>
      <x:c r="I3587" s="10" t="n">
        <x:f>IF(OR(F3587="Status",G3587=0),"",G3587+H3587)</x:f>
        <x:v>183</x:v>
      </x:c>
      <x:c r="J3587" s="10" t="n">
        <x:v>1</x:v>
      </x:c>
      <x:c r="K3587" s="12" t="n">
        <x:v>20</x:v>
      </x:c>
      <x:c r="L3587" s="1" t="str"/>
      <x:c r="M3587" s="9" t="str">
        <x:v>https://poke.idleworld.online/pokepedia/pokemon/braviary</x:v>
      </x:c>
    </x:row>
    <x:row r="3588" ht="22" customHeight="1">
      <x:c r="A3588" s="1" t="n">
        <x:v>628</x:v>
      </x:c>
      <x:c r="B3588" s="1" t="str">
        <x:v>Braviary</x:v>
      </x:c>
      <x:c r="C3588" s="1" t="n">
        <x:v>8</x:v>
      </x:c>
      <x:c r="D3588" s="1" t="str">
        <x:v>Aerial Ace</x:v>
      </x:c>
      <x:c r="E3588" s="1" t="str">
        <x:v>Voador</x:v>
      </x:c>
      <x:c r="F3588" s="1" t="str">
        <x:v>Física</x:v>
      </x:c>
      <x:c r="G3588" s="10" t="n">
        <x:v>60</x:v>
      </x:c>
      <x:c r="H3588" s="10" t="n">
        <x:f>IF(F3588="Física",'Pokémon'!G388,IF(F3588="Especial",'Pokémon'!I388,""))</x:f>
        <x:v>123</x:v>
      </x:c>
      <x:c r="I3588" s="10" t="n">
        <x:f>IF(OR(F3588="Status",G3588=0),"",G3588+H3588)</x:f>
        <x:v>183</x:v>
      </x:c>
      <x:c r="J3588" s="10" t="n">
        <x:v>23</x:v>
      </x:c>
      <x:c r="K3588" s="12" t="n">
        <x:v>60</x:v>
      </x:c>
      <x:c r="L3588" s="1" t="str"/>
      <x:c r="M3588" s="9" t="str">
        <x:v>https://poke.idleworld.online/pokepedia/pokemon/braviary</x:v>
      </x:c>
    </x:row>
    <x:row r="3589" ht="22" customHeight="1">
      <x:c r="A3589" s="1" t="n">
        <x:v>628</x:v>
      </x:c>
      <x:c r="B3589" s="1" t="str">
        <x:v>Braviary</x:v>
      </x:c>
      <x:c r="C3589" s="1" t="n">
        <x:v>12</x:v>
      </x:c>
      <x:c r="D3589" s="1" t="str">
        <x:v>Sky Drop</x:v>
      </x:c>
      <x:c r="E3589" s="1" t="str">
        <x:v>Voador</x:v>
      </x:c>
      <x:c r="F3589" s="1" t="str">
        <x:v>Física</x:v>
      </x:c>
      <x:c r="G3589" s="10" t="n">
        <x:v>60</x:v>
      </x:c>
      <x:c r="H3589" s="10" t="n">
        <x:f>IF(F3589="Física",'Pokémon'!G388,IF(F3589="Especial",'Pokémon'!I388,""))</x:f>
        <x:v>123</x:v>
      </x:c>
      <x:c r="I3589" s="10" t="n">
        <x:f>IF(OR(F3589="Status",G3589=0),"",G3589+H3589)</x:f>
        <x:v>183</x:v>
      </x:c>
      <x:c r="J3589" s="10" t="n">
        <x:v>50</x:v>
      </x:c>
      <x:c r="K3589" s="12" t="n">
        <x:v>20</x:v>
      </x:c>
      <x:c r="L3589" s="1" t="str"/>
      <x:c r="M3589" s="9" t="str">
        <x:v>https://poke.idleworld.online/pokepedia/pokemon/braviary</x:v>
      </x:c>
    </x:row>
    <x:row r="3590" ht="22" customHeight="1">
      <x:c r="A3590" s="1" t="n">
        <x:v>628</x:v>
      </x:c>
      <x:c r="B3590" s="1" t="str">
        <x:v>Braviary</x:v>
      </x:c>
      <x:c r="C3590" s="1" t="n">
        <x:v>1</x:v>
      </x:c>
      <x:c r="D3590" s="1" t="str">
        <x:v>Peck</x:v>
      </x:c>
      <x:c r="E3590" s="1" t="str">
        <x:v>Voador</x:v>
      </x:c>
      <x:c r="F3590" s="1" t="str">
        <x:v>Física</x:v>
      </x:c>
      <x:c r="G3590" s="10" t="n">
        <x:v>35</x:v>
      </x:c>
      <x:c r="H3590" s="10" t="n">
        <x:f>IF(F3590="Física",'Pokémon'!G388,IF(F3590="Especial",'Pokémon'!I388,""))</x:f>
        <x:v>123</x:v>
      </x:c>
      <x:c r="I3590" s="10" t="n">
        <x:f>IF(OR(F3590="Status",G3590=0),"",G3590+H3590)</x:f>
        <x:v>158</x:v>
      </x:c>
      <x:c r="J3590" s="10" t="n">
        <x:v>1</x:v>
      </x:c>
      <x:c r="K3590" s="12" t="n">
        <x:v>10</x:v>
      </x:c>
      <x:c r="L3590" s="1" t="str"/>
      <x:c r="M3590" s="9" t="str">
        <x:v>https://poke.idleworld.online/pokepedia/pokemon/braviary</x:v>
      </x:c>
    </x:row>
    <x:row r="3591" ht="22" customHeight="1">
      <x:c r="A3591" s="1" t="n">
        <x:v>628</x:v>
      </x:c>
      <x:c r="B3591" s="1" t="str">
        <x:v>Braviary</x:v>
      </x:c>
      <x:c r="C3591" s="1" t="n">
        <x:v>3</x:v>
      </x:c>
      <x:c r="D3591" s="1" t="str">
        <x:v>Fury Attack</x:v>
      </x:c>
      <x:c r="E3591" s="1" t="str">
        <x:v>Normal</x:v>
      </x:c>
      <x:c r="F3591" s="1" t="str">
        <x:v>Física</x:v>
      </x:c>
      <x:c r="G3591" s="10" t="n">
        <x:v>15</x:v>
      </x:c>
      <x:c r="H3591" s="10" t="n">
        <x:f>IF(F3591="Física",'Pokémon'!G388,IF(F3591="Especial",'Pokémon'!I388,""))</x:f>
        <x:v>123</x:v>
      </x:c>
      <x:c r="I3591" s="10" t="n">
        <x:f>IF(OR(F3591="Status",G3591=0),"",G3591+H3591)</x:f>
        <x:v>138</x:v>
      </x:c>
      <x:c r="J3591" s="10" t="n">
        <x:v>1</x:v>
      </x:c>
      <x:c r="K3591" s="12" t="n">
        <x:v>15</x:v>
      </x:c>
      <x:c r="L3591" s="1" t="str"/>
      <x:c r="M3591" s="9" t="str">
        <x:v>https://poke.idleworld.online/pokepedia/pokemon/braviary</x:v>
      </x:c>
    </x:row>
    <x:row r="3592" ht="22" customHeight="1">
      <x:c r="A3592" s="1" t="n">
        <x:v>628</x:v>
      </x:c>
      <x:c r="B3592" s="1" t="str">
        <x:v>Braviary</x:v>
      </x:c>
      <x:c r="C3592" s="1" t="n">
        <x:v>10</x:v>
      </x:c>
      <x:c r="D3592" s="1" t="str">
        <x:v>Air Slash</x:v>
      </x:c>
      <x:c r="E3592" s="1" t="str">
        <x:v>Voador</x:v>
      </x:c>
      <x:c r="F3592" s="1" t="str">
        <x:v>Especial</x:v>
      </x:c>
      <x:c r="G3592" s="10" t="n">
        <x:v>75</x:v>
      </x:c>
      <x:c r="H3592" s="10" t="n">
        <x:f>IF(F3592="Física",'Pokémon'!G388,IF(F3592="Especial",'Pokémon'!I388,""))</x:f>
        <x:v>57</x:v>
      </x:c>
      <x:c r="I3592" s="10" t="n">
        <x:f>IF(OR(F3592="Status",G3592=0),"",G3592+H3592)</x:f>
        <x:v>132</x:v>
      </x:c>
      <x:c r="J3592" s="10" t="n">
        <x:v>41</x:v>
      </x:c>
      <x:c r="K3592" s="12" t="n">
        <x:v>25</x:v>
      </x:c>
      <x:c r="L3592" s="1" t="str"/>
      <x:c r="M3592" s="9" t="str">
        <x:v>https://poke.idleworld.online/pokepedia/pokemon/braviary</x:v>
      </x:c>
    </x:row>
    <x:row r="3593" ht="22" customHeight="1">
      <x:c r="A3593" s="1" t="n">
        <x:v>628</x:v>
      </x:c>
      <x:c r="B3593" s="1" t="str">
        <x:v>Braviary</x:v>
      </x:c>
      <x:c r="C3593" s="1" t="n">
        <x:v>2</x:v>
      </x:c>
      <x:c r="D3593" s="1" t="str">
        <x:v>Whirlwind</x:v>
      </x:c>
      <x:c r="E3593" s="1" t="str">
        <x:v>Normal</x:v>
      </x:c>
      <x:c r="F3593" s="1" t="str">
        <x:v>Status</x:v>
      </x:c>
      <x:c r="G3593" s="10" t="n">
        <x:v>0</x:v>
      </x:c>
      <x:c r="H3593" s="10" t="str">
        <x:f>IF(F3593="Física",'Pokémon'!G388,IF(F3593="Especial",'Pokémon'!I388,""))</x:f>
      </x:c>
      <x:c r="I3593" s="10" t="str">
        <x:f>IF(OR(F3593="Status",G3593=0),"",G3593+H3593)</x:f>
      </x:c>
      <x:c r="J3593" s="10" t="n">
        <x:v>1</x:v>
      </x:c>
      <x:c r="K3593" s="12" t="n">
        <x:v>40</x:v>
      </x:c>
      <x:c r="L3593" s="1" t="str"/>
      <x:c r="M3593" s="9" t="str">
        <x:v>https://poke.idleworld.online/pokepedia/pokemon/braviary</x:v>
      </x:c>
    </x:row>
    <x:row r="3594" ht="22" customHeight="1">
      <x:c r="A3594" s="1" t="n">
        <x:v>636</x:v>
      </x:c>
      <x:c r="B3594" s="1" t="str">
        <x:v>Larvesta</x:v>
      </x:c>
      <x:c r="C3594" s="1" t="n">
        <x:v>6</x:v>
      </x:c>
      <x:c r="D3594" s="1" t="str">
        <x:v>Double-Edge</x:v>
      </x:c>
      <x:c r="E3594" s="1" t="str">
        <x:v>Normal</x:v>
      </x:c>
      <x:c r="F3594" s="1" t="str">
        <x:v>Física</x:v>
      </x:c>
      <x:c r="G3594" s="10" t="n">
        <x:v>120</x:v>
      </x:c>
      <x:c r="H3594" s="10" t="n">
        <x:f>IF(F3594="Física",'Pokémon'!G389,IF(F3594="Especial",'Pokémon'!I389,""))</x:f>
        <x:v>85</x:v>
      </x:c>
      <x:c r="I3594" s="10" t="n">
        <x:f>IF(OR(F3594="Status",G3594=0),"",G3594+H3594)</x:f>
        <x:v>205</x:v>
      </x:c>
      <x:c r="J3594" s="10" t="n">
        <x:v>50</x:v>
      </x:c>
      <x:c r="K3594" s="12" t="n">
        <x:v>50</x:v>
      </x:c>
      <x:c r="L3594" s="1" t="str"/>
      <x:c r="M3594" s="9" t="str">
        <x:v>https://poke.idleworld.online/pokepedia/pokemon/larvesta</x:v>
      </x:c>
    </x:row>
    <x:row r="3595" ht="22" customHeight="1">
      <x:c r="A3595" s="1" t="n">
        <x:v>636</x:v>
      </x:c>
      <x:c r="B3595" s="1" t="str">
        <x:v>Larvesta</x:v>
      </x:c>
      <x:c r="C3595" s="1" t="n">
        <x:v>9</x:v>
      </x:c>
      <x:c r="D3595" s="1" t="str">
        <x:v>Thrash</x:v>
      </x:c>
      <x:c r="E3595" s="1" t="str">
        <x:v>Normal</x:v>
      </x:c>
      <x:c r="F3595" s="1" t="str">
        <x:v>Física</x:v>
      </x:c>
      <x:c r="G3595" s="10" t="n">
        <x:v>120</x:v>
      </x:c>
      <x:c r="H3595" s="10" t="n">
        <x:f>IF(F3595="Física",'Pokémon'!G389,IF(F3595="Especial",'Pokémon'!I389,""))</x:f>
        <x:v>85</x:v>
      </x:c>
      <x:c r="I3595" s="10" t="n">
        <x:f>IF(OR(F3595="Status",G3595=0),"",G3595+H3595)</x:f>
        <x:v>205</x:v>
      </x:c>
      <x:c r="J3595" s="10" t="n">
        <x:v>90</x:v>
      </x:c>
      <x:c r="K3595" s="12" t="n">
        <x:v>50</x:v>
      </x:c>
      <x:c r="L3595" s="1" t="str"/>
      <x:c r="M3595" s="9" t="str">
        <x:v>https://poke.idleworld.online/pokepedia/pokemon/larvesta</x:v>
      </x:c>
    </x:row>
    <x:row r="3596" ht="22" customHeight="1">
      <x:c r="A3596" s="1" t="n">
        <x:v>636</x:v>
      </x:c>
      <x:c r="B3596" s="1" t="str">
        <x:v>Larvesta</x:v>
      </x:c>
      <x:c r="C3596" s="1" t="n">
        <x:v>10</x:v>
      </x:c>
      <x:c r="D3596" s="1" t="str">
        <x:v>Flare Blitz</x:v>
      </x:c>
      <x:c r="E3596" s="1" t="str">
        <x:v>Fogo</x:v>
      </x:c>
      <x:c r="F3596" s="1" t="str">
        <x:v>Física</x:v>
      </x:c>
      <x:c r="G3596" s="10" t="n">
        <x:v>120</x:v>
      </x:c>
      <x:c r="H3596" s="10" t="n">
        <x:f>IF(F3596="Física",'Pokémon'!G389,IF(F3596="Especial",'Pokémon'!I389,""))</x:f>
        <x:v>85</x:v>
      </x:c>
      <x:c r="I3596" s="10" t="n">
        <x:f>IF(OR(F3596="Status",G3596=0),"",G3596+H3596)</x:f>
        <x:v>205</x:v>
      </x:c>
      <x:c r="J3596" s="10" t="n">
        <x:v>100</x:v>
      </x:c>
      <x:c r="K3596" s="12" t="n">
        <x:v>50</x:v>
      </x:c>
      <x:c r="L3596" s="1" t="str"/>
      <x:c r="M3596" s="9" t="str">
        <x:v>https://poke.idleworld.online/pokepedia/pokemon/larvesta</x:v>
      </x:c>
    </x:row>
    <x:row r="3597" ht="22" customHeight="1">
      <x:c r="A3597" s="1" t="n">
        <x:v>636</x:v>
      </x:c>
      <x:c r="B3597" s="1" t="str">
        <x:v>Larvesta</x:v>
      </x:c>
      <x:c r="C3597" s="1" t="n">
        <x:v>3</x:v>
      </x:c>
      <x:c r="D3597" s="1" t="str">
        <x:v>Take Down</x:v>
      </x:c>
      <x:c r="E3597" s="1" t="str">
        <x:v>Normal</x:v>
      </x:c>
      <x:c r="F3597" s="1" t="str">
        <x:v>Física</x:v>
      </x:c>
      <x:c r="G3597" s="10" t="n">
        <x:v>90</x:v>
      </x:c>
      <x:c r="H3597" s="10" t="n">
        <x:f>IF(F3597="Física",'Pokémon'!G389,IF(F3597="Especial",'Pokémon'!I389,""))</x:f>
        <x:v>85</x:v>
      </x:c>
      <x:c r="I3597" s="10" t="n">
        <x:f>IF(OR(F3597="Status",G3597=0),"",G3597+H3597)</x:f>
        <x:v>175</x:v>
      </x:c>
      <x:c r="J3597" s="10" t="n">
        <x:v>20</x:v>
      </x:c>
      <x:c r="K3597" s="12" t="n">
        <x:v>22</x:v>
      </x:c>
      <x:c r="L3597" s="1" t="str"/>
      <x:c r="M3597" s="9" t="str">
        <x:v>https://poke.idleworld.online/pokepedia/pokemon/larvesta</x:v>
      </x:c>
    </x:row>
    <x:row r="3598" ht="22" customHeight="1">
      <x:c r="A3598" s="1" t="n">
        <x:v>636</x:v>
      </x:c>
      <x:c r="B3598" s="1" t="str">
        <x:v>Larvesta</x:v>
      </x:c>
      <x:c r="C3598" s="1" t="n">
        <x:v>5</x:v>
      </x:c>
      <x:c r="D3598" s="1" t="str">
        <x:v>Bug Bite</x:v>
      </x:c>
      <x:c r="E3598" s="1" t="str">
        <x:v>Inseto</x:v>
      </x:c>
      <x:c r="F3598" s="1" t="str">
        <x:v>Física</x:v>
      </x:c>
      <x:c r="G3598" s="10" t="n">
        <x:v>60</x:v>
      </x:c>
      <x:c r="H3598" s="10" t="n">
        <x:f>IF(F3598="Física",'Pokémon'!G389,IF(F3598="Especial",'Pokémon'!I389,""))</x:f>
        <x:v>85</x:v>
      </x:c>
      <x:c r="I3598" s="10" t="n">
        <x:f>IF(OR(F3598="Status",G3598=0),"",G3598+H3598)</x:f>
        <x:v>145</x:v>
      </x:c>
      <x:c r="J3598" s="10" t="n">
        <x:v>40</x:v>
      </x:c>
      <x:c r="K3598" s="12" t="n">
        <x:v>20</x:v>
      </x:c>
      <x:c r="L3598" s="1" t="str"/>
      <x:c r="M3598" s="9" t="str">
        <x:v>https://poke.idleworld.online/pokepedia/pokemon/larvesta</x:v>
      </x:c>
    </x:row>
    <x:row r="3599" ht="22" customHeight="1">
      <x:c r="A3599" s="1" t="n">
        <x:v>636</x:v>
      </x:c>
      <x:c r="B3599" s="1" t="str">
        <x:v>Larvesta</x:v>
      </x:c>
      <x:c r="C3599" s="1" t="n">
        <x:v>7</x:v>
      </x:c>
      <x:c r="D3599" s="1" t="str">
        <x:v>Flame Wheel</x:v>
      </x:c>
      <x:c r="E3599" s="1" t="str">
        <x:v>Fogo</x:v>
      </x:c>
      <x:c r="F3599" s="1" t="str">
        <x:v>Física</x:v>
      </x:c>
      <x:c r="G3599" s="10" t="n">
        <x:v>60</x:v>
      </x:c>
      <x:c r="H3599" s="10" t="n">
        <x:f>IF(F3599="Física",'Pokémon'!G389,IF(F3599="Especial",'Pokémon'!I389,""))</x:f>
        <x:v>85</x:v>
      </x:c>
      <x:c r="I3599" s="10" t="n">
        <x:f>IF(OR(F3599="Status",G3599=0),"",G3599+H3599)</x:f>
        <x:v>145</x:v>
      </x:c>
      <x:c r="J3599" s="10" t="n">
        <x:v>60</x:v>
      </x:c>
      <x:c r="K3599" s="12" t="n">
        <x:v>20</x:v>
      </x:c>
      <x:c r="L3599" s="1" t="str"/>
      <x:c r="M3599" s="9" t="str">
        <x:v>https://poke.idleworld.online/pokepedia/pokemon/larvesta</x:v>
      </x:c>
    </x:row>
    <x:row r="3600" ht="22" customHeight="1">
      <x:c r="A3600" s="1" t="n">
        <x:v>636</x:v>
      </x:c>
      <x:c r="B3600" s="1" t="str">
        <x:v>Larvesta</x:v>
      </x:c>
      <x:c r="C3600" s="1" t="n">
        <x:v>8</x:v>
      </x:c>
      <x:c r="D3600" s="1" t="str">
        <x:v>Bug Buzz</x:v>
      </x:c>
      <x:c r="E3600" s="1" t="str">
        <x:v>Inseto</x:v>
      </x:c>
      <x:c r="F3600" s="1" t="str">
        <x:v>Especial</x:v>
      </x:c>
      <x:c r="G3600" s="10" t="n">
        <x:v>90</x:v>
      </x:c>
      <x:c r="H3600" s="10" t="n">
        <x:f>IF(F3600="Física",'Pokémon'!G389,IF(F3600="Especial",'Pokémon'!I389,""))</x:f>
        <x:v>50</x:v>
      </x:c>
      <x:c r="I3600" s="10" t="n">
        <x:f>IF(OR(F3600="Status",G3600=0),"",G3600+H3600)</x:f>
        <x:v>140</x:v>
      </x:c>
      <x:c r="J3600" s="10" t="n">
        <x:v>70</x:v>
      </x:c>
      <x:c r="K3600" s="12" t="n">
        <x:v>45</x:v>
      </x:c>
      <x:c r="L3600" s="1" t="str"/>
      <x:c r="M3600" s="9" t="str">
        <x:v>https://poke.idleworld.online/pokepedia/pokemon/larvesta</x:v>
      </x:c>
    </x:row>
    <x:row r="3601" ht="22" customHeight="1">
      <x:c r="A3601" s="1" t="n">
        <x:v>636</x:v>
      </x:c>
      <x:c r="B3601" s="1" t="str">
        <x:v>Larvesta</x:v>
      </x:c>
      <x:c r="C3601" s="1" t="n">
        <x:v>4</x:v>
      </x:c>
      <x:c r="D3601" s="1" t="str">
        <x:v>Flame Charge</x:v>
      </x:c>
      <x:c r="E3601" s="1" t="str">
        <x:v>Fogo</x:v>
      </x:c>
      <x:c r="F3601" s="1" t="str">
        <x:v>Física</x:v>
      </x:c>
      <x:c r="G3601" s="10" t="n">
        <x:v>50</x:v>
      </x:c>
      <x:c r="H3601" s="10" t="n">
        <x:f>IF(F3601="Física",'Pokémon'!G389,IF(F3601="Especial",'Pokémon'!I389,""))</x:f>
        <x:v>85</x:v>
      </x:c>
      <x:c r="I3601" s="10" t="n">
        <x:f>IF(OR(F3601="Status",G3601=0),"",G3601+H3601)</x:f>
        <x:v>135</x:v>
      </x:c>
      <x:c r="J3601" s="10" t="n">
        <x:v>30</x:v>
      </x:c>
      <x:c r="K3601" s="12" t="n">
        <x:v>40</x:v>
      </x:c>
      <x:c r="L3601" s="1" t="str"/>
      <x:c r="M3601" s="9" t="str">
        <x:v>https://poke.idleworld.online/pokepedia/pokemon/larvesta</x:v>
      </x:c>
    </x:row>
    <x:row r="3602" ht="22" customHeight="1">
      <x:c r="A3602" s="1" t="n">
        <x:v>636</x:v>
      </x:c>
      <x:c r="B3602" s="1" t="str">
        <x:v>Larvesta</x:v>
      </x:c>
      <x:c r="C3602" s="1" t="n">
        <x:v>2</x:v>
      </x:c>
      <x:c r="D3602" s="1" t="str">
        <x:v>Leech Life</x:v>
      </x:c>
      <x:c r="E3602" s="1" t="str">
        <x:v>Inseto</x:v>
      </x:c>
      <x:c r="F3602" s="1" t="str">
        <x:v>Física</x:v>
      </x:c>
      <x:c r="G3602" s="10" t="n">
        <x:v>20</x:v>
      </x:c>
      <x:c r="H3602" s="10" t="n">
        <x:f>IF(F3602="Física",'Pokémon'!G389,IF(F3602="Especial",'Pokémon'!I389,""))</x:f>
        <x:v>85</x:v>
      </x:c>
      <x:c r="I3602" s="10" t="n">
        <x:f>IF(OR(F3602="Status",G3602=0),"",G3602+H3602)</x:f>
        <x:v>105</x:v>
      </x:c>
      <x:c r="J3602" s="10" t="n">
        <x:v>10</x:v>
      </x:c>
      <x:c r="K3602" s="12" t="n">
        <x:v>15</x:v>
      </x:c>
      <x:c r="L3602" s="1" t="str"/>
      <x:c r="M3602" s="9" t="str">
        <x:v>https://poke.idleworld.online/pokepedia/pokemon/larvesta</x:v>
      </x:c>
    </x:row>
    <x:row r="3603" ht="22" customHeight="1">
      <x:c r="A3603" s="1" t="n">
        <x:v>636</x:v>
      </x:c>
      <x:c r="B3603" s="1" t="str">
        <x:v>Larvesta</x:v>
      </x:c>
      <x:c r="C3603" s="1" t="n">
        <x:v>1</x:v>
      </x:c>
      <x:c r="D3603" s="1" t="str">
        <x:v>Ember</x:v>
      </x:c>
      <x:c r="E3603" s="1" t="str">
        <x:v>Fogo</x:v>
      </x:c>
      <x:c r="F3603" s="1" t="str">
        <x:v>Especial</x:v>
      </x:c>
      <x:c r="G3603" s="10" t="n">
        <x:v>40</x:v>
      </x:c>
      <x:c r="H3603" s="10" t="n">
        <x:f>IF(F3603="Física",'Pokémon'!G389,IF(F3603="Especial",'Pokémon'!I389,""))</x:f>
        <x:v>50</x:v>
      </x:c>
      <x:c r="I3603" s="10" t="n">
        <x:f>IF(OR(F3603="Status",G3603=0),"",G3603+H3603)</x:f>
        <x:v>90</x:v>
      </x:c>
      <x:c r="J3603" s="10" t="n">
        <x:v>1</x:v>
      </x:c>
      <x:c r="K3603" s="12" t="n">
        <x:v>10</x:v>
      </x:c>
      <x:c r="L3603" s="1" t="str"/>
      <x:c r="M3603" s="9" t="str">
        <x:v>https://poke.idleworld.online/pokepedia/pokemon/larvesta</x:v>
      </x:c>
    </x:row>
    <x:row r="3604" ht="22" customHeight="1">
      <x:c r="A3604" s="1" t="n">
        <x:v>637</x:v>
      </x:c>
      <x:c r="B3604" s="1" t="str">
        <x:v>Volcarona</x:v>
      </x:c>
      <x:c r="C3604" s="1" t="n">
        <x:v>8</x:v>
      </x:c>
      <x:c r="D3604" s="1" t="str">
        <x:v>Hurricane</x:v>
      </x:c>
      <x:c r="E3604" s="1" t="str">
        <x:v>Voador</x:v>
      </x:c>
      <x:c r="F3604" s="1" t="str">
        <x:v>Especial</x:v>
      </x:c>
      <x:c r="G3604" s="10" t="n">
        <x:v>110</x:v>
      </x:c>
      <x:c r="H3604" s="10" t="n">
        <x:f>IF(F3604="Física",'Pokémon'!G390,IF(F3604="Especial",'Pokémon'!I390,""))</x:f>
        <x:v>135</x:v>
      </x:c>
      <x:c r="I3604" s="10" t="n">
        <x:f>IF(OR(F3604="Status",G3604=0),"",G3604+H3604)</x:f>
        <x:v>245</x:v>
      </x:c>
      <x:c r="J3604" s="10" t="n">
        <x:v>1</x:v>
      </x:c>
      <x:c r="K3604" s="12" t="n">
        <x:v>40</x:v>
      </x:c>
      <x:c r="L3604" s="1" t="str"/>
      <x:c r="M3604" s="9" t="str">
        <x:v>https://poke.idleworld.online/pokepedia/pokemon/volcarona</x:v>
      </x:c>
    </x:row>
    <x:row r="3605" ht="22" customHeight="1">
      <x:c r="A3605" s="1" t="n">
        <x:v>637</x:v>
      </x:c>
      <x:c r="B3605" s="1" t="str">
        <x:v>Volcarona</x:v>
      </x:c>
      <x:c r="C3605" s="1" t="n">
        <x:v>7</x:v>
      </x:c>
      <x:c r="D3605" s="1" t="str">
        <x:v>Heat Wave</x:v>
      </x:c>
      <x:c r="E3605" s="1" t="str">
        <x:v>Fogo</x:v>
      </x:c>
      <x:c r="F3605" s="1" t="str">
        <x:v>Especial</x:v>
      </x:c>
      <x:c r="G3605" s="10" t="n">
        <x:v>95</x:v>
      </x:c>
      <x:c r="H3605" s="10" t="n">
        <x:f>IF(F3605="Física",'Pokémon'!G390,IF(F3605="Especial",'Pokémon'!I390,""))</x:f>
        <x:v>135</x:v>
      </x:c>
      <x:c r="I3605" s="10" t="n">
        <x:f>IF(OR(F3605="Status",G3605=0),"",G3605+H3605)</x:f>
        <x:v>230</x:v>
      </x:c>
      <x:c r="J3605" s="10" t="n">
        <x:v>1</x:v>
      </x:c>
      <x:c r="K3605" s="12" t="n">
        <x:v>40</x:v>
      </x:c>
      <x:c r="L3605" s="1" t="str"/>
      <x:c r="M3605" s="9" t="str">
        <x:v>https://poke.idleworld.online/pokepedia/pokemon/volcarona</x:v>
      </x:c>
    </x:row>
    <x:row r="3606" ht="22" customHeight="1">
      <x:c r="A3606" s="1" t="n">
        <x:v>637</x:v>
      </x:c>
      <x:c r="B3606" s="1" t="str">
        <x:v>Volcarona</x:v>
      </x:c>
      <x:c r="C3606" s="1" t="n">
        <x:v>2</x:v>
      </x:c>
      <x:c r="D3606" s="1" t="str">
        <x:v>Bug Buzz</x:v>
      </x:c>
      <x:c r="E3606" s="1" t="str">
        <x:v>Inseto</x:v>
      </x:c>
      <x:c r="F3606" s="1" t="str">
        <x:v>Especial</x:v>
      </x:c>
      <x:c r="G3606" s="10" t="n">
        <x:v>90</x:v>
      </x:c>
      <x:c r="H3606" s="10" t="n">
        <x:f>IF(F3606="Física",'Pokémon'!G390,IF(F3606="Especial",'Pokémon'!I390,""))</x:f>
        <x:v>135</x:v>
      </x:c>
      <x:c r="I3606" s="10" t="n">
        <x:f>IF(OR(F3606="Status",G3606=0),"",G3606+H3606)</x:f>
        <x:v>225</x:v>
      </x:c>
      <x:c r="J3606" s="10" t="n">
        <x:v>1</x:v>
      </x:c>
      <x:c r="K3606" s="12" t="n">
        <x:v>40</x:v>
      </x:c>
      <x:c r="L3606" s="1" t="str"/>
      <x:c r="M3606" s="9" t="str">
        <x:v>https://poke.idleworld.online/pokepedia/pokemon/volcarona</x:v>
      </x:c>
    </x:row>
    <x:row r="3607" ht="22" customHeight="1">
      <x:c r="A3607" s="1" t="n">
        <x:v>637</x:v>
      </x:c>
      <x:c r="B3607" s="1" t="str">
        <x:v>Volcarona</x:v>
      </x:c>
      <x:c r="C3607" s="1" t="n">
        <x:v>6</x:v>
      </x:c>
      <x:c r="D3607" s="1" t="str">
        <x:v>Fiery Dance</x:v>
      </x:c>
      <x:c r="E3607" s="1" t="str">
        <x:v>Fogo</x:v>
      </x:c>
      <x:c r="F3607" s="1" t="str">
        <x:v>Especial</x:v>
      </x:c>
      <x:c r="G3607" s="10" t="n">
        <x:v>80</x:v>
      </x:c>
      <x:c r="H3607" s="10" t="n">
        <x:f>IF(F3607="Física",'Pokémon'!G390,IF(F3607="Especial",'Pokémon'!I390,""))</x:f>
        <x:v>135</x:v>
      </x:c>
      <x:c r="I3607" s="10" t="n">
        <x:f>IF(OR(F3607="Status",G3607=0),"",G3607+H3607)</x:f>
        <x:v>215</x:v>
      </x:c>
      <x:c r="J3607" s="10" t="n">
        <x:v>1</x:v>
      </x:c>
      <x:c r="K3607" s="12" t="n">
        <x:v>22</x:v>
      </x:c>
      <x:c r="L3607" s="1" t="str"/>
      <x:c r="M3607" s="9" t="str">
        <x:v>https://poke.idleworld.online/pokepedia/pokemon/volcarona</x:v>
      </x:c>
    </x:row>
    <x:row r="3608" ht="22" customHeight="1">
      <x:c r="A3608" s="1" t="n">
        <x:v>637</x:v>
      </x:c>
      <x:c r="B3608" s="1" t="str">
        <x:v>Volcarona</x:v>
      </x:c>
      <x:c r="C3608" s="1" t="n">
        <x:v>12</x:v>
      </x:c>
      <x:c r="D3608" s="1" t="str">
        <x:v>Silver Wind</x:v>
      </x:c>
      <x:c r="E3608" s="1" t="str">
        <x:v>Inseto</x:v>
      </x:c>
      <x:c r="F3608" s="1" t="str">
        <x:v>Especial</x:v>
      </x:c>
      <x:c r="G3608" s="10" t="n">
        <x:v>60</x:v>
      </x:c>
      <x:c r="H3608" s="10" t="n">
        <x:f>IF(F3608="Física",'Pokémon'!G390,IF(F3608="Especial",'Pokémon'!I390,""))</x:f>
        <x:v>135</x:v>
      </x:c>
      <x:c r="I3608" s="10" t="n">
        <x:f>IF(OR(F3608="Status",G3608=0),"",G3608+H3608)</x:f>
        <x:v>195</x:v>
      </x:c>
      <x:c r="J3608" s="10" t="n">
        <x:v>50</x:v>
      </x:c>
      <x:c r="K3608" s="12" t="n">
        <x:v>20</x:v>
      </x:c>
      <x:c r="L3608" s="1" t="str"/>
      <x:c r="M3608" s="9" t="str">
        <x:v>https://poke.idleworld.online/pokepedia/pokemon/volcarona</x:v>
      </x:c>
    </x:row>
    <x:row r="3609" ht="22" customHeight="1">
      <x:c r="A3609" s="1" t="n">
        <x:v>637</x:v>
      </x:c>
      <x:c r="B3609" s="1" t="str">
        <x:v>Volcarona</x:v>
      </x:c>
      <x:c r="C3609" s="1" t="n">
        <x:v>9</x:v>
      </x:c>
      <x:c r="D3609" s="1" t="str">
        <x:v>Thrash</x:v>
      </x:c>
      <x:c r="E3609" s="1" t="str">
        <x:v>Normal</x:v>
      </x:c>
      <x:c r="F3609" s="1" t="str">
        <x:v>Física</x:v>
      </x:c>
      <x:c r="G3609" s="10" t="n">
        <x:v>120</x:v>
      </x:c>
      <x:c r="H3609" s="10" t="n">
        <x:f>IF(F3609="Física",'Pokémon'!G390,IF(F3609="Especial",'Pokémon'!I390,""))</x:f>
        <x:v>60</x:v>
      </x:c>
      <x:c r="I3609" s="10" t="n">
        <x:f>IF(OR(F3609="Status",G3609=0),"",G3609+H3609)</x:f>
        <x:v>180</x:v>
      </x:c>
      <x:c r="J3609" s="10" t="n">
        <x:v>1</x:v>
      </x:c>
      <x:c r="K3609" s="12" t="n">
        <x:v>50</x:v>
      </x:c>
      <x:c r="L3609" s="1" t="str"/>
      <x:c r="M3609" s="9" t="str">
        <x:v>https://poke.idleworld.online/pokepedia/pokemon/volcarona</x:v>
      </x:c>
    </x:row>
    <x:row r="3610" ht="22" customHeight="1">
      <x:c r="A3610" s="1" t="n">
        <x:v>637</x:v>
      </x:c>
      <x:c r="B3610" s="1" t="str">
        <x:v>Volcarona</x:v>
      </x:c>
      <x:c r="C3610" s="1" t="n">
        <x:v>10</x:v>
      </x:c>
      <x:c r="D3610" s="1" t="str">
        <x:v>Flare Blitz</x:v>
      </x:c>
      <x:c r="E3610" s="1" t="str">
        <x:v>Fogo</x:v>
      </x:c>
      <x:c r="F3610" s="1" t="str">
        <x:v>Física</x:v>
      </x:c>
      <x:c r="G3610" s="10" t="n">
        <x:v>120</x:v>
      </x:c>
      <x:c r="H3610" s="10" t="n">
        <x:f>IF(F3610="Física",'Pokémon'!G390,IF(F3610="Especial",'Pokémon'!I390,""))</x:f>
        <x:v>60</x:v>
      </x:c>
      <x:c r="I3610" s="10" t="n">
        <x:f>IF(OR(F3610="Status",G3610=0),"",G3610+H3610)</x:f>
        <x:v>180</x:v>
      </x:c>
      <x:c r="J3610" s="10" t="n">
        <x:v>1</x:v>
      </x:c>
      <x:c r="K3610" s="12" t="n">
        <x:v>50</x:v>
      </x:c>
      <x:c r="L3610" s="1" t="str"/>
      <x:c r="M3610" s="9" t="str">
        <x:v>https://poke.idleworld.online/pokepedia/pokemon/volcarona</x:v>
      </x:c>
    </x:row>
    <x:row r="3611" ht="22" customHeight="1">
      <x:c r="A3611" s="1" t="n">
        <x:v>637</x:v>
      </x:c>
      <x:c r="B3611" s="1" t="str">
        <x:v>Volcarona</x:v>
      </x:c>
      <x:c r="C3611" s="1" t="n">
        <x:v>1</x:v>
      </x:c>
      <x:c r="D3611" s="1" t="str">
        <x:v>Ember</x:v>
      </x:c>
      <x:c r="E3611" s="1" t="str">
        <x:v>Fogo</x:v>
      </x:c>
      <x:c r="F3611" s="1" t="str">
        <x:v>Especial</x:v>
      </x:c>
      <x:c r="G3611" s="10" t="n">
        <x:v>40</x:v>
      </x:c>
      <x:c r="H3611" s="10" t="n">
        <x:f>IF(F3611="Física",'Pokémon'!G390,IF(F3611="Especial",'Pokémon'!I390,""))</x:f>
        <x:v>135</x:v>
      </x:c>
      <x:c r="I3611" s="10" t="n">
        <x:f>IF(OR(F3611="Status",G3611=0),"",G3611+H3611)</x:f>
        <x:v>175</x:v>
      </x:c>
      <x:c r="J3611" s="10" t="n">
        <x:v>1</x:v>
      </x:c>
      <x:c r="K3611" s="12" t="n">
        <x:v>10</x:v>
      </x:c>
      <x:c r="L3611" s="1" t="str"/>
      <x:c r="M3611" s="9" t="str">
        <x:v>https://poke.idleworld.online/pokepedia/pokemon/volcarona</x:v>
      </x:c>
    </x:row>
    <x:row r="3612" ht="22" customHeight="1">
      <x:c r="A3612" s="1" t="n">
        <x:v>637</x:v>
      </x:c>
      <x:c r="B3612" s="1" t="str">
        <x:v>Volcarona</x:v>
      </x:c>
      <x:c r="C3612" s="1" t="n">
        <x:v>4</x:v>
      </x:c>
      <x:c r="D3612" s="1" t="str">
        <x:v>Gust</x:v>
      </x:c>
      <x:c r="E3612" s="1" t="str">
        <x:v>Voador</x:v>
      </x:c>
      <x:c r="F3612" s="1" t="str">
        <x:v>Especial</x:v>
      </x:c>
      <x:c r="G3612" s="10" t="n">
        <x:v>40</x:v>
      </x:c>
      <x:c r="H3612" s="10" t="n">
        <x:f>IF(F3612="Física",'Pokémon'!G390,IF(F3612="Especial",'Pokémon'!I390,""))</x:f>
        <x:v>135</x:v>
      </x:c>
      <x:c r="I3612" s="10" t="n">
        <x:f>IF(OR(F3612="Status",G3612=0),"",G3612+H3612)</x:f>
        <x:v>175</x:v>
      </x:c>
      <x:c r="J3612" s="10" t="n">
        <x:v>1</x:v>
      </x:c>
      <x:c r="K3612" s="12" t="n">
        <x:v>15</x:v>
      </x:c>
      <x:c r="L3612" s="1" t="str"/>
      <x:c r="M3612" s="9" t="str">
        <x:v>https://poke.idleworld.online/pokepedia/pokemon/volcarona</x:v>
      </x:c>
    </x:row>
    <x:row r="3613" ht="22" customHeight="1">
      <x:c r="A3613" s="1" t="n">
        <x:v>637</x:v>
      </x:c>
      <x:c r="B3613" s="1" t="str">
        <x:v>Volcarona</x:v>
      </x:c>
      <x:c r="C3613" s="1" t="n">
        <x:v>11</x:v>
      </x:c>
      <x:c r="D3613" s="1" t="str">
        <x:v>Fire Spin</x:v>
      </x:c>
      <x:c r="E3613" s="1" t="str">
        <x:v>Fogo</x:v>
      </x:c>
      <x:c r="F3613" s="1" t="str">
        <x:v>Especial</x:v>
      </x:c>
      <x:c r="G3613" s="10" t="n">
        <x:v>35</x:v>
      </x:c>
      <x:c r="H3613" s="10" t="n">
        <x:f>IF(F3613="Física",'Pokémon'!G390,IF(F3613="Especial",'Pokémon'!I390,""))</x:f>
        <x:v>135</x:v>
      </x:c>
      <x:c r="I3613" s="10" t="n">
        <x:f>IF(OR(F3613="Status",G3613=0),"",G3613+H3613)</x:f>
        <x:v>170</x:v>
      </x:c>
      <x:c r="J3613" s="10" t="n">
        <x:v>30</x:v>
      </x:c>
      <x:c r="K3613" s="12" t="n">
        <x:v>15</x:v>
      </x:c>
      <x:c r="L3613" s="1" t="str"/>
      <x:c r="M3613" s="9" t="str">
        <x:v>https://poke.idleworld.online/pokepedia/pokemon/volcarona</x:v>
      </x:c>
    </x:row>
    <x:row r="3614" ht="22" customHeight="1">
      <x:c r="A3614" s="1" t="n">
        <x:v>637</x:v>
      </x:c>
      <x:c r="B3614" s="1" t="str">
        <x:v>Volcarona</x:v>
      </x:c>
      <x:c r="C3614" s="1" t="n">
        <x:v>5</x:v>
      </x:c>
      <x:c r="D3614" s="1" t="str">
        <x:v>Flame Wheel</x:v>
      </x:c>
      <x:c r="E3614" s="1" t="str">
        <x:v>Fogo</x:v>
      </x:c>
      <x:c r="F3614" s="1" t="str">
        <x:v>Física</x:v>
      </x:c>
      <x:c r="G3614" s="10" t="n">
        <x:v>60</x:v>
      </x:c>
      <x:c r="H3614" s="10" t="n">
        <x:f>IF(F3614="Física",'Pokémon'!G390,IF(F3614="Especial",'Pokémon'!I390,""))</x:f>
        <x:v>60</x:v>
      </x:c>
      <x:c r="I3614" s="10" t="n">
        <x:f>IF(OR(F3614="Status",G3614=0),"",G3614+H3614)</x:f>
        <x:v>120</x:v>
      </x:c>
      <x:c r="J3614" s="10" t="n">
        <x:v>1</x:v>
      </x:c>
      <x:c r="K3614" s="12" t="n">
        <x:v>20</x:v>
      </x:c>
      <x:c r="L3614" s="1" t="str"/>
      <x:c r="M3614" s="9" t="str">
        <x:v>https://poke.idleworld.online/pokepedia/pokemon/volcarona</x:v>
      </x:c>
    </x:row>
    <x:row r="3615" ht="22" customHeight="1">
      <x:c r="A3615" s="1" t="n">
        <x:v>637</x:v>
      </x:c>
      <x:c r="B3615" s="1" t="str">
        <x:v>Volcarona</x:v>
      </x:c>
      <x:c r="C3615" s="1" t="n">
        <x:v>3</x:v>
      </x:c>
      <x:c r="D3615" s="1" t="str">
        <x:v>Leech Life</x:v>
      </x:c>
      <x:c r="E3615" s="1" t="str">
        <x:v>Inseto</x:v>
      </x:c>
      <x:c r="F3615" s="1" t="str">
        <x:v>Física</x:v>
      </x:c>
      <x:c r="G3615" s="10" t="n">
        <x:v>20</x:v>
      </x:c>
      <x:c r="H3615" s="10" t="n">
        <x:f>IF(F3615="Física",'Pokémon'!G390,IF(F3615="Especial",'Pokémon'!I390,""))</x:f>
        <x:v>60</x:v>
      </x:c>
      <x:c r="I3615" s="10" t="n">
        <x:f>IF(OR(F3615="Status",G3615=0),"",G3615+H3615)</x:f>
        <x:v>80</x:v>
      </x:c>
      <x:c r="J3615" s="10" t="n">
        <x:v>1</x:v>
      </x:c>
      <x:c r="K3615" s="12" t="n">
        <x:v>15</x:v>
      </x:c>
      <x:c r="L3615" s="1" t="str"/>
      <x:c r="M3615" s="9" t="str">
        <x:v>https://poke.idleworld.online/pokepedia/pokemon/volcarona</x:v>
      </x:c>
    </x:row>
    <x:row r="3616" ht="22" customHeight="1">
      <x:c r="A3616" s="1" t="n">
        <x:v>667</x:v>
      </x:c>
      <x:c r="B3616" s="1" t="str">
        <x:v>Litleo</x:v>
      </x:c>
      <x:c r="C3616" s="1" t="n">
        <x:v>11</x:v>
      </x:c>
      <x:c r="D3616" s="1" t="str">
        <x:v>Overheat</x:v>
      </x:c>
      <x:c r="E3616" s="1" t="str">
        <x:v>Fogo</x:v>
      </x:c>
      <x:c r="F3616" s="1" t="str">
        <x:v>Especial</x:v>
      </x:c>
      <x:c r="G3616" s="10" t="n">
        <x:v>130</x:v>
      </x:c>
      <x:c r="H3616" s="10" t="n">
        <x:f>IF(F3616="Física",'Pokémon'!G391,IF(F3616="Especial",'Pokémon'!I391,""))</x:f>
        <x:v>73</x:v>
      </x:c>
      <x:c r="I3616" s="10" t="n">
        <x:f>IF(OR(F3616="Status",G3616=0),"",G3616+H3616)</x:f>
        <x:v>203</x:v>
      </x:c>
      <x:c r="J3616" s="10" t="n">
        <x:v>50</x:v>
      </x:c>
      <x:c r="K3616" s="12" t="n">
        <x:v>30</x:v>
      </x:c>
      <x:c r="L3616" s="1" t="str"/>
      <x:c r="M3616" s="9" t="str">
        <x:v>https://poke.idleworld.online/pokepedia/pokemon/litleo</x:v>
      </x:c>
    </x:row>
    <x:row r="3617" ht="22" customHeight="1">
      <x:c r="A3617" s="1" t="n">
        <x:v>667</x:v>
      </x:c>
      <x:c r="B3617" s="1" t="str">
        <x:v>Litleo</x:v>
      </x:c>
      <x:c r="C3617" s="1" t="n">
        <x:v>7</x:v>
      </x:c>
      <x:c r="D3617" s="1" t="str">
        <x:v>Flamethrower</x:v>
      </x:c>
      <x:c r="E3617" s="1" t="str">
        <x:v>Fogo</x:v>
      </x:c>
      <x:c r="F3617" s="1" t="str">
        <x:v>Especial</x:v>
      </x:c>
      <x:c r="G3617" s="10" t="n">
        <x:v>90</x:v>
      </x:c>
      <x:c r="H3617" s="10" t="n">
        <x:f>IF(F3617="Física",'Pokémon'!G391,IF(F3617="Especial",'Pokémon'!I391,""))</x:f>
        <x:v>73</x:v>
      </x:c>
      <x:c r="I3617" s="10" t="n">
        <x:f>IF(OR(F3617="Status",G3617=0),"",G3617+H3617)</x:f>
        <x:v>163</x:v>
      </x:c>
      <x:c r="J3617" s="10" t="n">
        <x:v>36</x:v>
      </x:c>
      <x:c r="K3617" s="12" t="n">
        <x:v>20</x:v>
      </x:c>
      <x:c r="L3617" s="1" t="str"/>
      <x:c r="M3617" s="9" t="str">
        <x:v>https://poke.idleworld.online/pokepedia/pokemon/litleo</x:v>
      </x:c>
    </x:row>
    <x:row r="3618" ht="22" customHeight="1">
      <x:c r="A3618" s="1" t="n">
        <x:v>667</x:v>
      </x:c>
      <x:c r="B3618" s="1" t="str">
        <x:v>Litleo</x:v>
      </x:c>
      <x:c r="C3618" s="1" t="n">
        <x:v>9</x:v>
      </x:c>
      <x:c r="D3618" s="1" t="str">
        <x:v>Hyper Voice</x:v>
      </x:c>
      <x:c r="E3618" s="1" t="str">
        <x:v>Normal</x:v>
      </x:c>
      <x:c r="F3618" s="1" t="str">
        <x:v>Especial</x:v>
      </x:c>
      <x:c r="G3618" s="10" t="n">
        <x:v>90</x:v>
      </x:c>
      <x:c r="H3618" s="10" t="n">
        <x:f>IF(F3618="Física",'Pokémon'!G391,IF(F3618="Especial",'Pokémon'!I391,""))</x:f>
        <x:v>73</x:v>
      </x:c>
      <x:c r="I3618" s="10" t="n">
        <x:f>IF(OR(F3618="Status",G3618=0),"",G3618+H3618)</x:f>
        <x:v>163</x:v>
      </x:c>
      <x:c r="J3618" s="10" t="n">
        <x:v>43</x:v>
      </x:c>
      <x:c r="K3618" s="12" t="n">
        <x:v>22</x:v>
      </x:c>
      <x:c r="L3618" s="1" t="str"/>
      <x:c r="M3618" s="9" t="str">
        <x:v>https://poke.idleworld.online/pokepedia/pokemon/litleo</x:v>
      </x:c>
    </x:row>
    <x:row r="3619" ht="22" customHeight="1">
      <x:c r="A3619" s="1" t="n">
        <x:v>667</x:v>
      </x:c>
      <x:c r="B3619" s="1" t="str">
        <x:v>Litleo</x:v>
      </x:c>
      <x:c r="C3619" s="1" t="n">
        <x:v>4</x:v>
      </x:c>
      <x:c r="D3619" s="1" t="str">
        <x:v>Take Down</x:v>
      </x:c>
      <x:c r="E3619" s="1" t="str">
        <x:v>Normal</x:v>
      </x:c>
      <x:c r="F3619" s="1" t="str">
        <x:v>Física</x:v>
      </x:c>
      <x:c r="G3619" s="10" t="n">
        <x:v>90</x:v>
      </x:c>
      <x:c r="H3619" s="10" t="n">
        <x:f>IF(F3619="Física",'Pokémon'!G391,IF(F3619="Especial",'Pokémon'!I391,""))</x:f>
        <x:v>50</x:v>
      </x:c>
      <x:c r="I3619" s="10" t="n">
        <x:f>IF(OR(F3619="Status",G3619=0),"",G3619+H3619)</x:f>
        <x:v>140</x:v>
      </x:c>
      <x:c r="J3619" s="10" t="n">
        <x:v>20</x:v>
      </x:c>
      <x:c r="K3619" s="12" t="n">
        <x:v>22</x:v>
      </x:c>
      <x:c r="L3619" s="1" t="str"/>
      <x:c r="M3619" s="9" t="str">
        <x:v>https://poke.idleworld.online/pokepedia/pokemon/litleo</x:v>
      </x:c>
    </x:row>
    <x:row r="3620" ht="22" customHeight="1">
      <x:c r="A3620" s="1" t="n">
        <x:v>667</x:v>
      </x:c>
      <x:c r="B3620" s="1" t="str">
        <x:v>Litleo</x:v>
      </x:c>
      <x:c r="C3620" s="1" t="n">
        <x:v>10</x:v>
      </x:c>
      <x:c r="D3620" s="1" t="str">
        <x:v>Incinerate</x:v>
      </x:c>
      <x:c r="E3620" s="1" t="str">
        <x:v>Fogo</x:v>
      </x:c>
      <x:c r="F3620" s="1" t="str">
        <x:v>Especial</x:v>
      </x:c>
      <x:c r="G3620" s="10" t="n">
        <x:v>60</x:v>
      </x:c>
      <x:c r="H3620" s="10" t="n">
        <x:f>IF(F3620="Física",'Pokémon'!G391,IF(F3620="Especial",'Pokémon'!I391,""))</x:f>
        <x:v>73</x:v>
      </x:c>
      <x:c r="I3620" s="10" t="n">
        <x:f>IF(OR(F3620="Status",G3620=0),"",G3620+H3620)</x:f>
        <x:v>133</x:v>
      </x:c>
      <x:c r="J3620" s="10" t="n">
        <x:v>46</x:v>
      </x:c>
      <x:c r="K3620" s="12" t="n">
        <x:v>20</x:v>
      </x:c>
      <x:c r="L3620" s="1" t="str"/>
      <x:c r="M3620" s="9" t="str">
        <x:v>https://poke.idleworld.online/pokepedia/pokemon/litleo</x:v>
      </x:c>
    </x:row>
    <x:row r="3621" ht="22" customHeight="1">
      <x:c r="A3621" s="1" t="n">
        <x:v>667</x:v>
      </x:c>
      <x:c r="B3621" s="1" t="str">
        <x:v>Litleo</x:v>
      </x:c>
      <x:c r="C3621" s="1" t="n">
        <x:v>8</x:v>
      </x:c>
      <x:c r="D3621" s="1" t="str">
        <x:v>Crunch</x:v>
      </x:c>
      <x:c r="E3621" s="1" t="str">
        <x:v>Sombrio</x:v>
      </x:c>
      <x:c r="F3621" s="1" t="str">
        <x:v>Física</x:v>
      </x:c>
      <x:c r="G3621" s="10" t="n">
        <x:v>80</x:v>
      </x:c>
      <x:c r="H3621" s="10" t="n">
        <x:f>IF(F3621="Física",'Pokémon'!G391,IF(F3621="Especial",'Pokémon'!I391,""))</x:f>
        <x:v>50</x:v>
      </x:c>
      <x:c r="I3621" s="10" t="n">
        <x:f>IF(OR(F3621="Status",G3621=0),"",G3621+H3621)</x:f>
        <x:v>130</x:v>
      </x:c>
      <x:c r="J3621" s="10" t="n">
        <x:v>39</x:v>
      </x:c>
      <x:c r="K3621" s="12" t="n">
        <x:v>22</x:v>
      </x:c>
      <x:c r="L3621" s="1" t="str"/>
      <x:c r="M3621" s="9" t="str">
        <x:v>https://poke.idleworld.online/pokepedia/pokemon/litleo</x:v>
      </x:c>
    </x:row>
    <x:row r="3622" ht="22" customHeight="1">
      <x:c r="A3622" s="1" t="n">
        <x:v>667</x:v>
      </x:c>
      <x:c r="B3622" s="1" t="str">
        <x:v>Litleo</x:v>
      </x:c>
      <x:c r="C3622" s="1" t="n">
        <x:v>3</x:v>
      </x:c>
      <x:c r="D3622" s="1" t="str">
        <x:v>Headbutt</x:v>
      </x:c>
      <x:c r="E3622" s="1" t="str">
        <x:v>Normal</x:v>
      </x:c>
      <x:c r="F3622" s="1" t="str">
        <x:v>Física</x:v>
      </x:c>
      <x:c r="G3622" s="10" t="n">
        <x:v>70</x:v>
      </x:c>
      <x:c r="H3622" s="10" t="n">
        <x:f>IF(F3622="Física",'Pokémon'!G391,IF(F3622="Especial",'Pokémon'!I391,""))</x:f>
        <x:v>50</x:v>
      </x:c>
      <x:c r="I3622" s="10" t="n">
        <x:f>IF(OR(F3622="Status",G3622=0),"",G3622+H3622)</x:f>
        <x:v>120</x:v>
      </x:c>
      <x:c r="J3622" s="10" t="n">
        <x:v>11</x:v>
      </x:c>
      <x:c r="K3622" s="12" t="n">
        <x:v>20</x:v>
      </x:c>
      <x:c r="L3622" s="1" t="str"/>
      <x:c r="M3622" s="9" t="str">
        <x:v>https://poke.idleworld.online/pokepedia/pokemon/litleo</x:v>
      </x:c>
    </x:row>
    <x:row r="3623" ht="22" customHeight="1">
      <x:c r="A3623" s="1" t="n">
        <x:v>667</x:v>
      </x:c>
      <x:c r="B3623" s="1" t="str">
        <x:v>Litleo</x:v>
      </x:c>
      <x:c r="C3623" s="1" t="n">
        <x:v>5</x:v>
      </x:c>
      <x:c r="D3623" s="1" t="str">
        <x:v>Fire Fang</x:v>
      </x:c>
      <x:c r="E3623" s="1" t="str">
        <x:v>Fogo</x:v>
      </x:c>
      <x:c r="F3623" s="1" t="str">
        <x:v>Física</x:v>
      </x:c>
      <x:c r="G3623" s="10" t="n">
        <x:v>65</x:v>
      </x:c>
      <x:c r="H3623" s="10" t="n">
        <x:f>IF(F3623="Física",'Pokémon'!G391,IF(F3623="Especial",'Pokémon'!I391,""))</x:f>
        <x:v>50</x:v>
      </x:c>
      <x:c r="I3623" s="10" t="n">
        <x:f>IF(OR(F3623="Status",G3623=0),"",G3623+H3623)</x:f>
        <x:v>115</x:v>
      </x:c>
      <x:c r="J3623" s="10" t="n">
        <x:v>23</x:v>
      </x:c>
      <x:c r="K3623" s="12" t="n">
        <x:v>20</x:v>
      </x:c>
      <x:c r="L3623" s="1" t="str"/>
      <x:c r="M3623" s="9" t="str">
        <x:v>https://poke.idleworld.online/pokepedia/pokemon/litleo</x:v>
      </x:c>
    </x:row>
    <x:row r="3624" ht="22" customHeight="1">
      <x:c r="A3624" s="1" t="n">
        <x:v>667</x:v>
      </x:c>
      <x:c r="B3624" s="1" t="str">
        <x:v>Litleo</x:v>
      </x:c>
      <x:c r="C3624" s="1" t="n">
        <x:v>2</x:v>
      </x:c>
      <x:c r="D3624" s="1" t="str">
        <x:v>Ember</x:v>
      </x:c>
      <x:c r="E3624" s="1" t="str">
        <x:v>Fogo</x:v>
      </x:c>
      <x:c r="F3624" s="1" t="str">
        <x:v>Especial</x:v>
      </x:c>
      <x:c r="G3624" s="10" t="n">
        <x:v>40</x:v>
      </x:c>
      <x:c r="H3624" s="10" t="n">
        <x:f>IF(F3624="Física",'Pokémon'!G391,IF(F3624="Especial",'Pokémon'!I391,""))</x:f>
        <x:v>73</x:v>
      </x:c>
      <x:c r="I3624" s="10" t="n">
        <x:f>IF(OR(F3624="Status",G3624=0),"",G3624+H3624)</x:f>
        <x:v>113</x:v>
      </x:c>
      <x:c r="J3624" s="10" t="n">
        <x:v>5</x:v>
      </x:c>
      <x:c r="K3624" s="12" t="n">
        <x:v>10</x:v>
      </x:c>
      <x:c r="L3624" s="1" t="str"/>
      <x:c r="M3624" s="9" t="str">
        <x:v>https://poke.idleworld.online/pokepedia/pokemon/litleo</x:v>
      </x:c>
    </x:row>
    <x:row r="3625" ht="22" customHeight="1">
      <x:c r="A3625" s="1" t="n">
        <x:v>667</x:v>
      </x:c>
      <x:c r="B3625" s="1" t="str">
        <x:v>Litleo</x:v>
      </x:c>
      <x:c r="C3625" s="1" t="n">
        <x:v>6</x:v>
      </x:c>
      <x:c r="D3625" s="1" t="str">
        <x:v>Echoed Voice</x:v>
      </x:c>
      <x:c r="E3625" s="1" t="str">
        <x:v>Normal</x:v>
      </x:c>
      <x:c r="F3625" s="1" t="str">
        <x:v>Especial</x:v>
      </x:c>
      <x:c r="G3625" s="10" t="n">
        <x:v>40</x:v>
      </x:c>
      <x:c r="H3625" s="10" t="n">
        <x:f>IF(F3625="Física",'Pokémon'!G391,IF(F3625="Especial",'Pokémon'!I391,""))</x:f>
        <x:v>73</x:v>
      </x:c>
      <x:c r="I3625" s="10" t="n">
        <x:f>IF(OR(F3625="Status",G3625=0),"",G3625+H3625)</x:f>
        <x:v>113</x:v>
      </x:c>
      <x:c r="J3625" s="10" t="n">
        <x:v>33</x:v>
      </x:c>
      <x:c r="K3625" s="12" t="n">
        <x:v>20</x:v>
      </x:c>
      <x:c r="L3625" s="1" t="str"/>
      <x:c r="M3625" s="9" t="str">
        <x:v>https://poke.idleworld.online/pokepedia/pokemon/litleo</x:v>
      </x:c>
    </x:row>
    <x:row r="3626" ht="22" customHeight="1">
      <x:c r="A3626" s="1" t="n">
        <x:v>667</x:v>
      </x:c>
      <x:c r="B3626" s="1" t="str">
        <x:v>Litleo</x:v>
      </x:c>
      <x:c r="C3626" s="1" t="n">
        <x:v>1</x:v>
      </x:c>
      <x:c r="D3626" s="1" t="str">
        <x:v>Tackle</x:v>
      </x:c>
      <x:c r="E3626" s="1" t="str">
        <x:v>Normal</x:v>
      </x:c>
      <x:c r="F3626" s="1" t="str">
        <x:v>Física</x:v>
      </x:c>
      <x:c r="G3626" s="10" t="n">
        <x:v>50</x:v>
      </x:c>
      <x:c r="H3626" s="10" t="n">
        <x:f>IF(F3626="Física",'Pokémon'!G391,IF(F3626="Especial",'Pokémon'!I391,""))</x:f>
        <x:v>50</x:v>
      </x:c>
      <x:c r="I3626" s="10" t="n">
        <x:f>IF(OR(F3626="Status",G3626=0),"",G3626+H3626)</x:f>
        <x:v>100</x:v>
      </x:c>
      <x:c r="J3626" s="10" t="n">
        <x:v>1</x:v>
      </x:c>
      <x:c r="K3626" s="12" t="n">
        <x:v>10</x:v>
      </x:c>
      <x:c r="L3626" s="1" t="str"/>
      <x:c r="M3626" s="9" t="str">
        <x:v>https://poke.idleworld.online/pokepedia/pokemon/litleo</x:v>
      </x:c>
    </x:row>
    <x:row r="3627" ht="22" customHeight="1">
      <x:c r="A3627" s="1" t="n">
        <x:v>669</x:v>
      </x:c>
      <x:c r="B3627" s="1" t="str">
        <x:v>Flabebe</x:v>
      </x:c>
      <x:c r="C3627" s="1" t="n">
        <x:v>8</x:v>
      </x:c>
      <x:c r="D3627" s="1" t="str">
        <x:v>Petal Dance</x:v>
      </x:c>
      <x:c r="E3627" s="1" t="str">
        <x:v>Planta</x:v>
      </x:c>
      <x:c r="F3627" s="1" t="str">
        <x:v>Especial</x:v>
      </x:c>
      <x:c r="G3627" s="10" t="n">
        <x:v>120</x:v>
      </x:c>
      <x:c r="H3627" s="10" t="n">
        <x:f>IF(F3627="Física",'Pokémon'!G392,IF(F3627="Especial",'Pokémon'!I392,""))</x:f>
        <x:v>61</x:v>
      </x:c>
      <x:c r="I3627" s="10" t="n">
        <x:f>IF(OR(F3627="Status",G3627=0),"",G3627+H3627)</x:f>
        <x:v>181</x:v>
      </x:c>
      <x:c r="J3627" s="10" t="n">
        <x:v>45</x:v>
      </x:c>
      <x:c r="K3627" s="12" t="n">
        <x:v>50</x:v>
      </x:c>
      <x:c r="L3627" s="1" t="str"/>
      <x:c r="M3627" s="9" t="str">
        <x:v>https://poke.idleworld.online/pokepedia/pokemon/flabebe</x:v>
      </x:c>
    </x:row>
    <x:row r="3628" ht="22" customHeight="1">
      <x:c r="A3628" s="1" t="n">
        <x:v>669</x:v>
      </x:c>
      <x:c r="B3628" s="1" t="str">
        <x:v>Flabebe</x:v>
      </x:c>
      <x:c r="C3628" s="1" t="n">
        <x:v>9</x:v>
      </x:c>
      <x:c r="D3628" s="1" t="str">
        <x:v>Solar Beam</x:v>
      </x:c>
      <x:c r="E3628" s="1" t="str">
        <x:v>Planta</x:v>
      </x:c>
      <x:c r="F3628" s="1" t="str">
        <x:v>Especial</x:v>
      </x:c>
      <x:c r="G3628" s="10" t="n">
        <x:v>120</x:v>
      </x:c>
      <x:c r="H3628" s="10" t="n">
        <x:f>IF(F3628="Física",'Pokémon'!G392,IF(F3628="Especial",'Pokémon'!I392,""))</x:f>
        <x:v>61</x:v>
      </x:c>
      <x:c r="I3628" s="10" t="n">
        <x:f>IF(OR(F3628="Status",G3628=0),"",G3628+H3628)</x:f>
        <x:v>181</x:v>
      </x:c>
      <x:c r="J3628" s="10" t="n">
        <x:v>48</x:v>
      </x:c>
      <x:c r="K3628" s="12" t="n">
        <x:v>50</x:v>
      </x:c>
      <x:c r="L3628" s="1" t="str"/>
      <x:c r="M3628" s="9" t="str">
        <x:v>https://poke.idleworld.online/pokepedia/pokemon/flabebe</x:v>
      </x:c>
    </x:row>
    <x:row r="3629" ht="22" customHeight="1">
      <x:c r="A3629" s="1" t="n">
        <x:v>669</x:v>
      </x:c>
      <x:c r="B3629" s="1" t="str">
        <x:v>Flabebe</x:v>
      </x:c>
      <x:c r="C3629" s="1" t="n">
        <x:v>7</x:v>
      </x:c>
      <x:c r="D3629" s="1" t="str">
        <x:v>Moonblast</x:v>
      </x:c>
      <x:c r="E3629" s="1" t="str">
        <x:v>Fada</x:v>
      </x:c>
      <x:c r="F3629" s="1" t="str">
        <x:v>Especial</x:v>
      </x:c>
      <x:c r="G3629" s="10" t="n">
        <x:v>95</x:v>
      </x:c>
      <x:c r="H3629" s="10" t="n">
        <x:f>IF(F3629="Física",'Pokémon'!G392,IF(F3629="Especial",'Pokémon'!I392,""))</x:f>
        <x:v>61</x:v>
      </x:c>
      <x:c r="I3629" s="10" t="n">
        <x:f>IF(OR(F3629="Status",G3629=0),"",G3629+H3629)</x:f>
        <x:v>156</x:v>
      </x:c>
      <x:c r="J3629" s="10" t="n">
        <x:v>41</x:v>
      </x:c>
      <x:c r="K3629" s="12" t="n">
        <x:v>40</x:v>
      </x:c>
      <x:c r="L3629" s="1" t="str"/>
      <x:c r="M3629" s="9" t="str">
        <x:v>https://poke.idleworld.online/pokepedia/pokemon/flabebe</x:v>
      </x:c>
    </x:row>
    <x:row r="3630" ht="22" customHeight="1">
      <x:c r="A3630" s="1" t="n">
        <x:v>669</x:v>
      </x:c>
      <x:c r="B3630" s="1" t="str">
        <x:v>Flabebe</x:v>
      </x:c>
      <x:c r="C3630" s="1" t="n">
        <x:v>6</x:v>
      </x:c>
      <x:c r="D3630" s="1" t="str">
        <x:v>Petal Blizzard</x:v>
      </x:c>
      <x:c r="E3630" s="1" t="str">
        <x:v>Planta</x:v>
      </x:c>
      <x:c r="F3630" s="1" t="str">
        <x:v>Física</x:v>
      </x:c>
      <x:c r="G3630" s="10" t="n">
        <x:v>90</x:v>
      </x:c>
      <x:c r="H3630" s="10" t="n">
        <x:f>IF(F3630="Física",'Pokémon'!G392,IF(F3630="Especial",'Pokémon'!I392,""))</x:f>
        <x:v>38</x:v>
      </x:c>
      <x:c r="I3630" s="10" t="n">
        <x:f>IF(OR(F3630="Status",G3630=0),"",G3630+H3630)</x:f>
        <x:v>128</x:v>
      </x:c>
      <x:c r="J3630" s="10" t="n">
        <x:v>28</x:v>
      </x:c>
      <x:c r="K3630" s="12" t="n">
        <x:v>22</x:v>
      </x:c>
      <x:c r="L3630" s="1" t="str"/>
      <x:c r="M3630" s="9" t="str">
        <x:v>https://poke.idleworld.online/pokepedia/pokemon/flabebe</x:v>
      </x:c>
    </x:row>
    <x:row r="3631" ht="22" customHeight="1">
      <x:c r="A3631" s="1" t="n">
        <x:v>669</x:v>
      </x:c>
      <x:c r="B3631" s="1" t="str">
        <x:v>Flabebe</x:v>
      </x:c>
      <x:c r="C3631" s="1" t="n">
        <x:v>5</x:v>
      </x:c>
      <x:c r="D3631" s="1" t="str">
        <x:v>Magical Leaf</x:v>
      </x:c>
      <x:c r="E3631" s="1" t="str">
        <x:v>Planta</x:v>
      </x:c>
      <x:c r="F3631" s="1" t="str">
        <x:v>Especial</x:v>
      </x:c>
      <x:c r="G3631" s="10" t="n">
        <x:v>60</x:v>
      </x:c>
      <x:c r="H3631" s="10" t="n">
        <x:f>IF(F3631="Física",'Pokémon'!G392,IF(F3631="Especial",'Pokémon'!I392,""))</x:f>
        <x:v>61</x:v>
      </x:c>
      <x:c r="I3631" s="10" t="n">
        <x:f>IF(OR(F3631="Status",G3631=0),"",G3631+H3631)</x:f>
        <x:v>121</x:v>
      </x:c>
      <x:c r="J3631" s="10" t="n">
        <x:v>22</x:v>
      </x:c>
      <x:c r="K3631" s="12" t="n">
        <x:v>20</x:v>
      </x:c>
      <x:c r="L3631" s="1" t="str"/>
      <x:c r="M3631" s="9" t="str">
        <x:v>https://poke.idleworld.online/pokepedia/pokemon/flabebe</x:v>
      </x:c>
    </x:row>
    <x:row r="3632" ht="22" customHeight="1">
      <x:c r="A3632" s="1" t="n">
        <x:v>669</x:v>
      </x:c>
      <x:c r="B3632" s="1" t="str">
        <x:v>Flabebe</x:v>
      </x:c>
      <x:c r="C3632" s="1" t="n">
        <x:v>3</x:v>
      </x:c>
      <x:c r="D3632" s="1" t="str">
        <x:v>Fairy Wind</x:v>
      </x:c>
      <x:c r="E3632" s="1" t="str">
        <x:v>Fada</x:v>
      </x:c>
      <x:c r="F3632" s="1" t="str">
        <x:v>Especial</x:v>
      </x:c>
      <x:c r="G3632" s="10" t="n">
        <x:v>40</x:v>
      </x:c>
      <x:c r="H3632" s="10" t="n">
        <x:f>IF(F3632="Física",'Pokémon'!G392,IF(F3632="Especial",'Pokémon'!I392,""))</x:f>
        <x:v>61</x:v>
      </x:c>
      <x:c r="I3632" s="10" t="n">
        <x:f>IF(OR(F3632="Status",G3632=0),"",G3632+H3632)</x:f>
        <x:v>101</x:v>
      </x:c>
      <x:c r="J3632" s="10" t="n">
        <x:v>6</x:v>
      </x:c>
      <x:c r="K3632" s="12" t="n">
        <x:v>25</x:v>
      </x:c>
      <x:c r="L3632" s="1" t="str"/>
      <x:c r="M3632" s="9" t="str">
        <x:v>https://poke.idleworld.online/pokepedia/pokemon/flabebe</x:v>
      </x:c>
    </x:row>
    <x:row r="3633" ht="22" customHeight="1">
      <x:c r="A3633" s="1" t="n">
        <x:v>669</x:v>
      </x:c>
      <x:c r="B3633" s="1" t="str">
        <x:v>Flabebe</x:v>
      </x:c>
      <x:c r="C3633" s="1" t="n">
        <x:v>4</x:v>
      </x:c>
      <x:c r="D3633" s="1" t="str">
        <x:v>Razor Leaf</x:v>
      </x:c>
      <x:c r="E3633" s="1" t="str">
        <x:v>Planta</x:v>
      </x:c>
      <x:c r="F3633" s="1" t="str">
        <x:v>Física</x:v>
      </x:c>
      <x:c r="G3633" s="10" t="n">
        <x:v>55</x:v>
      </x:c>
      <x:c r="H3633" s="10" t="n">
        <x:f>IF(F3633="Física",'Pokémon'!G392,IF(F3633="Especial",'Pokémon'!I392,""))</x:f>
        <x:v>38</x:v>
      </x:c>
      <x:c r="I3633" s="10" t="n">
        <x:f>IF(OR(F3633="Status",G3633=0),"",G3633+H3633)</x:f>
        <x:v>93</x:v>
      </x:c>
      <x:c r="J3633" s="10" t="n">
        <x:v>15</x:v>
      </x:c>
      <x:c r="K3633" s="12" t="n">
        <x:v>10</x:v>
      </x:c>
      <x:c r="L3633" s="1" t="str"/>
      <x:c r="M3633" s="9" t="str">
        <x:v>https://poke.idleworld.online/pokepedia/pokemon/flabebe</x:v>
      </x:c>
    </x:row>
    <x:row r="3634" ht="22" customHeight="1">
      <x:c r="A3634" s="1" t="n">
        <x:v>669</x:v>
      </x:c>
      <x:c r="B3634" s="1" t="str">
        <x:v>Flabebe</x:v>
      </x:c>
      <x:c r="C3634" s="1" t="n">
        <x:v>1</x:v>
      </x:c>
      <x:c r="D3634" s="1" t="str">
        <x:v>Tackle</x:v>
      </x:c>
      <x:c r="E3634" s="1" t="str">
        <x:v>Normal</x:v>
      </x:c>
      <x:c r="F3634" s="1" t="str">
        <x:v>Física</x:v>
      </x:c>
      <x:c r="G3634" s="10" t="n">
        <x:v>50</x:v>
      </x:c>
      <x:c r="H3634" s="10" t="n">
        <x:f>IF(F3634="Física",'Pokémon'!G392,IF(F3634="Especial",'Pokémon'!I392,""))</x:f>
        <x:v>38</x:v>
      </x:c>
      <x:c r="I3634" s="10" t="n">
        <x:f>IF(OR(F3634="Status",G3634=0),"",G3634+H3634)</x:f>
        <x:v>88</x:v>
      </x:c>
      <x:c r="J3634" s="10" t="n">
        <x:v>1</x:v>
      </x:c>
      <x:c r="K3634" s="12" t="n">
        <x:v>8</x:v>
      </x:c>
      <x:c r="L3634" s="1" t="str"/>
      <x:c r="M3634" s="9" t="str">
        <x:v>https://poke.idleworld.online/pokepedia/pokemon/flabebe</x:v>
      </x:c>
    </x:row>
    <x:row r="3635" ht="22" customHeight="1">
      <x:c r="A3635" s="1" t="n">
        <x:v>669</x:v>
      </x:c>
      <x:c r="B3635" s="1" t="str">
        <x:v>Flabebe</x:v>
      </x:c>
      <x:c r="C3635" s="1" t="n">
        <x:v>2</x:v>
      </x:c>
      <x:c r="D3635" s="1" t="str">
        <x:v>Vine Whip</x:v>
      </x:c>
      <x:c r="E3635" s="1" t="str">
        <x:v>Planta</x:v>
      </x:c>
      <x:c r="F3635" s="1" t="str">
        <x:v>Física</x:v>
      </x:c>
      <x:c r="G3635" s="10" t="n">
        <x:v>45</x:v>
      </x:c>
      <x:c r="H3635" s="10" t="n">
        <x:f>IF(F3635="Física",'Pokémon'!G392,IF(F3635="Especial",'Pokémon'!I392,""))</x:f>
        <x:v>38</x:v>
      </x:c>
      <x:c r="I3635" s="10" t="n">
        <x:f>IF(OR(F3635="Status",G3635=0),"",G3635+H3635)</x:f>
        <x:v>83</x:v>
      </x:c>
      <x:c r="J3635" s="10" t="n">
        <x:v>1</x:v>
      </x:c>
      <x:c r="K3635" s="12" t="n">
        <x:v>15</x:v>
      </x:c>
      <x:c r="L3635" s="1" t="str"/>
      <x:c r="M3635" s="9" t="str">
        <x:v>https://poke.idleworld.online/pokepedia/pokemon/flabebe</x:v>
      </x:c>
    </x:row>
    <x:row r="3636" ht="22" customHeight="1">
      <x:c r="A3636" s="1" t="n">
        <x:v>670</x:v>
      </x:c>
      <x:c r="B3636" s="1" t="str">
        <x:v>Floette</x:v>
      </x:c>
      <x:c r="C3636" s="1" t="n">
        <x:v>8</x:v>
      </x:c>
      <x:c r="D3636" s="1" t="str">
        <x:v>Petal Dance</x:v>
      </x:c>
      <x:c r="E3636" s="1" t="str">
        <x:v>Planta</x:v>
      </x:c>
      <x:c r="F3636" s="1" t="str">
        <x:v>Especial</x:v>
      </x:c>
      <x:c r="G3636" s="10" t="n">
        <x:v>120</x:v>
      </x:c>
      <x:c r="H3636" s="10" t="n">
        <x:f>IF(F3636="Física",'Pokémon'!G393,IF(F3636="Especial",'Pokémon'!I393,""))</x:f>
        <x:v>75</x:v>
      </x:c>
      <x:c r="I3636" s="10" t="n">
        <x:f>IF(OR(F3636="Status",G3636=0),"",G3636+H3636)</x:f>
        <x:v>195</x:v>
      </x:c>
      <x:c r="J3636" s="10" t="n">
        <x:v>51</x:v>
      </x:c>
      <x:c r="K3636" s="12" t="n">
        <x:v>50</x:v>
      </x:c>
      <x:c r="L3636" s="1" t="str"/>
      <x:c r="M3636" s="9" t="str">
        <x:v>https://poke.idleworld.online/pokepedia/pokemon/floette</x:v>
      </x:c>
    </x:row>
    <x:row r="3637" ht="22" customHeight="1">
      <x:c r="A3637" s="1" t="n">
        <x:v>670</x:v>
      </x:c>
      <x:c r="B3637" s="1" t="str">
        <x:v>Floette</x:v>
      </x:c>
      <x:c r="C3637" s="1" t="n">
        <x:v>9</x:v>
      </x:c>
      <x:c r="D3637" s="1" t="str">
        <x:v>Solar Beam</x:v>
      </x:c>
      <x:c r="E3637" s="1" t="str">
        <x:v>Planta</x:v>
      </x:c>
      <x:c r="F3637" s="1" t="str">
        <x:v>Especial</x:v>
      </x:c>
      <x:c r="G3637" s="10" t="n">
        <x:v>120</x:v>
      </x:c>
      <x:c r="H3637" s="10" t="n">
        <x:f>IF(F3637="Física",'Pokémon'!G393,IF(F3637="Especial",'Pokémon'!I393,""))</x:f>
        <x:v>75</x:v>
      </x:c>
      <x:c r="I3637" s="10" t="n">
        <x:f>IF(OR(F3637="Status",G3637=0),"",G3637+H3637)</x:f>
        <x:v>195</x:v>
      </x:c>
      <x:c r="J3637" s="10" t="n">
        <x:v>58</x:v>
      </x:c>
      <x:c r="K3637" s="12" t="n">
        <x:v>50</x:v>
      </x:c>
      <x:c r="L3637" s="1" t="str"/>
      <x:c r="M3637" s="9" t="str">
        <x:v>https://poke.idleworld.online/pokepedia/pokemon/floette</x:v>
      </x:c>
    </x:row>
    <x:row r="3638" ht="22" customHeight="1">
      <x:c r="A3638" s="1" t="n">
        <x:v>670</x:v>
      </x:c>
      <x:c r="B3638" s="1" t="str">
        <x:v>Floette</x:v>
      </x:c>
      <x:c r="C3638" s="1" t="n">
        <x:v>7</x:v>
      </x:c>
      <x:c r="D3638" s="1" t="str">
        <x:v>Moonblast</x:v>
      </x:c>
      <x:c r="E3638" s="1" t="str">
        <x:v>Fada</x:v>
      </x:c>
      <x:c r="F3638" s="1" t="str">
        <x:v>Especial</x:v>
      </x:c>
      <x:c r="G3638" s="10" t="n">
        <x:v>95</x:v>
      </x:c>
      <x:c r="H3638" s="10" t="n">
        <x:f>IF(F3638="Física",'Pokémon'!G393,IF(F3638="Especial",'Pokémon'!I393,""))</x:f>
        <x:v>75</x:v>
      </x:c>
      <x:c r="I3638" s="10" t="n">
        <x:f>IF(OR(F3638="Status",G3638=0),"",G3638+H3638)</x:f>
        <x:v>170</x:v>
      </x:c>
      <x:c r="J3638" s="10" t="n">
        <x:v>46</x:v>
      </x:c>
      <x:c r="K3638" s="12" t="n">
        <x:v>40</x:v>
      </x:c>
      <x:c r="L3638" s="1" t="str"/>
      <x:c r="M3638" s="9" t="str">
        <x:v>https://poke.idleworld.online/pokepedia/pokemon/floette</x:v>
      </x:c>
    </x:row>
    <x:row r="3639" ht="22" customHeight="1">
      <x:c r="A3639" s="1" t="n">
        <x:v>670</x:v>
      </x:c>
      <x:c r="B3639" s="1" t="str">
        <x:v>Floette</x:v>
      </x:c>
      <x:c r="C3639" s="1" t="n">
        <x:v>6</x:v>
      </x:c>
      <x:c r="D3639" s="1" t="str">
        <x:v>Petal Blizzard</x:v>
      </x:c>
      <x:c r="E3639" s="1" t="str">
        <x:v>Planta</x:v>
      </x:c>
      <x:c r="F3639" s="1" t="str">
        <x:v>Física</x:v>
      </x:c>
      <x:c r="G3639" s="10" t="n">
        <x:v>90</x:v>
      </x:c>
      <x:c r="H3639" s="10" t="n">
        <x:f>IF(F3639="Física",'Pokémon'!G393,IF(F3639="Especial",'Pokémon'!I393,""))</x:f>
        <x:v>45</x:v>
      </x:c>
      <x:c r="I3639" s="10" t="n">
        <x:f>IF(OR(F3639="Status",G3639=0),"",G3639+H3639)</x:f>
        <x:v>135</x:v>
      </x:c>
      <x:c r="J3639" s="10" t="n">
        <x:v>33</x:v>
      </x:c>
      <x:c r="K3639" s="12" t="n">
        <x:v>22</x:v>
      </x:c>
      <x:c r="L3639" s="1" t="str"/>
      <x:c r="M3639" s="9" t="str">
        <x:v>https://poke.idleworld.online/pokepedia/pokemon/floette</x:v>
      </x:c>
    </x:row>
    <x:row r="3640" ht="22" customHeight="1">
      <x:c r="A3640" s="1" t="n">
        <x:v>670</x:v>
      </x:c>
      <x:c r="B3640" s="1" t="str">
        <x:v>Floette</x:v>
      </x:c>
      <x:c r="C3640" s="1" t="n">
        <x:v>5</x:v>
      </x:c>
      <x:c r="D3640" s="1" t="str">
        <x:v>Magical Leaf</x:v>
      </x:c>
      <x:c r="E3640" s="1" t="str">
        <x:v>Planta</x:v>
      </x:c>
      <x:c r="F3640" s="1" t="str">
        <x:v>Especial</x:v>
      </x:c>
      <x:c r="G3640" s="10" t="n">
        <x:v>60</x:v>
      </x:c>
      <x:c r="H3640" s="10" t="n">
        <x:f>IF(F3640="Física",'Pokémon'!G393,IF(F3640="Especial",'Pokémon'!I393,""))</x:f>
        <x:v>75</x:v>
      </x:c>
      <x:c r="I3640" s="10" t="n">
        <x:f>IF(OR(F3640="Status",G3640=0),"",G3640+H3640)</x:f>
        <x:v>135</x:v>
      </x:c>
      <x:c r="J3640" s="10" t="n">
        <x:v>25</x:v>
      </x:c>
      <x:c r="K3640" s="12" t="n">
        <x:v>20</x:v>
      </x:c>
      <x:c r="L3640" s="1" t="str"/>
      <x:c r="M3640" s="9" t="str">
        <x:v>https://poke.idleworld.online/pokepedia/pokemon/floette</x:v>
      </x:c>
    </x:row>
    <x:row r="3641" ht="22" customHeight="1">
      <x:c r="A3641" s="1" t="n">
        <x:v>670</x:v>
      </x:c>
      <x:c r="B3641" s="1" t="str">
        <x:v>Floette</x:v>
      </x:c>
      <x:c r="C3641" s="1" t="n">
        <x:v>3</x:v>
      </x:c>
      <x:c r="D3641" s="1" t="str">
        <x:v>Fairy Wind</x:v>
      </x:c>
      <x:c r="E3641" s="1" t="str">
        <x:v>Fada</x:v>
      </x:c>
      <x:c r="F3641" s="1" t="str">
        <x:v>Especial</x:v>
      </x:c>
      <x:c r="G3641" s="10" t="n">
        <x:v>40</x:v>
      </x:c>
      <x:c r="H3641" s="10" t="n">
        <x:f>IF(F3641="Física",'Pokémon'!G393,IF(F3641="Especial",'Pokémon'!I393,""))</x:f>
        <x:v>75</x:v>
      </x:c>
      <x:c r="I3641" s="10" t="n">
        <x:f>IF(OR(F3641="Status",G3641=0),"",G3641+H3641)</x:f>
        <x:v>115</x:v>
      </x:c>
      <x:c r="J3641" s="10" t="n">
        <x:v>6</x:v>
      </x:c>
      <x:c r="K3641" s="12" t="n">
        <x:v>25</x:v>
      </x:c>
      <x:c r="L3641" s="1" t="str"/>
      <x:c r="M3641" s="9" t="str">
        <x:v>https://poke.idleworld.online/pokepedia/pokemon/floette</x:v>
      </x:c>
    </x:row>
    <x:row r="3642" ht="22" customHeight="1">
      <x:c r="A3642" s="1" t="n">
        <x:v>670</x:v>
      </x:c>
      <x:c r="B3642" s="1" t="str">
        <x:v>Floette</x:v>
      </x:c>
      <x:c r="C3642" s="1" t="n">
        <x:v>4</x:v>
      </x:c>
      <x:c r="D3642" s="1" t="str">
        <x:v>Razor Leaf</x:v>
      </x:c>
      <x:c r="E3642" s="1" t="str">
        <x:v>Planta</x:v>
      </x:c>
      <x:c r="F3642" s="1" t="str">
        <x:v>Física</x:v>
      </x:c>
      <x:c r="G3642" s="10" t="n">
        <x:v>55</x:v>
      </x:c>
      <x:c r="H3642" s="10" t="n">
        <x:f>IF(F3642="Física",'Pokémon'!G393,IF(F3642="Especial",'Pokémon'!I393,""))</x:f>
        <x:v>45</x:v>
      </x:c>
      <x:c r="I3642" s="10" t="n">
        <x:f>IF(OR(F3642="Status",G3642=0),"",G3642+H3642)</x:f>
        <x:v>100</x:v>
      </x:c>
      <x:c r="J3642" s="10" t="n">
        <x:v>15</x:v>
      </x:c>
      <x:c r="K3642" s="12" t="n">
        <x:v>10</x:v>
      </x:c>
      <x:c r="L3642" s="1" t="str"/>
      <x:c r="M3642" s="9" t="str">
        <x:v>https://poke.idleworld.online/pokepedia/pokemon/floette</x:v>
      </x:c>
    </x:row>
    <x:row r="3643" ht="22" customHeight="1">
      <x:c r="A3643" s="1" t="n">
        <x:v>670</x:v>
      </x:c>
      <x:c r="B3643" s="1" t="str">
        <x:v>Floette</x:v>
      </x:c>
      <x:c r="C3643" s="1" t="n">
        <x:v>1</x:v>
      </x:c>
      <x:c r="D3643" s="1" t="str">
        <x:v>Tackle</x:v>
      </x:c>
      <x:c r="E3643" s="1" t="str">
        <x:v>Normal</x:v>
      </x:c>
      <x:c r="F3643" s="1" t="str">
        <x:v>Física</x:v>
      </x:c>
      <x:c r="G3643" s="10" t="n">
        <x:v>50</x:v>
      </x:c>
      <x:c r="H3643" s="10" t="n">
        <x:f>IF(F3643="Física",'Pokémon'!G393,IF(F3643="Especial",'Pokémon'!I393,""))</x:f>
        <x:v>45</x:v>
      </x:c>
      <x:c r="I3643" s="10" t="n">
        <x:f>IF(OR(F3643="Status",G3643=0),"",G3643+H3643)</x:f>
        <x:v>95</x:v>
      </x:c>
      <x:c r="J3643" s="10" t="n">
        <x:v>1</x:v>
      </x:c>
      <x:c r="K3643" s="12" t="n">
        <x:v>8</x:v>
      </x:c>
      <x:c r="L3643" s="1" t="str"/>
      <x:c r="M3643" s="9" t="str">
        <x:v>https://poke.idleworld.online/pokepedia/pokemon/floette</x:v>
      </x:c>
    </x:row>
    <x:row r="3644" ht="22" customHeight="1">
      <x:c r="A3644" s="1" t="n">
        <x:v>670</x:v>
      </x:c>
      <x:c r="B3644" s="1" t="str">
        <x:v>Floette</x:v>
      </x:c>
      <x:c r="C3644" s="1" t="n">
        <x:v>2</x:v>
      </x:c>
      <x:c r="D3644" s="1" t="str">
        <x:v>Vine Whip</x:v>
      </x:c>
      <x:c r="E3644" s="1" t="str">
        <x:v>Planta</x:v>
      </x:c>
      <x:c r="F3644" s="1" t="str">
        <x:v>Física</x:v>
      </x:c>
      <x:c r="G3644" s="10" t="n">
        <x:v>45</x:v>
      </x:c>
      <x:c r="H3644" s="10" t="n">
        <x:f>IF(F3644="Física",'Pokémon'!G393,IF(F3644="Especial",'Pokémon'!I393,""))</x:f>
        <x:v>45</x:v>
      </x:c>
      <x:c r="I3644" s="10" t="n">
        <x:f>IF(OR(F3644="Status",G3644=0),"",G3644+H3644)</x:f>
        <x:v>90</x:v>
      </x:c>
      <x:c r="J3644" s="10" t="n">
        <x:v>1</x:v>
      </x:c>
      <x:c r="K3644" s="12" t="n">
        <x:v>15</x:v>
      </x:c>
      <x:c r="L3644" s="1" t="str"/>
      <x:c r="M3644" s="9" t="str">
        <x:v>https://poke.idleworld.online/pokepedia/pokemon/floette</x:v>
      </x:c>
    </x:row>
    <x:row r="3645" ht="22" customHeight="1">
      <x:c r="A3645" s="1" t="n">
        <x:v>671</x:v>
      </x:c>
      <x:c r="B3645" s="1" t="str">
        <x:v>Florges</x:v>
      </x:c>
      <x:c r="C3645" s="1" t="n">
        <x:v>5</x:v>
      </x:c>
      <x:c r="D3645" s="1" t="str">
        <x:v>Petal Dance</x:v>
      </x:c>
      <x:c r="E3645" s="1" t="str">
        <x:v>Planta</x:v>
      </x:c>
      <x:c r="F3645" s="1" t="str">
        <x:v>Especial</x:v>
      </x:c>
      <x:c r="G3645" s="10" t="n">
        <x:v>120</x:v>
      </x:c>
      <x:c r="H3645" s="10" t="n">
        <x:f>IF(F3645="Física",'Pokémon'!G394,IF(F3645="Especial",'Pokémon'!I394,""))</x:f>
        <x:v>112</x:v>
      </x:c>
      <x:c r="I3645" s="10" t="n">
        <x:f>IF(OR(F3645="Status",G3645=0),"",G3645+H3645)</x:f>
        <x:v>232</x:v>
      </x:c>
      <x:c r="J3645" s="10" t="n">
        <x:v>1</x:v>
      </x:c>
      <x:c r="K3645" s="12" t="n">
        <x:v>50</x:v>
      </x:c>
      <x:c r="L3645" s="1" t="str"/>
      <x:c r="M3645" s="9" t="str">
        <x:v>https://poke.idleworld.online/pokepedia/pokemon/florges</x:v>
      </x:c>
    </x:row>
    <x:row r="3646" ht="22" customHeight="1">
      <x:c r="A3646" s="1" t="n">
        <x:v>671</x:v>
      </x:c>
      <x:c r="B3646" s="1" t="str">
        <x:v>Florges</x:v>
      </x:c>
      <x:c r="C3646" s="1" t="n">
        <x:v>4</x:v>
      </x:c>
      <x:c r="D3646" s="1" t="str">
        <x:v>Moonblast</x:v>
      </x:c>
      <x:c r="E3646" s="1" t="str">
        <x:v>Fada</x:v>
      </x:c>
      <x:c r="F3646" s="1" t="str">
        <x:v>Especial</x:v>
      </x:c>
      <x:c r="G3646" s="10" t="n">
        <x:v>95</x:v>
      </x:c>
      <x:c r="H3646" s="10" t="n">
        <x:f>IF(F3646="Física",'Pokémon'!G394,IF(F3646="Especial",'Pokémon'!I394,""))</x:f>
        <x:v>112</x:v>
      </x:c>
      <x:c r="I3646" s="10" t="n">
        <x:f>IF(OR(F3646="Status",G3646=0),"",G3646+H3646)</x:f>
        <x:v>207</x:v>
      </x:c>
      <x:c r="J3646" s="10" t="n">
        <x:v>1</x:v>
      </x:c>
      <x:c r="K3646" s="12" t="n">
        <x:v>40</x:v>
      </x:c>
      <x:c r="L3646" s="1" t="str"/>
      <x:c r="M3646" s="9" t="str">
        <x:v>https://poke.idleworld.online/pokepedia/pokemon/florges</x:v>
      </x:c>
    </x:row>
    <x:row r="3647" ht="22" customHeight="1">
      <x:c r="A3647" s="1" t="n">
        <x:v>671</x:v>
      </x:c>
      <x:c r="B3647" s="1" t="str">
        <x:v>Florges</x:v>
      </x:c>
      <x:c r="C3647" s="1" t="n">
        <x:v>3</x:v>
      </x:c>
      <x:c r="D3647" s="1" t="str">
        <x:v>Magical Leaf</x:v>
      </x:c>
      <x:c r="E3647" s="1" t="str">
        <x:v>Planta</x:v>
      </x:c>
      <x:c r="F3647" s="1" t="str">
        <x:v>Especial</x:v>
      </x:c>
      <x:c r="G3647" s="10" t="n">
        <x:v>60</x:v>
      </x:c>
      <x:c r="H3647" s="10" t="n">
        <x:f>IF(F3647="Física",'Pokémon'!G394,IF(F3647="Especial",'Pokémon'!I394,""))</x:f>
        <x:v>112</x:v>
      </x:c>
      <x:c r="I3647" s="10" t="n">
        <x:f>IF(OR(F3647="Status",G3647=0),"",G3647+H3647)</x:f>
        <x:v>172</x:v>
      </x:c>
      <x:c r="J3647" s="10" t="n">
        <x:v>1</x:v>
      </x:c>
      <x:c r="K3647" s="12" t="n">
        <x:v>20</x:v>
      </x:c>
      <x:c r="L3647" s="1" t="str"/>
      <x:c r="M3647" s="9" t="str">
        <x:v>https://poke.idleworld.online/pokepedia/pokemon/florges</x:v>
      </x:c>
    </x:row>
    <x:row r="3648" ht="22" customHeight="1">
      <x:c r="A3648" s="1" t="n">
        <x:v>671</x:v>
      </x:c>
      <x:c r="B3648" s="1" t="str">
        <x:v>Florges</x:v>
      </x:c>
      <x:c r="C3648" s="1" t="n">
        <x:v>1</x:v>
      </x:c>
      <x:c r="D3648" s="1" t="str">
        <x:v>Petal Blizzard</x:v>
      </x:c>
      <x:c r="E3648" s="1" t="str">
        <x:v>Planta</x:v>
      </x:c>
      <x:c r="F3648" s="1" t="str">
        <x:v>Física</x:v>
      </x:c>
      <x:c r="G3648" s="10" t="n">
        <x:v>90</x:v>
      </x:c>
      <x:c r="H3648" s="10" t="n">
        <x:f>IF(F3648="Física",'Pokémon'!G394,IF(F3648="Especial",'Pokémon'!I394,""))</x:f>
        <x:v>65</x:v>
      </x:c>
      <x:c r="I3648" s="10" t="n">
        <x:f>IF(OR(F3648="Status",G3648=0),"",G3648+H3648)</x:f>
        <x:v>155</x:v>
      </x:c>
      <x:c r="J3648" s="10" t="n">
        <x:v>1</x:v>
      </x:c>
      <x:c r="K3648" s="12" t="n">
        <x:v>50</x:v>
      </x:c>
      <x:c r="L3648" s="1" t="str"/>
      <x:c r="M3648" s="9" t="str">
        <x:v>https://poke.idleworld.online/pokepedia/pokemon/florges</x:v>
      </x:c>
    </x:row>
    <x:row r="3649" ht="22" customHeight="1">
      <x:c r="A3649" s="1" t="n">
        <x:v>671</x:v>
      </x:c>
      <x:c r="B3649" s="1" t="str">
        <x:v>Florges</x:v>
      </x:c>
      <x:c r="C3649" s="1" t="n">
        <x:v>2</x:v>
      </x:c>
      <x:c r="D3649" s="1" t="str">
        <x:v>Disarming Voice</x:v>
      </x:c>
      <x:c r="E3649" s="1" t="str">
        <x:v>Fada</x:v>
      </x:c>
      <x:c r="F3649" s="1" t="str">
        <x:v>Especial</x:v>
      </x:c>
      <x:c r="G3649" s="10" t="n">
        <x:v>40</x:v>
      </x:c>
      <x:c r="H3649" s="10" t="n">
        <x:f>IF(F3649="Física",'Pokémon'!G394,IF(F3649="Especial",'Pokémon'!I394,""))</x:f>
        <x:v>112</x:v>
      </x:c>
      <x:c r="I3649" s="10" t="n">
        <x:f>IF(OR(F3649="Status",G3649=0),"",G3649+H3649)</x:f>
        <x:v>152</x:v>
      </x:c>
      <x:c r="J3649" s="10" t="n">
        <x:v>1</x:v>
      </x:c>
      <x:c r="K3649" s="12" t="n">
        <x:v>15</x:v>
      </x:c>
      <x:c r="L3649" s="1" t="str"/>
      <x:c r="M3649" s="9" t="str">
        <x:v>https://poke.idleworld.online/pokepedia/pokemon/florges</x:v>
      </x:c>
    </x:row>
    <x:row r="3650" ht="22" customHeight="1">
      <x:c r="A3650" s="1" t="n">
        <x:v>672</x:v>
      </x:c>
      <x:c r="B3650" s="1" t="str">
        <x:v>Skiddo</x:v>
      </x:c>
      <x:c r="C3650" s="1" t="n">
        <x:v>7</x:v>
      </x:c>
      <x:c r="D3650" s="1" t="str">
        <x:v>Double-Edge</x:v>
      </x:c>
      <x:c r="E3650" s="1" t="str">
        <x:v>Normal</x:v>
      </x:c>
      <x:c r="F3650" s="1" t="str">
        <x:v>Física</x:v>
      </x:c>
      <x:c r="G3650" s="10" t="n">
        <x:v>120</x:v>
      </x:c>
      <x:c r="H3650" s="10" t="n">
        <x:f>IF(F3650="Física",'Pokémon'!G395,IF(F3650="Especial",'Pokémon'!I395,""))</x:f>
        <x:v>65</x:v>
      </x:c>
      <x:c r="I3650" s="10" t="n">
        <x:f>IF(OR(F3650="Status",G3650=0),"",G3650+H3650)</x:f>
        <x:v>185</x:v>
      </x:c>
      <x:c r="J3650" s="10" t="n">
        <x:v>38</x:v>
      </x:c>
      <x:c r="K3650" s="12" t="n">
        <x:v>50</x:v>
      </x:c>
      <x:c r="L3650" s="1" t="str"/>
      <x:c r="M3650" s="9" t="str">
        <x:v>https://poke.idleworld.online/pokepedia/pokemon/skiddo</x:v>
      </x:c>
    </x:row>
    <x:row r="3651" ht="22" customHeight="1">
      <x:c r="A3651" s="1" t="n">
        <x:v>672</x:v>
      </x:c>
      <x:c r="B3651" s="1" t="str">
        <x:v>Skiddo</x:v>
      </x:c>
      <x:c r="C3651" s="1" t="n">
        <x:v>4</x:v>
      </x:c>
      <x:c r="D3651" s="1" t="str">
        <x:v>Take Down</x:v>
      </x:c>
      <x:c r="E3651" s="1" t="str">
        <x:v>Normal</x:v>
      </x:c>
      <x:c r="F3651" s="1" t="str">
        <x:v>Física</x:v>
      </x:c>
      <x:c r="G3651" s="10" t="n">
        <x:v>90</x:v>
      </x:c>
      <x:c r="H3651" s="10" t="n">
        <x:f>IF(F3651="Física",'Pokémon'!G395,IF(F3651="Especial",'Pokémon'!I395,""))</x:f>
        <x:v>65</x:v>
      </x:c>
      <x:c r="I3651" s="10" t="n">
        <x:f>IF(OR(F3651="Status",G3651=0),"",G3651+H3651)</x:f>
        <x:v>155</x:v>
      </x:c>
      <x:c r="J3651" s="10" t="n">
        <x:v>22</x:v>
      </x:c>
      <x:c r="K3651" s="12" t="n">
        <x:v>22</x:v>
      </x:c>
      <x:c r="L3651" s="1" t="str"/>
      <x:c r="M3651" s="9" t="str">
        <x:v>https://poke.idleworld.online/pokepedia/pokemon/skiddo</x:v>
      </x:c>
    </x:row>
    <x:row r="3652" ht="22" customHeight="1">
      <x:c r="A3652" s="1" t="n">
        <x:v>672</x:v>
      </x:c>
      <x:c r="B3652" s="1" t="str">
        <x:v>Skiddo</x:v>
      </x:c>
      <x:c r="C3652" s="1" t="n">
        <x:v>9</x:v>
      </x:c>
      <x:c r="D3652" s="1" t="str">
        <x:v>Leaf Blade</x:v>
      </x:c>
      <x:c r="E3652" s="1" t="str">
        <x:v>Planta</x:v>
      </x:c>
      <x:c r="F3652" s="1" t="str">
        <x:v>Física</x:v>
      </x:c>
      <x:c r="G3652" s="10" t="n">
        <x:v>90</x:v>
      </x:c>
      <x:c r="H3652" s="10" t="n">
        <x:f>IF(F3652="Física",'Pokémon'!G395,IF(F3652="Especial",'Pokémon'!I395,""))</x:f>
        <x:v>65</x:v>
      </x:c>
      <x:c r="I3652" s="10" t="n">
        <x:f>IF(OR(F3652="Status",G3652=0),"",G3652+H3652)</x:f>
        <x:v>155</x:v>
      </x:c>
      <x:c r="J3652" s="10" t="n">
        <x:v>45</x:v>
      </x:c>
      <x:c r="K3652" s="12" t="n">
        <x:v>22</x:v>
      </x:c>
      <x:c r="L3652" s="1" t="str"/>
      <x:c r="M3652" s="9" t="str">
        <x:v>https://poke.idleworld.online/pokepedia/pokemon/skiddo</x:v>
      </x:c>
    </x:row>
    <x:row r="3653" ht="22" customHeight="1">
      <x:c r="A3653" s="1" t="n">
        <x:v>672</x:v>
      </x:c>
      <x:c r="B3653" s="1" t="str">
        <x:v>Skiddo</x:v>
      </x:c>
      <x:c r="C3653" s="1" t="n">
        <x:v>6</x:v>
      </x:c>
      <x:c r="D3653" s="1" t="str">
        <x:v>Seed Bomb</x:v>
      </x:c>
      <x:c r="E3653" s="1" t="str">
        <x:v>Planta</x:v>
      </x:c>
      <x:c r="F3653" s="1" t="str">
        <x:v>Física</x:v>
      </x:c>
      <x:c r="G3653" s="10" t="n">
        <x:v>80</x:v>
      </x:c>
      <x:c r="H3653" s="10" t="n">
        <x:f>IF(F3653="Física",'Pokémon'!G395,IF(F3653="Especial",'Pokémon'!I395,""))</x:f>
        <x:v>65</x:v>
      </x:c>
      <x:c r="I3653" s="10" t="n">
        <x:f>IF(OR(F3653="Status",G3653=0),"",G3653+H3653)</x:f>
        <x:v>145</x:v>
      </x:c>
      <x:c r="J3653" s="10" t="n">
        <x:v>30</x:v>
      </x:c>
      <x:c r="K3653" s="12" t="n">
        <x:v>25</x:v>
      </x:c>
      <x:c r="L3653" s="1" t="str"/>
      <x:c r="M3653" s="9" t="str">
        <x:v>https://poke.idleworld.online/pokepedia/pokemon/skiddo</x:v>
      </x:c>
    </x:row>
    <x:row r="3654" ht="22" customHeight="1">
      <x:c r="A3654" s="1" t="n">
        <x:v>672</x:v>
      </x:c>
      <x:c r="B3654" s="1" t="str">
        <x:v>Skiddo</x:v>
      </x:c>
      <x:c r="C3654" s="1" t="n">
        <x:v>8</x:v>
      </x:c>
      <x:c r="D3654" s="1" t="str">
        <x:v>Horn Leech</x:v>
      </x:c>
      <x:c r="E3654" s="1" t="str">
        <x:v>Planta</x:v>
      </x:c>
      <x:c r="F3654" s="1" t="str">
        <x:v>Física</x:v>
      </x:c>
      <x:c r="G3654" s="10" t="n">
        <x:v>75</x:v>
      </x:c>
      <x:c r="H3654" s="10" t="n">
        <x:f>IF(F3654="Física",'Pokémon'!G395,IF(F3654="Especial",'Pokémon'!I395,""))</x:f>
        <x:v>65</x:v>
      </x:c>
      <x:c r="I3654" s="10" t="n">
        <x:f>IF(OR(F3654="Status",G3654=0),"",G3654+H3654)</x:f>
        <x:v>140</x:v>
      </x:c>
      <x:c r="J3654" s="10" t="n">
        <x:v>42</x:v>
      </x:c>
      <x:c r="K3654" s="12" t="n">
        <x:v>22</x:v>
      </x:c>
      <x:c r="L3654" s="1" t="str"/>
      <x:c r="M3654" s="9" t="str">
        <x:v>https://poke.idleworld.online/pokepedia/pokemon/skiddo</x:v>
      </x:c>
    </x:row>
    <x:row r="3655" ht="22" customHeight="1">
      <x:c r="A3655" s="1" t="n">
        <x:v>672</x:v>
      </x:c>
      <x:c r="B3655" s="1" t="str">
        <x:v>Skiddo</x:v>
      </x:c>
      <x:c r="C3655" s="1" t="n">
        <x:v>5</x:v>
      </x:c>
      <x:c r="D3655" s="1" t="str">
        <x:v>Bulldoze</x:v>
      </x:c>
      <x:c r="E3655" s="1" t="str">
        <x:v>Terrestre</x:v>
      </x:c>
      <x:c r="F3655" s="1" t="str">
        <x:v>Física</x:v>
      </x:c>
      <x:c r="G3655" s="10" t="n">
        <x:v>60</x:v>
      </x:c>
      <x:c r="H3655" s="10" t="n">
        <x:f>IF(F3655="Física",'Pokémon'!G395,IF(F3655="Especial",'Pokémon'!I395,""))</x:f>
        <x:v>65</x:v>
      </x:c>
      <x:c r="I3655" s="10" t="n">
        <x:f>IF(OR(F3655="Status",G3655=0),"",G3655+H3655)</x:f>
        <x:v>125</x:v>
      </x:c>
      <x:c r="J3655" s="10" t="n">
        <x:v>26</x:v>
      </x:c>
      <x:c r="K3655" s="12" t="n">
        <x:v>20</x:v>
      </x:c>
      <x:c r="L3655" s="1" t="str"/>
      <x:c r="M3655" s="9" t="str">
        <x:v>https://poke.idleworld.online/pokepedia/pokemon/skiddo</x:v>
      </x:c>
    </x:row>
    <x:row r="3656" ht="22" customHeight="1">
      <x:c r="A3656" s="1" t="n">
        <x:v>672</x:v>
      </x:c>
      <x:c r="B3656" s="1" t="str">
        <x:v>Skiddo</x:v>
      </x:c>
      <x:c r="C3656" s="1" t="n">
        <x:v>3</x:v>
      </x:c>
      <x:c r="D3656" s="1" t="str">
        <x:v>Razor Leaf</x:v>
      </x:c>
      <x:c r="E3656" s="1" t="str">
        <x:v>Planta</x:v>
      </x:c>
      <x:c r="F3656" s="1" t="str">
        <x:v>Física</x:v>
      </x:c>
      <x:c r="G3656" s="10" t="n">
        <x:v>55</x:v>
      </x:c>
      <x:c r="H3656" s="10" t="n">
        <x:f>IF(F3656="Física",'Pokémon'!G395,IF(F3656="Especial",'Pokémon'!I395,""))</x:f>
        <x:v>65</x:v>
      </x:c>
      <x:c r="I3656" s="10" t="n">
        <x:f>IF(OR(F3656="Status",G3656=0),"",G3656+H3656)</x:f>
        <x:v>120</x:v>
      </x:c>
      <x:c r="J3656" s="10" t="n">
        <x:v>13</x:v>
      </x:c>
      <x:c r="K3656" s="12" t="n">
        <x:v>10</x:v>
      </x:c>
      <x:c r="L3656" s="1" t="str"/>
      <x:c r="M3656" s="9" t="str">
        <x:v>https://poke.idleworld.online/pokepedia/pokemon/skiddo</x:v>
      </x:c>
    </x:row>
    <x:row r="3657" ht="22" customHeight="1">
      <x:c r="A3657" s="1" t="n">
        <x:v>672</x:v>
      </x:c>
      <x:c r="B3657" s="1" t="str">
        <x:v>Skiddo</x:v>
      </x:c>
      <x:c r="C3657" s="1" t="n">
        <x:v>1</x:v>
      </x:c>
      <x:c r="D3657" s="1" t="str">
        <x:v>Tackle</x:v>
      </x:c>
      <x:c r="E3657" s="1" t="str">
        <x:v>Normal</x:v>
      </x:c>
      <x:c r="F3657" s="1" t="str">
        <x:v>Física</x:v>
      </x:c>
      <x:c r="G3657" s="10" t="n">
        <x:v>50</x:v>
      </x:c>
      <x:c r="H3657" s="10" t="n">
        <x:f>IF(F3657="Física",'Pokémon'!G395,IF(F3657="Especial",'Pokémon'!I395,""))</x:f>
        <x:v>65</x:v>
      </x:c>
      <x:c r="I3657" s="10" t="n">
        <x:f>IF(OR(F3657="Status",G3657=0),"",G3657+H3657)</x:f>
        <x:v>115</x:v>
      </x:c>
      <x:c r="J3657" s="10" t="n">
        <x:v>1</x:v>
      </x:c>
      <x:c r="K3657" s="12" t="n">
        <x:v>15</x:v>
      </x:c>
      <x:c r="L3657" s="1" t="str"/>
      <x:c r="M3657" s="9" t="str">
        <x:v>https://poke.idleworld.online/pokepedia/pokemon/skiddo</x:v>
      </x:c>
    </x:row>
    <x:row r="3658" ht="22" customHeight="1">
      <x:c r="A3658" s="1" t="n">
        <x:v>672</x:v>
      </x:c>
      <x:c r="B3658" s="1" t="str">
        <x:v>Skiddo</x:v>
      </x:c>
      <x:c r="C3658" s="1" t="n">
        <x:v>2</x:v>
      </x:c>
      <x:c r="D3658" s="1" t="str">
        <x:v>Vine Whip</x:v>
      </x:c>
      <x:c r="E3658" s="1" t="str">
        <x:v>Planta</x:v>
      </x:c>
      <x:c r="F3658" s="1" t="str">
        <x:v>Física</x:v>
      </x:c>
      <x:c r="G3658" s="10" t="n">
        <x:v>45</x:v>
      </x:c>
      <x:c r="H3658" s="10" t="n">
        <x:f>IF(F3658="Física",'Pokémon'!G395,IF(F3658="Especial",'Pokémon'!I395,""))</x:f>
        <x:v>65</x:v>
      </x:c>
      <x:c r="I3658" s="10" t="n">
        <x:f>IF(OR(F3658="Status",G3658=0),"",G3658+H3658)</x:f>
        <x:v>110</x:v>
      </x:c>
      <x:c r="J3658" s="10" t="n">
        <x:v>7</x:v>
      </x:c>
      <x:c r="K3658" s="12" t="n">
        <x:v>15</x:v>
      </x:c>
      <x:c r="L3658" s="1" t="str"/>
      <x:c r="M3658" s="9" t="str">
        <x:v>https://poke.idleworld.online/pokepedia/pokemon/skiddo</x:v>
      </x:c>
    </x:row>
    <x:row r="3659" ht="22" customHeight="1">
      <x:c r="A3659" s="1" t="n">
        <x:v>673</x:v>
      </x:c>
      <x:c r="B3659" s="1" t="str">
        <x:v>Gogoat</x:v>
      </x:c>
      <x:c r="C3659" s="1" t="n">
        <x:v>8</x:v>
      </x:c>
      <x:c r="D3659" s="1" t="str">
        <x:v>Double-Edge</x:v>
      </x:c>
      <x:c r="E3659" s="1" t="str">
        <x:v>Normal</x:v>
      </x:c>
      <x:c r="F3659" s="1" t="str">
        <x:v>Física</x:v>
      </x:c>
      <x:c r="G3659" s="10" t="n">
        <x:v>120</x:v>
      </x:c>
      <x:c r="H3659" s="10" t="n">
        <x:f>IF(F3659="Física",'Pokémon'!G396,IF(F3659="Especial",'Pokémon'!I396,""))</x:f>
        <x:v>100</x:v>
      </x:c>
      <x:c r="I3659" s="10" t="n">
        <x:f>IF(OR(F3659="Status",G3659=0),"",G3659+H3659)</x:f>
        <x:v>220</x:v>
      </x:c>
      <x:c r="J3659" s="10" t="n">
        <x:v>40</x:v>
      </x:c>
      <x:c r="K3659" s="12" t="n">
        <x:v>50</x:v>
      </x:c>
      <x:c r="L3659" s="1" t="str"/>
      <x:c r="M3659" s="9" t="str">
        <x:v>https://poke.idleworld.online/pokepedia/pokemon/gogoat</x:v>
      </x:c>
    </x:row>
    <x:row r="3660" ht="22" customHeight="1">
      <x:c r="A3660" s="1" t="n">
        <x:v>673</x:v>
      </x:c>
      <x:c r="B3660" s="1" t="str">
        <x:v>Gogoat</x:v>
      </x:c>
      <x:c r="C3660" s="1" t="n">
        <x:v>11</x:v>
      </x:c>
      <x:c r="D3660" s="1" t="str">
        <x:v>Earthquake</x:v>
      </x:c>
      <x:c r="E3660" s="1" t="str">
        <x:v>Terrestre</x:v>
      </x:c>
      <x:c r="F3660" s="1" t="str">
        <x:v>Física</x:v>
      </x:c>
      <x:c r="G3660" s="10" t="n">
        <x:v>100</x:v>
      </x:c>
      <x:c r="H3660" s="10" t="n">
        <x:f>IF(F3660="Física",'Pokémon'!G396,IF(F3660="Especial",'Pokémon'!I396,""))</x:f>
        <x:v>100</x:v>
      </x:c>
      <x:c r="I3660" s="10" t="n">
        <x:f>IF(OR(F3660="Status",G3660=0),"",G3660+H3660)</x:f>
        <x:v>200</x:v>
      </x:c>
      <x:c r="J3660" s="10" t="n">
        <x:v>60</x:v>
      </x:c>
      <x:c r="K3660" s="12" t="n">
        <x:v>40</x:v>
      </x:c>
      <x:c r="L3660" s="1" t="str"/>
      <x:c r="M3660" s="9" t="str">
        <x:v>https://poke.idleworld.online/pokepedia/pokemon/gogoat</x:v>
      </x:c>
    </x:row>
    <x:row r="3661" ht="22" customHeight="1">
      <x:c r="A3661" s="1" t="n">
        <x:v>673</x:v>
      </x:c>
      <x:c r="B3661" s="1" t="str">
        <x:v>Gogoat</x:v>
      </x:c>
      <x:c r="C3661" s="1" t="n">
        <x:v>5</x:v>
      </x:c>
      <x:c r="D3661" s="1" t="str">
        <x:v>Take Down</x:v>
      </x:c>
      <x:c r="E3661" s="1" t="str">
        <x:v>Normal</x:v>
      </x:c>
      <x:c r="F3661" s="1" t="str">
        <x:v>Física</x:v>
      </x:c>
      <x:c r="G3661" s="10" t="n">
        <x:v>90</x:v>
      </x:c>
      <x:c r="H3661" s="10" t="n">
        <x:f>IF(F3661="Física",'Pokémon'!G396,IF(F3661="Especial",'Pokémon'!I396,""))</x:f>
        <x:v>100</x:v>
      </x:c>
      <x:c r="I3661" s="10" t="n">
        <x:f>IF(OR(F3661="Status",G3661=0),"",G3661+H3661)</x:f>
        <x:v>190</x:v>
      </x:c>
      <x:c r="J3661" s="10" t="n">
        <x:v>22</x:v>
      </x:c>
      <x:c r="K3661" s="12" t="n">
        <x:v>22</x:v>
      </x:c>
      <x:c r="L3661" s="1" t="str"/>
      <x:c r="M3661" s="9" t="str">
        <x:v>https://poke.idleworld.online/pokepedia/pokemon/gogoat</x:v>
      </x:c>
    </x:row>
    <x:row r="3662" ht="22" customHeight="1">
      <x:c r="A3662" s="1" t="n">
        <x:v>673</x:v>
      </x:c>
      <x:c r="B3662" s="1" t="str">
        <x:v>Gogoat</x:v>
      </x:c>
      <x:c r="C3662" s="1" t="n">
        <x:v>10</x:v>
      </x:c>
      <x:c r="D3662" s="1" t="str">
        <x:v>Leaf Blade</x:v>
      </x:c>
      <x:c r="E3662" s="1" t="str">
        <x:v>Planta</x:v>
      </x:c>
      <x:c r="F3662" s="1" t="str">
        <x:v>Física</x:v>
      </x:c>
      <x:c r="G3662" s="10" t="n">
        <x:v>90</x:v>
      </x:c>
      <x:c r="H3662" s="10" t="n">
        <x:f>IF(F3662="Física",'Pokémon'!G396,IF(F3662="Especial",'Pokémon'!I396,""))</x:f>
        <x:v>100</x:v>
      </x:c>
      <x:c r="I3662" s="10" t="n">
        <x:f>IF(OR(F3662="Status",G3662=0),"",G3662+H3662)</x:f>
        <x:v>190</x:v>
      </x:c>
      <x:c r="J3662" s="10" t="n">
        <x:v>55</x:v>
      </x:c>
      <x:c r="K3662" s="12" t="n">
        <x:v>22</x:v>
      </x:c>
      <x:c r="L3662" s="1" t="str"/>
      <x:c r="M3662" s="9" t="str">
        <x:v>https://poke.idleworld.online/pokepedia/pokemon/gogoat</x:v>
      </x:c>
    </x:row>
    <x:row r="3663" ht="22" customHeight="1">
      <x:c r="A3663" s="1" t="n">
        <x:v>673</x:v>
      </x:c>
      <x:c r="B3663" s="1" t="str">
        <x:v>Gogoat</x:v>
      </x:c>
      <x:c r="C3663" s="1" t="n">
        <x:v>7</x:v>
      </x:c>
      <x:c r="D3663" s="1" t="str">
        <x:v>Seed Bomb</x:v>
      </x:c>
      <x:c r="E3663" s="1" t="str">
        <x:v>Planta</x:v>
      </x:c>
      <x:c r="F3663" s="1" t="str">
        <x:v>Física</x:v>
      </x:c>
      <x:c r="G3663" s="10" t="n">
        <x:v>80</x:v>
      </x:c>
      <x:c r="H3663" s="10" t="n">
        <x:f>IF(F3663="Física",'Pokémon'!G396,IF(F3663="Especial",'Pokémon'!I396,""))</x:f>
        <x:v>100</x:v>
      </x:c>
      <x:c r="I3663" s="10" t="n">
        <x:f>IF(OR(F3663="Status",G3663=0),"",G3663+H3663)</x:f>
        <x:v>180</x:v>
      </x:c>
      <x:c r="J3663" s="10" t="n">
        <x:v>30</x:v>
      </x:c>
      <x:c r="K3663" s="12" t="n">
        <x:v>22</x:v>
      </x:c>
      <x:c r="L3663" s="1" t="str"/>
      <x:c r="M3663" s="9" t="str">
        <x:v>https://poke.idleworld.online/pokepedia/pokemon/gogoat</x:v>
      </x:c>
    </x:row>
    <x:row r="3664" ht="22" customHeight="1">
      <x:c r="A3664" s="1" t="n">
        <x:v>673</x:v>
      </x:c>
      <x:c r="B3664" s="1" t="str">
        <x:v>Gogoat</x:v>
      </x:c>
      <x:c r="C3664" s="1" t="n">
        <x:v>9</x:v>
      </x:c>
      <x:c r="D3664" s="1" t="str">
        <x:v>Horn Leech</x:v>
      </x:c>
      <x:c r="E3664" s="1" t="str">
        <x:v>Planta</x:v>
      </x:c>
      <x:c r="F3664" s="1" t="str">
        <x:v>Física</x:v>
      </x:c>
      <x:c r="G3664" s="10" t="n">
        <x:v>75</x:v>
      </x:c>
      <x:c r="H3664" s="10" t="n">
        <x:f>IF(F3664="Física",'Pokémon'!G396,IF(F3664="Especial",'Pokémon'!I396,""))</x:f>
        <x:v>100</x:v>
      </x:c>
      <x:c r="I3664" s="10" t="n">
        <x:f>IF(OR(F3664="Status",G3664=0),"",G3664+H3664)</x:f>
        <x:v>175</x:v>
      </x:c>
      <x:c r="J3664" s="10" t="n">
        <x:v>47</x:v>
      </x:c>
      <x:c r="K3664" s="12" t="n">
        <x:v>60</x:v>
      </x:c>
      <x:c r="L3664" s="1" t="str"/>
      <x:c r="M3664" s="9" t="str">
        <x:v>https://poke.idleworld.online/pokepedia/pokemon/gogoat</x:v>
      </x:c>
    </x:row>
    <x:row r="3665" ht="22" customHeight="1">
      <x:c r="A3665" s="1" t="n">
        <x:v>673</x:v>
      </x:c>
      <x:c r="B3665" s="1" t="str">
        <x:v>Gogoat</x:v>
      </x:c>
      <x:c r="C3665" s="1" t="n">
        <x:v>2</x:v>
      </x:c>
      <x:c r="D3665" s="1" t="str">
        <x:v>Aerial Ace</x:v>
      </x:c>
      <x:c r="E3665" s="1" t="str">
        <x:v>Voador</x:v>
      </x:c>
      <x:c r="F3665" s="1" t="str">
        <x:v>Física</x:v>
      </x:c>
      <x:c r="G3665" s="10" t="n">
        <x:v>60</x:v>
      </x:c>
      <x:c r="H3665" s="10" t="n">
        <x:f>IF(F3665="Física",'Pokémon'!G396,IF(F3665="Especial",'Pokémon'!I396,""))</x:f>
        <x:v>100</x:v>
      </x:c>
      <x:c r="I3665" s="10" t="n">
        <x:f>IF(OR(F3665="Status",G3665=0),"",G3665+H3665)</x:f>
        <x:v>160</x:v>
      </x:c>
      <x:c r="J3665" s="10" t="n">
        <x:v>1</x:v>
      </x:c>
      <x:c r="K3665" s="12" t="n">
        <x:v>20</x:v>
      </x:c>
      <x:c r="L3665" s="1" t="str"/>
      <x:c r="M3665" s="9" t="str">
        <x:v>https://poke.idleworld.online/pokepedia/pokemon/gogoat</x:v>
      </x:c>
    </x:row>
    <x:row r="3666" ht="22" customHeight="1">
      <x:c r="A3666" s="1" t="n">
        <x:v>673</x:v>
      </x:c>
      <x:c r="B3666" s="1" t="str">
        <x:v>Gogoat</x:v>
      </x:c>
      <x:c r="C3666" s="1" t="n">
        <x:v>6</x:v>
      </x:c>
      <x:c r="D3666" s="1" t="str">
        <x:v>Bulldoze</x:v>
      </x:c>
      <x:c r="E3666" s="1" t="str">
        <x:v>Terrestre</x:v>
      </x:c>
      <x:c r="F3666" s="1" t="str">
        <x:v>Física</x:v>
      </x:c>
      <x:c r="G3666" s="10" t="n">
        <x:v>60</x:v>
      </x:c>
      <x:c r="H3666" s="10" t="n">
        <x:f>IF(F3666="Física",'Pokémon'!G396,IF(F3666="Especial",'Pokémon'!I396,""))</x:f>
        <x:v>100</x:v>
      </x:c>
      <x:c r="I3666" s="10" t="n">
        <x:f>IF(OR(F3666="Status",G3666=0),"",G3666+H3666)</x:f>
        <x:v>160</x:v>
      </x:c>
      <x:c r="J3666" s="10" t="n">
        <x:v>26</x:v>
      </x:c>
      <x:c r="K3666" s="12" t="n">
        <x:v>20</x:v>
      </x:c>
      <x:c r="L3666" s="1" t="str"/>
      <x:c r="M3666" s="9" t="str">
        <x:v>https://poke.idleworld.online/pokepedia/pokemon/gogoat</x:v>
      </x:c>
    </x:row>
    <x:row r="3667" ht="22" customHeight="1">
      <x:c r="A3667" s="1" t="n">
        <x:v>673</x:v>
      </x:c>
      <x:c r="B3667" s="1" t="str">
        <x:v>Gogoat</x:v>
      </x:c>
      <x:c r="C3667" s="1" t="n">
        <x:v>4</x:v>
      </x:c>
      <x:c r="D3667" s="1" t="str">
        <x:v>Razor Leaf</x:v>
      </x:c>
      <x:c r="E3667" s="1" t="str">
        <x:v>Planta</x:v>
      </x:c>
      <x:c r="F3667" s="1" t="str">
        <x:v>Física</x:v>
      </x:c>
      <x:c r="G3667" s="10" t="n">
        <x:v>55</x:v>
      </x:c>
      <x:c r="H3667" s="10" t="n">
        <x:f>IF(F3667="Física",'Pokémon'!G396,IF(F3667="Especial",'Pokémon'!I396,""))</x:f>
        <x:v>100</x:v>
      </x:c>
      <x:c r="I3667" s="10" t="n">
        <x:f>IF(OR(F3667="Status",G3667=0),"",G3667+H3667)</x:f>
        <x:v>155</x:v>
      </x:c>
      <x:c r="J3667" s="10" t="n">
        <x:v>13</x:v>
      </x:c>
      <x:c r="K3667" s="12" t="n">
        <x:v>10</x:v>
      </x:c>
      <x:c r="L3667" s="1" t="str"/>
      <x:c r="M3667" s="9" t="str">
        <x:v>https://poke.idleworld.online/pokepedia/pokemon/gogoat</x:v>
      </x:c>
    </x:row>
    <x:row r="3668" ht="22" customHeight="1">
      <x:c r="A3668" s="1" t="n">
        <x:v>673</x:v>
      </x:c>
      <x:c r="B3668" s="1" t="str">
        <x:v>Gogoat</x:v>
      </x:c>
      <x:c r="C3668" s="1" t="n">
        <x:v>1</x:v>
      </x:c>
      <x:c r="D3668" s="1" t="str">
        <x:v>Tackle</x:v>
      </x:c>
      <x:c r="E3668" s="1" t="str">
        <x:v>Normal</x:v>
      </x:c>
      <x:c r="F3668" s="1" t="str">
        <x:v>Física</x:v>
      </x:c>
      <x:c r="G3668" s="10" t="n">
        <x:v>50</x:v>
      </x:c>
      <x:c r="H3668" s="10" t="n">
        <x:f>IF(F3668="Física",'Pokémon'!G396,IF(F3668="Especial",'Pokémon'!I396,""))</x:f>
        <x:v>100</x:v>
      </x:c>
      <x:c r="I3668" s="10" t="n">
        <x:f>IF(OR(F3668="Status",G3668=0),"",G3668+H3668)</x:f>
        <x:v>150</x:v>
      </x:c>
      <x:c r="J3668" s="10" t="n">
        <x:v>1</x:v>
      </x:c>
      <x:c r="K3668" s="12" t="n">
        <x:v>10</x:v>
      </x:c>
      <x:c r="L3668" s="1" t="str"/>
      <x:c r="M3668" s="9" t="str">
        <x:v>https://poke.idleworld.online/pokepedia/pokemon/gogoat</x:v>
      </x:c>
    </x:row>
    <x:row r="3669" ht="22" customHeight="1">
      <x:c r="A3669" s="1" t="n">
        <x:v>673</x:v>
      </x:c>
      <x:c r="B3669" s="1" t="str">
        <x:v>Gogoat</x:v>
      </x:c>
      <x:c r="C3669" s="1" t="n">
        <x:v>3</x:v>
      </x:c>
      <x:c r="D3669" s="1" t="str">
        <x:v>Vine Whip</x:v>
      </x:c>
      <x:c r="E3669" s="1" t="str">
        <x:v>Planta</x:v>
      </x:c>
      <x:c r="F3669" s="1" t="str">
        <x:v>Física</x:v>
      </x:c>
      <x:c r="G3669" s="10" t="n">
        <x:v>45</x:v>
      </x:c>
      <x:c r="H3669" s="10" t="n">
        <x:f>IF(F3669="Física",'Pokémon'!G396,IF(F3669="Especial",'Pokémon'!I396,""))</x:f>
        <x:v>100</x:v>
      </x:c>
      <x:c r="I3669" s="10" t="n">
        <x:f>IF(OR(F3669="Status",G3669=0),"",G3669+H3669)</x:f>
        <x:v>145</x:v>
      </x:c>
      <x:c r="J3669" s="10" t="n">
        <x:v>7</x:v>
      </x:c>
      <x:c r="K3669" s="12" t="n">
        <x:v>15</x:v>
      </x:c>
      <x:c r="L3669" s="1" t="str"/>
      <x:c r="M3669" s="9" t="str">
        <x:v>https://poke.idleworld.online/pokepedia/pokemon/gogoat</x:v>
      </x:c>
    </x:row>
    <x:row r="3670" ht="22" customHeight="1">
      <x:c r="A3670" s="1" t="n">
        <x:v>674</x:v>
      </x:c>
      <x:c r="B3670" s="1" t="str">
        <x:v>Pancham</x:v>
      </x:c>
      <x:c r="C3670" s="1" t="n">
        <x:v>8</x:v>
      </x:c>
      <x:c r="D3670" s="1" t="str">
        <x:v>Body Slam</x:v>
      </x:c>
      <x:c r="E3670" s="1" t="str">
        <x:v>Normal</x:v>
      </x:c>
      <x:c r="F3670" s="1" t="str">
        <x:v>Física</x:v>
      </x:c>
      <x:c r="G3670" s="10" t="n">
        <x:v>85</x:v>
      </x:c>
      <x:c r="H3670" s="10" t="n">
        <x:f>IF(F3670="Física",'Pokémon'!G397,IF(F3670="Especial",'Pokémon'!I397,""))</x:f>
        <x:v>82</x:v>
      </x:c>
      <x:c r="I3670" s="10" t="n">
        <x:f>IF(OR(F3670="Status",G3670=0),"",G3670+H3670)</x:f>
        <x:v>167</x:v>
      </x:c>
      <x:c r="J3670" s="10" t="n">
        <x:v>33</x:v>
      </x:c>
      <x:c r="K3670" s="12" t="n">
        <x:v>22</x:v>
      </x:c>
      <x:c r="L3670" s="1" t="str"/>
      <x:c r="M3670" s="9" t="str">
        <x:v>https://poke.idleworld.online/pokepedia/pokemon/pancham</x:v>
      </x:c>
    </x:row>
    <x:row r="3671" ht="22" customHeight="1">
      <x:c r="A3671" s="1" t="n">
        <x:v>674</x:v>
      </x:c>
      <x:c r="B3671" s="1" t="str">
        <x:v>Pancham</x:v>
      </x:c>
      <x:c r="C3671" s="1" t="n">
        <x:v>10</x:v>
      </x:c>
      <x:c r="D3671" s="1" t="str">
        <x:v>Sky Uppercut</x:v>
      </x:c>
      <x:c r="E3671" s="1" t="str">
        <x:v>Lutador</x:v>
      </x:c>
      <x:c r="F3671" s="1" t="str">
        <x:v>Física</x:v>
      </x:c>
      <x:c r="G3671" s="10" t="n">
        <x:v>85</x:v>
      </x:c>
      <x:c r="H3671" s="10" t="n">
        <x:f>IF(F3671="Física",'Pokémon'!G397,IF(F3671="Especial",'Pokémon'!I397,""))</x:f>
        <x:v>82</x:v>
      </x:c>
      <x:c r="I3671" s="10" t="n">
        <x:f>IF(OR(F3671="Status",G3671=0),"",G3671+H3671)</x:f>
        <x:v>167</x:v>
      </x:c>
      <x:c r="J3671" s="10" t="n">
        <x:v>48</x:v>
      </x:c>
      <x:c r="K3671" s="12" t="n">
        <x:v>22</x:v>
      </x:c>
      <x:c r="L3671" s="1" t="str"/>
      <x:c r="M3671" s="9" t="str">
        <x:v>https://poke.idleworld.online/pokepedia/pokemon/pancham</x:v>
      </x:c>
    </x:row>
    <x:row r="3672" ht="22" customHeight="1">
      <x:c r="A3672" s="1" t="n">
        <x:v>674</x:v>
      </x:c>
      <x:c r="B3672" s="1" t="str">
        <x:v>Pancham</x:v>
      </x:c>
      <x:c r="C3672" s="1" t="n">
        <x:v>9</x:v>
      </x:c>
      <x:c r="D3672" s="1" t="str">
        <x:v>Crunch</x:v>
      </x:c>
      <x:c r="E3672" s="1" t="str">
        <x:v>Sombrio</x:v>
      </x:c>
      <x:c r="F3672" s="1" t="str">
        <x:v>Física</x:v>
      </x:c>
      <x:c r="G3672" s="10" t="n">
        <x:v>80</x:v>
      </x:c>
      <x:c r="H3672" s="10" t="n">
        <x:f>IF(F3672="Física",'Pokémon'!G397,IF(F3672="Especial",'Pokémon'!I397,""))</x:f>
        <x:v>82</x:v>
      </x:c>
      <x:c r="I3672" s="10" t="n">
        <x:f>IF(OR(F3672="Status",G3672=0),"",G3672+H3672)</x:f>
        <x:v>162</x:v>
      </x:c>
      <x:c r="J3672" s="10" t="n">
        <x:v>39</x:v>
      </x:c>
      <x:c r="K3672" s="12" t="n">
        <x:v>22</x:v>
      </x:c>
      <x:c r="L3672" s="1" t="str"/>
      <x:c r="M3672" s="9" t="str">
        <x:v>https://poke.idleworld.online/pokepedia/pokemon/pancham</x:v>
      </x:c>
    </x:row>
    <x:row r="3673" ht="22" customHeight="1">
      <x:c r="A3673" s="1" t="n">
        <x:v>674</x:v>
      </x:c>
      <x:c r="B3673" s="1" t="str">
        <x:v>Pancham</x:v>
      </x:c>
      <x:c r="C3673" s="1" t="n">
        <x:v>5</x:v>
      </x:c>
      <x:c r="D3673" s="1" t="str">
        <x:v>Slash</x:v>
      </x:c>
      <x:c r="E3673" s="1" t="str">
        <x:v>Normal</x:v>
      </x:c>
      <x:c r="F3673" s="1" t="str">
        <x:v>Física</x:v>
      </x:c>
      <x:c r="G3673" s="10" t="n">
        <x:v>70</x:v>
      </x:c>
      <x:c r="H3673" s="10" t="n">
        <x:f>IF(F3673="Física",'Pokémon'!G397,IF(F3673="Especial",'Pokémon'!I397,""))</x:f>
        <x:v>82</x:v>
      </x:c>
      <x:c r="I3673" s="10" t="n">
        <x:f>IF(OR(F3673="Status",G3673=0),"",G3673+H3673)</x:f>
        <x:v>152</x:v>
      </x:c>
      <x:c r="J3673" s="10" t="n">
        <x:v>20</x:v>
      </x:c>
      <x:c r="K3673" s="12" t="n">
        <x:v>20</x:v>
      </x:c>
      <x:c r="L3673" s="1" t="str"/>
      <x:c r="M3673" s="9" t="str">
        <x:v>https://poke.idleworld.online/pokepedia/pokemon/pancham</x:v>
      </x:c>
    </x:row>
    <x:row r="3674" ht="22" customHeight="1">
      <x:c r="A3674" s="1" t="n">
        <x:v>674</x:v>
      </x:c>
      <x:c r="B3674" s="1" t="str">
        <x:v>Pancham</x:v>
      </x:c>
      <x:c r="C3674" s="1" t="n">
        <x:v>7</x:v>
      </x:c>
      <x:c r="D3674" s="1" t="str">
        <x:v>Vital Throw</x:v>
      </x:c>
      <x:c r="E3674" s="1" t="str">
        <x:v>Lutador</x:v>
      </x:c>
      <x:c r="F3674" s="1" t="str">
        <x:v>Física</x:v>
      </x:c>
      <x:c r="G3674" s="10" t="n">
        <x:v>70</x:v>
      </x:c>
      <x:c r="H3674" s="10" t="n">
        <x:f>IF(F3674="Física",'Pokémon'!G397,IF(F3674="Especial",'Pokémon'!I397,""))</x:f>
        <x:v>82</x:v>
      </x:c>
      <x:c r="I3674" s="10" t="n">
        <x:f>IF(OR(F3674="Status",G3674=0),"",G3674+H3674)</x:f>
        <x:v>152</x:v>
      </x:c>
      <x:c r="J3674" s="10" t="n">
        <x:v>27</x:v>
      </x:c>
      <x:c r="K3674" s="12" t="n">
        <x:v>15</x:v>
      </x:c>
      <x:c r="L3674" s="1" t="str"/>
      <x:c r="M3674" s="9" t="str">
        <x:v>https://poke.idleworld.online/pokepedia/pokemon/pancham</x:v>
      </x:c>
    </x:row>
    <x:row r="3675" ht="22" customHeight="1">
      <x:c r="A3675" s="1" t="n">
        <x:v>674</x:v>
      </x:c>
      <x:c r="B3675" s="1" t="str">
        <x:v>Pancham</x:v>
      </x:c>
      <x:c r="C3675" s="1" t="n">
        <x:v>6</x:v>
      </x:c>
      <x:c r="D3675" s="1" t="str">
        <x:v>Circle Throw</x:v>
      </x:c>
      <x:c r="E3675" s="1" t="str">
        <x:v>Lutador</x:v>
      </x:c>
      <x:c r="F3675" s="1" t="str">
        <x:v>Física</x:v>
      </x:c>
      <x:c r="G3675" s="10" t="n">
        <x:v>60</x:v>
      </x:c>
      <x:c r="H3675" s="10" t="n">
        <x:f>IF(F3675="Física",'Pokémon'!G397,IF(F3675="Especial",'Pokémon'!I397,""))</x:f>
        <x:v>82</x:v>
      </x:c>
      <x:c r="I3675" s="10" t="n">
        <x:f>IF(OR(F3675="Status",G3675=0),"",G3675+H3675)</x:f>
        <x:v>142</x:v>
      </x:c>
      <x:c r="J3675" s="10" t="n">
        <x:v>25</x:v>
      </x:c>
      <x:c r="K3675" s="12" t="n">
        <x:v>50</x:v>
      </x:c>
      <x:c r="L3675" s="1" t="str"/>
      <x:c r="M3675" s="9" t="str">
        <x:v>https://poke.idleworld.online/pokepedia/pokemon/pancham</x:v>
      </x:c>
    </x:row>
    <x:row r="3676" ht="22" customHeight="1">
      <x:c r="A3676" s="1" t="n">
        <x:v>674</x:v>
      </x:c>
      <x:c r="B3676" s="1" t="str">
        <x:v>Pancham</x:v>
      </x:c>
      <x:c r="C3676" s="1" t="n">
        <x:v>1</x:v>
      </x:c>
      <x:c r="D3676" s="1" t="str">
        <x:v>Tackle</x:v>
      </x:c>
      <x:c r="E3676" s="1" t="str">
        <x:v>Normal</x:v>
      </x:c>
      <x:c r="F3676" s="1" t="str">
        <x:v>Física</x:v>
      </x:c>
      <x:c r="G3676" s="10" t="n">
        <x:v>50</x:v>
      </x:c>
      <x:c r="H3676" s="10" t="n">
        <x:f>IF(F3676="Física",'Pokémon'!G397,IF(F3676="Especial",'Pokémon'!I397,""))</x:f>
        <x:v>82</x:v>
      </x:c>
      <x:c r="I3676" s="10" t="n">
        <x:f>IF(OR(F3676="Status",G3676=0),"",G3676+H3676)</x:f>
        <x:v>132</x:v>
      </x:c>
      <x:c r="J3676" s="10" t="n">
        <x:v>1</x:v>
      </x:c>
      <x:c r="K3676" s="12" t="n">
        <x:v>15</x:v>
      </x:c>
      <x:c r="L3676" s="1" t="str"/>
      <x:c r="M3676" s="9" t="str">
        <x:v>https://poke.idleworld.online/pokepedia/pokemon/pancham</x:v>
      </x:c>
    </x:row>
    <x:row r="3677" ht="22" customHeight="1">
      <x:c r="A3677" s="1" t="n">
        <x:v>674</x:v>
      </x:c>
      <x:c r="B3677" s="1" t="str">
        <x:v>Pancham</x:v>
      </x:c>
      <x:c r="C3677" s="1" t="n">
        <x:v>3</x:v>
      </x:c>
      <x:c r="D3677" s="1" t="str">
        <x:v>Karate Chop</x:v>
      </x:c>
      <x:c r="E3677" s="1" t="str">
        <x:v>Lutador</x:v>
      </x:c>
      <x:c r="F3677" s="1" t="str">
        <x:v>Física</x:v>
      </x:c>
      <x:c r="G3677" s="10" t="n">
        <x:v>50</x:v>
      </x:c>
      <x:c r="H3677" s="10" t="n">
        <x:f>IF(F3677="Física",'Pokémon'!G397,IF(F3677="Especial",'Pokémon'!I397,""))</x:f>
        <x:v>82</x:v>
      </x:c>
      <x:c r="I3677" s="10" t="n">
        <x:f>IF(OR(F3677="Status",G3677=0),"",G3677+H3677)</x:f>
        <x:v>132</x:v>
      </x:c>
      <x:c r="J3677" s="10" t="n">
        <x:v>12</x:v>
      </x:c>
      <x:c r="K3677" s="12" t="n">
        <x:v>15</x:v>
      </x:c>
      <x:c r="L3677" s="1" t="str"/>
      <x:c r="M3677" s="9" t="str">
        <x:v>https://poke.idleworld.online/pokepedia/pokemon/pancham</x:v>
      </x:c>
    </x:row>
    <x:row r="3678" ht="22" customHeight="1">
      <x:c r="A3678" s="1" t="n">
        <x:v>674</x:v>
      </x:c>
      <x:c r="B3678" s="1" t="str">
        <x:v>Pancham</x:v>
      </x:c>
      <x:c r="C3678" s="1" t="n">
        <x:v>4</x:v>
      </x:c>
      <x:c r="D3678" s="1" t="str">
        <x:v>Comet Punch</x:v>
      </x:c>
      <x:c r="E3678" s="1" t="str">
        <x:v>Normal</x:v>
      </x:c>
      <x:c r="F3678" s="1" t="str">
        <x:v>Física</x:v>
      </x:c>
      <x:c r="G3678" s="10" t="n">
        <x:v>18</x:v>
      </x:c>
      <x:c r="H3678" s="10" t="n">
        <x:f>IF(F3678="Física",'Pokémon'!G397,IF(F3678="Especial",'Pokémon'!I397,""))</x:f>
        <x:v>82</x:v>
      </x:c>
      <x:c r="I3678" s="10" t="n">
        <x:f>IF(OR(F3678="Status",G3678=0),"",G3678+H3678)</x:f>
        <x:v>100</x:v>
      </x:c>
      <x:c r="J3678" s="10" t="n">
        <x:v>15</x:v>
      </x:c>
      <x:c r="K3678" s="12" t="n">
        <x:v>15</x:v>
      </x:c>
      <x:c r="L3678" s="1" t="str"/>
      <x:c r="M3678" s="9" t="str">
        <x:v>https://poke.idleworld.online/pokepedia/pokemon/pancham</x:v>
      </x:c>
    </x:row>
    <x:row r="3679" ht="22" customHeight="1">
      <x:c r="A3679" s="1" t="n">
        <x:v>674</x:v>
      </x:c>
      <x:c r="B3679" s="1" t="str">
        <x:v>Pancham</x:v>
      </x:c>
      <x:c r="C3679" s="1" t="n">
        <x:v>2</x:v>
      </x:c>
      <x:c r="D3679" s="1" t="str">
        <x:v>Arm Thrust</x:v>
      </x:c>
      <x:c r="E3679" s="1" t="str">
        <x:v>Lutador</x:v>
      </x:c>
      <x:c r="F3679" s="1" t="str">
        <x:v>Física</x:v>
      </x:c>
      <x:c r="G3679" s="10" t="n">
        <x:v>15</x:v>
      </x:c>
      <x:c r="H3679" s="10" t="n">
        <x:f>IF(F3679="Física",'Pokémon'!G397,IF(F3679="Especial",'Pokémon'!I397,""))</x:f>
        <x:v>82</x:v>
      </x:c>
      <x:c r="I3679" s="10" t="n">
        <x:f>IF(OR(F3679="Status",G3679=0),"",G3679+H3679)</x:f>
        <x:v>97</x:v>
      </x:c>
      <x:c r="J3679" s="10" t="n">
        <x:v>7</x:v>
      </x:c>
      <x:c r="K3679" s="12" t="n">
        <x:v>30</x:v>
      </x:c>
      <x:c r="L3679" s="1" t="str"/>
      <x:c r="M3679" s="9" t="str">
        <x:v>https://poke.idleworld.online/pokepedia/pokemon/pancham</x:v>
      </x:c>
    </x:row>
    <x:row r="3680" ht="22" customHeight="1">
      <x:c r="A3680" s="1" t="n">
        <x:v>675</x:v>
      </x:c>
      <x:c r="B3680" s="1" t="str">
        <x:v>Pangoro</x:v>
      </x:c>
      <x:c r="C3680" s="1" t="n">
        <x:v>2</x:v>
      </x:c>
      <x:c r="D3680" s="1" t="str">
        <x:v>Hammer Arm</x:v>
      </x:c>
      <x:c r="E3680" s="1" t="str">
        <x:v>Lutador</x:v>
      </x:c>
      <x:c r="F3680" s="1" t="str">
        <x:v>Física</x:v>
      </x:c>
      <x:c r="G3680" s="10" t="n">
        <x:v>100</x:v>
      </x:c>
      <x:c r="H3680" s="10" t="n">
        <x:f>IF(F3680="Física",'Pokémon'!G398,IF(F3680="Especial",'Pokémon'!I398,""))</x:f>
        <x:v>124</x:v>
      </x:c>
      <x:c r="I3680" s="10" t="n">
        <x:f>IF(OR(F3680="Status",G3680=0),"",G3680+H3680)</x:f>
        <x:v>224</x:v>
      </x:c>
      <x:c r="J3680" s="10" t="n">
        <x:v>1</x:v>
      </x:c>
      <x:c r="K3680" s="12" t="n">
        <x:v>40</x:v>
      </x:c>
      <x:c r="L3680" s="1" t="str"/>
      <x:c r="M3680" s="9" t="str">
        <x:v>https://poke.idleworld.online/pokepedia/pokemon/pangoro</x:v>
      </x:c>
    </x:row>
    <x:row r="3681" ht="22" customHeight="1">
      <x:c r="A3681" s="1" t="n">
        <x:v>675</x:v>
      </x:c>
      <x:c r="B3681" s="1" t="str">
        <x:v>Pangoro</x:v>
      </x:c>
      <x:c r="C3681" s="1" t="n">
        <x:v>9</x:v>
      </x:c>
      <x:c r="D3681" s="1" t="str">
        <x:v>Body Slam</x:v>
      </x:c>
      <x:c r="E3681" s="1" t="str">
        <x:v>Normal</x:v>
      </x:c>
      <x:c r="F3681" s="1" t="str">
        <x:v>Física</x:v>
      </x:c>
      <x:c r="G3681" s="10" t="n">
        <x:v>85</x:v>
      </x:c>
      <x:c r="H3681" s="10" t="n">
        <x:f>IF(F3681="Física",'Pokémon'!G398,IF(F3681="Especial",'Pokémon'!I398,""))</x:f>
        <x:v>124</x:v>
      </x:c>
      <x:c r="I3681" s="10" t="n">
        <x:f>IF(OR(F3681="Status",G3681=0),"",G3681+H3681)</x:f>
        <x:v>209</x:v>
      </x:c>
      <x:c r="J3681" s="10" t="n">
        <x:v>35</x:v>
      </x:c>
      <x:c r="K3681" s="12" t="n">
        <x:v>22</x:v>
      </x:c>
      <x:c r="L3681" s="1" t="str"/>
      <x:c r="M3681" s="9" t="str">
        <x:v>https://poke.idleworld.online/pokepedia/pokemon/pangoro</x:v>
      </x:c>
    </x:row>
    <x:row r="3682" ht="22" customHeight="1">
      <x:c r="A3682" s="1" t="n">
        <x:v>675</x:v>
      </x:c>
      <x:c r="B3682" s="1" t="str">
        <x:v>Pangoro</x:v>
      </x:c>
      <x:c r="C3682" s="1" t="n">
        <x:v>11</x:v>
      </x:c>
      <x:c r="D3682" s="1" t="str">
        <x:v>Sky Uppercut</x:v>
      </x:c>
      <x:c r="E3682" s="1" t="str">
        <x:v>Lutador</x:v>
      </x:c>
      <x:c r="F3682" s="1" t="str">
        <x:v>Física</x:v>
      </x:c>
      <x:c r="G3682" s="10" t="n">
        <x:v>85</x:v>
      </x:c>
      <x:c r="H3682" s="10" t="n">
        <x:f>IF(F3682="Física",'Pokémon'!G398,IF(F3682="Especial",'Pokémon'!I398,""))</x:f>
        <x:v>124</x:v>
      </x:c>
      <x:c r="I3682" s="10" t="n">
        <x:f>IF(OR(F3682="Status",G3682=0),"",G3682+H3682)</x:f>
        <x:v>209</x:v>
      </x:c>
      <x:c r="J3682" s="10" t="n">
        <x:v>52</x:v>
      </x:c>
      <x:c r="K3682" s="12" t="n">
        <x:v>22</x:v>
      </x:c>
      <x:c r="L3682" s="1" t="str"/>
      <x:c r="M3682" s="9" t="str">
        <x:v>https://poke.idleworld.online/pokepedia/pokemon/pangoro</x:v>
      </x:c>
    </x:row>
    <x:row r="3683" ht="22" customHeight="1">
      <x:c r="A3683" s="1" t="n">
        <x:v>675</x:v>
      </x:c>
      <x:c r="B3683" s="1" t="str">
        <x:v>Pangoro</x:v>
      </x:c>
      <x:c r="C3683" s="1" t="n">
        <x:v>10</x:v>
      </x:c>
      <x:c r="D3683" s="1" t="str">
        <x:v>Crunch</x:v>
      </x:c>
      <x:c r="E3683" s="1" t="str">
        <x:v>Sombrio</x:v>
      </x:c>
      <x:c r="F3683" s="1" t="str">
        <x:v>Física</x:v>
      </x:c>
      <x:c r="G3683" s="10" t="n">
        <x:v>80</x:v>
      </x:c>
      <x:c r="H3683" s="10" t="n">
        <x:f>IF(F3683="Física",'Pokémon'!G398,IF(F3683="Especial",'Pokémon'!I398,""))</x:f>
        <x:v>124</x:v>
      </x:c>
      <x:c r="I3683" s="10" t="n">
        <x:f>IF(OR(F3683="Status",G3683=0),"",G3683+H3683)</x:f>
        <x:v>204</x:v>
      </x:c>
      <x:c r="J3683" s="10" t="n">
        <x:v>42</x:v>
      </x:c>
      <x:c r="K3683" s="12" t="n">
        <x:v>22</x:v>
      </x:c>
      <x:c r="L3683" s="1" t="str"/>
      <x:c r="M3683" s="9" t="str">
        <x:v>https://poke.idleworld.online/pokepedia/pokemon/pangoro</x:v>
      </x:c>
    </x:row>
    <x:row r="3684" ht="22" customHeight="1">
      <x:c r="A3684" s="1" t="n">
        <x:v>675</x:v>
      </x:c>
      <x:c r="B3684" s="1" t="str">
        <x:v>Pangoro</x:v>
      </x:c>
      <x:c r="C3684" s="1" t="n">
        <x:v>6</x:v>
      </x:c>
      <x:c r="D3684" s="1" t="str">
        <x:v>Slash</x:v>
      </x:c>
      <x:c r="E3684" s="1" t="str">
        <x:v>Normal</x:v>
      </x:c>
      <x:c r="F3684" s="1" t="str">
        <x:v>Física</x:v>
      </x:c>
      <x:c r="G3684" s="10" t="n">
        <x:v>70</x:v>
      </x:c>
      <x:c r="H3684" s="10" t="n">
        <x:f>IF(F3684="Física",'Pokémon'!G398,IF(F3684="Especial",'Pokémon'!I398,""))</x:f>
        <x:v>124</x:v>
      </x:c>
      <x:c r="I3684" s="10" t="n">
        <x:f>IF(OR(F3684="Status",G3684=0),"",G3684+H3684)</x:f>
        <x:v>194</x:v>
      </x:c>
      <x:c r="J3684" s="10" t="n">
        <x:v>20</x:v>
      </x:c>
      <x:c r="K3684" s="12" t="n">
        <x:v>20</x:v>
      </x:c>
      <x:c r="L3684" s="1" t="str"/>
      <x:c r="M3684" s="9" t="str">
        <x:v>https://poke.idleworld.online/pokepedia/pokemon/pangoro</x:v>
      </x:c>
    </x:row>
    <x:row r="3685" ht="22" customHeight="1">
      <x:c r="A3685" s="1" t="n">
        <x:v>675</x:v>
      </x:c>
      <x:c r="B3685" s="1" t="str">
        <x:v>Pangoro</x:v>
      </x:c>
      <x:c r="C3685" s="1" t="n">
        <x:v>8</x:v>
      </x:c>
      <x:c r="D3685" s="1" t="str">
        <x:v>Vital Throw</x:v>
      </x:c>
      <x:c r="E3685" s="1" t="str">
        <x:v>Lutador</x:v>
      </x:c>
      <x:c r="F3685" s="1" t="str">
        <x:v>Física</x:v>
      </x:c>
      <x:c r="G3685" s="10" t="n">
        <x:v>70</x:v>
      </x:c>
      <x:c r="H3685" s="10" t="n">
        <x:f>IF(F3685="Física",'Pokémon'!G398,IF(F3685="Especial",'Pokémon'!I398,""))</x:f>
        <x:v>124</x:v>
      </x:c>
      <x:c r="I3685" s="10" t="n">
        <x:f>IF(OR(F3685="Status",G3685=0),"",G3685+H3685)</x:f>
        <x:v>194</x:v>
      </x:c>
      <x:c r="J3685" s="10" t="n">
        <x:v>27</x:v>
      </x:c>
      <x:c r="K3685" s="12" t="n">
        <x:v>15</x:v>
      </x:c>
      <x:c r="L3685" s="1" t="str"/>
      <x:c r="M3685" s="9" t="str">
        <x:v>https://poke.idleworld.online/pokepedia/pokemon/pangoro</x:v>
      </x:c>
    </x:row>
    <x:row r="3686" ht="22" customHeight="1">
      <x:c r="A3686" s="1" t="n">
        <x:v>675</x:v>
      </x:c>
      <x:c r="B3686" s="1" t="str">
        <x:v>Pangoro</x:v>
      </x:c>
      <x:c r="C3686" s="1" t="n">
        <x:v>12</x:v>
      </x:c>
      <x:c r="D3686" s="1" t="str">
        <x:v>Low Sweep</x:v>
      </x:c>
      <x:c r="E3686" s="1" t="str">
        <x:v>Lutador</x:v>
      </x:c>
      <x:c r="F3686" s="1" t="str">
        <x:v>Física</x:v>
      </x:c>
      <x:c r="G3686" s="10" t="n">
        <x:v>65</x:v>
      </x:c>
      <x:c r="H3686" s="10" t="n">
        <x:f>IF(F3686="Física",'Pokémon'!G398,IF(F3686="Especial",'Pokémon'!I398,""))</x:f>
        <x:v>124</x:v>
      </x:c>
      <x:c r="I3686" s="10" t="n">
        <x:f>IF(OR(F3686="Status",G3686=0),"",G3686+H3686)</x:f>
        <x:v>189</x:v>
      </x:c>
      <x:c r="J3686" s="10" t="n">
        <x:v>70</x:v>
      </x:c>
      <x:c r="K3686" s="12" t="n">
        <x:v>20</x:v>
      </x:c>
      <x:c r="L3686" s="1" t="str"/>
      <x:c r="M3686" s="9" t="str">
        <x:v>https://poke.idleworld.online/pokepedia/pokemon/pangoro</x:v>
      </x:c>
    </x:row>
    <x:row r="3687" ht="22" customHeight="1">
      <x:c r="A3687" s="1" t="n">
        <x:v>675</x:v>
      </x:c>
      <x:c r="B3687" s="1" t="str">
        <x:v>Pangoro</x:v>
      </x:c>
      <x:c r="C3687" s="1" t="n">
        <x:v>7</x:v>
      </x:c>
      <x:c r="D3687" s="1" t="str">
        <x:v>Circle Throw</x:v>
      </x:c>
      <x:c r="E3687" s="1" t="str">
        <x:v>Lutador</x:v>
      </x:c>
      <x:c r="F3687" s="1" t="str">
        <x:v>Física</x:v>
      </x:c>
      <x:c r="G3687" s="10" t="n">
        <x:v>60</x:v>
      </x:c>
      <x:c r="H3687" s="10" t="n">
        <x:f>IF(F3687="Física",'Pokémon'!G398,IF(F3687="Especial",'Pokémon'!I398,""))</x:f>
        <x:v>124</x:v>
      </x:c>
      <x:c r="I3687" s="10" t="n">
        <x:f>IF(OR(F3687="Status",G3687=0),"",G3687+H3687)</x:f>
        <x:v>184</x:v>
      </x:c>
      <x:c r="J3687" s="10" t="n">
        <x:v>25</x:v>
      </x:c>
      <x:c r="K3687" s="12" t="n">
        <x:v>60</x:v>
      </x:c>
      <x:c r="L3687" s="1" t="str"/>
      <x:c r="M3687" s="9" t="str">
        <x:v>https://poke.idleworld.online/pokepedia/pokemon/pangoro</x:v>
      </x:c>
    </x:row>
    <x:row r="3688" ht="22" customHeight="1">
      <x:c r="A3688" s="1" t="n">
        <x:v>675</x:v>
      </x:c>
      <x:c r="B3688" s="1" t="str">
        <x:v>Pangoro</x:v>
      </x:c>
      <x:c r="C3688" s="1" t="n">
        <x:v>1</x:v>
      </x:c>
      <x:c r="D3688" s="1" t="str">
        <x:v>Tackle</x:v>
      </x:c>
      <x:c r="E3688" s="1" t="str">
        <x:v>Normal</x:v>
      </x:c>
      <x:c r="F3688" s="1" t="str">
        <x:v>Física</x:v>
      </x:c>
      <x:c r="G3688" s="10" t="n">
        <x:v>50</x:v>
      </x:c>
      <x:c r="H3688" s="10" t="n">
        <x:f>IF(F3688="Física",'Pokémon'!G398,IF(F3688="Especial",'Pokémon'!I398,""))</x:f>
        <x:v>124</x:v>
      </x:c>
      <x:c r="I3688" s="10" t="n">
        <x:f>IF(OR(F3688="Status",G3688=0),"",G3688+H3688)</x:f>
        <x:v>174</x:v>
      </x:c>
      <x:c r="J3688" s="10" t="n">
        <x:v>1</x:v>
      </x:c>
      <x:c r="K3688" s="12" t="n">
        <x:v>15</x:v>
      </x:c>
      <x:c r="L3688" s="1" t="str"/>
      <x:c r="M3688" s="9" t="str">
        <x:v>https://poke.idleworld.online/pokepedia/pokemon/pangoro</x:v>
      </x:c>
    </x:row>
    <x:row r="3689" ht="22" customHeight="1">
      <x:c r="A3689" s="1" t="n">
        <x:v>675</x:v>
      </x:c>
      <x:c r="B3689" s="1" t="str">
        <x:v>Pangoro</x:v>
      </x:c>
      <x:c r="C3689" s="1" t="n">
        <x:v>4</x:v>
      </x:c>
      <x:c r="D3689" s="1" t="str">
        <x:v>Karate Chop</x:v>
      </x:c>
      <x:c r="E3689" s="1" t="str">
        <x:v>Lutador</x:v>
      </x:c>
      <x:c r="F3689" s="1" t="str">
        <x:v>Física</x:v>
      </x:c>
      <x:c r="G3689" s="10" t="n">
        <x:v>50</x:v>
      </x:c>
      <x:c r="H3689" s="10" t="n">
        <x:f>IF(F3689="Física",'Pokémon'!G398,IF(F3689="Especial",'Pokémon'!I398,""))</x:f>
        <x:v>124</x:v>
      </x:c>
      <x:c r="I3689" s="10" t="n">
        <x:f>IF(OR(F3689="Status",G3689=0),"",G3689+H3689)</x:f>
        <x:v>174</x:v>
      </x:c>
      <x:c r="J3689" s="10" t="n">
        <x:v>12</x:v>
      </x:c>
      <x:c r="K3689" s="12" t="n">
        <x:v>10</x:v>
      </x:c>
      <x:c r="L3689" s="1" t="str"/>
      <x:c r="M3689" s="9" t="str">
        <x:v>https://poke.idleworld.online/pokepedia/pokemon/pangoro</x:v>
      </x:c>
    </x:row>
    <x:row r="3690" ht="22" customHeight="1">
      <x:c r="A3690" s="1" t="n">
        <x:v>675</x:v>
      </x:c>
      <x:c r="B3690" s="1" t="str">
        <x:v>Pangoro</x:v>
      </x:c>
      <x:c r="C3690" s="1" t="n">
        <x:v>5</x:v>
      </x:c>
      <x:c r="D3690" s="1" t="str">
        <x:v>Comet Punch</x:v>
      </x:c>
      <x:c r="E3690" s="1" t="str">
        <x:v>Normal</x:v>
      </x:c>
      <x:c r="F3690" s="1" t="str">
        <x:v>Física</x:v>
      </x:c>
      <x:c r="G3690" s="10" t="n">
        <x:v>18</x:v>
      </x:c>
      <x:c r="H3690" s="10" t="n">
        <x:f>IF(F3690="Física",'Pokémon'!G398,IF(F3690="Especial",'Pokémon'!I398,""))</x:f>
        <x:v>124</x:v>
      </x:c>
      <x:c r="I3690" s="10" t="n">
        <x:f>IF(OR(F3690="Status",G3690=0),"",G3690+H3690)</x:f>
        <x:v>142</x:v>
      </x:c>
      <x:c r="J3690" s="10" t="n">
        <x:v>15</x:v>
      </x:c>
      <x:c r="K3690" s="12" t="n">
        <x:v>15</x:v>
      </x:c>
      <x:c r="L3690" s="1" t="str"/>
      <x:c r="M3690" s="9" t="str">
        <x:v>https://poke.idleworld.online/pokepedia/pokemon/pangoro</x:v>
      </x:c>
    </x:row>
    <x:row r="3691" ht="22" customHeight="1">
      <x:c r="A3691" s="1" t="n">
        <x:v>675</x:v>
      </x:c>
      <x:c r="B3691" s="1" t="str">
        <x:v>Pangoro</x:v>
      </x:c>
      <x:c r="C3691" s="1" t="n">
        <x:v>3</x:v>
      </x:c>
      <x:c r="D3691" s="1" t="str">
        <x:v>Arm Thrust</x:v>
      </x:c>
      <x:c r="E3691" s="1" t="str">
        <x:v>Lutador</x:v>
      </x:c>
      <x:c r="F3691" s="1" t="str">
        <x:v>Física</x:v>
      </x:c>
      <x:c r="G3691" s="10" t="n">
        <x:v>15</x:v>
      </x:c>
      <x:c r="H3691" s="10" t="n">
        <x:f>IF(F3691="Física",'Pokémon'!G398,IF(F3691="Especial",'Pokémon'!I398,""))</x:f>
        <x:v>124</x:v>
      </x:c>
      <x:c r="I3691" s="10" t="n">
        <x:f>IF(OR(F3691="Status",G3691=0),"",G3691+H3691)</x:f>
        <x:v>139</x:v>
      </x:c>
      <x:c r="J3691" s="10" t="n">
        <x:v>7</x:v>
      </x:c>
      <x:c r="K3691" s="12" t="n">
        <x:v>15</x:v>
      </x:c>
      <x:c r="L3691" s="1" t="str"/>
      <x:c r="M3691" s="9" t="str">
        <x:v>https://poke.idleworld.online/pokepedia/pokemon/pangoro</x:v>
      </x:c>
    </x:row>
    <x:row r="3692" ht="22" customHeight="1">
      <x:c r="A3692" s="1" t="n">
        <x:v>677</x:v>
      </x:c>
      <x:c r="B3692" s="1" t="str">
        <x:v>Espurr</x:v>
      </x:c>
      <x:c r="C3692" s="1" t="n">
        <x:v>7</x:v>
      </x:c>
      <x:c r="D3692" s="1" t="str">
        <x:v>Psyshock</x:v>
      </x:c>
      <x:c r="E3692" s="1" t="str">
        <x:v>Psíquico</x:v>
      </x:c>
      <x:c r="F3692" s="1" t="str">
        <x:v>Especial</x:v>
      </x:c>
      <x:c r="G3692" s="10" t="n">
        <x:v>80</x:v>
      </x:c>
      <x:c r="H3692" s="10" t="n">
        <x:f>IF(F3692="Física",'Pokémon'!G399,IF(F3692="Especial",'Pokémon'!I399,""))</x:f>
        <x:v>63</x:v>
      </x:c>
      <x:c r="I3692" s="10" t="n">
        <x:f>IF(OR(F3692="Status",G3692=0),"",G3692+H3692)</x:f>
        <x:v>143</x:v>
      </x:c>
      <x:c r="J3692" s="10" t="n">
        <x:v>25</x:v>
      </x:c>
      <x:c r="K3692" s="12" t="n">
        <x:v>22</x:v>
      </x:c>
      <x:c r="L3692" s="1" t="str"/>
      <x:c r="M3692" s="9" t="str">
        <x:v>https://poke.idleworld.online/pokepedia/pokemon/espurr</x:v>
      </x:c>
    </x:row>
    <x:row r="3693" ht="22" customHeight="1">
      <x:c r="A3693" s="1" t="n">
        <x:v>677</x:v>
      </x:c>
      <x:c r="B3693" s="1" t="str">
        <x:v>Espurr</x:v>
      </x:c>
      <x:c r="C3693" s="1" t="n">
        <x:v>4</x:v>
      </x:c>
      <x:c r="D3693" s="1" t="str">
        <x:v>Psybeam</x:v>
      </x:c>
      <x:c r="E3693" s="1" t="str">
        <x:v>Psíquico</x:v>
      </x:c>
      <x:c r="F3693" s="1" t="str">
        <x:v>Especial</x:v>
      </x:c>
      <x:c r="G3693" s="10" t="n">
        <x:v>65</x:v>
      </x:c>
      <x:c r="H3693" s="10" t="n">
        <x:f>IF(F3693="Física",'Pokémon'!G399,IF(F3693="Especial",'Pokémon'!I399,""))</x:f>
        <x:v>63</x:v>
      </x:c>
      <x:c r="I3693" s="10" t="n">
        <x:f>IF(OR(F3693="Status",G3693=0),"",G3693+H3693)</x:f>
        <x:v>128</x:v>
      </x:c>
      <x:c r="J3693" s="10" t="n">
        <x:v>17</x:v>
      </x:c>
      <x:c r="K3693" s="12" t="n">
        <x:v>20</x:v>
      </x:c>
      <x:c r="L3693" s="1" t="str"/>
      <x:c r="M3693" s="9" t="str">
        <x:v>https://poke.idleworld.online/pokepedia/pokemon/espurr</x:v>
      </x:c>
    </x:row>
    <x:row r="3694" ht="22" customHeight="1">
      <x:c r="A3694" s="1" t="n">
        <x:v>677</x:v>
      </x:c>
      <x:c r="B3694" s="1" t="str">
        <x:v>Espurr</x:v>
      </x:c>
      <x:c r="C3694" s="1" t="n">
        <x:v>3</x:v>
      </x:c>
      <x:c r="D3694" s="1" t="str">
        <x:v>Confusion</x:v>
      </x:c>
      <x:c r="E3694" s="1" t="str">
        <x:v>Psíquico</x:v>
      </x:c>
      <x:c r="F3694" s="1" t="str">
        <x:v>Especial</x:v>
      </x:c>
      <x:c r="G3694" s="10" t="n">
        <x:v>50</x:v>
      </x:c>
      <x:c r="H3694" s="10" t="n">
        <x:f>IF(F3694="Física",'Pokémon'!G399,IF(F3694="Especial",'Pokémon'!I399,""))</x:f>
        <x:v>63</x:v>
      </x:c>
      <x:c r="I3694" s="10" t="n">
        <x:f>IF(OR(F3694="Status",G3694=0),"",G3694+H3694)</x:f>
        <x:v>113</x:v>
      </x:c>
      <x:c r="J3694" s="10" t="n">
        <x:v>9</x:v>
      </x:c>
      <x:c r="K3694" s="12" t="n">
        <x:v>15</x:v>
      </x:c>
      <x:c r="L3694" s="1" t="str"/>
      <x:c r="M3694" s="9" t="str">
        <x:v>https://poke.idleworld.online/pokepedia/pokemon/espurr</x:v>
      </x:c>
    </x:row>
    <x:row r="3695" ht="22" customHeight="1">
      <x:c r="A3695" s="1" t="n">
        <x:v>677</x:v>
      </x:c>
      <x:c r="B3695" s="1" t="str">
        <x:v>Espurr</x:v>
      </x:c>
      <x:c r="C3695" s="1" t="n">
        <x:v>2</x:v>
      </x:c>
      <x:c r="D3695" s="1" t="str">
        <x:v>Covet</x:v>
      </x:c>
      <x:c r="E3695" s="1" t="str">
        <x:v>Normal</x:v>
      </x:c>
      <x:c r="F3695" s="1" t="str">
        <x:v>Física</x:v>
      </x:c>
      <x:c r="G3695" s="10" t="n">
        <x:v>60</x:v>
      </x:c>
      <x:c r="H3695" s="10" t="n">
        <x:f>IF(F3695="Física",'Pokémon'!G399,IF(F3695="Especial",'Pokémon'!I399,""))</x:f>
        <x:v>48</x:v>
      </x:c>
      <x:c r="I3695" s="10" t="n">
        <x:f>IF(OR(F3695="Status",G3695=0),"",G3695+H3695)</x:f>
        <x:v>108</x:v>
      </x:c>
      <x:c r="J3695" s="10" t="n">
        <x:v>5</x:v>
      </x:c>
      <x:c r="K3695" s="12" t="n">
        <x:v>20</x:v>
      </x:c>
      <x:c r="L3695" s="1" t="str"/>
      <x:c r="M3695" s="9" t="str">
        <x:v>https://poke.idleworld.online/pokepedia/pokemon/espurr</x:v>
      </x:c>
    </x:row>
    <x:row r="3696" ht="22" customHeight="1">
      <x:c r="A3696" s="1" t="n">
        <x:v>677</x:v>
      </x:c>
      <x:c r="B3696" s="1" t="str">
        <x:v>Espurr</x:v>
      </x:c>
      <x:c r="C3696" s="1" t="n">
        <x:v>6</x:v>
      </x:c>
      <x:c r="D3696" s="1" t="str">
        <x:v>Disarming Voice</x:v>
      </x:c>
      <x:c r="E3696" s="1" t="str">
        <x:v>Fada</x:v>
      </x:c>
      <x:c r="F3696" s="1" t="str">
        <x:v>Especial</x:v>
      </x:c>
      <x:c r="G3696" s="10" t="n">
        <x:v>40</x:v>
      </x:c>
      <x:c r="H3696" s="10" t="n">
        <x:f>IF(F3696="Física",'Pokémon'!G399,IF(F3696="Especial",'Pokémon'!I399,""))</x:f>
        <x:v>63</x:v>
      </x:c>
      <x:c r="I3696" s="10" t="n">
        <x:f>IF(OR(F3696="Status",G3696=0),"",G3696+H3696)</x:f>
        <x:v>103</x:v>
      </x:c>
      <x:c r="J3696" s="10" t="n">
        <x:v>22</x:v>
      </x:c>
      <x:c r="K3696" s="12" t="n">
        <x:v>15</x:v>
      </x:c>
      <x:c r="L3696" s="1" t="str"/>
      <x:c r="M3696" s="9" t="str">
        <x:v>https://poke.idleworld.online/pokepedia/pokemon/espurr</x:v>
      </x:c>
    </x:row>
    <x:row r="3697" ht="22" customHeight="1">
      <x:c r="A3697" s="1" t="n">
        <x:v>677</x:v>
      </x:c>
      <x:c r="B3697" s="1" t="str">
        <x:v>Espurr</x:v>
      </x:c>
      <x:c r="C3697" s="1" t="n">
        <x:v>1</x:v>
      </x:c>
      <x:c r="D3697" s="1" t="str">
        <x:v>Scratch</x:v>
      </x:c>
      <x:c r="E3697" s="1" t="str">
        <x:v>Normal</x:v>
      </x:c>
      <x:c r="F3697" s="1" t="str">
        <x:v>Física</x:v>
      </x:c>
      <x:c r="G3697" s="10" t="n">
        <x:v>40</x:v>
      </x:c>
      <x:c r="H3697" s="10" t="n">
        <x:f>IF(F3697="Física",'Pokémon'!G399,IF(F3697="Especial",'Pokémon'!I399,""))</x:f>
        <x:v>48</x:v>
      </x:c>
      <x:c r="I3697" s="10" t="n">
        <x:f>IF(OR(F3697="Status",G3697=0),"",G3697+H3697)</x:f>
        <x:v>88</x:v>
      </x:c>
      <x:c r="J3697" s="10" t="n">
        <x:v>1</x:v>
      </x:c>
      <x:c r="K3697" s="12" t="n">
        <x:v>12</x:v>
      </x:c>
      <x:c r="L3697" s="1" t="str"/>
      <x:c r="M3697" s="9" t="str">
        <x:v>https://poke.idleworld.online/pokepedia/pokemon/espurr</x:v>
      </x:c>
    </x:row>
    <x:row r="3698" ht="22" customHeight="1">
      <x:c r="A3698" s="1" t="n">
        <x:v>677</x:v>
      </x:c>
      <x:c r="B3698" s="1" t="str">
        <x:v>Espurr</x:v>
      </x:c>
      <x:c r="C3698" s="1" t="n">
        <x:v>5</x:v>
      </x:c>
      <x:c r="D3698" s="1" t="str">
        <x:v>Fake Out</x:v>
      </x:c>
      <x:c r="E3698" s="1" t="str">
        <x:v>Normal</x:v>
      </x:c>
      <x:c r="F3698" s="1" t="str">
        <x:v>Física</x:v>
      </x:c>
      <x:c r="G3698" s="10" t="n">
        <x:v>40</x:v>
      </x:c>
      <x:c r="H3698" s="10" t="n">
        <x:f>IF(F3698="Física",'Pokémon'!G399,IF(F3698="Especial",'Pokémon'!I399,""))</x:f>
        <x:v>48</x:v>
      </x:c>
      <x:c r="I3698" s="10" t="n">
        <x:f>IF(OR(F3698="Status",G3698=0),"",G3698+H3698)</x:f>
        <x:v>88</x:v>
      </x:c>
      <x:c r="J3698" s="10" t="n">
        <x:v>19</x:v>
      </x:c>
      <x:c r="K3698" s="12" t="n">
        <x:v>15</x:v>
      </x:c>
      <x:c r="L3698" s="1" t="str"/>
      <x:c r="M3698" s="9" t="str">
        <x:v>https://poke.idleworld.online/pokepedia/pokemon/espurr</x:v>
      </x:c>
    </x:row>
    <x:row r="3699" ht="22" customHeight="1">
      <x:c r="A3699" s="1" t="n">
        <x:v>681</x:v>
      </x:c>
      <x:c r="B3699" s="1" t="str">
        <x:v>Aegislash</x:v>
      </x:c>
      <x:c r="C3699" s="1" t="n">
        <x:v>9</x:v>
      </x:c>
      <x:c r="D3699" s="1" t="str">
        <x:v>Head Smash</x:v>
      </x:c>
      <x:c r="E3699" s="1" t="str">
        <x:v>Pedra</x:v>
      </x:c>
      <x:c r="F3699" s="1" t="str">
        <x:v>Física</x:v>
      </x:c>
      <x:c r="G3699" s="10" t="n">
        <x:v>150</x:v>
      </x:c>
      <x:c r="H3699" s="10" t="n">
        <x:f>IF(F3699="Física",'Pokémon'!G400,IF(F3699="Especial",'Pokémon'!I400,""))</x:f>
        <x:v>50</x:v>
      </x:c>
      <x:c r="I3699" s="10" t="n">
        <x:f>IF(OR(F3699="Status",G3699=0),"",G3699+H3699)</x:f>
        <x:v>200</x:v>
      </x:c>
      <x:c r="J3699" s="10" t="n">
        <x:v>1</x:v>
      </x:c>
      <x:c r="K3699" s="12" t="n">
        <x:v>50</x:v>
      </x:c>
      <x:c r="L3699" s="1" t="str"/>
      <x:c r="M3699" s="9" t="str">
        <x:v>https://poke.idleworld.online/pokepedia/pokemon/aegislash</x:v>
      </x:c>
    </x:row>
    <x:row r="3700" ht="22" customHeight="1">
      <x:c r="A3700" s="1" t="n">
        <x:v>681</x:v>
      </x:c>
      <x:c r="B3700" s="1" t="str">
        <x:v>Aegislash</x:v>
      </x:c>
      <x:c r="C3700" s="1" t="n">
        <x:v>8</x:v>
      </x:c>
      <x:c r="D3700" s="1" t="str">
        <x:v>Sacred Sword</x:v>
      </x:c>
      <x:c r="E3700" s="1" t="str">
        <x:v>Lutador</x:v>
      </x:c>
      <x:c r="F3700" s="1" t="str">
        <x:v>Física</x:v>
      </x:c>
      <x:c r="G3700" s="10" t="n">
        <x:v>90</x:v>
      </x:c>
      <x:c r="H3700" s="10" t="n">
        <x:f>IF(F3700="Física",'Pokémon'!G400,IF(F3700="Especial",'Pokémon'!I400,""))</x:f>
        <x:v>50</x:v>
      </x:c>
      <x:c r="I3700" s="10" t="n">
        <x:f>IF(OR(F3700="Status",G3700=0),"",G3700+H3700)</x:f>
        <x:v>140</x:v>
      </x:c>
      <x:c r="J3700" s="10" t="n">
        <x:v>1</x:v>
      </x:c>
      <x:c r="K3700" s="12" t="n">
        <x:v>22</x:v>
      </x:c>
      <x:c r="L3700" s="1" t="str"/>
      <x:c r="M3700" s="9" t="str">
        <x:v>https://poke.idleworld.online/pokepedia/pokemon/aegislash</x:v>
      </x:c>
    </x:row>
    <x:row r="3701" ht="22" customHeight="1">
      <x:c r="A3701" s="1" t="n">
        <x:v>681</x:v>
      </x:c>
      <x:c r="B3701" s="1" t="str">
        <x:v>Aegislash</x:v>
      </x:c>
      <x:c r="C3701" s="1" t="n">
        <x:v>7</x:v>
      </x:c>
      <x:c r="D3701" s="1" t="str">
        <x:v>Iron Head</x:v>
      </x:c>
      <x:c r="E3701" s="1" t="str">
        <x:v>Aço</x:v>
      </x:c>
      <x:c r="F3701" s="1" t="str">
        <x:v>Física</x:v>
      </x:c>
      <x:c r="G3701" s="10" t="n">
        <x:v>80</x:v>
      </x:c>
      <x:c r="H3701" s="10" t="n">
        <x:f>IF(F3701="Física",'Pokémon'!G400,IF(F3701="Especial",'Pokémon'!I400,""))</x:f>
        <x:v>50</x:v>
      </x:c>
      <x:c r="I3701" s="10" t="n">
        <x:f>IF(OR(F3701="Status",G3701=0),"",G3701+H3701)</x:f>
        <x:v>130</x:v>
      </x:c>
      <x:c r="J3701" s="10" t="n">
        <x:v>1</x:v>
      </x:c>
      <x:c r="K3701" s="12" t="n">
        <x:v>22</x:v>
      </x:c>
      <x:c r="L3701" s="1" t="str"/>
      <x:c r="M3701" s="9" t="str">
        <x:v>https://poke.idleworld.online/pokepedia/pokemon/aegislash</x:v>
      </x:c>
    </x:row>
    <x:row r="3702" ht="22" customHeight="1">
      <x:c r="A3702" s="1" t="n">
        <x:v>681</x:v>
      </x:c>
      <x:c r="B3702" s="1" t="str">
        <x:v>Aegislash</x:v>
      </x:c>
      <x:c r="C3702" s="1" t="n">
        <x:v>5</x:v>
      </x:c>
      <x:c r="D3702" s="1" t="str">
        <x:v>Slash</x:v>
      </x:c>
      <x:c r="E3702" s="1" t="str">
        <x:v>Normal</x:v>
      </x:c>
      <x:c r="F3702" s="1" t="str">
        <x:v>Física</x:v>
      </x:c>
      <x:c r="G3702" s="10" t="n">
        <x:v>70</x:v>
      </x:c>
      <x:c r="H3702" s="10" t="n">
        <x:f>IF(F3702="Física",'Pokémon'!G400,IF(F3702="Especial",'Pokémon'!I400,""))</x:f>
        <x:v>50</x:v>
      </x:c>
      <x:c r="I3702" s="10" t="n">
        <x:f>IF(OR(F3702="Status",G3702=0),"",G3702+H3702)</x:f>
        <x:v>120</x:v>
      </x:c>
      <x:c r="J3702" s="10" t="n">
        <x:v>1</x:v>
      </x:c>
      <x:c r="K3702" s="12" t="n">
        <x:v>20</x:v>
      </x:c>
      <x:c r="L3702" s="1" t="str"/>
      <x:c r="M3702" s="9" t="str">
        <x:v>https://poke.idleworld.online/pokepedia/pokemon/aegislash</x:v>
      </x:c>
    </x:row>
    <x:row r="3703" ht="22" customHeight="1">
      <x:c r="A3703" s="1" t="n">
        <x:v>681</x:v>
      </x:c>
      <x:c r="B3703" s="1" t="str">
        <x:v>Aegislash</x:v>
      </x:c>
      <x:c r="C3703" s="1" t="n">
        <x:v>6</x:v>
      </x:c>
      <x:c r="D3703" s="1" t="str">
        <x:v>Night Slash</x:v>
      </x:c>
      <x:c r="E3703" s="1" t="str">
        <x:v>Sombrio</x:v>
      </x:c>
      <x:c r="F3703" s="1" t="str">
        <x:v>Física</x:v>
      </x:c>
      <x:c r="G3703" s="10" t="n">
        <x:v>70</x:v>
      </x:c>
      <x:c r="H3703" s="10" t="n">
        <x:f>IF(F3703="Física",'Pokémon'!G400,IF(F3703="Especial",'Pokémon'!I400,""))</x:f>
        <x:v>50</x:v>
      </x:c>
      <x:c r="I3703" s="10" t="n">
        <x:f>IF(OR(F3703="Status",G3703=0),"",G3703+H3703)</x:f>
        <x:v>120</x:v>
      </x:c>
      <x:c r="J3703" s="10" t="n">
        <x:v>1</x:v>
      </x:c>
      <x:c r="K3703" s="12" t="n">
        <x:v>20</x:v>
      </x:c>
      <x:c r="L3703" s="1" t="str"/>
      <x:c r="M3703" s="9" t="str">
        <x:v>https://poke.idleworld.online/pokepedia/pokemon/aegislash</x:v>
      </x:c>
    </x:row>
    <x:row r="3704" ht="22" customHeight="1">
      <x:c r="A3704" s="1" t="n">
        <x:v>681</x:v>
      </x:c>
      <x:c r="B3704" s="1" t="str">
        <x:v>Aegislash</x:v>
      </x:c>
      <x:c r="C3704" s="1" t="n">
        <x:v>4</x:v>
      </x:c>
      <x:c r="D3704" s="1" t="str">
        <x:v>Aerial Ace</x:v>
      </x:c>
      <x:c r="E3704" s="1" t="str">
        <x:v>Voador</x:v>
      </x:c>
      <x:c r="F3704" s="1" t="str">
        <x:v>Física</x:v>
      </x:c>
      <x:c r="G3704" s="10" t="n">
        <x:v>60</x:v>
      </x:c>
      <x:c r="H3704" s="10" t="n">
        <x:f>IF(F3704="Física",'Pokémon'!G400,IF(F3704="Especial",'Pokémon'!I400,""))</x:f>
        <x:v>50</x:v>
      </x:c>
      <x:c r="I3704" s="10" t="n">
        <x:f>IF(OR(F3704="Status",G3704=0),"",G3704+H3704)</x:f>
        <x:v>110</x:v>
      </x:c>
      <x:c r="J3704" s="10" t="n">
        <x:v>1</x:v>
      </x:c>
      <x:c r="K3704" s="12" t="n">
        <x:v>20</x:v>
      </x:c>
      <x:c r="L3704" s="1" t="str"/>
      <x:c r="M3704" s="9" t="str">
        <x:v>https://poke.idleworld.online/pokepedia/pokemon/aegislash</x:v>
      </x:c>
    </x:row>
    <x:row r="3705" ht="22" customHeight="1">
      <x:c r="A3705" s="1" t="n">
        <x:v>681</x:v>
      </x:c>
      <x:c r="B3705" s="1" t="str">
        <x:v>Aegislash</x:v>
      </x:c>
      <x:c r="C3705" s="1" t="n">
        <x:v>1</x:v>
      </x:c>
      <x:c r="D3705" s="1" t="str">
        <x:v>Shadow Sneak</x:v>
      </x:c>
      <x:c r="E3705" s="1" t="str">
        <x:v>Fantasma</x:v>
      </x:c>
      <x:c r="F3705" s="1" t="str">
        <x:v>Física</x:v>
      </x:c>
      <x:c r="G3705" s="10" t="n">
        <x:v>40</x:v>
      </x:c>
      <x:c r="H3705" s="10" t="n">
        <x:f>IF(F3705="Física",'Pokémon'!G400,IF(F3705="Especial",'Pokémon'!I400,""))</x:f>
        <x:v>50</x:v>
      </x:c>
      <x:c r="I3705" s="10" t="n">
        <x:f>IF(OR(F3705="Status",G3705=0),"",G3705+H3705)</x:f>
        <x:v>90</x:v>
      </x:c>
      <x:c r="J3705" s="10" t="n">
        <x:v>1</x:v>
      </x:c>
      <x:c r="K3705" s="12" t="n">
        <x:v>40</x:v>
      </x:c>
      <x:c r="L3705" s="1" t="str"/>
      <x:c r="M3705" s="9" t="str">
        <x:v>https://poke.idleworld.online/pokepedia/pokemon/aegislash</x:v>
      </x:c>
    </x:row>
    <x:row r="3706" ht="22" customHeight="1">
      <x:c r="A3706" s="1" t="n">
        <x:v>681</x:v>
      </x:c>
      <x:c r="B3706" s="1" t="str">
        <x:v>Aegislash</x:v>
      </x:c>
      <x:c r="C3706" s="1" t="n">
        <x:v>2</x:v>
      </x:c>
      <x:c r="D3706" s="1" t="str">
        <x:v>Fury Cutter</x:v>
      </x:c>
      <x:c r="E3706" s="1" t="str">
        <x:v>Inseto</x:v>
      </x:c>
      <x:c r="F3706" s="1" t="str">
        <x:v>Física</x:v>
      </x:c>
      <x:c r="G3706" s="10" t="n">
        <x:v>40</x:v>
      </x:c>
      <x:c r="H3706" s="10" t="n">
        <x:f>IF(F3706="Física",'Pokémon'!G400,IF(F3706="Especial",'Pokémon'!I400,""))</x:f>
        <x:v>50</x:v>
      </x:c>
      <x:c r="I3706" s="10" t="n">
        <x:f>IF(OR(F3706="Status",G3706=0),"",G3706+H3706)</x:f>
        <x:v>90</x:v>
      </x:c>
      <x:c r="J3706" s="10" t="n">
        <x:v>1</x:v>
      </x:c>
      <x:c r="K3706" s="12" t="n">
        <x:v>15</x:v>
      </x:c>
      <x:c r="L3706" s="1" t="str"/>
      <x:c r="M3706" s="9" t="str">
        <x:v>https://poke.idleworld.online/pokepedia/pokemon/aegislash</x:v>
      </x:c>
    </x:row>
    <x:row r="3707" ht="22" customHeight="1">
      <x:c r="A3707" s="1" t="n">
        <x:v>681</x:v>
      </x:c>
      <x:c r="B3707" s="1" t="str">
        <x:v>Aegislash</x:v>
      </x:c>
      <x:c r="C3707" s="1" t="n">
        <x:v>3</x:v>
      </x:c>
      <x:c r="D3707" s="1" t="str">
        <x:v>Pursuit</x:v>
      </x:c>
      <x:c r="E3707" s="1" t="str">
        <x:v>Sombrio</x:v>
      </x:c>
      <x:c r="F3707" s="1" t="str">
        <x:v>Física</x:v>
      </x:c>
      <x:c r="G3707" s="10" t="n">
        <x:v>40</x:v>
      </x:c>
      <x:c r="H3707" s="10" t="n">
        <x:f>IF(F3707="Física",'Pokémon'!G400,IF(F3707="Especial",'Pokémon'!I400,""))</x:f>
        <x:v>50</x:v>
      </x:c>
      <x:c r="I3707" s="10" t="n">
        <x:f>IF(OR(F3707="Status",G3707=0),"",G3707+H3707)</x:f>
        <x:v>90</x:v>
      </x:c>
      <x:c r="J3707" s="10" t="n">
        <x:v>1</x:v>
      </x:c>
      <x:c r="K3707" s="12" t="n">
        <x:v>15</x:v>
      </x:c>
      <x:c r="L3707" s="1" t="str"/>
      <x:c r="M3707" s="9" t="str">
        <x:v>https://poke.idleworld.online/pokepedia/pokemon/aegislash</x:v>
      </x:c>
    </x:row>
    <x:row r="3708" ht="22" customHeight="1">
      <x:c r="A3708" s="1" t="n">
        <x:v>690</x:v>
      </x:c>
      <x:c r="B3708" s="1" t="str">
        <x:v>Skrelp</x:v>
      </x:c>
      <x:c r="C3708" s="1" t="n">
        <x:v>10</x:v>
      </x:c>
      <x:c r="D3708" s="1" t="str">
        <x:v>Hydro Pump</x:v>
      </x:c>
      <x:c r="E3708" s="1" t="str">
        <x:v>Água</x:v>
      </x:c>
      <x:c r="F3708" s="1" t="str">
        <x:v>Especial</x:v>
      </x:c>
      <x:c r="G3708" s="10" t="n">
        <x:v>110</x:v>
      </x:c>
      <x:c r="H3708" s="10" t="n">
        <x:f>IF(F3708="Física",'Pokémon'!G401,IF(F3708="Especial",'Pokémon'!I401,""))</x:f>
        <x:v>60</x:v>
      </x:c>
      <x:c r="I3708" s="10" t="n">
        <x:f>IF(OR(F3708="Status",G3708=0),"",G3708+H3708)</x:f>
        <x:v>170</x:v>
      </x:c>
      <x:c r="J3708" s="10" t="n">
        <x:v>42</x:v>
      </x:c>
      <x:c r="K3708" s="12" t="n">
        <x:v>40</x:v>
      </x:c>
      <x:c r="L3708" s="1" t="str"/>
      <x:c r="M3708" s="9" t="str">
        <x:v>https://poke.idleworld.online/pokepedia/pokemon/skrelp</x:v>
      </x:c>
    </x:row>
    <x:row r="3709" ht="22" customHeight="1">
      <x:c r="A3709" s="1" t="n">
        <x:v>690</x:v>
      </x:c>
      <x:c r="B3709" s="1" t="str">
        <x:v>Skrelp</x:v>
      </x:c>
      <x:c r="C3709" s="1" t="n">
        <x:v>8</x:v>
      </x:c>
      <x:c r="D3709" s="1" t="str">
        <x:v>Aqua Tail</x:v>
      </x:c>
      <x:c r="E3709" s="1" t="str">
        <x:v>Água</x:v>
      </x:c>
      <x:c r="F3709" s="1" t="str">
        <x:v>Física</x:v>
      </x:c>
      <x:c r="G3709" s="10" t="n">
        <x:v>90</x:v>
      </x:c>
      <x:c r="H3709" s="10" t="n">
        <x:f>IF(F3709="Física",'Pokémon'!G401,IF(F3709="Especial",'Pokémon'!I401,""))</x:f>
        <x:v>60</x:v>
      </x:c>
      <x:c r="I3709" s="10" t="n">
        <x:f>IF(OR(F3709="Status",G3709=0),"",G3709+H3709)</x:f>
        <x:v>150</x:v>
      </x:c>
      <x:c r="J3709" s="10" t="n">
        <x:v>35</x:v>
      </x:c>
      <x:c r="K3709" s="12" t="n">
        <x:v>10</x:v>
      </x:c>
      <x:c r="L3709" s="1" t="str"/>
      <x:c r="M3709" s="9" t="str">
        <x:v>https://poke.idleworld.online/pokepedia/pokemon/skrelp</x:v>
      </x:c>
    </x:row>
    <x:row r="3710" ht="22" customHeight="1">
      <x:c r="A3710" s="1" t="n">
        <x:v>690</x:v>
      </x:c>
      <x:c r="B3710" s="1" t="str">
        <x:v>Skrelp</x:v>
      </x:c>
      <x:c r="C3710" s="1" t="n">
        <x:v>9</x:v>
      </x:c>
      <x:c r="D3710" s="1" t="str">
        <x:v>Sludge Bomb</x:v>
      </x:c>
      <x:c r="E3710" s="1" t="str">
        <x:v>Venenoso</x:v>
      </x:c>
      <x:c r="F3710" s="1" t="str">
        <x:v>Especial</x:v>
      </x:c>
      <x:c r="G3710" s="10" t="n">
        <x:v>90</x:v>
      </x:c>
      <x:c r="H3710" s="10" t="n">
        <x:f>IF(F3710="Física",'Pokémon'!G401,IF(F3710="Especial",'Pokémon'!I401,""))</x:f>
        <x:v>60</x:v>
      </x:c>
      <x:c r="I3710" s="10" t="n">
        <x:f>IF(OR(F3710="Status",G3710=0),"",G3710+H3710)</x:f>
        <x:v>150</x:v>
      </x:c>
      <x:c r="J3710" s="10" t="n">
        <x:v>38</x:v>
      </x:c>
      <x:c r="K3710" s="12" t="n">
        <x:v>50</x:v>
      </x:c>
      <x:c r="L3710" s="1" t="str"/>
      <x:c r="M3710" s="9" t="str">
        <x:v>https://poke.idleworld.online/pokepedia/pokemon/skrelp</x:v>
      </x:c>
    </x:row>
    <x:row r="3711" ht="22" customHeight="1">
      <x:c r="A3711" s="1" t="n">
        <x:v>690</x:v>
      </x:c>
      <x:c r="B3711" s="1" t="str">
        <x:v>Skrelp</x:v>
      </x:c>
      <x:c r="C3711" s="1" t="n">
        <x:v>11</x:v>
      </x:c>
      <x:c r="D3711" s="1" t="str">
        <x:v>Dragon Pulse</x:v>
      </x:c>
      <x:c r="E3711" s="1" t="str">
        <x:v>Dragão</x:v>
      </x:c>
      <x:c r="F3711" s="1" t="str">
        <x:v>Especial</x:v>
      </x:c>
      <x:c r="G3711" s="10" t="n">
        <x:v>85</x:v>
      </x:c>
      <x:c r="H3711" s="10" t="n">
        <x:f>IF(F3711="Física",'Pokémon'!G401,IF(F3711="Especial",'Pokémon'!I401,""))</x:f>
        <x:v>60</x:v>
      </x:c>
      <x:c r="I3711" s="10" t="n">
        <x:f>IF(OR(F3711="Status",G3711=0),"",G3711+H3711)</x:f>
        <x:v>145</x:v>
      </x:c>
      <x:c r="J3711" s="10" t="n">
        <x:v>49</x:v>
      </x:c>
      <x:c r="K3711" s="12" t="n">
        <x:v>22</x:v>
      </x:c>
      <x:c r="L3711" s="1" t="str"/>
      <x:c r="M3711" s="9" t="str">
        <x:v>https://poke.idleworld.online/pokepedia/pokemon/skrelp</x:v>
      </x:c>
    </x:row>
    <x:row r="3712" ht="22" customHeight="1">
      <x:c r="A3712" s="1" t="n">
        <x:v>690</x:v>
      </x:c>
      <x:c r="B3712" s="1" t="str">
        <x:v>Skrelp</x:v>
      </x:c>
      <x:c r="C3712" s="1" t="n">
        <x:v>3</x:v>
      </x:c>
      <x:c r="D3712" s="1" t="str">
        <x:v>Feint Attack</x:v>
      </x:c>
      <x:c r="E3712" s="1" t="str">
        <x:v>Sombrio</x:v>
      </x:c>
      <x:c r="F3712" s="1" t="str">
        <x:v>Física</x:v>
      </x:c>
      <x:c r="G3712" s="10" t="n">
        <x:v>60</x:v>
      </x:c>
      <x:c r="H3712" s="10" t="n">
        <x:f>IF(F3712="Física",'Pokémon'!G401,IF(F3712="Especial",'Pokémon'!I401,""))</x:f>
        <x:v>60</x:v>
      </x:c>
      <x:c r="I3712" s="10" t="n">
        <x:f>IF(OR(F3712="Status",G3712=0),"",G3712+H3712)</x:f>
        <x:v>120</x:v>
      </x:c>
      <x:c r="J3712" s="10" t="n">
        <x:v>5</x:v>
      </x:c>
      <x:c r="K3712" s="12" t="n">
        <x:v>20</x:v>
      </x:c>
      <x:c r="L3712" s="1" t="str"/>
      <x:c r="M3712" s="9" t="str">
        <x:v>https://poke.idleworld.online/pokepedia/pokemon/skrelp</x:v>
      </x:c>
    </x:row>
    <x:row r="3713" ht="22" customHeight="1">
      <x:c r="A3713" s="1" t="n">
        <x:v>690</x:v>
      </x:c>
      <x:c r="B3713" s="1" t="str">
        <x:v>Skrelp</x:v>
      </x:c>
      <x:c r="C3713" s="1" t="n">
        <x:v>7</x:v>
      </x:c>
      <x:c r="D3713" s="1" t="str">
        <x:v>Water Pulse</x:v>
      </x:c>
      <x:c r="E3713" s="1" t="str">
        <x:v>Água</x:v>
      </x:c>
      <x:c r="F3713" s="1" t="str">
        <x:v>Especial</x:v>
      </x:c>
      <x:c r="G3713" s="10" t="n">
        <x:v>60</x:v>
      </x:c>
      <x:c r="H3713" s="10" t="n">
        <x:f>IF(F3713="Física",'Pokémon'!G401,IF(F3713="Especial",'Pokémon'!I401,""))</x:f>
        <x:v>60</x:v>
      </x:c>
      <x:c r="I3713" s="10" t="n">
        <x:f>IF(OR(F3713="Status",G3713=0),"",G3713+H3713)</x:f>
        <x:v>120</x:v>
      </x:c>
      <x:c r="J3713" s="10" t="n">
        <x:v>25</x:v>
      </x:c>
      <x:c r="K3713" s="12" t="n">
        <x:v>20</x:v>
      </x:c>
      <x:c r="L3713" s="1" t="str"/>
      <x:c r="M3713" s="9" t="str">
        <x:v>https://poke.idleworld.online/pokepedia/pokemon/skrelp</x:v>
      </x:c>
    </x:row>
    <x:row r="3714" ht="22" customHeight="1">
      <x:c r="A3714" s="1" t="n">
        <x:v>690</x:v>
      </x:c>
      <x:c r="B3714" s="1" t="str">
        <x:v>Skrelp</x:v>
      </x:c>
      <x:c r="C3714" s="1" t="n">
        <x:v>2</x:v>
      </x:c>
      <x:c r="D3714" s="1" t="str">
        <x:v>Tackle</x:v>
      </x:c>
      <x:c r="E3714" s="1" t="str">
        <x:v>Normal</x:v>
      </x:c>
      <x:c r="F3714" s="1" t="str">
        <x:v>Física</x:v>
      </x:c>
      <x:c r="G3714" s="10" t="n">
        <x:v>50</x:v>
      </x:c>
      <x:c r="H3714" s="10" t="n">
        <x:f>IF(F3714="Física",'Pokémon'!G401,IF(F3714="Especial",'Pokémon'!I401,""))</x:f>
        <x:v>60</x:v>
      </x:c>
      <x:c r="I3714" s="10" t="n">
        <x:f>IF(OR(F3714="Status",G3714=0),"",G3714+H3714)</x:f>
        <x:v>110</x:v>
      </x:c>
      <x:c r="J3714" s="10" t="n">
        <x:v>1</x:v>
      </x:c>
      <x:c r="K3714" s="12" t="n">
        <x:v>15</x:v>
      </x:c>
      <x:c r="L3714" s="1" t="str"/>
      <x:c r="M3714" s="9" t="str">
        <x:v>https://poke.idleworld.online/pokepedia/pokemon/skrelp</x:v>
      </x:c>
    </x:row>
    <x:row r="3715" ht="22" customHeight="1">
      <x:c r="A3715" s="1" t="n">
        <x:v>690</x:v>
      </x:c>
      <x:c r="B3715" s="1" t="str">
        <x:v>Skrelp</x:v>
      </x:c>
      <x:c r="C3715" s="1" t="n">
        <x:v>6</x:v>
      </x:c>
      <x:c r="D3715" s="1" t="str">
        <x:v>Poison Tail</x:v>
      </x:c>
      <x:c r="E3715" s="1" t="str">
        <x:v>Venenoso</x:v>
      </x:c>
      <x:c r="F3715" s="1" t="str">
        <x:v>Física</x:v>
      </x:c>
      <x:c r="G3715" s="10" t="n">
        <x:v>50</x:v>
      </x:c>
      <x:c r="H3715" s="10" t="n">
        <x:f>IF(F3715="Física",'Pokémon'!G401,IF(F3715="Especial",'Pokémon'!I401,""))</x:f>
        <x:v>60</x:v>
      </x:c>
      <x:c r="I3715" s="10" t="n">
        <x:f>IF(OR(F3715="Status",G3715=0),"",G3715+H3715)</x:f>
        <x:v>110</x:v>
      </x:c>
      <x:c r="J3715" s="10" t="n">
        <x:v>23</x:v>
      </x:c>
      <x:c r="K3715" s="12" t="n">
        <x:v>15</x:v>
      </x:c>
      <x:c r="L3715" s="1" t="str"/>
      <x:c r="M3715" s="9" t="str">
        <x:v>https://poke.idleworld.online/pokepedia/pokemon/skrelp</x:v>
      </x:c>
    </x:row>
    <x:row r="3716" ht="22" customHeight="1">
      <x:c r="A3716" s="1" t="n">
        <x:v>690</x:v>
      </x:c>
      <x:c r="B3716" s="1" t="str">
        <x:v>Skrelp</x:v>
      </x:c>
      <x:c r="C3716" s="1" t="n">
        <x:v>1</x:v>
      </x:c>
      <x:c r="D3716" s="1" t="str">
        <x:v>Water Gun</x:v>
      </x:c>
      <x:c r="E3716" s="1" t="str">
        <x:v>Água</x:v>
      </x:c>
      <x:c r="F3716" s="1" t="str">
        <x:v>Especial</x:v>
      </x:c>
      <x:c r="G3716" s="10" t="n">
        <x:v>40</x:v>
      </x:c>
      <x:c r="H3716" s="10" t="n">
        <x:f>IF(F3716="Física",'Pokémon'!G401,IF(F3716="Especial",'Pokémon'!I401,""))</x:f>
        <x:v>60</x:v>
      </x:c>
      <x:c r="I3716" s="10" t="n">
        <x:f>IF(OR(F3716="Status",G3716=0),"",G3716+H3716)</x:f>
        <x:v>100</x:v>
      </x:c>
      <x:c r="J3716" s="10" t="n">
        <x:v>1</x:v>
      </x:c>
      <x:c r="K3716" s="12" t="n">
        <x:v>15</x:v>
      </x:c>
      <x:c r="L3716" s="1" t="str"/>
      <x:c r="M3716" s="9" t="str">
        <x:v>https://poke.idleworld.online/pokepedia/pokemon/skrelp</x:v>
      </x:c>
    </x:row>
    <x:row r="3717" ht="22" customHeight="1">
      <x:c r="A3717" s="1" t="n">
        <x:v>690</x:v>
      </x:c>
      <x:c r="B3717" s="1" t="str">
        <x:v>Skrelp</x:v>
      </x:c>
      <x:c r="C3717" s="1" t="n">
        <x:v>4</x:v>
      </x:c>
      <x:c r="D3717" s="1" t="str">
        <x:v>Bubble</x:v>
      </x:c>
      <x:c r="E3717" s="1" t="str">
        <x:v>Água</x:v>
      </x:c>
      <x:c r="F3717" s="1" t="str">
        <x:v>Especial</x:v>
      </x:c>
      <x:c r="G3717" s="10" t="n">
        <x:v>40</x:v>
      </x:c>
      <x:c r="H3717" s="10" t="n">
        <x:f>IF(F3717="Física",'Pokémon'!G401,IF(F3717="Especial",'Pokémon'!I401,""))</x:f>
        <x:v>60</x:v>
      </x:c>
      <x:c r="I3717" s="10" t="n">
        <x:f>IF(OR(F3717="Status",G3717=0),"",G3717+H3717)</x:f>
        <x:v>100</x:v>
      </x:c>
      <x:c r="J3717" s="10" t="n">
        <x:v>12</x:v>
      </x:c>
      <x:c r="K3717" s="12" t="n">
        <x:v>15</x:v>
      </x:c>
      <x:c r="L3717" s="1" t="str"/>
      <x:c r="M3717" s="9" t="str">
        <x:v>https://poke.idleworld.online/pokepedia/pokemon/skrelp</x:v>
      </x:c>
    </x:row>
    <x:row r="3718" ht="22" customHeight="1">
      <x:c r="A3718" s="1" t="n">
        <x:v>690</x:v>
      </x:c>
      <x:c r="B3718" s="1" t="str">
        <x:v>Skrelp</x:v>
      </x:c>
      <x:c r="C3718" s="1" t="n">
        <x:v>5</x:v>
      </x:c>
      <x:c r="D3718" s="1" t="str">
        <x:v>Acid</x:v>
      </x:c>
      <x:c r="E3718" s="1" t="str">
        <x:v>Venenoso</x:v>
      </x:c>
      <x:c r="F3718" s="1" t="str">
        <x:v>Especial</x:v>
      </x:c>
      <x:c r="G3718" s="10" t="n">
        <x:v>40</x:v>
      </x:c>
      <x:c r="H3718" s="10" t="n">
        <x:f>IF(F3718="Física",'Pokémon'!G401,IF(F3718="Especial",'Pokémon'!I401,""))</x:f>
        <x:v>60</x:v>
      </x:c>
      <x:c r="I3718" s="10" t="n">
        <x:f>IF(OR(F3718="Status",G3718=0),"",G3718+H3718)</x:f>
        <x:v>100</x:v>
      </x:c>
      <x:c r="J3718" s="10" t="n">
        <x:v>15</x:v>
      </x:c>
      <x:c r="K3718" s="12" t="n">
        <x:v>15</x:v>
      </x:c>
      <x:c r="L3718" s="1" t="str"/>
      <x:c r="M3718" s="9" t="str">
        <x:v>https://poke.idleworld.online/pokepedia/pokemon/skrelp</x:v>
      </x:c>
    </x:row>
    <x:row r="3719" ht="22" customHeight="1">
      <x:c r="A3719" s="1" t="n">
        <x:v>691</x:v>
      </x:c>
      <x:c r="B3719" s="1" t="str">
        <x:v>Dragalge</x:v>
      </x:c>
      <x:c r="C3719" s="1" t="n">
        <x:v>12</x:v>
      </x:c>
      <x:c r="D3719" s="1" t="str">
        <x:v>Hydro Pump</x:v>
      </x:c>
      <x:c r="E3719" s="1" t="str">
        <x:v>Água</x:v>
      </x:c>
      <x:c r="F3719" s="1" t="str">
        <x:v>Especial</x:v>
      </x:c>
      <x:c r="G3719" s="10" t="n">
        <x:v>110</x:v>
      </x:c>
      <x:c r="H3719" s="10" t="n">
        <x:f>IF(F3719="Física",'Pokémon'!G402,IF(F3719="Especial",'Pokémon'!I402,""))</x:f>
        <x:v>97</x:v>
      </x:c>
      <x:c r="I3719" s="10" t="n">
        <x:f>IF(OR(F3719="Status",G3719=0),"",G3719+H3719)</x:f>
        <x:v>207</x:v>
      </x:c>
      <x:c r="J3719" s="10" t="n">
        <x:v>42</x:v>
      </x:c>
      <x:c r="K3719" s="12" t="n">
        <x:v>40</x:v>
      </x:c>
      <x:c r="L3719" s="1" t="str"/>
      <x:c r="M3719" s="9" t="str">
        <x:v>https://poke.idleworld.online/pokepedia/pokemon/dragalge</x:v>
      </x:c>
    </x:row>
    <x:row r="3720" ht="22" customHeight="1">
      <x:c r="A3720" s="1" t="n">
        <x:v>691</x:v>
      </x:c>
      <x:c r="B3720" s="1" t="str">
        <x:v>Dragalge</x:v>
      </x:c>
      <x:c r="C3720" s="1" t="n">
        <x:v>11</x:v>
      </x:c>
      <x:c r="D3720" s="1" t="str">
        <x:v>Sludge Bomb</x:v>
      </x:c>
      <x:c r="E3720" s="1" t="str">
        <x:v>Venenoso</x:v>
      </x:c>
      <x:c r="F3720" s="1" t="str">
        <x:v>Especial</x:v>
      </x:c>
      <x:c r="G3720" s="10" t="n">
        <x:v>90</x:v>
      </x:c>
      <x:c r="H3720" s="10" t="n">
        <x:f>IF(F3720="Física",'Pokémon'!G402,IF(F3720="Especial",'Pokémon'!I402,""))</x:f>
        <x:v>97</x:v>
      </x:c>
      <x:c r="I3720" s="10" t="n">
        <x:f>IF(OR(F3720="Status",G3720=0),"",G3720+H3720)</x:f>
        <x:v>187</x:v>
      </x:c>
      <x:c r="J3720" s="10" t="n">
        <x:v>38</x:v>
      </x:c>
      <x:c r="K3720" s="12" t="n">
        <x:v>40</x:v>
      </x:c>
      <x:c r="L3720" s="1" t="str"/>
      <x:c r="M3720" s="9" t="str">
        <x:v>https://poke.idleworld.online/pokepedia/pokemon/dragalge</x:v>
      </x:c>
    </x:row>
    <x:row r="3721" ht="22" customHeight="1">
      <x:c r="A3721" s="1" t="n">
        <x:v>691</x:v>
      </x:c>
      <x:c r="B3721" s="1" t="str">
        <x:v>Dragalge</x:v>
      </x:c>
      <x:c r="C3721" s="1" t="n">
        <x:v>13</x:v>
      </x:c>
      <x:c r="D3721" s="1" t="str">
        <x:v>Dragon Pulse</x:v>
      </x:c>
      <x:c r="E3721" s="1" t="str">
        <x:v>Dragão</x:v>
      </x:c>
      <x:c r="F3721" s="1" t="str">
        <x:v>Especial</x:v>
      </x:c>
      <x:c r="G3721" s="10" t="n">
        <x:v>85</x:v>
      </x:c>
      <x:c r="H3721" s="10" t="n">
        <x:f>IF(F3721="Física",'Pokémon'!G402,IF(F3721="Especial",'Pokémon'!I402,""))</x:f>
        <x:v>97</x:v>
      </x:c>
      <x:c r="I3721" s="10" t="n">
        <x:f>IF(OR(F3721="Status",G3721=0),"",G3721+H3721)</x:f>
        <x:v>182</x:v>
      </x:c>
      <x:c r="J3721" s="10" t="n">
        <x:v>53</x:v>
      </x:c>
      <x:c r="K3721" s="12" t="n">
        <x:v>22</x:v>
      </x:c>
      <x:c r="L3721" s="1" t="str"/>
      <x:c r="M3721" s="9" t="str">
        <x:v>https://poke.idleworld.online/pokepedia/pokemon/dragalge</x:v>
      </x:c>
    </x:row>
    <x:row r="3722" ht="22" customHeight="1">
      <x:c r="A3722" s="1" t="n">
        <x:v>691</x:v>
      </x:c>
      <x:c r="B3722" s="1" t="str">
        <x:v>Dragalge</x:v>
      </x:c>
      <x:c r="C3722" s="1" t="n">
        <x:v>10</x:v>
      </x:c>
      <x:c r="D3722" s="1" t="str">
        <x:v>Aqua Tail</x:v>
      </x:c>
      <x:c r="E3722" s="1" t="str">
        <x:v>Água</x:v>
      </x:c>
      <x:c r="F3722" s="1" t="str">
        <x:v>Física</x:v>
      </x:c>
      <x:c r="G3722" s="10" t="n">
        <x:v>90</x:v>
      </x:c>
      <x:c r="H3722" s="10" t="n">
        <x:f>IF(F3722="Física",'Pokémon'!G402,IF(F3722="Especial",'Pokémon'!I402,""))</x:f>
        <x:v>75</x:v>
      </x:c>
      <x:c r="I3722" s="10" t="n">
        <x:f>IF(OR(F3722="Status",G3722=0),"",G3722+H3722)</x:f>
        <x:v>165</x:v>
      </x:c>
      <x:c r="J3722" s="10" t="n">
        <x:v>35</x:v>
      </x:c>
      <x:c r="K3722" s="12" t="n">
        <x:v>22</x:v>
      </x:c>
      <x:c r="L3722" s="1" t="str"/>
      <x:c r="M3722" s="9" t="str">
        <x:v>https://poke.idleworld.online/pokepedia/pokemon/dragalge</x:v>
      </x:c>
    </x:row>
    <x:row r="3723" ht="22" customHeight="1">
      <x:c r="A3723" s="1" t="n">
        <x:v>691</x:v>
      </x:c>
      <x:c r="B3723" s="1" t="str">
        <x:v>Dragalge</x:v>
      </x:c>
      <x:c r="C3723" s="1" t="n">
        <x:v>9</x:v>
      </x:c>
      <x:c r="D3723" s="1" t="str">
        <x:v>Water Pulse</x:v>
      </x:c>
      <x:c r="E3723" s="1" t="str">
        <x:v>Água</x:v>
      </x:c>
      <x:c r="F3723" s="1" t="str">
        <x:v>Especial</x:v>
      </x:c>
      <x:c r="G3723" s="10" t="n">
        <x:v>60</x:v>
      </x:c>
      <x:c r="H3723" s="10" t="n">
        <x:f>IF(F3723="Física",'Pokémon'!G402,IF(F3723="Especial",'Pokémon'!I402,""))</x:f>
        <x:v>97</x:v>
      </x:c>
      <x:c r="I3723" s="10" t="n">
        <x:f>IF(OR(F3723="Status",G3723=0),"",G3723+H3723)</x:f>
        <x:v>157</x:v>
      </x:c>
      <x:c r="J3723" s="10" t="n">
        <x:v>25</x:v>
      </x:c>
      <x:c r="K3723" s="12" t="n">
        <x:v>20</x:v>
      </x:c>
      <x:c r="L3723" s="1" t="str"/>
      <x:c r="M3723" s="9" t="str">
        <x:v>https://poke.idleworld.online/pokepedia/pokemon/dragalge</x:v>
      </x:c>
    </x:row>
    <x:row r="3724" ht="22" customHeight="1">
      <x:c r="A3724" s="1" t="n">
        <x:v>691</x:v>
      </x:c>
      <x:c r="B3724" s="1" t="str">
        <x:v>Dragalge</x:v>
      </x:c>
      <x:c r="C3724" s="1" t="n">
        <x:v>1</x:v>
      </x:c>
      <x:c r="D3724" s="1" t="str">
        <x:v>Water Gun</x:v>
      </x:c>
      <x:c r="E3724" s="1" t="str">
        <x:v>Água</x:v>
      </x:c>
      <x:c r="F3724" s="1" t="str">
        <x:v>Especial</x:v>
      </x:c>
      <x:c r="G3724" s="10" t="n">
        <x:v>40</x:v>
      </x:c>
      <x:c r="H3724" s="10" t="n">
        <x:f>IF(F3724="Física",'Pokémon'!G402,IF(F3724="Especial",'Pokémon'!I402,""))</x:f>
        <x:v>97</x:v>
      </x:c>
      <x:c r="I3724" s="10" t="n">
        <x:f>IF(OR(F3724="Status",G3724=0),"",G3724+H3724)</x:f>
        <x:v>137</x:v>
      </x:c>
      <x:c r="J3724" s="10" t="n">
        <x:v>1</x:v>
      </x:c>
      <x:c r="K3724" s="12" t="n">
        <x:v>15</x:v>
      </x:c>
      <x:c r="L3724" s="1" t="str"/>
      <x:c r="M3724" s="9" t="str">
        <x:v>https://poke.idleworld.online/pokepedia/pokemon/dragalge</x:v>
      </x:c>
    </x:row>
    <x:row r="3725" ht="22" customHeight="1">
      <x:c r="A3725" s="1" t="n">
        <x:v>691</x:v>
      </x:c>
      <x:c r="B3725" s="1" t="str">
        <x:v>Dragalge</x:v>
      </x:c>
      <x:c r="C3725" s="1" t="n">
        <x:v>2</x:v>
      </x:c>
      <x:c r="D3725" s="1" t="str">
        <x:v>Twister</x:v>
      </x:c>
      <x:c r="E3725" s="1" t="str">
        <x:v>Dragão</x:v>
      </x:c>
      <x:c r="F3725" s="1" t="str">
        <x:v>Especial</x:v>
      </x:c>
      <x:c r="G3725" s="10" t="n">
        <x:v>40</x:v>
      </x:c>
      <x:c r="H3725" s="10" t="n">
        <x:f>IF(F3725="Física",'Pokémon'!G402,IF(F3725="Especial",'Pokémon'!I402,""))</x:f>
        <x:v>97</x:v>
      </x:c>
      <x:c r="I3725" s="10" t="n">
        <x:f>IF(OR(F3725="Status",G3725=0),"",G3725+H3725)</x:f>
        <x:v>137</x:v>
      </x:c>
      <x:c r="J3725" s="10" t="n">
        <x:v>1</x:v>
      </x:c>
      <x:c r="K3725" s="12" t="n">
        <x:v>15</x:v>
      </x:c>
      <x:c r="L3725" s="1" t="str"/>
      <x:c r="M3725" s="9" t="str">
        <x:v>https://poke.idleworld.online/pokepedia/pokemon/dragalge</x:v>
      </x:c>
    </x:row>
    <x:row r="3726" ht="22" customHeight="1">
      <x:c r="A3726" s="1" t="n">
        <x:v>691</x:v>
      </x:c>
      <x:c r="B3726" s="1" t="str">
        <x:v>Dragalge</x:v>
      </x:c>
      <x:c r="C3726" s="1" t="n">
        <x:v>6</x:v>
      </x:c>
      <x:c r="D3726" s="1" t="str">
        <x:v>Bubble</x:v>
      </x:c>
      <x:c r="E3726" s="1" t="str">
        <x:v>Água</x:v>
      </x:c>
      <x:c r="F3726" s="1" t="str">
        <x:v>Especial</x:v>
      </x:c>
      <x:c r="G3726" s="10" t="n">
        <x:v>40</x:v>
      </x:c>
      <x:c r="H3726" s="10" t="n">
        <x:f>IF(F3726="Física",'Pokémon'!G402,IF(F3726="Especial",'Pokémon'!I402,""))</x:f>
        <x:v>97</x:v>
      </x:c>
      <x:c r="I3726" s="10" t="n">
        <x:f>IF(OR(F3726="Status",G3726=0),"",G3726+H3726)</x:f>
        <x:v>137</x:v>
      </x:c>
      <x:c r="J3726" s="10" t="n">
        <x:v>12</x:v>
      </x:c>
      <x:c r="K3726" s="12" t="n">
        <x:v>15</x:v>
      </x:c>
      <x:c r="L3726" s="1" t="str"/>
      <x:c r="M3726" s="9" t="str">
        <x:v>https://poke.idleworld.online/pokepedia/pokemon/dragalge</x:v>
      </x:c>
    </x:row>
    <x:row r="3727" ht="22" customHeight="1">
      <x:c r="A3727" s="1" t="n">
        <x:v>691</x:v>
      </x:c>
      <x:c r="B3727" s="1" t="str">
        <x:v>Dragalge</x:v>
      </x:c>
      <x:c r="C3727" s="1" t="n">
        <x:v>7</x:v>
      </x:c>
      <x:c r="D3727" s="1" t="str">
        <x:v>Acid</x:v>
      </x:c>
      <x:c r="E3727" s="1" t="str">
        <x:v>Venenoso</x:v>
      </x:c>
      <x:c r="F3727" s="1" t="str">
        <x:v>Especial</x:v>
      </x:c>
      <x:c r="G3727" s="10" t="n">
        <x:v>40</x:v>
      </x:c>
      <x:c r="H3727" s="10" t="n">
        <x:f>IF(F3727="Física",'Pokémon'!G402,IF(F3727="Especial",'Pokémon'!I402,""))</x:f>
        <x:v>97</x:v>
      </x:c>
      <x:c r="I3727" s="10" t="n">
        <x:f>IF(OR(F3727="Status",G3727=0),"",G3727+H3727)</x:f>
        <x:v>137</x:v>
      </x:c>
      <x:c r="J3727" s="10" t="n">
        <x:v>15</x:v>
      </x:c>
      <x:c r="K3727" s="12" t="n">
        <x:v>8</x:v>
      </x:c>
      <x:c r="L3727" s="1" t="str"/>
      <x:c r="M3727" s="9" t="str">
        <x:v>https://poke.idleworld.online/pokepedia/pokemon/dragalge</x:v>
      </x:c>
    </x:row>
    <x:row r="3728" ht="22" customHeight="1">
      <x:c r="A3728" s="1" t="n">
        <x:v>691</x:v>
      </x:c>
      <x:c r="B3728" s="1" t="str">
        <x:v>Dragalge</x:v>
      </x:c>
      <x:c r="C3728" s="1" t="n">
        <x:v>4</x:v>
      </x:c>
      <x:c r="D3728" s="1" t="str">
        <x:v>Dragon Tail</x:v>
      </x:c>
      <x:c r="E3728" s="1" t="str">
        <x:v>Dragão</x:v>
      </x:c>
      <x:c r="F3728" s="1" t="str">
        <x:v>Física</x:v>
      </x:c>
      <x:c r="G3728" s="10" t="n">
        <x:v>60</x:v>
      </x:c>
      <x:c r="H3728" s="10" t="n">
        <x:f>IF(F3728="Física",'Pokémon'!G402,IF(F3728="Especial",'Pokémon'!I402,""))</x:f>
        <x:v>75</x:v>
      </x:c>
      <x:c r="I3728" s="10" t="n">
        <x:f>IF(OR(F3728="Status",G3728=0),"",G3728+H3728)</x:f>
        <x:v>135</x:v>
      </x:c>
      <x:c r="J3728" s="10" t="n">
        <x:v>1</x:v>
      </x:c>
      <x:c r="K3728" s="12" t="n">
        <x:v>20</x:v>
      </x:c>
      <x:c r="L3728" s="1" t="str"/>
      <x:c r="M3728" s="9" t="str">
        <x:v>https://poke.idleworld.online/pokepedia/pokemon/dragalge</x:v>
      </x:c>
    </x:row>
    <x:row r="3729" ht="22" customHeight="1">
      <x:c r="A3729" s="1" t="n">
        <x:v>691</x:v>
      </x:c>
      <x:c r="B3729" s="1" t="str">
        <x:v>Dragalge</x:v>
      </x:c>
      <x:c r="C3729" s="1" t="n">
        <x:v>5</x:v>
      </x:c>
      <x:c r="D3729" s="1" t="str">
        <x:v>Feint Attack</x:v>
      </x:c>
      <x:c r="E3729" s="1" t="str">
        <x:v>Sombrio</x:v>
      </x:c>
      <x:c r="F3729" s="1" t="str">
        <x:v>Física</x:v>
      </x:c>
      <x:c r="G3729" s="10" t="n">
        <x:v>60</x:v>
      </x:c>
      <x:c r="H3729" s="10" t="n">
        <x:f>IF(F3729="Física",'Pokémon'!G402,IF(F3729="Especial",'Pokémon'!I402,""))</x:f>
        <x:v>75</x:v>
      </x:c>
      <x:c r="I3729" s="10" t="n">
        <x:f>IF(OR(F3729="Status",G3729=0),"",G3729+H3729)</x:f>
        <x:v>135</x:v>
      </x:c>
      <x:c r="J3729" s="10" t="n">
        <x:v>5</x:v>
      </x:c>
      <x:c r="K3729" s="12" t="n">
        <x:v>20</x:v>
      </x:c>
      <x:c r="L3729" s="1" t="str"/>
      <x:c r="M3729" s="9" t="str">
        <x:v>https://poke.idleworld.online/pokepedia/pokemon/dragalge</x:v>
      </x:c>
    </x:row>
    <x:row r="3730" ht="22" customHeight="1">
      <x:c r="A3730" s="1" t="n">
        <x:v>691</x:v>
      </x:c>
      <x:c r="B3730" s="1" t="str">
        <x:v>Dragalge</x:v>
      </x:c>
      <x:c r="C3730" s="1" t="n">
        <x:v>3</x:v>
      </x:c>
      <x:c r="D3730" s="1" t="str">
        <x:v>Tackle</x:v>
      </x:c>
      <x:c r="E3730" s="1" t="str">
        <x:v>Normal</x:v>
      </x:c>
      <x:c r="F3730" s="1" t="str">
        <x:v>Física</x:v>
      </x:c>
      <x:c r="G3730" s="10" t="n">
        <x:v>50</x:v>
      </x:c>
      <x:c r="H3730" s="10" t="n">
        <x:f>IF(F3730="Física",'Pokémon'!G402,IF(F3730="Especial",'Pokémon'!I402,""))</x:f>
        <x:v>75</x:v>
      </x:c>
      <x:c r="I3730" s="10" t="n">
        <x:f>IF(OR(F3730="Status",G3730=0),"",G3730+H3730)</x:f>
        <x:v>125</x:v>
      </x:c>
      <x:c r="J3730" s="10" t="n">
        <x:v>1</x:v>
      </x:c>
      <x:c r="K3730" s="12" t="n">
        <x:v>15</x:v>
      </x:c>
      <x:c r="L3730" s="1" t="str"/>
      <x:c r="M3730" s="9" t="str">
        <x:v>https://poke.idleworld.online/pokepedia/pokemon/dragalge</x:v>
      </x:c>
    </x:row>
    <x:row r="3731" ht="22" customHeight="1">
      <x:c r="A3731" s="1" t="n">
        <x:v>691</x:v>
      </x:c>
      <x:c r="B3731" s="1" t="str">
        <x:v>Dragalge</x:v>
      </x:c>
      <x:c r="C3731" s="1" t="n">
        <x:v>8</x:v>
      </x:c>
      <x:c r="D3731" s="1" t="str">
        <x:v>Poison Tail</x:v>
      </x:c>
      <x:c r="E3731" s="1" t="str">
        <x:v>Venenoso</x:v>
      </x:c>
      <x:c r="F3731" s="1" t="str">
        <x:v>Física</x:v>
      </x:c>
      <x:c r="G3731" s="10" t="n">
        <x:v>50</x:v>
      </x:c>
      <x:c r="H3731" s="10" t="n">
        <x:f>IF(F3731="Física",'Pokémon'!G402,IF(F3731="Especial",'Pokémon'!I402,""))</x:f>
        <x:v>75</x:v>
      </x:c>
      <x:c r="I3731" s="10" t="n">
        <x:f>IF(OR(F3731="Status",G3731=0),"",G3731+H3731)</x:f>
        <x:v>125</x:v>
      </x:c>
      <x:c r="J3731" s="10" t="n">
        <x:v>23</x:v>
      </x:c>
      <x:c r="K3731" s="12" t="n">
        <x:v>15</x:v>
      </x:c>
      <x:c r="L3731" s="1" t="str"/>
      <x:c r="M3731" s="9" t="str">
        <x:v>https://poke.idleworld.online/pokepedia/pokemon/dragalge</x:v>
      </x:c>
    </x:row>
    <x:row r="3732" ht="22" customHeight="1">
      <x:c r="A3732" s="1" t="n">
        <x:v>700</x:v>
      </x:c>
      <x:c r="B3732" s="1" t="str">
        <x:v>Sylveon</x:v>
      </x:c>
      <x:c r="C3732" s="1" t="n">
        <x:v>8</x:v>
      </x:c>
      <x:c r="D3732" s="1" t="str">
        <x:v>Last Resort</x:v>
      </x:c>
      <x:c r="E3732" s="1" t="str">
        <x:v>Normal</x:v>
      </x:c>
      <x:c r="F3732" s="1" t="str">
        <x:v>Física</x:v>
      </x:c>
      <x:c r="G3732" s="10" t="n">
        <x:v>140</x:v>
      </x:c>
      <x:c r="H3732" s="10" t="n">
        <x:f>IF(F3732="Física",'Pokémon'!G403,IF(F3732="Especial",'Pokémon'!I403,""))</x:f>
        <x:v>65</x:v>
      </x:c>
      <x:c r="I3732" s="10" t="n">
        <x:f>IF(OR(F3732="Status",G3732=0),"",G3732+H3732)</x:f>
        <x:v>205</x:v>
      </x:c>
      <x:c r="J3732" s="10" t="n">
        <x:v>41</x:v>
      </x:c>
      <x:c r="K3732" s="12" t="n">
        <x:v>50</x:v>
      </x:c>
      <x:c r="L3732" s="1" t="str"/>
      <x:c r="M3732" s="9" t="str">
        <x:v>https://poke.idleworld.online/pokepedia/pokemon/sylveon</x:v>
      </x:c>
    </x:row>
    <x:row r="3733" ht="22" customHeight="1">
      <x:c r="A3733" s="1" t="n">
        <x:v>700</x:v>
      </x:c>
      <x:c r="B3733" s="1" t="str">
        <x:v>Sylveon</x:v>
      </x:c>
      <x:c r="C3733" s="1" t="n">
        <x:v>7</x:v>
      </x:c>
      <x:c r="D3733" s="1" t="str">
        <x:v>Moonblast</x:v>
      </x:c>
      <x:c r="E3733" s="1" t="str">
        <x:v>Fada</x:v>
      </x:c>
      <x:c r="F3733" s="1" t="str">
        <x:v>Especial</x:v>
      </x:c>
      <x:c r="G3733" s="10" t="n">
        <x:v>95</x:v>
      </x:c>
      <x:c r="H3733" s="10" t="n">
        <x:f>IF(F3733="Física",'Pokémon'!G403,IF(F3733="Especial",'Pokémon'!I403,""))</x:f>
        <x:v>110</x:v>
      </x:c>
      <x:c r="I3733" s="10" t="n">
        <x:f>IF(OR(F3733="Status",G3733=0),"",G3733+H3733)</x:f>
        <x:v>205</x:v>
      </x:c>
      <x:c r="J3733" s="10" t="n">
        <x:v>37</x:v>
      </x:c>
      <x:c r="K3733" s="12" t="n">
        <x:v>40</x:v>
      </x:c>
      <x:c r="L3733" s="1" t="str"/>
      <x:c r="M3733" s="9" t="str">
        <x:v>https://poke.idleworld.online/pokepedia/pokemon/sylveon</x:v>
      </x:c>
    </x:row>
    <x:row r="3734" ht="22" customHeight="1">
      <x:c r="A3734" s="1" t="n">
        <x:v>700</x:v>
      </x:c>
      <x:c r="B3734" s="1" t="str">
        <x:v>Sylveon</x:v>
      </x:c>
      <x:c r="C3734" s="1" t="n">
        <x:v>5</x:v>
      </x:c>
      <x:c r="D3734" s="1" t="str">
        <x:v>Swift</x:v>
      </x:c>
      <x:c r="E3734" s="1" t="str">
        <x:v>Normal</x:v>
      </x:c>
      <x:c r="F3734" s="1" t="str">
        <x:v>Especial</x:v>
      </x:c>
      <x:c r="G3734" s="10" t="n">
        <x:v>60</x:v>
      </x:c>
      <x:c r="H3734" s="10" t="n">
        <x:f>IF(F3734="Física",'Pokémon'!G403,IF(F3734="Especial",'Pokémon'!I403,""))</x:f>
        <x:v>110</x:v>
      </x:c>
      <x:c r="I3734" s="10" t="n">
        <x:f>IF(OR(F3734="Status",G3734=0),"",G3734+H3734)</x:f>
        <x:v>170</x:v>
      </x:c>
      <x:c r="J3734" s="10" t="n">
        <x:v>17</x:v>
      </x:c>
      <x:c r="K3734" s="12" t="n">
        <x:v>12</x:v>
      </x:c>
      <x:c r="L3734" s="1" t="str"/>
      <x:c r="M3734" s="9" t="str">
        <x:v>https://poke.idleworld.online/pokepedia/pokemon/sylveon</x:v>
      </x:c>
    </x:row>
    <x:row r="3735" ht="22" customHeight="1">
      <x:c r="A3735" s="1" t="n">
        <x:v>700</x:v>
      </x:c>
      <x:c r="B3735" s="1" t="str">
        <x:v>Sylveon</x:v>
      </x:c>
      <x:c r="C3735" s="1" t="n">
        <x:v>6</x:v>
      </x:c>
      <x:c r="D3735" s="1" t="str">
        <x:v>Draining Kiss</x:v>
      </x:c>
      <x:c r="E3735" s="1" t="str">
        <x:v>Fada</x:v>
      </x:c>
      <x:c r="F3735" s="1" t="str">
        <x:v>Especial</x:v>
      </x:c>
      <x:c r="G3735" s="10" t="n">
        <x:v>50</x:v>
      </x:c>
      <x:c r="H3735" s="10" t="n">
        <x:f>IF(F3735="Física",'Pokémon'!G403,IF(F3735="Especial",'Pokémon'!I403,""))</x:f>
        <x:v>110</x:v>
      </x:c>
      <x:c r="I3735" s="10" t="n">
        <x:f>IF(OR(F3735="Status",G3735=0),"",G3735+H3735)</x:f>
        <x:v>160</x:v>
      </x:c>
      <x:c r="J3735" s="10" t="n">
        <x:v>20</x:v>
      </x:c>
      <x:c r="K3735" s="12" t="n">
        <x:v>15</x:v>
      </x:c>
      <x:c r="L3735" s="1" t="str"/>
      <x:c r="M3735" s="9" t="str">
        <x:v>https://poke.idleworld.online/pokepedia/pokemon/sylveon</x:v>
      </x:c>
    </x:row>
    <x:row r="3736" ht="22" customHeight="1">
      <x:c r="A3736" s="1" t="n">
        <x:v>700</x:v>
      </x:c>
      <x:c r="B3736" s="1" t="str">
        <x:v>Sylveon</x:v>
      </x:c>
      <x:c r="C3736" s="1" t="n">
        <x:v>1</x:v>
      </x:c>
      <x:c r="D3736" s="1" t="str">
        <x:v>Disarming Voice</x:v>
      </x:c>
      <x:c r="E3736" s="1" t="str">
        <x:v>Fada</x:v>
      </x:c>
      <x:c r="F3736" s="1" t="str">
        <x:v>Especial</x:v>
      </x:c>
      <x:c r="G3736" s="10" t="n">
        <x:v>40</x:v>
      </x:c>
      <x:c r="H3736" s="10" t="n">
        <x:f>IF(F3736="Física",'Pokémon'!G403,IF(F3736="Especial",'Pokémon'!I403,""))</x:f>
        <x:v>110</x:v>
      </x:c>
      <x:c r="I3736" s="10" t="n">
        <x:f>IF(OR(F3736="Status",G3736=0),"",G3736+H3736)</x:f>
        <x:v>150</x:v>
      </x:c>
      <x:c r="J3736" s="10" t="n">
        <x:v>1</x:v>
      </x:c>
      <x:c r="K3736" s="12" t="n">
        <x:v>15</x:v>
      </x:c>
      <x:c r="L3736" s="1" t="str"/>
      <x:c r="M3736" s="9" t="str">
        <x:v>https://poke.idleworld.online/pokepedia/pokemon/sylveon</x:v>
      </x:c>
    </x:row>
    <x:row r="3737" ht="22" customHeight="1">
      <x:c r="A3737" s="1" t="n">
        <x:v>700</x:v>
      </x:c>
      <x:c r="B3737" s="1" t="str">
        <x:v>Sylveon</x:v>
      </x:c>
      <x:c r="C3737" s="1" t="n">
        <x:v>3</x:v>
      </x:c>
      <x:c r="D3737" s="1" t="str">
        <x:v>Fairy Wind</x:v>
      </x:c>
      <x:c r="E3737" s="1" t="str">
        <x:v>Fada</x:v>
      </x:c>
      <x:c r="F3737" s="1" t="str">
        <x:v>Especial</x:v>
      </x:c>
      <x:c r="G3737" s="10" t="n">
        <x:v>40</x:v>
      </x:c>
      <x:c r="H3737" s="10" t="n">
        <x:f>IF(F3737="Física",'Pokémon'!G403,IF(F3737="Especial",'Pokémon'!I403,""))</x:f>
        <x:v>110</x:v>
      </x:c>
      <x:c r="I3737" s="10" t="n">
        <x:f>IF(OR(F3737="Status",G3737=0),"",G3737+H3737)</x:f>
        <x:v>150</x:v>
      </x:c>
      <x:c r="J3737" s="10" t="n">
        <x:v>9</x:v>
      </x:c>
      <x:c r="K3737" s="12" t="n">
        <x:v>15</x:v>
      </x:c>
      <x:c r="L3737" s="1" t="str"/>
      <x:c r="M3737" s="9" t="str">
        <x:v>https://poke.idleworld.online/pokepedia/pokemon/sylveon</x:v>
      </x:c>
    </x:row>
    <x:row r="3738" ht="22" customHeight="1">
      <x:c r="A3738" s="1" t="n">
        <x:v>700</x:v>
      </x:c>
      <x:c r="B3738" s="1" t="str">
        <x:v>Sylveon</x:v>
      </x:c>
      <x:c r="C3738" s="1" t="n">
        <x:v>2</x:v>
      </x:c>
      <x:c r="D3738" s="1" t="str">
        <x:v>Tackle</x:v>
      </x:c>
      <x:c r="E3738" s="1" t="str">
        <x:v>Normal</x:v>
      </x:c>
      <x:c r="F3738" s="1" t="str">
        <x:v>Física</x:v>
      </x:c>
      <x:c r="G3738" s="10" t="n">
        <x:v>50</x:v>
      </x:c>
      <x:c r="H3738" s="10" t="n">
        <x:f>IF(F3738="Física",'Pokémon'!G403,IF(F3738="Especial",'Pokémon'!I403,""))</x:f>
        <x:v>65</x:v>
      </x:c>
      <x:c r="I3738" s="10" t="n">
        <x:f>IF(OR(F3738="Status",G3738=0),"",G3738+H3738)</x:f>
        <x:v>115</x:v>
      </x:c>
      <x:c r="J3738" s="10" t="n">
        <x:v>1</x:v>
      </x:c>
      <x:c r="K3738" s="12" t="n">
        <x:v>15</x:v>
      </x:c>
      <x:c r="L3738" s="1" t="str"/>
      <x:c r="M3738" s="9" t="str">
        <x:v>https://poke.idleworld.online/pokepedia/pokemon/sylveon</x:v>
      </x:c>
    </x:row>
    <x:row r="3739" ht="22" customHeight="1">
      <x:c r="A3739" s="1" t="n">
        <x:v>700</x:v>
      </x:c>
      <x:c r="B3739" s="1" t="str">
        <x:v>Sylveon</x:v>
      </x:c>
      <x:c r="C3739" s="1" t="n">
        <x:v>4</x:v>
      </x:c>
      <x:c r="D3739" s="1" t="str">
        <x:v>Quick Attack</x:v>
      </x:c>
      <x:c r="E3739" s="1" t="str">
        <x:v>Normal</x:v>
      </x:c>
      <x:c r="F3739" s="1" t="str">
        <x:v>Física</x:v>
      </x:c>
      <x:c r="G3739" s="10" t="n">
        <x:v>40</x:v>
      </x:c>
      <x:c r="H3739" s="10" t="n">
        <x:f>IF(F3739="Física",'Pokémon'!G403,IF(F3739="Especial",'Pokémon'!I403,""))</x:f>
        <x:v>65</x:v>
      </x:c>
      <x:c r="I3739" s="10" t="n">
        <x:f>IF(OR(F3739="Status",G3739=0),"",G3739+H3739)</x:f>
        <x:v>105</x:v>
      </x:c>
      <x:c r="J3739" s="10" t="n">
        <x:v>13</x:v>
      </x:c>
      <x:c r="K3739" s="12" t="n">
        <x:v>10</x:v>
      </x:c>
      <x:c r="L3739" s="1" t="str"/>
      <x:c r="M3739" s="9" t="str">
        <x:v>https://poke.idleworld.online/pokepedia/pokemon/sylveon</x:v>
      </x:c>
    </x:row>
    <x:row r="3740" ht="22" customHeight="1">
      <x:c r="A3740" s="1" t="n">
        <x:v>704</x:v>
      </x:c>
      <x:c r="B3740" s="1" t="str">
        <x:v>Goomy</x:v>
      </x:c>
      <x:c r="C3740" s="1" t="n">
        <x:v>6</x:v>
      </x:c>
      <x:c r="D3740" s="1" t="str">
        <x:v>Muddy Water</x:v>
      </x:c>
      <x:c r="E3740" s="1" t="str">
        <x:v>Água</x:v>
      </x:c>
      <x:c r="F3740" s="1" t="str">
        <x:v>Especial</x:v>
      </x:c>
      <x:c r="G3740" s="10" t="n">
        <x:v>90</x:v>
      </x:c>
      <x:c r="H3740" s="10" t="n">
        <x:f>IF(F3740="Física",'Pokémon'!G404,IF(F3740="Especial",'Pokémon'!I404,""))</x:f>
        <x:v>55</x:v>
      </x:c>
      <x:c r="I3740" s="10" t="n">
        <x:f>IF(OR(F3740="Status",G3740=0),"",G3740+H3740)</x:f>
        <x:v>145</x:v>
      </x:c>
      <x:c r="J3740" s="10" t="n">
        <x:v>38</x:v>
      </x:c>
      <x:c r="K3740" s="12" t="n">
        <x:v>50</x:v>
      </x:c>
      <x:c r="L3740" s="1" t="str"/>
      <x:c r="M3740" s="9" t="str">
        <x:v>https://poke.idleworld.online/pokepedia/pokemon/goomy</x:v>
      </x:c>
    </x:row>
    <x:row r="3741" ht="22" customHeight="1">
      <x:c r="A3741" s="1" t="n">
        <x:v>704</x:v>
      </x:c>
      <x:c r="B3741" s="1" t="str">
        <x:v>Goomy</x:v>
      </x:c>
      <x:c r="C3741" s="1" t="n">
        <x:v>7</x:v>
      </x:c>
      <x:c r="D3741" s="1" t="str">
        <x:v>Dragon Pulse</x:v>
      </x:c>
      <x:c r="E3741" s="1" t="str">
        <x:v>Dragão</x:v>
      </x:c>
      <x:c r="F3741" s="1" t="str">
        <x:v>Especial</x:v>
      </x:c>
      <x:c r="G3741" s="10" t="n">
        <x:v>85</x:v>
      </x:c>
      <x:c r="H3741" s="10" t="n">
        <x:f>IF(F3741="Física",'Pokémon'!G404,IF(F3741="Especial",'Pokémon'!I404,""))</x:f>
        <x:v>55</x:v>
      </x:c>
      <x:c r="I3741" s="10" t="n">
        <x:f>IF(OR(F3741="Status",G3741=0),"",G3741+H3741)</x:f>
        <x:v>140</x:v>
      </x:c>
      <x:c r="J3741" s="10" t="n">
        <x:v>42</x:v>
      </x:c>
      <x:c r="K3741" s="12" t="n">
        <x:v>22</x:v>
      </x:c>
      <x:c r="L3741" s="1" t="str"/>
      <x:c r="M3741" s="9" t="str">
        <x:v>https://poke.idleworld.online/pokepedia/pokemon/goomy</x:v>
      </x:c>
    </x:row>
    <x:row r="3742" ht="22" customHeight="1">
      <x:c r="A3742" s="1" t="n">
        <x:v>704</x:v>
      </x:c>
      <x:c r="B3742" s="1" t="str">
        <x:v>Goomy</x:v>
      </x:c>
      <x:c r="C3742" s="1" t="n">
        <x:v>5</x:v>
      </x:c>
      <x:c r="D3742" s="1" t="str">
        <x:v>Body Slam</x:v>
      </x:c>
      <x:c r="E3742" s="1" t="str">
        <x:v>Normal</x:v>
      </x:c>
      <x:c r="F3742" s="1" t="str">
        <x:v>Física</x:v>
      </x:c>
      <x:c r="G3742" s="10" t="n">
        <x:v>85</x:v>
      </x:c>
      <x:c r="H3742" s="10" t="n">
        <x:f>IF(F3742="Física",'Pokémon'!G404,IF(F3742="Especial",'Pokémon'!I404,""))</x:f>
        <x:v>50</x:v>
      </x:c>
      <x:c r="I3742" s="10" t="n">
        <x:f>IF(OR(F3742="Status",G3742=0),"",G3742+H3742)</x:f>
        <x:v>135</x:v>
      </x:c>
      <x:c r="J3742" s="10" t="n">
        <x:v>32</x:v>
      </x:c>
      <x:c r="K3742" s="12" t="n">
        <x:v>22</x:v>
      </x:c>
      <x:c r="L3742" s="1" t="str"/>
      <x:c r="M3742" s="9" t="str">
        <x:v>https://poke.idleworld.online/pokepedia/pokemon/goomy</x:v>
      </x:c>
    </x:row>
    <x:row r="3743" ht="22" customHeight="1">
      <x:c r="A3743" s="1" t="n">
        <x:v>704</x:v>
      </x:c>
      <x:c r="B3743" s="1" t="str">
        <x:v>Goomy</x:v>
      </x:c>
      <x:c r="C3743" s="1" t="n">
        <x:v>4</x:v>
      </x:c>
      <x:c r="D3743" s="1" t="str">
        <x:v>Dragon Breath</x:v>
      </x:c>
      <x:c r="E3743" s="1" t="str">
        <x:v>Dragão</x:v>
      </x:c>
      <x:c r="F3743" s="1" t="str">
        <x:v>Especial</x:v>
      </x:c>
      <x:c r="G3743" s="10" t="n">
        <x:v>60</x:v>
      </x:c>
      <x:c r="H3743" s="10" t="n">
        <x:f>IF(F3743="Física",'Pokémon'!G404,IF(F3743="Especial",'Pokémon'!I404,""))</x:f>
        <x:v>55</x:v>
      </x:c>
      <x:c r="I3743" s="10" t="n">
        <x:f>IF(OR(F3743="Status",G3743=0),"",G3743+H3743)</x:f>
        <x:v>115</x:v>
      </x:c>
      <x:c r="J3743" s="10" t="n">
        <x:v>18</x:v>
      </x:c>
      <x:c r="K3743" s="12" t="n">
        <x:v>20</x:v>
      </x:c>
      <x:c r="L3743" s="1" t="str"/>
      <x:c r="M3743" s="9" t="str">
        <x:v>https://poke.idleworld.online/pokepedia/pokemon/goomy</x:v>
      </x:c>
    </x:row>
    <x:row r="3744" ht="22" customHeight="1">
      <x:c r="A3744" s="1" t="n">
        <x:v>704</x:v>
      </x:c>
      <x:c r="B3744" s="1" t="str">
        <x:v>Goomy</x:v>
      </x:c>
      <x:c r="C3744" s="1" t="n">
        <x:v>2</x:v>
      </x:c>
      <x:c r="D3744" s="1" t="str">
        <x:v>Tackle</x:v>
      </x:c>
      <x:c r="E3744" s="1" t="str">
        <x:v>Normal</x:v>
      </x:c>
      <x:c r="F3744" s="1" t="str">
        <x:v>Física</x:v>
      </x:c>
      <x:c r="G3744" s="10" t="n">
        <x:v>50</x:v>
      </x:c>
      <x:c r="H3744" s="10" t="n">
        <x:f>IF(F3744="Física",'Pokémon'!G404,IF(F3744="Especial",'Pokémon'!I404,""))</x:f>
        <x:v>50</x:v>
      </x:c>
      <x:c r="I3744" s="10" t="n">
        <x:f>IF(OR(F3744="Status",G3744=0),"",G3744+H3744)</x:f>
        <x:v>100</x:v>
      </x:c>
      <x:c r="J3744" s="10" t="n">
        <x:v>1</x:v>
      </x:c>
      <x:c r="K3744" s="12" t="n">
        <x:v>15</x:v>
      </x:c>
      <x:c r="L3744" s="1" t="str"/>
      <x:c r="M3744" s="9" t="str">
        <x:v>https://poke.idleworld.online/pokepedia/pokemon/goomy</x:v>
      </x:c>
    </x:row>
    <x:row r="3745" ht="22" customHeight="1">
      <x:c r="A3745" s="1" t="n">
        <x:v>704</x:v>
      </x:c>
      <x:c r="B3745" s="1" t="str">
        <x:v>Goomy</x:v>
      </x:c>
      <x:c r="C3745" s="1" t="n">
        <x:v>1</x:v>
      </x:c>
      <x:c r="D3745" s="1" t="str">
        <x:v>Bubble</x:v>
      </x:c>
      <x:c r="E3745" s="1" t="str">
        <x:v>Água</x:v>
      </x:c>
      <x:c r="F3745" s="1" t="str">
        <x:v>Especial</x:v>
      </x:c>
      <x:c r="G3745" s="10" t="n">
        <x:v>40</x:v>
      </x:c>
      <x:c r="H3745" s="10" t="n">
        <x:f>IF(F3745="Física",'Pokémon'!G404,IF(F3745="Especial",'Pokémon'!I404,""))</x:f>
        <x:v>55</x:v>
      </x:c>
      <x:c r="I3745" s="10" t="n">
        <x:f>IF(OR(F3745="Status",G3745=0),"",G3745+H3745)</x:f>
        <x:v>95</x:v>
      </x:c>
      <x:c r="J3745" s="10" t="n">
        <x:v>1</x:v>
      </x:c>
      <x:c r="K3745" s="12" t="n">
        <x:v>10</x:v>
      </x:c>
      <x:c r="L3745" s="1" t="str"/>
      <x:c r="M3745" s="9" t="str">
        <x:v>https://poke.idleworld.online/pokepedia/pokemon/goomy</x:v>
      </x:c>
    </x:row>
    <x:row r="3746" ht="22" customHeight="1">
      <x:c r="A3746" s="1" t="n">
        <x:v>704</x:v>
      </x:c>
      <x:c r="B3746" s="1" t="str">
        <x:v>Goomy</x:v>
      </x:c>
      <x:c r="C3746" s="1" t="n">
        <x:v>3</x:v>
      </x:c>
      <x:c r="D3746" s="1" t="str">
        <x:v>Absorb</x:v>
      </x:c>
      <x:c r="E3746" s="1" t="str">
        <x:v>Planta</x:v>
      </x:c>
      <x:c r="F3746" s="1" t="str">
        <x:v>Especial</x:v>
      </x:c>
      <x:c r="G3746" s="10" t="n">
        <x:v>20</x:v>
      </x:c>
      <x:c r="H3746" s="10" t="n">
        <x:f>IF(F3746="Física",'Pokémon'!G404,IF(F3746="Especial",'Pokémon'!I404,""))</x:f>
        <x:v>55</x:v>
      </x:c>
      <x:c r="I3746" s="10" t="n">
        <x:f>IF(OR(F3746="Status",G3746=0),"",G3746+H3746)</x:f>
        <x:v>75</x:v>
      </x:c>
      <x:c r="J3746" s="10" t="n">
        <x:v>5</x:v>
      </x:c>
      <x:c r="K3746" s="12" t="n">
        <x:v>15</x:v>
      </x:c>
      <x:c r="L3746" s="1" t="str"/>
      <x:c r="M3746" s="9" t="str">
        <x:v>https://poke.idleworld.online/pokepedia/pokemon/goomy</x:v>
      </x:c>
    </x:row>
    <x:row r="3747" ht="22" customHeight="1">
      <x:c r="A3747" s="1" t="n">
        <x:v>705</x:v>
      </x:c>
      <x:c r="B3747" s="1" t="str">
        <x:v>Sliggoo</x:v>
      </x:c>
      <x:c r="C3747" s="1" t="n">
        <x:v>6</x:v>
      </x:c>
      <x:c r="D3747" s="1" t="str">
        <x:v>Muddy Water</x:v>
      </x:c>
      <x:c r="E3747" s="1" t="str">
        <x:v>Água</x:v>
      </x:c>
      <x:c r="F3747" s="1" t="str">
        <x:v>Especial</x:v>
      </x:c>
      <x:c r="G3747" s="10" t="n">
        <x:v>90</x:v>
      </x:c>
      <x:c r="H3747" s="10" t="n">
        <x:f>IF(F3747="Física",'Pokémon'!G405,IF(F3747="Especial",'Pokémon'!I405,""))</x:f>
        <x:v>83</x:v>
      </x:c>
      <x:c r="I3747" s="10" t="n">
        <x:f>IF(OR(F3747="Status",G3747=0),"",G3747+H3747)</x:f>
        <x:v>173</x:v>
      </x:c>
      <x:c r="J3747" s="10" t="n">
        <x:v>38</x:v>
      </x:c>
      <x:c r="K3747" s="12" t="n">
        <x:v>40</x:v>
      </x:c>
      <x:c r="L3747" s="1" t="str"/>
      <x:c r="M3747" s="9" t="str">
        <x:v>https://poke.idleworld.online/pokepedia/pokemon/sliggoo</x:v>
      </x:c>
    </x:row>
    <x:row r="3748" ht="22" customHeight="1">
      <x:c r="A3748" s="1" t="n">
        <x:v>705</x:v>
      </x:c>
      <x:c r="B3748" s="1" t="str">
        <x:v>Sliggoo</x:v>
      </x:c>
      <x:c r="C3748" s="1" t="n">
        <x:v>7</x:v>
      </x:c>
      <x:c r="D3748" s="1" t="str">
        <x:v>Dragon Pulse</x:v>
      </x:c>
      <x:c r="E3748" s="1" t="str">
        <x:v>Dragão</x:v>
      </x:c>
      <x:c r="F3748" s="1" t="str">
        <x:v>Especial</x:v>
      </x:c>
      <x:c r="G3748" s="10" t="n">
        <x:v>85</x:v>
      </x:c>
      <x:c r="H3748" s="10" t="n">
        <x:f>IF(F3748="Física",'Pokémon'!G405,IF(F3748="Especial",'Pokémon'!I405,""))</x:f>
        <x:v>83</x:v>
      </x:c>
      <x:c r="I3748" s="10" t="n">
        <x:f>IF(OR(F3748="Status",G3748=0),"",G3748+H3748)</x:f>
        <x:v>168</x:v>
      </x:c>
      <x:c r="J3748" s="10" t="n">
        <x:v>47</x:v>
      </x:c>
      <x:c r="K3748" s="12" t="n">
        <x:v>22</x:v>
      </x:c>
      <x:c r="L3748" s="1" t="str"/>
      <x:c r="M3748" s="9" t="str">
        <x:v>https://poke.idleworld.online/pokepedia/pokemon/sliggoo</x:v>
      </x:c>
    </x:row>
    <x:row r="3749" ht="22" customHeight="1">
      <x:c r="A3749" s="1" t="n">
        <x:v>705</x:v>
      </x:c>
      <x:c r="B3749" s="1" t="str">
        <x:v>Sliggoo</x:v>
      </x:c>
      <x:c r="C3749" s="1" t="n">
        <x:v>5</x:v>
      </x:c>
      <x:c r="D3749" s="1" t="str">
        <x:v>Body Slam</x:v>
      </x:c>
      <x:c r="E3749" s="1" t="str">
        <x:v>Normal</x:v>
      </x:c>
      <x:c r="F3749" s="1" t="str">
        <x:v>Física</x:v>
      </x:c>
      <x:c r="G3749" s="10" t="n">
        <x:v>85</x:v>
      </x:c>
      <x:c r="H3749" s="10" t="n">
        <x:f>IF(F3749="Física",'Pokémon'!G405,IF(F3749="Especial",'Pokémon'!I405,""))</x:f>
        <x:v>75</x:v>
      </x:c>
      <x:c r="I3749" s="10" t="n">
        <x:f>IF(OR(F3749="Status",G3749=0),"",G3749+H3749)</x:f>
        <x:v>160</x:v>
      </x:c>
      <x:c r="J3749" s="10" t="n">
        <x:v>32</x:v>
      </x:c>
      <x:c r="K3749" s="12" t="n">
        <x:v>22</x:v>
      </x:c>
      <x:c r="L3749" s="1" t="str"/>
      <x:c r="M3749" s="9" t="str">
        <x:v>https://poke.idleworld.online/pokepedia/pokemon/sliggoo</x:v>
      </x:c>
    </x:row>
    <x:row r="3750" ht="22" customHeight="1">
      <x:c r="A3750" s="1" t="n">
        <x:v>705</x:v>
      </x:c>
      <x:c r="B3750" s="1" t="str">
        <x:v>Sliggoo</x:v>
      </x:c>
      <x:c r="C3750" s="1" t="n">
        <x:v>4</x:v>
      </x:c>
      <x:c r="D3750" s="1" t="str">
        <x:v>Dragon Breath</x:v>
      </x:c>
      <x:c r="E3750" s="1" t="str">
        <x:v>Dragão</x:v>
      </x:c>
      <x:c r="F3750" s="1" t="str">
        <x:v>Especial</x:v>
      </x:c>
      <x:c r="G3750" s="10" t="n">
        <x:v>60</x:v>
      </x:c>
      <x:c r="H3750" s="10" t="n">
        <x:f>IF(F3750="Física",'Pokémon'!G405,IF(F3750="Especial",'Pokémon'!I405,""))</x:f>
        <x:v>83</x:v>
      </x:c>
      <x:c r="I3750" s="10" t="n">
        <x:f>IF(OR(F3750="Status",G3750=0),"",G3750+H3750)</x:f>
        <x:v>143</x:v>
      </x:c>
      <x:c r="J3750" s="10" t="n">
        <x:v>18</x:v>
      </x:c>
      <x:c r="K3750" s="12" t="n">
        <x:v>20</x:v>
      </x:c>
      <x:c r="L3750" s="1" t="str"/>
      <x:c r="M3750" s="9" t="str">
        <x:v>https://poke.idleworld.online/pokepedia/pokemon/sliggoo</x:v>
      </x:c>
    </x:row>
    <x:row r="3751" ht="22" customHeight="1">
      <x:c r="A3751" s="1" t="n">
        <x:v>705</x:v>
      </x:c>
      <x:c r="B3751" s="1" t="str">
        <x:v>Sliggoo</x:v>
      </x:c>
      <x:c r="C3751" s="1" t="n">
        <x:v>2</x:v>
      </x:c>
      <x:c r="D3751" s="1" t="str">
        <x:v>Tackle</x:v>
      </x:c>
      <x:c r="E3751" s="1" t="str">
        <x:v>Normal</x:v>
      </x:c>
      <x:c r="F3751" s="1" t="str">
        <x:v>Física</x:v>
      </x:c>
      <x:c r="G3751" s="10" t="n">
        <x:v>50</x:v>
      </x:c>
      <x:c r="H3751" s="10" t="n">
        <x:f>IF(F3751="Física",'Pokémon'!G405,IF(F3751="Especial",'Pokémon'!I405,""))</x:f>
        <x:v>75</x:v>
      </x:c>
      <x:c r="I3751" s="10" t="n">
        <x:f>IF(OR(F3751="Status",G3751=0),"",G3751+H3751)</x:f>
        <x:v>125</x:v>
      </x:c>
      <x:c r="J3751" s="10" t="n">
        <x:v>1</x:v>
      </x:c>
      <x:c r="K3751" s="12" t="n">
        <x:v>15</x:v>
      </x:c>
      <x:c r="L3751" s="1" t="str"/>
      <x:c r="M3751" s="9" t="str">
        <x:v>https://poke.idleworld.online/pokepedia/pokemon/sliggoo</x:v>
      </x:c>
    </x:row>
    <x:row r="3752" ht="22" customHeight="1">
      <x:c r="A3752" s="1" t="n">
        <x:v>705</x:v>
      </x:c>
      <x:c r="B3752" s="1" t="str">
        <x:v>Sliggoo</x:v>
      </x:c>
      <x:c r="C3752" s="1" t="n">
        <x:v>1</x:v>
      </x:c>
      <x:c r="D3752" s="1" t="str">
        <x:v>Bubble</x:v>
      </x:c>
      <x:c r="E3752" s="1" t="str">
        <x:v>Água</x:v>
      </x:c>
      <x:c r="F3752" s="1" t="str">
        <x:v>Especial</x:v>
      </x:c>
      <x:c r="G3752" s="10" t="n">
        <x:v>40</x:v>
      </x:c>
      <x:c r="H3752" s="10" t="n">
        <x:f>IF(F3752="Física",'Pokémon'!G405,IF(F3752="Especial",'Pokémon'!I405,""))</x:f>
        <x:v>83</x:v>
      </x:c>
      <x:c r="I3752" s="10" t="n">
        <x:f>IF(OR(F3752="Status",G3752=0),"",G3752+H3752)</x:f>
        <x:v>123</x:v>
      </x:c>
      <x:c r="J3752" s="10" t="n">
        <x:v>1</x:v>
      </x:c>
      <x:c r="K3752" s="12" t="n">
        <x:v>10</x:v>
      </x:c>
      <x:c r="L3752" s="1" t="str"/>
      <x:c r="M3752" s="9" t="str">
        <x:v>https://poke.idleworld.online/pokepedia/pokemon/sliggoo</x:v>
      </x:c>
    </x:row>
    <x:row r="3753" ht="22" customHeight="1">
      <x:c r="A3753" s="1" t="n">
        <x:v>705</x:v>
      </x:c>
      <x:c r="B3753" s="1" t="str">
        <x:v>Sliggoo</x:v>
      </x:c>
      <x:c r="C3753" s="1" t="n">
        <x:v>3</x:v>
      </x:c>
      <x:c r="D3753" s="1" t="str">
        <x:v>Absorb</x:v>
      </x:c>
      <x:c r="E3753" s="1" t="str">
        <x:v>Planta</x:v>
      </x:c>
      <x:c r="F3753" s="1" t="str">
        <x:v>Especial</x:v>
      </x:c>
      <x:c r="G3753" s="10" t="n">
        <x:v>20</x:v>
      </x:c>
      <x:c r="H3753" s="10" t="n">
        <x:f>IF(F3753="Física",'Pokémon'!G405,IF(F3753="Especial",'Pokémon'!I405,""))</x:f>
        <x:v>83</x:v>
      </x:c>
      <x:c r="I3753" s="10" t="n">
        <x:f>IF(OR(F3753="Status",G3753=0),"",G3753+H3753)</x:f>
        <x:v>103</x:v>
      </x:c>
      <x:c r="J3753" s="10" t="n">
        <x:v>5</x:v>
      </x:c>
      <x:c r="K3753" s="12" t="n">
        <x:v>15</x:v>
      </x:c>
      <x:c r="L3753" s="1" t="str"/>
      <x:c r="M3753" s="9" t="str">
        <x:v>https://poke.idleworld.online/pokepedia/pokemon/sliggoo</x:v>
      </x:c>
    </x:row>
    <x:row r="3754" ht="22" customHeight="1">
      <x:c r="A3754" s="1" t="n">
        <x:v>706</x:v>
      </x:c>
      <x:c r="B3754" s="1" t="str">
        <x:v>Goodra</x:v>
      </x:c>
      <x:c r="C3754" s="1" t="n">
        <x:v>4</x:v>
      </x:c>
      <x:c r="D3754" s="1" t="str">
        <x:v>Outrage</x:v>
      </x:c>
      <x:c r="E3754" s="1" t="str">
        <x:v>Dragão</x:v>
      </x:c>
      <x:c r="F3754" s="1" t="str">
        <x:v>Física</x:v>
      </x:c>
      <x:c r="G3754" s="10" t="n">
        <x:v>120</x:v>
      </x:c>
      <x:c r="H3754" s="10" t="n">
        <x:f>IF(F3754="Física",'Pokémon'!G406,IF(F3754="Especial",'Pokémon'!I406,""))</x:f>
        <x:v>100</x:v>
      </x:c>
      <x:c r="I3754" s="10" t="n">
        <x:f>IF(OR(F3754="Status",G3754=0),"",G3754+H3754)</x:f>
        <x:v>220</x:v>
      </x:c>
      <x:c r="J3754" s="10" t="n">
        <x:v>1</x:v>
      </x:c>
      <x:c r="K3754" s="12" t="n">
        <x:v>50</x:v>
      </x:c>
      <x:c r="L3754" s="1" t="str"/>
      <x:c r="M3754" s="9" t="str">
        <x:v>https://poke.idleworld.online/pokepedia/pokemon/goodra</x:v>
      </x:c>
    </x:row>
    <x:row r="3755" ht="22" customHeight="1">
      <x:c r="A3755" s="1" t="n">
        <x:v>706</x:v>
      </x:c>
      <x:c r="B3755" s="1" t="str">
        <x:v>Goodra</x:v>
      </x:c>
      <x:c r="C3755" s="1" t="n">
        <x:v>11</x:v>
      </x:c>
      <x:c r="D3755" s="1" t="str">
        <x:v>Power Whip</x:v>
      </x:c>
      <x:c r="E3755" s="1" t="str">
        <x:v>Planta</x:v>
      </x:c>
      <x:c r="F3755" s="1" t="str">
        <x:v>Física</x:v>
      </x:c>
      <x:c r="G3755" s="10" t="n">
        <x:v>120</x:v>
      </x:c>
      <x:c r="H3755" s="10" t="n">
        <x:f>IF(F3755="Física",'Pokémon'!G406,IF(F3755="Especial",'Pokémon'!I406,""))</x:f>
        <x:v>100</x:v>
      </x:c>
      <x:c r="I3755" s="10" t="n">
        <x:f>IF(OR(F3755="Status",G3755=0),"",G3755+H3755)</x:f>
        <x:v>220</x:v>
      </x:c>
      <x:c r="J3755" s="10" t="n">
        <x:v>55</x:v>
      </x:c>
      <x:c r="K3755" s="12" t="n">
        <x:v>50</x:v>
      </x:c>
      <x:c r="L3755" s="1" t="str"/>
      <x:c r="M3755" s="9" t="str">
        <x:v>https://poke.idleworld.online/pokepedia/pokemon/goodra</x:v>
      </x:c>
    </x:row>
    <x:row r="3756" ht="22" customHeight="1">
      <x:c r="A3756" s="1" t="n">
        <x:v>706</x:v>
      </x:c>
      <x:c r="B3756" s="1" t="str">
        <x:v>Goodra</x:v>
      </x:c>
      <x:c r="C3756" s="1" t="n">
        <x:v>8</x:v>
      </x:c>
      <x:c r="D3756" s="1" t="str">
        <x:v>Muddy Water</x:v>
      </x:c>
      <x:c r="E3756" s="1" t="str">
        <x:v>Água</x:v>
      </x:c>
      <x:c r="F3756" s="1" t="str">
        <x:v>Especial</x:v>
      </x:c>
      <x:c r="G3756" s="10" t="n">
        <x:v>90</x:v>
      </x:c>
      <x:c r="H3756" s="10" t="n">
        <x:f>IF(F3756="Física",'Pokémon'!G406,IF(F3756="Especial",'Pokémon'!I406,""))</x:f>
        <x:v>110</x:v>
      </x:c>
      <x:c r="I3756" s="10" t="n">
        <x:f>IF(OR(F3756="Status",G3756=0),"",G3756+H3756)</x:f>
        <x:v>200</x:v>
      </x:c>
      <x:c r="J3756" s="10" t="n">
        <x:v>38</x:v>
      </x:c>
      <x:c r="K3756" s="12" t="n">
        <x:v>30</x:v>
      </x:c>
      <x:c r="L3756" s="1" t="str"/>
      <x:c r="M3756" s="9" t="str">
        <x:v>https://poke.idleworld.online/pokepedia/pokemon/goodra</x:v>
      </x:c>
    </x:row>
    <x:row r="3757" ht="22" customHeight="1">
      <x:c r="A3757" s="1" t="n">
        <x:v>706</x:v>
      </x:c>
      <x:c r="B3757" s="1" t="str">
        <x:v>Goodra</x:v>
      </x:c>
      <x:c r="C3757" s="1" t="n">
        <x:v>9</x:v>
      </x:c>
      <x:c r="D3757" s="1" t="str">
        <x:v>Dragon Pulse</x:v>
      </x:c>
      <x:c r="E3757" s="1" t="str">
        <x:v>Dragão</x:v>
      </x:c>
      <x:c r="F3757" s="1" t="str">
        <x:v>Especial</x:v>
      </x:c>
      <x:c r="G3757" s="10" t="n">
        <x:v>85</x:v>
      </x:c>
      <x:c r="H3757" s="10" t="n">
        <x:f>IF(F3757="Física",'Pokémon'!G406,IF(F3757="Especial",'Pokémon'!I406,""))</x:f>
        <x:v>110</x:v>
      </x:c>
      <x:c r="I3757" s="10" t="n">
        <x:f>IF(OR(F3757="Status",G3757=0),"",G3757+H3757)</x:f>
        <x:v>195</x:v>
      </x:c>
      <x:c r="J3757" s="10" t="n">
        <x:v>47</x:v>
      </x:c>
      <x:c r="K3757" s="12" t="n">
        <x:v>22</x:v>
      </x:c>
      <x:c r="L3757" s="1" t="str"/>
      <x:c r="M3757" s="9" t="str">
        <x:v>https://poke.idleworld.online/pokepedia/pokemon/goodra</x:v>
      </x:c>
    </x:row>
    <x:row r="3758" ht="22" customHeight="1">
      <x:c r="A3758" s="1" t="n">
        <x:v>706</x:v>
      </x:c>
      <x:c r="B3758" s="1" t="str">
        <x:v>Goodra</x:v>
      </x:c>
      <x:c r="C3758" s="1" t="n">
        <x:v>10</x:v>
      </x:c>
      <x:c r="D3758" s="1" t="str">
        <x:v>Aqua Tail</x:v>
      </x:c>
      <x:c r="E3758" s="1" t="str">
        <x:v>Água</x:v>
      </x:c>
      <x:c r="F3758" s="1" t="str">
        <x:v>Física</x:v>
      </x:c>
      <x:c r="G3758" s="10" t="n">
        <x:v>90</x:v>
      </x:c>
      <x:c r="H3758" s="10" t="n">
        <x:f>IF(F3758="Física",'Pokémon'!G406,IF(F3758="Especial",'Pokémon'!I406,""))</x:f>
        <x:v>100</x:v>
      </x:c>
      <x:c r="I3758" s="10" t="n">
        <x:f>IF(OR(F3758="Status",G3758=0),"",G3758+H3758)</x:f>
        <x:v>190</x:v>
      </x:c>
      <x:c r="J3758" s="10" t="n">
        <x:v>50</x:v>
      </x:c>
      <x:c r="K3758" s="12" t="n">
        <x:v>22</x:v>
      </x:c>
      <x:c r="L3758" s="1" t="str"/>
      <x:c r="M3758" s="9" t="str">
        <x:v>https://poke.idleworld.online/pokepedia/pokemon/goodra</x:v>
      </x:c>
    </x:row>
    <x:row r="3759" ht="22" customHeight="1">
      <x:c r="A3759" s="1" t="n">
        <x:v>706</x:v>
      </x:c>
      <x:c r="B3759" s="1" t="str">
        <x:v>Goodra</x:v>
      </x:c>
      <x:c r="C3759" s="1" t="n">
        <x:v>7</x:v>
      </x:c>
      <x:c r="D3759" s="1" t="str">
        <x:v>Body Slam</x:v>
      </x:c>
      <x:c r="E3759" s="1" t="str">
        <x:v>Normal</x:v>
      </x:c>
      <x:c r="F3759" s="1" t="str">
        <x:v>Física</x:v>
      </x:c>
      <x:c r="G3759" s="10" t="n">
        <x:v>85</x:v>
      </x:c>
      <x:c r="H3759" s="10" t="n">
        <x:f>IF(F3759="Física",'Pokémon'!G406,IF(F3759="Especial",'Pokémon'!I406,""))</x:f>
        <x:v>100</x:v>
      </x:c>
      <x:c r="I3759" s="10" t="n">
        <x:f>IF(OR(F3759="Status",G3759=0),"",G3759+H3759)</x:f>
        <x:v>185</x:v>
      </x:c>
      <x:c r="J3759" s="10" t="n">
        <x:v>32</x:v>
      </x:c>
      <x:c r="K3759" s="12" t="n">
        <x:v>22</x:v>
      </x:c>
      <x:c r="L3759" s="1" t="str"/>
      <x:c r="M3759" s="9" t="str">
        <x:v>https://poke.idleworld.online/pokepedia/pokemon/goodra</x:v>
      </x:c>
    </x:row>
    <x:row r="3760" ht="22" customHeight="1">
      <x:c r="A3760" s="1" t="n">
        <x:v>706</x:v>
      </x:c>
      <x:c r="B3760" s="1" t="str">
        <x:v>Goodra</x:v>
      </x:c>
      <x:c r="C3760" s="1" t="n">
        <x:v>6</x:v>
      </x:c>
      <x:c r="D3760" s="1" t="str">
        <x:v>Dragon Breath</x:v>
      </x:c>
      <x:c r="E3760" s="1" t="str">
        <x:v>Dragão</x:v>
      </x:c>
      <x:c r="F3760" s="1" t="str">
        <x:v>Especial</x:v>
      </x:c>
      <x:c r="G3760" s="10" t="n">
        <x:v>60</x:v>
      </x:c>
      <x:c r="H3760" s="10" t="n">
        <x:f>IF(F3760="Física",'Pokémon'!G406,IF(F3760="Especial",'Pokémon'!I406,""))</x:f>
        <x:v>110</x:v>
      </x:c>
      <x:c r="I3760" s="10" t="n">
        <x:f>IF(OR(F3760="Status",G3760=0),"",G3760+H3760)</x:f>
        <x:v>170</x:v>
      </x:c>
      <x:c r="J3760" s="10" t="n">
        <x:v>18</x:v>
      </x:c>
      <x:c r="K3760" s="12" t="n">
        <x:v>20</x:v>
      </x:c>
      <x:c r="L3760" s="1" t="str"/>
      <x:c r="M3760" s="9" t="str">
        <x:v>https://poke.idleworld.online/pokepedia/pokemon/goodra</x:v>
      </x:c>
    </x:row>
    <x:row r="3761" ht="22" customHeight="1">
      <x:c r="A3761" s="1" t="n">
        <x:v>706</x:v>
      </x:c>
      <x:c r="B3761" s="1" t="str">
        <x:v>Goodra</x:v>
      </x:c>
      <x:c r="C3761" s="1" t="n">
        <x:v>3</x:v>
      </x:c>
      <x:c r="D3761" s="1" t="str">
        <x:v>Tackle</x:v>
      </x:c>
      <x:c r="E3761" s="1" t="str">
        <x:v>Normal</x:v>
      </x:c>
      <x:c r="F3761" s="1" t="str">
        <x:v>Física</x:v>
      </x:c>
      <x:c r="G3761" s="10" t="n">
        <x:v>50</x:v>
      </x:c>
      <x:c r="H3761" s="10" t="n">
        <x:f>IF(F3761="Física",'Pokémon'!G406,IF(F3761="Especial",'Pokémon'!I406,""))</x:f>
        <x:v>100</x:v>
      </x:c>
      <x:c r="I3761" s="10" t="n">
        <x:f>IF(OR(F3761="Status",G3761=0),"",G3761+H3761)</x:f>
        <x:v>150</x:v>
      </x:c>
      <x:c r="J3761" s="10" t="n">
        <x:v>1</x:v>
      </x:c>
      <x:c r="K3761" s="12" t="n">
        <x:v>15</x:v>
      </x:c>
      <x:c r="L3761" s="1" t="str"/>
      <x:c r="M3761" s="9" t="str">
        <x:v>https://poke.idleworld.online/pokepedia/pokemon/goodra</x:v>
      </x:c>
    </x:row>
    <x:row r="3762" ht="22" customHeight="1">
      <x:c r="A3762" s="1" t="n">
        <x:v>706</x:v>
      </x:c>
      <x:c r="B3762" s="1" t="str">
        <x:v>Goodra</x:v>
      </x:c>
      <x:c r="C3762" s="1" t="n">
        <x:v>1</x:v>
      </x:c>
      <x:c r="D3762" s="1" t="str">
        <x:v>Bubble</x:v>
      </x:c>
      <x:c r="E3762" s="1" t="str">
        <x:v>Água</x:v>
      </x:c>
      <x:c r="F3762" s="1" t="str">
        <x:v>Especial</x:v>
      </x:c>
      <x:c r="G3762" s="10" t="n">
        <x:v>40</x:v>
      </x:c>
      <x:c r="H3762" s="10" t="n">
        <x:f>IF(F3762="Física",'Pokémon'!G406,IF(F3762="Especial",'Pokémon'!I406,""))</x:f>
        <x:v>110</x:v>
      </x:c>
      <x:c r="I3762" s="10" t="n">
        <x:f>IF(OR(F3762="Status",G3762=0),"",G3762+H3762)</x:f>
        <x:v>150</x:v>
      </x:c>
      <x:c r="J3762" s="10" t="n">
        <x:v>1</x:v>
      </x:c>
      <x:c r="K3762" s="12" t="n">
        <x:v>10</x:v>
      </x:c>
      <x:c r="L3762" s="1" t="str"/>
      <x:c r="M3762" s="9" t="str">
        <x:v>https://poke.idleworld.online/pokepedia/pokemon/goodra</x:v>
      </x:c>
    </x:row>
    <x:row r="3763" ht="22" customHeight="1">
      <x:c r="A3763" s="1" t="n">
        <x:v>706</x:v>
      </x:c>
      <x:c r="B3763" s="1" t="str">
        <x:v>Goodra</x:v>
      </x:c>
      <x:c r="C3763" s="1" t="n">
        <x:v>2</x:v>
      </x:c>
      <x:c r="D3763" s="1" t="str">
        <x:v>Feint</x:v>
      </x:c>
      <x:c r="E3763" s="1" t="str">
        <x:v>Normal</x:v>
      </x:c>
      <x:c r="F3763" s="1" t="str">
        <x:v>Física</x:v>
      </x:c>
      <x:c r="G3763" s="10" t="n">
        <x:v>30</x:v>
      </x:c>
      <x:c r="H3763" s="10" t="n">
        <x:f>IF(F3763="Física",'Pokémon'!G406,IF(F3763="Especial",'Pokémon'!I406,""))</x:f>
        <x:v>100</x:v>
      </x:c>
      <x:c r="I3763" s="10" t="n">
        <x:f>IF(OR(F3763="Status",G3763=0),"",G3763+H3763)</x:f>
        <x:v>130</x:v>
      </x:c>
      <x:c r="J3763" s="10" t="n">
        <x:v>1</x:v>
      </x:c>
      <x:c r="K3763" s="12" t="n">
        <x:v>15</x:v>
      </x:c>
      <x:c r="L3763" s="1" t="str"/>
      <x:c r="M3763" s="9" t="str">
        <x:v>https://poke.idleworld.online/pokepedia/pokemon/goodra</x:v>
      </x:c>
    </x:row>
    <x:row r="3764" ht="22" customHeight="1">
      <x:c r="A3764" s="1" t="n">
        <x:v>706</x:v>
      </x:c>
      <x:c r="B3764" s="1" t="str">
        <x:v>Goodra</x:v>
      </x:c>
      <x:c r="C3764" s="1" t="n">
        <x:v>5</x:v>
      </x:c>
      <x:c r="D3764" s="1" t="str">
        <x:v>Absorb</x:v>
      </x:c>
      <x:c r="E3764" s="1" t="str">
        <x:v>Planta</x:v>
      </x:c>
      <x:c r="F3764" s="1" t="str">
        <x:v>Especial</x:v>
      </x:c>
      <x:c r="G3764" s="10" t="n">
        <x:v>20</x:v>
      </x:c>
      <x:c r="H3764" s="10" t="n">
        <x:f>IF(F3764="Física",'Pokémon'!G406,IF(F3764="Especial",'Pokémon'!I406,""))</x:f>
        <x:v>110</x:v>
      </x:c>
      <x:c r="I3764" s="10" t="n">
        <x:f>IF(OR(F3764="Status",G3764=0),"",G3764+H3764)</x:f>
        <x:v>130</x:v>
      </x:c>
      <x:c r="J3764" s="10" t="n">
        <x:v>5</x:v>
      </x:c>
      <x:c r="K3764" s="12" t="n">
        <x:v>15</x:v>
      </x:c>
      <x:c r="L3764" s="1" t="str"/>
      <x:c r="M3764" s="9" t="str">
        <x:v>https://poke.idleworld.online/pokepedia/pokemon/goodra</x:v>
      </x:c>
    </x:row>
    <x:row r="3765" ht="22" customHeight="1">
      <x:c r="A3765" s="1" t="n">
        <x:v>744</x:v>
      </x:c>
      <x:c r="B3765" s="1" t="str">
        <x:v>Rockruff</x:v>
      </x:c>
      <x:c r="C3765" s="1" t="n">
        <x:v>5</x:v>
      </x:c>
      <x:c r="D3765" s="1" t="str">
        <x:v>Stone Edge</x:v>
      </x:c>
      <x:c r="E3765" s="1" t="str">
        <x:v>Pedra</x:v>
      </x:c>
      <x:c r="F3765" s="1" t="str">
        <x:v>Física</x:v>
      </x:c>
      <x:c r="G3765" s="10" t="n">
        <x:v>100</x:v>
      </x:c>
      <x:c r="H3765" s="10" t="n">
        <x:f>IF(F3765="Física",'Pokémon'!G407,IF(F3765="Especial",'Pokémon'!I407,""))</x:f>
        <x:v>65</x:v>
      </x:c>
      <x:c r="I3765" s="10" t="n">
        <x:f>IF(OR(F3765="Status",G3765=0),"",G3765+H3765)</x:f>
        <x:v>165</x:v>
      </x:c>
      <x:c r="J3765" s="10" t="n">
        <x:v>50</x:v>
      </x:c>
      <x:c r="K3765" s="12" t="n">
        <x:v>20</x:v>
      </x:c>
      <x:c r="L3765" s="1" t="str"/>
      <x:c r="M3765" s="9" t="str">
        <x:v>https://poke.idleworld.online/pokepedia/pokemon/rockruff</x:v>
      </x:c>
    </x:row>
    <x:row r="3766" ht="22" customHeight="1">
      <x:c r="A3766" s="1" t="n">
        <x:v>744</x:v>
      </x:c>
      <x:c r="B3766" s="1" t="str">
        <x:v>Rockruff</x:v>
      </x:c>
      <x:c r="C3766" s="1" t="n">
        <x:v>2</x:v>
      </x:c>
      <x:c r="D3766" s="1" t="str">
        <x:v>Crunch</x:v>
      </x:c>
      <x:c r="E3766" s="1" t="str">
        <x:v>Sombrio</x:v>
      </x:c>
      <x:c r="F3766" s="1" t="str">
        <x:v>Física</x:v>
      </x:c>
      <x:c r="G3766" s="10" t="n">
        <x:v>80</x:v>
      </x:c>
      <x:c r="H3766" s="10" t="n">
        <x:f>IF(F3766="Física",'Pokémon'!G407,IF(F3766="Especial",'Pokémon'!I407,""))</x:f>
        <x:v>65</x:v>
      </x:c>
      <x:c r="I3766" s="10" t="n">
        <x:f>IF(OR(F3766="Status",G3766=0),"",G3766+H3766)</x:f>
        <x:v>145</x:v>
      </x:c>
      <x:c r="J3766" s="10" t="n">
        <x:v>10</x:v>
      </x:c>
      <x:c r="K3766" s="12" t="n">
        <x:v>15</x:v>
      </x:c>
      <x:c r="L3766" s="1" t="str"/>
      <x:c r="M3766" s="9" t="str">
        <x:v>https://poke.idleworld.online/pokepedia/pokemon/rockruff</x:v>
      </x:c>
    </x:row>
    <x:row r="3767" ht="22" customHeight="1">
      <x:c r="A3767" s="1" t="n">
        <x:v>744</x:v>
      </x:c>
      <x:c r="B3767" s="1" t="str">
        <x:v>Rockruff</x:v>
      </x:c>
      <x:c r="C3767" s="1" t="n">
        <x:v>3</x:v>
      </x:c>
      <x:c r="D3767" s="1" t="str">
        <x:v>Rock Slide</x:v>
      </x:c>
      <x:c r="E3767" s="1" t="str">
        <x:v>Pedra</x:v>
      </x:c>
      <x:c r="F3767" s="1" t="str">
        <x:v>Física</x:v>
      </x:c>
      <x:c r="G3767" s="10" t="n">
        <x:v>75</x:v>
      </x:c>
      <x:c r="H3767" s="10" t="n">
        <x:f>IF(F3767="Física",'Pokémon'!G407,IF(F3767="Especial",'Pokémon'!I407,""))</x:f>
        <x:v>65</x:v>
      </x:c>
      <x:c r="I3767" s="10" t="n">
        <x:f>IF(OR(F3767="Status",G3767=0),"",G3767+H3767)</x:f>
        <x:v>140</x:v>
      </x:c>
      <x:c r="J3767" s="10" t="n">
        <x:v>20</x:v>
      </x:c>
      <x:c r="K3767" s="12" t="n">
        <x:v>15</x:v>
      </x:c>
      <x:c r="L3767" s="1" t="str"/>
      <x:c r="M3767" s="9" t="str">
        <x:v>https://poke.idleworld.online/pokepedia/pokemon/rockruff</x:v>
      </x:c>
    </x:row>
    <x:row r="3768" ht="22" customHeight="1">
      <x:c r="A3768" s="1" t="n">
        <x:v>744</x:v>
      </x:c>
      <x:c r="B3768" s="1" t="str">
        <x:v>Rockruff</x:v>
      </x:c>
      <x:c r="C3768" s="1" t="n">
        <x:v>4</x:v>
      </x:c>
      <x:c r="D3768" s="1" t="str">
        <x:v>Rock Tomb</x:v>
      </x:c>
      <x:c r="E3768" s="1" t="str">
        <x:v>Pedra</x:v>
      </x:c>
      <x:c r="F3768" s="1" t="str">
        <x:v>Física</x:v>
      </x:c>
      <x:c r="G3768" s="10" t="n">
        <x:v>60</x:v>
      </x:c>
      <x:c r="H3768" s="10" t="n">
        <x:f>IF(F3768="Física",'Pokémon'!G407,IF(F3768="Especial",'Pokémon'!I407,""))</x:f>
        <x:v>65</x:v>
      </x:c>
      <x:c r="I3768" s="10" t="n">
        <x:f>IF(OR(F3768="Status",G3768=0),"",G3768+H3768)</x:f>
        <x:v>125</x:v>
      </x:c>
      <x:c r="J3768" s="10" t="n">
        <x:v>40</x:v>
      </x:c>
      <x:c r="K3768" s="12" t="n">
        <x:v>18</x:v>
      </x:c>
      <x:c r="L3768" s="1" t="str"/>
      <x:c r="M3768" s="9" t="str">
        <x:v>https://poke.idleworld.online/pokepedia/pokemon/rockruff</x:v>
      </x:c>
    </x:row>
    <x:row r="3769" ht="22" customHeight="1">
      <x:c r="A3769" s="1" t="n">
        <x:v>744</x:v>
      </x:c>
      <x:c r="B3769" s="1" t="str">
        <x:v>Rockruff</x:v>
      </x:c>
      <x:c r="C3769" s="1" t="n">
        <x:v>1</x:v>
      </x:c>
      <x:c r="D3769" s="1" t="str">
        <x:v>Rock Throw</x:v>
      </x:c>
      <x:c r="E3769" s="1" t="str">
        <x:v>Pedra</x:v>
      </x:c>
      <x:c r="F3769" s="1" t="str">
        <x:v>Física</x:v>
      </x:c>
      <x:c r="G3769" s="10" t="n">
        <x:v>50</x:v>
      </x:c>
      <x:c r="H3769" s="10" t="n">
        <x:f>IF(F3769="Física",'Pokémon'!G407,IF(F3769="Especial",'Pokémon'!I407,""))</x:f>
        <x:v>65</x:v>
      </x:c>
      <x:c r="I3769" s="10" t="n">
        <x:f>IF(OR(F3769="Status",G3769=0),"",G3769+H3769)</x:f>
        <x:v>115</x:v>
      </x:c>
      <x:c r="J3769" s="10" t="n">
        <x:v>1</x:v>
      </x:c>
      <x:c r="K3769" s="12" t="n">
        <x:v>10</x:v>
      </x:c>
      <x:c r="L3769" s="1" t="str"/>
      <x:c r="M3769" s="9" t="str">
        <x:v>https://poke.idleworld.online/pokepedia/pokemon/rockruff</x:v>
      </x:c>
    </x:row>
    <x:row r="3770" ht="22" customHeight="1">
      <x:c r="A3770" s="1" t="n">
        <x:v>776</x:v>
      </x:c>
      <x:c r="B3770" s="1" t="str">
        <x:v>Turtonator</x:v>
      </x:c>
      <x:c r="C3770" s="1" t="n">
        <x:v>4</x:v>
      </x:c>
      <x:c r="D3770" s="1" t="str">
        <x:v>Overheat</x:v>
      </x:c>
      <x:c r="E3770" s="1" t="str">
        <x:v>Fogo</x:v>
      </x:c>
      <x:c r="F3770" s="1" t="str">
        <x:v>Especial</x:v>
      </x:c>
      <x:c r="G3770" s="10" t="n">
        <x:v>130</x:v>
      </x:c>
      <x:c r="H3770" s="10" t="n">
        <x:f>IF(F3770="Física",'Pokémon'!G408,IF(F3770="Especial",'Pokémon'!I408,""))</x:f>
        <x:v>91</x:v>
      </x:c>
      <x:c r="I3770" s="10" t="n">
        <x:f>IF(OR(F3770="Status",G3770=0),"",G3770+H3770)</x:f>
        <x:v>221</x:v>
      </x:c>
      <x:c r="J3770" s="10" t="n">
        <x:v>30</x:v>
      </x:c>
      <x:c r="K3770" s="12" t="n">
        <x:v>35</x:v>
      </x:c>
      <x:c r="L3770" s="1" t="str"/>
      <x:c r="M3770" s="9" t="str">
        <x:v>https://poke.idleworld.online/pokepedia/pokemon/turtonator</x:v>
      </x:c>
    </x:row>
    <x:row r="3771" ht="22" customHeight="1">
      <x:c r="A3771" s="1" t="n">
        <x:v>776</x:v>
      </x:c>
      <x:c r="B3771" s="1" t="str">
        <x:v>Turtonator</x:v>
      </x:c>
      <x:c r="C3771" s="1" t="n">
        <x:v>3</x:v>
      </x:c>
      <x:c r="D3771" s="1" t="str">
        <x:v>Flamethrower</x:v>
      </x:c>
      <x:c r="E3771" s="1" t="str">
        <x:v>Fogo</x:v>
      </x:c>
      <x:c r="F3771" s="1" t="str">
        <x:v>Especial</x:v>
      </x:c>
      <x:c r="G3771" s="10" t="n">
        <x:v>90</x:v>
      </x:c>
      <x:c r="H3771" s="10" t="n">
        <x:f>IF(F3771="Física",'Pokémon'!G408,IF(F3771="Especial",'Pokémon'!I408,""))</x:f>
        <x:v>91</x:v>
      </x:c>
      <x:c r="I3771" s="10" t="n">
        <x:f>IF(OR(F3771="Status",G3771=0),"",G3771+H3771)</x:f>
        <x:v>181</x:v>
      </x:c>
      <x:c r="J3771" s="10" t="n">
        <x:v>20</x:v>
      </x:c>
      <x:c r="K3771" s="12" t="n">
        <x:v>20</x:v>
      </x:c>
      <x:c r="L3771" s="1" t="str"/>
      <x:c r="M3771" s="9" t="str">
        <x:v>https://poke.idleworld.online/pokepedia/pokemon/turtonator</x:v>
      </x:c>
    </x:row>
    <x:row r="3772" ht="22" customHeight="1">
      <x:c r="A3772" s="1" t="n">
        <x:v>776</x:v>
      </x:c>
      <x:c r="B3772" s="1" t="str">
        <x:v>Turtonator</x:v>
      </x:c>
      <x:c r="C3772" s="1" t="n">
        <x:v>2</x:v>
      </x:c>
      <x:c r="D3772" s="1" t="str">
        <x:v>Incinerate</x:v>
      </x:c>
      <x:c r="E3772" s="1" t="str">
        <x:v>Fogo</x:v>
      </x:c>
      <x:c r="F3772" s="1" t="str">
        <x:v>Especial</x:v>
      </x:c>
      <x:c r="G3772" s="10" t="n">
        <x:v>60</x:v>
      </x:c>
      <x:c r="H3772" s="10" t="n">
        <x:f>IF(F3772="Física",'Pokémon'!G408,IF(F3772="Especial",'Pokémon'!I408,""))</x:f>
        <x:v>91</x:v>
      </x:c>
      <x:c r="I3772" s="10" t="n">
        <x:f>IF(OR(F3772="Status",G3772=0),"",G3772+H3772)</x:f>
        <x:v>151</x:v>
      </x:c>
      <x:c r="J3772" s="10" t="n">
        <x:v>10</x:v>
      </x:c>
      <x:c r="K3772" s="12" t="n">
        <x:v>18</x:v>
      </x:c>
      <x:c r="L3772" s="1" t="str"/>
      <x:c r="M3772" s="9" t="str">
        <x:v>https://poke.idleworld.online/pokepedia/pokemon/turtonator</x:v>
      </x:c>
    </x:row>
    <x:row r="3773" ht="22" customHeight="1">
      <x:c r="A3773" s="1" t="n">
        <x:v>776</x:v>
      </x:c>
      <x:c r="B3773" s="1" t="str">
        <x:v>Turtonator</x:v>
      </x:c>
      <x:c r="C3773" s="1" t="n">
        <x:v>1</x:v>
      </x:c>
      <x:c r="D3773" s="1" t="str">
        <x:v>Ember</x:v>
      </x:c>
      <x:c r="E3773" s="1" t="str">
        <x:v>Fogo</x:v>
      </x:c>
      <x:c r="F3773" s="1" t="str">
        <x:v>Especial</x:v>
      </x:c>
      <x:c r="G3773" s="10" t="n">
        <x:v>40</x:v>
      </x:c>
      <x:c r="H3773" s="10" t="n">
        <x:f>IF(F3773="Física",'Pokémon'!G408,IF(F3773="Especial",'Pokémon'!I408,""))</x:f>
        <x:v>91</x:v>
      </x:c>
      <x:c r="I3773" s="10" t="n">
        <x:f>IF(OR(F3773="Status",G3773=0),"",G3773+H3773)</x:f>
        <x:v>131</x:v>
      </x:c>
      <x:c r="J3773" s="10" t="n">
        <x:v>1</x:v>
      </x:c>
      <x:c r="K3773" s="12" t="n">
        <x:v>10</x:v>
      </x:c>
      <x:c r="L3773" s="1" t="str"/>
      <x:c r="M3773" s="9" t="str">
        <x:v>https://poke.idleworld.online/pokepedia/pokemon/turtonator</x:v>
      </x:c>
    </x:row>
    <x:row r="3774" ht="22" customHeight="1">
      <x:c r="A3774" s="1" t="n">
        <x:v>776</x:v>
      </x:c>
      <x:c r="B3774" s="1" t="str">
        <x:v>Turtonator</x:v>
      </x:c>
      <x:c r="C3774" s="1" t="n">
        <x:v>5</x:v>
      </x:c>
      <x:c r="D3774" s="1" t="str">
        <x:v>Fire Spin</x:v>
      </x:c>
      <x:c r="E3774" s="1" t="str">
        <x:v>Fogo</x:v>
      </x:c>
      <x:c r="F3774" s="1" t="str">
        <x:v>Especial</x:v>
      </x:c>
      <x:c r="G3774" s="10" t="n">
        <x:v>35</x:v>
      </x:c>
      <x:c r="H3774" s="10" t="n">
        <x:f>IF(F3774="Física",'Pokémon'!G408,IF(F3774="Especial",'Pokémon'!I408,""))</x:f>
        <x:v>91</x:v>
      </x:c>
      <x:c r="I3774" s="10" t="n">
        <x:f>IF(OR(F3774="Status",G3774=0),"",G3774+H3774)</x:f>
        <x:v>126</x:v>
      </x:c>
      <x:c r="J3774" s="10" t="n">
        <x:v>40</x:v>
      </x:c>
      <x:c r="K3774" s="12" t="n">
        <x:v>40</x:v>
      </x:c>
      <x:c r="L3774" s="1" t="str"/>
      <x:c r="M3774" s="9" t="str">
        <x:v>https://poke.idleworld.online/pokepedia/pokemon/turtonator</x:v>
      </x:c>
    </x:row>
    <x:row r="3775" ht="22" customHeight="1">
      <x:c r="A3775" s="1" t="n">
        <x:v>780</x:v>
      </x:c>
      <x:c r="B3775" s="1" t="str">
        <x:v>Drampa</x:v>
      </x:c>
      <x:c r="C3775" s="1" t="n">
        <x:v>3</x:v>
      </x:c>
      <x:c r="D3775" s="1" t="str">
        <x:v>Hyper Voice</x:v>
      </x:c>
      <x:c r="E3775" s="1" t="str">
        <x:v>Normal</x:v>
      </x:c>
      <x:c r="F3775" s="1" t="str">
        <x:v>Especial</x:v>
      </x:c>
      <x:c r="G3775" s="10" t="n">
        <x:v>90</x:v>
      </x:c>
      <x:c r="H3775" s="10" t="n">
        <x:f>IF(F3775="Física",'Pokémon'!G409,IF(F3775="Especial",'Pokémon'!I409,""))</x:f>
        <x:v>135</x:v>
      </x:c>
      <x:c r="I3775" s="10" t="n">
        <x:f>IF(OR(F3775="Status",G3775=0),"",G3775+H3775)</x:f>
        <x:v>225</x:v>
      </x:c>
      <x:c r="J3775" s="10" t="n">
        <x:v>20</x:v>
      </x:c>
      <x:c r="K3775" s="12" t="n">
        <x:v>30</x:v>
      </x:c>
      <x:c r="L3775" s="1" t="str"/>
      <x:c r="M3775" s="9" t="str">
        <x:v>https://poke.idleworld.online/pokepedia/pokemon/drampa</x:v>
      </x:c>
    </x:row>
    <x:row r="3776" ht="22" customHeight="1">
      <x:c r="A3776" s="1" t="n">
        <x:v>780</x:v>
      </x:c>
      <x:c r="B3776" s="1" t="str">
        <x:v>Drampa</x:v>
      </x:c>
      <x:c r="C3776" s="1" t="n">
        <x:v>5</x:v>
      </x:c>
      <x:c r="D3776" s="1" t="str">
        <x:v>Dragon Pulse</x:v>
      </x:c>
      <x:c r="E3776" s="1" t="str">
        <x:v>Dragão</x:v>
      </x:c>
      <x:c r="F3776" s="1" t="str">
        <x:v>Especial</x:v>
      </x:c>
      <x:c r="G3776" s="10" t="n">
        <x:v>85</x:v>
      </x:c>
      <x:c r="H3776" s="10" t="n">
        <x:f>IF(F3776="Física",'Pokémon'!G409,IF(F3776="Especial",'Pokémon'!I409,""))</x:f>
        <x:v>135</x:v>
      </x:c>
      <x:c r="I3776" s="10" t="n">
        <x:f>IF(OR(F3776="Status",G3776=0),"",G3776+H3776)</x:f>
        <x:v>220</x:v>
      </x:c>
      <x:c r="J3776" s="10" t="n">
        <x:v>40</x:v>
      </x:c>
      <x:c r="K3776" s="12" t="n">
        <x:v>40</x:v>
      </x:c>
      <x:c r="L3776" s="1" t="str"/>
      <x:c r="M3776" s="9" t="str">
        <x:v>https://poke.idleworld.online/pokepedia/pokemon/drampa</x:v>
      </x:c>
    </x:row>
    <x:row r="3777" ht="22" customHeight="1">
      <x:c r="A3777" s="1" t="n">
        <x:v>780</x:v>
      </x:c>
      <x:c r="B3777" s="1" t="str">
        <x:v>Drampa</x:v>
      </x:c>
      <x:c r="C3777" s="1" t="n">
        <x:v>1</x:v>
      </x:c>
      <x:c r="D3777" s="1" t="str">
        <x:v>Round</x:v>
      </x:c>
      <x:c r="E3777" s="1" t="str">
        <x:v>Normal</x:v>
      </x:c>
      <x:c r="F3777" s="1" t="str">
        <x:v>Especial</x:v>
      </x:c>
      <x:c r="G3777" s="10" t="n">
        <x:v>60</x:v>
      </x:c>
      <x:c r="H3777" s="10" t="n">
        <x:f>IF(F3777="Física",'Pokémon'!G409,IF(F3777="Especial",'Pokémon'!I409,""))</x:f>
        <x:v>135</x:v>
      </x:c>
      <x:c r="I3777" s="10" t="n">
        <x:f>IF(OR(F3777="Status",G3777=0),"",G3777+H3777)</x:f>
        <x:v>195</x:v>
      </x:c>
      <x:c r="J3777" s="10" t="n">
        <x:v>1</x:v>
      </x:c>
      <x:c r="K3777" s="12" t="n">
        <x:v>15</x:v>
      </x:c>
      <x:c r="L3777" s="1" t="str"/>
      <x:c r="M3777" s="9" t="str">
        <x:v>https://poke.idleworld.online/pokepedia/pokemon/drampa</x:v>
      </x:c>
    </x:row>
    <x:row r="3778" ht="22" customHeight="1">
      <x:c r="A3778" s="1" t="n">
        <x:v>780</x:v>
      </x:c>
      <x:c r="B3778" s="1" t="str">
        <x:v>Drampa</x:v>
      </x:c>
      <x:c r="C3778" s="1" t="n">
        <x:v>4</x:v>
      </x:c>
      <x:c r="D3778" s="1" t="str">
        <x:v>Dragon Breath</x:v>
      </x:c>
      <x:c r="E3778" s="1" t="str">
        <x:v>Dragão</x:v>
      </x:c>
      <x:c r="F3778" s="1" t="str">
        <x:v>Especial</x:v>
      </x:c>
      <x:c r="G3778" s="10" t="n">
        <x:v>60</x:v>
      </x:c>
      <x:c r="H3778" s="10" t="n">
        <x:f>IF(F3778="Física",'Pokémon'!G409,IF(F3778="Especial",'Pokémon'!I409,""))</x:f>
        <x:v>135</x:v>
      </x:c>
      <x:c r="I3778" s="10" t="n">
        <x:f>IF(OR(F3778="Status",G3778=0),"",G3778+H3778)</x:f>
        <x:v>195</x:v>
      </x:c>
      <x:c r="J3778" s="10" t="n">
        <x:v>30</x:v>
      </x:c>
      <x:c r="K3778" s="12" t="n">
        <x:v>30</x:v>
      </x:c>
      <x:c r="L3778" s="1" t="str"/>
      <x:c r="M3778" s="9" t="str">
        <x:v>https://poke.idleworld.online/pokepedia/pokemon/drampa</x:v>
      </x:c>
    </x:row>
    <x:row r="3779" ht="22" customHeight="1">
      <x:c r="A3779" s="1" t="n">
        <x:v>780</x:v>
      </x:c>
      <x:c r="B3779" s="1" t="str">
        <x:v>Drampa</x:v>
      </x:c>
      <x:c r="C3779" s="1" t="n">
        <x:v>2</x:v>
      </x:c>
      <x:c r="D3779" s="1" t="str">
        <x:v>Icy Wind</x:v>
      </x:c>
      <x:c r="E3779" s="1" t="str">
        <x:v>Gelo</x:v>
      </x:c>
      <x:c r="F3779" s="1" t="str">
        <x:v>Especial</x:v>
      </x:c>
      <x:c r="G3779" s="10" t="n">
        <x:v>55</x:v>
      </x:c>
      <x:c r="H3779" s="10" t="n">
        <x:f>IF(F3779="Física",'Pokémon'!G409,IF(F3779="Especial",'Pokémon'!I409,""))</x:f>
        <x:v>135</x:v>
      </x:c>
      <x:c r="I3779" s="10" t="n">
        <x:f>IF(OR(F3779="Status",G3779=0),"",G3779+H3779)</x:f>
        <x:v>190</x:v>
      </x:c>
      <x:c r="J3779" s="10" t="n">
        <x:v>10</x:v>
      </x:c>
      <x:c r="K3779" s="12" t="n">
        <x:v>20</x:v>
      </x:c>
      <x:c r="L3779" s="1" t="str"/>
      <x:c r="M3779" s="9" t="str">
        <x:v>https://poke.idleworld.online/pokepedia/pokemon/drampa</x:v>
      </x:c>
    </x:row>
    <x:row r="3780" ht="22" customHeight="1">
      <x:c r="A3780" s="1" t="n">
        <x:v>780</x:v>
      </x:c>
      <x:c r="B3780" s="1" t="str">
        <x:v>Drampa</x:v>
      </x:c>
      <x:c r="C3780" s="1" t="n">
        <x:v>6</x:v>
      </x:c>
      <x:c r="D3780" s="1" t="str">
        <x:v>Twister</x:v>
      </x:c>
      <x:c r="E3780" s="1" t="str">
        <x:v>Dragão</x:v>
      </x:c>
      <x:c r="F3780" s="1" t="str">
        <x:v>Especial</x:v>
      </x:c>
      <x:c r="G3780" s="10" t="n">
        <x:v>40</x:v>
      </x:c>
      <x:c r="H3780" s="10" t="n">
        <x:f>IF(F3780="Física",'Pokémon'!G409,IF(F3780="Especial",'Pokémon'!I409,""))</x:f>
        <x:v>135</x:v>
      </x:c>
      <x:c r="I3780" s="10" t="n">
        <x:f>IF(OR(F3780="Status",G3780=0),"",G3780+H3780)</x:f>
        <x:v>175</x:v>
      </x:c>
      <x:c r="J3780" s="10" t="n">
        <x:v>50</x:v>
      </x:c>
      <x:c r="K3780" s="12" t="n">
        <x:v>40</x:v>
      </x:c>
      <x:c r="L3780" s="1" t="str"/>
      <x:c r="M3780" s="9" t="str">
        <x:v>https://poke.idleworld.online/pokepedia/pokemon/drampa</x:v>
      </x:c>
    </x:row>
    <x:row r="3781" ht="22" customHeight="1">
      <x:c r="A3781" s="1" t="n">
        <x:v>842</x:v>
      </x:c>
      <x:c r="B3781" s="1" t="str">
        <x:v>Appletun</x:v>
      </x:c>
      <x:c r="C3781" s="1" t="n">
        <x:v>3</x:v>
      </x:c>
      <x:c r="D3781" s="1" t="str">
        <x:v>Grass Knot</x:v>
      </x:c>
      <x:c r="E3781" s="1" t="str">
        <x:v>Planta</x:v>
      </x:c>
      <x:c r="F3781" s="1" t="str">
        <x:v>Especial</x:v>
      </x:c>
      <x:c r="G3781" s="10" t="n">
        <x:v>96</x:v>
      </x:c>
      <x:c r="H3781" s="10" t="n">
        <x:f>IF(F3781="Física",'Pokémon'!G410,IF(F3781="Especial",'Pokémon'!I410,""))</x:f>
        <x:v>100</x:v>
      </x:c>
      <x:c r="I3781" s="10" t="n">
        <x:f>IF(OR(F3781="Status",G3781=0),"",G3781+H3781)</x:f>
        <x:v>196</x:v>
      </x:c>
      <x:c r="J3781" s="10" t="n">
        <x:v>20</x:v>
      </x:c>
      <x:c r="K3781" s="12" t="n">
        <x:v>20</x:v>
      </x:c>
      <x:c r="L3781" s="1" t="str"/>
      <x:c r="M3781" s="9" t="str">
        <x:v>https://poke.idleworld.online/pokepedia/pokemon/appletun</x:v>
      </x:c>
    </x:row>
    <x:row r="3782" ht="22" customHeight="1">
      <x:c r="A3782" s="1" t="n">
        <x:v>842</x:v>
      </x:c>
      <x:c r="B3782" s="1" t="str">
        <x:v>Appletun</x:v>
      </x:c>
      <x:c r="C3782" s="1" t="n">
        <x:v>4</x:v>
      </x:c>
      <x:c r="D3782" s="1" t="str">
        <x:v>Body Slam</x:v>
      </x:c>
      <x:c r="E3782" s="1" t="str">
        <x:v>Normal</x:v>
      </x:c>
      <x:c r="F3782" s="1" t="str">
        <x:v>Física</x:v>
      </x:c>
      <x:c r="G3782" s="10" t="n">
        <x:v>85</x:v>
      </x:c>
      <x:c r="H3782" s="10" t="n">
        <x:f>IF(F3782="Física",'Pokémon'!G410,IF(F3782="Especial",'Pokémon'!I410,""))</x:f>
        <x:v>85</x:v>
      </x:c>
      <x:c r="I3782" s="10" t="n">
        <x:f>IF(OR(F3782="Status",G3782=0),"",G3782+H3782)</x:f>
        <x:v>170</x:v>
      </x:c>
      <x:c r="J3782" s="10" t="n">
        <x:v>50</x:v>
      </x:c>
      <x:c r="K3782" s="12" t="n">
        <x:v>40</x:v>
      </x:c>
      <x:c r="L3782" s="1" t="str"/>
      <x:c r="M3782" s="9" t="str">
        <x:v>https://poke.idleworld.online/pokepedia/pokemon/appletun</x:v>
      </x:c>
    </x:row>
    <x:row r="3783" ht="22" customHeight="1">
      <x:c r="A3783" s="1" t="n">
        <x:v>842</x:v>
      </x:c>
      <x:c r="B3783" s="1" t="str">
        <x:v>Appletun</x:v>
      </x:c>
      <x:c r="C3783" s="1" t="n">
        <x:v>2</x:v>
      </x:c>
      <x:c r="D3783" s="1" t="str">
        <x:v>Magical Leaf</x:v>
      </x:c>
      <x:c r="E3783" s="1" t="str">
        <x:v>Planta</x:v>
      </x:c>
      <x:c r="F3783" s="1" t="str">
        <x:v>Especial</x:v>
      </x:c>
      <x:c r="G3783" s="10" t="n">
        <x:v>60</x:v>
      </x:c>
      <x:c r="H3783" s="10" t="n">
        <x:f>IF(F3783="Física",'Pokémon'!G410,IF(F3783="Especial",'Pokémon'!I410,""))</x:f>
        <x:v>100</x:v>
      </x:c>
      <x:c r="I3783" s="10" t="n">
        <x:f>IF(OR(F3783="Status",G3783=0),"",G3783+H3783)</x:f>
        <x:v>160</x:v>
      </x:c>
      <x:c r="J3783" s="10" t="n">
        <x:v>10</x:v>
      </x:c>
      <x:c r="K3783" s="12" t="n">
        <x:v>15</x:v>
      </x:c>
      <x:c r="L3783" s="1" t="str"/>
      <x:c r="M3783" s="9" t="str">
        <x:v>https://poke.idleworld.online/pokepedia/pokemon/appletun</x:v>
      </x:c>
    </x:row>
    <x:row r="3784" ht="22" customHeight="1">
      <x:c r="A3784" s="1" t="n">
        <x:v>842</x:v>
      </x:c>
      <x:c r="B3784" s="1" t="str">
        <x:v>Appletun</x:v>
      </x:c>
      <x:c r="C3784" s="1" t="n">
        <x:v>1</x:v>
      </x:c>
      <x:c r="D3784" s="1" t="str">
        <x:v>Bullet Seed</x:v>
      </x:c>
      <x:c r="E3784" s="1" t="str">
        <x:v>Planta</x:v>
      </x:c>
      <x:c r="F3784" s="1" t="str">
        <x:v>Física</x:v>
      </x:c>
      <x:c r="G3784" s="10" t="n">
        <x:v>25</x:v>
      </x:c>
      <x:c r="H3784" s="10" t="n">
        <x:f>IF(F3784="Física",'Pokémon'!G410,IF(F3784="Especial",'Pokémon'!I410,""))</x:f>
        <x:v>85</x:v>
      </x:c>
      <x:c r="I3784" s="10" t="n">
        <x:f>IF(OR(F3784="Status",G3784=0),"",G3784+H3784)</x:f>
        <x:v>110</x:v>
      </x:c>
      <x:c r="J3784" s="10" t="n">
        <x:v>1</x:v>
      </x:c>
      <x:c r="K3784" s="12" t="n">
        <x:v>10</x:v>
      </x:c>
      <x:c r="L3784" s="1" t="str"/>
      <x:c r="M3784" s="9" t="str">
        <x:v>https://poke.idleworld.online/pokepedia/pokemon/appletun</x:v>
      </x:c>
    </x:row>
    <x:row r="3785" ht="22" customHeight="1">
      <x:c r="A3785" s="1" t="n">
        <x:v>843</x:v>
      </x:c>
      <x:c r="B3785" s="1" t="str">
        <x:v>Silicobra</x:v>
      </x:c>
      <x:c r="C3785" s="1" t="n">
        <x:v>3</x:v>
      </x:c>
      <x:c r="D3785" s="1" t="str">
        <x:v>Iron Head</x:v>
      </x:c>
      <x:c r="E3785" s="1" t="str">
        <x:v>Aço</x:v>
      </x:c>
      <x:c r="F3785" s="1" t="str">
        <x:v>Física</x:v>
      </x:c>
      <x:c r="G3785" s="10" t="n">
        <x:v>80</x:v>
      </x:c>
      <x:c r="H3785" s="10" t="n">
        <x:f>IF(F3785="Física",'Pokémon'!G411,IF(F3785="Especial",'Pokémon'!I411,""))</x:f>
        <x:v>57</x:v>
      </x:c>
      <x:c r="I3785" s="10" t="n">
        <x:f>IF(OR(F3785="Status",G3785=0),"",G3785+H3785)</x:f>
        <x:v>137</x:v>
      </x:c>
      <x:c r="J3785" s="10" t="n">
        <x:v>20</x:v>
      </x:c>
      <x:c r="K3785" s="12" t="n">
        <x:v>15</x:v>
      </x:c>
      <x:c r="L3785" s="1" t="str"/>
      <x:c r="M3785" s="9" t="str">
        <x:v>https://poke.idleworld.online/pokepedia/pokemon/silicobra</x:v>
      </x:c>
    </x:row>
    <x:row r="3786" ht="22" customHeight="1">
      <x:c r="A3786" s="1" t="n">
        <x:v>843</x:v>
      </x:c>
      <x:c r="B3786" s="1" t="str">
        <x:v>Silicobra</x:v>
      </x:c>
      <x:c r="C3786" s="1" t="n">
        <x:v>1</x:v>
      </x:c>
      <x:c r="D3786" s="1" t="str">
        <x:v>Headbutt</x:v>
      </x:c>
      <x:c r="E3786" s="1" t="str">
        <x:v>Normal</x:v>
      </x:c>
      <x:c r="F3786" s="1" t="str">
        <x:v>Física</x:v>
      </x:c>
      <x:c r="G3786" s="10" t="n">
        <x:v>70</x:v>
      </x:c>
      <x:c r="H3786" s="10" t="n">
        <x:f>IF(F3786="Física",'Pokémon'!G411,IF(F3786="Especial",'Pokémon'!I411,""))</x:f>
        <x:v>57</x:v>
      </x:c>
      <x:c r="I3786" s="10" t="n">
        <x:f>IF(OR(F3786="Status",G3786=0),"",G3786+H3786)</x:f>
        <x:v>127</x:v>
      </x:c>
      <x:c r="J3786" s="10" t="n">
        <x:v>1</x:v>
      </x:c>
      <x:c r="K3786" s="12" t="n">
        <x:v>10</x:v>
      </x:c>
      <x:c r="L3786" s="1" t="str"/>
      <x:c r="M3786" s="9" t="str">
        <x:v>https://poke.idleworld.online/pokepedia/pokemon/silicobra</x:v>
      </x:c>
    </x:row>
    <x:row r="3787" ht="22" customHeight="1">
      <x:c r="A3787" s="1" t="n">
        <x:v>843</x:v>
      </x:c>
      <x:c r="B3787" s="1" t="str">
        <x:v>Silicobra</x:v>
      </x:c>
      <x:c r="C3787" s="1" t="n">
        <x:v>4</x:v>
      </x:c>
      <x:c r="D3787" s="1" t="str">
        <x:v>Earth Power</x:v>
      </x:c>
      <x:c r="E3787" s="1" t="str">
        <x:v>Terrestre</x:v>
      </x:c>
      <x:c r="F3787" s="1" t="str">
        <x:v>Especial</x:v>
      </x:c>
      <x:c r="G3787" s="10" t="n">
        <x:v>90</x:v>
      </x:c>
      <x:c r="H3787" s="10" t="n">
        <x:f>IF(F3787="Física",'Pokémon'!G411,IF(F3787="Especial",'Pokémon'!I411,""))</x:f>
        <x:v>35</x:v>
      </x:c>
      <x:c r="I3787" s="10" t="n">
        <x:f>IF(OR(F3787="Status",G3787=0),"",G3787+H3787)</x:f>
        <x:v>125</x:v>
      </x:c>
      <x:c r="J3787" s="10" t="n">
        <x:v>30</x:v>
      </x:c>
      <x:c r="K3787" s="12" t="n">
        <x:v>40</x:v>
      </x:c>
      <x:c r="L3787" s="1" t="str"/>
      <x:c r="M3787" s="9" t="str">
        <x:v>https://poke.idleworld.online/pokepedia/pokemon/silicobra</x:v>
      </x:c>
    </x:row>
    <x:row r="3788" ht="22" customHeight="1">
      <x:c r="A3788" s="1" t="n">
        <x:v>843</x:v>
      </x:c>
      <x:c r="B3788" s="1" t="str">
        <x:v>Silicobra</x:v>
      </x:c>
      <x:c r="C3788" s="1" t="n">
        <x:v>2</x:v>
      </x:c>
      <x:c r="D3788" s="1" t="str">
        <x:v>Sand Attack</x:v>
      </x:c>
      <x:c r="E3788" s="1" t="str">
        <x:v>Terrestre</x:v>
      </x:c>
      <x:c r="F3788" s="1" t="str">
        <x:v>Status</x:v>
      </x:c>
      <x:c r="G3788" s="10" t="n">
        <x:v>0</x:v>
      </x:c>
      <x:c r="H3788" s="10" t="str">
        <x:f>IF(F3788="Física",'Pokémon'!G411,IF(F3788="Especial",'Pokémon'!I411,""))</x:f>
      </x:c>
      <x:c r="I3788" s="10" t="str">
        <x:f>IF(OR(F3788="Status",G3788=0),"",G3788+H3788)</x:f>
      </x:c>
      <x:c r="J3788" s="10" t="n">
        <x:v>10</x:v>
      </x:c>
      <x:c r="K3788" s="12" t="n">
        <x:v>10</x:v>
      </x:c>
      <x:c r="L3788" s="1" t="str"/>
      <x:c r="M3788" s="9" t="str">
        <x:v>https://poke.idleworld.online/pokepedia/pokemon/silicobra</x:v>
      </x:c>
    </x:row>
    <x:row r="3789" ht="22" customHeight="1">
      <x:c r="A3789" s="1" t="n">
        <x:v>844</x:v>
      </x:c>
      <x:c r="B3789" s="1" t="str">
        <x:v>Sandaconda</x:v>
      </x:c>
      <x:c r="C3789" s="1" t="n">
        <x:v>3</x:v>
      </x:c>
      <x:c r="D3789" s="1" t="str">
        <x:v>Iron Head</x:v>
      </x:c>
      <x:c r="E3789" s="1" t="str">
        <x:v>Aço</x:v>
      </x:c>
      <x:c r="F3789" s="1" t="str">
        <x:v>Física</x:v>
      </x:c>
      <x:c r="G3789" s="10" t="n">
        <x:v>80</x:v>
      </x:c>
      <x:c r="H3789" s="10" t="n">
        <x:f>IF(F3789="Física",'Pokémon'!G412,IF(F3789="Especial",'Pokémon'!I412,""))</x:f>
        <x:v>107</x:v>
      </x:c>
      <x:c r="I3789" s="10" t="n">
        <x:f>IF(OR(F3789="Status",G3789=0),"",G3789+H3789)</x:f>
        <x:v>187</x:v>
      </x:c>
      <x:c r="J3789" s="10" t="n">
        <x:v>20</x:v>
      </x:c>
      <x:c r="K3789" s="12" t="n">
        <x:v>15</x:v>
      </x:c>
      <x:c r="L3789" s="1" t="str"/>
      <x:c r="M3789" s="9" t="str">
        <x:v>https://poke.idleworld.online/pokepedia/pokemon/sandaconda</x:v>
      </x:c>
    </x:row>
    <x:row r="3790" ht="22" customHeight="1">
      <x:c r="A3790" s="1" t="n">
        <x:v>844</x:v>
      </x:c>
      <x:c r="B3790" s="1" t="str">
        <x:v>Sandaconda</x:v>
      </x:c>
      <x:c r="C3790" s="1" t="n">
        <x:v>1</x:v>
      </x:c>
      <x:c r="D3790" s="1" t="str">
        <x:v>Headbutt</x:v>
      </x:c>
      <x:c r="E3790" s="1" t="str">
        <x:v>Normal</x:v>
      </x:c>
      <x:c r="F3790" s="1" t="str">
        <x:v>Física</x:v>
      </x:c>
      <x:c r="G3790" s="10" t="n">
        <x:v>70</x:v>
      </x:c>
      <x:c r="H3790" s="10" t="n">
        <x:f>IF(F3790="Física",'Pokémon'!G412,IF(F3790="Especial",'Pokémon'!I412,""))</x:f>
        <x:v>107</x:v>
      </x:c>
      <x:c r="I3790" s="10" t="n">
        <x:f>IF(OR(F3790="Status",G3790=0),"",G3790+H3790)</x:f>
        <x:v>177</x:v>
      </x:c>
      <x:c r="J3790" s="10" t="n">
        <x:v>1</x:v>
      </x:c>
      <x:c r="K3790" s="12" t="n">
        <x:v>10</x:v>
      </x:c>
      <x:c r="L3790" s="1" t="str"/>
      <x:c r="M3790" s="9" t="str">
        <x:v>https://poke.idleworld.online/pokepedia/pokemon/sandaconda</x:v>
      </x:c>
    </x:row>
    <x:row r="3791" ht="22" customHeight="1">
      <x:c r="A3791" s="1" t="n">
        <x:v>844</x:v>
      </x:c>
      <x:c r="B3791" s="1" t="str">
        <x:v>Sandaconda</x:v>
      </x:c>
      <x:c r="C3791" s="1" t="n">
        <x:v>4</x:v>
      </x:c>
      <x:c r="D3791" s="1" t="str">
        <x:v>Earth Power</x:v>
      </x:c>
      <x:c r="E3791" s="1" t="str">
        <x:v>Terrestre</x:v>
      </x:c>
      <x:c r="F3791" s="1" t="str">
        <x:v>Especial</x:v>
      </x:c>
      <x:c r="G3791" s="10" t="n">
        <x:v>90</x:v>
      </x:c>
      <x:c r="H3791" s="10" t="n">
        <x:f>IF(F3791="Física",'Pokémon'!G412,IF(F3791="Especial",'Pokémon'!I412,""))</x:f>
        <x:v>65</x:v>
      </x:c>
      <x:c r="I3791" s="10" t="n">
        <x:f>IF(OR(F3791="Status",G3791=0),"",G3791+H3791)</x:f>
        <x:v>155</x:v>
      </x:c>
      <x:c r="J3791" s="10" t="n">
        <x:v>30</x:v>
      </x:c>
      <x:c r="K3791" s="12" t="n">
        <x:v>40</x:v>
      </x:c>
      <x:c r="L3791" s="1" t="str"/>
      <x:c r="M3791" s="9" t="str">
        <x:v>https://poke.idleworld.online/pokepedia/pokemon/sandaconda</x:v>
      </x:c>
    </x:row>
    <x:row r="3792" ht="22" customHeight="1">
      <x:c r="A3792" s="1" t="n">
        <x:v>844</x:v>
      </x:c>
      <x:c r="B3792" s="1" t="str">
        <x:v>Sandaconda</x:v>
      </x:c>
      <x:c r="C3792" s="1" t="n">
        <x:v>2</x:v>
      </x:c>
      <x:c r="D3792" s="1" t="str">
        <x:v>Sand Attack</x:v>
      </x:c>
      <x:c r="E3792" s="1" t="str">
        <x:v>Terrestre</x:v>
      </x:c>
      <x:c r="F3792" s="1" t="str">
        <x:v>Status</x:v>
      </x:c>
      <x:c r="G3792" s="10" t="n">
        <x:v>0</x:v>
      </x:c>
      <x:c r="H3792" s="10" t="str">
        <x:f>IF(F3792="Física",'Pokémon'!G412,IF(F3792="Especial",'Pokémon'!I412,""))</x:f>
      </x:c>
      <x:c r="I3792" s="10" t="str">
        <x:f>IF(OR(F3792="Status",G3792=0),"",G3792+H3792)</x:f>
      </x:c>
      <x:c r="J3792" s="10" t="n">
        <x:v>10</x:v>
      </x:c>
      <x:c r="K3792" s="12" t="n">
        <x:v>10</x:v>
      </x:c>
      <x:c r="L3792" s="1" t="str"/>
      <x:c r="M3792" s="9" t="str">
        <x:v>https://poke.idleworld.online/pokepedia/pokemon/sandaconda</x:v>
      </x:c>
    </x:row>
    <x:row r="3793" ht="22" customHeight="1">
      <x:c r="A3793" s="1" t="n">
        <x:v>865</x:v>
      </x:c>
      <x:c r="B3793" s="1" t="str">
        <x:v>Sirfetch'd</x:v>
      </x:c>
      <x:c r="C3793" s="1" t="n">
        <x:v>3</x:v>
      </x:c>
      <x:c r="D3793" s="1" t="str">
        <x:v>Superpower</x:v>
      </x:c>
      <x:c r="E3793" s="1" t="str">
        <x:v>Lutador</x:v>
      </x:c>
      <x:c r="F3793" s="1" t="str">
        <x:v>Física</x:v>
      </x:c>
      <x:c r="G3793" s="10" t="n">
        <x:v>120</x:v>
      </x:c>
      <x:c r="H3793" s="10" t="n">
        <x:f>IF(F3793="Física",'Pokémon'!G413,IF(F3793="Especial",'Pokémon'!I413,""))</x:f>
        <x:v>135</x:v>
      </x:c>
      <x:c r="I3793" s="10" t="n">
        <x:f>IF(OR(F3793="Status",G3793=0),"",G3793+H3793)</x:f>
        <x:v>255</x:v>
      </x:c>
      <x:c r="J3793" s="10" t="n">
        <x:v>40</x:v>
      </x:c>
      <x:c r="K3793" s="12" t="n">
        <x:v>50</x:v>
      </x:c>
      <x:c r="L3793" s="1" t="str"/>
      <x:c r="M3793" s="9" t="str">
        <x:v>https://poke.idleworld.online/pokepedia/pokemon/sirfetchd</x:v>
      </x:c>
    </x:row>
    <x:row r="3794" ht="22" customHeight="1">
      <x:c r="A3794" s="1" t="n">
        <x:v>865</x:v>
      </x:c>
      <x:c r="B3794" s="1" t="str">
        <x:v>Sirfetch'd</x:v>
      </x:c>
      <x:c r="C3794" s="1" t="n">
        <x:v>2</x:v>
      </x:c>
      <x:c r="D3794" s="1" t="str">
        <x:v>Karate Chop</x:v>
      </x:c>
      <x:c r="E3794" s="1" t="str">
        <x:v>Lutador</x:v>
      </x:c>
      <x:c r="F3794" s="1" t="str">
        <x:v>Física</x:v>
      </x:c>
      <x:c r="G3794" s="10" t="n">
        <x:v>50</x:v>
      </x:c>
      <x:c r="H3794" s="10" t="n">
        <x:f>IF(F3794="Física",'Pokémon'!G413,IF(F3794="Especial",'Pokémon'!I413,""))</x:f>
        <x:v>135</x:v>
      </x:c>
      <x:c r="I3794" s="10" t="n">
        <x:f>IF(OR(F3794="Status",G3794=0),"",G3794+H3794)</x:f>
        <x:v>185</x:v>
      </x:c>
      <x:c r="J3794" s="10" t="n">
        <x:v>10</x:v>
      </x:c>
      <x:c r="K3794" s="12" t="n">
        <x:v>10</x:v>
      </x:c>
      <x:c r="L3794" s="1" t="str"/>
      <x:c r="M3794" s="9" t="str">
        <x:v>https://poke.idleworld.online/pokepedia/pokemon/sirfetchd</x:v>
      </x:c>
    </x:row>
    <x:row r="3795" ht="22" customHeight="1">
      <x:c r="A3795" s="1" t="n">
        <x:v>865</x:v>
      </x:c>
      <x:c r="B3795" s="1" t="str">
        <x:v>Sirfetch'd</x:v>
      </x:c>
      <x:c r="C3795" s="1" t="n">
        <x:v>1</x:v>
      </x:c>
      <x:c r="D3795" s="1" t="str">
        <x:v>Peck</x:v>
      </x:c>
      <x:c r="E3795" s="1" t="str">
        <x:v>Voador</x:v>
      </x:c>
      <x:c r="F3795" s="1" t="str">
        <x:v>Física</x:v>
      </x:c>
      <x:c r="G3795" s="10" t="n">
        <x:v>35</x:v>
      </x:c>
      <x:c r="H3795" s="10" t="n">
        <x:f>IF(F3795="Física",'Pokémon'!G413,IF(F3795="Especial",'Pokémon'!I413,""))</x:f>
        <x:v>135</x:v>
      </x:c>
      <x:c r="I3795" s="10" t="n">
        <x:f>IF(OR(F3795="Status",G3795=0),"",G3795+H3795)</x:f>
        <x:v>170</x:v>
      </x:c>
      <x:c r="J3795" s="10" t="n">
        <x:v>1</x:v>
      </x:c>
      <x:c r="K3795" s="12" t="n">
        <x:v>8</x:v>
      </x:c>
      <x:c r="L3795" s="1" t="str"/>
      <x:c r="M3795" s="9" t="str">
        <x:v>https://poke.idleworld.online/pokepedia/pokemon/sirfetchd</x:v>
      </x:c>
    </x:row>
  </x:sheetData>
  <x:pageMargins left="0.7" right="0.7" top="0.75" bottom="0.75" header="0.3" footer="0.3"/>
  <x:tableParts count="1">
    <x:tablePart xmlns:r="http://schemas.openxmlformats.org/officeDocument/2006/relationships" r:id="R9051d956db68494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22" hidden="0" customWidth="1"/>
    <x:col min="3" max="3" width="14" hidden="0" customWidth="1"/>
    <x:col min="4" max="4" width="14" hidden="0" customWidth="1"/>
    <x:col min="5" max="5" width="55" hidden="0" customWidth="1"/>
    <x:col min="6" max="6" width="75" hidden="0" customWidth="1"/>
    <x:col min="7" max="7" width="24" hidden="0" customWidth="1"/>
    <x:col min="8" max="8" width="55" hidden="0" customWidth="1"/>
    <x:col min="9" max="9" width="68" hidden="0" customWidth="1"/>
  </x:cols>
  <x:sheetData>
    <x:row r="1">
      <x:c r="A1" s="2" t="str">
        <x:v>Efetividade de tipos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Multiplicadores de dano recebido; vantagens ofensivas consideram os tipos próprios contra um tipo defensor isolado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0" customHeight="1">
      <x:c r="A4" s="8" t="str">
        <x:v>Nº</x:v>
      </x:c>
      <x:c r="B4" s="8" t="str">
        <x:v>Pokémon</x:v>
      </x:c>
      <x:c r="C4" s="8" t="str">
        <x:v>Tipo 1</x:v>
      </x:c>
      <x:c r="D4" s="8" t="str">
        <x:v>Tipo 2</x:v>
      </x:c>
      <x:c r="E4" s="8" t="str">
        <x:v>Fraquezas</x:v>
      </x:c>
      <x:c r="F4" s="8" t="str">
        <x:v>Resistências</x:v>
      </x:c>
      <x:c r="G4" s="8" t="str">
        <x:v>Imunidades</x:v>
      </x:c>
      <x:c r="H4" s="8" t="str">
        <x:v>Vantagens ofensivas de tipo</x:v>
      </x:c>
      <x:c r="I4" s="8" t="str">
        <x:v>Fonte</x:v>
      </x:c>
    </x:row>
    <x:row r="5" ht="42" customHeight="1">
      <x:c r="A5" s="1" t="n">
        <x:v>1</x:v>
      </x:c>
      <x:c r="B5" s="1" t="str">
        <x:v>Bulbasaur</x:v>
      </x:c>
      <x:c r="C5" s="1" t="str">
        <x:v>Planta</x:v>
      </x:c>
      <x:c r="D5" s="1" t="str">
        <x:v>Venenoso</x:v>
      </x:c>
      <x:c r="E5" s="11" t="str">
        <x:v>Fogo 2×; Gelo 2×; Voador 2×; Psíquico 2×</x:v>
      </x:c>
      <x:c r="F5" s="11" t="str">
        <x:v>Água 0,5×; Elétrico 0,5×; Planta 0,25×; Lutador 0,5×; Fada 0,5×</x:v>
      </x:c>
      <x:c r="G5" s="11" t="str"/>
      <x:c r="H5" s="11" t="str">
        <x:v>Água; Planta; Terrestre; Pedra; Fada</x:v>
      </x:c>
      <x:c r="I5" s="9" t="str">
        <x:v>https://poke.idleworld.online/pokepedia/pokemon/bulbasaur</x:v>
      </x:c>
    </x:row>
    <x:row r="6" ht="42" customHeight="1">
      <x:c r="A6" s="1" t="n">
        <x:v>2</x:v>
      </x:c>
      <x:c r="B6" s="1" t="str">
        <x:v>Ivysaur</x:v>
      </x:c>
      <x:c r="C6" s="1" t="str">
        <x:v>Planta</x:v>
      </x:c>
      <x:c r="D6" s="1" t="str">
        <x:v>Venenoso</x:v>
      </x:c>
      <x:c r="E6" s="11" t="str">
        <x:v>Fogo 2×; Gelo 2×; Voador 2×; Psíquico 2×</x:v>
      </x:c>
      <x:c r="F6" s="11" t="str">
        <x:v>Água 0,5×; Elétrico 0,5×; Planta 0,25×; Lutador 0,5×; Fada 0,5×</x:v>
      </x:c>
      <x:c r="G6" s="11" t="str"/>
      <x:c r="H6" s="11" t="str">
        <x:v>Água; Planta; Terrestre; Pedra; Fada</x:v>
      </x:c>
      <x:c r="I6" s="9" t="str">
        <x:v>https://poke.idleworld.online/pokepedia/pokemon/ivysaur</x:v>
      </x:c>
    </x:row>
    <x:row r="7" ht="42" customHeight="1">
      <x:c r="A7" s="1" t="n">
        <x:v>3</x:v>
      </x:c>
      <x:c r="B7" s="1" t="str">
        <x:v>Venusaur</x:v>
      </x:c>
      <x:c r="C7" s="1" t="str">
        <x:v>Planta</x:v>
      </x:c>
      <x:c r="D7" s="1" t="str">
        <x:v>Venenoso</x:v>
      </x:c>
      <x:c r="E7" s="11" t="str">
        <x:v>Fogo 2×; Gelo 2×; Voador 2×; Psíquico 2×</x:v>
      </x:c>
      <x:c r="F7" s="11" t="str">
        <x:v>Água 0,5×; Elétrico 0,5×; Planta 0,25×; Lutador 0,5×; Fada 0,5×</x:v>
      </x:c>
      <x:c r="G7" s="11" t="str"/>
      <x:c r="H7" s="11" t="str">
        <x:v>Água; Planta; Terrestre; Pedra; Fada</x:v>
      </x:c>
      <x:c r="I7" s="9" t="str">
        <x:v>https://poke.idleworld.online/pokepedia/pokemon/venusaur</x:v>
      </x:c>
    </x:row>
    <x:row r="8" ht="42" customHeight="1">
      <x:c r="A8" s="1" t="n">
        <x:v>4</x:v>
      </x:c>
      <x:c r="B8" s="1" t="str">
        <x:v>Charmander</x:v>
      </x:c>
      <x:c r="C8" s="1" t="str">
        <x:v>Fogo</x:v>
      </x:c>
      <x:c r="D8" s="1" t="str"/>
      <x:c r="E8" s="11" t="str">
        <x:v>Água 2×; Terrestre 2×; Pedra 2×</x:v>
      </x:c>
      <x:c r="F8" s="11" t="str">
        <x:v>Fogo 0,5×; Planta 0,5×; Gelo 0,5×; Inseto 0,5×; Aço 0,5×; Fada 0,5×</x:v>
      </x:c>
      <x:c r="G8" s="11" t="str"/>
      <x:c r="H8" s="11" t="str">
        <x:v>Planta; Gelo; Inseto; Aço</x:v>
      </x:c>
      <x:c r="I8" s="9" t="str">
        <x:v>https://poke.idleworld.online/pokepedia/pokemon/charmander</x:v>
      </x:c>
    </x:row>
    <x:row r="9" ht="42" customHeight="1">
      <x:c r="A9" s="1" t="n">
        <x:v>5</x:v>
      </x:c>
      <x:c r="B9" s="1" t="str">
        <x:v>Charmeleon</x:v>
      </x:c>
      <x:c r="C9" s="1" t="str">
        <x:v>Fogo</x:v>
      </x:c>
      <x:c r="D9" s="1" t="str"/>
      <x:c r="E9" s="11" t="str">
        <x:v>Água 2×; Terrestre 2×; Pedra 2×</x:v>
      </x:c>
      <x:c r="F9" s="11" t="str">
        <x:v>Fogo 0,5×; Planta 0,5×; Gelo 0,5×; Inseto 0,5×; Aço 0,5×; Fada 0,5×</x:v>
      </x:c>
      <x:c r="G9" s="11" t="str"/>
      <x:c r="H9" s="11" t="str">
        <x:v>Planta; Gelo; Inseto; Aço</x:v>
      </x:c>
      <x:c r="I9" s="9" t="str">
        <x:v>https://poke.idleworld.online/pokepedia/pokemon/charmeleon</x:v>
      </x:c>
    </x:row>
    <x:row r="10" ht="42" customHeight="1">
      <x:c r="A10" s="1" t="n">
        <x:v>6</x:v>
      </x:c>
      <x:c r="B10" s="1" t="str">
        <x:v>Charizard</x:v>
      </x:c>
      <x:c r="C10" s="1" t="str">
        <x:v>Fogo</x:v>
      </x:c>
      <x:c r="D10" s="1" t="str">
        <x:v>Voador</x:v>
      </x:c>
      <x:c r="E10" s="11" t="str">
        <x:v>Água 2×; Elétrico 2×; Pedra 4×</x:v>
      </x:c>
      <x:c r="F10" s="11" t="str">
        <x:v>Fogo 0,5×; Planta 0,25×; Lutador 0,5×; Inseto 0,25×; Aço 0,5×; Fada 0,5×</x:v>
      </x:c>
      <x:c r="G10" s="11" t="str">
        <x:v>Terrestre 0×</x:v>
      </x:c>
      <x:c r="H10" s="11" t="str">
        <x:v>Planta; Gelo; Lutador; Inseto; Aço</x:v>
      </x:c>
      <x:c r="I10" s="9" t="str">
        <x:v>https://poke.idleworld.online/pokepedia/pokemon/charizard</x:v>
      </x:c>
    </x:row>
    <x:row r="11" ht="28" customHeight="1">
      <x:c r="A11" s="1" t="n">
        <x:v>7</x:v>
      </x:c>
      <x:c r="B11" s="1" t="str">
        <x:v>Squirtle</x:v>
      </x:c>
      <x:c r="C11" s="1" t="str">
        <x:v>Água</x:v>
      </x:c>
      <x:c r="D11" s="1" t="str"/>
      <x:c r="E11" s="11" t="str">
        <x:v>Elétrico 2×; Planta 2×</x:v>
      </x:c>
      <x:c r="F11" s="11" t="str">
        <x:v>Fogo 0,5×; Água 0,5×; Gelo 0,5×; Aço 0,5×</x:v>
      </x:c>
      <x:c r="G11" s="11" t="str"/>
      <x:c r="H11" s="11" t="str">
        <x:v>Fogo; Terrestre; Pedra</x:v>
      </x:c>
      <x:c r="I11" s="9" t="str">
        <x:v>https://poke.idleworld.online/pokepedia/pokemon/squirtle</x:v>
      </x:c>
    </x:row>
    <x:row r="12" ht="28" customHeight="1">
      <x:c r="A12" s="1" t="n">
        <x:v>8</x:v>
      </x:c>
      <x:c r="B12" s="1" t="str">
        <x:v>Wartortle</x:v>
      </x:c>
      <x:c r="C12" s="1" t="str">
        <x:v>Água</x:v>
      </x:c>
      <x:c r="D12" s="1" t="str"/>
      <x:c r="E12" s="11" t="str">
        <x:v>Elétrico 2×; Planta 2×</x:v>
      </x:c>
      <x:c r="F12" s="11" t="str">
        <x:v>Fogo 0,5×; Água 0,5×; Gelo 0,5×; Aço 0,5×</x:v>
      </x:c>
      <x:c r="G12" s="11" t="str"/>
      <x:c r="H12" s="11" t="str">
        <x:v>Fogo; Terrestre; Pedra</x:v>
      </x:c>
      <x:c r="I12" s="9" t="str">
        <x:v>https://poke.idleworld.online/pokepedia/pokemon/wartortle</x:v>
      </x:c>
    </x:row>
    <x:row r="13" ht="28" customHeight="1">
      <x:c r="A13" s="1" t="n">
        <x:v>9</x:v>
      </x:c>
      <x:c r="B13" s="1" t="str">
        <x:v>Blastoise</x:v>
      </x:c>
      <x:c r="C13" s="1" t="str">
        <x:v>Água</x:v>
      </x:c>
      <x:c r="D13" s="1" t="str"/>
      <x:c r="E13" s="11" t="str">
        <x:v>Elétrico 2×; Planta 2×</x:v>
      </x:c>
      <x:c r="F13" s="11" t="str">
        <x:v>Fogo 0,5×; Água 0,5×; Gelo 0,5×; Aço 0,5×</x:v>
      </x:c>
      <x:c r="G13" s="11" t="str"/>
      <x:c r="H13" s="11" t="str">
        <x:v>Fogo; Terrestre; Pedra</x:v>
      </x:c>
      <x:c r="I13" s="9" t="str">
        <x:v>https://poke.idleworld.online/pokepedia/pokemon/blastoise</x:v>
      </x:c>
    </x:row>
    <x:row r="14" ht="28" customHeight="1">
      <x:c r="A14" s="1" t="n">
        <x:v>10</x:v>
      </x:c>
      <x:c r="B14" s="1" t="str">
        <x:v>Caterpie</x:v>
      </x:c>
      <x:c r="C14" s="1" t="str">
        <x:v>Inseto</x:v>
      </x:c>
      <x:c r="D14" s="1" t="str"/>
      <x:c r="E14" s="11" t="str">
        <x:v>Fogo 2×; Voador 2×; Pedra 2×</x:v>
      </x:c>
      <x:c r="F14" s="11" t="str">
        <x:v>Planta 0,5×; Lutador 0,5×; Terrestre 0,5×</x:v>
      </x:c>
      <x:c r="G14" s="11" t="str"/>
      <x:c r="H14" s="11" t="str">
        <x:v>Planta; Psíquico; Sombrio</x:v>
      </x:c>
      <x:c r="I14" s="9" t="str">
        <x:v>https://poke.idleworld.online/pokepedia/pokemon/caterpie</x:v>
      </x:c>
    </x:row>
    <x:row r="15" ht="28" customHeight="1">
      <x:c r="A15" s="1" t="n">
        <x:v>11</x:v>
      </x:c>
      <x:c r="B15" s="1" t="str">
        <x:v>Metapod</x:v>
      </x:c>
      <x:c r="C15" s="1" t="str">
        <x:v>Inseto</x:v>
      </x:c>
      <x:c r="D15" s="1" t="str"/>
      <x:c r="E15" s="11" t="str">
        <x:v>Fogo 2×; Voador 2×; Pedra 2×</x:v>
      </x:c>
      <x:c r="F15" s="11" t="str">
        <x:v>Planta 0,5×; Lutador 0,5×; Terrestre 0,5×</x:v>
      </x:c>
      <x:c r="G15" s="11" t="str"/>
      <x:c r="H15" s="11" t="str">
        <x:v>Planta; Psíquico; Sombrio</x:v>
      </x:c>
      <x:c r="I15" s="9" t="str">
        <x:v>https://poke.idleworld.online/pokepedia/pokemon/metapod</x:v>
      </x:c>
    </x:row>
    <x:row r="16" ht="28" customHeight="1">
      <x:c r="A16" s="1" t="n">
        <x:v>12</x:v>
      </x:c>
      <x:c r="B16" s="1" t="str">
        <x:v>Butterfree</x:v>
      </x:c>
      <x:c r="C16" s="1" t="str">
        <x:v>Inseto</x:v>
      </x:c>
      <x:c r="D16" s="1" t="str">
        <x:v>Voador</x:v>
      </x:c>
      <x:c r="E16" s="11" t="str">
        <x:v>Fogo 2×; Elétrico 2×; Gelo 2×; Voador 2×; Pedra 4×</x:v>
      </x:c>
      <x:c r="F16" s="11" t="str">
        <x:v>Planta 0,25×; Lutador 0,25×; Inseto 0,5×</x:v>
      </x:c>
      <x:c r="G16" s="11" t="str">
        <x:v>Terrestre 0×</x:v>
      </x:c>
      <x:c r="H16" s="11" t="str">
        <x:v>Planta; Lutador; Psíquico; Inseto; Sombrio</x:v>
      </x:c>
      <x:c r="I16" s="9" t="str">
        <x:v>https://poke.idleworld.online/pokepedia/pokemon/butterfree</x:v>
      </x:c>
    </x:row>
    <x:row r="17" ht="42" customHeight="1">
      <x:c r="A17" s="1" t="n">
        <x:v>13</x:v>
      </x:c>
      <x:c r="B17" s="1" t="str">
        <x:v>Weedle</x:v>
      </x:c>
      <x:c r="C17" s="1" t="str">
        <x:v>Inseto</x:v>
      </x:c>
      <x:c r="D17" s="1" t="str">
        <x:v>Venenoso</x:v>
      </x:c>
      <x:c r="E17" s="11" t="str">
        <x:v>Fogo 2×; Voador 2×; Psíquico 2×; Pedra 2×</x:v>
      </x:c>
      <x:c r="F17" s="11" t="str">
        <x:v>Planta 0,25×; Lutador 0,25×; Venenoso 0,5×; Inseto 0,5×; Fada 0,5×</x:v>
      </x:c>
      <x:c r="G17" s="11" t="str"/>
      <x:c r="H17" s="11" t="str">
        <x:v>Planta; Psíquico; Sombrio; Fada</x:v>
      </x:c>
      <x:c r="I17" s="9" t="str">
        <x:v>https://poke.idleworld.online/pokepedia/pokemon/weedle</x:v>
      </x:c>
    </x:row>
    <x:row r="18" ht="42" customHeight="1">
      <x:c r="A18" s="1" t="n">
        <x:v>14</x:v>
      </x:c>
      <x:c r="B18" s="1" t="str">
        <x:v>Kakuna</x:v>
      </x:c>
      <x:c r="C18" s="1" t="str">
        <x:v>Inseto</x:v>
      </x:c>
      <x:c r="D18" s="1" t="str">
        <x:v>Venenoso</x:v>
      </x:c>
      <x:c r="E18" s="11" t="str">
        <x:v>Fogo 2×; Voador 2×; Psíquico 2×; Pedra 2×</x:v>
      </x:c>
      <x:c r="F18" s="11" t="str">
        <x:v>Planta 0,25×; Lutador 0,25×; Venenoso 0,5×; Inseto 0,5×; Fada 0,5×</x:v>
      </x:c>
      <x:c r="G18" s="11" t="str"/>
      <x:c r="H18" s="11" t="str">
        <x:v>Planta; Psíquico; Sombrio; Fada</x:v>
      </x:c>
      <x:c r="I18" s="9" t="str">
        <x:v>https://poke.idleworld.online/pokepedia/pokemon/kakuna</x:v>
      </x:c>
    </x:row>
    <x:row r="19" ht="42" customHeight="1">
      <x:c r="A19" s="1" t="n">
        <x:v>15</x:v>
      </x:c>
      <x:c r="B19" s="1" t="str">
        <x:v>Beedrill</x:v>
      </x:c>
      <x:c r="C19" s="1" t="str">
        <x:v>Inseto</x:v>
      </x:c>
      <x:c r="D19" s="1" t="str">
        <x:v>Venenoso</x:v>
      </x:c>
      <x:c r="E19" s="11" t="str">
        <x:v>Fogo 2×; Voador 2×; Psíquico 2×; Pedra 2×</x:v>
      </x:c>
      <x:c r="F19" s="11" t="str">
        <x:v>Planta 0,25×; Lutador 0,25×; Venenoso 0,5×; Inseto 0,5×; Fada 0,5×</x:v>
      </x:c>
      <x:c r="G19" s="11" t="str"/>
      <x:c r="H19" s="11" t="str">
        <x:v>Planta; Psíquico; Sombrio; Fada</x:v>
      </x:c>
      <x:c r="I19" s="9" t="str">
        <x:v>https://poke.idleworld.online/pokepedia/pokemon/beedrill</x:v>
      </x:c>
    </x:row>
    <x:row r="20" ht="28" customHeight="1">
      <x:c r="A20" s="1" t="n">
        <x:v>16</x:v>
      </x:c>
      <x:c r="B20" s="1" t="str">
        <x:v>Pidgey</x:v>
      </x:c>
      <x:c r="C20" s="1" t="str">
        <x:v>Normal</x:v>
      </x:c>
      <x:c r="D20" s="1" t="str">
        <x:v>Voador</x:v>
      </x:c>
      <x:c r="E20" s="11" t="str">
        <x:v>Elétrico 2×; Gelo 2×; Pedra 2×</x:v>
      </x:c>
      <x:c r="F20" s="11" t="str">
        <x:v>Planta 0,5×; Inseto 0,5×</x:v>
      </x:c>
      <x:c r="G20" s="11" t="str">
        <x:v>Terrestre 0×; Fantasma 0×</x:v>
      </x:c>
      <x:c r="H20" s="11" t="str">
        <x:v>Planta; Lutador; Inseto</x:v>
      </x:c>
      <x:c r="I20" s="9" t="str">
        <x:v>https://poke.idleworld.online/pokepedia/pokemon/pidgey</x:v>
      </x:c>
    </x:row>
    <x:row r="21" ht="28" customHeight="1">
      <x:c r="A21" s="1" t="n">
        <x:v>17</x:v>
      </x:c>
      <x:c r="B21" s="1" t="str">
        <x:v>Pidgeotto</x:v>
      </x:c>
      <x:c r="C21" s="1" t="str">
        <x:v>Normal</x:v>
      </x:c>
      <x:c r="D21" s="1" t="str">
        <x:v>Voador</x:v>
      </x:c>
      <x:c r="E21" s="11" t="str">
        <x:v>Elétrico 2×; Gelo 2×; Pedra 2×</x:v>
      </x:c>
      <x:c r="F21" s="11" t="str">
        <x:v>Planta 0,5×; Inseto 0,5×</x:v>
      </x:c>
      <x:c r="G21" s="11" t="str">
        <x:v>Terrestre 0×; Fantasma 0×</x:v>
      </x:c>
      <x:c r="H21" s="11" t="str">
        <x:v>Planta; Lutador; Inseto</x:v>
      </x:c>
      <x:c r="I21" s="9" t="str">
        <x:v>https://poke.idleworld.online/pokepedia/pokemon/pidgeotto</x:v>
      </x:c>
    </x:row>
    <x:row r="22" ht="28" customHeight="1">
      <x:c r="A22" s="1" t="n">
        <x:v>18</x:v>
      </x:c>
      <x:c r="B22" s="1" t="str">
        <x:v>Pidgeot</x:v>
      </x:c>
      <x:c r="C22" s="1" t="str">
        <x:v>Normal</x:v>
      </x:c>
      <x:c r="D22" s="1" t="str">
        <x:v>Voador</x:v>
      </x:c>
      <x:c r="E22" s="11" t="str">
        <x:v>Elétrico 2×; Gelo 2×; Pedra 2×</x:v>
      </x:c>
      <x:c r="F22" s="11" t="str">
        <x:v>Planta 0,5×; Inseto 0,5×</x:v>
      </x:c>
      <x:c r="G22" s="11" t="str">
        <x:v>Terrestre 0×; Fantasma 0×</x:v>
      </x:c>
      <x:c r="H22" s="11" t="str">
        <x:v>Planta; Lutador; Inseto</x:v>
      </x:c>
      <x:c r="I22" s="9" t="str">
        <x:v>https://poke.idleworld.online/pokepedia/pokemon/pidgeot</x:v>
      </x:c>
    </x:row>
    <x:row r="23" ht="28" customHeight="1">
      <x:c r="A23" s="1" t="n">
        <x:v>19</x:v>
      </x:c>
      <x:c r="B23" s="1" t="str">
        <x:v>Rattata</x:v>
      </x:c>
      <x:c r="C23" s="1" t="str">
        <x:v>Normal</x:v>
      </x:c>
      <x:c r="D23" s="1" t="str"/>
      <x:c r="E23" s="11" t="str">
        <x:v>Lutador 2×</x:v>
      </x:c>
      <x:c r="F23" s="11" t="str"/>
      <x:c r="G23" s="11" t="str">
        <x:v>Fantasma 0×</x:v>
      </x:c>
      <x:c r="H23" s="11" t="str"/>
      <x:c r="I23" s="9" t="str">
        <x:v>https://poke.idleworld.online/pokepedia/pokemon/rattata</x:v>
      </x:c>
    </x:row>
    <x:row r="24" ht="28" customHeight="1">
      <x:c r="A24" s="1" t="n">
        <x:v>20</x:v>
      </x:c>
      <x:c r="B24" s="1" t="str">
        <x:v>Raticate</x:v>
      </x:c>
      <x:c r="C24" s="1" t="str">
        <x:v>Normal</x:v>
      </x:c>
      <x:c r="D24" s="1" t="str"/>
      <x:c r="E24" s="11" t="str">
        <x:v>Lutador 2×</x:v>
      </x:c>
      <x:c r="F24" s="11" t="str"/>
      <x:c r="G24" s="11" t="str">
        <x:v>Fantasma 0×</x:v>
      </x:c>
      <x:c r="H24" s="11" t="str"/>
      <x:c r="I24" s="9" t="str">
        <x:v>https://poke.idleworld.online/pokepedia/pokemon/raticate</x:v>
      </x:c>
    </x:row>
    <x:row r="25" ht="28" customHeight="1">
      <x:c r="A25" s="1" t="n">
        <x:v>21</x:v>
      </x:c>
      <x:c r="B25" s="1" t="str">
        <x:v>Spearow</x:v>
      </x:c>
      <x:c r="C25" s="1" t="str">
        <x:v>Normal</x:v>
      </x:c>
      <x:c r="D25" s="1" t="str">
        <x:v>Voador</x:v>
      </x:c>
      <x:c r="E25" s="11" t="str">
        <x:v>Elétrico 2×; Gelo 2×; Pedra 2×</x:v>
      </x:c>
      <x:c r="F25" s="11" t="str">
        <x:v>Planta 0,5×; Inseto 0,5×</x:v>
      </x:c>
      <x:c r="G25" s="11" t="str">
        <x:v>Terrestre 0×; Fantasma 0×</x:v>
      </x:c>
      <x:c r="H25" s="11" t="str">
        <x:v>Planta; Lutador; Inseto</x:v>
      </x:c>
      <x:c r="I25" s="9" t="str">
        <x:v>https://poke.idleworld.online/pokepedia/pokemon/spearow</x:v>
      </x:c>
    </x:row>
    <x:row r="26" ht="28" customHeight="1">
      <x:c r="A26" s="1" t="n">
        <x:v>22</x:v>
      </x:c>
      <x:c r="B26" s="1" t="str">
        <x:v>Fearow</x:v>
      </x:c>
      <x:c r="C26" s="1" t="str">
        <x:v>Normal</x:v>
      </x:c>
      <x:c r="D26" s="1" t="str">
        <x:v>Voador</x:v>
      </x:c>
      <x:c r="E26" s="11" t="str">
        <x:v>Elétrico 2×; Gelo 2×; Pedra 2×</x:v>
      </x:c>
      <x:c r="F26" s="11" t="str">
        <x:v>Planta 0,5×; Inseto 0,5×</x:v>
      </x:c>
      <x:c r="G26" s="11" t="str">
        <x:v>Terrestre 0×; Fantasma 0×</x:v>
      </x:c>
      <x:c r="H26" s="11" t="str">
        <x:v>Planta; Lutador; Inseto</x:v>
      </x:c>
      <x:c r="I26" s="9" t="str">
        <x:v>https://poke.idleworld.online/pokepedia/pokemon/fearow</x:v>
      </x:c>
    </x:row>
    <x:row r="27" ht="42" customHeight="1">
      <x:c r="A27" s="1" t="n">
        <x:v>23</x:v>
      </x:c>
      <x:c r="B27" s="1" t="str">
        <x:v>Ekans</x:v>
      </x:c>
      <x:c r="C27" s="1" t="str">
        <x:v>Venenoso</x:v>
      </x:c>
      <x:c r="D27" s="1" t="str"/>
      <x:c r="E27" s="11" t="str">
        <x:v>Terrestre 2×; Psíquico 2×</x:v>
      </x:c>
      <x:c r="F27" s="11" t="str">
        <x:v>Planta 0,5×; Lutador 0,5×; Venenoso 0,5×; Inseto 0,5×; Fada 0,5×</x:v>
      </x:c>
      <x:c r="G27" s="11" t="str"/>
      <x:c r="H27" s="11" t="str">
        <x:v>Planta; Fada</x:v>
      </x:c>
      <x:c r="I27" s="9" t="str">
        <x:v>https://poke.idleworld.online/pokepedia/pokemon/ekans</x:v>
      </x:c>
    </x:row>
    <x:row r="28" ht="42" customHeight="1">
      <x:c r="A28" s="1" t="n">
        <x:v>24</x:v>
      </x:c>
      <x:c r="B28" s="1" t="str">
        <x:v>Arbok</x:v>
      </x:c>
      <x:c r="C28" s="1" t="str">
        <x:v>Venenoso</x:v>
      </x:c>
      <x:c r="D28" s="1" t="str"/>
      <x:c r="E28" s="11" t="str">
        <x:v>Terrestre 2×; Psíquico 2×</x:v>
      </x:c>
      <x:c r="F28" s="11" t="str">
        <x:v>Planta 0,5×; Lutador 0,5×; Venenoso 0,5×; Inseto 0,5×; Fada 0,5×</x:v>
      </x:c>
      <x:c r="G28" s="11" t="str"/>
      <x:c r="H28" s="11" t="str">
        <x:v>Planta; Fada</x:v>
      </x:c>
      <x:c r="I28" s="9" t="str">
        <x:v>https://poke.idleworld.online/pokepedia/pokemon/arbok</x:v>
      </x:c>
    </x:row>
    <x:row r="29" ht="28" customHeight="1">
      <x:c r="A29" s="1" t="n">
        <x:v>25</x:v>
      </x:c>
      <x:c r="B29" s="1" t="str">
        <x:v>Pikachu</x:v>
      </x:c>
      <x:c r="C29" s="1" t="str">
        <x:v>Elétrico</x:v>
      </x:c>
      <x:c r="D29" s="1" t="str"/>
      <x:c r="E29" s="11" t="str">
        <x:v>Terrestre 2×</x:v>
      </x:c>
      <x:c r="F29" s="11" t="str">
        <x:v>Elétrico 0,5×; Voador 0,5×; Aço 0,5×</x:v>
      </x:c>
      <x:c r="G29" s="11" t="str"/>
      <x:c r="H29" s="11" t="str">
        <x:v>Água; Voador</x:v>
      </x:c>
      <x:c r="I29" s="9" t="str">
        <x:v>https://poke.idleworld.online/pokepedia/pokemon/pikachu</x:v>
      </x:c>
    </x:row>
    <x:row r="30" ht="28" customHeight="1">
      <x:c r="A30" s="1" t="n">
        <x:v>26</x:v>
      </x:c>
      <x:c r="B30" s="1" t="str">
        <x:v>Raichu</x:v>
      </x:c>
      <x:c r="C30" s="1" t="str">
        <x:v>Elétrico</x:v>
      </x:c>
      <x:c r="D30" s="1" t="str"/>
      <x:c r="E30" s="11" t="str">
        <x:v>Terrestre 2×</x:v>
      </x:c>
      <x:c r="F30" s="11" t="str">
        <x:v>Elétrico 0,5×; Voador 0,5×; Aço 0,5×</x:v>
      </x:c>
      <x:c r="G30" s="11" t="str"/>
      <x:c r="H30" s="11" t="str">
        <x:v>Água; Voador</x:v>
      </x:c>
      <x:c r="I30" s="9" t="str">
        <x:v>https://poke.idleworld.online/pokepedia/pokemon/raichu</x:v>
      </x:c>
    </x:row>
    <x:row r="31" ht="28" customHeight="1">
      <x:c r="A31" s="1" t="n">
        <x:v>27</x:v>
      </x:c>
      <x:c r="B31" s="1" t="str">
        <x:v>Sandshrew</x:v>
      </x:c>
      <x:c r="C31" s="1" t="str">
        <x:v>Terrestre</x:v>
      </x:c>
      <x:c r="D31" s="1" t="str"/>
      <x:c r="E31" s="11" t="str">
        <x:v>Água 2×; Planta 2×; Gelo 2×</x:v>
      </x:c>
      <x:c r="F31" s="11" t="str">
        <x:v>Venenoso 0,5×; Pedra 0,5×</x:v>
      </x:c>
      <x:c r="G31" s="11" t="str">
        <x:v>Elétrico 0×</x:v>
      </x:c>
      <x:c r="H31" s="11" t="str">
        <x:v>Fogo; Elétrico; Venenoso; Pedra; Aço</x:v>
      </x:c>
      <x:c r="I31" s="9" t="str">
        <x:v>https://poke.idleworld.online/pokepedia/pokemon/sandshrew</x:v>
      </x:c>
    </x:row>
    <x:row r="32" ht="28" customHeight="1">
      <x:c r="A32" s="1" t="n">
        <x:v>28</x:v>
      </x:c>
      <x:c r="B32" s="1" t="str">
        <x:v>Sandslash</x:v>
      </x:c>
      <x:c r="C32" s="1" t="str">
        <x:v>Terrestre</x:v>
      </x:c>
      <x:c r="D32" s="1" t="str"/>
      <x:c r="E32" s="11" t="str">
        <x:v>Água 2×; Planta 2×; Gelo 2×</x:v>
      </x:c>
      <x:c r="F32" s="11" t="str">
        <x:v>Venenoso 0,5×; Pedra 0,5×</x:v>
      </x:c>
      <x:c r="G32" s="11" t="str">
        <x:v>Elétrico 0×</x:v>
      </x:c>
      <x:c r="H32" s="11" t="str">
        <x:v>Fogo; Elétrico; Venenoso; Pedra; Aço</x:v>
      </x:c>
      <x:c r="I32" s="9" t="str">
        <x:v>https://poke.idleworld.online/pokepedia/pokemon/sandslash</x:v>
      </x:c>
    </x:row>
    <x:row r="33" ht="42" customHeight="1">
      <x:c r="A33" s="1" t="n">
        <x:v>29</x:v>
      </x:c>
      <x:c r="B33" s="1" t="str">
        <x:v>Nidoran Female</x:v>
      </x:c>
      <x:c r="C33" s="1" t="str">
        <x:v>Venenoso</x:v>
      </x:c>
      <x:c r="D33" s="1" t="str"/>
      <x:c r="E33" s="11" t="str">
        <x:v>Terrestre 2×; Psíquico 2×</x:v>
      </x:c>
      <x:c r="F33" s="11" t="str">
        <x:v>Planta 0,5×; Lutador 0,5×; Venenoso 0,5×; Inseto 0,5×; Fada 0,5×</x:v>
      </x:c>
      <x:c r="G33" s="11" t="str"/>
      <x:c r="H33" s="11" t="str">
        <x:v>Planta; Fada</x:v>
      </x:c>
      <x:c r="I33" s="9" t="str">
        <x:v>https://poke.idleworld.online/pokepedia/pokemon/nidoranfemale</x:v>
      </x:c>
    </x:row>
    <x:row r="34" ht="42" customHeight="1">
      <x:c r="A34" s="1" t="n">
        <x:v>30</x:v>
      </x:c>
      <x:c r="B34" s="1" t="str">
        <x:v>Nidorina</x:v>
      </x:c>
      <x:c r="C34" s="1" t="str">
        <x:v>Venenoso</x:v>
      </x:c>
      <x:c r="D34" s="1" t="str"/>
      <x:c r="E34" s="11" t="str">
        <x:v>Terrestre 2×; Psíquico 2×</x:v>
      </x:c>
      <x:c r="F34" s="11" t="str">
        <x:v>Planta 0,5×; Lutador 0,5×; Venenoso 0,5×; Inseto 0,5×; Fada 0,5×</x:v>
      </x:c>
      <x:c r="G34" s="11" t="str"/>
      <x:c r="H34" s="11" t="str">
        <x:v>Planta; Fada</x:v>
      </x:c>
      <x:c r="I34" s="9" t="str">
        <x:v>https://poke.idleworld.online/pokepedia/pokemon/nidorina</x:v>
      </x:c>
    </x:row>
    <x:row r="35" ht="42" customHeight="1">
      <x:c r="A35" s="1" t="n">
        <x:v>31</x:v>
      </x:c>
      <x:c r="B35" s="1" t="str">
        <x:v>Nidoqueen</x:v>
      </x:c>
      <x:c r="C35" s="1" t="str">
        <x:v>Venenoso</x:v>
      </x:c>
      <x:c r="D35" s="1" t="str">
        <x:v>Terrestre</x:v>
      </x:c>
      <x:c r="E35" s="11" t="str">
        <x:v>Água 2×; Gelo 2×; Terrestre 2×; Psíquico 2×</x:v>
      </x:c>
      <x:c r="F35" s="11" t="str">
        <x:v>Lutador 0,5×; Venenoso 0,25×; Inseto 0,5×; Pedra 0,5×; Fada 0,5×</x:v>
      </x:c>
      <x:c r="G35" s="11" t="str">
        <x:v>Elétrico 0×</x:v>
      </x:c>
      <x:c r="H35" s="11" t="str">
        <x:v>Fogo; Elétrico; Planta; Venenoso; Pedra; Aço; Fada</x:v>
      </x:c>
      <x:c r="I35" s="9" t="str">
        <x:v>https://poke.idleworld.online/pokepedia/pokemon/nidoqueen</x:v>
      </x:c>
    </x:row>
    <x:row r="36" ht="42" customHeight="1">
      <x:c r="A36" s="1" t="n">
        <x:v>32</x:v>
      </x:c>
      <x:c r="B36" s="1" t="str">
        <x:v>Nidoran Male</x:v>
      </x:c>
      <x:c r="C36" s="1" t="str">
        <x:v>Venenoso</x:v>
      </x:c>
      <x:c r="D36" s="1" t="str"/>
      <x:c r="E36" s="11" t="str">
        <x:v>Terrestre 2×; Psíquico 2×</x:v>
      </x:c>
      <x:c r="F36" s="11" t="str">
        <x:v>Planta 0,5×; Lutador 0,5×; Venenoso 0,5×; Inseto 0,5×; Fada 0,5×</x:v>
      </x:c>
      <x:c r="G36" s="11" t="str"/>
      <x:c r="H36" s="11" t="str">
        <x:v>Planta; Fada</x:v>
      </x:c>
      <x:c r="I36" s="9" t="str">
        <x:v>https://poke.idleworld.online/pokepedia/pokemon/nidoranmale</x:v>
      </x:c>
    </x:row>
    <x:row r="37" ht="42" customHeight="1">
      <x:c r="A37" s="1" t="n">
        <x:v>33</x:v>
      </x:c>
      <x:c r="B37" s="1" t="str">
        <x:v>Nidorino</x:v>
      </x:c>
      <x:c r="C37" s="1" t="str">
        <x:v>Venenoso</x:v>
      </x:c>
      <x:c r="D37" s="1" t="str"/>
      <x:c r="E37" s="11" t="str">
        <x:v>Terrestre 2×; Psíquico 2×</x:v>
      </x:c>
      <x:c r="F37" s="11" t="str">
        <x:v>Planta 0,5×; Lutador 0,5×; Venenoso 0,5×; Inseto 0,5×; Fada 0,5×</x:v>
      </x:c>
      <x:c r="G37" s="11" t="str"/>
      <x:c r="H37" s="11" t="str">
        <x:v>Planta; Fada</x:v>
      </x:c>
      <x:c r="I37" s="9" t="str">
        <x:v>https://poke.idleworld.online/pokepedia/pokemon/nidorino</x:v>
      </x:c>
    </x:row>
    <x:row r="38" ht="42" customHeight="1">
      <x:c r="A38" s="1" t="n">
        <x:v>34</x:v>
      </x:c>
      <x:c r="B38" s="1" t="str">
        <x:v>Nidoking</x:v>
      </x:c>
      <x:c r="C38" s="1" t="str">
        <x:v>Venenoso</x:v>
      </x:c>
      <x:c r="D38" s="1" t="str">
        <x:v>Terrestre</x:v>
      </x:c>
      <x:c r="E38" s="11" t="str">
        <x:v>Água 2×; Gelo 2×; Terrestre 2×; Psíquico 2×</x:v>
      </x:c>
      <x:c r="F38" s="11" t="str">
        <x:v>Lutador 0,5×; Venenoso 0,25×; Inseto 0,5×; Pedra 0,5×; Fada 0,5×</x:v>
      </x:c>
      <x:c r="G38" s="11" t="str">
        <x:v>Elétrico 0×</x:v>
      </x:c>
      <x:c r="H38" s="11" t="str">
        <x:v>Fogo; Elétrico; Planta; Venenoso; Pedra; Aço; Fada</x:v>
      </x:c>
      <x:c r="I38" s="9" t="str">
        <x:v>https://poke.idleworld.online/pokepedia/pokemon/nidoking</x:v>
      </x:c>
    </x:row>
    <x:row r="39" ht="28" customHeight="1">
      <x:c r="A39" s="1" t="n">
        <x:v>35</x:v>
      </x:c>
      <x:c r="B39" s="1" t="str">
        <x:v>Clefairy</x:v>
      </x:c>
      <x:c r="C39" s="1" t="str">
        <x:v>Fada</x:v>
      </x:c>
      <x:c r="D39" s="1" t="str"/>
      <x:c r="E39" s="11" t="str">
        <x:v>Venenoso 2×; Aço 2×</x:v>
      </x:c>
      <x:c r="F39" s="11" t="str">
        <x:v>Lutador 0,5×; Inseto 0,5×; Sombrio 0,5×</x:v>
      </x:c>
      <x:c r="G39" s="11" t="str">
        <x:v>Dragão 0×</x:v>
      </x:c>
      <x:c r="H39" s="11" t="str">
        <x:v>Lutador; Dragão; Sombrio</x:v>
      </x:c>
      <x:c r="I39" s="9" t="str">
        <x:v>https://poke.idleworld.online/pokepedia/pokemon/clefairy</x:v>
      </x:c>
    </x:row>
    <x:row r="40" ht="28" customHeight="1">
      <x:c r="A40" s="1" t="n">
        <x:v>36</x:v>
      </x:c>
      <x:c r="B40" s="1" t="str">
        <x:v>Clefable</x:v>
      </x:c>
      <x:c r="C40" s="1" t="str">
        <x:v>Fada</x:v>
      </x:c>
      <x:c r="D40" s="1" t="str"/>
      <x:c r="E40" s="11" t="str">
        <x:v>Venenoso 2×; Aço 2×</x:v>
      </x:c>
      <x:c r="F40" s="11" t="str">
        <x:v>Lutador 0,5×; Inseto 0,5×; Sombrio 0,5×</x:v>
      </x:c>
      <x:c r="G40" s="11" t="str">
        <x:v>Dragão 0×</x:v>
      </x:c>
      <x:c r="H40" s="11" t="str">
        <x:v>Lutador; Dragão; Sombrio</x:v>
      </x:c>
      <x:c r="I40" s="9" t="str">
        <x:v>https://poke.idleworld.online/pokepedia/pokemon/clefable</x:v>
      </x:c>
    </x:row>
    <x:row r="41" ht="42" customHeight="1">
      <x:c r="A41" s="1" t="n">
        <x:v>37</x:v>
      </x:c>
      <x:c r="B41" s="1" t="str">
        <x:v>Vulpix</x:v>
      </x:c>
      <x:c r="C41" s="1" t="str">
        <x:v>Fogo</x:v>
      </x:c>
      <x:c r="D41" s="1" t="str"/>
      <x:c r="E41" s="11" t="str">
        <x:v>Água 2×; Terrestre 2×; Pedra 2×</x:v>
      </x:c>
      <x:c r="F41" s="11" t="str">
        <x:v>Fogo 0,5×; Planta 0,5×; Gelo 0,5×; Inseto 0,5×; Aço 0,5×; Fada 0,5×</x:v>
      </x:c>
      <x:c r="G41" s="11" t="str"/>
      <x:c r="H41" s="11" t="str">
        <x:v>Planta; Gelo; Inseto; Aço</x:v>
      </x:c>
      <x:c r="I41" s="9" t="str">
        <x:v>https://poke.idleworld.online/pokepedia/pokemon/vulpix</x:v>
      </x:c>
    </x:row>
    <x:row r="42" ht="42" customHeight="1">
      <x:c r="A42" s="1" t="n">
        <x:v>38</x:v>
      </x:c>
      <x:c r="B42" s="1" t="str">
        <x:v>Ninetales</x:v>
      </x:c>
      <x:c r="C42" s="1" t="str">
        <x:v>Fogo</x:v>
      </x:c>
      <x:c r="D42" s="1" t="str"/>
      <x:c r="E42" s="11" t="str">
        <x:v>Água 2×; Terrestre 2×; Pedra 2×</x:v>
      </x:c>
      <x:c r="F42" s="11" t="str">
        <x:v>Fogo 0,5×; Planta 0,5×; Gelo 0,5×; Inseto 0,5×; Aço 0,5×; Fada 0,5×</x:v>
      </x:c>
      <x:c r="G42" s="11" t="str"/>
      <x:c r="H42" s="11" t="str">
        <x:v>Planta; Gelo; Inseto; Aço</x:v>
      </x:c>
      <x:c r="I42" s="9" t="str">
        <x:v>https://poke.idleworld.online/pokepedia/pokemon/ninetales</x:v>
      </x:c>
    </x:row>
    <x:row r="43" ht="28" customHeight="1">
      <x:c r="A43" s="1" t="n">
        <x:v>39</x:v>
      </x:c>
      <x:c r="B43" s="1" t="str">
        <x:v>Jigglypuff</x:v>
      </x:c>
      <x:c r="C43" s="1" t="str">
        <x:v>Normal</x:v>
      </x:c>
      <x:c r="D43" s="1" t="str">
        <x:v>Fada</x:v>
      </x:c>
      <x:c r="E43" s="11" t="str">
        <x:v>Venenoso 2×; Aço 2×</x:v>
      </x:c>
      <x:c r="F43" s="11" t="str">
        <x:v>Inseto 0,5×; Sombrio 0,5×</x:v>
      </x:c>
      <x:c r="G43" s="11" t="str">
        <x:v>Fantasma 0×; Dragão 0×</x:v>
      </x:c>
      <x:c r="H43" s="11" t="str">
        <x:v>Lutador; Dragão; Sombrio</x:v>
      </x:c>
      <x:c r="I43" s="9" t="str">
        <x:v>https://poke.idleworld.online/pokepedia/pokemon/jigglypuff</x:v>
      </x:c>
    </x:row>
    <x:row r="44" ht="28" customHeight="1">
      <x:c r="A44" s="1" t="n">
        <x:v>40</x:v>
      </x:c>
      <x:c r="B44" s="1" t="str">
        <x:v>Wigglytuff</x:v>
      </x:c>
      <x:c r="C44" s="1" t="str">
        <x:v>Normal</x:v>
      </x:c>
      <x:c r="D44" s="1" t="str">
        <x:v>Fada</x:v>
      </x:c>
      <x:c r="E44" s="11" t="str">
        <x:v>Venenoso 2×; Aço 2×</x:v>
      </x:c>
      <x:c r="F44" s="11" t="str">
        <x:v>Inseto 0,5×; Sombrio 0,5×</x:v>
      </x:c>
      <x:c r="G44" s="11" t="str">
        <x:v>Fantasma 0×; Dragão 0×</x:v>
      </x:c>
      <x:c r="H44" s="11" t="str">
        <x:v>Lutador; Dragão; Sombrio</x:v>
      </x:c>
      <x:c r="I44" s="9" t="str">
        <x:v>https://poke.idleworld.online/pokepedia/pokemon/wigglytuff</x:v>
      </x:c>
    </x:row>
    <x:row r="45" ht="42" customHeight="1">
      <x:c r="A45" s="1" t="n">
        <x:v>41</x:v>
      </x:c>
      <x:c r="B45" s="1" t="str">
        <x:v>Zubat</x:v>
      </x:c>
      <x:c r="C45" s="1" t="str">
        <x:v>Venenoso</x:v>
      </x:c>
      <x:c r="D45" s="1" t="str">
        <x:v>Voador</x:v>
      </x:c>
      <x:c r="E45" s="11" t="str">
        <x:v>Elétrico 2×; Gelo 2×; Psíquico 2×; Pedra 2×</x:v>
      </x:c>
      <x:c r="F45" s="11" t="str">
        <x:v>Planta 0,25×; Lutador 0,25×; Venenoso 0,5×; Inseto 0,25×; Fada 0,5×</x:v>
      </x:c>
      <x:c r="G45" s="11" t="str">
        <x:v>Terrestre 0×</x:v>
      </x:c>
      <x:c r="H45" s="11" t="str">
        <x:v>Planta; Lutador; Inseto; Fada</x:v>
      </x:c>
      <x:c r="I45" s="9" t="str">
        <x:v>https://poke.idleworld.online/pokepedia/pokemon/zubat</x:v>
      </x:c>
    </x:row>
    <x:row r="46" ht="42" customHeight="1">
      <x:c r="A46" s="1" t="n">
        <x:v>42</x:v>
      </x:c>
      <x:c r="B46" s="1" t="str">
        <x:v>Golbat</x:v>
      </x:c>
      <x:c r="C46" s="1" t="str">
        <x:v>Venenoso</x:v>
      </x:c>
      <x:c r="D46" s="1" t="str">
        <x:v>Voador</x:v>
      </x:c>
      <x:c r="E46" s="11" t="str">
        <x:v>Elétrico 2×; Gelo 2×; Psíquico 2×; Pedra 2×</x:v>
      </x:c>
      <x:c r="F46" s="11" t="str">
        <x:v>Planta 0,25×; Lutador 0,25×; Venenoso 0,5×; Inseto 0,25×; Fada 0,5×</x:v>
      </x:c>
      <x:c r="G46" s="11" t="str">
        <x:v>Terrestre 0×</x:v>
      </x:c>
      <x:c r="H46" s="11" t="str">
        <x:v>Planta; Lutador; Inseto; Fada</x:v>
      </x:c>
      <x:c r="I46" s="9" t="str">
        <x:v>https://poke.idleworld.online/pokepedia/pokemon/golbat</x:v>
      </x:c>
    </x:row>
    <x:row r="47" ht="42" customHeight="1">
      <x:c r="A47" s="1" t="n">
        <x:v>43</x:v>
      </x:c>
      <x:c r="B47" s="1" t="str">
        <x:v>Oddish</x:v>
      </x:c>
      <x:c r="C47" s="1" t="str">
        <x:v>Planta</x:v>
      </x:c>
      <x:c r="D47" s="1" t="str">
        <x:v>Venenoso</x:v>
      </x:c>
      <x:c r="E47" s="11" t="str">
        <x:v>Fogo 2×; Gelo 2×; Voador 2×; Psíquico 2×</x:v>
      </x:c>
      <x:c r="F47" s="11" t="str">
        <x:v>Água 0,5×; Elétrico 0,5×; Planta 0,25×; Lutador 0,5×; Fada 0,5×</x:v>
      </x:c>
      <x:c r="G47" s="11" t="str"/>
      <x:c r="H47" s="11" t="str">
        <x:v>Água; Planta; Terrestre; Pedra; Fada</x:v>
      </x:c>
      <x:c r="I47" s="9" t="str">
        <x:v>https://poke.idleworld.online/pokepedia/pokemon/oddish</x:v>
      </x:c>
    </x:row>
    <x:row r="48" ht="42" customHeight="1">
      <x:c r="A48" s="1" t="n">
        <x:v>44</x:v>
      </x:c>
      <x:c r="B48" s="1" t="str">
        <x:v>Gloom</x:v>
      </x:c>
      <x:c r="C48" s="1" t="str">
        <x:v>Planta</x:v>
      </x:c>
      <x:c r="D48" s="1" t="str">
        <x:v>Venenoso</x:v>
      </x:c>
      <x:c r="E48" s="11" t="str">
        <x:v>Fogo 2×; Gelo 2×; Voador 2×; Psíquico 2×</x:v>
      </x:c>
      <x:c r="F48" s="11" t="str">
        <x:v>Água 0,5×; Elétrico 0,5×; Planta 0,25×; Lutador 0,5×; Fada 0,5×</x:v>
      </x:c>
      <x:c r="G48" s="11" t="str"/>
      <x:c r="H48" s="11" t="str">
        <x:v>Água; Planta; Terrestre; Pedra; Fada</x:v>
      </x:c>
      <x:c r="I48" s="9" t="str">
        <x:v>https://poke.idleworld.online/pokepedia/pokemon/gloom</x:v>
      </x:c>
    </x:row>
    <x:row r="49" ht="42" customHeight="1">
      <x:c r="A49" s="1" t="n">
        <x:v>45</x:v>
      </x:c>
      <x:c r="B49" s="1" t="str">
        <x:v>Vileplume</x:v>
      </x:c>
      <x:c r="C49" s="1" t="str">
        <x:v>Planta</x:v>
      </x:c>
      <x:c r="D49" s="1" t="str">
        <x:v>Venenoso</x:v>
      </x:c>
      <x:c r="E49" s="11" t="str">
        <x:v>Fogo 2×; Gelo 2×; Voador 2×; Psíquico 2×</x:v>
      </x:c>
      <x:c r="F49" s="11" t="str">
        <x:v>Água 0,5×; Elétrico 0,5×; Planta 0,25×; Lutador 0,5×; Fada 0,5×</x:v>
      </x:c>
      <x:c r="G49" s="11" t="str"/>
      <x:c r="H49" s="11" t="str">
        <x:v>Água; Planta; Terrestre; Pedra; Fada</x:v>
      </x:c>
      <x:c r="I49" s="9" t="str">
        <x:v>https://poke.idleworld.online/pokepedia/pokemon/vileplume</x:v>
      </x:c>
    </x:row>
    <x:row r="50" ht="42" customHeight="1">
      <x:c r="A50" s="1" t="n">
        <x:v>46</x:v>
      </x:c>
      <x:c r="B50" s="1" t="str">
        <x:v>Paras</x:v>
      </x:c>
      <x:c r="C50" s="1" t="str">
        <x:v>Inseto</x:v>
      </x:c>
      <x:c r="D50" s="1" t="str">
        <x:v>Planta</x:v>
      </x:c>
      <x:c r="E50" s="11" t="str">
        <x:v>Fogo 4×; Gelo 2×; Venenoso 2×; Voador 4×; Inseto 2×; Pedra 2×</x:v>
      </x:c>
      <x:c r="F50" s="11" t="str">
        <x:v>Água 0,5×; Elétrico 0,5×; Planta 0,25×; Lutador 0,5×; Terrestre 0,25×</x:v>
      </x:c>
      <x:c r="G50" s="11" t="str"/>
      <x:c r="H50" s="11" t="str">
        <x:v>Água; Planta; Terrestre; Psíquico; Pedra; Sombrio</x:v>
      </x:c>
      <x:c r="I50" s="9" t="str">
        <x:v>https://poke.idleworld.online/pokepedia/pokemon/paras</x:v>
      </x:c>
    </x:row>
    <x:row r="51" ht="42" customHeight="1">
      <x:c r="A51" s="1" t="n">
        <x:v>47</x:v>
      </x:c>
      <x:c r="B51" s="1" t="str">
        <x:v>Parasect</x:v>
      </x:c>
      <x:c r="C51" s="1" t="str">
        <x:v>Inseto</x:v>
      </x:c>
      <x:c r="D51" s="1" t="str">
        <x:v>Planta</x:v>
      </x:c>
      <x:c r="E51" s="11" t="str">
        <x:v>Fogo 4×; Gelo 2×; Venenoso 2×; Voador 4×; Inseto 2×; Pedra 2×</x:v>
      </x:c>
      <x:c r="F51" s="11" t="str">
        <x:v>Água 0,5×; Elétrico 0,5×; Planta 0,25×; Lutador 0,5×; Terrestre 0,25×</x:v>
      </x:c>
      <x:c r="G51" s="11" t="str"/>
      <x:c r="H51" s="11" t="str">
        <x:v>Água; Planta; Terrestre; Psíquico; Pedra; Sombrio</x:v>
      </x:c>
      <x:c r="I51" s="9" t="str">
        <x:v>https://poke.idleworld.online/pokepedia/pokemon/parasect</x:v>
      </x:c>
    </x:row>
    <x:row r="52" ht="42" customHeight="1">
      <x:c r="A52" s="1" t="n">
        <x:v>48</x:v>
      </x:c>
      <x:c r="B52" s="1" t="str">
        <x:v>Venonat</x:v>
      </x:c>
      <x:c r="C52" s="1" t="str">
        <x:v>Inseto</x:v>
      </x:c>
      <x:c r="D52" s="1" t="str">
        <x:v>Venenoso</x:v>
      </x:c>
      <x:c r="E52" s="11" t="str">
        <x:v>Fogo 2×; Voador 2×; Psíquico 2×; Pedra 2×</x:v>
      </x:c>
      <x:c r="F52" s="11" t="str">
        <x:v>Planta 0,25×; Lutador 0,25×; Venenoso 0,5×; Inseto 0,5×; Fada 0,5×</x:v>
      </x:c>
      <x:c r="G52" s="11" t="str"/>
      <x:c r="H52" s="11" t="str">
        <x:v>Planta; Psíquico; Sombrio; Fada</x:v>
      </x:c>
      <x:c r="I52" s="9" t="str">
        <x:v>https://poke.idleworld.online/pokepedia/pokemon/venonat</x:v>
      </x:c>
    </x:row>
    <x:row r="53" ht="42" customHeight="1">
      <x:c r="A53" s="1" t="n">
        <x:v>49</x:v>
      </x:c>
      <x:c r="B53" s="1" t="str">
        <x:v>Venomoth</x:v>
      </x:c>
      <x:c r="C53" s="1" t="str">
        <x:v>Inseto</x:v>
      </x:c>
      <x:c r="D53" s="1" t="str">
        <x:v>Venenoso</x:v>
      </x:c>
      <x:c r="E53" s="11" t="str">
        <x:v>Fogo 2×; Voador 2×; Psíquico 2×; Pedra 2×</x:v>
      </x:c>
      <x:c r="F53" s="11" t="str">
        <x:v>Planta 0,25×; Lutador 0,25×; Venenoso 0,5×; Inseto 0,5×; Fada 0,5×</x:v>
      </x:c>
      <x:c r="G53" s="11" t="str"/>
      <x:c r="H53" s="11" t="str">
        <x:v>Planta; Psíquico; Sombrio; Fada</x:v>
      </x:c>
      <x:c r="I53" s="9" t="str">
        <x:v>https://poke.idleworld.online/pokepedia/pokemon/venomoth</x:v>
      </x:c>
    </x:row>
    <x:row r="54" ht="28" customHeight="1">
      <x:c r="A54" s="1" t="n">
        <x:v>50</x:v>
      </x:c>
      <x:c r="B54" s="1" t="str">
        <x:v>Diglett</x:v>
      </x:c>
      <x:c r="C54" s="1" t="str">
        <x:v>Terrestre</x:v>
      </x:c>
      <x:c r="D54" s="1" t="str"/>
      <x:c r="E54" s="11" t="str">
        <x:v>Água 2×; Planta 2×; Gelo 2×</x:v>
      </x:c>
      <x:c r="F54" s="11" t="str">
        <x:v>Venenoso 0,5×; Pedra 0,5×</x:v>
      </x:c>
      <x:c r="G54" s="11" t="str">
        <x:v>Elétrico 0×</x:v>
      </x:c>
      <x:c r="H54" s="11" t="str">
        <x:v>Fogo; Elétrico; Venenoso; Pedra; Aço</x:v>
      </x:c>
      <x:c r="I54" s="9" t="str">
        <x:v>https://poke.idleworld.online/pokepedia/pokemon/diglett</x:v>
      </x:c>
    </x:row>
    <x:row r="55" ht="28" customHeight="1">
      <x:c r="A55" s="1" t="n">
        <x:v>51</x:v>
      </x:c>
      <x:c r="B55" s="1" t="str">
        <x:v>Dugtrio</x:v>
      </x:c>
      <x:c r="C55" s="1" t="str">
        <x:v>Terrestre</x:v>
      </x:c>
      <x:c r="D55" s="1" t="str"/>
      <x:c r="E55" s="11" t="str">
        <x:v>Água 2×; Planta 2×; Gelo 2×</x:v>
      </x:c>
      <x:c r="F55" s="11" t="str">
        <x:v>Venenoso 0,5×; Pedra 0,5×</x:v>
      </x:c>
      <x:c r="G55" s="11" t="str">
        <x:v>Elétrico 0×</x:v>
      </x:c>
      <x:c r="H55" s="11" t="str">
        <x:v>Fogo; Elétrico; Venenoso; Pedra; Aço</x:v>
      </x:c>
      <x:c r="I55" s="9" t="str">
        <x:v>https://poke.idleworld.online/pokepedia/pokemon/dugtrio</x:v>
      </x:c>
    </x:row>
    <x:row r="56" ht="28" customHeight="1">
      <x:c r="A56" s="1" t="n">
        <x:v>52</x:v>
      </x:c>
      <x:c r="B56" s="1" t="str">
        <x:v>Meowth</x:v>
      </x:c>
      <x:c r="C56" s="1" t="str">
        <x:v>Normal</x:v>
      </x:c>
      <x:c r="D56" s="1" t="str"/>
      <x:c r="E56" s="11" t="str">
        <x:v>Lutador 2×</x:v>
      </x:c>
      <x:c r="F56" s="11" t="str"/>
      <x:c r="G56" s="11" t="str">
        <x:v>Fantasma 0×</x:v>
      </x:c>
      <x:c r="H56" s="11" t="str"/>
      <x:c r="I56" s="9" t="str">
        <x:v>https://poke.idleworld.online/pokepedia/pokemon/meowth</x:v>
      </x:c>
    </x:row>
    <x:row r="57" ht="28" customHeight="1">
      <x:c r="A57" s="1" t="n">
        <x:v>53</x:v>
      </x:c>
      <x:c r="B57" s="1" t="str">
        <x:v>Persian</x:v>
      </x:c>
      <x:c r="C57" s="1" t="str">
        <x:v>Normal</x:v>
      </x:c>
      <x:c r="D57" s="1" t="str"/>
      <x:c r="E57" s="11" t="str">
        <x:v>Lutador 2×</x:v>
      </x:c>
      <x:c r="F57" s="11" t="str"/>
      <x:c r="G57" s="11" t="str">
        <x:v>Fantasma 0×</x:v>
      </x:c>
      <x:c r="H57" s="11" t="str"/>
      <x:c r="I57" s="9" t="str">
        <x:v>https://poke.idleworld.online/pokepedia/pokemon/persian</x:v>
      </x:c>
    </x:row>
    <x:row r="58" ht="28" customHeight="1">
      <x:c r="A58" s="1" t="n">
        <x:v>54</x:v>
      </x:c>
      <x:c r="B58" s="1" t="str">
        <x:v>Psyduck</x:v>
      </x:c>
      <x:c r="C58" s="1" t="str">
        <x:v>Água</x:v>
      </x:c>
      <x:c r="D58" s="1" t="str"/>
      <x:c r="E58" s="11" t="str">
        <x:v>Elétrico 2×; Planta 2×</x:v>
      </x:c>
      <x:c r="F58" s="11" t="str">
        <x:v>Fogo 0,5×; Água 0,5×; Gelo 0,5×; Aço 0,5×</x:v>
      </x:c>
      <x:c r="G58" s="11" t="str"/>
      <x:c r="H58" s="11" t="str">
        <x:v>Fogo; Terrestre; Pedra</x:v>
      </x:c>
      <x:c r="I58" s="9" t="str">
        <x:v>https://poke.idleworld.online/pokepedia/pokemon/psyduck</x:v>
      </x:c>
    </x:row>
    <x:row r="59" ht="28" customHeight="1">
      <x:c r="A59" s="1" t="n">
        <x:v>55</x:v>
      </x:c>
      <x:c r="B59" s="1" t="str">
        <x:v>Golduck</x:v>
      </x:c>
      <x:c r="C59" s="1" t="str">
        <x:v>Água</x:v>
      </x:c>
      <x:c r="D59" s="1" t="str"/>
      <x:c r="E59" s="11" t="str">
        <x:v>Elétrico 2×; Planta 2×</x:v>
      </x:c>
      <x:c r="F59" s="11" t="str">
        <x:v>Fogo 0,5×; Água 0,5×; Gelo 0,5×; Aço 0,5×</x:v>
      </x:c>
      <x:c r="G59" s="11" t="str"/>
      <x:c r="H59" s="11" t="str">
        <x:v>Fogo; Terrestre; Pedra</x:v>
      </x:c>
      <x:c r="I59" s="9" t="str">
        <x:v>https://poke.idleworld.online/pokepedia/pokemon/golduck</x:v>
      </x:c>
    </x:row>
    <x:row r="60" ht="28" customHeight="1">
      <x:c r="A60" s="1" t="n">
        <x:v>56</x:v>
      </x:c>
      <x:c r="B60" s="1" t="str">
        <x:v>Mankey</x:v>
      </x:c>
      <x:c r="C60" s="1" t="str">
        <x:v>Lutador</x:v>
      </x:c>
      <x:c r="D60" s="1" t="str"/>
      <x:c r="E60" s="11" t="str">
        <x:v>Voador 2×; Psíquico 2×; Fada 2×</x:v>
      </x:c>
      <x:c r="F60" s="11" t="str">
        <x:v>Inseto 0,5×; Pedra 0,5×; Sombrio 0,5×</x:v>
      </x:c>
      <x:c r="G60" s="11" t="str"/>
      <x:c r="H60" s="11" t="str">
        <x:v>Normal; Gelo; Pedra; Sombrio; Aço</x:v>
      </x:c>
      <x:c r="I60" s="9" t="str">
        <x:v>https://poke.idleworld.online/pokepedia/pokemon/mankey</x:v>
      </x:c>
    </x:row>
    <x:row r="61" ht="28" customHeight="1">
      <x:c r="A61" s="1" t="n">
        <x:v>57</x:v>
      </x:c>
      <x:c r="B61" s="1" t="str">
        <x:v>Primeape</x:v>
      </x:c>
      <x:c r="C61" s="1" t="str">
        <x:v>Lutador</x:v>
      </x:c>
      <x:c r="D61" s="1" t="str"/>
      <x:c r="E61" s="11" t="str">
        <x:v>Voador 2×; Psíquico 2×; Fada 2×</x:v>
      </x:c>
      <x:c r="F61" s="11" t="str">
        <x:v>Inseto 0,5×; Pedra 0,5×; Sombrio 0,5×</x:v>
      </x:c>
      <x:c r="G61" s="11" t="str"/>
      <x:c r="H61" s="11" t="str">
        <x:v>Normal; Gelo; Pedra; Sombrio; Aço</x:v>
      </x:c>
      <x:c r="I61" s="9" t="str">
        <x:v>https://poke.idleworld.online/pokepedia/pokemon/primeape</x:v>
      </x:c>
    </x:row>
    <x:row r="62" ht="42" customHeight="1">
      <x:c r="A62" s="1" t="n">
        <x:v>58</x:v>
      </x:c>
      <x:c r="B62" s="1" t="str">
        <x:v>Growlithe</x:v>
      </x:c>
      <x:c r="C62" s="1" t="str">
        <x:v>Fogo</x:v>
      </x:c>
      <x:c r="D62" s="1" t="str"/>
      <x:c r="E62" s="11" t="str">
        <x:v>Água 2×; Terrestre 2×; Pedra 2×</x:v>
      </x:c>
      <x:c r="F62" s="11" t="str">
        <x:v>Fogo 0,5×; Planta 0,5×; Gelo 0,5×; Inseto 0,5×; Aço 0,5×; Fada 0,5×</x:v>
      </x:c>
      <x:c r="G62" s="11" t="str"/>
      <x:c r="H62" s="11" t="str">
        <x:v>Planta; Gelo; Inseto; Aço</x:v>
      </x:c>
      <x:c r="I62" s="9" t="str">
        <x:v>https://poke.idleworld.online/pokepedia/pokemon/growlithe</x:v>
      </x:c>
    </x:row>
    <x:row r="63" ht="42" customHeight="1">
      <x:c r="A63" s="1" t="n">
        <x:v>59</x:v>
      </x:c>
      <x:c r="B63" s="1" t="str">
        <x:v>Arcanine</x:v>
      </x:c>
      <x:c r="C63" s="1" t="str">
        <x:v>Fogo</x:v>
      </x:c>
      <x:c r="D63" s="1" t="str"/>
      <x:c r="E63" s="11" t="str">
        <x:v>Água 2×; Terrestre 2×; Pedra 2×</x:v>
      </x:c>
      <x:c r="F63" s="11" t="str">
        <x:v>Fogo 0,5×; Planta 0,5×; Gelo 0,5×; Inseto 0,5×; Aço 0,5×; Fada 0,5×</x:v>
      </x:c>
      <x:c r="G63" s="11" t="str"/>
      <x:c r="H63" s="11" t="str">
        <x:v>Planta; Gelo; Inseto; Aço</x:v>
      </x:c>
      <x:c r="I63" s="9" t="str">
        <x:v>https://poke.idleworld.online/pokepedia/pokemon/arcanine</x:v>
      </x:c>
    </x:row>
    <x:row r="64" ht="28" customHeight="1">
      <x:c r="A64" s="1" t="n">
        <x:v>60</x:v>
      </x:c>
      <x:c r="B64" s="1" t="str">
        <x:v>Poliwag</x:v>
      </x:c>
      <x:c r="C64" s="1" t="str">
        <x:v>Água</x:v>
      </x:c>
      <x:c r="D64" s="1" t="str"/>
      <x:c r="E64" s="11" t="str">
        <x:v>Elétrico 2×; Planta 2×</x:v>
      </x:c>
      <x:c r="F64" s="11" t="str">
        <x:v>Fogo 0,5×; Água 0,5×; Gelo 0,5×; Aço 0,5×</x:v>
      </x:c>
      <x:c r="G64" s="11" t="str"/>
      <x:c r="H64" s="11" t="str">
        <x:v>Fogo; Terrestre; Pedra</x:v>
      </x:c>
      <x:c r="I64" s="9" t="str">
        <x:v>https://poke.idleworld.online/pokepedia/pokemon/poliwag</x:v>
      </x:c>
    </x:row>
    <x:row r="65" ht="28" customHeight="1">
      <x:c r="A65" s="1" t="n">
        <x:v>61</x:v>
      </x:c>
      <x:c r="B65" s="1" t="str">
        <x:v>Poliwhirl</x:v>
      </x:c>
      <x:c r="C65" s="1" t="str">
        <x:v>Água</x:v>
      </x:c>
      <x:c r="D65" s="1" t="str"/>
      <x:c r="E65" s="11" t="str">
        <x:v>Elétrico 2×; Planta 2×</x:v>
      </x:c>
      <x:c r="F65" s="11" t="str">
        <x:v>Fogo 0,5×; Água 0,5×; Gelo 0,5×; Aço 0,5×</x:v>
      </x:c>
      <x:c r="G65" s="11" t="str"/>
      <x:c r="H65" s="11" t="str">
        <x:v>Fogo; Terrestre; Pedra</x:v>
      </x:c>
      <x:c r="I65" s="9" t="str">
        <x:v>https://poke.idleworld.online/pokepedia/pokemon/poliwhirl</x:v>
      </x:c>
    </x:row>
    <x:row r="66" ht="42" customHeight="1">
      <x:c r="A66" s="1" t="n">
        <x:v>62</x:v>
      </x:c>
      <x:c r="B66" s="1" t="str">
        <x:v>Poliwrath</x:v>
      </x:c>
      <x:c r="C66" s="1" t="str">
        <x:v>Água</x:v>
      </x:c>
      <x:c r="D66" s="1" t="str">
        <x:v>Lutador</x:v>
      </x:c>
      <x:c r="E66" s="11" t="str">
        <x:v>Elétrico 2×; Planta 2×; Voador 2×; Psíquico 2×; Fada 2×</x:v>
      </x:c>
      <x:c r="F66" s="11" t="str">
        <x:v>Fogo 0,5×; Água 0,5×; Gelo 0,5×; Inseto 0,5×; Pedra 0,5×; Sombrio 0,5×; Aço 0,5×</x:v>
      </x:c>
      <x:c r="G66" s="11" t="str"/>
      <x:c r="H66" s="11" t="str">
        <x:v>Normal; Fogo; Gelo; Terrestre; Pedra; Sombrio; Aço</x:v>
      </x:c>
      <x:c r="I66" s="9" t="str">
        <x:v>https://poke.idleworld.online/pokepedia/pokemon/poliwrath</x:v>
      </x:c>
    </x:row>
    <x:row r="67" ht="28" customHeight="1">
      <x:c r="A67" s="1" t="n">
        <x:v>63</x:v>
      </x:c>
      <x:c r="B67" s="1" t="str">
        <x:v>Abra</x:v>
      </x:c>
      <x:c r="C67" s="1" t="str">
        <x:v>Psíquico</x:v>
      </x:c>
      <x:c r="D67" s="1" t="str"/>
      <x:c r="E67" s="11" t="str">
        <x:v>Inseto 2×; Fantasma 2×; Sombrio 2×</x:v>
      </x:c>
      <x:c r="F67" s="11" t="str">
        <x:v>Lutador 0,5×; Psíquico 0,5×</x:v>
      </x:c>
      <x:c r="G67" s="11" t="str"/>
      <x:c r="H67" s="11" t="str">
        <x:v>Lutador; Venenoso</x:v>
      </x:c>
      <x:c r="I67" s="9" t="str">
        <x:v>https://poke.idleworld.online/pokepedia/pokemon/abra</x:v>
      </x:c>
    </x:row>
    <x:row r="68" ht="28" customHeight="1">
      <x:c r="A68" s="1" t="n">
        <x:v>64</x:v>
      </x:c>
      <x:c r="B68" s="1" t="str">
        <x:v>Kadabra</x:v>
      </x:c>
      <x:c r="C68" s="1" t="str">
        <x:v>Psíquico</x:v>
      </x:c>
      <x:c r="D68" s="1" t="str"/>
      <x:c r="E68" s="11" t="str">
        <x:v>Inseto 2×; Fantasma 2×; Sombrio 2×</x:v>
      </x:c>
      <x:c r="F68" s="11" t="str">
        <x:v>Lutador 0,5×; Psíquico 0,5×</x:v>
      </x:c>
      <x:c r="G68" s="11" t="str"/>
      <x:c r="H68" s="11" t="str">
        <x:v>Lutador; Venenoso</x:v>
      </x:c>
      <x:c r="I68" s="9" t="str">
        <x:v>https://poke.idleworld.online/pokepedia/pokemon/kadabra</x:v>
      </x:c>
    </x:row>
    <x:row r="69" ht="28" customHeight="1">
      <x:c r="A69" s="1" t="n">
        <x:v>65</x:v>
      </x:c>
      <x:c r="B69" s="1" t="str">
        <x:v>Alakazam</x:v>
      </x:c>
      <x:c r="C69" s="1" t="str">
        <x:v>Psíquico</x:v>
      </x:c>
      <x:c r="D69" s="1" t="str"/>
      <x:c r="E69" s="11" t="str">
        <x:v>Inseto 2×; Fantasma 2×; Sombrio 2×</x:v>
      </x:c>
      <x:c r="F69" s="11" t="str">
        <x:v>Lutador 0,5×; Psíquico 0,5×</x:v>
      </x:c>
      <x:c r="G69" s="11" t="str"/>
      <x:c r="H69" s="11" t="str">
        <x:v>Lutador; Venenoso</x:v>
      </x:c>
      <x:c r="I69" s="9" t="str">
        <x:v>https://poke.idleworld.online/pokepedia/pokemon/alakazam</x:v>
      </x:c>
    </x:row>
    <x:row r="70" ht="28" customHeight="1">
      <x:c r="A70" s="1" t="n">
        <x:v>66</x:v>
      </x:c>
      <x:c r="B70" s="1" t="str">
        <x:v>Machop</x:v>
      </x:c>
      <x:c r="C70" s="1" t="str">
        <x:v>Lutador</x:v>
      </x:c>
      <x:c r="D70" s="1" t="str"/>
      <x:c r="E70" s="11" t="str">
        <x:v>Voador 2×; Psíquico 2×; Fada 2×</x:v>
      </x:c>
      <x:c r="F70" s="11" t="str">
        <x:v>Inseto 0,5×; Pedra 0,5×; Sombrio 0,5×</x:v>
      </x:c>
      <x:c r="G70" s="11" t="str"/>
      <x:c r="H70" s="11" t="str">
        <x:v>Normal; Gelo; Pedra; Sombrio; Aço</x:v>
      </x:c>
      <x:c r="I70" s="9" t="str">
        <x:v>https://poke.idleworld.online/pokepedia/pokemon/machop</x:v>
      </x:c>
    </x:row>
    <x:row r="71" ht="28" customHeight="1">
      <x:c r="A71" s="1" t="n">
        <x:v>67</x:v>
      </x:c>
      <x:c r="B71" s="1" t="str">
        <x:v>Machoke</x:v>
      </x:c>
      <x:c r="C71" s="1" t="str">
        <x:v>Lutador</x:v>
      </x:c>
      <x:c r="D71" s="1" t="str"/>
      <x:c r="E71" s="11" t="str">
        <x:v>Voador 2×; Psíquico 2×; Fada 2×</x:v>
      </x:c>
      <x:c r="F71" s="11" t="str">
        <x:v>Inseto 0,5×; Pedra 0,5×; Sombrio 0,5×</x:v>
      </x:c>
      <x:c r="G71" s="11" t="str"/>
      <x:c r="H71" s="11" t="str">
        <x:v>Normal; Gelo; Pedra; Sombrio; Aço</x:v>
      </x:c>
      <x:c r="I71" s="9" t="str">
        <x:v>https://poke.idleworld.online/pokepedia/pokemon/machoke</x:v>
      </x:c>
    </x:row>
    <x:row r="72" ht="28" customHeight="1">
      <x:c r="A72" s="1" t="n">
        <x:v>68</x:v>
      </x:c>
      <x:c r="B72" s="1" t="str">
        <x:v>Machamp</x:v>
      </x:c>
      <x:c r="C72" s="1" t="str">
        <x:v>Lutador</x:v>
      </x:c>
      <x:c r="D72" s="1" t="str"/>
      <x:c r="E72" s="11" t="str">
        <x:v>Voador 2×; Psíquico 2×; Fada 2×</x:v>
      </x:c>
      <x:c r="F72" s="11" t="str">
        <x:v>Inseto 0,5×; Pedra 0,5×; Sombrio 0,5×</x:v>
      </x:c>
      <x:c r="G72" s="11" t="str"/>
      <x:c r="H72" s="11" t="str">
        <x:v>Normal; Gelo; Pedra; Sombrio; Aço</x:v>
      </x:c>
      <x:c r="I72" s="9" t="str">
        <x:v>https://poke.idleworld.online/pokepedia/pokemon/machamp</x:v>
      </x:c>
    </x:row>
    <x:row r="73" ht="42" customHeight="1">
      <x:c r="A73" s="1" t="n">
        <x:v>69</x:v>
      </x:c>
      <x:c r="B73" s="1" t="str">
        <x:v>Bellsprout</x:v>
      </x:c>
      <x:c r="C73" s="1" t="str">
        <x:v>Planta</x:v>
      </x:c>
      <x:c r="D73" s="1" t="str">
        <x:v>Venenoso</x:v>
      </x:c>
      <x:c r="E73" s="11" t="str">
        <x:v>Fogo 2×; Gelo 2×; Voador 2×; Psíquico 2×</x:v>
      </x:c>
      <x:c r="F73" s="11" t="str">
        <x:v>Água 0,5×; Elétrico 0,5×; Planta 0,25×; Lutador 0,5×; Fada 0,5×</x:v>
      </x:c>
      <x:c r="G73" s="11" t="str"/>
      <x:c r="H73" s="11" t="str">
        <x:v>Água; Planta; Terrestre; Pedra; Fada</x:v>
      </x:c>
      <x:c r="I73" s="9" t="str">
        <x:v>https://poke.idleworld.online/pokepedia/pokemon/bellsprout</x:v>
      </x:c>
    </x:row>
    <x:row r="74" ht="42" customHeight="1">
      <x:c r="A74" s="1" t="n">
        <x:v>70</x:v>
      </x:c>
      <x:c r="B74" s="1" t="str">
        <x:v>Weepinbell</x:v>
      </x:c>
      <x:c r="C74" s="1" t="str">
        <x:v>Planta</x:v>
      </x:c>
      <x:c r="D74" s="1" t="str">
        <x:v>Venenoso</x:v>
      </x:c>
      <x:c r="E74" s="11" t="str">
        <x:v>Fogo 2×; Gelo 2×; Voador 2×; Psíquico 2×</x:v>
      </x:c>
      <x:c r="F74" s="11" t="str">
        <x:v>Água 0,5×; Elétrico 0,5×; Planta 0,25×; Lutador 0,5×; Fada 0,5×</x:v>
      </x:c>
      <x:c r="G74" s="11" t="str"/>
      <x:c r="H74" s="11" t="str">
        <x:v>Água; Planta; Terrestre; Pedra; Fada</x:v>
      </x:c>
      <x:c r="I74" s="9" t="str">
        <x:v>https://poke.idleworld.online/pokepedia/pokemon/weepinbell</x:v>
      </x:c>
    </x:row>
    <x:row r="75" ht="42" customHeight="1">
      <x:c r="A75" s="1" t="n">
        <x:v>71</x:v>
      </x:c>
      <x:c r="B75" s="1" t="str">
        <x:v>Victreebel</x:v>
      </x:c>
      <x:c r="C75" s="1" t="str">
        <x:v>Planta</x:v>
      </x:c>
      <x:c r="D75" s="1" t="str">
        <x:v>Venenoso</x:v>
      </x:c>
      <x:c r="E75" s="11" t="str">
        <x:v>Fogo 2×; Gelo 2×; Voador 2×; Psíquico 2×</x:v>
      </x:c>
      <x:c r="F75" s="11" t="str">
        <x:v>Água 0,5×; Elétrico 0,5×; Planta 0,25×; Lutador 0,5×; Fada 0,5×</x:v>
      </x:c>
      <x:c r="G75" s="11" t="str"/>
      <x:c r="H75" s="11" t="str">
        <x:v>Água; Planta; Terrestre; Pedra; Fada</x:v>
      </x:c>
      <x:c r="I75" s="9" t="str">
        <x:v>https://poke.idleworld.online/pokepedia/pokemon/victreebel</x:v>
      </x:c>
    </x:row>
    <x:row r="76" ht="42" customHeight="1">
      <x:c r="A76" s="1" t="n">
        <x:v>72</x:v>
      </x:c>
      <x:c r="B76" s="1" t="str">
        <x:v>Tentacool</x:v>
      </x:c>
      <x:c r="C76" s="1" t="str">
        <x:v>Água</x:v>
      </x:c>
      <x:c r="D76" s="1" t="str">
        <x:v>Venenoso</x:v>
      </x:c>
      <x:c r="E76" s="11" t="str">
        <x:v>Elétrico 2×; Terrestre 2×; Psíquico 2×</x:v>
      </x:c>
      <x:c r="F76" s="11" t="str">
        <x:v>Fogo 0,5×; Água 0,5×; Gelo 0,5×; Lutador 0,5×; Venenoso 0,5×; Inseto 0,5×; Aço 0,5×; Fada 0,5×</x:v>
      </x:c>
      <x:c r="G76" s="11" t="str"/>
      <x:c r="H76" s="11" t="str">
        <x:v>Fogo; Planta; Terrestre; Pedra; Fada</x:v>
      </x:c>
      <x:c r="I76" s="9" t="str">
        <x:v>https://poke.idleworld.online/pokepedia/pokemon/tentacool</x:v>
      </x:c>
    </x:row>
    <x:row r="77" ht="42" customHeight="1">
      <x:c r="A77" s="1" t="n">
        <x:v>73</x:v>
      </x:c>
      <x:c r="B77" s="1" t="str">
        <x:v>Tentacruel</x:v>
      </x:c>
      <x:c r="C77" s="1" t="str">
        <x:v>Água</x:v>
      </x:c>
      <x:c r="D77" s="1" t="str">
        <x:v>Venenoso</x:v>
      </x:c>
      <x:c r="E77" s="11" t="str">
        <x:v>Elétrico 2×; Terrestre 2×; Psíquico 2×</x:v>
      </x:c>
      <x:c r="F77" s="11" t="str">
        <x:v>Fogo 0,5×; Água 0,5×; Gelo 0,5×; Lutador 0,5×; Venenoso 0,5×; Inseto 0,5×; Aço 0,5×; Fada 0,5×</x:v>
      </x:c>
      <x:c r="G77" s="11" t="str"/>
      <x:c r="H77" s="11" t="str">
        <x:v>Fogo; Planta; Terrestre; Pedra; Fada</x:v>
      </x:c>
      <x:c r="I77" s="9" t="str">
        <x:v>https://poke.idleworld.online/pokepedia/pokemon/tentacruel</x:v>
      </x:c>
    </x:row>
    <x:row r="78" ht="42" customHeight="1">
      <x:c r="A78" s="1" t="n">
        <x:v>74</x:v>
      </x:c>
      <x:c r="B78" s="1" t="str">
        <x:v>Geodude</x:v>
      </x:c>
      <x:c r="C78" s="1" t="str">
        <x:v>Pedra</x:v>
      </x:c>
      <x:c r="D78" s="1" t="str">
        <x:v>Terrestre</x:v>
      </x:c>
      <x:c r="E78" s="11" t="str">
        <x:v>Água 4×; Planta 4×; Gelo 2×; Lutador 2×; Terrestre 2×; Aço 2×</x:v>
      </x:c>
      <x:c r="F78" s="11" t="str">
        <x:v>Normal 0,5×; Fogo 0,5×; Venenoso 0,25×; Voador 0,5×; Pedra 0,5×</x:v>
      </x:c>
      <x:c r="G78" s="11" t="str">
        <x:v>Elétrico 0×</x:v>
      </x:c>
      <x:c r="H78" s="11" t="str">
        <x:v>Fogo; Elétrico; Gelo; Venenoso; Voador; Inseto; Pedra; Aço</x:v>
      </x:c>
      <x:c r="I78" s="9" t="str">
        <x:v>https://poke.idleworld.online/pokepedia/pokemon/geodude</x:v>
      </x:c>
    </x:row>
    <x:row r="79" ht="42" customHeight="1">
      <x:c r="A79" s="1" t="n">
        <x:v>75</x:v>
      </x:c>
      <x:c r="B79" s="1" t="str">
        <x:v>Graveler</x:v>
      </x:c>
      <x:c r="C79" s="1" t="str">
        <x:v>Pedra</x:v>
      </x:c>
      <x:c r="D79" s="1" t="str">
        <x:v>Terrestre</x:v>
      </x:c>
      <x:c r="E79" s="11" t="str">
        <x:v>Água 4×; Planta 4×; Gelo 2×; Lutador 2×; Terrestre 2×; Aço 2×</x:v>
      </x:c>
      <x:c r="F79" s="11" t="str">
        <x:v>Normal 0,5×; Fogo 0,5×; Venenoso 0,25×; Voador 0,5×; Pedra 0,5×</x:v>
      </x:c>
      <x:c r="G79" s="11" t="str">
        <x:v>Elétrico 0×</x:v>
      </x:c>
      <x:c r="H79" s="11" t="str">
        <x:v>Fogo; Elétrico; Gelo; Venenoso; Voador; Inseto; Pedra; Aço</x:v>
      </x:c>
      <x:c r="I79" s="9" t="str">
        <x:v>https://poke.idleworld.online/pokepedia/pokemon/graveler</x:v>
      </x:c>
    </x:row>
    <x:row r="80" ht="42" customHeight="1">
      <x:c r="A80" s="1" t="n">
        <x:v>76</x:v>
      </x:c>
      <x:c r="B80" s="1" t="str">
        <x:v>Golem</x:v>
      </x:c>
      <x:c r="C80" s="1" t="str">
        <x:v>Pedra</x:v>
      </x:c>
      <x:c r="D80" s="1" t="str">
        <x:v>Terrestre</x:v>
      </x:c>
      <x:c r="E80" s="11" t="str">
        <x:v>Água 4×; Planta 4×; Gelo 2×; Lutador 2×; Terrestre 2×; Aço 2×</x:v>
      </x:c>
      <x:c r="F80" s="11" t="str">
        <x:v>Normal 0,5×; Fogo 0,5×; Venenoso 0,25×; Voador 0,5×; Pedra 0,5×</x:v>
      </x:c>
      <x:c r="G80" s="11" t="str">
        <x:v>Elétrico 0×</x:v>
      </x:c>
      <x:c r="H80" s="11" t="str">
        <x:v>Fogo; Elétrico; Gelo; Venenoso; Voador; Inseto; Pedra; Aço</x:v>
      </x:c>
      <x:c r="I80" s="9" t="str">
        <x:v>https://poke.idleworld.online/pokepedia/pokemon/golem</x:v>
      </x:c>
    </x:row>
    <x:row r="81" ht="42" customHeight="1">
      <x:c r="A81" s="1" t="n">
        <x:v>77</x:v>
      </x:c>
      <x:c r="B81" s="1" t="str">
        <x:v>Ponyta</x:v>
      </x:c>
      <x:c r="C81" s="1" t="str">
        <x:v>Fogo</x:v>
      </x:c>
      <x:c r="D81" s="1" t="str"/>
      <x:c r="E81" s="11" t="str">
        <x:v>Água 2×; Terrestre 2×; Pedra 2×</x:v>
      </x:c>
      <x:c r="F81" s="11" t="str">
        <x:v>Fogo 0,5×; Planta 0,5×; Gelo 0,5×; Inseto 0,5×; Aço 0,5×; Fada 0,5×</x:v>
      </x:c>
      <x:c r="G81" s="11" t="str"/>
      <x:c r="H81" s="11" t="str">
        <x:v>Planta; Gelo; Inseto; Aço</x:v>
      </x:c>
      <x:c r="I81" s="9" t="str">
        <x:v>https://poke.idleworld.online/pokepedia/pokemon/ponyta</x:v>
      </x:c>
    </x:row>
    <x:row r="82" ht="42" customHeight="1">
      <x:c r="A82" s="1" t="n">
        <x:v>78</x:v>
      </x:c>
      <x:c r="B82" s="1" t="str">
        <x:v>Rapidash</x:v>
      </x:c>
      <x:c r="C82" s="1" t="str">
        <x:v>Fogo</x:v>
      </x:c>
      <x:c r="D82" s="1" t="str"/>
      <x:c r="E82" s="11" t="str">
        <x:v>Água 2×; Terrestre 2×; Pedra 2×</x:v>
      </x:c>
      <x:c r="F82" s="11" t="str">
        <x:v>Fogo 0,5×; Planta 0,5×; Gelo 0,5×; Inseto 0,5×; Aço 0,5×; Fada 0,5×</x:v>
      </x:c>
      <x:c r="G82" s="11" t="str"/>
      <x:c r="H82" s="11" t="str">
        <x:v>Planta; Gelo; Inseto; Aço</x:v>
      </x:c>
      <x:c r="I82" s="9" t="str">
        <x:v>https://poke.idleworld.online/pokepedia/pokemon/rapidash</x:v>
      </x:c>
    </x:row>
    <x:row r="83" ht="42" customHeight="1">
      <x:c r="A83" s="1" t="n">
        <x:v>79</x:v>
      </x:c>
      <x:c r="B83" s="1" t="str">
        <x:v>Slowpoke</x:v>
      </x:c>
      <x:c r="C83" s="1" t="str">
        <x:v>Água</x:v>
      </x:c>
      <x:c r="D83" s="1" t="str">
        <x:v>Psíquico</x:v>
      </x:c>
      <x:c r="E83" s="11" t="str">
        <x:v>Elétrico 2×; Planta 2×; Inseto 2×; Fantasma 2×; Sombrio 2×</x:v>
      </x:c>
      <x:c r="F83" s="11" t="str">
        <x:v>Fogo 0,5×; Água 0,5×; Gelo 0,5×; Lutador 0,5×; Psíquico 0,5×; Aço 0,5×</x:v>
      </x:c>
      <x:c r="G83" s="11" t="str"/>
      <x:c r="H83" s="11" t="str">
        <x:v>Fogo; Lutador; Venenoso; Terrestre; Pedra</x:v>
      </x:c>
      <x:c r="I83" s="9" t="str">
        <x:v>https://poke.idleworld.online/pokepedia/pokemon/slowpoke</x:v>
      </x:c>
    </x:row>
    <x:row r="84" ht="42" customHeight="1">
      <x:c r="A84" s="1" t="n">
        <x:v>80</x:v>
      </x:c>
      <x:c r="B84" s="1" t="str">
        <x:v>Slowbro</x:v>
      </x:c>
      <x:c r="C84" s="1" t="str">
        <x:v>Água</x:v>
      </x:c>
      <x:c r="D84" s="1" t="str">
        <x:v>Psíquico</x:v>
      </x:c>
      <x:c r="E84" s="11" t="str">
        <x:v>Elétrico 2×; Planta 2×; Inseto 2×; Fantasma 2×; Sombrio 2×</x:v>
      </x:c>
      <x:c r="F84" s="11" t="str">
        <x:v>Fogo 0,5×; Água 0,5×; Gelo 0,5×; Lutador 0,5×; Psíquico 0,5×; Aço 0,5×</x:v>
      </x:c>
      <x:c r="G84" s="11" t="str"/>
      <x:c r="H84" s="11" t="str">
        <x:v>Fogo; Lutador; Venenoso; Terrestre; Pedra</x:v>
      </x:c>
      <x:c r="I84" s="9" t="str">
        <x:v>https://poke.idleworld.online/pokepedia/pokemon/slowbro</x:v>
      </x:c>
    </x:row>
    <x:row r="85" ht="58" customHeight="1">
      <x:c r="A85" s="1" t="n">
        <x:v>81</x:v>
      </x:c>
      <x:c r="B85" s="1" t="str">
        <x:v>Magnemite</x:v>
      </x:c>
      <x:c r="C85" s="1" t="str">
        <x:v>Elétrico</x:v>
      </x:c>
      <x:c r="D85" s="1" t="str">
        <x:v>Aço</x:v>
      </x:c>
      <x:c r="E85" s="11" t="str">
        <x:v>Fogo 2×; Lutador 2×; Terrestre 4×</x:v>
      </x:c>
      <x:c r="F85" s="11" t="str">
        <x:v>Normal 0,5×; Elétrico 0,5×; Planta 0,5×; Gelo 0,5×; Voador 0,25×; Psíquico 0,5×; Inseto 0,5×; Pedra 0,5×; Dragão 0,5×; Aço 0,25×; Fada 0,5×</x:v>
      </x:c>
      <x:c r="G85" s="11" t="str">
        <x:v>Venenoso 0×</x:v>
      </x:c>
      <x:c r="H85" s="11" t="str">
        <x:v>Água; Gelo; Voador; Pedra; Fada</x:v>
      </x:c>
      <x:c r="I85" s="9" t="str">
        <x:v>https://poke.idleworld.online/pokepedia/pokemon/magnemite</x:v>
      </x:c>
    </x:row>
    <x:row r="86" ht="58" customHeight="1">
      <x:c r="A86" s="1" t="n">
        <x:v>82</x:v>
      </x:c>
      <x:c r="B86" s="1" t="str">
        <x:v>Magneton</x:v>
      </x:c>
      <x:c r="C86" s="1" t="str">
        <x:v>Elétrico</x:v>
      </x:c>
      <x:c r="D86" s="1" t="str">
        <x:v>Aço</x:v>
      </x:c>
      <x:c r="E86" s="11" t="str">
        <x:v>Fogo 2×; Lutador 2×; Terrestre 4×</x:v>
      </x:c>
      <x:c r="F86" s="11" t="str">
        <x:v>Normal 0,5×; Elétrico 0,5×; Planta 0,5×; Gelo 0,5×; Voador 0,25×; Psíquico 0,5×; Inseto 0,5×; Pedra 0,5×; Dragão 0,5×; Aço 0,25×; Fada 0,5×</x:v>
      </x:c>
      <x:c r="G86" s="11" t="str">
        <x:v>Venenoso 0×</x:v>
      </x:c>
      <x:c r="H86" s="11" t="str">
        <x:v>Água; Gelo; Voador; Pedra; Fada</x:v>
      </x:c>
      <x:c r="I86" s="9" t="str">
        <x:v>https://poke.idleworld.online/pokepedia/pokemon/magneton</x:v>
      </x:c>
    </x:row>
    <x:row r="87" ht="28" customHeight="1">
      <x:c r="A87" s="1" t="n">
        <x:v>83</x:v>
      </x:c>
      <x:c r="B87" s="1" t="str">
        <x:v>Farfetchd</x:v>
      </x:c>
      <x:c r="C87" s="1" t="str">
        <x:v>Normal</x:v>
      </x:c>
      <x:c r="D87" s="1" t="str">
        <x:v>Voador</x:v>
      </x:c>
      <x:c r="E87" s="11" t="str">
        <x:v>Elétrico 2×; Gelo 2×; Pedra 2×</x:v>
      </x:c>
      <x:c r="F87" s="11" t="str">
        <x:v>Planta 0,5×; Inseto 0,5×</x:v>
      </x:c>
      <x:c r="G87" s="11" t="str">
        <x:v>Terrestre 0×; Fantasma 0×</x:v>
      </x:c>
      <x:c r="H87" s="11" t="str">
        <x:v>Planta; Lutador; Inseto</x:v>
      </x:c>
      <x:c r="I87" s="9" t="str">
        <x:v>https://poke.idleworld.online/pokepedia/pokemon/farfetchd</x:v>
      </x:c>
    </x:row>
    <x:row r="88" ht="28" customHeight="1">
      <x:c r="A88" s="1" t="n">
        <x:v>84</x:v>
      </x:c>
      <x:c r="B88" s="1" t="str">
        <x:v>Doduo</x:v>
      </x:c>
      <x:c r="C88" s="1" t="str">
        <x:v>Normal</x:v>
      </x:c>
      <x:c r="D88" s="1" t="str">
        <x:v>Voador</x:v>
      </x:c>
      <x:c r="E88" s="11" t="str">
        <x:v>Elétrico 2×; Gelo 2×; Pedra 2×</x:v>
      </x:c>
      <x:c r="F88" s="11" t="str">
        <x:v>Planta 0,5×; Inseto 0,5×</x:v>
      </x:c>
      <x:c r="G88" s="11" t="str">
        <x:v>Terrestre 0×; Fantasma 0×</x:v>
      </x:c>
      <x:c r="H88" s="11" t="str">
        <x:v>Planta; Lutador; Inseto</x:v>
      </x:c>
      <x:c r="I88" s="9" t="str">
        <x:v>https://poke.idleworld.online/pokepedia/pokemon/doduo</x:v>
      </x:c>
    </x:row>
    <x:row r="89" ht="28" customHeight="1">
      <x:c r="A89" s="1" t="n">
        <x:v>85</x:v>
      </x:c>
      <x:c r="B89" s="1" t="str">
        <x:v>Dodrio</x:v>
      </x:c>
      <x:c r="C89" s="1" t="str">
        <x:v>Normal</x:v>
      </x:c>
      <x:c r="D89" s="1" t="str">
        <x:v>Voador</x:v>
      </x:c>
      <x:c r="E89" s="11" t="str">
        <x:v>Elétrico 2×; Gelo 2×; Pedra 2×</x:v>
      </x:c>
      <x:c r="F89" s="11" t="str">
        <x:v>Planta 0,5×; Inseto 0,5×</x:v>
      </x:c>
      <x:c r="G89" s="11" t="str">
        <x:v>Terrestre 0×; Fantasma 0×</x:v>
      </x:c>
      <x:c r="H89" s="11" t="str">
        <x:v>Planta; Lutador; Inseto</x:v>
      </x:c>
      <x:c r="I89" s="9" t="str">
        <x:v>https://poke.idleworld.online/pokepedia/pokemon/dodrio</x:v>
      </x:c>
    </x:row>
    <x:row r="90" ht="28" customHeight="1">
      <x:c r="A90" s="1" t="n">
        <x:v>86</x:v>
      </x:c>
      <x:c r="B90" s="1" t="str">
        <x:v>Seel</x:v>
      </x:c>
      <x:c r="C90" s="1" t="str">
        <x:v>Água</x:v>
      </x:c>
      <x:c r="D90" s="1" t="str"/>
      <x:c r="E90" s="11" t="str">
        <x:v>Elétrico 2×; Planta 2×</x:v>
      </x:c>
      <x:c r="F90" s="11" t="str">
        <x:v>Fogo 0,5×; Água 0,5×; Gelo 0,5×; Aço 0,5×</x:v>
      </x:c>
      <x:c r="G90" s="11" t="str"/>
      <x:c r="H90" s="11" t="str">
        <x:v>Fogo; Terrestre; Pedra</x:v>
      </x:c>
      <x:c r="I90" s="9" t="str">
        <x:v>https://poke.idleworld.online/pokepedia/pokemon/seel</x:v>
      </x:c>
    </x:row>
    <x:row r="91" ht="28" customHeight="1">
      <x:c r="A91" s="1" t="n">
        <x:v>87</x:v>
      </x:c>
      <x:c r="B91" s="1" t="str">
        <x:v>Dewgong</x:v>
      </x:c>
      <x:c r="C91" s="1" t="str">
        <x:v>Água</x:v>
      </x:c>
      <x:c r="D91" s="1" t="str">
        <x:v>Gelo</x:v>
      </x:c>
      <x:c r="E91" s="11" t="str">
        <x:v>Elétrico 2×; Planta 2×; Lutador 2×; Pedra 2×</x:v>
      </x:c>
      <x:c r="F91" s="11" t="str">
        <x:v>Água 0,5×; Gelo 0,25×</x:v>
      </x:c>
      <x:c r="G91" s="11" t="str"/>
      <x:c r="H91" s="11" t="str">
        <x:v>Fogo; Planta; Terrestre; Voador; Pedra; Dragão</x:v>
      </x:c>
      <x:c r="I91" s="9" t="str">
        <x:v>https://poke.idleworld.online/pokepedia/pokemon/dewgong</x:v>
      </x:c>
    </x:row>
    <x:row r="92" ht="42" customHeight="1">
      <x:c r="A92" s="1" t="n">
        <x:v>88</x:v>
      </x:c>
      <x:c r="B92" s="1" t="str">
        <x:v>Grimer</x:v>
      </x:c>
      <x:c r="C92" s="1" t="str">
        <x:v>Venenoso</x:v>
      </x:c>
      <x:c r="D92" s="1" t="str"/>
      <x:c r="E92" s="11" t="str">
        <x:v>Terrestre 2×; Psíquico 2×</x:v>
      </x:c>
      <x:c r="F92" s="11" t="str">
        <x:v>Planta 0,5×; Lutador 0,5×; Venenoso 0,5×; Inseto 0,5×; Fada 0,5×</x:v>
      </x:c>
      <x:c r="G92" s="11" t="str"/>
      <x:c r="H92" s="11" t="str">
        <x:v>Planta; Fada</x:v>
      </x:c>
      <x:c r="I92" s="9" t="str">
        <x:v>https://poke.idleworld.online/pokepedia/pokemon/grimer</x:v>
      </x:c>
    </x:row>
    <x:row r="93" ht="42" customHeight="1">
      <x:c r="A93" s="1" t="n">
        <x:v>89</x:v>
      </x:c>
      <x:c r="B93" s="1" t="str">
        <x:v>Muk</x:v>
      </x:c>
      <x:c r="C93" s="1" t="str">
        <x:v>Venenoso</x:v>
      </x:c>
      <x:c r="D93" s="1" t="str"/>
      <x:c r="E93" s="11" t="str">
        <x:v>Terrestre 2×; Psíquico 2×</x:v>
      </x:c>
      <x:c r="F93" s="11" t="str">
        <x:v>Planta 0,5×; Lutador 0,5×; Venenoso 0,5×; Inseto 0,5×; Fada 0,5×</x:v>
      </x:c>
      <x:c r="G93" s="11" t="str"/>
      <x:c r="H93" s="11" t="str">
        <x:v>Planta; Fada</x:v>
      </x:c>
      <x:c r="I93" s="9" t="str">
        <x:v>https://poke.idleworld.online/pokepedia/pokemon/muk</x:v>
      </x:c>
    </x:row>
    <x:row r="94" ht="28" customHeight="1">
      <x:c r="A94" s="1" t="n">
        <x:v>90</x:v>
      </x:c>
      <x:c r="B94" s="1" t="str">
        <x:v>Shellder</x:v>
      </x:c>
      <x:c r="C94" s="1" t="str">
        <x:v>Água</x:v>
      </x:c>
      <x:c r="D94" s="1" t="str"/>
      <x:c r="E94" s="11" t="str">
        <x:v>Elétrico 2×; Planta 2×</x:v>
      </x:c>
      <x:c r="F94" s="11" t="str">
        <x:v>Fogo 0,5×; Água 0,5×; Gelo 0,5×; Aço 0,5×</x:v>
      </x:c>
      <x:c r="G94" s="11" t="str"/>
      <x:c r="H94" s="11" t="str">
        <x:v>Fogo; Terrestre; Pedra</x:v>
      </x:c>
      <x:c r="I94" s="9" t="str">
        <x:v>https://poke.idleworld.online/pokepedia/pokemon/shellder</x:v>
      </x:c>
    </x:row>
    <x:row r="95" ht="28" customHeight="1">
      <x:c r="A95" s="1" t="n">
        <x:v>91</x:v>
      </x:c>
      <x:c r="B95" s="1" t="str">
        <x:v>Cloyster</x:v>
      </x:c>
      <x:c r="C95" s="1" t="str">
        <x:v>Água</x:v>
      </x:c>
      <x:c r="D95" s="1" t="str">
        <x:v>Gelo</x:v>
      </x:c>
      <x:c r="E95" s="11" t="str">
        <x:v>Elétrico 2×; Planta 2×; Lutador 2×; Pedra 2×</x:v>
      </x:c>
      <x:c r="F95" s="11" t="str">
        <x:v>Água 0,5×; Gelo 0,25×</x:v>
      </x:c>
      <x:c r="G95" s="11" t="str"/>
      <x:c r="H95" s="11" t="str">
        <x:v>Fogo; Planta; Terrestre; Voador; Pedra; Dragão</x:v>
      </x:c>
      <x:c r="I95" s="9" t="str">
        <x:v>https://poke.idleworld.online/pokepedia/pokemon/cloyster</x:v>
      </x:c>
    </x:row>
    <x:row r="96" ht="28" customHeight="1">
      <x:c r="A96" s="1" t="n">
        <x:v>92</x:v>
      </x:c>
      <x:c r="B96" s="1" t="str">
        <x:v>Gastly</x:v>
      </x:c>
      <x:c r="C96" s="1" t="str">
        <x:v>Fantasma</x:v>
      </x:c>
      <x:c r="D96" s="1" t="str">
        <x:v>Venenoso</x:v>
      </x:c>
      <x:c r="E96" s="11" t="str">
        <x:v>Terrestre 2×; Psíquico 2×; Fantasma 2×; Sombrio 2×</x:v>
      </x:c>
      <x:c r="F96" s="11" t="str">
        <x:v>Planta 0,5×; Venenoso 0,25×; Inseto 0,25×; Fada 0,5×</x:v>
      </x:c>
      <x:c r="G96" s="11" t="str">
        <x:v>Normal 0×; Lutador 0×</x:v>
      </x:c>
      <x:c r="H96" s="11" t="str">
        <x:v>Planta; Psíquico; Fantasma; Fada</x:v>
      </x:c>
      <x:c r="I96" s="9" t="str">
        <x:v>https://poke.idleworld.online/pokepedia/pokemon/gastly</x:v>
      </x:c>
    </x:row>
    <x:row r="97" ht="28" customHeight="1">
      <x:c r="A97" s="1" t="n">
        <x:v>93</x:v>
      </x:c>
      <x:c r="B97" s="1" t="str">
        <x:v>Haunter</x:v>
      </x:c>
      <x:c r="C97" s="1" t="str">
        <x:v>Fantasma</x:v>
      </x:c>
      <x:c r="D97" s="1" t="str">
        <x:v>Venenoso</x:v>
      </x:c>
      <x:c r="E97" s="11" t="str">
        <x:v>Terrestre 2×; Psíquico 2×; Fantasma 2×; Sombrio 2×</x:v>
      </x:c>
      <x:c r="F97" s="11" t="str">
        <x:v>Planta 0,5×; Venenoso 0,25×; Inseto 0,25×; Fada 0,5×</x:v>
      </x:c>
      <x:c r="G97" s="11" t="str">
        <x:v>Normal 0×; Lutador 0×</x:v>
      </x:c>
      <x:c r="H97" s="11" t="str">
        <x:v>Planta; Psíquico; Fantasma; Fada</x:v>
      </x:c>
      <x:c r="I97" s="9" t="str">
        <x:v>https://poke.idleworld.online/pokepedia/pokemon/haunter</x:v>
      </x:c>
    </x:row>
    <x:row r="98" ht="28" customHeight="1">
      <x:c r="A98" s="1" t="n">
        <x:v>94</x:v>
      </x:c>
      <x:c r="B98" s="1" t="str">
        <x:v>Gengar</x:v>
      </x:c>
      <x:c r="C98" s="1" t="str">
        <x:v>Fantasma</x:v>
      </x:c>
      <x:c r="D98" s="1" t="str">
        <x:v>Venenoso</x:v>
      </x:c>
      <x:c r="E98" s="11" t="str">
        <x:v>Terrestre 2×; Psíquico 2×; Fantasma 2×; Sombrio 2×</x:v>
      </x:c>
      <x:c r="F98" s="11" t="str">
        <x:v>Planta 0,5×; Venenoso 0,25×; Inseto 0,25×; Fada 0,5×</x:v>
      </x:c>
      <x:c r="G98" s="11" t="str">
        <x:v>Normal 0×; Lutador 0×</x:v>
      </x:c>
      <x:c r="H98" s="11" t="str">
        <x:v>Planta; Psíquico; Fantasma; Fada</x:v>
      </x:c>
      <x:c r="I98" s="9" t="str">
        <x:v>https://poke.idleworld.online/pokepedia/pokemon/gengar</x:v>
      </x:c>
    </x:row>
    <x:row r="99" ht="42" customHeight="1">
      <x:c r="A99" s="1" t="n">
        <x:v>95</x:v>
      </x:c>
      <x:c r="B99" s="1" t="str">
        <x:v>Onix</x:v>
      </x:c>
      <x:c r="C99" s="1" t="str">
        <x:v>Pedra</x:v>
      </x:c>
      <x:c r="D99" s="1" t="str">
        <x:v>Terrestre</x:v>
      </x:c>
      <x:c r="E99" s="11" t="str">
        <x:v>Água 4×; Planta 4×; Gelo 2×; Lutador 2×; Terrestre 2×; Aço 2×</x:v>
      </x:c>
      <x:c r="F99" s="11" t="str">
        <x:v>Normal 0,5×; Fogo 0,5×; Venenoso 0,25×; Voador 0,5×; Pedra 0,5×</x:v>
      </x:c>
      <x:c r="G99" s="11" t="str">
        <x:v>Elétrico 0×</x:v>
      </x:c>
      <x:c r="H99" s="11" t="str">
        <x:v>Fogo; Elétrico; Gelo; Venenoso; Voador; Inseto; Pedra; Aço</x:v>
      </x:c>
      <x:c r="I99" s="9" t="str">
        <x:v>https://poke.idleworld.online/pokepedia/pokemon/onix</x:v>
      </x:c>
    </x:row>
    <x:row r="100" ht="28" customHeight="1">
      <x:c r="A100" s="1" t="n">
        <x:v>96</x:v>
      </x:c>
      <x:c r="B100" s="1" t="str">
        <x:v>Drowzee</x:v>
      </x:c>
      <x:c r="C100" s="1" t="str">
        <x:v>Psíquico</x:v>
      </x:c>
      <x:c r="D100" s="1" t="str"/>
      <x:c r="E100" s="11" t="str">
        <x:v>Inseto 2×; Fantasma 2×; Sombrio 2×</x:v>
      </x:c>
      <x:c r="F100" s="11" t="str">
        <x:v>Lutador 0,5×; Psíquico 0,5×</x:v>
      </x:c>
      <x:c r="G100" s="11" t="str"/>
      <x:c r="H100" s="11" t="str">
        <x:v>Lutador; Venenoso</x:v>
      </x:c>
      <x:c r="I100" s="9" t="str">
        <x:v>https://poke.idleworld.online/pokepedia/pokemon/drowzee</x:v>
      </x:c>
    </x:row>
    <x:row r="101" ht="28" customHeight="1">
      <x:c r="A101" s="1" t="n">
        <x:v>97</x:v>
      </x:c>
      <x:c r="B101" s="1" t="str">
        <x:v>Hypno</x:v>
      </x:c>
      <x:c r="C101" s="1" t="str">
        <x:v>Psíquico</x:v>
      </x:c>
      <x:c r="D101" s="1" t="str"/>
      <x:c r="E101" s="11" t="str">
        <x:v>Inseto 2×; Fantasma 2×; Sombrio 2×</x:v>
      </x:c>
      <x:c r="F101" s="11" t="str">
        <x:v>Lutador 0,5×; Psíquico 0,5×</x:v>
      </x:c>
      <x:c r="G101" s="11" t="str"/>
      <x:c r="H101" s="11" t="str">
        <x:v>Lutador; Venenoso</x:v>
      </x:c>
      <x:c r="I101" s="9" t="str">
        <x:v>https://poke.idleworld.online/pokepedia/pokemon/hypno</x:v>
      </x:c>
    </x:row>
    <x:row r="102" ht="28" customHeight="1">
      <x:c r="A102" s="1" t="n">
        <x:v>98</x:v>
      </x:c>
      <x:c r="B102" s="1" t="str">
        <x:v>Krabby</x:v>
      </x:c>
      <x:c r="C102" s="1" t="str">
        <x:v>Água</x:v>
      </x:c>
      <x:c r="D102" s="1" t="str"/>
      <x:c r="E102" s="11" t="str">
        <x:v>Elétrico 2×; Planta 2×</x:v>
      </x:c>
      <x:c r="F102" s="11" t="str">
        <x:v>Fogo 0,5×; Água 0,5×; Gelo 0,5×; Aço 0,5×</x:v>
      </x:c>
      <x:c r="G102" s="11" t="str"/>
      <x:c r="H102" s="11" t="str">
        <x:v>Fogo; Terrestre; Pedra</x:v>
      </x:c>
      <x:c r="I102" s="9" t="str">
        <x:v>https://poke.idleworld.online/pokepedia/pokemon/krabby</x:v>
      </x:c>
    </x:row>
    <x:row r="103" ht="28" customHeight="1">
      <x:c r="A103" s="1" t="n">
        <x:v>99</x:v>
      </x:c>
      <x:c r="B103" s="1" t="str">
        <x:v>Kingler</x:v>
      </x:c>
      <x:c r="C103" s="1" t="str">
        <x:v>Água</x:v>
      </x:c>
      <x:c r="D103" s="1" t="str"/>
      <x:c r="E103" s="11" t="str">
        <x:v>Elétrico 2×; Planta 2×</x:v>
      </x:c>
      <x:c r="F103" s="11" t="str">
        <x:v>Fogo 0,5×; Água 0,5×; Gelo 0,5×; Aço 0,5×</x:v>
      </x:c>
      <x:c r="G103" s="11" t="str"/>
      <x:c r="H103" s="11" t="str">
        <x:v>Fogo; Terrestre; Pedra</x:v>
      </x:c>
      <x:c r="I103" s="9" t="str">
        <x:v>https://poke.idleworld.online/pokepedia/pokemon/kingler</x:v>
      </x:c>
    </x:row>
    <x:row r="104" ht="28" customHeight="1">
      <x:c r="A104" s="1" t="n">
        <x:v>100</x:v>
      </x:c>
      <x:c r="B104" s="1" t="str">
        <x:v>Voltorb</x:v>
      </x:c>
      <x:c r="C104" s="1" t="str">
        <x:v>Elétrico</x:v>
      </x:c>
      <x:c r="D104" s="1" t="str"/>
      <x:c r="E104" s="11" t="str">
        <x:v>Terrestre 2×</x:v>
      </x:c>
      <x:c r="F104" s="11" t="str">
        <x:v>Elétrico 0,5×; Voador 0,5×; Aço 0,5×</x:v>
      </x:c>
      <x:c r="G104" s="11" t="str"/>
      <x:c r="H104" s="11" t="str">
        <x:v>Água; Voador</x:v>
      </x:c>
      <x:c r="I104" s="9" t="str">
        <x:v>https://poke.idleworld.online/pokepedia/pokemon/voltorb</x:v>
      </x:c>
    </x:row>
    <x:row r="105" ht="28" customHeight="1">
      <x:c r="A105" s="1" t="n">
        <x:v>101</x:v>
      </x:c>
      <x:c r="B105" s="1" t="str">
        <x:v>Electrode</x:v>
      </x:c>
      <x:c r="C105" s="1" t="str">
        <x:v>Elétrico</x:v>
      </x:c>
      <x:c r="D105" s="1" t="str"/>
      <x:c r="E105" s="11" t="str">
        <x:v>Terrestre 2×</x:v>
      </x:c>
      <x:c r="F105" s="11" t="str">
        <x:v>Elétrico 0,5×; Voador 0,5×; Aço 0,5×</x:v>
      </x:c>
      <x:c r="G105" s="11" t="str"/>
      <x:c r="H105" s="11" t="str">
        <x:v>Água; Voador</x:v>
      </x:c>
      <x:c r="I105" s="9" t="str">
        <x:v>https://poke.idleworld.online/pokepedia/pokemon/electrode</x:v>
      </x:c>
    </x:row>
    <x:row r="106" ht="42" customHeight="1">
      <x:c r="A106" s="1" t="n">
        <x:v>102</x:v>
      </x:c>
      <x:c r="B106" s="1" t="str">
        <x:v>Exeggcute</x:v>
      </x:c>
      <x:c r="C106" s="1" t="str">
        <x:v>Planta</x:v>
      </x:c>
      <x:c r="D106" s="1" t="str">
        <x:v>Psíquico</x:v>
      </x:c>
      <x:c r="E106" s="11" t="str">
        <x:v>Fogo 2×; Gelo 2×; Venenoso 2×; Voador 2×; Inseto 4×; Fantasma 2×; Sombrio 2×</x:v>
      </x:c>
      <x:c r="F106" s="11" t="str">
        <x:v>Água 0,5×; Elétrico 0,5×; Planta 0,5×; Lutador 0,5×; Terrestre 0,5×; Psíquico 0,5×</x:v>
      </x:c>
      <x:c r="G106" s="11" t="str"/>
      <x:c r="H106" s="11" t="str">
        <x:v>Água; Lutador; Venenoso; Terrestre; Pedra</x:v>
      </x:c>
      <x:c r="I106" s="9" t="str">
        <x:v>https://poke.idleworld.online/pokepedia/pokemon/exeggcute</x:v>
      </x:c>
    </x:row>
    <x:row r="107" ht="42" customHeight="1">
      <x:c r="A107" s="1" t="n">
        <x:v>103</x:v>
      </x:c>
      <x:c r="B107" s="1" t="str">
        <x:v>Exeggutor</x:v>
      </x:c>
      <x:c r="C107" s="1" t="str">
        <x:v>Planta</x:v>
      </x:c>
      <x:c r="D107" s="1" t="str">
        <x:v>Psíquico</x:v>
      </x:c>
      <x:c r="E107" s="11" t="str">
        <x:v>Fogo 2×; Gelo 2×; Venenoso 2×; Voador 2×; Inseto 4×; Fantasma 2×; Sombrio 2×</x:v>
      </x:c>
      <x:c r="F107" s="11" t="str">
        <x:v>Água 0,5×; Elétrico 0,5×; Planta 0,5×; Lutador 0,5×; Terrestre 0,5×; Psíquico 0,5×</x:v>
      </x:c>
      <x:c r="G107" s="11" t="str"/>
      <x:c r="H107" s="11" t="str">
        <x:v>Água; Lutador; Venenoso; Terrestre; Pedra</x:v>
      </x:c>
      <x:c r="I107" s="9" t="str">
        <x:v>https://poke.idleworld.online/pokepedia/pokemon/exeggutor</x:v>
      </x:c>
    </x:row>
    <x:row r="108" ht="28" customHeight="1">
      <x:c r="A108" s="1" t="n">
        <x:v>104</x:v>
      </x:c>
      <x:c r="B108" s="1" t="str">
        <x:v>Cubone</x:v>
      </x:c>
      <x:c r="C108" s="1" t="str">
        <x:v>Terrestre</x:v>
      </x:c>
      <x:c r="D108" s="1" t="str"/>
      <x:c r="E108" s="11" t="str">
        <x:v>Água 2×; Planta 2×; Gelo 2×</x:v>
      </x:c>
      <x:c r="F108" s="11" t="str">
        <x:v>Venenoso 0,5×; Pedra 0,5×</x:v>
      </x:c>
      <x:c r="G108" s="11" t="str">
        <x:v>Elétrico 0×</x:v>
      </x:c>
      <x:c r="H108" s="11" t="str">
        <x:v>Fogo; Elétrico; Venenoso; Pedra; Aço</x:v>
      </x:c>
      <x:c r="I108" s="9" t="str">
        <x:v>https://poke.idleworld.online/pokepedia/pokemon/cubone</x:v>
      </x:c>
    </x:row>
    <x:row r="109" ht="28" customHeight="1">
      <x:c r="A109" s="1" t="n">
        <x:v>105</x:v>
      </x:c>
      <x:c r="B109" s="1" t="str">
        <x:v>Marowak</x:v>
      </x:c>
      <x:c r="C109" s="1" t="str">
        <x:v>Terrestre</x:v>
      </x:c>
      <x:c r="D109" s="1" t="str"/>
      <x:c r="E109" s="11" t="str">
        <x:v>Água 2×; Planta 2×; Gelo 2×</x:v>
      </x:c>
      <x:c r="F109" s="11" t="str">
        <x:v>Venenoso 0,5×; Pedra 0,5×</x:v>
      </x:c>
      <x:c r="G109" s="11" t="str">
        <x:v>Elétrico 0×</x:v>
      </x:c>
      <x:c r="H109" s="11" t="str">
        <x:v>Fogo; Elétrico; Venenoso; Pedra; Aço</x:v>
      </x:c>
      <x:c r="I109" s="9" t="str">
        <x:v>https://poke.idleworld.online/pokepedia/pokemon/marowak</x:v>
      </x:c>
    </x:row>
    <x:row r="110" ht="28" customHeight="1">
      <x:c r="A110" s="1" t="n">
        <x:v>106</x:v>
      </x:c>
      <x:c r="B110" s="1" t="str">
        <x:v>Hitmonlee</x:v>
      </x:c>
      <x:c r="C110" s="1" t="str">
        <x:v>Lutador</x:v>
      </x:c>
      <x:c r="D110" s="1" t="str"/>
      <x:c r="E110" s="11" t="str">
        <x:v>Voador 2×; Psíquico 2×; Fada 2×</x:v>
      </x:c>
      <x:c r="F110" s="11" t="str">
        <x:v>Inseto 0,5×; Pedra 0,5×; Sombrio 0,5×</x:v>
      </x:c>
      <x:c r="G110" s="11" t="str"/>
      <x:c r="H110" s="11" t="str">
        <x:v>Normal; Gelo; Pedra; Sombrio; Aço</x:v>
      </x:c>
      <x:c r="I110" s="9" t="str">
        <x:v>https://poke.idleworld.online/pokepedia/pokemon/hitmonlee</x:v>
      </x:c>
    </x:row>
    <x:row r="111" ht="28" customHeight="1">
      <x:c r="A111" s="1" t="n">
        <x:v>107</x:v>
      </x:c>
      <x:c r="B111" s="1" t="str">
        <x:v>Hitmonchan</x:v>
      </x:c>
      <x:c r="C111" s="1" t="str">
        <x:v>Lutador</x:v>
      </x:c>
      <x:c r="D111" s="1" t="str"/>
      <x:c r="E111" s="11" t="str">
        <x:v>Voador 2×; Psíquico 2×; Fada 2×</x:v>
      </x:c>
      <x:c r="F111" s="11" t="str">
        <x:v>Inseto 0,5×; Pedra 0,5×; Sombrio 0,5×</x:v>
      </x:c>
      <x:c r="G111" s="11" t="str"/>
      <x:c r="H111" s="11" t="str">
        <x:v>Normal; Gelo; Pedra; Sombrio; Aço</x:v>
      </x:c>
      <x:c r="I111" s="9" t="str">
        <x:v>https://poke.idleworld.online/pokepedia/pokemon/hitmonchan</x:v>
      </x:c>
    </x:row>
    <x:row r="112" ht="28" customHeight="1">
      <x:c r="A112" s="1" t="n">
        <x:v>108</x:v>
      </x:c>
      <x:c r="B112" s="1" t="str">
        <x:v>Lickitung</x:v>
      </x:c>
      <x:c r="C112" s="1" t="str">
        <x:v>Normal</x:v>
      </x:c>
      <x:c r="D112" s="1" t="str"/>
      <x:c r="E112" s="11" t="str">
        <x:v>Lutador 2×</x:v>
      </x:c>
      <x:c r="F112" s="11" t="str"/>
      <x:c r="G112" s="11" t="str">
        <x:v>Fantasma 0×</x:v>
      </x:c>
      <x:c r="H112" s="11" t="str"/>
      <x:c r="I112" s="9" t="str">
        <x:v>https://poke.idleworld.online/pokepedia/pokemon/lickitung</x:v>
      </x:c>
    </x:row>
    <x:row r="113" ht="42" customHeight="1">
      <x:c r="A113" s="1" t="n">
        <x:v>109</x:v>
      </x:c>
      <x:c r="B113" s="1" t="str">
        <x:v>Koffing</x:v>
      </x:c>
      <x:c r="C113" s="1" t="str">
        <x:v>Venenoso</x:v>
      </x:c>
      <x:c r="D113" s="1" t="str"/>
      <x:c r="E113" s="11" t="str">
        <x:v>Terrestre 2×; Psíquico 2×</x:v>
      </x:c>
      <x:c r="F113" s="11" t="str">
        <x:v>Planta 0,5×; Lutador 0,5×; Venenoso 0,5×; Inseto 0,5×; Fada 0,5×</x:v>
      </x:c>
      <x:c r="G113" s="11" t="str"/>
      <x:c r="H113" s="11" t="str">
        <x:v>Planta; Fada</x:v>
      </x:c>
      <x:c r="I113" s="9" t="str">
        <x:v>https://poke.idleworld.online/pokepedia/pokemon/koffing</x:v>
      </x:c>
    </x:row>
    <x:row r="114" ht="42" customHeight="1">
      <x:c r="A114" s="1" t="n">
        <x:v>110</x:v>
      </x:c>
      <x:c r="B114" s="1" t="str">
        <x:v>Weezing</x:v>
      </x:c>
      <x:c r="C114" s="1" t="str">
        <x:v>Venenoso</x:v>
      </x:c>
      <x:c r="D114" s="1" t="str"/>
      <x:c r="E114" s="11" t="str">
        <x:v>Terrestre 2×; Psíquico 2×</x:v>
      </x:c>
      <x:c r="F114" s="11" t="str">
        <x:v>Planta 0,5×; Lutador 0,5×; Venenoso 0,5×; Inseto 0,5×; Fada 0,5×</x:v>
      </x:c>
      <x:c r="G114" s="11" t="str"/>
      <x:c r="H114" s="11" t="str">
        <x:v>Planta; Fada</x:v>
      </x:c>
      <x:c r="I114" s="9" t="str">
        <x:v>https://poke.idleworld.online/pokepedia/pokemon/weezing</x:v>
      </x:c>
    </x:row>
    <x:row r="115" ht="42" customHeight="1">
      <x:c r="A115" s="1" t="n">
        <x:v>111</x:v>
      </x:c>
      <x:c r="B115" s="1" t="str">
        <x:v>Rhyhorn</x:v>
      </x:c>
      <x:c r="C115" s="1" t="str">
        <x:v>Terrestre</x:v>
      </x:c>
      <x:c r="D115" s="1" t="str">
        <x:v>Pedra</x:v>
      </x:c>
      <x:c r="E115" s="11" t="str">
        <x:v>Água 4×; Planta 4×; Gelo 2×; Lutador 2×; Terrestre 2×; Aço 2×</x:v>
      </x:c>
      <x:c r="F115" s="11" t="str">
        <x:v>Normal 0,5×; Fogo 0,5×; Venenoso 0,25×; Voador 0,5×; Pedra 0,5×</x:v>
      </x:c>
      <x:c r="G115" s="11" t="str">
        <x:v>Elétrico 0×</x:v>
      </x:c>
      <x:c r="H115" s="11" t="str">
        <x:v>Fogo; Elétrico; Gelo; Venenoso; Voador; Inseto; Pedra; Aço</x:v>
      </x:c>
      <x:c r="I115" s="9" t="str">
        <x:v>https://poke.idleworld.online/pokepedia/pokemon/rhyhorn</x:v>
      </x:c>
    </x:row>
    <x:row r="116" ht="42" customHeight="1">
      <x:c r="A116" s="1" t="n">
        <x:v>112</x:v>
      </x:c>
      <x:c r="B116" s="1" t="str">
        <x:v>Rhydon</x:v>
      </x:c>
      <x:c r="C116" s="1" t="str">
        <x:v>Terrestre</x:v>
      </x:c>
      <x:c r="D116" s="1" t="str">
        <x:v>Pedra</x:v>
      </x:c>
      <x:c r="E116" s="11" t="str">
        <x:v>Água 4×; Planta 4×; Gelo 2×; Lutador 2×; Terrestre 2×; Aço 2×</x:v>
      </x:c>
      <x:c r="F116" s="11" t="str">
        <x:v>Normal 0,5×; Fogo 0,5×; Venenoso 0,25×; Voador 0,5×; Pedra 0,5×</x:v>
      </x:c>
      <x:c r="G116" s="11" t="str">
        <x:v>Elétrico 0×</x:v>
      </x:c>
      <x:c r="H116" s="11" t="str">
        <x:v>Fogo; Elétrico; Gelo; Venenoso; Voador; Inseto; Pedra; Aço</x:v>
      </x:c>
      <x:c r="I116" s="9" t="str">
        <x:v>https://poke.idleworld.online/pokepedia/pokemon/rhydon</x:v>
      </x:c>
    </x:row>
    <x:row r="117" ht="28" customHeight="1">
      <x:c r="A117" s="1" t="n">
        <x:v>113</x:v>
      </x:c>
      <x:c r="B117" s="1" t="str">
        <x:v>Chansey</x:v>
      </x:c>
      <x:c r="C117" s="1" t="str">
        <x:v>Normal</x:v>
      </x:c>
      <x:c r="D117" s="1" t="str"/>
      <x:c r="E117" s="11" t="str">
        <x:v>Lutador 2×</x:v>
      </x:c>
      <x:c r="F117" s="11" t="str"/>
      <x:c r="G117" s="11" t="str">
        <x:v>Fantasma 0×</x:v>
      </x:c>
      <x:c r="H117" s="11" t="str"/>
      <x:c r="I117" s="9" t="str">
        <x:v>https://poke.idleworld.online/pokepedia/pokemon/chansey</x:v>
      </x:c>
    </x:row>
    <x:row r="118" ht="28" customHeight="1">
      <x:c r="A118" s="1" t="n">
        <x:v>114</x:v>
      </x:c>
      <x:c r="B118" s="1" t="str">
        <x:v>Tangela</x:v>
      </x:c>
      <x:c r="C118" s="1" t="str">
        <x:v>Planta</x:v>
      </x:c>
      <x:c r="D118" s="1" t="str"/>
      <x:c r="E118" s="11" t="str">
        <x:v>Fogo 2×; Gelo 2×; Venenoso 2×; Voador 2×; Inseto 2×</x:v>
      </x:c>
      <x:c r="F118" s="11" t="str">
        <x:v>Água 0,5×; Elétrico 0,5×; Planta 0,5×; Terrestre 0,5×</x:v>
      </x:c>
      <x:c r="G118" s="11" t="str"/>
      <x:c r="H118" s="11" t="str">
        <x:v>Água; Terrestre; Pedra</x:v>
      </x:c>
      <x:c r="I118" s="9" t="str">
        <x:v>https://poke.idleworld.online/pokepedia/pokemon/tangela</x:v>
      </x:c>
    </x:row>
    <x:row r="119" ht="28" customHeight="1">
      <x:c r="A119" s="1" t="n">
        <x:v>115</x:v>
      </x:c>
      <x:c r="B119" s="1" t="str">
        <x:v>Kangaskhan</x:v>
      </x:c>
      <x:c r="C119" s="1" t="str">
        <x:v>Normal</x:v>
      </x:c>
      <x:c r="D119" s="1" t="str"/>
      <x:c r="E119" s="11" t="str">
        <x:v>Lutador 2×</x:v>
      </x:c>
      <x:c r="F119" s="11" t="str"/>
      <x:c r="G119" s="11" t="str">
        <x:v>Fantasma 0×</x:v>
      </x:c>
      <x:c r="H119" s="11" t="str"/>
      <x:c r="I119" s="9" t="str">
        <x:v>https://poke.idleworld.online/pokepedia/pokemon/kangaskhan</x:v>
      </x:c>
    </x:row>
    <x:row r="120" ht="28" customHeight="1">
      <x:c r="A120" s="1" t="n">
        <x:v>116</x:v>
      </x:c>
      <x:c r="B120" s="1" t="str">
        <x:v>Horsea</x:v>
      </x:c>
      <x:c r="C120" s="1" t="str">
        <x:v>Água</x:v>
      </x:c>
      <x:c r="D120" s="1" t="str"/>
      <x:c r="E120" s="11" t="str">
        <x:v>Elétrico 2×; Planta 2×</x:v>
      </x:c>
      <x:c r="F120" s="11" t="str">
        <x:v>Fogo 0,5×; Água 0,5×; Gelo 0,5×; Aço 0,5×</x:v>
      </x:c>
      <x:c r="G120" s="11" t="str"/>
      <x:c r="H120" s="11" t="str">
        <x:v>Fogo; Terrestre; Pedra</x:v>
      </x:c>
      <x:c r="I120" s="9" t="str">
        <x:v>https://poke.idleworld.online/pokepedia/pokemon/horsea</x:v>
      </x:c>
    </x:row>
    <x:row r="121" ht="28" customHeight="1">
      <x:c r="A121" s="1" t="n">
        <x:v>117</x:v>
      </x:c>
      <x:c r="B121" s="1" t="str">
        <x:v>Seadra</x:v>
      </x:c>
      <x:c r="C121" s="1" t="str">
        <x:v>Água</x:v>
      </x:c>
      <x:c r="D121" s="1" t="str"/>
      <x:c r="E121" s="11" t="str">
        <x:v>Elétrico 2×; Planta 2×</x:v>
      </x:c>
      <x:c r="F121" s="11" t="str">
        <x:v>Fogo 0,5×; Água 0,5×; Gelo 0,5×; Aço 0,5×</x:v>
      </x:c>
      <x:c r="G121" s="11" t="str"/>
      <x:c r="H121" s="11" t="str">
        <x:v>Fogo; Terrestre; Pedra</x:v>
      </x:c>
      <x:c r="I121" s="9" t="str">
        <x:v>https://poke.idleworld.online/pokepedia/pokemon/seadra</x:v>
      </x:c>
    </x:row>
    <x:row r="122" ht="28" customHeight="1">
      <x:c r="A122" s="1" t="n">
        <x:v>118</x:v>
      </x:c>
      <x:c r="B122" s="1" t="str">
        <x:v>Goldeen</x:v>
      </x:c>
      <x:c r="C122" s="1" t="str">
        <x:v>Água</x:v>
      </x:c>
      <x:c r="D122" s="1" t="str"/>
      <x:c r="E122" s="11" t="str">
        <x:v>Elétrico 2×; Planta 2×</x:v>
      </x:c>
      <x:c r="F122" s="11" t="str">
        <x:v>Fogo 0,5×; Água 0,5×; Gelo 0,5×; Aço 0,5×</x:v>
      </x:c>
      <x:c r="G122" s="11" t="str"/>
      <x:c r="H122" s="11" t="str">
        <x:v>Fogo; Terrestre; Pedra</x:v>
      </x:c>
      <x:c r="I122" s="9" t="str">
        <x:v>https://poke.idleworld.online/pokepedia/pokemon/goldeen</x:v>
      </x:c>
    </x:row>
    <x:row r="123" ht="28" customHeight="1">
      <x:c r="A123" s="1" t="n">
        <x:v>119</x:v>
      </x:c>
      <x:c r="B123" s="1" t="str">
        <x:v>Seaking</x:v>
      </x:c>
      <x:c r="C123" s="1" t="str">
        <x:v>Água</x:v>
      </x:c>
      <x:c r="D123" s="1" t="str"/>
      <x:c r="E123" s="11" t="str">
        <x:v>Elétrico 2×; Planta 2×</x:v>
      </x:c>
      <x:c r="F123" s="11" t="str">
        <x:v>Fogo 0,5×; Água 0,5×; Gelo 0,5×; Aço 0,5×</x:v>
      </x:c>
      <x:c r="G123" s="11" t="str"/>
      <x:c r="H123" s="11" t="str">
        <x:v>Fogo; Terrestre; Pedra</x:v>
      </x:c>
      <x:c r="I123" s="9" t="str">
        <x:v>https://poke.idleworld.online/pokepedia/pokemon/seaking</x:v>
      </x:c>
    </x:row>
    <x:row r="124" ht="28" customHeight="1">
      <x:c r="A124" s="1" t="n">
        <x:v>120</x:v>
      </x:c>
      <x:c r="B124" s="1" t="str">
        <x:v>Staryu</x:v>
      </x:c>
      <x:c r="C124" s="1" t="str">
        <x:v>Água</x:v>
      </x:c>
      <x:c r="D124" s="1" t="str"/>
      <x:c r="E124" s="11" t="str">
        <x:v>Elétrico 2×; Planta 2×</x:v>
      </x:c>
      <x:c r="F124" s="11" t="str">
        <x:v>Fogo 0,5×; Água 0,5×; Gelo 0,5×; Aço 0,5×</x:v>
      </x:c>
      <x:c r="G124" s="11" t="str"/>
      <x:c r="H124" s="11" t="str">
        <x:v>Fogo; Terrestre; Pedra</x:v>
      </x:c>
      <x:c r="I124" s="9" t="str">
        <x:v>https://poke.idleworld.online/pokepedia/pokemon/staryu</x:v>
      </x:c>
    </x:row>
    <x:row r="125" ht="42" customHeight="1">
      <x:c r="A125" s="1" t="n">
        <x:v>121</x:v>
      </x:c>
      <x:c r="B125" s="1" t="str">
        <x:v>Starmie</x:v>
      </x:c>
      <x:c r="C125" s="1" t="str">
        <x:v>Água</x:v>
      </x:c>
      <x:c r="D125" s="1" t="str">
        <x:v>Psíquico</x:v>
      </x:c>
      <x:c r="E125" s="11" t="str">
        <x:v>Elétrico 2×; Planta 2×; Inseto 2×; Fantasma 2×; Sombrio 2×</x:v>
      </x:c>
      <x:c r="F125" s="11" t="str">
        <x:v>Fogo 0,5×; Água 0,5×; Gelo 0,5×; Lutador 0,5×; Psíquico 0,5×; Aço 0,5×</x:v>
      </x:c>
      <x:c r="G125" s="11" t="str"/>
      <x:c r="H125" s="11" t="str">
        <x:v>Fogo; Lutador; Venenoso; Terrestre; Pedra</x:v>
      </x:c>
      <x:c r="I125" s="9" t="str">
        <x:v>https://poke.idleworld.online/pokepedia/pokemon/starmie</x:v>
      </x:c>
    </x:row>
    <x:row r="126" ht="28" customHeight="1">
      <x:c r="A126" s="1" t="n">
        <x:v>122</x:v>
      </x:c>
      <x:c r="B126" s="1" t="str">
        <x:v>Mr. Mime</x:v>
      </x:c>
      <x:c r="C126" s="1" t="str">
        <x:v>Psíquico</x:v>
      </x:c>
      <x:c r="D126" s="1" t="str">
        <x:v>Fada</x:v>
      </x:c>
      <x:c r="E126" s="11" t="str">
        <x:v>Venenoso 2×; Fantasma 2×; Aço 2×</x:v>
      </x:c>
      <x:c r="F126" s="11" t="str">
        <x:v>Lutador 0,25×; Psíquico 0,5×</x:v>
      </x:c>
      <x:c r="G126" s="11" t="str">
        <x:v>Dragão 0×</x:v>
      </x:c>
      <x:c r="H126" s="11" t="str">
        <x:v>Lutador; Venenoso; Dragão; Sombrio</x:v>
      </x:c>
      <x:c r="I126" s="9" t="str">
        <x:v>https://poke.idleworld.online/pokepedia/pokemon/mrmime</x:v>
      </x:c>
    </x:row>
    <x:row r="127" ht="28" customHeight="1">
      <x:c r="A127" s="1" t="n">
        <x:v>123</x:v>
      </x:c>
      <x:c r="B127" s="1" t="str">
        <x:v>Scyther</x:v>
      </x:c>
      <x:c r="C127" s="1" t="str">
        <x:v>Inseto</x:v>
      </x:c>
      <x:c r="D127" s="1" t="str">
        <x:v>Voador</x:v>
      </x:c>
      <x:c r="E127" s="11" t="str">
        <x:v>Fogo 2×; Elétrico 2×; Gelo 2×; Voador 2×; Pedra 4×</x:v>
      </x:c>
      <x:c r="F127" s="11" t="str">
        <x:v>Planta 0,25×; Lutador 0,25×; Inseto 0,5×</x:v>
      </x:c>
      <x:c r="G127" s="11" t="str">
        <x:v>Terrestre 0×</x:v>
      </x:c>
      <x:c r="H127" s="11" t="str">
        <x:v>Planta; Lutador; Psíquico; Inseto; Sombrio</x:v>
      </x:c>
      <x:c r="I127" s="9" t="str">
        <x:v>https://poke.idleworld.online/pokepedia/pokemon/scyther</x:v>
      </x:c>
    </x:row>
    <x:row r="128" ht="42" customHeight="1">
      <x:c r="A128" s="1" t="n">
        <x:v>124</x:v>
      </x:c>
      <x:c r="B128" s="1" t="str">
        <x:v>Jynx</x:v>
      </x:c>
      <x:c r="C128" s="1" t="str">
        <x:v>Gelo</x:v>
      </x:c>
      <x:c r="D128" s="1" t="str">
        <x:v>Psíquico</x:v>
      </x:c>
      <x:c r="E128" s="11" t="str">
        <x:v>Fogo 2×; Inseto 2×; Pedra 2×; Fantasma 2×; Sombrio 2×; Aço 2×</x:v>
      </x:c>
      <x:c r="F128" s="11" t="str">
        <x:v>Gelo 0,5×; Psíquico 0,5×</x:v>
      </x:c>
      <x:c r="G128" s="11" t="str"/>
      <x:c r="H128" s="11" t="str">
        <x:v>Planta; Lutador; Venenoso; Terrestre; Voador; Dragão</x:v>
      </x:c>
      <x:c r="I128" s="9" t="str">
        <x:v>https://poke.idleworld.online/pokepedia/pokemon/jynx</x:v>
      </x:c>
    </x:row>
    <x:row r="129" ht="28" customHeight="1">
      <x:c r="A129" s="1" t="n">
        <x:v>125</x:v>
      </x:c>
      <x:c r="B129" s="1" t="str">
        <x:v>Electabuzz</x:v>
      </x:c>
      <x:c r="C129" s="1" t="str">
        <x:v>Elétrico</x:v>
      </x:c>
      <x:c r="D129" s="1" t="str"/>
      <x:c r="E129" s="11" t="str">
        <x:v>Terrestre 2×</x:v>
      </x:c>
      <x:c r="F129" s="11" t="str">
        <x:v>Elétrico 0,5×; Voador 0,5×; Aço 0,5×</x:v>
      </x:c>
      <x:c r="G129" s="11" t="str"/>
      <x:c r="H129" s="11" t="str">
        <x:v>Água; Voador</x:v>
      </x:c>
      <x:c r="I129" s="9" t="str">
        <x:v>https://poke.idleworld.online/pokepedia/pokemon/electabuzz</x:v>
      </x:c>
    </x:row>
    <x:row r="130" ht="42" customHeight="1">
      <x:c r="A130" s="1" t="n">
        <x:v>126</x:v>
      </x:c>
      <x:c r="B130" s="1" t="str">
        <x:v>Magmar</x:v>
      </x:c>
      <x:c r="C130" s="1" t="str">
        <x:v>Fogo</x:v>
      </x:c>
      <x:c r="D130" s="1" t="str"/>
      <x:c r="E130" s="11" t="str">
        <x:v>Água 2×; Terrestre 2×; Pedra 2×</x:v>
      </x:c>
      <x:c r="F130" s="11" t="str">
        <x:v>Fogo 0,5×; Planta 0,5×; Gelo 0,5×; Inseto 0,5×; Aço 0,5×; Fada 0,5×</x:v>
      </x:c>
      <x:c r="G130" s="11" t="str"/>
      <x:c r="H130" s="11" t="str">
        <x:v>Planta; Gelo; Inseto; Aço</x:v>
      </x:c>
      <x:c r="I130" s="9" t="str">
        <x:v>https://poke.idleworld.online/pokepedia/pokemon/magmar</x:v>
      </x:c>
    </x:row>
    <x:row r="131" ht="28" customHeight="1">
      <x:c r="A131" s="1" t="n">
        <x:v>127</x:v>
      </x:c>
      <x:c r="B131" s="1" t="str">
        <x:v>Pinsir</x:v>
      </x:c>
      <x:c r="C131" s="1" t="str">
        <x:v>Inseto</x:v>
      </x:c>
      <x:c r="D131" s="1" t="str"/>
      <x:c r="E131" s="11" t="str">
        <x:v>Fogo 2×; Voador 2×; Pedra 2×</x:v>
      </x:c>
      <x:c r="F131" s="11" t="str">
        <x:v>Planta 0,5×; Lutador 0,5×; Terrestre 0,5×</x:v>
      </x:c>
      <x:c r="G131" s="11" t="str"/>
      <x:c r="H131" s="11" t="str">
        <x:v>Planta; Psíquico; Sombrio</x:v>
      </x:c>
      <x:c r="I131" s="9" t="str">
        <x:v>https://poke.idleworld.online/pokepedia/pokemon/pinsir</x:v>
      </x:c>
    </x:row>
    <x:row r="132" ht="28" customHeight="1">
      <x:c r="A132" s="1" t="n">
        <x:v>128</x:v>
      </x:c>
      <x:c r="B132" s="1" t="str">
        <x:v>Tauros</x:v>
      </x:c>
      <x:c r="C132" s="1" t="str">
        <x:v>Normal</x:v>
      </x:c>
      <x:c r="D132" s="1" t="str"/>
      <x:c r="E132" s="11" t="str">
        <x:v>Lutador 2×</x:v>
      </x:c>
      <x:c r="F132" s="11" t="str"/>
      <x:c r="G132" s="11" t="str">
        <x:v>Fantasma 0×</x:v>
      </x:c>
      <x:c r="H132" s="11" t="str"/>
      <x:c r="I132" s="9" t="str">
        <x:v>https://poke.idleworld.online/pokepedia/pokemon/tauros</x:v>
      </x:c>
    </x:row>
    <x:row r="133" ht="28" customHeight="1">
      <x:c r="A133" s="1" t="n">
        <x:v>129</x:v>
      </x:c>
      <x:c r="B133" s="1" t="str">
        <x:v>Magikarp</x:v>
      </x:c>
      <x:c r="C133" s="1" t="str">
        <x:v>Água</x:v>
      </x:c>
      <x:c r="D133" s="1" t="str"/>
      <x:c r="E133" s="11" t="str">
        <x:v>Elétrico 2×; Planta 2×</x:v>
      </x:c>
      <x:c r="F133" s="11" t="str">
        <x:v>Fogo 0,5×; Água 0,5×; Gelo 0,5×; Aço 0,5×</x:v>
      </x:c>
      <x:c r="G133" s="11" t="str"/>
      <x:c r="H133" s="11" t="str">
        <x:v>Fogo; Terrestre; Pedra</x:v>
      </x:c>
      <x:c r="I133" s="9" t="str">
        <x:v>https://poke.idleworld.online/pokepedia/pokemon/magikarp</x:v>
      </x:c>
    </x:row>
    <x:row r="134" ht="28" customHeight="1">
      <x:c r="A134" s="1" t="n">
        <x:v>130</x:v>
      </x:c>
      <x:c r="B134" s="1" t="str">
        <x:v>Gyarados</x:v>
      </x:c>
      <x:c r="C134" s="1" t="str">
        <x:v>Água</x:v>
      </x:c>
      <x:c r="D134" s="1" t="str">
        <x:v>Voador</x:v>
      </x:c>
      <x:c r="E134" s="11" t="str">
        <x:v>Elétrico 4×; Pedra 2×</x:v>
      </x:c>
      <x:c r="F134" s="11" t="str">
        <x:v>Fogo 0,5×; Água 0,5×; Lutador 0,5×; Inseto 0,5×; Aço 0,5×</x:v>
      </x:c>
      <x:c r="G134" s="11" t="str">
        <x:v>Terrestre 0×</x:v>
      </x:c>
      <x:c r="H134" s="11" t="str">
        <x:v>Fogo; Planta; Lutador; Terrestre; Inseto; Pedra</x:v>
      </x:c>
      <x:c r="I134" s="9" t="str">
        <x:v>https://poke.idleworld.online/pokepedia/pokemon/gyarados</x:v>
      </x:c>
    </x:row>
    <x:row r="135" ht="28" customHeight="1">
      <x:c r="A135" s="1" t="n">
        <x:v>131</x:v>
      </x:c>
      <x:c r="B135" s="1" t="str">
        <x:v>Lapras</x:v>
      </x:c>
      <x:c r="C135" s="1" t="str">
        <x:v>Água</x:v>
      </x:c>
      <x:c r="D135" s="1" t="str">
        <x:v>Gelo</x:v>
      </x:c>
      <x:c r="E135" s="11" t="str">
        <x:v>Elétrico 2×; Planta 2×; Lutador 2×; Pedra 2×</x:v>
      </x:c>
      <x:c r="F135" s="11" t="str">
        <x:v>Água 0,5×; Gelo 0,25×</x:v>
      </x:c>
      <x:c r="G135" s="11" t="str"/>
      <x:c r="H135" s="11" t="str">
        <x:v>Fogo; Planta; Terrestre; Voador; Pedra; Dragão</x:v>
      </x:c>
      <x:c r="I135" s="9" t="str">
        <x:v>https://poke.idleworld.online/pokepedia/pokemon/lapras</x:v>
      </x:c>
    </x:row>
    <x:row r="136" ht="28" customHeight="1">
      <x:c r="A136" s="1" t="n">
        <x:v>132</x:v>
      </x:c>
      <x:c r="B136" s="1" t="str">
        <x:v>Ditto</x:v>
      </x:c>
      <x:c r="C136" s="1" t="str">
        <x:v>Normal</x:v>
      </x:c>
      <x:c r="D136" s="1" t="str"/>
      <x:c r="E136" s="11" t="str">
        <x:v>Lutador 2×</x:v>
      </x:c>
      <x:c r="F136" s="11" t="str"/>
      <x:c r="G136" s="11" t="str">
        <x:v>Fantasma 0×</x:v>
      </x:c>
      <x:c r="H136" s="11" t="str"/>
      <x:c r="I136" s="9" t="str">
        <x:v>https://poke.idleworld.online/pokepedia/pokemon/ditto</x:v>
      </x:c>
    </x:row>
    <x:row r="137" ht="28" customHeight="1">
      <x:c r="A137" s="1" t="n">
        <x:v>133</x:v>
      </x:c>
      <x:c r="B137" s="1" t="str">
        <x:v>Eevee</x:v>
      </x:c>
      <x:c r="C137" s="1" t="str">
        <x:v>Normal</x:v>
      </x:c>
      <x:c r="D137" s="1" t="str"/>
      <x:c r="E137" s="11" t="str">
        <x:v>Lutador 2×</x:v>
      </x:c>
      <x:c r="F137" s="11" t="str"/>
      <x:c r="G137" s="11" t="str">
        <x:v>Fantasma 0×</x:v>
      </x:c>
      <x:c r="H137" s="11" t="str"/>
      <x:c r="I137" s="9" t="str">
        <x:v>https://poke.idleworld.online/pokepedia/pokemon/eevee</x:v>
      </x:c>
    </x:row>
    <x:row r="138" ht="28" customHeight="1">
      <x:c r="A138" s="1" t="n">
        <x:v>134</x:v>
      </x:c>
      <x:c r="B138" s="1" t="str">
        <x:v>Vaporeon</x:v>
      </x:c>
      <x:c r="C138" s="1" t="str">
        <x:v>Água</x:v>
      </x:c>
      <x:c r="D138" s="1" t="str"/>
      <x:c r="E138" s="11" t="str">
        <x:v>Elétrico 2×; Planta 2×</x:v>
      </x:c>
      <x:c r="F138" s="11" t="str">
        <x:v>Fogo 0,5×; Água 0,5×; Gelo 0,5×; Aço 0,5×</x:v>
      </x:c>
      <x:c r="G138" s="11" t="str"/>
      <x:c r="H138" s="11" t="str">
        <x:v>Fogo; Terrestre; Pedra</x:v>
      </x:c>
      <x:c r="I138" s="9" t="str">
        <x:v>https://poke.idleworld.online/pokepedia/pokemon/vaporeon</x:v>
      </x:c>
    </x:row>
    <x:row r="139" ht="28" customHeight="1">
      <x:c r="A139" s="1" t="n">
        <x:v>135</x:v>
      </x:c>
      <x:c r="B139" s="1" t="str">
        <x:v>Jolteon</x:v>
      </x:c>
      <x:c r="C139" s="1" t="str">
        <x:v>Elétrico</x:v>
      </x:c>
      <x:c r="D139" s="1" t="str"/>
      <x:c r="E139" s="11" t="str">
        <x:v>Terrestre 2×</x:v>
      </x:c>
      <x:c r="F139" s="11" t="str">
        <x:v>Elétrico 0,5×; Voador 0,5×; Aço 0,5×</x:v>
      </x:c>
      <x:c r="G139" s="11" t="str"/>
      <x:c r="H139" s="11" t="str">
        <x:v>Água; Voador</x:v>
      </x:c>
      <x:c r="I139" s="9" t="str">
        <x:v>https://poke.idleworld.online/pokepedia/pokemon/jolteon</x:v>
      </x:c>
    </x:row>
    <x:row r="140" ht="42" customHeight="1">
      <x:c r="A140" s="1" t="n">
        <x:v>136</x:v>
      </x:c>
      <x:c r="B140" s="1" t="str">
        <x:v>Flareon</x:v>
      </x:c>
      <x:c r="C140" s="1" t="str">
        <x:v>Fogo</x:v>
      </x:c>
      <x:c r="D140" s="1" t="str"/>
      <x:c r="E140" s="11" t="str">
        <x:v>Água 2×; Terrestre 2×; Pedra 2×</x:v>
      </x:c>
      <x:c r="F140" s="11" t="str">
        <x:v>Fogo 0,5×; Planta 0,5×; Gelo 0,5×; Inseto 0,5×; Aço 0,5×; Fada 0,5×</x:v>
      </x:c>
      <x:c r="G140" s="11" t="str"/>
      <x:c r="H140" s="11" t="str">
        <x:v>Planta; Gelo; Inseto; Aço</x:v>
      </x:c>
      <x:c r="I140" s="9" t="str">
        <x:v>https://poke.idleworld.online/pokepedia/pokemon/flareon</x:v>
      </x:c>
    </x:row>
    <x:row r="141" ht="28" customHeight="1">
      <x:c r="A141" s="1" t="n">
        <x:v>137</x:v>
      </x:c>
      <x:c r="B141" s="1" t="str">
        <x:v>Porygon</x:v>
      </x:c>
      <x:c r="C141" s="1" t="str">
        <x:v>Normal</x:v>
      </x:c>
      <x:c r="D141" s="1" t="str"/>
      <x:c r="E141" s="11" t="str">
        <x:v>Lutador 2×</x:v>
      </x:c>
      <x:c r="F141" s="11" t="str"/>
      <x:c r="G141" s="11" t="str">
        <x:v>Fantasma 0×</x:v>
      </x:c>
      <x:c r="H141" s="11" t="str"/>
      <x:c r="I141" s="9" t="str">
        <x:v>https://poke.idleworld.online/pokepedia/pokemon/porygon</x:v>
      </x:c>
    </x:row>
    <x:row r="142" ht="42" customHeight="1">
      <x:c r="A142" s="1" t="n">
        <x:v>138</x:v>
      </x:c>
      <x:c r="B142" s="1" t="str">
        <x:v>Omanyte</x:v>
      </x:c>
      <x:c r="C142" s="1" t="str">
        <x:v>Pedra</x:v>
      </x:c>
      <x:c r="D142" s="1" t="str">
        <x:v>Água</x:v>
      </x:c>
      <x:c r="E142" s="11" t="str">
        <x:v>Elétrico 2×; Planta 4×; Lutador 2×; Terrestre 2×</x:v>
      </x:c>
      <x:c r="F142" s="11" t="str">
        <x:v>Normal 0,5×; Fogo 0,25×; Gelo 0,5×; Venenoso 0,5×; Voador 0,5×</x:v>
      </x:c>
      <x:c r="G142" s="11" t="str"/>
      <x:c r="H142" s="11" t="str">
        <x:v>Fogo; Gelo; Terrestre; Voador; Inseto; Pedra</x:v>
      </x:c>
      <x:c r="I142" s="9" t="str">
        <x:v>https://poke.idleworld.online/pokepedia/pokemon/omanyte</x:v>
      </x:c>
    </x:row>
    <x:row r="143" ht="42" customHeight="1">
      <x:c r="A143" s="1" t="n">
        <x:v>139</x:v>
      </x:c>
      <x:c r="B143" s="1" t="str">
        <x:v>Omastar</x:v>
      </x:c>
      <x:c r="C143" s="1" t="str">
        <x:v>Pedra</x:v>
      </x:c>
      <x:c r="D143" s="1" t="str">
        <x:v>Água</x:v>
      </x:c>
      <x:c r="E143" s="11" t="str">
        <x:v>Elétrico 2×; Planta 4×; Lutador 2×; Terrestre 2×</x:v>
      </x:c>
      <x:c r="F143" s="11" t="str">
        <x:v>Normal 0,5×; Fogo 0,25×; Gelo 0,5×; Venenoso 0,5×; Voador 0,5×</x:v>
      </x:c>
      <x:c r="G143" s="11" t="str"/>
      <x:c r="H143" s="11" t="str">
        <x:v>Fogo; Gelo; Terrestre; Voador; Inseto; Pedra</x:v>
      </x:c>
      <x:c r="I143" s="9" t="str">
        <x:v>https://poke.idleworld.online/pokepedia/pokemon/omastar</x:v>
      </x:c>
    </x:row>
    <x:row r="144" ht="42" customHeight="1">
      <x:c r="A144" s="1" t="n">
        <x:v>140</x:v>
      </x:c>
      <x:c r="B144" s="1" t="str">
        <x:v>Kabuto</x:v>
      </x:c>
      <x:c r="C144" s="1" t="str">
        <x:v>Pedra</x:v>
      </x:c>
      <x:c r="D144" s="1" t="str">
        <x:v>Água</x:v>
      </x:c>
      <x:c r="E144" s="11" t="str">
        <x:v>Elétrico 2×; Planta 4×; Lutador 2×; Terrestre 2×</x:v>
      </x:c>
      <x:c r="F144" s="11" t="str">
        <x:v>Normal 0,5×; Fogo 0,25×; Gelo 0,5×; Venenoso 0,5×; Voador 0,5×</x:v>
      </x:c>
      <x:c r="G144" s="11" t="str"/>
      <x:c r="H144" s="11" t="str">
        <x:v>Fogo; Gelo; Terrestre; Voador; Inseto; Pedra</x:v>
      </x:c>
      <x:c r="I144" s="9" t="str">
        <x:v>https://poke.idleworld.online/pokepedia/pokemon/kabuto</x:v>
      </x:c>
    </x:row>
    <x:row r="145" ht="42" customHeight="1">
      <x:c r="A145" s="1" t="n">
        <x:v>141</x:v>
      </x:c>
      <x:c r="B145" s="1" t="str">
        <x:v>Kabutops</x:v>
      </x:c>
      <x:c r="C145" s="1" t="str">
        <x:v>Pedra</x:v>
      </x:c>
      <x:c r="D145" s="1" t="str">
        <x:v>Água</x:v>
      </x:c>
      <x:c r="E145" s="11" t="str">
        <x:v>Elétrico 2×; Planta 4×; Lutador 2×; Terrestre 2×</x:v>
      </x:c>
      <x:c r="F145" s="11" t="str">
        <x:v>Normal 0,5×; Fogo 0,25×; Gelo 0,5×; Venenoso 0,5×; Voador 0,5×</x:v>
      </x:c>
      <x:c r="G145" s="11" t="str"/>
      <x:c r="H145" s="11" t="str">
        <x:v>Fogo; Gelo; Terrestre; Voador; Inseto; Pedra</x:v>
      </x:c>
      <x:c r="I145" s="9" t="str">
        <x:v>https://poke.idleworld.online/pokepedia/pokemon/kabutops</x:v>
      </x:c>
    </x:row>
    <x:row r="146" ht="42" customHeight="1">
      <x:c r="A146" s="1" t="n">
        <x:v>142</x:v>
      </x:c>
      <x:c r="B146" s="1" t="str">
        <x:v>Aerodactyl</x:v>
      </x:c>
      <x:c r="C146" s="1" t="str">
        <x:v>Pedra</x:v>
      </x:c>
      <x:c r="D146" s="1" t="str">
        <x:v>Voador</x:v>
      </x:c>
      <x:c r="E146" s="11" t="str">
        <x:v>Água 2×; Elétrico 2×; Gelo 2×; Pedra 2×; Aço 2×</x:v>
      </x:c>
      <x:c r="F146" s="11" t="str">
        <x:v>Normal 0,5×; Fogo 0,5×; Venenoso 0,5×; Voador 0,5×; Inseto 0,5×</x:v>
      </x:c>
      <x:c r="G146" s="11" t="str">
        <x:v>Terrestre 0×</x:v>
      </x:c>
      <x:c r="H146" s="11" t="str">
        <x:v>Fogo; Planta; Gelo; Lutador; Voador; Inseto</x:v>
      </x:c>
      <x:c r="I146" s="9" t="str">
        <x:v>https://poke.idleworld.online/pokepedia/pokemon/aerodactyl</x:v>
      </x:c>
    </x:row>
    <x:row r="147" ht="28" customHeight="1">
      <x:c r="A147" s="1" t="n">
        <x:v>143</x:v>
      </x:c>
      <x:c r="B147" s="1" t="str">
        <x:v>Snorlax</x:v>
      </x:c>
      <x:c r="C147" s="1" t="str">
        <x:v>Normal</x:v>
      </x:c>
      <x:c r="D147" s="1" t="str"/>
      <x:c r="E147" s="11" t="str">
        <x:v>Lutador 2×</x:v>
      </x:c>
      <x:c r="F147" s="11" t="str"/>
      <x:c r="G147" s="11" t="str">
        <x:v>Fantasma 0×</x:v>
      </x:c>
      <x:c r="H147" s="11" t="str"/>
      <x:c r="I147" s="9" t="str">
        <x:v>https://poke.idleworld.online/pokepedia/pokemon/snorlax</x:v>
      </x:c>
    </x:row>
    <x:row r="148" ht="28" customHeight="1">
      <x:c r="A148" s="1" t="n">
        <x:v>144</x:v>
      </x:c>
      <x:c r="B148" s="1" t="str">
        <x:v>Articuno</x:v>
      </x:c>
      <x:c r="C148" s="1" t="str">
        <x:v>Gelo</x:v>
      </x:c>
      <x:c r="D148" s="1" t="str">
        <x:v>Voador</x:v>
      </x:c>
      <x:c r="E148" s="11" t="str">
        <x:v>Fogo 2×; Elétrico 2×; Pedra 4×; Aço 2×</x:v>
      </x:c>
      <x:c r="F148" s="11" t="str">
        <x:v>Planta 0,5×; Inseto 0,5×</x:v>
      </x:c>
      <x:c r="G148" s="11" t="str">
        <x:v>Terrestre 0×</x:v>
      </x:c>
      <x:c r="H148" s="11" t="str">
        <x:v>Planta; Lutador; Terrestre; Voador; Inseto; Dragão</x:v>
      </x:c>
      <x:c r="I148" s="9" t="str">
        <x:v>https://poke.idleworld.online/pokepedia/pokemon/articuno</x:v>
      </x:c>
    </x:row>
    <x:row r="149" ht="42" customHeight="1">
      <x:c r="A149" s="1" t="n">
        <x:v>145</x:v>
      </x:c>
      <x:c r="B149" s="1" t="str">
        <x:v>Zapdos</x:v>
      </x:c>
      <x:c r="C149" s="1" t="str">
        <x:v>Elétrico</x:v>
      </x:c>
      <x:c r="D149" s="1" t="str">
        <x:v>Voador</x:v>
      </x:c>
      <x:c r="E149" s="11" t="str">
        <x:v>Gelo 2×; Pedra 2×</x:v>
      </x:c>
      <x:c r="F149" s="11" t="str">
        <x:v>Planta 0,5×; Lutador 0,5×; Voador 0,5×; Inseto 0,5×; Aço 0,5×</x:v>
      </x:c>
      <x:c r="G149" s="11" t="str">
        <x:v>Terrestre 0×</x:v>
      </x:c>
      <x:c r="H149" s="11" t="str">
        <x:v>Água; Planta; Lutador; Voador; Inseto</x:v>
      </x:c>
      <x:c r="I149" s="9" t="str">
        <x:v>https://poke.idleworld.online/pokepedia/pokemon/zapdos</x:v>
      </x:c>
    </x:row>
    <x:row r="150" ht="42" customHeight="1">
      <x:c r="A150" s="1" t="n">
        <x:v>146</x:v>
      </x:c>
      <x:c r="B150" s="1" t="str">
        <x:v>Moltres</x:v>
      </x:c>
      <x:c r="C150" s="1" t="str">
        <x:v>Fogo</x:v>
      </x:c>
      <x:c r="D150" s="1" t="str">
        <x:v>Voador</x:v>
      </x:c>
      <x:c r="E150" s="11" t="str">
        <x:v>Água 2×; Elétrico 2×; Pedra 4×</x:v>
      </x:c>
      <x:c r="F150" s="11" t="str">
        <x:v>Fogo 0,5×; Planta 0,25×; Lutador 0,5×; Inseto 0,25×; Aço 0,5×; Fada 0,5×</x:v>
      </x:c>
      <x:c r="G150" s="11" t="str">
        <x:v>Terrestre 0×</x:v>
      </x:c>
      <x:c r="H150" s="11" t="str">
        <x:v>Planta; Gelo; Lutador; Inseto; Aço</x:v>
      </x:c>
      <x:c r="I150" s="9" t="str">
        <x:v>https://poke.idleworld.online/pokepedia/pokemon/moltres</x:v>
      </x:c>
    </x:row>
    <x:row r="151" ht="28" customHeight="1">
      <x:c r="A151" s="1" t="n">
        <x:v>147</x:v>
      </x:c>
      <x:c r="B151" s="1" t="str">
        <x:v>Dratini</x:v>
      </x:c>
      <x:c r="C151" s="1" t="str">
        <x:v>Dragão</x:v>
      </x:c>
      <x:c r="D151" s="1" t="str"/>
      <x:c r="E151" s="11" t="str">
        <x:v>Gelo 2×; Dragão 2×; Fada 2×</x:v>
      </x:c>
      <x:c r="F151" s="11" t="str">
        <x:v>Fogo 0,5×; Água 0,5×; Elétrico 0,5×; Planta 0,5×</x:v>
      </x:c>
      <x:c r="G151" s="11" t="str"/>
      <x:c r="H151" s="11" t="str">
        <x:v>Dragão</x:v>
      </x:c>
      <x:c r="I151" s="9" t="str">
        <x:v>https://poke.idleworld.online/pokepedia/pokemon/dratini</x:v>
      </x:c>
    </x:row>
    <x:row r="152" ht="28" customHeight="1">
      <x:c r="A152" s="1" t="n">
        <x:v>148</x:v>
      </x:c>
      <x:c r="B152" s="1" t="str">
        <x:v>Dragonair</x:v>
      </x:c>
      <x:c r="C152" s="1" t="str">
        <x:v>Dragão</x:v>
      </x:c>
      <x:c r="D152" s="1" t="str"/>
      <x:c r="E152" s="11" t="str">
        <x:v>Gelo 2×; Dragão 2×; Fada 2×</x:v>
      </x:c>
      <x:c r="F152" s="11" t="str">
        <x:v>Fogo 0,5×; Água 0,5×; Elétrico 0,5×; Planta 0,5×</x:v>
      </x:c>
      <x:c r="G152" s="11" t="str"/>
      <x:c r="H152" s="11" t="str">
        <x:v>Dragão</x:v>
      </x:c>
      <x:c r="I152" s="9" t="str">
        <x:v>https://poke.idleworld.online/pokepedia/pokemon/dragonair</x:v>
      </x:c>
    </x:row>
    <x:row r="153" ht="42" customHeight="1">
      <x:c r="A153" s="1" t="n">
        <x:v>149</x:v>
      </x:c>
      <x:c r="B153" s="1" t="str">
        <x:v>Dragonite</x:v>
      </x:c>
      <x:c r="C153" s="1" t="str">
        <x:v>Dragão</x:v>
      </x:c>
      <x:c r="D153" s="1" t="str">
        <x:v>Voador</x:v>
      </x:c>
      <x:c r="E153" s="11" t="str">
        <x:v>Gelo 4×; Pedra 2×; Dragão 2×; Fada 2×</x:v>
      </x:c>
      <x:c r="F153" s="11" t="str">
        <x:v>Fogo 0,5×; Água 0,5×; Planta 0,25×; Lutador 0,5×; Inseto 0,5×</x:v>
      </x:c>
      <x:c r="G153" s="11" t="str">
        <x:v>Terrestre 0×</x:v>
      </x:c>
      <x:c r="H153" s="11" t="str">
        <x:v>Planta; Lutador; Inseto; Dragão</x:v>
      </x:c>
      <x:c r="I153" s="9" t="str">
        <x:v>https://poke.idleworld.online/pokepedia/pokemon/dragonite</x:v>
      </x:c>
    </x:row>
    <x:row r="154" ht="28" customHeight="1">
      <x:c r="A154" s="1" t="n">
        <x:v>150</x:v>
      </x:c>
      <x:c r="B154" s="1" t="str">
        <x:v>Mewtwo</x:v>
      </x:c>
      <x:c r="C154" s="1" t="str">
        <x:v>Psíquico</x:v>
      </x:c>
      <x:c r="D154" s="1" t="str"/>
      <x:c r="E154" s="11" t="str">
        <x:v>Inseto 2×; Fantasma 2×; Sombrio 2×</x:v>
      </x:c>
      <x:c r="F154" s="11" t="str">
        <x:v>Lutador 0,5×; Psíquico 0,5×</x:v>
      </x:c>
      <x:c r="G154" s="11" t="str"/>
      <x:c r="H154" s="11" t="str">
        <x:v>Lutador; Venenoso</x:v>
      </x:c>
      <x:c r="I154" s="9" t="str">
        <x:v>https://poke.idleworld.online/pokepedia/pokemon/mewtwo</x:v>
      </x:c>
    </x:row>
    <x:row r="155" ht="28" customHeight="1">
      <x:c r="A155" s="1" t="n">
        <x:v>151</x:v>
      </x:c>
      <x:c r="B155" s="1" t="str">
        <x:v>Mew</x:v>
      </x:c>
      <x:c r="C155" s="1" t="str">
        <x:v>Psíquico</x:v>
      </x:c>
      <x:c r="D155" s="1" t="str"/>
      <x:c r="E155" s="11" t="str">
        <x:v>Inseto 2×; Fantasma 2×; Sombrio 2×</x:v>
      </x:c>
      <x:c r="F155" s="11" t="str">
        <x:v>Lutador 0,5×; Psíquico 0,5×</x:v>
      </x:c>
      <x:c r="G155" s="11" t="str"/>
      <x:c r="H155" s="11" t="str">
        <x:v>Lutador; Venenoso</x:v>
      </x:c>
      <x:c r="I155" s="9" t="str">
        <x:v>https://poke.idleworld.online/pokepedia/pokemon/mew</x:v>
      </x:c>
    </x:row>
    <x:row r="156" ht="28" customHeight="1">
      <x:c r="A156" s="1" t="n">
        <x:v>152</x:v>
      </x:c>
      <x:c r="B156" s="1" t="str">
        <x:v>Chikorita</x:v>
      </x:c>
      <x:c r="C156" s="1" t="str">
        <x:v>Planta</x:v>
      </x:c>
      <x:c r="D156" s="1" t="str"/>
      <x:c r="E156" s="11" t="str">
        <x:v>Fogo 2×; Gelo 2×; Venenoso 2×; Voador 2×; Inseto 2×</x:v>
      </x:c>
      <x:c r="F156" s="11" t="str">
        <x:v>Água 0,5×; Elétrico 0,5×; Planta 0,5×; Terrestre 0,5×</x:v>
      </x:c>
      <x:c r="G156" s="11" t="str"/>
      <x:c r="H156" s="11" t="str">
        <x:v>Água; Terrestre; Pedra</x:v>
      </x:c>
      <x:c r="I156" s="9" t="str">
        <x:v>https://poke.idleworld.online/pokepedia/pokemon/chikorita</x:v>
      </x:c>
    </x:row>
    <x:row r="157" ht="28" customHeight="1">
      <x:c r="A157" s="1" t="n">
        <x:v>153</x:v>
      </x:c>
      <x:c r="B157" s="1" t="str">
        <x:v>Bayleef</x:v>
      </x:c>
      <x:c r="C157" s="1" t="str">
        <x:v>Planta</x:v>
      </x:c>
      <x:c r="D157" s="1" t="str"/>
      <x:c r="E157" s="11" t="str">
        <x:v>Fogo 2×; Gelo 2×; Venenoso 2×; Voador 2×; Inseto 2×</x:v>
      </x:c>
      <x:c r="F157" s="11" t="str">
        <x:v>Água 0,5×; Elétrico 0,5×; Planta 0,5×; Terrestre 0,5×</x:v>
      </x:c>
      <x:c r="G157" s="11" t="str"/>
      <x:c r="H157" s="11" t="str">
        <x:v>Água; Terrestre; Pedra</x:v>
      </x:c>
      <x:c r="I157" s="9" t="str">
        <x:v>https://poke.idleworld.online/pokepedia/pokemon/bayleef</x:v>
      </x:c>
    </x:row>
    <x:row r="158" ht="28" customHeight="1">
      <x:c r="A158" s="1" t="n">
        <x:v>154</x:v>
      </x:c>
      <x:c r="B158" s="1" t="str">
        <x:v>Meganium</x:v>
      </x:c>
      <x:c r="C158" s="1" t="str">
        <x:v>Planta</x:v>
      </x:c>
      <x:c r="D158" s="1" t="str"/>
      <x:c r="E158" s="11" t="str">
        <x:v>Fogo 2×; Gelo 2×; Venenoso 2×; Voador 2×; Inseto 2×</x:v>
      </x:c>
      <x:c r="F158" s="11" t="str">
        <x:v>Água 0,5×; Elétrico 0,5×; Planta 0,5×; Terrestre 0,5×</x:v>
      </x:c>
      <x:c r="G158" s="11" t="str"/>
      <x:c r="H158" s="11" t="str">
        <x:v>Água; Terrestre; Pedra</x:v>
      </x:c>
      <x:c r="I158" s="9" t="str">
        <x:v>https://poke.idleworld.online/pokepedia/pokemon/meganium</x:v>
      </x:c>
    </x:row>
    <x:row r="159" ht="42" customHeight="1">
      <x:c r="A159" s="1" t="n">
        <x:v>155</x:v>
      </x:c>
      <x:c r="B159" s="1" t="str">
        <x:v>Cyndaquil</x:v>
      </x:c>
      <x:c r="C159" s="1" t="str">
        <x:v>Fogo</x:v>
      </x:c>
      <x:c r="D159" s="1" t="str"/>
      <x:c r="E159" s="11" t="str">
        <x:v>Água 2×; Terrestre 2×; Pedra 2×</x:v>
      </x:c>
      <x:c r="F159" s="11" t="str">
        <x:v>Fogo 0,5×; Planta 0,5×; Gelo 0,5×; Inseto 0,5×; Aço 0,5×; Fada 0,5×</x:v>
      </x:c>
      <x:c r="G159" s="11" t="str"/>
      <x:c r="H159" s="11" t="str">
        <x:v>Planta; Gelo; Inseto; Aço</x:v>
      </x:c>
      <x:c r="I159" s="9" t="str">
        <x:v>https://poke.idleworld.online/pokepedia/pokemon/cyndaquil</x:v>
      </x:c>
    </x:row>
    <x:row r="160" ht="42" customHeight="1">
      <x:c r="A160" s="1" t="n">
        <x:v>156</x:v>
      </x:c>
      <x:c r="B160" s="1" t="str">
        <x:v>Quilava</x:v>
      </x:c>
      <x:c r="C160" s="1" t="str">
        <x:v>Fogo</x:v>
      </x:c>
      <x:c r="D160" s="1" t="str"/>
      <x:c r="E160" s="11" t="str">
        <x:v>Água 2×; Terrestre 2×; Pedra 2×</x:v>
      </x:c>
      <x:c r="F160" s="11" t="str">
        <x:v>Fogo 0,5×; Planta 0,5×; Gelo 0,5×; Inseto 0,5×; Aço 0,5×; Fada 0,5×</x:v>
      </x:c>
      <x:c r="G160" s="11" t="str"/>
      <x:c r="H160" s="11" t="str">
        <x:v>Planta; Gelo; Inseto; Aço</x:v>
      </x:c>
      <x:c r="I160" s="9" t="str">
        <x:v>https://poke.idleworld.online/pokepedia/pokemon/quilava</x:v>
      </x:c>
    </x:row>
    <x:row r="161" ht="42" customHeight="1">
      <x:c r="A161" s="1" t="n">
        <x:v>157</x:v>
      </x:c>
      <x:c r="B161" s="1" t="str">
        <x:v>Typhlosion</x:v>
      </x:c>
      <x:c r="C161" s="1" t="str">
        <x:v>Fogo</x:v>
      </x:c>
      <x:c r="D161" s="1" t="str"/>
      <x:c r="E161" s="11" t="str">
        <x:v>Água 2×; Terrestre 2×; Pedra 2×</x:v>
      </x:c>
      <x:c r="F161" s="11" t="str">
        <x:v>Fogo 0,5×; Planta 0,5×; Gelo 0,5×; Inseto 0,5×; Aço 0,5×; Fada 0,5×</x:v>
      </x:c>
      <x:c r="G161" s="11" t="str"/>
      <x:c r="H161" s="11" t="str">
        <x:v>Planta; Gelo; Inseto; Aço</x:v>
      </x:c>
      <x:c r="I161" s="9" t="str">
        <x:v>https://poke.idleworld.online/pokepedia/pokemon/typhlosion</x:v>
      </x:c>
    </x:row>
    <x:row r="162" ht="28" customHeight="1">
      <x:c r="A162" s="1" t="n">
        <x:v>158</x:v>
      </x:c>
      <x:c r="B162" s="1" t="str">
        <x:v>Totodile</x:v>
      </x:c>
      <x:c r="C162" s="1" t="str">
        <x:v>Água</x:v>
      </x:c>
      <x:c r="D162" s="1" t="str"/>
      <x:c r="E162" s="11" t="str">
        <x:v>Elétrico 2×; Planta 2×</x:v>
      </x:c>
      <x:c r="F162" s="11" t="str">
        <x:v>Fogo 0,5×; Água 0,5×; Gelo 0,5×; Aço 0,5×</x:v>
      </x:c>
      <x:c r="G162" s="11" t="str"/>
      <x:c r="H162" s="11" t="str">
        <x:v>Fogo; Terrestre; Pedra</x:v>
      </x:c>
      <x:c r="I162" s="9" t="str">
        <x:v>https://poke.idleworld.online/pokepedia/pokemon/totodile</x:v>
      </x:c>
    </x:row>
    <x:row r="163" ht="28" customHeight="1">
      <x:c r="A163" s="1" t="n">
        <x:v>159</x:v>
      </x:c>
      <x:c r="B163" s="1" t="str">
        <x:v>Croconaw</x:v>
      </x:c>
      <x:c r="C163" s="1" t="str">
        <x:v>Água</x:v>
      </x:c>
      <x:c r="D163" s="1" t="str"/>
      <x:c r="E163" s="11" t="str">
        <x:v>Elétrico 2×; Planta 2×</x:v>
      </x:c>
      <x:c r="F163" s="11" t="str">
        <x:v>Fogo 0,5×; Água 0,5×; Gelo 0,5×; Aço 0,5×</x:v>
      </x:c>
      <x:c r="G163" s="11" t="str"/>
      <x:c r="H163" s="11" t="str">
        <x:v>Fogo; Terrestre; Pedra</x:v>
      </x:c>
      <x:c r="I163" s="9" t="str">
        <x:v>https://poke.idleworld.online/pokepedia/pokemon/croconaw</x:v>
      </x:c>
    </x:row>
    <x:row r="164" ht="28" customHeight="1">
      <x:c r="A164" s="1" t="n">
        <x:v>160</x:v>
      </x:c>
      <x:c r="B164" s="1" t="str">
        <x:v>Feraligatr</x:v>
      </x:c>
      <x:c r="C164" s="1" t="str">
        <x:v>Água</x:v>
      </x:c>
      <x:c r="D164" s="1" t="str"/>
      <x:c r="E164" s="11" t="str">
        <x:v>Elétrico 2×; Planta 2×</x:v>
      </x:c>
      <x:c r="F164" s="11" t="str">
        <x:v>Fogo 0,5×; Água 0,5×; Gelo 0,5×; Aço 0,5×</x:v>
      </x:c>
      <x:c r="G164" s="11" t="str"/>
      <x:c r="H164" s="11" t="str">
        <x:v>Fogo; Terrestre; Pedra</x:v>
      </x:c>
      <x:c r="I164" s="9" t="str">
        <x:v>https://poke.idleworld.online/pokepedia/pokemon/feraligatr</x:v>
      </x:c>
    </x:row>
    <x:row r="165" ht="28" customHeight="1">
      <x:c r="A165" s="1" t="n">
        <x:v>161</x:v>
      </x:c>
      <x:c r="B165" s="1" t="str">
        <x:v>Sentret</x:v>
      </x:c>
      <x:c r="C165" s="1" t="str">
        <x:v>Normal</x:v>
      </x:c>
      <x:c r="D165" s="1" t="str"/>
      <x:c r="E165" s="11" t="str">
        <x:v>Lutador 2×</x:v>
      </x:c>
      <x:c r="F165" s="11" t="str"/>
      <x:c r="G165" s="11" t="str">
        <x:v>Fantasma 0×</x:v>
      </x:c>
      <x:c r="H165" s="11" t="str"/>
      <x:c r="I165" s="9" t="str">
        <x:v>https://poke.idleworld.online/pokepedia/pokemon/sentret</x:v>
      </x:c>
    </x:row>
    <x:row r="166" ht="28" customHeight="1">
      <x:c r="A166" s="1" t="n">
        <x:v>162</x:v>
      </x:c>
      <x:c r="B166" s="1" t="str">
        <x:v>Furret</x:v>
      </x:c>
      <x:c r="C166" s="1" t="str">
        <x:v>Normal</x:v>
      </x:c>
      <x:c r="D166" s="1" t="str"/>
      <x:c r="E166" s="11" t="str">
        <x:v>Lutador 2×</x:v>
      </x:c>
      <x:c r="F166" s="11" t="str"/>
      <x:c r="G166" s="11" t="str">
        <x:v>Fantasma 0×</x:v>
      </x:c>
      <x:c r="H166" s="11" t="str"/>
      <x:c r="I166" s="9" t="str">
        <x:v>https://poke.idleworld.online/pokepedia/pokemon/furret</x:v>
      </x:c>
    </x:row>
    <x:row r="167" ht="28" customHeight="1">
      <x:c r="A167" s="1" t="n">
        <x:v>163</x:v>
      </x:c>
      <x:c r="B167" s="1" t="str">
        <x:v>Hoothoot</x:v>
      </x:c>
      <x:c r="C167" s="1" t="str">
        <x:v>Normal</x:v>
      </x:c>
      <x:c r="D167" s="1" t="str">
        <x:v>Voador</x:v>
      </x:c>
      <x:c r="E167" s="11" t="str">
        <x:v>Elétrico 2×; Gelo 2×; Pedra 2×</x:v>
      </x:c>
      <x:c r="F167" s="11" t="str">
        <x:v>Planta 0,5×; Inseto 0,5×</x:v>
      </x:c>
      <x:c r="G167" s="11" t="str">
        <x:v>Terrestre 0×; Fantasma 0×</x:v>
      </x:c>
      <x:c r="H167" s="11" t="str">
        <x:v>Planta; Lutador; Inseto</x:v>
      </x:c>
      <x:c r="I167" s="9" t="str">
        <x:v>https://poke.idleworld.online/pokepedia/pokemon/hoothoot</x:v>
      </x:c>
    </x:row>
    <x:row r="168" ht="28" customHeight="1">
      <x:c r="A168" s="1" t="n">
        <x:v>164</x:v>
      </x:c>
      <x:c r="B168" s="1" t="str">
        <x:v>Noctowl</x:v>
      </x:c>
      <x:c r="C168" s="1" t="str">
        <x:v>Normal</x:v>
      </x:c>
      <x:c r="D168" s="1" t="str">
        <x:v>Voador</x:v>
      </x:c>
      <x:c r="E168" s="11" t="str">
        <x:v>Elétrico 2×; Gelo 2×; Pedra 2×</x:v>
      </x:c>
      <x:c r="F168" s="11" t="str">
        <x:v>Planta 0,5×; Inseto 0,5×</x:v>
      </x:c>
      <x:c r="G168" s="11" t="str">
        <x:v>Terrestre 0×; Fantasma 0×</x:v>
      </x:c>
      <x:c r="H168" s="11" t="str">
        <x:v>Planta; Lutador; Inseto</x:v>
      </x:c>
      <x:c r="I168" s="9" t="str">
        <x:v>https://poke.idleworld.online/pokepedia/pokemon/noctowl</x:v>
      </x:c>
    </x:row>
    <x:row r="169" ht="28" customHeight="1">
      <x:c r="A169" s="1" t="n">
        <x:v>165</x:v>
      </x:c>
      <x:c r="B169" s="1" t="str">
        <x:v>Ledyba</x:v>
      </x:c>
      <x:c r="C169" s="1" t="str">
        <x:v>Inseto</x:v>
      </x:c>
      <x:c r="D169" s="1" t="str">
        <x:v>Voador</x:v>
      </x:c>
      <x:c r="E169" s="11" t="str">
        <x:v>Fogo 2×; Elétrico 2×; Gelo 2×; Voador 2×; Pedra 4×</x:v>
      </x:c>
      <x:c r="F169" s="11" t="str">
        <x:v>Planta 0,25×; Lutador 0,25×; Inseto 0,5×</x:v>
      </x:c>
      <x:c r="G169" s="11" t="str">
        <x:v>Terrestre 0×</x:v>
      </x:c>
      <x:c r="H169" s="11" t="str">
        <x:v>Planta; Lutador; Psíquico; Inseto; Sombrio</x:v>
      </x:c>
      <x:c r="I169" s="9" t="str">
        <x:v>https://poke.idleworld.online/pokepedia/pokemon/ledyba</x:v>
      </x:c>
    </x:row>
    <x:row r="170" ht="28" customHeight="1">
      <x:c r="A170" s="1" t="n">
        <x:v>166</x:v>
      </x:c>
      <x:c r="B170" s="1" t="str">
        <x:v>Ledian</x:v>
      </x:c>
      <x:c r="C170" s="1" t="str">
        <x:v>Inseto</x:v>
      </x:c>
      <x:c r="D170" s="1" t="str">
        <x:v>Voador</x:v>
      </x:c>
      <x:c r="E170" s="11" t="str">
        <x:v>Fogo 2×; Elétrico 2×; Gelo 2×; Voador 2×; Pedra 4×</x:v>
      </x:c>
      <x:c r="F170" s="11" t="str">
        <x:v>Planta 0,25×; Lutador 0,25×; Inseto 0,5×</x:v>
      </x:c>
      <x:c r="G170" s="11" t="str">
        <x:v>Terrestre 0×</x:v>
      </x:c>
      <x:c r="H170" s="11" t="str">
        <x:v>Planta; Lutador; Psíquico; Inseto; Sombrio</x:v>
      </x:c>
      <x:c r="I170" s="9" t="str">
        <x:v>https://poke.idleworld.online/pokepedia/pokemon/ledian</x:v>
      </x:c>
    </x:row>
    <x:row r="171" ht="42" customHeight="1">
      <x:c r="A171" s="1" t="n">
        <x:v>167</x:v>
      </x:c>
      <x:c r="B171" s="1" t="str">
        <x:v>Spinarak</x:v>
      </x:c>
      <x:c r="C171" s="1" t="str">
        <x:v>Inseto</x:v>
      </x:c>
      <x:c r="D171" s="1" t="str">
        <x:v>Venenoso</x:v>
      </x:c>
      <x:c r="E171" s="11" t="str">
        <x:v>Fogo 2×; Voador 2×; Psíquico 2×; Pedra 2×</x:v>
      </x:c>
      <x:c r="F171" s="11" t="str">
        <x:v>Planta 0,25×; Lutador 0,25×; Venenoso 0,5×; Inseto 0,5×; Fada 0,5×</x:v>
      </x:c>
      <x:c r="G171" s="11" t="str"/>
      <x:c r="H171" s="11" t="str">
        <x:v>Planta; Psíquico; Sombrio; Fada</x:v>
      </x:c>
      <x:c r="I171" s="9" t="str">
        <x:v>https://poke.idleworld.online/pokepedia/pokemon/spinarak</x:v>
      </x:c>
    </x:row>
    <x:row r="172" ht="42" customHeight="1">
      <x:c r="A172" s="1" t="n">
        <x:v>168</x:v>
      </x:c>
      <x:c r="B172" s="1" t="str">
        <x:v>Ariados</x:v>
      </x:c>
      <x:c r="C172" s="1" t="str">
        <x:v>Inseto</x:v>
      </x:c>
      <x:c r="D172" s="1" t="str">
        <x:v>Venenoso</x:v>
      </x:c>
      <x:c r="E172" s="11" t="str">
        <x:v>Fogo 2×; Voador 2×; Psíquico 2×; Pedra 2×</x:v>
      </x:c>
      <x:c r="F172" s="11" t="str">
        <x:v>Planta 0,25×; Lutador 0,25×; Venenoso 0,5×; Inseto 0,5×; Fada 0,5×</x:v>
      </x:c>
      <x:c r="G172" s="11" t="str"/>
      <x:c r="H172" s="11" t="str">
        <x:v>Planta; Psíquico; Sombrio; Fada</x:v>
      </x:c>
      <x:c r="I172" s="9" t="str">
        <x:v>https://poke.idleworld.online/pokepedia/pokemon/ariados</x:v>
      </x:c>
    </x:row>
    <x:row r="173" ht="42" customHeight="1">
      <x:c r="A173" s="1" t="n">
        <x:v>169</x:v>
      </x:c>
      <x:c r="B173" s="1" t="str">
        <x:v>Crobat</x:v>
      </x:c>
      <x:c r="C173" s="1" t="str">
        <x:v>Venenoso</x:v>
      </x:c>
      <x:c r="D173" s="1" t="str">
        <x:v>Voador</x:v>
      </x:c>
      <x:c r="E173" s="11" t="str">
        <x:v>Elétrico 2×; Gelo 2×; Psíquico 2×; Pedra 2×</x:v>
      </x:c>
      <x:c r="F173" s="11" t="str">
        <x:v>Planta 0,25×; Lutador 0,25×; Venenoso 0,5×; Inseto 0,25×; Fada 0,5×</x:v>
      </x:c>
      <x:c r="G173" s="11" t="str">
        <x:v>Terrestre 0×</x:v>
      </x:c>
      <x:c r="H173" s="11" t="str">
        <x:v>Planta; Lutador; Inseto; Fada</x:v>
      </x:c>
      <x:c r="I173" s="9" t="str">
        <x:v>https://poke.idleworld.online/pokepedia/pokemon/crobat</x:v>
      </x:c>
    </x:row>
    <x:row r="174" ht="28" customHeight="1">
      <x:c r="A174" s="1" t="n">
        <x:v>170</x:v>
      </x:c>
      <x:c r="B174" s="1" t="str">
        <x:v>Chinchou</x:v>
      </x:c>
      <x:c r="C174" s="1" t="str">
        <x:v>Água</x:v>
      </x:c>
      <x:c r="D174" s="1" t="str">
        <x:v>Elétrico</x:v>
      </x:c>
      <x:c r="E174" s="11" t="str">
        <x:v>Planta 2×; Terrestre 2×</x:v>
      </x:c>
      <x:c r="F174" s="11" t="str">
        <x:v>Fogo 0,5×; Água 0,5×; Gelo 0,5×; Voador 0,5×; Aço 0,25×</x:v>
      </x:c>
      <x:c r="G174" s="11" t="str"/>
      <x:c r="H174" s="11" t="str">
        <x:v>Fogo; Água; Terrestre; Voador; Pedra</x:v>
      </x:c>
      <x:c r="I174" s="9" t="str">
        <x:v>https://poke.idleworld.online/pokepedia/pokemon/chinchou</x:v>
      </x:c>
    </x:row>
    <x:row r="175" ht="28" customHeight="1">
      <x:c r="A175" s="1" t="n">
        <x:v>171</x:v>
      </x:c>
      <x:c r="B175" s="1" t="str">
        <x:v>Lanturn</x:v>
      </x:c>
      <x:c r="C175" s="1" t="str">
        <x:v>Água</x:v>
      </x:c>
      <x:c r="D175" s="1" t="str">
        <x:v>Elétrico</x:v>
      </x:c>
      <x:c r="E175" s="11" t="str">
        <x:v>Planta 2×; Terrestre 2×</x:v>
      </x:c>
      <x:c r="F175" s="11" t="str">
        <x:v>Fogo 0,5×; Água 0,5×; Gelo 0,5×; Voador 0,5×; Aço 0,25×</x:v>
      </x:c>
      <x:c r="G175" s="11" t="str"/>
      <x:c r="H175" s="11" t="str">
        <x:v>Fogo; Água; Terrestre; Voador; Pedra</x:v>
      </x:c>
      <x:c r="I175" s="9" t="str">
        <x:v>https://poke.idleworld.online/pokepedia/pokemon/lanturn</x:v>
      </x:c>
    </x:row>
    <x:row r="176" ht="28" customHeight="1">
      <x:c r="A176" s="1" t="n">
        <x:v>172</x:v>
      </x:c>
      <x:c r="B176" s="1" t="str">
        <x:v>Pichu</x:v>
      </x:c>
      <x:c r="C176" s="1" t="str">
        <x:v>Elétrico</x:v>
      </x:c>
      <x:c r="D176" s="1" t="str"/>
      <x:c r="E176" s="11" t="str">
        <x:v>Terrestre 2×</x:v>
      </x:c>
      <x:c r="F176" s="11" t="str">
        <x:v>Elétrico 0,5×; Voador 0,5×; Aço 0,5×</x:v>
      </x:c>
      <x:c r="G176" s="11" t="str"/>
      <x:c r="H176" s="11" t="str">
        <x:v>Água; Voador</x:v>
      </x:c>
      <x:c r="I176" s="9" t="str">
        <x:v>https://poke.idleworld.online/pokepedia/pokemon/pichu</x:v>
      </x:c>
    </x:row>
    <x:row r="177" ht="28" customHeight="1">
      <x:c r="A177" s="1" t="n">
        <x:v>173</x:v>
      </x:c>
      <x:c r="B177" s="1" t="str">
        <x:v>Cleffa</x:v>
      </x:c>
      <x:c r="C177" s="1" t="str">
        <x:v>Fada</x:v>
      </x:c>
      <x:c r="D177" s="1" t="str"/>
      <x:c r="E177" s="11" t="str">
        <x:v>Venenoso 2×; Aço 2×</x:v>
      </x:c>
      <x:c r="F177" s="11" t="str">
        <x:v>Lutador 0,5×; Inseto 0,5×; Sombrio 0,5×</x:v>
      </x:c>
      <x:c r="G177" s="11" t="str">
        <x:v>Dragão 0×</x:v>
      </x:c>
      <x:c r="H177" s="11" t="str">
        <x:v>Lutador; Dragão; Sombrio</x:v>
      </x:c>
      <x:c r="I177" s="9" t="str">
        <x:v>https://poke.idleworld.online/pokepedia/pokemon/cleffa</x:v>
      </x:c>
    </x:row>
    <x:row r="178" ht="28" customHeight="1">
      <x:c r="A178" s="1" t="n">
        <x:v>174</x:v>
      </x:c>
      <x:c r="B178" s="1" t="str">
        <x:v>Igglybuff</x:v>
      </x:c>
      <x:c r="C178" s="1" t="str">
        <x:v>Normal</x:v>
      </x:c>
      <x:c r="D178" s="1" t="str">
        <x:v>Fada</x:v>
      </x:c>
      <x:c r="E178" s="11" t="str">
        <x:v>Venenoso 2×; Aço 2×</x:v>
      </x:c>
      <x:c r="F178" s="11" t="str">
        <x:v>Inseto 0,5×; Sombrio 0,5×</x:v>
      </x:c>
      <x:c r="G178" s="11" t="str">
        <x:v>Fantasma 0×; Dragão 0×</x:v>
      </x:c>
      <x:c r="H178" s="11" t="str">
        <x:v>Lutador; Dragão; Sombrio</x:v>
      </x:c>
      <x:c r="I178" s="9" t="str">
        <x:v>https://poke.idleworld.online/pokepedia/pokemon/igglybuff</x:v>
      </x:c>
    </x:row>
    <x:row r="179" ht="28" customHeight="1">
      <x:c r="A179" s="1" t="n">
        <x:v>175</x:v>
      </x:c>
      <x:c r="B179" s="1" t="str">
        <x:v>Togepi</x:v>
      </x:c>
      <x:c r="C179" s="1" t="str">
        <x:v>Fada</x:v>
      </x:c>
      <x:c r="D179" s="1" t="str"/>
      <x:c r="E179" s="11" t="str">
        <x:v>Venenoso 2×; Aço 2×</x:v>
      </x:c>
      <x:c r="F179" s="11" t="str">
        <x:v>Lutador 0,5×; Inseto 0,5×; Sombrio 0,5×</x:v>
      </x:c>
      <x:c r="G179" s="11" t="str">
        <x:v>Dragão 0×</x:v>
      </x:c>
      <x:c r="H179" s="11" t="str">
        <x:v>Lutador; Dragão; Sombrio</x:v>
      </x:c>
      <x:c r="I179" s="9" t="str">
        <x:v>https://poke.idleworld.online/pokepedia/pokemon/togepi</x:v>
      </x:c>
    </x:row>
    <x:row r="180" ht="28" customHeight="1">
      <x:c r="A180" s="1" t="n">
        <x:v>176</x:v>
      </x:c>
      <x:c r="B180" s="1" t="str">
        <x:v>Togetic</x:v>
      </x:c>
      <x:c r="C180" s="1" t="str">
        <x:v>Fada</x:v>
      </x:c>
      <x:c r="D180" s="1" t="str">
        <x:v>Voador</x:v>
      </x:c>
      <x:c r="E180" s="11" t="str">
        <x:v>Elétrico 2×; Gelo 2×; Venenoso 2×; Pedra 2×; Aço 2×</x:v>
      </x:c>
      <x:c r="F180" s="11" t="str">
        <x:v>Planta 0,5×; Lutador 0,25×; Inseto 0,25×; Sombrio 0,5×</x:v>
      </x:c>
      <x:c r="G180" s="11" t="str">
        <x:v>Terrestre 0×; Dragão 0×</x:v>
      </x:c>
      <x:c r="H180" s="11" t="str">
        <x:v>Planta; Lutador; Inseto; Dragão; Sombrio</x:v>
      </x:c>
      <x:c r="I180" s="9" t="str">
        <x:v>https://poke.idleworld.online/pokepedia/pokemon/togetic</x:v>
      </x:c>
    </x:row>
    <x:row r="181" ht="28" customHeight="1">
      <x:c r="A181" s="1" t="n">
        <x:v>177</x:v>
      </x:c>
      <x:c r="B181" s="1" t="str">
        <x:v>Natu</x:v>
      </x:c>
      <x:c r="C181" s="1" t="str">
        <x:v>Psíquico</x:v>
      </x:c>
      <x:c r="D181" s="1" t="str">
        <x:v>Voador</x:v>
      </x:c>
      <x:c r="E181" s="11" t="str">
        <x:v>Elétrico 2×; Gelo 2×; Pedra 2×; Fantasma 2×; Sombrio 2×</x:v>
      </x:c>
      <x:c r="F181" s="11" t="str">
        <x:v>Planta 0,5×; Lutador 0,25×; Psíquico 0,5×</x:v>
      </x:c>
      <x:c r="G181" s="11" t="str">
        <x:v>Terrestre 0×</x:v>
      </x:c>
      <x:c r="H181" s="11" t="str">
        <x:v>Planta; Lutador; Venenoso; Inseto</x:v>
      </x:c>
      <x:c r="I181" s="9" t="str">
        <x:v>https://poke.idleworld.online/pokepedia/pokemon/natu</x:v>
      </x:c>
    </x:row>
    <x:row r="182" ht="28" customHeight="1">
      <x:c r="A182" s="1" t="n">
        <x:v>178</x:v>
      </x:c>
      <x:c r="B182" s="1" t="str">
        <x:v>Xatu</x:v>
      </x:c>
      <x:c r="C182" s="1" t="str">
        <x:v>Psíquico</x:v>
      </x:c>
      <x:c r="D182" s="1" t="str">
        <x:v>Voador</x:v>
      </x:c>
      <x:c r="E182" s="11" t="str">
        <x:v>Elétrico 2×; Gelo 2×; Pedra 2×; Fantasma 2×; Sombrio 2×</x:v>
      </x:c>
      <x:c r="F182" s="11" t="str">
        <x:v>Planta 0,5×; Lutador 0,25×; Psíquico 0,5×</x:v>
      </x:c>
      <x:c r="G182" s="11" t="str">
        <x:v>Terrestre 0×</x:v>
      </x:c>
      <x:c r="H182" s="11" t="str">
        <x:v>Planta; Lutador; Venenoso; Inseto</x:v>
      </x:c>
      <x:c r="I182" s="9" t="str">
        <x:v>https://poke.idleworld.online/pokepedia/pokemon/xatu</x:v>
      </x:c>
    </x:row>
    <x:row r="183" ht="28" customHeight="1">
      <x:c r="A183" s="1" t="n">
        <x:v>179</x:v>
      </x:c>
      <x:c r="B183" s="1" t="str">
        <x:v>Mareep</x:v>
      </x:c>
      <x:c r="C183" s="1" t="str">
        <x:v>Elétrico</x:v>
      </x:c>
      <x:c r="D183" s="1" t="str"/>
      <x:c r="E183" s="11" t="str">
        <x:v>Terrestre 2×</x:v>
      </x:c>
      <x:c r="F183" s="11" t="str">
        <x:v>Elétrico 0,5×; Voador 0,5×; Aço 0,5×</x:v>
      </x:c>
      <x:c r="G183" s="11" t="str"/>
      <x:c r="H183" s="11" t="str">
        <x:v>Água; Voador</x:v>
      </x:c>
      <x:c r="I183" s="9" t="str">
        <x:v>https://poke.idleworld.online/pokepedia/pokemon/mareep</x:v>
      </x:c>
    </x:row>
    <x:row r="184" ht="28" customHeight="1">
      <x:c r="A184" s="1" t="n">
        <x:v>180</x:v>
      </x:c>
      <x:c r="B184" s="1" t="str">
        <x:v>Flaaffy</x:v>
      </x:c>
      <x:c r="C184" s="1" t="str">
        <x:v>Elétrico</x:v>
      </x:c>
      <x:c r="D184" s="1" t="str"/>
      <x:c r="E184" s="11" t="str">
        <x:v>Terrestre 2×</x:v>
      </x:c>
      <x:c r="F184" s="11" t="str">
        <x:v>Elétrico 0,5×; Voador 0,5×; Aço 0,5×</x:v>
      </x:c>
      <x:c r="G184" s="11" t="str"/>
      <x:c r="H184" s="11" t="str">
        <x:v>Água; Voador</x:v>
      </x:c>
      <x:c r="I184" s="9" t="str">
        <x:v>https://poke.idleworld.online/pokepedia/pokemon/flaaffy</x:v>
      </x:c>
    </x:row>
    <x:row r="185" ht="28" customHeight="1">
      <x:c r="A185" s="1" t="n">
        <x:v>181</x:v>
      </x:c>
      <x:c r="B185" s="1" t="str">
        <x:v>Ampharos</x:v>
      </x:c>
      <x:c r="C185" s="1" t="str">
        <x:v>Elétrico</x:v>
      </x:c>
      <x:c r="D185" s="1" t="str"/>
      <x:c r="E185" s="11" t="str">
        <x:v>Terrestre 2×</x:v>
      </x:c>
      <x:c r="F185" s="11" t="str">
        <x:v>Elétrico 0,5×; Voador 0,5×; Aço 0,5×</x:v>
      </x:c>
      <x:c r="G185" s="11" t="str"/>
      <x:c r="H185" s="11" t="str">
        <x:v>Água; Voador</x:v>
      </x:c>
      <x:c r="I185" s="9" t="str">
        <x:v>https://poke.idleworld.online/pokepedia/pokemon/ampharos</x:v>
      </x:c>
    </x:row>
    <x:row r="186" ht="28" customHeight="1">
      <x:c r="A186" s="1" t="n">
        <x:v>182</x:v>
      </x:c>
      <x:c r="B186" s="1" t="str">
        <x:v>Bellossom</x:v>
      </x:c>
      <x:c r="C186" s="1" t="str">
        <x:v>Planta</x:v>
      </x:c>
      <x:c r="D186" s="1" t="str"/>
      <x:c r="E186" s="11" t="str">
        <x:v>Fogo 2×; Gelo 2×; Venenoso 2×; Voador 2×; Inseto 2×</x:v>
      </x:c>
      <x:c r="F186" s="11" t="str">
        <x:v>Água 0,5×; Elétrico 0,5×; Planta 0,5×; Terrestre 0,5×</x:v>
      </x:c>
      <x:c r="G186" s="11" t="str"/>
      <x:c r="H186" s="11" t="str">
        <x:v>Água; Terrestre; Pedra</x:v>
      </x:c>
      <x:c r="I186" s="9" t="str">
        <x:v>https://poke.idleworld.online/pokepedia/pokemon/bellossom</x:v>
      </x:c>
    </x:row>
    <x:row r="187" ht="42" customHeight="1">
      <x:c r="A187" s="1" t="n">
        <x:v>183</x:v>
      </x:c>
      <x:c r="B187" s="1" t="str">
        <x:v>Marill</x:v>
      </x:c>
      <x:c r="C187" s="1" t="str">
        <x:v>Água</x:v>
      </x:c>
      <x:c r="D187" s="1" t="str">
        <x:v>Fada</x:v>
      </x:c>
      <x:c r="E187" s="11" t="str">
        <x:v>Elétrico 2×; Planta 2×; Venenoso 2×</x:v>
      </x:c>
      <x:c r="F187" s="11" t="str">
        <x:v>Fogo 0,5×; Água 0,5×; Gelo 0,5×; Lutador 0,5×; Inseto 0,5×; Sombrio 0,5×</x:v>
      </x:c>
      <x:c r="G187" s="11" t="str">
        <x:v>Dragão 0×</x:v>
      </x:c>
      <x:c r="H187" s="11" t="str">
        <x:v>Fogo; Lutador; Terrestre; Pedra; Dragão; Sombrio</x:v>
      </x:c>
      <x:c r="I187" s="9" t="str">
        <x:v>https://poke.idleworld.online/pokepedia/pokemon/marill</x:v>
      </x:c>
    </x:row>
    <x:row r="188" ht="42" customHeight="1">
      <x:c r="A188" s="1" t="n">
        <x:v>184</x:v>
      </x:c>
      <x:c r="B188" s="1" t="str">
        <x:v>Azumarill</x:v>
      </x:c>
      <x:c r="C188" s="1" t="str">
        <x:v>Água</x:v>
      </x:c>
      <x:c r="D188" s="1" t="str">
        <x:v>Fada</x:v>
      </x:c>
      <x:c r="E188" s="11" t="str">
        <x:v>Elétrico 2×; Planta 2×; Venenoso 2×</x:v>
      </x:c>
      <x:c r="F188" s="11" t="str">
        <x:v>Fogo 0,5×; Água 0,5×; Gelo 0,5×; Lutador 0,5×; Inseto 0,5×; Sombrio 0,5×</x:v>
      </x:c>
      <x:c r="G188" s="11" t="str">
        <x:v>Dragão 0×</x:v>
      </x:c>
      <x:c r="H188" s="11" t="str">
        <x:v>Fogo; Lutador; Terrestre; Pedra; Dragão; Sombrio</x:v>
      </x:c>
      <x:c r="I188" s="9" t="str">
        <x:v>https://poke.idleworld.online/pokepedia/pokemon/azumarill</x:v>
      </x:c>
    </x:row>
    <x:row r="189" ht="28" customHeight="1">
      <x:c r="A189" s="1" t="n">
        <x:v>185</x:v>
      </x:c>
      <x:c r="B189" s="1" t="str">
        <x:v>Sudowoodo</x:v>
      </x:c>
      <x:c r="C189" s="1" t="str">
        <x:v>Pedra</x:v>
      </x:c>
      <x:c r="D189" s="1" t="str"/>
      <x:c r="E189" s="11" t="str">
        <x:v>Água 2×; Planta 2×; Lutador 2×; Terrestre 2×; Aço 2×</x:v>
      </x:c>
      <x:c r="F189" s="11" t="str">
        <x:v>Normal 0,5×; Fogo 0,5×; Venenoso 0,5×; Voador 0,5×</x:v>
      </x:c>
      <x:c r="G189" s="11" t="str"/>
      <x:c r="H189" s="11" t="str">
        <x:v>Fogo; Gelo; Voador; Inseto</x:v>
      </x:c>
      <x:c r="I189" s="9" t="str">
        <x:v>https://poke.idleworld.online/pokepedia/pokemon/sudowoodo</x:v>
      </x:c>
    </x:row>
    <x:row r="190" ht="28" customHeight="1">
      <x:c r="A190" s="1" t="n">
        <x:v>186</x:v>
      </x:c>
      <x:c r="B190" s="1" t="str">
        <x:v>Politoed</x:v>
      </x:c>
      <x:c r="C190" s="1" t="str">
        <x:v>Água</x:v>
      </x:c>
      <x:c r="D190" s="1" t="str"/>
      <x:c r="E190" s="11" t="str">
        <x:v>Elétrico 2×; Planta 2×</x:v>
      </x:c>
      <x:c r="F190" s="11" t="str">
        <x:v>Fogo 0,5×; Água 0,5×; Gelo 0,5×; Aço 0,5×</x:v>
      </x:c>
      <x:c r="G190" s="11" t="str"/>
      <x:c r="H190" s="11" t="str">
        <x:v>Fogo; Terrestre; Pedra</x:v>
      </x:c>
      <x:c r="I190" s="9" t="str">
        <x:v>https://poke.idleworld.online/pokepedia/pokemon/politoed</x:v>
      </x:c>
    </x:row>
    <x:row r="191" ht="28" customHeight="1">
      <x:c r="A191" s="1" t="n">
        <x:v>187</x:v>
      </x:c>
      <x:c r="B191" s="1" t="str">
        <x:v>Hoppip</x:v>
      </x:c>
      <x:c r="C191" s="1" t="str">
        <x:v>Planta</x:v>
      </x:c>
      <x:c r="D191" s="1" t="str">
        <x:v>Voador</x:v>
      </x:c>
      <x:c r="E191" s="11" t="str">
        <x:v>Fogo 2×; Gelo 4×; Venenoso 2×; Voador 2×; Pedra 2×</x:v>
      </x:c>
      <x:c r="F191" s="11" t="str">
        <x:v>Água 0,5×; Planta 0,25×; Lutador 0,5×</x:v>
      </x:c>
      <x:c r="G191" s="11" t="str">
        <x:v>Terrestre 0×</x:v>
      </x:c>
      <x:c r="H191" s="11" t="str">
        <x:v>Água; Planta; Lutador; Terrestre; Inseto; Pedra</x:v>
      </x:c>
      <x:c r="I191" s="9" t="str">
        <x:v>https://poke.idleworld.online/pokepedia/pokemon/hoppip</x:v>
      </x:c>
    </x:row>
    <x:row r="192" ht="28" customHeight="1">
      <x:c r="A192" s="1" t="n">
        <x:v>188</x:v>
      </x:c>
      <x:c r="B192" s="1" t="str">
        <x:v>Skiploom</x:v>
      </x:c>
      <x:c r="C192" s="1" t="str">
        <x:v>Planta</x:v>
      </x:c>
      <x:c r="D192" s="1" t="str">
        <x:v>Voador</x:v>
      </x:c>
      <x:c r="E192" s="11" t="str">
        <x:v>Fogo 2×; Gelo 4×; Venenoso 2×; Voador 2×; Pedra 2×</x:v>
      </x:c>
      <x:c r="F192" s="11" t="str">
        <x:v>Água 0,5×; Planta 0,25×; Lutador 0,5×</x:v>
      </x:c>
      <x:c r="G192" s="11" t="str">
        <x:v>Terrestre 0×</x:v>
      </x:c>
      <x:c r="H192" s="11" t="str">
        <x:v>Água; Planta; Lutador; Terrestre; Inseto; Pedra</x:v>
      </x:c>
      <x:c r="I192" s="9" t="str">
        <x:v>https://poke.idleworld.online/pokepedia/pokemon/skiploom</x:v>
      </x:c>
    </x:row>
    <x:row r="193" ht="28" customHeight="1">
      <x:c r="A193" s="1" t="n">
        <x:v>189</x:v>
      </x:c>
      <x:c r="B193" s="1" t="str">
        <x:v>Jumpluff</x:v>
      </x:c>
      <x:c r="C193" s="1" t="str">
        <x:v>Planta</x:v>
      </x:c>
      <x:c r="D193" s="1" t="str">
        <x:v>Voador</x:v>
      </x:c>
      <x:c r="E193" s="11" t="str">
        <x:v>Fogo 2×; Gelo 4×; Venenoso 2×; Voador 2×; Pedra 2×</x:v>
      </x:c>
      <x:c r="F193" s="11" t="str">
        <x:v>Água 0,5×; Planta 0,25×; Lutador 0,5×</x:v>
      </x:c>
      <x:c r="G193" s="11" t="str">
        <x:v>Terrestre 0×</x:v>
      </x:c>
      <x:c r="H193" s="11" t="str">
        <x:v>Água; Planta; Lutador; Terrestre; Inseto; Pedra</x:v>
      </x:c>
      <x:c r="I193" s="9" t="str">
        <x:v>https://poke.idleworld.online/pokepedia/pokemon/jumpluff</x:v>
      </x:c>
    </x:row>
    <x:row r="194" ht="28" customHeight="1">
      <x:c r="A194" s="1" t="n">
        <x:v>190</x:v>
      </x:c>
      <x:c r="B194" s="1" t="str">
        <x:v>Aipom</x:v>
      </x:c>
      <x:c r="C194" s="1" t="str">
        <x:v>Normal</x:v>
      </x:c>
      <x:c r="D194" s="1" t="str"/>
      <x:c r="E194" s="11" t="str">
        <x:v>Lutador 2×</x:v>
      </x:c>
      <x:c r="F194" s="11" t="str"/>
      <x:c r="G194" s="11" t="str">
        <x:v>Fantasma 0×</x:v>
      </x:c>
      <x:c r="H194" s="11" t="str"/>
      <x:c r="I194" s="9" t="str">
        <x:v>https://poke.idleworld.online/pokepedia/pokemon/aipom</x:v>
      </x:c>
    </x:row>
    <x:row r="195" ht="28" customHeight="1">
      <x:c r="A195" s="1" t="n">
        <x:v>191</x:v>
      </x:c>
      <x:c r="B195" s="1" t="str">
        <x:v>Sunkern</x:v>
      </x:c>
      <x:c r="C195" s="1" t="str">
        <x:v>Planta</x:v>
      </x:c>
      <x:c r="D195" s="1" t="str"/>
      <x:c r="E195" s="11" t="str">
        <x:v>Fogo 2×; Gelo 2×; Venenoso 2×; Voador 2×; Inseto 2×</x:v>
      </x:c>
      <x:c r="F195" s="11" t="str">
        <x:v>Água 0,5×; Elétrico 0,5×; Planta 0,5×; Terrestre 0,5×</x:v>
      </x:c>
      <x:c r="G195" s="11" t="str"/>
      <x:c r="H195" s="11" t="str">
        <x:v>Água; Terrestre; Pedra</x:v>
      </x:c>
      <x:c r="I195" s="9" t="str">
        <x:v>https://poke.idleworld.online/pokepedia/pokemon/sunkern</x:v>
      </x:c>
    </x:row>
    <x:row r="196" ht="28" customHeight="1">
      <x:c r="A196" s="1" t="n">
        <x:v>192</x:v>
      </x:c>
      <x:c r="B196" s="1" t="str">
        <x:v>Sunflora</x:v>
      </x:c>
      <x:c r="C196" s="1" t="str">
        <x:v>Planta</x:v>
      </x:c>
      <x:c r="D196" s="1" t="str"/>
      <x:c r="E196" s="11" t="str">
        <x:v>Fogo 2×; Gelo 2×; Venenoso 2×; Voador 2×; Inseto 2×</x:v>
      </x:c>
      <x:c r="F196" s="11" t="str">
        <x:v>Água 0,5×; Elétrico 0,5×; Planta 0,5×; Terrestre 0,5×</x:v>
      </x:c>
      <x:c r="G196" s="11" t="str"/>
      <x:c r="H196" s="11" t="str">
        <x:v>Água; Terrestre; Pedra</x:v>
      </x:c>
      <x:c r="I196" s="9" t="str">
        <x:v>https://poke.idleworld.online/pokepedia/pokemon/sunflora</x:v>
      </x:c>
    </x:row>
    <x:row r="197" ht="28" customHeight="1">
      <x:c r="A197" s="1" t="n">
        <x:v>193</x:v>
      </x:c>
      <x:c r="B197" s="1" t="str">
        <x:v>Yanma</x:v>
      </x:c>
      <x:c r="C197" s="1" t="str">
        <x:v>Inseto</x:v>
      </x:c>
      <x:c r="D197" s="1" t="str">
        <x:v>Voador</x:v>
      </x:c>
      <x:c r="E197" s="11" t="str">
        <x:v>Fogo 2×; Elétrico 2×; Gelo 2×; Voador 2×; Pedra 4×</x:v>
      </x:c>
      <x:c r="F197" s="11" t="str">
        <x:v>Planta 0,25×; Lutador 0,25×; Inseto 0,5×</x:v>
      </x:c>
      <x:c r="G197" s="11" t="str">
        <x:v>Terrestre 0×</x:v>
      </x:c>
      <x:c r="H197" s="11" t="str">
        <x:v>Planta; Lutador; Psíquico; Inseto; Sombrio</x:v>
      </x:c>
      <x:c r="I197" s="9" t="str">
        <x:v>https://poke.idleworld.online/pokepedia/pokemon/yanma</x:v>
      </x:c>
    </x:row>
    <x:row r="198" ht="28" customHeight="1">
      <x:c r="A198" s="1" t="n">
        <x:v>194</x:v>
      </x:c>
      <x:c r="B198" s="1" t="str">
        <x:v>Wooper</x:v>
      </x:c>
      <x:c r="C198" s="1" t="str">
        <x:v>Água</x:v>
      </x:c>
      <x:c r="D198" s="1" t="str">
        <x:v>Terrestre</x:v>
      </x:c>
      <x:c r="E198" s="11" t="str">
        <x:v>Planta 4×</x:v>
      </x:c>
      <x:c r="F198" s="11" t="str">
        <x:v>Fogo 0,5×; Venenoso 0,5×; Pedra 0,5×; Aço 0,5×</x:v>
      </x:c>
      <x:c r="G198" s="11" t="str">
        <x:v>Elétrico 0×</x:v>
      </x:c>
      <x:c r="H198" s="11" t="str">
        <x:v>Fogo; Elétrico; Venenoso; Terrestre; Pedra; Aço</x:v>
      </x:c>
      <x:c r="I198" s="9" t="str">
        <x:v>https://poke.idleworld.online/pokepedia/pokemon/wooper</x:v>
      </x:c>
    </x:row>
    <x:row r="199" ht="28" customHeight="1">
      <x:c r="A199" s="1" t="n">
        <x:v>195</x:v>
      </x:c>
      <x:c r="B199" s="1" t="str">
        <x:v>Quagsire</x:v>
      </x:c>
      <x:c r="C199" s="1" t="str">
        <x:v>Água</x:v>
      </x:c>
      <x:c r="D199" s="1" t="str">
        <x:v>Terrestre</x:v>
      </x:c>
      <x:c r="E199" s="11" t="str">
        <x:v>Planta 4×</x:v>
      </x:c>
      <x:c r="F199" s="11" t="str">
        <x:v>Fogo 0,5×; Venenoso 0,5×; Pedra 0,5×; Aço 0,5×</x:v>
      </x:c>
      <x:c r="G199" s="11" t="str">
        <x:v>Elétrico 0×</x:v>
      </x:c>
      <x:c r="H199" s="11" t="str">
        <x:v>Fogo; Elétrico; Venenoso; Terrestre; Pedra; Aço</x:v>
      </x:c>
      <x:c r="I199" s="9" t="str">
        <x:v>https://poke.idleworld.online/pokepedia/pokemon/quagsire</x:v>
      </x:c>
    </x:row>
    <x:row r="200" ht="28" customHeight="1">
      <x:c r="A200" s="1" t="n">
        <x:v>196</x:v>
      </x:c>
      <x:c r="B200" s="1" t="str">
        <x:v>Espeon</x:v>
      </x:c>
      <x:c r="C200" s="1" t="str">
        <x:v>Psíquico</x:v>
      </x:c>
      <x:c r="D200" s="1" t="str"/>
      <x:c r="E200" s="11" t="str">
        <x:v>Inseto 2×; Fantasma 2×; Sombrio 2×</x:v>
      </x:c>
      <x:c r="F200" s="11" t="str">
        <x:v>Lutador 0,5×; Psíquico 0,5×</x:v>
      </x:c>
      <x:c r="G200" s="11" t="str"/>
      <x:c r="H200" s="11" t="str">
        <x:v>Lutador; Venenoso</x:v>
      </x:c>
      <x:c r="I200" s="9" t="str">
        <x:v>https://poke.idleworld.online/pokepedia/pokemon/espeon</x:v>
      </x:c>
    </x:row>
    <x:row r="201" ht="28" customHeight="1">
      <x:c r="A201" s="1" t="n">
        <x:v>197</x:v>
      </x:c>
      <x:c r="B201" s="1" t="str">
        <x:v>Umbreon</x:v>
      </x:c>
      <x:c r="C201" s="1" t="str">
        <x:v>Sombrio</x:v>
      </x:c>
      <x:c r="D201" s="1" t="str"/>
      <x:c r="E201" s="11" t="str">
        <x:v>Lutador 2×; Inseto 2×; Fada 2×</x:v>
      </x:c>
      <x:c r="F201" s="11" t="str">
        <x:v>Fantasma 0,5×; Sombrio 0,5×</x:v>
      </x:c>
      <x:c r="G201" s="11" t="str">
        <x:v>Psíquico 0×</x:v>
      </x:c>
      <x:c r="H201" s="11" t="str">
        <x:v>Psíquico; Fantasma</x:v>
      </x:c>
      <x:c r="I201" s="9" t="str">
        <x:v>https://poke.idleworld.online/pokepedia/pokemon/umbreon</x:v>
      </x:c>
    </x:row>
    <x:row r="202" ht="28" customHeight="1">
      <x:c r="A202" s="1" t="n">
        <x:v>198</x:v>
      </x:c>
      <x:c r="B202" s="1" t="str">
        <x:v>Murkrow</x:v>
      </x:c>
      <x:c r="C202" s="1" t="str">
        <x:v>Sombrio</x:v>
      </x:c>
      <x:c r="D202" s="1" t="str">
        <x:v>Voador</x:v>
      </x:c>
      <x:c r="E202" s="11" t="str">
        <x:v>Elétrico 2×; Gelo 2×; Pedra 2×; Fada 2×</x:v>
      </x:c>
      <x:c r="F202" s="11" t="str">
        <x:v>Planta 0,5×; Fantasma 0,5×; Sombrio 0,5×</x:v>
      </x:c>
      <x:c r="G202" s="11" t="str">
        <x:v>Terrestre 0×; Psíquico 0×</x:v>
      </x:c>
      <x:c r="H202" s="11" t="str">
        <x:v>Planta; Lutador; Psíquico; Inseto; Fantasma</x:v>
      </x:c>
      <x:c r="I202" s="9" t="str">
        <x:v>https://poke.idleworld.online/pokepedia/pokemon/murkrow</x:v>
      </x:c>
    </x:row>
    <x:row r="203" ht="42" customHeight="1">
      <x:c r="A203" s="1" t="n">
        <x:v>199</x:v>
      </x:c>
      <x:c r="B203" s="1" t="str">
        <x:v>Slowking</x:v>
      </x:c>
      <x:c r="C203" s="1" t="str">
        <x:v>Água</x:v>
      </x:c>
      <x:c r="D203" s="1" t="str">
        <x:v>Psíquico</x:v>
      </x:c>
      <x:c r="E203" s="11" t="str">
        <x:v>Elétrico 2×; Planta 2×; Inseto 2×; Fantasma 2×; Sombrio 2×</x:v>
      </x:c>
      <x:c r="F203" s="11" t="str">
        <x:v>Fogo 0,5×; Água 0,5×; Gelo 0,5×; Lutador 0,5×; Psíquico 0,5×; Aço 0,5×</x:v>
      </x:c>
      <x:c r="G203" s="11" t="str"/>
      <x:c r="H203" s="11" t="str">
        <x:v>Fogo; Lutador; Venenoso; Terrestre; Pedra</x:v>
      </x:c>
      <x:c r="I203" s="9" t="str">
        <x:v>https://poke.idleworld.online/pokepedia/pokemon/slowking</x:v>
      </x:c>
    </x:row>
    <x:row r="204" ht="28" customHeight="1">
      <x:c r="A204" s="1" t="n">
        <x:v>200</x:v>
      </x:c>
      <x:c r="B204" s="1" t="str">
        <x:v>Misdreavus</x:v>
      </x:c>
      <x:c r="C204" s="1" t="str">
        <x:v>Fantasma</x:v>
      </x:c>
      <x:c r="D204" s="1" t="str"/>
      <x:c r="E204" s="11" t="str">
        <x:v>Fantasma 2×; Sombrio 2×</x:v>
      </x:c>
      <x:c r="F204" s="11" t="str">
        <x:v>Venenoso 0,5×; Inseto 0,5×</x:v>
      </x:c>
      <x:c r="G204" s="11" t="str">
        <x:v>Normal 0×; Lutador 0×</x:v>
      </x:c>
      <x:c r="H204" s="11" t="str">
        <x:v>Psíquico; Fantasma</x:v>
      </x:c>
      <x:c r="I204" s="9" t="str">
        <x:v>https://poke.idleworld.online/pokepedia/pokemon/misdreavus</x:v>
      </x:c>
    </x:row>
    <x:row r="205" ht="28" customHeight="1">
      <x:c r="A205" s="1" t="n">
        <x:v>202</x:v>
      </x:c>
      <x:c r="B205" s="1" t="str">
        <x:v>Wobbuffet</x:v>
      </x:c>
      <x:c r="C205" s="1" t="str">
        <x:v>Psíquico</x:v>
      </x:c>
      <x:c r="D205" s="1" t="str"/>
      <x:c r="E205" s="11" t="str">
        <x:v>Inseto 2×; Fantasma 2×; Sombrio 2×</x:v>
      </x:c>
      <x:c r="F205" s="11" t="str">
        <x:v>Lutador 0,5×; Psíquico 0,5×</x:v>
      </x:c>
      <x:c r="G205" s="11" t="str"/>
      <x:c r="H205" s="11" t="str">
        <x:v>Lutador; Venenoso</x:v>
      </x:c>
      <x:c r="I205" s="9" t="str">
        <x:v>https://poke.idleworld.online/pokepedia/pokemon/wobbuffet</x:v>
      </x:c>
    </x:row>
    <x:row r="206" ht="28" customHeight="1">
      <x:c r="A206" s="1" t="n">
        <x:v>203</x:v>
      </x:c>
      <x:c r="B206" s="1" t="str">
        <x:v>Girafarig</x:v>
      </x:c>
      <x:c r="C206" s="1" t="str">
        <x:v>Normal</x:v>
      </x:c>
      <x:c r="D206" s="1" t="str">
        <x:v>Psíquico</x:v>
      </x:c>
      <x:c r="E206" s="11" t="str">
        <x:v>Inseto 2×; Sombrio 2×</x:v>
      </x:c>
      <x:c r="F206" s="11" t="str">
        <x:v>Psíquico 0,5×</x:v>
      </x:c>
      <x:c r="G206" s="11" t="str">
        <x:v>Fantasma 0×</x:v>
      </x:c>
      <x:c r="H206" s="11" t="str">
        <x:v>Lutador; Venenoso</x:v>
      </x:c>
      <x:c r="I206" s="9" t="str">
        <x:v>https://poke.idleworld.online/pokepedia/pokemon/girafarig</x:v>
      </x:c>
    </x:row>
    <x:row r="207" ht="28" customHeight="1">
      <x:c r="A207" s="1" t="n">
        <x:v>204</x:v>
      </x:c>
      <x:c r="B207" s="1" t="str">
        <x:v>Pineco</x:v>
      </x:c>
      <x:c r="C207" s="1" t="str">
        <x:v>Inseto</x:v>
      </x:c>
      <x:c r="D207" s="1" t="str"/>
      <x:c r="E207" s="11" t="str">
        <x:v>Fogo 2×; Voador 2×; Pedra 2×</x:v>
      </x:c>
      <x:c r="F207" s="11" t="str">
        <x:v>Planta 0,5×; Lutador 0,5×; Terrestre 0,5×</x:v>
      </x:c>
      <x:c r="G207" s="11" t="str"/>
      <x:c r="H207" s="11" t="str">
        <x:v>Planta; Psíquico; Sombrio</x:v>
      </x:c>
      <x:c r="I207" s="9" t="str">
        <x:v>https://poke.idleworld.online/pokepedia/pokemon/pineco</x:v>
      </x:c>
    </x:row>
    <x:row r="208" ht="42" customHeight="1">
      <x:c r="A208" s="1" t="n">
        <x:v>205</x:v>
      </x:c>
      <x:c r="B208" s="1" t="str">
        <x:v>Forretress</x:v>
      </x:c>
      <x:c r="C208" s="1" t="str">
        <x:v>Inseto</x:v>
      </x:c>
      <x:c r="D208" s="1" t="str">
        <x:v>Aço</x:v>
      </x:c>
      <x:c r="E208" s="11" t="str">
        <x:v>Fogo 4×</x:v>
      </x:c>
      <x:c r="F208" s="11" t="str">
        <x:v>Normal 0,5×; Planta 0,25×; Gelo 0,5×; Psíquico 0,5×; Inseto 0,5×; Dragão 0,5×; Aço 0,5×; Fada 0,5×</x:v>
      </x:c>
      <x:c r="G208" s="11" t="str">
        <x:v>Venenoso 0×</x:v>
      </x:c>
      <x:c r="H208" s="11" t="str">
        <x:v>Planta; Gelo; Psíquico; Pedra; Sombrio; Fada</x:v>
      </x:c>
      <x:c r="I208" s="9" t="str">
        <x:v>https://poke.idleworld.online/pokepedia/pokemon/forretress</x:v>
      </x:c>
    </x:row>
    <x:row r="209" ht="28" customHeight="1">
      <x:c r="A209" s="1" t="n">
        <x:v>206</x:v>
      </x:c>
      <x:c r="B209" s="1" t="str">
        <x:v>Dunsparce</x:v>
      </x:c>
      <x:c r="C209" s="1" t="str">
        <x:v>Normal</x:v>
      </x:c>
      <x:c r="D209" s="1" t="str"/>
      <x:c r="E209" s="11" t="str">
        <x:v>Lutador 2×</x:v>
      </x:c>
      <x:c r="F209" s="11" t="str"/>
      <x:c r="G209" s="11" t="str">
        <x:v>Fantasma 0×</x:v>
      </x:c>
      <x:c r="H209" s="11" t="str"/>
      <x:c r="I209" s="9" t="str">
        <x:v>https://poke.idleworld.online/pokepedia/pokemon/dunsparce</x:v>
      </x:c>
    </x:row>
    <x:row r="210" ht="42" customHeight="1">
      <x:c r="A210" s="1" t="n">
        <x:v>207</x:v>
      </x:c>
      <x:c r="B210" s="1" t="str">
        <x:v>Gligar</x:v>
      </x:c>
      <x:c r="C210" s="1" t="str">
        <x:v>Terrestre</x:v>
      </x:c>
      <x:c r="D210" s="1" t="str">
        <x:v>Voador</x:v>
      </x:c>
      <x:c r="E210" s="11" t="str">
        <x:v>Água 2×; Gelo 4×</x:v>
      </x:c>
      <x:c r="F210" s="11" t="str">
        <x:v>Lutador 0,5×; Venenoso 0,5×; Inseto 0,5×</x:v>
      </x:c>
      <x:c r="G210" s="11" t="str">
        <x:v>Elétrico 0×; Terrestre 0×</x:v>
      </x:c>
      <x:c r="H210" s="11" t="str">
        <x:v>Fogo; Elétrico; Planta; Lutador; Venenoso; Inseto; Pedra; Aço</x:v>
      </x:c>
      <x:c r="I210" s="9" t="str">
        <x:v>https://poke.idleworld.online/pokepedia/pokemon/gligar</x:v>
      </x:c>
    </x:row>
    <x:row r="211" ht="42" customHeight="1">
      <x:c r="A211" s="1" t="n">
        <x:v>208</x:v>
      </x:c>
      <x:c r="B211" s="1" t="str">
        <x:v>Steelix</x:v>
      </x:c>
      <x:c r="C211" s="1" t="str">
        <x:v>Aço</x:v>
      </x:c>
      <x:c r="D211" s="1" t="str">
        <x:v>Terrestre</x:v>
      </x:c>
      <x:c r="E211" s="11" t="str">
        <x:v>Fogo 2×; Água 2×; Lutador 2×; Terrestre 2×</x:v>
      </x:c>
      <x:c r="F211" s="11" t="str">
        <x:v>Normal 0,5×; Voador 0,5×; Psíquico 0,5×; Inseto 0,5×; Pedra 0,25×; Dragão 0,5×; Aço 0,5×; Fada 0,5×</x:v>
      </x:c>
      <x:c r="G211" s="11" t="str">
        <x:v>Elétrico 0×; Venenoso 0×</x:v>
      </x:c>
      <x:c r="H211" s="11" t="str">
        <x:v>Fogo; Elétrico; Gelo; Venenoso; Pedra; Aço; Fada</x:v>
      </x:c>
      <x:c r="I211" s="9" t="str">
        <x:v>https://poke.idleworld.online/pokepedia/pokemon/steelix</x:v>
      </x:c>
    </x:row>
    <x:row r="212" ht="28" customHeight="1">
      <x:c r="A212" s="1" t="n">
        <x:v>209</x:v>
      </x:c>
      <x:c r="B212" s="1" t="str">
        <x:v>Snubbull</x:v>
      </x:c>
      <x:c r="C212" s="1" t="str">
        <x:v>Fada</x:v>
      </x:c>
      <x:c r="D212" s="1" t="str"/>
      <x:c r="E212" s="11" t="str">
        <x:v>Venenoso 2×; Aço 2×</x:v>
      </x:c>
      <x:c r="F212" s="11" t="str">
        <x:v>Lutador 0,5×; Inseto 0,5×; Sombrio 0,5×</x:v>
      </x:c>
      <x:c r="G212" s="11" t="str">
        <x:v>Dragão 0×</x:v>
      </x:c>
      <x:c r="H212" s="11" t="str">
        <x:v>Lutador; Dragão; Sombrio</x:v>
      </x:c>
      <x:c r="I212" s="9" t="str">
        <x:v>https://poke.idleworld.online/pokepedia/pokemon/snubbull</x:v>
      </x:c>
    </x:row>
    <x:row r="213" ht="28" customHeight="1">
      <x:c r="A213" s="1" t="n">
        <x:v>210</x:v>
      </x:c>
      <x:c r="B213" s="1" t="str">
        <x:v>Granbull</x:v>
      </x:c>
      <x:c r="C213" s="1" t="str">
        <x:v>Fada</x:v>
      </x:c>
      <x:c r="D213" s="1" t="str"/>
      <x:c r="E213" s="11" t="str">
        <x:v>Venenoso 2×; Aço 2×</x:v>
      </x:c>
      <x:c r="F213" s="11" t="str">
        <x:v>Lutador 0,5×; Inseto 0,5×; Sombrio 0,5×</x:v>
      </x:c>
      <x:c r="G213" s="11" t="str">
        <x:v>Dragão 0×</x:v>
      </x:c>
      <x:c r="H213" s="11" t="str">
        <x:v>Lutador; Dragão; Sombrio</x:v>
      </x:c>
      <x:c r="I213" s="9" t="str">
        <x:v>https://poke.idleworld.online/pokepedia/pokemon/granbull</x:v>
      </x:c>
    </x:row>
    <x:row r="214" ht="42" customHeight="1">
      <x:c r="A214" s="1" t="n">
        <x:v>211</x:v>
      </x:c>
      <x:c r="B214" s="1" t="str">
        <x:v>Qwilfish</x:v>
      </x:c>
      <x:c r="C214" s="1" t="str">
        <x:v>Água</x:v>
      </x:c>
      <x:c r="D214" s="1" t="str">
        <x:v>Venenoso</x:v>
      </x:c>
      <x:c r="E214" s="11" t="str">
        <x:v>Elétrico 2×; Terrestre 2×; Psíquico 2×</x:v>
      </x:c>
      <x:c r="F214" s="11" t="str">
        <x:v>Fogo 0,5×; Água 0,5×; Gelo 0,5×; Lutador 0,5×; Venenoso 0,5×; Inseto 0,5×; Aço 0,5×; Fada 0,5×</x:v>
      </x:c>
      <x:c r="G214" s="11" t="str"/>
      <x:c r="H214" s="11" t="str">
        <x:v>Fogo; Planta; Terrestre; Pedra; Fada</x:v>
      </x:c>
      <x:c r="I214" s="9" t="str">
        <x:v>https://poke.idleworld.online/pokepedia/pokemon/qwilfish</x:v>
      </x:c>
    </x:row>
    <x:row r="215" ht="42" customHeight="1">
      <x:c r="A215" s="1" t="n">
        <x:v>212</x:v>
      </x:c>
      <x:c r="B215" s="1" t="str">
        <x:v>Scizor</x:v>
      </x:c>
      <x:c r="C215" s="1" t="str">
        <x:v>Inseto</x:v>
      </x:c>
      <x:c r="D215" s="1" t="str">
        <x:v>Aço</x:v>
      </x:c>
      <x:c r="E215" s="11" t="str">
        <x:v>Fogo 4×</x:v>
      </x:c>
      <x:c r="F215" s="11" t="str">
        <x:v>Normal 0,5×; Planta 0,25×; Gelo 0,5×; Psíquico 0,5×; Inseto 0,5×; Dragão 0,5×; Aço 0,5×; Fada 0,5×</x:v>
      </x:c>
      <x:c r="G215" s="11" t="str">
        <x:v>Venenoso 0×</x:v>
      </x:c>
      <x:c r="H215" s="11" t="str">
        <x:v>Planta; Gelo; Psíquico; Pedra; Sombrio; Fada</x:v>
      </x:c>
      <x:c r="I215" s="9" t="str">
        <x:v>https://poke.idleworld.online/pokepedia/pokemon/scizor</x:v>
      </x:c>
    </x:row>
    <x:row r="216" ht="28" customHeight="1">
      <x:c r="A216" s="1" t="n">
        <x:v>213</x:v>
      </x:c>
      <x:c r="B216" s="1" t="str">
        <x:v>Shuckle</x:v>
      </x:c>
      <x:c r="C216" s="1" t="str">
        <x:v>Inseto</x:v>
      </x:c>
      <x:c r="D216" s="1" t="str">
        <x:v>Pedra</x:v>
      </x:c>
      <x:c r="E216" s="11" t="str">
        <x:v>Água 2×; Pedra 2×; Aço 2×</x:v>
      </x:c>
      <x:c r="F216" s="11" t="str">
        <x:v>Normal 0,5×; Venenoso 0,5×</x:v>
      </x:c>
      <x:c r="G216" s="11" t="str"/>
      <x:c r="H216" s="11" t="str">
        <x:v>Fogo; Planta; Gelo; Voador; Psíquico; Inseto; Sombrio</x:v>
      </x:c>
      <x:c r="I216" s="9" t="str">
        <x:v>https://poke.idleworld.online/pokepedia/pokemon/shuckle</x:v>
      </x:c>
    </x:row>
    <x:row r="217" ht="42" customHeight="1">
      <x:c r="A217" s="1" t="n">
        <x:v>214</x:v>
      </x:c>
      <x:c r="B217" s="1" t="str">
        <x:v>Heracross</x:v>
      </x:c>
      <x:c r="C217" s="1" t="str">
        <x:v>Inseto</x:v>
      </x:c>
      <x:c r="D217" s="1" t="str">
        <x:v>Lutador</x:v>
      </x:c>
      <x:c r="E217" s="11" t="str">
        <x:v>Fogo 2×; Voador 4×; Psíquico 2×; Fada 2×</x:v>
      </x:c>
      <x:c r="F217" s="11" t="str">
        <x:v>Planta 0,5×; Lutador 0,5×; Terrestre 0,5×; Inseto 0,5×; Sombrio 0,5×</x:v>
      </x:c>
      <x:c r="G217" s="11" t="str"/>
      <x:c r="H217" s="11" t="str">
        <x:v>Normal; Planta; Gelo; Psíquico; Pedra; Sombrio; Aço</x:v>
      </x:c>
      <x:c r="I217" s="9" t="str">
        <x:v>https://poke.idleworld.online/pokepedia/pokemon/heracross</x:v>
      </x:c>
    </x:row>
    <x:row r="218" ht="28" customHeight="1">
      <x:c r="A218" s="1" t="n">
        <x:v>215</x:v>
      </x:c>
      <x:c r="B218" s="1" t="str">
        <x:v>Sneasel</x:v>
      </x:c>
      <x:c r="C218" s="1" t="str">
        <x:v>Sombrio</x:v>
      </x:c>
      <x:c r="D218" s="1" t="str">
        <x:v>Gelo</x:v>
      </x:c>
      <x:c r="E218" s="11" t="str">
        <x:v>Fogo 2×; Lutador 4×; Inseto 2×; Pedra 2×; Aço 2×; Fada 2×</x:v>
      </x:c>
      <x:c r="F218" s="11" t="str">
        <x:v>Gelo 0,5×; Fantasma 0,5×; Sombrio 0,5×</x:v>
      </x:c>
      <x:c r="G218" s="11" t="str">
        <x:v>Psíquico 0×</x:v>
      </x:c>
      <x:c r="H218" s="11" t="str">
        <x:v>Planta; Terrestre; Voador; Psíquico; Fantasma; Dragão</x:v>
      </x:c>
      <x:c r="I218" s="9" t="str">
        <x:v>https://poke.idleworld.online/pokepedia/pokemon/sneasel</x:v>
      </x:c>
    </x:row>
    <x:row r="219" ht="28" customHeight="1">
      <x:c r="A219" s="1" t="n">
        <x:v>216</x:v>
      </x:c>
      <x:c r="B219" s="1" t="str">
        <x:v>Teddiursa</x:v>
      </x:c>
      <x:c r="C219" s="1" t="str">
        <x:v>Normal</x:v>
      </x:c>
      <x:c r="D219" s="1" t="str"/>
      <x:c r="E219" s="11" t="str">
        <x:v>Lutador 2×</x:v>
      </x:c>
      <x:c r="F219" s="11" t="str"/>
      <x:c r="G219" s="11" t="str">
        <x:v>Fantasma 0×</x:v>
      </x:c>
      <x:c r="H219" s="11" t="str"/>
      <x:c r="I219" s="9" t="str">
        <x:v>https://poke.idleworld.online/pokepedia/pokemon/teddiursa</x:v>
      </x:c>
    </x:row>
    <x:row r="220" ht="28" customHeight="1">
      <x:c r="A220" s="1" t="n">
        <x:v>217</x:v>
      </x:c>
      <x:c r="B220" s="1" t="str">
        <x:v>Ursaring</x:v>
      </x:c>
      <x:c r="C220" s="1" t="str">
        <x:v>Normal</x:v>
      </x:c>
      <x:c r="D220" s="1" t="str"/>
      <x:c r="E220" s="11" t="str">
        <x:v>Lutador 2×</x:v>
      </x:c>
      <x:c r="F220" s="11" t="str"/>
      <x:c r="G220" s="11" t="str">
        <x:v>Fantasma 0×</x:v>
      </x:c>
      <x:c r="H220" s="11" t="str"/>
      <x:c r="I220" s="9" t="str">
        <x:v>https://poke.idleworld.online/pokepedia/pokemon/ursaring</x:v>
      </x:c>
    </x:row>
    <x:row r="221" ht="42" customHeight="1">
      <x:c r="A221" s="1" t="n">
        <x:v>218</x:v>
      </x:c>
      <x:c r="B221" s="1" t="str">
        <x:v>Slugma</x:v>
      </x:c>
      <x:c r="C221" s="1" t="str">
        <x:v>Fogo</x:v>
      </x:c>
      <x:c r="D221" s="1" t="str"/>
      <x:c r="E221" s="11" t="str">
        <x:v>Água 2×; Terrestre 2×; Pedra 2×</x:v>
      </x:c>
      <x:c r="F221" s="11" t="str">
        <x:v>Fogo 0,5×; Planta 0,5×; Gelo 0,5×; Inseto 0,5×; Aço 0,5×; Fada 0,5×</x:v>
      </x:c>
      <x:c r="G221" s="11" t="str"/>
      <x:c r="H221" s="11" t="str">
        <x:v>Planta; Gelo; Inseto; Aço</x:v>
      </x:c>
      <x:c r="I221" s="9" t="str">
        <x:v>https://poke.idleworld.online/pokepedia/pokemon/slugma</x:v>
      </x:c>
    </x:row>
    <x:row r="222" ht="42" customHeight="1">
      <x:c r="A222" s="1" t="n">
        <x:v>219</x:v>
      </x:c>
      <x:c r="B222" s="1" t="str">
        <x:v>Magcargo</x:v>
      </x:c>
      <x:c r="C222" s="1" t="str">
        <x:v>Fogo</x:v>
      </x:c>
      <x:c r="D222" s="1" t="str">
        <x:v>Pedra</x:v>
      </x:c>
      <x:c r="E222" s="11" t="str">
        <x:v>Água 4×; Lutador 2×; Terrestre 4×; Pedra 2×</x:v>
      </x:c>
      <x:c r="F222" s="11" t="str">
        <x:v>Normal 0,5×; Fogo 0,25×; Gelo 0,5×; Venenoso 0,5×; Voador 0,5×; Inseto 0,5×; Fada 0,5×</x:v>
      </x:c>
      <x:c r="G222" s="11" t="str"/>
      <x:c r="H222" s="11" t="str">
        <x:v>Fogo; Planta; Gelo; Voador; Inseto; Aço</x:v>
      </x:c>
      <x:c r="I222" s="9" t="str">
        <x:v>https://poke.idleworld.online/pokepedia/pokemon/magcargo</x:v>
      </x:c>
    </x:row>
    <x:row r="223" ht="42" customHeight="1">
      <x:c r="A223" s="1" t="n">
        <x:v>220</x:v>
      </x:c>
      <x:c r="B223" s="1" t="str">
        <x:v>Swinub</x:v>
      </x:c>
      <x:c r="C223" s="1" t="str">
        <x:v>Gelo</x:v>
      </x:c>
      <x:c r="D223" s="1" t="str">
        <x:v>Terrestre</x:v>
      </x:c>
      <x:c r="E223" s="11" t="str">
        <x:v>Fogo 2×; Água 2×; Planta 2×; Lutador 2×; Aço 2×</x:v>
      </x:c>
      <x:c r="F223" s="11" t="str">
        <x:v>Venenoso 0,5×</x:v>
      </x:c>
      <x:c r="G223" s="11" t="str">
        <x:v>Elétrico 0×</x:v>
      </x:c>
      <x:c r="H223" s="11" t="str">
        <x:v>Fogo; Elétrico; Planta; Venenoso; Terrestre; Voador; Pedra; Dragão; Aço</x:v>
      </x:c>
      <x:c r="I223" s="9" t="str">
        <x:v>https://poke.idleworld.online/pokepedia/pokemon/swinub</x:v>
      </x:c>
    </x:row>
    <x:row r="224" ht="42" customHeight="1">
      <x:c r="A224" s="1" t="n">
        <x:v>221</x:v>
      </x:c>
      <x:c r="B224" s="1" t="str">
        <x:v>Piloswine</x:v>
      </x:c>
      <x:c r="C224" s="1" t="str">
        <x:v>Gelo</x:v>
      </x:c>
      <x:c r="D224" s="1" t="str">
        <x:v>Terrestre</x:v>
      </x:c>
      <x:c r="E224" s="11" t="str">
        <x:v>Fogo 2×; Água 2×; Planta 2×; Lutador 2×; Aço 2×</x:v>
      </x:c>
      <x:c r="F224" s="11" t="str">
        <x:v>Venenoso 0,5×</x:v>
      </x:c>
      <x:c r="G224" s="11" t="str">
        <x:v>Elétrico 0×</x:v>
      </x:c>
      <x:c r="H224" s="11" t="str">
        <x:v>Fogo; Elétrico; Planta; Venenoso; Terrestre; Voador; Pedra; Dragão; Aço</x:v>
      </x:c>
      <x:c r="I224" s="9" t="str">
        <x:v>https://poke.idleworld.online/pokepedia/pokemon/piloswine</x:v>
      </x:c>
    </x:row>
    <x:row r="225" ht="42" customHeight="1">
      <x:c r="A225" s="1" t="n">
        <x:v>222</x:v>
      </x:c>
      <x:c r="B225" s="1" t="str">
        <x:v>Corsola</x:v>
      </x:c>
      <x:c r="C225" s="1" t="str">
        <x:v>Água</x:v>
      </x:c>
      <x:c r="D225" s="1" t="str">
        <x:v>Pedra</x:v>
      </x:c>
      <x:c r="E225" s="11" t="str">
        <x:v>Elétrico 2×; Planta 4×; Lutador 2×; Terrestre 2×</x:v>
      </x:c>
      <x:c r="F225" s="11" t="str">
        <x:v>Normal 0,5×; Fogo 0,25×; Gelo 0,5×; Venenoso 0,5×; Voador 0,5×</x:v>
      </x:c>
      <x:c r="G225" s="11" t="str"/>
      <x:c r="H225" s="11" t="str">
        <x:v>Fogo; Gelo; Terrestre; Voador; Inseto; Pedra</x:v>
      </x:c>
      <x:c r="I225" s="9" t="str">
        <x:v>https://poke.idleworld.online/pokepedia/pokemon/corsola</x:v>
      </x:c>
    </x:row>
    <x:row r="226" ht="28" customHeight="1">
      <x:c r="A226" s="1" t="n">
        <x:v>223</x:v>
      </x:c>
      <x:c r="B226" s="1" t="str">
        <x:v>Remoraid</x:v>
      </x:c>
      <x:c r="C226" s="1" t="str">
        <x:v>Água</x:v>
      </x:c>
      <x:c r="D226" s="1" t="str"/>
      <x:c r="E226" s="11" t="str">
        <x:v>Elétrico 2×; Planta 2×</x:v>
      </x:c>
      <x:c r="F226" s="11" t="str">
        <x:v>Fogo 0,5×; Água 0,5×; Gelo 0,5×; Aço 0,5×</x:v>
      </x:c>
      <x:c r="G226" s="11" t="str"/>
      <x:c r="H226" s="11" t="str">
        <x:v>Fogo; Terrestre; Pedra</x:v>
      </x:c>
      <x:c r="I226" s="9" t="str">
        <x:v>https://poke.idleworld.online/pokepedia/pokemon/remoraid</x:v>
      </x:c>
    </x:row>
    <x:row r="227" ht="28" customHeight="1">
      <x:c r="A227" s="1" t="n">
        <x:v>224</x:v>
      </x:c>
      <x:c r="B227" s="1" t="str">
        <x:v>Octillery</x:v>
      </x:c>
      <x:c r="C227" s="1" t="str">
        <x:v>Água</x:v>
      </x:c>
      <x:c r="D227" s="1" t="str"/>
      <x:c r="E227" s="11" t="str">
        <x:v>Elétrico 2×; Planta 2×</x:v>
      </x:c>
      <x:c r="F227" s="11" t="str">
        <x:v>Fogo 0,5×; Água 0,5×; Gelo 0,5×; Aço 0,5×</x:v>
      </x:c>
      <x:c r="G227" s="11" t="str"/>
      <x:c r="H227" s="11" t="str">
        <x:v>Fogo; Terrestre; Pedra</x:v>
      </x:c>
      <x:c r="I227" s="9" t="str">
        <x:v>https://poke.idleworld.online/pokepedia/pokemon/octillery</x:v>
      </x:c>
    </x:row>
    <x:row r="228" ht="28" customHeight="1">
      <x:c r="A228" s="1" t="n">
        <x:v>225</x:v>
      </x:c>
      <x:c r="B228" s="1" t="str">
        <x:v>Delibird</x:v>
      </x:c>
      <x:c r="C228" s="1" t="str">
        <x:v>Gelo</x:v>
      </x:c>
      <x:c r="D228" s="1" t="str">
        <x:v>Voador</x:v>
      </x:c>
      <x:c r="E228" s="11" t="str">
        <x:v>Fogo 2×; Elétrico 2×; Pedra 4×; Aço 2×</x:v>
      </x:c>
      <x:c r="F228" s="11" t="str">
        <x:v>Planta 0,5×; Inseto 0,5×</x:v>
      </x:c>
      <x:c r="G228" s="11" t="str">
        <x:v>Terrestre 0×</x:v>
      </x:c>
      <x:c r="H228" s="11" t="str">
        <x:v>Planta; Lutador; Terrestre; Voador; Inseto; Dragão</x:v>
      </x:c>
      <x:c r="I228" s="9" t="str">
        <x:v>https://poke.idleworld.online/pokepedia/pokemon/delibird</x:v>
      </x:c>
    </x:row>
    <x:row r="229" ht="28" customHeight="1">
      <x:c r="A229" s="1" t="n">
        <x:v>226</x:v>
      </x:c>
      <x:c r="B229" s="1" t="str">
        <x:v>Mantine</x:v>
      </x:c>
      <x:c r="C229" s="1" t="str">
        <x:v>Água</x:v>
      </x:c>
      <x:c r="D229" s="1" t="str">
        <x:v>Voador</x:v>
      </x:c>
      <x:c r="E229" s="11" t="str">
        <x:v>Elétrico 4×; Pedra 2×</x:v>
      </x:c>
      <x:c r="F229" s="11" t="str">
        <x:v>Fogo 0,5×; Água 0,5×; Lutador 0,5×; Inseto 0,5×; Aço 0,5×</x:v>
      </x:c>
      <x:c r="G229" s="11" t="str">
        <x:v>Terrestre 0×</x:v>
      </x:c>
      <x:c r="H229" s="11" t="str">
        <x:v>Fogo; Planta; Lutador; Terrestre; Inseto; Pedra</x:v>
      </x:c>
      <x:c r="I229" s="9" t="str">
        <x:v>https://poke.idleworld.online/pokepedia/pokemon/mantine</x:v>
      </x:c>
    </x:row>
    <x:row r="230" ht="42" customHeight="1">
      <x:c r="A230" s="1" t="n">
        <x:v>227</x:v>
      </x:c>
      <x:c r="B230" s="1" t="str">
        <x:v>Skarmory</x:v>
      </x:c>
      <x:c r="C230" s="1" t="str">
        <x:v>Aço</x:v>
      </x:c>
      <x:c r="D230" s="1" t="str">
        <x:v>Voador</x:v>
      </x:c>
      <x:c r="E230" s="11" t="str">
        <x:v>Fogo 2×; Elétrico 2×</x:v>
      </x:c>
      <x:c r="F230" s="11" t="str">
        <x:v>Normal 0,5×; Planta 0,25×; Voador 0,5×; Psíquico 0,5×; Inseto 0,25×; Dragão 0,5×; Aço 0,5×; Fada 0,5×</x:v>
      </x:c>
      <x:c r="G230" s="11" t="str">
        <x:v>Venenoso 0×; Terrestre 0×</x:v>
      </x:c>
      <x:c r="H230" s="11" t="str">
        <x:v>Planta; Gelo; Lutador; Inseto; Pedra; Fada</x:v>
      </x:c>
      <x:c r="I230" s="9" t="str">
        <x:v>https://poke.idleworld.online/pokepedia/pokemon/skarmory</x:v>
      </x:c>
    </x:row>
    <x:row r="231" ht="42" customHeight="1">
      <x:c r="A231" s="1" t="n">
        <x:v>228</x:v>
      </x:c>
      <x:c r="B231" s="1" t="str">
        <x:v>Houndour</x:v>
      </x:c>
      <x:c r="C231" s="1" t="str">
        <x:v>Sombrio</x:v>
      </x:c>
      <x:c r="D231" s="1" t="str">
        <x:v>Fogo</x:v>
      </x:c>
      <x:c r="E231" s="11" t="str">
        <x:v>Água 2×; Lutador 2×; Terrestre 2×; Pedra 2×</x:v>
      </x:c>
      <x:c r="F231" s="11" t="str">
        <x:v>Fogo 0,5×; Planta 0,5×; Gelo 0,5×; Fantasma 0,5×; Sombrio 0,5×; Aço 0,5×</x:v>
      </x:c>
      <x:c r="G231" s="11" t="str">
        <x:v>Psíquico 0×</x:v>
      </x:c>
      <x:c r="H231" s="11" t="str">
        <x:v>Planta; Gelo; Psíquico; Inseto; Fantasma; Aço</x:v>
      </x:c>
      <x:c r="I231" s="9" t="str">
        <x:v>https://poke.idleworld.online/pokepedia/pokemon/houndour</x:v>
      </x:c>
    </x:row>
    <x:row r="232" ht="42" customHeight="1">
      <x:c r="A232" s="1" t="n">
        <x:v>229</x:v>
      </x:c>
      <x:c r="B232" s="1" t="str">
        <x:v>Houndoom</x:v>
      </x:c>
      <x:c r="C232" s="1" t="str">
        <x:v>Sombrio</x:v>
      </x:c>
      <x:c r="D232" s="1" t="str">
        <x:v>Fogo</x:v>
      </x:c>
      <x:c r="E232" s="11" t="str">
        <x:v>Água 2×; Lutador 2×; Terrestre 2×; Pedra 2×</x:v>
      </x:c>
      <x:c r="F232" s="11" t="str">
        <x:v>Fogo 0,5×; Planta 0,5×; Gelo 0,5×; Fantasma 0,5×; Sombrio 0,5×; Aço 0,5×</x:v>
      </x:c>
      <x:c r="G232" s="11" t="str">
        <x:v>Psíquico 0×</x:v>
      </x:c>
      <x:c r="H232" s="11" t="str">
        <x:v>Planta; Gelo; Psíquico; Inseto; Fantasma; Aço</x:v>
      </x:c>
      <x:c r="I232" s="9" t="str">
        <x:v>https://poke.idleworld.online/pokepedia/pokemon/houndoom</x:v>
      </x:c>
    </x:row>
    <x:row r="233" ht="28" customHeight="1">
      <x:c r="A233" s="1" t="n">
        <x:v>230</x:v>
      </x:c>
      <x:c r="B233" s="1" t="str">
        <x:v>Kingdra</x:v>
      </x:c>
      <x:c r="C233" s="1" t="str">
        <x:v>Água</x:v>
      </x:c>
      <x:c r="D233" s="1" t="str">
        <x:v>Dragão</x:v>
      </x:c>
      <x:c r="E233" s="11" t="str">
        <x:v>Dragão 2×; Fada 2×</x:v>
      </x:c>
      <x:c r="F233" s="11" t="str">
        <x:v>Fogo 0,25×; Água 0,25×; Aço 0,5×</x:v>
      </x:c>
      <x:c r="G233" s="11" t="str"/>
      <x:c r="H233" s="11" t="str">
        <x:v>Fogo; Terrestre; Pedra; Dragão</x:v>
      </x:c>
      <x:c r="I233" s="9" t="str">
        <x:v>https://poke.idleworld.online/pokepedia/pokemon/kingdra</x:v>
      </x:c>
    </x:row>
    <x:row r="234" ht="28" customHeight="1">
      <x:c r="A234" s="1" t="n">
        <x:v>231</x:v>
      </x:c>
      <x:c r="B234" s="1" t="str">
        <x:v>Phanpy</x:v>
      </x:c>
      <x:c r="C234" s="1" t="str">
        <x:v>Terrestre</x:v>
      </x:c>
      <x:c r="D234" s="1" t="str"/>
      <x:c r="E234" s="11" t="str">
        <x:v>Água 2×; Planta 2×; Gelo 2×</x:v>
      </x:c>
      <x:c r="F234" s="11" t="str">
        <x:v>Venenoso 0,5×; Pedra 0,5×</x:v>
      </x:c>
      <x:c r="G234" s="11" t="str">
        <x:v>Elétrico 0×</x:v>
      </x:c>
      <x:c r="H234" s="11" t="str">
        <x:v>Fogo; Elétrico; Venenoso; Pedra; Aço</x:v>
      </x:c>
      <x:c r="I234" s="9" t="str">
        <x:v>https://poke.idleworld.online/pokepedia/pokemon/phanpy</x:v>
      </x:c>
    </x:row>
    <x:row r="235" ht="28" customHeight="1">
      <x:c r="A235" s="1" t="n">
        <x:v>232</x:v>
      </x:c>
      <x:c r="B235" s="1" t="str">
        <x:v>Donphan</x:v>
      </x:c>
      <x:c r="C235" s="1" t="str">
        <x:v>Terrestre</x:v>
      </x:c>
      <x:c r="D235" s="1" t="str"/>
      <x:c r="E235" s="11" t="str">
        <x:v>Água 2×; Planta 2×; Gelo 2×</x:v>
      </x:c>
      <x:c r="F235" s="11" t="str">
        <x:v>Venenoso 0,5×; Pedra 0,5×</x:v>
      </x:c>
      <x:c r="G235" s="11" t="str">
        <x:v>Elétrico 0×</x:v>
      </x:c>
      <x:c r="H235" s="11" t="str">
        <x:v>Fogo; Elétrico; Venenoso; Pedra; Aço</x:v>
      </x:c>
      <x:c r="I235" s="9" t="str">
        <x:v>https://poke.idleworld.online/pokepedia/pokemon/donphan</x:v>
      </x:c>
    </x:row>
    <x:row r="236" ht="28" customHeight="1">
      <x:c r="A236" s="1" t="n">
        <x:v>233</x:v>
      </x:c>
      <x:c r="B236" s="1" t="str">
        <x:v>Porygon2</x:v>
      </x:c>
      <x:c r="C236" s="1" t="str">
        <x:v>Normal</x:v>
      </x:c>
      <x:c r="D236" s="1" t="str"/>
      <x:c r="E236" s="11" t="str">
        <x:v>Lutador 2×</x:v>
      </x:c>
      <x:c r="F236" s="11" t="str"/>
      <x:c r="G236" s="11" t="str">
        <x:v>Fantasma 0×</x:v>
      </x:c>
      <x:c r="H236" s="11" t="str"/>
      <x:c r="I236" s="9" t="str">
        <x:v>https://poke.idleworld.online/pokepedia/pokemon/porygon2</x:v>
      </x:c>
    </x:row>
    <x:row r="237" ht="28" customHeight="1">
      <x:c r="A237" s="1" t="n">
        <x:v>234</x:v>
      </x:c>
      <x:c r="B237" s="1" t="str">
        <x:v>Stantler</x:v>
      </x:c>
      <x:c r="C237" s="1" t="str">
        <x:v>Normal</x:v>
      </x:c>
      <x:c r="D237" s="1" t="str"/>
      <x:c r="E237" s="11" t="str">
        <x:v>Lutador 2×</x:v>
      </x:c>
      <x:c r="F237" s="11" t="str"/>
      <x:c r="G237" s="11" t="str">
        <x:v>Fantasma 0×</x:v>
      </x:c>
      <x:c r="H237" s="11" t="str"/>
      <x:c r="I237" s="9" t="str">
        <x:v>https://poke.idleworld.online/pokepedia/pokemon/stantler</x:v>
      </x:c>
    </x:row>
    <x:row r="238" ht="28" customHeight="1">
      <x:c r="A238" s="1" t="n">
        <x:v>235</x:v>
      </x:c>
      <x:c r="B238" s="1" t="str">
        <x:v>Smeargle</x:v>
      </x:c>
      <x:c r="C238" s="1" t="str">
        <x:v>Normal</x:v>
      </x:c>
      <x:c r="D238" s="1" t="str"/>
      <x:c r="E238" s="11" t="str">
        <x:v>Lutador 2×</x:v>
      </x:c>
      <x:c r="F238" s="11" t="str"/>
      <x:c r="G238" s="11" t="str">
        <x:v>Fantasma 0×</x:v>
      </x:c>
      <x:c r="H238" s="11" t="str"/>
      <x:c r="I238" s="9" t="str">
        <x:v>https://poke.idleworld.online/pokepedia/pokemon/smeargle</x:v>
      </x:c>
    </x:row>
    <x:row r="239" ht="28" customHeight="1">
      <x:c r="A239" s="1" t="n">
        <x:v>236</x:v>
      </x:c>
      <x:c r="B239" s="1" t="str">
        <x:v>Tyrogue</x:v>
      </x:c>
      <x:c r="C239" s="1" t="str">
        <x:v>Lutador</x:v>
      </x:c>
      <x:c r="D239" s="1" t="str"/>
      <x:c r="E239" s="11" t="str">
        <x:v>Voador 2×; Psíquico 2×; Fada 2×</x:v>
      </x:c>
      <x:c r="F239" s="11" t="str">
        <x:v>Inseto 0,5×; Pedra 0,5×; Sombrio 0,5×</x:v>
      </x:c>
      <x:c r="G239" s="11" t="str"/>
      <x:c r="H239" s="11" t="str">
        <x:v>Normal; Gelo; Pedra; Sombrio; Aço</x:v>
      </x:c>
      <x:c r="I239" s="9" t="str">
        <x:v>https://poke.idleworld.online/pokepedia/pokemon/tyrogue</x:v>
      </x:c>
    </x:row>
    <x:row r="240" ht="28" customHeight="1">
      <x:c r="A240" s="1" t="n">
        <x:v>237</x:v>
      </x:c>
      <x:c r="B240" s="1" t="str">
        <x:v>Hitmontop</x:v>
      </x:c>
      <x:c r="C240" s="1" t="str">
        <x:v>Lutador</x:v>
      </x:c>
      <x:c r="D240" s="1" t="str"/>
      <x:c r="E240" s="11" t="str">
        <x:v>Voador 2×; Psíquico 2×; Fada 2×</x:v>
      </x:c>
      <x:c r="F240" s="11" t="str">
        <x:v>Inseto 0,5×; Pedra 0,5×; Sombrio 0,5×</x:v>
      </x:c>
      <x:c r="G240" s="11" t="str"/>
      <x:c r="H240" s="11" t="str">
        <x:v>Normal; Gelo; Pedra; Sombrio; Aço</x:v>
      </x:c>
      <x:c r="I240" s="9" t="str">
        <x:v>https://poke.idleworld.online/pokepedia/pokemon/hitmontop</x:v>
      </x:c>
    </x:row>
    <x:row r="241" ht="42" customHeight="1">
      <x:c r="A241" s="1" t="n">
        <x:v>238</x:v>
      </x:c>
      <x:c r="B241" s="1" t="str">
        <x:v>Smoochum</x:v>
      </x:c>
      <x:c r="C241" s="1" t="str">
        <x:v>Gelo</x:v>
      </x:c>
      <x:c r="D241" s="1" t="str">
        <x:v>Psíquico</x:v>
      </x:c>
      <x:c r="E241" s="11" t="str">
        <x:v>Fogo 2×; Inseto 2×; Pedra 2×; Fantasma 2×; Sombrio 2×; Aço 2×</x:v>
      </x:c>
      <x:c r="F241" s="11" t="str">
        <x:v>Gelo 0,5×; Psíquico 0,5×</x:v>
      </x:c>
      <x:c r="G241" s="11" t="str"/>
      <x:c r="H241" s="11" t="str">
        <x:v>Planta; Lutador; Venenoso; Terrestre; Voador; Dragão</x:v>
      </x:c>
      <x:c r="I241" s="9" t="str">
        <x:v>https://poke.idleworld.online/pokepedia/pokemon/smoochum</x:v>
      </x:c>
    </x:row>
    <x:row r="242" ht="28" customHeight="1">
      <x:c r="A242" s="1" t="n">
        <x:v>239</x:v>
      </x:c>
      <x:c r="B242" s="1" t="str">
        <x:v>Elekid</x:v>
      </x:c>
      <x:c r="C242" s="1" t="str">
        <x:v>Elétrico</x:v>
      </x:c>
      <x:c r="D242" s="1" t="str"/>
      <x:c r="E242" s="11" t="str">
        <x:v>Terrestre 2×</x:v>
      </x:c>
      <x:c r="F242" s="11" t="str">
        <x:v>Elétrico 0,5×; Voador 0,5×; Aço 0,5×</x:v>
      </x:c>
      <x:c r="G242" s="11" t="str"/>
      <x:c r="H242" s="11" t="str">
        <x:v>Água; Voador</x:v>
      </x:c>
      <x:c r="I242" s="9" t="str">
        <x:v>https://poke.idleworld.online/pokepedia/pokemon/elekid</x:v>
      </x:c>
    </x:row>
    <x:row r="243" ht="42" customHeight="1">
      <x:c r="A243" s="1" t="n">
        <x:v>240</x:v>
      </x:c>
      <x:c r="B243" s="1" t="str">
        <x:v>Magby</x:v>
      </x:c>
      <x:c r="C243" s="1" t="str">
        <x:v>Fogo</x:v>
      </x:c>
      <x:c r="D243" s="1" t="str"/>
      <x:c r="E243" s="11" t="str">
        <x:v>Água 2×; Terrestre 2×; Pedra 2×</x:v>
      </x:c>
      <x:c r="F243" s="11" t="str">
        <x:v>Fogo 0,5×; Planta 0,5×; Gelo 0,5×; Inseto 0,5×; Aço 0,5×; Fada 0,5×</x:v>
      </x:c>
      <x:c r="G243" s="11" t="str"/>
      <x:c r="H243" s="11" t="str">
        <x:v>Planta; Gelo; Inseto; Aço</x:v>
      </x:c>
      <x:c r="I243" s="9" t="str">
        <x:v>https://poke.idleworld.online/pokepedia/pokemon/magby</x:v>
      </x:c>
    </x:row>
    <x:row r="244" ht="28" customHeight="1">
      <x:c r="A244" s="1" t="n">
        <x:v>241</x:v>
      </x:c>
      <x:c r="B244" s="1" t="str">
        <x:v>Miltank</x:v>
      </x:c>
      <x:c r="C244" s="1" t="str">
        <x:v>Normal</x:v>
      </x:c>
      <x:c r="D244" s="1" t="str"/>
      <x:c r="E244" s="11" t="str">
        <x:v>Lutador 2×</x:v>
      </x:c>
      <x:c r="F244" s="11" t="str"/>
      <x:c r="G244" s="11" t="str">
        <x:v>Fantasma 0×</x:v>
      </x:c>
      <x:c r="H244" s="11" t="str"/>
      <x:c r="I244" s="9" t="str">
        <x:v>https://poke.idleworld.online/pokepedia/pokemon/miltank</x:v>
      </x:c>
    </x:row>
    <x:row r="245" ht="28" customHeight="1">
      <x:c r="A245" s="1" t="n">
        <x:v>242</x:v>
      </x:c>
      <x:c r="B245" s="1" t="str">
        <x:v>Blissey</x:v>
      </x:c>
      <x:c r="C245" s="1" t="str">
        <x:v>Normal</x:v>
      </x:c>
      <x:c r="D245" s="1" t="str"/>
      <x:c r="E245" s="11" t="str">
        <x:v>Lutador 2×</x:v>
      </x:c>
      <x:c r="F245" s="11" t="str"/>
      <x:c r="G245" s="11" t="str">
        <x:v>Fantasma 0×</x:v>
      </x:c>
      <x:c r="H245" s="11" t="str"/>
      <x:c r="I245" s="9" t="str">
        <x:v>https://poke.idleworld.online/pokepedia/pokemon/blissey</x:v>
      </x:c>
    </x:row>
    <x:row r="246" ht="28" customHeight="1">
      <x:c r="A246" s="1" t="n">
        <x:v>243</x:v>
      </x:c>
      <x:c r="B246" s="1" t="str">
        <x:v>Raikou</x:v>
      </x:c>
      <x:c r="C246" s="1" t="str">
        <x:v>Elétrico</x:v>
      </x:c>
      <x:c r="D246" s="1" t="str"/>
      <x:c r="E246" s="11" t="str">
        <x:v>Terrestre 2×</x:v>
      </x:c>
      <x:c r="F246" s="11" t="str">
        <x:v>Elétrico 0,5×; Voador 0,5×; Aço 0,5×</x:v>
      </x:c>
      <x:c r="G246" s="11" t="str"/>
      <x:c r="H246" s="11" t="str">
        <x:v>Água; Voador</x:v>
      </x:c>
      <x:c r="I246" s="9" t="str">
        <x:v>https://poke.idleworld.online/pokepedia/pokemon/raikou</x:v>
      </x:c>
    </x:row>
    <x:row r="247" ht="42" customHeight="1">
      <x:c r="A247" s="1" t="n">
        <x:v>244</x:v>
      </x:c>
      <x:c r="B247" s="1" t="str">
        <x:v>Entei</x:v>
      </x:c>
      <x:c r="C247" s="1" t="str">
        <x:v>Fogo</x:v>
      </x:c>
      <x:c r="D247" s="1" t="str"/>
      <x:c r="E247" s="11" t="str">
        <x:v>Água 2×; Terrestre 2×; Pedra 2×</x:v>
      </x:c>
      <x:c r="F247" s="11" t="str">
        <x:v>Fogo 0,5×; Planta 0,5×; Gelo 0,5×; Inseto 0,5×; Aço 0,5×; Fada 0,5×</x:v>
      </x:c>
      <x:c r="G247" s="11" t="str"/>
      <x:c r="H247" s="11" t="str">
        <x:v>Planta; Gelo; Inseto; Aço</x:v>
      </x:c>
      <x:c r="I247" s="9" t="str">
        <x:v>https://poke.idleworld.online/pokepedia/pokemon/entei</x:v>
      </x:c>
    </x:row>
    <x:row r="248" ht="28" customHeight="1">
      <x:c r="A248" s="1" t="n">
        <x:v>245</x:v>
      </x:c>
      <x:c r="B248" s="1" t="str">
        <x:v>Suicune</x:v>
      </x:c>
      <x:c r="C248" s="1" t="str">
        <x:v>Água</x:v>
      </x:c>
      <x:c r="D248" s="1" t="str"/>
      <x:c r="E248" s="11" t="str">
        <x:v>Elétrico 2×; Planta 2×</x:v>
      </x:c>
      <x:c r="F248" s="11" t="str">
        <x:v>Fogo 0,5×; Água 0,5×; Gelo 0,5×; Aço 0,5×</x:v>
      </x:c>
      <x:c r="G248" s="11" t="str"/>
      <x:c r="H248" s="11" t="str">
        <x:v>Fogo; Terrestre; Pedra</x:v>
      </x:c>
      <x:c r="I248" s="9" t="str">
        <x:v>https://poke.idleworld.online/pokepedia/pokemon/suicune</x:v>
      </x:c>
    </x:row>
    <x:row r="249" ht="42" customHeight="1">
      <x:c r="A249" s="1" t="n">
        <x:v>246</x:v>
      </x:c>
      <x:c r="B249" s="1" t="str">
        <x:v>Larvitar</x:v>
      </x:c>
      <x:c r="C249" s="1" t="str">
        <x:v>Pedra</x:v>
      </x:c>
      <x:c r="D249" s="1" t="str">
        <x:v>Terrestre</x:v>
      </x:c>
      <x:c r="E249" s="11" t="str">
        <x:v>Água 4×; Planta 4×; Gelo 2×; Lutador 2×; Terrestre 2×; Aço 2×</x:v>
      </x:c>
      <x:c r="F249" s="11" t="str">
        <x:v>Normal 0,5×; Fogo 0,5×; Venenoso 0,25×; Voador 0,5×; Pedra 0,5×</x:v>
      </x:c>
      <x:c r="G249" s="11" t="str">
        <x:v>Elétrico 0×</x:v>
      </x:c>
      <x:c r="H249" s="11" t="str">
        <x:v>Fogo; Elétrico; Gelo; Venenoso; Voador; Inseto; Pedra; Aço</x:v>
      </x:c>
      <x:c r="I249" s="9" t="str">
        <x:v>https://poke.idleworld.online/pokepedia/pokemon/larvitar</x:v>
      </x:c>
    </x:row>
    <x:row r="250" ht="42" customHeight="1">
      <x:c r="A250" s="1" t="n">
        <x:v>247</x:v>
      </x:c>
      <x:c r="B250" s="1" t="str">
        <x:v>Pupitar</x:v>
      </x:c>
      <x:c r="C250" s="1" t="str">
        <x:v>Pedra</x:v>
      </x:c>
      <x:c r="D250" s="1" t="str">
        <x:v>Terrestre</x:v>
      </x:c>
      <x:c r="E250" s="11" t="str">
        <x:v>Água 4×; Planta 4×; Gelo 2×; Lutador 2×; Terrestre 2×; Aço 2×</x:v>
      </x:c>
      <x:c r="F250" s="11" t="str">
        <x:v>Normal 0,5×; Fogo 0,5×; Venenoso 0,25×; Voador 0,5×; Pedra 0,5×</x:v>
      </x:c>
      <x:c r="G250" s="11" t="str">
        <x:v>Elétrico 0×</x:v>
      </x:c>
      <x:c r="H250" s="11" t="str">
        <x:v>Fogo; Elétrico; Gelo; Venenoso; Voador; Inseto; Pedra; Aço</x:v>
      </x:c>
      <x:c r="I250" s="9" t="str">
        <x:v>https://poke.idleworld.online/pokepedia/pokemon/pupitar</x:v>
      </x:c>
    </x:row>
    <x:row r="251" ht="42" customHeight="1">
      <x:c r="A251" s="1" t="n">
        <x:v>248</x:v>
      </x:c>
      <x:c r="B251" s="1" t="str">
        <x:v>Tyranitar</x:v>
      </x:c>
      <x:c r="C251" s="1" t="str">
        <x:v>Pedra</x:v>
      </x:c>
      <x:c r="D251" s="1" t="str">
        <x:v>Sombrio</x:v>
      </x:c>
      <x:c r="E251" s="11" t="str">
        <x:v>Água 2×; Planta 2×; Lutador 4×; Terrestre 2×; Inseto 2×; Aço 2×; Fada 2×</x:v>
      </x:c>
      <x:c r="F251" s="11" t="str">
        <x:v>Normal 0,5×; Fogo 0,5×; Venenoso 0,5×; Voador 0,5×; Fantasma 0,5×; Sombrio 0,5×</x:v>
      </x:c>
      <x:c r="G251" s="11" t="str">
        <x:v>Psíquico 0×</x:v>
      </x:c>
      <x:c r="H251" s="11" t="str">
        <x:v>Fogo; Gelo; Voador; Psíquico; Inseto; Fantasma</x:v>
      </x:c>
      <x:c r="I251" s="9" t="str">
        <x:v>https://poke.idleworld.online/pokepedia/pokemon/tyranitar</x:v>
      </x:c>
    </x:row>
    <x:row r="252" ht="28" customHeight="1">
      <x:c r="A252" s="1" t="n">
        <x:v>249</x:v>
      </x:c>
      <x:c r="B252" s="1" t="str">
        <x:v>Lugia</x:v>
      </x:c>
      <x:c r="C252" s="1" t="str">
        <x:v>Psíquico</x:v>
      </x:c>
      <x:c r="D252" s="1" t="str">
        <x:v>Voador</x:v>
      </x:c>
      <x:c r="E252" s="11" t="str">
        <x:v>Elétrico 2×; Gelo 2×; Pedra 2×; Fantasma 2×; Sombrio 2×</x:v>
      </x:c>
      <x:c r="F252" s="11" t="str">
        <x:v>Planta 0,5×; Lutador 0,25×; Psíquico 0,5×</x:v>
      </x:c>
      <x:c r="G252" s="11" t="str">
        <x:v>Terrestre 0×</x:v>
      </x:c>
      <x:c r="H252" s="11" t="str">
        <x:v>Planta; Lutador; Venenoso; Inseto</x:v>
      </x:c>
      <x:c r="I252" s="9" t="str">
        <x:v>https://poke.idleworld.online/pokepedia/pokemon/lugia</x:v>
      </x:c>
    </x:row>
    <x:row r="253" ht="42" customHeight="1">
      <x:c r="A253" s="1" t="n">
        <x:v>250</x:v>
      </x:c>
      <x:c r="B253" s="1" t="str">
        <x:v>Ho-oh</x:v>
      </x:c>
      <x:c r="C253" s="1" t="str">
        <x:v>Fogo</x:v>
      </x:c>
      <x:c r="D253" s="1" t="str">
        <x:v>Voador</x:v>
      </x:c>
      <x:c r="E253" s="11" t="str">
        <x:v>Água 2×; Elétrico 2×; Pedra 4×</x:v>
      </x:c>
      <x:c r="F253" s="11" t="str">
        <x:v>Fogo 0,5×; Planta 0,25×; Lutador 0,5×; Inseto 0,25×; Aço 0,5×; Fada 0,5×</x:v>
      </x:c>
      <x:c r="G253" s="11" t="str">
        <x:v>Terrestre 0×</x:v>
      </x:c>
      <x:c r="H253" s="11" t="str">
        <x:v>Planta; Gelo; Lutador; Inseto; Aço</x:v>
      </x:c>
      <x:c r="I253" s="9" t="str">
        <x:v>https://poke.idleworld.online/pokepedia/pokemon/hooh</x:v>
      </x:c>
    </x:row>
    <x:row r="254" ht="42" customHeight="1">
      <x:c r="A254" s="1" t="n">
        <x:v>251</x:v>
      </x:c>
      <x:c r="B254" s="1" t="str">
        <x:v>Celebi</x:v>
      </x:c>
      <x:c r="C254" s="1" t="str">
        <x:v>Psíquico</x:v>
      </x:c>
      <x:c r="D254" s="1" t="str">
        <x:v>Planta</x:v>
      </x:c>
      <x:c r="E254" s="11" t="str">
        <x:v>Fogo 2×; Gelo 2×; Venenoso 2×; Voador 2×; Inseto 4×; Fantasma 2×; Sombrio 2×</x:v>
      </x:c>
      <x:c r="F254" s="11" t="str">
        <x:v>Água 0,5×; Elétrico 0,5×; Planta 0,5×; Lutador 0,5×; Terrestre 0,5×; Psíquico 0,5×</x:v>
      </x:c>
      <x:c r="G254" s="11" t="str"/>
      <x:c r="H254" s="11" t="str">
        <x:v>Água; Lutador; Venenoso; Terrestre; Pedra</x:v>
      </x:c>
      <x:c r="I254" s="9" t="str">
        <x:v>https://poke.idleworld.online/pokepedia/pokemon/celebi</x:v>
      </x:c>
    </x:row>
    <x:row r="255" ht="28" customHeight="1">
      <x:c r="A255" s="1" t="n">
        <x:v>252</x:v>
      </x:c>
      <x:c r="B255" s="1" t="str">
        <x:v>Treecko</x:v>
      </x:c>
      <x:c r="C255" s="1" t="str">
        <x:v>Planta</x:v>
      </x:c>
      <x:c r="D255" s="1" t="str"/>
      <x:c r="E255" s="11" t="str">
        <x:v>Fogo 2×; Gelo 2×; Venenoso 2×; Voador 2×; Inseto 2×</x:v>
      </x:c>
      <x:c r="F255" s="11" t="str">
        <x:v>Água 0,5×; Elétrico 0,5×; Planta 0,5×; Terrestre 0,5×</x:v>
      </x:c>
      <x:c r="G255" s="11" t="str"/>
      <x:c r="H255" s="11" t="str">
        <x:v>Água; Terrestre; Pedra</x:v>
      </x:c>
      <x:c r="I255" s="9" t="str">
        <x:v>https://poke.idleworld.online/pokepedia/pokemon/treecko</x:v>
      </x:c>
    </x:row>
    <x:row r="256" ht="28" customHeight="1">
      <x:c r="A256" s="1" t="n">
        <x:v>253</x:v>
      </x:c>
      <x:c r="B256" s="1" t="str">
        <x:v>Grovyle</x:v>
      </x:c>
      <x:c r="C256" s="1" t="str">
        <x:v>Planta</x:v>
      </x:c>
      <x:c r="D256" s="1" t="str"/>
      <x:c r="E256" s="11" t="str">
        <x:v>Fogo 2×; Gelo 2×; Venenoso 2×; Voador 2×; Inseto 2×</x:v>
      </x:c>
      <x:c r="F256" s="11" t="str">
        <x:v>Água 0,5×; Elétrico 0,5×; Planta 0,5×; Terrestre 0,5×</x:v>
      </x:c>
      <x:c r="G256" s="11" t="str"/>
      <x:c r="H256" s="11" t="str">
        <x:v>Água; Terrestre; Pedra</x:v>
      </x:c>
      <x:c r="I256" s="9" t="str">
        <x:v>https://poke.idleworld.online/pokepedia/pokemon/grovyle</x:v>
      </x:c>
    </x:row>
    <x:row r="257" ht="28" customHeight="1">
      <x:c r="A257" s="1" t="n">
        <x:v>254</x:v>
      </x:c>
      <x:c r="B257" s="1" t="str">
        <x:v>Sceptile</x:v>
      </x:c>
      <x:c r="C257" s="1" t="str">
        <x:v>Planta</x:v>
      </x:c>
      <x:c r="D257" s="1" t="str"/>
      <x:c r="E257" s="11" t="str">
        <x:v>Fogo 2×; Gelo 2×; Venenoso 2×; Voador 2×; Inseto 2×</x:v>
      </x:c>
      <x:c r="F257" s="11" t="str">
        <x:v>Água 0,5×; Elétrico 0,5×; Planta 0,5×; Terrestre 0,5×</x:v>
      </x:c>
      <x:c r="G257" s="11" t="str"/>
      <x:c r="H257" s="11" t="str">
        <x:v>Água; Terrestre; Pedra</x:v>
      </x:c>
      <x:c r="I257" s="9" t="str">
        <x:v>https://poke.idleworld.online/pokepedia/pokemon/sceptile</x:v>
      </x:c>
    </x:row>
    <x:row r="258" ht="42" customHeight="1">
      <x:c r="A258" s="1" t="n">
        <x:v>255</x:v>
      </x:c>
      <x:c r="B258" s="1" t="str">
        <x:v>Torchic</x:v>
      </x:c>
      <x:c r="C258" s="1" t="str">
        <x:v>Fogo</x:v>
      </x:c>
      <x:c r="D258" s="1" t="str"/>
      <x:c r="E258" s="11" t="str">
        <x:v>Água 2×; Terrestre 2×; Pedra 2×</x:v>
      </x:c>
      <x:c r="F258" s="11" t="str">
        <x:v>Fogo 0,5×; Planta 0,5×; Gelo 0,5×; Inseto 0,5×; Aço 0,5×; Fada 0,5×</x:v>
      </x:c>
      <x:c r="G258" s="11" t="str"/>
      <x:c r="H258" s="11" t="str">
        <x:v>Planta; Gelo; Inseto; Aço</x:v>
      </x:c>
      <x:c r="I258" s="9" t="str">
        <x:v>https://poke.idleworld.online/pokepedia/pokemon/torchic</x:v>
      </x:c>
    </x:row>
    <x:row r="259" ht="42" customHeight="1">
      <x:c r="A259" s="1" t="n">
        <x:v>256</x:v>
      </x:c>
      <x:c r="B259" s="1" t="str">
        <x:v>Combusken</x:v>
      </x:c>
      <x:c r="C259" s="1" t="str">
        <x:v>Fogo</x:v>
      </x:c>
      <x:c r="D259" s="1" t="str">
        <x:v>Lutador</x:v>
      </x:c>
      <x:c r="E259" s="11" t="str">
        <x:v>Água 2×; Terrestre 2×; Voador 2×; Psíquico 2×</x:v>
      </x:c>
      <x:c r="F259" s="11" t="str">
        <x:v>Fogo 0,5×; Planta 0,5×; Gelo 0,5×; Inseto 0,25×; Sombrio 0,5×; Aço 0,5×</x:v>
      </x:c>
      <x:c r="G259" s="11" t="str"/>
      <x:c r="H259" s="11" t="str">
        <x:v>Normal; Planta; Gelo; Inseto; Pedra; Sombrio; Aço</x:v>
      </x:c>
      <x:c r="I259" s="9" t="str">
        <x:v>https://poke.idleworld.online/pokepedia/pokemon/combusken</x:v>
      </x:c>
    </x:row>
    <x:row r="260" ht="42" customHeight="1">
      <x:c r="A260" s="1" t="n">
        <x:v>257</x:v>
      </x:c>
      <x:c r="B260" s="1" t="str">
        <x:v>Blaziken</x:v>
      </x:c>
      <x:c r="C260" s="1" t="str">
        <x:v>Fogo</x:v>
      </x:c>
      <x:c r="D260" s="1" t="str">
        <x:v>Lutador</x:v>
      </x:c>
      <x:c r="E260" s="11" t="str">
        <x:v>Água 2×; Terrestre 2×; Voador 2×; Psíquico 2×</x:v>
      </x:c>
      <x:c r="F260" s="11" t="str">
        <x:v>Fogo 0,5×; Planta 0,5×; Gelo 0,5×; Inseto 0,25×; Sombrio 0,5×; Aço 0,5×</x:v>
      </x:c>
      <x:c r="G260" s="11" t="str"/>
      <x:c r="H260" s="11" t="str">
        <x:v>Normal; Planta; Gelo; Inseto; Pedra; Sombrio; Aço</x:v>
      </x:c>
      <x:c r="I260" s="9" t="str">
        <x:v>https://poke.idleworld.online/pokepedia/pokemon/blaziken</x:v>
      </x:c>
    </x:row>
    <x:row r="261" ht="28" customHeight="1">
      <x:c r="A261" s="1" t="n">
        <x:v>258</x:v>
      </x:c>
      <x:c r="B261" s="1" t="str">
        <x:v>Mudkip</x:v>
      </x:c>
      <x:c r="C261" s="1" t="str">
        <x:v>Água</x:v>
      </x:c>
      <x:c r="D261" s="1" t="str"/>
      <x:c r="E261" s="11" t="str">
        <x:v>Elétrico 2×; Planta 2×</x:v>
      </x:c>
      <x:c r="F261" s="11" t="str">
        <x:v>Fogo 0,5×; Água 0,5×; Gelo 0,5×; Aço 0,5×</x:v>
      </x:c>
      <x:c r="G261" s="11" t="str"/>
      <x:c r="H261" s="11" t="str">
        <x:v>Fogo; Terrestre; Pedra</x:v>
      </x:c>
      <x:c r="I261" s="9" t="str">
        <x:v>https://poke.idleworld.online/pokepedia/pokemon/mudkip</x:v>
      </x:c>
    </x:row>
    <x:row r="262" ht="28" customHeight="1">
      <x:c r="A262" s="1" t="n">
        <x:v>259</x:v>
      </x:c>
      <x:c r="B262" s="1" t="str">
        <x:v>Marshtomp</x:v>
      </x:c>
      <x:c r="C262" s="1" t="str">
        <x:v>Água</x:v>
      </x:c>
      <x:c r="D262" s="1" t="str">
        <x:v>Terrestre</x:v>
      </x:c>
      <x:c r="E262" s="11" t="str">
        <x:v>Planta 4×</x:v>
      </x:c>
      <x:c r="F262" s="11" t="str">
        <x:v>Fogo 0,5×; Venenoso 0,5×; Pedra 0,5×; Aço 0,5×</x:v>
      </x:c>
      <x:c r="G262" s="11" t="str">
        <x:v>Elétrico 0×</x:v>
      </x:c>
      <x:c r="H262" s="11" t="str">
        <x:v>Fogo; Elétrico; Venenoso; Terrestre; Pedra; Aço</x:v>
      </x:c>
      <x:c r="I262" s="9" t="str">
        <x:v>https://poke.idleworld.online/pokepedia/pokemon/marshtomp</x:v>
      </x:c>
    </x:row>
    <x:row r="263" ht="28" customHeight="1">
      <x:c r="A263" s="1" t="n">
        <x:v>260</x:v>
      </x:c>
      <x:c r="B263" s="1" t="str">
        <x:v>Swampert</x:v>
      </x:c>
      <x:c r="C263" s="1" t="str">
        <x:v>Água</x:v>
      </x:c>
      <x:c r="D263" s="1" t="str">
        <x:v>Terrestre</x:v>
      </x:c>
      <x:c r="E263" s="11" t="str">
        <x:v>Planta 4×</x:v>
      </x:c>
      <x:c r="F263" s="11" t="str">
        <x:v>Fogo 0,5×; Venenoso 0,5×; Pedra 0,5×; Aço 0,5×</x:v>
      </x:c>
      <x:c r="G263" s="11" t="str">
        <x:v>Elétrico 0×</x:v>
      </x:c>
      <x:c r="H263" s="11" t="str">
        <x:v>Fogo; Elétrico; Venenoso; Terrestre; Pedra; Aço</x:v>
      </x:c>
      <x:c r="I263" s="9" t="str">
        <x:v>https://poke.idleworld.online/pokepedia/pokemon/swampert</x:v>
      </x:c>
    </x:row>
    <x:row r="264" ht="28" customHeight="1">
      <x:c r="A264" s="1" t="n">
        <x:v>261</x:v>
      </x:c>
      <x:c r="B264" s="1" t="str">
        <x:v>Poochyena</x:v>
      </x:c>
      <x:c r="C264" s="1" t="str">
        <x:v>Sombrio</x:v>
      </x:c>
      <x:c r="D264" s="1" t="str"/>
      <x:c r="E264" s="11" t="str">
        <x:v>Lutador 2×; Inseto 2×; Fada 2×</x:v>
      </x:c>
      <x:c r="F264" s="11" t="str">
        <x:v>Fantasma 0,5×; Sombrio 0,5×</x:v>
      </x:c>
      <x:c r="G264" s="11" t="str">
        <x:v>Psíquico 0×</x:v>
      </x:c>
      <x:c r="H264" s="11" t="str">
        <x:v>Psíquico; Fantasma</x:v>
      </x:c>
      <x:c r="I264" s="9" t="str">
        <x:v>https://poke.idleworld.online/pokepedia/pokemon/poochyena</x:v>
      </x:c>
    </x:row>
    <x:row r="265" ht="28" customHeight="1">
      <x:c r="A265" s="1" t="n">
        <x:v>262</x:v>
      </x:c>
      <x:c r="B265" s="1" t="str">
        <x:v>Mightyena</x:v>
      </x:c>
      <x:c r="C265" s="1" t="str">
        <x:v>Sombrio</x:v>
      </x:c>
      <x:c r="D265" s="1" t="str"/>
      <x:c r="E265" s="11" t="str">
        <x:v>Lutador 2×; Inseto 2×; Fada 2×</x:v>
      </x:c>
      <x:c r="F265" s="11" t="str">
        <x:v>Fantasma 0,5×; Sombrio 0,5×</x:v>
      </x:c>
      <x:c r="G265" s="11" t="str">
        <x:v>Psíquico 0×</x:v>
      </x:c>
      <x:c r="H265" s="11" t="str">
        <x:v>Psíquico; Fantasma</x:v>
      </x:c>
      <x:c r="I265" s="9" t="str">
        <x:v>https://poke.idleworld.online/pokepedia/pokemon/mightyena</x:v>
      </x:c>
    </x:row>
    <x:row r="266" ht="28" customHeight="1">
      <x:c r="A266" s="1" t="n">
        <x:v>270</x:v>
      </x:c>
      <x:c r="B266" s="1" t="str">
        <x:v>Lotad</x:v>
      </x:c>
      <x:c r="C266" s="1" t="str">
        <x:v>Água</x:v>
      </x:c>
      <x:c r="D266" s="1" t="str">
        <x:v>Planta</x:v>
      </x:c>
      <x:c r="E266" s="11" t="str">
        <x:v>Venenoso 2×; Voador 2×; Inseto 2×</x:v>
      </x:c>
      <x:c r="F266" s="11" t="str">
        <x:v>Água 0,25×; Terrestre 0,5×; Aço 0,5×</x:v>
      </x:c>
      <x:c r="G266" s="11" t="str"/>
      <x:c r="H266" s="11" t="str">
        <x:v>Fogo; Água; Terrestre; Pedra</x:v>
      </x:c>
      <x:c r="I266" s="9" t="str">
        <x:v>https://poke.idleworld.online/pokepedia/pokemon/lotad</x:v>
      </x:c>
    </x:row>
    <x:row r="267" ht="28" customHeight="1">
      <x:c r="A267" s="1" t="n">
        <x:v>271</x:v>
      </x:c>
      <x:c r="B267" s="1" t="str">
        <x:v>Lombre</x:v>
      </x:c>
      <x:c r="C267" s="1" t="str">
        <x:v>Água</x:v>
      </x:c>
      <x:c r="D267" s="1" t="str">
        <x:v>Planta</x:v>
      </x:c>
      <x:c r="E267" s="11" t="str">
        <x:v>Venenoso 2×; Voador 2×; Inseto 2×</x:v>
      </x:c>
      <x:c r="F267" s="11" t="str">
        <x:v>Água 0,25×; Terrestre 0,5×; Aço 0,5×</x:v>
      </x:c>
      <x:c r="G267" s="11" t="str"/>
      <x:c r="H267" s="11" t="str">
        <x:v>Fogo; Água; Terrestre; Pedra</x:v>
      </x:c>
      <x:c r="I267" s="9" t="str">
        <x:v>https://poke.idleworld.online/pokepedia/pokemon/lombre</x:v>
      </x:c>
    </x:row>
    <x:row r="268" ht="28" customHeight="1">
      <x:c r="A268" s="1" t="n">
        <x:v>272</x:v>
      </x:c>
      <x:c r="B268" s="1" t="str">
        <x:v>Ludicolo</x:v>
      </x:c>
      <x:c r="C268" s="1" t="str">
        <x:v>Água</x:v>
      </x:c>
      <x:c r="D268" s="1" t="str">
        <x:v>Planta</x:v>
      </x:c>
      <x:c r="E268" s="11" t="str">
        <x:v>Venenoso 2×; Voador 2×; Inseto 2×</x:v>
      </x:c>
      <x:c r="F268" s="11" t="str">
        <x:v>Água 0,25×; Terrestre 0,5×; Aço 0,5×</x:v>
      </x:c>
      <x:c r="G268" s="11" t="str"/>
      <x:c r="H268" s="11" t="str">
        <x:v>Fogo; Água; Terrestre; Pedra</x:v>
      </x:c>
      <x:c r="I268" s="9" t="str">
        <x:v>https://poke.idleworld.online/pokepedia/pokemon/ludicolo</x:v>
      </x:c>
    </x:row>
    <x:row r="269" ht="28" customHeight="1">
      <x:c r="A269" s="1" t="n">
        <x:v>273</x:v>
      </x:c>
      <x:c r="B269" s="1" t="str">
        <x:v>Seedot</x:v>
      </x:c>
      <x:c r="C269" s="1" t="str">
        <x:v>Planta</x:v>
      </x:c>
      <x:c r="D269" s="1" t="str"/>
      <x:c r="E269" s="11" t="str">
        <x:v>Fogo 2×; Gelo 2×; Venenoso 2×; Voador 2×; Inseto 2×</x:v>
      </x:c>
      <x:c r="F269" s="11" t="str">
        <x:v>Água 0,5×; Elétrico 0,5×; Planta 0,5×; Terrestre 0,5×</x:v>
      </x:c>
      <x:c r="G269" s="11" t="str"/>
      <x:c r="H269" s="11" t="str">
        <x:v>Água; Terrestre; Pedra</x:v>
      </x:c>
      <x:c r="I269" s="9" t="str">
        <x:v>https://poke.idleworld.online/pokepedia/pokemon/seedot</x:v>
      </x:c>
    </x:row>
    <x:row r="270" ht="42" customHeight="1">
      <x:c r="A270" s="1" t="n">
        <x:v>274</x:v>
      </x:c>
      <x:c r="B270" s="1" t="str">
        <x:v>Nuzleaf</x:v>
      </x:c>
      <x:c r="C270" s="1" t="str">
        <x:v>Planta</x:v>
      </x:c>
      <x:c r="D270" s="1" t="str">
        <x:v>Sombrio</x:v>
      </x:c>
      <x:c r="E270" s="11" t="str">
        <x:v>Fogo 2×; Gelo 2×; Lutador 2×; Venenoso 2×; Voador 2×; Inseto 4×; Fada 2×</x:v>
      </x:c>
      <x:c r="F270" s="11" t="str">
        <x:v>Água 0,5×; Elétrico 0,5×; Planta 0,5×; Terrestre 0,5×; Fantasma 0,5×; Sombrio 0,5×</x:v>
      </x:c>
      <x:c r="G270" s="11" t="str">
        <x:v>Psíquico 0×</x:v>
      </x:c>
      <x:c r="H270" s="11" t="str">
        <x:v>Água; Terrestre; Psíquico; Pedra; Fantasma</x:v>
      </x:c>
      <x:c r="I270" s="9" t="str">
        <x:v>https://poke.idleworld.online/pokepedia/pokemon/nuzleaf</x:v>
      </x:c>
    </x:row>
    <x:row r="271" ht="42" customHeight="1">
      <x:c r="A271" s="1" t="n">
        <x:v>275</x:v>
      </x:c>
      <x:c r="B271" s="1" t="str">
        <x:v>Shiftry</x:v>
      </x:c>
      <x:c r="C271" s="1" t="str">
        <x:v>Planta</x:v>
      </x:c>
      <x:c r="D271" s="1" t="str">
        <x:v>Sombrio</x:v>
      </x:c>
      <x:c r="E271" s="11" t="str">
        <x:v>Fogo 2×; Gelo 2×; Lutador 2×; Venenoso 2×; Voador 2×; Inseto 4×; Fada 2×</x:v>
      </x:c>
      <x:c r="F271" s="11" t="str">
        <x:v>Água 0,5×; Elétrico 0,5×; Planta 0,5×; Terrestre 0,5×; Fantasma 0,5×; Sombrio 0,5×</x:v>
      </x:c>
      <x:c r="G271" s="11" t="str">
        <x:v>Psíquico 0×</x:v>
      </x:c>
      <x:c r="H271" s="11" t="str">
        <x:v>Água; Terrestre; Psíquico; Pedra; Fantasma</x:v>
      </x:c>
      <x:c r="I271" s="9" t="str">
        <x:v>https://poke.idleworld.online/pokepedia/pokemon/shiftry</x:v>
      </x:c>
    </x:row>
    <x:row r="272" ht="28" customHeight="1">
      <x:c r="A272" s="1" t="n">
        <x:v>276</x:v>
      </x:c>
      <x:c r="B272" s="1" t="str">
        <x:v>Taillow</x:v>
      </x:c>
      <x:c r="C272" s="1" t="str">
        <x:v>Normal</x:v>
      </x:c>
      <x:c r="D272" s="1" t="str">
        <x:v>Voador</x:v>
      </x:c>
      <x:c r="E272" s="11" t="str">
        <x:v>Elétrico 2×; Gelo 2×; Pedra 2×</x:v>
      </x:c>
      <x:c r="F272" s="11" t="str">
        <x:v>Planta 0,5×; Inseto 0,5×</x:v>
      </x:c>
      <x:c r="G272" s="11" t="str">
        <x:v>Terrestre 0×; Fantasma 0×</x:v>
      </x:c>
      <x:c r="H272" s="11" t="str">
        <x:v>Planta; Lutador; Inseto</x:v>
      </x:c>
      <x:c r="I272" s="9" t="str">
        <x:v>https://poke.idleworld.online/pokepedia/pokemon/taillow</x:v>
      </x:c>
    </x:row>
    <x:row r="273" ht="28" customHeight="1">
      <x:c r="A273" s="1" t="n">
        <x:v>277</x:v>
      </x:c>
      <x:c r="B273" s="1" t="str">
        <x:v>Swellow</x:v>
      </x:c>
      <x:c r="C273" s="1" t="str">
        <x:v>Normal</x:v>
      </x:c>
      <x:c r="D273" s="1" t="str">
        <x:v>Voador</x:v>
      </x:c>
      <x:c r="E273" s="11" t="str">
        <x:v>Elétrico 2×; Gelo 2×; Pedra 2×</x:v>
      </x:c>
      <x:c r="F273" s="11" t="str">
        <x:v>Planta 0,5×; Inseto 0,5×</x:v>
      </x:c>
      <x:c r="G273" s="11" t="str">
        <x:v>Terrestre 0×; Fantasma 0×</x:v>
      </x:c>
      <x:c r="H273" s="11" t="str">
        <x:v>Planta; Lutador; Inseto</x:v>
      </x:c>
      <x:c r="I273" s="9" t="str">
        <x:v>https://poke.idleworld.online/pokepedia/pokemon/swellow</x:v>
      </x:c>
    </x:row>
    <x:row r="274" ht="28" customHeight="1">
      <x:c r="A274" s="1" t="n">
        <x:v>278</x:v>
      </x:c>
      <x:c r="B274" s="1" t="str">
        <x:v>Wingull</x:v>
      </x:c>
      <x:c r="C274" s="1" t="str">
        <x:v>Água</x:v>
      </x:c>
      <x:c r="D274" s="1" t="str">
        <x:v>Voador</x:v>
      </x:c>
      <x:c r="E274" s="11" t="str">
        <x:v>Elétrico 4×; Pedra 2×</x:v>
      </x:c>
      <x:c r="F274" s="11" t="str">
        <x:v>Fogo 0,5×; Água 0,5×; Lutador 0,5×; Inseto 0,5×; Aço 0,5×</x:v>
      </x:c>
      <x:c r="G274" s="11" t="str">
        <x:v>Terrestre 0×</x:v>
      </x:c>
      <x:c r="H274" s="11" t="str">
        <x:v>Fogo; Planta; Lutador; Terrestre; Inseto; Pedra</x:v>
      </x:c>
      <x:c r="I274" s="9" t="str">
        <x:v>https://poke.idleworld.online/pokepedia/pokemon/wingull</x:v>
      </x:c>
    </x:row>
    <x:row r="275" ht="28" customHeight="1">
      <x:c r="A275" s="1" t="n">
        <x:v>279</x:v>
      </x:c>
      <x:c r="B275" s="1" t="str">
        <x:v>Pelipper</x:v>
      </x:c>
      <x:c r="C275" s="1" t="str">
        <x:v>Água</x:v>
      </x:c>
      <x:c r="D275" s="1" t="str">
        <x:v>Voador</x:v>
      </x:c>
      <x:c r="E275" s="11" t="str">
        <x:v>Elétrico 4×; Pedra 2×</x:v>
      </x:c>
      <x:c r="F275" s="11" t="str">
        <x:v>Fogo 0,5×; Água 0,5×; Lutador 0,5×; Inseto 0,5×; Aço 0,5×</x:v>
      </x:c>
      <x:c r="G275" s="11" t="str">
        <x:v>Terrestre 0×</x:v>
      </x:c>
      <x:c r="H275" s="11" t="str">
        <x:v>Fogo; Planta; Lutador; Terrestre; Inseto; Pedra</x:v>
      </x:c>
      <x:c r="I275" s="9" t="str">
        <x:v>https://poke.idleworld.online/pokepedia/pokemon/pelipper</x:v>
      </x:c>
    </x:row>
    <x:row r="276" ht="28" customHeight="1">
      <x:c r="A276" s="1" t="n">
        <x:v>280</x:v>
      </x:c>
      <x:c r="B276" s="1" t="str">
        <x:v>Ralts</x:v>
      </x:c>
      <x:c r="C276" s="1" t="str">
        <x:v>Psíquico</x:v>
      </x:c>
      <x:c r="D276" s="1" t="str">
        <x:v>Fada</x:v>
      </x:c>
      <x:c r="E276" s="11" t="str">
        <x:v>Venenoso 2×; Fantasma 2×; Aço 2×</x:v>
      </x:c>
      <x:c r="F276" s="11" t="str">
        <x:v>Lutador 0,25×; Psíquico 0,5×</x:v>
      </x:c>
      <x:c r="G276" s="11" t="str">
        <x:v>Dragão 0×</x:v>
      </x:c>
      <x:c r="H276" s="11" t="str">
        <x:v>Lutador; Venenoso; Dragão; Sombrio</x:v>
      </x:c>
      <x:c r="I276" s="9" t="str">
        <x:v>https://poke.idleworld.online/pokepedia/pokemon/ralts</x:v>
      </x:c>
    </x:row>
    <x:row r="277" ht="28" customHeight="1">
      <x:c r="A277" s="1" t="n">
        <x:v>281</x:v>
      </x:c>
      <x:c r="B277" s="1" t="str">
        <x:v>Kirlia</x:v>
      </x:c>
      <x:c r="C277" s="1" t="str">
        <x:v>Psíquico</x:v>
      </x:c>
      <x:c r="D277" s="1" t="str">
        <x:v>Fada</x:v>
      </x:c>
      <x:c r="E277" s="11" t="str">
        <x:v>Venenoso 2×; Fantasma 2×; Aço 2×</x:v>
      </x:c>
      <x:c r="F277" s="11" t="str">
        <x:v>Lutador 0,25×; Psíquico 0,5×</x:v>
      </x:c>
      <x:c r="G277" s="11" t="str">
        <x:v>Dragão 0×</x:v>
      </x:c>
      <x:c r="H277" s="11" t="str">
        <x:v>Lutador; Venenoso; Dragão; Sombrio</x:v>
      </x:c>
      <x:c r="I277" s="9" t="str">
        <x:v>https://poke.idleworld.online/pokepedia/pokemon/kirlia</x:v>
      </x:c>
    </x:row>
    <x:row r="278" ht="28" customHeight="1">
      <x:c r="A278" s="1" t="n">
        <x:v>282</x:v>
      </x:c>
      <x:c r="B278" s="1" t="str">
        <x:v>Gardevoir</x:v>
      </x:c>
      <x:c r="C278" s="1" t="str">
        <x:v>Psíquico</x:v>
      </x:c>
      <x:c r="D278" s="1" t="str">
        <x:v>Fada</x:v>
      </x:c>
      <x:c r="E278" s="11" t="str">
        <x:v>Venenoso 2×; Fantasma 2×; Aço 2×</x:v>
      </x:c>
      <x:c r="F278" s="11" t="str">
        <x:v>Lutador 0,25×; Psíquico 0,5×</x:v>
      </x:c>
      <x:c r="G278" s="11" t="str">
        <x:v>Dragão 0×</x:v>
      </x:c>
      <x:c r="H278" s="11" t="str">
        <x:v>Lutador; Venenoso; Dragão; Sombrio</x:v>
      </x:c>
      <x:c r="I278" s="9" t="str">
        <x:v>https://poke.idleworld.online/pokepedia/pokemon/gardevoir</x:v>
      </x:c>
    </x:row>
    <x:row r="279" ht="28" customHeight="1">
      <x:c r="A279" s="1" t="n">
        <x:v>287</x:v>
      </x:c>
      <x:c r="B279" s="1" t="str">
        <x:v>Slakoth</x:v>
      </x:c>
      <x:c r="C279" s="1" t="str">
        <x:v>Normal</x:v>
      </x:c>
      <x:c r="D279" s="1" t="str"/>
      <x:c r="E279" s="11" t="str">
        <x:v>Lutador 2×</x:v>
      </x:c>
      <x:c r="F279" s="11" t="str"/>
      <x:c r="G279" s="11" t="str">
        <x:v>Fantasma 0×</x:v>
      </x:c>
      <x:c r="H279" s="11" t="str"/>
      <x:c r="I279" s="9" t="str">
        <x:v>https://poke.idleworld.online/pokepedia/pokemon/slakoth</x:v>
      </x:c>
    </x:row>
    <x:row r="280" ht="28" customHeight="1">
      <x:c r="A280" s="1" t="n">
        <x:v>288</x:v>
      </x:c>
      <x:c r="B280" s="1" t="str">
        <x:v>Vigoroth</x:v>
      </x:c>
      <x:c r="C280" s="1" t="str">
        <x:v>Normal</x:v>
      </x:c>
      <x:c r="D280" s="1" t="str"/>
      <x:c r="E280" s="11" t="str">
        <x:v>Lutador 2×</x:v>
      </x:c>
      <x:c r="F280" s="11" t="str"/>
      <x:c r="G280" s="11" t="str">
        <x:v>Fantasma 0×</x:v>
      </x:c>
      <x:c r="H280" s="11" t="str"/>
      <x:c r="I280" s="9" t="str">
        <x:v>https://poke.idleworld.online/pokepedia/pokemon/vigoroth</x:v>
      </x:c>
    </x:row>
    <x:row r="281" ht="28" customHeight="1">
      <x:c r="A281" s="1" t="n">
        <x:v>289</x:v>
      </x:c>
      <x:c r="B281" s="1" t="str">
        <x:v>Slaking</x:v>
      </x:c>
      <x:c r="C281" s="1" t="str">
        <x:v>Normal</x:v>
      </x:c>
      <x:c r="D281" s="1" t="str"/>
      <x:c r="E281" s="11" t="str">
        <x:v>Lutador 2×</x:v>
      </x:c>
      <x:c r="F281" s="11" t="str"/>
      <x:c r="G281" s="11" t="str">
        <x:v>Fantasma 0×</x:v>
      </x:c>
      <x:c r="H281" s="11" t="str"/>
      <x:c r="I281" s="9" t="str">
        <x:v>https://poke.idleworld.online/pokepedia/pokemon/slaking</x:v>
      </x:c>
    </x:row>
    <x:row r="282" ht="28" customHeight="1">
      <x:c r="A282" s="1" t="n">
        <x:v>293</x:v>
      </x:c>
      <x:c r="B282" s="1" t="str">
        <x:v>Whismur</x:v>
      </x:c>
      <x:c r="C282" s="1" t="str">
        <x:v>Normal</x:v>
      </x:c>
      <x:c r="D282" s="1" t="str"/>
      <x:c r="E282" s="11" t="str">
        <x:v>Lutador 2×</x:v>
      </x:c>
      <x:c r="F282" s="11" t="str"/>
      <x:c r="G282" s="11" t="str">
        <x:v>Fantasma 0×</x:v>
      </x:c>
      <x:c r="H282" s="11" t="str"/>
      <x:c r="I282" s="9" t="str">
        <x:v>https://poke.idleworld.online/pokepedia/pokemon/whismur</x:v>
      </x:c>
    </x:row>
    <x:row r="283" ht="28" customHeight="1">
      <x:c r="A283" s="1" t="n">
        <x:v>294</x:v>
      </x:c>
      <x:c r="B283" s="1" t="str">
        <x:v>Loudred</x:v>
      </x:c>
      <x:c r="C283" s="1" t="str">
        <x:v>Normal</x:v>
      </x:c>
      <x:c r="D283" s="1" t="str"/>
      <x:c r="E283" s="11" t="str">
        <x:v>Lutador 2×</x:v>
      </x:c>
      <x:c r="F283" s="11" t="str"/>
      <x:c r="G283" s="11" t="str">
        <x:v>Fantasma 0×</x:v>
      </x:c>
      <x:c r="H283" s="11" t="str"/>
      <x:c r="I283" s="9" t="str">
        <x:v>https://poke.idleworld.online/pokepedia/pokemon/loudred</x:v>
      </x:c>
    </x:row>
    <x:row r="284" ht="28" customHeight="1">
      <x:c r="A284" s="1" t="n">
        <x:v>295</x:v>
      </x:c>
      <x:c r="B284" s="1" t="str">
        <x:v>Exploud</x:v>
      </x:c>
      <x:c r="C284" s="1" t="str">
        <x:v>Normal</x:v>
      </x:c>
      <x:c r="D284" s="1" t="str"/>
      <x:c r="E284" s="11" t="str">
        <x:v>Lutador 2×</x:v>
      </x:c>
      <x:c r="F284" s="11" t="str"/>
      <x:c r="G284" s="11" t="str">
        <x:v>Fantasma 0×</x:v>
      </x:c>
      <x:c r="H284" s="11" t="str"/>
      <x:c r="I284" s="9" t="str">
        <x:v>https://poke.idleworld.online/pokepedia/pokemon/exploud</x:v>
      </x:c>
    </x:row>
    <x:row r="285" ht="28" customHeight="1">
      <x:c r="A285" s="1" t="n">
        <x:v>296</x:v>
      </x:c>
      <x:c r="B285" s="1" t="str">
        <x:v>Makuhita</x:v>
      </x:c>
      <x:c r="C285" s="1" t="str">
        <x:v>Lutador</x:v>
      </x:c>
      <x:c r="D285" s="1" t="str"/>
      <x:c r="E285" s="11" t="str">
        <x:v>Voador 2×; Psíquico 2×; Fada 2×</x:v>
      </x:c>
      <x:c r="F285" s="11" t="str">
        <x:v>Inseto 0,5×; Pedra 0,5×; Sombrio 0,5×</x:v>
      </x:c>
      <x:c r="G285" s="11" t="str"/>
      <x:c r="H285" s="11" t="str">
        <x:v>Normal; Gelo; Pedra; Sombrio; Aço</x:v>
      </x:c>
      <x:c r="I285" s="9" t="str">
        <x:v>https://poke.idleworld.online/pokepedia/pokemon/makuhita</x:v>
      </x:c>
    </x:row>
    <x:row r="286" ht="28" customHeight="1">
      <x:c r="A286" s="1" t="n">
        <x:v>302</x:v>
      </x:c>
      <x:c r="B286" s="1" t="str">
        <x:v>Sableye</x:v>
      </x:c>
      <x:c r="C286" s="1" t="str">
        <x:v>Sombrio</x:v>
      </x:c>
      <x:c r="D286" s="1" t="str">
        <x:v>Fantasma</x:v>
      </x:c>
      <x:c r="E286" s="11" t="str">
        <x:v>Fada 2×</x:v>
      </x:c>
      <x:c r="F286" s="11" t="str">
        <x:v>Venenoso 0,5×</x:v>
      </x:c>
      <x:c r="G286" s="11" t="str">
        <x:v>Normal 0×; Lutador 0×; Psíquico 0×</x:v>
      </x:c>
      <x:c r="H286" s="11" t="str">
        <x:v>Psíquico; Fantasma</x:v>
      </x:c>
      <x:c r="I286" s="9" t="str">
        <x:v>https://poke.idleworld.online/pokepedia/pokemon/sableye</x:v>
      </x:c>
    </x:row>
    <x:row r="287" ht="42" customHeight="1">
      <x:c r="A287" s="1" t="n">
        <x:v>303</x:v>
      </x:c>
      <x:c r="B287" s="1" t="str">
        <x:v>Mawile</x:v>
      </x:c>
      <x:c r="C287" s="1" t="str">
        <x:v>Aço</x:v>
      </x:c>
      <x:c r="D287" s="1" t="str">
        <x:v>Fada</x:v>
      </x:c>
      <x:c r="E287" s="11" t="str">
        <x:v>Fogo 2×; Terrestre 2×</x:v>
      </x:c>
      <x:c r="F287" s="11" t="str">
        <x:v>Normal 0,5×; Planta 0,5×; Gelo 0,5×; Voador 0,5×; Psíquico 0,5×; Inseto 0,25×; Pedra 0,5×; Sombrio 0,5×; Fada 0,5×</x:v>
      </x:c>
      <x:c r="G287" s="11" t="str">
        <x:v>Venenoso 0×; Dragão 0×</x:v>
      </x:c>
      <x:c r="H287" s="11" t="str">
        <x:v>Gelo; Lutador; Pedra; Dragão; Sombrio; Fada</x:v>
      </x:c>
      <x:c r="I287" s="9" t="str">
        <x:v>https://poke.idleworld.online/pokepedia/pokemon/mawile</x:v>
      </x:c>
    </x:row>
    <x:row r="288" ht="42" customHeight="1">
      <x:c r="A288" s="1" t="n">
        <x:v>304</x:v>
      </x:c>
      <x:c r="B288" s="1" t="str">
        <x:v>Aron</x:v>
      </x:c>
      <x:c r="C288" s="1" t="str">
        <x:v>Aço</x:v>
      </x:c>
      <x:c r="D288" s="1" t="str">
        <x:v>Pedra</x:v>
      </x:c>
      <x:c r="E288" s="11" t="str">
        <x:v>Água 2×; Lutador 4×; Terrestre 4×</x:v>
      </x:c>
      <x:c r="F288" s="11" t="str">
        <x:v>Normal 0,25×; Gelo 0,5×; Voador 0,25×; Psíquico 0,5×; Inseto 0,5×; Pedra 0,5×; Dragão 0,5×; Fada 0,5×</x:v>
      </x:c>
      <x:c r="G288" s="11" t="str">
        <x:v>Venenoso 0×</x:v>
      </x:c>
      <x:c r="H288" s="11" t="str">
        <x:v>Fogo; Gelo; Voador; Inseto; Pedra; Fada</x:v>
      </x:c>
      <x:c r="I288" s="9" t="str">
        <x:v>https://poke.idleworld.online/pokepedia/pokemon/aron</x:v>
      </x:c>
    </x:row>
    <x:row r="289" ht="42" customHeight="1">
      <x:c r="A289" s="1" t="n">
        <x:v>305</x:v>
      </x:c>
      <x:c r="B289" s="1" t="str">
        <x:v>Lairon</x:v>
      </x:c>
      <x:c r="C289" s="1" t="str">
        <x:v>Aço</x:v>
      </x:c>
      <x:c r="D289" s="1" t="str">
        <x:v>Pedra</x:v>
      </x:c>
      <x:c r="E289" s="11" t="str">
        <x:v>Água 2×; Lutador 4×; Terrestre 4×</x:v>
      </x:c>
      <x:c r="F289" s="11" t="str">
        <x:v>Normal 0,25×; Gelo 0,5×; Voador 0,25×; Psíquico 0,5×; Inseto 0,5×; Pedra 0,5×; Dragão 0,5×; Fada 0,5×</x:v>
      </x:c>
      <x:c r="G289" s="11" t="str">
        <x:v>Venenoso 0×</x:v>
      </x:c>
      <x:c r="H289" s="11" t="str">
        <x:v>Fogo; Gelo; Voador; Inseto; Pedra; Fada</x:v>
      </x:c>
      <x:c r="I289" s="9" t="str">
        <x:v>https://poke.idleworld.online/pokepedia/pokemon/lairon</x:v>
      </x:c>
    </x:row>
    <x:row r="290" ht="42" customHeight="1">
      <x:c r="A290" s="1" t="n">
        <x:v>306</x:v>
      </x:c>
      <x:c r="B290" s="1" t="str">
        <x:v>Aggron</x:v>
      </x:c>
      <x:c r="C290" s="1" t="str">
        <x:v>Aço</x:v>
      </x:c>
      <x:c r="D290" s="1" t="str">
        <x:v>Pedra</x:v>
      </x:c>
      <x:c r="E290" s="11" t="str">
        <x:v>Água 2×; Lutador 4×; Terrestre 4×</x:v>
      </x:c>
      <x:c r="F290" s="11" t="str">
        <x:v>Normal 0,25×; Gelo 0,5×; Voador 0,25×; Psíquico 0,5×; Inseto 0,5×; Pedra 0,5×; Dragão 0,5×; Fada 0,5×</x:v>
      </x:c>
      <x:c r="G290" s="11" t="str">
        <x:v>Venenoso 0×</x:v>
      </x:c>
      <x:c r="H290" s="11" t="str">
        <x:v>Fogo; Gelo; Voador; Inseto; Pedra; Fada</x:v>
      </x:c>
      <x:c r="I290" s="9" t="str">
        <x:v>https://poke.idleworld.online/pokepedia/pokemon/aggron</x:v>
      </x:c>
    </x:row>
    <x:row r="291" ht="28" customHeight="1">
      <x:c r="A291" s="1" t="n">
        <x:v>307</x:v>
      </x:c>
      <x:c r="B291" s="1" t="str">
        <x:v>Meditite</x:v>
      </x:c>
      <x:c r="C291" s="1" t="str">
        <x:v>Lutador</x:v>
      </x:c>
      <x:c r="D291" s="1" t="str">
        <x:v>Psíquico</x:v>
      </x:c>
      <x:c r="E291" s="11" t="str">
        <x:v>Voador 2×; Fantasma 2×; Fada 2×</x:v>
      </x:c>
      <x:c r="F291" s="11" t="str">
        <x:v>Lutador 0,5×; Pedra 0,5×</x:v>
      </x:c>
      <x:c r="G291" s="11" t="str"/>
      <x:c r="H291" s="11" t="str">
        <x:v>Normal; Gelo; Lutador; Venenoso; Pedra; Sombrio; Aço</x:v>
      </x:c>
      <x:c r="I291" s="9" t="str">
        <x:v>https://poke.idleworld.online/pokepedia/pokemon/meditite</x:v>
      </x:c>
    </x:row>
    <x:row r="292" ht="28" customHeight="1">
      <x:c r="A292" s="1" t="n">
        <x:v>308</x:v>
      </x:c>
      <x:c r="B292" s="1" t="str">
        <x:v>Medicham</x:v>
      </x:c>
      <x:c r="C292" s="1" t="str">
        <x:v>Lutador</x:v>
      </x:c>
      <x:c r="D292" s="1" t="str">
        <x:v>Psíquico</x:v>
      </x:c>
      <x:c r="E292" s="11" t="str">
        <x:v>Voador 2×; Fantasma 2×; Fada 2×</x:v>
      </x:c>
      <x:c r="F292" s="11" t="str">
        <x:v>Lutador 0,5×; Pedra 0,5×</x:v>
      </x:c>
      <x:c r="G292" s="11" t="str"/>
      <x:c r="H292" s="11" t="str">
        <x:v>Normal; Gelo; Lutador; Venenoso; Pedra; Sombrio; Aço</x:v>
      </x:c>
      <x:c r="I292" s="9" t="str">
        <x:v>https://poke.idleworld.online/pokepedia/pokemon/medicham</x:v>
      </x:c>
    </x:row>
    <x:row r="293" ht="28" customHeight="1">
      <x:c r="A293" s="1" t="n">
        <x:v>309</x:v>
      </x:c>
      <x:c r="B293" s="1" t="str">
        <x:v>Electrike</x:v>
      </x:c>
      <x:c r="C293" s="1" t="str">
        <x:v>Elétrico</x:v>
      </x:c>
      <x:c r="D293" s="1" t="str"/>
      <x:c r="E293" s="11" t="str">
        <x:v>Terrestre 2×</x:v>
      </x:c>
      <x:c r="F293" s="11" t="str">
        <x:v>Elétrico 0,5×; Voador 0,5×; Aço 0,5×</x:v>
      </x:c>
      <x:c r="G293" s="11" t="str"/>
      <x:c r="H293" s="11" t="str">
        <x:v>Água; Voador</x:v>
      </x:c>
      <x:c r="I293" s="9" t="str">
        <x:v>https://poke.idleworld.online/pokepedia/pokemon/electrike</x:v>
      </x:c>
    </x:row>
    <x:row r="294" ht="28" customHeight="1">
      <x:c r="A294" s="1" t="n">
        <x:v>310</x:v>
      </x:c>
      <x:c r="B294" s="1" t="str">
        <x:v>Manectric</x:v>
      </x:c>
      <x:c r="C294" s="1" t="str">
        <x:v>Elétrico</x:v>
      </x:c>
      <x:c r="D294" s="1" t="str"/>
      <x:c r="E294" s="11" t="str">
        <x:v>Terrestre 2×</x:v>
      </x:c>
      <x:c r="F294" s="11" t="str">
        <x:v>Elétrico 0,5×; Voador 0,5×; Aço 0,5×</x:v>
      </x:c>
      <x:c r="G294" s="11" t="str"/>
      <x:c r="H294" s="11" t="str">
        <x:v>Água; Voador</x:v>
      </x:c>
      <x:c r="I294" s="9" t="str">
        <x:v>https://poke.idleworld.online/pokepedia/pokemon/manectric</x:v>
      </x:c>
    </x:row>
    <x:row r="295" ht="42" customHeight="1">
      <x:c r="A295" s="1" t="n">
        <x:v>318</x:v>
      </x:c>
      <x:c r="B295" s="1" t="str">
        <x:v>Carvanha</x:v>
      </x:c>
      <x:c r="C295" s="1" t="str">
        <x:v>Água</x:v>
      </x:c>
      <x:c r="D295" s="1" t="str">
        <x:v>Sombrio</x:v>
      </x:c>
      <x:c r="E295" s="11" t="str">
        <x:v>Elétrico 2×; Planta 2×; Lutador 2×; Inseto 2×; Fada 2×</x:v>
      </x:c>
      <x:c r="F295" s="11" t="str">
        <x:v>Fogo 0,5×; Água 0,5×; Gelo 0,5×; Fantasma 0,5×; Sombrio 0,5×; Aço 0,5×</x:v>
      </x:c>
      <x:c r="G295" s="11" t="str">
        <x:v>Psíquico 0×</x:v>
      </x:c>
      <x:c r="H295" s="11" t="str">
        <x:v>Fogo; Terrestre; Psíquico; Pedra; Fantasma</x:v>
      </x:c>
      <x:c r="I295" s="9" t="str">
        <x:v>https://poke.idleworld.online/pokepedia/pokemon/carvanha</x:v>
      </x:c>
    </x:row>
    <x:row r="296" ht="42" customHeight="1">
      <x:c r="A296" s="1" t="n">
        <x:v>319</x:v>
      </x:c>
      <x:c r="B296" s="1" t="str">
        <x:v>Sharpedo</x:v>
      </x:c>
      <x:c r="C296" s="1" t="str">
        <x:v>Água</x:v>
      </x:c>
      <x:c r="D296" s="1" t="str">
        <x:v>Sombrio</x:v>
      </x:c>
      <x:c r="E296" s="11" t="str">
        <x:v>Elétrico 2×; Planta 2×; Lutador 2×; Inseto 2×; Fada 2×</x:v>
      </x:c>
      <x:c r="F296" s="11" t="str">
        <x:v>Fogo 0,5×; Água 0,5×; Gelo 0,5×; Fantasma 0,5×; Sombrio 0,5×; Aço 0,5×</x:v>
      </x:c>
      <x:c r="G296" s="11" t="str">
        <x:v>Psíquico 0×</x:v>
      </x:c>
      <x:c r="H296" s="11" t="str">
        <x:v>Fogo; Terrestre; Psíquico; Pedra; Fantasma</x:v>
      </x:c>
      <x:c r="I296" s="9" t="str">
        <x:v>https://poke.idleworld.online/pokepedia/pokemon/sharpedo</x:v>
      </x:c>
    </x:row>
    <x:row r="297" ht="28" customHeight="1">
      <x:c r="A297" s="1" t="n">
        <x:v>322</x:v>
      </x:c>
      <x:c r="B297" s="1" t="str">
        <x:v>Numel</x:v>
      </x:c>
      <x:c r="C297" s="1" t="str">
        <x:v>Fogo</x:v>
      </x:c>
      <x:c r="D297" s="1" t="str">
        <x:v>Terrestre</x:v>
      </x:c>
      <x:c r="E297" s="11" t="str">
        <x:v>Água 4×; Terrestre 2×</x:v>
      </x:c>
      <x:c r="F297" s="11" t="str">
        <x:v>Fogo 0,5×; Venenoso 0,5×; Inseto 0,5×; Aço 0,5×; Fada 0,5×</x:v>
      </x:c>
      <x:c r="G297" s="11" t="str">
        <x:v>Elétrico 0×</x:v>
      </x:c>
      <x:c r="H297" s="11" t="str">
        <x:v>Fogo; Elétrico; Planta; Gelo; Venenoso; Inseto; Pedra; Aço</x:v>
      </x:c>
      <x:c r="I297" s="9" t="str">
        <x:v>https://poke.idleworld.online/pokepedia/pokemon/numel</x:v>
      </x:c>
    </x:row>
    <x:row r="298" ht="28" customHeight="1">
      <x:c r="A298" s="1" t="n">
        <x:v>323</x:v>
      </x:c>
      <x:c r="B298" s="1" t="str">
        <x:v>Camerupt</x:v>
      </x:c>
      <x:c r="C298" s="1" t="str">
        <x:v>Fogo</x:v>
      </x:c>
      <x:c r="D298" s="1" t="str">
        <x:v>Terrestre</x:v>
      </x:c>
      <x:c r="E298" s="11" t="str">
        <x:v>Água 4×; Terrestre 2×</x:v>
      </x:c>
      <x:c r="F298" s="11" t="str">
        <x:v>Fogo 0,5×; Venenoso 0,5×; Inseto 0,5×; Aço 0,5×; Fada 0,5×</x:v>
      </x:c>
      <x:c r="G298" s="11" t="str">
        <x:v>Elétrico 0×</x:v>
      </x:c>
      <x:c r="H298" s="11" t="str">
        <x:v>Fogo; Elétrico; Planta; Gelo; Venenoso; Inseto; Pedra; Aço</x:v>
      </x:c>
      <x:c r="I298" s="9" t="str">
        <x:v>https://poke.idleworld.online/pokepedia/pokemon/camerupt</x:v>
      </x:c>
    </x:row>
    <x:row r="299" ht="42" customHeight="1">
      <x:c r="A299" s="1" t="n">
        <x:v>324</x:v>
      </x:c>
      <x:c r="B299" s="1" t="str">
        <x:v>Torkoal</x:v>
      </x:c>
      <x:c r="C299" s="1" t="str">
        <x:v>Fogo</x:v>
      </x:c>
      <x:c r="D299" s="1" t="str"/>
      <x:c r="E299" s="11" t="str">
        <x:v>Água 2×; Terrestre 2×; Pedra 2×</x:v>
      </x:c>
      <x:c r="F299" s="11" t="str">
        <x:v>Fogo 0,5×; Planta 0,5×; Gelo 0,5×; Inseto 0,5×; Aço 0,5×; Fada 0,5×</x:v>
      </x:c>
      <x:c r="G299" s="11" t="str"/>
      <x:c r="H299" s="11" t="str">
        <x:v>Planta; Gelo; Inseto; Aço</x:v>
      </x:c>
      <x:c r="I299" s="9" t="str">
        <x:v>https://poke.idleworld.online/pokepedia/pokemon/torkoal</x:v>
      </x:c>
    </x:row>
    <x:row r="300" ht="28" customHeight="1">
      <x:c r="A300" s="1" t="n">
        <x:v>325</x:v>
      </x:c>
      <x:c r="B300" s="1" t="str">
        <x:v>Spoink</x:v>
      </x:c>
      <x:c r="C300" s="1" t="str">
        <x:v>Psíquico</x:v>
      </x:c>
      <x:c r="D300" s="1" t="str"/>
      <x:c r="E300" s="11" t="str">
        <x:v>Inseto 2×; Fantasma 2×; Sombrio 2×</x:v>
      </x:c>
      <x:c r="F300" s="11" t="str">
        <x:v>Lutador 0,5×; Psíquico 0,5×</x:v>
      </x:c>
      <x:c r="G300" s="11" t="str"/>
      <x:c r="H300" s="11" t="str">
        <x:v>Lutador; Venenoso</x:v>
      </x:c>
      <x:c r="I300" s="9" t="str">
        <x:v>https://poke.idleworld.online/pokepedia/pokemon/spoink</x:v>
      </x:c>
    </x:row>
    <x:row r="301" ht="28" customHeight="1">
      <x:c r="A301" s="1" t="n">
        <x:v>326</x:v>
      </x:c>
      <x:c r="B301" s="1" t="str">
        <x:v>Grumpig</x:v>
      </x:c>
      <x:c r="C301" s="1" t="str">
        <x:v>Psíquico</x:v>
      </x:c>
      <x:c r="D301" s="1" t="str"/>
      <x:c r="E301" s="11" t="str">
        <x:v>Inseto 2×; Fantasma 2×; Sombrio 2×</x:v>
      </x:c>
      <x:c r="F301" s="11" t="str">
        <x:v>Lutador 0,5×; Psíquico 0,5×</x:v>
      </x:c>
      <x:c r="G301" s="11" t="str"/>
      <x:c r="H301" s="11" t="str">
        <x:v>Lutador; Venenoso</x:v>
      </x:c>
      <x:c r="I301" s="9" t="str">
        <x:v>https://poke.idleworld.online/pokepedia/pokemon/grumpig</x:v>
      </x:c>
    </x:row>
    <x:row r="302" ht="28" customHeight="1">
      <x:c r="A302" s="1" t="n">
        <x:v>328</x:v>
      </x:c>
      <x:c r="B302" s="1" t="str">
        <x:v>Trapinch</x:v>
      </x:c>
      <x:c r="C302" s="1" t="str">
        <x:v>Terrestre</x:v>
      </x:c>
      <x:c r="D302" s="1" t="str"/>
      <x:c r="E302" s="11" t="str">
        <x:v>Água 2×; Planta 2×; Gelo 2×</x:v>
      </x:c>
      <x:c r="F302" s="11" t="str">
        <x:v>Venenoso 0,5×; Pedra 0,5×</x:v>
      </x:c>
      <x:c r="G302" s="11" t="str">
        <x:v>Elétrico 0×</x:v>
      </x:c>
      <x:c r="H302" s="11" t="str">
        <x:v>Fogo; Elétrico; Venenoso; Pedra; Aço</x:v>
      </x:c>
      <x:c r="I302" s="9" t="str">
        <x:v>https://poke.idleworld.online/pokepedia/pokemon/trapinch</x:v>
      </x:c>
    </x:row>
    <x:row r="303" ht="28" customHeight="1">
      <x:c r="A303" s="1" t="n">
        <x:v>329</x:v>
      </x:c>
      <x:c r="B303" s="1" t="str">
        <x:v>Vibrava</x:v>
      </x:c>
      <x:c r="C303" s="1" t="str">
        <x:v>Terrestre</x:v>
      </x:c>
      <x:c r="D303" s="1" t="str">
        <x:v>Dragão</x:v>
      </x:c>
      <x:c r="E303" s="11" t="str">
        <x:v>Gelo 4×; Dragão 2×; Fada 2×</x:v>
      </x:c>
      <x:c r="F303" s="11" t="str">
        <x:v>Fogo 0,5×; Venenoso 0,5×; Pedra 0,5×</x:v>
      </x:c>
      <x:c r="G303" s="11" t="str">
        <x:v>Elétrico 0×</x:v>
      </x:c>
      <x:c r="H303" s="11" t="str">
        <x:v>Fogo; Elétrico; Venenoso; Pedra; Dragão; Aço</x:v>
      </x:c>
      <x:c r="I303" s="9" t="str">
        <x:v>https://poke.idleworld.online/pokepedia/pokemon/vibrava</x:v>
      </x:c>
    </x:row>
    <x:row r="304" ht="28" customHeight="1">
      <x:c r="A304" s="1" t="n">
        <x:v>330</x:v>
      </x:c>
      <x:c r="B304" s="1" t="str">
        <x:v>Flygon</x:v>
      </x:c>
      <x:c r="C304" s="1" t="str">
        <x:v>Terrestre</x:v>
      </x:c>
      <x:c r="D304" s="1" t="str">
        <x:v>Dragão</x:v>
      </x:c>
      <x:c r="E304" s="11" t="str">
        <x:v>Gelo 4×; Dragão 2×; Fada 2×</x:v>
      </x:c>
      <x:c r="F304" s="11" t="str">
        <x:v>Fogo 0,5×; Venenoso 0,5×; Pedra 0,5×</x:v>
      </x:c>
      <x:c r="G304" s="11" t="str">
        <x:v>Elétrico 0×</x:v>
      </x:c>
      <x:c r="H304" s="11" t="str">
        <x:v>Fogo; Elétrico; Venenoso; Pedra; Dragão; Aço</x:v>
      </x:c>
      <x:c r="I304" s="9" t="str">
        <x:v>https://poke.idleworld.online/pokepedia/pokemon/flygon</x:v>
      </x:c>
    </x:row>
    <x:row r="305" ht="42" customHeight="1">
      <x:c r="A305" s="1" t="n">
        <x:v>332</x:v>
      </x:c>
      <x:c r="B305" s="1" t="str">
        <x:v>Cacturne</x:v>
      </x:c>
      <x:c r="C305" s="1" t="str">
        <x:v>Planta</x:v>
      </x:c>
      <x:c r="D305" s="1" t="str">
        <x:v>Sombrio</x:v>
      </x:c>
      <x:c r="E305" s="11" t="str">
        <x:v>Fogo 2×; Gelo 2×; Lutador 2×; Venenoso 2×; Voador 2×; Inseto 4×; Fada 2×</x:v>
      </x:c>
      <x:c r="F305" s="11" t="str">
        <x:v>Água 0,5×; Elétrico 0,5×; Planta 0,5×; Terrestre 0,5×; Fantasma 0,5×; Sombrio 0,5×</x:v>
      </x:c>
      <x:c r="G305" s="11" t="str">
        <x:v>Psíquico 0×</x:v>
      </x:c>
      <x:c r="H305" s="11" t="str">
        <x:v>Água; Terrestre; Psíquico; Pedra; Fantasma</x:v>
      </x:c>
      <x:c r="I305" s="9" t="str">
        <x:v>https://poke.idleworld.online/pokepedia/pokemon/cacturne</x:v>
      </x:c>
    </x:row>
    <x:row r="306" ht="28" customHeight="1">
      <x:c r="A306" s="1" t="n">
        <x:v>333</x:v>
      </x:c>
      <x:c r="B306" s="1" t="str">
        <x:v>Swablu</x:v>
      </x:c>
      <x:c r="C306" s="1" t="str">
        <x:v>Normal</x:v>
      </x:c>
      <x:c r="D306" s="1" t="str">
        <x:v>Voador</x:v>
      </x:c>
      <x:c r="E306" s="11" t="str">
        <x:v>Elétrico 2×; Gelo 2×; Pedra 2×</x:v>
      </x:c>
      <x:c r="F306" s="11" t="str">
        <x:v>Planta 0,5×; Inseto 0,5×</x:v>
      </x:c>
      <x:c r="G306" s="11" t="str">
        <x:v>Terrestre 0×; Fantasma 0×</x:v>
      </x:c>
      <x:c r="H306" s="11" t="str">
        <x:v>Planta; Lutador; Inseto</x:v>
      </x:c>
      <x:c r="I306" s="9" t="str">
        <x:v>https://poke.idleworld.online/pokepedia/pokemon/swablu</x:v>
      </x:c>
    </x:row>
    <x:row r="307" ht="42" customHeight="1">
      <x:c r="A307" s="1" t="n">
        <x:v>334</x:v>
      </x:c>
      <x:c r="B307" s="1" t="str">
        <x:v>Altaria</x:v>
      </x:c>
      <x:c r="C307" s="1" t="str">
        <x:v>Dragão</x:v>
      </x:c>
      <x:c r="D307" s="1" t="str">
        <x:v>Voador</x:v>
      </x:c>
      <x:c r="E307" s="11" t="str">
        <x:v>Gelo 4×; Pedra 2×; Dragão 2×; Fada 2×</x:v>
      </x:c>
      <x:c r="F307" s="11" t="str">
        <x:v>Fogo 0,5×; Água 0,5×; Planta 0,25×; Lutador 0,5×; Inseto 0,5×</x:v>
      </x:c>
      <x:c r="G307" s="11" t="str">
        <x:v>Terrestre 0×</x:v>
      </x:c>
      <x:c r="H307" s="11" t="str">
        <x:v>Planta; Lutador; Inseto; Dragão</x:v>
      </x:c>
      <x:c r="I307" s="9" t="str">
        <x:v>https://poke.idleworld.online/pokepedia/pokemon/altaria</x:v>
      </x:c>
    </x:row>
    <x:row r="308" ht="28" customHeight="1">
      <x:c r="A308" s="1" t="n">
        <x:v>335</x:v>
      </x:c>
      <x:c r="B308" s="1" t="str">
        <x:v>Zangoose</x:v>
      </x:c>
      <x:c r="C308" s="1" t="str">
        <x:v>Normal</x:v>
      </x:c>
      <x:c r="D308" s="1" t="str"/>
      <x:c r="E308" s="11" t="str">
        <x:v>Lutador 2×</x:v>
      </x:c>
      <x:c r="F308" s="11" t="str"/>
      <x:c r="G308" s="11" t="str">
        <x:v>Fantasma 0×</x:v>
      </x:c>
      <x:c r="H308" s="11" t="str"/>
      <x:c r="I308" s="9" t="str">
        <x:v>https://poke.idleworld.online/pokepedia/pokemon/zangoose</x:v>
      </x:c>
    </x:row>
    <x:row r="309" ht="42" customHeight="1">
      <x:c r="A309" s="1" t="n">
        <x:v>336</x:v>
      </x:c>
      <x:c r="B309" s="1" t="str">
        <x:v>Seviper</x:v>
      </x:c>
      <x:c r="C309" s="1" t="str">
        <x:v>Venenoso</x:v>
      </x:c>
      <x:c r="D309" s="1" t="str"/>
      <x:c r="E309" s="11" t="str">
        <x:v>Terrestre 2×; Psíquico 2×</x:v>
      </x:c>
      <x:c r="F309" s="11" t="str">
        <x:v>Planta 0,5×; Lutador 0,5×; Venenoso 0,5×; Inseto 0,5×; Fada 0,5×</x:v>
      </x:c>
      <x:c r="G309" s="11" t="str"/>
      <x:c r="H309" s="11" t="str">
        <x:v>Planta; Fada</x:v>
      </x:c>
      <x:c r="I309" s="9" t="str">
        <x:v>https://poke.idleworld.online/pokepedia/pokemon/seviper</x:v>
      </x:c>
    </x:row>
    <x:row r="310" ht="42" customHeight="1">
      <x:c r="A310" s="1" t="n">
        <x:v>337</x:v>
      </x:c>
      <x:c r="B310" s="1" t="str">
        <x:v>Lunatone</x:v>
      </x:c>
      <x:c r="C310" s="1" t="str">
        <x:v>Pedra</x:v>
      </x:c>
      <x:c r="D310" s="1" t="str">
        <x:v>Psíquico</x:v>
      </x:c>
      <x:c r="E310" s="11" t="str">
        <x:v>Água 2×; Planta 2×; Terrestre 2×; Inseto 2×; Fantasma 2×; Sombrio 2×; Aço 2×</x:v>
      </x:c>
      <x:c r="F310" s="11" t="str">
        <x:v>Normal 0,5×; Fogo 0,5×; Venenoso 0,5×; Voador 0,5×; Psíquico 0,5×</x:v>
      </x:c>
      <x:c r="G310" s="11" t="str"/>
      <x:c r="H310" s="11" t="str">
        <x:v>Fogo; Gelo; Lutador; Venenoso; Voador; Inseto</x:v>
      </x:c>
      <x:c r="I310" s="9" t="str">
        <x:v>https://poke.idleworld.online/pokepedia/pokemon/lunatone</x:v>
      </x:c>
    </x:row>
    <x:row r="311" ht="42" customHeight="1">
      <x:c r="A311" s="1" t="n">
        <x:v>338</x:v>
      </x:c>
      <x:c r="B311" s="1" t="str">
        <x:v>Solrock</x:v>
      </x:c>
      <x:c r="C311" s="1" t="str">
        <x:v>Pedra</x:v>
      </x:c>
      <x:c r="D311" s="1" t="str">
        <x:v>Psíquico</x:v>
      </x:c>
      <x:c r="E311" s="11" t="str">
        <x:v>Água 2×; Planta 2×; Terrestre 2×; Inseto 2×; Fantasma 2×; Sombrio 2×; Aço 2×</x:v>
      </x:c>
      <x:c r="F311" s="11" t="str">
        <x:v>Normal 0,5×; Fogo 0,5×; Venenoso 0,5×; Voador 0,5×; Psíquico 0,5×</x:v>
      </x:c>
      <x:c r="G311" s="11" t="str"/>
      <x:c r="H311" s="11" t="str">
        <x:v>Fogo; Gelo; Lutador; Venenoso; Voador; Inseto</x:v>
      </x:c>
      <x:c r="I311" s="9" t="str">
        <x:v>https://poke.idleworld.online/pokepedia/pokemon/solrock</x:v>
      </x:c>
    </x:row>
    <x:row r="312" ht="28" customHeight="1">
      <x:c r="A312" s="1" t="n">
        <x:v>339</x:v>
      </x:c>
      <x:c r="B312" s="1" t="str">
        <x:v>Barboach</x:v>
      </x:c>
      <x:c r="C312" s="1" t="str">
        <x:v>Água</x:v>
      </x:c>
      <x:c r="D312" s="1" t="str">
        <x:v>Terrestre</x:v>
      </x:c>
      <x:c r="E312" s="11" t="str">
        <x:v>Planta 4×</x:v>
      </x:c>
      <x:c r="F312" s="11" t="str">
        <x:v>Fogo 0,5×; Venenoso 0,5×; Pedra 0,5×; Aço 0,5×</x:v>
      </x:c>
      <x:c r="G312" s="11" t="str">
        <x:v>Elétrico 0×</x:v>
      </x:c>
      <x:c r="H312" s="11" t="str">
        <x:v>Fogo; Elétrico; Venenoso; Terrestre; Pedra; Aço</x:v>
      </x:c>
      <x:c r="I312" s="9" t="str">
        <x:v>https://poke.idleworld.online/pokepedia/pokemon/barboach</x:v>
      </x:c>
    </x:row>
    <x:row r="313" ht="28" customHeight="1">
      <x:c r="A313" s="1" t="n">
        <x:v>340</x:v>
      </x:c>
      <x:c r="B313" s="1" t="str">
        <x:v>Whiscash</x:v>
      </x:c>
      <x:c r="C313" s="1" t="str">
        <x:v>Água</x:v>
      </x:c>
      <x:c r="D313" s="1" t="str">
        <x:v>Terrestre</x:v>
      </x:c>
      <x:c r="E313" s="11" t="str">
        <x:v>Planta 4×</x:v>
      </x:c>
      <x:c r="F313" s="11" t="str">
        <x:v>Fogo 0,5×; Venenoso 0,5×; Pedra 0,5×; Aço 0,5×</x:v>
      </x:c>
      <x:c r="G313" s="11" t="str">
        <x:v>Elétrico 0×</x:v>
      </x:c>
      <x:c r="H313" s="11" t="str">
        <x:v>Fogo; Elétrico; Venenoso; Terrestre; Pedra; Aço</x:v>
      </x:c>
      <x:c r="I313" s="9" t="str">
        <x:v>https://poke.idleworld.online/pokepedia/pokemon/whiscash</x:v>
      </x:c>
    </x:row>
    <x:row r="314" ht="28" customHeight="1">
      <x:c r="A314" s="1" t="n">
        <x:v>341</x:v>
      </x:c>
      <x:c r="B314" s="1" t="str">
        <x:v>Corphish</x:v>
      </x:c>
      <x:c r="C314" s="1" t="str">
        <x:v>Água</x:v>
      </x:c>
      <x:c r="D314" s="1" t="str"/>
      <x:c r="E314" s="11" t="str">
        <x:v>Elétrico 2×; Planta 2×</x:v>
      </x:c>
      <x:c r="F314" s="11" t="str">
        <x:v>Fogo 0,5×; Água 0,5×; Gelo 0,5×; Aço 0,5×</x:v>
      </x:c>
      <x:c r="G314" s="11" t="str"/>
      <x:c r="H314" s="11" t="str">
        <x:v>Fogo; Terrestre; Pedra</x:v>
      </x:c>
      <x:c r="I314" s="9" t="str">
        <x:v>https://poke.idleworld.online/pokepedia/pokemon/corphish</x:v>
      </x:c>
    </x:row>
    <x:row r="315" ht="42" customHeight="1">
      <x:c r="A315" s="1" t="n">
        <x:v>342</x:v>
      </x:c>
      <x:c r="B315" s="1" t="str">
        <x:v>Crawdaunt</x:v>
      </x:c>
      <x:c r="C315" s="1" t="str">
        <x:v>Água</x:v>
      </x:c>
      <x:c r="D315" s="1" t="str">
        <x:v>Sombrio</x:v>
      </x:c>
      <x:c r="E315" s="11" t="str">
        <x:v>Elétrico 2×; Planta 2×; Lutador 2×; Inseto 2×; Fada 2×</x:v>
      </x:c>
      <x:c r="F315" s="11" t="str">
        <x:v>Fogo 0,5×; Água 0,5×; Gelo 0,5×; Fantasma 0,5×; Sombrio 0,5×; Aço 0,5×</x:v>
      </x:c>
      <x:c r="G315" s="11" t="str">
        <x:v>Psíquico 0×</x:v>
      </x:c>
      <x:c r="H315" s="11" t="str">
        <x:v>Fogo; Terrestre; Psíquico; Pedra; Fantasma</x:v>
      </x:c>
      <x:c r="I315" s="9" t="str">
        <x:v>https://poke.idleworld.online/pokepedia/pokemon/crawdaunt</x:v>
      </x:c>
    </x:row>
    <x:row r="316" ht="42" customHeight="1">
      <x:c r="A316" s="1" t="n">
        <x:v>343</x:v>
      </x:c>
      <x:c r="B316" s="1" t="str">
        <x:v>Baltoy</x:v>
      </x:c>
      <x:c r="C316" s="1" t="str">
        <x:v>Terrestre</x:v>
      </x:c>
      <x:c r="D316" s="1" t="str">
        <x:v>Psíquico</x:v>
      </x:c>
      <x:c r="E316" s="11" t="str">
        <x:v>Água 2×; Planta 2×; Gelo 2×; Inseto 2×; Fantasma 2×; Sombrio 2×</x:v>
      </x:c>
      <x:c r="F316" s="11" t="str">
        <x:v>Lutador 0,5×; Venenoso 0,5×; Psíquico 0,5×; Pedra 0,5×</x:v>
      </x:c>
      <x:c r="G316" s="11" t="str">
        <x:v>Elétrico 0×</x:v>
      </x:c>
      <x:c r="H316" s="11" t="str">
        <x:v>Fogo; Elétrico; Lutador; Venenoso; Pedra; Aço</x:v>
      </x:c>
      <x:c r="I316" s="9" t="str">
        <x:v>https://poke.idleworld.online/pokepedia/pokemon/baltoy</x:v>
      </x:c>
    </x:row>
    <x:row r="317" ht="42" customHeight="1">
      <x:c r="A317" s="1" t="n">
        <x:v>344</x:v>
      </x:c>
      <x:c r="B317" s="1" t="str">
        <x:v>Claydol</x:v>
      </x:c>
      <x:c r="C317" s="1" t="str">
        <x:v>Terrestre</x:v>
      </x:c>
      <x:c r="D317" s="1" t="str">
        <x:v>Psíquico</x:v>
      </x:c>
      <x:c r="E317" s="11" t="str">
        <x:v>Água 2×; Planta 2×; Gelo 2×; Inseto 2×; Fantasma 2×; Sombrio 2×</x:v>
      </x:c>
      <x:c r="F317" s="11" t="str">
        <x:v>Lutador 0,5×; Venenoso 0,5×; Psíquico 0,5×; Pedra 0,5×</x:v>
      </x:c>
      <x:c r="G317" s="11" t="str">
        <x:v>Elétrico 0×</x:v>
      </x:c>
      <x:c r="H317" s="11" t="str">
        <x:v>Fogo; Elétrico; Lutador; Venenoso; Pedra; Aço</x:v>
      </x:c>
      <x:c r="I317" s="9" t="str">
        <x:v>https://poke.idleworld.online/pokepedia/pokemon/claydol</x:v>
      </x:c>
    </x:row>
    <x:row r="318" ht="28" customHeight="1">
      <x:c r="A318" s="1" t="n">
        <x:v>349</x:v>
      </x:c>
      <x:c r="B318" s="1" t="str">
        <x:v>Feebas</x:v>
      </x:c>
      <x:c r="C318" s="1" t="str">
        <x:v>Água</x:v>
      </x:c>
      <x:c r="D318" s="1" t="str"/>
      <x:c r="E318" s="11" t="str">
        <x:v>Elétrico 2×; Planta 2×</x:v>
      </x:c>
      <x:c r="F318" s="11" t="str">
        <x:v>Fogo 0,5×; Água 0,5×; Gelo 0,5×; Aço 0,5×</x:v>
      </x:c>
      <x:c r="G318" s="11" t="str"/>
      <x:c r="H318" s="11" t="str">
        <x:v>Fogo; Terrestre; Pedra</x:v>
      </x:c>
      <x:c r="I318" s="9" t="str">
        <x:v>https://poke.idleworld.online/pokepedia/pokemon/feebas</x:v>
      </x:c>
    </x:row>
    <x:row r="319" ht="28" customHeight="1">
      <x:c r="A319" s="1" t="n">
        <x:v>350</x:v>
      </x:c>
      <x:c r="B319" s="1" t="str">
        <x:v>Milotic</x:v>
      </x:c>
      <x:c r="C319" s="1" t="str">
        <x:v>Água</x:v>
      </x:c>
      <x:c r="D319" s="1" t="str"/>
      <x:c r="E319" s="11" t="str">
        <x:v>Elétrico 2×; Planta 2×</x:v>
      </x:c>
      <x:c r="F319" s="11" t="str">
        <x:v>Fogo 0,5×; Água 0,5×; Gelo 0,5×; Aço 0,5×</x:v>
      </x:c>
      <x:c r="G319" s="11" t="str"/>
      <x:c r="H319" s="11" t="str">
        <x:v>Fogo; Terrestre; Pedra</x:v>
      </x:c>
      <x:c r="I319" s="9" t="str">
        <x:v>https://poke.idleworld.online/pokepedia/pokemon/milotic</x:v>
      </x:c>
    </x:row>
    <x:row r="320" ht="28" customHeight="1">
      <x:c r="A320" s="1" t="n">
        <x:v>353</x:v>
      </x:c>
      <x:c r="B320" s="1" t="str">
        <x:v>Shuppet</x:v>
      </x:c>
      <x:c r="C320" s="1" t="str">
        <x:v>Fantasma</x:v>
      </x:c>
      <x:c r="D320" s="1" t="str"/>
      <x:c r="E320" s="11" t="str">
        <x:v>Fantasma 2×; Sombrio 2×</x:v>
      </x:c>
      <x:c r="F320" s="11" t="str">
        <x:v>Venenoso 0,5×; Inseto 0,5×</x:v>
      </x:c>
      <x:c r="G320" s="11" t="str">
        <x:v>Normal 0×; Lutador 0×</x:v>
      </x:c>
      <x:c r="H320" s="11" t="str">
        <x:v>Psíquico; Fantasma</x:v>
      </x:c>
      <x:c r="I320" s="9" t="str">
        <x:v>https://poke.idleworld.online/pokepedia/pokemon/shuppet</x:v>
      </x:c>
    </x:row>
    <x:row r="321" ht="28" customHeight="1">
      <x:c r="A321" s="1" t="n">
        <x:v>354</x:v>
      </x:c>
      <x:c r="B321" s="1" t="str">
        <x:v>Banette</x:v>
      </x:c>
      <x:c r="C321" s="1" t="str">
        <x:v>Fantasma</x:v>
      </x:c>
      <x:c r="D321" s="1" t="str"/>
      <x:c r="E321" s="11" t="str">
        <x:v>Fantasma 2×; Sombrio 2×</x:v>
      </x:c>
      <x:c r="F321" s="11" t="str">
        <x:v>Venenoso 0,5×; Inseto 0,5×</x:v>
      </x:c>
      <x:c r="G321" s="11" t="str">
        <x:v>Normal 0×; Lutador 0×</x:v>
      </x:c>
      <x:c r="H321" s="11" t="str">
        <x:v>Psíquico; Fantasma</x:v>
      </x:c>
      <x:c r="I321" s="9" t="str">
        <x:v>https://poke.idleworld.online/pokepedia/pokemon/banette</x:v>
      </x:c>
    </x:row>
    <x:row r="322" ht="28" customHeight="1">
      <x:c r="A322" s="1" t="n">
        <x:v>355</x:v>
      </x:c>
      <x:c r="B322" s="1" t="str">
        <x:v>Duskull</x:v>
      </x:c>
      <x:c r="C322" s="1" t="str">
        <x:v>Fantasma</x:v>
      </x:c>
      <x:c r="D322" s="1" t="str"/>
      <x:c r="E322" s="11" t="str">
        <x:v>Fantasma 2×; Sombrio 2×</x:v>
      </x:c>
      <x:c r="F322" s="11" t="str">
        <x:v>Venenoso 0,5×; Inseto 0,5×</x:v>
      </x:c>
      <x:c r="G322" s="11" t="str">
        <x:v>Normal 0×; Lutador 0×</x:v>
      </x:c>
      <x:c r="H322" s="11" t="str">
        <x:v>Psíquico; Fantasma</x:v>
      </x:c>
      <x:c r="I322" s="9" t="str">
        <x:v>https://poke.idleworld.online/pokepedia/pokemon/duskull</x:v>
      </x:c>
    </x:row>
    <x:row r="323" ht="28" customHeight="1">
      <x:c r="A323" s="1" t="n">
        <x:v>356</x:v>
      </x:c>
      <x:c r="B323" s="1" t="str">
        <x:v>Dusclops</x:v>
      </x:c>
      <x:c r="C323" s="1" t="str">
        <x:v>Fantasma</x:v>
      </x:c>
      <x:c r="D323" s="1" t="str"/>
      <x:c r="E323" s="11" t="str">
        <x:v>Fantasma 2×; Sombrio 2×</x:v>
      </x:c>
      <x:c r="F323" s="11" t="str">
        <x:v>Venenoso 0,5×; Inseto 0,5×</x:v>
      </x:c>
      <x:c r="G323" s="11" t="str">
        <x:v>Normal 0×; Lutador 0×</x:v>
      </x:c>
      <x:c r="H323" s="11" t="str">
        <x:v>Psíquico; Fantasma</x:v>
      </x:c>
      <x:c r="I323" s="9" t="str">
        <x:v>https://poke.idleworld.online/pokepedia/pokemon/dusclops</x:v>
      </x:c>
    </x:row>
    <x:row r="324" ht="28" customHeight="1">
      <x:c r="A324" s="1" t="n">
        <x:v>357</x:v>
      </x:c>
      <x:c r="B324" s="1" t="str">
        <x:v>Tropius</x:v>
      </x:c>
      <x:c r="C324" s="1" t="str">
        <x:v>Planta</x:v>
      </x:c>
      <x:c r="D324" s="1" t="str">
        <x:v>Voador</x:v>
      </x:c>
      <x:c r="E324" s="11" t="str">
        <x:v>Fogo 2×; Gelo 4×; Venenoso 2×; Voador 2×; Pedra 2×</x:v>
      </x:c>
      <x:c r="F324" s="11" t="str">
        <x:v>Água 0,5×; Planta 0,25×; Lutador 0,5×</x:v>
      </x:c>
      <x:c r="G324" s="11" t="str">
        <x:v>Terrestre 0×</x:v>
      </x:c>
      <x:c r="H324" s="11" t="str">
        <x:v>Água; Planta; Lutador; Terrestre; Inseto; Pedra</x:v>
      </x:c>
      <x:c r="I324" s="9" t="str">
        <x:v>https://poke.idleworld.online/pokepedia/pokemon/tropius</x:v>
      </x:c>
    </x:row>
    <x:row r="325" ht="28" customHeight="1">
      <x:c r="A325" s="1" t="n">
        <x:v>359</x:v>
      </x:c>
      <x:c r="B325" s="1" t="str">
        <x:v>Absol</x:v>
      </x:c>
      <x:c r="C325" s="1" t="str">
        <x:v>Sombrio</x:v>
      </x:c>
      <x:c r="D325" s="1" t="str"/>
      <x:c r="E325" s="11" t="str">
        <x:v>Lutador 2×; Inseto 2×; Fada 2×</x:v>
      </x:c>
      <x:c r="F325" s="11" t="str">
        <x:v>Fantasma 0,5×; Sombrio 0,5×</x:v>
      </x:c>
      <x:c r="G325" s="11" t="str">
        <x:v>Psíquico 0×</x:v>
      </x:c>
      <x:c r="H325" s="11" t="str">
        <x:v>Psíquico; Fantasma</x:v>
      </x:c>
      <x:c r="I325" s="9" t="str">
        <x:v>https://poke.idleworld.online/pokepedia/pokemon/absol</x:v>
      </x:c>
    </x:row>
    <x:row r="326" ht="28" customHeight="1">
      <x:c r="A326" s="1" t="n">
        <x:v>361</x:v>
      </x:c>
      <x:c r="B326" s="1" t="str">
        <x:v>Snorunt</x:v>
      </x:c>
      <x:c r="C326" s="1" t="str">
        <x:v>Gelo</x:v>
      </x:c>
      <x:c r="D326" s="1" t="str"/>
      <x:c r="E326" s="11" t="str">
        <x:v>Fogo 2×; Lutador 2×; Pedra 2×; Aço 2×</x:v>
      </x:c>
      <x:c r="F326" s="11" t="str">
        <x:v>Gelo 0,5×</x:v>
      </x:c>
      <x:c r="G326" s="11" t="str"/>
      <x:c r="H326" s="11" t="str">
        <x:v>Planta; Terrestre; Voador; Dragão</x:v>
      </x:c>
      <x:c r="I326" s="9" t="str">
        <x:v>https://poke.idleworld.online/pokepedia/pokemon/snorunt</x:v>
      </x:c>
    </x:row>
    <x:row r="327" ht="28" customHeight="1">
      <x:c r="A327" s="1" t="n">
        <x:v>362</x:v>
      </x:c>
      <x:c r="B327" s="1" t="str">
        <x:v>Glalie</x:v>
      </x:c>
      <x:c r="C327" s="1" t="str">
        <x:v>Gelo</x:v>
      </x:c>
      <x:c r="D327" s="1" t="str"/>
      <x:c r="E327" s="11" t="str">
        <x:v>Fogo 2×; Lutador 2×; Pedra 2×; Aço 2×</x:v>
      </x:c>
      <x:c r="F327" s="11" t="str">
        <x:v>Gelo 0,5×</x:v>
      </x:c>
      <x:c r="G327" s="11" t="str"/>
      <x:c r="H327" s="11" t="str">
        <x:v>Planta; Terrestre; Voador; Dragão</x:v>
      </x:c>
      <x:c r="I327" s="9" t="str">
        <x:v>https://poke.idleworld.online/pokepedia/pokemon/glalie</x:v>
      </x:c>
    </x:row>
    <x:row r="328" ht="28" customHeight="1">
      <x:c r="A328" s="1" t="n">
        <x:v>363</x:v>
      </x:c>
      <x:c r="B328" s="1" t="str">
        <x:v>Spheal</x:v>
      </x:c>
      <x:c r="C328" s="1" t="str">
        <x:v>Gelo</x:v>
      </x:c>
      <x:c r="D328" s="1" t="str">
        <x:v>Água</x:v>
      </x:c>
      <x:c r="E328" s="11" t="str">
        <x:v>Elétrico 2×; Planta 2×; Lutador 2×; Pedra 2×</x:v>
      </x:c>
      <x:c r="F328" s="11" t="str">
        <x:v>Água 0,5×; Gelo 0,25×</x:v>
      </x:c>
      <x:c r="G328" s="11" t="str"/>
      <x:c r="H328" s="11" t="str">
        <x:v>Fogo; Planta; Terrestre; Voador; Pedra; Dragão</x:v>
      </x:c>
      <x:c r="I328" s="9" t="str">
        <x:v>https://poke.idleworld.online/pokepedia/pokemon/spheal</x:v>
      </x:c>
    </x:row>
    <x:row r="329" ht="28" customHeight="1">
      <x:c r="A329" s="1" t="n">
        <x:v>364</x:v>
      </x:c>
      <x:c r="B329" s="1" t="str">
        <x:v>Sealeo</x:v>
      </x:c>
      <x:c r="C329" s="1" t="str">
        <x:v>Gelo</x:v>
      </x:c>
      <x:c r="D329" s="1" t="str">
        <x:v>Água</x:v>
      </x:c>
      <x:c r="E329" s="11" t="str">
        <x:v>Elétrico 2×; Planta 2×; Lutador 2×; Pedra 2×</x:v>
      </x:c>
      <x:c r="F329" s="11" t="str">
        <x:v>Água 0,5×; Gelo 0,25×</x:v>
      </x:c>
      <x:c r="G329" s="11" t="str"/>
      <x:c r="H329" s="11" t="str">
        <x:v>Fogo; Planta; Terrestre; Voador; Pedra; Dragão</x:v>
      </x:c>
      <x:c r="I329" s="9" t="str">
        <x:v>https://poke.idleworld.online/pokepedia/pokemon/sealeo</x:v>
      </x:c>
    </x:row>
    <x:row r="330" ht="28" customHeight="1">
      <x:c r="A330" s="1" t="n">
        <x:v>365</x:v>
      </x:c>
      <x:c r="B330" s="1" t="str">
        <x:v>Walrein</x:v>
      </x:c>
      <x:c r="C330" s="1" t="str">
        <x:v>Gelo</x:v>
      </x:c>
      <x:c r="D330" s="1" t="str">
        <x:v>Água</x:v>
      </x:c>
      <x:c r="E330" s="11" t="str">
        <x:v>Elétrico 2×; Planta 2×; Lutador 2×; Pedra 2×</x:v>
      </x:c>
      <x:c r="F330" s="11" t="str">
        <x:v>Água 0,5×; Gelo 0,25×</x:v>
      </x:c>
      <x:c r="G330" s="11" t="str"/>
      <x:c r="H330" s="11" t="str">
        <x:v>Fogo; Planta; Terrestre; Voador; Pedra; Dragão</x:v>
      </x:c>
      <x:c r="I330" s="9" t="str">
        <x:v>https://poke.idleworld.online/pokepedia/pokemon/walrein</x:v>
      </x:c>
    </x:row>
    <x:row r="331" ht="28" customHeight="1">
      <x:c r="A331" s="1" t="n">
        <x:v>371</x:v>
      </x:c>
      <x:c r="B331" s="1" t="str">
        <x:v>Bagon</x:v>
      </x:c>
      <x:c r="C331" s="1" t="str">
        <x:v>Dragão</x:v>
      </x:c>
      <x:c r="D331" s="1" t="str"/>
      <x:c r="E331" s="11" t="str">
        <x:v>Gelo 2×; Dragão 2×; Fada 2×</x:v>
      </x:c>
      <x:c r="F331" s="11" t="str">
        <x:v>Fogo 0,5×; Água 0,5×; Elétrico 0,5×; Planta 0,5×</x:v>
      </x:c>
      <x:c r="G331" s="11" t="str"/>
      <x:c r="H331" s="11" t="str">
        <x:v>Dragão</x:v>
      </x:c>
      <x:c r="I331" s="9" t="str">
        <x:v>https://poke.idleworld.online/pokepedia/pokemon/bagon</x:v>
      </x:c>
    </x:row>
    <x:row r="332" ht="28" customHeight="1">
      <x:c r="A332" s="1" t="n">
        <x:v>372</x:v>
      </x:c>
      <x:c r="B332" s="1" t="str">
        <x:v>Shelgon</x:v>
      </x:c>
      <x:c r="C332" s="1" t="str">
        <x:v>Dragão</x:v>
      </x:c>
      <x:c r="D332" s="1" t="str"/>
      <x:c r="E332" s="11" t="str">
        <x:v>Gelo 2×; Dragão 2×; Fada 2×</x:v>
      </x:c>
      <x:c r="F332" s="11" t="str">
        <x:v>Fogo 0,5×; Água 0,5×; Elétrico 0,5×; Planta 0,5×</x:v>
      </x:c>
      <x:c r="G332" s="11" t="str"/>
      <x:c r="H332" s="11" t="str">
        <x:v>Dragão</x:v>
      </x:c>
      <x:c r="I332" s="9" t="str">
        <x:v>https://poke.idleworld.online/pokepedia/pokemon/shelgon</x:v>
      </x:c>
    </x:row>
    <x:row r="333" ht="42" customHeight="1">
      <x:c r="A333" s="1" t="n">
        <x:v>373</x:v>
      </x:c>
      <x:c r="B333" s="1" t="str">
        <x:v>Salamence</x:v>
      </x:c>
      <x:c r="C333" s="1" t="str">
        <x:v>Dragão</x:v>
      </x:c>
      <x:c r="D333" s="1" t="str">
        <x:v>Voador</x:v>
      </x:c>
      <x:c r="E333" s="11" t="str">
        <x:v>Gelo 4×; Pedra 2×; Dragão 2×; Fada 2×</x:v>
      </x:c>
      <x:c r="F333" s="11" t="str">
        <x:v>Fogo 0,5×; Água 0,5×; Planta 0,25×; Lutador 0,5×; Inseto 0,5×</x:v>
      </x:c>
      <x:c r="G333" s="11" t="str">
        <x:v>Terrestre 0×</x:v>
      </x:c>
      <x:c r="H333" s="11" t="str">
        <x:v>Planta; Lutador; Inseto; Dragão</x:v>
      </x:c>
      <x:c r="I333" s="9" t="str">
        <x:v>https://poke.idleworld.online/pokepedia/pokemon/salamence</x:v>
      </x:c>
    </x:row>
    <x:row r="334" ht="42" customHeight="1">
      <x:c r="A334" s="1" t="n">
        <x:v>374</x:v>
      </x:c>
      <x:c r="B334" s="1" t="str">
        <x:v>Beldum</x:v>
      </x:c>
      <x:c r="C334" s="1" t="str">
        <x:v>Aço</x:v>
      </x:c>
      <x:c r="D334" s="1" t="str">
        <x:v>Psíquico</x:v>
      </x:c>
      <x:c r="E334" s="11" t="str">
        <x:v>Fogo 2×; Terrestre 2×; Fantasma 2×; Sombrio 2×</x:v>
      </x:c>
      <x:c r="F334" s="11" t="str">
        <x:v>Normal 0,5×; Planta 0,5×; Gelo 0,5×; Voador 0,5×; Psíquico 0,25×; Pedra 0,5×; Dragão 0,5×; Aço 0,5×; Fada 0,5×</x:v>
      </x:c>
      <x:c r="G334" s="11" t="str">
        <x:v>Venenoso 0×</x:v>
      </x:c>
      <x:c r="H334" s="11" t="str">
        <x:v>Gelo; Lutador; Venenoso; Pedra; Fada</x:v>
      </x:c>
      <x:c r="I334" s="9" t="str">
        <x:v>https://poke.idleworld.online/pokepedia/pokemon/beldum</x:v>
      </x:c>
    </x:row>
    <x:row r="335" ht="42" customHeight="1">
      <x:c r="A335" s="1" t="n">
        <x:v>375</x:v>
      </x:c>
      <x:c r="B335" s="1" t="str">
        <x:v>Metang</x:v>
      </x:c>
      <x:c r="C335" s="1" t="str">
        <x:v>Aço</x:v>
      </x:c>
      <x:c r="D335" s="1" t="str">
        <x:v>Psíquico</x:v>
      </x:c>
      <x:c r="E335" s="11" t="str">
        <x:v>Fogo 2×; Terrestre 2×; Fantasma 2×; Sombrio 2×</x:v>
      </x:c>
      <x:c r="F335" s="11" t="str">
        <x:v>Normal 0,5×; Planta 0,5×; Gelo 0,5×; Voador 0,5×; Psíquico 0,25×; Pedra 0,5×; Dragão 0,5×; Aço 0,5×; Fada 0,5×</x:v>
      </x:c>
      <x:c r="G335" s="11" t="str">
        <x:v>Venenoso 0×</x:v>
      </x:c>
      <x:c r="H335" s="11" t="str">
        <x:v>Gelo; Lutador; Venenoso; Pedra; Fada</x:v>
      </x:c>
      <x:c r="I335" s="9" t="str">
        <x:v>https://poke.idleworld.online/pokepedia/pokemon/metang</x:v>
      </x:c>
    </x:row>
    <x:row r="336" ht="42" customHeight="1">
      <x:c r="A336" s="1" t="n">
        <x:v>376</x:v>
      </x:c>
      <x:c r="B336" s="1" t="str">
        <x:v>Metagross</x:v>
      </x:c>
      <x:c r="C336" s="1" t="str">
        <x:v>Aço</x:v>
      </x:c>
      <x:c r="D336" s="1" t="str">
        <x:v>Psíquico</x:v>
      </x:c>
      <x:c r="E336" s="11" t="str">
        <x:v>Fogo 2×; Terrestre 2×; Fantasma 2×; Sombrio 2×</x:v>
      </x:c>
      <x:c r="F336" s="11" t="str">
        <x:v>Normal 0,5×; Planta 0,5×; Gelo 0,5×; Voador 0,5×; Psíquico 0,25×; Pedra 0,5×; Dragão 0,5×; Aço 0,5×; Fada 0,5×</x:v>
      </x:c>
      <x:c r="G336" s="11" t="str">
        <x:v>Venenoso 0×</x:v>
      </x:c>
      <x:c r="H336" s="11" t="str">
        <x:v>Gelo; Lutador; Venenoso; Pedra; Fada</x:v>
      </x:c>
      <x:c r="I336" s="9" t="str">
        <x:v>https://poke.idleworld.online/pokepedia/pokemon/metagross</x:v>
      </x:c>
    </x:row>
    <x:row r="337" ht="42" customHeight="1">
      <x:c r="A337" s="1" t="n">
        <x:v>392</x:v>
      </x:c>
      <x:c r="B337" s="1" t="str">
        <x:v>Infernape</x:v>
      </x:c>
      <x:c r="C337" s="1" t="str">
        <x:v>Fogo</x:v>
      </x:c>
      <x:c r="D337" s="1" t="str">
        <x:v>Lutador</x:v>
      </x:c>
      <x:c r="E337" s="11" t="str">
        <x:v>Água 2×; Terrestre 2×; Voador 2×; Psíquico 2×</x:v>
      </x:c>
      <x:c r="F337" s="11" t="str">
        <x:v>Fogo 0,5×; Planta 0,5×; Gelo 0,5×; Inseto 0,25×; Sombrio 0,5×; Aço 0,5×</x:v>
      </x:c>
      <x:c r="G337" s="11" t="str"/>
      <x:c r="H337" s="11" t="str">
        <x:v>Normal; Planta; Gelo; Inseto; Pedra; Sombrio; Aço</x:v>
      </x:c>
      <x:c r="I337" s="9" t="str">
        <x:v>https://poke.idleworld.online/pokepedia/pokemon/infernape</x:v>
      </x:c>
    </x:row>
    <x:row r="338" ht="28" customHeight="1">
      <x:c r="A338" s="1" t="n">
        <x:v>405</x:v>
      </x:c>
      <x:c r="B338" s="1" t="str">
        <x:v>Luxray</x:v>
      </x:c>
      <x:c r="C338" s="1" t="str">
        <x:v>Elétrico</x:v>
      </x:c>
      <x:c r="D338" s="1" t="str"/>
      <x:c r="E338" s="11" t="str">
        <x:v>Terrestre 2×</x:v>
      </x:c>
      <x:c r="F338" s="11" t="str">
        <x:v>Elétrico 0,5×; Voador 0,5×; Aço 0,5×</x:v>
      </x:c>
      <x:c r="G338" s="11" t="str"/>
      <x:c r="H338" s="11" t="str">
        <x:v>Água; Voador</x:v>
      </x:c>
      <x:c r="I338" s="9" t="str">
        <x:v>https://poke.idleworld.online/pokepedia/pokemon/luxray</x:v>
      </x:c>
    </x:row>
    <x:row r="339" ht="28" customHeight="1">
      <x:c r="A339" s="1" t="n">
        <x:v>408</x:v>
      </x:c>
      <x:c r="B339" s="1" t="str">
        <x:v>Cranidos</x:v>
      </x:c>
      <x:c r="C339" s="1" t="str">
        <x:v>Pedra</x:v>
      </x:c>
      <x:c r="D339" s="1" t="str"/>
      <x:c r="E339" s="11" t="str">
        <x:v>Água 2×; Planta 2×; Lutador 2×; Terrestre 2×; Aço 2×</x:v>
      </x:c>
      <x:c r="F339" s="11" t="str">
        <x:v>Normal 0,5×; Fogo 0,5×; Venenoso 0,5×; Voador 0,5×</x:v>
      </x:c>
      <x:c r="G339" s="11" t="str"/>
      <x:c r="H339" s="11" t="str">
        <x:v>Fogo; Gelo; Voador; Inseto</x:v>
      </x:c>
      <x:c r="I339" s="9" t="str">
        <x:v>https://poke.idleworld.online/pokepedia/pokemon/cranidos</x:v>
      </x:c>
    </x:row>
    <x:row r="340" ht="28" customHeight="1">
      <x:c r="A340" s="1" t="n">
        <x:v>409</x:v>
      </x:c>
      <x:c r="B340" s="1" t="str">
        <x:v>Rampardos</x:v>
      </x:c>
      <x:c r="C340" s="1" t="str">
        <x:v>Pedra</x:v>
      </x:c>
      <x:c r="D340" s="1" t="str"/>
      <x:c r="E340" s="11" t="str">
        <x:v>Água 2×; Planta 2×; Lutador 2×; Terrestre 2×; Aço 2×</x:v>
      </x:c>
      <x:c r="F340" s="11" t="str">
        <x:v>Normal 0,5×; Fogo 0,5×; Venenoso 0,5×; Voador 0,5×</x:v>
      </x:c>
      <x:c r="G340" s="11" t="str"/>
      <x:c r="H340" s="11" t="str">
        <x:v>Fogo; Gelo; Voador; Inseto</x:v>
      </x:c>
      <x:c r="I340" s="9" t="str">
        <x:v>https://poke.idleworld.online/pokepedia/pokemon/rampardos</x:v>
      </x:c>
    </x:row>
    <x:row r="341" ht="42" customHeight="1">
      <x:c r="A341" s="1" t="n">
        <x:v>410</x:v>
      </x:c>
      <x:c r="B341" s="1" t="str">
        <x:v>Shieldon</x:v>
      </x:c>
      <x:c r="C341" s="1" t="str">
        <x:v>Pedra</x:v>
      </x:c>
      <x:c r="D341" s="1" t="str">
        <x:v>Aço</x:v>
      </x:c>
      <x:c r="E341" s="11" t="str">
        <x:v>Água 2×; Lutador 4×; Terrestre 4×</x:v>
      </x:c>
      <x:c r="F341" s="11" t="str">
        <x:v>Normal 0,25×; Gelo 0,5×; Voador 0,25×; Psíquico 0,5×; Inseto 0,5×; Pedra 0,5×; Dragão 0,5×; Fada 0,5×</x:v>
      </x:c>
      <x:c r="G341" s="11" t="str">
        <x:v>Venenoso 0×</x:v>
      </x:c>
      <x:c r="H341" s="11" t="str">
        <x:v>Fogo; Gelo; Voador; Inseto; Pedra; Fada</x:v>
      </x:c>
      <x:c r="I341" s="9" t="str">
        <x:v>https://poke.idleworld.online/pokepedia/pokemon/shieldon</x:v>
      </x:c>
    </x:row>
    <x:row r="342" ht="42" customHeight="1">
      <x:c r="A342" s="1" t="n">
        <x:v>411</x:v>
      </x:c>
      <x:c r="B342" s="1" t="str">
        <x:v>Bastiodon</x:v>
      </x:c>
      <x:c r="C342" s="1" t="str">
        <x:v>Pedra</x:v>
      </x:c>
      <x:c r="D342" s="1" t="str">
        <x:v>Aço</x:v>
      </x:c>
      <x:c r="E342" s="11" t="str">
        <x:v>Água 2×; Lutador 4×; Terrestre 4×</x:v>
      </x:c>
      <x:c r="F342" s="11" t="str">
        <x:v>Normal 0,25×; Gelo 0,5×; Voador 0,25×; Psíquico 0,5×; Inseto 0,5×; Pedra 0,5×; Dragão 0,5×; Fada 0,5×</x:v>
      </x:c>
      <x:c r="G342" s="11" t="str">
        <x:v>Venenoso 0×</x:v>
      </x:c>
      <x:c r="H342" s="11" t="str">
        <x:v>Fogo; Gelo; Voador; Inseto; Pedra; Fada</x:v>
      </x:c>
      <x:c r="I342" s="9" t="str">
        <x:v>https://poke.idleworld.online/pokepedia/pokemon/bastiodon</x:v>
      </x:c>
    </x:row>
    <x:row r="343" ht="42" customHeight="1">
      <x:c r="A343" s="1" t="n">
        <x:v>413</x:v>
      </x:c>
      <x:c r="B343" s="1" t="str">
        <x:v>Wormadam</x:v>
      </x:c>
      <x:c r="C343" s="1" t="str">
        <x:v>Inseto</x:v>
      </x:c>
      <x:c r="D343" s="1" t="str">
        <x:v>Planta</x:v>
      </x:c>
      <x:c r="E343" s="11" t="str">
        <x:v>Fogo 4×; Gelo 2×; Venenoso 2×; Voador 4×; Inseto 2×; Pedra 2×</x:v>
      </x:c>
      <x:c r="F343" s="11" t="str">
        <x:v>Água 0,5×; Elétrico 0,5×; Planta 0,25×; Lutador 0,5×; Terrestre 0,25×</x:v>
      </x:c>
      <x:c r="G343" s="11" t="str"/>
      <x:c r="H343" s="11" t="str">
        <x:v>Água; Planta; Terrestre; Psíquico; Pedra; Sombrio</x:v>
      </x:c>
      <x:c r="I343" s="9" t="str">
        <x:v>https://poke.idleworld.online/pokepedia/pokemon/wormadam</x:v>
      </x:c>
    </x:row>
    <x:row r="344" ht="28" customHeight="1">
      <x:c r="A344" s="1" t="n">
        <x:v>416</x:v>
      </x:c>
      <x:c r="B344" s="1" t="str">
        <x:v>Vespiquen</x:v>
      </x:c>
      <x:c r="C344" s="1" t="str">
        <x:v>Inseto</x:v>
      </x:c>
      <x:c r="D344" s="1" t="str">
        <x:v>Voador</x:v>
      </x:c>
      <x:c r="E344" s="11" t="str">
        <x:v>Fogo 2×; Elétrico 2×; Gelo 2×; Voador 2×; Pedra 4×</x:v>
      </x:c>
      <x:c r="F344" s="11" t="str">
        <x:v>Planta 0,25×; Lutador 0,25×; Inseto 0,5×</x:v>
      </x:c>
      <x:c r="G344" s="11" t="str">
        <x:v>Terrestre 0×</x:v>
      </x:c>
      <x:c r="H344" s="11" t="str">
        <x:v>Planta; Lutador; Psíquico; Inseto; Sombrio</x:v>
      </x:c>
      <x:c r="I344" s="9" t="str">
        <x:v>https://poke.idleworld.online/pokepedia/pokemon/vespiquen</x:v>
      </x:c>
    </x:row>
    <x:row r="345" ht="28" customHeight="1">
      <x:c r="A345" s="1" t="n">
        <x:v>417</x:v>
      </x:c>
      <x:c r="B345" s="1" t="str">
        <x:v>Pachirisu</x:v>
      </x:c>
      <x:c r="C345" s="1" t="str">
        <x:v>Elétrico</x:v>
      </x:c>
      <x:c r="D345" s="1" t="str"/>
      <x:c r="E345" s="11" t="str">
        <x:v>Terrestre 2×</x:v>
      </x:c>
      <x:c r="F345" s="11" t="str">
        <x:v>Elétrico 0,5×; Voador 0,5×; Aço 0,5×</x:v>
      </x:c>
      <x:c r="G345" s="11" t="str"/>
      <x:c r="H345" s="11" t="str">
        <x:v>Água; Voador</x:v>
      </x:c>
      <x:c r="I345" s="9" t="str">
        <x:v>https://poke.idleworld.online/pokepedia/pokemon/pachirisu</x:v>
      </x:c>
    </x:row>
    <x:row r="346" ht="28" customHeight="1">
      <x:c r="A346" s="1" t="n">
        <x:v>428</x:v>
      </x:c>
      <x:c r="B346" s="1" t="str">
        <x:v>Lopunny</x:v>
      </x:c>
      <x:c r="C346" s="1" t="str">
        <x:v>Normal</x:v>
      </x:c>
      <x:c r="D346" s="1" t="str"/>
      <x:c r="E346" s="11" t="str">
        <x:v>Lutador 2×</x:v>
      </x:c>
      <x:c r="F346" s="11" t="str"/>
      <x:c r="G346" s="11" t="str">
        <x:v>Fantasma 0×</x:v>
      </x:c>
      <x:c r="H346" s="11" t="str"/>
      <x:c r="I346" s="9" t="str">
        <x:v>https://poke.idleworld.online/pokepedia/pokemon/lopunny</x:v>
      </x:c>
    </x:row>
    <x:row r="347" ht="28" customHeight="1">
      <x:c r="A347" s="1" t="n">
        <x:v>443</x:v>
      </x:c>
      <x:c r="B347" s="1" t="str">
        <x:v>Gible</x:v>
      </x:c>
      <x:c r="C347" s="1" t="str">
        <x:v>Dragão</x:v>
      </x:c>
      <x:c r="D347" s="1" t="str">
        <x:v>Terrestre</x:v>
      </x:c>
      <x:c r="E347" s="11" t="str">
        <x:v>Gelo 4×; Dragão 2×; Fada 2×</x:v>
      </x:c>
      <x:c r="F347" s="11" t="str">
        <x:v>Fogo 0,5×; Venenoso 0,5×; Pedra 0,5×</x:v>
      </x:c>
      <x:c r="G347" s="11" t="str">
        <x:v>Elétrico 0×</x:v>
      </x:c>
      <x:c r="H347" s="11" t="str">
        <x:v>Fogo; Elétrico; Venenoso; Pedra; Dragão; Aço</x:v>
      </x:c>
      <x:c r="I347" s="9" t="str">
        <x:v>https://poke.idleworld.online/pokepedia/pokemon/gible</x:v>
      </x:c>
    </x:row>
    <x:row r="348" ht="28" customHeight="1">
      <x:c r="A348" s="1" t="n">
        <x:v>444</x:v>
      </x:c>
      <x:c r="B348" s="1" t="str">
        <x:v>Gabite</x:v>
      </x:c>
      <x:c r="C348" s="1" t="str">
        <x:v>Dragão</x:v>
      </x:c>
      <x:c r="D348" s="1" t="str">
        <x:v>Terrestre</x:v>
      </x:c>
      <x:c r="E348" s="11" t="str">
        <x:v>Gelo 4×; Dragão 2×; Fada 2×</x:v>
      </x:c>
      <x:c r="F348" s="11" t="str">
        <x:v>Fogo 0,5×; Venenoso 0,5×; Pedra 0,5×</x:v>
      </x:c>
      <x:c r="G348" s="11" t="str">
        <x:v>Elétrico 0×</x:v>
      </x:c>
      <x:c r="H348" s="11" t="str">
        <x:v>Fogo; Elétrico; Venenoso; Pedra; Dragão; Aço</x:v>
      </x:c>
      <x:c r="I348" s="9" t="str">
        <x:v>https://poke.idleworld.online/pokepedia/pokemon/gabite</x:v>
      </x:c>
    </x:row>
    <x:row r="349" ht="28" customHeight="1">
      <x:c r="A349" s="1" t="n">
        <x:v>445</x:v>
      </x:c>
      <x:c r="B349" s="1" t="str">
        <x:v>Garchomp</x:v>
      </x:c>
      <x:c r="C349" s="1" t="str">
        <x:v>Dragão</x:v>
      </x:c>
      <x:c r="D349" s="1" t="str">
        <x:v>Terrestre</x:v>
      </x:c>
      <x:c r="E349" s="11" t="str">
        <x:v>Gelo 4×; Dragão 2×; Fada 2×</x:v>
      </x:c>
      <x:c r="F349" s="11" t="str">
        <x:v>Fogo 0,5×; Venenoso 0,5×; Pedra 0,5×</x:v>
      </x:c>
      <x:c r="G349" s="11" t="str">
        <x:v>Elétrico 0×</x:v>
      </x:c>
      <x:c r="H349" s="11" t="str">
        <x:v>Fogo; Elétrico; Venenoso; Pedra; Dragão; Aço</x:v>
      </x:c>
      <x:c r="I349" s="9" t="str">
        <x:v>https://poke.idleworld.online/pokepedia/pokemon/garchomp</x:v>
      </x:c>
    </x:row>
    <x:row r="350" ht="28" customHeight="1">
      <x:c r="A350" s="1" t="n">
        <x:v>447</x:v>
      </x:c>
      <x:c r="B350" s="1" t="str">
        <x:v>Riolu</x:v>
      </x:c>
      <x:c r="C350" s="1" t="str">
        <x:v>Lutador</x:v>
      </x:c>
      <x:c r="D350" s="1" t="str"/>
      <x:c r="E350" s="11" t="str">
        <x:v>Voador 2×; Psíquico 2×; Fada 2×</x:v>
      </x:c>
      <x:c r="F350" s="11" t="str">
        <x:v>Inseto 0,5×; Pedra 0,5×; Sombrio 0,5×</x:v>
      </x:c>
      <x:c r="G350" s="11" t="str"/>
      <x:c r="H350" s="11" t="str">
        <x:v>Normal; Gelo; Pedra; Sombrio; Aço</x:v>
      </x:c>
      <x:c r="I350" s="9" t="str">
        <x:v>https://poke.idleworld.online/pokepedia/pokemon/riolu</x:v>
      </x:c>
    </x:row>
    <x:row r="351" ht="42" customHeight="1">
      <x:c r="A351" s="1" t="n">
        <x:v>448</x:v>
      </x:c>
      <x:c r="B351" s="1" t="str">
        <x:v>Lucario</x:v>
      </x:c>
      <x:c r="C351" s="1" t="str">
        <x:v>Lutador</x:v>
      </x:c>
      <x:c r="D351" s="1" t="str">
        <x:v>Aço</x:v>
      </x:c>
      <x:c r="E351" s="11" t="str">
        <x:v>Fogo 2×; Lutador 2×; Terrestre 2×</x:v>
      </x:c>
      <x:c r="F351" s="11" t="str">
        <x:v>Normal 0,5×; Planta 0,5×; Gelo 0,5×; Inseto 0,25×; Pedra 0,25×; Dragão 0,5×; Sombrio 0,5×; Aço 0,5×</x:v>
      </x:c>
      <x:c r="G351" s="11" t="str">
        <x:v>Venenoso 0×</x:v>
      </x:c>
      <x:c r="H351" s="11" t="str">
        <x:v>Normal; Gelo; Pedra; Sombrio; Aço; Fada</x:v>
      </x:c>
      <x:c r="I351" s="9" t="str">
        <x:v>https://poke.idleworld.online/pokepedia/pokemon/lucario</x:v>
      </x:c>
    </x:row>
    <x:row r="352" ht="28" customHeight="1">
      <x:c r="A352" s="1" t="n">
        <x:v>458</x:v>
      </x:c>
      <x:c r="B352" s="1" t="str">
        <x:v>Mantyke</x:v>
      </x:c>
      <x:c r="C352" s="1" t="str">
        <x:v>Água</x:v>
      </x:c>
      <x:c r="D352" s="1" t="str">
        <x:v>Voador</x:v>
      </x:c>
      <x:c r="E352" s="11" t="str">
        <x:v>Elétrico 4×; Pedra 2×</x:v>
      </x:c>
      <x:c r="F352" s="11" t="str">
        <x:v>Fogo 0,5×; Água 0,5×; Lutador 0,5×; Inseto 0,5×; Aço 0,5×</x:v>
      </x:c>
      <x:c r="G352" s="11" t="str">
        <x:v>Terrestre 0×</x:v>
      </x:c>
      <x:c r="H352" s="11" t="str">
        <x:v>Fogo; Planta; Lutador; Terrestre; Inseto; Pedra</x:v>
      </x:c>
      <x:c r="I352" s="9" t="str">
        <x:v>https://poke.idleworld.online/pokepedia/pokemon/mantyke</x:v>
      </x:c>
    </x:row>
    <x:row r="353" ht="42" customHeight="1">
      <x:c r="A353" s="1" t="n">
        <x:v>460</x:v>
      </x:c>
      <x:c r="B353" s="1" t="str">
        <x:v>Abomasnow</x:v>
      </x:c>
      <x:c r="C353" s="1" t="str">
        <x:v>Planta</x:v>
      </x:c>
      <x:c r="D353" s="1" t="str">
        <x:v>Gelo</x:v>
      </x:c>
      <x:c r="E353" s="11" t="str">
        <x:v>Fogo 4×; Lutador 2×; Venenoso 2×; Voador 2×; Inseto 2×; Pedra 2×; Aço 2×</x:v>
      </x:c>
      <x:c r="F353" s="11" t="str">
        <x:v>Água 0,5×; Elétrico 0,5×; Planta 0,5×; Terrestre 0,5×</x:v>
      </x:c>
      <x:c r="G353" s="11" t="str"/>
      <x:c r="H353" s="11" t="str">
        <x:v>Água; Planta; Terrestre; Voador; Pedra; Dragão</x:v>
      </x:c>
      <x:c r="I353" s="9" t="str">
        <x:v>https://poke.idleworld.online/pokepedia/pokemon/abomasnow</x:v>
      </x:c>
    </x:row>
    <x:row r="354" ht="28" customHeight="1">
      <x:c r="A354" s="1" t="n">
        <x:v>461</x:v>
      </x:c>
      <x:c r="B354" s="1" t="str">
        <x:v>Weavile</x:v>
      </x:c>
      <x:c r="C354" s="1" t="str">
        <x:v>Sombrio</x:v>
      </x:c>
      <x:c r="D354" s="1" t="str">
        <x:v>Gelo</x:v>
      </x:c>
      <x:c r="E354" s="11" t="str">
        <x:v>Fogo 2×; Lutador 4×; Inseto 2×; Pedra 2×; Aço 2×; Fada 2×</x:v>
      </x:c>
      <x:c r="F354" s="11" t="str">
        <x:v>Gelo 0,5×; Fantasma 0,5×; Sombrio 0,5×</x:v>
      </x:c>
      <x:c r="G354" s="11" t="str">
        <x:v>Psíquico 0×</x:v>
      </x:c>
      <x:c r="H354" s="11" t="str">
        <x:v>Planta; Terrestre; Voador; Psíquico; Fantasma; Dragão</x:v>
      </x:c>
      <x:c r="I354" s="9" t="str">
        <x:v>https://poke.idleworld.online/pokepedia/pokemon/weavile</x:v>
      </x:c>
    </x:row>
    <x:row r="355" ht="58" customHeight="1">
      <x:c r="A355" s="1" t="n">
        <x:v>462</x:v>
      </x:c>
      <x:c r="B355" s="1" t="str">
        <x:v>Magnezone</x:v>
      </x:c>
      <x:c r="C355" s="1" t="str">
        <x:v>Elétrico</x:v>
      </x:c>
      <x:c r="D355" s="1" t="str">
        <x:v>Aço</x:v>
      </x:c>
      <x:c r="E355" s="11" t="str">
        <x:v>Fogo 2×; Lutador 2×; Terrestre 4×</x:v>
      </x:c>
      <x:c r="F355" s="11" t="str">
        <x:v>Normal 0,5×; Elétrico 0,5×; Planta 0,5×; Gelo 0,5×; Voador 0,25×; Psíquico 0,5×; Inseto 0,5×; Pedra 0,5×; Dragão 0,5×; Aço 0,25×; Fada 0,5×</x:v>
      </x:c>
      <x:c r="G355" s="11" t="str">
        <x:v>Venenoso 0×</x:v>
      </x:c>
      <x:c r="H355" s="11" t="str">
        <x:v>Água; Gelo; Voador; Pedra; Fada</x:v>
      </x:c>
      <x:c r="I355" s="9" t="str">
        <x:v>https://poke.idleworld.online/pokepedia/pokemon/magnezone</x:v>
      </x:c>
    </x:row>
    <x:row r="356" ht="42" customHeight="1">
      <x:c r="A356" s="1" t="n">
        <x:v>464</x:v>
      </x:c>
      <x:c r="B356" s="1" t="str">
        <x:v>Rhyperior</x:v>
      </x:c>
      <x:c r="C356" s="1" t="str">
        <x:v>Terrestre</x:v>
      </x:c>
      <x:c r="D356" s="1" t="str">
        <x:v>Pedra</x:v>
      </x:c>
      <x:c r="E356" s="11" t="str">
        <x:v>Água 4×; Planta 4×; Gelo 2×; Lutador 2×; Terrestre 2×; Aço 2×</x:v>
      </x:c>
      <x:c r="F356" s="11" t="str">
        <x:v>Normal 0,5×; Fogo 0,5×; Venenoso 0,25×; Voador 0,5×; Pedra 0,5×</x:v>
      </x:c>
      <x:c r="G356" s="11" t="str">
        <x:v>Elétrico 0×</x:v>
      </x:c>
      <x:c r="H356" s="11" t="str">
        <x:v>Fogo; Elétrico; Gelo; Venenoso; Voador; Inseto; Pedra; Aço</x:v>
      </x:c>
      <x:c r="I356" s="9" t="str">
        <x:v>https://poke.idleworld.online/pokepedia/pokemon/rhyperior</x:v>
      </x:c>
    </x:row>
    <x:row r="357" ht="28" customHeight="1">
      <x:c r="A357" s="1" t="n">
        <x:v>465</x:v>
      </x:c>
      <x:c r="B357" s="1" t="str">
        <x:v>Tangrowth</x:v>
      </x:c>
      <x:c r="C357" s="1" t="str">
        <x:v>Planta</x:v>
      </x:c>
      <x:c r="D357" s="1" t="str"/>
      <x:c r="E357" s="11" t="str">
        <x:v>Fogo 2×; Gelo 2×; Venenoso 2×; Voador 2×; Inseto 2×</x:v>
      </x:c>
      <x:c r="F357" s="11" t="str">
        <x:v>Água 0,5×; Elétrico 0,5×; Planta 0,5×; Terrestre 0,5×</x:v>
      </x:c>
      <x:c r="G357" s="11" t="str"/>
      <x:c r="H357" s="11" t="str">
        <x:v>Água; Terrestre; Pedra</x:v>
      </x:c>
      <x:c r="I357" s="9" t="str">
        <x:v>https://poke.idleworld.online/pokepedia/pokemon/tangrowth</x:v>
      </x:c>
    </x:row>
    <x:row r="358" ht="28" customHeight="1">
      <x:c r="A358" s="1" t="n">
        <x:v>466</x:v>
      </x:c>
      <x:c r="B358" s="1" t="str">
        <x:v>Electivire</x:v>
      </x:c>
      <x:c r="C358" s="1" t="str">
        <x:v>Elétrico</x:v>
      </x:c>
      <x:c r="D358" s="1" t="str"/>
      <x:c r="E358" s="11" t="str">
        <x:v>Terrestre 2×</x:v>
      </x:c>
      <x:c r="F358" s="11" t="str">
        <x:v>Elétrico 0,5×; Voador 0,5×; Aço 0,5×</x:v>
      </x:c>
      <x:c r="G358" s="11" t="str"/>
      <x:c r="H358" s="11" t="str">
        <x:v>Água; Voador</x:v>
      </x:c>
      <x:c r="I358" s="9" t="str">
        <x:v>https://poke.idleworld.online/pokepedia/pokemon/electivire</x:v>
      </x:c>
    </x:row>
    <x:row r="359" ht="42" customHeight="1">
      <x:c r="A359" s="1" t="n">
        <x:v>467</x:v>
      </x:c>
      <x:c r="B359" s="1" t="str">
        <x:v>Magmortar</x:v>
      </x:c>
      <x:c r="C359" s="1" t="str">
        <x:v>Fogo</x:v>
      </x:c>
      <x:c r="D359" s="1" t="str"/>
      <x:c r="E359" s="11" t="str">
        <x:v>Água 2×; Terrestre 2×; Pedra 2×</x:v>
      </x:c>
      <x:c r="F359" s="11" t="str">
        <x:v>Fogo 0,5×; Planta 0,5×; Gelo 0,5×; Inseto 0,5×; Aço 0,5×; Fada 0,5×</x:v>
      </x:c>
      <x:c r="G359" s="11" t="str"/>
      <x:c r="H359" s="11" t="str">
        <x:v>Planta; Gelo; Inseto; Aço</x:v>
      </x:c>
      <x:c r="I359" s="9" t="str">
        <x:v>https://poke.idleworld.online/pokepedia/pokemon/magmortar</x:v>
      </x:c>
    </x:row>
    <x:row r="360" ht="28" customHeight="1">
      <x:c r="A360" s="1" t="n">
        <x:v>468</x:v>
      </x:c>
      <x:c r="B360" s="1" t="str">
        <x:v>Togekiss</x:v>
      </x:c>
      <x:c r="C360" s="1" t="str">
        <x:v>Fada</x:v>
      </x:c>
      <x:c r="D360" s="1" t="str">
        <x:v>Voador</x:v>
      </x:c>
      <x:c r="E360" s="11" t="str">
        <x:v>Elétrico 2×; Gelo 2×; Venenoso 2×; Pedra 2×; Aço 2×</x:v>
      </x:c>
      <x:c r="F360" s="11" t="str">
        <x:v>Planta 0,5×; Lutador 0,25×; Inseto 0,25×; Sombrio 0,5×</x:v>
      </x:c>
      <x:c r="G360" s="11" t="str">
        <x:v>Terrestre 0×; Dragão 0×</x:v>
      </x:c>
      <x:c r="H360" s="11" t="str">
        <x:v>Planta; Lutador; Inseto; Dragão; Sombrio</x:v>
      </x:c>
      <x:c r="I360" s="9" t="str">
        <x:v>https://poke.idleworld.online/pokepedia/pokemon/togekiss</x:v>
      </x:c>
    </x:row>
    <x:row r="361" ht="28" customHeight="1">
      <x:c r="A361" s="1" t="n">
        <x:v>470</x:v>
      </x:c>
      <x:c r="B361" s="1" t="str">
        <x:v>Leafeon</x:v>
      </x:c>
      <x:c r="C361" s="1" t="str">
        <x:v>Planta</x:v>
      </x:c>
      <x:c r="D361" s="1" t="str"/>
      <x:c r="E361" s="11" t="str">
        <x:v>Fogo 2×; Gelo 2×; Venenoso 2×; Voador 2×; Inseto 2×</x:v>
      </x:c>
      <x:c r="F361" s="11" t="str">
        <x:v>Água 0,5×; Elétrico 0,5×; Planta 0,5×; Terrestre 0,5×</x:v>
      </x:c>
      <x:c r="G361" s="11" t="str"/>
      <x:c r="H361" s="11" t="str">
        <x:v>Água; Terrestre; Pedra</x:v>
      </x:c>
      <x:c r="I361" s="9" t="str">
        <x:v>https://poke.idleworld.online/pokepedia/pokemon/leafeon</x:v>
      </x:c>
    </x:row>
    <x:row r="362" ht="28" customHeight="1">
      <x:c r="A362" s="1" t="n">
        <x:v>471</x:v>
      </x:c>
      <x:c r="B362" s="1" t="str">
        <x:v>Glaceon</x:v>
      </x:c>
      <x:c r="C362" s="1" t="str">
        <x:v>Gelo</x:v>
      </x:c>
      <x:c r="D362" s="1" t="str"/>
      <x:c r="E362" s="11" t="str">
        <x:v>Fogo 2×; Lutador 2×; Pedra 2×; Aço 2×</x:v>
      </x:c>
      <x:c r="F362" s="11" t="str">
        <x:v>Gelo 0,5×</x:v>
      </x:c>
      <x:c r="G362" s="11" t="str"/>
      <x:c r="H362" s="11" t="str">
        <x:v>Planta; Terrestre; Voador; Dragão</x:v>
      </x:c>
      <x:c r="I362" s="9" t="str">
        <x:v>https://poke.idleworld.online/pokepedia/pokemon/glaceon</x:v>
      </x:c>
    </x:row>
    <x:row r="363" ht="42" customHeight="1">
      <x:c r="A363" s="1" t="n">
        <x:v>472</x:v>
      </x:c>
      <x:c r="B363" s="1" t="str">
        <x:v>Gliscor</x:v>
      </x:c>
      <x:c r="C363" s="1" t="str">
        <x:v>Terrestre</x:v>
      </x:c>
      <x:c r="D363" s="1" t="str">
        <x:v>Voador</x:v>
      </x:c>
      <x:c r="E363" s="11" t="str">
        <x:v>Água 2×; Gelo 4×</x:v>
      </x:c>
      <x:c r="F363" s="11" t="str">
        <x:v>Lutador 0,5×; Venenoso 0,5×; Inseto 0,5×</x:v>
      </x:c>
      <x:c r="G363" s="11" t="str">
        <x:v>Elétrico 0×; Terrestre 0×</x:v>
      </x:c>
      <x:c r="H363" s="11" t="str">
        <x:v>Fogo; Elétrico; Planta; Lutador; Venenoso; Inseto; Pedra; Aço</x:v>
      </x:c>
      <x:c r="I363" s="9" t="str">
        <x:v>https://poke.idleworld.online/pokepedia/pokemon/gliscor</x:v>
      </x:c>
    </x:row>
    <x:row r="364" ht="28" customHeight="1">
      <x:c r="A364" s="1" t="n">
        <x:v>475</x:v>
      </x:c>
      <x:c r="B364" s="1" t="str">
        <x:v>Gallade</x:v>
      </x:c>
      <x:c r="C364" s="1" t="str">
        <x:v>Psíquico</x:v>
      </x:c>
      <x:c r="D364" s="1" t="str">
        <x:v>Lutador</x:v>
      </x:c>
      <x:c r="E364" s="11" t="str">
        <x:v>Voador 2×; Fantasma 2×; Fada 2×</x:v>
      </x:c>
      <x:c r="F364" s="11" t="str">
        <x:v>Lutador 0,5×; Pedra 0,5×</x:v>
      </x:c>
      <x:c r="G364" s="11" t="str"/>
      <x:c r="H364" s="11" t="str">
        <x:v>Normal; Gelo; Lutador; Venenoso; Pedra; Sombrio; Aço</x:v>
      </x:c>
      <x:c r="I364" s="9" t="str">
        <x:v>https://poke.idleworld.online/pokepedia/pokemon/gallade</x:v>
      </x:c>
    </x:row>
    <x:row r="365" ht="28" customHeight="1">
      <x:c r="A365" s="1" t="n">
        <x:v>477</x:v>
      </x:c>
      <x:c r="B365" s="1" t="str">
        <x:v>Dusknoir</x:v>
      </x:c>
      <x:c r="C365" s="1" t="str">
        <x:v>Fantasma</x:v>
      </x:c>
      <x:c r="D365" s="1" t="str"/>
      <x:c r="E365" s="11" t="str">
        <x:v>Fantasma 2×; Sombrio 2×</x:v>
      </x:c>
      <x:c r="F365" s="11" t="str">
        <x:v>Venenoso 0,5×; Inseto 0,5×</x:v>
      </x:c>
      <x:c r="G365" s="11" t="str">
        <x:v>Normal 0×; Lutador 0×</x:v>
      </x:c>
      <x:c r="H365" s="11" t="str">
        <x:v>Psíquico; Fantasma</x:v>
      </x:c>
      <x:c r="I365" s="9" t="str">
        <x:v>https://poke.idleworld.online/pokepedia/pokemon/dusknoir</x:v>
      </x:c>
    </x:row>
    <x:row r="366" ht="42" customHeight="1">
      <x:c r="A366" s="1" t="n">
        <x:v>514</x:v>
      </x:c>
      <x:c r="B366" s="1" t="str">
        <x:v>Simisear</x:v>
      </x:c>
      <x:c r="C366" s="1" t="str">
        <x:v>Fogo</x:v>
      </x:c>
      <x:c r="D366" s="1" t="str"/>
      <x:c r="E366" s="11" t="str">
        <x:v>Água 2×; Terrestre 2×; Pedra 2×</x:v>
      </x:c>
      <x:c r="F366" s="11" t="str">
        <x:v>Fogo 0,5×; Planta 0,5×; Gelo 0,5×; Inseto 0,5×; Aço 0,5×; Fada 0,5×</x:v>
      </x:c>
      <x:c r="G366" s="11" t="str"/>
      <x:c r="H366" s="11" t="str">
        <x:v>Planta; Gelo; Inseto; Aço</x:v>
      </x:c>
      <x:c r="I366" s="9" t="str">
        <x:v>https://poke.idleworld.online/pokepedia/pokemon/simisear</x:v>
      </x:c>
    </x:row>
    <x:row r="367" ht="28" customHeight="1">
      <x:c r="A367" s="1" t="n">
        <x:v>538</x:v>
      </x:c>
      <x:c r="B367" s="1" t="str">
        <x:v>Throh</x:v>
      </x:c>
      <x:c r="C367" s="1" t="str">
        <x:v>Lutador</x:v>
      </x:c>
      <x:c r="D367" s="1" t="str"/>
      <x:c r="E367" s="11" t="str">
        <x:v>Voador 2×; Psíquico 2×; Fada 2×</x:v>
      </x:c>
      <x:c r="F367" s="11" t="str">
        <x:v>Inseto 0,5×; Pedra 0,5×; Sombrio 0,5×</x:v>
      </x:c>
      <x:c r="G367" s="11" t="str"/>
      <x:c r="H367" s="11" t="str">
        <x:v>Normal; Gelo; Pedra; Sombrio; Aço</x:v>
      </x:c>
      <x:c r="I367" s="9" t="str">
        <x:v>https://poke.idleworld.online/pokepedia/pokemon/throh</x:v>
      </x:c>
    </x:row>
    <x:row r="368" ht="28" customHeight="1">
      <x:c r="A368" s="1" t="n">
        <x:v>539</x:v>
      </x:c>
      <x:c r="B368" s="1" t="str">
        <x:v>Sawk</x:v>
      </x:c>
      <x:c r="C368" s="1" t="str">
        <x:v>Lutador</x:v>
      </x:c>
      <x:c r="D368" s="1" t="str"/>
      <x:c r="E368" s="11" t="str">
        <x:v>Voador 2×; Psíquico 2×; Fada 2×</x:v>
      </x:c>
      <x:c r="F368" s="11" t="str">
        <x:v>Inseto 0,5×; Pedra 0,5×; Sombrio 0,5×</x:v>
      </x:c>
      <x:c r="G368" s="11" t="str"/>
      <x:c r="H368" s="11" t="str">
        <x:v>Normal; Gelo; Pedra; Sombrio; Aço</x:v>
      </x:c>
      <x:c r="I368" s="9" t="str">
        <x:v>https://poke.idleworld.online/pokepedia/pokemon/sawk</x:v>
      </x:c>
    </x:row>
    <x:row r="369" ht="42" customHeight="1">
      <x:c r="A369" s="1" t="n">
        <x:v>543</x:v>
      </x:c>
      <x:c r="B369" s="1" t="str">
        <x:v>Venipede</x:v>
      </x:c>
      <x:c r="C369" s="1" t="str">
        <x:v>Inseto</x:v>
      </x:c>
      <x:c r="D369" s="1" t="str">
        <x:v>Venenoso</x:v>
      </x:c>
      <x:c r="E369" s="11" t="str">
        <x:v>Fogo 2×; Voador 2×; Psíquico 2×; Pedra 2×</x:v>
      </x:c>
      <x:c r="F369" s="11" t="str">
        <x:v>Planta 0,25×; Lutador 0,25×; Venenoso 0,5×; Inseto 0,5×; Fada 0,5×</x:v>
      </x:c>
      <x:c r="G369" s="11" t="str"/>
      <x:c r="H369" s="11" t="str">
        <x:v>Planta; Psíquico; Sombrio; Fada</x:v>
      </x:c>
      <x:c r="I369" s="9" t="str">
        <x:v>https://poke.idleworld.online/pokepedia/pokemon/venipede</x:v>
      </x:c>
    </x:row>
    <x:row r="370" ht="42" customHeight="1">
      <x:c r="A370" s="1" t="n">
        <x:v>545</x:v>
      </x:c>
      <x:c r="B370" s="1" t="str">
        <x:v>Scolipede</x:v>
      </x:c>
      <x:c r="C370" s="1" t="str">
        <x:v>Inseto</x:v>
      </x:c>
      <x:c r="D370" s="1" t="str">
        <x:v>Venenoso</x:v>
      </x:c>
      <x:c r="E370" s="11" t="str">
        <x:v>Fogo 2×; Voador 2×; Psíquico 2×; Pedra 2×</x:v>
      </x:c>
      <x:c r="F370" s="11" t="str">
        <x:v>Planta 0,25×; Lutador 0,25×; Venenoso 0,5×; Inseto 0,5×; Fada 0,5×</x:v>
      </x:c>
      <x:c r="G370" s="11" t="str"/>
      <x:c r="H370" s="11" t="str">
        <x:v>Planta; Psíquico; Sombrio; Fada</x:v>
      </x:c>
      <x:c r="I370" s="9" t="str">
        <x:v>https://poke.idleworld.online/pokepedia/pokemon/scolipede</x:v>
      </x:c>
    </x:row>
    <x:row r="371" ht="28" customHeight="1">
      <x:c r="A371" s="1" t="n">
        <x:v>548</x:v>
      </x:c>
      <x:c r="B371" s="1" t="str">
        <x:v>Petilil</x:v>
      </x:c>
      <x:c r="C371" s="1" t="str">
        <x:v>Planta</x:v>
      </x:c>
      <x:c r="D371" s="1" t="str"/>
      <x:c r="E371" s="11" t="str">
        <x:v>Fogo 2×; Gelo 2×; Venenoso 2×; Voador 2×; Inseto 2×</x:v>
      </x:c>
      <x:c r="F371" s="11" t="str">
        <x:v>Água 0,5×; Elétrico 0,5×; Planta 0,5×; Terrestre 0,5×</x:v>
      </x:c>
      <x:c r="G371" s="11" t="str"/>
      <x:c r="H371" s="11" t="str">
        <x:v>Água; Terrestre; Pedra</x:v>
      </x:c>
      <x:c r="I371" s="9" t="str">
        <x:v>https://poke.idleworld.online/pokepedia/pokemon/petilil</x:v>
      </x:c>
    </x:row>
    <x:row r="372" ht="28" customHeight="1">
      <x:c r="A372" s="1" t="n">
        <x:v>549</x:v>
      </x:c>
      <x:c r="B372" s="1" t="str">
        <x:v>Lilligant</x:v>
      </x:c>
      <x:c r="C372" s="1" t="str">
        <x:v>Planta</x:v>
      </x:c>
      <x:c r="D372" s="1" t="str"/>
      <x:c r="E372" s="11" t="str">
        <x:v>Fogo 2×; Gelo 2×; Venenoso 2×; Voador 2×; Inseto 2×</x:v>
      </x:c>
      <x:c r="F372" s="11" t="str">
        <x:v>Água 0,5×; Elétrico 0,5×; Planta 0,5×; Terrestre 0,5×</x:v>
      </x:c>
      <x:c r="G372" s="11" t="str"/>
      <x:c r="H372" s="11" t="str">
        <x:v>Água; Terrestre; Pedra</x:v>
      </x:c>
      <x:c r="I372" s="9" t="str">
        <x:v>https://poke.idleworld.online/pokepedia/pokemon/lilligant</x:v>
      </x:c>
    </x:row>
    <x:row r="373" ht="42" customHeight="1">
      <x:c r="A373" s="1" t="n">
        <x:v>564</x:v>
      </x:c>
      <x:c r="B373" s="1" t="str">
        <x:v>Tirtouga</x:v>
      </x:c>
      <x:c r="C373" s="1" t="str">
        <x:v>Água</x:v>
      </x:c>
      <x:c r="D373" s="1" t="str">
        <x:v>Pedra</x:v>
      </x:c>
      <x:c r="E373" s="11" t="str">
        <x:v>Elétrico 2×; Planta 4×; Lutador 2×; Terrestre 2×</x:v>
      </x:c>
      <x:c r="F373" s="11" t="str">
        <x:v>Normal 0,5×; Fogo 0,25×; Gelo 0,5×; Venenoso 0,5×; Voador 0,5×</x:v>
      </x:c>
      <x:c r="G373" s="11" t="str"/>
      <x:c r="H373" s="11" t="str">
        <x:v>Fogo; Gelo; Terrestre; Voador; Inseto; Pedra</x:v>
      </x:c>
      <x:c r="I373" s="9" t="str">
        <x:v>https://poke.idleworld.online/pokepedia/pokemon/tirtouga</x:v>
      </x:c>
    </x:row>
    <x:row r="374" ht="42" customHeight="1">
      <x:c r="A374" s="1" t="n">
        <x:v>565</x:v>
      </x:c>
      <x:c r="B374" s="1" t="str">
        <x:v>Carracosta</x:v>
      </x:c>
      <x:c r="C374" s="1" t="str">
        <x:v>Água</x:v>
      </x:c>
      <x:c r="D374" s="1" t="str">
        <x:v>Pedra</x:v>
      </x:c>
      <x:c r="E374" s="11" t="str">
        <x:v>Elétrico 2×; Planta 4×; Lutador 2×; Terrestre 2×</x:v>
      </x:c>
      <x:c r="F374" s="11" t="str">
        <x:v>Normal 0,5×; Fogo 0,25×; Gelo 0,5×; Venenoso 0,5×; Voador 0,5×</x:v>
      </x:c>
      <x:c r="G374" s="11" t="str"/>
      <x:c r="H374" s="11" t="str">
        <x:v>Fogo; Gelo; Terrestre; Voador; Inseto; Pedra</x:v>
      </x:c>
      <x:c r="I374" s="9" t="str">
        <x:v>https://poke.idleworld.online/pokepedia/pokemon/carracosta</x:v>
      </x:c>
    </x:row>
    <x:row r="375" ht="42" customHeight="1">
      <x:c r="A375" s="1" t="n">
        <x:v>566</x:v>
      </x:c>
      <x:c r="B375" s="1" t="str">
        <x:v>Archen</x:v>
      </x:c>
      <x:c r="C375" s="1" t="str">
        <x:v>Pedra</x:v>
      </x:c>
      <x:c r="D375" s="1" t="str">
        <x:v>Voador</x:v>
      </x:c>
      <x:c r="E375" s="11" t="str">
        <x:v>Água 2×; Elétrico 2×; Gelo 2×; Pedra 2×; Aço 2×</x:v>
      </x:c>
      <x:c r="F375" s="11" t="str">
        <x:v>Normal 0,5×; Fogo 0,5×; Venenoso 0,5×; Voador 0,5×; Inseto 0,5×</x:v>
      </x:c>
      <x:c r="G375" s="11" t="str">
        <x:v>Terrestre 0×</x:v>
      </x:c>
      <x:c r="H375" s="11" t="str">
        <x:v>Fogo; Planta; Gelo; Lutador; Voador; Inseto</x:v>
      </x:c>
      <x:c r="I375" s="9" t="str">
        <x:v>https://poke.idleworld.online/pokepedia/pokemon/archen</x:v>
      </x:c>
    </x:row>
    <x:row r="376" ht="42" customHeight="1">
      <x:c r="A376" s="1" t="n">
        <x:v>567</x:v>
      </x:c>
      <x:c r="B376" s="1" t="str">
        <x:v>Archeops</x:v>
      </x:c>
      <x:c r="C376" s="1" t="str">
        <x:v>Pedra</x:v>
      </x:c>
      <x:c r="D376" s="1" t="str">
        <x:v>Voador</x:v>
      </x:c>
      <x:c r="E376" s="11" t="str">
        <x:v>Água 2×; Elétrico 2×; Gelo 2×; Pedra 2×; Aço 2×</x:v>
      </x:c>
      <x:c r="F376" s="11" t="str">
        <x:v>Normal 0,5×; Fogo 0,5×; Venenoso 0,5×; Voador 0,5×; Inseto 0,5×</x:v>
      </x:c>
      <x:c r="G376" s="11" t="str">
        <x:v>Terrestre 0×</x:v>
      </x:c>
      <x:c r="H376" s="11" t="str">
        <x:v>Fogo; Planta; Gelo; Lutador; Voador; Inseto</x:v>
      </x:c>
      <x:c r="I376" s="9" t="str">
        <x:v>https://poke.idleworld.online/pokepedia/pokemon/archeops</x:v>
      </x:c>
    </x:row>
    <x:row r="377" ht="28" customHeight="1">
      <x:c r="A377" s="1" t="n">
        <x:v>571</x:v>
      </x:c>
      <x:c r="B377" s="1" t="str">
        <x:v>Zoroark</x:v>
      </x:c>
      <x:c r="C377" s="1" t="str">
        <x:v>Sombrio</x:v>
      </x:c>
      <x:c r="D377" s="1" t="str"/>
      <x:c r="E377" s="11" t="str">
        <x:v>Lutador 2×; Inseto 2×; Fada 2×</x:v>
      </x:c>
      <x:c r="F377" s="11" t="str">
        <x:v>Fantasma 0,5×; Sombrio 0,5×</x:v>
      </x:c>
      <x:c r="G377" s="11" t="str">
        <x:v>Psíquico 0×</x:v>
      </x:c>
      <x:c r="H377" s="11" t="str">
        <x:v>Psíquico; Fantasma</x:v>
      </x:c>
      <x:c r="I377" s="9" t="str">
        <x:v>https://poke.idleworld.online/pokepedia/pokemon/zoroark</x:v>
      </x:c>
    </x:row>
    <x:row r="378" ht="58" customHeight="1">
      <x:c r="A378" s="1" t="n">
        <x:v>599</x:v>
      </x:c>
      <x:c r="B378" s="1" t="str">
        <x:v>Klink</x:v>
      </x:c>
      <x:c r="C378" s="1" t="str">
        <x:v>Aço</x:v>
      </x:c>
      <x:c r="D378" s="1" t="str"/>
      <x:c r="E378" s="11" t="str">
        <x:v>Fogo 2×; Lutador 2×; Terrestre 2×</x:v>
      </x:c>
      <x:c r="F378" s="11" t="str">
        <x:v>Normal 0,5×; Planta 0,5×; Gelo 0,5×; Voador 0,5×; Psíquico 0,5×; Inseto 0,5×; Pedra 0,5×; Dragão 0,5×; Aço 0,5×; Fada 0,5×</x:v>
      </x:c>
      <x:c r="G378" s="11" t="str">
        <x:v>Venenoso 0×</x:v>
      </x:c>
      <x:c r="H378" s="11" t="str">
        <x:v>Gelo; Pedra; Fada</x:v>
      </x:c>
      <x:c r="I378" s="9" t="str">
        <x:v>https://poke.idleworld.online/pokepedia/pokemon/klink</x:v>
      </x:c>
    </x:row>
    <x:row r="379" ht="58" customHeight="1">
      <x:c r="A379" s="1" t="n">
        <x:v>600</x:v>
      </x:c>
      <x:c r="B379" s="1" t="str">
        <x:v>Klang</x:v>
      </x:c>
      <x:c r="C379" s="1" t="str">
        <x:v>Aço</x:v>
      </x:c>
      <x:c r="D379" s="1" t="str"/>
      <x:c r="E379" s="11" t="str">
        <x:v>Fogo 2×; Lutador 2×; Terrestre 2×</x:v>
      </x:c>
      <x:c r="F379" s="11" t="str">
        <x:v>Normal 0,5×; Planta 0,5×; Gelo 0,5×; Voador 0,5×; Psíquico 0,5×; Inseto 0,5×; Pedra 0,5×; Dragão 0,5×; Aço 0,5×; Fada 0,5×</x:v>
      </x:c>
      <x:c r="G379" s="11" t="str">
        <x:v>Venenoso 0×</x:v>
      </x:c>
      <x:c r="H379" s="11" t="str">
        <x:v>Gelo; Pedra; Fada</x:v>
      </x:c>
      <x:c r="I379" s="9" t="str">
        <x:v>https://poke.idleworld.online/pokepedia/pokemon/klang</x:v>
      </x:c>
    </x:row>
    <x:row r="380" ht="58" customHeight="1">
      <x:c r="A380" s="1" t="n">
        <x:v>601</x:v>
      </x:c>
      <x:c r="B380" s="1" t="str">
        <x:v>Klinklang</x:v>
      </x:c>
      <x:c r="C380" s="1" t="str">
        <x:v>Aço</x:v>
      </x:c>
      <x:c r="D380" s="1" t="str"/>
      <x:c r="E380" s="11" t="str">
        <x:v>Fogo 2×; Lutador 2×; Terrestre 2×</x:v>
      </x:c>
      <x:c r="F380" s="11" t="str">
        <x:v>Normal 0,5×; Planta 0,5×; Gelo 0,5×; Voador 0,5×; Psíquico 0,5×; Inseto 0,5×; Pedra 0,5×; Dragão 0,5×; Aço 0,5×; Fada 0,5×</x:v>
      </x:c>
      <x:c r="G380" s="11" t="str">
        <x:v>Venenoso 0×</x:v>
      </x:c>
      <x:c r="H380" s="11" t="str">
        <x:v>Gelo; Pedra; Fada</x:v>
      </x:c>
      <x:c r="I380" s="9" t="str">
        <x:v>https://poke.idleworld.online/pokepedia/pokemon/klinklang</x:v>
      </x:c>
    </x:row>
    <x:row r="381" ht="28" customHeight="1">
      <x:c r="A381" s="1" t="n">
        <x:v>602</x:v>
      </x:c>
      <x:c r="B381" s="1" t="str">
        <x:v>Tynamo</x:v>
      </x:c>
      <x:c r="C381" s="1" t="str">
        <x:v>Elétrico</x:v>
      </x:c>
      <x:c r="D381" s="1" t="str"/>
      <x:c r="E381" s="11" t="str">
        <x:v>Terrestre 2×</x:v>
      </x:c>
      <x:c r="F381" s="11" t="str">
        <x:v>Elétrico 0,5×; Voador 0,5×; Aço 0,5×</x:v>
      </x:c>
      <x:c r="G381" s="11" t="str"/>
      <x:c r="H381" s="11" t="str">
        <x:v>Água; Voador</x:v>
      </x:c>
      <x:c r="I381" s="9" t="str">
        <x:v>https://poke.idleworld.online/pokepedia/pokemon/tynamo</x:v>
      </x:c>
    </x:row>
    <x:row r="382" ht="28" customHeight="1">
      <x:c r="A382" s="1" t="n">
        <x:v>603</x:v>
      </x:c>
      <x:c r="B382" s="1" t="str">
        <x:v>Eelektrik</x:v>
      </x:c>
      <x:c r="C382" s="1" t="str">
        <x:v>Elétrico</x:v>
      </x:c>
      <x:c r="D382" s="1" t="str"/>
      <x:c r="E382" s="11" t="str">
        <x:v>Terrestre 2×</x:v>
      </x:c>
      <x:c r="F382" s="11" t="str">
        <x:v>Elétrico 0,5×; Voador 0,5×; Aço 0,5×</x:v>
      </x:c>
      <x:c r="G382" s="11" t="str"/>
      <x:c r="H382" s="11" t="str">
        <x:v>Água; Voador</x:v>
      </x:c>
      <x:c r="I382" s="9" t="str">
        <x:v>https://poke.idleworld.online/pokepedia/pokemon/eelektrik</x:v>
      </x:c>
    </x:row>
    <x:row r="383" ht="28" customHeight="1">
      <x:c r="A383" s="1" t="n">
        <x:v>604</x:v>
      </x:c>
      <x:c r="B383" s="1" t="str">
        <x:v>Eelektross</x:v>
      </x:c>
      <x:c r="C383" s="1" t="str">
        <x:v>Elétrico</x:v>
      </x:c>
      <x:c r="D383" s="1" t="str"/>
      <x:c r="E383" s="11" t="str">
        <x:v>Terrestre 2×</x:v>
      </x:c>
      <x:c r="F383" s="11" t="str">
        <x:v>Elétrico 0,5×; Voador 0,5×; Aço 0,5×</x:v>
      </x:c>
      <x:c r="G383" s="11" t="str"/>
      <x:c r="H383" s="11" t="str">
        <x:v>Água; Voador</x:v>
      </x:c>
      <x:c r="I383" s="9" t="str">
        <x:v>https://poke.idleworld.online/pokepedia/pokemon/eelektross</x:v>
      </x:c>
    </x:row>
    <x:row r="384" ht="42" customHeight="1">
      <x:c r="A384" s="1" t="n">
        <x:v>607</x:v>
      </x:c>
      <x:c r="B384" s="1" t="str">
        <x:v>Litwick</x:v>
      </x:c>
      <x:c r="C384" s="1" t="str">
        <x:v>Fantasma</x:v>
      </x:c>
      <x:c r="D384" s="1" t="str">
        <x:v>Fogo</x:v>
      </x:c>
      <x:c r="E384" s="11" t="str">
        <x:v>Água 2×; Terrestre 2×; Pedra 2×; Fantasma 2×; Sombrio 2×</x:v>
      </x:c>
      <x:c r="F384" s="11" t="str">
        <x:v>Fogo 0,5×; Planta 0,5×; Gelo 0,5×; Venenoso 0,5×; Inseto 0,25×; Aço 0,5×; Fada 0,5×</x:v>
      </x:c>
      <x:c r="G384" s="11" t="str">
        <x:v>Normal 0×; Lutador 0×</x:v>
      </x:c>
      <x:c r="H384" s="11" t="str">
        <x:v>Planta; Gelo; Psíquico; Inseto; Fantasma; Aço</x:v>
      </x:c>
      <x:c r="I384" s="9" t="str">
        <x:v>https://poke.idleworld.online/pokepedia/pokemon/litwick</x:v>
      </x:c>
    </x:row>
    <x:row r="385" ht="42" customHeight="1">
      <x:c r="A385" s="1" t="n">
        <x:v>608</x:v>
      </x:c>
      <x:c r="B385" s="1" t="str">
        <x:v>Lampent</x:v>
      </x:c>
      <x:c r="C385" s="1" t="str">
        <x:v>Fantasma</x:v>
      </x:c>
      <x:c r="D385" s="1" t="str">
        <x:v>Fogo</x:v>
      </x:c>
      <x:c r="E385" s="11" t="str">
        <x:v>Água 2×; Terrestre 2×; Pedra 2×; Fantasma 2×; Sombrio 2×</x:v>
      </x:c>
      <x:c r="F385" s="11" t="str">
        <x:v>Fogo 0,5×; Planta 0,5×; Gelo 0,5×; Venenoso 0,5×; Inseto 0,25×; Aço 0,5×; Fada 0,5×</x:v>
      </x:c>
      <x:c r="G385" s="11" t="str">
        <x:v>Normal 0×; Lutador 0×</x:v>
      </x:c>
      <x:c r="H385" s="11" t="str">
        <x:v>Planta; Gelo; Psíquico; Inseto; Fantasma; Aço</x:v>
      </x:c>
      <x:c r="I385" s="9" t="str">
        <x:v>https://poke.idleworld.online/pokepedia/pokemon/lampent</x:v>
      </x:c>
    </x:row>
    <x:row r="386" ht="42" customHeight="1">
      <x:c r="A386" s="1" t="n">
        <x:v>609</x:v>
      </x:c>
      <x:c r="B386" s="1" t="str">
        <x:v>Chandelure</x:v>
      </x:c>
      <x:c r="C386" s="1" t="str">
        <x:v>Fantasma</x:v>
      </x:c>
      <x:c r="D386" s="1" t="str">
        <x:v>Fogo</x:v>
      </x:c>
      <x:c r="E386" s="11" t="str">
        <x:v>Água 2×; Terrestre 2×; Pedra 2×; Fantasma 2×; Sombrio 2×</x:v>
      </x:c>
      <x:c r="F386" s="11" t="str">
        <x:v>Fogo 0,5×; Planta 0,5×; Gelo 0,5×; Venenoso 0,5×; Inseto 0,25×; Aço 0,5×; Fada 0,5×</x:v>
      </x:c>
      <x:c r="G386" s="11" t="str">
        <x:v>Normal 0×; Lutador 0×</x:v>
      </x:c>
      <x:c r="H386" s="11" t="str">
        <x:v>Planta; Gelo; Psíquico; Inseto; Fantasma; Aço</x:v>
      </x:c>
      <x:c r="I386" s="9" t="str">
        <x:v>https://poke.idleworld.online/pokepedia/pokemon/chandelure</x:v>
      </x:c>
    </x:row>
    <x:row r="387" ht="28" customHeight="1">
      <x:c r="A387" s="1" t="n">
        <x:v>627</x:v>
      </x:c>
      <x:c r="B387" s="1" t="str">
        <x:v>Rufflet</x:v>
      </x:c>
      <x:c r="C387" s="1" t="str">
        <x:v>Normal</x:v>
      </x:c>
      <x:c r="D387" s="1" t="str">
        <x:v>Voador</x:v>
      </x:c>
      <x:c r="E387" s="11" t="str">
        <x:v>Elétrico 2×; Gelo 2×; Pedra 2×</x:v>
      </x:c>
      <x:c r="F387" s="11" t="str">
        <x:v>Planta 0,5×; Inseto 0,5×</x:v>
      </x:c>
      <x:c r="G387" s="11" t="str">
        <x:v>Terrestre 0×; Fantasma 0×</x:v>
      </x:c>
      <x:c r="H387" s="11" t="str">
        <x:v>Planta; Lutador; Inseto</x:v>
      </x:c>
      <x:c r="I387" s="9" t="str">
        <x:v>https://poke.idleworld.online/pokepedia/pokemon/rufflet</x:v>
      </x:c>
    </x:row>
    <x:row r="388" ht="28" customHeight="1">
      <x:c r="A388" s="1" t="n">
        <x:v>628</x:v>
      </x:c>
      <x:c r="B388" s="1" t="str">
        <x:v>Braviary</x:v>
      </x:c>
      <x:c r="C388" s="1" t="str">
        <x:v>Normal</x:v>
      </x:c>
      <x:c r="D388" s="1" t="str">
        <x:v>Voador</x:v>
      </x:c>
      <x:c r="E388" s="11" t="str">
        <x:v>Elétrico 2×; Gelo 2×; Pedra 2×</x:v>
      </x:c>
      <x:c r="F388" s="11" t="str">
        <x:v>Planta 0,5×; Inseto 0,5×</x:v>
      </x:c>
      <x:c r="G388" s="11" t="str">
        <x:v>Terrestre 0×; Fantasma 0×</x:v>
      </x:c>
      <x:c r="H388" s="11" t="str">
        <x:v>Planta; Lutador; Inseto</x:v>
      </x:c>
      <x:c r="I388" s="9" t="str">
        <x:v>https://poke.idleworld.online/pokepedia/pokemon/braviary</x:v>
      </x:c>
    </x:row>
    <x:row r="389" ht="42" customHeight="1">
      <x:c r="A389" s="1" t="n">
        <x:v>636</x:v>
      </x:c>
      <x:c r="B389" s="1" t="str">
        <x:v>Larvesta</x:v>
      </x:c>
      <x:c r="C389" s="1" t="str">
        <x:v>Inseto</x:v>
      </x:c>
      <x:c r="D389" s="1" t="str">
        <x:v>Fogo</x:v>
      </x:c>
      <x:c r="E389" s="11" t="str">
        <x:v>Água 2×; Voador 2×; Pedra 4×</x:v>
      </x:c>
      <x:c r="F389" s="11" t="str">
        <x:v>Planta 0,25×; Gelo 0,5×; Lutador 0,5×; Inseto 0,5×; Aço 0,5×; Fada 0,5×</x:v>
      </x:c>
      <x:c r="G389" s="11" t="str"/>
      <x:c r="H389" s="11" t="str">
        <x:v>Planta; Gelo; Psíquico; Inseto; Sombrio; Aço</x:v>
      </x:c>
      <x:c r="I389" s="9" t="str">
        <x:v>https://poke.idleworld.online/pokepedia/pokemon/larvesta</x:v>
      </x:c>
    </x:row>
    <x:row r="390" ht="42" customHeight="1">
      <x:c r="A390" s="1" t="n">
        <x:v>637</x:v>
      </x:c>
      <x:c r="B390" s="1" t="str">
        <x:v>Volcarona</x:v>
      </x:c>
      <x:c r="C390" s="1" t="str">
        <x:v>Inseto</x:v>
      </x:c>
      <x:c r="D390" s="1" t="str">
        <x:v>Fogo</x:v>
      </x:c>
      <x:c r="E390" s="11" t="str">
        <x:v>Água 2×; Voador 2×; Pedra 4×</x:v>
      </x:c>
      <x:c r="F390" s="11" t="str">
        <x:v>Planta 0,25×; Gelo 0,5×; Lutador 0,5×; Inseto 0,5×; Aço 0,5×; Fada 0,5×</x:v>
      </x:c>
      <x:c r="G390" s="11" t="str"/>
      <x:c r="H390" s="11" t="str">
        <x:v>Planta; Gelo; Psíquico; Inseto; Sombrio; Aço</x:v>
      </x:c>
      <x:c r="I390" s="9" t="str">
        <x:v>https://poke.idleworld.online/pokepedia/pokemon/volcarona</x:v>
      </x:c>
    </x:row>
    <x:row r="391" ht="42" customHeight="1">
      <x:c r="A391" s="1" t="n">
        <x:v>667</x:v>
      </x:c>
      <x:c r="B391" s="1" t="str">
        <x:v>Litleo</x:v>
      </x:c>
      <x:c r="C391" s="1" t="str">
        <x:v>Fogo</x:v>
      </x:c>
      <x:c r="D391" s="1" t="str">
        <x:v>Normal</x:v>
      </x:c>
      <x:c r="E391" s="11" t="str">
        <x:v>Água 2×; Lutador 2×; Terrestre 2×; Pedra 2×</x:v>
      </x:c>
      <x:c r="F391" s="11" t="str">
        <x:v>Fogo 0,5×; Planta 0,5×; Gelo 0,5×; Inseto 0,5×; Aço 0,5×; Fada 0,5×</x:v>
      </x:c>
      <x:c r="G391" s="11" t="str">
        <x:v>Fantasma 0×</x:v>
      </x:c>
      <x:c r="H391" s="11" t="str">
        <x:v>Planta; Gelo; Inseto; Aço</x:v>
      </x:c>
      <x:c r="I391" s="9" t="str">
        <x:v>https://poke.idleworld.online/pokepedia/pokemon/litleo</x:v>
      </x:c>
    </x:row>
    <x:row r="392" ht="28" customHeight="1">
      <x:c r="A392" s="1" t="n">
        <x:v>669</x:v>
      </x:c>
      <x:c r="B392" s="1" t="str">
        <x:v>Flabebe</x:v>
      </x:c>
      <x:c r="C392" s="1" t="str">
        <x:v>Fada</x:v>
      </x:c>
      <x:c r="D392" s="1" t="str"/>
      <x:c r="E392" s="11" t="str">
        <x:v>Venenoso 2×; Aço 2×</x:v>
      </x:c>
      <x:c r="F392" s="11" t="str">
        <x:v>Lutador 0,5×; Inseto 0,5×; Sombrio 0,5×</x:v>
      </x:c>
      <x:c r="G392" s="11" t="str">
        <x:v>Dragão 0×</x:v>
      </x:c>
      <x:c r="H392" s="11" t="str">
        <x:v>Lutador; Dragão; Sombrio</x:v>
      </x:c>
      <x:c r="I392" s="9" t="str">
        <x:v>https://poke.idleworld.online/pokepedia/pokemon/flabebe</x:v>
      </x:c>
    </x:row>
    <x:row r="393" ht="28" customHeight="1">
      <x:c r="A393" s="1" t="n">
        <x:v>670</x:v>
      </x:c>
      <x:c r="B393" s="1" t="str">
        <x:v>Floette</x:v>
      </x:c>
      <x:c r="C393" s="1" t="str">
        <x:v>Fada</x:v>
      </x:c>
      <x:c r="D393" s="1" t="str"/>
      <x:c r="E393" s="11" t="str">
        <x:v>Venenoso 2×; Aço 2×</x:v>
      </x:c>
      <x:c r="F393" s="11" t="str">
        <x:v>Lutador 0,5×; Inseto 0,5×; Sombrio 0,5×</x:v>
      </x:c>
      <x:c r="G393" s="11" t="str">
        <x:v>Dragão 0×</x:v>
      </x:c>
      <x:c r="H393" s="11" t="str">
        <x:v>Lutador; Dragão; Sombrio</x:v>
      </x:c>
      <x:c r="I393" s="9" t="str">
        <x:v>https://poke.idleworld.online/pokepedia/pokemon/floette</x:v>
      </x:c>
    </x:row>
    <x:row r="394" ht="28" customHeight="1">
      <x:c r="A394" s="1" t="n">
        <x:v>671</x:v>
      </x:c>
      <x:c r="B394" s="1" t="str">
        <x:v>Florges</x:v>
      </x:c>
      <x:c r="C394" s="1" t="str">
        <x:v>Fada</x:v>
      </x:c>
      <x:c r="D394" s="1" t="str"/>
      <x:c r="E394" s="11" t="str">
        <x:v>Venenoso 2×; Aço 2×</x:v>
      </x:c>
      <x:c r="F394" s="11" t="str">
        <x:v>Lutador 0,5×; Inseto 0,5×; Sombrio 0,5×</x:v>
      </x:c>
      <x:c r="G394" s="11" t="str">
        <x:v>Dragão 0×</x:v>
      </x:c>
      <x:c r="H394" s="11" t="str">
        <x:v>Lutador; Dragão; Sombrio</x:v>
      </x:c>
      <x:c r="I394" s="9" t="str">
        <x:v>https://poke.idleworld.online/pokepedia/pokemon/florges</x:v>
      </x:c>
    </x:row>
    <x:row r="395" ht="28" customHeight="1">
      <x:c r="A395" s="1" t="n">
        <x:v>672</x:v>
      </x:c>
      <x:c r="B395" s="1" t="str">
        <x:v>Skiddo</x:v>
      </x:c>
      <x:c r="C395" s="1" t="str">
        <x:v>Planta</x:v>
      </x:c>
      <x:c r="D395" s="1" t="str"/>
      <x:c r="E395" s="11" t="str">
        <x:v>Fogo 2×; Gelo 2×; Venenoso 2×; Voador 2×; Inseto 2×</x:v>
      </x:c>
      <x:c r="F395" s="11" t="str">
        <x:v>Água 0,5×; Elétrico 0,5×; Planta 0,5×; Terrestre 0,5×</x:v>
      </x:c>
      <x:c r="G395" s="11" t="str"/>
      <x:c r="H395" s="11" t="str">
        <x:v>Água; Terrestre; Pedra</x:v>
      </x:c>
      <x:c r="I395" s="9" t="str">
        <x:v>https://poke.idleworld.online/pokepedia/pokemon/skiddo</x:v>
      </x:c>
    </x:row>
    <x:row r="396" ht="28" customHeight="1">
      <x:c r="A396" s="1" t="n">
        <x:v>673</x:v>
      </x:c>
      <x:c r="B396" s="1" t="str">
        <x:v>Gogoat</x:v>
      </x:c>
      <x:c r="C396" s="1" t="str">
        <x:v>Planta</x:v>
      </x:c>
      <x:c r="D396" s="1" t="str"/>
      <x:c r="E396" s="11" t="str">
        <x:v>Fogo 2×; Gelo 2×; Venenoso 2×; Voador 2×; Inseto 2×</x:v>
      </x:c>
      <x:c r="F396" s="11" t="str">
        <x:v>Água 0,5×; Elétrico 0,5×; Planta 0,5×; Terrestre 0,5×</x:v>
      </x:c>
      <x:c r="G396" s="11" t="str"/>
      <x:c r="H396" s="11" t="str">
        <x:v>Água; Terrestre; Pedra</x:v>
      </x:c>
      <x:c r="I396" s="9" t="str">
        <x:v>https://poke.idleworld.online/pokepedia/pokemon/gogoat</x:v>
      </x:c>
    </x:row>
    <x:row r="397" ht="28" customHeight="1">
      <x:c r="A397" s="1" t="n">
        <x:v>674</x:v>
      </x:c>
      <x:c r="B397" s="1" t="str">
        <x:v>Pancham</x:v>
      </x:c>
      <x:c r="C397" s="1" t="str">
        <x:v>Lutador</x:v>
      </x:c>
      <x:c r="D397" s="1" t="str"/>
      <x:c r="E397" s="11" t="str">
        <x:v>Voador 2×; Psíquico 2×; Fada 2×</x:v>
      </x:c>
      <x:c r="F397" s="11" t="str">
        <x:v>Inseto 0,5×; Pedra 0,5×; Sombrio 0,5×</x:v>
      </x:c>
      <x:c r="G397" s="11" t="str"/>
      <x:c r="H397" s="11" t="str">
        <x:v>Normal; Gelo; Pedra; Sombrio; Aço</x:v>
      </x:c>
      <x:c r="I397" s="9" t="str">
        <x:v>https://poke.idleworld.online/pokepedia/pokemon/pancham</x:v>
      </x:c>
    </x:row>
    <x:row r="398" ht="28" customHeight="1">
      <x:c r="A398" s="1" t="n">
        <x:v>675</x:v>
      </x:c>
      <x:c r="B398" s="1" t="str">
        <x:v>Pangoro</x:v>
      </x:c>
      <x:c r="C398" s="1" t="str">
        <x:v>Lutador</x:v>
      </x:c>
      <x:c r="D398" s="1" t="str">
        <x:v>Sombrio</x:v>
      </x:c>
      <x:c r="E398" s="11" t="str">
        <x:v>Lutador 2×; Voador 2×; Fada 4×</x:v>
      </x:c>
      <x:c r="F398" s="11" t="str">
        <x:v>Pedra 0,5×; Fantasma 0,5×; Sombrio 0,25×</x:v>
      </x:c>
      <x:c r="G398" s="11" t="str">
        <x:v>Psíquico 0×</x:v>
      </x:c>
      <x:c r="H398" s="11" t="str">
        <x:v>Normal; Gelo; Psíquico; Pedra; Fantasma; Sombrio; Aço</x:v>
      </x:c>
      <x:c r="I398" s="9" t="str">
        <x:v>https://poke.idleworld.online/pokepedia/pokemon/pangoro</x:v>
      </x:c>
    </x:row>
    <x:row r="399" ht="28" customHeight="1">
      <x:c r="A399" s="1" t="n">
        <x:v>677</x:v>
      </x:c>
      <x:c r="B399" s="1" t="str">
        <x:v>Espurr</x:v>
      </x:c>
      <x:c r="C399" s="1" t="str">
        <x:v>Psíquico</x:v>
      </x:c>
      <x:c r="D399" s="1" t="str"/>
      <x:c r="E399" s="11" t="str">
        <x:v>Inseto 2×; Fantasma 2×; Sombrio 2×</x:v>
      </x:c>
      <x:c r="F399" s="11" t="str">
        <x:v>Lutador 0,5×; Psíquico 0,5×</x:v>
      </x:c>
      <x:c r="G399" s="11" t="str"/>
      <x:c r="H399" s="11" t="str">
        <x:v>Lutador; Venenoso</x:v>
      </x:c>
      <x:c r="I399" s="9" t="str">
        <x:v>https://poke.idleworld.online/pokepedia/pokemon/espurr</x:v>
      </x:c>
    </x:row>
    <x:row r="400" ht="42" customHeight="1">
      <x:c r="A400" s="1" t="n">
        <x:v>681</x:v>
      </x:c>
      <x:c r="B400" s="1" t="str">
        <x:v>Aegislash</x:v>
      </x:c>
      <x:c r="C400" s="1" t="str">
        <x:v>Aço</x:v>
      </x:c>
      <x:c r="D400" s="1" t="str">
        <x:v>Fantasma</x:v>
      </x:c>
      <x:c r="E400" s="11" t="str">
        <x:v>Fogo 2×; Terrestre 2×; Fantasma 2×; Sombrio 2×</x:v>
      </x:c>
      <x:c r="F400" s="11" t="str">
        <x:v>Planta 0,5×; Gelo 0,5×; Voador 0,5×; Psíquico 0,5×; Inseto 0,25×; Pedra 0,5×; Dragão 0,5×; Aço 0,5×; Fada 0,5×</x:v>
      </x:c>
      <x:c r="G400" s="11" t="str">
        <x:v>Normal 0×; Lutador 0×; Venenoso 0×</x:v>
      </x:c>
      <x:c r="H400" s="11" t="str">
        <x:v>Gelo; Psíquico; Pedra; Fantasma; Fada</x:v>
      </x:c>
      <x:c r="I400" s="9" t="str">
        <x:v>https://poke.idleworld.online/pokepedia/pokemon/aegislash</x:v>
      </x:c>
    </x:row>
    <x:row r="401" ht="42" customHeight="1">
      <x:c r="A401" s="1" t="n">
        <x:v>690</x:v>
      </x:c>
      <x:c r="B401" s="1" t="str">
        <x:v>Skrelp</x:v>
      </x:c>
      <x:c r="C401" s="1" t="str">
        <x:v>Venenoso</x:v>
      </x:c>
      <x:c r="D401" s="1" t="str">
        <x:v>Água</x:v>
      </x:c>
      <x:c r="E401" s="11" t="str">
        <x:v>Elétrico 2×; Terrestre 2×; Psíquico 2×</x:v>
      </x:c>
      <x:c r="F401" s="11" t="str">
        <x:v>Fogo 0,5×; Água 0,5×; Gelo 0,5×; Lutador 0,5×; Venenoso 0,5×; Inseto 0,5×; Aço 0,5×; Fada 0,5×</x:v>
      </x:c>
      <x:c r="G401" s="11" t="str"/>
      <x:c r="H401" s="11" t="str">
        <x:v>Fogo; Planta; Terrestre; Pedra; Fada</x:v>
      </x:c>
      <x:c r="I401" s="9" t="str">
        <x:v>https://poke.idleworld.online/pokepedia/pokemon/skrelp</x:v>
      </x:c>
    </x:row>
    <x:row r="402" ht="42" customHeight="1">
      <x:c r="A402" s="1" t="n">
        <x:v>691</x:v>
      </x:c>
      <x:c r="B402" s="1" t="str">
        <x:v>Dragalge</x:v>
      </x:c>
      <x:c r="C402" s="1" t="str">
        <x:v>Venenoso</x:v>
      </x:c>
      <x:c r="D402" s="1" t="str">
        <x:v>Dragão</x:v>
      </x:c>
      <x:c r="E402" s="11" t="str">
        <x:v>Gelo 2×; Terrestre 2×; Psíquico 2×; Dragão 2×</x:v>
      </x:c>
      <x:c r="F402" s="11" t="str">
        <x:v>Fogo 0,5×; Água 0,5×; Elétrico 0,5×; Planta 0,25×; Lutador 0,5×; Venenoso 0,5×; Inseto 0,5×</x:v>
      </x:c>
      <x:c r="G402" s="11" t="str"/>
      <x:c r="H402" s="11" t="str">
        <x:v>Planta; Dragão; Fada</x:v>
      </x:c>
      <x:c r="I402" s="9" t="str">
        <x:v>https://poke.idleworld.online/pokepedia/pokemon/dragalge</x:v>
      </x:c>
    </x:row>
    <x:row r="403" ht="28" customHeight="1">
      <x:c r="A403" s="1" t="n">
        <x:v>700</x:v>
      </x:c>
      <x:c r="B403" s="1" t="str">
        <x:v>Sylveon</x:v>
      </x:c>
      <x:c r="C403" s="1" t="str">
        <x:v>Fada</x:v>
      </x:c>
      <x:c r="D403" s="1" t="str"/>
      <x:c r="E403" s="11" t="str">
        <x:v>Venenoso 2×; Aço 2×</x:v>
      </x:c>
      <x:c r="F403" s="11" t="str">
        <x:v>Lutador 0,5×; Inseto 0,5×; Sombrio 0,5×</x:v>
      </x:c>
      <x:c r="G403" s="11" t="str">
        <x:v>Dragão 0×</x:v>
      </x:c>
      <x:c r="H403" s="11" t="str">
        <x:v>Lutador; Dragão; Sombrio</x:v>
      </x:c>
      <x:c r="I403" s="9" t="str">
        <x:v>https://poke.idleworld.online/pokepedia/pokemon/sylveon</x:v>
      </x:c>
    </x:row>
    <x:row r="404" ht="28" customHeight="1">
      <x:c r="A404" s="1" t="n">
        <x:v>704</x:v>
      </x:c>
      <x:c r="B404" s="1" t="str">
        <x:v>Goomy</x:v>
      </x:c>
      <x:c r="C404" s="1" t="str">
        <x:v>Dragão</x:v>
      </x:c>
      <x:c r="D404" s="1" t="str"/>
      <x:c r="E404" s="11" t="str">
        <x:v>Gelo 2×; Dragão 2×; Fada 2×</x:v>
      </x:c>
      <x:c r="F404" s="11" t="str">
        <x:v>Fogo 0,5×; Água 0,5×; Elétrico 0,5×; Planta 0,5×</x:v>
      </x:c>
      <x:c r="G404" s="11" t="str"/>
      <x:c r="H404" s="11" t="str">
        <x:v>Dragão</x:v>
      </x:c>
      <x:c r="I404" s="9" t="str">
        <x:v>https://poke.idleworld.online/pokepedia/pokemon/goomy</x:v>
      </x:c>
    </x:row>
    <x:row r="405" ht="28" customHeight="1">
      <x:c r="A405" s="1" t="n">
        <x:v>705</x:v>
      </x:c>
      <x:c r="B405" s="1" t="str">
        <x:v>Sliggoo</x:v>
      </x:c>
      <x:c r="C405" s="1" t="str">
        <x:v>Dragão</x:v>
      </x:c>
      <x:c r="D405" s="1" t="str"/>
      <x:c r="E405" s="11" t="str">
        <x:v>Gelo 2×; Dragão 2×; Fada 2×</x:v>
      </x:c>
      <x:c r="F405" s="11" t="str">
        <x:v>Fogo 0,5×; Água 0,5×; Elétrico 0,5×; Planta 0,5×</x:v>
      </x:c>
      <x:c r="G405" s="11" t="str"/>
      <x:c r="H405" s="11" t="str">
        <x:v>Dragão</x:v>
      </x:c>
      <x:c r="I405" s="9" t="str">
        <x:v>https://poke.idleworld.online/pokepedia/pokemon/sliggoo</x:v>
      </x:c>
    </x:row>
    <x:row r="406" ht="28" customHeight="1">
      <x:c r="A406" s="1" t="n">
        <x:v>706</x:v>
      </x:c>
      <x:c r="B406" s="1" t="str">
        <x:v>Goodra</x:v>
      </x:c>
      <x:c r="C406" s="1" t="str">
        <x:v>Dragão</x:v>
      </x:c>
      <x:c r="D406" s="1" t="str"/>
      <x:c r="E406" s="11" t="str">
        <x:v>Gelo 2×; Dragão 2×; Fada 2×</x:v>
      </x:c>
      <x:c r="F406" s="11" t="str">
        <x:v>Fogo 0,5×; Água 0,5×; Elétrico 0,5×; Planta 0,5×</x:v>
      </x:c>
      <x:c r="G406" s="11" t="str"/>
      <x:c r="H406" s="11" t="str">
        <x:v>Dragão</x:v>
      </x:c>
      <x:c r="I406" s="9" t="str">
        <x:v>https://poke.idleworld.online/pokepedia/pokemon/goodra</x:v>
      </x:c>
    </x:row>
    <x:row r="407" ht="28" customHeight="1">
      <x:c r="A407" s="1" t="n">
        <x:v>744</x:v>
      </x:c>
      <x:c r="B407" s="1" t="str">
        <x:v>Rockruff</x:v>
      </x:c>
      <x:c r="C407" s="1" t="str">
        <x:v>Pedra</x:v>
      </x:c>
      <x:c r="D407" s="1" t="str"/>
      <x:c r="E407" s="11" t="str">
        <x:v>Água 2×; Planta 2×; Lutador 2×; Terrestre 2×; Aço 2×</x:v>
      </x:c>
      <x:c r="F407" s="11" t="str">
        <x:v>Normal 0,5×; Fogo 0,5×; Venenoso 0,5×; Voador 0,5×</x:v>
      </x:c>
      <x:c r="G407" s="11" t="str"/>
      <x:c r="H407" s="11" t="str">
        <x:v>Fogo; Gelo; Voador; Inseto</x:v>
      </x:c>
      <x:c r="I407" s="9" t="str">
        <x:v>https://poke.idleworld.online/pokepedia/pokemon/rockruff</x:v>
      </x:c>
    </x:row>
    <x:row r="408" ht="42" customHeight="1">
      <x:c r="A408" s="1" t="n">
        <x:v>776</x:v>
      </x:c>
      <x:c r="B408" s="1" t="str">
        <x:v>Turtonator</x:v>
      </x:c>
      <x:c r="C408" s="1" t="str">
        <x:v>Fogo</x:v>
      </x:c>
      <x:c r="D408" s="1" t="str">
        <x:v>Dragão</x:v>
      </x:c>
      <x:c r="E408" s="11" t="str">
        <x:v>Terrestre 2×; Pedra 2×; Dragão 2×</x:v>
      </x:c>
      <x:c r="F408" s="11" t="str">
        <x:v>Fogo 0,25×; Elétrico 0,5×; Planta 0,25×; Inseto 0,5×; Aço 0,5×</x:v>
      </x:c>
      <x:c r="G408" s="11" t="str"/>
      <x:c r="H408" s="11" t="str">
        <x:v>Planta; Gelo; Inseto; Dragão; Aço</x:v>
      </x:c>
      <x:c r="I408" s="9" t="str">
        <x:v>https://poke.idleworld.online/pokepedia/pokemon/turtonator</x:v>
      </x:c>
    </x:row>
    <x:row r="409" ht="28" customHeight="1">
      <x:c r="A409" s="1" t="n">
        <x:v>780</x:v>
      </x:c>
      <x:c r="B409" s="1" t="str">
        <x:v>Drampa</x:v>
      </x:c>
      <x:c r="C409" s="1" t="str">
        <x:v>Normal</x:v>
      </x:c>
      <x:c r="D409" s="1" t="str">
        <x:v>Dragão</x:v>
      </x:c>
      <x:c r="E409" s="11" t="str">
        <x:v>Gelo 2×; Lutador 2×; Dragão 2×; Fada 2×</x:v>
      </x:c>
      <x:c r="F409" s="11" t="str">
        <x:v>Fogo 0,5×; Água 0,5×; Elétrico 0,5×; Planta 0,5×</x:v>
      </x:c>
      <x:c r="G409" s="11" t="str">
        <x:v>Fantasma 0×</x:v>
      </x:c>
      <x:c r="H409" s="11" t="str">
        <x:v>Dragão</x:v>
      </x:c>
      <x:c r="I409" s="9" t="str">
        <x:v>https://poke.idleworld.online/pokepedia/pokemon/drampa</x:v>
      </x:c>
    </x:row>
    <x:row r="410" ht="42" customHeight="1">
      <x:c r="A410" s="1" t="n">
        <x:v>842</x:v>
      </x:c>
      <x:c r="B410" s="1" t="str">
        <x:v>Appletun</x:v>
      </x:c>
      <x:c r="C410" s="1" t="str">
        <x:v>Planta</x:v>
      </x:c>
      <x:c r="D410" s="1" t="str">
        <x:v>Dragão</x:v>
      </x:c>
      <x:c r="E410" s="11" t="str">
        <x:v>Gelo 4×; Venenoso 2×; Voador 2×; Inseto 2×; Dragão 2×; Fada 2×</x:v>
      </x:c>
      <x:c r="F410" s="11" t="str">
        <x:v>Água 0,25×; Elétrico 0,25×; Planta 0,25×; Terrestre 0,5×</x:v>
      </x:c>
      <x:c r="G410" s="11" t="str"/>
      <x:c r="H410" s="11" t="str">
        <x:v>Água; Terrestre; Pedra; Dragão</x:v>
      </x:c>
      <x:c r="I410" s="9" t="str">
        <x:v>https://poke.idleworld.online/pokepedia/pokemon/appletun</x:v>
      </x:c>
    </x:row>
    <x:row r="411" ht="28" customHeight="1">
      <x:c r="A411" s="1" t="n">
        <x:v>843</x:v>
      </x:c>
      <x:c r="B411" s="1" t="str">
        <x:v>Silicobra</x:v>
      </x:c>
      <x:c r="C411" s="1" t="str">
        <x:v>Terrestre</x:v>
      </x:c>
      <x:c r="D411" s="1" t="str"/>
      <x:c r="E411" s="11" t="str">
        <x:v>Água 2×; Planta 2×; Gelo 2×</x:v>
      </x:c>
      <x:c r="F411" s="11" t="str">
        <x:v>Venenoso 0,5×; Pedra 0,5×</x:v>
      </x:c>
      <x:c r="G411" s="11" t="str">
        <x:v>Elétrico 0×</x:v>
      </x:c>
      <x:c r="H411" s="11" t="str">
        <x:v>Fogo; Elétrico; Venenoso; Pedra; Aço</x:v>
      </x:c>
      <x:c r="I411" s="9" t="str">
        <x:v>https://poke.idleworld.online/pokepedia/pokemon/silicobra</x:v>
      </x:c>
    </x:row>
    <x:row r="412" ht="28" customHeight="1">
      <x:c r="A412" s="1" t="n">
        <x:v>844</x:v>
      </x:c>
      <x:c r="B412" s="1" t="str">
        <x:v>Sandaconda</x:v>
      </x:c>
      <x:c r="C412" s="1" t="str">
        <x:v>Terrestre</x:v>
      </x:c>
      <x:c r="D412" s="1" t="str"/>
      <x:c r="E412" s="11" t="str">
        <x:v>Água 2×; Planta 2×; Gelo 2×</x:v>
      </x:c>
      <x:c r="F412" s="11" t="str">
        <x:v>Venenoso 0,5×; Pedra 0,5×</x:v>
      </x:c>
      <x:c r="G412" s="11" t="str">
        <x:v>Elétrico 0×</x:v>
      </x:c>
      <x:c r="H412" s="11" t="str">
        <x:v>Fogo; Elétrico; Venenoso; Pedra; Aço</x:v>
      </x:c>
      <x:c r="I412" s="9" t="str">
        <x:v>https://poke.idleworld.online/pokepedia/pokemon/sandaconda</x:v>
      </x:c>
    </x:row>
    <x:row r="413" ht="28" customHeight="1">
      <x:c r="A413" s="1" t="n">
        <x:v>865</x:v>
      </x:c>
      <x:c r="B413" s="1" t="str">
        <x:v>Sirfetch'd</x:v>
      </x:c>
      <x:c r="C413" s="1" t="str">
        <x:v>Lutador</x:v>
      </x:c>
      <x:c r="D413" s="1" t="str"/>
      <x:c r="E413" s="11" t="str">
        <x:v>Voador 2×; Psíquico 2×; Fada 2×</x:v>
      </x:c>
      <x:c r="F413" s="11" t="str">
        <x:v>Inseto 0,5×; Pedra 0,5×; Sombrio 0,5×</x:v>
      </x:c>
      <x:c r="G413" s="11" t="str"/>
      <x:c r="H413" s="11" t="str">
        <x:v>Normal; Gelo; Pedra; Sombrio; Aço</x:v>
      </x:c>
      <x:c r="I413" s="9" t="str">
        <x:v>https://poke.idleworld.online/pokepedia/pokemon/sirfetchd</x:v>
      </x:c>
    </x:row>
  </x:sheetData>
  <x:pageMargins left="0.7" right="0.7" top="0.75" bottom="0.75" header="0.3" footer="0.3"/>
  <x:tableParts count="1">
    <x:tablePart xmlns:r="http://schemas.openxmlformats.org/officeDocument/2006/relationships" r:id="Rb37e29abe8eb4f5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22" hidden="0" customWidth="1"/>
    <x:col min="3" max="3" width="30" hidden="0" customWidth="1"/>
    <x:col min="4" max="4" width="20" hidden="0" customWidth="1"/>
    <x:col min="5" max="5" width="20" hidden="0" customWidth="1"/>
    <x:col min="6" max="6" width="15" hidden="0" customWidth="1"/>
    <x:col min="7" max="7" width="68" hidden="0" customWidth="1"/>
  </x:cols>
  <x:sheetData>
    <x:row r="1">
      <x:c r="A1" s="2" t="str">
        <x:v>Drops</x:v>
      </x:c>
      <x:c r="B1" s="1"/>
      <x:c r="C1" s="1"/>
      <x:c r="D1" s="1"/>
      <x:c r="E1" s="1"/>
      <x:c r="F1" s="1"/>
      <x:c r="G1" s="1"/>
    </x:row>
    <x:row r="2">
      <x:c r="A2" s="3" t="str">
        <x:v>1948 itens • chance conforme a Poképedia (valor da fonte ÷ 1000, em %)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0" customHeight="1">
      <x:c r="A4" s="8" t="str">
        <x:v>Nº</x:v>
      </x:c>
      <x:c r="B4" s="8" t="str">
        <x:v>Pokémon</x:v>
      </x:c>
      <x:c r="C4" s="8" t="str">
        <x:v>Item</x:v>
      </x:c>
      <x:c r="D4" s="8" t="str">
        <x:v>Quantidade mínima</x:v>
      </x:c>
      <x:c r="E4" s="8" t="str">
        <x:v>Quantidade máxima</x:v>
      </x:c>
      <x:c r="F4" s="8" t="str">
        <x:v>Chance</x:v>
      </x:c>
      <x:c r="G4" s="8" t="str">
        <x:v>Fonte</x:v>
      </x:c>
    </x:row>
    <x:row r="5" ht="22" customHeight="1">
      <x:c r="A5" s="1" t="n">
        <x:v>1</x:v>
      </x:c>
      <x:c r="B5" s="1" t="str">
        <x:v>Bulbasaur</x:v>
      </x:c>
      <x:c r="C5" s="1" t="str">
        <x:v>Strange Pheromone</x:v>
      </x:c>
      <x:c r="D5" s="1" t="n">
        <x:v>1</x:v>
      </x:c>
      <x:c r="E5" s="1" t="n">
        <x:v>1</x:v>
      </x:c>
      <x:c r="F5" s="13" t="n">
        <x:v>0</x:v>
      </x:c>
      <x:c r="G5" s="9" t="str">
        <x:v>https://poke.idleworld.online/pokepedia/pokemon/bulbasaur</x:v>
      </x:c>
    </x:row>
    <x:row r="6" ht="22" customHeight="1">
      <x:c r="A6" s="1" t="n">
        <x:v>1</x:v>
      </x:c>
      <x:c r="B6" s="1" t="str">
        <x:v>Bulbasaur</x:v>
      </x:c>
      <x:c r="C6" s="1" t="str">
        <x:v>Bottles of Poison</x:v>
      </x:c>
      <x:c r="D6" s="1" t="n">
        <x:v>1</x:v>
      </x:c>
      <x:c r="E6" s="1" t="n">
        <x:v>5</x:v>
      </x:c>
      <x:c r="F6" s="13" t="n">
        <x:v>0.6252662999999999</x:v>
      </x:c>
      <x:c r="G6" s="9" t="str">
        <x:v>https://poke.idleworld.online/pokepedia/pokemon/bulbasaur</x:v>
      </x:c>
    </x:row>
    <x:row r="7" ht="22" customHeight="1">
      <x:c r="A7" s="1" t="n">
        <x:v>1</x:v>
      </x:c>
      <x:c r="B7" s="1" t="str">
        <x:v>Bulbasaur</x:v>
      </x:c>
      <x:c r="C7" s="1" t="str">
        <x:v>Seed</x:v>
      </x:c>
      <x:c r="D7" s="1" t="n">
        <x:v>1</x:v>
      </x:c>
      <x:c r="E7" s="1" t="n">
        <x:v>5</x:v>
      </x:c>
      <x:c r="F7" s="13" t="n">
        <x:v>0.6252662999999999</x:v>
      </x:c>
      <x:c r="G7" s="9" t="str">
        <x:v>https://poke.idleworld.online/pokepedia/pokemon/bulbasaur</x:v>
      </x:c>
    </x:row>
    <x:row r="8" ht="22" customHeight="1">
      <x:c r="A8" s="1" t="n">
        <x:v>1</x:v>
      </x:c>
      <x:c r="B8" s="1" t="str">
        <x:v>Bulbasaur</x:v>
      </x:c>
      <x:c r="C8" s="1" t="str">
        <x:v>Leaves</x:v>
      </x:c>
      <x:c r="D8" s="1" t="n">
        <x:v>1</x:v>
      </x:c>
      <x:c r="E8" s="1" t="n">
        <x:v>1</x:v>
      </x:c>
      <x:c r="F8" s="13" t="n">
        <x:v>0.6252662999999999</x:v>
      </x:c>
      <x:c r="G8" s="9" t="str">
        <x:v>https://poke.idleworld.online/pokepedia/pokemon/bulbasaur</x:v>
      </x:c>
    </x:row>
    <x:row r="9" ht="22" customHeight="1">
      <x:c r="A9" s="1" t="n">
        <x:v>1</x:v>
      </x:c>
      <x:c r="B9" s="1" t="str">
        <x:v>Bulbasaur</x:v>
      </x:c>
      <x:c r="C9" s="1" t="str">
        <x:v>Bag of Pollen</x:v>
      </x:c>
      <x:c r="D9" s="1" t="n">
        <x:v>1</x:v>
      </x:c>
      <x:c r="E9" s="1" t="n">
        <x:v>1</x:v>
      </x:c>
      <x:c r="F9" s="13" t="n">
        <x:v>0.175709</x:v>
      </x:c>
      <x:c r="G9" s="9" t="str">
        <x:v>https://poke.idleworld.online/pokepedia/pokemon/bulbasaur</x:v>
      </x:c>
    </x:row>
    <x:row r="10" ht="22" customHeight="1">
      <x:c r="A10" s="1" t="n">
        <x:v>1</x:v>
      </x:c>
      <x:c r="B10" s="1" t="str">
        <x:v>Bulbasaur</x:v>
      </x:c>
      <x:c r="C10" s="1" t="str">
        <x:v>Bulb</x:v>
      </x:c>
      <x:c r="D10" s="1" t="n">
        <x:v>1</x:v>
      </x:c>
      <x:c r="E10" s="1" t="n">
        <x:v>1</x:v>
      </x:c>
      <x:c r="F10" s="13" t="n">
        <x:v>0.0146483</x:v>
      </x:c>
      <x:c r="G10" s="9" t="str">
        <x:v>https://poke.idleworld.online/pokepedia/pokemon/bulbasaur</x:v>
      </x:c>
    </x:row>
    <x:row r="11" ht="22" customHeight="1">
      <x:c r="A11" s="1" t="n">
        <x:v>2</x:v>
      </x:c>
      <x:c r="B11" s="1" t="str">
        <x:v>Ivysaur</x:v>
      </x:c>
      <x:c r="C11" s="1" t="str">
        <x:v>Strange Pheromone</x:v>
      </x:c>
      <x:c r="D11" s="1" t="n">
        <x:v>1</x:v>
      </x:c>
      <x:c r="E11" s="1" t="n">
        <x:v>1</x:v>
      </x:c>
      <x:c r="F11" s="13" t="n">
        <x:v>0</x:v>
      </x:c>
      <x:c r="G11" s="9" t="str">
        <x:v>https://poke.idleworld.online/pokepedia/pokemon/ivysaur</x:v>
      </x:c>
    </x:row>
    <x:row r="12" ht="22" customHeight="1">
      <x:c r="A12" s="1" t="n">
        <x:v>2</x:v>
      </x:c>
      <x:c r="B12" s="1" t="str">
        <x:v>Ivysaur</x:v>
      </x:c>
      <x:c r="C12" s="1" t="str">
        <x:v>Bottles of Poison</x:v>
      </x:c>
      <x:c r="D12" s="1" t="n">
        <x:v>1</x:v>
      </x:c>
      <x:c r="E12" s="1" t="n">
        <x:v>10</x:v>
      </x:c>
      <x:c r="F12" s="13" t="n">
        <x:v>0.95</x:v>
      </x:c>
      <x:c r="G12" s="9" t="str">
        <x:v>https://poke.idleworld.online/pokepedia/pokemon/ivysaur</x:v>
      </x:c>
    </x:row>
    <x:row r="13" ht="22" customHeight="1">
      <x:c r="A13" s="1" t="n">
        <x:v>2</x:v>
      </x:c>
      <x:c r="B13" s="1" t="str">
        <x:v>Ivysaur</x:v>
      </x:c>
      <x:c r="C13" s="1" t="str">
        <x:v>Seed</x:v>
      </x:c>
      <x:c r="D13" s="1" t="n">
        <x:v>1</x:v>
      </x:c>
      <x:c r="E13" s="1" t="n">
        <x:v>10</x:v>
      </x:c>
      <x:c r="F13" s="13" t="n">
        <x:v>0.95</x:v>
      </x:c>
      <x:c r="G13" s="9" t="str">
        <x:v>https://poke.idleworld.online/pokepedia/pokemon/ivysaur</x:v>
      </x:c>
    </x:row>
    <x:row r="14" ht="22" customHeight="1">
      <x:c r="A14" s="1" t="n">
        <x:v>2</x:v>
      </x:c>
      <x:c r="B14" s="1" t="str">
        <x:v>Ivysaur</x:v>
      </x:c>
      <x:c r="C14" s="1" t="str">
        <x:v>Leaves</x:v>
      </x:c>
      <x:c r="D14" s="1" t="n">
        <x:v>1</x:v>
      </x:c>
      <x:c r="E14" s="1" t="n">
        <x:v>1</x:v>
      </x:c>
      <x:c r="F14" s="13" t="n">
        <x:v>0.5706141</x:v>
      </x:c>
      <x:c r="G14" s="9" t="str">
        <x:v>https://poke.idleworld.online/pokepedia/pokemon/ivysaur</x:v>
      </x:c>
    </x:row>
    <x:row r="15" ht="22" customHeight="1">
      <x:c r="A15" s="1" t="n">
        <x:v>2</x:v>
      </x:c>
      <x:c r="B15" s="1" t="str">
        <x:v>Ivysaur</x:v>
      </x:c>
      <x:c r="C15" s="1" t="str">
        <x:v>Bag of Pollen</x:v>
      </x:c>
      <x:c r="D15" s="1" t="n">
        <x:v>1</x:v>
      </x:c>
      <x:c r="E15" s="1" t="n">
        <x:v>1</x:v>
      </x:c>
      <x:c r="F15" s="13" t="n">
        <x:v>0.2141575</x:v>
      </x:c>
      <x:c r="G15" s="9" t="str">
        <x:v>https://poke.idleworld.online/pokepedia/pokemon/ivysaur</x:v>
      </x:c>
    </x:row>
    <x:row r="16" ht="22" customHeight="1">
      <x:c r="A16" s="1" t="n">
        <x:v>2</x:v>
      </x:c>
      <x:c r="B16" s="1" t="str">
        <x:v>Ivysaur</x:v>
      </x:c>
      <x:c r="C16" s="1" t="str">
        <x:v>Bulb</x:v>
      </x:c>
      <x:c r="D16" s="1" t="n">
        <x:v>1</x:v>
      </x:c>
      <x:c r="E16" s="1" t="n">
        <x:v>1</x:v>
      </x:c>
      <x:c r="F16" s="13" t="n">
        <x:v>0.035668000000000005</x:v>
      </x:c>
      <x:c r="G16" s="9" t="str">
        <x:v>https://poke.idleworld.online/pokepedia/pokemon/ivysaur</x:v>
      </x:c>
    </x:row>
    <x:row r="17" ht="22" customHeight="1">
      <x:c r="A17" s="1" t="n">
        <x:v>2</x:v>
      </x:c>
      <x:c r="B17" s="1" t="str">
        <x:v>Ivysaur</x:v>
      </x:c>
      <x:c r="C17" s="1" t="str">
        <x:v>Venom Stone</x:v>
      </x:c>
      <x:c r="D17" s="1" t="n">
        <x:v>1</x:v>
      </x:c>
      <x:c r="E17" s="1" t="n">
        <x:v>1</x:v>
      </x:c>
      <x:c r="F17" s="13" t="n">
        <x:v>0.0012369</x:v>
      </x:c>
      <x:c r="G17" s="9" t="str">
        <x:v>https://poke.idleworld.online/pokepedia/pokemon/ivysaur</x:v>
      </x:c>
    </x:row>
    <x:row r="18" ht="22" customHeight="1">
      <x:c r="A18" s="1" t="n">
        <x:v>2</x:v>
      </x:c>
      <x:c r="B18" s="1" t="str">
        <x:v>Ivysaur</x:v>
      </x:c>
      <x:c r="C18" s="1" t="str">
        <x:v>Leaf Stone</x:v>
      </x:c>
      <x:c r="D18" s="1" t="n">
        <x:v>1</x:v>
      </x:c>
      <x:c r="E18" s="1" t="n">
        <x:v>1</x:v>
      </x:c>
      <x:c r="F18" s="13" t="n">
        <x:v>0.0012369</x:v>
      </x:c>
      <x:c r="G18" s="9" t="str">
        <x:v>https://poke.idleworld.online/pokepedia/pokemon/ivysaur</x:v>
      </x:c>
    </x:row>
    <x:row r="19" ht="22" customHeight="1">
      <x:c r="A19" s="1" t="n">
        <x:v>3</x:v>
      </x:c>
      <x:c r="B19" s="1" t="str">
        <x:v>Venusaur</x:v>
      </x:c>
      <x:c r="C19" s="1" t="str">
        <x:v>Strange Pheromone</x:v>
      </x:c>
      <x:c r="D19" s="1" t="n">
        <x:v>1</x:v>
      </x:c>
      <x:c r="E19" s="1" t="n">
        <x:v>1</x:v>
      </x:c>
      <x:c r="F19" s="13" t="n">
        <x:v>0</x:v>
      </x:c>
      <x:c r="G19" s="9" t="str">
        <x:v>https://poke.idleworld.online/pokepedia/pokemon/venusaur</x:v>
      </x:c>
    </x:row>
    <x:row r="20" ht="22" customHeight="1">
      <x:c r="A20" s="1" t="n">
        <x:v>3</x:v>
      </x:c>
      <x:c r="B20" s="1" t="str">
        <x:v>Venusaur</x:v>
      </x:c>
      <x:c r="C20" s="1" t="str">
        <x:v>Bottles of Poison</x:v>
      </x:c>
      <x:c r="D20" s="1" t="n">
        <x:v>1</x:v>
      </x:c>
      <x:c r="E20" s="1" t="n">
        <x:v>21</x:v>
      </x:c>
      <x:c r="F20" s="13" t="n">
        <x:v>0.95</x:v>
      </x:c>
      <x:c r="G20" s="9" t="str">
        <x:v>https://poke.idleworld.online/pokepedia/pokemon/venusaur</x:v>
      </x:c>
    </x:row>
    <x:row r="21" ht="22" customHeight="1">
      <x:c r="A21" s="1" t="n">
        <x:v>3</x:v>
      </x:c>
      <x:c r="B21" s="1" t="str">
        <x:v>Venusaur</x:v>
      </x:c>
      <x:c r="C21" s="1" t="str">
        <x:v>Seed</x:v>
      </x:c>
      <x:c r="D21" s="1" t="n">
        <x:v>1</x:v>
      </x:c>
      <x:c r="E21" s="1" t="n">
        <x:v>21</x:v>
      </x:c>
      <x:c r="F21" s="13" t="n">
        <x:v>0.95</x:v>
      </x:c>
      <x:c r="G21" s="9" t="str">
        <x:v>https://poke.idleworld.online/pokepedia/pokemon/venusaur</x:v>
      </x:c>
    </x:row>
    <x:row r="22" ht="22" customHeight="1">
      <x:c r="A22" s="1" t="n">
        <x:v>3</x:v>
      </x:c>
      <x:c r="B22" s="1" t="str">
        <x:v>Venusaur</x:v>
      </x:c>
      <x:c r="C22" s="1" t="str">
        <x:v>Leaves</x:v>
      </x:c>
      <x:c r="D22" s="1" t="n">
        <x:v>1</x:v>
      </x:c>
      <x:c r="E22" s="1" t="n">
        <x:v>1</x:v>
      </x:c>
      <x:c r="F22" s="13" t="n">
        <x:v>0.95</x:v>
      </x:c>
      <x:c r="G22" s="9" t="str">
        <x:v>https://poke.idleworld.online/pokepedia/pokemon/venusaur</x:v>
      </x:c>
    </x:row>
    <x:row r="23" ht="22" customHeight="1">
      <x:c r="A23" s="1" t="n">
        <x:v>3</x:v>
      </x:c>
      <x:c r="B23" s="1" t="str">
        <x:v>Venusaur</x:v>
      </x:c>
      <x:c r="C23" s="1" t="str">
        <x:v>Bag of Pollen</x:v>
      </x:c>
      <x:c r="D23" s="1" t="n">
        <x:v>1</x:v>
      </x:c>
      <x:c r="E23" s="1" t="n">
        <x:v>1</x:v>
      </x:c>
      <x:c r="F23" s="13" t="n">
        <x:v>0.8854725999999999</x:v>
      </x:c>
      <x:c r="G23" s="9" t="str">
        <x:v>https://poke.idleworld.online/pokepedia/pokemon/venusaur</x:v>
      </x:c>
    </x:row>
    <x:row r="24" ht="22" customHeight="1">
      <x:c r="A24" s="1" t="n">
        <x:v>3</x:v>
      </x:c>
      <x:c r="B24" s="1" t="str">
        <x:v>Venusaur</x:v>
      </x:c>
      <x:c r="C24" s="1" t="str">
        <x:v>Bulb</x:v>
      </x:c>
      <x:c r="D24" s="1" t="n">
        <x:v>1</x:v>
      </x:c>
      <x:c r="E24" s="1" t="n">
        <x:v>1</x:v>
      </x:c>
      <x:c r="F24" s="13" t="n">
        <x:v>0.1492979</x:v>
      </x:c>
      <x:c r="G24" s="9" t="str">
        <x:v>https://poke.idleworld.online/pokepedia/pokemon/venusaur</x:v>
      </x:c>
    </x:row>
    <x:row r="25" ht="22" customHeight="1">
      <x:c r="A25" s="1" t="n">
        <x:v>3</x:v>
      </x:c>
      <x:c r="B25" s="1" t="str">
        <x:v>Venusaur</x:v>
      </x:c>
      <x:c r="C25" s="1" t="str">
        <x:v>Venom Stone</x:v>
      </x:c>
      <x:c r="D25" s="1" t="n">
        <x:v>1</x:v>
      </x:c>
      <x:c r="E25" s="1" t="n">
        <x:v>1</x:v>
      </x:c>
      <x:c r="F25" s="13" t="n">
        <x:v>0.0036247000000000002</x:v>
      </x:c>
      <x:c r="G25" s="9" t="str">
        <x:v>https://poke.idleworld.online/pokepedia/pokemon/venusaur</x:v>
      </x:c>
    </x:row>
    <x:row r="26" ht="22" customHeight="1">
      <x:c r="A26" s="1" t="n">
        <x:v>3</x:v>
      </x:c>
      <x:c r="B26" s="1" t="str">
        <x:v>Venusaur</x:v>
      </x:c>
      <x:c r="C26" s="1" t="str">
        <x:v>Leaf Stone</x:v>
      </x:c>
      <x:c r="D26" s="1" t="n">
        <x:v>1</x:v>
      </x:c>
      <x:c r="E26" s="1" t="n">
        <x:v>1</x:v>
      </x:c>
      <x:c r="F26" s="13" t="n">
        <x:v>0.0036247000000000002</x:v>
      </x:c>
      <x:c r="G26" s="9" t="str">
        <x:v>https://poke.idleworld.online/pokepedia/pokemon/venusaur</x:v>
      </x:c>
    </x:row>
    <x:row r="27" ht="22" customHeight="1">
      <x:c r="A27" s="1" t="n">
        <x:v>4</x:v>
      </x:c>
      <x:c r="B27" s="1" t="str">
        <x:v>Charmander</x:v>
      </x:c>
      <x:c r="C27" s="1" t="str">
        <x:v>Strange Pheromone</x:v>
      </x:c>
      <x:c r="D27" s="1" t="n">
        <x:v>1</x:v>
      </x:c>
      <x:c r="E27" s="1" t="n">
        <x:v>1</x:v>
      </x:c>
      <x:c r="F27" s="13" t="n">
        <x:v>0</x:v>
      </x:c>
      <x:c r="G27" s="9" t="str">
        <x:v>https://poke.idleworld.online/pokepedia/pokemon/charmander</x:v>
      </x:c>
    </x:row>
    <x:row r="28" ht="22" customHeight="1">
      <x:c r="A28" s="1" t="n">
        <x:v>4</x:v>
      </x:c>
      <x:c r="B28" s="1" t="str">
        <x:v>Charmander</x:v>
      </x:c>
      <x:c r="C28" s="1" t="str">
        <x:v>Essence of Fire</x:v>
      </x:c>
      <x:c r="D28" s="1" t="n">
        <x:v>1</x:v>
      </x:c>
      <x:c r="E28" s="1" t="n">
        <x:v>10</x:v>
      </x:c>
      <x:c r="F28" s="13" t="n">
        <x:v>0.697316</x:v>
      </x:c>
      <x:c r="G28" s="9" t="str">
        <x:v>https://poke.idleworld.online/pokepedia/pokemon/charmander</x:v>
      </x:c>
    </x:row>
    <x:row r="29" ht="22" customHeight="1">
      <x:c r="A29" s="1" t="n">
        <x:v>4</x:v>
      </x:c>
      <x:c r="B29" s="1" t="str">
        <x:v>Charmander</x:v>
      </x:c>
      <x:c r="C29" s="1" t="str">
        <x:v>Pot of Lava</x:v>
      </x:c>
      <x:c r="D29" s="1" t="n">
        <x:v>1</x:v>
      </x:c>
      <x:c r="E29" s="1" t="n">
        <x:v>1</x:v>
      </x:c>
      <x:c r="F29" s="13" t="n">
        <x:v>0.6973158</x:v>
      </x:c>
      <x:c r="G29" s="9" t="str">
        <x:v>https://poke.idleworld.online/pokepedia/pokemon/charmander</x:v>
      </x:c>
    </x:row>
    <x:row r="30" ht="22" customHeight="1">
      <x:c r="A30" s="1" t="n">
        <x:v>4</x:v>
      </x:c>
      <x:c r="B30" s="1" t="str">
        <x:v>Charmander</x:v>
      </x:c>
      <x:c r="C30" s="1" t="str">
        <x:v>Fire Tail</x:v>
      </x:c>
      <x:c r="D30" s="1" t="n">
        <x:v>1</x:v>
      </x:c>
      <x:c r="E30" s="1" t="n">
        <x:v>1</x:v>
      </x:c>
      <x:c r="F30" s="13" t="n">
        <x:v>0.0287565</x:v>
      </x:c>
      <x:c r="G30" s="9" t="str">
        <x:v>https://poke.idleworld.online/pokepedia/pokemon/charmander</x:v>
      </x:c>
    </x:row>
    <x:row r="31" ht="22" customHeight="1">
      <x:c r="A31" s="1" t="n">
        <x:v>5</x:v>
      </x:c>
      <x:c r="B31" s="1" t="str">
        <x:v>Charmeleon</x:v>
      </x:c>
      <x:c r="C31" s="1" t="str">
        <x:v>Strange Pheromone</x:v>
      </x:c>
      <x:c r="D31" s="1" t="n">
        <x:v>1</x:v>
      </x:c>
      <x:c r="E31" s="1" t="n">
        <x:v>1</x:v>
      </x:c>
      <x:c r="F31" s="13" t="n">
        <x:v>0</x:v>
      </x:c>
      <x:c r="G31" s="9" t="str">
        <x:v>https://poke.idleworld.online/pokepedia/pokemon/charmeleon</x:v>
      </x:c>
    </x:row>
    <x:row r="32" ht="22" customHeight="1">
      <x:c r="A32" s="1" t="n">
        <x:v>5</x:v>
      </x:c>
      <x:c r="B32" s="1" t="str">
        <x:v>Charmeleon</x:v>
      </x:c>
      <x:c r="C32" s="1" t="str">
        <x:v>Essence of Fire</x:v>
      </x:c>
      <x:c r="D32" s="1" t="n">
        <x:v>1</x:v>
      </x:c>
      <x:c r="E32" s="1" t="n">
        <x:v>10</x:v>
      </x:c>
      <x:c r="F32" s="13" t="n">
        <x:v>0.95</x:v>
      </x:c>
      <x:c r="G32" s="9" t="str">
        <x:v>https://poke.idleworld.online/pokepedia/pokemon/charmeleon</x:v>
      </x:c>
    </x:row>
    <x:row r="33" ht="22" customHeight="1">
      <x:c r="A33" s="1" t="n">
        <x:v>5</x:v>
      </x:c>
      <x:c r="B33" s="1" t="str">
        <x:v>Charmeleon</x:v>
      </x:c>
      <x:c r="C33" s="1" t="str">
        <x:v>Pot of Lava</x:v>
      </x:c>
      <x:c r="D33" s="1" t="n">
        <x:v>1</x:v>
      </x:c>
      <x:c r="E33" s="1" t="n">
        <x:v>1</x:v>
      </x:c>
      <x:c r="F33" s="13" t="n">
        <x:v>0.6946266</x:v>
      </x:c>
      <x:c r="G33" s="9" t="str">
        <x:v>https://poke.idleworld.online/pokepedia/pokemon/charmeleon</x:v>
      </x:c>
    </x:row>
    <x:row r="34" ht="22" customHeight="1">
      <x:c r="A34" s="1" t="n">
        <x:v>5</x:v>
      </x:c>
      <x:c r="B34" s="1" t="str">
        <x:v>Charmeleon</x:v>
      </x:c>
      <x:c r="C34" s="1" t="str">
        <x:v>Fire Tail</x:v>
      </x:c>
      <x:c r="D34" s="1" t="n">
        <x:v>1</x:v>
      </x:c>
      <x:c r="E34" s="1" t="n">
        <x:v>1</x:v>
      </x:c>
      <x:c r="F34" s="13" t="n">
        <x:v>0.06314</x:v>
      </x:c>
      <x:c r="G34" s="9" t="str">
        <x:v>https://poke.idleworld.online/pokepedia/pokemon/charmeleon</x:v>
      </x:c>
    </x:row>
    <x:row r="35" ht="22" customHeight="1">
      <x:c r="A35" s="1" t="n">
        <x:v>5</x:v>
      </x:c>
      <x:c r="B35" s="1" t="str">
        <x:v>Charmeleon</x:v>
      </x:c>
      <x:c r="C35" s="1" t="str">
        <x:v>Fire Stone</x:v>
      </x:c>
      <x:c r="D35" s="1" t="n">
        <x:v>1</x:v>
      </x:c>
      <x:c r="E35" s="1" t="n">
        <x:v>1</x:v>
      </x:c>
      <x:c r="F35" s="13" t="n">
        <x:v>0.002234</x:v>
      </x:c>
      <x:c r="G35" s="9" t="str">
        <x:v>https://poke.idleworld.online/pokepedia/pokemon/charmeleon</x:v>
      </x:c>
    </x:row>
    <x:row r="36" ht="22" customHeight="1">
      <x:c r="A36" s="1" t="n">
        <x:v>6</x:v>
      </x:c>
      <x:c r="B36" s="1" t="str">
        <x:v>Charizard</x:v>
      </x:c>
      <x:c r="C36" s="1" t="str">
        <x:v>Strange Pheromone</x:v>
      </x:c>
      <x:c r="D36" s="1" t="n">
        <x:v>1</x:v>
      </x:c>
      <x:c r="E36" s="1" t="n">
        <x:v>1</x:v>
      </x:c>
      <x:c r="F36" s="13" t="n">
        <x:v>0</x:v>
      </x:c>
      <x:c r="G36" s="9" t="str">
        <x:v>https://poke.idleworld.online/pokepedia/pokemon/charizard</x:v>
      </x:c>
    </x:row>
    <x:row r="37" ht="22" customHeight="1">
      <x:c r="A37" s="1" t="n">
        <x:v>6</x:v>
      </x:c>
      <x:c r="B37" s="1" t="str">
        <x:v>Charizard</x:v>
      </x:c>
      <x:c r="C37" s="1" t="str">
        <x:v>Straw</x:v>
      </x:c>
      <x:c r="D37" s="1" t="n">
        <x:v>1</x:v>
      </x:c>
      <x:c r="E37" s="1" t="n">
        <x:v>21</x:v>
      </x:c>
      <x:c r="F37" s="13" t="n">
        <x:v>0.95</x:v>
      </x:c>
      <x:c r="G37" s="9" t="str">
        <x:v>https://poke.idleworld.online/pokepedia/pokemon/charizard</x:v>
      </x:c>
    </x:row>
    <x:row r="38" ht="22" customHeight="1">
      <x:c r="A38" s="1" t="n">
        <x:v>6</x:v>
      </x:c>
      <x:c r="B38" s="1" t="str">
        <x:v>Charizard</x:v>
      </x:c>
      <x:c r="C38" s="1" t="str">
        <x:v>Essence of Fire</x:v>
      </x:c>
      <x:c r="D38" s="1" t="n">
        <x:v>1</x:v>
      </x:c>
      <x:c r="E38" s="1" t="n">
        <x:v>21</x:v>
      </x:c>
      <x:c r="F38" s="13" t="n">
        <x:v>0.95</x:v>
      </x:c>
      <x:c r="G38" s="9" t="str">
        <x:v>https://poke.idleworld.online/pokepedia/pokemon/charizard</x:v>
      </x:c>
    </x:row>
    <x:row r="39" ht="22" customHeight="1">
      <x:c r="A39" s="1" t="n">
        <x:v>6</x:v>
      </x:c>
      <x:c r="B39" s="1" t="str">
        <x:v>Charizard</x:v>
      </x:c>
      <x:c r="C39" s="1" t="str">
        <x:v>Pot of Lava</x:v>
      </x:c>
      <x:c r="D39" s="1" t="n">
        <x:v>1</x:v>
      </x:c>
      <x:c r="E39" s="1" t="n">
        <x:v>2</x:v>
      </x:c>
      <x:c r="F39" s="13" t="n">
        <x:v>0.6353122</x:v>
      </x:c>
      <x:c r="G39" s="9" t="str">
        <x:v>https://poke.idleworld.online/pokepedia/pokemon/charizard</x:v>
      </x:c>
    </x:row>
    <x:row r="40" ht="22" customHeight="1">
      <x:c r="A40" s="1" t="n">
        <x:v>6</x:v>
      </x:c>
      <x:c r="B40" s="1" t="str">
        <x:v>Charizard</x:v>
      </x:c>
      <x:c r="C40" s="1" t="str">
        <x:v>Fire Tail</x:v>
      </x:c>
      <x:c r="D40" s="1" t="n">
        <x:v>1</x:v>
      </x:c>
      <x:c r="E40" s="1" t="n">
        <x:v>1</x:v>
      </x:c>
      <x:c r="F40" s="13" t="n">
        <x:v>0.16641779999999998</x:v>
      </x:c>
      <x:c r="G40" s="9" t="str">
        <x:v>https://poke.idleworld.online/pokepedia/pokemon/charizard</x:v>
      </x:c>
    </x:row>
    <x:row r="41" ht="22" customHeight="1">
      <x:c r="A41" s="1" t="n">
        <x:v>6</x:v>
      </x:c>
      <x:c r="B41" s="1" t="str">
        <x:v>Charizard</x:v>
      </x:c>
      <x:c r="C41" s="1" t="str">
        <x:v>Fire Stone</x:v>
      </x:c>
      <x:c r="D41" s="1" t="n">
        <x:v>1</x:v>
      </x:c>
      <x:c r="E41" s="1" t="n">
        <x:v>1</x:v>
      </x:c>
      <x:c r="F41" s="13" t="n">
        <x:v>0.0030783</x:v>
      </x:c>
      <x:c r="G41" s="9" t="str">
        <x:v>https://poke.idleworld.online/pokepedia/pokemon/charizard</x:v>
      </x:c>
    </x:row>
    <x:row r="42" ht="22" customHeight="1">
      <x:c r="A42" s="1" t="n">
        <x:v>6</x:v>
      </x:c>
      <x:c r="B42" s="1" t="str">
        <x:v>Charizard</x:v>
      </x:c>
      <x:c r="C42" s="1" t="str">
        <x:v>Feather Stone</x:v>
      </x:c>
      <x:c r="D42" s="1" t="n">
        <x:v>1</x:v>
      </x:c>
      <x:c r="E42" s="1" t="n">
        <x:v>1</x:v>
      </x:c>
      <x:c r="F42" s="13" t="n">
        <x:v>0.0030783</x:v>
      </x:c>
      <x:c r="G42" s="9" t="str">
        <x:v>https://poke.idleworld.online/pokepedia/pokemon/charizard</x:v>
      </x:c>
    </x:row>
    <x:row r="43" ht="22" customHeight="1">
      <x:c r="A43" s="1" t="n">
        <x:v>6</x:v>
      </x:c>
      <x:c r="B43" s="1" t="str">
        <x:v>Charizard</x:v>
      </x:c>
      <x:c r="C43" s="1" t="str">
        <x:v>Dragon Tooth</x:v>
      </x:c>
      <x:c r="D43" s="1" t="n">
        <x:v>1</x:v>
      </x:c>
      <x:c r="E43" s="1" t="n">
        <x:v>1</x:v>
      </x:c>
      <x:c r="F43" s="13" t="n">
        <x:v>0.019353699999999998</x:v>
      </x:c>
      <x:c r="G43" s="9" t="str">
        <x:v>https://poke.idleworld.online/pokepedia/pokemon/charizard</x:v>
      </x:c>
    </x:row>
    <x:row r="44" ht="22" customHeight="1">
      <x:c r="A44" s="1" t="n">
        <x:v>7</x:v>
      </x:c>
      <x:c r="B44" s="1" t="str">
        <x:v>Squirtle</x:v>
      </x:c>
      <x:c r="C44" s="1" t="str">
        <x:v>Strange Pheromone</x:v>
      </x:c>
      <x:c r="D44" s="1" t="n">
        <x:v>1</x:v>
      </x:c>
      <x:c r="E44" s="1" t="n">
        <x:v>1</x:v>
      </x:c>
      <x:c r="F44" s="13" t="n">
        <x:v>0</x:v>
      </x:c>
      <x:c r="G44" s="9" t="str">
        <x:v>https://poke.idleworld.online/pokepedia/pokemon/squirtle</x:v>
      </x:c>
    </x:row>
    <x:row r="45" ht="22" customHeight="1">
      <x:c r="A45" s="1" t="n">
        <x:v>7</x:v>
      </x:c>
      <x:c r="B45" s="1" t="str">
        <x:v>Squirtle</x:v>
      </x:c>
      <x:c r="C45" s="1" t="str">
        <x:v>Water Gem</x:v>
      </x:c>
      <x:c r="D45" s="1" t="n">
        <x:v>1</x:v>
      </x:c>
      <x:c r="E45" s="1" t="n">
        <x:v>10</x:v>
      </x:c>
      <x:c r="F45" s="13" t="n">
        <x:v>0.6998236</x:v>
      </x:c>
      <x:c r="G45" s="9" t="str">
        <x:v>https://poke.idleworld.online/pokepedia/pokemon/squirtle</x:v>
      </x:c>
    </x:row>
    <x:row r="46" ht="22" customHeight="1">
      <x:c r="A46" s="1" t="n">
        <x:v>7</x:v>
      </x:c>
      <x:c r="B46" s="1" t="str">
        <x:v>Squirtle</x:v>
      </x:c>
      <x:c r="C46" s="1" t="str">
        <x:v>Water Pendant</x:v>
      </x:c>
      <x:c r="D46" s="1" t="n">
        <x:v>1</x:v>
      </x:c>
      <x:c r="E46" s="1" t="n">
        <x:v>1</x:v>
      </x:c>
      <x:c r="F46" s="13" t="n">
        <x:v>0.6998236</x:v>
      </x:c>
      <x:c r="G46" s="9" t="str">
        <x:v>https://poke.idleworld.online/pokepedia/pokemon/squirtle</x:v>
      </x:c>
    </x:row>
    <x:row r="47" ht="22" customHeight="1">
      <x:c r="A47" s="1" t="n">
        <x:v>7</x:v>
      </x:c>
      <x:c r="B47" s="1" t="str">
        <x:v>Squirtle</x:v>
      </x:c>
      <x:c r="C47" s="1" t="str">
        <x:v>Squirtle Hull</x:v>
      </x:c>
      <x:c r="D47" s="1" t="n">
        <x:v>1</x:v>
      </x:c>
      <x:c r="E47" s="1" t="n">
        <x:v>1</x:v>
      </x:c>
      <x:c r="F47" s="13" t="n">
        <x:v>0.0779977</x:v>
      </x:c>
      <x:c r="G47" s="9" t="str">
        <x:v>https://poke.idleworld.online/pokepedia/pokemon/squirtle</x:v>
      </x:c>
    </x:row>
    <x:row r="48" ht="22" customHeight="1">
      <x:c r="A48" s="1" t="n">
        <x:v>8</x:v>
      </x:c>
      <x:c r="B48" s="1" t="str">
        <x:v>Wartortle</x:v>
      </x:c>
      <x:c r="C48" s="1" t="str">
        <x:v>Strange Pheromone</x:v>
      </x:c>
      <x:c r="D48" s="1" t="n">
        <x:v>1</x:v>
      </x:c>
      <x:c r="E48" s="1" t="n">
        <x:v>1</x:v>
      </x:c>
      <x:c r="F48" s="13" t="n">
        <x:v>0</x:v>
      </x:c>
      <x:c r="G48" s="9" t="str">
        <x:v>https://poke.idleworld.online/pokepedia/pokemon/wartortle</x:v>
      </x:c>
    </x:row>
    <x:row r="49" ht="22" customHeight="1">
      <x:c r="A49" s="1" t="n">
        <x:v>8</x:v>
      </x:c>
      <x:c r="B49" s="1" t="str">
        <x:v>Wartortle</x:v>
      </x:c>
      <x:c r="C49" s="1" t="str">
        <x:v>Water Gem</x:v>
      </x:c>
      <x:c r="D49" s="1" t="n">
        <x:v>1</x:v>
      </x:c>
      <x:c r="E49" s="1" t="n">
        <x:v>20</x:v>
      </x:c>
      <x:c r="F49" s="13" t="n">
        <x:v>0.95</x:v>
      </x:c>
      <x:c r="G49" s="9" t="str">
        <x:v>https://poke.idleworld.online/pokepedia/pokemon/wartortle</x:v>
      </x:c>
    </x:row>
    <x:row r="50" ht="22" customHeight="1">
      <x:c r="A50" s="1" t="n">
        <x:v>8</x:v>
      </x:c>
      <x:c r="B50" s="1" t="str">
        <x:v>Wartortle</x:v>
      </x:c>
      <x:c r="C50" s="1" t="str">
        <x:v>Water Pendant</x:v>
      </x:c>
      <x:c r="D50" s="1" t="n">
        <x:v>1</x:v>
      </x:c>
      <x:c r="E50" s="1" t="n">
        <x:v>1</x:v>
      </x:c>
      <x:c r="F50" s="13" t="n">
        <x:v>0.7496022</x:v>
      </x:c>
      <x:c r="G50" s="9" t="str">
        <x:v>https://poke.idleworld.online/pokepedia/pokemon/wartortle</x:v>
      </x:c>
    </x:row>
    <x:row r="51" ht="22" customHeight="1">
      <x:c r="A51" s="1" t="n">
        <x:v>8</x:v>
      </x:c>
      <x:c r="B51" s="1" t="str">
        <x:v>Wartortle</x:v>
      </x:c>
      <x:c r="C51" s="1" t="str">
        <x:v>Squirtle Hull</x:v>
      </x:c>
      <x:c r="D51" s="1" t="n">
        <x:v>1</x:v>
      </x:c>
      <x:c r="E51" s="1" t="n">
        <x:v>1</x:v>
      </x:c>
      <x:c r="F51" s="13" t="n">
        <x:v>0.0555267</x:v>
      </x:c>
      <x:c r="G51" s="9" t="str">
        <x:v>https://poke.idleworld.online/pokepedia/pokemon/wartortle</x:v>
      </x:c>
    </x:row>
    <x:row r="52" ht="22" customHeight="1">
      <x:c r="A52" s="1" t="n">
        <x:v>8</x:v>
      </x:c>
      <x:c r="B52" s="1" t="str">
        <x:v>Wartortle</x:v>
      </x:c>
      <x:c r="C52" s="1" t="str">
        <x:v>Water Stone</x:v>
      </x:c>
      <x:c r="D52" s="1" t="n">
        <x:v>1</x:v>
      </x:c>
      <x:c r="E52" s="1" t="n">
        <x:v>1</x:v>
      </x:c>
      <x:c r="F52" s="13" t="n">
        <x:v>0.0021262</x:v>
      </x:c>
      <x:c r="G52" s="9" t="str">
        <x:v>https://poke.idleworld.online/pokepedia/pokemon/wartortle</x:v>
      </x:c>
    </x:row>
    <x:row r="53" ht="22" customHeight="1">
      <x:c r="A53" s="1" t="n">
        <x:v>9</x:v>
      </x:c>
      <x:c r="B53" s="1" t="str">
        <x:v>Blastoise</x:v>
      </x:c>
      <x:c r="C53" s="1" t="str">
        <x:v>Strange Pheromone</x:v>
      </x:c>
      <x:c r="D53" s="1" t="n">
        <x:v>1</x:v>
      </x:c>
      <x:c r="E53" s="1" t="n">
        <x:v>1</x:v>
      </x:c>
      <x:c r="F53" s="13" t="n">
        <x:v>0</x:v>
      </x:c>
      <x:c r="G53" s="9" t="str">
        <x:v>https://poke.idleworld.online/pokepedia/pokemon/blastoise</x:v>
      </x:c>
    </x:row>
    <x:row r="54" ht="22" customHeight="1">
      <x:c r="A54" s="1" t="n">
        <x:v>9</x:v>
      </x:c>
      <x:c r="B54" s="1" t="str">
        <x:v>Blastoise</x:v>
      </x:c>
      <x:c r="C54" s="1" t="str">
        <x:v>Water Gem</x:v>
      </x:c>
      <x:c r="D54" s="1" t="n">
        <x:v>1</x:v>
      </x:c>
      <x:c r="E54" s="1" t="n">
        <x:v>43</x:v>
      </x:c>
      <x:c r="F54" s="13" t="n">
        <x:v>0.95</x:v>
      </x:c>
      <x:c r="G54" s="9" t="str">
        <x:v>https://poke.idleworld.online/pokepedia/pokemon/blastoise</x:v>
      </x:c>
    </x:row>
    <x:row r="55" ht="22" customHeight="1">
      <x:c r="A55" s="1" t="n">
        <x:v>9</x:v>
      </x:c>
      <x:c r="B55" s="1" t="str">
        <x:v>Blastoise</x:v>
      </x:c>
      <x:c r="C55" s="1" t="str">
        <x:v>Water Pendant</x:v>
      </x:c>
      <x:c r="D55" s="1" t="n">
        <x:v>1</x:v>
      </x:c>
      <x:c r="E55" s="1" t="n">
        <x:v>1</x:v>
      </x:c>
      <x:c r="F55" s="13" t="n">
        <x:v>0.95</x:v>
      </x:c>
      <x:c r="G55" s="9" t="str">
        <x:v>https://poke.idleworld.online/pokepedia/pokemon/blastoise</x:v>
      </x:c>
    </x:row>
    <x:row r="56" ht="22" customHeight="1">
      <x:c r="A56" s="1" t="n">
        <x:v>9</x:v>
      </x:c>
      <x:c r="B56" s="1" t="str">
        <x:v>Blastoise</x:v>
      </x:c>
      <x:c r="C56" s="1" t="str">
        <x:v>Squirtle Hull</x:v>
      </x:c>
      <x:c r="D56" s="1" t="n">
        <x:v>1</x:v>
      </x:c>
      <x:c r="E56" s="1" t="n">
        <x:v>1</x:v>
      </x:c>
      <x:c r="F56" s="13" t="n">
        <x:v>0.6486504</x:v>
      </x:c>
      <x:c r="G56" s="9" t="str">
        <x:v>https://poke.idleworld.online/pokepedia/pokemon/blastoise</x:v>
      </x:c>
    </x:row>
    <x:row r="57" ht="22" customHeight="1">
      <x:c r="A57" s="1" t="n">
        <x:v>9</x:v>
      </x:c>
      <x:c r="B57" s="1" t="str">
        <x:v>Blastoise</x:v>
      </x:c>
      <x:c r="C57" s="1" t="str">
        <x:v>Water Stone</x:v>
      </x:c>
      <x:c r="D57" s="1" t="n">
        <x:v>1</x:v>
      </x:c>
      <x:c r="E57" s="1" t="n">
        <x:v>1</x:v>
      </x:c>
      <x:c r="F57" s="13" t="n">
        <x:v>0.0099448</x:v>
      </x:c>
      <x:c r="G57" s="9" t="str">
        <x:v>https://poke.idleworld.online/pokepedia/pokemon/blastoise</x:v>
      </x:c>
    </x:row>
    <x:row r="58" ht="22" customHeight="1">
      <x:c r="A58" s="1" t="n">
        <x:v>10</x:v>
      </x:c>
      <x:c r="B58" s="1" t="str">
        <x:v>Caterpie</x:v>
      </x:c>
      <x:c r="C58" s="1" t="str">
        <x:v>Strange Pheromone</x:v>
      </x:c>
      <x:c r="D58" s="1" t="n">
        <x:v>1</x:v>
      </x:c>
      <x:c r="E58" s="1" t="n">
        <x:v>1</x:v>
      </x:c>
      <x:c r="F58" s="13" t="n">
        <x:v>0</x:v>
      </x:c>
      <x:c r="G58" s="9" t="str">
        <x:v>https://poke.idleworld.online/pokepedia/pokemon/caterpie</x:v>
      </x:c>
    </x:row>
    <x:row r="59" ht="22" customHeight="1">
      <x:c r="A59" s="1" t="n">
        <x:v>10</x:v>
      </x:c>
      <x:c r="B59" s="1" t="str">
        <x:v>Caterpie</x:v>
      </x:c>
      <x:c r="C59" s="1" t="str">
        <x:v>Bug Gosme</x:v>
      </x:c>
      <x:c r="D59" s="1" t="n">
        <x:v>1</x:v>
      </x:c>
      <x:c r="E59" s="1" t="n">
        <x:v>5</x:v>
      </x:c>
      <x:c r="F59" s="13" t="n">
        <x:v>0.95</x:v>
      </x:c>
      <x:c r="G59" s="9" t="str">
        <x:v>https://poke.idleworld.online/pokepedia/pokemon/caterpie</x:v>
      </x:c>
    </x:row>
    <x:row r="60" ht="22" customHeight="1">
      <x:c r="A60" s="1" t="n">
        <x:v>10</x:v>
      </x:c>
      <x:c r="B60" s="1" t="str">
        <x:v>Caterpie</x:v>
      </x:c>
      <x:c r="C60" s="1" t="str">
        <x:v>Pot of Moss Bug</x:v>
      </x:c>
      <x:c r="D60" s="1" t="n">
        <x:v>1</x:v>
      </x:c>
      <x:c r="E60" s="1" t="n">
        <x:v>2</x:v>
      </x:c>
      <x:c r="F60" s="13" t="n">
        <x:v>0.6356742</x:v>
      </x:c>
      <x:c r="G60" s="9" t="str">
        <x:v>https://poke.idleworld.online/pokepedia/pokemon/caterpie</x:v>
      </x:c>
    </x:row>
    <x:row r="61" ht="22" customHeight="1">
      <x:c r="A61" s="1" t="n">
        <x:v>10</x:v>
      </x:c>
      <x:c r="B61" s="1" t="str">
        <x:v>Caterpie</x:v>
      </x:c>
      <x:c r="C61" s="1" t="str">
        <x:v>Butterfly Wing</x:v>
      </x:c>
      <x:c r="D61" s="1" t="n">
        <x:v>1</x:v>
      </x:c>
      <x:c r="E61" s="1" t="n">
        <x:v>1</x:v>
      </x:c>
      <x:c r="F61" s="13" t="n">
        <x:v>0.08379600000000001</x:v>
      </x:c>
      <x:c r="G61" s="9" t="str">
        <x:v>https://poke.idleworld.online/pokepedia/pokemon/caterpie</x:v>
      </x:c>
    </x:row>
    <x:row r="62" ht="22" customHeight="1">
      <x:c r="A62" s="1" t="n">
        <x:v>11</x:v>
      </x:c>
      <x:c r="B62" s="1" t="str">
        <x:v>Metapod</x:v>
      </x:c>
      <x:c r="C62" s="1" t="str">
        <x:v>Strange Pheromone</x:v>
      </x:c>
      <x:c r="D62" s="1" t="n">
        <x:v>1</x:v>
      </x:c>
      <x:c r="E62" s="1" t="n">
        <x:v>1</x:v>
      </x:c>
      <x:c r="F62" s="13" t="n">
        <x:v>0</x:v>
      </x:c>
      <x:c r="G62" s="9" t="str">
        <x:v>https://poke.idleworld.online/pokepedia/pokemon/metapod</x:v>
      </x:c>
    </x:row>
    <x:row r="63" ht="22" customHeight="1">
      <x:c r="A63" s="1" t="n">
        <x:v>11</x:v>
      </x:c>
      <x:c r="B63" s="1" t="str">
        <x:v>Metapod</x:v>
      </x:c>
      <x:c r="C63" s="1" t="str">
        <x:v>Bug Gosme</x:v>
      </x:c>
      <x:c r="D63" s="1" t="n">
        <x:v>1</x:v>
      </x:c>
      <x:c r="E63" s="1" t="n">
        <x:v>8</x:v>
      </x:c>
      <x:c r="F63" s="13" t="n">
        <x:v>0.95</x:v>
      </x:c>
      <x:c r="G63" s="9" t="str">
        <x:v>https://poke.idleworld.online/pokepedia/pokemon/metapod</x:v>
      </x:c>
    </x:row>
    <x:row r="64" ht="22" customHeight="1">
      <x:c r="A64" s="1" t="n">
        <x:v>11</x:v>
      </x:c>
      <x:c r="B64" s="1" t="str">
        <x:v>Metapod</x:v>
      </x:c>
      <x:c r="C64" s="1" t="str">
        <x:v>Pot of Moss Bug</x:v>
      </x:c>
      <x:c r="D64" s="1" t="n">
        <x:v>1</x:v>
      </x:c>
      <x:c r="E64" s="1" t="n">
        <x:v>2</x:v>
      </x:c>
      <x:c r="F64" s="13" t="n">
        <x:v>0.6431338</x:v>
      </x:c>
      <x:c r="G64" s="9" t="str">
        <x:v>https://poke.idleworld.online/pokepedia/pokemon/metapod</x:v>
      </x:c>
    </x:row>
    <x:row r="65" ht="22" customHeight="1">
      <x:c r="A65" s="1" t="n">
        <x:v>11</x:v>
      </x:c>
      <x:c r="B65" s="1" t="str">
        <x:v>Metapod</x:v>
      </x:c>
      <x:c r="C65" s="1" t="str">
        <x:v>Butterfly Wing</x:v>
      </x:c>
      <x:c r="D65" s="1" t="n">
        <x:v>1</x:v>
      </x:c>
      <x:c r="E65" s="1" t="n">
        <x:v>1</x:v>
      </x:c>
      <x:c r="F65" s="13" t="n">
        <x:v>0.0758219</x:v>
      </x:c>
      <x:c r="G65" s="9" t="str">
        <x:v>https://poke.idleworld.online/pokepedia/pokemon/metapod</x:v>
      </x:c>
    </x:row>
    <x:row r="66" ht="22" customHeight="1">
      <x:c r="A66" s="1" t="n">
        <x:v>12</x:v>
      </x:c>
      <x:c r="B66" s="1" t="str">
        <x:v>Butterfree</x:v>
      </x:c>
      <x:c r="C66" s="1" t="str">
        <x:v>Strange Pheromone</x:v>
      </x:c>
      <x:c r="D66" s="1" t="n">
        <x:v>1</x:v>
      </x:c>
      <x:c r="E66" s="1" t="n">
        <x:v>1</x:v>
      </x:c>
      <x:c r="F66" s="13" t="n">
        <x:v>0</x:v>
      </x:c>
      <x:c r="G66" s="9" t="str">
        <x:v>https://poke.idleworld.online/pokepedia/pokemon/butterfree</x:v>
      </x:c>
    </x:row>
    <x:row r="67" ht="22" customHeight="1">
      <x:c r="A67" s="1" t="n">
        <x:v>12</x:v>
      </x:c>
      <x:c r="B67" s="1" t="str">
        <x:v>Butterfree</x:v>
      </x:c>
      <x:c r="C67" s="1" t="str">
        <x:v>Bug Gosme</x:v>
      </x:c>
      <x:c r="D67" s="1" t="n">
        <x:v>1</x:v>
      </x:c>
      <x:c r="E67" s="1" t="n">
        <x:v>6</x:v>
      </x:c>
      <x:c r="F67" s="13" t="n">
        <x:v>0.8168101</x:v>
      </x:c>
      <x:c r="G67" s="9" t="str">
        <x:v>https://poke.idleworld.online/pokepedia/pokemon/butterfree</x:v>
      </x:c>
    </x:row>
    <x:row r="68" ht="22" customHeight="1">
      <x:c r="A68" s="1" t="n">
        <x:v>12</x:v>
      </x:c>
      <x:c r="B68" s="1" t="str">
        <x:v>Butterfree</x:v>
      </x:c>
      <x:c r="C68" s="1" t="str">
        <x:v>Straw</x:v>
      </x:c>
      <x:c r="D68" s="1" t="n">
        <x:v>1</x:v>
      </x:c>
      <x:c r="E68" s="1" t="n">
        <x:v>6</x:v>
      </x:c>
      <x:c r="F68" s="13" t="n">
        <x:v>0.8168101</x:v>
      </x:c>
      <x:c r="G68" s="9" t="str">
        <x:v>https://poke.idleworld.online/pokepedia/pokemon/butterfree</x:v>
      </x:c>
    </x:row>
    <x:row r="69" ht="22" customHeight="1">
      <x:c r="A69" s="1" t="n">
        <x:v>12</x:v>
      </x:c>
      <x:c r="B69" s="1" t="str">
        <x:v>Butterfree</x:v>
      </x:c>
      <x:c r="C69" s="1" t="str">
        <x:v>Pot of Moss Bug</x:v>
      </x:c>
      <x:c r="D69" s="1" t="n">
        <x:v>1</x:v>
      </x:c>
      <x:c r="E69" s="1" t="n">
        <x:v>1</x:v>
      </x:c>
      <x:c r="F69" s="13" t="n">
        <x:v>0.4407146</x:v>
      </x:c>
      <x:c r="G69" s="9" t="str">
        <x:v>https://poke.idleworld.online/pokepedia/pokemon/butterfree</x:v>
      </x:c>
    </x:row>
    <x:row r="70" ht="22" customHeight="1">
      <x:c r="A70" s="1" t="n">
        <x:v>12</x:v>
      </x:c>
      <x:c r="B70" s="1" t="str">
        <x:v>Butterfree</x:v>
      </x:c>
      <x:c r="C70" s="1" t="str">
        <x:v>Bag of Pollen</x:v>
      </x:c>
      <x:c r="D70" s="1" t="n">
        <x:v>1</x:v>
      </x:c>
      <x:c r="E70" s="1" t="n">
        <x:v>1</x:v>
      </x:c>
      <x:c r="F70" s="13" t="n">
        <x:v>0.165268</x:v>
      </x:c>
      <x:c r="G70" s="9" t="str">
        <x:v>https://poke.idleworld.online/pokepedia/pokemon/butterfree</x:v>
      </x:c>
    </x:row>
    <x:row r="71" ht="22" customHeight="1">
      <x:c r="A71" s="1" t="n">
        <x:v>12</x:v>
      </x:c>
      <x:c r="B71" s="1" t="str">
        <x:v>Butterfree</x:v>
      </x:c>
      <x:c r="C71" s="1" t="str">
        <x:v>Butterfly Wing</x:v>
      </x:c>
      <x:c r="D71" s="1" t="n">
        <x:v>1</x:v>
      </x:c>
      <x:c r="E71" s="1" t="n">
        <x:v>1</x:v>
      </x:c>
      <x:c r="F71" s="13" t="n">
        <x:v>0.0789713</x:v>
      </x:c>
      <x:c r="G71" s="9" t="str">
        <x:v>https://poke.idleworld.online/pokepedia/pokemon/butterfree</x:v>
      </x:c>
    </x:row>
    <x:row r="72" ht="22" customHeight="1">
      <x:c r="A72" s="1" t="n">
        <x:v>12</x:v>
      </x:c>
      <x:c r="B72" s="1" t="str">
        <x:v>Butterfree</x:v>
      </x:c>
      <x:c r="C72" s="1" t="str">
        <x:v>Cocoon Stone</x:v>
      </x:c>
      <x:c r="D72" s="1" t="n">
        <x:v>1</x:v>
      </x:c>
      <x:c r="E72" s="1" t="n">
        <x:v>1</x:v>
      </x:c>
      <x:c r="F72" s="13" t="n">
        <x:v>0.0018057</x:v>
      </x:c>
      <x:c r="G72" s="9" t="str">
        <x:v>https://poke.idleworld.online/pokepedia/pokemon/butterfree</x:v>
      </x:c>
    </x:row>
    <x:row r="73" ht="22" customHeight="1">
      <x:c r="A73" s="1" t="n">
        <x:v>13</x:v>
      </x:c>
      <x:c r="B73" s="1" t="str">
        <x:v>Weedle</x:v>
      </x:c>
      <x:c r="C73" s="1" t="str">
        <x:v>Strange Pheromone</x:v>
      </x:c>
      <x:c r="D73" s="1" t="n">
        <x:v>1</x:v>
      </x:c>
      <x:c r="E73" s="1" t="n">
        <x:v>1</x:v>
      </x:c>
      <x:c r="F73" s="13" t="n">
        <x:v>0</x:v>
      </x:c>
      <x:c r="G73" s="9" t="str">
        <x:v>https://poke.idleworld.online/pokepedia/pokemon/weedle</x:v>
      </x:c>
    </x:row>
    <x:row r="74" ht="22" customHeight="1">
      <x:c r="A74" s="1" t="n">
        <x:v>13</x:v>
      </x:c>
      <x:c r="B74" s="1" t="str">
        <x:v>Weedle</x:v>
      </x:c>
      <x:c r="C74" s="1" t="str">
        <x:v>Bug Gosme</x:v>
      </x:c>
      <x:c r="D74" s="1" t="n">
        <x:v>1</x:v>
      </x:c>
      <x:c r="E74" s="1" t="n">
        <x:v>3</x:v>
      </x:c>
      <x:c r="F74" s="13" t="n">
        <x:v>0.9145523</x:v>
      </x:c>
      <x:c r="G74" s="9" t="str">
        <x:v>https://poke.idleworld.online/pokepedia/pokemon/weedle</x:v>
      </x:c>
    </x:row>
    <x:row r="75" ht="22" customHeight="1">
      <x:c r="A75" s="1" t="n">
        <x:v>13</x:v>
      </x:c>
      <x:c r="B75" s="1" t="str">
        <x:v>Weedle</x:v>
      </x:c>
      <x:c r="C75" s="1" t="str">
        <x:v>Bottles of Poison</x:v>
      </x:c>
      <x:c r="D75" s="1" t="n">
        <x:v>1</x:v>
      </x:c>
      <x:c r="E75" s="1" t="n">
        <x:v>3</x:v>
      </x:c>
      <x:c r="F75" s="13" t="n">
        <x:v>0.9145523</x:v>
      </x:c>
      <x:c r="G75" s="9" t="str">
        <x:v>https://poke.idleworld.online/pokepedia/pokemon/weedle</x:v>
      </x:c>
    </x:row>
    <x:row r="76" ht="22" customHeight="1">
      <x:c r="A76" s="1" t="n">
        <x:v>13</x:v>
      </x:c>
      <x:c r="B76" s="1" t="str">
        <x:v>Weedle</x:v>
      </x:c>
      <x:c r="C76" s="1" t="str">
        <x:v>Pot of Moss Bug</x:v>
      </x:c>
      <x:c r="D76" s="1" t="n">
        <x:v>1</x:v>
      </x:c>
      <x:c r="E76" s="1" t="n">
        <x:v>1</x:v>
      </x:c>
      <x:c r="F76" s="13" t="n">
        <x:v>0.9145519999999999</x:v>
      </x:c>
      <x:c r="G76" s="9" t="str">
        <x:v>https://poke.idleworld.online/pokepedia/pokemon/weedle</x:v>
      </x:c>
    </x:row>
    <x:row r="77" ht="22" customHeight="1">
      <x:c r="A77" s="1" t="n">
        <x:v>13</x:v>
      </x:c>
      <x:c r="B77" s="1" t="str">
        <x:v>Weedle</x:v>
      </x:c>
      <x:c r="C77" s="1" t="str">
        <x:v>Bee Sting</x:v>
      </x:c>
      <x:c r="D77" s="1" t="n">
        <x:v>1</x:v>
      </x:c>
      <x:c r="E77" s="1" t="n">
        <x:v>1</x:v>
      </x:c>
      <x:c r="F77" s="13" t="n">
        <x:v>0.056429099999999996</x:v>
      </x:c>
      <x:c r="G77" s="9" t="str">
        <x:v>https://poke.idleworld.online/pokepedia/pokemon/weedle</x:v>
      </x:c>
    </x:row>
    <x:row r="78" ht="22" customHeight="1">
      <x:c r="A78" s="1" t="n">
        <x:v>14</x:v>
      </x:c>
      <x:c r="B78" s="1" t="str">
        <x:v>Kakuna</x:v>
      </x:c>
      <x:c r="C78" s="1" t="str">
        <x:v>Strange Pheromone</x:v>
      </x:c>
      <x:c r="D78" s="1" t="n">
        <x:v>1</x:v>
      </x:c>
      <x:c r="E78" s="1" t="n">
        <x:v>1</x:v>
      </x:c>
      <x:c r="F78" s="13" t="n">
        <x:v>0</x:v>
      </x:c>
      <x:c r="G78" s="9" t="str">
        <x:v>https://poke.idleworld.online/pokepedia/pokemon/kakuna</x:v>
      </x:c>
    </x:row>
    <x:row r="79" ht="22" customHeight="1">
      <x:c r="A79" s="1" t="n">
        <x:v>14</x:v>
      </x:c>
      <x:c r="B79" s="1" t="str">
        <x:v>Kakuna</x:v>
      </x:c>
      <x:c r="C79" s="1" t="str">
        <x:v>Bug Gosme</x:v>
      </x:c>
      <x:c r="D79" s="1" t="n">
        <x:v>1</x:v>
      </x:c>
      <x:c r="E79" s="1" t="n">
        <x:v>4</x:v>
      </x:c>
      <x:c r="F79" s="13" t="n">
        <x:v>0.95</x:v>
      </x:c>
      <x:c r="G79" s="9" t="str">
        <x:v>https://poke.idleworld.online/pokepedia/pokemon/kakuna</x:v>
      </x:c>
    </x:row>
    <x:row r="80" ht="22" customHeight="1">
      <x:c r="A80" s="1" t="n">
        <x:v>14</x:v>
      </x:c>
      <x:c r="B80" s="1" t="str">
        <x:v>Kakuna</x:v>
      </x:c>
      <x:c r="C80" s="1" t="str">
        <x:v>Bottles of Poison</x:v>
      </x:c>
      <x:c r="D80" s="1" t="n">
        <x:v>1</x:v>
      </x:c>
      <x:c r="E80" s="1" t="n">
        <x:v>4</x:v>
      </x:c>
      <x:c r="F80" s="13" t="n">
        <x:v>0.95</x:v>
      </x:c>
      <x:c r="G80" s="9" t="str">
        <x:v>https://poke.idleworld.online/pokepedia/pokemon/kakuna</x:v>
      </x:c>
    </x:row>
    <x:row r="81" ht="22" customHeight="1">
      <x:c r="A81" s="1" t="n">
        <x:v>14</x:v>
      </x:c>
      <x:c r="B81" s="1" t="str">
        <x:v>Kakuna</x:v>
      </x:c>
      <x:c r="C81" s="1" t="str">
        <x:v>Pot of Moss Bug</x:v>
      </x:c>
      <x:c r="D81" s="1" t="n">
        <x:v>1</x:v>
      </x:c>
      <x:c r="E81" s="1" t="n">
        <x:v>2</x:v>
      </x:c>
      <x:c r="F81" s="13" t="n">
        <x:v>0.648617</x:v>
      </x:c>
      <x:c r="G81" s="9" t="str">
        <x:v>https://poke.idleworld.online/pokepedia/pokemon/kakuna</x:v>
      </x:c>
    </x:row>
    <x:row r="82" ht="22" customHeight="1">
      <x:c r="A82" s="1" t="n">
        <x:v>14</x:v>
      </x:c>
      <x:c r="B82" s="1" t="str">
        <x:v>Kakuna</x:v>
      </x:c>
      <x:c r="C82" s="1" t="str">
        <x:v>Bee Sting</x:v>
      </x:c>
      <x:c r="D82" s="1" t="n">
        <x:v>1</x:v>
      </x:c>
      <x:c r="E82" s="1" t="n">
        <x:v>1</x:v>
      </x:c>
      <x:c r="F82" s="13" t="n">
        <x:v>0.07916680000000001</x:v>
      </x:c>
      <x:c r="G82" s="9" t="str">
        <x:v>https://poke.idleworld.online/pokepedia/pokemon/kakuna</x:v>
      </x:c>
    </x:row>
    <x:row r="83" ht="22" customHeight="1">
      <x:c r="A83" s="1" t="n">
        <x:v>15</x:v>
      </x:c>
      <x:c r="B83" s="1" t="str">
        <x:v>Beedrill</x:v>
      </x:c>
      <x:c r="C83" s="1" t="str">
        <x:v>Strange Pheromone</x:v>
      </x:c>
      <x:c r="D83" s="1" t="n">
        <x:v>1</x:v>
      </x:c>
      <x:c r="E83" s="1" t="n">
        <x:v>1</x:v>
      </x:c>
      <x:c r="F83" s="13" t="n">
        <x:v>0</x:v>
      </x:c>
      <x:c r="G83" s="9" t="str">
        <x:v>https://poke.idleworld.online/pokepedia/pokemon/beedrill</x:v>
      </x:c>
    </x:row>
    <x:row r="84" ht="22" customHeight="1">
      <x:c r="A84" s="1" t="n">
        <x:v>15</x:v>
      </x:c>
      <x:c r="B84" s="1" t="str">
        <x:v>Beedrill</x:v>
      </x:c>
      <x:c r="C84" s="1" t="str">
        <x:v>Bug Gosme</x:v>
      </x:c>
      <x:c r="D84" s="1" t="n">
        <x:v>1</x:v>
      </x:c>
      <x:c r="E84" s="1" t="n">
        <x:v>6</x:v>
      </x:c>
      <x:c r="F84" s="13" t="n">
        <x:v>0.95</x:v>
      </x:c>
      <x:c r="G84" s="9" t="str">
        <x:v>https://poke.idleworld.online/pokepedia/pokemon/beedrill</x:v>
      </x:c>
    </x:row>
    <x:row r="85" ht="22" customHeight="1">
      <x:c r="A85" s="1" t="n">
        <x:v>15</x:v>
      </x:c>
      <x:c r="B85" s="1" t="str">
        <x:v>Beedrill</x:v>
      </x:c>
      <x:c r="C85" s="1" t="str">
        <x:v>Bottles of Poison</x:v>
      </x:c>
      <x:c r="D85" s="1" t="n">
        <x:v>1</x:v>
      </x:c>
      <x:c r="E85" s="1" t="n">
        <x:v>6</x:v>
      </x:c>
      <x:c r="F85" s="13" t="n">
        <x:v>0.95</x:v>
      </x:c>
      <x:c r="G85" s="9" t="str">
        <x:v>https://poke.idleworld.online/pokepedia/pokemon/beedrill</x:v>
      </x:c>
    </x:row>
    <x:row r="86" ht="22" customHeight="1">
      <x:c r="A86" s="1" t="n">
        <x:v>15</x:v>
      </x:c>
      <x:c r="B86" s="1" t="str">
        <x:v>Beedrill</x:v>
      </x:c>
      <x:c r="C86" s="1" t="str">
        <x:v>Pot of Moss Bug</x:v>
      </x:c>
      <x:c r="D86" s="1" t="n">
        <x:v>1</x:v>
      </x:c>
      <x:c r="E86" s="1" t="n">
        <x:v>1</x:v>
      </x:c>
      <x:c r="F86" s="13" t="n">
        <x:v>0.46251440000000005</x:v>
      </x:c>
      <x:c r="G86" s="9" t="str">
        <x:v>https://poke.idleworld.online/pokepedia/pokemon/beedrill</x:v>
      </x:c>
    </x:row>
    <x:row r="87" ht="22" customHeight="1">
      <x:c r="A87" s="1" t="n">
        <x:v>15</x:v>
      </x:c>
      <x:c r="B87" s="1" t="str">
        <x:v>Beedrill</x:v>
      </x:c>
      <x:c r="C87" s="1" t="str">
        <x:v>Bag of Pollen</x:v>
      </x:c>
      <x:c r="D87" s="1" t="n">
        <x:v>1</x:v>
      </x:c>
      <x:c r="E87" s="1" t="n">
        <x:v>1</x:v>
      </x:c>
      <x:c r="F87" s="13" t="n">
        <x:v>0.18509799999999998</x:v>
      </x:c>
      <x:c r="G87" s="9" t="str">
        <x:v>https://poke.idleworld.online/pokepedia/pokemon/beedrill</x:v>
      </x:c>
    </x:row>
    <x:row r="88" ht="22" customHeight="1">
      <x:c r="A88" s="1" t="n">
        <x:v>15</x:v>
      </x:c>
      <x:c r="B88" s="1" t="str">
        <x:v>Beedrill</x:v>
      </x:c>
      <x:c r="C88" s="1" t="str">
        <x:v>Bee Sting</x:v>
      </x:c>
      <x:c r="D88" s="1" t="n">
        <x:v>1</x:v>
      </x:c>
      <x:c r="E88" s="1" t="n">
        <x:v>1</x:v>
      </x:c>
      <x:c r="F88" s="13" t="n">
        <x:v>0.0883845</x:v>
      </x:c>
      <x:c r="G88" s="9" t="str">
        <x:v>https://poke.idleworld.online/pokepedia/pokemon/beedrill</x:v>
      </x:c>
    </x:row>
    <x:row r="89" ht="22" customHeight="1">
      <x:c r="A89" s="1" t="n">
        <x:v>15</x:v>
      </x:c>
      <x:c r="B89" s="1" t="str">
        <x:v>Beedrill</x:v>
      </x:c>
      <x:c r="C89" s="1" t="str">
        <x:v>Venom Stone</x:v>
      </x:c>
      <x:c r="D89" s="1" t="n">
        <x:v>1</x:v>
      </x:c>
      <x:c r="E89" s="1" t="n">
        <x:v>1</x:v>
      </x:c>
      <x:c r="F89" s="13" t="n">
        <x:v>0.0009654</x:v>
      </x:c>
      <x:c r="G89" s="9" t="str">
        <x:v>https://poke.idleworld.online/pokepedia/pokemon/beedrill</x:v>
      </x:c>
    </x:row>
    <x:row r="90" ht="22" customHeight="1">
      <x:c r="A90" s="1" t="n">
        <x:v>15</x:v>
      </x:c>
      <x:c r="B90" s="1" t="str">
        <x:v>Beedrill</x:v>
      </x:c>
      <x:c r="C90" s="1" t="str">
        <x:v>Cocoon Stone</x:v>
      </x:c>
      <x:c r="D90" s="1" t="n">
        <x:v>1</x:v>
      </x:c>
      <x:c r="E90" s="1" t="n">
        <x:v>1</x:v>
      </x:c>
      <x:c r="F90" s="13" t="n">
        <x:v>0.0009654</x:v>
      </x:c>
      <x:c r="G90" s="9" t="str">
        <x:v>https://poke.idleworld.online/pokepedia/pokemon/beedrill</x:v>
      </x:c>
    </x:row>
    <x:row r="91" ht="22" customHeight="1">
      <x:c r="A91" s="1" t="n">
        <x:v>16</x:v>
      </x:c>
      <x:c r="B91" s="1" t="str">
        <x:v>Pidgey</x:v>
      </x:c>
      <x:c r="C91" s="1" t="str">
        <x:v>Strange Pheromone</x:v>
      </x:c>
      <x:c r="D91" s="1" t="n">
        <x:v>1</x:v>
      </x:c>
      <x:c r="E91" s="1" t="n">
        <x:v>1</x:v>
      </x:c>
      <x:c r="F91" s="13" t="n">
        <x:v>0</x:v>
      </x:c>
      <x:c r="G91" s="9" t="str">
        <x:v>https://poke.idleworld.online/pokepedia/pokemon/pidgey</x:v>
      </x:c>
    </x:row>
    <x:row r="92" ht="22" customHeight="1">
      <x:c r="A92" s="1" t="n">
        <x:v>16</x:v>
      </x:c>
      <x:c r="B92" s="1" t="str">
        <x:v>Pidgey</x:v>
      </x:c>
      <x:c r="C92" s="1" t="str">
        <x:v>Straw</x:v>
      </x:c>
      <x:c r="D92" s="1" t="n">
        <x:v>1</x:v>
      </x:c>
      <x:c r="E92" s="1" t="n">
        <x:v>4</x:v>
      </x:c>
      <x:c r="F92" s="13" t="n">
        <x:v>0.7455708999999999</x:v>
      </x:c>
      <x:c r="G92" s="9" t="str">
        <x:v>https://poke.idleworld.online/pokepedia/pokemon/pidgey</x:v>
      </x:c>
    </x:row>
    <x:row r="93" ht="22" customHeight="1">
      <x:c r="A93" s="1" t="n">
        <x:v>16</x:v>
      </x:c>
      <x:c r="B93" s="1" t="str">
        <x:v>Pidgey</x:v>
      </x:c>
      <x:c r="C93" s="1" t="str">
        <x:v>Rubber Ball</x:v>
      </x:c>
      <x:c r="D93" s="1" t="n">
        <x:v>1</x:v>
      </x:c>
      <x:c r="E93" s="1" t="n">
        <x:v>4</x:v>
      </x:c>
      <x:c r="F93" s="13" t="n">
        <x:v>0.7455708999999999</x:v>
      </x:c>
      <x:c r="G93" s="9" t="str">
        <x:v>https://poke.idleworld.online/pokepedia/pokemon/pidgey</x:v>
      </x:c>
    </x:row>
    <x:row r="94" ht="22" customHeight="1">
      <x:c r="A94" s="1" t="n">
        <x:v>16</x:v>
      </x:c>
      <x:c r="B94" s="1" t="str">
        <x:v>Pidgey</x:v>
      </x:c>
      <x:c r="C94" s="1" t="str">
        <x:v>Feather</x:v>
      </x:c>
      <x:c r="D94" s="1" t="n">
        <x:v>1</x:v>
      </x:c>
      <x:c r="E94" s="1" t="n">
        <x:v>1</x:v>
      </x:c>
      <x:c r="F94" s="13" t="n">
        <x:v>0.1290931</x:v>
      </x:c>
      <x:c r="G94" s="9" t="str">
        <x:v>https://poke.idleworld.online/pokepedia/pokemon/pidgey</x:v>
      </x:c>
    </x:row>
    <x:row r="95" ht="22" customHeight="1">
      <x:c r="A95" s="1" t="n">
        <x:v>16</x:v>
      </x:c>
      <x:c r="B95" s="1" t="str">
        <x:v>Pidgey</x:v>
      </x:c>
      <x:c r="C95" s="1" t="str">
        <x:v>Colored Feather</x:v>
      </x:c>
      <x:c r="D95" s="1" t="n">
        <x:v>1</x:v>
      </x:c>
      <x:c r="E95" s="1" t="n">
        <x:v>1</x:v>
      </x:c>
      <x:c r="F95" s="13" t="n">
        <x:v>0.0430443</x:v>
      </x:c>
      <x:c r="G95" s="9" t="str">
        <x:v>https://poke.idleworld.online/pokepedia/pokemon/pidgey</x:v>
      </x:c>
    </x:row>
    <x:row r="96" ht="22" customHeight="1">
      <x:c r="A96" s="1" t="n">
        <x:v>17</x:v>
      </x:c>
      <x:c r="B96" s="1" t="str">
        <x:v>Pidgeotto</x:v>
      </x:c>
      <x:c r="C96" s="1" t="str">
        <x:v>Strange Pheromone</x:v>
      </x:c>
      <x:c r="D96" s="1" t="n">
        <x:v>1</x:v>
      </x:c>
      <x:c r="E96" s="1" t="n">
        <x:v>1</x:v>
      </x:c>
      <x:c r="F96" s="13" t="n">
        <x:v>0</x:v>
      </x:c>
      <x:c r="G96" s="9" t="str">
        <x:v>https://poke.idleworld.online/pokepedia/pokemon/pidgeotto</x:v>
      </x:c>
    </x:row>
    <x:row r="97" ht="22" customHeight="1">
      <x:c r="A97" s="1" t="n">
        <x:v>17</x:v>
      </x:c>
      <x:c r="B97" s="1" t="str">
        <x:v>Pidgeotto</x:v>
      </x:c>
      <x:c r="C97" s="1" t="str">
        <x:v>Rubber Ball</x:v>
      </x:c>
      <x:c r="D97" s="1" t="n">
        <x:v>1</x:v>
      </x:c>
      <x:c r="E97" s="1" t="n">
        <x:v>5</x:v>
      </x:c>
      <x:c r="F97" s="13" t="n">
        <x:v>0.95</x:v>
      </x:c>
      <x:c r="G97" s="9" t="str">
        <x:v>https://poke.idleworld.online/pokepedia/pokemon/pidgeotto</x:v>
      </x:c>
    </x:row>
    <x:row r="98" ht="22" customHeight="1">
      <x:c r="A98" s="1" t="n">
        <x:v>17</x:v>
      </x:c>
      <x:c r="B98" s="1" t="str">
        <x:v>Pidgeotto</x:v>
      </x:c>
      <x:c r="C98" s="1" t="str">
        <x:v>Straw</x:v>
      </x:c>
      <x:c r="D98" s="1" t="n">
        <x:v>1</x:v>
      </x:c>
      <x:c r="E98" s="1" t="n">
        <x:v>5</x:v>
      </x:c>
      <x:c r="F98" s="13" t="n">
        <x:v>0.95</x:v>
      </x:c>
      <x:c r="G98" s="9" t="str">
        <x:v>https://poke.idleworld.online/pokepedia/pokemon/pidgeotto</x:v>
      </x:c>
    </x:row>
    <x:row r="99" ht="22" customHeight="1">
      <x:c r="A99" s="1" t="n">
        <x:v>17</x:v>
      </x:c>
      <x:c r="B99" s="1" t="str">
        <x:v>Pidgeotto</x:v>
      </x:c>
      <x:c r="C99" s="1" t="str">
        <x:v>Feather</x:v>
      </x:c>
      <x:c r="D99" s="1" t="n">
        <x:v>1</x:v>
      </x:c>
      <x:c r="E99" s="1" t="n">
        <x:v>1</x:v>
      </x:c>
      <x:c r="F99" s="13" t="n">
        <x:v>0.231511</x:v>
      </x:c>
      <x:c r="G99" s="9" t="str">
        <x:v>https://poke.idleworld.online/pokepedia/pokemon/pidgeotto</x:v>
      </x:c>
    </x:row>
    <x:row r="100" ht="22" customHeight="1">
      <x:c r="A100" s="1" t="n">
        <x:v>17</x:v>
      </x:c>
      <x:c r="B100" s="1" t="str">
        <x:v>Pidgeotto</x:v>
      </x:c>
      <x:c r="C100" s="1" t="str">
        <x:v>Colored Feather</x:v>
      </x:c>
      <x:c r="D100" s="1" t="n">
        <x:v>1</x:v>
      </x:c>
      <x:c r="E100" s="1" t="n">
        <x:v>1</x:v>
      </x:c>
      <x:c r="F100" s="13" t="n">
        <x:v>0.0424757</x:v>
      </x:c>
      <x:c r="G100" s="9" t="str">
        <x:v>https://poke.idleworld.online/pokepedia/pokemon/pidgeotto</x:v>
      </x:c>
    </x:row>
    <x:row r="101" ht="22" customHeight="1">
      <x:c r="A101" s="1" t="n">
        <x:v>17</x:v>
      </x:c>
      <x:c r="B101" s="1" t="str">
        <x:v>Pidgeotto</x:v>
      </x:c>
      <x:c r="C101" s="1" t="str">
        <x:v>Heart Stone</x:v>
      </x:c>
      <x:c r="D101" s="1" t="n">
        <x:v>1</x:v>
      </x:c>
      <x:c r="E101" s="1" t="n">
        <x:v>1</x:v>
      </x:c>
      <x:c r="F101" s="13" t="n">
        <x:v>0.0006295000000000001</x:v>
      </x:c>
      <x:c r="G101" s="9" t="str">
        <x:v>https://poke.idleworld.online/pokepedia/pokemon/pidgeotto</x:v>
      </x:c>
    </x:row>
    <x:row r="102" ht="22" customHeight="1">
      <x:c r="A102" s="1" t="n">
        <x:v>17</x:v>
      </x:c>
      <x:c r="B102" s="1" t="str">
        <x:v>Pidgeotto</x:v>
      </x:c>
      <x:c r="C102" s="1" t="str">
        <x:v>Feather Stone</x:v>
      </x:c>
      <x:c r="D102" s="1" t="n">
        <x:v>1</x:v>
      </x:c>
      <x:c r="E102" s="1" t="n">
        <x:v>1</x:v>
      </x:c>
      <x:c r="F102" s="13" t="n">
        <x:v>0.0006295000000000001</x:v>
      </x:c>
      <x:c r="G102" s="9" t="str">
        <x:v>https://poke.idleworld.online/pokepedia/pokemon/pidgeotto</x:v>
      </x:c>
    </x:row>
    <x:row r="103" ht="22" customHeight="1">
      <x:c r="A103" s="1" t="n">
        <x:v>18</x:v>
      </x:c>
      <x:c r="B103" s="1" t="str">
        <x:v>Pidgeot</x:v>
      </x:c>
      <x:c r="C103" s="1" t="str">
        <x:v>Strange Pheromone</x:v>
      </x:c>
      <x:c r="D103" s="1" t="n">
        <x:v>1</x:v>
      </x:c>
      <x:c r="E103" s="1" t="n">
        <x:v>1</x:v>
      </x:c>
      <x:c r="F103" s="13" t="n">
        <x:v>0</x:v>
      </x:c>
      <x:c r="G103" s="9" t="str">
        <x:v>https://poke.idleworld.online/pokepedia/pokemon/pidgeot</x:v>
      </x:c>
    </x:row>
    <x:row r="104" ht="22" customHeight="1">
      <x:c r="A104" s="1" t="n">
        <x:v>18</x:v>
      </x:c>
      <x:c r="B104" s="1" t="str">
        <x:v>Pidgeot</x:v>
      </x:c>
      <x:c r="C104" s="1" t="str">
        <x:v>Ancient Stone</x:v>
      </x:c>
      <x:c r="D104" s="1" t="n">
        <x:v>1</x:v>
      </x:c>
      <x:c r="E104" s="1" t="n">
        <x:v>1</x:v>
      </x:c>
      <x:c r="F104" s="13" t="n">
        <x:v>0.0002902</x:v>
      </x:c>
      <x:c r="G104" s="9" t="str">
        <x:v>https://poke.idleworld.online/pokepedia/pokemon/pidgeot</x:v>
      </x:c>
    </x:row>
    <x:row r="105" ht="22" customHeight="1">
      <x:c r="A105" s="1" t="n">
        <x:v>18</x:v>
      </x:c>
      <x:c r="B105" s="1" t="str">
        <x:v>Pidgeot</x:v>
      </x:c>
      <x:c r="C105" s="1" t="str">
        <x:v>Straw</x:v>
      </x:c>
      <x:c r="D105" s="1" t="n">
        <x:v>1</x:v>
      </x:c>
      <x:c r="E105" s="1" t="n">
        <x:v>19</x:v>
      </x:c>
      <x:c r="F105" s="13" t="n">
        <x:v>0.95</x:v>
      </x:c>
      <x:c r="G105" s="9" t="str">
        <x:v>https://poke.idleworld.online/pokepedia/pokemon/pidgeot</x:v>
      </x:c>
    </x:row>
    <x:row r="106" ht="22" customHeight="1">
      <x:c r="A106" s="1" t="n">
        <x:v>18</x:v>
      </x:c>
      <x:c r="B106" s="1" t="str">
        <x:v>Pidgeot</x:v>
      </x:c>
      <x:c r="C106" s="1" t="str">
        <x:v>Rubber Ball</x:v>
      </x:c>
      <x:c r="D106" s="1" t="n">
        <x:v>1</x:v>
      </x:c>
      <x:c r="E106" s="1" t="n">
        <x:v>19</x:v>
      </x:c>
      <x:c r="F106" s="13" t="n">
        <x:v>0.95</x:v>
      </x:c>
      <x:c r="G106" s="9" t="str">
        <x:v>https://poke.idleworld.online/pokepedia/pokemon/pidgeot</x:v>
      </x:c>
    </x:row>
    <x:row r="107" ht="22" customHeight="1">
      <x:c r="A107" s="1" t="n">
        <x:v>18</x:v>
      </x:c>
      <x:c r="B107" s="1" t="str">
        <x:v>Pidgeot</x:v>
      </x:c>
      <x:c r="C107" s="1" t="str">
        <x:v>Bird Beak</x:v>
      </x:c>
      <x:c r="D107" s="1" t="n">
        <x:v>1</x:v>
      </x:c>
      <x:c r="E107" s="1" t="n">
        <x:v>1</x:v>
      </x:c>
      <x:c r="F107" s="13" t="n">
        <x:v>0.7005703999999999</x:v>
      </x:c>
      <x:c r="G107" s="9" t="str">
        <x:v>https://poke.idleworld.online/pokepedia/pokemon/pidgeot</x:v>
      </x:c>
    </x:row>
    <x:row r="108" ht="22" customHeight="1">
      <x:c r="A108" s="1" t="n">
        <x:v>18</x:v>
      </x:c>
      <x:c r="B108" s="1" t="str">
        <x:v>Pidgeot</x:v>
      </x:c>
      <x:c r="C108" s="1" t="str">
        <x:v>Feather</x:v>
      </x:c>
      <x:c r="D108" s="1" t="n">
        <x:v>1</x:v>
      </x:c>
      <x:c r="E108" s="1" t="n">
        <x:v>1</x:v>
      </x:c>
      <x:c r="F108" s="13" t="n">
        <x:v>0.6974897</x:v>
      </x:c>
      <x:c r="G108" s="9" t="str">
        <x:v>https://poke.idleworld.online/pokepedia/pokemon/pidgeot</x:v>
      </x:c>
    </x:row>
    <x:row r="109" ht="22" customHeight="1">
      <x:c r="A109" s="1" t="n">
        <x:v>18</x:v>
      </x:c>
      <x:c r="B109" s="1" t="str">
        <x:v>Pidgeot</x:v>
      </x:c>
      <x:c r="C109" s="1" t="str">
        <x:v>Colored Feather</x:v>
      </x:c>
      <x:c r="D109" s="1" t="n">
        <x:v>1</x:v>
      </x:c>
      <x:c r="E109" s="1" t="n">
        <x:v>1</x:v>
      </x:c>
      <x:c r="F109" s="13" t="n">
        <x:v>0.1333128</x:v>
      </x:c>
      <x:c r="G109" s="9" t="str">
        <x:v>https://poke.idleworld.online/pokepedia/pokemon/pidgeot</x:v>
      </x:c>
    </x:row>
    <x:row r="110" ht="22" customHeight="1">
      <x:c r="A110" s="1" t="n">
        <x:v>18</x:v>
      </x:c>
      <x:c r="B110" s="1" t="str">
        <x:v>Pidgeot</x:v>
      </x:c>
      <x:c r="C110" s="1" t="str">
        <x:v>Heart Stone</x:v>
      </x:c>
      <x:c r="D110" s="1" t="n">
        <x:v>1</x:v>
      </x:c>
      <x:c r="E110" s="1" t="n">
        <x:v>1</x:v>
      </x:c>
      <x:c r="F110" s="13" t="n">
        <x:v>0.0014628999999999998</x:v>
      </x:c>
      <x:c r="G110" s="9" t="str">
        <x:v>https://poke.idleworld.online/pokepedia/pokemon/pidgeot</x:v>
      </x:c>
    </x:row>
    <x:row r="111" ht="22" customHeight="1">
      <x:c r="A111" s="1" t="n">
        <x:v>18</x:v>
      </x:c>
      <x:c r="B111" s="1" t="str">
        <x:v>Pidgeot</x:v>
      </x:c>
      <x:c r="C111" s="1" t="str">
        <x:v>Feather Stone</x:v>
      </x:c>
      <x:c r="D111" s="1" t="n">
        <x:v>1</x:v>
      </x:c>
      <x:c r="E111" s="1" t="n">
        <x:v>1</x:v>
      </x:c>
      <x:c r="F111" s="13" t="n">
        <x:v>0.0014628999999999998</x:v>
      </x:c>
      <x:c r="G111" s="9" t="str">
        <x:v>https://poke.idleworld.online/pokepedia/pokemon/pidgeot</x:v>
      </x:c>
    </x:row>
    <x:row r="112" ht="22" customHeight="1">
      <x:c r="A112" s="1" t="n">
        <x:v>19</x:v>
      </x:c>
      <x:c r="B112" s="1" t="str">
        <x:v>Rattata</x:v>
      </x:c>
      <x:c r="C112" s="1" t="str">
        <x:v>Strange Pheromone</x:v>
      </x:c>
      <x:c r="D112" s="1" t="n">
        <x:v>1</x:v>
      </x:c>
      <x:c r="E112" s="1" t="n">
        <x:v>1</x:v>
      </x:c>
      <x:c r="F112" s="13" t="n">
        <x:v>0</x:v>
      </x:c>
      <x:c r="G112" s="9" t="str">
        <x:v>https://poke.idleworld.online/pokepedia/pokemon/rattata</x:v>
      </x:c>
    </x:row>
    <x:row r="113" ht="22" customHeight="1">
      <x:c r="A113" s="1" t="n">
        <x:v>19</x:v>
      </x:c>
      <x:c r="B113" s="1" t="str">
        <x:v>Rattata</x:v>
      </x:c>
      <x:c r="C113" s="1" t="str">
        <x:v>Rubber Ball</x:v>
      </x:c>
      <x:c r="D113" s="1" t="n">
        <x:v>1</x:v>
      </x:c>
      <x:c r="E113" s="1" t="n">
        <x:v>5</x:v>
      </x:c>
      <x:c r="F113" s="13" t="n">
        <x:v>0.9149253999999999</x:v>
      </x:c>
      <x:c r="G113" s="9" t="str">
        <x:v>https://poke.idleworld.online/pokepedia/pokemon/rattata</x:v>
      </x:c>
    </x:row>
    <x:row r="114" ht="22" customHeight="1">
      <x:c r="A114" s="1" t="n">
        <x:v>19</x:v>
      </x:c>
      <x:c r="B114" s="1" t="str">
        <x:v>Rattata</x:v>
      </x:c>
      <x:c r="C114" s="1" t="str">
        <x:v>Bitten Apple</x:v>
      </x:c>
      <x:c r="D114" s="1" t="n">
        <x:v>1</x:v>
      </x:c>
      <x:c r="E114" s="1" t="n">
        <x:v>1</x:v>
      </x:c>
      <x:c r="F114" s="13" t="n">
        <x:v>0.9149253999999999</x:v>
      </x:c>
      <x:c r="G114" s="9" t="str">
        <x:v>https://poke.idleworld.online/pokepedia/pokemon/rattata</x:v>
      </x:c>
    </x:row>
    <x:row r="115" ht="22" customHeight="1">
      <x:c r="A115" s="1" t="n">
        <x:v>19</x:v>
      </x:c>
      <x:c r="B115" s="1" t="str">
        <x:v>Rattata</x:v>
      </x:c>
      <x:c r="C115" s="1" t="str">
        <x:v>Rat Tail</x:v>
      </x:c>
      <x:c r="D115" s="1" t="n">
        <x:v>1</x:v>
      </x:c>
      <x:c r="E115" s="1" t="n">
        <x:v>1</x:v>
      </x:c>
      <x:c r="F115" s="13" t="n">
        <x:v>0.0901382</x:v>
      </x:c>
      <x:c r="G115" s="9" t="str">
        <x:v>https://poke.idleworld.online/pokepedia/pokemon/rattata</x:v>
      </x:c>
    </x:row>
    <x:row r="116" ht="22" customHeight="1">
      <x:c r="A116" s="1" t="n">
        <x:v>20</x:v>
      </x:c>
      <x:c r="B116" s="1" t="str">
        <x:v>Raticate</x:v>
      </x:c>
      <x:c r="C116" s="1" t="str">
        <x:v>Strange Pheromone</x:v>
      </x:c>
      <x:c r="D116" s="1" t="n">
        <x:v>1</x:v>
      </x:c>
      <x:c r="E116" s="1" t="n">
        <x:v>1</x:v>
      </x:c>
      <x:c r="F116" s="13" t="n">
        <x:v>0</x:v>
      </x:c>
      <x:c r="G116" s="9" t="str">
        <x:v>https://poke.idleworld.online/pokepedia/pokemon/raticate</x:v>
      </x:c>
    </x:row>
    <x:row r="117" ht="22" customHeight="1">
      <x:c r="A117" s="1" t="n">
        <x:v>20</x:v>
      </x:c>
      <x:c r="B117" s="1" t="str">
        <x:v>Raticate</x:v>
      </x:c>
      <x:c r="C117" s="1" t="str">
        <x:v>Rubber Ball</x:v>
      </x:c>
      <x:c r="D117" s="1" t="n">
        <x:v>1</x:v>
      </x:c>
      <x:c r="E117" s="1" t="n">
        <x:v>13</x:v>
      </x:c>
      <x:c r="F117" s="13" t="n">
        <x:v>0.95</x:v>
      </x:c>
      <x:c r="G117" s="9" t="str">
        <x:v>https://poke.idleworld.online/pokepedia/pokemon/raticate</x:v>
      </x:c>
    </x:row>
    <x:row r="118" ht="22" customHeight="1">
      <x:c r="A118" s="1" t="n">
        <x:v>20</x:v>
      </x:c>
      <x:c r="B118" s="1" t="str">
        <x:v>Raticate</x:v>
      </x:c>
      <x:c r="C118" s="1" t="str">
        <x:v>Bitten Apple</x:v>
      </x:c>
      <x:c r="D118" s="1" t="n">
        <x:v>1</x:v>
      </x:c>
      <x:c r="E118" s="1" t="n">
        <x:v>1</x:v>
      </x:c>
      <x:c r="F118" s="13" t="n">
        <x:v>0.8291017999999999</x:v>
      </x:c>
      <x:c r="G118" s="9" t="str">
        <x:v>https://poke.idleworld.online/pokepedia/pokemon/raticate</x:v>
      </x:c>
    </x:row>
    <x:row r="119" ht="22" customHeight="1">
      <x:c r="A119" s="1" t="n">
        <x:v>20</x:v>
      </x:c>
      <x:c r="B119" s="1" t="str">
        <x:v>Raticate</x:v>
      </x:c>
      <x:c r="C119" s="1" t="str">
        <x:v>Rat Tail</x:v>
      </x:c>
      <x:c r="D119" s="1" t="n">
        <x:v>1</x:v>
      </x:c>
      <x:c r="E119" s="1" t="n">
        <x:v>1</x:v>
      </x:c>
      <x:c r="F119" s="13" t="n">
        <x:v>0.1096908</x:v>
      </x:c>
      <x:c r="G119" s="9" t="str">
        <x:v>https://poke.idleworld.online/pokepedia/pokemon/raticate</x:v>
      </x:c>
    </x:row>
    <x:row r="120" ht="22" customHeight="1">
      <x:c r="A120" s="1" t="n">
        <x:v>20</x:v>
      </x:c>
      <x:c r="B120" s="1" t="str">
        <x:v>Raticate</x:v>
      </x:c>
      <x:c r="C120" s="1" t="str">
        <x:v>Heart Stone</x:v>
      </x:c>
      <x:c r="D120" s="1" t="n">
        <x:v>1</x:v>
      </x:c>
      <x:c r="E120" s="1" t="n">
        <x:v>1</x:v>
      </x:c>
      <x:c r="F120" s="13" t="n">
        <x:v>0.0015756</x:v>
      </x:c>
      <x:c r="G120" s="9" t="str">
        <x:v>https://poke.idleworld.online/pokepedia/pokemon/raticate</x:v>
      </x:c>
    </x:row>
    <x:row r="121" ht="22" customHeight="1">
      <x:c r="A121" s="1" t="n">
        <x:v>21</x:v>
      </x:c>
      <x:c r="B121" s="1" t="str">
        <x:v>Spearow</x:v>
      </x:c>
      <x:c r="C121" s="1" t="str">
        <x:v>Strange Pheromone</x:v>
      </x:c>
      <x:c r="D121" s="1" t="n">
        <x:v>1</x:v>
      </x:c>
      <x:c r="E121" s="1" t="n">
        <x:v>1</x:v>
      </x:c>
      <x:c r="F121" s="13" t="n">
        <x:v>0</x:v>
      </x:c>
      <x:c r="G121" s="9" t="str">
        <x:v>https://poke.idleworld.online/pokepedia/pokemon/spearow</x:v>
      </x:c>
    </x:row>
    <x:row r="122" ht="22" customHeight="1">
      <x:c r="A122" s="1" t="n">
        <x:v>21</x:v>
      </x:c>
      <x:c r="B122" s="1" t="str">
        <x:v>Spearow</x:v>
      </x:c>
      <x:c r="C122" s="1" t="str">
        <x:v>Straw</x:v>
      </x:c>
      <x:c r="D122" s="1" t="n">
        <x:v>1</x:v>
      </x:c>
      <x:c r="E122" s="1" t="n">
        <x:v>3</x:v>
      </x:c>
      <x:c r="F122" s="13" t="n">
        <x:v>0.95</x:v>
      </x:c>
      <x:c r="G122" s="9" t="str">
        <x:v>https://poke.idleworld.online/pokepedia/pokemon/spearow</x:v>
      </x:c>
    </x:row>
    <x:row r="123" ht="22" customHeight="1">
      <x:c r="A123" s="1" t="n">
        <x:v>21</x:v>
      </x:c>
      <x:c r="B123" s="1" t="str">
        <x:v>Spearow</x:v>
      </x:c>
      <x:c r="C123" s="1" t="str">
        <x:v>Rubber Ball</x:v>
      </x:c>
      <x:c r="D123" s="1" t="n">
        <x:v>1</x:v>
      </x:c>
      <x:c r="E123" s="1" t="n">
        <x:v>3</x:v>
      </x:c>
      <x:c r="F123" s="13" t="n">
        <x:v>0.95</x:v>
      </x:c>
      <x:c r="G123" s="9" t="str">
        <x:v>https://poke.idleworld.online/pokepedia/pokemon/spearow</x:v>
      </x:c>
    </x:row>
    <x:row r="124" ht="22" customHeight="1">
      <x:c r="A124" s="1" t="n">
        <x:v>21</x:v>
      </x:c>
      <x:c r="B124" s="1" t="str">
        <x:v>Spearow</x:v>
      </x:c>
      <x:c r="C124" s="1" t="str">
        <x:v>Feather</x:v>
      </x:c>
      <x:c r="D124" s="1" t="n">
        <x:v>1</x:v>
      </x:c>
      <x:c r="E124" s="1" t="n">
        <x:v>2</x:v>
      </x:c>
      <x:c r="F124" s="13" t="n">
        <x:v>0.6351893</x:v>
      </x:c>
      <x:c r="G124" s="9" t="str">
        <x:v>https://poke.idleworld.online/pokepedia/pokemon/spearow</x:v>
      </x:c>
    </x:row>
    <x:row r="125" ht="22" customHeight="1">
      <x:c r="A125" s="1" t="n">
        <x:v>21</x:v>
      </x:c>
      <x:c r="B125" s="1" t="str">
        <x:v>Spearow</x:v>
      </x:c>
      <x:c r="C125" s="1" t="str">
        <x:v>Red Wing</x:v>
      </x:c>
      <x:c r="D125" s="1" t="n">
        <x:v>1</x:v>
      </x:c>
      <x:c r="E125" s="1" t="n">
        <x:v>1</x:v>
      </x:c>
      <x:c r="F125" s="13" t="n">
        <x:v>0.0334943</x:v>
      </x:c>
      <x:c r="G125" s="9" t="str">
        <x:v>https://poke.idleworld.online/pokepedia/pokemon/spearow</x:v>
      </x:c>
    </x:row>
    <x:row r="126" ht="22" customHeight="1">
      <x:c r="A126" s="1" t="n">
        <x:v>22</x:v>
      </x:c>
      <x:c r="B126" s="1" t="str">
        <x:v>Fearow</x:v>
      </x:c>
      <x:c r="C126" s="1" t="str">
        <x:v>Strange Pheromone</x:v>
      </x:c>
      <x:c r="D126" s="1" t="n">
        <x:v>1</x:v>
      </x:c>
      <x:c r="E126" s="1" t="n">
        <x:v>1</x:v>
      </x:c>
      <x:c r="F126" s="13" t="n">
        <x:v>0</x:v>
      </x:c>
      <x:c r="G126" s="9" t="str">
        <x:v>https://poke.idleworld.online/pokepedia/pokemon/fearow</x:v>
      </x:c>
    </x:row>
    <x:row r="127" ht="22" customHeight="1">
      <x:c r="A127" s="1" t="n">
        <x:v>22</x:v>
      </x:c>
      <x:c r="B127" s="1" t="str">
        <x:v>Fearow</x:v>
      </x:c>
      <x:c r="C127" s="1" t="str">
        <x:v>Rubber Ball</x:v>
      </x:c>
      <x:c r="D127" s="1" t="n">
        <x:v>1</x:v>
      </x:c>
      <x:c r="E127" s="1" t="n">
        <x:v>13</x:v>
      </x:c>
      <x:c r="F127" s="13" t="n">
        <x:v>0.7274246000000001</x:v>
      </x:c>
      <x:c r="G127" s="9" t="str">
        <x:v>https://poke.idleworld.online/pokepedia/pokemon/fearow</x:v>
      </x:c>
    </x:row>
    <x:row r="128" ht="22" customHeight="1">
      <x:c r="A128" s="1" t="n">
        <x:v>22</x:v>
      </x:c>
      <x:c r="B128" s="1" t="str">
        <x:v>Fearow</x:v>
      </x:c>
      <x:c r="C128" s="1" t="str">
        <x:v>Straw</x:v>
      </x:c>
      <x:c r="D128" s="1" t="n">
        <x:v>1</x:v>
      </x:c>
      <x:c r="E128" s="1" t="n">
        <x:v>13</x:v>
      </x:c>
      <x:c r="F128" s="13" t="n">
        <x:v>0.7274246000000001</x:v>
      </x:c>
      <x:c r="G128" s="9" t="str">
        <x:v>https://poke.idleworld.online/pokepedia/pokemon/fearow</x:v>
      </x:c>
    </x:row>
    <x:row r="129" ht="22" customHeight="1">
      <x:c r="A129" s="1" t="n">
        <x:v>22</x:v>
      </x:c>
      <x:c r="B129" s="1" t="str">
        <x:v>Fearow</x:v>
      </x:c>
      <x:c r="C129" s="1" t="str">
        <x:v>Bird Beak</x:v>
      </x:c>
      <x:c r="D129" s="1" t="n">
        <x:v>1</x:v>
      </x:c>
      <x:c r="E129" s="1" t="n">
        <x:v>1</x:v>
      </x:c>
      <x:c r="F129" s="13" t="n">
        <x:v>0.33605080000000004</x:v>
      </x:c>
      <x:c r="G129" s="9" t="str">
        <x:v>https://poke.idleworld.online/pokepedia/pokemon/fearow</x:v>
      </x:c>
    </x:row>
    <x:row r="130" ht="22" customHeight="1">
      <x:c r="A130" s="1" t="n">
        <x:v>22</x:v>
      </x:c>
      <x:c r="B130" s="1" t="str">
        <x:v>Fearow</x:v>
      </x:c>
      <x:c r="C130" s="1" t="str">
        <x:v>Feather</x:v>
      </x:c>
      <x:c r="D130" s="1" t="n">
        <x:v>1</x:v>
      </x:c>
      <x:c r="E130" s="1" t="n">
        <x:v>1</x:v>
      </x:c>
      <x:c r="F130" s="13" t="n">
        <x:v>0.33382</x:v>
      </x:c>
      <x:c r="G130" s="9" t="str">
        <x:v>https://poke.idleworld.online/pokepedia/pokemon/fearow</x:v>
      </x:c>
    </x:row>
    <x:row r="131" ht="22" customHeight="1">
      <x:c r="A131" s="1" t="n">
        <x:v>22</x:v>
      </x:c>
      <x:c r="B131" s="1" t="str">
        <x:v>Fearow</x:v>
      </x:c>
      <x:c r="C131" s="1" t="str">
        <x:v>Red Wing</x:v>
      </x:c>
      <x:c r="D131" s="1" t="n">
        <x:v>1</x:v>
      </x:c>
      <x:c r="E131" s="1" t="n">
        <x:v>1</x:v>
      </x:c>
      <x:c r="F131" s="13" t="n">
        <x:v>0.0957</x:v>
      </x:c>
      <x:c r="G131" s="9" t="str">
        <x:v>https://poke.idleworld.online/pokepedia/pokemon/fearow</x:v>
      </x:c>
    </x:row>
    <x:row r="132" ht="22" customHeight="1">
      <x:c r="A132" s="1" t="n">
        <x:v>22</x:v>
      </x:c>
      <x:c r="B132" s="1" t="str">
        <x:v>Fearow</x:v>
      </x:c>
      <x:c r="C132" s="1" t="str">
        <x:v>Feather Stone</x:v>
      </x:c>
      <x:c r="D132" s="1" t="n">
        <x:v>1</x:v>
      </x:c>
      <x:c r="E132" s="1" t="n">
        <x:v>1</x:v>
      </x:c>
      <x:c r="F132" s="13" t="n">
        <x:v>0.0029010000000000004</x:v>
      </x:c>
      <x:c r="G132" s="9" t="str">
        <x:v>https://poke.idleworld.online/pokepedia/pokemon/fearow</x:v>
      </x:c>
    </x:row>
    <x:row r="133" ht="22" customHeight="1">
      <x:c r="A133" s="1" t="n">
        <x:v>23</x:v>
      </x:c>
      <x:c r="B133" s="1" t="str">
        <x:v>Ekans</x:v>
      </x:c>
      <x:c r="C133" s="1" t="str">
        <x:v>Strange Pheromone</x:v>
      </x:c>
      <x:c r="D133" s="1" t="n">
        <x:v>1</x:v>
      </x:c>
      <x:c r="E133" s="1" t="n">
        <x:v>1</x:v>
      </x:c>
      <x:c r="F133" s="13" t="n">
        <x:v>0</x:v>
      </x:c>
      <x:c r="G133" s="9" t="str">
        <x:v>https://poke.idleworld.online/pokepedia/pokemon/ekans</x:v>
      </x:c>
    </x:row>
    <x:row r="134" ht="22" customHeight="1">
      <x:c r="A134" s="1" t="n">
        <x:v>23</x:v>
      </x:c>
      <x:c r="B134" s="1" t="str">
        <x:v>Ekans</x:v>
      </x:c>
      <x:c r="C134" s="1" t="str">
        <x:v>Bottles of Poison</x:v>
      </x:c>
      <x:c r="D134" s="1" t="n">
        <x:v>1</x:v>
      </x:c>
      <x:c r="E134" s="1" t="n">
        <x:v>8</x:v>
      </x:c>
      <x:c r="F134" s="13" t="n">
        <x:v>0.9229139999999999</x:v>
      </x:c>
      <x:c r="G134" s="9" t="str">
        <x:v>https://poke.idleworld.online/pokepedia/pokemon/ekans</x:v>
      </x:c>
    </x:row>
    <x:row r="135" ht="22" customHeight="1">
      <x:c r="A135" s="1" t="n">
        <x:v>23</x:v>
      </x:c>
      <x:c r="B135" s="1" t="str">
        <x:v>Ekans</x:v>
      </x:c>
      <x:c r="C135" s="1" t="str">
        <x:v>Tooth</x:v>
      </x:c>
      <x:c r="D135" s="1" t="n">
        <x:v>1</x:v>
      </x:c>
      <x:c r="E135" s="1" t="n">
        <x:v>1</x:v>
      </x:c>
      <x:c r="F135" s="13" t="n">
        <x:v>0.9229136</x:v>
      </x:c>
      <x:c r="G135" s="9" t="str">
        <x:v>https://poke.idleworld.online/pokepedia/pokemon/ekans</x:v>
      </x:c>
    </x:row>
    <x:row r="136" ht="22" customHeight="1">
      <x:c r="A136" s="1" t="n">
        <x:v>23</x:v>
      </x:c>
      <x:c r="B136" s="1" t="str">
        <x:v>Ekans</x:v>
      </x:c>
      <x:c r="C136" s="1" t="str">
        <x:v>Snake Tail</x:v>
      </x:c>
      <x:c r="D136" s="1" t="n">
        <x:v>1</x:v>
      </x:c>
      <x:c r="E136" s="1" t="n">
        <x:v>1</x:v>
      </x:c>
      <x:c r="F136" s="13" t="n">
        <x:v>0.0369043</x:v>
      </x:c>
      <x:c r="G136" s="9" t="str">
        <x:v>https://poke.idleworld.online/pokepedia/pokemon/ekans</x:v>
      </x:c>
    </x:row>
    <x:row r="137" ht="22" customHeight="1">
      <x:c r="A137" s="1" t="n">
        <x:v>24</x:v>
      </x:c>
      <x:c r="B137" s="1" t="str">
        <x:v>Arbok</x:v>
      </x:c>
      <x:c r="C137" s="1" t="str">
        <x:v>Strange Pheromone</x:v>
      </x:c>
      <x:c r="D137" s="1" t="n">
        <x:v>1</x:v>
      </x:c>
      <x:c r="E137" s="1" t="n">
        <x:v>1</x:v>
      </x:c>
      <x:c r="F137" s="13" t="n">
        <x:v>0</x:v>
      </x:c>
      <x:c r="G137" s="9" t="str">
        <x:v>https://poke.idleworld.online/pokepedia/pokemon/arbok</x:v>
      </x:c>
    </x:row>
    <x:row r="138" ht="22" customHeight="1">
      <x:c r="A138" s="1" t="n">
        <x:v>24</x:v>
      </x:c>
      <x:c r="B138" s="1" t="str">
        <x:v>Arbok</x:v>
      </x:c>
      <x:c r="C138" s="1" t="str">
        <x:v>Bottles of Poison</x:v>
      </x:c>
      <x:c r="D138" s="1" t="n">
        <x:v>1</x:v>
      </x:c>
      <x:c r="E138" s="1" t="n">
        <x:v>18</x:v>
      </x:c>
      <x:c r="F138" s="13" t="n">
        <x:v>0.95</x:v>
      </x:c>
      <x:c r="G138" s="9" t="str">
        <x:v>https://poke.idleworld.online/pokepedia/pokemon/arbok</x:v>
      </x:c>
    </x:row>
    <x:row r="139" ht="22" customHeight="1">
      <x:c r="A139" s="1" t="n">
        <x:v>24</x:v>
      </x:c>
      <x:c r="B139" s="1" t="str">
        <x:v>Arbok</x:v>
      </x:c>
      <x:c r="C139" s="1" t="str">
        <x:v>Tooth</x:v>
      </x:c>
      <x:c r="D139" s="1" t="n">
        <x:v>1</x:v>
      </x:c>
      <x:c r="E139" s="1" t="n">
        <x:v>1</x:v>
      </x:c>
      <x:c r="F139" s="13" t="n">
        <x:v>0.6867977000000001</x:v>
      </x:c>
      <x:c r="G139" s="9" t="str">
        <x:v>https://poke.idleworld.online/pokepedia/pokemon/arbok</x:v>
      </x:c>
    </x:row>
    <x:row r="140" ht="22" customHeight="1">
      <x:c r="A140" s="1" t="n">
        <x:v>24</x:v>
      </x:c>
      <x:c r="B140" s="1" t="str">
        <x:v>Arbok</x:v>
      </x:c>
      <x:c r="C140" s="1" t="str">
        <x:v>Snake Tail</x:v>
      </x:c>
      <x:c r="D140" s="1" t="n">
        <x:v>1</x:v>
      </x:c>
      <x:c r="E140" s="1" t="n">
        <x:v>1</x:v>
      </x:c>
      <x:c r="F140" s="13" t="n">
        <x:v>0.11589819999999999</x:v>
      </x:c>
      <x:c r="G140" s="9" t="str">
        <x:v>https://poke.idleworld.online/pokepedia/pokemon/arbok</x:v>
      </x:c>
    </x:row>
    <x:row r="141" ht="22" customHeight="1">
      <x:c r="A141" s="1" t="n">
        <x:v>24</x:v>
      </x:c>
      <x:c r="B141" s="1" t="str">
        <x:v>Arbok</x:v>
      </x:c>
      <x:c r="C141" s="1" t="str">
        <x:v>Venom Stone</x:v>
      </x:c>
      <x:c r="D141" s="1" t="n">
        <x:v>1</x:v>
      </x:c>
      <x:c r="E141" s="1" t="n">
        <x:v>1</x:v>
      </x:c>
      <x:c r="F141" s="13" t="n">
        <x:v>0.0020194</x:v>
      </x:c>
      <x:c r="G141" s="9" t="str">
        <x:v>https://poke.idleworld.online/pokepedia/pokemon/arbok</x:v>
      </x:c>
    </x:row>
    <x:row r="142" ht="22" customHeight="1">
      <x:c r="A142" s="1" t="n">
        <x:v>25</x:v>
      </x:c>
      <x:c r="B142" s="1" t="str">
        <x:v>Pikachu</x:v>
      </x:c>
      <x:c r="C142" s="1" t="str">
        <x:v>Strange Pheromone</x:v>
      </x:c>
      <x:c r="D142" s="1" t="n">
        <x:v>1</x:v>
      </x:c>
      <x:c r="E142" s="1" t="n">
        <x:v>1</x:v>
      </x:c>
      <x:c r="F142" s="13" t="n">
        <x:v>0</x:v>
      </x:c>
      <x:c r="G142" s="9" t="str">
        <x:v>https://poke.idleworld.online/pokepedia/pokemon/pikachu</x:v>
      </x:c>
    </x:row>
    <x:row r="143" ht="22" customHeight="1">
      <x:c r="A143" s="1" t="n">
        <x:v>25</x:v>
      </x:c>
      <x:c r="B143" s="1" t="str">
        <x:v>Pikachu</x:v>
      </x:c>
      <x:c r="C143" s="1" t="str">
        <x:v>Screw</x:v>
      </x:c>
      <x:c r="D143" s="1" t="n">
        <x:v>1</x:v>
      </x:c>
      <x:c r="E143" s="1" t="n">
        <x:v>20</x:v>
      </x:c>
      <x:c r="F143" s="13" t="n">
        <x:v>0.95</x:v>
      </x:c>
      <x:c r="G143" s="9" t="str">
        <x:v>https://poke.idleworld.online/pokepedia/pokemon/pikachu</x:v>
      </x:c>
    </x:row>
    <x:row r="144" ht="22" customHeight="1">
      <x:c r="A144" s="1" t="n">
        <x:v>25</x:v>
      </x:c>
      <x:c r="B144" s="1" t="str">
        <x:v>Pikachu</x:v>
      </x:c>
      <x:c r="C144" s="1" t="str">
        <x:v>Electric Box</x:v>
      </x:c>
      <x:c r="D144" s="1" t="n">
        <x:v>1</x:v>
      </x:c>
      <x:c r="E144" s="1" t="n">
        <x:v>2</x:v>
      </x:c>
      <x:c r="F144" s="13" t="n">
        <x:v>0.6348093</x:v>
      </x:c>
      <x:c r="G144" s="9" t="str">
        <x:v>https://poke.idleworld.online/pokepedia/pokemon/pikachu</x:v>
      </x:c>
    </x:row>
    <x:row r="145" ht="22" customHeight="1">
      <x:c r="A145" s="1" t="n">
        <x:v>25</x:v>
      </x:c>
      <x:c r="B145" s="1" t="str">
        <x:v>Pikachu</x:v>
      </x:c>
      <x:c r="C145" s="1" t="str">
        <x:v>Electric Rat Tail</x:v>
      </x:c>
      <x:c r="D145" s="1" t="n">
        <x:v>1</x:v>
      </x:c>
      <x:c r="E145" s="1" t="n">
        <x:v>1</x:v>
      </x:c>
      <x:c r="F145" s="13" t="n">
        <x:v>0.19656869999999999</x:v>
      </x:c>
      <x:c r="G145" s="9" t="str">
        <x:v>https://poke.idleworld.online/pokepedia/pokemon/pikachu</x:v>
      </x:c>
    </x:row>
    <x:row r="146" ht="22" customHeight="1">
      <x:c r="A146" s="1" t="n">
        <x:v>25</x:v>
      </x:c>
      <x:c r="B146" s="1" t="str">
        <x:v>Pikachu</x:v>
      </x:c>
      <x:c r="C146" s="1" t="str">
        <x:v>Thunder Stone</x:v>
      </x:c>
      <x:c r="D146" s="1" t="n">
        <x:v>1</x:v>
      </x:c>
      <x:c r="E146" s="1" t="n">
        <x:v>1</x:v>
      </x:c>
      <x:c r="F146" s="13" t="n">
        <x:v>0.0047114</x:v>
      </x:c>
      <x:c r="G146" s="9" t="str">
        <x:v>https://poke.idleworld.online/pokepedia/pokemon/pikachu</x:v>
      </x:c>
    </x:row>
    <x:row r="147" ht="22" customHeight="1">
      <x:c r="A147" s="1" t="n">
        <x:v>26</x:v>
      </x:c>
      <x:c r="B147" s="1" t="str">
        <x:v>Raichu</x:v>
      </x:c>
      <x:c r="C147" s="1" t="str">
        <x:v>Strange Pheromone</x:v>
      </x:c>
      <x:c r="D147" s="1" t="n">
        <x:v>1</x:v>
      </x:c>
      <x:c r="E147" s="1" t="n">
        <x:v>1</x:v>
      </x:c>
      <x:c r="F147" s="13" t="n">
        <x:v>0</x:v>
      </x:c>
      <x:c r="G147" s="9" t="str">
        <x:v>https://poke.idleworld.online/pokepedia/pokemon/raichu</x:v>
      </x:c>
    </x:row>
    <x:row r="148" ht="22" customHeight="1">
      <x:c r="A148" s="1" t="n">
        <x:v>26</x:v>
      </x:c>
      <x:c r="B148" s="1" t="str">
        <x:v>Raichu</x:v>
      </x:c>
      <x:c r="C148" s="1" t="str">
        <x:v>Screw</x:v>
      </x:c>
      <x:c r="D148" s="1" t="n">
        <x:v>1</x:v>
      </x:c>
      <x:c r="E148" s="1" t="n">
        <x:v>43</x:v>
      </x:c>
      <x:c r="F148" s="13" t="n">
        <x:v>0.95</x:v>
      </x:c>
      <x:c r="G148" s="9" t="str">
        <x:v>https://poke.idleworld.online/pokepedia/pokemon/raichu</x:v>
      </x:c>
    </x:row>
    <x:row r="149" ht="22" customHeight="1">
      <x:c r="A149" s="1" t="n">
        <x:v>26</x:v>
      </x:c>
      <x:c r="B149" s="1" t="str">
        <x:v>Raichu</x:v>
      </x:c>
      <x:c r="C149" s="1" t="str">
        <x:v>Electric Box</x:v>
      </x:c>
      <x:c r="D149" s="1" t="n">
        <x:v>1</x:v>
      </x:c>
      <x:c r="E149" s="1" t="n">
        <x:v>2</x:v>
      </x:c>
      <x:c r="F149" s="13" t="n">
        <x:v>0.95</x:v>
      </x:c>
      <x:c r="G149" s="9" t="str">
        <x:v>https://poke.idleworld.online/pokepedia/pokemon/raichu</x:v>
      </x:c>
    </x:row>
    <x:row r="150" ht="22" customHeight="1">
      <x:c r="A150" s="1" t="n">
        <x:v>26</x:v>
      </x:c>
      <x:c r="B150" s="1" t="str">
        <x:v>Raichu</x:v>
      </x:c>
      <x:c r="C150" s="1" t="str">
        <x:v>Electric Rat Tail</x:v>
      </x:c>
      <x:c r="D150" s="1" t="n">
        <x:v>1</x:v>
      </x:c>
      <x:c r="E150" s="1" t="n">
        <x:v>1</x:v>
      </x:c>
      <x:c r="F150" s="13" t="n">
        <x:v>0.2515554</x:v>
      </x:c>
      <x:c r="G150" s="9" t="str">
        <x:v>https://poke.idleworld.online/pokepedia/pokemon/raichu</x:v>
      </x:c>
    </x:row>
    <x:row r="151" ht="22" customHeight="1">
      <x:c r="A151" s="1" t="n">
        <x:v>26</x:v>
      </x:c>
      <x:c r="B151" s="1" t="str">
        <x:v>Raichu</x:v>
      </x:c>
      <x:c r="C151" s="1" t="str">
        <x:v>Thunder Stone</x:v>
      </x:c>
      <x:c r="D151" s="1" t="n">
        <x:v>1</x:v>
      </x:c>
      <x:c r="E151" s="1" t="n">
        <x:v>1</x:v>
      </x:c>
      <x:c r="F151" s="13" t="n">
        <x:v>0.007080499999999999</x:v>
      </x:c>
      <x:c r="G151" s="9" t="str">
        <x:v>https://poke.idleworld.online/pokepedia/pokemon/raichu</x:v>
      </x:c>
    </x:row>
    <x:row r="152" ht="22" customHeight="1">
      <x:c r="A152" s="1" t="n">
        <x:v>27</x:v>
      </x:c>
      <x:c r="B152" s="1" t="str">
        <x:v>Sandshrew</x:v>
      </x:c>
      <x:c r="C152" s="1" t="str">
        <x:v>Strange Pheromone</x:v>
      </x:c>
      <x:c r="D152" s="1" t="n">
        <x:v>1</x:v>
      </x:c>
      <x:c r="E152" s="1" t="n">
        <x:v>1</x:v>
      </x:c>
      <x:c r="F152" s="13" t="n">
        <x:v>0</x:v>
      </x:c>
      <x:c r="G152" s="9" t="str">
        <x:v>https://poke.idleworld.online/pokepedia/pokemon/sandshrew</x:v>
      </x:c>
    </x:row>
    <x:row r="153" ht="22" customHeight="1">
      <x:c r="A153" s="1" t="n">
        <x:v>27</x:v>
      </x:c>
      <x:c r="B153" s="1" t="str">
        <x:v>Sandshrew</x:v>
      </x:c>
      <x:c r="C153" s="1" t="str">
        <x:v>Earth Ball</x:v>
      </x:c>
      <x:c r="D153" s="1" t="n">
        <x:v>1</x:v>
      </x:c>
      <x:c r="E153" s="1" t="n">
        <x:v>10</x:v>
      </x:c>
      <x:c r="F153" s="13" t="n">
        <x:v>0.6803522</x:v>
      </x:c>
      <x:c r="G153" s="9" t="str">
        <x:v>https://poke.idleworld.online/pokepedia/pokemon/sandshrew</x:v>
      </x:c>
    </x:row>
    <x:row r="154" ht="22" customHeight="1">
      <x:c r="A154" s="1" t="n">
        <x:v>27</x:v>
      </x:c>
      <x:c r="B154" s="1" t="str">
        <x:v>Sandshrew</x:v>
      </x:c>
      <x:c r="C154" s="1" t="str">
        <x:v>Sandbag</x:v>
      </x:c>
      <x:c r="D154" s="1" t="n">
        <x:v>1</x:v>
      </x:c>
      <x:c r="E154" s="1" t="n">
        <x:v>1</x:v>
      </x:c>
      <x:c r="F154" s="13" t="n">
        <x:v>0.5139744</x:v>
      </x:c>
      <x:c r="G154" s="9" t="str">
        <x:v>https://poke.idleworld.online/pokepedia/pokemon/sandshrew</x:v>
      </x:c>
    </x:row>
    <x:row r="155" ht="22" customHeight="1">
      <x:c r="A155" s="1" t="n">
        <x:v>27</x:v>
      </x:c>
      <x:c r="B155" s="1" t="str">
        <x:v>Sandshrew</x:v>
      </x:c>
      <x:c r="C155" s="1" t="str">
        <x:v>Armadillo Claw</x:v>
      </x:c>
      <x:c r="D155" s="1" t="n">
        <x:v>1</x:v>
      </x:c>
      <x:c r="E155" s="1" t="n">
        <x:v>1</x:v>
      </x:c>
      <x:c r="F155" s="13" t="n">
        <x:v>0.060750900000000004</x:v>
      </x:c>
      <x:c r="G155" s="9" t="str">
        <x:v>https://poke.idleworld.online/pokepedia/pokemon/sandshrew</x:v>
      </x:c>
    </x:row>
    <x:row r="156" ht="22" customHeight="1">
      <x:c r="A156" s="1" t="n">
        <x:v>28</x:v>
      </x:c>
      <x:c r="B156" s="1" t="str">
        <x:v>Sandslash</x:v>
      </x:c>
      <x:c r="C156" s="1" t="str">
        <x:v>Strange Pheromone</x:v>
      </x:c>
      <x:c r="D156" s="1" t="n">
        <x:v>1</x:v>
      </x:c>
      <x:c r="E156" s="1" t="n">
        <x:v>1</x:v>
      </x:c>
      <x:c r="F156" s="13" t="n">
        <x:v>0</x:v>
      </x:c>
      <x:c r="G156" s="9" t="str">
        <x:v>https://poke.idleworld.online/pokepedia/pokemon/sandslash</x:v>
      </x:c>
    </x:row>
    <x:row r="157" ht="22" customHeight="1">
      <x:c r="A157" s="1" t="n">
        <x:v>28</x:v>
      </x:c>
      <x:c r="B157" s="1" t="str">
        <x:v>Sandslash</x:v>
      </x:c>
      <x:c r="C157" s="1" t="str">
        <x:v>Earth Ball</x:v>
      </x:c>
      <x:c r="D157" s="1" t="n">
        <x:v>1</x:v>
      </x:c>
      <x:c r="E157" s="1" t="n">
        <x:v>33</x:v>
      </x:c>
      <x:c r="F157" s="13" t="n">
        <x:v>0.95</x:v>
      </x:c>
      <x:c r="G157" s="9" t="str">
        <x:v>https://poke.idleworld.online/pokepedia/pokemon/sandslash</x:v>
      </x:c>
    </x:row>
    <x:row r="158" ht="22" customHeight="1">
      <x:c r="A158" s="1" t="n">
        <x:v>28</x:v>
      </x:c>
      <x:c r="B158" s="1" t="str">
        <x:v>Sandslash</x:v>
      </x:c>
      <x:c r="C158" s="1" t="str">
        <x:v>Sandbag</x:v>
      </x:c>
      <x:c r="D158" s="1" t="n">
        <x:v>1</x:v>
      </x:c>
      <x:c r="E158" s="1" t="n">
        <x:v>1</x:v>
      </x:c>
      <x:c r="F158" s="13" t="n">
        <x:v>0.8291824000000001</x:v>
      </x:c>
      <x:c r="G158" s="9" t="str">
        <x:v>https://poke.idleworld.online/pokepedia/pokemon/sandslash</x:v>
      </x:c>
    </x:row>
    <x:row r="159" ht="22" customHeight="1">
      <x:c r="A159" s="1" t="n">
        <x:v>28</x:v>
      </x:c>
      <x:c r="B159" s="1" t="str">
        <x:v>Sandslash</x:v>
      </x:c>
      <x:c r="C159" s="1" t="str">
        <x:v>Armadillo Claw</x:v>
      </x:c>
      <x:c r="D159" s="1" t="n">
        <x:v>1</x:v>
      </x:c>
      <x:c r="E159" s="1" t="n">
        <x:v>1</x:v>
      </x:c>
      <x:c r="F159" s="13" t="n">
        <x:v>0.1455824</x:v>
      </x:c>
      <x:c r="G159" s="9" t="str">
        <x:v>https://poke.idleworld.online/pokepedia/pokemon/sandslash</x:v>
      </x:c>
    </x:row>
    <x:row r="160" ht="22" customHeight="1">
      <x:c r="A160" s="1" t="n">
        <x:v>28</x:v>
      </x:c>
      <x:c r="B160" s="1" t="str">
        <x:v>Sandslash</x:v>
      </x:c>
      <x:c r="C160" s="1" t="str">
        <x:v>Earth Stone</x:v>
      </x:c>
      <x:c r="D160" s="1" t="n">
        <x:v>1</x:v>
      </x:c>
      <x:c r="E160" s="1" t="n">
        <x:v>1</x:v>
      </x:c>
      <x:c r="F160" s="13" t="n">
        <x:v>0.004284700000000001</x:v>
      </x:c>
      <x:c r="G160" s="9" t="str">
        <x:v>https://poke.idleworld.online/pokepedia/pokemon/sandslash</x:v>
      </x:c>
    </x:row>
    <x:row r="161" ht="22" customHeight="1">
      <x:c r="A161" s="1" t="n">
        <x:v>29</x:v>
      </x:c>
      <x:c r="B161" s="1" t="str">
        <x:v>Nidoran Female</x:v>
      </x:c>
      <x:c r="C161" s="1" t="str">
        <x:v>Strange Pheromone</x:v>
      </x:c>
      <x:c r="D161" s="1" t="n">
        <x:v>1</x:v>
      </x:c>
      <x:c r="E161" s="1" t="n">
        <x:v>1</x:v>
      </x:c>
      <x:c r="F161" s="13" t="n">
        <x:v>0</x:v>
      </x:c>
      <x:c r="G161" s="9" t="str">
        <x:v>https://poke.idleworld.online/pokepedia/pokemon/nidoranfemale</x:v>
      </x:c>
    </x:row>
    <x:row r="162" ht="22" customHeight="1">
      <x:c r="A162" s="1" t="n">
        <x:v>29</x:v>
      </x:c>
      <x:c r="B162" s="1" t="str">
        <x:v>Nidoran Female</x:v>
      </x:c>
      <x:c r="C162" s="1" t="str">
        <x:v>Bottles of Poison</x:v>
      </x:c>
      <x:c r="D162" s="1" t="n">
        <x:v>1</x:v>
      </x:c>
      <x:c r="E162" s="1" t="n">
        <x:v>6</x:v>
      </x:c>
      <x:c r="F162" s="13" t="n">
        <x:v>0.8591228999999999</x:v>
      </x:c>
      <x:c r="G162" s="9" t="str">
        <x:v>https://poke.idleworld.online/pokepedia/pokemon/nidoranfemale</x:v>
      </x:c>
    </x:row>
    <x:row r="163" ht="22" customHeight="1">
      <x:c r="A163" s="1" t="n">
        <x:v>29</x:v>
      </x:c>
      <x:c r="B163" s="1" t="str">
        <x:v>Nidoran Female</x:v>
      </x:c>
      <x:c r="C163" s="1" t="str">
        <x:v>Sandbag</x:v>
      </x:c>
      <x:c r="D163" s="1" t="n">
        <x:v>1</x:v>
      </x:c>
      <x:c r="E163" s="1" t="n">
        <x:v>1</x:v>
      </x:c>
      <x:c r="F163" s="13" t="n">
        <x:v>0.8591224000000001</x:v>
      </x:c>
      <x:c r="G163" s="9" t="str">
        <x:v>https://poke.idleworld.online/pokepedia/pokemon/nidoranfemale</x:v>
      </x:c>
    </x:row>
    <x:row r="164" ht="22" customHeight="1">
      <x:c r="A164" s="1" t="n">
        <x:v>29</x:v>
      </x:c>
      <x:c r="B164" s="1" t="str">
        <x:v>Nidoran Female</x:v>
      </x:c>
      <x:c r="C164" s="1" t="str">
        <x:v>Female Ear</x:v>
      </x:c>
      <x:c r="D164" s="1" t="n">
        <x:v>1</x:v>
      </x:c>
      <x:c r="E164" s="1" t="n">
        <x:v>1</x:v>
      </x:c>
      <x:c r="F164" s="13" t="n">
        <x:v>0.0000132</x:v>
      </x:c>
      <x:c r="G164" s="9" t="str">
        <x:v>https://poke.idleworld.online/pokepedia/pokemon/nidoranfemale</x:v>
      </x:c>
    </x:row>
    <x:row r="165" ht="22" customHeight="1">
      <x:c r="A165" s="1" t="n">
        <x:v>30</x:v>
      </x:c>
      <x:c r="B165" s="1" t="str">
        <x:v>Nidorina</x:v>
      </x:c>
      <x:c r="C165" s="1" t="str">
        <x:v>Strange Pheromone</x:v>
      </x:c>
      <x:c r="D165" s="1" t="n">
        <x:v>1</x:v>
      </x:c>
      <x:c r="E165" s="1" t="n">
        <x:v>1</x:v>
      </x:c>
      <x:c r="F165" s="13" t="n">
        <x:v>0</x:v>
      </x:c>
      <x:c r="G165" s="9" t="str">
        <x:v>https://poke.idleworld.online/pokepedia/pokemon/nidorina</x:v>
      </x:c>
    </x:row>
    <x:row r="166" ht="22" customHeight="1">
      <x:c r="A166" s="1" t="n">
        <x:v>30</x:v>
      </x:c>
      <x:c r="B166" s="1" t="str">
        <x:v>Nidorina</x:v>
      </x:c>
      <x:c r="C166" s="1" t="str">
        <x:v>Bottles of Poison</x:v>
      </x:c>
      <x:c r="D166" s="1" t="n">
        <x:v>1</x:v>
      </x:c>
      <x:c r="E166" s="1" t="n">
        <x:v>16</x:v>
      </x:c>
      <x:c r="F166" s="13" t="n">
        <x:v>0.8581776</x:v>
      </x:c>
      <x:c r="G166" s="9" t="str">
        <x:v>https://poke.idleworld.online/pokepedia/pokemon/nidorina</x:v>
      </x:c>
    </x:row>
    <x:row r="167" ht="22" customHeight="1">
      <x:c r="A167" s="1" t="n">
        <x:v>30</x:v>
      </x:c>
      <x:c r="B167" s="1" t="str">
        <x:v>Nidorina</x:v>
      </x:c>
      <x:c r="C167" s="1" t="str">
        <x:v>Sandbag</x:v>
      </x:c>
      <x:c r="D167" s="1" t="n">
        <x:v>1</x:v>
      </x:c>
      <x:c r="E167" s="1" t="n">
        <x:v>1</x:v>
      </x:c>
      <x:c r="F167" s="13" t="n">
        <x:v>0.33971239999999997</x:v>
      </x:c>
      <x:c r="G167" s="9" t="str">
        <x:v>https://poke.idleworld.online/pokepedia/pokemon/nidorina</x:v>
      </x:c>
    </x:row>
    <x:row r="168" ht="22" customHeight="1">
      <x:c r="A168" s="1" t="n">
        <x:v>30</x:v>
      </x:c>
      <x:c r="B168" s="1" t="str">
        <x:v>Nidorina</x:v>
      </x:c>
      <x:c r="C168" s="1" t="str">
        <x:v>Female Ear</x:v>
      </x:c>
      <x:c r="D168" s="1" t="n">
        <x:v>1</x:v>
      </x:c>
      <x:c r="E168" s="1" t="n">
        <x:v>1</x:v>
      </x:c>
      <x:c r="F168" s="13" t="n">
        <x:v>0.0461013</x:v>
      </x:c>
      <x:c r="G168" s="9" t="str">
        <x:v>https://poke.idleworld.online/pokepedia/pokemon/nidorina</x:v>
      </x:c>
    </x:row>
    <x:row r="169" ht="22" customHeight="1">
      <x:c r="A169" s="1" t="n">
        <x:v>30</x:v>
      </x:c>
      <x:c r="B169" s="1" t="str">
        <x:v>Nidorina</x:v>
      </x:c>
      <x:c r="C169" s="1" t="str">
        <x:v>Venom Stone</x:v>
      </x:c>
      <x:c r="D169" s="1" t="n">
        <x:v>1</x:v>
      </x:c>
      <x:c r="E169" s="1" t="n">
        <x:v>1</x:v>
      </x:c>
      <x:c r="F169" s="13" t="n">
        <x:v>0.0016428999999999999</x:v>
      </x:c>
      <x:c r="G169" s="9" t="str">
        <x:v>https://poke.idleworld.online/pokepedia/pokemon/nidorina</x:v>
      </x:c>
    </x:row>
    <x:row r="170" ht="22" customHeight="1">
      <x:c r="A170" s="1" t="n">
        <x:v>31</x:v>
      </x:c>
      <x:c r="B170" s="1" t="str">
        <x:v>Nidoqueen</x:v>
      </x:c>
      <x:c r="C170" s="1" t="str">
        <x:v>Strange Pheromone</x:v>
      </x:c>
      <x:c r="D170" s="1" t="n">
        <x:v>1</x:v>
      </x:c>
      <x:c r="E170" s="1" t="n">
        <x:v>1</x:v>
      </x:c>
      <x:c r="F170" s="13" t="n">
        <x:v>0</x:v>
      </x:c>
      <x:c r="G170" s="9" t="str">
        <x:v>https://poke.idleworld.online/pokepedia/pokemon/nidoqueen</x:v>
      </x:c>
    </x:row>
    <x:row r="171" ht="22" customHeight="1">
      <x:c r="A171" s="1" t="n">
        <x:v>31</x:v>
      </x:c>
      <x:c r="B171" s="1" t="str">
        <x:v>Nidoqueen</x:v>
      </x:c>
      <x:c r="C171" s="1" t="str">
        <x:v>Bottles of Poison</x:v>
      </x:c>
      <x:c r="D171" s="1" t="n">
        <x:v>1</x:v>
      </x:c>
      <x:c r="E171" s="1" t="n">
        <x:v>16</x:v>
      </x:c>
      <x:c r="F171" s="13" t="n">
        <x:v>0.95</x:v>
      </x:c>
      <x:c r="G171" s="9" t="str">
        <x:v>https://poke.idleworld.online/pokepedia/pokemon/nidoqueen</x:v>
      </x:c>
    </x:row>
    <x:row r="172" ht="22" customHeight="1">
      <x:c r="A172" s="1" t="n">
        <x:v>31</x:v>
      </x:c>
      <x:c r="B172" s="1" t="str">
        <x:v>Nidoqueen</x:v>
      </x:c>
      <x:c r="C172" s="1" t="str">
        <x:v>Earth Ball</x:v>
      </x:c>
      <x:c r="D172" s="1" t="n">
        <x:v>1</x:v>
      </x:c>
      <x:c r="E172" s="1" t="n">
        <x:v>16</x:v>
      </x:c>
      <x:c r="F172" s="13" t="n">
        <x:v>0.95</x:v>
      </x:c>
      <x:c r="G172" s="9" t="str">
        <x:v>https://poke.idleworld.online/pokepedia/pokemon/nidoqueen</x:v>
      </x:c>
    </x:row>
    <x:row r="173" ht="22" customHeight="1">
      <x:c r="A173" s="1" t="n">
        <x:v>31</x:v>
      </x:c>
      <x:c r="B173" s="1" t="str">
        <x:v>Nidoqueen</x:v>
      </x:c>
      <x:c r="C173" s="1" t="str">
        <x:v>Sandbag</x:v>
      </x:c>
      <x:c r="D173" s="1" t="n">
        <x:v>1</x:v>
      </x:c>
      <x:c r="E173" s="1" t="n">
        <x:v>1</x:v>
      </x:c>
      <x:c r="F173" s="13" t="n">
        <x:v>0.95</x:v>
      </x:c>
      <x:c r="G173" s="9" t="str">
        <x:v>https://poke.idleworld.online/pokepedia/pokemon/nidoqueen</x:v>
      </x:c>
    </x:row>
    <x:row r="174" ht="22" customHeight="1">
      <x:c r="A174" s="1" t="n">
        <x:v>31</x:v>
      </x:c>
      <x:c r="B174" s="1" t="str">
        <x:v>Nidoqueen</x:v>
      </x:c>
      <x:c r="C174" s="1" t="str">
        <x:v>Female Ear</x:v>
      </x:c>
      <x:c r="D174" s="1" t="n">
        <x:v>1</x:v>
      </x:c>
      <x:c r="E174" s="1" t="n">
        <x:v>1</x:v>
      </x:c>
      <x:c r="F174" s="13" t="n">
        <x:v>0.40116989999999997</x:v>
      </x:c>
      <x:c r="G174" s="9" t="str">
        <x:v>https://poke.idleworld.online/pokepedia/pokemon/nidoqueen</x:v>
      </x:c>
    </x:row>
    <x:row r="175" ht="22" customHeight="1">
      <x:c r="A175" s="1" t="n">
        <x:v>31</x:v>
      </x:c>
      <x:c r="B175" s="1" t="str">
        <x:v>Nidoqueen</x:v>
      </x:c>
      <x:c r="C175" s="1" t="str">
        <x:v>Earth Stone</x:v>
      </x:c>
      <x:c r="D175" s="1" t="n">
        <x:v>1</x:v>
      </x:c>
      <x:c r="E175" s="1" t="n">
        <x:v>1</x:v>
      </x:c>
      <x:c r="F175" s="13" t="n">
        <x:v>0.0038301999999999998</x:v>
      </x:c>
      <x:c r="G175" s="9" t="str">
        <x:v>https://poke.idleworld.online/pokepedia/pokemon/nidoqueen</x:v>
      </x:c>
    </x:row>
    <x:row r="176" ht="22" customHeight="1">
      <x:c r="A176" s="1" t="n">
        <x:v>31</x:v>
      </x:c>
      <x:c r="B176" s="1" t="str">
        <x:v>Nidoqueen</x:v>
      </x:c>
      <x:c r="C176" s="1" t="str">
        <x:v>Venom Stone</x:v>
      </x:c>
      <x:c r="D176" s="1" t="n">
        <x:v>1</x:v>
      </x:c>
      <x:c r="E176" s="1" t="n">
        <x:v>1</x:v>
      </x:c>
      <x:c r="F176" s="13" t="n">
        <x:v>0.0038301999999999998</x:v>
      </x:c>
      <x:c r="G176" s="9" t="str">
        <x:v>https://poke.idleworld.online/pokepedia/pokemon/nidoqueen</x:v>
      </x:c>
    </x:row>
    <x:row r="177" ht="22" customHeight="1">
      <x:c r="A177" s="1" t="n">
        <x:v>32</x:v>
      </x:c>
      <x:c r="B177" s="1" t="str">
        <x:v>Nidoran Male</x:v>
      </x:c>
      <x:c r="C177" s="1" t="str">
        <x:v>Strange Pheromone</x:v>
      </x:c>
      <x:c r="D177" s="1" t="n">
        <x:v>1</x:v>
      </x:c>
      <x:c r="E177" s="1" t="n">
        <x:v>1</x:v>
      </x:c>
      <x:c r="F177" s="13" t="n">
        <x:v>0</x:v>
      </x:c>
      <x:c r="G177" s="9" t="str">
        <x:v>https://poke.idleworld.online/pokepedia/pokemon/nidoranmale</x:v>
      </x:c>
    </x:row>
    <x:row r="178" ht="22" customHeight="1">
      <x:c r="A178" s="1" t="n">
        <x:v>32</x:v>
      </x:c>
      <x:c r="B178" s="1" t="str">
        <x:v>Nidoran Male</x:v>
      </x:c>
      <x:c r="C178" s="1" t="str">
        <x:v>Bottles of Poison</x:v>
      </x:c>
      <x:c r="D178" s="1" t="n">
        <x:v>1</x:v>
      </x:c>
      <x:c r="E178" s="1" t="n">
        <x:v>6</x:v>
      </x:c>
      <x:c r="F178" s="13" t="n">
        <x:v>0.8338867</x:v>
      </x:c>
      <x:c r="G178" s="9" t="str">
        <x:v>https://poke.idleworld.online/pokepedia/pokemon/nidoranmale</x:v>
      </x:c>
    </x:row>
    <x:row r="179" ht="22" customHeight="1">
      <x:c r="A179" s="1" t="n">
        <x:v>32</x:v>
      </x:c>
      <x:c r="B179" s="1" t="str">
        <x:v>Nidoran Male</x:v>
      </x:c>
      <x:c r="C179" s="1" t="str">
        <x:v>Sandbag</x:v>
      </x:c>
      <x:c r="D179" s="1" t="n">
        <x:v>1</x:v>
      </x:c>
      <x:c r="E179" s="1" t="n">
        <x:v>1</x:v>
      </x:c>
      <x:c r="F179" s="13" t="n">
        <x:v>0.8338867999999999</x:v>
      </x:c>
      <x:c r="G179" s="9" t="str">
        <x:v>https://poke.idleworld.online/pokepedia/pokemon/nidoranmale</x:v>
      </x:c>
    </x:row>
    <x:row r="180" ht="22" customHeight="1">
      <x:c r="A180" s="1" t="n">
        <x:v>32</x:v>
      </x:c>
      <x:c r="B180" s="1" t="str">
        <x:v>Nidoran Male</x:v>
      </x:c>
      <x:c r="C180" s="1" t="str">
        <x:v>Male Ear</x:v>
      </x:c>
      <x:c r="D180" s="1" t="n">
        <x:v>1</x:v>
      </x:c>
      <x:c r="E180" s="1" t="n">
        <x:v>1</x:v>
      </x:c>
      <x:c r="F180" s="13" t="n">
        <x:v>0.000013899999999999999</x:v>
      </x:c>
      <x:c r="G180" s="9" t="str">
        <x:v>https://poke.idleworld.online/pokepedia/pokemon/nidoranmale</x:v>
      </x:c>
    </x:row>
    <x:row r="181" ht="22" customHeight="1">
      <x:c r="A181" s="1" t="n">
        <x:v>33</x:v>
      </x:c>
      <x:c r="B181" s="1" t="str">
        <x:v>Nidorino</x:v>
      </x:c>
      <x:c r="C181" s="1" t="str">
        <x:v>Strange Pheromone</x:v>
      </x:c>
      <x:c r="D181" s="1" t="n">
        <x:v>1</x:v>
      </x:c>
      <x:c r="E181" s="1" t="n">
        <x:v>1</x:v>
      </x:c>
      <x:c r="F181" s="13" t="n">
        <x:v>0</x:v>
      </x:c>
      <x:c r="G181" s="9" t="str">
        <x:v>https://poke.idleworld.online/pokepedia/pokemon/nidorino</x:v>
      </x:c>
    </x:row>
    <x:row r="182" ht="22" customHeight="1">
      <x:c r="A182" s="1" t="n">
        <x:v>33</x:v>
      </x:c>
      <x:c r="B182" s="1" t="str">
        <x:v>Nidorino</x:v>
      </x:c>
      <x:c r="C182" s="1" t="str">
        <x:v>Bottles of Poison</x:v>
      </x:c>
      <x:c r="D182" s="1" t="n">
        <x:v>1</x:v>
      </x:c>
      <x:c r="E182" s="1" t="n">
        <x:v>16</x:v>
      </x:c>
      <x:c r="F182" s="13" t="n">
        <x:v>0.8813548</x:v>
      </x:c>
      <x:c r="G182" s="9" t="str">
        <x:v>https://poke.idleworld.online/pokepedia/pokemon/nidorino</x:v>
      </x:c>
    </x:row>
    <x:row r="183" ht="22" customHeight="1">
      <x:c r="A183" s="1" t="n">
        <x:v>33</x:v>
      </x:c>
      <x:c r="B183" s="1" t="str">
        <x:v>Nidorino</x:v>
      </x:c>
      <x:c r="C183" s="1" t="str">
        <x:v>Sandbag</x:v>
      </x:c>
      <x:c r="D183" s="1" t="n">
        <x:v>1</x:v>
      </x:c>
      <x:c r="E183" s="1" t="n">
        <x:v>1</x:v>
      </x:c>
      <x:c r="F183" s="13" t="n">
        <x:v>0.3135511</x:v>
      </x:c>
      <x:c r="G183" s="9" t="str">
        <x:v>https://poke.idleworld.online/pokepedia/pokemon/nidorino</x:v>
      </x:c>
    </x:row>
    <x:row r="184" ht="22" customHeight="1">
      <x:c r="A184" s="1" t="n">
        <x:v>33</x:v>
      </x:c>
      <x:c r="B184" s="1" t="str">
        <x:v>Nidorino</x:v>
      </x:c>
      <x:c r="C184" s="1" t="str">
        <x:v>Male Ear</x:v>
      </x:c>
      <x:c r="D184" s="1" t="n">
        <x:v>1</x:v>
      </x:c>
      <x:c r="E184" s="1" t="n">
        <x:v>1</x:v>
      </x:c>
      <x:c r="F184" s="13" t="n">
        <x:v>0.0425519</x:v>
      </x:c>
      <x:c r="G184" s="9" t="str">
        <x:v>https://poke.idleworld.online/pokepedia/pokemon/nidorino</x:v>
      </x:c>
    </x:row>
    <x:row r="185" ht="22" customHeight="1">
      <x:c r="A185" s="1" t="n">
        <x:v>33</x:v>
      </x:c>
      <x:c r="B185" s="1" t="str">
        <x:v>Nidorino</x:v>
      </x:c>
      <x:c r="C185" s="1" t="str">
        <x:v>Venom Stone</x:v>
      </x:c>
      <x:c r="D185" s="1" t="n">
        <x:v>1</x:v>
      </x:c>
      <x:c r="E185" s="1" t="n">
        <x:v>1</x:v>
      </x:c>
      <x:c r="F185" s="13" t="n">
        <x:v>0.0015814</x:v>
      </x:c>
      <x:c r="G185" s="9" t="str">
        <x:v>https://poke.idleworld.online/pokepedia/pokemon/nidorino</x:v>
      </x:c>
    </x:row>
    <x:row r="186" ht="22" customHeight="1">
      <x:c r="A186" s="1" t="n">
        <x:v>34</x:v>
      </x:c>
      <x:c r="B186" s="1" t="str">
        <x:v>Nidoking</x:v>
      </x:c>
      <x:c r="C186" s="1" t="str">
        <x:v>Strange Pheromone</x:v>
      </x:c>
      <x:c r="D186" s="1" t="n">
        <x:v>1</x:v>
      </x:c>
      <x:c r="E186" s="1" t="n">
        <x:v>1</x:v>
      </x:c>
      <x:c r="F186" s="13" t="n">
        <x:v>0</x:v>
      </x:c>
      <x:c r="G186" s="9" t="str">
        <x:v>https://poke.idleworld.online/pokepedia/pokemon/nidoking</x:v>
      </x:c>
    </x:row>
    <x:row r="187" ht="22" customHeight="1">
      <x:c r="A187" s="1" t="n">
        <x:v>34</x:v>
      </x:c>
      <x:c r="B187" s="1" t="str">
        <x:v>Nidoking</x:v>
      </x:c>
      <x:c r="C187" s="1" t="str">
        <x:v>Bottles of Poison</x:v>
      </x:c>
      <x:c r="D187" s="1" t="n">
        <x:v>1</x:v>
      </x:c>
      <x:c r="E187" s="1" t="n">
        <x:v>16</x:v>
      </x:c>
      <x:c r="F187" s="13" t="n">
        <x:v>0.95</x:v>
      </x:c>
      <x:c r="G187" s="9" t="str">
        <x:v>https://poke.idleworld.online/pokepedia/pokemon/nidoking</x:v>
      </x:c>
    </x:row>
    <x:row r="188" ht="22" customHeight="1">
      <x:c r="A188" s="1" t="n">
        <x:v>34</x:v>
      </x:c>
      <x:c r="B188" s="1" t="str">
        <x:v>Nidoking</x:v>
      </x:c>
      <x:c r="C188" s="1" t="str">
        <x:v>Earth Ball</x:v>
      </x:c>
      <x:c r="D188" s="1" t="n">
        <x:v>1</x:v>
      </x:c>
      <x:c r="E188" s="1" t="n">
        <x:v>16</x:v>
      </x:c>
      <x:c r="F188" s="13" t="n">
        <x:v>0.95</x:v>
      </x:c>
      <x:c r="G188" s="9" t="str">
        <x:v>https://poke.idleworld.online/pokepedia/pokemon/nidoking</x:v>
      </x:c>
    </x:row>
    <x:row r="189" ht="22" customHeight="1">
      <x:c r="A189" s="1" t="n">
        <x:v>34</x:v>
      </x:c>
      <x:c r="B189" s="1" t="str">
        <x:v>Nidoking</x:v>
      </x:c>
      <x:c r="C189" s="1" t="str">
        <x:v>Sandbag</x:v>
      </x:c>
      <x:c r="D189" s="1" t="n">
        <x:v>1</x:v>
      </x:c>
      <x:c r="E189" s="1" t="n">
        <x:v>1</x:v>
      </x:c>
      <x:c r="F189" s="13" t="n">
        <x:v>0.95</x:v>
      </x:c>
      <x:c r="G189" s="9" t="str">
        <x:v>https://poke.idleworld.online/pokepedia/pokemon/nidoking</x:v>
      </x:c>
    </x:row>
    <x:row r="190" ht="22" customHeight="1">
      <x:c r="A190" s="1" t="n">
        <x:v>34</x:v>
      </x:c>
      <x:c r="B190" s="1" t="str">
        <x:v>Nidoking</x:v>
      </x:c>
      <x:c r="C190" s="1" t="str">
        <x:v>Male Ear</x:v>
      </x:c>
      <x:c r="D190" s="1" t="n">
        <x:v>1</x:v>
      </x:c>
      <x:c r="E190" s="1" t="n">
        <x:v>1</x:v>
      </x:c>
      <x:c r="F190" s="13" t="n">
        <x:v>0.39067029999999997</x:v>
      </x:c>
      <x:c r="G190" s="9" t="str">
        <x:v>https://poke.idleworld.online/pokepedia/pokemon/nidoking</x:v>
      </x:c>
    </x:row>
    <x:row r="191" ht="22" customHeight="1">
      <x:c r="A191" s="1" t="n">
        <x:v>34</x:v>
      </x:c>
      <x:c r="B191" s="1" t="str">
        <x:v>Nidoking</x:v>
      </x:c>
      <x:c r="C191" s="1" t="str">
        <x:v>Earth Stone</x:v>
      </x:c>
      <x:c r="D191" s="1" t="n">
        <x:v>1</x:v>
      </x:c>
      <x:c r="E191" s="1" t="n">
        <x:v>1</x:v>
      </x:c>
      <x:c r="F191" s="13" t="n">
        <x:v>0.0037641000000000003</x:v>
      </x:c>
      <x:c r="G191" s="9" t="str">
        <x:v>https://poke.idleworld.online/pokepedia/pokemon/nidoking</x:v>
      </x:c>
    </x:row>
    <x:row r="192" ht="22" customHeight="1">
      <x:c r="A192" s="1" t="n">
        <x:v>34</x:v>
      </x:c>
      <x:c r="B192" s="1" t="str">
        <x:v>Nidoking</x:v>
      </x:c>
      <x:c r="C192" s="1" t="str">
        <x:v>Venom Stone</x:v>
      </x:c>
      <x:c r="D192" s="1" t="n">
        <x:v>1</x:v>
      </x:c>
      <x:c r="E192" s="1" t="n">
        <x:v>1</x:v>
      </x:c>
      <x:c r="F192" s="13" t="n">
        <x:v>0.0037641000000000003</x:v>
      </x:c>
      <x:c r="G192" s="9" t="str">
        <x:v>https://poke.idleworld.online/pokepedia/pokemon/nidoking</x:v>
      </x:c>
    </x:row>
    <x:row r="193" ht="22" customHeight="1">
      <x:c r="A193" s="1" t="n">
        <x:v>35</x:v>
      </x:c>
      <x:c r="B193" s="1" t="str">
        <x:v>Clefairy</x:v>
      </x:c>
      <x:c r="C193" s="1" t="str">
        <x:v>Strange Pheromone</x:v>
      </x:c>
      <x:c r="D193" s="1" t="n">
        <x:v>1</x:v>
      </x:c>
      <x:c r="E193" s="1" t="n">
        <x:v>1</x:v>
      </x:c>
      <x:c r="F193" s="13" t="n">
        <x:v>0</x:v>
      </x:c>
      <x:c r="G193" s="9" t="str">
        <x:v>https://poke.idleworld.online/pokepedia/pokemon/clefairy</x:v>
      </x:c>
    </x:row>
    <x:row r="194" ht="22" customHeight="1">
      <x:c r="A194" s="1" t="n">
        <x:v>35</x:v>
      </x:c>
      <x:c r="B194" s="1" t="str">
        <x:v>Clefairy</x:v>
      </x:c>
      <x:c r="C194" s="1" t="str">
        <x:v>Rubber Ball</x:v>
      </x:c>
      <x:c r="D194" s="1" t="n">
        <x:v>1</x:v>
      </x:c>
      <x:c r="E194" s="1" t="n">
        <x:v>20</x:v>
      </x:c>
      <x:c r="F194" s="13" t="n">
        <x:v>0.6236243</x:v>
      </x:c>
      <x:c r="G194" s="9" t="str">
        <x:v>https://poke.idleworld.online/pokepedia/pokemon/clefairy</x:v>
      </x:c>
    </x:row>
    <x:row r="195" ht="22" customHeight="1">
      <x:c r="A195" s="1" t="n">
        <x:v>35</x:v>
      </x:c>
      <x:c r="B195" s="1" t="str">
        <x:v>Clefairy</x:v>
      </x:c>
      <x:c r="C195" s="1" t="str">
        <x:v>Comb</x:v>
      </x:c>
      <x:c r="D195" s="1" t="n">
        <x:v>1</x:v>
      </x:c>
      <x:c r="E195" s="1" t="n">
        <x:v>1</x:v>
      </x:c>
      <x:c r="F195" s="13" t="n">
        <x:v>0.1373803</x:v>
      </x:c>
      <x:c r="G195" s="9" t="str">
        <x:v>https://poke.idleworld.online/pokepedia/pokemon/clefairy</x:v>
      </x:c>
    </x:row>
    <x:row r="196" ht="22" customHeight="1">
      <x:c r="A196" s="1" t="n">
        <x:v>35</x:v>
      </x:c>
      <x:c r="B196" s="1" t="str">
        <x:v>Clefairy</x:v>
      </x:c>
      <x:c r="C196" s="1" t="str">
        <x:v>Topknot</x:v>
      </x:c>
      <x:c r="D196" s="1" t="n">
        <x:v>1</x:v>
      </x:c>
      <x:c r="E196" s="1" t="n">
        <x:v>1</x:v>
      </x:c>
      <x:c r="F196" s="13" t="n">
        <x:v>0.028578600000000003</x:v>
      </x:c>
      <x:c r="G196" s="9" t="str">
        <x:v>https://poke.idleworld.online/pokepedia/pokemon/clefairy</x:v>
      </x:c>
    </x:row>
    <x:row r="197" ht="22" customHeight="1">
      <x:c r="A197" s="1" t="n">
        <x:v>35</x:v>
      </x:c>
      <x:c r="B197" s="1" t="str">
        <x:v>Clefairy</x:v>
      </x:c>
      <x:c r="C197" s="1" t="str">
        <x:v>Heart Stone</x:v>
      </x:c>
      <x:c r="D197" s="1" t="n">
        <x:v>1</x:v>
      </x:c>
      <x:c r="E197" s="1" t="n">
        <x:v>1</x:v>
      </x:c>
      <x:c r="F197" s="13" t="n">
        <x:v>0.0020989</x:v>
      </x:c>
      <x:c r="G197" s="9" t="str">
        <x:v>https://poke.idleworld.online/pokepedia/pokemon/clefairy</x:v>
      </x:c>
    </x:row>
    <x:row r="198" ht="22" customHeight="1">
      <x:c r="A198" s="1" t="n">
        <x:v>36</x:v>
      </x:c>
      <x:c r="B198" s="1" t="str">
        <x:v>Clefable</x:v>
      </x:c>
      <x:c r="C198" s="1" t="str">
        <x:v>Strange Pheromone</x:v>
      </x:c>
      <x:c r="D198" s="1" t="n">
        <x:v>1</x:v>
      </x:c>
      <x:c r="E198" s="1" t="n">
        <x:v>1</x:v>
      </x:c>
      <x:c r="F198" s="13" t="n">
        <x:v>0</x:v>
      </x:c>
      <x:c r="G198" s="9" t="str">
        <x:v>https://poke.idleworld.online/pokepedia/pokemon/clefable</x:v>
      </x:c>
    </x:row>
    <x:row r="199" ht="22" customHeight="1">
      <x:c r="A199" s="1" t="n">
        <x:v>36</x:v>
      </x:c>
      <x:c r="B199" s="1" t="str">
        <x:v>Clefable</x:v>
      </x:c>
      <x:c r="C199" s="1" t="str">
        <x:v>Rubber Ball</x:v>
      </x:c>
      <x:c r="D199" s="1" t="n">
        <x:v>1</x:v>
      </x:c>
      <x:c r="E199" s="1" t="n">
        <x:v>33</x:v>
      </x:c>
      <x:c r="F199" s="13" t="n">
        <x:v>0.8135922</x:v>
      </x:c>
      <x:c r="G199" s="9" t="str">
        <x:v>https://poke.idleworld.online/pokepedia/pokemon/clefable</x:v>
      </x:c>
    </x:row>
    <x:row r="200" ht="22" customHeight="1">
      <x:c r="A200" s="1" t="n">
        <x:v>36</x:v>
      </x:c>
      <x:c r="B200" s="1" t="str">
        <x:v>Clefable</x:v>
      </x:c>
      <x:c r="C200" s="1" t="str">
        <x:v>Comb</x:v>
      </x:c>
      <x:c r="D200" s="1" t="n">
        <x:v>1</x:v>
      </x:c>
      <x:c r="E200" s="1" t="n">
        <x:v>1</x:v>
      </x:c>
      <x:c r="F200" s="13" t="n">
        <x:v>0.4550692</x:v>
      </x:c>
      <x:c r="G200" s="9" t="str">
        <x:v>https://poke.idleworld.online/pokepedia/pokemon/clefable</x:v>
      </x:c>
    </x:row>
    <x:row r="201" ht="22" customHeight="1">
      <x:c r="A201" s="1" t="n">
        <x:v>36</x:v>
      </x:c>
      <x:c r="B201" s="1" t="str">
        <x:v>Clefable</x:v>
      </x:c>
      <x:c r="C201" s="1" t="str">
        <x:v>Topknot</x:v>
      </x:c>
      <x:c r="D201" s="1" t="n">
        <x:v>1</x:v>
      </x:c>
      <x:c r="E201" s="1" t="n">
        <x:v>1</x:v>
      </x:c>
      <x:c r="F201" s="13" t="n">
        <x:v>0.09784799999999999</x:v>
      </x:c>
      <x:c r="G201" s="9" t="str">
        <x:v>https://poke.idleworld.online/pokepedia/pokemon/clefable</x:v>
      </x:c>
    </x:row>
    <x:row r="202" ht="22" customHeight="1">
      <x:c r="A202" s="1" t="n">
        <x:v>36</x:v>
      </x:c>
      <x:c r="B202" s="1" t="str">
        <x:v>Clefable</x:v>
      </x:c>
      <x:c r="C202" s="1" t="str">
        <x:v>Heart Stone</x:v>
      </x:c>
      <x:c r="D202" s="1" t="n">
        <x:v>1</x:v>
      </x:c>
      <x:c r="E202" s="1" t="n">
        <x:v>1</x:v>
      </x:c>
      <x:c r="F202" s="13" t="n">
        <x:v>0.00629</x:v>
      </x:c>
      <x:c r="G202" s="9" t="str">
        <x:v>https://poke.idleworld.online/pokepedia/pokemon/clefable</x:v>
      </x:c>
    </x:row>
    <x:row r="203" ht="22" customHeight="1">
      <x:c r="A203" s="1" t="n">
        <x:v>37</x:v>
      </x:c>
      <x:c r="B203" s="1" t="str">
        <x:v>Vulpix</x:v>
      </x:c>
      <x:c r="C203" s="1" t="str">
        <x:v>Strange Pheromone</x:v>
      </x:c>
      <x:c r="D203" s="1" t="n">
        <x:v>1</x:v>
      </x:c>
      <x:c r="E203" s="1" t="n">
        <x:v>1</x:v>
      </x:c>
      <x:c r="F203" s="13" t="n">
        <x:v>0</x:v>
      </x:c>
      <x:c r="G203" s="9" t="str">
        <x:v>https://poke.idleworld.online/pokepedia/pokemon/vulpix</x:v>
      </x:c>
    </x:row>
    <x:row r="204" ht="22" customHeight="1">
      <x:c r="A204" s="1" t="n">
        <x:v>37</x:v>
      </x:c>
      <x:c r="B204" s="1" t="str">
        <x:v>Vulpix</x:v>
      </x:c>
      <x:c r="C204" s="1" t="str">
        <x:v>Essence of Fire</x:v>
      </x:c>
      <x:c r="D204" s="1" t="n">
        <x:v>1</x:v>
      </x:c>
      <x:c r="E204" s="1" t="n">
        <x:v>8</x:v>
      </x:c>
      <x:c r="F204" s="13" t="n">
        <x:v>0.7051058</x:v>
      </x:c>
      <x:c r="G204" s="9" t="str">
        <x:v>https://poke.idleworld.online/pokepedia/pokemon/vulpix</x:v>
      </x:c>
    </x:row>
    <x:row r="205" ht="22" customHeight="1">
      <x:c r="A205" s="1" t="n">
        <x:v>37</x:v>
      </x:c>
      <x:c r="B205" s="1" t="str">
        <x:v>Vulpix</x:v>
      </x:c>
      <x:c r="C205" s="1" t="str">
        <x:v>Comb</x:v>
      </x:c>
      <x:c r="D205" s="1" t="n">
        <x:v>1</x:v>
      </x:c>
      <x:c r="E205" s="1" t="n">
        <x:v>1</x:v>
      </x:c>
      <x:c r="F205" s="13" t="n">
        <x:v>0.0876401</x:v>
      </x:c>
      <x:c r="G205" s="9" t="str">
        <x:v>https://poke.idleworld.online/pokepedia/pokemon/vulpix</x:v>
      </x:c>
    </x:row>
    <x:row r="206" ht="22" customHeight="1">
      <x:c r="A206" s="1" t="n">
        <x:v>37</x:v>
      </x:c>
      <x:c r="B206" s="1" t="str">
        <x:v>Vulpix</x:v>
      </x:c>
      <x:c r="C206" s="1" t="str">
        <x:v>Fur</x:v>
      </x:c>
      <x:c r="D206" s="1" t="n">
        <x:v>1</x:v>
      </x:c>
      <x:c r="E206" s="1" t="n">
        <x:v>1</x:v>
      </x:c>
      <x:c r="F206" s="13" t="n">
        <x:v>0.0788872</x:v>
      </x:c>
      <x:c r="G206" s="9" t="str">
        <x:v>https://poke.idleworld.online/pokepedia/pokemon/vulpix</x:v>
      </x:c>
    </x:row>
    <x:row r="207" ht="22" customHeight="1">
      <x:c r="A207" s="1" t="n">
        <x:v>37</x:v>
      </x:c>
      <x:c r="B207" s="1" t="str">
        <x:v>Vulpix</x:v>
      </x:c>
      <x:c r="C207" s="1" t="str">
        <x:v>Fox Tail</x:v>
      </x:c>
      <x:c r="D207" s="1" t="n">
        <x:v>1</x:v>
      </x:c>
      <x:c r="E207" s="1" t="n">
        <x:v>1</x:v>
      </x:c>
      <x:c r="F207" s="13" t="n">
        <x:v>0.0087621</x:v>
      </x:c>
      <x:c r="G207" s="9" t="str">
        <x:v>https://poke.idleworld.online/pokepedia/pokemon/vulpix</x:v>
      </x:c>
    </x:row>
    <x:row r="208" ht="22" customHeight="1">
      <x:c r="A208" s="1" t="n">
        <x:v>38</x:v>
      </x:c>
      <x:c r="B208" s="1" t="str">
        <x:v>Ninetales</x:v>
      </x:c>
      <x:c r="C208" s="1" t="str">
        <x:v>Strange Pheromone</x:v>
      </x:c>
      <x:c r="D208" s="1" t="n">
        <x:v>1</x:v>
      </x:c>
      <x:c r="E208" s="1" t="n">
        <x:v>1</x:v>
      </x:c>
      <x:c r="F208" s="13" t="n">
        <x:v>0</x:v>
      </x:c>
      <x:c r="G208" s="9" t="str">
        <x:v>https://poke.idleworld.online/pokepedia/pokemon/ninetales</x:v>
      </x:c>
    </x:row>
    <x:row r="209" ht="22" customHeight="1">
      <x:c r="A209" s="1" t="n">
        <x:v>38</x:v>
      </x:c>
      <x:c r="B209" s="1" t="str">
        <x:v>Ninetales</x:v>
      </x:c>
      <x:c r="C209" s="1" t="str">
        <x:v>Essence of Fire</x:v>
      </x:c>
      <x:c r="D209" s="1" t="n">
        <x:v>1</x:v>
      </x:c>
      <x:c r="E209" s="1" t="n">
        <x:v>33</x:v>
      </x:c>
      <x:c r="F209" s="13" t="n">
        <x:v>0.919205</x:v>
      </x:c>
      <x:c r="G209" s="9" t="str">
        <x:v>https://poke.idleworld.online/pokepedia/pokemon/ninetales</x:v>
      </x:c>
    </x:row>
    <x:row r="210" ht="22" customHeight="1">
      <x:c r="A210" s="1" t="n">
        <x:v>38</x:v>
      </x:c>
      <x:c r="B210" s="1" t="str">
        <x:v>Ninetales</x:v>
      </x:c>
      <x:c r="C210" s="1" t="str">
        <x:v>Fur</x:v>
      </x:c>
      <x:c r="D210" s="1" t="n">
        <x:v>1</x:v>
      </x:c>
      <x:c r="E210" s="1" t="n">
        <x:v>1</x:v>
      </x:c>
      <x:c r="F210" s="13" t="n">
        <x:v>0.1411531</x:v>
      </x:c>
      <x:c r="G210" s="9" t="str">
        <x:v>https://poke.idleworld.online/pokepedia/pokemon/ninetales</x:v>
      </x:c>
    </x:row>
    <x:row r="211" ht="22" customHeight="1">
      <x:c r="A211" s="1" t="n">
        <x:v>38</x:v>
      </x:c>
      <x:c r="B211" s="1" t="str">
        <x:v>Ninetales</x:v>
      </x:c>
      <x:c r="C211" s="1" t="str">
        <x:v>Comb</x:v>
      </x:c>
      <x:c r="D211" s="1" t="n">
        <x:v>1</x:v>
      </x:c>
      <x:c r="E211" s="1" t="n">
        <x:v>1</x:v>
      </x:c>
      <x:c r="F211" s="13" t="n">
        <x:v>0.1303065</x:v>
      </x:c>
      <x:c r="G211" s="9" t="str">
        <x:v>https://poke.idleworld.online/pokepedia/pokemon/ninetales</x:v>
      </x:c>
    </x:row>
    <x:row r="212" ht="22" customHeight="1">
      <x:c r="A212" s="1" t="n">
        <x:v>38</x:v>
      </x:c>
      <x:c r="B212" s="1" t="str">
        <x:v>Ninetales</x:v>
      </x:c>
      <x:c r="C212" s="1" t="str">
        <x:v>Fox Tail</x:v>
      </x:c>
      <x:c r="D212" s="1" t="n">
        <x:v>1</x:v>
      </x:c>
      <x:c r="E212" s="1" t="n">
        <x:v>1</x:v>
      </x:c>
      <x:c r="F212" s="13" t="n">
        <x:v>0.0781937</x:v>
      </x:c>
      <x:c r="G212" s="9" t="str">
        <x:v>https://poke.idleworld.online/pokepedia/pokemon/ninetales</x:v>
      </x:c>
    </x:row>
    <x:row r="213" ht="22" customHeight="1">
      <x:c r="A213" s="1" t="n">
        <x:v>38</x:v>
      </x:c>
      <x:c r="B213" s="1" t="str">
        <x:v>Ninetales</x:v>
      </x:c>
      <x:c r="C213" s="1" t="str">
        <x:v>Fire Stone</x:v>
      </x:c>
      <x:c r="D213" s="1" t="n">
        <x:v>1</x:v>
      </x:c>
      <x:c r="E213" s="1" t="n">
        <x:v>1</x:v>
      </x:c>
      <x:c r="F213" s="13" t="n">
        <x:v>0.00531</x:v>
      </x:c>
      <x:c r="G213" s="9" t="str">
        <x:v>https://poke.idleworld.online/pokepedia/pokemon/ninetales</x:v>
      </x:c>
    </x:row>
    <x:row r="214" ht="22" customHeight="1">
      <x:c r="A214" s="1" t="n">
        <x:v>39</x:v>
      </x:c>
      <x:c r="B214" s="1" t="str">
        <x:v>Jigglypuff</x:v>
      </x:c>
      <x:c r="C214" s="1" t="str">
        <x:v>Strange Pheromone</x:v>
      </x:c>
      <x:c r="D214" s="1" t="n">
        <x:v>1</x:v>
      </x:c>
      <x:c r="E214" s="1" t="n">
        <x:v>1</x:v>
      </x:c>
      <x:c r="F214" s="13" t="n">
        <x:v>0</x:v>
      </x:c>
      <x:c r="G214" s="9" t="str">
        <x:v>https://poke.idleworld.online/pokepedia/pokemon/jigglypuff</x:v>
      </x:c>
    </x:row>
    <x:row r="215" ht="22" customHeight="1">
      <x:c r="A215" s="1" t="n">
        <x:v>39</x:v>
      </x:c>
      <x:c r="B215" s="1" t="str">
        <x:v>Jigglypuff</x:v>
      </x:c>
      <x:c r="C215" s="1" t="str">
        <x:v>Rubber Ball</x:v>
      </x:c>
      <x:c r="D215" s="1" t="n">
        <x:v>1</x:v>
      </x:c>
      <x:c r="E215" s="1" t="n">
        <x:v>20</x:v>
      </x:c>
      <x:c r="F215" s="13" t="n">
        <x:v>0.6848997</x:v>
      </x:c>
      <x:c r="G215" s="9" t="str">
        <x:v>https://poke.idleworld.online/pokepedia/pokemon/jigglypuff</x:v>
      </x:c>
    </x:row>
    <x:row r="216" ht="22" customHeight="1">
      <x:c r="A216" s="1" t="n">
        <x:v>39</x:v>
      </x:c>
      <x:c r="B216" s="1" t="str">
        <x:v>Jigglypuff</x:v>
      </x:c>
      <x:c r="C216" s="1" t="str">
        <x:v>Comb</x:v>
      </x:c>
      <x:c r="D216" s="1" t="n">
        <x:v>1</x:v>
      </x:c>
      <x:c r="E216" s="1" t="n">
        <x:v>1</x:v>
      </x:c>
      <x:c r="F216" s="13" t="n">
        <x:v>0.16094219999999998</x:v>
      </x:c>
      <x:c r="G216" s="9" t="str">
        <x:v>https://poke.idleworld.online/pokepedia/pokemon/jigglypuff</x:v>
      </x:c>
    </x:row>
    <x:row r="217" ht="22" customHeight="1">
      <x:c r="A217" s="1" t="n">
        <x:v>39</x:v>
      </x:c>
      <x:c r="B217" s="1" t="str">
        <x:v>Jigglypuff</x:v>
      </x:c>
      <x:c r="C217" s="1" t="str">
        <x:v>Heart Stone</x:v>
      </x:c>
      <x:c r="D217" s="1" t="n">
        <x:v>1</x:v>
      </x:c>
      <x:c r="E217" s="1" t="n">
        <x:v>1</x:v>
      </x:c>
      <x:c r="F217" s="13" t="n">
        <x:v>0.002077</x:v>
      </x:c>
      <x:c r="G217" s="9" t="str">
        <x:v>https://poke.idleworld.online/pokepedia/pokemon/jigglypuff</x:v>
      </x:c>
    </x:row>
    <x:row r="218" ht="22" customHeight="1">
      <x:c r="A218" s="1" t="n">
        <x:v>39</x:v>
      </x:c>
      <x:c r="B218" s="1" t="str">
        <x:v>Jigglypuff</x:v>
      </x:c>
      <x:c r="C218" s="1" t="str">
        <x:v>Microphone</x:v>
      </x:c>
      <x:c r="D218" s="1" t="n">
        <x:v>1</x:v>
      </x:c>
      <x:c r="E218" s="1" t="n">
        <x:v>1</x:v>
      </x:c>
      <x:c r="F218" s="13" t="n">
        <x:v>0.0064380999999999996</x:v>
      </x:c>
      <x:c r="G218" s="9" t="str">
        <x:v>https://poke.idleworld.online/pokepedia/pokemon/jigglypuff</x:v>
      </x:c>
    </x:row>
    <x:row r="219" ht="22" customHeight="1">
      <x:c r="A219" s="1" t="n">
        <x:v>40</x:v>
      </x:c>
      <x:c r="B219" s="1" t="str">
        <x:v>Wigglytuff</x:v>
      </x:c>
      <x:c r="C219" s="1" t="str">
        <x:v>Strange Pheromone</x:v>
      </x:c>
      <x:c r="D219" s="1" t="n">
        <x:v>1</x:v>
      </x:c>
      <x:c r="E219" s="1" t="n">
        <x:v>1</x:v>
      </x:c>
      <x:c r="F219" s="13" t="n">
        <x:v>0</x:v>
      </x:c>
      <x:c r="G219" s="9" t="str">
        <x:v>https://poke.idleworld.online/pokepedia/pokemon/wigglytuff</x:v>
      </x:c>
    </x:row>
    <x:row r="220" ht="22" customHeight="1">
      <x:c r="A220" s="1" t="n">
        <x:v>40</x:v>
      </x:c>
      <x:c r="B220" s="1" t="str">
        <x:v>Wigglytuff</x:v>
      </x:c>
      <x:c r="C220" s="1" t="str">
        <x:v>Rubber Ball</x:v>
      </x:c>
      <x:c r="D220" s="1" t="n">
        <x:v>1</x:v>
      </x:c>
      <x:c r="E220" s="1" t="n">
        <x:v>33</x:v>
      </x:c>
      <x:c r="F220" s="13" t="n">
        <x:v>0.95</x:v>
      </x:c>
      <x:c r="G220" s="9" t="str">
        <x:v>https://poke.idleworld.online/pokepedia/pokemon/wigglytuff</x:v>
      </x:c>
    </x:row>
    <x:row r="221" ht="22" customHeight="1">
      <x:c r="A221" s="1" t="n">
        <x:v>40</x:v>
      </x:c>
      <x:c r="B221" s="1" t="str">
        <x:v>Wigglytuff</x:v>
      </x:c>
      <x:c r="C221" s="1" t="str">
        <x:v>Comb</x:v>
      </x:c>
      <x:c r="D221" s="1" t="n">
        <x:v>1</x:v>
      </x:c>
      <x:c r="E221" s="1" t="n">
        <x:v>1</x:v>
      </x:c>
      <x:c r="F221" s="13" t="n">
        <x:v>0.4965711</x:v>
      </x:c>
      <x:c r="G221" s="9" t="str">
        <x:v>https://poke.idleworld.online/pokepedia/pokemon/wigglytuff</x:v>
      </x:c>
    </x:row>
    <x:row r="222" ht="22" customHeight="1">
      <x:c r="A222" s="1" t="n">
        <x:v>40</x:v>
      </x:c>
      <x:c r="B222" s="1" t="str">
        <x:v>Wigglytuff</x:v>
      </x:c>
      <x:c r="C222" s="1" t="str">
        <x:v>Microphone</x:v>
      </x:c>
      <x:c r="D222" s="1" t="n">
        <x:v>1</x:v>
      </x:c>
      <x:c r="E222" s="1" t="n">
        <x:v>1</x:v>
      </x:c>
      <x:c r="F222" s="13" t="n">
        <x:v>0.0993092</x:v>
      </x:c>
      <x:c r="G222" s="9" t="str">
        <x:v>https://poke.idleworld.online/pokepedia/pokemon/wigglytuff</x:v>
      </x:c>
    </x:row>
    <x:row r="223" ht="22" customHeight="1">
      <x:c r="A223" s="1" t="n">
        <x:v>40</x:v>
      </x:c>
      <x:c r="B223" s="1" t="str">
        <x:v>Wigglytuff</x:v>
      </x:c>
      <x:c r="C223" s="1" t="str">
        <x:v>Heart Stone</x:v>
      </x:c>
      <x:c r="D223" s="1" t="n">
        <x:v>1</x:v>
      </x:c>
      <x:c r="E223" s="1" t="n">
        <x:v>1</x:v>
      </x:c>
      <x:c r="F223" s="13" t="n">
        <x:v>0.00526</x:v>
      </x:c>
      <x:c r="G223" s="9" t="str">
        <x:v>https://poke.idleworld.online/pokepedia/pokemon/wigglytuff</x:v>
      </x:c>
    </x:row>
    <x:row r="224" ht="22" customHeight="1">
      <x:c r="A224" s="1" t="n">
        <x:v>41</x:v>
      </x:c>
      <x:c r="B224" s="1" t="str">
        <x:v>Zubat</x:v>
      </x:c>
      <x:c r="C224" s="1" t="str">
        <x:v>Strange Pheromone</x:v>
      </x:c>
      <x:c r="D224" s="1" t="n">
        <x:v>1</x:v>
      </x:c>
      <x:c r="E224" s="1" t="n">
        <x:v>1</x:v>
      </x:c>
      <x:c r="F224" s="13" t="n">
        <x:v>0</x:v>
      </x:c>
      <x:c r="G224" s="9" t="str">
        <x:v>https://poke.idleworld.online/pokepedia/pokemon/zubat</x:v>
      </x:c>
    </x:row>
    <x:row r="225" ht="22" customHeight="1">
      <x:c r="A225" s="1" t="n">
        <x:v>41</x:v>
      </x:c>
      <x:c r="B225" s="1" t="str">
        <x:v>Zubat</x:v>
      </x:c>
      <x:c r="C225" s="1" t="str">
        <x:v>Bottles of Poison</x:v>
      </x:c>
      <x:c r="D225" s="1" t="n">
        <x:v>1</x:v>
      </x:c>
      <x:c r="E225" s="1" t="n">
        <x:v>4</x:v>
      </x:c>
      <x:c r="F225" s="13" t="n">
        <x:v>0.95</x:v>
      </x:c>
      <x:c r="G225" s="9" t="str">
        <x:v>https://poke.idleworld.online/pokepedia/pokemon/zubat</x:v>
      </x:c>
    </x:row>
    <x:row r="226" ht="22" customHeight="1">
      <x:c r="A226" s="1" t="n">
        <x:v>41</x:v>
      </x:c>
      <x:c r="B226" s="1" t="str">
        <x:v>Zubat</x:v>
      </x:c>
      <x:c r="C226" s="1" t="str">
        <x:v>Straw</x:v>
      </x:c>
      <x:c r="D226" s="1" t="n">
        <x:v>1</x:v>
      </x:c>
      <x:c r="E226" s="1" t="n">
        <x:v>4</x:v>
      </x:c>
      <x:c r="F226" s="13" t="n">
        <x:v>0.95</x:v>
      </x:c>
      <x:c r="G226" s="9" t="str">
        <x:v>https://poke.idleworld.online/pokepedia/pokemon/zubat</x:v>
      </x:c>
    </x:row>
    <x:row r="227" ht="22" customHeight="1">
      <x:c r="A227" s="1" t="n">
        <x:v>41</x:v>
      </x:c>
      <x:c r="B227" s="1" t="str">
        <x:v>Zubat</x:v>
      </x:c>
      <x:c r="C227" s="1" t="str">
        <x:v>Tooth</x:v>
      </x:c>
      <x:c r="D227" s="1" t="n">
        <x:v>1</x:v>
      </x:c>
      <x:c r="E227" s="1" t="n">
        <x:v>2</x:v>
      </x:c>
      <x:c r="F227" s="13" t="n">
        <x:v>0.6468838</x:v>
      </x:c>
      <x:c r="G227" s="9" t="str">
        <x:v>https://poke.idleworld.online/pokepedia/pokemon/zubat</x:v>
      </x:c>
    </x:row>
    <x:row r="228" ht="22" customHeight="1">
      <x:c r="A228" s="1" t="n">
        <x:v>41</x:v>
      </x:c>
      <x:c r="B228" s="1" t="str">
        <x:v>Zubat</x:v>
      </x:c>
      <x:c r="C228" s="1" t="str">
        <x:v>Bat Wing</x:v>
      </x:c>
      <x:c r="D228" s="1" t="n">
        <x:v>1</x:v>
      </x:c>
      <x:c r="E228" s="1" t="n">
        <x:v>1</x:v>
      </x:c>
      <x:c r="F228" s="13" t="n">
        <x:v>0.0549034</x:v>
      </x:c>
      <x:c r="G228" s="9" t="str">
        <x:v>https://poke.idleworld.online/pokepedia/pokemon/zubat</x:v>
      </x:c>
    </x:row>
    <x:row r="229" ht="22" customHeight="1">
      <x:c r="A229" s="1" t="n">
        <x:v>42</x:v>
      </x:c>
      <x:c r="B229" s="1" t="str">
        <x:v>Golbat</x:v>
      </x:c>
      <x:c r="C229" s="1" t="str">
        <x:v>Strange Pheromone</x:v>
      </x:c>
      <x:c r="D229" s="1" t="n">
        <x:v>1</x:v>
      </x:c>
      <x:c r="E229" s="1" t="n">
        <x:v>1</x:v>
      </x:c>
      <x:c r="F229" s="13" t="n">
        <x:v>0</x:v>
      </x:c>
      <x:c r="G229" s="9" t="str">
        <x:v>https://poke.idleworld.online/pokepedia/pokemon/golbat</x:v>
      </x:c>
    </x:row>
    <x:row r="230" ht="22" customHeight="1">
      <x:c r="A230" s="1" t="n">
        <x:v>42</x:v>
      </x:c>
      <x:c r="B230" s="1" t="str">
        <x:v>Golbat</x:v>
      </x:c>
      <x:c r="C230" s="1" t="str">
        <x:v>Straw</x:v>
      </x:c>
      <x:c r="D230" s="1" t="n">
        <x:v>1</x:v>
      </x:c>
      <x:c r="E230" s="1" t="n">
        <x:v>9</x:v>
      </x:c>
      <x:c r="F230" s="13" t="n">
        <x:v>0.95</x:v>
      </x:c>
      <x:c r="G230" s="9" t="str">
        <x:v>https://poke.idleworld.online/pokepedia/pokemon/golbat</x:v>
      </x:c>
    </x:row>
    <x:row r="231" ht="22" customHeight="1">
      <x:c r="A231" s="1" t="n">
        <x:v>42</x:v>
      </x:c>
      <x:c r="B231" s="1" t="str">
        <x:v>Golbat</x:v>
      </x:c>
      <x:c r="C231" s="1" t="str">
        <x:v>Bottles of Poison</x:v>
      </x:c>
      <x:c r="D231" s="1" t="n">
        <x:v>1</x:v>
      </x:c>
      <x:c r="E231" s="1" t="n">
        <x:v>9</x:v>
      </x:c>
      <x:c r="F231" s="13" t="n">
        <x:v>0.95</x:v>
      </x:c>
      <x:c r="G231" s="9" t="str">
        <x:v>https://poke.idleworld.online/pokepedia/pokemon/golbat</x:v>
      </x:c>
    </x:row>
    <x:row r="232" ht="22" customHeight="1">
      <x:c r="A232" s="1" t="n">
        <x:v>42</x:v>
      </x:c>
      <x:c r="B232" s="1" t="str">
        <x:v>Golbat</x:v>
      </x:c>
      <x:c r="C232" s="1" t="str">
        <x:v>Tooth</x:v>
      </x:c>
      <x:c r="D232" s="1" t="n">
        <x:v>1</x:v>
      </x:c>
      <x:c r="E232" s="1" t="n">
        <x:v>1</x:v>
      </x:c>
      <x:c r="F232" s="13" t="n">
        <x:v>0.8968252999999999</x:v>
      </x:c>
      <x:c r="G232" s="9" t="str">
        <x:v>https://poke.idleworld.online/pokepedia/pokemon/golbat</x:v>
      </x:c>
    </x:row>
    <x:row r="233" ht="22" customHeight="1">
      <x:c r="A233" s="1" t="n">
        <x:v>42</x:v>
      </x:c>
      <x:c r="B233" s="1" t="str">
        <x:v>Golbat</x:v>
      </x:c>
      <x:c r="C233" s="1" t="str">
        <x:v>Bat Wing</x:v>
      </x:c>
      <x:c r="D233" s="1" t="n">
        <x:v>1</x:v>
      </x:c>
      <x:c r="E233" s="1" t="n">
        <x:v>1</x:v>
      </x:c>
      <x:c r="F233" s="13" t="n">
        <x:v>0.1512857</x:v>
      </x:c>
      <x:c r="G233" s="9" t="str">
        <x:v>https://poke.idleworld.online/pokepedia/pokemon/golbat</x:v>
      </x:c>
    </x:row>
    <x:row r="234" ht="22" customHeight="1">
      <x:c r="A234" s="1" t="n">
        <x:v>42</x:v>
      </x:c>
      <x:c r="B234" s="1" t="str">
        <x:v>Golbat</x:v>
      </x:c>
      <x:c r="C234" s="1" t="str">
        <x:v>Venom Stone</x:v>
      </x:c>
      <x:c r="D234" s="1" t="n">
        <x:v>1</x:v>
      </x:c>
      <x:c r="E234" s="1" t="n">
        <x:v>1</x:v>
      </x:c>
      <x:c r="F234" s="13" t="n">
        <x:v>0.0024407</x:v>
      </x:c>
      <x:c r="G234" s="9" t="str">
        <x:v>https://poke.idleworld.online/pokepedia/pokemon/golbat</x:v>
      </x:c>
    </x:row>
    <x:row r="235" ht="22" customHeight="1">
      <x:c r="A235" s="1" t="n">
        <x:v>43</x:v>
      </x:c>
      <x:c r="B235" s="1" t="str">
        <x:v>Oddish</x:v>
      </x:c>
      <x:c r="C235" s="1" t="str">
        <x:v>Strange Pheromone</x:v>
      </x:c>
      <x:c r="D235" s="1" t="n">
        <x:v>1</x:v>
      </x:c>
      <x:c r="E235" s="1" t="n">
        <x:v>1</x:v>
      </x:c>
      <x:c r="F235" s="13" t="n">
        <x:v>0</x:v>
      </x:c>
      <x:c r="G235" s="9" t="str">
        <x:v>https://poke.idleworld.online/pokepedia/pokemon/oddish</x:v>
      </x:c>
    </x:row>
    <x:row r="236" ht="22" customHeight="1">
      <x:c r="A236" s="1" t="n">
        <x:v>43</x:v>
      </x:c>
      <x:c r="B236" s="1" t="str">
        <x:v>Oddish</x:v>
      </x:c>
      <x:c r="C236" s="1" t="str">
        <x:v>Seed</x:v>
      </x:c>
      <x:c r="D236" s="1" t="n">
        <x:v>1</x:v>
      </x:c>
      <x:c r="E236" s="1" t="n">
        <x:v>3</x:v>
      </x:c>
      <x:c r="F236" s="13" t="n">
        <x:v>0.95</x:v>
      </x:c>
      <x:c r="G236" s="9" t="str">
        <x:v>https://poke.idleworld.online/pokepedia/pokemon/oddish</x:v>
      </x:c>
    </x:row>
    <x:row r="237" ht="22" customHeight="1">
      <x:c r="A237" s="1" t="n">
        <x:v>43</x:v>
      </x:c>
      <x:c r="B237" s="1" t="str">
        <x:v>Oddish</x:v>
      </x:c>
      <x:c r="C237" s="1" t="str">
        <x:v>Bottles of Poison</x:v>
      </x:c>
      <x:c r="D237" s="1" t="n">
        <x:v>1</x:v>
      </x:c>
      <x:c r="E237" s="1" t="n">
        <x:v>3</x:v>
      </x:c>
      <x:c r="F237" s="13" t="n">
        <x:v>0.95</x:v>
      </x:c>
      <x:c r="G237" s="9" t="str">
        <x:v>https://poke.idleworld.online/pokepedia/pokemon/oddish</x:v>
      </x:c>
    </x:row>
    <x:row r="238" ht="22" customHeight="1">
      <x:c r="A238" s="1" t="n">
        <x:v>43</x:v>
      </x:c>
      <x:c r="B238" s="1" t="str">
        <x:v>Oddish</x:v>
      </x:c>
      <x:c r="C238" s="1" t="str">
        <x:v>Bag of Pollen</x:v>
      </x:c>
      <x:c r="D238" s="1" t="n">
        <x:v>1</x:v>
      </x:c>
      <x:c r="E238" s="1" t="n">
        <x:v>1</x:v>
      </x:c>
      <x:c r="F238" s="13" t="n">
        <x:v>0.1260772</x:v>
      </x:c>
      <x:c r="G238" s="9" t="str">
        <x:v>https://poke.idleworld.online/pokepedia/pokemon/oddish</x:v>
      </x:c>
    </x:row>
    <x:row r="239" ht="22" customHeight="1">
      <x:c r="A239" s="1" t="n">
        <x:v>43</x:v>
      </x:c>
      <x:c r="B239" s="1" t="str">
        <x:v>Oddish</x:v>
      </x:c>
      <x:c r="C239" s="1" t="str">
        <x:v>Strange Flower</x:v>
      </x:c>
      <x:c r="D239" s="1" t="n">
        <x:v>1</x:v>
      </x:c>
      <x:c r="E239" s="1" t="n">
        <x:v>1</x:v>
      </x:c>
      <x:c r="F239" s="13" t="n">
        <x:v>0.0419391</x:v>
      </x:c>
      <x:c r="G239" s="9" t="str">
        <x:v>https://poke.idleworld.online/pokepedia/pokemon/oddish</x:v>
      </x:c>
    </x:row>
    <x:row r="240" ht="22" customHeight="1">
      <x:c r="A240" s="1" t="n">
        <x:v>44</x:v>
      </x:c>
      <x:c r="B240" s="1" t="str">
        <x:v>Gloom</x:v>
      </x:c>
      <x:c r="C240" s="1" t="str">
        <x:v>Strange Pheromone</x:v>
      </x:c>
      <x:c r="D240" s="1" t="n">
        <x:v>1</x:v>
      </x:c>
      <x:c r="E240" s="1" t="n">
        <x:v>1</x:v>
      </x:c>
      <x:c r="F240" s="13" t="n">
        <x:v>0</x:v>
      </x:c>
      <x:c r="G240" s="9" t="str">
        <x:v>https://poke.idleworld.online/pokepedia/pokemon/gloom</x:v>
      </x:c>
    </x:row>
    <x:row r="241" ht="22" customHeight="1">
      <x:c r="A241" s="1" t="n">
        <x:v>44</x:v>
      </x:c>
      <x:c r="B241" s="1" t="str">
        <x:v>Gloom</x:v>
      </x:c>
      <x:c r="C241" s="1" t="str">
        <x:v>Seed</x:v>
      </x:c>
      <x:c r="D241" s="1" t="n">
        <x:v>1</x:v>
      </x:c>
      <x:c r="E241" s="1" t="n">
        <x:v>6</x:v>
      </x:c>
      <x:c r="F241" s="13" t="n">
        <x:v>0.95</x:v>
      </x:c>
      <x:c r="G241" s="9" t="str">
        <x:v>https://poke.idleworld.online/pokepedia/pokemon/gloom</x:v>
      </x:c>
    </x:row>
    <x:row r="242" ht="22" customHeight="1">
      <x:c r="A242" s="1" t="n">
        <x:v>44</x:v>
      </x:c>
      <x:c r="B242" s="1" t="str">
        <x:v>Gloom</x:v>
      </x:c>
      <x:c r="C242" s="1" t="str">
        <x:v>Bottles of Poison</x:v>
      </x:c>
      <x:c r="D242" s="1" t="n">
        <x:v>1</x:v>
      </x:c>
      <x:c r="E242" s="1" t="n">
        <x:v>6</x:v>
      </x:c>
      <x:c r="F242" s="13" t="n">
        <x:v>0.95</x:v>
      </x:c>
      <x:c r="G242" s="9" t="str">
        <x:v>https://poke.idleworld.online/pokepedia/pokemon/gloom</x:v>
      </x:c>
    </x:row>
    <x:row r="243" ht="22" customHeight="1">
      <x:c r="A243" s="1" t="n">
        <x:v>44</x:v>
      </x:c>
      <x:c r="B243" s="1" t="str">
        <x:v>Gloom</x:v>
      </x:c>
      <x:c r="C243" s="1" t="str">
        <x:v>Bag of Pollen</x:v>
      </x:c>
      <x:c r="D243" s="1" t="n">
        <x:v>1</x:v>
      </x:c>
      <x:c r="E243" s="1" t="n">
        <x:v>1</x:v>
      </x:c>
      <x:c r="F243" s="13" t="n">
        <x:v>0.2321574</x:v>
      </x:c>
      <x:c r="G243" s="9" t="str">
        <x:v>https://poke.idleworld.online/pokepedia/pokemon/gloom</x:v>
      </x:c>
    </x:row>
    <x:row r="244" ht="22" customHeight="1">
      <x:c r="A244" s="1" t="n">
        <x:v>44</x:v>
      </x:c>
      <x:c r="B244" s="1" t="str">
        <x:v>Gloom</x:v>
      </x:c>
      <x:c r="C244" s="1" t="str">
        <x:v>Strange Flower</x:v>
      </x:c>
      <x:c r="D244" s="1" t="n">
        <x:v>1</x:v>
      </x:c>
      <x:c r="E244" s="1" t="n">
        <x:v>1</x:v>
      </x:c>
      <x:c r="F244" s="13" t="n">
        <x:v>0.0649383</x:v>
      </x:c>
      <x:c r="G244" s="9" t="str">
        <x:v>https://poke.idleworld.online/pokepedia/pokemon/gloom</x:v>
      </x:c>
    </x:row>
    <x:row r="245" ht="22" customHeight="1">
      <x:c r="A245" s="1" t="n">
        <x:v>44</x:v>
      </x:c>
      <x:c r="B245" s="1" t="str">
        <x:v>Gloom</x:v>
      </x:c>
      <x:c r="C245" s="1" t="str">
        <x:v>Venom Stone</x:v>
      </x:c>
      <x:c r="D245" s="1" t="n">
        <x:v>1</x:v>
      </x:c>
      <x:c r="E245" s="1" t="n">
        <x:v>1</x:v>
      </x:c>
      <x:c r="F245" s="13" t="n">
        <x:v>0.0010003</x:v>
      </x:c>
      <x:c r="G245" s="9" t="str">
        <x:v>https://poke.idleworld.online/pokepedia/pokemon/gloom</x:v>
      </x:c>
    </x:row>
    <x:row r="246" ht="22" customHeight="1">
      <x:c r="A246" s="1" t="n">
        <x:v>44</x:v>
      </x:c>
      <x:c r="B246" s="1" t="str">
        <x:v>Gloom</x:v>
      </x:c>
      <x:c r="C246" s="1" t="str">
        <x:v>Leaf Stone</x:v>
      </x:c>
      <x:c r="D246" s="1" t="n">
        <x:v>1</x:v>
      </x:c>
      <x:c r="E246" s="1" t="n">
        <x:v>1</x:v>
      </x:c>
      <x:c r="F246" s="13" t="n">
        <x:v>0.0010003</x:v>
      </x:c>
      <x:c r="G246" s="9" t="str">
        <x:v>https://poke.idleworld.online/pokepedia/pokemon/gloom</x:v>
      </x:c>
    </x:row>
    <x:row r="247" ht="22" customHeight="1">
      <x:c r="A247" s="1" t="n">
        <x:v>45</x:v>
      </x:c>
      <x:c r="B247" s="1" t="str">
        <x:v>Vileplume</x:v>
      </x:c>
      <x:c r="C247" s="1" t="str">
        <x:v>Strange Pheromone</x:v>
      </x:c>
      <x:c r="D247" s="1" t="n">
        <x:v>1</x:v>
      </x:c>
      <x:c r="E247" s="1" t="n">
        <x:v>1</x:v>
      </x:c>
      <x:c r="F247" s="13" t="n">
        <x:v>0</x:v>
      </x:c>
      <x:c r="G247" s="9" t="str">
        <x:v>https://poke.idleworld.online/pokepedia/pokemon/vileplume</x:v>
      </x:c>
    </x:row>
    <x:row r="248" ht="22" customHeight="1">
      <x:c r="A248" s="1" t="n">
        <x:v>45</x:v>
      </x:c>
      <x:c r="B248" s="1" t="str">
        <x:v>Vileplume</x:v>
      </x:c>
      <x:c r="C248" s="1" t="str">
        <x:v>Bottles of Poison</x:v>
      </x:c>
      <x:c r="D248" s="1" t="n">
        <x:v>1</x:v>
      </x:c>
      <x:c r="E248" s="1" t="n">
        <x:v>13</x:v>
      </x:c>
      <x:c r="F248" s="13" t="n">
        <x:v>0.95</x:v>
      </x:c>
      <x:c r="G248" s="9" t="str">
        <x:v>https://poke.idleworld.online/pokepedia/pokemon/vileplume</x:v>
      </x:c>
    </x:row>
    <x:row r="249" ht="22" customHeight="1">
      <x:c r="A249" s="1" t="n">
        <x:v>45</x:v>
      </x:c>
      <x:c r="B249" s="1" t="str">
        <x:v>Vileplume</x:v>
      </x:c>
      <x:c r="C249" s="1" t="str">
        <x:v>Seed</x:v>
      </x:c>
      <x:c r="D249" s="1" t="n">
        <x:v>1</x:v>
      </x:c>
      <x:c r="E249" s="1" t="n">
        <x:v>13</x:v>
      </x:c>
      <x:c r="F249" s="13" t="n">
        <x:v>0.95</x:v>
      </x:c>
      <x:c r="G249" s="9" t="str">
        <x:v>https://poke.idleworld.online/pokepedia/pokemon/vileplume</x:v>
      </x:c>
    </x:row>
    <x:row r="250" ht="22" customHeight="1">
      <x:c r="A250" s="1" t="n">
        <x:v>45</x:v>
      </x:c>
      <x:c r="B250" s="1" t="str">
        <x:v>Vileplume</x:v>
      </x:c>
      <x:c r="C250" s="1" t="str">
        <x:v>Bag of Pollen</x:v>
      </x:c>
      <x:c r="D250" s="1" t="n">
        <x:v>1</x:v>
      </x:c>
      <x:c r="E250" s="1" t="n">
        <x:v>1</x:v>
      </x:c>
      <x:c r="F250" s="13" t="n">
        <x:v>0.4276372</x:v>
      </x:c>
      <x:c r="G250" s="9" t="str">
        <x:v>https://poke.idleworld.online/pokepedia/pokemon/vileplume</x:v>
      </x:c>
    </x:row>
    <x:row r="251" ht="22" customHeight="1">
      <x:c r="A251" s="1" t="n">
        <x:v>45</x:v>
      </x:c>
      <x:c r="B251" s="1" t="str">
        <x:v>Vileplume</x:v>
      </x:c>
      <x:c r="C251" s="1" t="str">
        <x:v>Strange Flower</x:v>
      </x:c>
      <x:c r="D251" s="1" t="n">
        <x:v>1</x:v>
      </x:c>
      <x:c r="E251" s="1" t="n">
        <x:v>1</x:v>
      </x:c>
      <x:c r="F251" s="13" t="n">
        <x:v>0.12256950000000001</x:v>
      </x:c>
      <x:c r="G251" s="9" t="str">
        <x:v>https://poke.idleworld.online/pokepedia/pokemon/vileplume</x:v>
      </x:c>
    </x:row>
    <x:row r="252" ht="22" customHeight="1">
      <x:c r="A252" s="1" t="n">
        <x:v>45</x:v>
      </x:c>
      <x:c r="B252" s="1" t="str">
        <x:v>Vileplume</x:v>
      </x:c>
      <x:c r="C252" s="1" t="str">
        <x:v>Venom Stone</x:v>
      </x:c>
      <x:c r="D252" s="1" t="n">
        <x:v>1</x:v>
      </x:c>
      <x:c r="E252" s="1" t="n">
        <x:v>1</x:v>
      </x:c>
      <x:c r="F252" s="13" t="n">
        <x:v>0.0019019</x:v>
      </x:c>
      <x:c r="G252" s="9" t="str">
        <x:v>https://poke.idleworld.online/pokepedia/pokemon/vileplume</x:v>
      </x:c>
    </x:row>
    <x:row r="253" ht="22" customHeight="1">
      <x:c r="A253" s="1" t="n">
        <x:v>45</x:v>
      </x:c>
      <x:c r="B253" s="1" t="str">
        <x:v>Vileplume</x:v>
      </x:c>
      <x:c r="C253" s="1" t="str">
        <x:v>Leaf Stone</x:v>
      </x:c>
      <x:c r="D253" s="1" t="n">
        <x:v>1</x:v>
      </x:c>
      <x:c r="E253" s="1" t="n">
        <x:v>1</x:v>
      </x:c>
      <x:c r="F253" s="13" t="n">
        <x:v>0.0019019</x:v>
      </x:c>
      <x:c r="G253" s="9" t="str">
        <x:v>https://poke.idleworld.online/pokepedia/pokemon/vileplume</x:v>
      </x:c>
    </x:row>
    <x:row r="254" ht="22" customHeight="1">
      <x:c r="A254" s="1" t="n">
        <x:v>46</x:v>
      </x:c>
      <x:c r="B254" s="1" t="str">
        <x:v>Paras</x:v>
      </x:c>
      <x:c r="C254" s="1" t="str">
        <x:v>Strange Pheromone</x:v>
      </x:c>
      <x:c r="D254" s="1" t="n">
        <x:v>1</x:v>
      </x:c>
      <x:c r="E254" s="1" t="n">
        <x:v>1</x:v>
      </x:c>
      <x:c r="F254" s="13" t="n">
        <x:v>0</x:v>
      </x:c>
      <x:c r="G254" s="9" t="str">
        <x:v>https://poke.idleworld.online/pokepedia/pokemon/paras</x:v>
      </x:c>
    </x:row>
    <x:row r="255" ht="22" customHeight="1">
      <x:c r="A255" s="1" t="n">
        <x:v>46</x:v>
      </x:c>
      <x:c r="B255" s="1" t="str">
        <x:v>Paras</x:v>
      </x:c>
      <x:c r="C255" s="1" t="str">
        <x:v>Bug Gosme</x:v>
      </x:c>
      <x:c r="D255" s="1" t="n">
        <x:v>1</x:v>
      </x:c>
      <x:c r="E255" s="1" t="n">
        <x:v>1</x:v>
      </x:c>
      <x:c r="F255" s="13" t="n">
        <x:v>0.9005313</x:v>
      </x:c>
      <x:c r="G255" s="9" t="str">
        <x:v>https://poke.idleworld.online/pokepedia/pokemon/paras</x:v>
      </x:c>
    </x:row>
    <x:row r="256" ht="22" customHeight="1">
      <x:c r="A256" s="1" t="n">
        <x:v>46</x:v>
      </x:c>
      <x:c r="B256" s="1" t="str">
        <x:v>Paras</x:v>
      </x:c>
      <x:c r="C256" s="1" t="str">
        <x:v>Seed</x:v>
      </x:c>
      <x:c r="D256" s="1" t="n">
        <x:v>1</x:v>
      </x:c>
      <x:c r="E256" s="1" t="n">
        <x:v>1</x:v>
      </x:c>
      <x:c r="F256" s="13" t="n">
        <x:v>0.9005313</x:v>
      </x:c>
      <x:c r="G256" s="9" t="str">
        <x:v>https://poke.idleworld.online/pokepedia/pokemon/paras</x:v>
      </x:c>
    </x:row>
    <x:row r="257" ht="22" customHeight="1">
      <x:c r="A257" s="1" t="n">
        <x:v>46</x:v>
      </x:c>
      <x:c r="B257" s="1" t="str">
        <x:v>Paras</x:v>
      </x:c>
      <x:c r="C257" s="1" t="str">
        <x:v>Bag of Pollen</x:v>
      </x:c>
      <x:c r="D257" s="1" t="n">
        <x:v>1</x:v>
      </x:c>
      <x:c r="E257" s="1" t="n">
        <x:v>1</x:v>
      </x:c>
      <x:c r="F257" s="13" t="n">
        <x:v>0.0599604</x:v>
      </x:c>
      <x:c r="G257" s="9" t="str">
        <x:v>https://poke.idleworld.online/pokepedia/pokemon/paras</x:v>
      </x:c>
    </x:row>
    <x:row r="258" ht="22" customHeight="1">
      <x:c r="A258" s="1" t="n">
        <x:v>46</x:v>
      </x:c>
      <x:c r="B258" s="1" t="str">
        <x:v>Paras</x:v>
      </x:c>
      <x:c r="C258" s="1" t="str">
        <x:v>Mushroom</x:v>
      </x:c>
      <x:c r="D258" s="1" t="n">
        <x:v>1</x:v>
      </x:c>
      <x:c r="E258" s="1" t="n">
        <x:v>1</x:v>
      </x:c>
      <x:c r="F258" s="13" t="n">
        <x:v>0.055996199999999996</x:v>
      </x:c>
      <x:c r="G258" s="9" t="str">
        <x:v>https://poke.idleworld.online/pokepedia/pokemon/paras</x:v>
      </x:c>
    </x:row>
    <x:row r="259" ht="22" customHeight="1">
      <x:c r="A259" s="1" t="n">
        <x:v>47</x:v>
      </x:c>
      <x:c r="B259" s="1" t="str">
        <x:v>Parasect</x:v>
      </x:c>
      <x:c r="C259" s="1" t="str">
        <x:v>Strange Pheromone</x:v>
      </x:c>
      <x:c r="D259" s="1" t="n">
        <x:v>1</x:v>
      </x:c>
      <x:c r="E259" s="1" t="n">
        <x:v>1</x:v>
      </x:c>
      <x:c r="F259" s="13" t="n">
        <x:v>0</x:v>
      </x:c>
      <x:c r="G259" s="9" t="str">
        <x:v>https://poke.idleworld.online/pokepedia/pokemon/parasect</x:v>
      </x:c>
    </x:row>
    <x:row r="260" ht="22" customHeight="1">
      <x:c r="A260" s="1" t="n">
        <x:v>47</x:v>
      </x:c>
      <x:c r="B260" s="1" t="str">
        <x:v>Parasect</x:v>
      </x:c>
      <x:c r="C260" s="1" t="str">
        <x:v>Seed</x:v>
      </x:c>
      <x:c r="D260" s="1" t="n">
        <x:v>1</x:v>
      </x:c>
      <x:c r="E260" s="1" t="n">
        <x:v>13</x:v>
      </x:c>
      <x:c r="F260" s="13" t="n">
        <x:v>0.9307455</x:v>
      </x:c>
      <x:c r="G260" s="9" t="str">
        <x:v>https://poke.idleworld.online/pokepedia/pokemon/parasect</x:v>
      </x:c>
    </x:row>
    <x:row r="261" ht="22" customHeight="1">
      <x:c r="A261" s="1" t="n">
        <x:v>47</x:v>
      </x:c>
      <x:c r="B261" s="1" t="str">
        <x:v>Parasect</x:v>
      </x:c>
      <x:c r="C261" s="1" t="str">
        <x:v>Bug Gosme</x:v>
      </x:c>
      <x:c r="D261" s="1" t="n">
        <x:v>1</x:v>
      </x:c>
      <x:c r="E261" s="1" t="n">
        <x:v>13</x:v>
      </x:c>
      <x:c r="F261" s="13" t="n">
        <x:v>0.9307455</x:v>
      </x:c>
      <x:c r="G261" s="9" t="str">
        <x:v>https://poke.idleworld.online/pokepedia/pokemon/parasect</x:v>
      </x:c>
    </x:row>
    <x:row r="262" ht="22" customHeight="1">
      <x:c r="A262" s="1" t="n">
        <x:v>47</x:v>
      </x:c>
      <x:c r="B262" s="1" t="str">
        <x:v>Parasect</x:v>
      </x:c>
      <x:c r="C262" s="1" t="str">
        <x:v>Bag of Pollen</x:v>
      </x:c>
      <x:c r="D262" s="1" t="n">
        <x:v>1</x:v>
      </x:c>
      <x:c r="E262" s="1" t="n">
        <x:v>1</x:v>
      </x:c>
      <x:c r="F262" s="13" t="n">
        <x:v>0.2511769</x:v>
      </x:c>
      <x:c r="G262" s="9" t="str">
        <x:v>https://poke.idleworld.online/pokepedia/pokemon/parasect</x:v>
      </x:c>
    </x:row>
    <x:row r="263" ht="22" customHeight="1">
      <x:c r="A263" s="1" t="n">
        <x:v>47</x:v>
      </x:c>
      <x:c r="B263" s="1" t="str">
        <x:v>Parasect</x:v>
      </x:c>
      <x:c r="C263" s="1" t="str">
        <x:v>Mushroom</x:v>
      </x:c>
      <x:c r="D263" s="1" t="n">
        <x:v>1</x:v>
      </x:c>
      <x:c r="E263" s="1" t="n">
        <x:v>1</x:v>
      </x:c>
      <x:c r="F263" s="13" t="n">
        <x:v>0.0719975</x:v>
      </x:c>
      <x:c r="G263" s="9" t="str">
        <x:v>https://poke.idleworld.online/pokepedia/pokemon/parasect</x:v>
      </x:c>
    </x:row>
    <x:row r="264" ht="22" customHeight="1">
      <x:c r="A264" s="1" t="n">
        <x:v>47</x:v>
      </x:c>
      <x:c r="B264" s="1" t="str">
        <x:v>Parasect</x:v>
      </x:c>
      <x:c r="C264" s="1" t="str">
        <x:v>Leaf Stone</x:v>
      </x:c>
      <x:c r="D264" s="1" t="n">
        <x:v>1</x:v>
      </x:c>
      <x:c r="E264" s="1" t="n">
        <x:v>1</x:v>
      </x:c>
      <x:c r="F264" s="13" t="n">
        <x:v>0.0013408</x:v>
      </x:c>
      <x:c r="G264" s="9" t="str">
        <x:v>https://poke.idleworld.online/pokepedia/pokemon/parasect</x:v>
      </x:c>
    </x:row>
    <x:row r="265" ht="22" customHeight="1">
      <x:c r="A265" s="1" t="n">
        <x:v>47</x:v>
      </x:c>
      <x:c r="B265" s="1" t="str">
        <x:v>Parasect</x:v>
      </x:c>
      <x:c r="C265" s="1" t="str">
        <x:v>Cocoon Stone</x:v>
      </x:c>
      <x:c r="D265" s="1" t="n">
        <x:v>1</x:v>
      </x:c>
      <x:c r="E265" s="1" t="n">
        <x:v>1</x:v>
      </x:c>
      <x:c r="F265" s="13" t="n">
        <x:v>0.0013408</x:v>
      </x:c>
      <x:c r="G265" s="9" t="str">
        <x:v>https://poke.idleworld.online/pokepedia/pokemon/parasect</x:v>
      </x:c>
    </x:row>
    <x:row r="266" ht="22" customHeight="1">
      <x:c r="A266" s="1" t="n">
        <x:v>48</x:v>
      </x:c>
      <x:c r="B266" s="1" t="str">
        <x:v>Venonat</x:v>
      </x:c>
      <x:c r="C266" s="1" t="str">
        <x:v>Strange Pheromone</x:v>
      </x:c>
      <x:c r="D266" s="1" t="n">
        <x:v>1</x:v>
      </x:c>
      <x:c r="E266" s="1" t="n">
        <x:v>1</x:v>
      </x:c>
      <x:c r="F266" s="13" t="n">
        <x:v>0</x:v>
      </x:c>
      <x:c r="G266" s="9" t="str">
        <x:v>https://poke.idleworld.online/pokepedia/pokemon/venonat</x:v>
      </x:c>
    </x:row>
    <x:row r="267" ht="22" customHeight="1">
      <x:c r="A267" s="1" t="n">
        <x:v>48</x:v>
      </x:c>
      <x:c r="B267" s="1" t="str">
        <x:v>Venonat</x:v>
      </x:c>
      <x:c r="C267" s="1" t="str">
        <x:v>Bottles of Poison</x:v>
      </x:c>
      <x:c r="D267" s="1" t="n">
        <x:v>1</x:v>
      </x:c>
      <x:c r="E267" s="1" t="n">
        <x:v>5</x:v>
      </x:c>
      <x:c r="F267" s="13" t="n">
        <x:v>0.6509428</x:v>
      </x:c>
      <x:c r="G267" s="9" t="str">
        <x:v>https://poke.idleworld.online/pokepedia/pokemon/venonat</x:v>
      </x:c>
    </x:row>
    <x:row r="268" ht="22" customHeight="1">
      <x:c r="A268" s="1" t="n">
        <x:v>48</x:v>
      </x:c>
      <x:c r="B268" s="1" t="str">
        <x:v>Venonat</x:v>
      </x:c>
      <x:c r="C268" s="1" t="str">
        <x:v>Bug Gosme</x:v>
      </x:c>
      <x:c r="D268" s="1" t="n">
        <x:v>1</x:v>
      </x:c>
      <x:c r="E268" s="1" t="n">
        <x:v>5</x:v>
      </x:c>
      <x:c r="F268" s="13" t="n">
        <x:v>0.6509428</x:v>
      </x:c>
      <x:c r="G268" s="9" t="str">
        <x:v>https://poke.idleworld.online/pokepedia/pokemon/venonat</x:v>
      </x:c>
    </x:row>
    <x:row r="269" ht="22" customHeight="1">
      <x:c r="A269" s="1" t="n">
        <x:v>48</x:v>
      </x:c>
      <x:c r="B269" s="1" t="str">
        <x:v>Venonat</x:v>
      </x:c>
      <x:c r="C269" s="1" t="str">
        <x:v>Bag of Pollen</x:v>
      </x:c>
      <x:c r="D269" s="1" t="n">
        <x:v>1</x:v>
      </x:c>
      <x:c r="E269" s="1" t="n">
        <x:v>1</x:v>
      </x:c>
      <x:c r="F269" s="13" t="n">
        <x:v>0.0797275</x:v>
      </x:c>
      <x:c r="G269" s="9" t="str">
        <x:v>https://poke.idleworld.online/pokepedia/pokemon/venonat</x:v>
      </x:c>
    </x:row>
    <x:row r="270" ht="22" customHeight="1">
      <x:c r="A270" s="1" t="n">
        <x:v>48</x:v>
      </x:c>
      <x:c r="B270" s="1" t="str">
        <x:v>Venonat</x:v>
      </x:c>
      <x:c r="C270" s="1" t="str">
        <x:v>Bug Antenna</x:v>
      </x:c>
      <x:c r="D270" s="1" t="n">
        <x:v>1</x:v>
      </x:c>
      <x:c r="E270" s="1" t="n">
        <x:v>1</x:v>
      </x:c>
      <x:c r="F270" s="13" t="n">
        <x:v>0.0531517</x:v>
      </x:c>
      <x:c r="G270" s="9" t="str">
        <x:v>https://poke.idleworld.online/pokepedia/pokemon/venonat</x:v>
      </x:c>
    </x:row>
    <x:row r="271" ht="22" customHeight="1">
      <x:c r="A271" s="1" t="n">
        <x:v>48</x:v>
      </x:c>
      <x:c r="B271" s="1" t="str">
        <x:v>Venonat</x:v>
      </x:c>
      <x:c r="C271" s="1" t="str">
        <x:v>Bug Venom</x:v>
      </x:c>
      <x:c r="D271" s="1" t="n">
        <x:v>1</x:v>
      </x:c>
      <x:c r="E271" s="1" t="n">
        <x:v>1</x:v>
      </x:c>
      <x:c r="F271" s="13" t="n">
        <x:v>0.019936199999999998</x:v>
      </x:c>
      <x:c r="G271" s="9" t="str">
        <x:v>https://poke.idleworld.online/pokepedia/pokemon/venonat</x:v>
      </x:c>
    </x:row>
    <x:row r="272" ht="22" customHeight="1">
      <x:c r="A272" s="1" t="n">
        <x:v>49</x:v>
      </x:c>
      <x:c r="B272" s="1" t="str">
        <x:v>Venomoth</x:v>
      </x:c>
      <x:c r="C272" s="1" t="str">
        <x:v>Strange Pheromone</x:v>
      </x:c>
      <x:c r="D272" s="1" t="n">
        <x:v>1</x:v>
      </x:c>
      <x:c r="E272" s="1" t="n">
        <x:v>1</x:v>
      </x:c>
      <x:c r="F272" s="13" t="n">
        <x:v>0</x:v>
      </x:c>
      <x:c r="G272" s="9" t="str">
        <x:v>https://poke.idleworld.online/pokepedia/pokemon/venomoth</x:v>
      </x:c>
    </x:row>
    <x:row r="273" ht="22" customHeight="1">
      <x:c r="A273" s="1" t="n">
        <x:v>49</x:v>
      </x:c>
      <x:c r="B273" s="1" t="str">
        <x:v>Venomoth</x:v>
      </x:c>
      <x:c r="C273" s="1" t="str">
        <x:v>Bottles of Poison</x:v>
      </x:c>
      <x:c r="D273" s="1" t="n">
        <x:v>1</x:v>
      </x:c>
      <x:c r="E273" s="1" t="n">
        <x:v>13</x:v>
      </x:c>
      <x:c r="F273" s="13" t="n">
        <x:v>0.8403191999999999</x:v>
      </x:c>
      <x:c r="G273" s="9" t="str">
        <x:v>https://poke.idleworld.online/pokepedia/pokemon/venomoth</x:v>
      </x:c>
    </x:row>
    <x:row r="274" ht="22" customHeight="1">
      <x:c r="A274" s="1" t="n">
        <x:v>49</x:v>
      </x:c>
      <x:c r="B274" s="1" t="str">
        <x:v>Venomoth</x:v>
      </x:c>
      <x:c r="C274" s="1" t="str">
        <x:v>Bug Gosme</x:v>
      </x:c>
      <x:c r="D274" s="1" t="n">
        <x:v>1</x:v>
      </x:c>
      <x:c r="E274" s="1" t="n">
        <x:v>13</x:v>
      </x:c>
      <x:c r="F274" s="13" t="n">
        <x:v>0.8403191999999999</x:v>
      </x:c>
      <x:c r="G274" s="9" t="str">
        <x:v>https://poke.idleworld.online/pokepedia/pokemon/venomoth</x:v>
      </x:c>
    </x:row>
    <x:row r="275" ht="22" customHeight="1">
      <x:c r="A275" s="1" t="n">
        <x:v>49</x:v>
      </x:c>
      <x:c r="B275" s="1" t="str">
        <x:v>Venomoth</x:v>
      </x:c>
      <x:c r="C275" s="1" t="str">
        <x:v>Bag of Pollen</x:v>
      </x:c>
      <x:c r="D275" s="1" t="n">
        <x:v>1</x:v>
      </x:c>
      <x:c r="E275" s="1" t="n">
        <x:v>1</x:v>
      </x:c>
      <x:c r="F275" s="13" t="n">
        <x:v>0.2060911</x:v>
      </x:c>
      <x:c r="G275" s="9" t="str">
        <x:v>https://poke.idleworld.online/pokepedia/pokemon/venomoth</x:v>
      </x:c>
    </x:row>
    <x:row r="276" ht="22" customHeight="1">
      <x:c r="A276" s="1" t="n">
        <x:v>49</x:v>
      </x:c>
      <x:c r="B276" s="1" t="str">
        <x:v>Venomoth</x:v>
      </x:c>
      <x:c r="C276" s="1" t="str">
        <x:v>Bug Venom</x:v>
      </x:c>
      <x:c r="D276" s="1" t="n">
        <x:v>1</x:v>
      </x:c>
      <x:c r="E276" s="1" t="n">
        <x:v>1</x:v>
      </x:c>
      <x:c r="F276" s="13" t="n">
        <x:v>0.05908</x:v>
      </x:c>
      <x:c r="G276" s="9" t="str">
        <x:v>https://poke.idleworld.online/pokepedia/pokemon/venomoth</x:v>
      </x:c>
    </x:row>
    <x:row r="277" ht="22" customHeight="1">
      <x:c r="A277" s="1" t="n">
        <x:v>49</x:v>
      </x:c>
      <x:c r="B277" s="1" t="str">
        <x:v>Venomoth</x:v>
      </x:c>
      <x:c r="C277" s="1" t="str">
        <x:v>Cocoon Stone</x:v>
      </x:c>
      <x:c r="D277" s="1" t="n">
        <x:v>1</x:v>
      </x:c>
      <x:c r="E277" s="1" t="n">
        <x:v>1</x:v>
      </x:c>
      <x:c r="F277" s="13" t="n">
        <x:v>0.0017969</x:v>
      </x:c>
      <x:c r="G277" s="9" t="str">
        <x:v>https://poke.idleworld.online/pokepedia/pokemon/venomoth</x:v>
      </x:c>
    </x:row>
    <x:row r="278" ht="22" customHeight="1">
      <x:c r="A278" s="1" t="n">
        <x:v>49</x:v>
      </x:c>
      <x:c r="B278" s="1" t="str">
        <x:v>Venomoth</x:v>
      </x:c>
      <x:c r="C278" s="1" t="str">
        <x:v>Venom Stone</x:v>
      </x:c>
      <x:c r="D278" s="1" t="n">
        <x:v>1</x:v>
      </x:c>
      <x:c r="E278" s="1" t="n">
        <x:v>1</x:v>
      </x:c>
      <x:c r="F278" s="13" t="n">
        <x:v>0.0017969</x:v>
      </x:c>
      <x:c r="G278" s="9" t="str">
        <x:v>https://poke.idleworld.online/pokepedia/pokemon/venomoth</x:v>
      </x:c>
    </x:row>
    <x:row r="279" ht="22" customHeight="1">
      <x:c r="A279" s="1" t="n">
        <x:v>50</x:v>
      </x:c>
      <x:c r="B279" s="1" t="str">
        <x:v>Diglett</x:v>
      </x:c>
      <x:c r="C279" s="1" t="str">
        <x:v>Strange Pheromone</x:v>
      </x:c>
      <x:c r="D279" s="1" t="n">
        <x:v>1</x:v>
      </x:c>
      <x:c r="E279" s="1" t="n">
        <x:v>1</x:v>
      </x:c>
      <x:c r="F279" s="13" t="n">
        <x:v>0</x:v>
      </x:c>
      <x:c r="G279" s="9" t="str">
        <x:v>https://poke.idleworld.online/pokepedia/pokemon/diglett</x:v>
      </x:c>
    </x:row>
    <x:row r="280" ht="22" customHeight="1">
      <x:c r="A280" s="1" t="n">
        <x:v>50</x:v>
      </x:c>
      <x:c r="B280" s="1" t="str">
        <x:v>Diglett</x:v>
      </x:c>
      <x:c r="C280" s="1" t="str">
        <x:v>Earth Ball</x:v>
      </x:c>
      <x:c r="D280" s="1" t="n">
        <x:v>1</x:v>
      </x:c>
      <x:c r="E280" s="1" t="n">
        <x:v>5</x:v>
      </x:c>
      <x:c r="F280" s="13" t="n">
        <x:v>0.95</x:v>
      </x:c>
      <x:c r="G280" s="9" t="str">
        <x:v>https://poke.idleworld.online/pokepedia/pokemon/diglett</x:v>
      </x:c>
    </x:row>
    <x:row r="281" ht="22" customHeight="1">
      <x:c r="A281" s="1" t="n">
        <x:v>50</x:v>
      </x:c>
      <x:c r="B281" s="1" t="str">
        <x:v>Diglett</x:v>
      </x:c>
      <x:c r="C281" s="1" t="str">
        <x:v>Sandbag</x:v>
      </x:c>
      <x:c r="D281" s="1" t="n">
        <x:v>1</x:v>
      </x:c>
      <x:c r="E281" s="1" t="n">
        <x:v>1</x:v>
      </x:c>
      <x:c r="F281" s="13" t="n">
        <x:v>0.28115080000000003</x:v>
      </x:c>
      <x:c r="G281" s="9" t="str">
        <x:v>https://poke.idleworld.online/pokepedia/pokemon/diglett</x:v>
      </x:c>
    </x:row>
    <x:row r="282" ht="22" customHeight="1">
      <x:c r="A282" s="1" t="n">
        <x:v>50</x:v>
      </x:c>
      <x:c r="B282" s="1" t="str">
        <x:v>Diglett</x:v>
      </x:c>
      <x:c r="C282" s="1" t="str">
        <x:v>Piece of Diglett</x:v>
      </x:c>
      <x:c r="D282" s="1" t="n">
        <x:v>1</x:v>
      </x:c>
      <x:c r="E282" s="1" t="n">
        <x:v>1</x:v>
      </x:c>
      <x:c r="F282" s="13" t="n">
        <x:v>0.0633207</x:v>
      </x:c>
      <x:c r="G282" s="9" t="str">
        <x:v>https://poke.idleworld.online/pokepedia/pokemon/diglett</x:v>
      </x:c>
    </x:row>
    <x:row r="283" ht="22" customHeight="1">
      <x:c r="A283" s="1" t="n">
        <x:v>50</x:v>
      </x:c>
      <x:c r="B283" s="1" t="str">
        <x:v>Diglett</x:v>
      </x:c>
      <x:c r="C283" s="1" t="str">
        <x:v>Earth Stone</x:v>
      </x:c>
      <x:c r="D283" s="1" t="n">
        <x:v>1</x:v>
      </x:c>
      <x:c r="E283" s="1" t="n">
        <x:v>1</x:v>
      </x:c>
      <x:c r="F283" s="13" t="n">
        <x:v>0.0010291</x:v>
      </x:c>
      <x:c r="G283" s="9" t="str">
        <x:v>https://poke.idleworld.online/pokepedia/pokemon/diglett</x:v>
      </x:c>
    </x:row>
    <x:row r="284" ht="22" customHeight="1">
      <x:c r="A284" s="1" t="n">
        <x:v>51</x:v>
      </x:c>
      <x:c r="B284" s="1" t="str">
        <x:v>Dugtrio</x:v>
      </x:c>
      <x:c r="C284" s="1" t="str">
        <x:v>Strange Pheromone</x:v>
      </x:c>
      <x:c r="D284" s="1" t="n">
        <x:v>1</x:v>
      </x:c>
      <x:c r="E284" s="1" t="n">
        <x:v>1</x:v>
      </x:c>
      <x:c r="F284" s="13" t="n">
        <x:v>0</x:v>
      </x:c>
      <x:c r="G284" s="9" t="str">
        <x:v>https://poke.idleworld.online/pokepedia/pokemon/dugtrio</x:v>
      </x:c>
    </x:row>
    <x:row r="285" ht="22" customHeight="1">
      <x:c r="A285" s="1" t="n">
        <x:v>51</x:v>
      </x:c>
      <x:c r="B285" s="1" t="str">
        <x:v>Dugtrio</x:v>
      </x:c>
      <x:c r="C285" s="1" t="str">
        <x:v>Earth Ball</x:v>
      </x:c>
      <x:c r="D285" s="1" t="n">
        <x:v>1</x:v>
      </x:c>
      <x:c r="E285" s="1" t="n">
        <x:v>18</x:v>
      </x:c>
      <x:c r="F285" s="13" t="n">
        <x:v>0.95</x:v>
      </x:c>
      <x:c r="G285" s="9" t="str">
        <x:v>https://poke.idleworld.online/pokepedia/pokemon/dugtrio</x:v>
      </x:c>
    </x:row>
    <x:row r="286" ht="22" customHeight="1">
      <x:c r="A286" s="1" t="n">
        <x:v>51</x:v>
      </x:c>
      <x:c r="B286" s="1" t="str">
        <x:v>Dugtrio</x:v>
      </x:c>
      <x:c r="C286" s="1" t="str">
        <x:v>Sandbag</x:v>
      </x:c>
      <x:c r="D286" s="1" t="n">
        <x:v>1</x:v>
      </x:c>
      <x:c r="E286" s="1" t="n">
        <x:v>1</x:v>
      </x:c>
      <x:c r="F286" s="13" t="n">
        <x:v>0.40040800000000004</x:v>
      </x:c>
      <x:c r="G286" s="9" t="str">
        <x:v>https://poke.idleworld.online/pokepedia/pokemon/dugtrio</x:v>
      </x:c>
    </x:row>
    <x:row r="287" ht="22" customHeight="1">
      <x:c r="A287" s="1" t="n">
        <x:v>51</x:v>
      </x:c>
      <x:c r="B287" s="1" t="str">
        <x:v>Dugtrio</x:v>
      </x:c>
      <x:c r="C287" s="1" t="str">
        <x:v>Piece of Diglett</x:v>
      </x:c>
      <x:c r="D287" s="1" t="n">
        <x:v>1</x:v>
      </x:c>
      <x:c r="E287" s="1" t="n">
        <x:v>1</x:v>
      </x:c>
      <x:c r="F287" s="13" t="n">
        <x:v>0.11108860000000001</x:v>
      </x:c>
      <x:c r="G287" s="9" t="str">
        <x:v>https://poke.idleworld.online/pokepedia/pokemon/dugtrio</x:v>
      </x:c>
    </x:row>
    <x:row r="288" ht="22" customHeight="1">
      <x:c r="A288" s="1" t="n">
        <x:v>51</x:v>
      </x:c>
      <x:c r="B288" s="1" t="str">
        <x:v>Dugtrio</x:v>
      </x:c>
      <x:c r="C288" s="1" t="str">
        <x:v>Earth Stone</x:v>
      </x:c>
      <x:c r="D288" s="1" t="n">
        <x:v>1</x:v>
      </x:c>
      <x:c r="E288" s="1" t="n">
        <x:v>1</x:v>
      </x:c>
      <x:c r="F288" s="13" t="n">
        <x:v>0.0020317</x:v>
      </x:c>
      <x:c r="G288" s="9" t="str">
        <x:v>https://poke.idleworld.online/pokepedia/pokemon/dugtrio</x:v>
      </x:c>
    </x:row>
    <x:row r="289" ht="22" customHeight="1">
      <x:c r="A289" s="1" t="n">
        <x:v>52</x:v>
      </x:c>
      <x:c r="B289" s="1" t="str">
        <x:v>Meowth</x:v>
      </x:c>
      <x:c r="C289" s="1" t="str">
        <x:v>Strange Pheromone</x:v>
      </x:c>
      <x:c r="D289" s="1" t="n">
        <x:v>1</x:v>
      </x:c>
      <x:c r="E289" s="1" t="n">
        <x:v>1</x:v>
      </x:c>
      <x:c r="F289" s="13" t="n">
        <x:v>0</x:v>
      </x:c>
      <x:c r="G289" s="9" t="str">
        <x:v>https://poke.idleworld.online/pokepedia/pokemon/meowth</x:v>
      </x:c>
    </x:row>
    <x:row r="290" ht="22" customHeight="1">
      <x:c r="A290" s="1" t="n">
        <x:v>52</x:v>
      </x:c>
      <x:c r="B290" s="1" t="str">
        <x:v>Meowth</x:v>
      </x:c>
      <x:c r="C290" s="1" t="str">
        <x:v>Rubber Ball</x:v>
      </x:c>
      <x:c r="D290" s="1" t="n">
        <x:v>1</x:v>
      </x:c>
      <x:c r="E290" s="1" t="n">
        <x:v>8</x:v>
      </x:c>
      <x:c r="F290" s="13" t="n">
        <x:v>0.7200858</x:v>
      </x:c>
      <x:c r="G290" s="9" t="str">
        <x:v>https://poke.idleworld.online/pokepedia/pokemon/meowth</x:v>
      </x:c>
    </x:row>
    <x:row r="291" ht="22" customHeight="1">
      <x:c r="A291" s="1" t="n">
        <x:v>52</x:v>
      </x:c>
      <x:c r="B291" s="1" t="str">
        <x:v>Meowth</x:v>
      </x:c>
      <x:c r="C291" s="1" t="str">
        <x:v>Nail</x:v>
      </x:c>
      <x:c r="D291" s="1" t="n">
        <x:v>1</x:v>
      </x:c>
      <x:c r="E291" s="1" t="n">
        <x:v>1</x:v>
      </x:c>
      <x:c r="F291" s="13" t="n">
        <x:v>0.1931394</x:v>
      </x:c>
      <x:c r="G291" s="9" t="str">
        <x:v>https://poke.idleworld.online/pokepedia/pokemon/meowth</x:v>
      </x:c>
    </x:row>
    <x:row r="292" ht="22" customHeight="1">
      <x:c r="A292" s="1" t="n">
        <x:v>52</x:v>
      </x:c>
      <x:c r="B292" s="1" t="str">
        <x:v>Meowth</x:v>
      </x:c>
      <x:c r="C292" s="1" t="str">
        <x:v>Wool Ball</x:v>
      </x:c>
      <x:c r="D292" s="1" t="n">
        <x:v>1</x:v>
      </x:c>
      <x:c r="E292" s="1" t="n">
        <x:v>1</x:v>
      </x:c>
      <x:c r="F292" s="13" t="n">
        <x:v>0.1372069</x:v>
      </x:c>
      <x:c r="G292" s="9" t="str">
        <x:v>https://poke.idleworld.online/pokepedia/pokemon/meowth</x:v>
      </x:c>
    </x:row>
    <x:row r="293" ht="22" customHeight="1">
      <x:c r="A293" s="1" t="n">
        <x:v>52</x:v>
      </x:c>
      <x:c r="B293" s="1" t="str">
        <x:v>Meowth</x:v>
      </x:c>
      <x:c r="C293" s="1" t="str">
        <x:v>Luck Medallion</x:v>
      </x:c>
      <x:c r="D293" s="1" t="n">
        <x:v>1</x:v>
      </x:c>
      <x:c r="E293" s="1" t="n">
        <x:v>1</x:v>
      </x:c>
      <x:c r="F293" s="13" t="n">
        <x:v>0.0066589</x:v>
      </x:c>
      <x:c r="G293" s="9" t="str">
        <x:v>https://poke.idleworld.online/pokepedia/pokemon/meowth</x:v>
      </x:c>
    </x:row>
    <x:row r="294" ht="22" customHeight="1">
      <x:c r="A294" s="1" t="n">
        <x:v>53</x:v>
      </x:c>
      <x:c r="B294" s="1" t="str">
        <x:v>Persian</x:v>
      </x:c>
      <x:c r="C294" s="1" t="str">
        <x:v>Strange Pheromone</x:v>
      </x:c>
      <x:c r="D294" s="1" t="n">
        <x:v>1</x:v>
      </x:c>
      <x:c r="E294" s="1" t="n">
        <x:v>1</x:v>
      </x:c>
      <x:c r="F294" s="13" t="n">
        <x:v>0</x:v>
      </x:c>
      <x:c r="G294" s="9" t="str">
        <x:v>https://poke.idleworld.online/pokepedia/pokemon/persian</x:v>
      </x:c>
    </x:row>
    <x:row r="295" ht="22" customHeight="1">
      <x:c r="A295" s="1" t="n">
        <x:v>53</x:v>
      </x:c>
      <x:c r="B295" s="1" t="str">
        <x:v>Persian</x:v>
      </x:c>
      <x:c r="C295" s="1" t="str">
        <x:v>Rubber Ball</x:v>
      </x:c>
      <x:c r="D295" s="1" t="n">
        <x:v>1</x:v>
      </x:c>
      <x:c r="E295" s="1" t="n">
        <x:v>15</x:v>
      </x:c>
      <x:c r="F295" s="13" t="n">
        <x:v>0.5889696</x:v>
      </x:c>
      <x:c r="G295" s="9" t="str">
        <x:v>https://poke.idleworld.online/pokepedia/pokemon/persian</x:v>
      </x:c>
    </x:row>
    <x:row r="296" ht="22" customHeight="1">
      <x:c r="A296" s="1" t="n">
        <x:v>53</x:v>
      </x:c>
      <x:c r="B296" s="1" t="str">
        <x:v>Persian</x:v>
      </x:c>
      <x:c r="C296" s="1" t="str">
        <x:v>Wool Ball</x:v>
      </x:c>
      <x:c r="D296" s="1" t="n">
        <x:v>1</x:v>
      </x:c>
      <x:c r="E296" s="1" t="n">
        <x:v>1</x:v>
      </x:c>
      <x:c r="F296" s="13" t="n">
        <x:v>0.338802</x:v>
      </x:c>
      <x:c r="G296" s="9" t="str">
        <x:v>https://poke.idleworld.online/pokepedia/pokemon/persian</x:v>
      </x:c>
    </x:row>
    <x:row r="297" ht="22" customHeight="1">
      <x:c r="A297" s="1" t="n">
        <x:v>53</x:v>
      </x:c>
      <x:c r="B297" s="1" t="str">
        <x:v>Persian</x:v>
      </x:c>
      <x:c r="C297" s="1" t="str">
        <x:v>Nail</x:v>
      </x:c>
      <x:c r="D297" s="1" t="n">
        <x:v>1</x:v>
      </x:c>
      <x:c r="E297" s="1" t="n">
        <x:v>1</x:v>
      </x:c>
      <x:c r="F297" s="13" t="n">
        <x:v>0.2649042</x:v>
      </x:c>
      <x:c r="G297" s="9" t="str">
        <x:v>https://poke.idleworld.online/pokepedia/pokemon/persian</x:v>
      </x:c>
    </x:row>
    <x:row r="298" ht="22" customHeight="1">
      <x:c r="A298" s="1" t="n">
        <x:v>53</x:v>
      </x:c>
      <x:c r="B298" s="1" t="str">
        <x:v>Persian</x:v>
      </x:c>
      <x:c r="C298" s="1" t="str">
        <x:v>Heart Stone</x:v>
      </x:c>
      <x:c r="D298" s="1" t="n">
        <x:v>1</x:v>
      </x:c>
      <x:c r="E298" s="1" t="n">
        <x:v>1</x:v>
      </x:c>
      <x:c r="F298" s="13" t="n">
        <x:v>0.0026347000000000002</x:v>
      </x:c>
      <x:c r="G298" s="9" t="str">
        <x:v>https://poke.idleworld.online/pokepedia/pokemon/persian</x:v>
      </x:c>
    </x:row>
    <x:row r="299" ht="22" customHeight="1">
      <x:c r="A299" s="1" t="n">
        <x:v>54</x:v>
      </x:c>
      <x:c r="B299" s="1" t="str">
        <x:v>Psyduck</x:v>
      </x:c>
      <x:c r="C299" s="1" t="str">
        <x:v>Strange Pheromone</x:v>
      </x:c>
      <x:c r="D299" s="1" t="n">
        <x:v>1</x:v>
      </x:c>
      <x:c r="E299" s="1" t="n">
        <x:v>1</x:v>
      </x:c>
      <x:c r="F299" s="13" t="n">
        <x:v>0</x:v>
      </x:c>
      <x:c r="G299" s="9" t="str">
        <x:v>https://poke.idleworld.online/pokepedia/pokemon/psyduck</x:v>
      </x:c>
    </x:row>
    <x:row r="300" ht="22" customHeight="1">
      <x:c r="A300" s="1" t="n">
        <x:v>54</x:v>
      </x:c>
      <x:c r="B300" s="1" t="str">
        <x:v>Psyduck</x:v>
      </x:c>
      <x:c r="C300" s="1" t="str">
        <x:v>Water Gem</x:v>
      </x:c>
      <x:c r="D300" s="1" t="n">
        <x:v>1</x:v>
      </x:c>
      <x:c r="E300" s="1" t="n">
        <x:v>10</x:v>
      </x:c>
      <x:c r="F300" s="13" t="n">
        <x:v>0.6868565</x:v>
      </x:c>
      <x:c r="G300" s="9" t="str">
        <x:v>https://poke.idleworld.online/pokepedia/pokemon/psyduck</x:v>
      </x:c>
    </x:row>
    <x:row r="301" ht="22" customHeight="1">
      <x:c r="A301" s="1" t="n">
        <x:v>54</x:v>
      </x:c>
      <x:c r="B301" s="1" t="str">
        <x:v>Psyduck</x:v>
      </x:c>
      <x:c r="C301" s="1" t="str">
        <x:v>Water Pendant</x:v>
      </x:c>
      <x:c r="D301" s="1" t="n">
        <x:v>1</x:v>
      </x:c>
      <x:c r="E301" s="1" t="n">
        <x:v>1</x:v>
      </x:c>
      <x:c r="F301" s="13" t="n">
        <x:v>0.6868565</x:v>
      </x:c>
      <x:c r="G301" s="9" t="str">
        <x:v>https://poke.idleworld.online/pokepedia/pokemon/psyduck</x:v>
      </x:c>
    </x:row>
    <x:row r="302" ht="22" customHeight="1">
      <x:c r="A302" s="1" t="n">
        <x:v>54</x:v>
      </x:c>
      <x:c r="B302" s="1" t="str">
        <x:v>Psyduck</x:v>
      </x:c>
      <x:c r="C302" s="1" t="str">
        <x:v>Psyduck Mug</x:v>
      </x:c>
      <x:c r="D302" s="1" t="n">
        <x:v>1</x:v>
      </x:c>
      <x:c r="E302" s="1" t="n">
        <x:v>1</x:v>
      </x:c>
      <x:c r="F302" s="13" t="n">
        <x:v>0.07766060000000001</x:v>
      </x:c>
      <x:c r="G302" s="9" t="str">
        <x:v>https://poke.idleworld.online/pokepedia/pokemon/psyduck</x:v>
      </x:c>
    </x:row>
    <x:row r="303" ht="22" customHeight="1">
      <x:c r="A303" s="1" t="n">
        <x:v>55</x:v>
      </x:c>
      <x:c r="B303" s="1" t="str">
        <x:v>Golduck</x:v>
      </x:c>
      <x:c r="C303" s="1" t="str">
        <x:v>Strange Pheromone</x:v>
      </x:c>
      <x:c r="D303" s="1" t="n">
        <x:v>1</x:v>
      </x:c>
      <x:c r="E303" s="1" t="n">
        <x:v>1</x:v>
      </x:c>
      <x:c r="F303" s="13" t="n">
        <x:v>0</x:v>
      </x:c>
      <x:c r="G303" s="9" t="str">
        <x:v>https://poke.idleworld.online/pokepedia/pokemon/golduck</x:v>
      </x:c>
    </x:row>
    <x:row r="304" ht="22" customHeight="1">
      <x:c r="A304" s="1" t="n">
        <x:v>55</x:v>
      </x:c>
      <x:c r="B304" s="1" t="str">
        <x:v>Golduck</x:v>
      </x:c>
      <x:c r="C304" s="1" t="str">
        <x:v>Water Gem</x:v>
      </x:c>
      <x:c r="D304" s="1" t="n">
        <x:v>1</x:v>
      </x:c>
      <x:c r="E304" s="1" t="n">
        <x:v>28</x:v>
      </x:c>
      <x:c r="F304" s="13" t="n">
        <x:v>0.95</x:v>
      </x:c>
      <x:c r="G304" s="9" t="str">
        <x:v>https://poke.idleworld.online/pokepedia/pokemon/golduck</x:v>
      </x:c>
    </x:row>
    <x:row r="305" ht="22" customHeight="1">
      <x:c r="A305" s="1" t="n">
        <x:v>55</x:v>
      </x:c>
      <x:c r="B305" s="1" t="str">
        <x:v>Golduck</x:v>
      </x:c>
      <x:c r="C305" s="1" t="str">
        <x:v>Water Pendant</x:v>
      </x:c>
      <x:c r="D305" s="1" t="n">
        <x:v>1</x:v>
      </x:c>
      <x:c r="E305" s="1" t="n">
        <x:v>1</x:v>
      </x:c>
      <x:c r="F305" s="13" t="n">
        <x:v>0.9435205999999999</x:v>
      </x:c>
      <x:c r="G305" s="9" t="str">
        <x:v>https://poke.idleworld.online/pokepedia/pokemon/golduck</x:v>
      </x:c>
    </x:row>
    <x:row r="306" ht="22" customHeight="1">
      <x:c r="A306" s="1" t="n">
        <x:v>55</x:v>
      </x:c>
      <x:c r="B306" s="1" t="str">
        <x:v>Golduck</x:v>
      </x:c>
      <x:c r="C306" s="1" t="str">
        <x:v>Karate Duck</x:v>
      </x:c>
      <x:c r="D306" s="1" t="n">
        <x:v>1</x:v>
      </x:c>
      <x:c r="E306" s="1" t="n">
        <x:v>1</x:v>
      </x:c>
      <x:c r="F306" s="13" t="n">
        <x:v>0.24867419999999998</x:v>
      </x:c>
      <x:c r="G306" s="9" t="str">
        <x:v>https://poke.idleworld.online/pokepedia/pokemon/golduck</x:v>
      </x:c>
    </x:row>
    <x:row r="307" ht="22" customHeight="1">
      <x:c r="A307" s="1" t="n">
        <x:v>55</x:v>
      </x:c>
      <x:c r="B307" s="1" t="str">
        <x:v>Golduck</x:v>
      </x:c>
      <x:c r="C307" s="1" t="str">
        <x:v>Air Tank</x:v>
      </x:c>
      <x:c r="D307" s="1" t="n">
        <x:v>1</x:v>
      </x:c>
      <x:c r="E307" s="1" t="n">
        <x:v>1</x:v>
      </x:c>
      <x:c r="F307" s="13" t="n">
        <x:v>0.014970599999999999</x:v>
      </x:c>
      <x:c r="G307" s="9" t="str">
        <x:v>https://poke.idleworld.online/pokepedia/pokemon/golduck</x:v>
      </x:c>
    </x:row>
    <x:row r="308" ht="22" customHeight="1">
      <x:c r="A308" s="1" t="n">
        <x:v>55</x:v>
      </x:c>
      <x:c r="B308" s="1" t="str">
        <x:v>Golduck</x:v>
      </x:c>
      <x:c r="C308" s="1" t="str">
        <x:v>Water Stone</x:v>
      </x:c>
      <x:c r="D308" s="1" t="n">
        <x:v>1</x:v>
      </x:c>
      <x:c r="E308" s="1" t="n">
        <x:v>1</x:v>
      </x:c>
      <x:c r="F308" s="13" t="n">
        <x:v>0.00539</x:v>
      </x:c>
      <x:c r="G308" s="9" t="str">
        <x:v>https://poke.idleworld.online/pokepedia/pokemon/golduck</x:v>
      </x:c>
    </x:row>
    <x:row r="309" ht="22" customHeight="1">
      <x:c r="A309" s="1" t="n">
        <x:v>55</x:v>
      </x:c>
      <x:c r="B309" s="1" t="str">
        <x:v>Golduck</x:v>
      </x:c>
      <x:c r="C309" s="1" t="str">
        <x:v>Diving Mask</x:v>
      </x:c>
      <x:c r="D309" s="1" t="n">
        <x:v>1</x:v>
      </x:c>
      <x:c r="E309" s="1" t="n">
        <x:v>1</x:v>
      </x:c>
      <x:c r="F309" s="13" t="n">
        <x:v>0.014970599999999999</x:v>
      </x:c>
      <x:c r="G309" s="9" t="str">
        <x:v>https://poke.idleworld.online/pokepedia/pokemon/golduck</x:v>
      </x:c>
    </x:row>
    <x:row r="310" ht="22" customHeight="1">
      <x:c r="A310" s="1" t="n">
        <x:v>55</x:v>
      </x:c>
      <x:c r="B310" s="1" t="str">
        <x:v>Golduck</x:v>
      </x:c>
      <x:c r="C310" s="1" t="str">
        <x:v>Fins</x:v>
      </x:c>
      <x:c r="D310" s="1" t="n">
        <x:v>1</x:v>
      </x:c>
      <x:c r="E310" s="1" t="n">
        <x:v>1</x:v>
      </x:c>
      <x:c r="F310" s="13" t="n">
        <x:v>0.014970599999999999</x:v>
      </x:c>
      <x:c r="G310" s="9" t="str">
        <x:v>https://poke.idleworld.online/pokepedia/pokemon/golduck</x:v>
      </x:c>
    </x:row>
    <x:row r="311" ht="22" customHeight="1">
      <x:c r="A311" s="1" t="n">
        <x:v>56</x:v>
      </x:c>
      <x:c r="B311" s="1" t="str">
        <x:v>Mankey</x:v>
      </x:c>
      <x:c r="C311" s="1" t="str">
        <x:v>Strange Pheromone</x:v>
      </x:c>
      <x:c r="D311" s="1" t="n">
        <x:v>1</x:v>
      </x:c>
      <x:c r="E311" s="1" t="n">
        <x:v>1</x:v>
      </x:c>
      <x:c r="F311" s="13" t="n">
        <x:v>0</x:v>
      </x:c>
      <x:c r="G311" s="9" t="str">
        <x:v>https://poke.idleworld.online/pokepedia/pokemon/mankey</x:v>
      </x:c>
    </x:row>
    <x:row r="312" ht="22" customHeight="1">
      <x:c r="A312" s="1" t="n">
        <x:v>56</x:v>
      </x:c>
      <x:c r="B312" s="1" t="str">
        <x:v>Mankey</x:v>
      </x:c>
      <x:c r="C312" s="1" t="str">
        <x:v>Band Aid</x:v>
      </x:c>
      <x:c r="D312" s="1" t="n">
        <x:v>1</x:v>
      </x:c>
      <x:c r="E312" s="1" t="n">
        <x:v>8</x:v>
      </x:c>
      <x:c r="F312" s="13" t="n">
        <x:v>0.95</x:v>
      </x:c>
      <x:c r="G312" s="9" t="str">
        <x:v>https://poke.idleworld.online/pokepedia/pokemon/mankey</x:v>
      </x:c>
    </x:row>
    <x:row r="313" ht="22" customHeight="1">
      <x:c r="A313" s="1" t="n">
        <x:v>56</x:v>
      </x:c>
      <x:c r="B313" s="1" t="str">
        <x:v>Mankey</x:v>
      </x:c>
      <x:c r="C313" s="1" t="str">
        <x:v>Fur</x:v>
      </x:c>
      <x:c r="D313" s="1" t="n">
        <x:v>1</x:v>
      </x:c>
      <x:c r="E313" s="1" t="n">
        <x:v>1</x:v>
      </x:c>
      <x:c r="F313" s="13" t="n">
        <x:v>0.2854416</x:v>
      </x:c>
      <x:c r="G313" s="9" t="str">
        <x:v>https://poke.idleworld.online/pokepedia/pokemon/mankey</x:v>
      </x:c>
    </x:row>
    <x:row r="314" ht="22" customHeight="1">
      <x:c r="A314" s="1" t="n">
        <x:v>56</x:v>
      </x:c>
      <x:c r="B314" s="1" t="str">
        <x:v>Mankey</x:v>
      </x:c>
      <x:c r="C314" s="1" t="str">
        <x:v>Iron Bracelet</x:v>
      </x:c>
      <x:c r="D314" s="1" t="n">
        <x:v>1</x:v>
      </x:c>
      <x:c r="E314" s="1" t="n">
        <x:v>1</x:v>
      </x:c>
      <x:c r="F314" s="13" t="n">
        <x:v>0.0675158</x:v>
      </x:c>
      <x:c r="G314" s="9" t="str">
        <x:v>https://poke.idleworld.online/pokepedia/pokemon/mankey</x:v>
      </x:c>
    </x:row>
    <x:row r="315" ht="22" customHeight="1">
      <x:c r="A315" s="1" t="n">
        <x:v>57</x:v>
      </x:c>
      <x:c r="B315" s="1" t="str">
        <x:v>Primeape</x:v>
      </x:c>
      <x:c r="C315" s="1" t="str">
        <x:v>Strange Pheromone</x:v>
      </x:c>
      <x:c r="D315" s="1" t="n">
        <x:v>1</x:v>
      </x:c>
      <x:c r="E315" s="1" t="n">
        <x:v>1</x:v>
      </x:c>
      <x:c r="F315" s="13" t="n">
        <x:v>0</x:v>
      </x:c>
      <x:c r="G315" s="9" t="str">
        <x:v>https://poke.idleworld.online/pokepedia/pokemon/primeape</x:v>
      </x:c>
    </x:row>
    <x:row r="316" ht="22" customHeight="1">
      <x:c r="A316" s="1" t="n">
        <x:v>57</x:v>
      </x:c>
      <x:c r="B316" s="1" t="str">
        <x:v>Primeape</x:v>
      </x:c>
      <x:c r="C316" s="1" t="str">
        <x:v>Band Aid</x:v>
      </x:c>
      <x:c r="D316" s="1" t="n">
        <x:v>1</x:v>
      </x:c>
      <x:c r="E316" s="1" t="n">
        <x:v>25</x:v>
      </x:c>
      <x:c r="F316" s="13" t="n">
        <x:v>0.6013913</x:v>
      </x:c>
      <x:c r="G316" s="9" t="str">
        <x:v>https://poke.idleworld.online/pokepedia/pokemon/primeape</x:v>
      </x:c>
    </x:row>
    <x:row r="317" ht="22" customHeight="1">
      <x:c r="A317" s="1" t="n">
        <x:v>57</x:v>
      </x:c>
      <x:c r="B317" s="1" t="str">
        <x:v>Primeape</x:v>
      </x:c>
      <x:c r="C317" s="1" t="str">
        <x:v>Fur</x:v>
      </x:c>
      <x:c r="D317" s="1" t="n">
        <x:v>1</x:v>
      </x:c>
      <x:c r="E317" s="1" t="n">
        <x:v>1</x:v>
      </x:c>
      <x:c r="F317" s="13" t="n">
        <x:v>0.1951497</x:v>
      </x:c>
      <x:c r="G317" s="9" t="str">
        <x:v>https://poke.idleworld.online/pokepedia/pokemon/primeape</x:v>
      </x:c>
    </x:row>
    <x:row r="318" ht="22" customHeight="1">
      <x:c r="A318" s="1" t="n">
        <x:v>57</x:v>
      </x:c>
      <x:c r="B318" s="1" t="str">
        <x:v>Primeape</x:v>
      </x:c>
      <x:c r="C318" s="1" t="str">
        <x:v>Iron Bracelet</x:v>
      </x:c>
      <x:c r="D318" s="1" t="n">
        <x:v>1</x:v>
      </x:c>
      <x:c r="E318" s="1" t="n">
        <x:v>1</x:v>
      </x:c>
      <x:c r="F318" s="13" t="n">
        <x:v>0.0524513</x:v>
      </x:c>
      <x:c r="G318" s="9" t="str">
        <x:v>https://poke.idleworld.online/pokepedia/pokemon/primeape</x:v>
      </x:c>
    </x:row>
    <x:row r="319" ht="22" customHeight="1">
      <x:c r="A319" s="1" t="n">
        <x:v>57</x:v>
      </x:c>
      <x:c r="B319" s="1" t="str">
        <x:v>Primeape</x:v>
      </x:c>
      <x:c r="C319" s="1" t="str">
        <x:v>Punch Stone</x:v>
      </x:c>
      <x:c r="D319" s="1" t="n">
        <x:v>1</x:v>
      </x:c>
      <x:c r="E319" s="1" t="n">
        <x:v>1</x:v>
      </x:c>
      <x:c r="F319" s="13" t="n">
        <x:v>0.0014000999999999998</x:v>
      </x:c>
      <x:c r="G319" s="9" t="str">
        <x:v>https://poke.idleworld.online/pokepedia/pokemon/primeape</x:v>
      </x:c>
    </x:row>
    <x:row r="320" ht="22" customHeight="1">
      <x:c r="A320" s="1" t="n">
        <x:v>58</x:v>
      </x:c>
      <x:c r="B320" s="1" t="str">
        <x:v>Growlithe</x:v>
      </x:c>
      <x:c r="C320" s="1" t="str">
        <x:v>Strange Pheromone</x:v>
      </x:c>
      <x:c r="D320" s="1" t="n">
        <x:v>1</x:v>
      </x:c>
      <x:c r="E320" s="1" t="n">
        <x:v>1</x:v>
      </x:c>
      <x:c r="F320" s="13" t="n">
        <x:v>0</x:v>
      </x:c>
      <x:c r="G320" s="9" t="str">
        <x:v>https://poke.idleworld.online/pokepedia/pokemon/growlithe</x:v>
      </x:c>
    </x:row>
    <x:row r="321" ht="22" customHeight="1">
      <x:c r="A321" s="1" t="n">
        <x:v>58</x:v>
      </x:c>
      <x:c r="B321" s="1" t="str">
        <x:v>Growlithe</x:v>
      </x:c>
      <x:c r="C321" s="1" t="str">
        <x:v>Essence of Fire</x:v>
      </x:c>
      <x:c r="D321" s="1" t="n">
        <x:v>1</x:v>
      </x:c>
      <x:c r="E321" s="1" t="n">
        <x:v>13</x:v>
      </x:c>
      <x:c r="F321" s="13" t="n">
        <x:v>0.6463781</x:v>
      </x:c>
      <x:c r="G321" s="9" t="str">
        <x:v>https://poke.idleworld.online/pokepedia/pokemon/growlithe</x:v>
      </x:c>
    </x:row>
    <x:row r="322" ht="22" customHeight="1">
      <x:c r="A322" s="1" t="n">
        <x:v>58</x:v>
      </x:c>
      <x:c r="B322" s="1" t="str">
        <x:v>Growlithe</x:v>
      </x:c>
      <x:c r="C322" s="1" t="str">
        <x:v>Fur</x:v>
      </x:c>
      <x:c r="D322" s="1" t="n">
        <x:v>1</x:v>
      </x:c>
      <x:c r="E322" s="1" t="n">
        <x:v>1</x:v>
      </x:c>
      <x:c r="F322" s="13" t="n">
        <x:v>0.4669953</x:v>
      </x:c>
      <x:c r="G322" s="9" t="str">
        <x:v>https://poke.idleworld.online/pokepedia/pokemon/growlithe</x:v>
      </x:c>
    </x:row>
    <x:row r="323" ht="22" customHeight="1">
      <x:c r="A323" s="1" t="n">
        <x:v>58</x:v>
      </x:c>
      <x:c r="B323" s="1" t="str">
        <x:v>Growlithe</x:v>
      </x:c>
      <x:c r="C323" s="1" t="str">
        <x:v>Pot of Lava</x:v>
      </x:c>
      <x:c r="D323" s="1" t="n">
        <x:v>1</x:v>
      </x:c>
      <x:c r="E323" s="1" t="n">
        <x:v>1</x:v>
      </x:c>
      <x:c r="F323" s="13" t="n">
        <x:v>0.4120617</x:v>
      </x:c>
      <x:c r="G323" s="9" t="str">
        <x:v>https://poke.idleworld.online/pokepedia/pokemon/growlithe</x:v>
      </x:c>
    </x:row>
    <x:row r="324" ht="22" customHeight="1">
      <x:c r="A324" s="1" t="n">
        <x:v>58</x:v>
      </x:c>
      <x:c r="B324" s="1" t="str">
        <x:v>Growlithe</x:v>
      </x:c>
      <x:c r="C324" s="1" t="str">
        <x:v>Giant Piece of Fur</x:v>
      </x:c>
      <x:c r="D324" s="1" t="n">
        <x:v>1</x:v>
      </x:c>
      <x:c r="E324" s="1" t="n">
        <x:v>1</x:v>
      </x:c>
      <x:c r="F324" s="13" t="n">
        <x:v>0.0714291</x:v>
      </x:c>
      <x:c r="G324" s="9" t="str">
        <x:v>https://poke.idleworld.online/pokepedia/pokemon/growlithe</x:v>
      </x:c>
    </x:row>
    <x:row r="325" ht="22" customHeight="1">
      <x:c r="A325" s="1" t="n">
        <x:v>59</x:v>
      </x:c>
      <x:c r="B325" s="1" t="str">
        <x:v>Arcanine</x:v>
      </x:c>
      <x:c r="C325" s="1" t="str">
        <x:v>Strange Pheromone</x:v>
      </x:c>
      <x:c r="D325" s="1" t="n">
        <x:v>1</x:v>
      </x:c>
      <x:c r="E325" s="1" t="n">
        <x:v>1</x:v>
      </x:c>
      <x:c r="F325" s="13" t="n">
        <x:v>0</x:v>
      </x:c>
      <x:c r="G325" s="9" t="str">
        <x:v>https://poke.idleworld.online/pokepedia/pokemon/arcanine</x:v>
      </x:c>
    </x:row>
    <x:row r="326" ht="22" customHeight="1">
      <x:c r="A326" s="1" t="n">
        <x:v>59</x:v>
      </x:c>
      <x:c r="B326" s="1" t="str">
        <x:v>Arcanine</x:v>
      </x:c>
      <x:c r="C326" s="1" t="str">
        <x:v>Essence of Fire</x:v>
      </x:c>
      <x:c r="D326" s="1" t="n">
        <x:v>1</x:v>
      </x:c>
      <x:c r="E326" s="1" t="n">
        <x:v>40</x:v>
      </x:c>
      <x:c r="F326" s="13" t="n">
        <x:v>0.95</x:v>
      </x:c>
      <x:c r="G326" s="9" t="str">
        <x:v>https://poke.idleworld.online/pokepedia/pokemon/arcanine</x:v>
      </x:c>
    </x:row>
    <x:row r="327" ht="22" customHeight="1">
      <x:c r="A327" s="1" t="n">
        <x:v>59</x:v>
      </x:c>
      <x:c r="B327" s="1" t="str">
        <x:v>Arcanine</x:v>
      </x:c>
      <x:c r="C327" s="1" t="str">
        <x:v>Fur</x:v>
      </x:c>
      <x:c r="D327" s="1" t="n">
        <x:v>1</x:v>
      </x:c>
      <x:c r="E327" s="1" t="n">
        <x:v>2</x:v>
      </x:c>
      <x:c r="F327" s="13" t="n">
        <x:v>0.95</x:v>
      </x:c>
      <x:c r="G327" s="9" t="str">
        <x:v>https://poke.idleworld.online/pokepedia/pokemon/arcanine</x:v>
      </x:c>
    </x:row>
    <x:row r="328" ht="22" customHeight="1">
      <x:c r="A328" s="1" t="n">
        <x:v>59</x:v>
      </x:c>
      <x:c r="B328" s="1" t="str">
        <x:v>Arcanine</x:v>
      </x:c>
      <x:c r="C328" s="1" t="str">
        <x:v>Pot of Lava</x:v>
      </x:c>
      <x:c r="D328" s="1" t="n">
        <x:v>1</x:v>
      </x:c>
      <x:c r="E328" s="1" t="n">
        <x:v>1</x:v>
      </x:c>
      <x:c r="F328" s="13" t="n">
        <x:v>0.95</x:v>
      </x:c>
      <x:c r="G328" s="9" t="str">
        <x:v>https://poke.idleworld.online/pokepedia/pokemon/arcanine</x:v>
      </x:c>
    </x:row>
    <x:row r="329" ht="22" customHeight="1">
      <x:c r="A329" s="1" t="n">
        <x:v>59</x:v>
      </x:c>
      <x:c r="B329" s="1" t="str">
        <x:v>Arcanine</x:v>
      </x:c>
      <x:c r="C329" s="1" t="str">
        <x:v>Giant Piece of Fur</x:v>
      </x:c>
      <x:c r="D329" s="1" t="n">
        <x:v>1</x:v>
      </x:c>
      <x:c r="E329" s="1" t="n">
        <x:v>1</x:v>
      </x:c>
      <x:c r="F329" s="13" t="n">
        <x:v>0.4209587</x:v>
      </x:c>
      <x:c r="G329" s="9" t="str">
        <x:v>https://poke.idleworld.online/pokepedia/pokemon/arcanine</x:v>
      </x:c>
    </x:row>
    <x:row r="330" ht="22" customHeight="1">
      <x:c r="A330" s="1" t="n">
        <x:v>59</x:v>
      </x:c>
      <x:c r="B330" s="1" t="str">
        <x:v>Arcanine</x:v>
      </x:c>
      <x:c r="C330" s="1" t="str">
        <x:v>Crystal Stone</x:v>
      </x:c>
      <x:c r="D330" s="1" t="n">
        <x:v>1</x:v>
      </x:c>
      <x:c r="E330" s="1" t="n">
        <x:v>1</x:v>
      </x:c>
      <x:c r="F330" s="13" t="n">
        <x:v>0.0008634000000000001</x:v>
      </x:c>
      <x:c r="G330" s="9" t="str">
        <x:v>https://poke.idleworld.online/pokepedia/pokemon/arcanine</x:v>
      </x:c>
    </x:row>
    <x:row r="331" ht="22" customHeight="1">
      <x:c r="A331" s="1" t="n">
        <x:v>59</x:v>
      </x:c>
      <x:c r="B331" s="1" t="str">
        <x:v>Arcanine</x:v>
      </x:c>
      <x:c r="C331" s="1" t="str">
        <x:v>Fire Stone</x:v>
      </x:c>
      <x:c r="D331" s="1" t="n">
        <x:v>1</x:v>
      </x:c>
      <x:c r="E331" s="1" t="n">
        <x:v>1</x:v>
      </x:c>
      <x:c r="F331" s="13" t="n">
        <x:v>0.0025835000000000003</x:v>
      </x:c>
      <x:c r="G331" s="9" t="str">
        <x:v>https://poke.idleworld.online/pokepedia/pokemon/arcanine</x:v>
      </x:c>
    </x:row>
    <x:row r="332" ht="22" customHeight="1">
      <x:c r="A332" s="1" t="n">
        <x:v>60</x:v>
      </x:c>
      <x:c r="B332" s="1" t="str">
        <x:v>Poliwag</x:v>
      </x:c>
      <x:c r="C332" s="1" t="str">
        <x:v>Strange Pheromone</x:v>
      </x:c>
      <x:c r="D332" s="1" t="n">
        <x:v>1</x:v>
      </x:c>
      <x:c r="E332" s="1" t="n">
        <x:v>1</x:v>
      </x:c>
      <x:c r="F332" s="13" t="n">
        <x:v>0</x:v>
      </x:c>
      <x:c r="G332" s="9" t="str">
        <x:v>https://poke.idleworld.online/pokepedia/pokemon/poliwag</x:v>
      </x:c>
    </x:row>
    <x:row r="333" ht="22" customHeight="1">
      <x:c r="A333" s="1" t="n">
        <x:v>60</x:v>
      </x:c>
      <x:c r="B333" s="1" t="str">
        <x:v>Poliwag</x:v>
      </x:c>
      <x:c r="C333" s="1" t="str">
        <x:v>Water Gem</x:v>
      </x:c>
      <x:c r="D333" s="1" t="n">
        <x:v>1</x:v>
      </x:c>
      <x:c r="E333" s="1" t="n">
        <x:v>10</x:v>
      </x:c>
      <x:c r="F333" s="13" t="n">
        <x:v>0.7104433</x:v>
      </x:c>
      <x:c r="G333" s="9" t="str">
        <x:v>https://poke.idleworld.online/pokepedia/pokemon/poliwag</x:v>
      </x:c>
    </x:row>
    <x:row r="334" ht="22" customHeight="1">
      <x:c r="A334" s="1" t="n">
        <x:v>60</x:v>
      </x:c>
      <x:c r="B334" s="1" t="str">
        <x:v>Poliwag</x:v>
      </x:c>
      <x:c r="C334" s="1" t="str">
        <x:v>Water Pendant</x:v>
      </x:c>
      <x:c r="D334" s="1" t="n">
        <x:v>1</x:v>
      </x:c>
      <x:c r="E334" s="1" t="n">
        <x:v>1</x:v>
      </x:c>
      <x:c r="F334" s="13" t="n">
        <x:v>0.7104434</x:v>
      </x:c>
      <x:c r="G334" s="9" t="str">
        <x:v>https://poke.idleworld.online/pokepedia/pokemon/poliwag</x:v>
      </x:c>
    </x:row>
    <x:row r="335" ht="22" customHeight="1">
      <x:c r="A335" s="1" t="n">
        <x:v>60</x:v>
      </x:c>
      <x:c r="B335" s="1" t="str">
        <x:v>Poliwag</x:v>
      </x:c>
      <x:c r="C335" s="1" t="str">
        <x:v>Strange Thing</x:v>
      </x:c>
      <x:c r="D335" s="1" t="n">
        <x:v>1</x:v>
      </x:c>
      <x:c r="E335" s="1" t="n">
        <x:v>1</x:v>
      </x:c>
      <x:c r="F335" s="13" t="n">
        <x:v>0.0000096</x:v>
      </x:c>
      <x:c r="G335" s="9" t="str">
        <x:v>https://poke.idleworld.online/pokepedia/pokemon/poliwag</x:v>
      </x:c>
    </x:row>
    <x:row r="336" ht="22" customHeight="1">
      <x:c r="A336" s="1" t="n">
        <x:v>61</x:v>
      </x:c>
      <x:c r="B336" s="1" t="str">
        <x:v>Poliwhirl</x:v>
      </x:c>
      <x:c r="C336" s="1" t="str">
        <x:v>Strange Pheromone</x:v>
      </x:c>
      <x:c r="D336" s="1" t="n">
        <x:v>1</x:v>
      </x:c>
      <x:c r="E336" s="1" t="n">
        <x:v>1</x:v>
      </x:c>
      <x:c r="F336" s="13" t="n">
        <x:v>0</x:v>
      </x:c>
      <x:c r="G336" s="9" t="str">
        <x:v>https://poke.idleworld.online/pokepedia/pokemon/poliwhirl</x:v>
      </x:c>
    </x:row>
    <x:row r="337" ht="22" customHeight="1">
      <x:c r="A337" s="1" t="n">
        <x:v>61</x:v>
      </x:c>
      <x:c r="B337" s="1" t="str">
        <x:v>Poliwhirl</x:v>
      </x:c>
      <x:c r="C337" s="1" t="str">
        <x:v>Water Gem</x:v>
      </x:c>
      <x:c r="D337" s="1" t="n">
        <x:v>1</x:v>
      </x:c>
      <x:c r="E337" s="1" t="n">
        <x:v>10</x:v>
      </x:c>
      <x:c r="F337" s="13" t="n">
        <x:v>0.95</x:v>
      </x:c>
      <x:c r="G337" s="9" t="str">
        <x:v>https://poke.idleworld.online/pokepedia/pokemon/poliwhirl</x:v>
      </x:c>
    </x:row>
    <x:row r="338" ht="22" customHeight="1">
      <x:c r="A338" s="1" t="n">
        <x:v>61</x:v>
      </x:c>
      <x:c r="B338" s="1" t="str">
        <x:v>Poliwhirl</x:v>
      </x:c>
      <x:c r="C338" s="1" t="str">
        <x:v>Water Pendant</x:v>
      </x:c>
      <x:c r="D338" s="1" t="n">
        <x:v>1</x:v>
      </x:c>
      <x:c r="E338" s="1" t="n">
        <x:v>1</x:v>
      </x:c>
      <x:c r="F338" s="13" t="n">
        <x:v>0.9320725</x:v>
      </x:c>
      <x:c r="G338" s="9" t="str">
        <x:v>https://poke.idleworld.online/pokepedia/pokemon/poliwhirl</x:v>
      </x:c>
    </x:row>
    <x:row r="339" ht="22" customHeight="1">
      <x:c r="A339" s="1" t="n">
        <x:v>61</x:v>
      </x:c>
      <x:c r="B339" s="1" t="str">
        <x:v>Poliwhirl</x:v>
      </x:c>
      <x:c r="C339" s="1" t="str">
        <x:v>Strange Thing</x:v>
      </x:c>
      <x:c r="D339" s="1" t="n">
        <x:v>1</x:v>
      </x:c>
      <x:c r="E339" s="1" t="n">
        <x:v>1</x:v>
      </x:c>
      <x:c r="F339" s="13" t="n">
        <x:v>0.0663143</x:v>
      </x:c>
      <x:c r="G339" s="9" t="str">
        <x:v>https://poke.idleworld.online/pokepedia/pokemon/poliwhirl</x:v>
      </x:c>
    </x:row>
    <x:row r="340" ht="22" customHeight="1">
      <x:c r="A340" s="1" t="n">
        <x:v>61</x:v>
      </x:c>
      <x:c r="B340" s="1" t="str">
        <x:v>Poliwhirl</x:v>
      </x:c>
      <x:c r="C340" s="1" t="str">
        <x:v>Water Stone</x:v>
      </x:c>
      <x:c r="D340" s="1" t="n">
        <x:v>1</x:v>
      </x:c>
      <x:c r="E340" s="1" t="n">
        <x:v>1</x:v>
      </x:c>
      <x:c r="F340" s="13" t="n">
        <x:v>0.0020824</x:v>
      </x:c>
      <x:c r="G340" s="9" t="str">
        <x:v>https://poke.idleworld.online/pokepedia/pokemon/poliwhirl</x:v>
      </x:c>
    </x:row>
    <x:row r="341" ht="22" customHeight="1">
      <x:c r="A341" s="1" t="n">
        <x:v>62</x:v>
      </x:c>
      <x:c r="B341" s="1" t="str">
        <x:v>Poliwrath</x:v>
      </x:c>
      <x:c r="C341" s="1" t="str">
        <x:v>Strange Pheromone</x:v>
      </x:c>
      <x:c r="D341" s="1" t="n">
        <x:v>1</x:v>
      </x:c>
      <x:c r="E341" s="1" t="n">
        <x:v>1</x:v>
      </x:c>
      <x:c r="F341" s="13" t="n">
        <x:v>0</x:v>
      </x:c>
      <x:c r="G341" s="9" t="str">
        <x:v>https://poke.idleworld.online/pokepedia/pokemon/poliwrath</x:v>
      </x:c>
    </x:row>
    <x:row r="342" ht="22" customHeight="1">
      <x:c r="A342" s="1" t="n">
        <x:v>62</x:v>
      </x:c>
      <x:c r="B342" s="1" t="str">
        <x:v>Poliwrath</x:v>
      </x:c>
      <x:c r="C342" s="1" t="str">
        <x:v>Band Aid</x:v>
      </x:c>
      <x:c r="D342" s="1" t="n">
        <x:v>1</x:v>
      </x:c>
      <x:c r="E342" s="1" t="n">
        <x:v>16</x:v>
      </x:c>
      <x:c r="F342" s="13" t="n">
        <x:v>0.95</x:v>
      </x:c>
      <x:c r="G342" s="9" t="str">
        <x:v>https://poke.idleworld.online/pokepedia/pokemon/poliwrath</x:v>
      </x:c>
    </x:row>
    <x:row r="343" ht="22" customHeight="1">
      <x:c r="A343" s="1" t="n">
        <x:v>62</x:v>
      </x:c>
      <x:c r="B343" s="1" t="str">
        <x:v>Poliwrath</x:v>
      </x:c>
      <x:c r="C343" s="1" t="str">
        <x:v>Water Gem</x:v>
      </x:c>
      <x:c r="D343" s="1" t="n">
        <x:v>1</x:v>
      </x:c>
      <x:c r="E343" s="1" t="n">
        <x:v>16</x:v>
      </x:c>
      <x:c r="F343" s="13" t="n">
        <x:v>0.95</x:v>
      </x:c>
      <x:c r="G343" s="9" t="str">
        <x:v>https://poke.idleworld.online/pokepedia/pokemon/poliwrath</x:v>
      </x:c>
    </x:row>
    <x:row r="344" ht="22" customHeight="1">
      <x:c r="A344" s="1" t="n">
        <x:v>62</x:v>
      </x:c>
      <x:c r="B344" s="1" t="str">
        <x:v>Poliwrath</x:v>
      </x:c>
      <x:c r="C344" s="1" t="str">
        <x:v>Water Pendant</x:v>
      </x:c>
      <x:c r="D344" s="1" t="n">
        <x:v>1</x:v>
      </x:c>
      <x:c r="E344" s="1" t="n">
        <x:v>1</x:v>
      </x:c>
      <x:c r="F344" s="13" t="n">
        <x:v>0.95</x:v>
      </x:c>
      <x:c r="G344" s="9" t="str">
        <x:v>https://poke.idleworld.online/pokepedia/pokemon/poliwrath</x:v>
      </x:c>
    </x:row>
    <x:row r="345" ht="22" customHeight="1">
      <x:c r="A345" s="1" t="n">
        <x:v>62</x:v>
      </x:c>
      <x:c r="B345" s="1" t="str">
        <x:v>Poliwrath</x:v>
      </x:c>
      <x:c r="C345" s="1" t="str">
        <x:v>Strange Thing</x:v>
      </x:c>
      <x:c r="D345" s="1" t="n">
        <x:v>1</x:v>
      </x:c>
      <x:c r="E345" s="1" t="n">
        <x:v>1</x:v>
      </x:c>
      <x:c r="F345" s="13" t="n">
        <x:v>0.411294</x:v>
      </x:c>
      <x:c r="G345" s="9" t="str">
        <x:v>https://poke.idleworld.online/pokepedia/pokemon/poliwrath</x:v>
      </x:c>
    </x:row>
    <x:row r="346" ht="22" customHeight="1">
      <x:c r="A346" s="1" t="n">
        <x:v>62</x:v>
      </x:c>
      <x:c r="B346" s="1" t="str">
        <x:v>Poliwrath</x:v>
      </x:c>
      <x:c r="C346" s="1" t="str">
        <x:v>Punch Stone</x:v>
      </x:c>
      <x:c r="D346" s="1" t="n">
        <x:v>1</x:v>
      </x:c>
      <x:c r="E346" s="1" t="n">
        <x:v>1</x:v>
      </x:c>
      <x:c r="F346" s="13" t="n">
        <x:v>0.0036905</x:v>
      </x:c>
      <x:c r="G346" s="9" t="str">
        <x:v>https://poke.idleworld.online/pokepedia/pokemon/poliwrath</x:v>
      </x:c>
    </x:row>
    <x:row r="347" ht="22" customHeight="1">
      <x:c r="A347" s="1" t="n">
        <x:v>62</x:v>
      </x:c>
      <x:c r="B347" s="1" t="str">
        <x:v>Poliwrath</x:v>
      </x:c>
      <x:c r="C347" s="1" t="str">
        <x:v>Water Stone</x:v>
      </x:c>
      <x:c r="D347" s="1" t="n">
        <x:v>1</x:v>
      </x:c>
      <x:c r="E347" s="1" t="n">
        <x:v>1</x:v>
      </x:c>
      <x:c r="F347" s="13" t="n">
        <x:v>0.0036905</x:v>
      </x:c>
      <x:c r="G347" s="9" t="str">
        <x:v>https://poke.idleworld.online/pokepedia/pokemon/poliwrath</x:v>
      </x:c>
    </x:row>
    <x:row r="348" ht="22" customHeight="1">
      <x:c r="A348" s="1" t="n">
        <x:v>63</x:v>
      </x:c>
      <x:c r="B348" s="1" t="str">
        <x:v>Abra</x:v>
      </x:c>
      <x:c r="C348" s="1" t="str">
        <x:v>Strange Pheromone</x:v>
      </x:c>
      <x:c r="D348" s="1" t="n">
        <x:v>1</x:v>
      </x:c>
      <x:c r="E348" s="1" t="n">
        <x:v>1</x:v>
      </x:c>
      <x:c r="F348" s="13" t="n">
        <x:v>0</x:v>
      </x:c>
      <x:c r="G348" s="9" t="str">
        <x:v>https://poke.idleworld.online/pokepedia/pokemon/abra</x:v>
      </x:c>
    </x:row>
    <x:row r="349" ht="22" customHeight="1">
      <x:c r="A349" s="1" t="n">
        <x:v>63</x:v>
      </x:c>
      <x:c r="B349" s="1" t="str">
        <x:v>Abra</x:v>
      </x:c>
      <x:c r="C349" s="1" t="str">
        <x:v>Enchanted Gem</x:v>
      </x:c>
      <x:c r="D349" s="1" t="n">
        <x:v>1</x:v>
      </x:c>
      <x:c r="E349" s="1" t="n">
        <x:v>8</x:v>
      </x:c>
      <x:c r="F349" s="13" t="n">
        <x:v>0.9023675999999999</x:v>
      </x:c>
      <x:c r="G349" s="9" t="str">
        <x:v>https://poke.idleworld.online/pokepedia/pokemon/abra</x:v>
      </x:c>
    </x:row>
    <x:row r="350" ht="22" customHeight="1">
      <x:c r="A350" s="1" t="n">
        <x:v>63</x:v>
      </x:c>
      <x:c r="B350" s="1" t="str">
        <x:v>Abra</x:v>
      </x:c>
      <x:c r="C350" s="1" t="str">
        <x:v>Future Orb</x:v>
      </x:c>
      <x:c r="D350" s="1" t="n">
        <x:v>1</x:v>
      </x:c>
      <x:c r="E350" s="1" t="n">
        <x:v>1</x:v>
      </x:c>
      <x:c r="F350" s="13" t="n">
        <x:v>0.9023674</x:v>
      </x:c>
      <x:c r="G350" s="9" t="str">
        <x:v>https://poke.idleworld.online/pokepedia/pokemon/abra</x:v>
      </x:c>
    </x:row>
    <x:row r="351" ht="22" customHeight="1">
      <x:c r="A351" s="1" t="n">
        <x:v>63</x:v>
      </x:c>
      <x:c r="B351" s="1" t="str">
        <x:v>Abra</x:v>
      </x:c>
      <x:c r="C351" s="1" t="str">
        <x:v>Psychic Spoon</x:v>
      </x:c>
      <x:c r="D351" s="1" t="n">
        <x:v>1</x:v>
      </x:c>
      <x:c r="E351" s="1" t="n">
        <x:v>1</x:v>
      </x:c>
      <x:c r="F351" s="13" t="n">
        <x:v>0.0000149</x:v>
      </x:c>
      <x:c r="G351" s="9" t="str">
        <x:v>https://poke.idleworld.online/pokepedia/pokemon/abra</x:v>
      </x:c>
    </x:row>
    <x:row r="352" ht="22" customHeight="1">
      <x:c r="A352" s="1" t="n">
        <x:v>64</x:v>
      </x:c>
      <x:c r="B352" s="1" t="str">
        <x:v>Kadabra</x:v>
      </x:c>
      <x:c r="C352" s="1" t="str">
        <x:v>Strange Pheromone</x:v>
      </x:c>
      <x:c r="D352" s="1" t="n">
        <x:v>1</x:v>
      </x:c>
      <x:c r="E352" s="1" t="n">
        <x:v>1</x:v>
      </x:c>
      <x:c r="F352" s="13" t="n">
        <x:v>0</x:v>
      </x:c>
      <x:c r="G352" s="9" t="str">
        <x:v>https://poke.idleworld.online/pokepedia/pokemon/kadabra</x:v>
      </x:c>
    </x:row>
    <x:row r="353" ht="22" customHeight="1">
      <x:c r="A353" s="1" t="n">
        <x:v>64</x:v>
      </x:c>
      <x:c r="B353" s="1" t="str">
        <x:v>Kadabra</x:v>
      </x:c>
      <x:c r="C353" s="1" t="str">
        <x:v>Enchanted Gem</x:v>
      </x:c>
      <x:c r="D353" s="1" t="n">
        <x:v>1</x:v>
      </x:c>
      <x:c r="E353" s="1" t="n">
        <x:v>8</x:v>
      </x:c>
      <x:c r="F353" s="13" t="n">
        <x:v>0.95</x:v>
      </x:c>
      <x:c r="G353" s="9" t="str">
        <x:v>https://poke.idleworld.online/pokepedia/pokemon/kadabra</x:v>
      </x:c>
    </x:row>
    <x:row r="354" ht="22" customHeight="1">
      <x:c r="A354" s="1" t="n">
        <x:v>64</x:v>
      </x:c>
      <x:c r="B354" s="1" t="str">
        <x:v>Kadabra</x:v>
      </x:c>
      <x:c r="C354" s="1" t="str">
        <x:v>Future Orb</x:v>
      </x:c>
      <x:c r="D354" s="1" t="n">
        <x:v>1</x:v>
      </x:c>
      <x:c r="E354" s="1" t="n">
        <x:v>1</x:v>
      </x:c>
      <x:c r="F354" s="13" t="n">
        <x:v>0.95</x:v>
      </x:c>
      <x:c r="G354" s="9" t="str">
        <x:v>https://poke.idleworld.online/pokepedia/pokemon/kadabra</x:v>
      </x:c>
    </x:row>
    <x:row r="355" ht="22" customHeight="1">
      <x:c r="A355" s="1" t="n">
        <x:v>64</x:v>
      </x:c>
      <x:c r="B355" s="1" t="str">
        <x:v>Kadabra</x:v>
      </x:c>
      <x:c r="C355" s="1" t="str">
        <x:v>Psychic Spoon</x:v>
      </x:c>
      <x:c r="D355" s="1" t="n">
        <x:v>1</x:v>
      </x:c>
      <x:c r="E355" s="1" t="n">
        <x:v>1</x:v>
      </x:c>
      <x:c r="F355" s="13" t="n">
        <x:v>0.1093782</x:v>
      </x:c>
      <x:c r="G355" s="9" t="str">
        <x:v>https://poke.idleworld.online/pokepedia/pokemon/kadabra</x:v>
      </x:c>
    </x:row>
    <x:row r="356" ht="22" customHeight="1">
      <x:c r="A356" s="1" t="n">
        <x:v>64</x:v>
      </x:c>
      <x:c r="B356" s="1" t="str">
        <x:v>Kadabra</x:v>
      </x:c>
      <x:c r="C356" s="1" t="str">
        <x:v>Enigma Stone</x:v>
      </x:c>
      <x:c r="D356" s="1" t="n">
        <x:v>1</x:v>
      </x:c>
      <x:c r="E356" s="1" t="n">
        <x:v>1</x:v>
      </x:c>
      <x:c r="F356" s="13" t="n">
        <x:v>0.0033569</x:v>
      </x:c>
      <x:c r="G356" s="9" t="str">
        <x:v>https://poke.idleworld.online/pokepedia/pokemon/kadabra</x:v>
      </x:c>
    </x:row>
    <x:row r="357" ht="22" customHeight="1">
      <x:c r="A357" s="1" t="n">
        <x:v>65</x:v>
      </x:c>
      <x:c r="B357" s="1" t="str">
        <x:v>Alakazam</x:v>
      </x:c>
      <x:c r="C357" s="1" t="str">
        <x:v>Strange Pheromone</x:v>
      </x:c>
      <x:c r="D357" s="1" t="n">
        <x:v>1</x:v>
      </x:c>
      <x:c r="E357" s="1" t="n">
        <x:v>1</x:v>
      </x:c>
      <x:c r="F357" s="13" t="n">
        <x:v>0</x:v>
      </x:c>
      <x:c r="G357" s="9" t="str">
        <x:v>https://poke.idleworld.online/pokepedia/pokemon/alakazam</x:v>
      </x:c>
    </x:row>
    <x:row r="358" ht="22" customHeight="1">
      <x:c r="A358" s="1" t="n">
        <x:v>65</x:v>
      </x:c>
      <x:c r="B358" s="1" t="str">
        <x:v>Alakazam</x:v>
      </x:c>
      <x:c r="C358" s="1" t="str">
        <x:v>Enchanted Gem</x:v>
      </x:c>
      <x:c r="D358" s="1" t="n">
        <x:v>1</x:v>
      </x:c>
      <x:c r="E358" s="1" t="n">
        <x:v>40</x:v>
      </x:c>
      <x:c r="F358" s="13" t="n">
        <x:v>0.95</x:v>
      </x:c>
      <x:c r="G358" s="9" t="str">
        <x:v>https://poke.idleworld.online/pokepedia/pokemon/alakazam</x:v>
      </x:c>
    </x:row>
    <x:row r="359" ht="22" customHeight="1">
      <x:c r="A359" s="1" t="n">
        <x:v>65</x:v>
      </x:c>
      <x:c r="B359" s="1" t="str">
        <x:v>Alakazam</x:v>
      </x:c>
      <x:c r="C359" s="1" t="str">
        <x:v>Future Orb</x:v>
      </x:c>
      <x:c r="D359" s="1" t="n">
        <x:v>1</x:v>
      </x:c>
      <x:c r="E359" s="1" t="n">
        <x:v>1</x:v>
      </x:c>
      <x:c r="F359" s="13" t="n">
        <x:v>0.95</x:v>
      </x:c>
      <x:c r="G359" s="9" t="str">
        <x:v>https://poke.idleworld.online/pokepedia/pokemon/alakazam</x:v>
      </x:c>
    </x:row>
    <x:row r="360" ht="22" customHeight="1">
      <x:c r="A360" s="1" t="n">
        <x:v>65</x:v>
      </x:c>
      <x:c r="B360" s="1" t="str">
        <x:v>Alakazam</x:v>
      </x:c>
      <x:c r="C360" s="1" t="str">
        <x:v>Psychic Spoon</x:v>
      </x:c>
      <x:c r="D360" s="1" t="n">
        <x:v>1</x:v>
      </x:c>
      <x:c r="E360" s="1" t="n">
        <x:v>1</x:v>
      </x:c>
      <x:c r="F360" s="13" t="n">
        <x:v>0.4084169</x:v>
      </x:c>
      <x:c r="G360" s="9" t="str">
        <x:v>https://poke.idleworld.online/pokepedia/pokemon/alakazam</x:v>
      </x:c>
    </x:row>
    <x:row r="361" ht="22" customHeight="1">
      <x:c r="A361" s="1" t="n">
        <x:v>65</x:v>
      </x:c>
      <x:c r="B361" s="1" t="str">
        <x:v>Alakazam</x:v>
      </x:c>
      <x:c r="C361" s="1" t="str">
        <x:v>Enigma Stone</x:v>
      </x:c>
      <x:c r="D361" s="1" t="n">
        <x:v>1</x:v>
      </x:c>
      <x:c r="E361" s="1" t="n">
        <x:v>1</x:v>
      </x:c>
      <x:c r="F361" s="13" t="n">
        <x:v>0.0092735</x:v>
      </x:c>
      <x:c r="G361" s="9" t="str">
        <x:v>https://poke.idleworld.online/pokepedia/pokemon/alakazam</x:v>
      </x:c>
    </x:row>
    <x:row r="362" ht="22" customHeight="1">
      <x:c r="A362" s="1" t="n">
        <x:v>66</x:v>
      </x:c>
      <x:c r="B362" s="1" t="str">
        <x:v>Machop</x:v>
      </x:c>
      <x:c r="C362" s="1" t="str">
        <x:v>Strange Pheromone</x:v>
      </x:c>
      <x:c r="D362" s="1" t="n">
        <x:v>1</x:v>
      </x:c>
      <x:c r="E362" s="1" t="n">
        <x:v>1</x:v>
      </x:c>
      <x:c r="F362" s="13" t="n">
        <x:v>0</x:v>
      </x:c>
      <x:c r="G362" s="9" t="str">
        <x:v>https://poke.idleworld.online/pokepedia/pokemon/machop</x:v>
      </x:c>
    </x:row>
    <x:row r="363" ht="22" customHeight="1">
      <x:c r="A363" s="1" t="n">
        <x:v>66</x:v>
      </x:c>
      <x:c r="B363" s="1" t="str">
        <x:v>Machop</x:v>
      </x:c>
      <x:c r="C363" s="1" t="str">
        <x:v>Band Aid</x:v>
      </x:c>
      <x:c r="D363" s="1" t="n">
        <x:v>1</x:v>
      </x:c>
      <x:c r="E363" s="1" t="n">
        <x:v>10</x:v>
      </x:c>
      <x:c r="F363" s="13" t="n">
        <x:v>0.6956939</x:v>
      </x:c>
      <x:c r="G363" s="9" t="str">
        <x:v>https://poke.idleworld.online/pokepedia/pokemon/machop</x:v>
      </x:c>
    </x:row>
    <x:row r="364" ht="22" customHeight="1">
      <x:c r="A364" s="1" t="n">
        <x:v>66</x:v>
      </x:c>
      <x:c r="B364" s="1" t="str">
        <x:v>Machop</x:v>
      </x:c>
      <x:c r="C364" s="1" t="str">
        <x:v>Belt of Champion</x:v>
      </x:c>
      <x:c r="D364" s="1" t="n">
        <x:v>1</x:v>
      </x:c>
      <x:c r="E364" s="1" t="n">
        <x:v>1</x:v>
      </x:c>
      <x:c r="F364" s="13" t="n">
        <x:v>0.0167152</x:v>
      </x:c>
      <x:c r="G364" s="9" t="str">
        <x:v>https://poke.idleworld.online/pokepedia/pokemon/machop</x:v>
      </x:c>
    </x:row>
    <x:row r="365" ht="22" customHeight="1">
      <x:c r="A365" s="1" t="n">
        <x:v>67</x:v>
      </x:c>
      <x:c r="B365" s="1" t="str">
        <x:v>Machoke</x:v>
      </x:c>
      <x:c r="C365" s="1" t="str">
        <x:v>Strange Pheromone</x:v>
      </x:c>
      <x:c r="D365" s="1" t="n">
        <x:v>1</x:v>
      </x:c>
      <x:c r="E365" s="1" t="n">
        <x:v>1</x:v>
      </x:c>
      <x:c r="F365" s="13" t="n">
        <x:v>0</x:v>
      </x:c>
      <x:c r="G365" s="9" t="str">
        <x:v>https://poke.idleworld.online/pokepedia/pokemon/machoke</x:v>
      </x:c>
    </x:row>
    <x:row r="366" ht="22" customHeight="1">
      <x:c r="A366" s="1" t="n">
        <x:v>67</x:v>
      </x:c>
      <x:c r="B366" s="1" t="str">
        <x:v>Machoke</x:v>
      </x:c>
      <x:c r="C366" s="1" t="str">
        <x:v>Band Aid</x:v>
      </x:c>
      <x:c r="D366" s="1" t="n">
        <x:v>1</x:v>
      </x:c>
      <x:c r="E366" s="1" t="n">
        <x:v>23</x:v>
      </x:c>
      <x:c r="F366" s="13" t="n">
        <x:v>0.95</x:v>
      </x:c>
      <x:c r="G366" s="9" t="str">
        <x:v>https://poke.idleworld.online/pokepedia/pokemon/machoke</x:v>
      </x:c>
    </x:row>
    <x:row r="367" ht="22" customHeight="1">
      <x:c r="A367" s="1" t="n">
        <x:v>67</x:v>
      </x:c>
      <x:c r="B367" s="1" t="str">
        <x:v>Machoke</x:v>
      </x:c>
      <x:c r="C367" s="1" t="str">
        <x:v>Belt of Champion</x:v>
      </x:c>
      <x:c r="D367" s="1" t="n">
        <x:v>1</x:v>
      </x:c>
      <x:c r="E367" s="1" t="n">
        <x:v>1</x:v>
      </x:c>
      <x:c r="F367" s="13" t="n">
        <x:v>0.0171784</x:v>
      </x:c>
      <x:c r="G367" s="9" t="str">
        <x:v>https://poke.idleworld.online/pokepedia/pokemon/machoke</x:v>
      </x:c>
    </x:row>
    <x:row r="368" ht="22" customHeight="1">
      <x:c r="A368" s="1" t="n">
        <x:v>67</x:v>
      </x:c>
      <x:c r="B368" s="1" t="str">
        <x:v>Machoke</x:v>
      </x:c>
      <x:c r="C368" s="1" t="str">
        <x:v>Punch Stone</x:v>
      </x:c>
      <x:c r="D368" s="1" t="n">
        <x:v>1</x:v>
      </x:c>
      <x:c r="E368" s="1" t="n">
        <x:v>1</x:v>
      </x:c>
      <x:c r="F368" s="13" t="n">
        <x:v>0.0024496</x:v>
      </x:c>
      <x:c r="G368" s="9" t="str">
        <x:v>https://poke.idleworld.online/pokepedia/pokemon/machoke</x:v>
      </x:c>
    </x:row>
    <x:row r="369" ht="22" customHeight="1">
      <x:c r="A369" s="1" t="n">
        <x:v>68</x:v>
      </x:c>
      <x:c r="B369" s="1" t="str">
        <x:v>Machamp</x:v>
      </x:c>
      <x:c r="C369" s="1" t="str">
        <x:v>Strange Pheromone</x:v>
      </x:c>
      <x:c r="D369" s="1" t="n">
        <x:v>1</x:v>
      </x:c>
      <x:c r="E369" s="1" t="n">
        <x:v>1</x:v>
      </x:c>
      <x:c r="F369" s="13" t="n">
        <x:v>0</x:v>
      </x:c>
      <x:c r="G369" s="9" t="str">
        <x:v>https://poke.idleworld.online/pokepedia/pokemon/machamp</x:v>
      </x:c>
    </x:row>
    <x:row r="370" ht="22" customHeight="1">
      <x:c r="A370" s="1" t="n">
        <x:v>68</x:v>
      </x:c>
      <x:c r="B370" s="1" t="str">
        <x:v>Machamp</x:v>
      </x:c>
      <x:c r="C370" s="1" t="str">
        <x:v>Band Aid</x:v>
      </x:c>
      <x:c r="D370" s="1" t="n">
        <x:v>1</x:v>
      </x:c>
      <x:c r="E370" s="1" t="n">
        <x:v>40</x:v>
      </x:c>
      <x:c r="F370" s="13" t="n">
        <x:v>0.95</x:v>
      </x:c>
      <x:c r="G370" s="9" t="str">
        <x:v>https://poke.idleworld.online/pokepedia/pokemon/machamp</x:v>
      </x:c>
    </x:row>
    <x:row r="371" ht="22" customHeight="1">
      <x:c r="A371" s="1" t="n">
        <x:v>68</x:v>
      </x:c>
      <x:c r="B371" s="1" t="str">
        <x:v>Machamp</x:v>
      </x:c>
      <x:c r="C371" s="1" t="str">
        <x:v>Belt of Champion</x:v>
      </x:c>
      <x:c r="D371" s="1" t="n">
        <x:v>1</x:v>
      </x:c>
      <x:c r="E371" s="1" t="n">
        <x:v>1</x:v>
      </x:c>
      <x:c r="F371" s="13" t="n">
        <x:v>0.07078770000000001</x:v>
      </x:c>
      <x:c r="G371" s="9" t="str">
        <x:v>https://poke.idleworld.online/pokepedia/pokemon/machamp</x:v>
      </x:c>
    </x:row>
    <x:row r="372" ht="22" customHeight="1">
      <x:c r="A372" s="1" t="n">
        <x:v>68</x:v>
      </x:c>
      <x:c r="B372" s="1" t="str">
        <x:v>Machamp</x:v>
      </x:c>
      <x:c r="C372" s="1" t="str">
        <x:v>Punch Stone</x:v>
      </x:c>
      <x:c r="D372" s="1" t="n">
        <x:v>1</x:v>
      </x:c>
      <x:c r="E372" s="1" t="n">
        <x:v>1</x:v>
      </x:c>
      <x:c r="F372" s="13" t="n">
        <x:v>0.007736799999999999</x:v>
      </x:c>
      <x:c r="G372" s="9" t="str">
        <x:v>https://poke.idleworld.online/pokepedia/pokemon/machamp</x:v>
      </x:c>
    </x:row>
    <x:row r="373" ht="22" customHeight="1">
      <x:c r="A373" s="1" t="n">
        <x:v>69</x:v>
      </x:c>
      <x:c r="B373" s="1" t="str">
        <x:v>Bellsprout</x:v>
      </x:c>
      <x:c r="C373" s="1" t="str">
        <x:v>Strange Pheromone</x:v>
      </x:c>
      <x:c r="D373" s="1" t="n">
        <x:v>1</x:v>
      </x:c>
      <x:c r="E373" s="1" t="n">
        <x:v>1</x:v>
      </x:c>
      <x:c r="F373" s="13" t="n">
        <x:v>0</x:v>
      </x:c>
      <x:c r="G373" s="9" t="str">
        <x:v>https://poke.idleworld.online/pokepedia/pokemon/bellsprout</x:v>
      </x:c>
    </x:row>
    <x:row r="374" ht="22" customHeight="1">
      <x:c r="A374" s="1" t="n">
        <x:v>69</x:v>
      </x:c>
      <x:c r="B374" s="1" t="str">
        <x:v>Bellsprout</x:v>
      </x:c>
      <x:c r="C374" s="1" t="str">
        <x:v>Seed</x:v>
      </x:c>
      <x:c r="D374" s="1" t="n">
        <x:v>1</x:v>
      </x:c>
      <x:c r="E374" s="1" t="n">
        <x:v>1</x:v>
      </x:c>
      <x:c r="F374" s="13" t="n">
        <x:v>0.8420638</x:v>
      </x:c>
      <x:c r="G374" s="9" t="str">
        <x:v>https://poke.idleworld.online/pokepedia/pokemon/bellsprout</x:v>
      </x:c>
    </x:row>
    <x:row r="375" ht="22" customHeight="1">
      <x:c r="A375" s="1" t="n">
        <x:v>69</x:v>
      </x:c>
      <x:c r="B375" s="1" t="str">
        <x:v>Bellsprout</x:v>
      </x:c>
      <x:c r="C375" s="1" t="str">
        <x:v>Bottles of Poison</x:v>
      </x:c>
      <x:c r="D375" s="1" t="n">
        <x:v>1</x:v>
      </x:c>
      <x:c r="E375" s="1" t="n">
        <x:v>1</x:v>
      </x:c>
      <x:c r="F375" s="13" t="n">
        <x:v>0.8420638</x:v>
      </x:c>
      <x:c r="G375" s="9" t="str">
        <x:v>https://poke.idleworld.online/pokepedia/pokemon/bellsprout</x:v>
      </x:c>
    </x:row>
    <x:row r="376" ht="22" customHeight="1">
      <x:c r="A376" s="1" t="n">
        <x:v>69</x:v>
      </x:c>
      <x:c r="B376" s="1" t="str">
        <x:v>Bellsprout</x:v>
      </x:c>
      <x:c r="C376" s="1" t="str">
        <x:v>Leaves</x:v>
      </x:c>
      <x:c r="D376" s="1" t="n">
        <x:v>1</x:v>
      </x:c>
      <x:c r="E376" s="1" t="n">
        <x:v>1</x:v>
      </x:c>
      <x:c r="F376" s="13" t="n">
        <x:v>0.8420637</x:v>
      </x:c>
      <x:c r="G376" s="9" t="str">
        <x:v>https://poke.idleworld.online/pokepedia/pokemon/bellsprout</x:v>
      </x:c>
    </x:row>
    <x:row r="377" ht="22" customHeight="1">
      <x:c r="A377" s="1" t="n">
        <x:v>69</x:v>
      </x:c>
      <x:c r="B377" s="1" t="str">
        <x:v>Bellsprout</x:v>
      </x:c>
      <x:c r="C377" s="1" t="str">
        <x:v>Plant Tail</x:v>
      </x:c>
      <x:c r="D377" s="1" t="n">
        <x:v>1</x:v>
      </x:c>
      <x:c r="E377" s="1" t="n">
        <x:v>1</x:v>
      </x:c>
      <x:c r="F377" s="13" t="n">
        <x:v>0.0318011</x:v>
      </x:c>
      <x:c r="G377" s="9" t="str">
        <x:v>https://poke.idleworld.online/pokepedia/pokemon/bellsprout</x:v>
      </x:c>
    </x:row>
    <x:row r="378" ht="22" customHeight="1">
      <x:c r="A378" s="1" t="n">
        <x:v>70</x:v>
      </x:c>
      <x:c r="B378" s="1" t="str">
        <x:v>Weepinbell</x:v>
      </x:c>
      <x:c r="C378" s="1" t="str">
        <x:v>Strange Pheromone</x:v>
      </x:c>
      <x:c r="D378" s="1" t="n">
        <x:v>1</x:v>
      </x:c>
      <x:c r="E378" s="1" t="n">
        <x:v>1</x:v>
      </x:c>
      <x:c r="F378" s="13" t="n">
        <x:v>0</x:v>
      </x:c>
      <x:c r="G378" s="9" t="str">
        <x:v>https://poke.idleworld.online/pokepedia/pokemon/weepinbell</x:v>
      </x:c>
    </x:row>
    <x:row r="379" ht="22" customHeight="1">
      <x:c r="A379" s="1" t="n">
        <x:v>70</x:v>
      </x:c>
      <x:c r="B379" s="1" t="str">
        <x:v>Weepinbell</x:v>
      </x:c>
      <x:c r="C379" s="1" t="str">
        <x:v>Bottles of Poison</x:v>
      </x:c>
      <x:c r="D379" s="1" t="n">
        <x:v>1</x:v>
      </x:c>
      <x:c r="E379" s="1" t="n">
        <x:v>6</x:v>
      </x:c>
      <x:c r="F379" s="13" t="n">
        <x:v>0.95</x:v>
      </x:c>
      <x:c r="G379" s="9" t="str">
        <x:v>https://poke.idleworld.online/pokepedia/pokemon/weepinbell</x:v>
      </x:c>
    </x:row>
    <x:row r="380" ht="22" customHeight="1">
      <x:c r="A380" s="1" t="n">
        <x:v>70</x:v>
      </x:c>
      <x:c r="B380" s="1" t="str">
        <x:v>Weepinbell</x:v>
      </x:c>
      <x:c r="C380" s="1" t="str">
        <x:v>Seed</x:v>
      </x:c>
      <x:c r="D380" s="1" t="n">
        <x:v>1</x:v>
      </x:c>
      <x:c r="E380" s="1" t="n">
        <x:v>6</x:v>
      </x:c>
      <x:c r="F380" s="13" t="n">
        <x:v>0.95</x:v>
      </x:c>
      <x:c r="G380" s="9" t="str">
        <x:v>https://poke.idleworld.online/pokepedia/pokemon/weepinbell</x:v>
      </x:c>
    </x:row>
    <x:row r="381" ht="22" customHeight="1">
      <x:c r="A381" s="1" t="n">
        <x:v>70</x:v>
      </x:c>
      <x:c r="B381" s="1" t="str">
        <x:v>Weepinbell</x:v>
      </x:c>
      <x:c r="C381" s="1" t="str">
        <x:v>Leaves</x:v>
      </x:c>
      <x:c r="D381" s="1" t="n">
        <x:v>1</x:v>
      </x:c>
      <x:c r="E381" s="1" t="n">
        <x:v>1</x:v>
      </x:c>
      <x:c r="F381" s="13" t="n">
        <x:v>0.7972839</x:v>
      </x:c>
      <x:c r="G381" s="9" t="str">
        <x:v>https://poke.idleworld.online/pokepedia/pokemon/weepinbell</x:v>
      </x:c>
    </x:row>
    <x:row r="382" ht="22" customHeight="1">
      <x:c r="A382" s="1" t="n">
        <x:v>70</x:v>
      </x:c>
      <x:c r="B382" s="1" t="str">
        <x:v>Weepinbell</x:v>
      </x:c>
      <x:c r="C382" s="1" t="str">
        <x:v>Plant Tail</x:v>
      </x:c>
      <x:c r="D382" s="1" t="n">
        <x:v>1</x:v>
      </x:c>
      <x:c r="E382" s="1" t="n">
        <x:v>1</x:v>
      </x:c>
      <x:c r="F382" s="13" t="n">
        <x:v>0.0608412</x:v>
      </x:c>
      <x:c r="G382" s="9" t="str">
        <x:v>https://poke.idleworld.online/pokepedia/pokemon/weepinbell</x:v>
      </x:c>
    </x:row>
    <x:row r="383" ht="22" customHeight="1">
      <x:c r="A383" s="1" t="n">
        <x:v>70</x:v>
      </x:c>
      <x:c r="B383" s="1" t="str">
        <x:v>Weepinbell</x:v>
      </x:c>
      <x:c r="C383" s="1" t="str">
        <x:v>Venom Stone</x:v>
      </x:c>
      <x:c r="D383" s="1" t="n">
        <x:v>1</x:v>
      </x:c>
      <x:c r="E383" s="1" t="n">
        <x:v>1</x:v>
      </x:c>
      <x:c r="F383" s="13" t="n">
        <x:v>0.0008898</x:v>
      </x:c>
      <x:c r="G383" s="9" t="str">
        <x:v>https://poke.idleworld.online/pokepedia/pokemon/weepinbell</x:v>
      </x:c>
    </x:row>
    <x:row r="384" ht="22" customHeight="1">
      <x:c r="A384" s="1" t="n">
        <x:v>70</x:v>
      </x:c>
      <x:c r="B384" s="1" t="str">
        <x:v>Weepinbell</x:v>
      </x:c>
      <x:c r="C384" s="1" t="str">
        <x:v>Leaf Stone</x:v>
      </x:c>
      <x:c r="D384" s="1" t="n">
        <x:v>1</x:v>
      </x:c>
      <x:c r="E384" s="1" t="n">
        <x:v>1</x:v>
      </x:c>
      <x:c r="F384" s="13" t="n">
        <x:v>0.0008898</x:v>
      </x:c>
      <x:c r="G384" s="9" t="str">
        <x:v>https://poke.idleworld.online/pokepedia/pokemon/weepinbell</x:v>
      </x:c>
    </x:row>
    <x:row r="385" ht="22" customHeight="1">
      <x:c r="A385" s="1" t="n">
        <x:v>71</x:v>
      </x:c>
      <x:c r="B385" s="1" t="str">
        <x:v>Victreebel</x:v>
      </x:c>
      <x:c r="C385" s="1" t="str">
        <x:v>Strange Pheromone</x:v>
      </x:c>
      <x:c r="D385" s="1" t="n">
        <x:v>1</x:v>
      </x:c>
      <x:c r="E385" s="1" t="n">
        <x:v>1</x:v>
      </x:c>
      <x:c r="F385" s="13" t="n">
        <x:v>0</x:v>
      </x:c>
      <x:c r="G385" s="9" t="str">
        <x:v>https://poke.idleworld.online/pokepedia/pokemon/victreebel</x:v>
      </x:c>
    </x:row>
    <x:row r="386" ht="22" customHeight="1">
      <x:c r="A386" s="1" t="n">
        <x:v>71</x:v>
      </x:c>
      <x:c r="B386" s="1" t="str">
        <x:v>Victreebel</x:v>
      </x:c>
      <x:c r="C386" s="1" t="str">
        <x:v>Bottles of Poison</x:v>
      </x:c>
      <x:c r="D386" s="1" t="n">
        <x:v>1</x:v>
      </x:c>
      <x:c r="E386" s="1" t="n">
        <x:v>13</x:v>
      </x:c>
      <x:c r="F386" s="13" t="n">
        <x:v>0.95</x:v>
      </x:c>
      <x:c r="G386" s="9" t="str">
        <x:v>https://poke.idleworld.online/pokepedia/pokemon/victreebel</x:v>
      </x:c>
    </x:row>
    <x:row r="387" ht="22" customHeight="1">
      <x:c r="A387" s="1" t="n">
        <x:v>71</x:v>
      </x:c>
      <x:c r="B387" s="1" t="str">
        <x:v>Victreebel</x:v>
      </x:c>
      <x:c r="C387" s="1" t="str">
        <x:v>Seed</x:v>
      </x:c>
      <x:c r="D387" s="1" t="n">
        <x:v>1</x:v>
      </x:c>
      <x:c r="E387" s="1" t="n">
        <x:v>13</x:v>
      </x:c>
      <x:c r="F387" s="13" t="n">
        <x:v>0.95</x:v>
      </x:c>
      <x:c r="G387" s="9" t="str">
        <x:v>https://poke.idleworld.online/pokepedia/pokemon/victreebel</x:v>
      </x:c>
    </x:row>
    <x:row r="388" ht="22" customHeight="1">
      <x:c r="A388" s="1" t="n">
        <x:v>71</x:v>
      </x:c>
      <x:c r="B388" s="1" t="str">
        <x:v>Victreebel</x:v>
      </x:c>
      <x:c r="C388" s="1" t="str">
        <x:v>Leaves</x:v>
      </x:c>
      <x:c r="D388" s="1" t="n">
        <x:v>1</x:v>
      </x:c>
      <x:c r="E388" s="1" t="n">
        <x:v>1</x:v>
      </x:c>
      <x:c r="F388" s="13" t="n">
        <x:v>0.8905257000000001</x:v>
      </x:c>
      <x:c r="G388" s="9" t="str">
        <x:v>https://poke.idleworld.online/pokepedia/pokemon/victreebel</x:v>
      </x:c>
    </x:row>
    <x:row r="389" ht="22" customHeight="1">
      <x:c r="A389" s="1" t="n">
        <x:v>71</x:v>
      </x:c>
      <x:c r="B389" s="1" t="str">
        <x:v>Victreebel</x:v>
      </x:c>
      <x:c r="C389" s="1" t="str">
        <x:v>Plant Tail</x:v>
      </x:c>
      <x:c r="D389" s="1" t="n">
        <x:v>1</x:v>
      </x:c>
      <x:c r="E389" s="1" t="n">
        <x:v>1</x:v>
      </x:c>
      <x:c r="F389" s="13" t="n">
        <x:v>0.21124900000000002</x:v>
      </x:c>
      <x:c r="G389" s="9" t="str">
        <x:v>https://poke.idleworld.online/pokepedia/pokemon/victreebel</x:v>
      </x:c>
    </x:row>
    <x:row r="390" ht="22" customHeight="1">
      <x:c r="A390" s="1" t="n">
        <x:v>71</x:v>
      </x:c>
      <x:c r="B390" s="1" t="str">
        <x:v>Victreebel</x:v>
      </x:c>
      <x:c r="C390" s="1" t="str">
        <x:v>Venom Stone</x:v>
      </x:c>
      <x:c r="D390" s="1" t="n">
        <x:v>1</x:v>
      </x:c>
      <x:c r="E390" s="1" t="n">
        <x:v>1</x:v>
      </x:c>
      <x:c r="F390" s="13" t="n">
        <x:v>0.0019456</x:v>
      </x:c>
      <x:c r="G390" s="9" t="str">
        <x:v>https://poke.idleworld.online/pokepedia/pokemon/victreebel</x:v>
      </x:c>
    </x:row>
    <x:row r="391" ht="22" customHeight="1">
      <x:c r="A391" s="1" t="n">
        <x:v>71</x:v>
      </x:c>
      <x:c r="B391" s="1" t="str">
        <x:v>Victreebel</x:v>
      </x:c>
      <x:c r="C391" s="1" t="str">
        <x:v>Leaf Stone</x:v>
      </x:c>
      <x:c r="D391" s="1" t="n">
        <x:v>1</x:v>
      </x:c>
      <x:c r="E391" s="1" t="n">
        <x:v>1</x:v>
      </x:c>
      <x:c r="F391" s="13" t="n">
        <x:v>0.0019456</x:v>
      </x:c>
      <x:c r="G391" s="9" t="str">
        <x:v>https://poke.idleworld.online/pokepedia/pokemon/victreebel</x:v>
      </x:c>
    </x:row>
    <x:row r="392" ht="22" customHeight="1">
      <x:c r="A392" s="1" t="n">
        <x:v>72</x:v>
      </x:c>
      <x:c r="B392" s="1" t="str">
        <x:v>Tentacool</x:v>
      </x:c>
      <x:c r="C392" s="1" t="str">
        <x:v>Strange Pheromone</x:v>
      </x:c>
      <x:c r="D392" s="1" t="n">
        <x:v>1</x:v>
      </x:c>
      <x:c r="E392" s="1" t="n">
        <x:v>1</x:v>
      </x:c>
      <x:c r="F392" s="13" t="n">
        <x:v>0</x:v>
      </x:c>
      <x:c r="G392" s="9" t="str">
        <x:v>https://poke.idleworld.online/pokepedia/pokemon/tentacool</x:v>
      </x:c>
    </x:row>
    <x:row r="393" ht="22" customHeight="1">
      <x:c r="A393" s="1" t="n">
        <x:v>72</x:v>
      </x:c>
      <x:c r="B393" s="1" t="str">
        <x:v>Tentacool</x:v>
      </x:c>
      <x:c r="C393" s="1" t="str">
        <x:v>Water Gem</x:v>
      </x:c>
      <x:c r="D393" s="1" t="n">
        <x:v>1</x:v>
      </x:c>
      <x:c r="E393" s="1" t="n">
        <x:v>4</x:v>
      </x:c>
      <x:c r="F393" s="13" t="n">
        <x:v>0.95</x:v>
      </x:c>
      <x:c r="G393" s="9" t="str">
        <x:v>https://poke.idleworld.online/pokepedia/pokemon/tentacool</x:v>
      </x:c>
    </x:row>
    <x:row r="394" ht="22" customHeight="1">
      <x:c r="A394" s="1" t="n">
        <x:v>72</x:v>
      </x:c>
      <x:c r="B394" s="1" t="str">
        <x:v>Tentacool</x:v>
      </x:c>
      <x:c r="C394" s="1" t="str">
        <x:v>Bottles of Poison</x:v>
      </x:c>
      <x:c r="D394" s="1" t="n">
        <x:v>1</x:v>
      </x:c>
      <x:c r="E394" s="1" t="n">
        <x:v>4</x:v>
      </x:c>
      <x:c r="F394" s="13" t="n">
        <x:v>0.95</x:v>
      </x:c>
      <x:c r="G394" s="9" t="str">
        <x:v>https://poke.idleworld.online/pokepedia/pokemon/tentacool</x:v>
      </x:c>
    </x:row>
    <x:row r="395" ht="22" customHeight="1">
      <x:c r="A395" s="1" t="n">
        <x:v>72</x:v>
      </x:c>
      <x:c r="B395" s="1" t="str">
        <x:v>Tentacool</x:v>
      </x:c>
      <x:c r="C395" s="1" t="str">
        <x:v>Ruby</x:v>
      </x:c>
      <x:c r="D395" s="1" t="n">
        <x:v>1</x:v>
      </x:c>
      <x:c r="E395" s="1" t="n">
        <x:v>1</x:v>
      </x:c>
      <x:c r="F395" s="13" t="n">
        <x:v>0.0760026</x:v>
      </x:c>
      <x:c r="G395" s="9" t="str">
        <x:v>https://poke.idleworld.online/pokepedia/pokemon/tentacool</x:v>
      </x:c>
    </x:row>
    <x:row r="396" ht="22" customHeight="1">
      <x:c r="A396" s="1" t="n">
        <x:v>72</x:v>
      </x:c>
      <x:c r="B396" s="1" t="str">
        <x:v>Tentacool</x:v>
      </x:c>
      <x:c r="C396" s="1" t="str">
        <x:v>Giant Ruby</x:v>
      </x:c>
      <x:c r="D396" s="1" t="n">
        <x:v>1</x:v>
      </x:c>
      <x:c r="E396" s="1" t="n">
        <x:v>1</x:v>
      </x:c>
      <x:c r="F396" s="13" t="n">
        <x:v>0.008434500000000001</x:v>
      </x:c>
      <x:c r="G396" s="9" t="str">
        <x:v>https://poke.idleworld.online/pokepedia/pokemon/tentacool</x:v>
      </x:c>
    </x:row>
    <x:row r="397" ht="22" customHeight="1">
      <x:c r="A397" s="1" t="n">
        <x:v>73</x:v>
      </x:c>
      <x:c r="B397" s="1" t="str">
        <x:v>Tentacruel</x:v>
      </x:c>
      <x:c r="C397" s="1" t="str">
        <x:v>Strange Pheromone</x:v>
      </x:c>
      <x:c r="D397" s="1" t="n">
        <x:v>1</x:v>
      </x:c>
      <x:c r="E397" s="1" t="n">
        <x:v>1</x:v>
      </x:c>
      <x:c r="F397" s="13" t="n">
        <x:v>0</x:v>
      </x:c>
      <x:c r="G397" s="9" t="str">
        <x:v>https://poke.idleworld.online/pokepedia/pokemon/tentacruel</x:v>
      </x:c>
    </x:row>
    <x:row r="398" ht="22" customHeight="1">
      <x:c r="A398" s="1" t="n">
        <x:v>73</x:v>
      </x:c>
      <x:c r="B398" s="1" t="str">
        <x:v>Tentacruel</x:v>
      </x:c>
      <x:c r="C398" s="1" t="str">
        <x:v>Bottles of Poison</x:v>
      </x:c>
      <x:c r="D398" s="1" t="n">
        <x:v>1</x:v>
      </x:c>
      <x:c r="E398" s="1" t="n">
        <x:v>20</x:v>
      </x:c>
      <x:c r="F398" s="13" t="n">
        <x:v>0.8773797</x:v>
      </x:c>
      <x:c r="G398" s="9" t="str">
        <x:v>https://poke.idleworld.online/pokepedia/pokemon/tentacruel</x:v>
      </x:c>
    </x:row>
    <x:row r="399" ht="22" customHeight="1">
      <x:c r="A399" s="1" t="n">
        <x:v>73</x:v>
      </x:c>
      <x:c r="B399" s="1" t="str">
        <x:v>Tentacruel</x:v>
      </x:c>
      <x:c r="C399" s="1" t="str">
        <x:v>Water Gem</x:v>
      </x:c>
      <x:c r="D399" s="1" t="n">
        <x:v>1</x:v>
      </x:c>
      <x:c r="E399" s="1" t="n">
        <x:v>20</x:v>
      </x:c>
      <x:c r="F399" s="13" t="n">
        <x:v>0.8773797</x:v>
      </x:c>
      <x:c r="G399" s="9" t="str">
        <x:v>https://poke.idleworld.online/pokepedia/pokemon/tentacruel</x:v>
      </x:c>
    </x:row>
    <x:row r="400" ht="22" customHeight="1">
      <x:c r="A400" s="1" t="n">
        <x:v>73</x:v>
      </x:c>
      <x:c r="B400" s="1" t="str">
        <x:v>Tentacruel</x:v>
      </x:c>
      <x:c r="C400" s="1" t="str">
        <x:v>Ruby</x:v>
      </x:c>
      <x:c r="D400" s="1" t="n">
        <x:v>1</x:v>
      </x:c>
      <x:c r="E400" s="1" t="n">
        <x:v>1</x:v>
      </x:c>
      <x:c r="F400" s="13" t="n">
        <x:v>0.278574</x:v>
      </x:c>
      <x:c r="G400" s="9" t="str">
        <x:v>https://poke.idleworld.online/pokepedia/pokemon/tentacruel</x:v>
      </x:c>
    </x:row>
    <x:row r="401" ht="22" customHeight="1">
      <x:c r="A401" s="1" t="n">
        <x:v>73</x:v>
      </x:c>
      <x:c r="B401" s="1" t="str">
        <x:v>Tentacruel</x:v>
      </x:c>
      <x:c r="C401" s="1" t="str">
        <x:v>Giant Ruby</x:v>
      </x:c>
      <x:c r="D401" s="1" t="n">
        <x:v>1</x:v>
      </x:c>
      <x:c r="E401" s="1" t="n">
        <x:v>1</x:v>
      </x:c>
      <x:c r="F401" s="13" t="n">
        <x:v>0.0499171</x:v>
      </x:c>
      <x:c r="G401" s="9" t="str">
        <x:v>https://poke.idleworld.online/pokepedia/pokemon/tentacruel</x:v>
      </x:c>
    </x:row>
    <x:row r="402" ht="22" customHeight="1">
      <x:c r="A402" s="1" t="n">
        <x:v>73</x:v>
      </x:c>
      <x:c r="B402" s="1" t="str">
        <x:v>Tentacruel</x:v>
      </x:c>
      <x:c r="C402" s="1" t="str">
        <x:v>Diving Mask</x:v>
      </x:c>
      <x:c r="D402" s="1" t="n">
        <x:v>1</x:v>
      </x:c>
      <x:c r="E402" s="1" t="n">
        <x:v>1</x:v>
      </x:c>
      <x:c r="F402" s="13" t="n">
        <x:v>0.0058024</x:v>
      </x:c>
      <x:c r="G402" s="9" t="str">
        <x:v>https://poke.idleworld.online/pokepedia/pokemon/tentacruel</x:v>
      </x:c>
    </x:row>
    <x:row r="403" ht="22" customHeight="1">
      <x:c r="A403" s="1" t="n">
        <x:v>73</x:v>
      </x:c>
      <x:c r="B403" s="1" t="str">
        <x:v>Tentacruel</x:v>
      </x:c>
      <x:c r="C403" s="1" t="str">
        <x:v>Air Tank</x:v>
      </x:c>
      <x:c r="D403" s="1" t="n">
        <x:v>1</x:v>
      </x:c>
      <x:c r="E403" s="1" t="n">
        <x:v>1</x:v>
      </x:c>
      <x:c r="F403" s="13" t="n">
        <x:v>0.0058024</x:v>
      </x:c>
      <x:c r="G403" s="9" t="str">
        <x:v>https://poke.idleworld.online/pokepedia/pokemon/tentacruel</x:v>
      </x:c>
    </x:row>
    <x:row r="404" ht="22" customHeight="1">
      <x:c r="A404" s="1" t="n">
        <x:v>73</x:v>
      </x:c>
      <x:c r="B404" s="1" t="str">
        <x:v>Tentacruel</x:v>
      </x:c>
      <x:c r="C404" s="1" t="str">
        <x:v>Venom Stone</x:v>
      </x:c>
      <x:c r="D404" s="1" t="n">
        <x:v>1</x:v>
      </x:c>
      <x:c r="E404" s="1" t="n">
        <x:v>1</x:v>
      </x:c>
      <x:c r="F404" s="13" t="n">
        <x:v>0.00297</x:v>
      </x:c>
      <x:c r="G404" s="9" t="str">
        <x:v>https://poke.idleworld.online/pokepedia/pokemon/tentacruel</x:v>
      </x:c>
    </x:row>
    <x:row r="405" ht="22" customHeight="1">
      <x:c r="A405" s="1" t="n">
        <x:v>73</x:v>
      </x:c>
      <x:c r="B405" s="1" t="str">
        <x:v>Tentacruel</x:v>
      </x:c>
      <x:c r="C405" s="1" t="str">
        <x:v>Water Stone</x:v>
      </x:c>
      <x:c r="D405" s="1" t="n">
        <x:v>1</x:v>
      </x:c>
      <x:c r="E405" s="1" t="n">
        <x:v>1</x:v>
      </x:c>
      <x:c r="F405" s="13" t="n">
        <x:v>0.00297</x:v>
      </x:c>
      <x:c r="G405" s="9" t="str">
        <x:v>https://poke.idleworld.online/pokepedia/pokemon/tentacruel</x:v>
      </x:c>
    </x:row>
    <x:row r="406" ht="22" customHeight="1">
      <x:c r="A406" s="1" t="n">
        <x:v>73</x:v>
      </x:c>
      <x:c r="B406" s="1" t="str">
        <x:v>Tentacruel</x:v>
      </x:c>
      <x:c r="C406" s="1" t="str">
        <x:v>Fins</x:v>
      </x:c>
      <x:c r="D406" s="1" t="n">
        <x:v>1</x:v>
      </x:c>
      <x:c r="E406" s="1" t="n">
        <x:v>1</x:v>
      </x:c>
      <x:c r="F406" s="13" t="n">
        <x:v>0.0058024</x:v>
      </x:c>
      <x:c r="G406" s="9" t="str">
        <x:v>https://poke.idleworld.online/pokepedia/pokemon/tentacruel</x:v>
      </x:c>
    </x:row>
    <x:row r="407" ht="22" customHeight="1">
      <x:c r="A407" s="1" t="n">
        <x:v>73</x:v>
      </x:c>
      <x:c r="B407" s="1" t="str">
        <x:v>Tentacruel</x:v>
      </x:c>
      <x:c r="C407" s="1" t="str">
        <x:v>Tentacruel Tentacle</x:v>
      </x:c>
      <x:c r="D407" s="1" t="n">
        <x:v>1</x:v>
      </x:c>
      <x:c r="E407" s="1" t="n">
        <x:v>1</x:v>
      </x:c>
      <x:c r="F407" s="13" t="n">
        <x:v>0.0058024</x:v>
      </x:c>
      <x:c r="G407" s="9" t="str">
        <x:v>https://poke.idleworld.online/pokepedia/pokemon/tentacruel</x:v>
      </x:c>
    </x:row>
    <x:row r="408" ht="22" customHeight="1">
      <x:c r="A408" s="1" t="n">
        <x:v>74</x:v>
      </x:c>
      <x:c r="B408" s="1" t="str">
        <x:v>Geodude</x:v>
      </x:c>
      <x:c r="C408" s="1" t="str">
        <x:v>Strange Pheromone</x:v>
      </x:c>
      <x:c r="D408" s="1" t="n">
        <x:v>1</x:v>
      </x:c>
      <x:c r="E408" s="1" t="n">
        <x:v>1</x:v>
      </x:c>
      <x:c r="F408" s="13" t="n">
        <x:v>0</x:v>
      </x:c>
      <x:c r="G408" s="9" t="str">
        <x:v>https://poke.idleworld.online/pokepedia/pokemon/geodude</x:v>
      </x:c>
    </x:row>
    <x:row r="409" ht="22" customHeight="1">
      <x:c r="A409" s="1" t="n">
        <x:v>74</x:v>
      </x:c>
      <x:c r="B409" s="1" t="str">
        <x:v>Geodude</x:v>
      </x:c>
      <x:c r="C409" s="1" t="str">
        <x:v>Small Stone</x:v>
      </x:c>
      <x:c r="D409" s="1" t="n">
        <x:v>1</x:v>
      </x:c>
      <x:c r="E409" s="1" t="n">
        <x:v>4</x:v>
      </x:c>
      <x:c r="F409" s="13" t="n">
        <x:v>0.95</x:v>
      </x:c>
      <x:c r="G409" s="9" t="str">
        <x:v>https://poke.idleworld.online/pokepedia/pokemon/geodude</x:v>
      </x:c>
    </x:row>
    <x:row r="410" ht="22" customHeight="1">
      <x:c r="A410" s="1" t="n">
        <x:v>74</x:v>
      </x:c>
      <x:c r="B410" s="1" t="str">
        <x:v>Geodude</x:v>
      </x:c>
      <x:c r="C410" s="1" t="str">
        <x:v>Earth Ball</x:v>
      </x:c>
      <x:c r="D410" s="1" t="n">
        <x:v>1</x:v>
      </x:c>
      <x:c r="E410" s="1" t="n">
        <x:v>4</x:v>
      </x:c>
      <x:c r="F410" s="13" t="n">
        <x:v>0.95</x:v>
      </x:c>
      <x:c r="G410" s="9" t="str">
        <x:v>https://poke.idleworld.online/pokepedia/pokemon/geodude</x:v>
      </x:c>
    </x:row>
    <x:row r="411" ht="22" customHeight="1">
      <x:c r="A411" s="1" t="n">
        <x:v>74</x:v>
      </x:c>
      <x:c r="B411" s="1" t="str">
        <x:v>Geodude</x:v>
      </x:c>
      <x:c r="C411" s="1" t="str">
        <x:v>Stone Orb</x:v>
      </x:c>
      <x:c r="D411" s="1" t="n">
        <x:v>1</x:v>
      </x:c>
      <x:c r="E411" s="1" t="n">
        <x:v>1</x:v>
      </x:c>
      <x:c r="F411" s="13" t="n">
        <x:v>0.2835211</x:v>
      </x:c>
      <x:c r="G411" s="9" t="str">
        <x:v>https://poke.idleworld.online/pokepedia/pokemon/geodude</x:v>
      </x:c>
    </x:row>
    <x:row r="412" ht="22" customHeight="1">
      <x:c r="A412" s="1" t="n">
        <x:v>74</x:v>
      </x:c>
      <x:c r="B412" s="1" t="str">
        <x:v>Geodude</x:v>
      </x:c>
      <x:c r="C412" s="1" t="str">
        <x:v>Strange Rock</x:v>
      </x:c>
      <x:c r="D412" s="1" t="n">
        <x:v>1</x:v>
      </x:c>
      <x:c r="E412" s="1" t="n">
        <x:v>1</x:v>
      </x:c>
      <x:c r="F412" s="13" t="n">
        <x:v>0.0097384</x:v>
      </x:c>
      <x:c r="G412" s="9" t="str">
        <x:v>https://poke.idleworld.online/pokepedia/pokemon/geodude</x:v>
      </x:c>
    </x:row>
    <x:row r="413" ht="22" customHeight="1">
      <x:c r="A413" s="1" t="n">
        <x:v>74</x:v>
      </x:c>
      <x:c r="B413" s="1" t="str">
        <x:v>Geodude</x:v>
      </x:c>
      <x:c r="C413" s="1" t="str">
        <x:v>Rock Stone</x:v>
      </x:c>
      <x:c r="D413" s="1" t="n">
        <x:v>1</x:v>
      </x:c>
      <x:c r="E413" s="1" t="n">
        <x:v>1</x:v>
      </x:c>
      <x:c r="F413" s="13" t="n">
        <x:v>0.000953</x:v>
      </x:c>
      <x:c r="G413" s="9" t="str">
        <x:v>https://poke.idleworld.online/pokepedia/pokemon/geodude</x:v>
      </x:c>
    </x:row>
    <x:row r="414" ht="22" customHeight="1">
      <x:c r="A414" s="1" t="n">
        <x:v>75</x:v>
      </x:c>
      <x:c r="B414" s="1" t="str">
        <x:v>Graveler</x:v>
      </x:c>
      <x:c r="C414" s="1" t="str">
        <x:v>Strange Pheromone</x:v>
      </x:c>
      <x:c r="D414" s="1" t="n">
        <x:v>1</x:v>
      </x:c>
      <x:c r="E414" s="1" t="n">
        <x:v>1</x:v>
      </x:c>
      <x:c r="F414" s="13" t="n">
        <x:v>0</x:v>
      </x:c>
      <x:c r="G414" s="9" t="str">
        <x:v>https://poke.idleworld.online/pokepedia/pokemon/graveler</x:v>
      </x:c>
    </x:row>
    <x:row r="415" ht="22" customHeight="1">
      <x:c r="A415" s="1" t="n">
        <x:v>75</x:v>
      </x:c>
      <x:c r="B415" s="1" t="str">
        <x:v>Graveler</x:v>
      </x:c>
      <x:c r="C415" s="1" t="str">
        <x:v>Earth Ball</x:v>
      </x:c>
      <x:c r="D415" s="1" t="n">
        <x:v>1</x:v>
      </x:c>
      <x:c r="E415" s="1" t="n">
        <x:v>10</x:v>
      </x:c>
      <x:c r="F415" s="13" t="n">
        <x:v>0.95</x:v>
      </x:c>
      <x:c r="G415" s="9" t="str">
        <x:v>https://poke.idleworld.online/pokepedia/pokemon/graveler</x:v>
      </x:c>
    </x:row>
    <x:row r="416" ht="22" customHeight="1">
      <x:c r="A416" s="1" t="n">
        <x:v>75</x:v>
      </x:c>
      <x:c r="B416" s="1" t="str">
        <x:v>Graveler</x:v>
      </x:c>
      <x:c r="C416" s="1" t="str">
        <x:v>Small Stone</x:v>
      </x:c>
      <x:c r="D416" s="1" t="n">
        <x:v>1</x:v>
      </x:c>
      <x:c r="E416" s="1" t="n">
        <x:v>10</x:v>
      </x:c>
      <x:c r="F416" s="13" t="n">
        <x:v>0.95</x:v>
      </x:c>
      <x:c r="G416" s="9" t="str">
        <x:v>https://poke.idleworld.online/pokepedia/pokemon/graveler</x:v>
      </x:c>
    </x:row>
    <x:row r="417" ht="22" customHeight="1">
      <x:c r="A417" s="1" t="n">
        <x:v>75</x:v>
      </x:c>
      <x:c r="B417" s="1" t="str">
        <x:v>Graveler</x:v>
      </x:c>
      <x:c r="C417" s="1" t="str">
        <x:v>Stone Orb</x:v>
      </x:c>
      <x:c r="D417" s="1" t="n">
        <x:v>1</x:v>
      </x:c>
      <x:c r="E417" s="1" t="n">
        <x:v>1</x:v>
      </x:c>
      <x:c r="F417" s="13" t="n">
        <x:v>0.37901870000000004</x:v>
      </x:c>
      <x:c r="G417" s="9" t="str">
        <x:v>https://poke.idleworld.online/pokepedia/pokemon/graveler</x:v>
      </x:c>
    </x:row>
    <x:row r="418" ht="22" customHeight="1">
      <x:c r="A418" s="1" t="n">
        <x:v>75</x:v>
      </x:c>
      <x:c r="B418" s="1" t="str">
        <x:v>Graveler</x:v>
      </x:c>
      <x:c r="C418" s="1" t="str">
        <x:v>Strange Rock</x:v>
      </x:c>
      <x:c r="D418" s="1" t="n">
        <x:v>1</x:v>
      </x:c>
      <x:c r="E418" s="1" t="n">
        <x:v>1</x:v>
      </x:c>
      <x:c r="F418" s="13" t="n">
        <x:v>0.0413792</x:v>
      </x:c>
      <x:c r="G418" s="9" t="str">
        <x:v>https://poke.idleworld.online/pokepedia/pokemon/graveler</x:v>
      </x:c>
    </x:row>
    <x:row r="419" ht="22" customHeight="1">
      <x:c r="A419" s="1" t="n">
        <x:v>75</x:v>
      </x:c>
      <x:c r="B419" s="1" t="str">
        <x:v>Graveler</x:v>
      </x:c>
      <x:c r="C419" s="1" t="str">
        <x:v>Earth Stone</x:v>
      </x:c>
      <x:c r="D419" s="1" t="n">
        <x:v>1</x:v>
      </x:c>
      <x:c r="E419" s="1" t="n">
        <x:v>1</x:v>
      </x:c>
      <x:c r="F419" s="13" t="n">
        <x:v>0.0010059000000000001</x:v>
      </x:c>
      <x:c r="G419" s="9" t="str">
        <x:v>https://poke.idleworld.online/pokepedia/pokemon/graveler</x:v>
      </x:c>
    </x:row>
    <x:row r="420" ht="22" customHeight="1">
      <x:c r="A420" s="1" t="n">
        <x:v>75</x:v>
      </x:c>
      <x:c r="B420" s="1" t="str">
        <x:v>Graveler</x:v>
      </x:c>
      <x:c r="C420" s="1" t="str">
        <x:v>Rock Stone</x:v>
      </x:c>
      <x:c r="D420" s="1" t="n">
        <x:v>1</x:v>
      </x:c>
      <x:c r="E420" s="1" t="n">
        <x:v>1</x:v>
      </x:c>
      <x:c r="F420" s="13" t="n">
        <x:v>0.0010059000000000001</x:v>
      </x:c>
      <x:c r="G420" s="9" t="str">
        <x:v>https://poke.idleworld.online/pokepedia/pokemon/graveler</x:v>
      </x:c>
    </x:row>
    <x:row r="421" ht="22" customHeight="1">
      <x:c r="A421" s="1" t="n">
        <x:v>76</x:v>
      </x:c>
      <x:c r="B421" s="1" t="str">
        <x:v>Golem</x:v>
      </x:c>
      <x:c r="C421" s="1" t="str">
        <x:v>Strange Pheromone</x:v>
      </x:c>
      <x:c r="D421" s="1" t="n">
        <x:v>1</x:v>
      </x:c>
      <x:c r="E421" s="1" t="n">
        <x:v>1</x:v>
      </x:c>
      <x:c r="F421" s="13" t="n">
        <x:v>0</x:v>
      </x:c>
      <x:c r="G421" s="9" t="str">
        <x:v>https://poke.idleworld.online/pokepedia/pokemon/golem</x:v>
      </x:c>
    </x:row>
    <x:row r="422" ht="22" customHeight="1">
      <x:c r="A422" s="1" t="n">
        <x:v>76</x:v>
      </x:c>
      <x:c r="B422" s="1" t="str">
        <x:v>Golem</x:v>
      </x:c>
      <x:c r="C422" s="1" t="str">
        <x:v>Earth Ball</x:v>
      </x:c>
      <x:c r="D422" s="1" t="n">
        <x:v>1</x:v>
      </x:c>
      <x:c r="E422" s="1" t="n">
        <x:v>18</x:v>
      </x:c>
      <x:c r="F422" s="13" t="n">
        <x:v>0.95</x:v>
      </x:c>
      <x:c r="G422" s="9" t="str">
        <x:v>https://poke.idleworld.online/pokepedia/pokemon/golem</x:v>
      </x:c>
    </x:row>
    <x:row r="423" ht="22" customHeight="1">
      <x:c r="A423" s="1" t="n">
        <x:v>76</x:v>
      </x:c>
      <x:c r="B423" s="1" t="str">
        <x:v>Golem</x:v>
      </x:c>
      <x:c r="C423" s="1" t="str">
        <x:v>Small Stone</x:v>
      </x:c>
      <x:c r="D423" s="1" t="n">
        <x:v>1</x:v>
      </x:c>
      <x:c r="E423" s="1" t="n">
        <x:v>18</x:v>
      </x:c>
      <x:c r="F423" s="13" t="n">
        <x:v>0.95</x:v>
      </x:c>
      <x:c r="G423" s="9" t="str">
        <x:v>https://poke.idleworld.online/pokepedia/pokemon/golem</x:v>
      </x:c>
    </x:row>
    <x:row r="424" ht="22" customHeight="1">
      <x:c r="A424" s="1" t="n">
        <x:v>76</x:v>
      </x:c>
      <x:c r="B424" s="1" t="str">
        <x:v>Golem</x:v>
      </x:c>
      <x:c r="C424" s="1" t="str">
        <x:v>Stone Orb</x:v>
      </x:c>
      <x:c r="D424" s="1" t="n">
        <x:v>1</x:v>
      </x:c>
      <x:c r="E424" s="1" t="n">
        <x:v>2</x:v>
      </x:c>
      <x:c r="F424" s="13" t="n">
        <x:v>0.95</x:v>
      </x:c>
      <x:c r="G424" s="9" t="str">
        <x:v>https://poke.idleworld.online/pokepedia/pokemon/golem</x:v>
      </x:c>
    </x:row>
    <x:row r="425" ht="22" customHeight="1">
      <x:c r="A425" s="1" t="n">
        <x:v>76</x:v>
      </x:c>
      <x:c r="B425" s="1" t="str">
        <x:v>Golem</x:v>
      </x:c>
      <x:c r="C425" s="1" t="str">
        <x:v>Strange Rock</x:v>
      </x:c>
      <x:c r="D425" s="1" t="n">
        <x:v>1</x:v>
      </x:c>
      <x:c r="E425" s="1" t="n">
        <x:v>1</x:v>
      </x:c>
      <x:c r="F425" s="13" t="n">
        <x:v>0.2924522</x:v>
      </x:c>
      <x:c r="G425" s="9" t="str">
        <x:v>https://poke.idleworld.online/pokepedia/pokemon/golem</x:v>
      </x:c>
    </x:row>
    <x:row r="426" ht="22" customHeight="1">
      <x:c r="A426" s="1" t="n">
        <x:v>76</x:v>
      </x:c>
      <x:c r="B426" s="1" t="str">
        <x:v>Golem</x:v>
      </x:c>
      <x:c r="C426" s="1" t="str">
        <x:v>Earth Stone</x:v>
      </x:c>
      <x:c r="D426" s="1" t="n">
        <x:v>1</x:v>
      </x:c>
      <x:c r="E426" s="1" t="n">
        <x:v>1</x:v>
      </x:c>
      <x:c r="F426" s="13" t="n">
        <x:v>0.0038047000000000003</x:v>
      </x:c>
      <x:c r="G426" s="9" t="str">
        <x:v>https://poke.idleworld.online/pokepedia/pokemon/golem</x:v>
      </x:c>
    </x:row>
    <x:row r="427" ht="22" customHeight="1">
      <x:c r="A427" s="1" t="n">
        <x:v>76</x:v>
      </x:c>
      <x:c r="B427" s="1" t="str">
        <x:v>Golem</x:v>
      </x:c>
      <x:c r="C427" s="1" t="str">
        <x:v>Rock Stone</x:v>
      </x:c>
      <x:c r="D427" s="1" t="n">
        <x:v>1</x:v>
      </x:c>
      <x:c r="E427" s="1" t="n">
        <x:v>1</x:v>
      </x:c>
      <x:c r="F427" s="13" t="n">
        <x:v>0.0038047000000000003</x:v>
      </x:c>
      <x:c r="G427" s="9" t="str">
        <x:v>https://poke.idleworld.online/pokepedia/pokemon/golem</x:v>
      </x:c>
    </x:row>
    <x:row r="428" ht="22" customHeight="1">
      <x:c r="A428" s="1" t="n">
        <x:v>77</x:v>
      </x:c>
      <x:c r="B428" s="1" t="str">
        <x:v>Ponyta</x:v>
      </x:c>
      <x:c r="C428" s="1" t="str">
        <x:v>Strange Pheromone</x:v>
      </x:c>
      <x:c r="D428" s="1" t="n">
        <x:v>1</x:v>
      </x:c>
      <x:c r="E428" s="1" t="n">
        <x:v>1</x:v>
      </x:c>
      <x:c r="F428" s="13" t="n">
        <x:v>0</x:v>
      </x:c>
      <x:c r="G428" s="9" t="str">
        <x:v>https://poke.idleworld.online/pokepedia/pokemon/ponyta</x:v>
      </x:c>
    </x:row>
    <x:row r="429" ht="22" customHeight="1">
      <x:c r="A429" s="1" t="n">
        <x:v>77</x:v>
      </x:c>
      <x:c r="B429" s="1" t="str">
        <x:v>Ponyta</x:v>
      </x:c>
      <x:c r="C429" s="1" t="str">
        <x:v>Essence of Fire</x:v>
      </x:c>
      <x:c r="D429" s="1" t="n">
        <x:v>1</x:v>
      </x:c>
      <x:c r="E429" s="1" t="n">
        <x:v>10</x:v>
      </x:c>
      <x:c r="F429" s="13" t="n">
        <x:v>0.95</x:v>
      </x:c>
      <x:c r="G429" s="9" t="str">
        <x:v>https://poke.idleworld.online/pokepedia/pokemon/ponyta</x:v>
      </x:c>
    </x:row>
    <x:row r="430" ht="22" customHeight="1">
      <x:c r="A430" s="1" t="n">
        <x:v>77</x:v>
      </x:c>
      <x:c r="B430" s="1" t="str">
        <x:v>Ponyta</x:v>
      </x:c>
      <x:c r="C430" s="1" t="str">
        <x:v>Pot of Lava</x:v>
      </x:c>
      <x:c r="D430" s="1" t="n">
        <x:v>1</x:v>
      </x:c>
      <x:c r="E430" s="1" t="n">
        <x:v>1</x:v>
      </x:c>
      <x:c r="F430" s="13" t="n">
        <x:v>0.3197086</x:v>
      </x:c>
      <x:c r="G430" s="9" t="str">
        <x:v>https://poke.idleworld.online/pokepedia/pokemon/ponyta</x:v>
      </x:c>
    </x:row>
    <x:row r="431" ht="22" customHeight="1">
      <x:c r="A431" s="1" t="n">
        <x:v>77</x:v>
      </x:c>
      <x:c r="B431" s="1" t="str">
        <x:v>Ponyta</x:v>
      </x:c>
      <x:c r="C431" s="1" t="str">
        <x:v>Fire Horse Foot</x:v>
      </x:c>
      <x:c r="D431" s="1" t="n">
        <x:v>1</x:v>
      </x:c>
      <x:c r="E431" s="1" t="n">
        <x:v>1</x:v>
      </x:c>
      <x:c r="F431" s="13" t="n">
        <x:v>0.0259475</x:v>
      </x:c>
      <x:c r="G431" s="9" t="str">
        <x:v>https://poke.idleworld.online/pokepedia/pokemon/ponyta</x:v>
      </x:c>
    </x:row>
    <x:row r="432" ht="22" customHeight="1">
      <x:c r="A432" s="1" t="n">
        <x:v>77</x:v>
      </x:c>
      <x:c r="B432" s="1" t="str">
        <x:v>Ponyta</x:v>
      </x:c>
      <x:c r="C432" s="1" t="str">
        <x:v>Heart Stone</x:v>
      </x:c>
      <x:c r="D432" s="1" t="n">
        <x:v>1</x:v>
      </x:c>
      <x:c r="E432" s="1" t="n">
        <x:v>1</x:v>
      </x:c>
      <x:c r="F432" s="13" t="n">
        <x:v>0.0011945999999999999</x:v>
      </x:c>
      <x:c r="G432" s="9" t="str">
        <x:v>https://poke.idleworld.online/pokepedia/pokemon/ponyta</x:v>
      </x:c>
    </x:row>
    <x:row r="433" ht="22" customHeight="1">
      <x:c r="A433" s="1" t="n">
        <x:v>78</x:v>
      </x:c>
      <x:c r="B433" s="1" t="str">
        <x:v>Rapidash</x:v>
      </x:c>
      <x:c r="C433" s="1" t="str">
        <x:v>Strange Pheromone</x:v>
      </x:c>
      <x:c r="D433" s="1" t="n">
        <x:v>1</x:v>
      </x:c>
      <x:c r="E433" s="1" t="n">
        <x:v>1</x:v>
      </x:c>
      <x:c r="F433" s="13" t="n">
        <x:v>0</x:v>
      </x:c>
      <x:c r="G433" s="9" t="str">
        <x:v>https://poke.idleworld.online/pokepedia/pokemon/rapidash</x:v>
      </x:c>
    </x:row>
    <x:row r="434" ht="22" customHeight="1">
      <x:c r="A434" s="1" t="n">
        <x:v>78</x:v>
      </x:c>
      <x:c r="B434" s="1" t="str">
        <x:v>Rapidash</x:v>
      </x:c>
      <x:c r="C434" s="1" t="str">
        <x:v>Essence of Fire</x:v>
      </x:c>
      <x:c r="D434" s="1" t="n">
        <x:v>1</x:v>
      </x:c>
      <x:c r="E434" s="1" t="n">
        <x:v>25</x:v>
      </x:c>
      <x:c r="F434" s="13" t="n">
        <x:v>0.95</x:v>
      </x:c>
      <x:c r="G434" s="9" t="str">
        <x:v>https://poke.idleworld.online/pokepedia/pokemon/rapidash</x:v>
      </x:c>
    </x:row>
    <x:row r="435" ht="22" customHeight="1">
      <x:c r="A435" s="1" t="n">
        <x:v>78</x:v>
      </x:c>
      <x:c r="B435" s="1" t="str">
        <x:v>Rapidash</x:v>
      </x:c>
      <x:c r="C435" s="1" t="str">
        <x:v>Pot of Lava</x:v>
      </x:c>
      <x:c r="D435" s="1" t="n">
        <x:v>1</x:v>
      </x:c>
      <x:c r="E435" s="1" t="n">
        <x:v>1</x:v>
      </x:c>
      <x:c r="F435" s="13" t="n">
        <x:v>0.95</x:v>
      </x:c>
      <x:c r="G435" s="9" t="str">
        <x:v>https://poke.idleworld.online/pokepedia/pokemon/rapidash</x:v>
      </x:c>
    </x:row>
    <x:row r="436" ht="22" customHeight="1">
      <x:c r="A436" s="1" t="n">
        <x:v>78</x:v>
      </x:c>
      <x:c r="B436" s="1" t="str">
        <x:v>Rapidash</x:v>
      </x:c>
      <x:c r="C436" s="1" t="str">
        <x:v>Fire Horse Foot</x:v>
      </x:c>
      <x:c r="D436" s="1" t="n">
        <x:v>1</x:v>
      </x:c>
      <x:c r="E436" s="1" t="n">
        <x:v>1</x:v>
      </x:c>
      <x:c r="F436" s="13" t="n">
        <x:v>0.5045381</x:v>
      </x:c>
      <x:c r="G436" s="9" t="str">
        <x:v>https://poke.idleworld.online/pokepedia/pokemon/rapidash</x:v>
      </x:c>
    </x:row>
    <x:row r="437" ht="22" customHeight="1">
      <x:c r="A437" s="1" t="n">
        <x:v>78</x:v>
      </x:c>
      <x:c r="B437" s="1" t="str">
        <x:v>Rapidash</x:v>
      </x:c>
      <x:c r="C437" s="1" t="str">
        <x:v>Fire Stone</x:v>
      </x:c>
      <x:c r="D437" s="1" t="n">
        <x:v>1</x:v>
      </x:c>
      <x:c r="E437" s="1" t="n">
        <x:v>1</x:v>
      </x:c>
      <x:c r="F437" s="13" t="n">
        <x:v>0.0037272000000000004</x:v>
      </x:c>
      <x:c r="G437" s="9" t="str">
        <x:v>https://poke.idleworld.online/pokepedia/pokemon/rapidash</x:v>
      </x:c>
    </x:row>
    <x:row r="438" ht="22" customHeight="1">
      <x:c r="A438" s="1" t="n">
        <x:v>78</x:v>
      </x:c>
      <x:c r="B438" s="1" t="str">
        <x:v>Rapidash</x:v>
      </x:c>
      <x:c r="C438" s="1" t="str">
        <x:v>Heart Stone</x:v>
      </x:c>
      <x:c r="D438" s="1" t="n">
        <x:v>1</x:v>
      </x:c>
      <x:c r="E438" s="1" t="n">
        <x:v>1</x:v>
      </x:c>
      <x:c r="F438" s="13" t="n">
        <x:v>0.0037272000000000004</x:v>
      </x:c>
      <x:c r="G438" s="9" t="str">
        <x:v>https://poke.idleworld.online/pokepedia/pokemon/rapidash</x:v>
      </x:c>
    </x:row>
    <x:row r="439" ht="22" customHeight="1">
      <x:c r="A439" s="1" t="n">
        <x:v>79</x:v>
      </x:c>
      <x:c r="B439" s="1" t="str">
        <x:v>Slowpoke</x:v>
      </x:c>
      <x:c r="C439" s="1" t="str">
        <x:v>Strange Pheromone</x:v>
      </x:c>
      <x:c r="D439" s="1" t="n">
        <x:v>1</x:v>
      </x:c>
      <x:c r="E439" s="1" t="n">
        <x:v>1</x:v>
      </x:c>
      <x:c r="F439" s="13" t="n">
        <x:v>0</x:v>
      </x:c>
      <x:c r="G439" s="9" t="str">
        <x:v>https://poke.idleworld.online/pokepedia/pokemon/slowpoke</x:v>
      </x:c>
    </x:row>
    <x:row r="440" ht="22" customHeight="1">
      <x:c r="A440" s="1" t="n">
        <x:v>79</x:v>
      </x:c>
      <x:c r="B440" s="1" t="str">
        <x:v>Slowpoke</x:v>
      </x:c>
      <x:c r="C440" s="1" t="str">
        <x:v>Water Gem</x:v>
      </x:c>
      <x:c r="D440" s="1" t="n">
        <x:v>1</x:v>
      </x:c>
      <x:c r="E440" s="1" t="n">
        <x:v>4</x:v>
      </x:c>
      <x:c r="F440" s="13" t="n">
        <x:v>0.95</x:v>
      </x:c>
      <x:c r="G440" s="9" t="str">
        <x:v>https://poke.idleworld.online/pokepedia/pokemon/slowpoke</x:v>
      </x:c>
    </x:row>
    <x:row r="441" ht="22" customHeight="1">
      <x:c r="A441" s="1" t="n">
        <x:v>79</x:v>
      </x:c>
      <x:c r="B441" s="1" t="str">
        <x:v>Slowpoke</x:v>
      </x:c>
      <x:c r="C441" s="1" t="str">
        <x:v>Enchanted Gem</x:v>
      </x:c>
      <x:c r="D441" s="1" t="n">
        <x:v>1</x:v>
      </x:c>
      <x:c r="E441" s="1" t="n">
        <x:v>4</x:v>
      </x:c>
      <x:c r="F441" s="13" t="n">
        <x:v>0.95</x:v>
      </x:c>
      <x:c r="G441" s="9" t="str">
        <x:v>https://poke.idleworld.online/pokepedia/pokemon/slowpoke</x:v>
      </x:c>
    </x:row>
    <x:row r="442" ht="22" customHeight="1">
      <x:c r="A442" s="1" t="n">
        <x:v>79</x:v>
      </x:c>
      <x:c r="B442" s="1" t="str">
        <x:v>Slowpoke</x:v>
      </x:c>
      <x:c r="C442" s="1" t="str">
        <x:v>Water Pendant</x:v>
      </x:c>
      <x:c r="D442" s="1" t="n">
        <x:v>1</x:v>
      </x:c>
      <x:c r="E442" s="1" t="n">
        <x:v>1</x:v>
      </x:c>
      <x:c r="F442" s="13" t="n">
        <x:v>0.158143</x:v>
      </x:c>
      <x:c r="G442" s="9" t="str">
        <x:v>https://poke.idleworld.online/pokepedia/pokemon/slowpoke</x:v>
      </x:c>
    </x:row>
    <x:row r="443" ht="22" customHeight="1">
      <x:c r="A443" s="1" t="n">
        <x:v>79</x:v>
      </x:c>
      <x:c r="B443" s="1" t="str">
        <x:v>Slowpoke</x:v>
      </x:c>
      <x:c r="C443" s="1" t="str">
        <x:v>Slow Tail</x:v>
      </x:c>
      <x:c r="D443" s="1" t="n">
        <x:v>1</x:v>
      </x:c>
      <x:c r="E443" s="1" t="n">
        <x:v>1</x:v>
      </x:c>
      <x:c r="F443" s="13" t="n">
        <x:v>0.0405635</x:v>
      </x:c>
      <x:c r="G443" s="9" t="str">
        <x:v>https://poke.idleworld.online/pokepedia/pokemon/slowpoke</x:v>
      </x:c>
    </x:row>
    <x:row r="444" ht="22" customHeight="1">
      <x:c r="A444" s="1" t="n">
        <x:v>80</x:v>
      </x:c>
      <x:c r="B444" s="1" t="str">
        <x:v>Slowbro</x:v>
      </x:c>
      <x:c r="C444" s="1" t="str">
        <x:v>Strange Pheromone</x:v>
      </x:c>
      <x:c r="D444" s="1" t="n">
        <x:v>1</x:v>
      </x:c>
      <x:c r="E444" s="1" t="n">
        <x:v>1</x:v>
      </x:c>
      <x:c r="F444" s="13" t="n">
        <x:v>0</x:v>
      </x:c>
      <x:c r="G444" s="9" t="str">
        <x:v>https://poke.idleworld.online/pokepedia/pokemon/slowbro</x:v>
      </x:c>
    </x:row>
    <x:row r="445" ht="22" customHeight="1">
      <x:c r="A445" s="1" t="n">
        <x:v>80</x:v>
      </x:c>
      <x:c r="B445" s="1" t="str">
        <x:v>Slowbro</x:v>
      </x:c>
      <x:c r="C445" s="1" t="str">
        <x:v>Enchanted Gem</x:v>
      </x:c>
      <x:c r="D445" s="1" t="n">
        <x:v>1</x:v>
      </x:c>
      <x:c r="E445" s="1" t="n">
        <x:v>11</x:v>
      </x:c>
      <x:c r="F445" s="13" t="n">
        <x:v>0.7437419000000001</x:v>
      </x:c>
      <x:c r="G445" s="9" t="str">
        <x:v>https://poke.idleworld.online/pokepedia/pokemon/slowbro</x:v>
      </x:c>
    </x:row>
    <x:row r="446" ht="22" customHeight="1">
      <x:c r="A446" s="1" t="n">
        <x:v>80</x:v>
      </x:c>
      <x:c r="B446" s="1" t="str">
        <x:v>Slowbro</x:v>
      </x:c>
      <x:c r="C446" s="1" t="str">
        <x:v>Water Gem</x:v>
      </x:c>
      <x:c r="D446" s="1" t="n">
        <x:v>1</x:v>
      </x:c>
      <x:c r="E446" s="1" t="n">
        <x:v>11</x:v>
      </x:c>
      <x:c r="F446" s="13" t="n">
        <x:v>0.7437419000000001</x:v>
      </x:c>
      <x:c r="G446" s="9" t="str">
        <x:v>https://poke.idleworld.online/pokepedia/pokemon/slowbro</x:v>
      </x:c>
    </x:row>
    <x:row r="447" ht="22" customHeight="1">
      <x:c r="A447" s="1" t="n">
        <x:v>80</x:v>
      </x:c>
      <x:c r="B447" s="1" t="str">
        <x:v>Slowbro</x:v>
      </x:c>
      <x:c r="C447" s="1" t="str">
        <x:v>Water Pendant</x:v>
      </x:c>
      <x:c r="D447" s="1" t="n">
        <x:v>1</x:v>
      </x:c>
      <x:c r="E447" s="1" t="n">
        <x:v>1</x:v>
      </x:c>
      <x:c r="F447" s="13" t="n">
        <x:v>0.4321736</x:v>
      </x:c>
      <x:c r="G447" s="9" t="str">
        <x:v>https://poke.idleworld.online/pokepedia/pokemon/slowbro</x:v>
      </x:c>
    </x:row>
    <x:row r="448" ht="22" customHeight="1">
      <x:c r="A448" s="1" t="n">
        <x:v>80</x:v>
      </x:c>
      <x:c r="B448" s="1" t="str">
        <x:v>Slowbro</x:v>
      </x:c>
      <x:c r="C448" s="1" t="str">
        <x:v>Slow Tail</x:v>
      </x:c>
      <x:c r="D448" s="1" t="n">
        <x:v>1</x:v>
      </x:c>
      <x:c r="E448" s="1" t="n">
        <x:v>1</x:v>
      </x:c>
      <x:c r="F448" s="13" t="n">
        <x:v>0.1349644</x:v>
      </x:c>
      <x:c r="G448" s="9" t="str">
        <x:v>https://poke.idleworld.online/pokepedia/pokemon/slowbro</x:v>
      </x:c>
    </x:row>
    <x:row r="449" ht="22" customHeight="1">
      <x:c r="A449" s="1" t="n">
        <x:v>80</x:v>
      </x:c>
      <x:c r="B449" s="1" t="str">
        <x:v>Slowbro</x:v>
      </x:c>
      <x:c r="C449" s="1" t="str">
        <x:v>Water Stone</x:v>
      </x:c>
      <x:c r="D449" s="1" t="n">
        <x:v>1</x:v>
      </x:c>
      <x:c r="E449" s="1" t="n">
        <x:v>1</x:v>
      </x:c>
      <x:c r="F449" s="13" t="n">
        <x:v>0.0037383</x:v>
      </x:c>
      <x:c r="G449" s="9" t="str">
        <x:v>https://poke.idleworld.online/pokepedia/pokemon/slowbro</x:v>
      </x:c>
    </x:row>
    <x:row r="450" ht="22" customHeight="1">
      <x:c r="A450" s="1" t="n">
        <x:v>81</x:v>
      </x:c>
      <x:c r="B450" s="1" t="str">
        <x:v>Magnemite</x:v>
      </x:c>
      <x:c r="C450" s="1" t="str">
        <x:v>Strange Pheromone</x:v>
      </x:c>
      <x:c r="D450" s="1" t="n">
        <x:v>1</x:v>
      </x:c>
      <x:c r="E450" s="1" t="n">
        <x:v>1</x:v>
      </x:c>
      <x:c r="F450" s="13" t="n">
        <x:v>0</x:v>
      </x:c>
      <x:c r="G450" s="9" t="str">
        <x:v>https://poke.idleworld.online/pokepedia/pokemon/magnemite</x:v>
      </x:c>
    </x:row>
    <x:row r="451" ht="22" customHeight="1">
      <x:c r="A451" s="1" t="n">
        <x:v>81</x:v>
      </x:c>
      <x:c r="B451" s="1" t="str">
        <x:v>Magnemite</x:v>
      </x:c>
      <x:c r="C451" s="1" t="str">
        <x:v>Screw</x:v>
      </x:c>
      <x:c r="D451" s="1" t="n">
        <x:v>1</x:v>
      </x:c>
      <x:c r="E451" s="1" t="n">
        <x:v>4</x:v>
      </x:c>
      <x:c r="F451" s="13" t="n">
        <x:v>0.95</x:v>
      </x:c>
      <x:c r="G451" s="9" t="str">
        <x:v>https://poke.idleworld.online/pokepedia/pokemon/magnemite</x:v>
      </x:c>
    </x:row>
    <x:row r="452" ht="22" customHeight="1">
      <x:c r="A452" s="1" t="n">
        <x:v>81</x:v>
      </x:c>
      <x:c r="B452" s="1" t="str">
        <x:v>Magnemite</x:v>
      </x:c>
      <x:c r="C452" s="1" t="str">
        <x:v>Piece of Steel</x:v>
      </x:c>
      <x:c r="D452" s="1" t="n">
        <x:v>1</x:v>
      </x:c>
      <x:c r="E452" s="1" t="n">
        <x:v>4</x:v>
      </x:c>
      <x:c r="F452" s="13" t="n">
        <x:v>0.95</x:v>
      </x:c>
      <x:c r="G452" s="9" t="str">
        <x:v>https://poke.idleworld.online/pokepedia/pokemon/magnemite</x:v>
      </x:c>
    </x:row>
    <x:row r="453" ht="22" customHeight="1">
      <x:c r="A453" s="1" t="n">
        <x:v>81</x:v>
      </x:c>
      <x:c r="B453" s="1" t="str">
        <x:v>Magnemite</x:v>
      </x:c>
      <x:c r="C453" s="1" t="str">
        <x:v>Electric Box</x:v>
      </x:c>
      <x:c r="D453" s="1" t="n">
        <x:v>1</x:v>
      </x:c>
      <x:c r="E453" s="1" t="n">
        <x:v>1</x:v>
      </x:c>
      <x:c r="F453" s="13" t="n">
        <x:v>0.2564786</x:v>
      </x:c>
      <x:c r="G453" s="9" t="str">
        <x:v>https://poke.idleworld.online/pokepedia/pokemon/magnemite</x:v>
      </x:c>
    </x:row>
    <x:row r="454" ht="22" customHeight="1">
      <x:c r="A454" s="1" t="n">
        <x:v>81</x:v>
      </x:c>
      <x:c r="B454" s="1" t="str">
        <x:v>Magnemite</x:v>
      </x:c>
      <x:c r="C454" s="1" t="str">
        <x:v>Magnet</x:v>
      </x:c>
      <x:c r="D454" s="1" t="n">
        <x:v>1</x:v>
      </x:c>
      <x:c r="E454" s="1" t="n">
        <x:v>1</x:v>
      </x:c>
      <x:c r="F454" s="13" t="n">
        <x:v>0.09722629999999999</x:v>
      </x:c>
      <x:c r="G454" s="9" t="str">
        <x:v>https://poke.idleworld.online/pokepedia/pokemon/magnemite</x:v>
      </x:c>
    </x:row>
    <x:row r="455" ht="22" customHeight="1">
      <x:c r="A455" s="1" t="n">
        <x:v>82</x:v>
      </x:c>
      <x:c r="B455" s="1" t="str">
        <x:v>Magneton</x:v>
      </x:c>
      <x:c r="C455" s="1" t="str">
        <x:v>Strange Pheromone</x:v>
      </x:c>
      <x:c r="D455" s="1" t="n">
        <x:v>1</x:v>
      </x:c>
      <x:c r="E455" s="1" t="n">
        <x:v>1</x:v>
      </x:c>
      <x:c r="F455" s="13" t="n">
        <x:v>0</x:v>
      </x:c>
      <x:c r="G455" s="9" t="str">
        <x:v>https://poke.idleworld.online/pokepedia/pokemon/magneton</x:v>
      </x:c>
    </x:row>
    <x:row r="456" ht="22" customHeight="1">
      <x:c r="A456" s="1" t="n">
        <x:v>82</x:v>
      </x:c>
      <x:c r="B456" s="1" t="str">
        <x:v>Magneton</x:v>
      </x:c>
      <x:c r="C456" s="1" t="str">
        <x:v>Piece of Steel</x:v>
      </x:c>
      <x:c r="D456" s="1" t="n">
        <x:v>1</x:v>
      </x:c>
      <x:c r="E456" s="1" t="n">
        <x:v>10</x:v>
      </x:c>
      <x:c r="F456" s="13" t="n">
        <x:v>0.95</x:v>
      </x:c>
      <x:c r="G456" s="9" t="str">
        <x:v>https://poke.idleworld.online/pokepedia/pokemon/magneton</x:v>
      </x:c>
    </x:row>
    <x:row r="457" ht="22" customHeight="1">
      <x:c r="A457" s="1" t="n">
        <x:v>82</x:v>
      </x:c>
      <x:c r="B457" s="1" t="str">
        <x:v>Magneton</x:v>
      </x:c>
      <x:c r="C457" s="1" t="str">
        <x:v>Screw</x:v>
      </x:c>
      <x:c r="D457" s="1" t="n">
        <x:v>1</x:v>
      </x:c>
      <x:c r="E457" s="1" t="n">
        <x:v>10</x:v>
      </x:c>
      <x:c r="F457" s="13" t="n">
        <x:v>0.95</x:v>
      </x:c>
      <x:c r="G457" s="9" t="str">
        <x:v>https://poke.idleworld.online/pokepedia/pokemon/magneton</x:v>
      </x:c>
    </x:row>
    <x:row r="458" ht="22" customHeight="1">
      <x:c r="A458" s="1" t="n">
        <x:v>82</x:v>
      </x:c>
      <x:c r="B458" s="1" t="str">
        <x:v>Magneton</x:v>
      </x:c>
      <x:c r="C458" s="1" t="str">
        <x:v>Electric Box</x:v>
      </x:c>
      <x:c r="D458" s="1" t="n">
        <x:v>1</x:v>
      </x:c>
      <x:c r="E458" s="1" t="n">
        <x:v>1</x:v>
      </x:c>
      <x:c r="F458" s="13" t="n">
        <x:v>0.95</x:v>
      </x:c>
      <x:c r="G458" s="9" t="str">
        <x:v>https://poke.idleworld.online/pokepedia/pokemon/magneton</x:v>
      </x:c>
    </x:row>
    <x:row r="459" ht="22" customHeight="1">
      <x:c r="A459" s="1" t="n">
        <x:v>82</x:v>
      </x:c>
      <x:c r="B459" s="1" t="str">
        <x:v>Magneton</x:v>
      </x:c>
      <x:c r="C459" s="1" t="str">
        <x:v>Magnet</x:v>
      </x:c>
      <x:c r="D459" s="1" t="n">
        <x:v>1</x:v>
      </x:c>
      <x:c r="E459" s="1" t="n">
        <x:v>1</x:v>
      </x:c>
      <x:c r="F459" s="13" t="n">
        <x:v>0.5730423</x:v>
      </x:c>
      <x:c r="G459" s="9" t="str">
        <x:v>https://poke.idleworld.online/pokepedia/pokemon/magneton</x:v>
      </x:c>
    </x:row>
    <x:row r="460" ht="22" customHeight="1">
      <x:c r="A460" s="1" t="n">
        <x:v>82</x:v>
      </x:c>
      <x:c r="B460" s="1" t="str">
        <x:v>Magneton</x:v>
      </x:c>
      <x:c r="C460" s="1" t="str">
        <x:v>Thunder Stone</x:v>
      </x:c>
      <x:c r="D460" s="1" t="n">
        <x:v>1</x:v>
      </x:c>
      <x:c r="E460" s="1" t="n">
        <x:v>1</x:v>
      </x:c>
      <x:c r="F460" s="13" t="n">
        <x:v>0.0069449</x:v>
      </x:c>
      <x:c r="G460" s="9" t="str">
        <x:v>https://poke.idleworld.online/pokepedia/pokemon/magneton</x:v>
      </x:c>
    </x:row>
    <x:row r="461" ht="22" customHeight="1">
      <x:c r="A461" s="1" t="n">
        <x:v>83</x:v>
      </x:c>
      <x:c r="B461" s="1" t="str">
        <x:v>Farfetchd</x:v>
      </x:c>
      <x:c r="C461" s="1" t="str">
        <x:v>Strange Pheromone</x:v>
      </x:c>
      <x:c r="D461" s="1" t="n">
        <x:v>1</x:v>
      </x:c>
      <x:c r="E461" s="1" t="n">
        <x:v>1</x:v>
      </x:c>
      <x:c r="F461" s="13" t="n">
        <x:v>0</x:v>
      </x:c>
      <x:c r="G461" s="9" t="str">
        <x:v>https://poke.idleworld.online/pokepedia/pokemon/farfetchd</x:v>
      </x:c>
    </x:row>
    <x:row r="462" ht="22" customHeight="1">
      <x:c r="A462" s="1" t="n">
        <x:v>83</x:v>
      </x:c>
      <x:c r="B462" s="1" t="str">
        <x:v>Farfetchd</x:v>
      </x:c>
      <x:c r="C462" s="1" t="str">
        <x:v>Rubber Ball</x:v>
      </x:c>
      <x:c r="D462" s="1" t="n">
        <x:v>1</x:v>
      </x:c>
      <x:c r="E462" s="1" t="n">
        <x:v>10</x:v>
      </x:c>
      <x:c r="F462" s="13" t="n">
        <x:v>0.6388823</x:v>
      </x:c>
      <x:c r="G462" s="9" t="str">
        <x:v>https://poke.idleworld.online/pokepedia/pokemon/farfetchd</x:v>
      </x:c>
    </x:row>
    <x:row r="463" ht="22" customHeight="1">
      <x:c r="A463" s="1" t="n">
        <x:v>83</x:v>
      </x:c>
      <x:c r="B463" s="1" t="str">
        <x:v>Farfetchd</x:v>
      </x:c>
      <x:c r="C463" s="1" t="str">
        <x:v>Straw</x:v>
      </x:c>
      <x:c r="D463" s="1" t="n">
        <x:v>1</x:v>
      </x:c>
      <x:c r="E463" s="1" t="n">
        <x:v>10</x:v>
      </x:c>
      <x:c r="F463" s="13" t="n">
        <x:v>0.6388823</x:v>
      </x:c>
      <x:c r="G463" s="9" t="str">
        <x:v>https://poke.idleworld.online/pokepedia/pokemon/farfetchd</x:v>
      </x:c>
    </x:row>
    <x:row r="464" ht="22" customHeight="1">
      <x:c r="A464" s="1" t="n">
        <x:v>83</x:v>
      </x:c>
      <x:c r="B464" s="1" t="str">
        <x:v>Farfetchd</x:v>
      </x:c>
      <x:c r="C464" s="1" t="str">
        <x:v>Feather</x:v>
      </x:c>
      <x:c r="D464" s="1" t="n">
        <x:v>1</x:v>
      </x:c>
      <x:c r="E464" s="1" t="n">
        <x:v>1</x:v>
      </x:c>
      <x:c r="F464" s="13" t="n">
        <x:v>0.6346146</x:v>
      </x:c>
      <x:c r="G464" s="9" t="str">
        <x:v>https://poke.idleworld.online/pokepedia/pokemon/farfetchd</x:v>
      </x:c>
    </x:row>
    <x:row r="465" ht="22" customHeight="1">
      <x:c r="A465" s="1" t="n">
        <x:v>83</x:v>
      </x:c>
      <x:c r="B465" s="1" t="str">
        <x:v>Farfetchd</x:v>
      </x:c>
      <x:c r="C465" s="1" t="str">
        <x:v>Farfetchd Stick</x:v>
      </x:c>
      <x:c r="D465" s="1" t="n">
        <x:v>1</x:v>
      </x:c>
      <x:c r="E465" s="1" t="n">
        <x:v>1</x:v>
      </x:c>
      <x:c r="F465" s="13" t="n">
        <x:v>0.0737526</x:v>
      </x:c>
      <x:c r="G465" s="9" t="str">
        <x:v>https://poke.idleworld.online/pokepedia/pokemon/farfetchd</x:v>
      </x:c>
    </x:row>
    <x:row r="466" ht="22" customHeight="1">
      <x:c r="A466" s="1" t="n">
        <x:v>83</x:v>
      </x:c>
      <x:c r="B466" s="1" t="str">
        <x:v>Farfetchd</x:v>
      </x:c>
      <x:c r="C466" s="1" t="str">
        <x:v>Feather Stone</x:v>
      </x:c>
      <x:c r="D466" s="1" t="n">
        <x:v>1</x:v>
      </x:c>
      <x:c r="E466" s="1" t="n">
        <x:v>1</x:v>
      </x:c>
      <x:c r="F466" s="13" t="n">
        <x:v>0.0029341000000000002</x:v>
      </x:c>
      <x:c r="G466" s="9" t="str">
        <x:v>https://poke.idleworld.online/pokepedia/pokemon/farfetchd</x:v>
      </x:c>
    </x:row>
    <x:row r="467" ht="22" customHeight="1">
      <x:c r="A467" s="1" t="n">
        <x:v>84</x:v>
      </x:c>
      <x:c r="B467" s="1" t="str">
        <x:v>Doduo</x:v>
      </x:c>
      <x:c r="C467" s="1" t="str">
        <x:v>Strange Pheromone</x:v>
      </x:c>
      <x:c r="D467" s="1" t="n">
        <x:v>1</x:v>
      </x:c>
      <x:c r="E467" s="1" t="n">
        <x:v>1</x:v>
      </x:c>
      <x:c r="F467" s="13" t="n">
        <x:v>0</x:v>
      </x:c>
      <x:c r="G467" s="9" t="str">
        <x:v>https://poke.idleworld.online/pokepedia/pokemon/doduo</x:v>
      </x:c>
    </x:row>
    <x:row r="468" ht="22" customHeight="1">
      <x:c r="A468" s="1" t="n">
        <x:v>84</x:v>
      </x:c>
      <x:c r="B468" s="1" t="str">
        <x:v>Doduo</x:v>
      </x:c>
      <x:c r="C468" s="1" t="str">
        <x:v>Straw</x:v>
      </x:c>
      <x:c r="D468" s="1" t="n">
        <x:v>1</x:v>
      </x:c>
      <x:c r="E468" s="1" t="n">
        <x:v>4</x:v>
      </x:c>
      <x:c r="F468" s="13" t="n">
        <x:v>0.95</x:v>
      </x:c>
      <x:c r="G468" s="9" t="str">
        <x:v>https://poke.idleworld.online/pokepedia/pokemon/doduo</x:v>
      </x:c>
    </x:row>
    <x:row r="469" ht="22" customHeight="1">
      <x:c r="A469" s="1" t="n">
        <x:v>84</x:v>
      </x:c>
      <x:c r="B469" s="1" t="str">
        <x:v>Doduo</x:v>
      </x:c>
      <x:c r="C469" s="1" t="str">
        <x:v>Rubber Ball</x:v>
      </x:c>
      <x:c r="D469" s="1" t="n">
        <x:v>1</x:v>
      </x:c>
      <x:c r="E469" s="1" t="n">
        <x:v>4</x:v>
      </x:c>
      <x:c r="F469" s="13" t="n">
        <x:v>0.95</x:v>
      </x:c>
      <x:c r="G469" s="9" t="str">
        <x:v>https://poke.idleworld.online/pokepedia/pokemon/doduo</x:v>
      </x:c>
    </x:row>
    <x:row r="470" ht="22" customHeight="1">
      <x:c r="A470" s="1" t="n">
        <x:v>84</x:v>
      </x:c>
      <x:c r="B470" s="1" t="str">
        <x:v>Doduo</x:v>
      </x:c>
      <x:c r="C470" s="1" t="str">
        <x:v>Bird Beak</x:v>
      </x:c>
      <x:c r="D470" s="1" t="n">
        <x:v>1</x:v>
      </x:c>
      <x:c r="E470" s="1" t="n">
        <x:v>1</x:v>
      </x:c>
      <x:c r="F470" s="13" t="n">
        <x:v>0.1864089</x:v>
      </x:c>
      <x:c r="G470" s="9" t="str">
        <x:v>https://poke.idleworld.online/pokepedia/pokemon/doduo</x:v>
      </x:c>
    </x:row>
    <x:row r="471" ht="22" customHeight="1">
      <x:c r="A471" s="1" t="n">
        <x:v>84</x:v>
      </x:c>
      <x:c r="B471" s="1" t="str">
        <x:v>Doduo</x:v>
      </x:c>
      <x:c r="C471" s="1" t="str">
        <x:v>Dodrio Feather</x:v>
      </x:c>
      <x:c r="D471" s="1" t="n">
        <x:v>1</x:v>
      </x:c>
      <x:c r="E471" s="1" t="n">
        <x:v>1</x:v>
      </x:c>
      <x:c r="F471" s="13" t="n">
        <x:v>0.056756400000000005</x:v>
      </x:c>
      <x:c r="G471" s="9" t="str">
        <x:v>https://poke.idleworld.online/pokepedia/pokemon/doduo</x:v>
      </x:c>
    </x:row>
    <x:row r="472" ht="22" customHeight="1">
      <x:c r="A472" s="1" t="n">
        <x:v>85</x:v>
      </x:c>
      <x:c r="B472" s="1" t="str">
        <x:v>Dodrio</x:v>
      </x:c>
      <x:c r="C472" s="1" t="str">
        <x:v>Strange Pheromone</x:v>
      </x:c>
      <x:c r="D472" s="1" t="n">
        <x:v>1</x:v>
      </x:c>
      <x:c r="E472" s="1" t="n">
        <x:v>1</x:v>
      </x:c>
      <x:c r="F472" s="13" t="n">
        <x:v>0</x:v>
      </x:c>
      <x:c r="G472" s="9" t="str">
        <x:v>https://poke.idleworld.online/pokepedia/pokemon/dodrio</x:v>
      </x:c>
    </x:row>
    <x:row r="473" ht="22" customHeight="1">
      <x:c r="A473" s="1" t="n">
        <x:v>85</x:v>
      </x:c>
      <x:c r="B473" s="1" t="str">
        <x:v>Dodrio</x:v>
      </x:c>
      <x:c r="C473" s="1" t="str">
        <x:v>Rubber Ball</x:v>
      </x:c>
      <x:c r="D473" s="1" t="n">
        <x:v>1</x:v>
      </x:c>
      <x:c r="E473" s="1" t="n">
        <x:v>11</x:v>
      </x:c>
      <x:c r="F473" s="13" t="n">
        <x:v>0.95</x:v>
      </x:c>
      <x:c r="G473" s="9" t="str">
        <x:v>https://poke.idleworld.online/pokepedia/pokemon/dodrio</x:v>
      </x:c>
    </x:row>
    <x:row r="474" ht="22" customHeight="1">
      <x:c r="A474" s="1" t="n">
        <x:v>85</x:v>
      </x:c>
      <x:c r="B474" s="1" t="str">
        <x:v>Dodrio</x:v>
      </x:c>
      <x:c r="C474" s="1" t="str">
        <x:v>Straw</x:v>
      </x:c>
      <x:c r="D474" s="1" t="n">
        <x:v>1</x:v>
      </x:c>
      <x:c r="E474" s="1" t="n">
        <x:v>11</x:v>
      </x:c>
      <x:c r="F474" s="13" t="n">
        <x:v>0.95</x:v>
      </x:c>
      <x:c r="G474" s="9" t="str">
        <x:v>https://poke.idleworld.online/pokepedia/pokemon/dodrio</x:v>
      </x:c>
    </x:row>
    <x:row r="475" ht="22" customHeight="1">
      <x:c r="A475" s="1" t="n">
        <x:v>85</x:v>
      </x:c>
      <x:c r="B475" s="1" t="str">
        <x:v>Dodrio</x:v>
      </x:c>
      <x:c r="C475" s="1" t="str">
        <x:v>Bird Beak</x:v>
      </x:c>
      <x:c r="D475" s="1" t="n">
        <x:v>1</x:v>
      </x:c>
      <x:c r="E475" s="1" t="n">
        <x:v>1</x:v>
      </x:c>
      <x:c r="F475" s="13" t="n">
        <x:v>0.6826684</x:v>
      </x:c>
      <x:c r="G475" s="9" t="str">
        <x:v>https://poke.idleworld.online/pokepedia/pokemon/dodrio</x:v>
      </x:c>
    </x:row>
    <x:row r="476" ht="22" customHeight="1">
      <x:c r="A476" s="1" t="n">
        <x:v>85</x:v>
      </x:c>
      <x:c r="B476" s="1" t="str">
        <x:v>Dodrio</x:v>
      </x:c>
      <x:c r="C476" s="1" t="str">
        <x:v>Dodrio Feather</x:v>
      </x:c>
      <x:c r="D476" s="1" t="n">
        <x:v>1</x:v>
      </x:c>
      <x:c r="E476" s="1" t="n">
        <x:v>1</x:v>
      </x:c>
      <x:c r="F476" s="13" t="n">
        <x:v>0.215913</x:v>
      </x:c>
      <x:c r="G476" s="9" t="str">
        <x:v>https://poke.idleworld.online/pokepedia/pokemon/dodrio</x:v>
      </x:c>
    </x:row>
    <x:row r="477" ht="22" customHeight="1">
      <x:c r="A477" s="1" t="n">
        <x:v>85</x:v>
      </x:c>
      <x:c r="B477" s="1" t="str">
        <x:v>Dodrio</x:v>
      </x:c>
      <x:c r="C477" s="1" t="str">
        <x:v>Heart Stone</x:v>
      </x:c>
      <x:c r="D477" s="1" t="n">
        <x:v>1</x:v>
      </x:c>
      <x:c r="E477" s="1" t="n">
        <x:v>1</x:v>
      </x:c>
      <x:c r="F477" s="13" t="n">
        <x:v>0.0023102</x:v>
      </x:c>
      <x:c r="G477" s="9" t="str">
        <x:v>https://poke.idleworld.online/pokepedia/pokemon/dodrio</x:v>
      </x:c>
    </x:row>
    <x:row r="478" ht="22" customHeight="1">
      <x:c r="A478" s="1" t="n">
        <x:v>85</x:v>
      </x:c>
      <x:c r="B478" s="1" t="str">
        <x:v>Dodrio</x:v>
      </x:c>
      <x:c r="C478" s="1" t="str">
        <x:v>Feather Stone</x:v>
      </x:c>
      <x:c r="D478" s="1" t="n">
        <x:v>1</x:v>
      </x:c>
      <x:c r="E478" s="1" t="n">
        <x:v>1</x:v>
      </x:c>
      <x:c r="F478" s="13" t="n">
        <x:v>0.0023102</x:v>
      </x:c>
      <x:c r="G478" s="9" t="str">
        <x:v>https://poke.idleworld.online/pokepedia/pokemon/dodrio</x:v>
      </x:c>
    </x:row>
    <x:row r="479" ht="22" customHeight="1">
      <x:c r="A479" s="1" t="n">
        <x:v>86</x:v>
      </x:c>
      <x:c r="B479" s="1" t="str">
        <x:v>Seel</x:v>
      </x:c>
      <x:c r="C479" s="1" t="str">
        <x:v>Strange Pheromone</x:v>
      </x:c>
      <x:c r="D479" s="1" t="n">
        <x:v>1</x:v>
      </x:c>
      <x:c r="E479" s="1" t="n">
        <x:v>1</x:v>
      </x:c>
      <x:c r="F479" s="13" t="n">
        <x:v>0</x:v>
      </x:c>
      <x:c r="G479" s="9" t="str">
        <x:v>https://poke.idleworld.online/pokepedia/pokemon/seel</x:v>
      </x:c>
    </x:row>
    <x:row r="480" ht="22" customHeight="1">
      <x:c r="A480" s="1" t="n">
        <x:v>86</x:v>
      </x:c>
      <x:c r="B480" s="1" t="str">
        <x:v>Seel</x:v>
      </x:c>
      <x:c r="C480" s="1" t="str">
        <x:v>Water Gem</x:v>
      </x:c>
      <x:c r="D480" s="1" t="n">
        <x:v>1</x:v>
      </x:c>
      <x:c r="E480" s="1" t="n">
        <x:v>10</x:v>
      </x:c>
      <x:c r="F480" s="13" t="n">
        <x:v>0.7095408</x:v>
      </x:c>
      <x:c r="G480" s="9" t="str">
        <x:v>https://poke.idleworld.online/pokepedia/pokemon/seel</x:v>
      </x:c>
    </x:row>
    <x:row r="481" ht="22" customHeight="1">
      <x:c r="A481" s="1" t="n">
        <x:v>86</x:v>
      </x:c>
      <x:c r="B481" s="1" t="str">
        <x:v>Seel</x:v>
      </x:c>
      <x:c r="C481" s="1" t="str">
        <x:v>Ice Orb</x:v>
      </x:c>
      <x:c r="D481" s="1" t="n">
        <x:v>1</x:v>
      </x:c>
      <x:c r="E481" s="1" t="n">
        <x:v>1</x:v>
      </x:c>
      <x:c r="F481" s="13" t="n">
        <x:v>0.3588478</x:v>
      </x:c>
      <x:c r="G481" s="9" t="str">
        <x:v>https://poke.idleworld.online/pokepedia/pokemon/seel</x:v>
      </x:c>
    </x:row>
    <x:row r="482" ht="22" customHeight="1">
      <x:c r="A482" s="1" t="n">
        <x:v>86</x:v>
      </x:c>
      <x:c r="B482" s="1" t="str">
        <x:v>Seel</x:v>
      </x:c>
      <x:c r="C482" s="1" t="str">
        <x:v>Water Pendant</x:v>
      </x:c>
      <x:c r="D482" s="1" t="n">
        <x:v>1</x:v>
      </x:c>
      <x:c r="E482" s="1" t="n">
        <x:v>1</x:v>
      </x:c>
      <x:c r="F482" s="13" t="n">
        <x:v>0.1537906</x:v>
      </x:c>
      <x:c r="G482" s="9" t="str">
        <x:v>https://poke.idleworld.online/pokepedia/pokemon/seel</x:v>
      </x:c>
    </x:row>
    <x:row r="483" ht="22" customHeight="1">
      <x:c r="A483" s="1" t="n">
        <x:v>86</x:v>
      </x:c>
      <x:c r="B483" s="1" t="str">
        <x:v>Seel</x:v>
      </x:c>
      <x:c r="C483" s="1" t="str">
        <x:v>Seal Tail</x:v>
      </x:c>
      <x:c r="D483" s="1" t="n">
        <x:v>1</x:v>
      </x:c>
      <x:c r="E483" s="1" t="n">
        <x:v>1</x:v>
      </x:c>
      <x:c r="F483" s="13" t="n">
        <x:v>0.0333295</x:v>
      </x:c>
      <x:c r="G483" s="9" t="str">
        <x:v>https://poke.idleworld.online/pokepedia/pokemon/seel</x:v>
      </x:c>
    </x:row>
    <x:row r="484" ht="22" customHeight="1">
      <x:c r="A484" s="1" t="n">
        <x:v>87</x:v>
      </x:c>
      <x:c r="B484" s="1" t="str">
        <x:v>Dewgong</x:v>
      </x:c>
      <x:c r="C484" s="1" t="str">
        <x:v>Strange Pheromone</x:v>
      </x:c>
      <x:c r="D484" s="1" t="n">
        <x:v>1</x:v>
      </x:c>
      <x:c r="E484" s="1" t="n">
        <x:v>1</x:v>
      </x:c>
      <x:c r="F484" s="13" t="n">
        <x:v>0</x:v>
      </x:c>
      <x:c r="G484" s="9" t="str">
        <x:v>https://poke.idleworld.online/pokepedia/pokemon/dewgong</x:v>
      </x:c>
    </x:row>
    <x:row r="485" ht="22" customHeight="1">
      <x:c r="A485" s="1" t="n">
        <x:v>87</x:v>
      </x:c>
      <x:c r="B485" s="1" t="str">
        <x:v>Dewgong</x:v>
      </x:c>
      <x:c r="C485" s="1" t="str">
        <x:v>Water Gem</x:v>
      </x:c>
      <x:c r="D485" s="1" t="n">
        <x:v>1</x:v>
      </x:c>
      <x:c r="E485" s="1" t="n">
        <x:v>16</x:v>
      </x:c>
      <x:c r="F485" s="13" t="n">
        <x:v>0.95</x:v>
      </x:c>
      <x:c r="G485" s="9" t="str">
        <x:v>https://poke.idleworld.online/pokepedia/pokemon/dewgong</x:v>
      </x:c>
    </x:row>
    <x:row r="486" ht="22" customHeight="1">
      <x:c r="A486" s="1" t="n">
        <x:v>87</x:v>
      </x:c>
      <x:c r="B486" s="1" t="str">
        <x:v>Dewgong</x:v>
      </x:c>
      <x:c r="C486" s="1" t="str">
        <x:v>Snowball</x:v>
      </x:c>
      <x:c r="D486" s="1" t="n">
        <x:v>1</x:v>
      </x:c>
      <x:c r="E486" s="1" t="n">
        <x:v>16</x:v>
      </x:c>
      <x:c r="F486" s="13" t="n">
        <x:v>0.95</x:v>
      </x:c>
      <x:c r="G486" s="9" t="str">
        <x:v>https://poke.idleworld.online/pokepedia/pokemon/dewgong</x:v>
      </x:c>
    </x:row>
    <x:row r="487" ht="22" customHeight="1">
      <x:c r="A487" s="1" t="n">
        <x:v>87</x:v>
      </x:c>
      <x:c r="B487" s="1" t="str">
        <x:v>Dewgong</x:v>
      </x:c>
      <x:c r="C487" s="1" t="str">
        <x:v>Ice Orb</x:v>
      </x:c>
      <x:c r="D487" s="1" t="n">
        <x:v>1</x:v>
      </x:c>
      <x:c r="E487" s="1" t="n">
        <x:v>1</x:v>
      </x:c>
      <x:c r="F487" s="13" t="n">
        <x:v>0.39090779999999997</x:v>
      </x:c>
      <x:c r="G487" s="9" t="str">
        <x:v>https://poke.idleworld.online/pokepedia/pokemon/dewgong</x:v>
      </x:c>
    </x:row>
    <x:row r="488" ht="22" customHeight="1">
      <x:c r="A488" s="1" t="n">
        <x:v>87</x:v>
      </x:c>
      <x:c r="B488" s="1" t="str">
        <x:v>Dewgong</x:v>
      </x:c>
      <x:c r="C488" s="1" t="str">
        <x:v>Water Pendant</x:v>
      </x:c>
      <x:c r="D488" s="1" t="n">
        <x:v>1</x:v>
      </x:c>
      <x:c r="E488" s="1" t="n">
        <x:v>1</x:v>
      </x:c>
      <x:c r="F488" s="13" t="n">
        <x:v>0.277094</x:v>
      </x:c>
      <x:c r="G488" s="9" t="str">
        <x:v>https://poke.idleworld.online/pokepedia/pokemon/dewgong</x:v>
      </x:c>
    </x:row>
    <x:row r="489" ht="22" customHeight="1">
      <x:c r="A489" s="1" t="n">
        <x:v>87</x:v>
      </x:c>
      <x:c r="B489" s="1" t="str">
        <x:v>Dewgong</x:v>
      </x:c>
      <x:c r="C489" s="1" t="str">
        <x:v>Seal Tail</x:v>
      </x:c>
      <x:c r="D489" s="1" t="n">
        <x:v>1</x:v>
      </x:c>
      <x:c r="E489" s="1" t="n">
        <x:v>1</x:v>
      </x:c>
      <x:c r="F489" s="13" t="n">
        <x:v>0.0610934</x:v>
      </x:c>
      <x:c r="G489" s="9" t="str">
        <x:v>https://poke.idleworld.online/pokepedia/pokemon/dewgong</x:v>
      </x:c>
    </x:row>
    <x:row r="490" ht="22" customHeight="1">
      <x:c r="A490" s="1" t="n">
        <x:v>87</x:v>
      </x:c>
      <x:c r="B490" s="1" t="str">
        <x:v>Dewgong</x:v>
      </x:c>
      <x:c r="C490" s="1" t="str">
        <x:v>Ski Poles</x:v>
      </x:c>
      <x:c r="D490" s="1" t="n">
        <x:v>1</x:v>
      </x:c>
      <x:c r="E490" s="1" t="n">
        <x:v>1</x:v>
      </x:c>
      <x:c r="F490" s="13" t="n">
        <x:v>0.0071108000000000005</x:v>
      </x:c>
      <x:c r="G490" s="9" t="str">
        <x:v>https://poke.idleworld.online/pokepedia/pokemon/dewgong</x:v>
      </x:c>
    </x:row>
    <x:row r="491" ht="22" customHeight="1">
      <x:c r="A491" s="1" t="n">
        <x:v>87</x:v>
      </x:c>
      <x:c r="B491" s="1" t="str">
        <x:v>Dewgong</x:v>
      </x:c>
      <x:c r="C491" s="1" t="str">
        <x:v>Water Stone</x:v>
      </x:c>
      <x:c r="D491" s="1" t="n">
        <x:v>1</x:v>
      </x:c>
      <x:c r="E491" s="1" t="n">
        <x:v>1</x:v>
      </x:c>
      <x:c r="F491" s="13" t="n">
        <x:v>0.0023581</x:v>
      </x:c>
      <x:c r="G491" s="9" t="str">
        <x:v>https://poke.idleworld.online/pokepedia/pokemon/dewgong</x:v>
      </x:c>
    </x:row>
    <x:row r="492" ht="22" customHeight="1">
      <x:c r="A492" s="1" t="n">
        <x:v>87</x:v>
      </x:c>
      <x:c r="B492" s="1" t="str">
        <x:v>Dewgong</x:v>
      </x:c>
      <x:c r="C492" s="1" t="str">
        <x:v>Ice Stone</x:v>
      </x:c>
      <x:c r="D492" s="1" t="n">
        <x:v>1</x:v>
      </x:c>
      <x:c r="E492" s="1" t="n">
        <x:v>1</x:v>
      </x:c>
      <x:c r="F492" s="13" t="n">
        <x:v>0.0023581</x:v>
      </x:c>
      <x:c r="G492" s="9" t="str">
        <x:v>https://poke.idleworld.online/pokepedia/pokemon/dewgong</x:v>
      </x:c>
    </x:row>
    <x:row r="493" ht="22" customHeight="1">
      <x:c r="A493" s="1" t="n">
        <x:v>87</x:v>
      </x:c>
      <x:c r="B493" s="1" t="str">
        <x:v>Dewgong</x:v>
      </x:c>
      <x:c r="C493" s="1" t="str">
        <x:v>Goggles</x:v>
      </x:c>
      <x:c r="D493" s="1" t="n">
        <x:v>1</x:v>
      </x:c>
      <x:c r="E493" s="1" t="n">
        <x:v>1</x:v>
      </x:c>
      <x:c r="F493" s="13" t="n">
        <x:v>0.0071108000000000005</x:v>
      </x:c>
      <x:c r="G493" s="9" t="str">
        <x:v>https://poke.idleworld.online/pokepedia/pokemon/dewgong</x:v>
      </x:c>
    </x:row>
    <x:row r="494" ht="22" customHeight="1">
      <x:c r="A494" s="1" t="n">
        <x:v>87</x:v>
      </x:c>
      <x:c r="B494" s="1" t="str">
        <x:v>Dewgong</x:v>
      </x:c>
      <x:c r="C494" s="1" t="str">
        <x:v>Snow Skis</x:v>
      </x:c>
      <x:c r="D494" s="1" t="n">
        <x:v>1</x:v>
      </x:c>
      <x:c r="E494" s="1" t="n">
        <x:v>1</x:v>
      </x:c>
      <x:c r="F494" s="13" t="n">
        <x:v>0.0071108000000000005</x:v>
      </x:c>
      <x:c r="G494" s="9" t="str">
        <x:v>https://poke.idleworld.online/pokepedia/pokemon/dewgong</x:v>
      </x:c>
    </x:row>
    <x:row r="495" ht="22" customHeight="1">
      <x:c r="A495" s="1" t="n">
        <x:v>88</x:v>
      </x:c>
      <x:c r="B495" s="1" t="str">
        <x:v>Grimer</x:v>
      </x:c>
      <x:c r="C495" s="1" t="str">
        <x:v>Strange Pheromone</x:v>
      </x:c>
      <x:c r="D495" s="1" t="n">
        <x:v>1</x:v>
      </x:c>
      <x:c r="E495" s="1" t="n">
        <x:v>1</x:v>
      </x:c>
      <x:c r="F495" s="13" t="n">
        <x:v>0</x:v>
      </x:c>
      <x:c r="G495" s="9" t="str">
        <x:v>https://poke.idleworld.online/pokepedia/pokemon/grimer</x:v>
      </x:c>
    </x:row>
    <x:row r="496" ht="22" customHeight="1">
      <x:c r="A496" s="1" t="n">
        <x:v>88</x:v>
      </x:c>
      <x:c r="B496" s="1" t="str">
        <x:v>Grimer</x:v>
      </x:c>
      <x:c r="C496" s="1" t="str">
        <x:v>Bottles of Poison</x:v>
      </x:c>
      <x:c r="D496" s="1" t="n">
        <x:v>1</x:v>
      </x:c>
      <x:c r="E496" s="1" t="n">
        <x:v>8</x:v>
      </x:c>
      <x:c r="F496" s="13" t="n">
        <x:v>0.95</x:v>
      </x:c>
      <x:c r="G496" s="9" t="str">
        <x:v>https://poke.idleworld.online/pokepedia/pokemon/grimer</x:v>
      </x:c>
    </x:row>
    <x:row r="497" ht="22" customHeight="1">
      <x:c r="A497" s="1" t="n">
        <x:v>88</x:v>
      </x:c>
      <x:c r="B497" s="1" t="str">
        <x:v>Grimer</x:v>
      </x:c>
      <x:c r="C497" s="1" t="str">
        <x:v>Gosme</x:v>
      </x:c>
      <x:c r="D497" s="1" t="n">
        <x:v>1</x:v>
      </x:c>
      <x:c r="E497" s="1" t="n">
        <x:v>1</x:v>
      </x:c>
      <x:c r="F497" s="13" t="n">
        <x:v>0.1542815</x:v>
      </x:c>
      <x:c r="G497" s="9" t="str">
        <x:v>https://poke.idleworld.online/pokepedia/pokemon/grimer</x:v>
      </x:c>
    </x:row>
    <x:row r="498" ht="22" customHeight="1">
      <x:c r="A498" s="1" t="n">
        <x:v>89</x:v>
      </x:c>
      <x:c r="B498" s="1" t="str">
        <x:v>Muk</x:v>
      </x:c>
      <x:c r="C498" s="1" t="str">
        <x:v>Strange Pheromone</x:v>
      </x:c>
      <x:c r="D498" s="1" t="n">
        <x:v>1</x:v>
      </x:c>
      <x:c r="E498" s="1" t="n">
        <x:v>1</x:v>
      </x:c>
      <x:c r="F498" s="13" t="n">
        <x:v>0</x:v>
      </x:c>
      <x:c r="G498" s="9" t="str">
        <x:v>https://poke.idleworld.online/pokepedia/pokemon/muk</x:v>
      </x:c>
    </x:row>
    <x:row r="499" ht="22" customHeight="1">
      <x:c r="A499" s="1" t="n">
        <x:v>89</x:v>
      </x:c>
      <x:c r="B499" s="1" t="str">
        <x:v>Muk</x:v>
      </x:c>
      <x:c r="C499" s="1" t="str">
        <x:v>Bottles of Poison</x:v>
      </x:c>
      <x:c r="D499" s="1" t="n">
        <x:v>1</x:v>
      </x:c>
      <x:c r="E499" s="1" t="n">
        <x:v>42</x:v>
      </x:c>
      <x:c r="F499" s="13" t="n">
        <x:v>0.95</x:v>
      </x:c>
      <x:c r="G499" s="9" t="str">
        <x:v>https://poke.idleworld.online/pokepedia/pokemon/muk</x:v>
      </x:c>
    </x:row>
    <x:row r="500" ht="22" customHeight="1">
      <x:c r="A500" s="1" t="n">
        <x:v>89</x:v>
      </x:c>
      <x:c r="B500" s="1" t="str">
        <x:v>Muk</x:v>
      </x:c>
      <x:c r="C500" s="1" t="str">
        <x:v>Sticky Hand</x:v>
      </x:c>
      <x:c r="D500" s="1" t="n">
        <x:v>1</x:v>
      </x:c>
      <x:c r="E500" s="1" t="n">
        <x:v>1</x:v>
      </x:c>
      <x:c r="F500" s="13" t="n">
        <x:v>0.561279</x:v>
      </x:c>
      <x:c r="G500" s="9" t="str">
        <x:v>https://poke.idleworld.online/pokepedia/pokemon/muk</x:v>
      </x:c>
    </x:row>
    <x:row r="501" ht="22" customHeight="1">
      <x:c r="A501" s="1" t="n">
        <x:v>89</x:v>
      </x:c>
      <x:c r="B501" s="1" t="str">
        <x:v>Muk</x:v>
      </x:c>
      <x:c r="C501" s="1" t="str">
        <x:v>Venom Stone</x:v>
      </x:c>
      <x:c r="D501" s="1" t="n">
        <x:v>1</x:v>
      </x:c>
      <x:c r="E501" s="1" t="n">
        <x:v>1</x:v>
      </x:c>
      <x:c r="F501" s="13" t="n">
        <x:v>0.0059</x:v>
      </x:c>
      <x:c r="G501" s="9" t="str">
        <x:v>https://poke.idleworld.online/pokepedia/pokemon/muk</x:v>
      </x:c>
    </x:row>
    <x:row r="502" ht="22" customHeight="1">
      <x:c r="A502" s="1" t="n">
        <x:v>90</x:v>
      </x:c>
      <x:c r="B502" s="1" t="str">
        <x:v>Shellder</x:v>
      </x:c>
      <x:c r="C502" s="1" t="str">
        <x:v>Strange Pheromone</x:v>
      </x:c>
      <x:c r="D502" s="1" t="n">
        <x:v>1</x:v>
      </x:c>
      <x:c r="E502" s="1" t="n">
        <x:v>1</x:v>
      </x:c>
      <x:c r="F502" s="13" t="n">
        <x:v>0</x:v>
      </x:c>
      <x:c r="G502" s="9" t="str">
        <x:v>https://poke.idleworld.online/pokepedia/pokemon/shellder</x:v>
      </x:c>
    </x:row>
    <x:row r="503" ht="22" customHeight="1">
      <x:c r="A503" s="1" t="n">
        <x:v>90</x:v>
      </x:c>
      <x:c r="B503" s="1" t="str">
        <x:v>Shellder</x:v>
      </x:c>
      <x:c r="C503" s="1" t="str">
        <x:v>Water Gem</x:v>
      </x:c>
      <x:c r="D503" s="1" t="n">
        <x:v>1</x:v>
      </x:c>
      <x:c r="E503" s="1" t="n">
        <x:v>5</x:v>
      </x:c>
      <x:c r="F503" s="13" t="n">
        <x:v>0.95</x:v>
      </x:c>
      <x:c r="G503" s="9" t="str">
        <x:v>https://poke.idleworld.online/pokepedia/pokemon/shellder</x:v>
      </x:c>
    </x:row>
    <x:row r="504" ht="22" customHeight="1">
      <x:c r="A504" s="1" t="n">
        <x:v>90</x:v>
      </x:c>
      <x:c r="B504" s="1" t="str">
        <x:v>Shellder</x:v>
      </x:c>
      <x:c r="C504" s="1" t="str">
        <x:v>Ice Orb</x:v>
      </x:c>
      <x:c r="D504" s="1" t="n">
        <x:v>1</x:v>
      </x:c>
      <x:c r="E504" s="1" t="n">
        <x:v>1</x:v>
      </x:c>
      <x:c r="F504" s="13" t="n">
        <x:v>0.2764591</x:v>
      </x:c>
      <x:c r="G504" s="9" t="str">
        <x:v>https://poke.idleworld.online/pokepedia/pokemon/shellder</x:v>
      </x:c>
    </x:row>
    <x:row r="505" ht="22" customHeight="1">
      <x:c r="A505" s="1" t="n">
        <x:v>90</x:v>
      </x:c>
      <x:c r="B505" s="1" t="str">
        <x:v>Shellder</x:v>
      </x:c>
      <x:c r="C505" s="1" t="str">
        <x:v>Locksmith of Shell</x:v>
      </x:c>
      <x:c r="D505" s="1" t="n">
        <x:v>1</x:v>
      </x:c>
      <x:c r="E505" s="1" t="n">
        <x:v>1</x:v>
      </x:c>
      <x:c r="F505" s="13" t="n">
        <x:v>0.1080048</x:v>
      </x:c>
      <x:c r="G505" s="9" t="str">
        <x:v>https://poke.idleworld.online/pokepedia/pokemon/shellder</x:v>
      </x:c>
    </x:row>
    <x:row r="506" ht="22" customHeight="1">
      <x:c r="A506" s="1" t="n">
        <x:v>90</x:v>
      </x:c>
      <x:c r="B506" s="1" t="str">
        <x:v>Shellder</x:v>
      </x:c>
      <x:c r="C506" s="1" t="str">
        <x:v>Water Pendant</x:v>
      </x:c>
      <x:c r="D506" s="1" t="n">
        <x:v>1</x:v>
      </x:c>
      <x:c r="E506" s="1" t="n">
        <x:v>1</x:v>
      </x:c>
      <x:c r="F506" s="13" t="n">
        <x:v>0.0753518</x:v>
      </x:c>
      <x:c r="G506" s="9" t="str">
        <x:v>https://poke.idleworld.online/pokepedia/pokemon/shellder</x:v>
      </x:c>
    </x:row>
    <x:row r="507" ht="22" customHeight="1">
      <x:c r="A507" s="1" t="n">
        <x:v>91</x:v>
      </x:c>
      <x:c r="B507" s="1" t="str">
        <x:v>Cloyster</x:v>
      </x:c>
      <x:c r="C507" s="1" t="str">
        <x:v>Strange Pheromone</x:v>
      </x:c>
      <x:c r="D507" s="1" t="n">
        <x:v>1</x:v>
      </x:c>
      <x:c r="E507" s="1" t="n">
        <x:v>1</x:v>
      </x:c>
      <x:c r="F507" s="13" t="n">
        <x:v>0</x:v>
      </x:c>
      <x:c r="G507" s="9" t="str">
        <x:v>https://poke.idleworld.online/pokepedia/pokemon/cloyster</x:v>
      </x:c>
    </x:row>
    <x:row r="508" ht="22" customHeight="1">
      <x:c r="A508" s="1" t="n">
        <x:v>91</x:v>
      </x:c>
      <x:c r="B508" s="1" t="str">
        <x:v>Cloyster</x:v>
      </x:c>
      <x:c r="C508" s="1" t="str">
        <x:v>Water Gem</x:v>
      </x:c>
      <x:c r="D508" s="1" t="n">
        <x:v>1</x:v>
      </x:c>
      <x:c r="E508" s="1" t="n">
        <x:v>15</x:v>
      </x:c>
      <x:c r="F508" s="13" t="n">
        <x:v>0.95</x:v>
      </x:c>
      <x:c r="G508" s="9" t="str">
        <x:v>https://poke.idleworld.online/pokepedia/pokemon/cloyster</x:v>
      </x:c>
    </x:row>
    <x:row r="509" ht="22" customHeight="1">
      <x:c r="A509" s="1" t="n">
        <x:v>91</x:v>
      </x:c>
      <x:c r="B509" s="1" t="str">
        <x:v>Cloyster</x:v>
      </x:c>
      <x:c r="C509" s="1" t="str">
        <x:v>Snowball</x:v>
      </x:c>
      <x:c r="D509" s="1" t="n">
        <x:v>1</x:v>
      </x:c>
      <x:c r="E509" s="1" t="n">
        <x:v>15</x:v>
      </x:c>
      <x:c r="F509" s="13" t="n">
        <x:v>0.95</x:v>
      </x:c>
      <x:c r="G509" s="9" t="str">
        <x:v>https://poke.idleworld.online/pokepedia/pokemon/cloyster</x:v>
      </x:c>
    </x:row>
    <x:row r="510" ht="22" customHeight="1">
      <x:c r="A510" s="1" t="n">
        <x:v>91</x:v>
      </x:c>
      <x:c r="B510" s="1" t="str">
        <x:v>Cloyster</x:v>
      </x:c>
      <x:c r="C510" s="1" t="str">
        <x:v>Ice Orb</x:v>
      </x:c>
      <x:c r="D510" s="1" t="n">
        <x:v>1</x:v>
      </x:c>
      <x:c r="E510" s="1" t="n">
        <x:v>1</x:v>
      </x:c>
      <x:c r="F510" s="13" t="n">
        <x:v>0.3902711</x:v>
      </x:c>
      <x:c r="G510" s="9" t="str">
        <x:v>https://poke.idleworld.online/pokepedia/pokemon/cloyster</x:v>
      </x:c>
    </x:row>
    <x:row r="511" ht="22" customHeight="1">
      <x:c r="A511" s="1" t="n">
        <x:v>91</x:v>
      </x:c>
      <x:c r="B511" s="1" t="str">
        <x:v>Cloyster</x:v>
      </x:c>
      <x:c r="C511" s="1" t="str">
        <x:v>Water Pendant</x:v>
      </x:c>
      <x:c r="D511" s="1" t="n">
        <x:v>1</x:v>
      </x:c>
      <x:c r="E511" s="1" t="n">
        <x:v>1</x:v>
      </x:c>
      <x:c r="F511" s="13" t="n">
        <x:v>0.27011009999999996</x:v>
      </x:c>
      <x:c r="G511" s="9" t="str">
        <x:v>https://poke.idleworld.online/pokepedia/pokemon/cloyster</x:v>
      </x:c>
    </x:row>
    <x:row r="512" ht="22" customHeight="1">
      <x:c r="A512" s="1" t="n">
        <x:v>91</x:v>
      </x:c>
      <x:c r="B512" s="1" t="str">
        <x:v>Cloyster</x:v>
      </x:c>
      <x:c r="C512" s="1" t="str">
        <x:v>Strange Spike</x:v>
      </x:c>
      <x:c r="D512" s="1" t="n">
        <x:v>1</x:v>
      </x:c>
      <x:c r="E512" s="1" t="n">
        <x:v>1</x:v>
      </x:c>
      <x:c r="F512" s="13" t="n">
        <x:v>0.0645327</x:v>
      </x:c>
      <x:c r="G512" s="9" t="str">
        <x:v>https://poke.idleworld.online/pokepedia/pokemon/cloyster</x:v>
      </x:c>
    </x:row>
    <x:row r="513" ht="22" customHeight="1">
      <x:c r="A513" s="1" t="n">
        <x:v>91</x:v>
      </x:c>
      <x:c r="B513" s="1" t="str">
        <x:v>Cloyster</x:v>
      </x:c>
      <x:c r="C513" s="1" t="str">
        <x:v>Water Stone</x:v>
      </x:c>
      <x:c r="D513" s="1" t="n">
        <x:v>1</x:v>
      </x:c>
      <x:c r="E513" s="1" t="n">
        <x:v>1</x:v>
      </x:c>
      <x:c r="F513" s="13" t="n">
        <x:v>0.0023356</x:v>
      </x:c>
      <x:c r="G513" s="9" t="str">
        <x:v>https://poke.idleworld.online/pokepedia/pokemon/cloyster</x:v>
      </x:c>
    </x:row>
    <x:row r="514" ht="22" customHeight="1">
      <x:c r="A514" s="1" t="n">
        <x:v>91</x:v>
      </x:c>
      <x:c r="B514" s="1" t="str">
        <x:v>Cloyster</x:v>
      </x:c>
      <x:c r="C514" s="1" t="str">
        <x:v>Ice Stone</x:v>
      </x:c>
      <x:c r="D514" s="1" t="n">
        <x:v>1</x:v>
      </x:c>
      <x:c r="E514" s="1" t="n">
        <x:v>1</x:v>
      </x:c>
      <x:c r="F514" s="13" t="n">
        <x:v>0.0023356</x:v>
      </x:c>
      <x:c r="G514" s="9" t="str">
        <x:v>https://poke.idleworld.online/pokepedia/pokemon/cloyster</x:v>
      </x:c>
    </x:row>
    <x:row r="515" ht="22" customHeight="1">
      <x:c r="A515" s="1" t="n">
        <x:v>91</x:v>
      </x:c>
      <x:c r="B515" s="1" t="str">
        <x:v>Cloyster</x:v>
      </x:c>
      <x:c r="C515" s="1" t="str">
        <x:v>Goggles</x:v>
      </x:c>
      <x:c r="D515" s="1" t="n">
        <x:v>1</x:v>
      </x:c>
      <x:c r="E515" s="1" t="n">
        <x:v>1</x:v>
      </x:c>
      <x:c r="F515" s="13" t="n">
        <x:v>0.007501900000000001</x:v>
      </x:c>
      <x:c r="G515" s="9" t="str">
        <x:v>https://poke.idleworld.online/pokepedia/pokemon/cloyster</x:v>
      </x:c>
    </x:row>
    <x:row r="516" ht="22" customHeight="1">
      <x:c r="A516" s="1" t="n">
        <x:v>91</x:v>
      </x:c>
      <x:c r="B516" s="1" t="str">
        <x:v>Cloyster</x:v>
      </x:c>
      <x:c r="C516" s="1" t="str">
        <x:v>Ski Poles</x:v>
      </x:c>
      <x:c r="D516" s="1" t="n">
        <x:v>1</x:v>
      </x:c>
      <x:c r="E516" s="1" t="n">
        <x:v>1</x:v>
      </x:c>
      <x:c r="F516" s="13" t="n">
        <x:v>0.007501900000000001</x:v>
      </x:c>
      <x:c r="G516" s="9" t="str">
        <x:v>https://poke.idleworld.online/pokepedia/pokemon/cloyster</x:v>
      </x:c>
    </x:row>
    <x:row r="517" ht="22" customHeight="1">
      <x:c r="A517" s="1" t="n">
        <x:v>91</x:v>
      </x:c>
      <x:c r="B517" s="1" t="str">
        <x:v>Cloyster</x:v>
      </x:c>
      <x:c r="C517" s="1" t="str">
        <x:v>Snow Skis</x:v>
      </x:c>
      <x:c r="D517" s="1" t="n">
        <x:v>1</x:v>
      </x:c>
      <x:c r="E517" s="1" t="n">
        <x:v>1</x:v>
      </x:c>
      <x:c r="F517" s="13" t="n">
        <x:v>0.007501900000000001</x:v>
      </x:c>
      <x:c r="G517" s="9" t="str">
        <x:v>https://poke.idleworld.online/pokepedia/pokemon/cloyster</x:v>
      </x:c>
    </x:row>
    <x:row r="518" ht="22" customHeight="1">
      <x:c r="A518" s="1" t="n">
        <x:v>92</x:v>
      </x:c>
      <x:c r="B518" s="1" t="str">
        <x:v>Gastly</x:v>
      </x:c>
      <x:c r="C518" s="1" t="str">
        <x:v>Strange Pheromone</x:v>
      </x:c>
      <x:c r="D518" s="1" t="n">
        <x:v>1</x:v>
      </x:c>
      <x:c r="E518" s="1" t="n">
        <x:v>1</x:v>
      </x:c>
      <x:c r="F518" s="13" t="n">
        <x:v>0</x:v>
      </x:c>
      <x:c r="G518" s="9" t="str">
        <x:v>https://poke.idleworld.online/pokepedia/pokemon/gastly</x:v>
      </x:c>
    </x:row>
    <x:row r="519" ht="22" customHeight="1">
      <x:c r="A519" s="1" t="n">
        <x:v>92</x:v>
      </x:c>
      <x:c r="B519" s="1" t="str">
        <x:v>Gastly</x:v>
      </x:c>
      <x:c r="C519" s="1" t="str">
        <x:v>Bottles of Poison</x:v>
      </x:c>
      <x:c r="D519" s="1" t="n">
        <x:v>1</x:v>
      </x:c>
      <x:c r="E519" s="1" t="n">
        <x:v>5</x:v>
      </x:c>
      <x:c r="F519" s="13" t="n">
        <x:v>0.5820951</x:v>
      </x:c>
      <x:c r="G519" s="9" t="str">
        <x:v>https://poke.idleworld.online/pokepedia/pokemon/gastly</x:v>
      </x:c>
    </x:row>
    <x:row r="520" ht="22" customHeight="1">
      <x:c r="A520" s="1" t="n">
        <x:v>92</x:v>
      </x:c>
      <x:c r="B520" s="1" t="str">
        <x:v>Gastly</x:v>
      </x:c>
      <x:c r="C520" s="1" t="str">
        <x:v>Ghost Essence</x:v>
      </x:c>
      <x:c r="D520" s="1" t="n">
        <x:v>1</x:v>
      </x:c>
      <x:c r="E520" s="1" t="n">
        <x:v>5</x:v>
      </x:c>
      <x:c r="F520" s="13" t="n">
        <x:v>0.5820951</x:v>
      </x:c>
      <x:c r="G520" s="9" t="str">
        <x:v>https://poke.idleworld.online/pokepedia/pokemon/gastly</x:v>
      </x:c>
    </x:row>
    <x:row r="521" ht="22" customHeight="1">
      <x:c r="A521" s="1" t="n">
        <x:v>92</x:v>
      </x:c>
      <x:c r="B521" s="1" t="str">
        <x:v>Gastly</x:v>
      </x:c>
      <x:c r="C521" s="1" t="str">
        <x:v>Traces of Ghost</x:v>
      </x:c>
      <x:c r="D521" s="1" t="n">
        <x:v>1</x:v>
      </x:c>
      <x:c r="E521" s="1" t="n">
        <x:v>1</x:v>
      </x:c>
      <x:c r="F521" s="13" t="n">
        <x:v>0.08462889999999999</x:v>
      </x:c>
      <x:c r="G521" s="9" t="str">
        <x:v>https://poke.idleworld.online/pokepedia/pokemon/gastly</x:v>
      </x:c>
    </x:row>
    <x:row r="522" ht="22" customHeight="1">
      <x:c r="A522" s="1" t="n">
        <x:v>93</x:v>
      </x:c>
      <x:c r="B522" s="1" t="str">
        <x:v>Haunter</x:v>
      </x:c>
      <x:c r="C522" s="1" t="str">
        <x:v>Strange Pheromone</x:v>
      </x:c>
      <x:c r="D522" s="1" t="n">
        <x:v>1</x:v>
      </x:c>
      <x:c r="E522" s="1" t="n">
        <x:v>1</x:v>
      </x:c>
      <x:c r="F522" s="13" t="n">
        <x:v>0</x:v>
      </x:c>
      <x:c r="G522" s="9" t="str">
        <x:v>https://poke.idleworld.online/pokepedia/pokemon/haunter</x:v>
      </x:c>
    </x:row>
    <x:row r="523" ht="22" customHeight="1">
      <x:c r="A523" s="1" t="n">
        <x:v>93</x:v>
      </x:c>
      <x:c r="B523" s="1" t="str">
        <x:v>Haunter</x:v>
      </x:c>
      <x:c r="C523" s="1" t="str">
        <x:v>Bottles of Poison</x:v>
      </x:c>
      <x:c r="D523" s="1" t="n">
        <x:v>1</x:v>
      </x:c>
      <x:c r="E523" s="1" t="n">
        <x:v>11</x:v>
      </x:c>
      <x:c r="F523" s="13" t="n">
        <x:v>0.95</x:v>
      </x:c>
      <x:c r="G523" s="9" t="str">
        <x:v>https://poke.idleworld.online/pokepedia/pokemon/haunter</x:v>
      </x:c>
    </x:row>
    <x:row r="524" ht="22" customHeight="1">
      <x:c r="A524" s="1" t="n">
        <x:v>93</x:v>
      </x:c>
      <x:c r="B524" s="1" t="str">
        <x:v>Haunter</x:v>
      </x:c>
      <x:c r="C524" s="1" t="str">
        <x:v>Ghost Essence</x:v>
      </x:c>
      <x:c r="D524" s="1" t="n">
        <x:v>1</x:v>
      </x:c>
      <x:c r="E524" s="1" t="n">
        <x:v>11</x:v>
      </x:c>
      <x:c r="F524" s="13" t="n">
        <x:v>0.95</x:v>
      </x:c>
      <x:c r="G524" s="9" t="str">
        <x:v>https://poke.idleworld.online/pokepedia/pokemon/haunter</x:v>
      </x:c>
    </x:row>
    <x:row r="525" ht="22" customHeight="1">
      <x:c r="A525" s="1" t="n">
        <x:v>93</x:v>
      </x:c>
      <x:c r="B525" s="1" t="str">
        <x:v>Haunter</x:v>
      </x:c>
      <x:c r="C525" s="1" t="str">
        <x:v>Traces of Ghost</x:v>
      </x:c>
      <x:c r="D525" s="1" t="n">
        <x:v>1</x:v>
      </x:c>
      <x:c r="E525" s="1" t="n">
        <x:v>1</x:v>
      </x:c>
      <x:c r="F525" s="13" t="n">
        <x:v>0.15681989999999998</x:v>
      </x:c>
      <x:c r="G525" s="9" t="str">
        <x:v>https://poke.idleworld.online/pokepedia/pokemon/haunter</x:v>
      </x:c>
    </x:row>
    <x:row r="526" ht="22" customHeight="1">
      <x:c r="A526" s="1" t="n">
        <x:v>93</x:v>
      </x:c>
      <x:c r="B526" s="1" t="str">
        <x:v>Haunter</x:v>
      </x:c>
      <x:c r="C526" s="1" t="str">
        <x:v>Darkness Stone</x:v>
      </x:c>
      <x:c r="D526" s="1" t="n">
        <x:v>1</x:v>
      </x:c>
      <x:c r="E526" s="1" t="n">
        <x:v>1</x:v>
      </x:c>
      <x:c r="F526" s="13" t="n">
        <x:v>0.0016983</x:v>
      </x:c>
      <x:c r="G526" s="9" t="str">
        <x:v>https://poke.idleworld.online/pokepedia/pokemon/haunter</x:v>
      </x:c>
    </x:row>
    <x:row r="527" ht="22" customHeight="1">
      <x:c r="A527" s="1" t="n">
        <x:v>93</x:v>
      </x:c>
      <x:c r="B527" s="1" t="str">
        <x:v>Haunter</x:v>
      </x:c>
      <x:c r="C527" s="1" t="str">
        <x:v>Venom Stone</x:v>
      </x:c>
      <x:c r="D527" s="1" t="n">
        <x:v>1</x:v>
      </x:c>
      <x:c r="E527" s="1" t="n">
        <x:v>1</x:v>
      </x:c>
      <x:c r="F527" s="13" t="n">
        <x:v>0.0016983</x:v>
      </x:c>
      <x:c r="G527" s="9" t="str">
        <x:v>https://poke.idleworld.online/pokepedia/pokemon/haunter</x:v>
      </x:c>
    </x:row>
    <x:row r="528" ht="22" customHeight="1">
      <x:c r="A528" s="1" t="n">
        <x:v>94</x:v>
      </x:c>
      <x:c r="B528" s="1" t="str">
        <x:v>Gengar</x:v>
      </x:c>
      <x:c r="C528" s="1" t="str">
        <x:v>Strange Pheromone</x:v>
      </x:c>
      <x:c r="D528" s="1" t="n">
        <x:v>1</x:v>
      </x:c>
      <x:c r="E528" s="1" t="n">
        <x:v>1</x:v>
      </x:c>
      <x:c r="F528" s="13" t="n">
        <x:v>0</x:v>
      </x:c>
      <x:c r="G528" s="9" t="str">
        <x:v>https://poke.idleworld.online/pokepedia/pokemon/gengar</x:v>
      </x:c>
    </x:row>
    <x:row r="529" ht="22" customHeight="1">
      <x:c r="A529" s="1" t="n">
        <x:v>94</x:v>
      </x:c>
      <x:c r="B529" s="1" t="str">
        <x:v>Gengar</x:v>
      </x:c>
      <x:c r="C529" s="1" t="str">
        <x:v>Bottles of Poison</x:v>
      </x:c>
      <x:c r="D529" s="1" t="n">
        <x:v>1</x:v>
      </x:c>
      <x:c r="E529" s="1" t="n">
        <x:v>20</x:v>
      </x:c>
      <x:c r="F529" s="13" t="n">
        <x:v>0.95</x:v>
      </x:c>
      <x:c r="G529" s="9" t="str">
        <x:v>https://poke.idleworld.online/pokepedia/pokemon/gengar</x:v>
      </x:c>
    </x:row>
    <x:row r="530" ht="22" customHeight="1">
      <x:c r="A530" s="1" t="n">
        <x:v>94</x:v>
      </x:c>
      <x:c r="B530" s="1" t="str">
        <x:v>Gengar</x:v>
      </x:c>
      <x:c r="C530" s="1" t="str">
        <x:v>Ghost Essence</x:v>
      </x:c>
      <x:c r="D530" s="1" t="n">
        <x:v>1</x:v>
      </x:c>
      <x:c r="E530" s="1" t="n">
        <x:v>20</x:v>
      </x:c>
      <x:c r="F530" s="13" t="n">
        <x:v>0.95</x:v>
      </x:c>
      <x:c r="G530" s="9" t="str">
        <x:v>https://poke.idleworld.online/pokepedia/pokemon/gengar</x:v>
      </x:c>
    </x:row>
    <x:row r="531" ht="22" customHeight="1">
      <x:c r="A531" s="1" t="n">
        <x:v>94</x:v>
      </x:c>
      <x:c r="B531" s="1" t="str">
        <x:v>Gengar</x:v>
      </x:c>
      <x:c r="C531" s="1" t="str">
        <x:v>Traces of Ghost</x:v>
      </x:c>
      <x:c r="D531" s="1" t="n">
        <x:v>1</x:v>
      </x:c>
      <x:c r="E531" s="1" t="n">
        <x:v>1</x:v>
      </x:c>
      <x:c r="F531" s="13" t="n">
        <x:v>0.5894576</x:v>
      </x:c>
      <x:c r="G531" s="9" t="str">
        <x:v>https://poke.idleworld.online/pokepedia/pokemon/gengar</x:v>
      </x:c>
    </x:row>
    <x:row r="532" ht="22" customHeight="1">
      <x:c r="A532" s="1" t="n">
        <x:v>94</x:v>
      </x:c>
      <x:c r="B532" s="1" t="str">
        <x:v>Gengar</x:v>
      </x:c>
      <x:c r="C532" s="1" t="str">
        <x:v>Darkness Stone</x:v>
      </x:c>
      <x:c r="D532" s="1" t="n">
        <x:v>1</x:v>
      </x:c>
      <x:c r="E532" s="1" t="n">
        <x:v>1</x:v>
      </x:c>
      <x:c r="F532" s="13" t="n">
        <x:v>0.0054022</x:v>
      </x:c>
      <x:c r="G532" s="9" t="str">
        <x:v>https://poke.idleworld.online/pokepedia/pokemon/gengar</x:v>
      </x:c>
    </x:row>
    <x:row r="533" ht="22" customHeight="1">
      <x:c r="A533" s="1" t="n">
        <x:v>94</x:v>
      </x:c>
      <x:c r="B533" s="1" t="str">
        <x:v>Gengar</x:v>
      </x:c>
      <x:c r="C533" s="1" t="str">
        <x:v>Venom Stone</x:v>
      </x:c>
      <x:c r="D533" s="1" t="n">
        <x:v>1</x:v>
      </x:c>
      <x:c r="E533" s="1" t="n">
        <x:v>1</x:v>
      </x:c>
      <x:c r="F533" s="13" t="n">
        <x:v>0.0054022</x:v>
      </x:c>
      <x:c r="G533" s="9" t="str">
        <x:v>https://poke.idleworld.online/pokepedia/pokemon/gengar</x:v>
      </x:c>
    </x:row>
    <x:row r="534" ht="22" customHeight="1">
      <x:c r="A534" s="1" t="n">
        <x:v>95</x:v>
      </x:c>
      <x:c r="B534" s="1" t="str">
        <x:v>Onix</x:v>
      </x:c>
      <x:c r="C534" s="1" t="str">
        <x:v>Strange Pheromone</x:v>
      </x:c>
      <x:c r="D534" s="1" t="n">
        <x:v>1</x:v>
      </x:c>
      <x:c r="E534" s="1" t="n">
        <x:v>1</x:v>
      </x:c>
      <x:c r="F534" s="13" t="n">
        <x:v>0</x:v>
      </x:c>
      <x:c r="G534" s="9" t="str">
        <x:v>https://poke.idleworld.online/pokepedia/pokemon/onix</x:v>
      </x:c>
    </x:row>
    <x:row r="535" ht="22" customHeight="1">
      <x:c r="A535" s="1" t="n">
        <x:v>95</x:v>
      </x:c>
      <x:c r="B535" s="1" t="str">
        <x:v>Onix</x:v>
      </x:c>
      <x:c r="C535" s="1" t="str">
        <x:v>Earth Ball</x:v>
      </x:c>
      <x:c r="D535" s="1" t="n">
        <x:v>1</x:v>
      </x:c>
      <x:c r="E535" s="1" t="n">
        <x:v>13</x:v>
      </x:c>
      <x:c r="F535" s="13" t="n">
        <x:v>0.95</x:v>
      </x:c>
      <x:c r="G535" s="9" t="str">
        <x:v>https://poke.idleworld.online/pokepedia/pokemon/onix</x:v>
      </x:c>
    </x:row>
    <x:row r="536" ht="22" customHeight="1">
      <x:c r="A536" s="1" t="n">
        <x:v>95</x:v>
      </x:c>
      <x:c r="B536" s="1" t="str">
        <x:v>Onix</x:v>
      </x:c>
      <x:c r="C536" s="1" t="str">
        <x:v>Small Stone</x:v>
      </x:c>
      <x:c r="D536" s="1" t="n">
        <x:v>1</x:v>
      </x:c>
      <x:c r="E536" s="1" t="n">
        <x:v>13</x:v>
      </x:c>
      <x:c r="F536" s="13" t="n">
        <x:v>0.95</x:v>
      </x:c>
      <x:c r="G536" s="9" t="str">
        <x:v>https://poke.idleworld.online/pokepedia/pokemon/onix</x:v>
      </x:c>
    </x:row>
    <x:row r="537" ht="22" customHeight="1">
      <x:c r="A537" s="1" t="n">
        <x:v>95</x:v>
      </x:c>
      <x:c r="B537" s="1" t="str">
        <x:v>Onix</x:v>
      </x:c>
      <x:c r="C537" s="1" t="str">
        <x:v>Stone Orb</x:v>
      </x:c>
      <x:c r="D537" s="1" t="n">
        <x:v>1</x:v>
      </x:c>
      <x:c r="E537" s="1" t="n">
        <x:v>1</x:v>
      </x:c>
      <x:c r="F537" s="13" t="n">
        <x:v>0.4631759</x:v>
      </x:c>
      <x:c r="G537" s="9" t="str">
        <x:v>https://poke.idleworld.online/pokepedia/pokemon/onix</x:v>
      </x:c>
    </x:row>
    <x:row r="538" ht="22" customHeight="1">
      <x:c r="A538" s="1" t="n">
        <x:v>95</x:v>
      </x:c>
      <x:c r="B538" s="1" t="str">
        <x:v>Onix</x:v>
      </x:c>
      <x:c r="C538" s="1" t="str">
        <x:v>Onix Tail</x:v>
      </x:c>
      <x:c r="D538" s="1" t="n">
        <x:v>1</x:v>
      </x:c>
      <x:c r="E538" s="1" t="n">
        <x:v>1</x:v>
      </x:c>
      <x:c r="F538" s="13" t="n">
        <x:v>0.07969369999999999</x:v>
      </x:c>
      <x:c r="G538" s="9" t="str">
        <x:v>https://poke.idleworld.online/pokepedia/pokemon/onix</x:v>
      </x:c>
    </x:row>
    <x:row r="539" ht="22" customHeight="1">
      <x:c r="A539" s="1" t="n">
        <x:v>95</x:v>
      </x:c>
      <x:c r="B539" s="1" t="str">
        <x:v>Onix</x:v>
      </x:c>
      <x:c r="C539" s="1" t="str">
        <x:v>Earth Stone</x:v>
      </x:c>
      <x:c r="D539" s="1" t="n">
        <x:v>1</x:v>
      </x:c>
      <x:c r="E539" s="1" t="n">
        <x:v>1</x:v>
      </x:c>
      <x:c r="F539" s="13" t="n">
        <x:v>0.0008181</x:v>
      </x:c>
      <x:c r="G539" s="9" t="str">
        <x:v>https://poke.idleworld.online/pokepedia/pokemon/onix</x:v>
      </x:c>
    </x:row>
    <x:row r="540" ht="22" customHeight="1">
      <x:c r="A540" s="1" t="n">
        <x:v>95</x:v>
      </x:c>
      <x:c r="B540" s="1" t="str">
        <x:v>Onix</x:v>
      </x:c>
      <x:c r="C540" s="1" t="str">
        <x:v>Rock Stone</x:v>
      </x:c>
      <x:c r="D540" s="1" t="n">
        <x:v>1</x:v>
      </x:c>
      <x:c r="E540" s="1" t="n">
        <x:v>1</x:v>
      </x:c>
      <x:c r="F540" s="13" t="n">
        <x:v>0.0008181</x:v>
      </x:c>
      <x:c r="G540" s="9" t="str">
        <x:v>https://poke.idleworld.online/pokepedia/pokemon/onix</x:v>
      </x:c>
    </x:row>
    <x:row r="541" ht="22" customHeight="1">
      <x:c r="A541" s="1" t="n">
        <x:v>95</x:v>
      </x:c>
      <x:c r="B541" s="1" t="str">
        <x:v>Onix</x:v>
      </x:c>
      <x:c r="C541" s="1" t="str">
        <x:v>Crystal Stone</x:v>
      </x:c>
      <x:c r="D541" s="1" t="n">
        <x:v>1</x:v>
      </x:c>
      <x:c r="E541" s="1" t="n">
        <x:v>1</x:v>
      </x:c>
      <x:c r="F541" s="13" t="n">
        <x:v>0.0002713</x:v>
      </x:c>
      <x:c r="G541" s="9" t="str">
        <x:v>https://poke.idleworld.online/pokepedia/pokemon/onix</x:v>
      </x:c>
    </x:row>
    <x:row r="542" ht="22" customHeight="1">
      <x:c r="A542" s="1" t="n">
        <x:v>96</x:v>
      </x:c>
      <x:c r="B542" s="1" t="str">
        <x:v>Drowzee</x:v>
      </x:c>
      <x:c r="C542" s="1" t="str">
        <x:v>Strange Pheromone</x:v>
      </x:c>
      <x:c r="D542" s="1" t="n">
        <x:v>1</x:v>
      </x:c>
      <x:c r="E542" s="1" t="n">
        <x:v>1</x:v>
      </x:c>
      <x:c r="F542" s="13" t="n">
        <x:v>0</x:v>
      </x:c>
      <x:c r="G542" s="9" t="str">
        <x:v>https://poke.idleworld.online/pokepedia/pokemon/drowzee</x:v>
      </x:c>
    </x:row>
    <x:row r="543" ht="22" customHeight="1">
      <x:c r="A543" s="1" t="n">
        <x:v>96</x:v>
      </x:c>
      <x:c r="B543" s="1" t="str">
        <x:v>Drowzee</x:v>
      </x:c>
      <x:c r="C543" s="1" t="str">
        <x:v>Enchanted Gem</x:v>
      </x:c>
      <x:c r="D543" s="1" t="n">
        <x:v>1</x:v>
      </x:c>
      <x:c r="E543" s="1" t="n">
        <x:v>13</x:v>
      </x:c>
      <x:c r="F543" s="13" t="n">
        <x:v>0.5307674</x:v>
      </x:c>
      <x:c r="G543" s="9" t="str">
        <x:v>https://poke.idleworld.online/pokepedia/pokemon/drowzee</x:v>
      </x:c>
    </x:row>
    <x:row r="544" ht="22" customHeight="1">
      <x:c r="A544" s="1" t="n">
        <x:v>96</x:v>
      </x:c>
      <x:c r="B544" s="1" t="str">
        <x:v>Drowzee</x:v>
      </x:c>
      <x:c r="C544" s="1" t="str">
        <x:v>Future Orb</x:v>
      </x:c>
      <x:c r="D544" s="1" t="n">
        <x:v>1</x:v>
      </x:c>
      <x:c r="E544" s="1" t="n">
        <x:v>1</x:v>
      </x:c>
      <x:c r="F544" s="13" t="n">
        <x:v>0.44496</x:v>
      </x:c>
      <x:c r="G544" s="9" t="str">
        <x:v>https://poke.idleworld.online/pokepedia/pokemon/drowzee</x:v>
      </x:c>
    </x:row>
    <x:row r="545" ht="22" customHeight="1">
      <x:c r="A545" s="1" t="n">
        <x:v>96</x:v>
      </x:c>
      <x:c r="B545" s="1" t="str">
        <x:v>Drowzee</x:v>
      </x:c>
      <x:c r="C545" s="1" t="str">
        <x:v>Linearly Guided Hypnosis</x:v>
      </x:c>
      <x:c r="D545" s="1" t="n">
        <x:v>1</x:v>
      </x:c>
      <x:c r="E545" s="1" t="n">
        <x:v>1</x:v>
      </x:c>
      <x:c r="F545" s="13" t="n">
        <x:v>0.04830689999999999</x:v>
      </x:c>
      <x:c r="G545" s="9" t="str">
        <x:v>https://poke.idleworld.online/pokepedia/pokemon/drowzee</x:v>
      </x:c>
    </x:row>
    <x:row r="546" ht="22" customHeight="1">
      <x:c r="A546" s="1" t="n">
        <x:v>97</x:v>
      </x:c>
      <x:c r="B546" s="1" t="str">
        <x:v>Hypno</x:v>
      </x:c>
      <x:c r="C546" s="1" t="str">
        <x:v>Strange Pheromone</x:v>
      </x:c>
      <x:c r="D546" s="1" t="n">
        <x:v>1</x:v>
      </x:c>
      <x:c r="E546" s="1" t="n">
        <x:v>1</x:v>
      </x:c>
      <x:c r="F546" s="13" t="n">
        <x:v>0</x:v>
      </x:c>
      <x:c r="G546" s="9" t="str">
        <x:v>https://poke.idleworld.online/pokepedia/pokemon/hypno</x:v>
      </x:c>
    </x:row>
    <x:row r="547" ht="22" customHeight="1">
      <x:c r="A547" s="1" t="n">
        <x:v>97</x:v>
      </x:c>
      <x:c r="B547" s="1" t="str">
        <x:v>Hypno</x:v>
      </x:c>
      <x:c r="C547" s="1" t="str">
        <x:v>Enchanted Gem</x:v>
      </x:c>
      <x:c r="D547" s="1" t="n">
        <x:v>1</x:v>
      </x:c>
      <x:c r="E547" s="1" t="n">
        <x:v>28</x:v>
      </x:c>
      <x:c r="F547" s="13" t="n">
        <x:v>0.6074506</x:v>
      </x:c>
      <x:c r="G547" s="9" t="str">
        <x:v>https://poke.idleworld.online/pokepedia/pokemon/hypno</x:v>
      </x:c>
    </x:row>
    <x:row r="548" ht="22" customHeight="1">
      <x:c r="A548" s="1" t="n">
        <x:v>97</x:v>
      </x:c>
      <x:c r="B548" s="1" t="str">
        <x:v>Hypno</x:v>
      </x:c>
      <x:c r="C548" s="1" t="str">
        <x:v>Future Orb</x:v>
      </x:c>
      <x:c r="D548" s="1" t="n">
        <x:v>1</x:v>
      </x:c>
      <x:c r="E548" s="1" t="n">
        <x:v>1</x:v>
      </x:c>
      <x:c r="F548" s="13" t="n">
        <x:v>0.36475379999999996</x:v>
      </x:c>
      <x:c r="G548" s="9" t="str">
        <x:v>https://poke.idleworld.online/pokepedia/pokemon/hypno</x:v>
      </x:c>
    </x:row>
    <x:row r="549" ht="22" customHeight="1">
      <x:c r="A549" s="1" t="n">
        <x:v>97</x:v>
      </x:c>
      <x:c r="B549" s="1" t="str">
        <x:v>Hypno</x:v>
      </x:c>
      <x:c r="C549" s="1" t="str">
        <x:v>Linearly Guided Hypnosis</x:v>
      </x:c>
      <x:c r="D549" s="1" t="n">
        <x:v>1</x:v>
      </x:c>
      <x:c r="E549" s="1" t="n">
        <x:v>1</x:v>
      </x:c>
      <x:c r="F549" s="13" t="n">
        <x:v>0.059181899999999996</x:v>
      </x:c>
      <x:c r="G549" s="9" t="str">
        <x:v>https://poke.idleworld.online/pokepedia/pokemon/hypno</x:v>
      </x:c>
    </x:row>
    <x:row r="550" ht="22" customHeight="1">
      <x:c r="A550" s="1" t="n">
        <x:v>97</x:v>
      </x:c>
      <x:c r="B550" s="1" t="str">
        <x:v>Hypno</x:v>
      </x:c>
      <x:c r="C550" s="1" t="str">
        <x:v>Enigma Stone</x:v>
      </x:c>
      <x:c r="D550" s="1" t="n">
        <x:v>1</x:v>
      </x:c>
      <x:c r="E550" s="1" t="n">
        <x:v>1</x:v>
      </x:c>
      <x:c r="F550" s="13" t="n">
        <x:v>0.003335</x:v>
      </x:c>
      <x:c r="G550" s="9" t="str">
        <x:v>https://poke.idleworld.online/pokepedia/pokemon/hypno</x:v>
      </x:c>
    </x:row>
    <x:row r="551" ht="22" customHeight="1">
      <x:c r="A551" s="1" t="n">
        <x:v>98</x:v>
      </x:c>
      <x:c r="B551" s="1" t="str">
        <x:v>Krabby</x:v>
      </x:c>
      <x:c r="C551" s="1" t="str">
        <x:v>Strange Pheromone</x:v>
      </x:c>
      <x:c r="D551" s="1" t="n">
        <x:v>1</x:v>
      </x:c>
      <x:c r="E551" s="1" t="n">
        <x:v>1</x:v>
      </x:c>
      <x:c r="F551" s="13" t="n">
        <x:v>0</x:v>
      </x:c>
      <x:c r="G551" s="9" t="str">
        <x:v>https://poke.idleworld.online/pokepedia/pokemon/krabby</x:v>
      </x:c>
    </x:row>
    <x:row r="552" ht="22" customHeight="1">
      <x:c r="A552" s="1" t="n">
        <x:v>98</x:v>
      </x:c>
      <x:c r="B552" s="1" t="str">
        <x:v>Krabby</x:v>
      </x:c>
      <x:c r="C552" s="1" t="str">
        <x:v>Water Gem</x:v>
      </x:c>
      <x:c r="D552" s="1" t="n">
        <x:v>1</x:v>
      </x:c>
      <x:c r="E552" s="1" t="n">
        <x:v>5</x:v>
      </x:c>
      <x:c r="F552" s="13" t="n">
        <x:v>0.8903861999999999</x:v>
      </x:c>
      <x:c r="G552" s="9" t="str">
        <x:v>https://poke.idleworld.online/pokepedia/pokemon/krabby</x:v>
      </x:c>
    </x:row>
    <x:row r="553" ht="22" customHeight="1">
      <x:c r="A553" s="1" t="n">
        <x:v>98</x:v>
      </x:c>
      <x:c r="B553" s="1" t="str">
        <x:v>Krabby</x:v>
      </x:c>
      <x:c r="C553" s="1" t="str">
        <x:v>Water Pendant</x:v>
      </x:c>
      <x:c r="D553" s="1" t="n">
        <x:v>1</x:v>
      </x:c>
      <x:c r="E553" s="1" t="n">
        <x:v>1</x:v>
      </x:c>
      <x:c r="F553" s="13" t="n">
        <x:v>0.890386</x:v>
      </x:c>
      <x:c r="G553" s="9" t="str">
        <x:v>https://poke.idleworld.online/pokepedia/pokemon/krabby</x:v>
      </x:c>
    </x:row>
    <x:row r="554" ht="22" customHeight="1">
      <x:c r="A554" s="1" t="n">
        <x:v>98</x:v>
      </x:c>
      <x:c r="B554" s="1" t="str">
        <x:v>Krabby</x:v>
      </x:c>
      <x:c r="C554" s="1" t="str">
        <x:v>Crab Claw</x:v>
      </x:c>
      <x:c r="D554" s="1" t="n">
        <x:v>1</x:v>
      </x:c>
      <x:c r="E554" s="1" t="n">
        <x:v>1</x:v>
      </x:c>
      <x:c r="F554" s="13" t="n">
        <x:v>0.023387199999999997</x:v>
      </x:c>
      <x:c r="G554" s="9" t="str">
        <x:v>https://poke.idleworld.online/pokepedia/pokemon/krabby</x:v>
      </x:c>
    </x:row>
    <x:row r="555" ht="22" customHeight="1">
      <x:c r="A555" s="1" t="n">
        <x:v>99</x:v>
      </x:c>
      <x:c r="B555" s="1" t="str">
        <x:v>Kingler</x:v>
      </x:c>
      <x:c r="C555" s="1" t="str">
        <x:v>Strange Pheromone</x:v>
      </x:c>
      <x:c r="D555" s="1" t="n">
        <x:v>1</x:v>
      </x:c>
      <x:c r="E555" s="1" t="n">
        <x:v>1</x:v>
      </x:c>
      <x:c r="F555" s="13" t="n">
        <x:v>0</x:v>
      </x:c>
      <x:c r="G555" s="9" t="str">
        <x:v>https://poke.idleworld.online/pokepedia/pokemon/kingler</x:v>
      </x:c>
    </x:row>
    <x:row r="556" ht="22" customHeight="1">
      <x:c r="A556" s="1" t="n">
        <x:v>99</x:v>
      </x:c>
      <x:c r="B556" s="1" t="str">
        <x:v>Kingler</x:v>
      </x:c>
      <x:c r="C556" s="1" t="str">
        <x:v>Water Gem</x:v>
      </x:c>
      <x:c r="D556" s="1" t="n">
        <x:v>1</x:v>
      </x:c>
      <x:c r="E556" s="1" t="n">
        <x:v>20</x:v>
      </x:c>
      <x:c r="F556" s="13" t="n">
        <x:v>0.95</x:v>
      </x:c>
      <x:c r="G556" s="9" t="str">
        <x:v>https://poke.idleworld.online/pokepedia/pokemon/kingler</x:v>
      </x:c>
    </x:row>
    <x:row r="557" ht="22" customHeight="1">
      <x:c r="A557" s="1" t="n">
        <x:v>99</x:v>
      </x:c>
      <x:c r="B557" s="1" t="str">
        <x:v>Kingler</x:v>
      </x:c>
      <x:c r="C557" s="1" t="str">
        <x:v>Water Pendant</x:v>
      </x:c>
      <x:c r="D557" s="1" t="n">
        <x:v>1</x:v>
      </x:c>
      <x:c r="E557" s="1" t="n">
        <x:v>1</x:v>
      </x:c>
      <x:c r="F557" s="13" t="n">
        <x:v>0.95</x:v>
      </x:c>
      <x:c r="G557" s="9" t="str">
        <x:v>https://poke.idleworld.online/pokepedia/pokemon/kingler</x:v>
      </x:c>
    </x:row>
    <x:row r="558" ht="22" customHeight="1">
      <x:c r="A558" s="1" t="n">
        <x:v>99</x:v>
      </x:c>
      <x:c r="B558" s="1" t="str">
        <x:v>Kingler</x:v>
      </x:c>
      <x:c r="C558" s="1" t="str">
        <x:v>Crab Claw</x:v>
      </x:c>
      <x:c r="D558" s="1" t="n">
        <x:v>1</x:v>
      </x:c>
      <x:c r="E558" s="1" t="n">
        <x:v>1</x:v>
      </x:c>
      <x:c r="F558" s="13" t="n">
        <x:v>0.28807259999999996</x:v>
      </x:c>
      <x:c r="G558" s="9" t="str">
        <x:v>https://poke.idleworld.online/pokepedia/pokemon/kingler</x:v>
      </x:c>
    </x:row>
    <x:row r="559" ht="22" customHeight="1">
      <x:c r="A559" s="1" t="n">
        <x:v>99</x:v>
      </x:c>
      <x:c r="B559" s="1" t="str">
        <x:v>Kingler</x:v>
      </x:c>
      <x:c r="C559" s="1" t="str">
        <x:v>Water Stone</x:v>
      </x:c>
      <x:c r="D559" s="1" t="n">
        <x:v>1</x:v>
      </x:c>
      <x:c r="E559" s="1" t="n">
        <x:v>1</x:v>
      </x:c>
      <x:c r="F559" s="13" t="n">
        <x:v>0.0038916000000000003</x:v>
      </x:c>
      <x:c r="G559" s="9" t="str">
        <x:v>https://poke.idleworld.online/pokepedia/pokemon/kingler</x:v>
      </x:c>
    </x:row>
    <x:row r="560" ht="22" customHeight="1">
      <x:c r="A560" s="1" t="n">
        <x:v>100</x:v>
      </x:c>
      <x:c r="B560" s="1" t="str">
        <x:v>Voltorb</x:v>
      </x:c>
      <x:c r="C560" s="1" t="str">
        <x:v>Strange Pheromone</x:v>
      </x:c>
      <x:c r="D560" s="1" t="n">
        <x:v>1</x:v>
      </x:c>
      <x:c r="E560" s="1" t="n">
        <x:v>1</x:v>
      </x:c>
      <x:c r="F560" s="13" t="n">
        <x:v>0</x:v>
      </x:c>
      <x:c r="G560" s="9" t="str">
        <x:v>https://poke.idleworld.online/pokepedia/pokemon/voltorb</x:v>
      </x:c>
    </x:row>
    <x:row r="561" ht="22" customHeight="1">
      <x:c r="A561" s="1" t="n">
        <x:v>100</x:v>
      </x:c>
      <x:c r="B561" s="1" t="str">
        <x:v>Voltorb</x:v>
      </x:c>
      <x:c r="C561" s="1" t="str">
        <x:v>Screw</x:v>
      </x:c>
      <x:c r="D561" s="1" t="n">
        <x:v>1</x:v>
      </x:c>
      <x:c r="E561" s="1" t="n">
        <x:v>5</x:v>
      </x:c>
      <x:c r="F561" s="13" t="n">
        <x:v>0.95</x:v>
      </x:c>
      <x:c r="G561" s="9" t="str">
        <x:v>https://poke.idleworld.online/pokepedia/pokemon/voltorb</x:v>
      </x:c>
    </x:row>
    <x:row r="562" ht="22" customHeight="1">
      <x:c r="A562" s="1" t="n">
        <x:v>100</x:v>
      </x:c>
      <x:c r="B562" s="1" t="str">
        <x:v>Voltorb</x:v>
      </x:c>
      <x:c r="C562" s="1" t="str">
        <x:v>Electric Box</x:v>
      </x:c>
      <x:c r="D562" s="1" t="n">
        <x:v>1</x:v>
      </x:c>
      <x:c r="E562" s="1" t="n">
        <x:v>2</x:v>
      </x:c>
      <x:c r="F562" s="13" t="n">
        <x:v>0.6421635</x:v>
      </x:c>
      <x:c r="G562" s="9" t="str">
        <x:v>https://poke.idleworld.online/pokepedia/pokemon/voltorb</x:v>
      </x:c>
    </x:row>
    <x:row r="563" ht="22" customHeight="1">
      <x:c r="A563" s="1" t="n">
        <x:v>101</x:v>
      </x:c>
      <x:c r="B563" s="1" t="str">
        <x:v>Electrode</x:v>
      </x:c>
      <x:c r="C563" s="1" t="str">
        <x:v>Strange Pheromone</x:v>
      </x:c>
      <x:c r="D563" s="1" t="n">
        <x:v>1</x:v>
      </x:c>
      <x:c r="E563" s="1" t="n">
        <x:v>1</x:v>
      </x:c>
      <x:c r="F563" s="13" t="n">
        <x:v>0</x:v>
      </x:c>
      <x:c r="G563" s="9" t="str">
        <x:v>https://poke.idleworld.online/pokepedia/pokemon/electrode</x:v>
      </x:c>
    </x:row>
    <x:row r="564" ht="22" customHeight="1">
      <x:c r="A564" s="1" t="n">
        <x:v>101</x:v>
      </x:c>
      <x:c r="B564" s="1" t="str">
        <x:v>Electrode</x:v>
      </x:c>
      <x:c r="C564" s="1" t="str">
        <x:v>Screw</x:v>
      </x:c>
      <x:c r="D564" s="1" t="n">
        <x:v>1</x:v>
      </x:c>
      <x:c r="E564" s="1" t="n">
        <x:v>18</x:v>
      </x:c>
      <x:c r="F564" s="13" t="n">
        <x:v>0.95</x:v>
      </x:c>
      <x:c r="G564" s="9" t="str">
        <x:v>https://poke.idleworld.online/pokepedia/pokemon/electrode</x:v>
      </x:c>
    </x:row>
    <x:row r="565" ht="22" customHeight="1">
      <x:c r="A565" s="1" t="n">
        <x:v>101</x:v>
      </x:c>
      <x:c r="B565" s="1" t="str">
        <x:v>Electrode</x:v>
      </x:c>
      <x:c r="C565" s="1" t="str">
        <x:v>Electric Box</x:v>
      </x:c>
      <x:c r="D565" s="1" t="n">
        <x:v>1</x:v>
      </x:c>
      <x:c r="E565" s="1" t="n">
        <x:v>1</x:v>
      </x:c>
      <x:c r="F565" s="13" t="n">
        <x:v>0.7966617</x:v>
      </x:c>
      <x:c r="G565" s="9" t="str">
        <x:v>https://poke.idleworld.online/pokepedia/pokemon/electrode</x:v>
      </x:c>
    </x:row>
    <x:row r="566" ht="22" customHeight="1">
      <x:c r="A566" s="1" t="n">
        <x:v>101</x:v>
      </x:c>
      <x:c r="B566" s="1" t="str">
        <x:v>Electrode</x:v>
      </x:c>
      <x:c r="C566" s="1" t="str">
        <x:v>Thunder Stone</x:v>
      </x:c>
      <x:c r="D566" s="1" t="n">
        <x:v>1</x:v>
      </x:c>
      <x:c r="E566" s="1" t="n">
        <x:v>1</x:v>
      </x:c>
      <x:c r="F566" s="13" t="n">
        <x:v>0.0021393000000000002</x:v>
      </x:c>
      <x:c r="G566" s="9" t="str">
        <x:v>https://poke.idleworld.online/pokepedia/pokemon/electrode</x:v>
      </x:c>
    </x:row>
    <x:row r="567" ht="22" customHeight="1">
      <x:c r="A567" s="1" t="n">
        <x:v>102</x:v>
      </x:c>
      <x:c r="B567" s="1" t="str">
        <x:v>Exeggcute</x:v>
      </x:c>
      <x:c r="C567" s="1" t="str">
        <x:v>Strange Pheromone</x:v>
      </x:c>
      <x:c r="D567" s="1" t="n">
        <x:v>1</x:v>
      </x:c>
      <x:c r="E567" s="1" t="n">
        <x:v>1</x:v>
      </x:c>
      <x:c r="F567" s="13" t="n">
        <x:v>0</x:v>
      </x:c>
      <x:c r="G567" s="9" t="str">
        <x:v>https://poke.idleworld.online/pokepedia/pokemon/exeggcute</x:v>
      </x:c>
    </x:row>
    <x:row r="568" ht="22" customHeight="1">
      <x:c r="A568" s="1" t="n">
        <x:v>102</x:v>
      </x:c>
      <x:c r="B568" s="1" t="str">
        <x:v>Exeggcute</x:v>
      </x:c>
      <x:c r="C568" s="1" t="str">
        <x:v>Seed</x:v>
      </x:c>
      <x:c r="D568" s="1" t="n">
        <x:v>1</x:v>
      </x:c>
      <x:c r="E568" s="1" t="n">
        <x:v>3</x:v>
      </x:c>
      <x:c r="F568" s="13" t="n">
        <x:v>0.95</x:v>
      </x:c>
      <x:c r="G568" s="9" t="str">
        <x:v>https://poke.idleworld.online/pokepedia/pokemon/exeggcute</x:v>
      </x:c>
    </x:row>
    <x:row r="569" ht="22" customHeight="1">
      <x:c r="A569" s="1" t="n">
        <x:v>102</x:v>
      </x:c>
      <x:c r="B569" s="1" t="str">
        <x:v>Exeggcute</x:v>
      </x:c>
      <x:c r="C569" s="1" t="str">
        <x:v>Enchanted Gem</x:v>
      </x:c>
      <x:c r="D569" s="1" t="n">
        <x:v>1</x:v>
      </x:c>
      <x:c r="E569" s="1" t="n">
        <x:v>3</x:v>
      </x:c>
      <x:c r="F569" s="13" t="n">
        <x:v>0.95</x:v>
      </x:c>
      <x:c r="G569" s="9" t="str">
        <x:v>https://poke.idleworld.online/pokepedia/pokemon/exeggcute</x:v>
      </x:c>
    </x:row>
    <x:row r="570" ht="22" customHeight="1">
      <x:c r="A570" s="1" t="n">
        <x:v>102</x:v>
      </x:c>
      <x:c r="B570" s="1" t="str">
        <x:v>Exeggcute</x:v>
      </x:c>
      <x:c r="C570" s="1" t="str">
        <x:v>Leaves</x:v>
      </x:c>
      <x:c r="D570" s="1" t="n">
        <x:v>1</x:v>
      </x:c>
      <x:c r="E570" s="1" t="n">
        <x:v>2</x:v>
      </x:c>
      <x:c r="F570" s="13" t="n">
        <x:v>0.6450745999999999</x:v>
      </x:c>
      <x:c r="G570" s="9" t="str">
        <x:v>https://poke.idleworld.online/pokepedia/pokemon/exeggcute</x:v>
      </x:c>
    </x:row>
    <x:row r="571" ht="22" customHeight="1">
      <x:c r="A571" s="1" t="n">
        <x:v>102</x:v>
      </x:c>
      <x:c r="B571" s="1" t="str">
        <x:v>Exeggcute</x:v>
      </x:c>
      <x:c r="C571" s="1" t="str">
        <x:v>Plant Foot</x:v>
      </x:c>
      <x:c r="D571" s="1" t="n">
        <x:v>1</x:v>
      </x:c>
      <x:c r="E571" s="1" t="n">
        <x:v>1</x:v>
      </x:c>
      <x:c r="F571" s="13" t="n">
        <x:v>0.05548020000000001</x:v>
      </x:c>
      <x:c r="G571" s="9" t="str">
        <x:v>https://poke.idleworld.online/pokepedia/pokemon/exeggcute</x:v>
      </x:c>
    </x:row>
    <x:row r="572" ht="22" customHeight="1">
      <x:c r="A572" s="1" t="n">
        <x:v>103</x:v>
      </x:c>
      <x:c r="B572" s="1" t="str">
        <x:v>Exeggutor</x:v>
      </x:c>
      <x:c r="C572" s="1" t="str">
        <x:v>Strange Pheromone</x:v>
      </x:c>
      <x:c r="D572" s="1" t="n">
        <x:v>1</x:v>
      </x:c>
      <x:c r="E572" s="1" t="n">
        <x:v>1</x:v>
      </x:c>
      <x:c r="F572" s="13" t="n">
        <x:v>0</x:v>
      </x:c>
      <x:c r="G572" s="9" t="str">
        <x:v>https://poke.idleworld.online/pokepedia/pokemon/exeggutor</x:v>
      </x:c>
    </x:row>
    <x:row r="573" ht="22" customHeight="1">
      <x:c r="A573" s="1" t="n">
        <x:v>103</x:v>
      </x:c>
      <x:c r="B573" s="1" t="str">
        <x:v>Exeggutor</x:v>
      </x:c>
      <x:c r="C573" s="1" t="str">
        <x:v>Enchanted Gem</x:v>
      </x:c>
      <x:c r="D573" s="1" t="n">
        <x:v>1</x:v>
      </x:c>
      <x:c r="E573" s="1" t="n">
        <x:v>14</x:v>
      </x:c>
      <x:c r="F573" s="13" t="n">
        <x:v>0.95</x:v>
      </x:c>
      <x:c r="G573" s="9" t="str">
        <x:v>https://poke.idleworld.online/pokepedia/pokemon/exeggutor</x:v>
      </x:c>
    </x:row>
    <x:row r="574" ht="22" customHeight="1">
      <x:c r="A574" s="1" t="n">
        <x:v>103</x:v>
      </x:c>
      <x:c r="B574" s="1" t="str">
        <x:v>Exeggutor</x:v>
      </x:c>
      <x:c r="C574" s="1" t="str">
        <x:v>Seed</x:v>
      </x:c>
      <x:c r="D574" s="1" t="n">
        <x:v>1</x:v>
      </x:c>
      <x:c r="E574" s="1" t="n">
        <x:v>14</x:v>
      </x:c>
      <x:c r="F574" s="13" t="n">
        <x:v>0.95</x:v>
      </x:c>
      <x:c r="G574" s="9" t="str">
        <x:v>https://poke.idleworld.online/pokepedia/pokemon/exeggutor</x:v>
      </x:c>
    </x:row>
    <x:row r="575" ht="22" customHeight="1">
      <x:c r="A575" s="1" t="n">
        <x:v>103</x:v>
      </x:c>
      <x:c r="B575" s="1" t="str">
        <x:v>Exeggutor</x:v>
      </x:c>
      <x:c r="C575" s="1" t="str">
        <x:v>Leaves</x:v>
      </x:c>
      <x:c r="D575" s="1" t="n">
        <x:v>1</x:v>
      </x:c>
      <x:c r="E575" s="1" t="n">
        <x:v>1</x:v>
      </x:c>
      <x:c r="F575" s="13" t="n">
        <x:v>0.95</x:v>
      </x:c>
      <x:c r="G575" s="9" t="str">
        <x:v>https://poke.idleworld.online/pokepedia/pokemon/exeggutor</x:v>
      </x:c>
    </x:row>
    <x:row r="576" ht="22" customHeight="1">
      <x:c r="A576" s="1" t="n">
        <x:v>103</x:v>
      </x:c>
      <x:c r="B576" s="1" t="str">
        <x:v>Exeggutor</x:v>
      </x:c>
      <x:c r="C576" s="1" t="str">
        <x:v>Plant Foot</x:v>
      </x:c>
      <x:c r="D576" s="1" t="n">
        <x:v>1</x:v>
      </x:c>
      <x:c r="E576" s="1" t="n">
        <x:v>1</x:v>
      </x:c>
      <x:c r="F576" s="13" t="n">
        <x:v>0.6134471</x:v>
      </x:c>
      <x:c r="G576" s="9" t="str">
        <x:v>https://poke.idleworld.online/pokepedia/pokemon/exeggutor</x:v>
      </x:c>
    </x:row>
    <x:row r="577" ht="22" customHeight="1">
      <x:c r="A577" s="1" t="n">
        <x:v>103</x:v>
      </x:c>
      <x:c r="B577" s="1" t="str">
        <x:v>Exeggutor</x:v>
      </x:c>
      <x:c r="C577" s="1" t="str">
        <x:v>Leaf Stone</x:v>
      </x:c>
      <x:c r="D577" s="1" t="n">
        <x:v>1</x:v>
      </x:c>
      <x:c r="E577" s="1" t="n">
        <x:v>1</x:v>
      </x:c>
      <x:c r="F577" s="13" t="n">
        <x:v>0.0084218</x:v>
      </x:c>
      <x:c r="G577" s="9" t="str">
        <x:v>https://poke.idleworld.online/pokepedia/pokemon/exeggutor</x:v>
      </x:c>
    </x:row>
    <x:row r="578" ht="22" customHeight="1">
      <x:c r="A578" s="1" t="n">
        <x:v>104</x:v>
      </x:c>
      <x:c r="B578" s="1" t="str">
        <x:v>Cubone</x:v>
      </x:c>
      <x:c r="C578" s="1" t="str">
        <x:v>Strange Pheromone</x:v>
      </x:c>
      <x:c r="D578" s="1" t="n">
        <x:v>1</x:v>
      </x:c>
      <x:c r="E578" s="1" t="n">
        <x:v>1</x:v>
      </x:c>
      <x:c r="F578" s="13" t="n">
        <x:v>0</x:v>
      </x:c>
      <x:c r="G578" s="9" t="str">
        <x:v>https://poke.idleworld.online/pokepedia/pokemon/cubone</x:v>
      </x:c>
    </x:row>
    <x:row r="579" ht="22" customHeight="1">
      <x:c r="A579" s="1" t="n">
        <x:v>104</x:v>
      </x:c>
      <x:c r="B579" s="1" t="str">
        <x:v>Cubone</x:v>
      </x:c>
      <x:c r="C579" s="1" t="str">
        <x:v>Earth Ball</x:v>
      </x:c>
      <x:c r="D579" s="1" t="n">
        <x:v>1</x:v>
      </x:c>
      <x:c r="E579" s="1" t="n">
        <x:v>10</x:v>
      </x:c>
      <x:c r="F579" s="13" t="n">
        <x:v>0.95</x:v>
      </x:c>
      <x:c r="G579" s="9" t="str">
        <x:v>https://poke.idleworld.online/pokepedia/pokemon/cubone</x:v>
      </x:c>
    </x:row>
    <x:row r="580" ht="22" customHeight="1">
      <x:c r="A580" s="1" t="n">
        <x:v>104</x:v>
      </x:c>
      <x:c r="B580" s="1" t="str">
        <x:v>Cubone</x:v>
      </x:c>
      <x:c r="C580" s="1" t="str">
        <x:v>Sandbag</x:v>
      </x:c>
      <x:c r="D580" s="1" t="n">
        <x:v>1</x:v>
      </x:c>
      <x:c r="E580" s="1" t="n">
        <x:v>1</x:v>
      </x:c>
      <x:c r="F580" s="13" t="n">
        <x:v>0.7132818</x:v>
      </x:c>
      <x:c r="G580" s="9" t="str">
        <x:v>https://poke.idleworld.online/pokepedia/pokemon/cubone</x:v>
      </x:c>
    </x:row>
    <x:row r="581" ht="22" customHeight="1">
      <x:c r="A581" s="1" t="n">
        <x:v>104</x:v>
      </x:c>
      <x:c r="B581" s="1" t="str">
        <x:v>Cubone</x:v>
      </x:c>
      <x:c r="C581" s="1" t="str">
        <x:v>Bone</x:v>
      </x:c>
      <x:c r="D581" s="1" t="n">
        <x:v>1</x:v>
      </x:c>
      <x:c r="E581" s="1" t="n">
        <x:v>1</x:v>
      </x:c>
      <x:c r="F581" s="13" t="n">
        <x:v>0.09727790000000001</x:v>
      </x:c>
      <x:c r="G581" s="9" t="str">
        <x:v>https://poke.idleworld.online/pokepedia/pokemon/cubone</x:v>
      </x:c>
    </x:row>
    <x:row r="582" ht="22" customHeight="1">
      <x:c r="A582" s="1" t="n">
        <x:v>105</x:v>
      </x:c>
      <x:c r="B582" s="1" t="str">
        <x:v>Marowak</x:v>
      </x:c>
      <x:c r="C582" s="1" t="str">
        <x:v>Strange Pheromone</x:v>
      </x:c>
      <x:c r="D582" s="1" t="n">
        <x:v>1</x:v>
      </x:c>
      <x:c r="E582" s="1" t="n">
        <x:v>1</x:v>
      </x:c>
      <x:c r="F582" s="13" t="n">
        <x:v>0</x:v>
      </x:c>
      <x:c r="G582" s="9" t="str">
        <x:v>https://poke.idleworld.online/pokepedia/pokemon/marowak</x:v>
      </x:c>
    </x:row>
    <x:row r="583" ht="22" customHeight="1">
      <x:c r="A583" s="1" t="n">
        <x:v>105</x:v>
      </x:c>
      <x:c r="B583" s="1" t="str">
        <x:v>Marowak</x:v>
      </x:c>
      <x:c r="C583" s="1" t="str">
        <x:v>Earth Ball</x:v>
      </x:c>
      <x:c r="D583" s="1" t="n">
        <x:v>1</x:v>
      </x:c>
      <x:c r="E583" s="1" t="n">
        <x:v>28</x:v>
      </x:c>
      <x:c r="F583" s="13" t="n">
        <x:v>0.8551807</x:v>
      </x:c>
      <x:c r="G583" s="9" t="str">
        <x:v>https://poke.idleworld.online/pokepedia/pokemon/marowak</x:v>
      </x:c>
    </x:row>
    <x:row r="584" ht="22" customHeight="1">
      <x:c r="A584" s="1" t="n">
        <x:v>105</x:v>
      </x:c>
      <x:c r="B584" s="1" t="str">
        <x:v>Marowak</x:v>
      </x:c>
      <x:c r="C584" s="1" t="str">
        <x:v>Sandbag</x:v>
      </x:c>
      <x:c r="D584" s="1" t="n">
        <x:v>1</x:v>
      </x:c>
      <x:c r="E584" s="1" t="n">
        <x:v>1</x:v>
      </x:c>
      <x:c r="F584" s="13" t="n">
        <x:v>0.40719690000000003</x:v>
      </x:c>
      <x:c r="G584" s="9" t="str">
        <x:v>https://poke.idleworld.online/pokepedia/pokemon/marowak</x:v>
      </x:c>
    </x:row>
    <x:row r="585" ht="22" customHeight="1">
      <x:c r="A585" s="1" t="n">
        <x:v>105</x:v>
      </x:c>
      <x:c r="B585" s="1" t="str">
        <x:v>Marowak</x:v>
      </x:c>
      <x:c r="C585" s="1" t="str">
        <x:v>Bone</x:v>
      </x:c>
      <x:c r="D585" s="1" t="n">
        <x:v>1</x:v>
      </x:c>
      <x:c r="E585" s="1" t="n">
        <x:v>1</x:v>
      </x:c>
      <x:c r="F585" s="13" t="n">
        <x:v>0.08144180000000001</x:v>
      </x:c>
      <x:c r="G585" s="9" t="str">
        <x:v>https://poke.idleworld.online/pokepedia/pokemon/marowak</x:v>
      </x:c>
    </x:row>
    <x:row r="586" ht="22" customHeight="1">
      <x:c r="A586" s="1" t="n">
        <x:v>105</x:v>
      </x:c>
      <x:c r="B586" s="1" t="str">
        <x:v>Marowak</x:v>
      </x:c>
      <x:c r="C586" s="1" t="str">
        <x:v>Earth Stone</x:v>
      </x:c>
      <x:c r="D586" s="1" t="n">
        <x:v>1</x:v>
      </x:c>
      <x:c r="E586" s="1" t="n">
        <x:v>1</x:v>
      </x:c>
      <x:c r="F586" s="13" t="n">
        <x:v>0.0024451</x:v>
      </x:c>
      <x:c r="G586" s="9" t="str">
        <x:v>https://poke.idleworld.online/pokepedia/pokemon/marowak</x:v>
      </x:c>
    </x:row>
    <x:row r="587" ht="22" customHeight="1">
      <x:c r="A587" s="1" t="n">
        <x:v>106</x:v>
      </x:c>
      <x:c r="B587" s="1" t="str">
        <x:v>Hitmonlee</x:v>
      </x:c>
      <x:c r="C587" s="1" t="str">
        <x:v>Strange Pheromone</x:v>
      </x:c>
      <x:c r="D587" s="1" t="n">
        <x:v>1</x:v>
      </x:c>
      <x:c r="E587" s="1" t="n">
        <x:v>1</x:v>
      </x:c>
      <x:c r="F587" s="13" t="n">
        <x:v>0</x:v>
      </x:c>
      <x:c r="G587" s="9" t="str">
        <x:v>https://poke.idleworld.online/pokepedia/pokemon/hitmonlee</x:v>
      </x:c>
    </x:row>
    <x:row r="588" ht="22" customHeight="1">
      <x:c r="A588" s="1" t="n">
        <x:v>106</x:v>
      </x:c>
      <x:c r="B588" s="1" t="str">
        <x:v>Hitmonlee</x:v>
      </x:c>
      <x:c r="C588" s="1" t="str">
        <x:v>Band Aid</x:v>
      </x:c>
      <x:c r="D588" s="1" t="n">
        <x:v>1</x:v>
      </x:c>
      <x:c r="E588" s="1" t="n">
        <x:v>30</x:v>
      </x:c>
      <x:c r="F588" s="13" t="n">
        <x:v>0.95</x:v>
      </x:c>
      <x:c r="G588" s="9" t="str">
        <x:v>https://poke.idleworld.online/pokepedia/pokemon/hitmonlee</x:v>
      </x:c>
    </x:row>
    <x:row r="589" ht="22" customHeight="1">
      <x:c r="A589" s="1" t="n">
        <x:v>106</x:v>
      </x:c>
      <x:c r="B589" s="1" t="str">
        <x:v>Hitmonlee</x:v>
      </x:c>
      <x:c r="C589" s="1" t="str">
        <x:v>Martial Arts Scroll</x:v>
      </x:c>
      <x:c r="D589" s="1" t="n">
        <x:v>1</x:v>
      </x:c>
      <x:c r="E589" s="1" t="n">
        <x:v>1</x:v>
      </x:c>
      <x:c r="F589" s="13" t="n">
        <x:v>0.1037265</x:v>
      </x:c>
      <x:c r="G589" s="9" t="str">
        <x:v>https://poke.idleworld.online/pokepedia/pokemon/hitmonlee</x:v>
      </x:c>
    </x:row>
    <x:row r="590" ht="22" customHeight="1">
      <x:c r="A590" s="1" t="n">
        <x:v>106</x:v>
      </x:c>
      <x:c r="B590" s="1" t="str">
        <x:v>Hitmonlee</x:v>
      </x:c>
      <x:c r="C590" s="1" t="str">
        <x:v>Kick Machine</x:v>
      </x:c>
      <x:c r="D590" s="1" t="n">
        <x:v>1</x:v>
      </x:c>
      <x:c r="E590" s="1" t="n">
        <x:v>1</x:v>
      </x:c>
      <x:c r="F590" s="13" t="n">
        <x:v>0.089176</x:v>
      </x:c>
      <x:c r="G590" s="9" t="str">
        <x:v>https://poke.idleworld.online/pokepedia/pokemon/hitmonlee</x:v>
      </x:c>
    </x:row>
    <x:row r="591" ht="22" customHeight="1">
      <x:c r="A591" s="1" t="n">
        <x:v>106</x:v>
      </x:c>
      <x:c r="B591" s="1" t="str">
        <x:v>Hitmonlee</x:v>
      </x:c>
      <x:c r="C591" s="1" t="str">
        <x:v>Punch Stone</x:v>
      </x:c>
      <x:c r="D591" s="1" t="n">
        <x:v>1</x:v>
      </x:c>
      <x:c r="E591" s="1" t="n">
        <x:v>1</x:v>
      </x:c>
      <x:c r="F591" s="13" t="n">
        <x:v>0.0039388</x:v>
      </x:c>
      <x:c r="G591" s="9" t="str">
        <x:v>https://poke.idleworld.online/pokepedia/pokemon/hitmonlee</x:v>
      </x:c>
    </x:row>
    <x:row r="592" ht="22" customHeight="1">
      <x:c r="A592" s="1" t="n">
        <x:v>107</x:v>
      </x:c>
      <x:c r="B592" s="1" t="str">
        <x:v>Hitmonchan</x:v>
      </x:c>
      <x:c r="C592" s="1" t="str">
        <x:v>Strange Pheromone</x:v>
      </x:c>
      <x:c r="D592" s="1" t="n">
        <x:v>1</x:v>
      </x:c>
      <x:c r="E592" s="1" t="n">
        <x:v>1</x:v>
      </x:c>
      <x:c r="F592" s="13" t="n">
        <x:v>0</x:v>
      </x:c>
      <x:c r="G592" s="9" t="str">
        <x:v>https://poke.idleworld.online/pokepedia/pokemon/hitmonchan</x:v>
      </x:c>
    </x:row>
    <x:row r="593" ht="22" customHeight="1">
      <x:c r="A593" s="1" t="n">
        <x:v>107</x:v>
      </x:c>
      <x:c r="B593" s="1" t="str">
        <x:v>Hitmonchan</x:v>
      </x:c>
      <x:c r="C593" s="1" t="str">
        <x:v>Band Aid</x:v>
      </x:c>
      <x:c r="D593" s="1" t="n">
        <x:v>1</x:v>
      </x:c>
      <x:c r="E593" s="1" t="n">
        <x:v>30</x:v>
      </x:c>
      <x:c r="F593" s="13" t="n">
        <x:v>0.95</x:v>
      </x:c>
      <x:c r="G593" s="9" t="str">
        <x:v>https://poke.idleworld.online/pokepedia/pokemon/hitmonchan</x:v>
      </x:c>
    </x:row>
    <x:row r="594" ht="22" customHeight="1">
      <x:c r="A594" s="1" t="n">
        <x:v>107</x:v>
      </x:c>
      <x:c r="B594" s="1" t="str">
        <x:v>Hitmonchan</x:v>
      </x:c>
      <x:c r="C594" s="1" t="str">
        <x:v>Martial Arts Scroll</x:v>
      </x:c>
      <x:c r="D594" s="1" t="n">
        <x:v>1</x:v>
      </x:c>
      <x:c r="E594" s="1" t="n">
        <x:v>1</x:v>
      </x:c>
      <x:c r="F594" s="13" t="n">
        <x:v>0.1275596</x:v>
      </x:c>
      <x:c r="G594" s="9" t="str">
        <x:v>https://poke.idleworld.online/pokepedia/pokemon/hitmonchan</x:v>
      </x:c>
    </x:row>
    <x:row r="595" ht="22" customHeight="1">
      <x:c r="A595" s="1" t="n">
        <x:v>107</x:v>
      </x:c>
      <x:c r="B595" s="1" t="str">
        <x:v>Hitmonchan</x:v>
      </x:c>
      <x:c r="C595" s="1" t="str">
        <x:v>Punch Machine</x:v>
      </x:c>
      <x:c r="D595" s="1" t="n">
        <x:v>1</x:v>
      </x:c>
      <x:c r="E595" s="1" t="n">
        <x:v>1</x:v>
      </x:c>
      <x:c r="F595" s="13" t="n">
        <x:v>0.1096637</x:v>
      </x:c>
      <x:c r="G595" s="9" t="str">
        <x:v>https://poke.idleworld.online/pokepedia/pokemon/hitmonchan</x:v>
      </x:c>
    </x:row>
    <x:row r="596" ht="22" customHeight="1">
      <x:c r="A596" s="1" t="n">
        <x:v>107</x:v>
      </x:c>
      <x:c r="B596" s="1" t="str">
        <x:v>Hitmonchan</x:v>
      </x:c>
      <x:c r="C596" s="1" t="str">
        <x:v>Punch Stone</x:v>
      </x:c>
      <x:c r="D596" s="1" t="n">
        <x:v>1</x:v>
      </x:c>
      <x:c r="E596" s="1" t="n">
        <x:v>1</x:v>
      </x:c>
      <x:c r="F596" s="13" t="n">
        <x:v>0.0045539</x:v>
      </x:c>
      <x:c r="G596" s="9" t="str">
        <x:v>https://poke.idleworld.online/pokepedia/pokemon/hitmonchan</x:v>
      </x:c>
    </x:row>
    <x:row r="597" ht="22" customHeight="1">
      <x:c r="A597" s="1" t="n">
        <x:v>108</x:v>
      </x:c>
      <x:c r="B597" s="1" t="str">
        <x:v>Lickitung</x:v>
      </x:c>
      <x:c r="C597" s="1" t="str">
        <x:v>Strange Pheromone</x:v>
      </x:c>
      <x:c r="D597" s="1" t="n">
        <x:v>1</x:v>
      </x:c>
      <x:c r="E597" s="1" t="n">
        <x:v>1</x:v>
      </x:c>
      <x:c r="F597" s="13" t="n">
        <x:v>0</x:v>
      </x:c>
      <x:c r="G597" s="9" t="str">
        <x:v>https://poke.idleworld.online/pokepedia/pokemon/lickitung</x:v>
      </x:c>
    </x:row>
    <x:row r="598" ht="22" customHeight="1">
      <x:c r="A598" s="1" t="n">
        <x:v>108</x:v>
      </x:c>
      <x:c r="B598" s="1" t="str">
        <x:v>Lickitung</x:v>
      </x:c>
      <x:c r="C598" s="1" t="str">
        <x:v>Rubber Ball</x:v>
      </x:c>
      <x:c r="D598" s="1" t="n">
        <x:v>1</x:v>
      </x:c>
      <x:c r="E598" s="1" t="n">
        <x:v>28</x:v>
      </x:c>
      <x:c r="F598" s="13" t="n">
        <x:v>0.95</x:v>
      </x:c>
      <x:c r="G598" s="9" t="str">
        <x:v>https://poke.idleworld.online/pokepedia/pokemon/lickitung</x:v>
      </x:c>
    </x:row>
    <x:row r="599" ht="22" customHeight="1">
      <x:c r="A599" s="1" t="n">
        <x:v>108</x:v>
      </x:c>
      <x:c r="B599" s="1" t="str">
        <x:v>Lickitung</x:v>
      </x:c>
      <x:c r="C599" s="1" t="str">
        <x:v>Tongue</x:v>
      </x:c>
      <x:c r="D599" s="1" t="n">
        <x:v>1</x:v>
      </x:c>
      <x:c r="E599" s="1" t="n">
        <x:v>1</x:v>
      </x:c>
      <x:c r="F599" s="13" t="n">
        <x:v>0.12249299999999999</x:v>
      </x:c>
      <x:c r="G599" s="9" t="str">
        <x:v>https://poke.idleworld.online/pokepedia/pokemon/lickitung</x:v>
      </x:c>
    </x:row>
    <x:row r="600" ht="22" customHeight="1">
      <x:c r="A600" s="1" t="n">
        <x:v>108</x:v>
      </x:c>
      <x:c r="B600" s="1" t="str">
        <x:v>Lickitung</x:v>
      </x:c>
      <x:c r="C600" s="1" t="str">
        <x:v>Heart Stone</x:v>
      </x:c>
      <x:c r="D600" s="1" t="n">
        <x:v>1</x:v>
      </x:c>
      <x:c r="E600" s="1" t="n">
        <x:v>1</x:v>
      </x:c>
      <x:c r="F600" s="13" t="n">
        <x:v>0.00543</x:v>
      </x:c>
      <x:c r="G600" s="9" t="str">
        <x:v>https://poke.idleworld.online/pokepedia/pokemon/lickitung</x:v>
      </x:c>
    </x:row>
    <x:row r="601" ht="22" customHeight="1">
      <x:c r="A601" s="1" t="n">
        <x:v>109</x:v>
      </x:c>
      <x:c r="B601" s="1" t="str">
        <x:v>Koffing</x:v>
      </x:c>
      <x:c r="C601" s="1" t="str">
        <x:v>Strange Pheromone</x:v>
      </x:c>
      <x:c r="D601" s="1" t="n">
        <x:v>1</x:v>
      </x:c>
      <x:c r="E601" s="1" t="n">
        <x:v>1</x:v>
      </x:c>
      <x:c r="F601" s="13" t="n">
        <x:v>0</x:v>
      </x:c>
      <x:c r="G601" s="9" t="str">
        <x:v>https://poke.idleworld.online/pokepedia/pokemon/koffing</x:v>
      </x:c>
    </x:row>
    <x:row r="602" ht="22" customHeight="1">
      <x:c r="A602" s="1" t="n">
        <x:v>109</x:v>
      </x:c>
      <x:c r="B602" s="1" t="str">
        <x:v>Koffing</x:v>
      </x:c>
      <x:c r="C602" s="1" t="str">
        <x:v>Bottles of Poison</x:v>
      </x:c>
      <x:c r="D602" s="1" t="n">
        <x:v>1</x:v>
      </x:c>
      <x:c r="E602" s="1" t="n">
        <x:v>9</x:v>
      </x:c>
      <x:c r="F602" s="13" t="n">
        <x:v>0.95</x:v>
      </x:c>
      <x:c r="G602" s="9" t="str">
        <x:v>https://poke.idleworld.online/pokepedia/pokemon/koffing</x:v>
      </x:c>
    </x:row>
    <x:row r="603" ht="22" customHeight="1">
      <x:c r="A603" s="1" t="n">
        <x:v>109</x:v>
      </x:c>
      <x:c r="B603" s="1" t="str">
        <x:v>Koffing</x:v>
      </x:c>
      <x:c r="C603" s="1" t="str">
        <x:v>Venom Flute</x:v>
      </x:c>
      <x:c r="D603" s="1" t="n">
        <x:v>1</x:v>
      </x:c>
      <x:c r="E603" s="1" t="n">
        <x:v>1</x:v>
      </x:c>
      <x:c r="F603" s="13" t="n">
        <x:v>0.145465</x:v>
      </x:c>
      <x:c r="G603" s="9" t="str">
        <x:v>https://poke.idleworld.online/pokepedia/pokemon/koffing</x:v>
      </x:c>
    </x:row>
    <x:row r="604" ht="22" customHeight="1">
      <x:c r="A604" s="1" t="n">
        <x:v>110</x:v>
      </x:c>
      <x:c r="B604" s="1" t="str">
        <x:v>Weezing</x:v>
      </x:c>
      <x:c r="C604" s="1" t="str">
        <x:v>Strange Pheromone</x:v>
      </x:c>
      <x:c r="D604" s="1" t="n">
        <x:v>1</x:v>
      </x:c>
      <x:c r="E604" s="1" t="n">
        <x:v>1</x:v>
      </x:c>
      <x:c r="F604" s="13" t="n">
        <x:v>0</x:v>
      </x:c>
      <x:c r="G604" s="9" t="str">
        <x:v>https://poke.idleworld.online/pokepedia/pokemon/weezing</x:v>
      </x:c>
    </x:row>
    <x:row r="605" ht="22" customHeight="1">
      <x:c r="A605" s="1" t="n">
        <x:v>110</x:v>
      </x:c>
      <x:c r="B605" s="1" t="str">
        <x:v>Weezing</x:v>
      </x:c>
      <x:c r="C605" s="1" t="str">
        <x:v>Bottles of Poison</x:v>
      </x:c>
      <x:c r="D605" s="1" t="n">
        <x:v>1</x:v>
      </x:c>
      <x:c r="E605" s="1" t="n">
        <x:v>18</x:v>
      </x:c>
      <x:c r="F605" s="13" t="n">
        <x:v>0.95</x:v>
      </x:c>
      <x:c r="G605" s="9" t="str">
        <x:v>https://poke.idleworld.online/pokepedia/pokemon/weezing</x:v>
      </x:c>
    </x:row>
    <x:row r="606" ht="22" customHeight="1">
      <x:c r="A606" s="1" t="n">
        <x:v>110</x:v>
      </x:c>
      <x:c r="B606" s="1" t="str">
        <x:v>Weezing</x:v>
      </x:c>
      <x:c r="C606" s="1" t="str">
        <x:v>Venom Flute</x:v>
      </x:c>
      <x:c r="D606" s="1" t="n">
        <x:v>1</x:v>
      </x:c>
      <x:c r="E606" s="1" t="n">
        <x:v>1</x:v>
      </x:c>
      <x:c r="F606" s="13" t="n">
        <x:v>0.3908164</x:v>
      </x:c>
      <x:c r="G606" s="9" t="str">
        <x:v>https://poke.idleworld.online/pokepedia/pokemon/weezing</x:v>
      </x:c>
    </x:row>
    <x:row r="607" ht="22" customHeight="1">
      <x:c r="A607" s="1" t="n">
        <x:v>110</x:v>
      </x:c>
      <x:c r="B607" s="1" t="str">
        <x:v>Weezing</x:v>
      </x:c>
      <x:c r="C607" s="1" t="str">
        <x:v>Venom Stone</x:v>
      </x:c>
      <x:c r="D607" s="1" t="n">
        <x:v>1</x:v>
      </x:c>
      <x:c r="E607" s="1" t="n">
        <x:v>1</x:v>
      </x:c>
      <x:c r="F607" s="13" t="n">
        <x:v>0.0033864</x:v>
      </x:c>
      <x:c r="G607" s="9" t="str">
        <x:v>https://poke.idleworld.online/pokepedia/pokemon/weezing</x:v>
      </x:c>
    </x:row>
    <x:row r="608" ht="22" customHeight="1">
      <x:c r="A608" s="1" t="n">
        <x:v>111</x:v>
      </x:c>
      <x:c r="B608" s="1" t="str">
        <x:v>Rhyhorn</x:v>
      </x:c>
      <x:c r="C608" s="1" t="str">
        <x:v>Strange Pheromone</x:v>
      </x:c>
      <x:c r="D608" s="1" t="n">
        <x:v>1</x:v>
      </x:c>
      <x:c r="E608" s="1" t="n">
        <x:v>1</x:v>
      </x:c>
      <x:c r="F608" s="13" t="n">
        <x:v>0</x:v>
      </x:c>
      <x:c r="G608" s="9" t="str">
        <x:v>https://poke.idleworld.online/pokepedia/pokemon/rhyhorn</x:v>
      </x:c>
    </x:row>
    <x:row r="609" ht="22" customHeight="1">
      <x:c r="A609" s="1" t="n">
        <x:v>111</x:v>
      </x:c>
      <x:c r="B609" s="1" t="str">
        <x:v>Rhyhorn</x:v>
      </x:c>
      <x:c r="C609" s="1" t="str">
        <x:v>Earth Ball</x:v>
      </x:c>
      <x:c r="D609" s="1" t="n">
        <x:v>1</x:v>
      </x:c>
      <x:c r="E609" s="1" t="n">
        <x:v>10</x:v>
      </x:c>
      <x:c r="F609" s="13" t="n">
        <x:v>0.6102673000000001</x:v>
      </x:c>
      <x:c r="G609" s="9" t="str">
        <x:v>https://poke.idleworld.online/pokepedia/pokemon/rhyhorn</x:v>
      </x:c>
    </x:row>
    <x:row r="610" ht="22" customHeight="1">
      <x:c r="A610" s="1" t="n">
        <x:v>111</x:v>
      </x:c>
      <x:c r="B610" s="1" t="str">
        <x:v>Rhyhorn</x:v>
      </x:c>
      <x:c r="C610" s="1" t="str">
        <x:v>Small Stone</x:v>
      </x:c>
      <x:c r="D610" s="1" t="n">
        <x:v>1</x:v>
      </x:c>
      <x:c r="E610" s="1" t="n">
        <x:v>3</x:v>
      </x:c>
      <x:c r="F610" s="13" t="n">
        <x:v>0.6102673000000001</x:v>
      </x:c>
      <x:c r="G610" s="9" t="str">
        <x:v>https://poke.idleworld.online/pokepedia/pokemon/rhyhorn</x:v>
      </x:c>
    </x:row>
    <x:row r="611" ht="22" customHeight="1">
      <x:c r="A611" s="1" t="n">
        <x:v>111</x:v>
      </x:c>
      <x:c r="B611" s="1" t="str">
        <x:v>Rhyhorn</x:v>
      </x:c>
      <x:c r="C611" s="1" t="str">
        <x:v>Horn</x:v>
      </x:c>
      <x:c r="D611" s="1" t="n">
        <x:v>1</x:v>
      </x:c>
      <x:c r="E611" s="1" t="n">
        <x:v>1</x:v>
      </x:c>
      <x:c r="F611" s="13" t="n">
        <x:v>0.3463264</x:v>
      </x:c>
      <x:c r="G611" s="9" t="str">
        <x:v>https://poke.idleworld.online/pokepedia/pokemon/rhyhorn</x:v>
      </x:c>
    </x:row>
    <x:row r="612" ht="22" customHeight="1">
      <x:c r="A612" s="1" t="n">
        <x:v>111</x:v>
      </x:c>
      <x:c r="B612" s="1" t="str">
        <x:v>Rhyhorn</x:v>
      </x:c>
      <x:c r="C612" s="1" t="str">
        <x:v>Horn Drill</x:v>
      </x:c>
      <x:c r="D612" s="1" t="n">
        <x:v>1</x:v>
      </x:c>
      <x:c r="E612" s="1" t="n">
        <x:v>1</x:v>
      </x:c>
      <x:c r="F612" s="13" t="n">
        <x:v>0.0115473</x:v>
      </x:c>
      <x:c r="G612" s="9" t="str">
        <x:v>https://poke.idleworld.online/pokepedia/pokemon/rhyhorn</x:v>
      </x:c>
    </x:row>
    <x:row r="613" ht="22" customHeight="1">
      <x:c r="A613" s="1" t="n">
        <x:v>111</x:v>
      </x:c>
      <x:c r="B613" s="1" t="str">
        <x:v>Rhyhorn</x:v>
      </x:c>
      <x:c r="C613" s="1" t="str">
        <x:v>Stone Orb</x:v>
      </x:c>
      <x:c r="D613" s="1" t="n">
        <x:v>1</x:v>
      </x:c>
      <x:c r="E613" s="1" t="n">
        <x:v>1</x:v>
      </x:c>
      <x:c r="F613" s="13" t="n">
        <x:v>0.4616864</x:v>
      </x:c>
      <x:c r="G613" s="9" t="str">
        <x:v>https://poke.idleworld.online/pokepedia/pokemon/rhyhorn</x:v>
      </x:c>
    </x:row>
    <x:row r="614" ht="22" customHeight="1">
      <x:c r="A614" s="1" t="n">
        <x:v>112</x:v>
      </x:c>
      <x:c r="B614" s="1" t="str">
        <x:v>Rhydon</x:v>
      </x:c>
      <x:c r="C614" s="1" t="str">
        <x:v>Strange Pheromone</x:v>
      </x:c>
      <x:c r="D614" s="1" t="n">
        <x:v>1</x:v>
      </x:c>
      <x:c r="E614" s="1" t="n">
        <x:v>1</x:v>
      </x:c>
      <x:c r="F614" s="13" t="n">
        <x:v>0</x:v>
      </x:c>
      <x:c r="G614" s="9" t="str">
        <x:v>https://poke.idleworld.online/pokepedia/pokemon/rhydon</x:v>
      </x:c>
    </x:row>
    <x:row r="615" ht="22" customHeight="1">
      <x:c r="A615" s="1" t="n">
        <x:v>112</x:v>
      </x:c>
      <x:c r="B615" s="1" t="str">
        <x:v>Rhydon</x:v>
      </x:c>
      <x:c r="C615" s="1" t="str">
        <x:v>Ancient Stone</x:v>
      </x:c>
      <x:c r="D615" s="1" t="n">
        <x:v>1</x:v>
      </x:c>
      <x:c r="E615" s="1" t="n">
        <x:v>1</x:v>
      </x:c>
      <x:c r="F615" s="13" t="n">
        <x:v>0.0003669</x:v>
      </x:c>
      <x:c r="G615" s="9" t="str">
        <x:v>https://poke.idleworld.online/pokepedia/pokemon/rhydon</x:v>
      </x:c>
    </x:row>
    <x:row r="616" ht="22" customHeight="1">
      <x:c r="A616" s="1" t="n">
        <x:v>112</x:v>
      </x:c>
      <x:c r="B616" s="1" t="str">
        <x:v>Rhydon</x:v>
      </x:c>
      <x:c r="C616" s="1" t="str">
        <x:v>Earth Ball</x:v>
      </x:c>
      <x:c r="D616" s="1" t="n">
        <x:v>1</x:v>
      </x:c>
      <x:c r="E616" s="1" t="n">
        <x:v>10</x:v>
      </x:c>
      <x:c r="F616" s="13" t="n">
        <x:v>0.95</x:v>
      </x:c>
      <x:c r="G616" s="9" t="str">
        <x:v>https://poke.idleworld.online/pokepedia/pokemon/rhydon</x:v>
      </x:c>
    </x:row>
    <x:row r="617" ht="22" customHeight="1">
      <x:c r="A617" s="1" t="n">
        <x:v>112</x:v>
      </x:c>
      <x:c r="B617" s="1" t="str">
        <x:v>Rhydon</x:v>
      </x:c>
      <x:c r="C617" s="1" t="str">
        <x:v>Small Stone</x:v>
      </x:c>
      <x:c r="D617" s="1" t="n">
        <x:v>1</x:v>
      </x:c>
      <x:c r="E617" s="1" t="n">
        <x:v>3</x:v>
      </x:c>
      <x:c r="F617" s="13" t="n">
        <x:v>0.95</x:v>
      </x:c>
      <x:c r="G617" s="9" t="str">
        <x:v>https://poke.idleworld.online/pokepedia/pokemon/rhydon</x:v>
      </x:c>
    </x:row>
    <x:row r="618" ht="22" customHeight="1">
      <x:c r="A618" s="1" t="n">
        <x:v>112</x:v>
      </x:c>
      <x:c r="B618" s="1" t="str">
        <x:v>Rhydon</x:v>
      </x:c>
      <x:c r="C618" s="1" t="str">
        <x:v>Horn</x:v>
      </x:c>
      <x:c r="D618" s="1" t="n">
        <x:v>1</x:v>
      </x:c>
      <x:c r="E618" s="1" t="n">
        <x:v>1</x:v>
      </x:c>
      <x:c r="F618" s="13" t="n">
        <x:v>0.8332098</x:v>
      </x:c>
      <x:c r="G618" s="9" t="str">
        <x:v>https://poke.idleworld.online/pokepedia/pokemon/rhydon</x:v>
      </x:c>
    </x:row>
    <x:row r="619" ht="22" customHeight="1">
      <x:c r="A619" s="1" t="n">
        <x:v>112</x:v>
      </x:c>
      <x:c r="B619" s="1" t="str">
        <x:v>Rhydon</x:v>
      </x:c>
      <x:c r="C619" s="1" t="str">
        <x:v>Horn Drill</x:v>
      </x:c>
      <x:c r="D619" s="1" t="n">
        <x:v>1</x:v>
      </x:c>
      <x:c r="E619" s="1" t="n">
        <x:v>1</x:v>
      </x:c>
      <x:c r="F619" s="13" t="n">
        <x:v>0.08328350000000001</x:v>
      </x:c>
      <x:c r="G619" s="9" t="str">
        <x:v>https://poke.idleworld.online/pokepedia/pokemon/rhydon</x:v>
      </x:c>
    </x:row>
    <x:row r="620" ht="22" customHeight="1">
      <x:c r="A620" s="1" t="n">
        <x:v>112</x:v>
      </x:c>
      <x:c r="B620" s="1" t="str">
        <x:v>Rhydon</x:v>
      </x:c>
      <x:c r="C620" s="1" t="str">
        <x:v>Stone Orb</x:v>
      </x:c>
      <x:c r="D620" s="1" t="n">
        <x:v>1</x:v>
      </x:c>
      <x:c r="E620" s="1" t="n">
        <x:v>1</x:v>
      </x:c>
      <x:c r="F620" s="13" t="n">
        <x:v>0.95</x:v>
      </x:c>
      <x:c r="G620" s="9" t="str">
        <x:v>https://poke.idleworld.online/pokepedia/pokemon/rhydon</x:v>
      </x:c>
    </x:row>
    <x:row r="621" ht="22" customHeight="1">
      <x:c r="A621" s="1" t="n">
        <x:v>112</x:v>
      </x:c>
      <x:c r="B621" s="1" t="str">
        <x:v>Rhydon</x:v>
      </x:c>
      <x:c r="C621" s="1" t="str">
        <x:v>Rock Stone</x:v>
      </x:c>
      <x:c r="D621" s="1" t="n">
        <x:v>1</x:v>
      </x:c>
      <x:c r="E621" s="1" t="n">
        <x:v>1</x:v>
      </x:c>
      <x:c r="F621" s="13" t="n">
        <x:v>0.0018401</x:v>
      </x:c>
      <x:c r="G621" s="9" t="str">
        <x:v>https://poke.idleworld.online/pokepedia/pokemon/rhydon</x:v>
      </x:c>
    </x:row>
    <x:row r="622" ht="22" customHeight="1">
      <x:c r="A622" s="1" t="n">
        <x:v>112</x:v>
      </x:c>
      <x:c r="B622" s="1" t="str">
        <x:v>Rhydon</x:v>
      </x:c>
      <x:c r="C622" s="1" t="str">
        <x:v>Earth Stone</x:v>
      </x:c>
      <x:c r="D622" s="1" t="n">
        <x:v>1</x:v>
      </x:c>
      <x:c r="E622" s="1" t="n">
        <x:v>1</x:v>
      </x:c>
      <x:c r="F622" s="13" t="n">
        <x:v>0.0018401</x:v>
      </x:c>
      <x:c r="G622" s="9" t="str">
        <x:v>https://poke.idleworld.online/pokepedia/pokemon/rhydon</x:v>
      </x:c>
    </x:row>
    <x:row r="623" ht="22" customHeight="1">
      <x:c r="A623" s="1" t="n">
        <x:v>113</x:v>
      </x:c>
      <x:c r="B623" s="1" t="str">
        <x:v>Chansey</x:v>
      </x:c>
      <x:c r="C623" s="1" t="str">
        <x:v>Strange Pheromone</x:v>
      </x:c>
      <x:c r="D623" s="1" t="n">
        <x:v>1</x:v>
      </x:c>
      <x:c r="E623" s="1" t="n">
        <x:v>1</x:v>
      </x:c>
      <x:c r="F623" s="13" t="n">
        <x:v>0</x:v>
      </x:c>
      <x:c r="G623" s="9" t="str">
        <x:v>https://poke.idleworld.online/pokepedia/pokemon/chansey</x:v>
      </x:c>
    </x:row>
    <x:row r="624" ht="22" customHeight="1">
      <x:c r="A624" s="1" t="n">
        <x:v>113</x:v>
      </x:c>
      <x:c r="B624" s="1" t="str">
        <x:v>Chansey</x:v>
      </x:c>
      <x:c r="C624" s="1" t="str">
        <x:v>Rubber Ball</x:v>
      </x:c>
      <x:c r="D624" s="1" t="n">
        <x:v>1</x:v>
      </x:c>
      <x:c r="E624" s="1" t="n">
        <x:v>10</x:v>
      </x:c>
      <x:c r="F624" s="13" t="n">
        <x:v>0.95</x:v>
      </x:c>
      <x:c r="G624" s="9" t="str">
        <x:v>https://poke.idleworld.online/pokepedia/pokemon/chansey</x:v>
      </x:c>
    </x:row>
    <x:row r="625" ht="22" customHeight="1">
      <x:c r="A625" s="1" t="n">
        <x:v>113</x:v>
      </x:c>
      <x:c r="B625" s="1" t="str">
        <x:v>Chansey</x:v>
      </x:c>
      <x:c r="C625" s="1" t="str">
        <x:v>Chansey Egg</x:v>
      </x:c>
      <x:c r="D625" s="1" t="n">
        <x:v>1</x:v>
      </x:c>
      <x:c r="E625" s="1" t="n">
        <x:v>1</x:v>
      </x:c>
      <x:c r="F625" s="13" t="n">
        <x:v>0.0839328</x:v>
      </x:c>
      <x:c r="G625" s="9" t="str">
        <x:v>https://poke.idleworld.online/pokepedia/pokemon/chansey</x:v>
      </x:c>
    </x:row>
    <x:row r="626" ht="22" customHeight="1">
      <x:c r="A626" s="1" t="n">
        <x:v>114</x:v>
      </x:c>
      <x:c r="B626" s="1" t="str">
        <x:v>Tangela</x:v>
      </x:c>
      <x:c r="C626" s="1" t="str">
        <x:v>Strange Pheromone</x:v>
      </x:c>
      <x:c r="D626" s="1" t="n">
        <x:v>1</x:v>
      </x:c>
      <x:c r="E626" s="1" t="n">
        <x:v>1</x:v>
      </x:c>
      <x:c r="F626" s="13" t="n">
        <x:v>0</x:v>
      </x:c>
      <x:c r="G626" s="9" t="str">
        <x:v>https://poke.idleworld.online/pokepedia/pokemon/tangela</x:v>
      </x:c>
    </x:row>
    <x:row r="627" ht="22" customHeight="1">
      <x:c r="A627" s="1" t="n">
        <x:v>114</x:v>
      </x:c>
      <x:c r="B627" s="1" t="str">
        <x:v>Tangela</x:v>
      </x:c>
      <x:c r="C627" s="1" t="str">
        <x:v>Seed</x:v>
      </x:c>
      <x:c r="D627" s="1" t="n">
        <x:v>1</x:v>
      </x:c>
      <x:c r="E627" s="1" t="n">
        <x:v>3</x:v>
      </x:c>
      <x:c r="F627" s="13" t="n">
        <x:v>0.95</x:v>
      </x:c>
      <x:c r="G627" s="9" t="str">
        <x:v>https://poke.idleworld.online/pokepedia/pokemon/tangela</x:v>
      </x:c>
    </x:row>
    <x:row r="628" ht="22" customHeight="1">
      <x:c r="A628" s="1" t="n">
        <x:v>114</x:v>
      </x:c>
      <x:c r="B628" s="1" t="str">
        <x:v>Tangela</x:v>
      </x:c>
      <x:c r="C628" s="1" t="str">
        <x:v>Leaf Stone</x:v>
      </x:c>
      <x:c r="D628" s="1" t="n">
        <x:v>1</x:v>
      </x:c>
      <x:c r="E628" s="1" t="n">
        <x:v>1</x:v>
      </x:c>
      <x:c r="F628" s="13" t="n">
        <x:v>0.0040278</x:v>
      </x:c>
      <x:c r="G628" s="9" t="str">
        <x:v>https://poke.idleworld.online/pokepedia/pokemon/tangela</x:v>
      </x:c>
    </x:row>
    <x:row r="629" ht="22" customHeight="1">
      <x:c r="A629" s="1" t="n">
        <x:v>114</x:v>
      </x:c>
      <x:c r="B629" s="1" t="str">
        <x:v>Tangela</x:v>
      </x:c>
      <x:c r="C629" s="1" t="str">
        <x:v>Blue Vines</x:v>
      </x:c>
      <x:c r="D629" s="1" t="n">
        <x:v>1</x:v>
      </x:c>
      <x:c r="E629" s="1" t="n">
        <x:v>1</x:v>
      </x:c>
      <x:c r="F629" s="13" t="n">
        <x:v>0.09018129999999999</x:v>
      </x:c>
      <x:c r="G629" s="9" t="str">
        <x:v>https://poke.idleworld.online/pokepedia/pokemon/tangela</x:v>
      </x:c>
    </x:row>
    <x:row r="630" ht="22" customHeight="1">
      <x:c r="A630" s="1" t="n">
        <x:v>115</x:v>
      </x:c>
      <x:c r="B630" s="1" t="str">
        <x:v>Kangaskhan</x:v>
      </x:c>
      <x:c r="C630" s="1" t="str">
        <x:v>Strange Pheromone</x:v>
      </x:c>
      <x:c r="D630" s="1" t="n">
        <x:v>1</x:v>
      </x:c>
      <x:c r="E630" s="1" t="n">
        <x:v>1</x:v>
      </x:c>
      <x:c r="F630" s="13" t="n">
        <x:v>0</x:v>
      </x:c>
      <x:c r="G630" s="9" t="str">
        <x:v>https://poke.idleworld.online/pokepedia/pokemon/kangaskhan</x:v>
      </x:c>
    </x:row>
    <x:row r="631" ht="22" customHeight="1">
      <x:c r="A631" s="1" t="n">
        <x:v>115</x:v>
      </x:c>
      <x:c r="B631" s="1" t="str">
        <x:v>Kangaskhan</x:v>
      </x:c>
      <x:c r="C631" s="1" t="str">
        <x:v>Rubber Ball</x:v>
      </x:c>
      <x:c r="D631" s="1" t="n">
        <x:v>1</x:v>
      </x:c>
      <x:c r="E631" s="1" t="n">
        <x:v>10</x:v>
      </x:c>
      <x:c r="F631" s="13" t="n">
        <x:v>0.95</x:v>
      </x:c>
      <x:c r="G631" s="9" t="str">
        <x:v>https://poke.idleworld.online/pokepedia/pokemon/kangaskhan</x:v>
      </x:c>
    </x:row>
    <x:row r="632" ht="22" customHeight="1">
      <x:c r="A632" s="1" t="n">
        <x:v>115</x:v>
      </x:c>
      <x:c r="B632" s="1" t="str">
        <x:v>Kangaskhan</x:v>
      </x:c>
      <x:c r="C632" s="1" t="str">
        <x:v>Horn</x:v>
      </x:c>
      <x:c r="D632" s="1" t="n">
        <x:v>1</x:v>
      </x:c>
      <x:c r="E632" s="1" t="n">
        <x:v>1</x:v>
      </x:c>
      <x:c r="F632" s="13" t="n">
        <x:v>0.95</x:v>
      </x:c>
      <x:c r="G632" s="9" t="str">
        <x:v>https://poke.idleworld.online/pokepedia/pokemon/kangaskhan</x:v>
      </x:c>
    </x:row>
    <x:row r="633" ht="22" customHeight="1">
      <x:c r="A633" s="1" t="n">
        <x:v>115</x:v>
      </x:c>
      <x:c r="B633" s="1" t="str">
        <x:v>Kangaskhan</x:v>
      </x:c>
      <x:c r="C633" s="1" t="str">
        <x:v>Kanga Ear</x:v>
      </x:c>
      <x:c r="D633" s="1" t="n">
        <x:v>1</x:v>
      </x:c>
      <x:c r="E633" s="1" t="n">
        <x:v>1</x:v>
      </x:c>
      <x:c r="F633" s="13" t="n">
        <x:v>0.1209739</x:v>
      </x:c>
      <x:c r="G633" s="9" t="str">
        <x:v>https://poke.idleworld.online/pokepedia/pokemon/kangaskhan</x:v>
      </x:c>
    </x:row>
    <x:row r="634" ht="22" customHeight="1">
      <x:c r="A634" s="1" t="n">
        <x:v>115</x:v>
      </x:c>
      <x:c r="B634" s="1" t="str">
        <x:v>Kangaskhan</x:v>
      </x:c>
      <x:c r="C634" s="1" t="str">
        <x:v>Heart Stone</x:v>
      </x:c>
      <x:c r="D634" s="1" t="n">
        <x:v>1</x:v>
      </x:c>
      <x:c r="E634" s="1" t="n">
        <x:v>1</x:v>
      </x:c>
      <x:c r="F634" s="13" t="n">
        <x:v>0.0076681</x:v>
      </x:c>
      <x:c r="G634" s="9" t="str">
        <x:v>https://poke.idleworld.online/pokepedia/pokemon/kangaskhan</x:v>
      </x:c>
    </x:row>
    <x:row r="635" ht="22" customHeight="1">
      <x:c r="A635" s="1" t="n">
        <x:v>116</x:v>
      </x:c>
      <x:c r="B635" s="1" t="str">
        <x:v>Horsea</x:v>
      </x:c>
      <x:c r="C635" s="1" t="str">
        <x:v>Strange Pheromone</x:v>
      </x:c>
      <x:c r="D635" s="1" t="n">
        <x:v>1</x:v>
      </x:c>
      <x:c r="E635" s="1" t="n">
        <x:v>1</x:v>
      </x:c>
      <x:c r="F635" s="13" t="n">
        <x:v>0</x:v>
      </x:c>
      <x:c r="G635" s="9" t="str">
        <x:v>https://poke.idleworld.online/pokepedia/pokemon/horsea</x:v>
      </x:c>
    </x:row>
    <x:row r="636" ht="22" customHeight="1">
      <x:c r="A636" s="1" t="n">
        <x:v>116</x:v>
      </x:c>
      <x:c r="B636" s="1" t="str">
        <x:v>Horsea</x:v>
      </x:c>
      <x:c r="C636" s="1" t="str">
        <x:v>Water Gem</x:v>
      </x:c>
      <x:c r="D636" s="1" t="n">
        <x:v>1</x:v>
      </x:c>
      <x:c r="E636" s="1" t="n">
        <x:v>3</x:v>
      </x:c>
      <x:c r="F636" s="13" t="n">
        <x:v>0.95</x:v>
      </x:c>
      <x:c r="G636" s="9" t="str">
        <x:v>https://poke.idleworld.online/pokepedia/pokemon/horsea</x:v>
      </x:c>
    </x:row>
    <x:row r="637" ht="22" customHeight="1">
      <x:c r="A637" s="1" t="n">
        <x:v>116</x:v>
      </x:c>
      <x:c r="B637" s="1" t="str">
        <x:v>Horsea</x:v>
      </x:c>
      <x:c r="C637" s="1" t="str">
        <x:v>Seahorse Tail</x:v>
      </x:c>
      <x:c r="D637" s="1" t="n">
        <x:v>1</x:v>
      </x:c>
      <x:c r="E637" s="1" t="n">
        <x:v>1</x:v>
      </x:c>
      <x:c r="F637" s="13" t="n">
        <x:v>0.0342627</x:v>
      </x:c>
      <x:c r="G637" s="9" t="str">
        <x:v>https://poke.idleworld.online/pokepedia/pokemon/horsea</x:v>
      </x:c>
    </x:row>
    <x:row r="638" ht="22" customHeight="1">
      <x:c r="A638" s="1" t="n">
        <x:v>117</x:v>
      </x:c>
      <x:c r="B638" s="1" t="str">
        <x:v>Seadra</x:v>
      </x:c>
      <x:c r="C638" s="1" t="str">
        <x:v>Strange Pheromone</x:v>
      </x:c>
      <x:c r="D638" s="1" t="n">
        <x:v>1</x:v>
      </x:c>
      <x:c r="E638" s="1" t="n">
        <x:v>1</x:v>
      </x:c>
      <x:c r="F638" s="13" t="n">
        <x:v>0</x:v>
      </x:c>
      <x:c r="G638" s="9" t="str">
        <x:v>https://poke.idleworld.online/pokepedia/pokemon/seadra</x:v>
      </x:c>
    </x:row>
    <x:row r="639" ht="22" customHeight="1">
      <x:c r="A639" s="1" t="n">
        <x:v>117</x:v>
      </x:c>
      <x:c r="B639" s="1" t="str">
        <x:v>Seadra</x:v>
      </x:c>
      <x:c r="C639" s="1" t="str">
        <x:v>Water Gem</x:v>
      </x:c>
      <x:c r="D639" s="1" t="n">
        <x:v>1</x:v>
      </x:c>
      <x:c r="E639" s="1" t="n">
        <x:v>3</x:v>
      </x:c>
      <x:c r="F639" s="13" t="n">
        <x:v>0.7487982000000001</x:v>
      </x:c>
      <x:c r="G639" s="9" t="str">
        <x:v>https://poke.idleworld.online/pokepedia/pokemon/seadra</x:v>
      </x:c>
    </x:row>
    <x:row r="640" ht="22" customHeight="1">
      <x:c r="A640" s="1" t="n">
        <x:v>117</x:v>
      </x:c>
      <x:c r="B640" s="1" t="str">
        <x:v>Seadra</x:v>
      </x:c>
      <x:c r="C640" s="1" t="str">
        <x:v>Seahorse Tail</x:v>
      </x:c>
      <x:c r="D640" s="1" t="n">
        <x:v>1</x:v>
      </x:c>
      <x:c r="E640" s="1" t="n">
        <x:v>1</x:v>
      </x:c>
      <x:c r="F640" s="13" t="n">
        <x:v>0.024959899999999997</x:v>
      </x:c>
      <x:c r="G640" s="9" t="str">
        <x:v>https://poke.idleworld.online/pokepedia/pokemon/seadra</x:v>
      </x:c>
    </x:row>
    <x:row r="641" ht="22" customHeight="1">
      <x:c r="A641" s="1" t="n">
        <x:v>117</x:v>
      </x:c>
      <x:c r="B641" s="1" t="str">
        <x:v>Seadra</x:v>
      </x:c>
      <x:c r="C641" s="1" t="str">
        <x:v>Water Stone</x:v>
      </x:c>
      <x:c r="D641" s="1" t="n">
        <x:v>1</x:v>
      </x:c>
      <x:c r="E641" s="1" t="n">
        <x:v>1</x:v>
      </x:c>
      <x:c r="F641" s="13" t="n">
        <x:v>0.0028025999999999997</x:v>
      </x:c>
      <x:c r="G641" s="9" t="str">
        <x:v>https://poke.idleworld.online/pokepedia/pokemon/seadra</x:v>
      </x:c>
    </x:row>
    <x:row r="642" ht="22" customHeight="1">
      <x:c r="A642" s="1" t="n">
        <x:v>117</x:v>
      </x:c>
      <x:c r="B642" s="1" t="str">
        <x:v>Seadra</x:v>
      </x:c>
      <x:c r="C642" s="1" t="str">
        <x:v>Air Tank</x:v>
      </x:c>
      <x:c r="D642" s="1" t="n">
        <x:v>1</x:v>
      </x:c>
      <x:c r="E642" s="1" t="n">
        <x:v>1</x:v>
      </x:c>
      <x:c r="F642" s="13" t="n">
        <x:v>0.00624</x:v>
      </x:c>
      <x:c r="G642" s="9" t="str">
        <x:v>https://poke.idleworld.online/pokepedia/pokemon/seadra</x:v>
      </x:c>
    </x:row>
    <x:row r="643" ht="22" customHeight="1">
      <x:c r="A643" s="1" t="n">
        <x:v>117</x:v>
      </x:c>
      <x:c r="B643" s="1" t="str">
        <x:v>Seadra</x:v>
      </x:c>
      <x:c r="C643" s="1" t="str">
        <x:v>Diving Mask</x:v>
      </x:c>
      <x:c r="D643" s="1" t="n">
        <x:v>1</x:v>
      </x:c>
      <x:c r="E643" s="1" t="n">
        <x:v>1</x:v>
      </x:c>
      <x:c r="F643" s="13" t="n">
        <x:v>0.00624</x:v>
      </x:c>
      <x:c r="G643" s="9" t="str">
        <x:v>https://poke.idleworld.online/pokepedia/pokemon/seadra</x:v>
      </x:c>
    </x:row>
    <x:row r="644" ht="22" customHeight="1">
      <x:c r="A644" s="1" t="n">
        <x:v>117</x:v>
      </x:c>
      <x:c r="B644" s="1" t="str">
        <x:v>Seadra</x:v>
      </x:c>
      <x:c r="C644" s="1" t="str">
        <x:v>Fins</x:v>
      </x:c>
      <x:c r="D644" s="1" t="n">
        <x:v>1</x:v>
      </x:c>
      <x:c r="E644" s="1" t="n">
        <x:v>1</x:v>
      </x:c>
      <x:c r="F644" s="13" t="n">
        <x:v>0.00624</x:v>
      </x:c>
      <x:c r="G644" s="9" t="str">
        <x:v>https://poke.idleworld.online/pokepedia/pokemon/seadra</x:v>
      </x:c>
    </x:row>
    <x:row r="645" ht="22" customHeight="1">
      <x:c r="A645" s="1" t="n">
        <x:v>118</x:v>
      </x:c>
      <x:c r="B645" s="1" t="str">
        <x:v>Goldeen</x:v>
      </x:c>
      <x:c r="C645" s="1" t="str">
        <x:v>Strange Pheromone</x:v>
      </x:c>
      <x:c r="D645" s="1" t="n">
        <x:v>1</x:v>
      </x:c>
      <x:c r="E645" s="1" t="n">
        <x:v>1</x:v>
      </x:c>
      <x:c r="F645" s="13" t="n">
        <x:v>0</x:v>
      </x:c>
      <x:c r="G645" s="9" t="str">
        <x:v>https://poke.idleworld.online/pokepedia/pokemon/goldeen</x:v>
      </x:c>
    </x:row>
    <x:row r="646" ht="22" customHeight="1">
      <x:c r="A646" s="1" t="n">
        <x:v>118</x:v>
      </x:c>
      <x:c r="B646" s="1" t="str">
        <x:v>Goldeen</x:v>
      </x:c>
      <x:c r="C646" s="1" t="str">
        <x:v>Water Gem</x:v>
      </x:c>
      <x:c r="D646" s="1" t="n">
        <x:v>1</x:v>
      </x:c>
      <x:c r="E646" s="1" t="n">
        <x:v>3</x:v>
      </x:c>
      <x:c r="F646" s="13" t="n">
        <x:v>0.95</x:v>
      </x:c>
      <x:c r="G646" s="9" t="str">
        <x:v>https://poke.idleworld.online/pokepedia/pokemon/goldeen</x:v>
      </x:c>
    </x:row>
    <x:row r="647" ht="22" customHeight="1">
      <x:c r="A647" s="1" t="n">
        <x:v>118</x:v>
      </x:c>
      <x:c r="B647" s="1" t="str">
        <x:v>Goldeen</x:v>
      </x:c>
      <x:c r="C647" s="1" t="str">
        <x:v>Horn</x:v>
      </x:c>
      <x:c r="D647" s="1" t="n">
        <x:v>1</x:v>
      </x:c>
      <x:c r="E647" s="1" t="n">
        <x:v>1</x:v>
      </x:c>
      <x:c r="F647" s="13" t="n">
        <x:v>0.3424082</x:v>
      </x:c>
      <x:c r="G647" s="9" t="str">
        <x:v>https://poke.idleworld.online/pokepedia/pokemon/goldeen</x:v>
      </x:c>
    </x:row>
    <x:row r="648" ht="22" customHeight="1">
      <x:c r="A648" s="1" t="n">
        <x:v>118</x:v>
      </x:c>
      <x:c r="B648" s="1" t="str">
        <x:v>Goldeen</x:v>
      </x:c>
      <x:c r="C648" s="1" t="str">
        <x:v>Fish Fin</x:v>
      </x:c>
      <x:c r="D648" s="1" t="n">
        <x:v>1</x:v>
      </x:c>
      <x:c r="E648" s="1" t="n">
        <x:v>1</x:v>
      </x:c>
      <x:c r="F648" s="13" t="n">
        <x:v>0.0114121</x:v>
      </x:c>
      <x:c r="G648" s="9" t="str">
        <x:v>https://poke.idleworld.online/pokepedia/pokemon/goldeen</x:v>
      </x:c>
    </x:row>
    <x:row r="649" ht="22" customHeight="1">
      <x:c r="A649" s="1" t="n">
        <x:v>119</x:v>
      </x:c>
      <x:c r="B649" s="1" t="str">
        <x:v>Seaking</x:v>
      </x:c>
      <x:c r="C649" s="1" t="str">
        <x:v>Strange Pheromone</x:v>
      </x:c>
      <x:c r="D649" s="1" t="n">
        <x:v>1</x:v>
      </x:c>
      <x:c r="E649" s="1" t="n">
        <x:v>1</x:v>
      </x:c>
      <x:c r="F649" s="13" t="n">
        <x:v>0</x:v>
      </x:c>
      <x:c r="G649" s="9" t="str">
        <x:v>https://poke.idleworld.online/pokepedia/pokemon/seaking</x:v>
      </x:c>
    </x:row>
    <x:row r="650" ht="22" customHeight="1">
      <x:c r="A650" s="1" t="n">
        <x:v>119</x:v>
      </x:c>
      <x:c r="B650" s="1" t="str">
        <x:v>Seaking</x:v>
      </x:c>
      <x:c r="C650" s="1" t="str">
        <x:v>Water Gem</x:v>
      </x:c>
      <x:c r="D650" s="1" t="n">
        <x:v>1</x:v>
      </x:c>
      <x:c r="E650" s="1" t="n">
        <x:v>3</x:v>
      </x:c>
      <x:c r="F650" s="13" t="n">
        <x:v>0.7119414999999999</x:v>
      </x:c>
      <x:c r="G650" s="9" t="str">
        <x:v>https://poke.idleworld.online/pokepedia/pokemon/seaking</x:v>
      </x:c>
    </x:row>
    <x:row r="651" ht="22" customHeight="1">
      <x:c r="A651" s="1" t="n">
        <x:v>119</x:v>
      </x:c>
      <x:c r="B651" s="1" t="str">
        <x:v>Seaking</x:v>
      </x:c>
      <x:c r="C651" s="1" t="str">
        <x:v>Horn</x:v>
      </x:c>
      <x:c r="D651" s="1" t="n">
        <x:v>1</x:v>
      </x:c>
      <x:c r="E651" s="1" t="n">
        <x:v>1</x:v>
      </x:c>
      <x:c r="F651" s="13" t="n">
        <x:v>0.23731380000000002</x:v>
      </x:c>
      <x:c r="G651" s="9" t="str">
        <x:v>https://poke.idleworld.online/pokepedia/pokemon/seaking</x:v>
      </x:c>
    </x:row>
    <x:row r="652" ht="22" customHeight="1">
      <x:c r="A652" s="1" t="n">
        <x:v>119</x:v>
      </x:c>
      <x:c r="B652" s="1" t="str">
        <x:v>Seaking</x:v>
      </x:c>
      <x:c r="C652" s="1" t="str">
        <x:v>Fish Fin</x:v>
      </x:c>
      <x:c r="D652" s="1" t="n">
        <x:v>1</x:v>
      </x:c>
      <x:c r="E652" s="1" t="n">
        <x:v>1</x:v>
      </x:c>
      <x:c r="F652" s="13" t="n">
        <x:v>0.0237317</x:v>
      </x:c>
      <x:c r="G652" s="9" t="str">
        <x:v>https://poke.idleworld.online/pokepedia/pokemon/seaking</x:v>
      </x:c>
    </x:row>
    <x:row r="653" ht="22" customHeight="1">
      <x:c r="A653" s="1" t="n">
        <x:v>119</x:v>
      </x:c>
      <x:c r="B653" s="1" t="str">
        <x:v>Seaking</x:v>
      </x:c>
      <x:c r="C653" s="1" t="str">
        <x:v>Water Stone</x:v>
      </x:c>
      <x:c r="D653" s="1" t="n">
        <x:v>1</x:v>
      </x:c>
      <x:c r="E653" s="1" t="n">
        <x:v>1</x:v>
      </x:c>
      <x:c r="F653" s="13" t="n">
        <x:v>0.003</x:v>
      </x:c>
      <x:c r="G653" s="9" t="str">
        <x:v>https://poke.idleworld.online/pokepedia/pokemon/seaking</x:v>
      </x:c>
    </x:row>
    <x:row r="654" ht="22" customHeight="1">
      <x:c r="A654" s="1" t="n">
        <x:v>119</x:v>
      </x:c>
      <x:c r="B654" s="1" t="str">
        <x:v>Seaking</x:v>
      </x:c>
      <x:c r="C654" s="1" t="str">
        <x:v>Air Tank</x:v>
      </x:c>
      <x:c r="D654" s="1" t="n">
        <x:v>1</x:v>
      </x:c>
      <x:c r="E654" s="1" t="n">
        <x:v>1</x:v>
      </x:c>
      <x:c r="F654" s="13" t="n">
        <x:v>0.005932799999999999</x:v>
      </x:c>
      <x:c r="G654" s="9" t="str">
        <x:v>https://poke.idleworld.online/pokepedia/pokemon/seaking</x:v>
      </x:c>
    </x:row>
    <x:row r="655" ht="22" customHeight="1">
      <x:c r="A655" s="1" t="n">
        <x:v>119</x:v>
      </x:c>
      <x:c r="B655" s="1" t="str">
        <x:v>Seaking</x:v>
      </x:c>
      <x:c r="C655" s="1" t="str">
        <x:v>Diving Mask</x:v>
      </x:c>
      <x:c r="D655" s="1" t="n">
        <x:v>1</x:v>
      </x:c>
      <x:c r="E655" s="1" t="n">
        <x:v>1</x:v>
      </x:c>
      <x:c r="F655" s="13" t="n">
        <x:v>0.005932799999999999</x:v>
      </x:c>
      <x:c r="G655" s="9" t="str">
        <x:v>https://poke.idleworld.online/pokepedia/pokemon/seaking</x:v>
      </x:c>
    </x:row>
    <x:row r="656" ht="22" customHeight="1">
      <x:c r="A656" s="1" t="n">
        <x:v>119</x:v>
      </x:c>
      <x:c r="B656" s="1" t="str">
        <x:v>Seaking</x:v>
      </x:c>
      <x:c r="C656" s="1" t="str">
        <x:v>Fins</x:v>
      </x:c>
      <x:c r="D656" s="1" t="n">
        <x:v>1</x:v>
      </x:c>
      <x:c r="E656" s="1" t="n">
        <x:v>1</x:v>
      </x:c>
      <x:c r="F656" s="13" t="n">
        <x:v>0.005932799999999999</x:v>
      </x:c>
      <x:c r="G656" s="9" t="str">
        <x:v>https://poke.idleworld.online/pokepedia/pokemon/seaking</x:v>
      </x:c>
    </x:row>
    <x:row r="657" ht="22" customHeight="1">
      <x:c r="A657" s="1" t="n">
        <x:v>120</x:v>
      </x:c>
      <x:c r="B657" s="1" t="str">
        <x:v>Staryu</x:v>
      </x:c>
      <x:c r="C657" s="1" t="str">
        <x:v>Strange Pheromone</x:v>
      </x:c>
      <x:c r="D657" s="1" t="n">
        <x:v>1</x:v>
      </x:c>
      <x:c r="E657" s="1" t="n">
        <x:v>1</x:v>
      </x:c>
      <x:c r="F657" s="13" t="n">
        <x:v>0</x:v>
      </x:c>
      <x:c r="G657" s="9" t="str">
        <x:v>https://poke.idleworld.online/pokepedia/pokemon/staryu</x:v>
      </x:c>
    </x:row>
    <x:row r="658" ht="22" customHeight="1">
      <x:c r="A658" s="1" t="n">
        <x:v>120</x:v>
      </x:c>
      <x:c r="B658" s="1" t="str">
        <x:v>Staryu</x:v>
      </x:c>
      <x:c r="C658" s="1" t="str">
        <x:v>Water Gem</x:v>
      </x:c>
      <x:c r="D658" s="1" t="n">
        <x:v>1</x:v>
      </x:c>
      <x:c r="E658" s="1" t="n">
        <x:v>3</x:v>
      </x:c>
      <x:c r="F658" s="13" t="n">
        <x:v>0.95</x:v>
      </x:c>
      <x:c r="G658" s="9" t="str">
        <x:v>https://poke.idleworld.online/pokepedia/pokemon/staryu</x:v>
      </x:c>
    </x:row>
    <x:row r="659" ht="22" customHeight="1">
      <x:c r="A659" s="1" t="n">
        <x:v>120</x:v>
      </x:c>
      <x:c r="B659" s="1" t="str">
        <x:v>Staryu</x:v>
      </x:c>
      <x:c r="C659" s="1" t="str">
        <x:v>Gem Star</x:v>
      </x:c>
      <x:c r="D659" s="1" t="n">
        <x:v>1</x:v>
      </x:c>
      <x:c r="E659" s="1" t="n">
        <x:v>1</x:v>
      </x:c>
      <x:c r="F659" s="13" t="n">
        <x:v>0.00001</x:v>
      </x:c>
      <x:c r="G659" s="9" t="str">
        <x:v>https://poke.idleworld.online/pokepedia/pokemon/staryu</x:v>
      </x:c>
    </x:row>
    <x:row r="660" ht="22" customHeight="1">
      <x:c r="A660" s="1" t="n">
        <x:v>120</x:v>
      </x:c>
      <x:c r="B660" s="1" t="str">
        <x:v>Staryu</x:v>
      </x:c>
      <x:c r="C660" s="1" t="str">
        <x:v>Ruby</x:v>
      </x:c>
      <x:c r="D660" s="1" t="n">
        <x:v>1</x:v>
      </x:c>
      <x:c r="E660" s="1" t="n">
        <x:v>1</x:v>
      </x:c>
      <x:c r="F660" s="13" t="n">
        <x:v>1e-7</x:v>
      </x:c>
      <x:c r="G660" s="9" t="str">
        <x:v>https://poke.idleworld.online/pokepedia/pokemon/staryu</x:v>
      </x:c>
    </x:row>
    <x:row r="661" ht="22" customHeight="1">
      <x:c r="A661" s="1" t="n">
        <x:v>121</x:v>
      </x:c>
      <x:c r="B661" s="1" t="str">
        <x:v>Starmie</x:v>
      </x:c>
      <x:c r="C661" s="1" t="str">
        <x:v>Strange Pheromone</x:v>
      </x:c>
      <x:c r="D661" s="1" t="n">
        <x:v>1</x:v>
      </x:c>
      <x:c r="E661" s="1" t="n">
        <x:v>1</x:v>
      </x:c>
      <x:c r="F661" s="13" t="n">
        <x:v>0</x:v>
      </x:c>
      <x:c r="G661" s="9" t="str">
        <x:v>https://poke.idleworld.online/pokepedia/pokemon/starmie</x:v>
      </x:c>
    </x:row>
    <x:row r="662" ht="22" customHeight="1">
      <x:c r="A662" s="1" t="n">
        <x:v>121</x:v>
      </x:c>
      <x:c r="B662" s="1" t="str">
        <x:v>Starmie</x:v>
      </x:c>
      <x:c r="C662" s="1" t="str">
        <x:v>Enchanted Gem</x:v>
      </x:c>
      <x:c r="D662" s="1" t="n">
        <x:v>1</x:v>
      </x:c>
      <x:c r="E662" s="1" t="n">
        <x:v>10</x:v>
      </x:c>
      <x:c r="F662" s="13" t="n">
        <x:v>0.95</x:v>
      </x:c>
      <x:c r="G662" s="9" t="str">
        <x:v>https://poke.idleworld.online/pokepedia/pokemon/starmie</x:v>
      </x:c>
    </x:row>
    <x:row r="663" ht="22" customHeight="1">
      <x:c r="A663" s="1" t="n">
        <x:v>121</x:v>
      </x:c>
      <x:c r="B663" s="1" t="str">
        <x:v>Starmie</x:v>
      </x:c>
      <x:c r="C663" s="1" t="str">
        <x:v>Water Gem</x:v>
      </x:c>
      <x:c r="D663" s="1" t="n">
        <x:v>1</x:v>
      </x:c>
      <x:c r="E663" s="1" t="n">
        <x:v>3</x:v>
      </x:c>
      <x:c r="F663" s="13" t="n">
        <x:v>0.95</x:v>
      </x:c>
      <x:c r="G663" s="9" t="str">
        <x:v>https://poke.idleworld.online/pokepedia/pokemon/starmie</x:v>
      </x:c>
    </x:row>
    <x:row r="664" ht="22" customHeight="1">
      <x:c r="A664" s="1" t="n">
        <x:v>121</x:v>
      </x:c>
      <x:c r="B664" s="1" t="str">
        <x:v>Starmie</x:v>
      </x:c>
      <x:c r="C664" s="1" t="str">
        <x:v>Gem Star</x:v>
      </x:c>
      <x:c r="D664" s="1" t="n">
        <x:v>1</x:v>
      </x:c>
      <x:c r="E664" s="1" t="n">
        <x:v>1</x:v>
      </x:c>
      <x:c r="F664" s="13" t="n">
        <x:v>0.34114690000000003</x:v>
      </x:c>
      <x:c r="G664" s="9" t="str">
        <x:v>https://poke.idleworld.online/pokepedia/pokemon/starmie</x:v>
      </x:c>
    </x:row>
    <x:row r="665" ht="22" customHeight="1">
      <x:c r="A665" s="1" t="n">
        <x:v>121</x:v>
      </x:c>
      <x:c r="B665" s="1" t="str">
        <x:v>Starmie</x:v>
      </x:c>
      <x:c r="C665" s="1" t="str">
        <x:v>Water Stone</x:v>
      </x:c>
      <x:c r="D665" s="1" t="n">
        <x:v>1</x:v>
      </x:c>
      <x:c r="E665" s="1" t="n">
        <x:v>1</x:v>
      </x:c>
      <x:c r="F665" s="13" t="n">
        <x:v>0.0008887000000000001</x:v>
      </x:c>
      <x:c r="G665" s="9" t="str">
        <x:v>https://poke.idleworld.online/pokepedia/pokemon/starmie</x:v>
      </x:c>
    </x:row>
    <x:row r="666" ht="22" customHeight="1">
      <x:c r="A666" s="1" t="n">
        <x:v>121</x:v>
      </x:c>
      <x:c r="B666" s="1" t="str">
        <x:v>Starmie</x:v>
      </x:c>
      <x:c r="C666" s="1" t="str">
        <x:v>Enigma Stone</x:v>
      </x:c>
      <x:c r="D666" s="1" t="n">
        <x:v>1</x:v>
      </x:c>
      <x:c r="E666" s="1" t="n">
        <x:v>1</x:v>
      </x:c>
      <x:c r="F666" s="13" t="n">
        <x:v>0.0008887000000000001</x:v>
      </x:c>
      <x:c r="G666" s="9" t="str">
        <x:v>https://poke.idleworld.online/pokepedia/pokemon/starmie</x:v>
      </x:c>
    </x:row>
    <x:row r="667" ht="22" customHeight="1">
      <x:c r="A667" s="1" t="n">
        <x:v>121</x:v>
      </x:c>
      <x:c r="B667" s="1" t="str">
        <x:v>Starmie</x:v>
      </x:c>
      <x:c r="C667" s="1" t="str">
        <x:v>Ruby</x:v>
      </x:c>
      <x:c r="D667" s="1" t="n">
        <x:v>1</x:v>
      </x:c>
      <x:c r="E667" s="1" t="n">
        <x:v>1</x:v>
      </x:c>
      <x:c r="F667" s="13" t="n">
        <x:v>0.0852861</x:v>
      </x:c>
      <x:c r="G667" s="9" t="str">
        <x:v>https://poke.idleworld.online/pokepedia/pokemon/starmie</x:v>
      </x:c>
    </x:row>
    <x:row r="668" ht="22" customHeight="1">
      <x:c r="A668" s="1" t="n">
        <x:v>121</x:v>
      </x:c>
      <x:c r="B668" s="1" t="str">
        <x:v>Starmie</x:v>
      </x:c>
      <x:c r="C668" s="1" t="str">
        <x:v>Diving Mask</x:v>
      </x:c>
      <x:c r="D668" s="1" t="n">
        <x:v>1</x:v>
      </x:c>
      <x:c r="E668" s="1" t="n">
        <x:v>1</x:v>
      </x:c>
      <x:c r="F668" s="13" t="n">
        <x:v>0.0170575</x:v>
      </x:c>
      <x:c r="G668" s="9" t="str">
        <x:v>https://poke.idleworld.online/pokepedia/pokemon/starmie</x:v>
      </x:c>
    </x:row>
    <x:row r="669" ht="22" customHeight="1">
      <x:c r="A669" s="1" t="n">
        <x:v>121</x:v>
      </x:c>
      <x:c r="B669" s="1" t="str">
        <x:v>Starmie</x:v>
      </x:c>
      <x:c r="C669" s="1" t="str">
        <x:v>Air Tank</x:v>
      </x:c>
      <x:c r="D669" s="1" t="n">
        <x:v>1</x:v>
      </x:c>
      <x:c r="E669" s="1" t="n">
        <x:v>1</x:v>
      </x:c>
      <x:c r="F669" s="13" t="n">
        <x:v>0.0170575</x:v>
      </x:c>
      <x:c r="G669" s="9" t="str">
        <x:v>https://poke.idleworld.online/pokepedia/pokemon/starmie</x:v>
      </x:c>
    </x:row>
    <x:row r="670" ht="22" customHeight="1">
      <x:c r="A670" s="1" t="n">
        <x:v>121</x:v>
      </x:c>
      <x:c r="B670" s="1" t="str">
        <x:v>Starmie</x:v>
      </x:c>
      <x:c r="C670" s="1" t="str">
        <x:v>Fins</x:v>
      </x:c>
      <x:c r="D670" s="1" t="n">
        <x:v>1</x:v>
      </x:c>
      <x:c r="E670" s="1" t="n">
        <x:v>1</x:v>
      </x:c>
      <x:c r="F670" s="13" t="n">
        <x:v>0.0170575</x:v>
      </x:c>
      <x:c r="G670" s="9" t="str">
        <x:v>https://poke.idleworld.online/pokepedia/pokemon/starmie</x:v>
      </x:c>
    </x:row>
    <x:row r="671" ht="22" customHeight="1">
      <x:c r="A671" s="1" t="n">
        <x:v>122</x:v>
      </x:c>
      <x:c r="B671" s="1" t="str">
        <x:v>Mr. Mime</x:v>
      </x:c>
      <x:c r="C671" s="1" t="str">
        <x:v>Strange Pheromone</x:v>
      </x:c>
      <x:c r="D671" s="1" t="n">
        <x:v>1</x:v>
      </x:c>
      <x:c r="E671" s="1" t="n">
        <x:v>1</x:v>
      </x:c>
      <x:c r="F671" s="13" t="n">
        <x:v>0</x:v>
      </x:c>
      <x:c r="G671" s="9" t="str">
        <x:v>https://poke.idleworld.online/pokepedia/pokemon/mrmime</x:v>
      </x:c>
    </x:row>
    <x:row r="672" ht="22" customHeight="1">
      <x:c r="A672" s="1" t="n">
        <x:v>122</x:v>
      </x:c>
      <x:c r="B672" s="1" t="str">
        <x:v>Mr. Mime</x:v>
      </x:c>
      <x:c r="C672" s="1" t="str">
        <x:v>Rubber Ball</x:v>
      </x:c>
      <x:c r="D672" s="1" t="n">
        <x:v>1</x:v>
      </x:c>
      <x:c r="E672" s="1" t="n">
        <x:v>5</x:v>
      </x:c>
      <x:c r="F672" s="13" t="n">
        <x:v>0.95</x:v>
      </x:c>
      <x:c r="G672" s="9" t="str">
        <x:v>https://poke.idleworld.online/pokepedia/pokemon/mrmime</x:v>
      </x:c>
    </x:row>
    <x:row r="673" ht="22" customHeight="1">
      <x:c r="A673" s="1" t="n">
        <x:v>122</x:v>
      </x:c>
      <x:c r="B673" s="1" t="str">
        <x:v>Mr. Mime</x:v>
      </x:c>
      <x:c r="C673" s="1" t="str">
        <x:v>Future Orb</x:v>
      </x:c>
      <x:c r="D673" s="1" t="n">
        <x:v>1</x:v>
      </x:c>
      <x:c r="E673" s="1" t="n">
        <x:v>4</x:v>
      </x:c>
      <x:c r="F673" s="13" t="n">
        <x:v>0.95</x:v>
      </x:c>
      <x:c r="G673" s="9" t="str">
        <x:v>https://poke.idleworld.online/pokepedia/pokemon/mrmime</x:v>
      </x:c>
    </x:row>
    <x:row r="674" ht="22" customHeight="1">
      <x:c r="A674" s="1" t="n">
        <x:v>122</x:v>
      </x:c>
      <x:c r="B674" s="1" t="str">
        <x:v>Mr. Mime</x:v>
      </x:c>
      <x:c r="C674" s="1" t="str">
        <x:v>Enchanted Gem</x:v>
      </x:c>
      <x:c r="D674" s="1" t="n">
        <x:v>1</x:v>
      </x:c>
      <x:c r="E674" s="1" t="n">
        <x:v>3</x:v>
      </x:c>
      <x:c r="F674" s="13" t="n">
        <x:v>0.95</x:v>
      </x:c>
      <x:c r="G674" s="9" t="str">
        <x:v>https://poke.idleworld.online/pokepedia/pokemon/mrmime</x:v>
      </x:c>
    </x:row>
    <x:row r="675" ht="22" customHeight="1">
      <x:c r="A675" s="1" t="n">
        <x:v>122</x:v>
      </x:c>
      <x:c r="B675" s="1" t="str">
        <x:v>Mr. Mime</x:v>
      </x:c>
      <x:c r="C675" s="1" t="str">
        <x:v>Mimic Clothes</x:v>
      </x:c>
      <x:c r="D675" s="1" t="n">
        <x:v>1</x:v>
      </x:c>
      <x:c r="E675" s="1" t="n">
        <x:v>1</x:v>
      </x:c>
      <x:c r="F675" s="13" t="n">
        <x:v>0.095539</x:v>
      </x:c>
      <x:c r="G675" s="9" t="str">
        <x:v>https://poke.idleworld.online/pokepedia/pokemon/mrmime</x:v>
      </x:c>
    </x:row>
    <x:row r="676" ht="22" customHeight="1">
      <x:c r="A676" s="1" t="n">
        <x:v>122</x:v>
      </x:c>
      <x:c r="B676" s="1" t="str">
        <x:v>Mr. Mime</x:v>
      </x:c>
      <x:c r="C676" s="1" t="str">
        <x:v>Enigma Stone</x:v>
      </x:c>
      <x:c r="D676" s="1" t="n">
        <x:v>1</x:v>
      </x:c>
      <x:c r="E676" s="1" t="n">
        <x:v>1</x:v>
      </x:c>
      <x:c r="F676" s="13" t="n">
        <x:v>0.0077588</x:v>
      </x:c>
      <x:c r="G676" s="9" t="str">
        <x:v>https://poke.idleworld.online/pokepedia/pokemon/mrmime</x:v>
      </x:c>
    </x:row>
    <x:row r="677" ht="22" customHeight="1">
      <x:c r="A677" s="1" t="n">
        <x:v>123</x:v>
      </x:c>
      <x:c r="B677" s="1" t="str">
        <x:v>Scyther</x:v>
      </x:c>
      <x:c r="C677" s="1" t="str">
        <x:v>Strange Pheromone</x:v>
      </x:c>
      <x:c r="D677" s="1" t="n">
        <x:v>1</x:v>
      </x:c>
      <x:c r="E677" s="1" t="n">
        <x:v>1</x:v>
      </x:c>
      <x:c r="F677" s="13" t="n">
        <x:v>0</x:v>
      </x:c>
      <x:c r="G677" s="9" t="str">
        <x:v>https://poke.idleworld.online/pokepedia/pokemon/scyther</x:v>
      </x:c>
    </x:row>
    <x:row r="678" ht="22" customHeight="1">
      <x:c r="A678" s="1" t="n">
        <x:v>123</x:v>
      </x:c>
      <x:c r="B678" s="1" t="str">
        <x:v>Scyther</x:v>
      </x:c>
      <x:c r="C678" s="1" t="str">
        <x:v>Straw</x:v>
      </x:c>
      <x:c r="D678" s="1" t="n">
        <x:v>1</x:v>
      </x:c>
      <x:c r="E678" s="1" t="n">
        <x:v>5</x:v>
      </x:c>
      <x:c r="F678" s="13" t="n">
        <x:v>0.95</x:v>
      </x:c>
      <x:c r="G678" s="9" t="str">
        <x:v>https://poke.idleworld.online/pokepedia/pokemon/scyther</x:v>
      </x:c>
    </x:row>
    <x:row r="679" ht="22" customHeight="1">
      <x:c r="A679" s="1" t="n">
        <x:v>123</x:v>
      </x:c>
      <x:c r="B679" s="1" t="str">
        <x:v>Scyther</x:v>
      </x:c>
      <x:c r="C679" s="1" t="str">
        <x:v>Bug Gosme</x:v>
      </x:c>
      <x:c r="D679" s="1" t="n">
        <x:v>1</x:v>
      </x:c>
      <x:c r="E679" s="1" t="n">
        <x:v>3</x:v>
      </x:c>
      <x:c r="F679" s="13" t="n">
        <x:v>0.95</x:v>
      </x:c>
      <x:c r="G679" s="9" t="str">
        <x:v>https://poke.idleworld.online/pokepedia/pokemon/scyther</x:v>
      </x:c>
    </x:row>
    <x:row r="680" ht="22" customHeight="1">
      <x:c r="A680" s="1" t="n">
        <x:v>123</x:v>
      </x:c>
      <x:c r="B680" s="1" t="str">
        <x:v>Scyther</x:v>
      </x:c>
      <x:c r="C680" s="1" t="str">
        <x:v>Pot of Moss Bug</x:v>
      </x:c>
      <x:c r="D680" s="1" t="n">
        <x:v>1</x:v>
      </x:c>
      <x:c r="E680" s="1" t="n">
        <x:v>1</x:v>
      </x:c>
      <x:c r="F680" s="13" t="n">
        <x:v>0.95</x:v>
      </x:c>
      <x:c r="G680" s="9" t="str">
        <x:v>https://poke.idleworld.online/pokepedia/pokemon/scyther</x:v>
      </x:c>
    </x:row>
    <x:row r="681" ht="22" customHeight="1">
      <x:c r="A681" s="1" t="n">
        <x:v>123</x:v>
      </x:c>
      <x:c r="B681" s="1" t="str">
        <x:v>Scyther</x:v>
      </x:c>
      <x:c r="C681" s="1" t="str">
        <x:v>Scythe</x:v>
      </x:c>
      <x:c r="D681" s="1" t="n">
        <x:v>1</x:v>
      </x:c>
      <x:c r="E681" s="1" t="n">
        <x:v>1</x:v>
      </x:c>
      <x:c r="F681" s="13" t="n">
        <x:v>0.23713650000000003</x:v>
      </x:c>
      <x:c r="G681" s="9" t="str">
        <x:v>https://poke.idleworld.online/pokepedia/pokemon/scyther</x:v>
      </x:c>
    </x:row>
    <x:row r="682" ht="22" customHeight="1">
      <x:c r="A682" s="1" t="n">
        <x:v>123</x:v>
      </x:c>
      <x:c r="B682" s="1" t="str">
        <x:v>Scyther</x:v>
      </x:c>
      <x:c r="C682" s="1" t="str">
        <x:v>Cocoon Stone</x:v>
      </x:c>
      <x:c r="D682" s="1" t="n">
        <x:v>1</x:v>
      </x:c>
      <x:c r="E682" s="1" t="n">
        <x:v>1</x:v>
      </x:c>
      <x:c r="F682" s="13" t="n">
        <x:v>0.0056108</x:v>
      </x:c>
      <x:c r="G682" s="9" t="str">
        <x:v>https://poke.idleworld.online/pokepedia/pokemon/scyther</x:v>
      </x:c>
    </x:row>
    <x:row r="683" ht="22" customHeight="1">
      <x:c r="A683" s="1" t="n">
        <x:v>123</x:v>
      </x:c>
      <x:c r="B683" s="1" t="str">
        <x:v>Scyther</x:v>
      </x:c>
      <x:c r="C683" s="1" t="str">
        <x:v>Feather Stone</x:v>
      </x:c>
      <x:c r="D683" s="1" t="n">
        <x:v>1</x:v>
      </x:c>
      <x:c r="E683" s="1" t="n">
        <x:v>1</x:v>
      </x:c>
      <x:c r="F683" s="13" t="n">
        <x:v>0.0056108</x:v>
      </x:c>
      <x:c r="G683" s="9" t="str">
        <x:v>https://poke.idleworld.online/pokepedia/pokemon/scyther</x:v>
      </x:c>
    </x:row>
    <x:row r="684" ht="22" customHeight="1">
      <x:c r="A684" s="1" t="n">
        <x:v>124</x:v>
      </x:c>
      <x:c r="B684" s="1" t="str">
        <x:v>Jynx</x:v>
      </x:c>
      <x:c r="C684" s="1" t="str">
        <x:v>Strange Pheromone</x:v>
      </x:c>
      <x:c r="D684" s="1" t="n">
        <x:v>1</x:v>
      </x:c>
      <x:c r="E684" s="1" t="n">
        <x:v>1</x:v>
      </x:c>
      <x:c r="F684" s="13" t="n">
        <x:v>0</x:v>
      </x:c>
      <x:c r="G684" s="9" t="str">
        <x:v>https://poke.idleworld.online/pokepedia/pokemon/jynx</x:v>
      </x:c>
    </x:row>
    <x:row r="685" ht="22" customHeight="1">
      <x:c r="A685" s="1" t="n">
        <x:v>124</x:v>
      </x:c>
      <x:c r="B685" s="1" t="str">
        <x:v>Jynx</x:v>
      </x:c>
      <x:c r="C685" s="1" t="str">
        <x:v>Enchanted Gem</x:v>
      </x:c>
      <x:c r="D685" s="1" t="n">
        <x:v>1</x:v>
      </x:c>
      <x:c r="E685" s="1" t="n">
        <x:v>12</x:v>
      </x:c>
      <x:c r="F685" s="13" t="n">
        <x:v>0.95</x:v>
      </x:c>
      <x:c r="G685" s="9" t="str">
        <x:v>https://poke.idleworld.online/pokepedia/pokemon/jynx</x:v>
      </x:c>
    </x:row>
    <x:row r="686" ht="22" customHeight="1">
      <x:c r="A686" s="1" t="n">
        <x:v>124</x:v>
      </x:c>
      <x:c r="B686" s="1" t="str">
        <x:v>Jynx</x:v>
      </x:c>
      <x:c r="C686" s="1" t="str">
        <x:v>Snowball</x:v>
      </x:c>
      <x:c r="D686" s="1" t="n">
        <x:v>1</x:v>
      </x:c>
      <x:c r="E686" s="1" t="n">
        <x:v>10</x:v>
      </x:c>
      <x:c r="F686" s="13" t="n">
        <x:v>0.95</x:v>
      </x:c>
      <x:c r="G686" s="9" t="str">
        <x:v>https://poke.idleworld.online/pokepedia/pokemon/jynx</x:v>
      </x:c>
    </x:row>
    <x:row r="687" ht="22" customHeight="1">
      <x:c r="A687" s="1" t="n">
        <x:v>124</x:v>
      </x:c>
      <x:c r="B687" s="1" t="str">
        <x:v>Jynx</x:v>
      </x:c>
      <x:c r="C687" s="1" t="str">
        <x:v>Ice Orb</x:v>
      </x:c>
      <x:c r="D687" s="1" t="n">
        <x:v>1</x:v>
      </x:c>
      <x:c r="E687" s="1" t="n">
        <x:v>4</x:v>
      </x:c>
      <x:c r="F687" s="13" t="n">
        <x:v>0.7621114</x:v>
      </x:c>
      <x:c r="G687" s="9" t="str">
        <x:v>https://poke.idleworld.online/pokepedia/pokemon/jynx</x:v>
      </x:c>
    </x:row>
    <x:row r="688" ht="22" customHeight="1">
      <x:c r="A688" s="1" t="n">
        <x:v>124</x:v>
      </x:c>
      <x:c r="B688" s="1" t="str">
        <x:v>Jynx</x:v>
      </x:c>
      <x:c r="C688" s="1" t="str">
        <x:v>Future Orb</x:v>
      </x:c>
      <x:c r="D688" s="1" t="n">
        <x:v>1</x:v>
      </x:c>
      <x:c r="E688" s="1" t="n">
        <x:v>3</x:v>
      </x:c>
      <x:c r="F688" s="13" t="n">
        <x:v>0.8791644000000001</x:v>
      </x:c>
      <x:c r="G688" s="9" t="str">
        <x:v>https://poke.idleworld.online/pokepedia/pokemon/jynx</x:v>
      </x:c>
    </x:row>
    <x:row r="689" ht="22" customHeight="1">
      <x:c r="A689" s="1" t="n">
        <x:v>124</x:v>
      </x:c>
      <x:c r="B689" s="1" t="str">
        <x:v>Jynx</x:v>
      </x:c>
      <x:c r="C689" s="1" t="str">
        <x:v>Goggles</x:v>
      </x:c>
      <x:c r="D689" s="1" t="n">
        <x:v>1</x:v>
      </x:c>
      <x:c r="E689" s="1" t="n">
        <x:v>1</x:v>
      </x:c>
      <x:c r="F689" s="13" t="n">
        <x:v>0.014628</x:v>
      </x:c>
      <x:c r="G689" s="9" t="str">
        <x:v>https://poke.idleworld.online/pokepedia/pokemon/jynx</x:v>
      </x:c>
    </x:row>
    <x:row r="690" ht="22" customHeight="1">
      <x:c r="A690" s="1" t="n">
        <x:v>124</x:v>
      </x:c>
      <x:c r="B690" s="1" t="str">
        <x:v>Jynx</x:v>
      </x:c>
      <x:c r="C690" s="1" t="str">
        <x:v>Ski Poles</x:v>
      </x:c>
      <x:c r="D690" s="1" t="n">
        <x:v>1</x:v>
      </x:c>
      <x:c r="E690" s="1" t="n">
        <x:v>1</x:v>
      </x:c>
      <x:c r="F690" s="13" t="n">
        <x:v>0.014628</x:v>
      </x:c>
      <x:c r="G690" s="9" t="str">
        <x:v>https://poke.idleworld.online/pokepedia/pokemon/jynx</x:v>
      </x:c>
    </x:row>
    <x:row r="691" ht="22" customHeight="1">
      <x:c r="A691" s="1" t="n">
        <x:v>124</x:v>
      </x:c>
      <x:c r="B691" s="1" t="str">
        <x:v>Jynx</x:v>
      </x:c>
      <x:c r="C691" s="1" t="str">
        <x:v>Snow Skis</x:v>
      </x:c>
      <x:c r="D691" s="1" t="n">
        <x:v>1</x:v>
      </x:c>
      <x:c r="E691" s="1" t="n">
        <x:v>1</x:v>
      </x:c>
      <x:c r="F691" s="13" t="n">
        <x:v>0.014628</x:v>
      </x:c>
      <x:c r="G691" s="9" t="str">
        <x:v>https://poke.idleworld.online/pokepedia/pokemon/jynx</x:v>
      </x:c>
    </x:row>
    <x:row r="692" ht="22" customHeight="1">
      <x:c r="A692" s="1" t="n">
        <x:v>124</x:v>
      </x:c>
      <x:c r="B692" s="1" t="str">
        <x:v>Jynx</x:v>
      </x:c>
      <x:c r="C692" s="1" t="str">
        <x:v>Ice Stone</x:v>
      </x:c>
      <x:c r="D692" s="1" t="n">
        <x:v>1</x:v>
      </x:c>
      <x:c r="E692" s="1" t="n">
        <x:v>1</x:v>
      </x:c>
      <x:c r="F692" s="13" t="n">
        <x:v>0.0014122</x:v>
      </x:c>
      <x:c r="G692" s="9" t="str">
        <x:v>https://poke.idleworld.online/pokepedia/pokemon/jynx</x:v>
      </x:c>
    </x:row>
    <x:row r="693" ht="22" customHeight="1">
      <x:c r="A693" s="1" t="n">
        <x:v>124</x:v>
      </x:c>
      <x:c r="B693" s="1" t="str">
        <x:v>Jynx</x:v>
      </x:c>
      <x:c r="C693" s="1" t="str">
        <x:v>Enigma Stone</x:v>
      </x:c>
      <x:c r="D693" s="1" t="n">
        <x:v>1</x:v>
      </x:c>
      <x:c r="E693" s="1" t="n">
        <x:v>1</x:v>
      </x:c>
      <x:c r="F693" s="13" t="n">
        <x:v>0.0014122</x:v>
      </x:c>
      <x:c r="G693" s="9" t="str">
        <x:v>https://poke.idleworld.online/pokepedia/pokemon/jynx</x:v>
      </x:c>
    </x:row>
    <x:row r="694" ht="22" customHeight="1">
      <x:c r="A694" s="1" t="n">
        <x:v>124</x:v>
      </x:c>
      <x:c r="B694" s="1" t="str">
        <x:v>Jynx</x:v>
      </x:c>
      <x:c r="C694" s="1" t="str">
        <x:v>Ancient Stone</x:v>
      </x:c>
      <x:c r="D694" s="1" t="n">
        <x:v>1</x:v>
      </x:c>
      <x:c r="E694" s="1" t="n">
        <x:v>1</x:v>
      </x:c>
      <x:c r="F694" s="13" t="n">
        <x:v>0.0008461</x:v>
      </x:c>
      <x:c r="G694" s="9" t="str">
        <x:v>https://poke.idleworld.online/pokepedia/pokemon/jynx</x:v>
      </x:c>
    </x:row>
    <x:row r="695" ht="22" customHeight="1">
      <x:c r="A695" s="1" t="n">
        <x:v>124</x:v>
      </x:c>
      <x:c r="B695" s="1" t="str">
        <x:v>Jynx</x:v>
      </x:c>
      <x:c r="C695" s="1" t="str">
        <x:v>Ice Bra</x:v>
      </x:c>
      <x:c r="D695" s="1" t="n">
        <x:v>1</x:v>
      </x:c>
      <x:c r="E695" s="1" t="n">
        <x:v>1</x:v>
      </x:c>
      <x:c r="F695" s="13" t="n">
        <x:v>6e-7</x:v>
      </x:c>
      <x:c r="G695" s="9" t="str">
        <x:v>https://poke.idleworld.online/pokepedia/pokemon/jynx</x:v>
      </x:c>
    </x:row>
    <x:row r="696" ht="22" customHeight="1">
      <x:c r="A696" s="1" t="n">
        <x:v>125</x:v>
      </x:c>
      <x:c r="B696" s="1" t="str">
        <x:v>Electabuzz</x:v>
      </x:c>
      <x:c r="C696" s="1" t="str">
        <x:v>Strange Pheromone</x:v>
      </x:c>
      <x:c r="D696" s="1" t="n">
        <x:v>1</x:v>
      </x:c>
      <x:c r="E696" s="1" t="n">
        <x:v>1</x:v>
      </x:c>
      <x:c r="F696" s="13" t="n">
        <x:v>0</x:v>
      </x:c>
      <x:c r="G696" s="9" t="str">
        <x:v>https://poke.idleworld.online/pokepedia/pokemon/electabuzz</x:v>
      </x:c>
    </x:row>
    <x:row r="697" ht="22" customHeight="1">
      <x:c r="A697" s="1" t="n">
        <x:v>125</x:v>
      </x:c>
      <x:c r="B697" s="1" t="str">
        <x:v>Electabuzz</x:v>
      </x:c>
      <x:c r="C697" s="1" t="str">
        <x:v>Screw</x:v>
      </x:c>
      <x:c r="D697" s="1" t="n">
        <x:v>1</x:v>
      </x:c>
      <x:c r="E697" s="1" t="n">
        <x:v>10</x:v>
      </x:c>
      <x:c r="F697" s="13" t="n">
        <x:v>0.95</x:v>
      </x:c>
      <x:c r="G697" s="9" t="str">
        <x:v>https://poke.idleworld.online/pokepedia/pokemon/electabuzz</x:v>
      </x:c>
    </x:row>
    <x:row r="698" ht="22" customHeight="1">
      <x:c r="A698" s="1" t="n">
        <x:v>125</x:v>
      </x:c>
      <x:c r="B698" s="1" t="str">
        <x:v>Electabuzz</x:v>
      </x:c>
      <x:c r="C698" s="1" t="str">
        <x:v>Electric Box</x:v>
      </x:c>
      <x:c r="D698" s="1" t="n">
        <x:v>1</x:v>
      </x:c>
      <x:c r="E698" s="1" t="n">
        <x:v>4</x:v>
      </x:c>
      <x:c r="F698" s="13" t="n">
        <x:v>0.95</x:v>
      </x:c>
      <x:c r="G698" s="9" t="str">
        <x:v>https://poke.idleworld.online/pokepedia/pokemon/electabuzz</x:v>
      </x:c>
    </x:row>
    <x:row r="699" ht="22" customHeight="1">
      <x:c r="A699" s="1" t="n">
        <x:v>125</x:v>
      </x:c>
      <x:c r="B699" s="1" t="str">
        <x:v>Electabuzz</x:v>
      </x:c>
      <x:c r="C699" s="1" t="str">
        <x:v>Electric Tail</x:v>
      </x:c>
      <x:c r="D699" s="1" t="n">
        <x:v>1</x:v>
      </x:c>
      <x:c r="E699" s="1" t="n">
        <x:v>1</x:v>
      </x:c>
      <x:c r="F699" s="13" t="n">
        <x:v>0.1047351</x:v>
      </x:c>
      <x:c r="G699" s="9" t="str">
        <x:v>https://poke.idleworld.online/pokepedia/pokemon/electabuzz</x:v>
      </x:c>
    </x:row>
    <x:row r="700" ht="22" customHeight="1">
      <x:c r="A700" s="1" t="n">
        <x:v>125</x:v>
      </x:c>
      <x:c r="B700" s="1" t="str">
        <x:v>Electabuzz</x:v>
      </x:c>
      <x:c r="C700" s="1" t="str">
        <x:v>Thunder Stone</x:v>
      </x:c>
      <x:c r="D700" s="1" t="n">
        <x:v>1</x:v>
      </x:c>
      <x:c r="E700" s="1" t="n">
        <x:v>1</x:v>
      </x:c>
      <x:c r="F700" s="13" t="n">
        <x:v>0.009008</x:v>
      </x:c>
      <x:c r="G700" s="9" t="str">
        <x:v>https://poke.idleworld.online/pokepedia/pokemon/electabuzz</x:v>
      </x:c>
    </x:row>
    <x:row r="701" ht="22" customHeight="1">
      <x:c r="A701" s="1" t="n">
        <x:v>126</x:v>
      </x:c>
      <x:c r="B701" s="1" t="str">
        <x:v>Magmar</x:v>
      </x:c>
      <x:c r="C701" s="1" t="str">
        <x:v>Strange Pheromone</x:v>
      </x:c>
      <x:c r="D701" s="1" t="n">
        <x:v>1</x:v>
      </x:c>
      <x:c r="E701" s="1" t="n">
        <x:v>1</x:v>
      </x:c>
      <x:c r="F701" s="13" t="n">
        <x:v>0</x:v>
      </x:c>
      <x:c r="G701" s="9" t="str">
        <x:v>https://poke.idleworld.online/pokepedia/pokemon/magmar</x:v>
      </x:c>
    </x:row>
    <x:row r="702" ht="22" customHeight="1">
      <x:c r="A702" s="1" t="n">
        <x:v>126</x:v>
      </x:c>
      <x:c r="B702" s="1" t="str">
        <x:v>Magmar</x:v>
      </x:c>
      <x:c r="C702" s="1" t="str">
        <x:v>Essence of Fire</x:v>
      </x:c>
      <x:c r="D702" s="1" t="n">
        <x:v>1</x:v>
      </x:c>
      <x:c r="E702" s="1" t="n">
        <x:v>10</x:v>
      </x:c>
      <x:c r="F702" s="13" t="n">
        <x:v>0.95</x:v>
      </x:c>
      <x:c r="G702" s="9" t="str">
        <x:v>https://poke.idleworld.online/pokepedia/pokemon/magmar</x:v>
      </x:c>
    </x:row>
    <x:row r="703" ht="22" customHeight="1">
      <x:c r="A703" s="1" t="n">
        <x:v>126</x:v>
      </x:c>
      <x:c r="B703" s="1" t="str">
        <x:v>Magmar</x:v>
      </x:c>
      <x:c r="C703" s="1" t="str">
        <x:v>Pot Of Lava</x:v>
      </x:c>
      <x:c r="D703" s="1" t="n">
        <x:v>1</x:v>
      </x:c>
      <x:c r="E703" s="1" t="n">
        <x:v>3</x:v>
      </x:c>
      <x:c r="F703" s="13" t="n">
        <x:v>0.95</x:v>
      </x:c>
      <x:c r="G703" s="9" t="str">
        <x:v>https://poke.idleworld.online/pokepedia/pokemon/magmar</x:v>
      </x:c>
    </x:row>
    <x:row r="704" ht="22" customHeight="1">
      <x:c r="A704" s="1" t="n">
        <x:v>126</x:v>
      </x:c>
      <x:c r="B704" s="1" t="str">
        <x:v>Magmar</x:v>
      </x:c>
      <x:c r="C704" s="1" t="str">
        <x:v>Magma Foot</x:v>
      </x:c>
      <x:c r="D704" s="1" t="n">
        <x:v>1</x:v>
      </x:c>
      <x:c r="E704" s="1" t="n">
        <x:v>1</x:v>
      </x:c>
      <x:c r="F704" s="13" t="n">
        <x:v>0.275313</x:v>
      </x:c>
      <x:c r="G704" s="9" t="str">
        <x:v>https://poke.idleworld.online/pokepedia/pokemon/magmar</x:v>
      </x:c>
    </x:row>
    <x:row r="705" ht="22" customHeight="1">
      <x:c r="A705" s="1" t="n">
        <x:v>126</x:v>
      </x:c>
      <x:c r="B705" s="1" t="str">
        <x:v>Magmar</x:v>
      </x:c>
      <x:c r="C705" s="1" t="str">
        <x:v>Fire Stone</x:v>
      </x:c>
      <x:c r="D705" s="1" t="n">
        <x:v>1</x:v>
      </x:c>
      <x:c r="E705" s="1" t="n">
        <x:v>1</x:v>
      </x:c>
      <x:c r="F705" s="13" t="n">
        <x:v>0.01334</x:v>
      </x:c>
      <x:c r="G705" s="9" t="str">
        <x:v>https://poke.idleworld.online/pokepedia/pokemon/magmar</x:v>
      </x:c>
    </x:row>
    <x:row r="706" ht="22" customHeight="1">
      <x:c r="A706" s="1" t="n">
        <x:v>127</x:v>
      </x:c>
      <x:c r="B706" s="1" t="str">
        <x:v>Pinsir</x:v>
      </x:c>
      <x:c r="C706" s="1" t="str">
        <x:v>Strange Pheromone</x:v>
      </x:c>
      <x:c r="D706" s="1" t="n">
        <x:v>1</x:v>
      </x:c>
      <x:c r="E706" s="1" t="n">
        <x:v>1</x:v>
      </x:c>
      <x:c r="F706" s="13" t="n">
        <x:v>0</x:v>
      </x:c>
      <x:c r="G706" s="9" t="str">
        <x:v>https://poke.idleworld.online/pokepedia/pokemon/pinsir</x:v>
      </x:c>
    </x:row>
    <x:row r="707" ht="22" customHeight="1">
      <x:c r="A707" s="1" t="n">
        <x:v>127</x:v>
      </x:c>
      <x:c r="B707" s="1" t="str">
        <x:v>Pinsir</x:v>
      </x:c>
      <x:c r="C707" s="1" t="str">
        <x:v>Bug Gosme</x:v>
      </x:c>
      <x:c r="D707" s="1" t="n">
        <x:v>1</x:v>
      </x:c>
      <x:c r="E707" s="1" t="n">
        <x:v>3</x:v>
      </x:c>
      <x:c r="F707" s="13" t="n">
        <x:v>0.95</x:v>
      </x:c>
      <x:c r="G707" s="9" t="str">
        <x:v>https://poke.idleworld.online/pokepedia/pokemon/pinsir</x:v>
      </x:c>
    </x:row>
    <x:row r="708" ht="22" customHeight="1">
      <x:c r="A708" s="1" t="n">
        <x:v>127</x:v>
      </x:c>
      <x:c r="B708" s="1" t="str">
        <x:v>Pinsir</x:v>
      </x:c>
      <x:c r="C708" s="1" t="str">
        <x:v>Pot of Moss Bug</x:v>
      </x:c>
      <x:c r="D708" s="1" t="n">
        <x:v>1</x:v>
      </x:c>
      <x:c r="E708" s="1" t="n">
        <x:v>1</x:v>
      </x:c>
      <x:c r="F708" s="13" t="n">
        <x:v>0.95</x:v>
      </x:c>
      <x:c r="G708" s="9" t="str">
        <x:v>https://poke.idleworld.online/pokepedia/pokemon/pinsir</x:v>
      </x:c>
    </x:row>
    <x:row r="709" ht="22" customHeight="1">
      <x:c r="A709" s="1" t="n">
        <x:v>127</x:v>
      </x:c>
      <x:c r="B709" s="1" t="str">
        <x:v>Pinsir</x:v>
      </x:c>
      <x:c r="C709" s="1" t="str">
        <x:v>Pinsir Horn</x:v>
      </x:c>
      <x:c r="D709" s="1" t="n">
        <x:v>1</x:v>
      </x:c>
      <x:c r="E709" s="1" t="n">
        <x:v>1</x:v>
      </x:c>
      <x:c r="F709" s="13" t="n">
        <x:v>0.3228353</x:v>
      </x:c>
      <x:c r="G709" s="9" t="str">
        <x:v>https://poke.idleworld.online/pokepedia/pokemon/pinsir</x:v>
      </x:c>
    </x:row>
    <x:row r="710" ht="22" customHeight="1">
      <x:c r="A710" s="1" t="n">
        <x:v>127</x:v>
      </x:c>
      <x:c r="B710" s="1" t="str">
        <x:v>Pinsir</x:v>
      </x:c>
      <x:c r="C710" s="1" t="str">
        <x:v>Cocoon Stone</x:v>
      </x:c>
      <x:c r="D710" s="1" t="n">
        <x:v>1</x:v>
      </x:c>
      <x:c r="E710" s="1" t="n">
        <x:v>1</x:v>
      </x:c>
      <x:c r="F710" s="13" t="n">
        <x:v>0.0146501</x:v>
      </x:c>
      <x:c r="G710" s="9" t="str">
        <x:v>https://poke.idleworld.online/pokepedia/pokemon/pinsir</x:v>
      </x:c>
    </x:row>
    <x:row r="711" ht="22" customHeight="1">
      <x:c r="A711" s="1" t="n">
        <x:v>128</x:v>
      </x:c>
      <x:c r="B711" s="1" t="str">
        <x:v>Tauros</x:v>
      </x:c>
      <x:c r="C711" s="1" t="str">
        <x:v>Strange Pheromone</x:v>
      </x:c>
      <x:c r="D711" s="1" t="n">
        <x:v>1</x:v>
      </x:c>
      <x:c r="E711" s="1" t="n">
        <x:v>1</x:v>
      </x:c>
      <x:c r="F711" s="13" t="n">
        <x:v>0</x:v>
      </x:c>
      <x:c r="G711" s="9" t="str">
        <x:v>https://poke.idleworld.online/pokepedia/pokemon/tauros</x:v>
      </x:c>
    </x:row>
    <x:row r="712" ht="22" customHeight="1">
      <x:c r="A712" s="1" t="n">
        <x:v>128</x:v>
      </x:c>
      <x:c r="B712" s="1" t="str">
        <x:v>Tauros</x:v>
      </x:c>
      <x:c r="C712" s="1" t="str">
        <x:v>Rubber Ball</x:v>
      </x:c>
      <x:c r="D712" s="1" t="n">
        <x:v>1</x:v>
      </x:c>
      <x:c r="E712" s="1" t="n">
        <x:v>10</x:v>
      </x:c>
      <x:c r="F712" s="13" t="n">
        <x:v>0.95</x:v>
      </x:c>
      <x:c r="G712" s="9" t="str">
        <x:v>https://poke.idleworld.online/pokepedia/pokemon/tauros</x:v>
      </x:c>
    </x:row>
    <x:row r="713" ht="22" customHeight="1">
      <x:c r="A713" s="1" t="n">
        <x:v>128</x:v>
      </x:c>
      <x:c r="B713" s="1" t="str">
        <x:v>Tauros</x:v>
      </x:c>
      <x:c r="C713" s="1" t="str">
        <x:v>Horn</x:v>
      </x:c>
      <x:c r="D713" s="1" t="n">
        <x:v>1</x:v>
      </x:c>
      <x:c r="E713" s="1" t="n">
        <x:v>2</x:v>
      </x:c>
      <x:c r="F713" s="13" t="n">
        <x:v>0.6342551000000001</x:v>
      </x:c>
      <x:c r="G713" s="9" t="str">
        <x:v>https://poke.idleworld.online/pokepedia/pokemon/tauros</x:v>
      </x:c>
    </x:row>
    <x:row r="714" ht="22" customHeight="1">
      <x:c r="A714" s="1" t="n">
        <x:v>128</x:v>
      </x:c>
      <x:c r="B714" s="1" t="str">
        <x:v>Tauros</x:v>
      </x:c>
      <x:c r="C714" s="1" t="str">
        <x:v>Bull Tail</x:v>
      </x:c>
      <x:c r="D714" s="1" t="n">
        <x:v>1</x:v>
      </x:c>
      <x:c r="E714" s="1" t="n">
        <x:v>1</x:v>
      </x:c>
      <x:c r="F714" s="13" t="n">
        <x:v>0.0402853</x:v>
      </x:c>
      <x:c r="G714" s="9" t="str">
        <x:v>https://poke.idleworld.online/pokepedia/pokemon/tauros</x:v>
      </x:c>
    </x:row>
    <x:row r="715" ht="22" customHeight="1">
      <x:c r="A715" s="1" t="n">
        <x:v>128</x:v>
      </x:c>
      <x:c r="B715" s="1" t="str">
        <x:v>Tauros</x:v>
      </x:c>
      <x:c r="C715" s="1" t="str">
        <x:v>Heart Stone</x:v>
      </x:c>
      <x:c r="D715" s="1" t="n">
        <x:v>1</x:v>
      </x:c>
      <x:c r="E715" s="1" t="n">
        <x:v>1</x:v>
      </x:c>
      <x:c r="F715" s="13" t="n">
        <x:v>0.0042131</x:v>
      </x:c>
      <x:c r="G715" s="9" t="str">
        <x:v>https://poke.idleworld.online/pokepedia/pokemon/tauros</x:v>
      </x:c>
    </x:row>
    <x:row r="716" ht="22" customHeight="1">
      <x:c r="A716" s="1" t="n">
        <x:v>129</x:v>
      </x:c>
      <x:c r="B716" s="1" t="str">
        <x:v>Magikarp</x:v>
      </x:c>
      <x:c r="C716" s="1" t="str">
        <x:v>Strange Pheromone</x:v>
      </x:c>
      <x:c r="D716" s="1" t="n">
        <x:v>1</x:v>
      </x:c>
      <x:c r="E716" s="1" t="n">
        <x:v>1</x:v>
      </x:c>
      <x:c r="F716" s="13" t="n">
        <x:v>0</x:v>
      </x:c>
      <x:c r="G716" s="9" t="str">
        <x:v>https://poke.idleworld.online/pokepedia/pokemon/magikarp</x:v>
      </x:c>
    </x:row>
    <x:row r="717" ht="22" customHeight="1">
      <x:c r="A717" s="1" t="n">
        <x:v>129</x:v>
      </x:c>
      <x:c r="B717" s="1" t="str">
        <x:v>Magikarp</x:v>
      </x:c>
      <x:c r="C717" s="1" t="str">
        <x:v>Water Gem</x:v>
      </x:c>
      <x:c r="D717" s="1" t="n">
        <x:v>1</x:v>
      </x:c>
      <x:c r="E717" s="1" t="n">
        <x:v>3</x:v>
      </x:c>
      <x:c r="F717" s="13" t="n">
        <x:v>0.7227273</x:v>
      </x:c>
      <x:c r="G717" s="9" t="str">
        <x:v>https://poke.idleworld.online/pokepedia/pokemon/magikarp</x:v>
      </x:c>
    </x:row>
    <x:row r="718" ht="22" customHeight="1">
      <x:c r="A718" s="1" t="n">
        <x:v>129</x:v>
      </x:c>
      <x:c r="B718" s="1" t="str">
        <x:v>Magikarp</x:v>
      </x:c>
      <x:c r="C718" s="1" t="str">
        <x:v>Magikarp Fin</x:v>
      </x:c>
      <x:c r="D718" s="1" t="n">
        <x:v>1</x:v>
      </x:c>
      <x:c r="E718" s="1" t="n">
        <x:v>1</x:v>
      </x:c>
      <x:c r="F718" s="13" t="n">
        <x:v>0.1806818</x:v>
      </x:c>
      <x:c r="G718" s="9" t="str">
        <x:v>https://poke.idleworld.online/pokepedia/pokemon/magikarp</x:v>
      </x:c>
    </x:row>
    <x:row r="719" ht="22" customHeight="1">
      <x:c r="A719" s="1" t="n">
        <x:v>130</x:v>
      </x:c>
      <x:c r="B719" s="1" t="str">
        <x:v>Gyarados</x:v>
      </x:c>
      <x:c r="C719" s="1" t="str">
        <x:v>Strange Pheromone</x:v>
      </x:c>
      <x:c r="D719" s="1" t="n">
        <x:v>1</x:v>
      </x:c>
      <x:c r="E719" s="1" t="n">
        <x:v>1</x:v>
      </x:c>
      <x:c r="F719" s="13" t="n">
        <x:v>0</x:v>
      </x:c>
      <x:c r="G719" s="9" t="str">
        <x:v>https://poke.idleworld.online/pokepedia/pokemon/gyarados</x:v>
      </x:c>
    </x:row>
    <x:row r="720" ht="22" customHeight="1">
      <x:c r="A720" s="1" t="n">
        <x:v>130</x:v>
      </x:c>
      <x:c r="B720" s="1" t="str">
        <x:v>Gyarados</x:v>
      </x:c>
      <x:c r="C720" s="1" t="str">
        <x:v>Straw</x:v>
      </x:c>
      <x:c r="D720" s="1" t="n">
        <x:v>1</x:v>
      </x:c>
      <x:c r="E720" s="1" t="n">
        <x:v>5</x:v>
      </x:c>
      <x:c r="F720" s="13" t="n">
        <x:v>0.95</x:v>
      </x:c>
      <x:c r="G720" s="9" t="str">
        <x:v>https://poke.idleworld.online/pokepedia/pokemon/gyarados</x:v>
      </x:c>
    </x:row>
    <x:row r="721" ht="22" customHeight="1">
      <x:c r="A721" s="1" t="n">
        <x:v>130</x:v>
      </x:c>
      <x:c r="B721" s="1" t="str">
        <x:v>Gyarados</x:v>
      </x:c>
      <x:c r="C721" s="1" t="str">
        <x:v>Water Gem</x:v>
      </x:c>
      <x:c r="D721" s="1" t="n">
        <x:v>1</x:v>
      </x:c>
      <x:c r="E721" s="1" t="n">
        <x:v>3</x:v>
      </x:c>
      <x:c r="F721" s="13" t="n">
        <x:v>0.95</x:v>
      </x:c>
      <x:c r="G721" s="9" t="str">
        <x:v>https://poke.idleworld.online/pokepedia/pokemon/gyarados</x:v>
      </x:c>
    </x:row>
    <x:row r="722" ht="22" customHeight="1">
      <x:c r="A722" s="1" t="n">
        <x:v>130</x:v>
      </x:c>
      <x:c r="B722" s="1" t="str">
        <x:v>Gyarados</x:v>
      </x:c>
      <x:c r="C722" s="1" t="str">
        <x:v>Water Pendant</x:v>
      </x:c>
      <x:c r="D722" s="1" t="n">
        <x:v>1</x:v>
      </x:c>
      <x:c r="E722" s="1" t="n">
        <x:v>1</x:v>
      </x:c>
      <x:c r="F722" s="13" t="n">
        <x:v>0.95</x:v>
      </x:c>
      <x:c r="G722" s="9" t="str">
        <x:v>https://poke.idleworld.online/pokepedia/pokemon/gyarados</x:v>
      </x:c>
    </x:row>
    <x:row r="723" ht="22" customHeight="1">
      <x:c r="A723" s="1" t="n">
        <x:v>130</x:v>
      </x:c>
      <x:c r="B723" s="1" t="str">
        <x:v>Gyarados</x:v>
      </x:c>
      <x:c r="C723" s="1" t="str">
        <x:v>Gyarados Tail</x:v>
      </x:c>
      <x:c r="D723" s="1" t="n">
        <x:v>1</x:v>
      </x:c>
      <x:c r="E723" s="1" t="n">
        <x:v>1</x:v>
      </x:c>
      <x:c r="F723" s="13" t="n">
        <x:v>0.0238294</x:v>
      </x:c>
      <x:c r="G723" s="9" t="str">
        <x:v>https://poke.idleworld.online/pokepedia/pokemon/gyarados</x:v>
      </x:c>
    </x:row>
    <x:row r="724" ht="22" customHeight="1">
      <x:c r="A724" s="1" t="n">
        <x:v>130</x:v>
      </x:c>
      <x:c r="B724" s="1" t="str">
        <x:v>Gyarados</x:v>
      </x:c>
      <x:c r="C724" s="1" t="str">
        <x:v>Water Stone</x:v>
      </x:c>
      <x:c r="D724" s="1" t="n">
        <x:v>1</x:v>
      </x:c>
      <x:c r="E724" s="1" t="n">
        <x:v>1</x:v>
      </x:c>
      <x:c r="F724" s="13" t="n">
        <x:v>0.0019317</x:v>
      </x:c>
      <x:c r="G724" s="9" t="str">
        <x:v>https://poke.idleworld.online/pokepedia/pokemon/gyarados</x:v>
      </x:c>
    </x:row>
    <x:row r="725" ht="22" customHeight="1">
      <x:c r="A725" s="1" t="n">
        <x:v>130</x:v>
      </x:c>
      <x:c r="B725" s="1" t="str">
        <x:v>Gyarados</x:v>
      </x:c>
      <x:c r="C725" s="1" t="str">
        <x:v>Crystal Stone</x:v>
      </x:c>
      <x:c r="D725" s="1" t="n">
        <x:v>1</x:v>
      </x:c>
      <x:c r="E725" s="1" t="n">
        <x:v>1</x:v>
      </x:c>
      <x:c r="F725" s="13" t="n">
        <x:v>0.0006439</x:v>
      </x:c>
      <x:c r="G725" s="9" t="str">
        <x:v>https://poke.idleworld.online/pokepedia/pokemon/gyarados</x:v>
      </x:c>
    </x:row>
    <x:row r="726" ht="22" customHeight="1">
      <x:c r="A726" s="1" t="n">
        <x:v>130</x:v>
      </x:c>
      <x:c r="B726" s="1" t="str">
        <x:v>Gyarados</x:v>
      </x:c>
      <x:c r="C726" s="1" t="str">
        <x:v>Air Tank</x:v>
      </x:c>
      <x:c r="D726" s="1" t="n">
        <x:v>1</x:v>
      </x:c>
      <x:c r="E726" s="1" t="n">
        <x:v>1</x:v>
      </x:c>
      <x:c r="F726" s="13" t="n">
        <x:v>0.023835</x:v>
      </x:c>
      <x:c r="G726" s="9" t="str">
        <x:v>https://poke.idleworld.online/pokepedia/pokemon/gyarados</x:v>
      </x:c>
    </x:row>
    <x:row r="727" ht="22" customHeight="1">
      <x:c r="A727" s="1" t="n">
        <x:v>130</x:v>
      </x:c>
      <x:c r="B727" s="1" t="str">
        <x:v>Gyarados</x:v>
      </x:c>
      <x:c r="C727" s="1" t="str">
        <x:v>Diving Mask</x:v>
      </x:c>
      <x:c r="D727" s="1" t="n">
        <x:v>1</x:v>
      </x:c>
      <x:c r="E727" s="1" t="n">
        <x:v>1</x:v>
      </x:c>
      <x:c r="F727" s="13" t="n">
        <x:v>0.0238294</x:v>
      </x:c>
      <x:c r="G727" s="9" t="str">
        <x:v>https://poke.idleworld.online/pokepedia/pokemon/gyarados</x:v>
      </x:c>
    </x:row>
    <x:row r="728" ht="22" customHeight="1">
      <x:c r="A728" s="1" t="n">
        <x:v>130</x:v>
      </x:c>
      <x:c r="B728" s="1" t="str">
        <x:v>Gyarados</x:v>
      </x:c>
      <x:c r="C728" s="1" t="str">
        <x:v>Fins</x:v>
      </x:c>
      <x:c r="D728" s="1" t="n">
        <x:v>1</x:v>
      </x:c>
      <x:c r="E728" s="1" t="n">
        <x:v>1</x:v>
      </x:c>
      <x:c r="F728" s="13" t="n">
        <x:v>0.0238294</x:v>
      </x:c>
      <x:c r="G728" s="9" t="str">
        <x:v>https://poke.idleworld.online/pokepedia/pokemon/gyarados</x:v>
      </x:c>
    </x:row>
    <x:row r="729" ht="22" customHeight="1">
      <x:c r="A729" s="1" t="n">
        <x:v>131</x:v>
      </x:c>
      <x:c r="B729" s="1" t="str">
        <x:v>Lapras</x:v>
      </x:c>
      <x:c r="C729" s="1" t="str">
        <x:v>Strange Pheromone</x:v>
      </x:c>
      <x:c r="D729" s="1" t="n">
        <x:v>1</x:v>
      </x:c>
      <x:c r="E729" s="1" t="n">
        <x:v>1</x:v>
      </x:c>
      <x:c r="F729" s="13" t="n">
        <x:v>0</x:v>
      </x:c>
      <x:c r="G729" s="9" t="str">
        <x:v>https://poke.idleworld.online/pokepedia/pokemon/lapras</x:v>
      </x:c>
    </x:row>
    <x:row r="730" ht="22" customHeight="1">
      <x:c r="A730" s="1" t="n">
        <x:v>131</x:v>
      </x:c>
      <x:c r="B730" s="1" t="str">
        <x:v>Lapras</x:v>
      </x:c>
      <x:c r="C730" s="1" t="str">
        <x:v>Snowball</x:v>
      </x:c>
      <x:c r="D730" s="1" t="n">
        <x:v>1</x:v>
      </x:c>
      <x:c r="E730" s="1" t="n">
        <x:v>5</x:v>
      </x:c>
      <x:c r="F730" s="13" t="n">
        <x:v>0.95</x:v>
      </x:c>
      <x:c r="G730" s="9" t="str">
        <x:v>https://poke.idleworld.online/pokepedia/pokemon/lapras</x:v>
      </x:c>
    </x:row>
    <x:row r="731" ht="22" customHeight="1">
      <x:c r="A731" s="1" t="n">
        <x:v>131</x:v>
      </x:c>
      <x:c r="B731" s="1" t="str">
        <x:v>Lapras</x:v>
      </x:c>
      <x:c r="C731" s="1" t="str">
        <x:v>Water Gem</x:v>
      </x:c>
      <x:c r="D731" s="1" t="n">
        <x:v>1</x:v>
      </x:c>
      <x:c r="E731" s="1" t="n">
        <x:v>3</x:v>
      </x:c>
      <x:c r="F731" s="13" t="n">
        <x:v>0.95</x:v>
      </x:c>
      <x:c r="G731" s="9" t="str">
        <x:v>https://poke.idleworld.online/pokepedia/pokemon/lapras</x:v>
      </x:c>
    </x:row>
    <x:row r="732" ht="22" customHeight="1">
      <x:c r="A732" s="1" t="n">
        <x:v>131</x:v>
      </x:c>
      <x:c r="B732" s="1" t="str">
        <x:v>Lapras</x:v>
      </x:c>
      <x:c r="C732" s="1" t="str">
        <x:v>Ice Orb</x:v>
      </x:c>
      <x:c r="D732" s="1" t="n">
        <x:v>1</x:v>
      </x:c>
      <x:c r="E732" s="1" t="n">
        <x:v>3</x:v>
      </x:c>
      <x:c r="F732" s="13" t="n">
        <x:v>0.95</x:v>
      </x:c>
      <x:c r="G732" s="9" t="str">
        <x:v>https://poke.idleworld.online/pokepedia/pokemon/lapras</x:v>
      </x:c>
    </x:row>
    <x:row r="733" ht="22" customHeight="1">
      <x:c r="A733" s="1" t="n">
        <x:v>131</x:v>
      </x:c>
      <x:c r="B733" s="1" t="str">
        <x:v>Lapras</x:v>
      </x:c>
      <x:c r="C733" s="1" t="str">
        <x:v>Water Pendant</x:v>
      </x:c>
      <x:c r="D733" s="1" t="n">
        <x:v>1</x:v>
      </x:c>
      <x:c r="E733" s="1" t="n">
        <x:v>1</x:v>
      </x:c>
      <x:c r="F733" s="13" t="n">
        <x:v>0.7994719</x:v>
      </x:c>
      <x:c r="G733" s="9" t="str">
        <x:v>https://poke.idleworld.online/pokepedia/pokemon/lapras</x:v>
      </x:c>
    </x:row>
    <x:row r="734" ht="22" customHeight="1">
      <x:c r="A734" s="1" t="n">
        <x:v>131</x:v>
      </x:c>
      <x:c r="B734" s="1" t="str">
        <x:v>Lapras</x:v>
      </x:c>
      <x:c r="C734" s="1" t="str">
        <x:v>Giant Fin</x:v>
      </x:c>
      <x:c r="D734" s="1" t="n">
        <x:v>1</x:v>
      </x:c>
      <x:c r="E734" s="1" t="n">
        <x:v>1</x:v>
      </x:c>
      <x:c r="F734" s="13" t="n">
        <x:v>0.0159757</x:v>
      </x:c>
      <x:c r="G734" s="9" t="str">
        <x:v>https://poke.idleworld.online/pokepedia/pokemon/lapras</x:v>
      </x:c>
    </x:row>
    <x:row r="735" ht="22" customHeight="1">
      <x:c r="A735" s="1" t="n">
        <x:v>131</x:v>
      </x:c>
      <x:c r="B735" s="1" t="str">
        <x:v>Lapras</x:v>
      </x:c>
      <x:c r="C735" s="1" t="str">
        <x:v>Ice Stone</x:v>
      </x:c>
      <x:c r="D735" s="1" t="n">
        <x:v>1</x:v>
      </x:c>
      <x:c r="E735" s="1" t="n">
        <x:v>1</x:v>
      </x:c>
      <x:c r="F735" s="13" t="n">
        <x:v>0.0049453</x:v>
      </x:c>
      <x:c r="G735" s="9" t="str">
        <x:v>https://poke.idleworld.online/pokepedia/pokemon/lapras</x:v>
      </x:c>
    </x:row>
    <x:row r="736" ht="22" customHeight="1">
      <x:c r="A736" s="1" t="n">
        <x:v>131</x:v>
      </x:c>
      <x:c r="B736" s="1" t="str">
        <x:v>Lapras</x:v>
      </x:c>
      <x:c r="C736" s="1" t="str">
        <x:v>Water Stone</x:v>
      </x:c>
      <x:c r="D736" s="1" t="n">
        <x:v>1</x:v>
      </x:c>
      <x:c r="E736" s="1" t="n">
        <x:v>1</x:v>
      </x:c>
      <x:c r="F736" s="13" t="n">
        <x:v>0.0049453</x:v>
      </x:c>
      <x:c r="G736" s="9" t="str">
        <x:v>https://poke.idleworld.online/pokepedia/pokemon/lapras</x:v>
      </x:c>
    </x:row>
    <x:row r="737" ht="22" customHeight="1">
      <x:c r="A737" s="1" t="n">
        <x:v>131</x:v>
      </x:c>
      <x:c r="B737" s="1" t="str">
        <x:v>Lapras</x:v>
      </x:c>
      <x:c r="C737" s="1" t="str">
        <x:v>Goggles</x:v>
      </x:c>
      <x:c r="D737" s="1" t="n">
        <x:v>1</x:v>
      </x:c>
      <x:c r="E737" s="1" t="n">
        <x:v>1</x:v>
      </x:c>
      <x:c r="F737" s="13" t="n">
        <x:v>0.0159757</x:v>
      </x:c>
      <x:c r="G737" s="9" t="str">
        <x:v>https://poke.idleworld.online/pokepedia/pokemon/lapras</x:v>
      </x:c>
    </x:row>
    <x:row r="738" ht="22" customHeight="1">
      <x:c r="A738" s="1" t="n">
        <x:v>131</x:v>
      </x:c>
      <x:c r="B738" s="1" t="str">
        <x:v>Lapras</x:v>
      </x:c>
      <x:c r="C738" s="1" t="str">
        <x:v>Ski Poles</x:v>
      </x:c>
      <x:c r="D738" s="1" t="n">
        <x:v>1</x:v>
      </x:c>
      <x:c r="E738" s="1" t="n">
        <x:v>1</x:v>
      </x:c>
      <x:c r="F738" s="13" t="n">
        <x:v>0.0159757</x:v>
      </x:c>
      <x:c r="G738" s="9" t="str">
        <x:v>https://poke.idleworld.online/pokepedia/pokemon/lapras</x:v>
      </x:c>
    </x:row>
    <x:row r="739" ht="22" customHeight="1">
      <x:c r="A739" s="1" t="n">
        <x:v>131</x:v>
      </x:c>
      <x:c r="B739" s="1" t="str">
        <x:v>Lapras</x:v>
      </x:c>
      <x:c r="C739" s="1" t="str">
        <x:v>Snow Skis</x:v>
      </x:c>
      <x:c r="D739" s="1" t="n">
        <x:v>1</x:v>
      </x:c>
      <x:c r="E739" s="1" t="n">
        <x:v>1</x:v>
      </x:c>
      <x:c r="F739" s="13" t="n">
        <x:v>0.0159757</x:v>
      </x:c>
      <x:c r="G739" s="9" t="str">
        <x:v>https://poke.idleworld.online/pokepedia/pokemon/lapras</x:v>
      </x:c>
    </x:row>
    <x:row r="740" ht="22" customHeight="1">
      <x:c r="A740" s="1" t="n">
        <x:v>132</x:v>
      </x:c>
      <x:c r="B740" s="1" t="str">
        <x:v>Ditto</x:v>
      </x:c>
      <x:c r="C740" s="1" t="str">
        <x:v>Strange Pheromone</x:v>
      </x:c>
      <x:c r="D740" s="1" t="n">
        <x:v>1</x:v>
      </x:c>
      <x:c r="E740" s="1" t="n">
        <x:v>1</x:v>
      </x:c>
      <x:c r="F740" s="13" t="n">
        <x:v>0</x:v>
      </x:c>
      <x:c r="G740" s="9" t="str">
        <x:v>https://poke.idleworld.online/pokepedia/pokemon/ditto</x:v>
      </x:c>
    </x:row>
    <x:row r="741" ht="22" customHeight="1">
      <x:c r="A741" s="1" t="n">
        <x:v>132</x:v>
      </x:c>
      <x:c r="B741" s="1" t="str">
        <x:v>Ditto</x:v>
      </x:c>
      <x:c r="C741" s="1" t="str">
        <x:v>Rubber Ball</x:v>
      </x:c>
      <x:c r="D741" s="1" t="n">
        <x:v>1</x:v>
      </x:c>
      <x:c r="E741" s="1" t="n">
        <x:v>10</x:v>
      </x:c>
      <x:c r="F741" s="13" t="n">
        <x:v>0.8</x:v>
      </x:c>
      <x:c r="G741" s="9" t="str">
        <x:v>https://poke.idleworld.online/pokepedia/pokemon/ditto</x:v>
      </x:c>
    </x:row>
    <x:row r="742" ht="22" customHeight="1">
      <x:c r="A742" s="1" t="n">
        <x:v>132</x:v>
      </x:c>
      <x:c r="B742" s="1" t="str">
        <x:v>Ditto</x:v>
      </x:c>
      <x:c r="C742" s="1" t="str">
        <x:v>Fur</x:v>
      </x:c>
      <x:c r="D742" s="1" t="n">
        <x:v>1</x:v>
      </x:c>
      <x:c r="E742" s="1" t="n">
        <x:v>3</x:v>
      </x:c>
      <x:c r="F742" s="13" t="n">
        <x:v>0.6</x:v>
      </x:c>
      <x:c r="G742" s="9" t="str">
        <x:v>https://poke.idleworld.online/pokepedia/pokemon/ditto</x:v>
      </x:c>
    </x:row>
    <x:row r="743" ht="22" customHeight="1">
      <x:c r="A743" s="1" t="n">
        <x:v>133</x:v>
      </x:c>
      <x:c r="B743" s="1" t="str">
        <x:v>Eevee</x:v>
      </x:c>
      <x:c r="C743" s="1" t="str">
        <x:v>Rubber Ball</x:v>
      </x:c>
      <x:c r="D743" s="1" t="n">
        <x:v>1</x:v>
      </x:c>
      <x:c r="E743" s="1" t="n">
        <x:v>10</x:v>
      </x:c>
      <x:c r="F743" s="13" t="n">
        <x:v>0.8</x:v>
      </x:c>
      <x:c r="G743" s="9" t="str">
        <x:v>https://poke.idleworld.online/pokepedia/pokemon/eevee</x:v>
      </x:c>
    </x:row>
    <x:row r="744" ht="22" customHeight="1">
      <x:c r="A744" s="1" t="n">
        <x:v>133</x:v>
      </x:c>
      <x:c r="B744" s="1" t="str">
        <x:v>Eevee</x:v>
      </x:c>
      <x:c r="C744" s="1" t="str">
        <x:v>Fur</x:v>
      </x:c>
      <x:c r="D744" s="1" t="n">
        <x:v>1</x:v>
      </x:c>
      <x:c r="E744" s="1" t="n">
        <x:v>3</x:v>
      </x:c>
      <x:c r="F744" s="13" t="n">
        <x:v>0.6</x:v>
      </x:c>
      <x:c r="G744" s="9" t="str">
        <x:v>https://poke.idleworld.online/pokepedia/pokemon/eevee</x:v>
      </x:c>
    </x:row>
    <x:row r="745" ht="22" customHeight="1">
      <x:c r="A745" s="1" t="n">
        <x:v>134</x:v>
      </x:c>
      <x:c r="B745" s="1" t="str">
        <x:v>Vaporeon</x:v>
      </x:c>
      <x:c r="C745" s="1" t="str">
        <x:v>Water Gem</x:v>
      </x:c>
      <x:c r="D745" s="1" t="n">
        <x:v>1</x:v>
      </x:c>
      <x:c r="E745" s="1" t="n">
        <x:v>3</x:v>
      </x:c>
      <x:c r="F745" s="13" t="n">
        <x:v>0.6</x:v>
      </x:c>
      <x:c r="G745" s="9" t="str">
        <x:v>https://poke.idleworld.online/pokepedia/pokemon/vaporeon</x:v>
      </x:c>
    </x:row>
    <x:row r="746" ht="22" customHeight="1">
      <x:c r="A746" s="1" t="n">
        <x:v>134</x:v>
      </x:c>
      <x:c r="B746" s="1" t="str">
        <x:v>Vaporeon</x:v>
      </x:c>
      <x:c r="C746" s="1" t="str">
        <x:v>Water Pendant</x:v>
      </x:c>
      <x:c r="D746" s="1" t="n">
        <x:v>1</x:v>
      </x:c>
      <x:c r="E746" s="1" t="n">
        <x:v>1</x:v>
      </x:c>
      <x:c r="F746" s="13" t="n">
        <x:v>0.2</x:v>
      </x:c>
      <x:c r="G746" s="9" t="str">
        <x:v>https://poke.idleworld.online/pokepedia/pokemon/vaporeon</x:v>
      </x:c>
    </x:row>
    <x:row r="747" ht="22" customHeight="1">
      <x:c r="A747" s="1" t="n">
        <x:v>134</x:v>
      </x:c>
      <x:c r="B747" s="1" t="str">
        <x:v>Vaporeon</x:v>
      </x:c>
      <x:c r="C747" s="1" t="str">
        <x:v>Water Stone</x:v>
      </x:c>
      <x:c r="D747" s="1" t="n">
        <x:v>1</x:v>
      </x:c>
      <x:c r="E747" s="1" t="n">
        <x:v>1</x:v>
      </x:c>
      <x:c r="F747" s="13" t="n">
        <x:v>0.003</x:v>
      </x:c>
      <x:c r="G747" s="9" t="str">
        <x:v>https://poke.idleworld.online/pokepedia/pokemon/vaporeon</x:v>
      </x:c>
    </x:row>
    <x:row r="748" ht="22" customHeight="1">
      <x:c r="A748" s="1" t="n">
        <x:v>135</x:v>
      </x:c>
      <x:c r="B748" s="1" t="str">
        <x:v>Jolteon</x:v>
      </x:c>
      <x:c r="C748" s="1" t="str">
        <x:v>Screw</x:v>
      </x:c>
      <x:c r="D748" s="1" t="n">
        <x:v>1</x:v>
      </x:c>
      <x:c r="E748" s="1" t="n">
        <x:v>10</x:v>
      </x:c>
      <x:c r="F748" s="13" t="n">
        <x:v>0.8</x:v>
      </x:c>
      <x:c r="G748" s="9" t="str">
        <x:v>https://poke.idleworld.online/pokepedia/pokemon/jolteon</x:v>
      </x:c>
    </x:row>
    <x:row r="749" ht="22" customHeight="1">
      <x:c r="A749" s="1" t="n">
        <x:v>135</x:v>
      </x:c>
      <x:c r="B749" s="1" t="str">
        <x:v>Jolteon</x:v>
      </x:c>
      <x:c r="C749" s="1" t="str">
        <x:v>Electric Box</x:v>
      </x:c>
      <x:c r="D749" s="1" t="n">
        <x:v>1</x:v>
      </x:c>
      <x:c r="E749" s="1" t="n">
        <x:v>3</x:v>
      </x:c>
      <x:c r="F749" s="13" t="n">
        <x:v>0.6</x:v>
      </x:c>
      <x:c r="G749" s="9" t="str">
        <x:v>https://poke.idleworld.online/pokepedia/pokemon/jolteon</x:v>
      </x:c>
    </x:row>
    <x:row r="750" ht="22" customHeight="1">
      <x:c r="A750" s="1" t="n">
        <x:v>135</x:v>
      </x:c>
      <x:c r="B750" s="1" t="str">
        <x:v>Jolteon</x:v>
      </x:c>
      <x:c r="C750" s="1" t="str">
        <x:v>Thunder Stone</x:v>
      </x:c>
      <x:c r="D750" s="1" t="n">
        <x:v>1</x:v>
      </x:c>
      <x:c r="E750" s="1" t="n">
        <x:v>1</x:v>
      </x:c>
      <x:c r="F750" s="13" t="n">
        <x:v>0.003</x:v>
      </x:c>
      <x:c r="G750" s="9" t="str">
        <x:v>https://poke.idleworld.online/pokepedia/pokemon/jolteon</x:v>
      </x:c>
    </x:row>
    <x:row r="751" ht="22" customHeight="1">
      <x:c r="A751" s="1" t="n">
        <x:v>136</x:v>
      </x:c>
      <x:c r="B751" s="1" t="str">
        <x:v>Flareon</x:v>
      </x:c>
      <x:c r="C751" s="1" t="str">
        <x:v>Essence of Fire</x:v>
      </x:c>
      <x:c r="D751" s="1" t="n">
        <x:v>1</x:v>
      </x:c>
      <x:c r="E751" s="1" t="n">
        <x:v>10</x:v>
      </x:c>
      <x:c r="F751" s="13" t="n">
        <x:v>0.8</x:v>
      </x:c>
      <x:c r="G751" s="9" t="str">
        <x:v>https://poke.idleworld.online/pokepedia/pokemon/flareon</x:v>
      </x:c>
    </x:row>
    <x:row r="752" ht="22" customHeight="1">
      <x:c r="A752" s="1" t="n">
        <x:v>136</x:v>
      </x:c>
      <x:c r="B752" s="1" t="str">
        <x:v>Flareon</x:v>
      </x:c>
      <x:c r="C752" s="1" t="str">
        <x:v>Pot Of Lava</x:v>
      </x:c>
      <x:c r="D752" s="1" t="n">
        <x:v>1</x:v>
      </x:c>
      <x:c r="E752" s="1" t="n">
        <x:v>3</x:v>
      </x:c>
      <x:c r="F752" s="13" t="n">
        <x:v>0.6</x:v>
      </x:c>
      <x:c r="G752" s="9" t="str">
        <x:v>https://poke.idleworld.online/pokepedia/pokemon/flareon</x:v>
      </x:c>
    </x:row>
    <x:row r="753" ht="22" customHeight="1">
      <x:c r="A753" s="1" t="n">
        <x:v>136</x:v>
      </x:c>
      <x:c r="B753" s="1" t="str">
        <x:v>Flareon</x:v>
      </x:c>
      <x:c r="C753" s="1" t="str">
        <x:v>Fire Stone</x:v>
      </x:c>
      <x:c r="D753" s="1" t="n">
        <x:v>1</x:v>
      </x:c>
      <x:c r="E753" s="1" t="n">
        <x:v>1</x:v>
      </x:c>
      <x:c r="F753" s="13" t="n">
        <x:v>0.003</x:v>
      </x:c>
      <x:c r="G753" s="9" t="str">
        <x:v>https://poke.idleworld.online/pokepedia/pokemon/flareon</x:v>
      </x:c>
    </x:row>
    <x:row r="754" ht="22" customHeight="1">
      <x:c r="A754" s="1" t="n">
        <x:v>137</x:v>
      </x:c>
      <x:c r="B754" s="1" t="str">
        <x:v>Porygon</x:v>
      </x:c>
      <x:c r="C754" s="1" t="str">
        <x:v>Strange Pheromone</x:v>
      </x:c>
      <x:c r="D754" s="1" t="n">
        <x:v>1</x:v>
      </x:c>
      <x:c r="E754" s="1" t="n">
        <x:v>1</x:v>
      </x:c>
      <x:c r="F754" s="13" t="n">
        <x:v>0</x:v>
      </x:c>
      <x:c r="G754" s="9" t="str">
        <x:v>https://poke.idleworld.online/pokepedia/pokemon/porygon</x:v>
      </x:c>
    </x:row>
    <x:row r="755" ht="22" customHeight="1">
      <x:c r="A755" s="1" t="n">
        <x:v>137</x:v>
      </x:c>
      <x:c r="B755" s="1" t="str">
        <x:v>Porygon</x:v>
      </x:c>
      <x:c r="C755" s="1" t="str">
        <x:v>Rubber Ball</x:v>
      </x:c>
      <x:c r="D755" s="1" t="n">
        <x:v>1</x:v>
      </x:c>
      <x:c r="E755" s="1" t="n">
        <x:v>10</x:v>
      </x:c>
      <x:c r="F755" s="13" t="n">
        <x:v>0.8</x:v>
      </x:c>
      <x:c r="G755" s="9" t="str">
        <x:v>https://poke.idleworld.online/pokepedia/pokemon/porygon</x:v>
      </x:c>
    </x:row>
    <x:row r="756" ht="22" customHeight="1">
      <x:c r="A756" s="1" t="n">
        <x:v>137</x:v>
      </x:c>
      <x:c r="B756" s="1" t="str">
        <x:v>Porygon</x:v>
      </x:c>
      <x:c r="C756" s="1" t="str">
        <x:v>Virtual Tail</x:v>
      </x:c>
      <x:c r="D756" s="1" t="n">
        <x:v>1</x:v>
      </x:c>
      <x:c r="E756" s="1" t="n">
        <x:v>1</x:v>
      </x:c>
      <x:c r="F756" s="13" t="n">
        <x:v>0.000761</x:v>
      </x:c>
      <x:c r="G756" s="9" t="str">
        <x:v>https://poke.idleworld.online/pokepedia/pokemon/porygon</x:v>
      </x:c>
    </x:row>
    <x:row r="757" ht="22" customHeight="1">
      <x:c r="A757" s="1" t="n">
        <x:v>138</x:v>
      </x:c>
      <x:c r="B757" s="1" t="str">
        <x:v>Omanyte</x:v>
      </x:c>
      <x:c r="C757" s="1" t="str">
        <x:v>Strange Pheromone</x:v>
      </x:c>
      <x:c r="D757" s="1" t="n">
        <x:v>1</x:v>
      </x:c>
      <x:c r="E757" s="1" t="n">
        <x:v>1</x:v>
      </x:c>
      <x:c r="F757" s="13" t="n">
        <x:v>0</x:v>
      </x:c>
      <x:c r="G757" s="9" t="str">
        <x:v>https://poke.idleworld.online/pokepedia/pokemon/omanyte</x:v>
      </x:c>
    </x:row>
    <x:row r="758" ht="22" customHeight="1">
      <x:c r="A758" s="1" t="n">
        <x:v>138</x:v>
      </x:c>
      <x:c r="B758" s="1" t="str">
        <x:v>Omanyte</x:v>
      </x:c>
      <x:c r="C758" s="1" t="str">
        <x:v>Small Stone</x:v>
      </x:c>
      <x:c r="D758" s="1" t="n">
        <x:v>1</x:v>
      </x:c>
      <x:c r="E758" s="1" t="n">
        <x:v>3</x:v>
      </x:c>
      <x:c r="F758" s="13" t="n">
        <x:v>0.7879963000000001</x:v>
      </x:c>
      <x:c r="G758" s="9" t="str">
        <x:v>https://poke.idleworld.online/pokepedia/pokemon/omanyte</x:v>
      </x:c>
    </x:row>
    <x:row r="759" ht="22" customHeight="1">
      <x:c r="A759" s="1" t="n">
        <x:v>138</x:v>
      </x:c>
      <x:c r="B759" s="1" t="str">
        <x:v>Omanyte</x:v>
      </x:c>
      <x:c r="C759" s="1" t="str">
        <x:v>Water Gem</x:v>
      </x:c>
      <x:c r="D759" s="1" t="n">
        <x:v>1</x:v>
      </x:c>
      <x:c r="E759" s="1" t="n">
        <x:v>3</x:v>
      </x:c>
      <x:c r="F759" s="13" t="n">
        <x:v>0.7879963000000001</x:v>
      </x:c>
      <x:c r="G759" s="9" t="str">
        <x:v>https://poke.idleworld.online/pokepedia/pokemon/omanyte</x:v>
      </x:c>
    </x:row>
    <x:row r="760" ht="22" customHeight="1">
      <x:c r="A760" s="1" t="n">
        <x:v>138</x:v>
      </x:c>
      <x:c r="B760" s="1" t="str">
        <x:v>Omanyte</x:v>
      </x:c>
      <x:c r="C760" s="1" t="str">
        <x:v>Stone Orb</x:v>
      </x:c>
      <x:c r="D760" s="1" t="n">
        <x:v>1</x:v>
      </x:c>
      <x:c r="E760" s="1" t="n">
        <x:v>1</x:v>
      </x:c>
      <x:c r="F760" s="13" t="n">
        <x:v>0.6650917999999999</x:v>
      </x:c>
      <x:c r="G760" s="9" t="str">
        <x:v>https://poke.idleworld.online/pokepedia/pokemon/omanyte</x:v>
      </x:c>
    </x:row>
    <x:row r="761" ht="22" customHeight="1">
      <x:c r="A761" s="1" t="n">
        <x:v>138</x:v>
      </x:c>
      <x:c r="B761" s="1" t="str">
        <x:v>Omanyte</x:v>
      </x:c>
      <x:c r="C761" s="1" t="str">
        <x:v>Helix Fossil</x:v>
      </x:c>
      <x:c r="D761" s="1" t="n">
        <x:v>1</x:v>
      </x:c>
      <x:c r="E761" s="1" t="n">
        <x:v>1</x:v>
      </x:c>
      <x:c r="F761" s="13" t="n">
        <x:v>0.016626500000000002</x:v>
      </x:c>
      <x:c r="G761" s="9" t="str">
        <x:v>https://poke.idleworld.online/pokepedia/pokemon/omanyte</x:v>
      </x:c>
    </x:row>
    <x:row r="762" ht="22" customHeight="1">
      <x:c r="A762" s="1" t="n">
        <x:v>139</x:v>
      </x:c>
      <x:c r="B762" s="1" t="str">
        <x:v>Omastar</x:v>
      </x:c>
      <x:c r="C762" s="1" t="str">
        <x:v>Strange Pheromone</x:v>
      </x:c>
      <x:c r="D762" s="1" t="n">
        <x:v>1</x:v>
      </x:c>
      <x:c r="E762" s="1" t="n">
        <x:v>1</x:v>
      </x:c>
      <x:c r="F762" s="13" t="n">
        <x:v>0</x:v>
      </x:c>
      <x:c r="G762" s="9" t="str">
        <x:v>https://poke.idleworld.online/pokepedia/pokemon/omastar</x:v>
      </x:c>
    </x:row>
    <x:row r="763" ht="22" customHeight="1">
      <x:c r="A763" s="1" t="n">
        <x:v>139</x:v>
      </x:c>
      <x:c r="B763" s="1" t="str">
        <x:v>Omastar</x:v>
      </x:c>
      <x:c r="C763" s="1" t="str">
        <x:v>Small Stone</x:v>
      </x:c>
      <x:c r="D763" s="1" t="n">
        <x:v>1</x:v>
      </x:c>
      <x:c r="E763" s="1" t="n">
        <x:v>3</x:v>
      </x:c>
      <x:c r="F763" s="13" t="n">
        <x:v>0.95</x:v>
      </x:c>
      <x:c r="G763" s="9" t="str">
        <x:v>https://poke.idleworld.online/pokepedia/pokemon/omastar</x:v>
      </x:c>
    </x:row>
    <x:row r="764" ht="22" customHeight="1">
      <x:c r="A764" s="1" t="n">
        <x:v>139</x:v>
      </x:c>
      <x:c r="B764" s="1" t="str">
        <x:v>Omastar</x:v>
      </x:c>
      <x:c r="C764" s="1" t="str">
        <x:v>Water Gem</x:v>
      </x:c>
      <x:c r="D764" s="1" t="n">
        <x:v>1</x:v>
      </x:c>
      <x:c r="E764" s="1" t="n">
        <x:v>3</x:v>
      </x:c>
      <x:c r="F764" s="13" t="n">
        <x:v>0.95</x:v>
      </x:c>
      <x:c r="G764" s="9" t="str">
        <x:v>https://poke.idleworld.online/pokepedia/pokemon/omastar</x:v>
      </x:c>
    </x:row>
    <x:row r="765" ht="22" customHeight="1">
      <x:c r="A765" s="1" t="n">
        <x:v>139</x:v>
      </x:c>
      <x:c r="B765" s="1" t="str">
        <x:v>Omastar</x:v>
      </x:c>
      <x:c r="C765" s="1" t="str">
        <x:v>Helix Fossil</x:v>
      </x:c>
      <x:c r="D765" s="1" t="n">
        <x:v>1</x:v>
      </x:c>
      <x:c r="E765" s="1" t="n">
        <x:v>1</x:v>
      </x:c>
      <x:c r="F765" s="13" t="n">
        <x:v>1e-7</x:v>
      </x:c>
      <x:c r="G765" s="9" t="str">
        <x:v>https://poke.idleworld.online/pokepedia/pokemon/omastar</x:v>
      </x:c>
    </x:row>
    <x:row r="766" ht="22" customHeight="1">
      <x:c r="A766" s="1" t="n">
        <x:v>139</x:v>
      </x:c>
      <x:c r="B766" s="1" t="str">
        <x:v>Omastar</x:v>
      </x:c>
      <x:c r="C766" s="1" t="str">
        <x:v>Water Stone</x:v>
      </x:c>
      <x:c r="D766" s="1" t="n">
        <x:v>1</x:v>
      </x:c>
      <x:c r="E766" s="1" t="n">
        <x:v>1</x:v>
      </x:c>
      <x:c r="F766" s="13" t="n">
        <x:v>0.00009</x:v>
      </x:c>
      <x:c r="G766" s="9" t="str">
        <x:v>https://poke.idleworld.online/pokepedia/pokemon/omastar</x:v>
      </x:c>
    </x:row>
    <x:row r="767" ht="22" customHeight="1">
      <x:c r="A767" s="1" t="n">
        <x:v>139</x:v>
      </x:c>
      <x:c r="B767" s="1" t="str">
        <x:v>Omastar</x:v>
      </x:c>
      <x:c r="C767" s="1" t="str">
        <x:v>Crystal Stone</x:v>
      </x:c>
      <x:c r="D767" s="1" t="n">
        <x:v>1</x:v>
      </x:c>
      <x:c r="E767" s="1" t="n">
        <x:v>1</x:v>
      </x:c>
      <x:c r="F767" s="13" t="n">
        <x:v>0.00001</x:v>
      </x:c>
      <x:c r="G767" s="9" t="str">
        <x:v>https://poke.idleworld.online/pokepedia/pokemon/omastar</x:v>
      </x:c>
    </x:row>
    <x:row r="768" ht="22" customHeight="1">
      <x:c r="A768" s="1" t="n">
        <x:v>139</x:v>
      </x:c>
      <x:c r="B768" s="1" t="str">
        <x:v>Omastar</x:v>
      </x:c>
      <x:c r="C768" s="1" t="str">
        <x:v>Stone Orb</x:v>
      </x:c>
      <x:c r="D768" s="1" t="n">
        <x:v>1</x:v>
      </x:c>
      <x:c r="E768" s="1" t="n">
        <x:v>1</x:v>
      </x:c>
      <x:c r="F768" s="13" t="n">
        <x:v>0.00001</x:v>
      </x:c>
      <x:c r="G768" s="9" t="str">
        <x:v>https://poke.idleworld.online/pokepedia/pokemon/omastar</x:v>
      </x:c>
    </x:row>
    <x:row r="769" ht="22" customHeight="1">
      <x:c r="A769" s="1" t="n">
        <x:v>140</x:v>
      </x:c>
      <x:c r="B769" s="1" t="str">
        <x:v>Kabuto</x:v>
      </x:c>
      <x:c r="C769" s="1" t="str">
        <x:v>Strange Pheromone</x:v>
      </x:c>
      <x:c r="D769" s="1" t="n">
        <x:v>1</x:v>
      </x:c>
      <x:c r="E769" s="1" t="n">
        <x:v>1</x:v>
      </x:c>
      <x:c r="F769" s="13" t="n">
        <x:v>0</x:v>
      </x:c>
      <x:c r="G769" s="9" t="str">
        <x:v>https://poke.idleworld.online/pokepedia/pokemon/kabuto</x:v>
      </x:c>
    </x:row>
    <x:row r="770" ht="22" customHeight="1">
      <x:c r="A770" s="1" t="n">
        <x:v>140</x:v>
      </x:c>
      <x:c r="B770" s="1" t="str">
        <x:v>Kabuto</x:v>
      </x:c>
      <x:c r="C770" s="1" t="str">
        <x:v>Small Stone</x:v>
      </x:c>
      <x:c r="D770" s="1" t="n">
        <x:v>1</x:v>
      </x:c>
      <x:c r="E770" s="1" t="n">
        <x:v>3</x:v>
      </x:c>
      <x:c r="F770" s="13" t="n">
        <x:v>0.724232</x:v>
      </x:c>
      <x:c r="G770" s="9" t="str">
        <x:v>https://poke.idleworld.online/pokepedia/pokemon/kabuto</x:v>
      </x:c>
    </x:row>
    <x:row r="771" ht="22" customHeight="1">
      <x:c r="A771" s="1" t="n">
        <x:v>140</x:v>
      </x:c>
      <x:c r="B771" s="1" t="str">
        <x:v>Kabuto</x:v>
      </x:c>
      <x:c r="C771" s="1" t="str">
        <x:v>Water Gem</x:v>
      </x:c>
      <x:c r="D771" s="1" t="n">
        <x:v>1</x:v>
      </x:c>
      <x:c r="E771" s="1" t="n">
        <x:v>3</x:v>
      </x:c>
      <x:c r="F771" s="13" t="n">
        <x:v>0.724232</x:v>
      </x:c>
      <x:c r="G771" s="9" t="str">
        <x:v>https://poke.idleworld.online/pokepedia/pokemon/kabuto</x:v>
      </x:c>
    </x:row>
    <x:row r="772" ht="22" customHeight="1">
      <x:c r="A772" s="1" t="n">
        <x:v>140</x:v>
      </x:c>
      <x:c r="B772" s="1" t="str">
        <x:v>Kabuto</x:v>
      </x:c>
      <x:c r="C772" s="1" t="str">
        <x:v>Stone Orb</x:v>
      </x:c>
      <x:c r="D772" s="1" t="n">
        <x:v>1</x:v>
      </x:c>
      <x:c r="E772" s="1" t="n">
        <x:v>1</x:v>
      </x:c>
      <x:c r="F772" s="13" t="n">
        <x:v>0.6923083</x:v>
      </x:c>
      <x:c r="G772" s="9" t="str">
        <x:v>https://poke.idleworld.online/pokepedia/pokemon/kabuto</x:v>
      </x:c>
    </x:row>
    <x:row r="773" ht="22" customHeight="1">
      <x:c r="A773" s="1" t="n">
        <x:v>140</x:v>
      </x:c>
      <x:c r="B773" s="1" t="str">
        <x:v>Kabuto</x:v>
      </x:c>
      <x:c r="C773" s="1" t="str">
        <x:v>Dome Fossil</x:v>
      </x:c>
      <x:c r="D773" s="1" t="n">
        <x:v>1</x:v>
      </x:c>
      <x:c r="E773" s="1" t="n">
        <x:v>1</x:v>
      </x:c>
      <x:c r="F773" s="13" t="n">
        <x:v>0.0173043</x:v>
      </x:c>
      <x:c r="G773" s="9" t="str">
        <x:v>https://poke.idleworld.online/pokepedia/pokemon/kabuto</x:v>
      </x:c>
    </x:row>
    <x:row r="774" ht="22" customHeight="1">
      <x:c r="A774" s="1" t="n">
        <x:v>141</x:v>
      </x:c>
      <x:c r="B774" s="1" t="str">
        <x:v>Kabutops</x:v>
      </x:c>
      <x:c r="C774" s="1" t="str">
        <x:v>Strange Pheromone</x:v>
      </x:c>
      <x:c r="D774" s="1" t="n">
        <x:v>1</x:v>
      </x:c>
      <x:c r="E774" s="1" t="n">
        <x:v>1</x:v>
      </x:c>
      <x:c r="F774" s="13" t="n">
        <x:v>0</x:v>
      </x:c>
      <x:c r="G774" s="9" t="str">
        <x:v>https://poke.idleworld.online/pokepedia/pokemon/kabutops</x:v>
      </x:c>
    </x:row>
    <x:row r="775" ht="22" customHeight="1">
      <x:c r="A775" s="1" t="n">
        <x:v>141</x:v>
      </x:c>
      <x:c r="B775" s="1" t="str">
        <x:v>Kabutops</x:v>
      </x:c>
      <x:c r="C775" s="1" t="str">
        <x:v>Small Stone</x:v>
      </x:c>
      <x:c r="D775" s="1" t="n">
        <x:v>1</x:v>
      </x:c>
      <x:c r="E775" s="1" t="n">
        <x:v>3</x:v>
      </x:c>
      <x:c r="F775" s="13" t="n">
        <x:v>0.95</x:v>
      </x:c>
      <x:c r="G775" s="9" t="str">
        <x:v>https://poke.idleworld.online/pokepedia/pokemon/kabutops</x:v>
      </x:c>
    </x:row>
    <x:row r="776" ht="22" customHeight="1">
      <x:c r="A776" s="1" t="n">
        <x:v>141</x:v>
      </x:c>
      <x:c r="B776" s="1" t="str">
        <x:v>Kabutops</x:v>
      </x:c>
      <x:c r="C776" s="1" t="str">
        <x:v>Water Gem</x:v>
      </x:c>
      <x:c r="D776" s="1" t="n">
        <x:v>1</x:v>
      </x:c>
      <x:c r="E776" s="1" t="n">
        <x:v>3</x:v>
      </x:c>
      <x:c r="F776" s="13" t="n">
        <x:v>0.95</x:v>
      </x:c>
      <x:c r="G776" s="9" t="str">
        <x:v>https://poke.idleworld.online/pokepedia/pokemon/kabutops</x:v>
      </x:c>
    </x:row>
    <x:row r="777" ht="22" customHeight="1">
      <x:c r="A777" s="1" t="n">
        <x:v>141</x:v>
      </x:c>
      <x:c r="B777" s="1" t="str">
        <x:v>Kabutops</x:v>
      </x:c>
      <x:c r="C777" s="1" t="str">
        <x:v>Stone Orb</x:v>
      </x:c>
      <x:c r="D777" s="1" t="n">
        <x:v>1</x:v>
      </x:c>
      <x:c r="E777" s="1" t="n">
        <x:v>1</x:v>
      </x:c>
      <x:c r="F777" s="13" t="n">
        <x:v>0.95</x:v>
      </x:c>
      <x:c r="G777" s="9" t="str">
        <x:v>https://poke.idleworld.online/pokepedia/pokemon/kabutops</x:v>
      </x:c>
    </x:row>
    <x:row r="778" ht="22" customHeight="1">
      <x:c r="A778" s="1" t="n">
        <x:v>141</x:v>
      </x:c>
      <x:c r="B778" s="1" t="str">
        <x:v>Kabutops</x:v>
      </x:c>
      <x:c r="C778" s="1" t="str">
        <x:v>Dome Fossil</x:v>
      </x:c>
      <x:c r="D778" s="1" t="n">
        <x:v>1</x:v>
      </x:c>
      <x:c r="E778" s="1" t="n">
        <x:v>1</x:v>
      </x:c>
      <x:c r="F778" s="13" t="n">
        <x:v>0.1462708</x:v>
      </x:c>
      <x:c r="G778" s="9" t="str">
        <x:v>https://poke.idleworld.online/pokepedia/pokemon/kabutops</x:v>
      </x:c>
    </x:row>
    <x:row r="779" ht="22" customHeight="1">
      <x:c r="A779" s="1" t="n">
        <x:v>141</x:v>
      </x:c>
      <x:c r="B779" s="1" t="str">
        <x:v>Kabutops</x:v>
      </x:c>
      <x:c r="C779" s="1" t="str">
        <x:v>Water Stone</x:v>
      </x:c>
      <x:c r="D779" s="1" t="n">
        <x:v>1</x:v>
      </x:c>
      <x:c r="E779" s="1" t="n">
        <x:v>1</x:v>
      </x:c>
      <x:c r="F779" s="13" t="n">
        <x:v>0.0018451</x:v>
      </x:c>
      <x:c r="G779" s="9" t="str">
        <x:v>https://poke.idleworld.online/pokepedia/pokemon/kabutops</x:v>
      </x:c>
    </x:row>
    <x:row r="780" ht="22" customHeight="1">
      <x:c r="A780" s="1" t="n">
        <x:v>141</x:v>
      </x:c>
      <x:c r="B780" s="1" t="str">
        <x:v>Kabutops</x:v>
      </x:c>
      <x:c r="C780" s="1" t="str">
        <x:v>Crystal Stone</x:v>
      </x:c>
      <x:c r="D780" s="1" t="n">
        <x:v>1</x:v>
      </x:c>
      <x:c r="E780" s="1" t="n">
        <x:v>1</x:v>
      </x:c>
      <x:c r="F780" s="13" t="n">
        <x:v>0.0006133</x:v>
      </x:c>
      <x:c r="G780" s="9" t="str">
        <x:v>https://poke.idleworld.online/pokepedia/pokemon/kabutops</x:v>
      </x:c>
    </x:row>
    <x:row r="781" ht="22" customHeight="1">
      <x:c r="A781" s="1" t="n">
        <x:v>142</x:v>
      </x:c>
      <x:c r="B781" s="1" t="str">
        <x:v>Aerodactyl</x:v>
      </x:c>
      <x:c r="C781" s="1" t="str">
        <x:v>Strange Pheromone</x:v>
      </x:c>
      <x:c r="D781" s="1" t="n">
        <x:v>1</x:v>
      </x:c>
      <x:c r="E781" s="1" t="n">
        <x:v>1</x:v>
      </x:c>
      <x:c r="F781" s="13" t="n">
        <x:v>0</x:v>
      </x:c>
      <x:c r="G781" s="9" t="str">
        <x:v>https://poke.idleworld.online/pokepedia/pokemon/aerodactyl</x:v>
      </x:c>
    </x:row>
    <x:row r="782" ht="22" customHeight="1">
      <x:c r="A782" s="1" t="n">
        <x:v>142</x:v>
      </x:c>
      <x:c r="B782" s="1" t="str">
        <x:v>Aerodactyl</x:v>
      </x:c>
      <x:c r="C782" s="1" t="str">
        <x:v>Straw</x:v>
      </x:c>
      <x:c r="D782" s="1" t="n">
        <x:v>1</x:v>
      </x:c>
      <x:c r="E782" s="1" t="n">
        <x:v>17</x:v>
      </x:c>
      <x:c r="F782" s="13" t="n">
        <x:v>0.95</x:v>
      </x:c>
      <x:c r="G782" s="9" t="str">
        <x:v>https://poke.idleworld.online/pokepedia/pokemon/aerodactyl</x:v>
      </x:c>
    </x:row>
    <x:row r="783" ht="22" customHeight="1">
      <x:c r="A783" s="1" t="n">
        <x:v>142</x:v>
      </x:c>
      <x:c r="B783" s="1" t="str">
        <x:v>Aerodactyl</x:v>
      </x:c>
      <x:c r="C783" s="1" t="str">
        <x:v>Small Stone</x:v>
      </x:c>
      <x:c r="D783" s="1" t="n">
        <x:v>1</x:v>
      </x:c>
      <x:c r="E783" s="1" t="n">
        <x:v>17</x:v>
      </x:c>
      <x:c r="F783" s="13" t="n">
        <x:v>0.95</x:v>
      </x:c>
      <x:c r="G783" s="9" t="str">
        <x:v>https://poke.idleworld.online/pokepedia/pokemon/aerodactyl</x:v>
      </x:c>
    </x:row>
    <x:row r="784" ht="22" customHeight="1">
      <x:c r="A784" s="1" t="n">
        <x:v>142</x:v>
      </x:c>
      <x:c r="B784" s="1" t="str">
        <x:v>Aerodactyl</x:v>
      </x:c>
      <x:c r="C784" s="1" t="str">
        <x:v>Stone Orb</x:v>
      </x:c>
      <x:c r="D784" s="1" t="n">
        <x:v>1</x:v>
      </x:c>
      <x:c r="E784" s="1" t="n">
        <x:v>17</x:v>
      </x:c>
      <x:c r="F784" s="13" t="n">
        <x:v>0.95</x:v>
      </x:c>
      <x:c r="G784" s="9" t="str">
        <x:v>https://poke.idleworld.online/pokepedia/pokemon/aerodactyl</x:v>
      </x:c>
    </x:row>
    <x:row r="785" ht="22" customHeight="1">
      <x:c r="A785" s="1" t="n">
        <x:v>142</x:v>
      </x:c>
      <x:c r="B785" s="1" t="str">
        <x:v>Aerodactyl</x:v>
      </x:c>
      <x:c r="C785" s="1" t="str">
        <x:v>Old Amber</x:v>
      </x:c>
      <x:c r="D785" s="1" t="n">
        <x:v>1</x:v>
      </x:c>
      <x:c r="E785" s="1" t="n">
        <x:v>1</x:v>
      </x:c>
      <x:c r="F785" s="13" t="n">
        <x:v>0.0012494</x:v>
      </x:c>
      <x:c r="G785" s="9" t="str">
        <x:v>https://poke.idleworld.online/pokepedia/pokemon/aerodactyl</x:v>
      </x:c>
    </x:row>
    <x:row r="786" ht="22" customHeight="1">
      <x:c r="A786" s="1" t="n">
        <x:v>142</x:v>
      </x:c>
      <x:c r="B786" s="1" t="str">
        <x:v>Aerodactyl</x:v>
      </x:c>
      <x:c r="C786" s="1" t="str">
        <x:v>Rock Stone</x:v>
      </x:c>
      <x:c r="D786" s="1" t="n">
        <x:v>1</x:v>
      </x:c>
      <x:c r="E786" s="1" t="n">
        <x:v>1</x:v>
      </x:c>
      <x:c r="F786" s="13" t="n">
        <x:v>0.00225</x:v>
      </x:c>
      <x:c r="G786" s="9" t="str">
        <x:v>https://poke.idleworld.online/pokepedia/pokemon/aerodactyl</x:v>
      </x:c>
    </x:row>
    <x:row r="787" ht="22" customHeight="1">
      <x:c r="A787" s="1" t="n">
        <x:v>142</x:v>
      </x:c>
      <x:c r="B787" s="1" t="str">
        <x:v>Aerodactyl</x:v>
      </x:c>
      <x:c r="C787" s="1" t="str">
        <x:v>Ancient Stone</x:v>
      </x:c>
      <x:c r="D787" s="1" t="n">
        <x:v>1</x:v>
      </x:c>
      <x:c r="E787" s="1" t="n">
        <x:v>1</x:v>
      </x:c>
      <x:c r="F787" s="13" t="n">
        <x:v>0.00075</x:v>
      </x:c>
      <x:c r="G787" s="9" t="str">
        <x:v>https://poke.idleworld.online/pokepedia/pokemon/aerodactyl</x:v>
      </x:c>
    </x:row>
    <x:row r="788" ht="22" customHeight="1">
      <x:c r="A788" s="1" t="n">
        <x:v>143</x:v>
      </x:c>
      <x:c r="B788" s="1" t="str">
        <x:v>Snorlax</x:v>
      </x:c>
      <x:c r="C788" s="1" t="str">
        <x:v>Strange Pheromone</x:v>
      </x:c>
      <x:c r="D788" s="1" t="n">
        <x:v>1</x:v>
      </x:c>
      <x:c r="E788" s="1" t="n">
        <x:v>1</x:v>
      </x:c>
      <x:c r="F788" s="13" t="n">
        <x:v>0</x:v>
      </x:c>
      <x:c r="G788" s="9" t="str">
        <x:v>https://poke.idleworld.online/pokepedia/pokemon/snorlax</x:v>
      </x:c>
    </x:row>
    <x:row r="789" ht="22" customHeight="1">
      <x:c r="A789" s="1" t="n">
        <x:v>143</x:v>
      </x:c>
      <x:c r="B789" s="1" t="str">
        <x:v>Snorlax</x:v>
      </x:c>
      <x:c r="C789" s="1" t="str">
        <x:v>Rubber Ball</x:v>
      </x:c>
      <x:c r="D789" s="1" t="n">
        <x:v>1</x:v>
      </x:c>
      <x:c r="E789" s="1" t="n">
        <x:v>30</x:v>
      </x:c>
      <x:c r="F789" s="13" t="n">
        <x:v>0.95</x:v>
      </x:c>
      <x:c r="G789" s="9" t="str">
        <x:v>https://poke.idleworld.online/pokepedia/pokemon/snorlax</x:v>
      </x:c>
    </x:row>
    <x:row r="790" ht="22" customHeight="1">
      <x:c r="A790" s="1" t="n">
        <x:v>143</x:v>
      </x:c>
      <x:c r="B790" s="1" t="str">
        <x:v>Snorlax</x:v>
      </x:c>
      <x:c r="C790" s="1" t="str">
        <x:v>Bitten Apple</x:v>
      </x:c>
      <x:c r="D790" s="1" t="n">
        <x:v>1</x:v>
      </x:c>
      <x:c r="E790" s="1" t="n">
        <x:v>29</x:v>
      </x:c>
      <x:c r="F790" s="13" t="n">
        <x:v>0.9462113000000001</x:v>
      </x:c>
      <x:c r="G790" s="9" t="str">
        <x:v>https://poke.idleworld.online/pokepedia/pokemon/snorlax</x:v>
      </x:c>
    </x:row>
    <x:row r="791" ht="22" customHeight="1">
      <x:c r="A791" s="1" t="n">
        <x:v>143</x:v>
      </x:c>
      <x:c r="B791" s="1" t="str">
        <x:v>Snorlax</x:v>
      </x:c>
      <x:c r="C791" s="1" t="str">
        <x:v>Heart Stone</x:v>
      </x:c>
      <x:c r="D791" s="1" t="n">
        <x:v>1</x:v>
      </x:c>
      <x:c r="E791" s="1" t="n">
        <x:v>1</x:v>
      </x:c>
      <x:c r="F791" s="13" t="n">
        <x:v>0.009778</x:v>
      </x:c>
      <x:c r="G791" s="9" t="str">
        <x:v>https://poke.idleworld.online/pokepedia/pokemon/snorlax</x:v>
      </x:c>
    </x:row>
    <x:row r="792" ht="22" customHeight="1">
      <x:c r="A792" s="1" t="n">
        <x:v>144</x:v>
      </x:c>
      <x:c r="B792" s="1" t="str">
        <x:v>Articuno</x:v>
      </x:c>
      <x:c r="C792" s="1" t="str">
        <x:v>Strange Pheromone</x:v>
      </x:c>
      <x:c r="D792" s="1" t="n">
        <x:v>1</x:v>
      </x:c>
      <x:c r="E792" s="1" t="n">
        <x:v>1</x:v>
      </x:c>
      <x:c r="F792" s="13" t="n">
        <x:v>0</x:v>
      </x:c>
      <x:c r="G792" s="9" t="str">
        <x:v>https://poke.idleworld.online/pokepedia/pokemon/articuno</x:v>
      </x:c>
    </x:row>
    <x:row r="793" ht="22" customHeight="1">
      <x:c r="A793" s="1" t="n">
        <x:v>144</x:v>
      </x:c>
      <x:c r="B793" s="1" t="str">
        <x:v>Articuno</x:v>
      </x:c>
      <x:c r="C793" s="1" t="str">
        <x:v>Straw</x:v>
      </x:c>
      <x:c r="D793" s="1" t="n">
        <x:v>1</x:v>
      </x:c>
      <x:c r="E793" s="1" t="n">
        <x:v>5</x:v>
      </x:c>
      <x:c r="F793" s="13" t="n">
        <x:v>0.8</x:v>
      </x:c>
      <x:c r="G793" s="9" t="str">
        <x:v>https://poke.idleworld.online/pokepedia/pokemon/articuno</x:v>
      </x:c>
    </x:row>
    <x:row r="794" ht="22" customHeight="1">
      <x:c r="A794" s="1" t="n">
        <x:v>144</x:v>
      </x:c>
      <x:c r="B794" s="1" t="str">
        <x:v>Articuno</x:v>
      </x:c>
      <x:c r="C794" s="1" t="str">
        <x:v>Snowball</x:v>
      </x:c>
      <x:c r="D794" s="1" t="n">
        <x:v>1</x:v>
      </x:c>
      <x:c r="E794" s="1" t="n">
        <x:v>10</x:v>
      </x:c>
      <x:c r="F794" s="13" t="n">
        <x:v>0.8</x:v>
      </x:c>
      <x:c r="G794" s="9" t="str">
        <x:v>https://poke.idleworld.online/pokepedia/pokemon/articuno</x:v>
      </x:c>
    </x:row>
    <x:row r="795" ht="22" customHeight="1">
      <x:c r="A795" s="1" t="n">
        <x:v>144</x:v>
      </x:c>
      <x:c r="B795" s="1" t="str">
        <x:v>Articuno</x:v>
      </x:c>
      <x:c r="C795" s="1" t="str">
        <x:v>Ice Orb</x:v>
      </x:c>
      <x:c r="D795" s="1" t="n">
        <x:v>1</x:v>
      </x:c>
      <x:c r="E795" s="1" t="n">
        <x:v>3</x:v>
      </x:c>
      <x:c r="F795" s="13" t="n">
        <x:v>0.6</x:v>
      </x:c>
      <x:c r="G795" s="9" t="str">
        <x:v>https://poke.idleworld.online/pokepedia/pokemon/articuno</x:v>
      </x:c>
    </x:row>
    <x:row r="796" ht="22" customHeight="1">
      <x:c r="A796" s="1" t="n">
        <x:v>144</x:v>
      </x:c>
      <x:c r="B796" s="1" t="str">
        <x:v>Articuno</x:v>
      </x:c>
      <x:c r="C796" s="1" t="str">
        <x:v>Feather</x:v>
      </x:c>
      <x:c r="D796" s="1" t="n">
        <x:v>1</x:v>
      </x:c>
      <x:c r="E796" s="1" t="n">
        <x:v>3</x:v>
      </x:c>
      <x:c r="F796" s="13" t="n">
        <x:v>0.3</x:v>
      </x:c>
      <x:c r="G796" s="9" t="str">
        <x:v>https://poke.idleworld.online/pokepedia/pokemon/articuno</x:v>
      </x:c>
    </x:row>
    <x:row r="797" ht="22" customHeight="1">
      <x:c r="A797" s="1" t="n">
        <x:v>145</x:v>
      </x:c>
      <x:c r="B797" s="1" t="str">
        <x:v>Zapdos</x:v>
      </x:c>
      <x:c r="C797" s="1" t="str">
        <x:v>Strange Pheromone</x:v>
      </x:c>
      <x:c r="D797" s="1" t="n">
        <x:v>1</x:v>
      </x:c>
      <x:c r="E797" s="1" t="n">
        <x:v>1</x:v>
      </x:c>
      <x:c r="F797" s="13" t="n">
        <x:v>0</x:v>
      </x:c>
      <x:c r="G797" s="9" t="str">
        <x:v>https://poke.idleworld.online/pokepedia/pokemon/zapdos</x:v>
      </x:c>
    </x:row>
    <x:row r="798" ht="22" customHeight="1">
      <x:c r="A798" s="1" t="n">
        <x:v>145</x:v>
      </x:c>
      <x:c r="B798" s="1" t="str">
        <x:v>Zapdos</x:v>
      </x:c>
      <x:c r="C798" s="1" t="str">
        <x:v>Straw</x:v>
      </x:c>
      <x:c r="D798" s="1" t="n">
        <x:v>1</x:v>
      </x:c>
      <x:c r="E798" s="1" t="n">
        <x:v>5</x:v>
      </x:c>
      <x:c r="F798" s="13" t="n">
        <x:v>0.8</x:v>
      </x:c>
      <x:c r="G798" s="9" t="str">
        <x:v>https://poke.idleworld.online/pokepedia/pokemon/zapdos</x:v>
      </x:c>
    </x:row>
    <x:row r="799" ht="22" customHeight="1">
      <x:c r="A799" s="1" t="n">
        <x:v>145</x:v>
      </x:c>
      <x:c r="B799" s="1" t="str">
        <x:v>Zapdos</x:v>
      </x:c>
      <x:c r="C799" s="1" t="str">
        <x:v>Screw</x:v>
      </x:c>
      <x:c r="D799" s="1" t="n">
        <x:v>1</x:v>
      </x:c>
      <x:c r="E799" s="1" t="n">
        <x:v>10</x:v>
      </x:c>
      <x:c r="F799" s="13" t="n">
        <x:v>0.8</x:v>
      </x:c>
      <x:c r="G799" s="9" t="str">
        <x:v>https://poke.idleworld.online/pokepedia/pokemon/zapdos</x:v>
      </x:c>
    </x:row>
    <x:row r="800" ht="22" customHeight="1">
      <x:c r="A800" s="1" t="n">
        <x:v>145</x:v>
      </x:c>
      <x:c r="B800" s="1" t="str">
        <x:v>Zapdos</x:v>
      </x:c>
      <x:c r="C800" s="1" t="str">
        <x:v>Electric Box</x:v>
      </x:c>
      <x:c r="D800" s="1" t="n">
        <x:v>1</x:v>
      </x:c>
      <x:c r="E800" s="1" t="n">
        <x:v>3</x:v>
      </x:c>
      <x:c r="F800" s="13" t="n">
        <x:v>0.6</x:v>
      </x:c>
      <x:c r="G800" s="9" t="str">
        <x:v>https://poke.idleworld.online/pokepedia/pokemon/zapdos</x:v>
      </x:c>
    </x:row>
    <x:row r="801" ht="22" customHeight="1">
      <x:c r="A801" s="1" t="n">
        <x:v>145</x:v>
      </x:c>
      <x:c r="B801" s="1" t="str">
        <x:v>Zapdos</x:v>
      </x:c>
      <x:c r="C801" s="1" t="str">
        <x:v>Feather</x:v>
      </x:c>
      <x:c r="D801" s="1" t="n">
        <x:v>1</x:v>
      </x:c>
      <x:c r="E801" s="1" t="n">
        <x:v>3</x:v>
      </x:c>
      <x:c r="F801" s="13" t="n">
        <x:v>0.3</x:v>
      </x:c>
      <x:c r="G801" s="9" t="str">
        <x:v>https://poke.idleworld.online/pokepedia/pokemon/zapdos</x:v>
      </x:c>
    </x:row>
    <x:row r="802" ht="22" customHeight="1">
      <x:c r="A802" s="1" t="n">
        <x:v>146</x:v>
      </x:c>
      <x:c r="B802" s="1" t="str">
        <x:v>Moltres</x:v>
      </x:c>
      <x:c r="C802" s="1" t="str">
        <x:v>Strange Pheromone</x:v>
      </x:c>
      <x:c r="D802" s="1" t="n">
        <x:v>1</x:v>
      </x:c>
      <x:c r="E802" s="1" t="n">
        <x:v>1</x:v>
      </x:c>
      <x:c r="F802" s="13" t="n">
        <x:v>0</x:v>
      </x:c>
      <x:c r="G802" s="9" t="str">
        <x:v>https://poke.idleworld.online/pokepedia/pokemon/moltres</x:v>
      </x:c>
    </x:row>
    <x:row r="803" ht="22" customHeight="1">
      <x:c r="A803" s="1" t="n">
        <x:v>146</x:v>
      </x:c>
      <x:c r="B803" s="1" t="str">
        <x:v>Moltres</x:v>
      </x:c>
      <x:c r="C803" s="1" t="str">
        <x:v>Straw</x:v>
      </x:c>
      <x:c r="D803" s="1" t="n">
        <x:v>1</x:v>
      </x:c>
      <x:c r="E803" s="1" t="n">
        <x:v>5</x:v>
      </x:c>
      <x:c r="F803" s="13" t="n">
        <x:v>0.8</x:v>
      </x:c>
      <x:c r="G803" s="9" t="str">
        <x:v>https://poke.idleworld.online/pokepedia/pokemon/moltres</x:v>
      </x:c>
    </x:row>
    <x:row r="804" ht="22" customHeight="1">
      <x:c r="A804" s="1" t="n">
        <x:v>146</x:v>
      </x:c>
      <x:c r="B804" s="1" t="str">
        <x:v>Moltres</x:v>
      </x:c>
      <x:c r="C804" s="1" t="str">
        <x:v>Essence of Fire</x:v>
      </x:c>
      <x:c r="D804" s="1" t="n">
        <x:v>1</x:v>
      </x:c>
      <x:c r="E804" s="1" t="n">
        <x:v>10</x:v>
      </x:c>
      <x:c r="F804" s="13" t="n">
        <x:v>0.8</x:v>
      </x:c>
      <x:c r="G804" s="9" t="str">
        <x:v>https://poke.idleworld.online/pokepedia/pokemon/moltres</x:v>
      </x:c>
    </x:row>
    <x:row r="805" ht="22" customHeight="1">
      <x:c r="A805" s="1" t="n">
        <x:v>146</x:v>
      </x:c>
      <x:c r="B805" s="1" t="str">
        <x:v>Moltres</x:v>
      </x:c>
      <x:c r="C805" s="1" t="str">
        <x:v>Pot Of Lava</x:v>
      </x:c>
      <x:c r="D805" s="1" t="n">
        <x:v>1</x:v>
      </x:c>
      <x:c r="E805" s="1" t="n">
        <x:v>3</x:v>
      </x:c>
      <x:c r="F805" s="13" t="n">
        <x:v>0.6</x:v>
      </x:c>
      <x:c r="G805" s="9" t="str">
        <x:v>https://poke.idleworld.online/pokepedia/pokemon/moltres</x:v>
      </x:c>
    </x:row>
    <x:row r="806" ht="22" customHeight="1">
      <x:c r="A806" s="1" t="n">
        <x:v>146</x:v>
      </x:c>
      <x:c r="B806" s="1" t="str">
        <x:v>Moltres</x:v>
      </x:c>
      <x:c r="C806" s="1" t="str">
        <x:v>Feather</x:v>
      </x:c>
      <x:c r="D806" s="1" t="n">
        <x:v>1</x:v>
      </x:c>
      <x:c r="E806" s="1" t="n">
        <x:v>3</x:v>
      </x:c>
      <x:c r="F806" s="13" t="n">
        <x:v>0.3</x:v>
      </x:c>
      <x:c r="G806" s="9" t="str">
        <x:v>https://poke.idleworld.online/pokepedia/pokemon/moltres</x:v>
      </x:c>
    </x:row>
    <x:row r="807" ht="22" customHeight="1">
      <x:c r="A807" s="1" t="n">
        <x:v>147</x:v>
      </x:c>
      <x:c r="B807" s="1" t="str">
        <x:v>Dratini</x:v>
      </x:c>
      <x:c r="C807" s="1" t="str">
        <x:v>Strange Pheromone</x:v>
      </x:c>
      <x:c r="D807" s="1" t="n">
        <x:v>1</x:v>
      </x:c>
      <x:c r="E807" s="1" t="n">
        <x:v>1</x:v>
      </x:c>
      <x:c r="F807" s="13" t="n">
        <x:v>0</x:v>
      </x:c>
      <x:c r="G807" s="9" t="str">
        <x:v>https://poke.idleworld.online/pokepedia/pokemon/dratini</x:v>
      </x:c>
    </x:row>
    <x:row r="808" ht="22" customHeight="1">
      <x:c r="A808" s="1" t="n">
        <x:v>147</x:v>
      </x:c>
      <x:c r="B808" s="1" t="str">
        <x:v>Dratini</x:v>
      </x:c>
      <x:c r="C808" s="1" t="str">
        <x:v>Dragon Scale</x:v>
      </x:c>
      <x:c r="D808" s="1" t="n">
        <x:v>1</x:v>
      </x:c>
      <x:c r="E808" s="1" t="n">
        <x:v>3</x:v>
      </x:c>
      <x:c r="F808" s="13" t="n">
        <x:v>0.47980839999999997</x:v>
      </x:c>
      <x:c r="G808" s="9" t="str">
        <x:v>https://poke.idleworld.online/pokepedia/pokemon/dratini</x:v>
      </x:c>
    </x:row>
    <x:row r="809" ht="22" customHeight="1">
      <x:c r="A809" s="1" t="n">
        <x:v>147</x:v>
      </x:c>
      <x:c r="B809" s="1" t="str">
        <x:v>Dratini</x:v>
      </x:c>
      <x:c r="C809" s="1" t="str">
        <x:v>Dragon Tooth</x:v>
      </x:c>
      <x:c r="D809" s="1" t="n">
        <x:v>1</x:v>
      </x:c>
      <x:c r="E809" s="1" t="n">
        <x:v>1</x:v>
      </x:c>
      <x:c r="F809" s="13" t="n">
        <x:v>0.0232867</x:v>
      </x:c>
      <x:c r="G809" s="9" t="str">
        <x:v>https://poke.idleworld.online/pokepedia/pokemon/dratini</x:v>
      </x:c>
    </x:row>
    <x:row r="810" ht="22" customHeight="1">
      <x:c r="A810" s="1" t="n">
        <x:v>147</x:v>
      </x:c>
      <x:c r="B810" s="1" t="str">
        <x:v>Dratini</x:v>
      </x:c>
      <x:c r="C810" s="1" t="str">
        <x:v>Dragon Tail</x:v>
      </x:c>
      <x:c r="D810" s="1" t="n">
        <x:v>1</x:v>
      </x:c>
      <x:c r="E810" s="1" t="n">
        <x:v>1</x:v>
      </x:c>
      <x:c r="F810" s="13" t="n">
        <x:v>0.0232867</x:v>
      </x:c>
      <x:c r="G810" s="9" t="str">
        <x:v>https://poke.idleworld.online/pokepedia/pokemon/dratini</x:v>
      </x:c>
    </x:row>
    <x:row r="811" ht="22" customHeight="1">
      <x:c r="A811" s="1" t="n">
        <x:v>148</x:v>
      </x:c>
      <x:c r="B811" s="1" t="str">
        <x:v>Dragonair</x:v>
      </x:c>
      <x:c r="C811" s="1" t="str">
        <x:v>Strange Pheromone</x:v>
      </x:c>
      <x:c r="D811" s="1" t="n">
        <x:v>1</x:v>
      </x:c>
      <x:c r="E811" s="1" t="n">
        <x:v>1</x:v>
      </x:c>
      <x:c r="F811" s="13" t="n">
        <x:v>0</x:v>
      </x:c>
      <x:c r="G811" s="9" t="str">
        <x:v>https://poke.idleworld.online/pokepedia/pokemon/dragonair</x:v>
      </x:c>
    </x:row>
    <x:row r="812" ht="22" customHeight="1">
      <x:c r="A812" s="1" t="n">
        <x:v>148</x:v>
      </x:c>
      <x:c r="B812" s="1" t="str">
        <x:v>Dragonair</x:v>
      </x:c>
      <x:c r="C812" s="1" t="str">
        <x:v>Dragon Scale</x:v>
      </x:c>
      <x:c r="D812" s="1" t="n">
        <x:v>1</x:v>
      </x:c>
      <x:c r="E812" s="1" t="n">
        <x:v>3</x:v>
      </x:c>
      <x:c r="F812" s="13" t="n">
        <x:v>0.95</x:v>
      </x:c>
      <x:c r="G812" s="9" t="str">
        <x:v>https://poke.idleworld.online/pokepedia/pokemon/dragonair</x:v>
      </x:c>
    </x:row>
    <x:row r="813" ht="22" customHeight="1">
      <x:c r="A813" s="1" t="n">
        <x:v>148</x:v>
      </x:c>
      <x:c r="B813" s="1" t="str">
        <x:v>Dragonair</x:v>
      </x:c>
      <x:c r="C813" s="1" t="str">
        <x:v>Dragon Tooth</x:v>
      </x:c>
      <x:c r="D813" s="1" t="n">
        <x:v>1</x:v>
      </x:c>
      <x:c r="E813" s="1" t="n">
        <x:v>1</x:v>
      </x:c>
      <x:c r="F813" s="13" t="n">
        <x:v>0.0456835</x:v>
      </x:c>
      <x:c r="G813" s="9" t="str">
        <x:v>https://poke.idleworld.online/pokepedia/pokemon/dragonair</x:v>
      </x:c>
    </x:row>
    <x:row r="814" ht="22" customHeight="1">
      <x:c r="A814" s="1" t="n">
        <x:v>148</x:v>
      </x:c>
      <x:c r="B814" s="1" t="str">
        <x:v>Dragonair</x:v>
      </x:c>
      <x:c r="C814" s="1" t="str">
        <x:v>Dragon Tail</x:v>
      </x:c>
      <x:c r="D814" s="1" t="n">
        <x:v>1</x:v>
      </x:c>
      <x:c r="E814" s="1" t="n">
        <x:v>1</x:v>
      </x:c>
      <x:c r="F814" s="13" t="n">
        <x:v>0.0456817</x:v>
      </x:c>
      <x:c r="G814" s="9" t="str">
        <x:v>https://poke.idleworld.online/pokepedia/pokemon/dragonair</x:v>
      </x:c>
    </x:row>
    <x:row r="815" ht="22" customHeight="1">
      <x:c r="A815" s="1" t="n">
        <x:v>148</x:v>
      </x:c>
      <x:c r="B815" s="1" t="str">
        <x:v>Dragonair</x:v>
      </x:c>
      <x:c r="C815" s="1" t="str">
        <x:v>Crystal Stone</x:v>
      </x:c>
      <x:c r="D815" s="1" t="n">
        <x:v>1</x:v>
      </x:c>
      <x:c r="E815" s="1" t="n">
        <x:v>1</x:v>
      </x:c>
      <x:c r="F815" s="13" t="n">
        <x:v>0.0006473000000000001</x:v>
      </x:c>
      <x:c r="G815" s="9" t="str">
        <x:v>https://poke.idleworld.online/pokepedia/pokemon/dragonair</x:v>
      </x:c>
    </x:row>
    <x:row r="816" ht="22" customHeight="1">
      <x:c r="A816" s="1" t="n">
        <x:v>148</x:v>
      </x:c>
      <x:c r="B816" s="1" t="str">
        <x:v>Dragonair</x:v>
      </x:c>
      <x:c r="C816" s="1" t="str">
        <x:v>Goggles</x:v>
      </x:c>
      <x:c r="D816" s="1" t="n">
        <x:v>1</x:v>
      </x:c>
      <x:c r="E816" s="1" t="n">
        <x:v>1</x:v>
      </x:c>
      <x:c r="F816" s="13" t="n">
        <x:v>0.0114526</x:v>
      </x:c>
      <x:c r="G816" s="9" t="str">
        <x:v>https://poke.idleworld.online/pokepedia/pokemon/dragonair</x:v>
      </x:c>
    </x:row>
    <x:row r="817" ht="22" customHeight="1">
      <x:c r="A817" s="1" t="n">
        <x:v>148</x:v>
      </x:c>
      <x:c r="B817" s="1" t="str">
        <x:v>Dragonair</x:v>
      </x:c>
      <x:c r="C817" s="1" t="str">
        <x:v>Ski Poles</x:v>
      </x:c>
      <x:c r="D817" s="1" t="n">
        <x:v>1</x:v>
      </x:c>
      <x:c r="E817" s="1" t="n">
        <x:v>1</x:v>
      </x:c>
      <x:c r="F817" s="13" t="n">
        <x:v>0.0114526</x:v>
      </x:c>
      <x:c r="G817" s="9" t="str">
        <x:v>https://poke.idleworld.online/pokepedia/pokemon/dragonair</x:v>
      </x:c>
    </x:row>
    <x:row r="818" ht="22" customHeight="1">
      <x:c r="A818" s="1" t="n">
        <x:v>148</x:v>
      </x:c>
      <x:c r="B818" s="1" t="str">
        <x:v>Dragonair</x:v>
      </x:c>
      <x:c r="C818" s="1" t="str">
        <x:v>Snow Skis</x:v>
      </x:c>
      <x:c r="D818" s="1" t="n">
        <x:v>1</x:v>
      </x:c>
      <x:c r="E818" s="1" t="n">
        <x:v>1</x:v>
      </x:c>
      <x:c r="F818" s="13" t="n">
        <x:v>0.0114526</x:v>
      </x:c>
      <x:c r="G818" s="9" t="str">
        <x:v>https://poke.idleworld.online/pokepedia/pokemon/dragonair</x:v>
      </x:c>
    </x:row>
    <x:row r="819" ht="22" customHeight="1">
      <x:c r="A819" s="1" t="n">
        <x:v>149</x:v>
      </x:c>
      <x:c r="B819" s="1" t="str">
        <x:v>Dragonite</x:v>
      </x:c>
      <x:c r="C819" s="1" t="str">
        <x:v>Strange Pheromone</x:v>
      </x:c>
      <x:c r="D819" s="1" t="n">
        <x:v>1</x:v>
      </x:c>
      <x:c r="E819" s="1" t="n">
        <x:v>1</x:v>
      </x:c>
      <x:c r="F819" s="13" t="n">
        <x:v>0</x:v>
      </x:c>
      <x:c r="G819" s="9" t="str">
        <x:v>https://poke.idleworld.online/pokepedia/pokemon/dragonite</x:v>
      </x:c>
    </x:row>
    <x:row r="820" ht="22" customHeight="1">
      <x:c r="A820" s="1" t="n">
        <x:v>149</x:v>
      </x:c>
      <x:c r="B820" s="1" t="str">
        <x:v>Dragonite</x:v>
      </x:c>
      <x:c r="C820" s="1" t="str">
        <x:v>Straw</x:v>
      </x:c>
      <x:c r="D820" s="1" t="n">
        <x:v>1</x:v>
      </x:c>
      <x:c r="E820" s="1" t="n">
        <x:v>5</x:v>
      </x:c>
      <x:c r="F820" s="13" t="n">
        <x:v>0.95</x:v>
      </x:c>
      <x:c r="G820" s="9" t="str">
        <x:v>https://poke.idleworld.online/pokepedia/pokemon/dragonite</x:v>
      </x:c>
    </x:row>
    <x:row r="821" ht="22" customHeight="1">
      <x:c r="A821" s="1" t="n">
        <x:v>149</x:v>
      </x:c>
      <x:c r="B821" s="1" t="str">
        <x:v>Dragonite</x:v>
      </x:c>
      <x:c r="C821" s="1" t="str">
        <x:v>Dragon Scale</x:v>
      </x:c>
      <x:c r="D821" s="1" t="n">
        <x:v>1</x:v>
      </x:c>
      <x:c r="E821" s="1" t="n">
        <x:v>3</x:v>
      </x:c>
      <x:c r="F821" s="13" t="n">
        <x:v>0.95</x:v>
      </x:c>
      <x:c r="G821" s="9" t="str">
        <x:v>https://poke.idleworld.online/pokepedia/pokemon/dragonite</x:v>
      </x:c>
    </x:row>
    <x:row r="822" ht="22" customHeight="1">
      <x:c r="A822" s="1" t="n">
        <x:v>149</x:v>
      </x:c>
      <x:c r="B822" s="1" t="str">
        <x:v>Dragonite</x:v>
      </x:c>
      <x:c r="C822" s="1" t="str">
        <x:v>Dragon Tooth</x:v>
      </x:c>
      <x:c r="D822" s="1" t="n">
        <x:v>1</x:v>
      </x:c>
      <x:c r="E822" s="1" t="n">
        <x:v>1</x:v>
      </x:c>
      <x:c r="F822" s="13" t="n">
        <x:v>0.0695317</x:v>
      </x:c>
      <x:c r="G822" s="9" t="str">
        <x:v>https://poke.idleworld.online/pokepedia/pokemon/dragonite</x:v>
      </x:c>
    </x:row>
    <x:row r="823" ht="22" customHeight="1">
      <x:c r="A823" s="1" t="n">
        <x:v>149</x:v>
      </x:c>
      <x:c r="B823" s="1" t="str">
        <x:v>Dragonite</x:v>
      </x:c>
      <x:c r="C823" s="1" t="str">
        <x:v>Dragon Tail</x:v>
      </x:c>
      <x:c r="D823" s="1" t="n">
        <x:v>1</x:v>
      </x:c>
      <x:c r="E823" s="1" t="n">
        <x:v>1</x:v>
      </x:c>
      <x:c r="F823" s="13" t="n">
        <x:v>0.0695286</x:v>
      </x:c>
      <x:c r="G823" s="9" t="str">
        <x:v>https://poke.idleworld.online/pokepedia/pokemon/dragonite</x:v>
      </x:c>
    </x:row>
    <x:row r="824" ht="22" customHeight="1">
      <x:c r="A824" s="1" t="n">
        <x:v>149</x:v>
      </x:c>
      <x:c r="B824" s="1" t="str">
        <x:v>Dragonite</x:v>
      </x:c>
      <x:c r="C824" s="1" t="str">
        <x:v>Crystal Stone</x:v>
      </x:c>
      <x:c r="D824" s="1" t="n">
        <x:v>1</x:v>
      </x:c>
      <x:c r="E824" s="1" t="n">
        <x:v>1</x:v>
      </x:c>
      <x:c r="F824" s="13" t="n">
        <x:v>0.0008512999999999999</x:v>
      </x:c>
      <x:c r="G824" s="9" t="str">
        <x:v>https://poke.idleworld.online/pokepedia/pokemon/dragonite</x:v>
      </x:c>
    </x:row>
    <x:row r="825" ht="22" customHeight="1">
      <x:c r="A825" s="1" t="n">
        <x:v>149</x:v>
      </x:c>
      <x:c r="B825" s="1" t="str">
        <x:v>Dragonite</x:v>
      </x:c>
      <x:c r="C825" s="1" t="str">
        <x:v>Goggles</x:v>
      </x:c>
      <x:c r="D825" s="1" t="n">
        <x:v>1</x:v>
      </x:c>
      <x:c r="E825" s="1" t="n">
        <x:v>1</x:v>
      </x:c>
      <x:c r="F825" s="13" t="n">
        <x:v>0.0086989</x:v>
      </x:c>
      <x:c r="G825" s="9" t="str">
        <x:v>https://poke.idleworld.online/pokepedia/pokemon/dragonite</x:v>
      </x:c>
    </x:row>
    <x:row r="826" ht="22" customHeight="1">
      <x:c r="A826" s="1" t="n">
        <x:v>149</x:v>
      </x:c>
      <x:c r="B826" s="1" t="str">
        <x:v>Dragonite</x:v>
      </x:c>
      <x:c r="C826" s="1" t="str">
        <x:v>Ski Poles</x:v>
      </x:c>
      <x:c r="D826" s="1" t="n">
        <x:v>1</x:v>
      </x:c>
      <x:c r="E826" s="1" t="n">
        <x:v>1</x:v>
      </x:c>
      <x:c r="F826" s="13" t="n">
        <x:v>0.0086989</x:v>
      </x:c>
      <x:c r="G826" s="9" t="str">
        <x:v>https://poke.idleworld.online/pokepedia/pokemon/dragonite</x:v>
      </x:c>
    </x:row>
    <x:row r="827" ht="22" customHeight="1">
      <x:c r="A827" s="1" t="n">
        <x:v>149</x:v>
      </x:c>
      <x:c r="B827" s="1" t="str">
        <x:v>Dragonite</x:v>
      </x:c>
      <x:c r="C827" s="1" t="str">
        <x:v>Snow Skis</x:v>
      </x:c>
      <x:c r="D827" s="1" t="n">
        <x:v>1</x:v>
      </x:c>
      <x:c r="E827" s="1" t="n">
        <x:v>1</x:v>
      </x:c>
      <x:c r="F827" s="13" t="n">
        <x:v>0.0086989</x:v>
      </x:c>
      <x:c r="G827" s="9" t="str">
        <x:v>https://poke.idleworld.online/pokepedia/pokemon/dragonite</x:v>
      </x:c>
    </x:row>
    <x:row r="828" ht="22" customHeight="1">
      <x:c r="A828" s="1" t="n">
        <x:v>150</x:v>
      </x:c>
      <x:c r="B828" s="1" t="str">
        <x:v>Mewtwo</x:v>
      </x:c>
      <x:c r="C828" s="1" t="str">
        <x:v>Strange Pheromone</x:v>
      </x:c>
      <x:c r="D828" s="1" t="n">
        <x:v>1</x:v>
      </x:c>
      <x:c r="E828" s="1" t="n">
        <x:v>1</x:v>
      </x:c>
      <x:c r="F828" s="13" t="n">
        <x:v>0</x:v>
      </x:c>
      <x:c r="G828" s="9" t="str">
        <x:v>https://poke.idleworld.online/pokepedia/pokemon/mewtwo</x:v>
      </x:c>
    </x:row>
    <x:row r="829" ht="22" customHeight="1">
      <x:c r="A829" s="1" t="n">
        <x:v>150</x:v>
      </x:c>
      <x:c r="B829" s="1" t="str">
        <x:v>Mewtwo</x:v>
      </x:c>
      <x:c r="C829" s="1" t="str">
        <x:v>Enchanted Gem</x:v>
      </x:c>
      <x:c r="D829" s="1" t="n">
        <x:v>1</x:v>
      </x:c>
      <x:c r="E829" s="1" t="n">
        <x:v>10</x:v>
      </x:c>
      <x:c r="F829" s="13" t="n">
        <x:v>0.56</x:v>
      </x:c>
      <x:c r="G829" s="9" t="str">
        <x:v>https://poke.idleworld.online/pokepedia/pokemon/mewtwo</x:v>
      </x:c>
    </x:row>
    <x:row r="830" ht="22" customHeight="1">
      <x:c r="A830" s="1" t="n">
        <x:v>150</x:v>
      </x:c>
      <x:c r="B830" s="1" t="str">
        <x:v>Mewtwo</x:v>
      </x:c>
      <x:c r="C830" s="1" t="str">
        <x:v>Future Orb</x:v>
      </x:c>
      <x:c r="D830" s="1" t="n">
        <x:v>1</x:v>
      </x:c>
      <x:c r="E830" s="1" t="n">
        <x:v>3</x:v>
      </x:c>
      <x:c r="F830" s="13" t="n">
        <x:v>0.42</x:v>
      </x:c>
      <x:c r="G830" s="9" t="str">
        <x:v>https://poke.idleworld.online/pokepedia/pokemon/mewtwo</x:v>
      </x:c>
    </x:row>
    <x:row r="831" ht="22" customHeight="1">
      <x:c r="A831" s="1" t="n">
        <x:v>150</x:v>
      </x:c>
      <x:c r="B831" s="1" t="str">
        <x:v>Mewtwo</x:v>
      </x:c>
      <x:c r="C831" s="1" t="str">
        <x:v>Enigma Stone</x:v>
      </x:c>
      <x:c r="D831" s="1" t="n">
        <x:v>1</x:v>
      </x:c>
      <x:c r="E831" s="1" t="n">
        <x:v>1</x:v>
      </x:c>
      <x:c r="F831" s="13" t="n">
        <x:v>0.001416</x:v>
      </x:c>
      <x:c r="G831" s="9" t="str">
        <x:v>https://poke.idleworld.online/pokepedia/pokemon/mewtwo</x:v>
      </x:c>
    </x:row>
    <x:row r="832" ht="22" customHeight="1">
      <x:c r="A832" s="1" t="n">
        <x:v>151</x:v>
      </x:c>
      <x:c r="B832" s="1" t="str">
        <x:v>Mew</x:v>
      </x:c>
      <x:c r="C832" s="1" t="str">
        <x:v>Strange Pheromone</x:v>
      </x:c>
      <x:c r="D832" s="1" t="n">
        <x:v>1</x:v>
      </x:c>
      <x:c r="E832" s="1" t="n">
        <x:v>1</x:v>
      </x:c>
      <x:c r="F832" s="13" t="n">
        <x:v>0</x:v>
      </x:c>
      <x:c r="G832" s="9" t="str">
        <x:v>https://poke.idleworld.online/pokepedia/pokemon/mew</x:v>
      </x:c>
    </x:row>
    <x:row r="833" ht="22" customHeight="1">
      <x:c r="A833" s="1" t="n">
        <x:v>151</x:v>
      </x:c>
      <x:c r="B833" s="1" t="str">
        <x:v>Mew</x:v>
      </x:c>
      <x:c r="C833" s="1" t="str">
        <x:v>Enchanted Gem</x:v>
      </x:c>
      <x:c r="D833" s="1" t="n">
        <x:v>1</x:v>
      </x:c>
      <x:c r="E833" s="1" t="n">
        <x:v>10</x:v>
      </x:c>
      <x:c r="F833" s="13" t="n">
        <x:v>0.56</x:v>
      </x:c>
      <x:c r="G833" s="9" t="str">
        <x:v>https://poke.idleworld.online/pokepedia/pokemon/mew</x:v>
      </x:c>
    </x:row>
    <x:row r="834" ht="22" customHeight="1">
      <x:c r="A834" s="1" t="n">
        <x:v>151</x:v>
      </x:c>
      <x:c r="B834" s="1" t="str">
        <x:v>Mew</x:v>
      </x:c>
      <x:c r="C834" s="1" t="str">
        <x:v>Future Orb</x:v>
      </x:c>
      <x:c r="D834" s="1" t="n">
        <x:v>1</x:v>
      </x:c>
      <x:c r="E834" s="1" t="n">
        <x:v>3</x:v>
      </x:c>
      <x:c r="F834" s="13" t="n">
        <x:v>0.42</x:v>
      </x:c>
      <x:c r="G834" s="9" t="str">
        <x:v>https://poke.idleworld.online/pokepedia/pokemon/mew</x:v>
      </x:c>
    </x:row>
    <x:row r="835" ht="22" customHeight="1">
      <x:c r="A835" s="1" t="n">
        <x:v>151</x:v>
      </x:c>
      <x:c r="B835" s="1" t="str">
        <x:v>Mew</x:v>
      </x:c>
      <x:c r="C835" s="1" t="str">
        <x:v>Enigma Stone</x:v>
      </x:c>
      <x:c r="D835" s="1" t="n">
        <x:v>1</x:v>
      </x:c>
      <x:c r="E835" s="1" t="n">
        <x:v>1</x:v>
      </x:c>
      <x:c r="F835" s="13" t="n">
        <x:v>0.001416</x:v>
      </x:c>
      <x:c r="G835" s="9" t="str">
        <x:v>https://poke.idleworld.online/pokepedia/pokemon/mew</x:v>
      </x:c>
    </x:row>
    <x:row r="836" ht="22" customHeight="1">
      <x:c r="A836" s="1" t="n">
        <x:v>152</x:v>
      </x:c>
      <x:c r="B836" s="1" t="str">
        <x:v>Chikorita</x:v>
      </x:c>
      <x:c r="C836" s="1" t="str">
        <x:v>Strange Pheromone</x:v>
      </x:c>
      <x:c r="D836" s="1" t="n">
        <x:v>1</x:v>
      </x:c>
      <x:c r="E836" s="1" t="n">
        <x:v>1</x:v>
      </x:c>
      <x:c r="F836" s="13" t="n">
        <x:v>0</x:v>
      </x:c>
      <x:c r="G836" s="9" t="str">
        <x:v>https://poke.idleworld.online/pokepedia/pokemon/chikorita</x:v>
      </x:c>
    </x:row>
    <x:row r="837" ht="22" customHeight="1">
      <x:c r="A837" s="1" t="n">
        <x:v>152</x:v>
      </x:c>
      <x:c r="B837" s="1" t="str">
        <x:v>Chikorita</x:v>
      </x:c>
      <x:c r="C837" s="1" t="str">
        <x:v>Seed</x:v>
      </x:c>
      <x:c r="D837" s="1" t="n">
        <x:v>1</x:v>
      </x:c>
      <x:c r="E837" s="1" t="n">
        <x:v>5</x:v>
      </x:c>
      <x:c r="F837" s="13" t="n">
        <x:v>0.95</x:v>
      </x:c>
      <x:c r="G837" s="9" t="str">
        <x:v>https://poke.idleworld.online/pokepedia/pokemon/chikorita</x:v>
      </x:c>
    </x:row>
    <x:row r="838" ht="22" customHeight="1">
      <x:c r="A838" s="1" t="n">
        <x:v>152</x:v>
      </x:c>
      <x:c r="B838" s="1" t="str">
        <x:v>Chikorita</x:v>
      </x:c>
      <x:c r="C838" s="1" t="str">
        <x:v>Leaves</x:v>
      </x:c>
      <x:c r="D838" s="1" t="n">
        <x:v>1</x:v>
      </x:c>
      <x:c r="E838" s="1" t="n">
        <x:v>2</x:v>
      </x:c>
      <x:c r="F838" s="13" t="n">
        <x:v>0.7154925</x:v>
      </x:c>
      <x:c r="G838" s="9" t="str">
        <x:v>https://poke.idleworld.online/pokepedia/pokemon/chikorita</x:v>
      </x:c>
    </x:row>
    <x:row r="839" ht="22" customHeight="1">
      <x:c r="A839" s="1" t="n">
        <x:v>152</x:v>
      </x:c>
      <x:c r="B839" s="1" t="str">
        <x:v>Chikorita</x:v>
      </x:c>
      <x:c r="C839" s="1" t="str">
        <x:v>Bag of Pollen</x:v>
      </x:c>
      <x:c r="D839" s="1" t="n">
        <x:v>1</x:v>
      </x:c>
      <x:c r="E839" s="1" t="n">
        <x:v>1</x:v>
      </x:c>
      <x:c r="F839" s="13" t="n">
        <x:v>0.16496560000000002</x:v>
      </x:c>
      <x:c r="G839" s="9" t="str">
        <x:v>https://poke.idleworld.online/pokepedia/pokemon/chikorita</x:v>
      </x:c>
    </x:row>
    <x:row r="840" ht="22" customHeight="1">
      <x:c r="A840" s="1" t="n">
        <x:v>152</x:v>
      </x:c>
      <x:c r="B840" s="1" t="str">
        <x:v>Chikorita</x:v>
      </x:c>
      <x:c r="C840" s="1" t="str">
        <x:v>Leaf Stone</x:v>
      </x:c>
      <x:c r="D840" s="1" t="n">
        <x:v>1</x:v>
      </x:c>
      <x:c r="E840" s="1" t="n">
        <x:v>1</x:v>
      </x:c>
      <x:c r="F840" s="13" t="n">
        <x:v>0.0016378</x:v>
      </x:c>
      <x:c r="G840" s="9" t="str">
        <x:v>https://poke.idleworld.online/pokepedia/pokemon/chikorita</x:v>
      </x:c>
    </x:row>
    <x:row r="841" ht="22" customHeight="1">
      <x:c r="A841" s="1" t="n">
        <x:v>152</x:v>
      </x:c>
      <x:c r="B841" s="1" t="str">
        <x:v>Chikorita</x:v>
      </x:c>
      <x:c r="C841" s="1" t="str">
        <x:v>Great Petal</x:v>
      </x:c>
      <x:c r="D841" s="1" t="n">
        <x:v>1</x:v>
      </x:c>
      <x:c r="E841" s="1" t="n">
        <x:v>1</x:v>
      </x:c>
      <x:c r="F841" s="13" t="n">
        <x:v>2e-7</x:v>
      </x:c>
      <x:c r="G841" s="9" t="str">
        <x:v>https://poke.idleworld.online/pokepedia/pokemon/chikorita</x:v>
      </x:c>
    </x:row>
    <x:row r="842" ht="22" customHeight="1">
      <x:c r="A842" s="1" t="n">
        <x:v>153</x:v>
      </x:c>
      <x:c r="B842" s="1" t="str">
        <x:v>Bayleef</x:v>
      </x:c>
      <x:c r="C842" s="1" t="str">
        <x:v>Strange Pheromone</x:v>
      </x:c>
      <x:c r="D842" s="1" t="n">
        <x:v>1</x:v>
      </x:c>
      <x:c r="E842" s="1" t="n">
        <x:v>1</x:v>
      </x:c>
      <x:c r="F842" s="13" t="n">
        <x:v>0</x:v>
      </x:c>
      <x:c r="G842" s="9" t="str">
        <x:v>https://poke.idleworld.online/pokepedia/pokemon/bayleef</x:v>
      </x:c>
    </x:row>
    <x:row r="843" ht="22" customHeight="1">
      <x:c r="A843" s="1" t="n">
        <x:v>153</x:v>
      </x:c>
      <x:c r="B843" s="1" t="str">
        <x:v>Bayleef</x:v>
      </x:c>
      <x:c r="C843" s="1" t="str">
        <x:v>Seed</x:v>
      </x:c>
      <x:c r="D843" s="1" t="n">
        <x:v>1</x:v>
      </x:c>
      <x:c r="E843" s="1" t="n">
        <x:v>8</x:v>
      </x:c>
      <x:c r="F843" s="13" t="n">
        <x:v>0.7153514999999999</x:v>
      </x:c>
      <x:c r="G843" s="9" t="str">
        <x:v>https://poke.idleworld.online/pokepedia/pokemon/bayleef</x:v>
      </x:c>
    </x:row>
    <x:row r="844" ht="22" customHeight="1">
      <x:c r="A844" s="1" t="n">
        <x:v>153</x:v>
      </x:c>
      <x:c r="B844" s="1" t="str">
        <x:v>Bayleef</x:v>
      </x:c>
      <x:c r="C844" s="1" t="str">
        <x:v>Leaves</x:v>
      </x:c>
      <x:c r="D844" s="1" t="n">
        <x:v>1</x:v>
      </x:c>
      <x:c r="E844" s="1" t="n">
        <x:v>3</x:v>
      </x:c>
      <x:c r="F844" s="13" t="n">
        <x:v>0.4093358</x:v>
      </x:c>
      <x:c r="G844" s="9" t="str">
        <x:v>https://poke.idleworld.online/pokepedia/pokemon/bayleef</x:v>
      </x:c>
    </x:row>
    <x:row r="845" ht="22" customHeight="1">
      <x:c r="A845" s="1" t="n">
        <x:v>153</x:v>
      </x:c>
      <x:c r="B845" s="1" t="str">
        <x:v>Bayleef</x:v>
      </x:c>
      <x:c r="C845" s="1" t="str">
        <x:v>Leaf Stone</x:v>
      </x:c>
      <x:c r="D845" s="1" t="n">
        <x:v>1</x:v>
      </x:c>
      <x:c r="E845" s="1" t="n">
        <x:v>1</x:v>
      </x:c>
      <x:c r="F845" s="13" t="n">
        <x:v>0.0025073</x:v>
      </x:c>
      <x:c r="G845" s="9" t="str">
        <x:v>https://poke.idleworld.online/pokepedia/pokemon/bayleef</x:v>
      </x:c>
    </x:row>
    <x:row r="846" ht="22" customHeight="1">
      <x:c r="A846" s="1" t="n">
        <x:v>153</x:v>
      </x:c>
      <x:c r="B846" s="1" t="str">
        <x:v>Bayleef</x:v>
      </x:c>
      <x:c r="C846" s="1" t="str">
        <x:v>Bag of Pollen</x:v>
      </x:c>
      <x:c r="D846" s="1" t="n">
        <x:v>1</x:v>
      </x:c>
      <x:c r="E846" s="1" t="n">
        <x:v>2</x:v>
      </x:c>
      <x:c r="F846" s="13" t="n">
        <x:v>0.1325967</x:v>
      </x:c>
      <x:c r="G846" s="9" t="str">
        <x:v>https://poke.idleworld.online/pokepedia/pokemon/bayleef</x:v>
      </x:c>
    </x:row>
    <x:row r="847" ht="22" customHeight="1">
      <x:c r="A847" s="1" t="n">
        <x:v>153</x:v>
      </x:c>
      <x:c r="B847" s="1" t="str">
        <x:v>Bayleef</x:v>
      </x:c>
      <x:c r="C847" s="1" t="str">
        <x:v>Great Petal</x:v>
      </x:c>
      <x:c r="D847" s="1" t="n">
        <x:v>1</x:v>
      </x:c>
      <x:c r="E847" s="1" t="n">
        <x:v>1</x:v>
      </x:c>
      <x:c r="F847" s="13" t="n">
        <x:v>0.08113050000000001</x:v>
      </x:c>
      <x:c r="G847" s="9" t="str">
        <x:v>https://poke.idleworld.online/pokepedia/pokemon/bayleef</x:v>
      </x:c>
    </x:row>
    <x:row r="848" ht="22" customHeight="1">
      <x:c r="A848" s="1" t="n">
        <x:v>154</x:v>
      </x:c>
      <x:c r="B848" s="1" t="str">
        <x:v>Meganium</x:v>
      </x:c>
      <x:c r="C848" s="1" t="str">
        <x:v>Strange Pheromone</x:v>
      </x:c>
      <x:c r="D848" s="1" t="n">
        <x:v>1</x:v>
      </x:c>
      <x:c r="E848" s="1" t="n">
        <x:v>1</x:v>
      </x:c>
      <x:c r="F848" s="13" t="n">
        <x:v>0</x:v>
      </x:c>
      <x:c r="G848" s="9" t="str">
        <x:v>https://poke.idleworld.online/pokepedia/pokemon/meganium</x:v>
      </x:c>
    </x:row>
    <x:row r="849" ht="22" customHeight="1">
      <x:c r="A849" s="1" t="n">
        <x:v>154</x:v>
      </x:c>
      <x:c r="B849" s="1" t="str">
        <x:v>Meganium</x:v>
      </x:c>
      <x:c r="C849" s="1" t="str">
        <x:v>Seed</x:v>
      </x:c>
      <x:c r="D849" s="1" t="n">
        <x:v>1</x:v>
      </x:c>
      <x:c r="E849" s="1" t="n">
        <x:v>12</x:v>
      </x:c>
      <x:c r="F849" s="13" t="n">
        <x:v>0.95</x:v>
      </x:c>
      <x:c r="G849" s="9" t="str">
        <x:v>https://poke.idleworld.online/pokepedia/pokemon/meganium</x:v>
      </x:c>
    </x:row>
    <x:row r="850" ht="22" customHeight="1">
      <x:c r="A850" s="1" t="n">
        <x:v>154</x:v>
      </x:c>
      <x:c r="B850" s="1" t="str">
        <x:v>Meganium</x:v>
      </x:c>
      <x:c r="C850" s="1" t="str">
        <x:v>Leaves</x:v>
      </x:c>
      <x:c r="D850" s="1" t="n">
        <x:v>1</x:v>
      </x:c>
      <x:c r="E850" s="1" t="n">
        <x:v>5</x:v>
      </x:c>
      <x:c r="F850" s="13" t="n">
        <x:v>0.8180774000000001</x:v>
      </x:c>
      <x:c r="G850" s="9" t="str">
        <x:v>https://poke.idleworld.online/pokepedia/pokemon/meganium</x:v>
      </x:c>
    </x:row>
    <x:row r="851" ht="22" customHeight="1">
      <x:c r="A851" s="1" t="n">
        <x:v>154</x:v>
      </x:c>
      <x:c r="B851" s="1" t="str">
        <x:v>Meganium</x:v>
      </x:c>
      <x:c r="C851" s="1" t="str">
        <x:v>Leaf Stone</x:v>
      </x:c>
      <x:c r="D851" s="1" t="n">
        <x:v>1</x:v>
      </x:c>
      <x:c r="E851" s="1" t="n">
        <x:v>1</x:v>
      </x:c>
      <x:c r="F851" s="13" t="n">
        <x:v>0.00477</x:v>
      </x:c>
      <x:c r="G851" s="9" t="str">
        <x:v>https://poke.idleworld.online/pokepedia/pokemon/meganium</x:v>
      </x:c>
    </x:row>
    <x:row r="852" ht="22" customHeight="1">
      <x:c r="A852" s="1" t="n">
        <x:v>154</x:v>
      </x:c>
      <x:c r="B852" s="1" t="str">
        <x:v>Meganium</x:v>
      </x:c>
      <x:c r="C852" s="1" t="str">
        <x:v>Great Petal</x:v>
      </x:c>
      <x:c r="D852" s="1" t="n">
        <x:v>1</x:v>
      </x:c>
      <x:c r="E852" s="1" t="n">
        <x:v>2</x:v>
      </x:c>
      <x:c r="F852" s="13" t="n">
        <x:v>0.262553</x:v>
      </x:c>
      <x:c r="G852" s="9" t="str">
        <x:v>https://poke.idleworld.online/pokepedia/pokemon/meganium</x:v>
      </x:c>
    </x:row>
    <x:row r="853" ht="22" customHeight="1">
      <x:c r="A853" s="1" t="n">
        <x:v>154</x:v>
      </x:c>
      <x:c r="B853" s="1" t="str">
        <x:v>Meganium</x:v>
      </x:c>
      <x:c r="C853" s="1" t="str">
        <x:v>Bag of Pollen</x:v>
      </x:c>
      <x:c r="D853" s="1" t="n">
        <x:v>1</x:v>
      </x:c>
      <x:c r="E853" s="1" t="n">
        <x:v>1</x:v>
      </x:c>
      <x:c r="F853" s="13" t="n">
        <x:v>0.3113165</x:v>
      </x:c>
      <x:c r="G853" s="9" t="str">
        <x:v>https://poke.idleworld.online/pokepedia/pokemon/meganium</x:v>
      </x:c>
    </x:row>
    <x:row r="854" ht="22" customHeight="1">
      <x:c r="A854" s="1" t="n">
        <x:v>155</x:v>
      </x:c>
      <x:c r="B854" s="1" t="str">
        <x:v>Cyndaquil</x:v>
      </x:c>
      <x:c r="C854" s="1" t="str">
        <x:v>Strange Pheromone</x:v>
      </x:c>
      <x:c r="D854" s="1" t="n">
        <x:v>1</x:v>
      </x:c>
      <x:c r="E854" s="1" t="n">
        <x:v>1</x:v>
      </x:c>
      <x:c r="F854" s="13" t="n">
        <x:v>0</x:v>
      </x:c>
      <x:c r="G854" s="9" t="str">
        <x:v>https://poke.idleworld.online/pokepedia/pokemon/cyndaquil</x:v>
      </x:c>
    </x:row>
    <x:row r="855" ht="22" customHeight="1">
      <x:c r="A855" s="1" t="n">
        <x:v>155</x:v>
      </x:c>
      <x:c r="B855" s="1" t="str">
        <x:v>Cyndaquil</x:v>
      </x:c>
      <x:c r="C855" s="1" t="str">
        <x:v>Essence of Fire</x:v>
      </x:c>
      <x:c r="D855" s="1" t="n">
        <x:v>1</x:v>
      </x:c>
      <x:c r="E855" s="1" t="n">
        <x:v>5</x:v>
      </x:c>
      <x:c r="F855" s="13" t="n">
        <x:v>0.1454587</x:v>
      </x:c>
      <x:c r="G855" s="9" t="str">
        <x:v>https://poke.idleworld.online/pokepedia/pokemon/cyndaquil</x:v>
      </x:c>
    </x:row>
    <x:row r="856" ht="22" customHeight="1">
      <x:c r="A856" s="1" t="n">
        <x:v>155</x:v>
      </x:c>
      <x:c r="B856" s="1" t="str">
        <x:v>Cyndaquil</x:v>
      </x:c>
      <x:c r="C856" s="1" t="str">
        <x:v>Fire Stone</x:v>
      </x:c>
      <x:c r="D856" s="1" t="n">
        <x:v>1</x:v>
      </x:c>
      <x:c r="E856" s="1" t="n">
        <x:v>1</x:v>
      </x:c>
      <x:c r="F856" s="13" t="n">
        <x:v>0.00059</x:v>
      </x:c>
      <x:c r="G856" s="9" t="str">
        <x:v>https://poke.idleworld.online/pokepedia/pokemon/cyndaquil</x:v>
      </x:c>
    </x:row>
    <x:row r="857" ht="22" customHeight="1">
      <x:c r="A857" s="1" t="n">
        <x:v>155</x:v>
      </x:c>
      <x:c r="B857" s="1" t="str">
        <x:v>Cyndaquil</x:v>
      </x:c>
      <x:c r="C857" s="1" t="str">
        <x:v>Hot Fur</x:v>
      </x:c>
      <x:c r="D857" s="1" t="n">
        <x:v>1</x:v>
      </x:c>
      <x:c r="E857" s="1" t="n">
        <x:v>1</x:v>
      </x:c>
      <x:c r="F857" s="13" t="n">
        <x:v>0.10325790000000001</x:v>
      </x:c>
      <x:c r="G857" s="9" t="str">
        <x:v>https://poke.idleworld.online/pokepedia/pokemon/cyndaquil</x:v>
      </x:c>
    </x:row>
    <x:row r="858" ht="22" customHeight="1">
      <x:c r="A858" s="1" t="n">
        <x:v>155</x:v>
      </x:c>
      <x:c r="B858" s="1" t="str">
        <x:v>Cyndaquil</x:v>
      </x:c>
      <x:c r="C858" s="1" t="str">
        <x:v>Pot of Lava</x:v>
      </x:c>
      <x:c r="D858" s="1" t="n">
        <x:v>1</x:v>
      </x:c>
      <x:c r="E858" s="1" t="n">
        <x:v>1</x:v>
      </x:c>
      <x:c r="F858" s="13" t="n">
        <x:v>0.18434669999999997</x:v>
      </x:c>
      <x:c r="G858" s="9" t="str">
        <x:v>https://poke.idleworld.online/pokepedia/pokemon/cyndaquil</x:v>
      </x:c>
    </x:row>
    <x:row r="859" ht="22" customHeight="1">
      <x:c r="A859" s="1" t="n">
        <x:v>155</x:v>
      </x:c>
      <x:c r="B859" s="1" t="str">
        <x:v>Cyndaquil</x:v>
      </x:c>
      <x:c r="C859" s="1" t="str">
        <x:v>Fur</x:v>
      </x:c>
      <x:c r="D859" s="1" t="n">
        <x:v>1</x:v>
      </x:c>
      <x:c r="E859" s="1" t="n">
        <x:v>1</x:v>
      </x:c>
      <x:c r="F859" s="13" t="n">
        <x:v>0.18434669999999997</x:v>
      </x:c>
      <x:c r="G859" s="9" t="str">
        <x:v>https://poke.idleworld.online/pokepedia/pokemon/cyndaquil</x:v>
      </x:c>
    </x:row>
    <x:row r="860" ht="22" customHeight="1">
      <x:c r="A860" s="1" t="n">
        <x:v>156</x:v>
      </x:c>
      <x:c r="B860" s="1" t="str">
        <x:v>Quilava</x:v>
      </x:c>
      <x:c r="C860" s="1" t="str">
        <x:v>Strange Pheromone</x:v>
      </x:c>
      <x:c r="D860" s="1" t="n">
        <x:v>1</x:v>
      </x:c>
      <x:c r="E860" s="1" t="n">
        <x:v>1</x:v>
      </x:c>
      <x:c r="F860" s="13" t="n">
        <x:v>0</x:v>
      </x:c>
      <x:c r="G860" s="9" t="str">
        <x:v>https://poke.idleworld.online/pokepedia/pokemon/quilava</x:v>
      </x:c>
    </x:row>
    <x:row r="861" ht="22" customHeight="1">
      <x:c r="A861" s="1" t="n">
        <x:v>156</x:v>
      </x:c>
      <x:c r="B861" s="1" t="str">
        <x:v>Quilava</x:v>
      </x:c>
      <x:c r="C861" s="1" t="str">
        <x:v>Essence of Fire</x:v>
      </x:c>
      <x:c r="D861" s="1" t="n">
        <x:v>1</x:v>
      </x:c>
      <x:c r="E861" s="1" t="n">
        <x:v>8</x:v>
      </x:c>
      <x:c r="F861" s="13" t="n">
        <x:v>0.25153220000000004</x:v>
      </x:c>
      <x:c r="G861" s="9" t="str">
        <x:v>https://poke.idleworld.online/pokepedia/pokemon/quilava</x:v>
      </x:c>
    </x:row>
    <x:row r="862" ht="22" customHeight="1">
      <x:c r="A862" s="1" t="n">
        <x:v>156</x:v>
      </x:c>
      <x:c r="B862" s="1" t="str">
        <x:v>Quilava</x:v>
      </x:c>
      <x:c r="C862" s="1" t="str">
        <x:v>Fire Stone</x:v>
      </x:c>
      <x:c r="D862" s="1" t="n">
        <x:v>1</x:v>
      </x:c>
      <x:c r="E862" s="1" t="n">
        <x:v>1</x:v>
      </x:c>
      <x:c r="F862" s="13" t="n">
        <x:v>0.00105</x:v>
      </x:c>
      <x:c r="G862" s="9" t="str">
        <x:v>https://poke.idleworld.online/pokepedia/pokemon/quilava</x:v>
      </x:c>
    </x:row>
    <x:row r="863" ht="22" customHeight="1">
      <x:c r="A863" s="1" t="n">
        <x:v>156</x:v>
      </x:c>
      <x:c r="B863" s="1" t="str">
        <x:v>Quilava</x:v>
      </x:c>
      <x:c r="C863" s="1" t="str">
        <x:v>Hot Fur</x:v>
      </x:c>
      <x:c r="D863" s="1" t="n">
        <x:v>1</x:v>
      </x:c>
      <x:c r="E863" s="1" t="n">
        <x:v>2</x:v>
      </x:c>
      <x:c r="F863" s="13" t="n">
        <x:v>0.16351459999999998</x:v>
      </x:c>
      <x:c r="G863" s="9" t="str">
        <x:v>https://poke.idleworld.online/pokepedia/pokemon/quilava</x:v>
      </x:c>
    </x:row>
    <x:row r="864" ht="22" customHeight="1">
      <x:c r="A864" s="1" t="n">
        <x:v>156</x:v>
      </x:c>
      <x:c r="B864" s="1" t="str">
        <x:v>Quilava</x:v>
      </x:c>
      <x:c r="C864" s="1" t="str">
        <x:v>Pot of Lava</x:v>
      </x:c>
      <x:c r="D864" s="1" t="n">
        <x:v>1</x:v>
      </x:c>
      <x:c r="E864" s="1" t="n">
        <x:v>1</x:v>
      </x:c>
      <x:c r="F864" s="13" t="n">
        <x:v>0.179512</x:v>
      </x:c>
      <x:c r="G864" s="9" t="str">
        <x:v>https://poke.idleworld.online/pokepedia/pokemon/quilava</x:v>
      </x:c>
    </x:row>
    <x:row r="865" ht="22" customHeight="1">
      <x:c r="A865" s="1" t="n">
        <x:v>156</x:v>
      </x:c>
      <x:c r="B865" s="1" t="str">
        <x:v>Quilava</x:v>
      </x:c>
      <x:c r="C865" s="1" t="str">
        <x:v>Fur</x:v>
      </x:c>
      <x:c r="D865" s="1" t="n">
        <x:v>1</x:v>
      </x:c>
      <x:c r="E865" s="1" t="n">
        <x:v>1</x:v>
      </x:c>
      <x:c r="F865" s="13" t="n">
        <x:v>0.179512</x:v>
      </x:c>
      <x:c r="G865" s="9" t="str">
        <x:v>https://poke.idleworld.online/pokepedia/pokemon/quilava</x:v>
      </x:c>
    </x:row>
    <x:row r="866" ht="22" customHeight="1">
      <x:c r="A866" s="1" t="n">
        <x:v>157</x:v>
      </x:c>
      <x:c r="B866" s="1" t="str">
        <x:v>Typhlosion</x:v>
      </x:c>
      <x:c r="C866" s="1" t="str">
        <x:v>Strange Pheromone</x:v>
      </x:c>
      <x:c r="D866" s="1" t="n">
        <x:v>1</x:v>
      </x:c>
      <x:c r="E866" s="1" t="n">
        <x:v>1</x:v>
      </x:c>
      <x:c r="F866" s="13" t="n">
        <x:v>0</x:v>
      </x:c>
      <x:c r="G866" s="9" t="str">
        <x:v>https://poke.idleworld.online/pokepedia/pokemon/typhlosion</x:v>
      </x:c>
    </x:row>
    <x:row r="867" ht="22" customHeight="1">
      <x:c r="A867" s="1" t="n">
        <x:v>157</x:v>
      </x:c>
      <x:c r="B867" s="1" t="str">
        <x:v>Typhlosion</x:v>
      </x:c>
      <x:c r="C867" s="1" t="str">
        <x:v>Essence of Fire</x:v>
      </x:c>
      <x:c r="D867" s="1" t="n">
        <x:v>1</x:v>
      </x:c>
      <x:c r="E867" s="1" t="n">
        <x:v>12</x:v>
      </x:c>
      <x:c r="F867" s="13" t="n">
        <x:v>0.5546393000000001</x:v>
      </x:c>
      <x:c r="G867" s="9" t="str">
        <x:v>https://poke.idleworld.online/pokepedia/pokemon/typhlosion</x:v>
      </x:c>
    </x:row>
    <x:row r="868" ht="22" customHeight="1">
      <x:c r="A868" s="1" t="n">
        <x:v>157</x:v>
      </x:c>
      <x:c r="B868" s="1" t="str">
        <x:v>Typhlosion</x:v>
      </x:c>
      <x:c r="C868" s="1" t="str">
        <x:v>Fire Stone</x:v>
      </x:c>
      <x:c r="D868" s="1" t="n">
        <x:v>1</x:v>
      </x:c>
      <x:c r="E868" s="1" t="n">
        <x:v>1</x:v>
      </x:c>
      <x:c r="F868" s="13" t="n">
        <x:v>0.0031</x:v>
      </x:c>
      <x:c r="G868" s="9" t="str">
        <x:v>https://poke.idleworld.online/pokepedia/pokemon/typhlosion</x:v>
      </x:c>
    </x:row>
    <x:row r="869" ht="22" customHeight="1">
      <x:c r="A869" s="1" t="n">
        <x:v>157</x:v>
      </x:c>
      <x:c r="B869" s="1" t="str">
        <x:v>Typhlosion</x:v>
      </x:c>
      <x:c r="C869" s="1" t="str">
        <x:v>Hot Fur</x:v>
      </x:c>
      <x:c r="D869" s="1" t="n">
        <x:v>1</x:v>
      </x:c>
      <x:c r="E869" s="1" t="n">
        <x:v>4</x:v>
      </x:c>
      <x:c r="F869" s="13" t="n">
        <x:v>0.21080770000000001</x:v>
      </x:c>
      <x:c r="G869" s="9" t="str">
        <x:v>https://poke.idleworld.online/pokepedia/pokemon/typhlosion</x:v>
      </x:c>
    </x:row>
    <x:row r="870" ht="22" customHeight="1">
      <x:c r="A870" s="1" t="n">
        <x:v>157</x:v>
      </x:c>
      <x:c r="B870" s="1" t="str">
        <x:v>Typhlosion</x:v>
      </x:c>
      <x:c r="C870" s="1" t="str">
        <x:v>Pot of Lava</x:v>
      </x:c>
      <x:c r="D870" s="1" t="n">
        <x:v>1</x:v>
      </x:c>
      <x:c r="E870" s="1" t="n">
        <x:v>3</x:v>
      </x:c>
      <x:c r="F870" s="13" t="n">
        <x:v>0.22306020000000001</x:v>
      </x:c>
      <x:c r="G870" s="9" t="str">
        <x:v>https://poke.idleworld.online/pokepedia/pokemon/typhlosion</x:v>
      </x:c>
    </x:row>
    <x:row r="871" ht="22" customHeight="1">
      <x:c r="A871" s="1" t="n">
        <x:v>157</x:v>
      </x:c>
      <x:c r="B871" s="1" t="str">
        <x:v>Typhlosion</x:v>
      </x:c>
      <x:c r="C871" s="1" t="str">
        <x:v>Fur</x:v>
      </x:c>
      <x:c r="D871" s="1" t="n">
        <x:v>1</x:v>
      </x:c>
      <x:c r="E871" s="1" t="n">
        <x:v>3</x:v>
      </x:c>
      <x:c r="F871" s="13" t="n">
        <x:v>0.22306020000000001</x:v>
      </x:c>
      <x:c r="G871" s="9" t="str">
        <x:v>https://poke.idleworld.online/pokepedia/pokemon/typhlosion</x:v>
      </x:c>
    </x:row>
    <x:row r="872" ht="22" customHeight="1">
      <x:c r="A872" s="1" t="n">
        <x:v>158</x:v>
      </x:c>
      <x:c r="B872" s="1" t="str">
        <x:v>Totodile</x:v>
      </x:c>
      <x:c r="C872" s="1" t="str">
        <x:v>Strange Pheromone</x:v>
      </x:c>
      <x:c r="D872" s="1" t="n">
        <x:v>1</x:v>
      </x:c>
      <x:c r="E872" s="1" t="n">
        <x:v>1</x:v>
      </x:c>
      <x:c r="F872" s="13" t="n">
        <x:v>0</x:v>
      </x:c>
      <x:c r="G872" s="9" t="str">
        <x:v>https://poke.idleworld.online/pokepedia/pokemon/totodile</x:v>
      </x:c>
    </x:row>
    <x:row r="873" ht="22" customHeight="1">
      <x:c r="A873" s="1" t="n">
        <x:v>158</x:v>
      </x:c>
      <x:c r="B873" s="1" t="str">
        <x:v>Totodile</x:v>
      </x:c>
      <x:c r="C873" s="1" t="str">
        <x:v>Water Gem</x:v>
      </x:c>
      <x:c r="D873" s="1" t="n">
        <x:v>1</x:v>
      </x:c>
      <x:c r="E873" s="1" t="n">
        <x:v>1</x:v>
      </x:c>
      <x:c r="F873" s="13" t="n">
        <x:v>0.0701504</x:v>
      </x:c>
      <x:c r="G873" s="9" t="str">
        <x:v>https://poke.idleworld.online/pokepedia/pokemon/totodile</x:v>
      </x:c>
    </x:row>
    <x:row r="874" ht="22" customHeight="1">
      <x:c r="A874" s="1" t="n">
        <x:v>158</x:v>
      </x:c>
      <x:c r="B874" s="1" t="str">
        <x:v>Totodile</x:v>
      </x:c>
      <x:c r="C874" s="1" t="str">
        <x:v>Water Stone</x:v>
      </x:c>
      <x:c r="D874" s="1" t="n">
        <x:v>1</x:v>
      </x:c>
      <x:c r="E874" s="1" t="n">
        <x:v>1</x:v>
      </x:c>
      <x:c r="F874" s="13" t="n">
        <x:v>0.0012081</x:v>
      </x:c>
      <x:c r="G874" s="9" t="str">
        <x:v>https://poke.idleworld.online/pokepedia/pokemon/totodile</x:v>
      </x:c>
    </x:row>
    <x:row r="875" ht="22" customHeight="1">
      <x:c r="A875" s="1" t="n">
        <x:v>158</x:v>
      </x:c>
      <x:c r="B875" s="1" t="str">
        <x:v>Totodile</x:v>
      </x:c>
      <x:c r="C875" s="1" t="str">
        <x:v>Nail</x:v>
      </x:c>
      <x:c r="D875" s="1" t="n">
        <x:v>1</x:v>
      </x:c>
      <x:c r="E875" s="1" t="n">
        <x:v>1</x:v>
      </x:c>
      <x:c r="F875" s="13" t="n">
        <x:v>0.2646218</x:v>
      </x:c>
      <x:c r="G875" s="9" t="str">
        <x:v>https://poke.idleworld.online/pokepedia/pokemon/totodile</x:v>
      </x:c>
    </x:row>
    <x:row r="876" ht="22" customHeight="1">
      <x:c r="A876" s="1" t="n">
        <x:v>158</x:v>
      </x:c>
      <x:c r="B876" s="1" t="str">
        <x:v>Totodile</x:v>
      </x:c>
      <x:c r="C876" s="1" t="str">
        <x:v>Red Scale</x:v>
      </x:c>
      <x:c r="D876" s="1" t="n">
        <x:v>1</x:v>
      </x:c>
      <x:c r="E876" s="1" t="n">
        <x:v>1</x:v>
      </x:c>
      <x:c r="F876" s="13" t="n">
        <x:v>0.0661554</x:v>
      </x:c>
      <x:c r="G876" s="9" t="str">
        <x:v>https://poke.idleworld.online/pokepedia/pokemon/totodile</x:v>
      </x:c>
    </x:row>
    <x:row r="877" ht="22" customHeight="1">
      <x:c r="A877" s="1" t="n">
        <x:v>158</x:v>
      </x:c>
      <x:c r="B877" s="1" t="str">
        <x:v>Totodile</x:v>
      </x:c>
      <x:c r="C877" s="1" t="str">
        <x:v>Water Pendant</x:v>
      </x:c>
      <x:c r="D877" s="1" t="n">
        <x:v>1</x:v>
      </x:c>
      <x:c r="E877" s="1" t="n">
        <x:v>1</x:v>
      </x:c>
      <x:c r="F877" s="13" t="n">
        <x:v>0.2646218</x:v>
      </x:c>
      <x:c r="G877" s="9" t="str">
        <x:v>https://poke.idleworld.online/pokepedia/pokemon/totodile</x:v>
      </x:c>
    </x:row>
    <x:row r="878" ht="22" customHeight="1">
      <x:c r="A878" s="1" t="n">
        <x:v>159</x:v>
      </x:c>
      <x:c r="B878" s="1" t="str">
        <x:v>Croconaw</x:v>
      </x:c>
      <x:c r="C878" s="1" t="str">
        <x:v>Strange Pheromone</x:v>
      </x:c>
      <x:c r="D878" s="1" t="n">
        <x:v>1</x:v>
      </x:c>
      <x:c r="E878" s="1" t="n">
        <x:v>1</x:v>
      </x:c>
      <x:c r="F878" s="13" t="n">
        <x:v>0</x:v>
      </x:c>
      <x:c r="G878" s="9" t="str">
        <x:v>https://poke.idleworld.online/pokepedia/pokemon/croconaw</x:v>
      </x:c>
    </x:row>
    <x:row r="879" ht="22" customHeight="1">
      <x:c r="A879" s="1" t="n">
        <x:v>159</x:v>
      </x:c>
      <x:c r="B879" s="1" t="str">
        <x:v>Croconaw</x:v>
      </x:c>
      <x:c r="C879" s="1" t="str">
        <x:v>Water Gem</x:v>
      </x:c>
      <x:c r="D879" s="1" t="n">
        <x:v>1</x:v>
      </x:c>
      <x:c r="E879" s="1" t="n">
        <x:v>5</x:v>
      </x:c>
      <x:c r="F879" s="13" t="n">
        <x:v>0.7030457000000001</x:v>
      </x:c>
      <x:c r="G879" s="9" t="str">
        <x:v>https://poke.idleworld.online/pokepedia/pokemon/croconaw</x:v>
      </x:c>
    </x:row>
    <x:row r="880" ht="22" customHeight="1">
      <x:c r="A880" s="1" t="n">
        <x:v>159</x:v>
      </x:c>
      <x:c r="B880" s="1" t="str">
        <x:v>Croconaw</x:v>
      </x:c>
      <x:c r="C880" s="1" t="str">
        <x:v>Water Stone</x:v>
      </x:c>
      <x:c r="D880" s="1" t="n">
        <x:v>1</x:v>
      </x:c>
      <x:c r="E880" s="1" t="n">
        <x:v>1</x:v>
      </x:c>
      <x:c r="F880" s="13" t="n">
        <x:v>0.0026726999999999996</x:v>
      </x:c>
      <x:c r="G880" s="9" t="str">
        <x:v>https://poke.idleworld.online/pokepedia/pokemon/croconaw</x:v>
      </x:c>
    </x:row>
    <x:row r="881" ht="22" customHeight="1">
      <x:c r="A881" s="1" t="n">
        <x:v>159</x:v>
      </x:c>
      <x:c r="B881" s="1" t="str">
        <x:v>Croconaw</x:v>
      </x:c>
      <x:c r="C881" s="1" t="str">
        <x:v>Red Scale</x:v>
      </x:c>
      <x:c r="D881" s="1" t="n">
        <x:v>1</x:v>
      </x:c>
      <x:c r="E881" s="1" t="n">
        <x:v>2</x:v>
      </x:c>
      <x:c r="F881" s="13" t="n">
        <x:v>0.12789540000000002</x:v>
      </x:c>
      <x:c r="G881" s="9" t="str">
        <x:v>https://poke.idleworld.online/pokepedia/pokemon/croconaw</x:v>
      </x:c>
    </x:row>
    <x:row r="882" ht="22" customHeight="1">
      <x:c r="A882" s="1" t="n">
        <x:v>159</x:v>
      </x:c>
      <x:c r="B882" s="1" t="str">
        <x:v>Croconaw</x:v>
      </x:c>
      <x:c r="C882" s="1" t="str">
        <x:v>Water Pendant</x:v>
      </x:c>
      <x:c r="D882" s="1" t="n">
        <x:v>1</x:v>
      </x:c>
      <x:c r="E882" s="1" t="n">
        <x:v>1</x:v>
      </x:c>
      <x:c r="F882" s="13" t="n">
        <x:v>0.1874788</x:v>
      </x:c>
      <x:c r="G882" s="9" t="str">
        <x:v>https://poke.idleworld.online/pokepedia/pokemon/croconaw</x:v>
      </x:c>
    </x:row>
    <x:row r="883" ht="22" customHeight="1">
      <x:c r="A883" s="1" t="n">
        <x:v>159</x:v>
      </x:c>
      <x:c r="B883" s="1" t="str">
        <x:v>Croconaw</x:v>
      </x:c>
      <x:c r="C883" s="1" t="str">
        <x:v>Nail</x:v>
      </x:c>
      <x:c r="D883" s="1" t="n">
        <x:v>1</x:v>
      </x:c>
      <x:c r="E883" s="1" t="n">
        <x:v>1</x:v>
      </x:c>
      <x:c r="F883" s="13" t="n">
        <x:v>0.1874788</x:v>
      </x:c>
      <x:c r="G883" s="9" t="str">
        <x:v>https://poke.idleworld.online/pokepedia/pokemon/croconaw</x:v>
      </x:c>
    </x:row>
    <x:row r="884" ht="22" customHeight="1">
      <x:c r="A884" s="1" t="n">
        <x:v>160</x:v>
      </x:c>
      <x:c r="B884" s="1" t="str">
        <x:v>Feraligatr</x:v>
      </x:c>
      <x:c r="C884" s="1" t="str">
        <x:v>Strange Pheromone</x:v>
      </x:c>
      <x:c r="D884" s="1" t="n">
        <x:v>1</x:v>
      </x:c>
      <x:c r="E884" s="1" t="n">
        <x:v>1</x:v>
      </x:c>
      <x:c r="F884" s="13" t="n">
        <x:v>0</x:v>
      </x:c>
      <x:c r="G884" s="9" t="str">
        <x:v>https://poke.idleworld.online/pokepedia/pokemon/feraligatr</x:v>
      </x:c>
    </x:row>
    <x:row r="885" ht="22" customHeight="1">
      <x:c r="A885" s="1" t="n">
        <x:v>160</x:v>
      </x:c>
      <x:c r="B885" s="1" t="str">
        <x:v>Feraligatr</x:v>
      </x:c>
      <x:c r="C885" s="1" t="str">
        <x:v>Water Gem</x:v>
      </x:c>
      <x:c r="D885" s="1" t="n">
        <x:v>1</x:v>
      </x:c>
      <x:c r="E885" s="1" t="n">
        <x:v>1</x:v>
      </x:c>
      <x:c r="F885" s="13" t="n">
        <x:v>0.043087</x:v>
      </x:c>
      <x:c r="G885" s="9" t="str">
        <x:v>https://poke.idleworld.online/pokepedia/pokemon/feraligatr</x:v>
      </x:c>
    </x:row>
    <x:row r="886" ht="22" customHeight="1">
      <x:c r="A886" s="1" t="n">
        <x:v>160</x:v>
      </x:c>
      <x:c r="B886" s="1" t="str">
        <x:v>Feraligatr</x:v>
      </x:c>
      <x:c r="C886" s="1" t="str">
        <x:v>Water Stone</x:v>
      </x:c>
      <x:c r="D886" s="1" t="n">
        <x:v>1</x:v>
      </x:c>
      <x:c r="E886" s="1" t="n">
        <x:v>1</x:v>
      </x:c>
      <x:c r="F886" s="13" t="n">
        <x:v>0.00301</x:v>
      </x:c>
      <x:c r="G886" s="9" t="str">
        <x:v>https://poke.idleworld.online/pokepedia/pokemon/feraligatr</x:v>
      </x:c>
    </x:row>
    <x:row r="887" ht="22" customHeight="1">
      <x:c r="A887" s="1" t="n">
        <x:v>160</x:v>
      </x:c>
      <x:c r="B887" s="1" t="str">
        <x:v>Feraligatr</x:v>
      </x:c>
      <x:c r="C887" s="1" t="str">
        <x:v>Red Scale</x:v>
      </x:c>
      <x:c r="D887" s="1" t="n">
        <x:v>1</x:v>
      </x:c>
      <x:c r="E887" s="1" t="n">
        <x:v>4</x:v>
      </x:c>
      <x:c r="F887" s="13" t="n">
        <x:v>0.28620599999999996</x:v>
      </x:c>
      <x:c r="G887" s="9" t="str">
        <x:v>https://poke.idleworld.online/pokepedia/pokemon/feraligatr</x:v>
      </x:c>
    </x:row>
    <x:row r="888" ht="22" customHeight="1">
      <x:c r="A888" s="1" t="n">
        <x:v>160</x:v>
      </x:c>
      <x:c r="B888" s="1" t="str">
        <x:v>Feraligatr</x:v>
      </x:c>
      <x:c r="C888" s="1" t="str">
        <x:v>Water Pendant</x:v>
      </x:c>
      <x:c r="D888" s="1" t="n">
        <x:v>1</x:v>
      </x:c>
      <x:c r="E888" s="1" t="n">
        <x:v>4</x:v>
      </x:c>
      <x:c r="F888" s="13" t="n">
        <x:v>0.28696</x:v>
      </x:c>
      <x:c r="G888" s="9" t="str">
        <x:v>https://poke.idleworld.online/pokepedia/pokemon/feraligatr</x:v>
      </x:c>
    </x:row>
    <x:row r="889" ht="22" customHeight="1">
      <x:c r="A889" s="1" t="n">
        <x:v>160</x:v>
      </x:c>
      <x:c r="B889" s="1" t="str">
        <x:v>Feraligatr</x:v>
      </x:c>
      <x:c r="C889" s="1" t="str">
        <x:v>Nail</x:v>
      </x:c>
      <x:c r="D889" s="1" t="n">
        <x:v>1</x:v>
      </x:c>
      <x:c r="E889" s="1" t="n">
        <x:v>4</x:v>
      </x:c>
      <x:c r="F889" s="13" t="n">
        <x:v>0.28696</x:v>
      </x:c>
      <x:c r="G889" s="9" t="str">
        <x:v>https://poke.idleworld.online/pokepedia/pokemon/feraligatr</x:v>
      </x:c>
    </x:row>
    <x:row r="890" ht="22" customHeight="1">
      <x:c r="A890" s="1" t="n">
        <x:v>161</x:v>
      </x:c>
      <x:c r="B890" s="1" t="str">
        <x:v>Sentret</x:v>
      </x:c>
      <x:c r="C890" s="1" t="str">
        <x:v>Strange Pheromone</x:v>
      </x:c>
      <x:c r="D890" s="1" t="n">
        <x:v>1</x:v>
      </x:c>
      <x:c r="E890" s="1" t="n">
        <x:v>1</x:v>
      </x:c>
      <x:c r="F890" s="13" t="n">
        <x:v>0</x:v>
      </x:c>
      <x:c r="G890" s="9" t="str">
        <x:v>https://poke.idleworld.online/pokepedia/pokemon/sentret</x:v>
      </x:c>
    </x:row>
    <x:row r="891" ht="22" customHeight="1">
      <x:c r="A891" s="1" t="n">
        <x:v>161</x:v>
      </x:c>
      <x:c r="B891" s="1" t="str">
        <x:v>Sentret</x:v>
      </x:c>
      <x:c r="C891" s="1" t="str">
        <x:v>Rubber Ball</x:v>
      </x:c>
      <x:c r="D891" s="1" t="n">
        <x:v>1</x:v>
      </x:c>
      <x:c r="E891" s="1" t="n">
        <x:v>5</x:v>
      </x:c>
      <x:c r="F891" s="13" t="n">
        <x:v>0.0847342</x:v>
      </x:c>
      <x:c r="G891" s="9" t="str">
        <x:v>https://poke.idleworld.online/pokepedia/pokemon/sentret</x:v>
      </x:c>
    </x:row>
    <x:row r="892" ht="22" customHeight="1">
      <x:c r="A892" s="1" t="n">
        <x:v>161</x:v>
      </x:c>
      <x:c r="B892" s="1" t="str">
        <x:v>Sentret</x:v>
      </x:c>
      <x:c r="C892" s="1" t="str">
        <x:v>Fur</x:v>
      </x:c>
      <x:c r="D892" s="1" t="n">
        <x:v>1</x:v>
      </x:c>
      <x:c r="E892" s="1" t="n">
        <x:v>2</x:v>
      </x:c>
      <x:c r="F892" s="13" t="n">
        <x:v>0.0317753</x:v>
      </x:c>
      <x:c r="G892" s="9" t="str">
        <x:v>https://poke.idleworld.online/pokepedia/pokemon/sentret</x:v>
      </x:c>
    </x:row>
    <x:row r="893" ht="22" customHeight="1">
      <x:c r="A893" s="1" t="n">
        <x:v>161</x:v>
      </x:c>
      <x:c r="B893" s="1" t="str">
        <x:v>Sentret</x:v>
      </x:c>
      <x:c r="C893" s="1" t="str">
        <x:v>Squirrel Tail</x:v>
      </x:c>
      <x:c r="D893" s="1" t="n">
        <x:v>1</x:v>
      </x:c>
      <x:c r="E893" s="1" t="n">
        <x:v>17</x:v>
      </x:c>
      <x:c r="F893" s="13" t="n">
        <x:v>0.0208848</x:v>
      </x:c>
      <x:c r="G893" s="9" t="str">
        <x:v>https://poke.idleworld.online/pokepedia/pokemon/sentret</x:v>
      </x:c>
    </x:row>
    <x:row r="894" ht="22" customHeight="1">
      <x:c r="A894" s="1" t="n">
        <x:v>162</x:v>
      </x:c>
      <x:c r="B894" s="1" t="str">
        <x:v>Furret</x:v>
      </x:c>
      <x:c r="C894" s="1" t="str">
        <x:v>Strange Pheromone</x:v>
      </x:c>
      <x:c r="D894" s="1" t="n">
        <x:v>1</x:v>
      </x:c>
      <x:c r="E894" s="1" t="n">
        <x:v>1</x:v>
      </x:c>
      <x:c r="F894" s="13" t="n">
        <x:v>0</x:v>
      </x:c>
      <x:c r="G894" s="9" t="str">
        <x:v>https://poke.idleworld.online/pokepedia/pokemon/furret</x:v>
      </x:c>
    </x:row>
    <x:row r="895" ht="22" customHeight="1">
      <x:c r="A895" s="1" t="n">
        <x:v>162</x:v>
      </x:c>
      <x:c r="B895" s="1" t="str">
        <x:v>Furret</x:v>
      </x:c>
      <x:c r="C895" s="1" t="str">
        <x:v>Rubber Ball</x:v>
      </x:c>
      <x:c r="D895" s="1" t="n">
        <x:v>1</x:v>
      </x:c>
      <x:c r="E895" s="1" t="n">
        <x:v>5</x:v>
      </x:c>
      <x:c r="F895" s="13" t="n">
        <x:v>0.0865243</x:v>
      </x:c>
      <x:c r="G895" s="9" t="str">
        <x:v>https://poke.idleworld.online/pokepedia/pokemon/furret</x:v>
      </x:c>
    </x:row>
    <x:row r="896" ht="22" customHeight="1">
      <x:c r="A896" s="1" t="n">
        <x:v>162</x:v>
      </x:c>
      <x:c r="B896" s="1" t="str">
        <x:v>Furret</x:v>
      </x:c>
      <x:c r="C896" s="1" t="str">
        <x:v>Fur</x:v>
      </x:c>
      <x:c r="D896" s="1" t="n">
        <x:v>1</x:v>
      </x:c>
      <x:c r="E896" s="1" t="n">
        <x:v>4</x:v>
      </x:c>
      <x:c r="F896" s="13" t="n">
        <x:v>0.048669899999999995</x:v>
      </x:c>
      <x:c r="G896" s="9" t="str">
        <x:v>https://poke.idleworld.online/pokepedia/pokemon/furret</x:v>
      </x:c>
    </x:row>
    <x:row r="897" ht="22" customHeight="1">
      <x:c r="A897" s="1" t="n">
        <x:v>162</x:v>
      </x:c>
      <x:c r="B897" s="1" t="str">
        <x:v>Furret</x:v>
      </x:c>
      <x:c r="C897" s="1" t="str">
        <x:v>Heart Stone</x:v>
      </x:c>
      <x:c r="D897" s="1" t="n">
        <x:v>1</x:v>
      </x:c>
      <x:c r="E897" s="1" t="n">
        <x:v>1</x:v>
      </x:c>
      <x:c r="F897" s="13" t="n">
        <x:v>0.0025274</x:v>
      </x:c>
      <x:c r="G897" s="9" t="str">
        <x:v>https://poke.idleworld.online/pokepedia/pokemon/furret</x:v>
      </x:c>
    </x:row>
    <x:row r="898" ht="22" customHeight="1">
      <x:c r="A898" s="1" t="n">
        <x:v>162</x:v>
      </x:c>
      <x:c r="B898" s="1" t="str">
        <x:v>Furret</x:v>
      </x:c>
      <x:c r="C898" s="1" t="str">
        <x:v>Squirrel Tail</x:v>
      </x:c>
      <x:c r="D898" s="1" t="n">
        <x:v>1</x:v>
      </x:c>
      <x:c r="E898" s="1" t="n">
        <x:v>32</x:v>
      </x:c>
      <x:c r="F898" s="13" t="n">
        <x:v>0.0214798</x:v>
      </x:c>
      <x:c r="G898" s="9" t="str">
        <x:v>https://poke.idleworld.online/pokepedia/pokemon/furret</x:v>
      </x:c>
    </x:row>
    <x:row r="899" ht="22" customHeight="1">
      <x:c r="A899" s="1" t="n">
        <x:v>163</x:v>
      </x:c>
      <x:c r="B899" s="1" t="str">
        <x:v>Hoothoot</x:v>
      </x:c>
      <x:c r="C899" s="1" t="str">
        <x:v>Strange Pheromone</x:v>
      </x:c>
      <x:c r="D899" s="1" t="n">
        <x:v>1</x:v>
      </x:c>
      <x:c r="E899" s="1" t="n">
        <x:v>1</x:v>
      </x:c>
      <x:c r="F899" s="13" t="n">
        <x:v>0</x:v>
      </x:c>
      <x:c r="G899" s="9" t="str">
        <x:v>https://poke.idleworld.online/pokepedia/pokemon/hoothoot</x:v>
      </x:c>
    </x:row>
    <x:row r="900" ht="22" customHeight="1">
      <x:c r="A900" s="1" t="n">
        <x:v>163</x:v>
      </x:c>
      <x:c r="B900" s="1" t="str">
        <x:v>Hoothoot</x:v>
      </x:c>
      <x:c r="C900" s="1" t="str">
        <x:v>Straw</x:v>
      </x:c>
      <x:c r="D900" s="1" t="n">
        <x:v>1</x:v>
      </x:c>
      <x:c r="E900" s="1" t="n">
        <x:v>5</x:v>
      </x:c>
      <x:c r="F900" s="13" t="n">
        <x:v>0.49723330000000004</x:v>
      </x:c>
      <x:c r="G900" s="9" t="str">
        <x:v>https://poke.idleworld.online/pokepedia/pokemon/hoothoot</x:v>
      </x:c>
    </x:row>
    <x:row r="901" ht="22" customHeight="1">
      <x:c r="A901" s="1" t="n">
        <x:v>163</x:v>
      </x:c>
      <x:c r="B901" s="1" t="str">
        <x:v>Hoothoot</x:v>
      </x:c>
      <x:c r="C901" s="1" t="str">
        <x:v>Rubber Ball</x:v>
      </x:c>
      <x:c r="D901" s="1" t="n">
        <x:v>1</x:v>
      </x:c>
      <x:c r="E901" s="1" t="n">
        <x:v>5</x:v>
      </x:c>
      <x:c r="F901" s="13" t="n">
        <x:v>0.49723330000000004</x:v>
      </x:c>
      <x:c r="G901" s="9" t="str">
        <x:v>https://poke.idleworld.online/pokepedia/pokemon/hoothoot</x:v>
      </x:c>
    </x:row>
    <x:row r="902" ht="22" customHeight="1">
      <x:c r="A902" s="1" t="n">
        <x:v>163</x:v>
      </x:c>
      <x:c r="B902" s="1" t="str">
        <x:v>Hoothoot</x:v>
      </x:c>
      <x:c r="C902" s="1" t="str">
        <x:v>Feather</x:v>
      </x:c>
      <x:c r="D902" s="1" t="n">
        <x:v>1</x:v>
      </x:c>
      <x:c r="E902" s="1" t="n">
        <x:v>5</x:v>
      </x:c>
      <x:c r="F902" s="13" t="n">
        <x:v>0.49723330000000004</x:v>
      </x:c>
      <x:c r="G902" s="9" t="str">
        <x:v>https://poke.idleworld.online/pokepedia/pokemon/hoothoot</x:v>
      </x:c>
    </x:row>
    <x:row r="903" ht="22" customHeight="1">
      <x:c r="A903" s="1" t="n">
        <x:v>163</x:v>
      </x:c>
      <x:c r="B903" s="1" t="str">
        <x:v>Hoothoot</x:v>
      </x:c>
      <x:c r="C903" s="1" t="str">
        <x:v>Owl Feather</x:v>
      </x:c>
      <x:c r="D903" s="1" t="n">
        <x:v>1</x:v>
      </x:c>
      <x:c r="E903" s="1" t="n">
        <x:v>1</x:v>
      </x:c>
      <x:c r="F903" s="13" t="n">
        <x:v>0.0901869</x:v>
      </x:c>
      <x:c r="G903" s="9" t="str">
        <x:v>https://poke.idleworld.online/pokepedia/pokemon/hoothoot</x:v>
      </x:c>
    </x:row>
    <x:row r="904" ht="22" customHeight="1">
      <x:c r="A904" s="1" t="n">
        <x:v>164</x:v>
      </x:c>
      <x:c r="B904" s="1" t="str">
        <x:v>Noctowl</x:v>
      </x:c>
      <x:c r="C904" s="1" t="str">
        <x:v>Strange Pheromone</x:v>
      </x:c>
      <x:c r="D904" s="1" t="n">
        <x:v>1</x:v>
      </x:c>
      <x:c r="E904" s="1" t="n">
        <x:v>1</x:v>
      </x:c>
      <x:c r="F904" s="13" t="n">
        <x:v>0</x:v>
      </x:c>
      <x:c r="G904" s="9" t="str">
        <x:v>https://poke.idleworld.online/pokepedia/pokemon/noctowl</x:v>
      </x:c>
    </x:row>
    <x:row r="905" ht="22" customHeight="1">
      <x:c r="A905" s="1" t="n">
        <x:v>164</x:v>
      </x:c>
      <x:c r="B905" s="1" t="str">
        <x:v>Noctowl</x:v>
      </x:c>
      <x:c r="C905" s="1" t="str">
        <x:v>Straw</x:v>
      </x:c>
      <x:c r="D905" s="1" t="n">
        <x:v>1</x:v>
      </x:c>
      <x:c r="E905" s="1" t="n">
        <x:v>6</x:v>
      </x:c>
      <x:c r="F905" s="13" t="n">
        <x:v>0.95</x:v>
      </x:c>
      <x:c r="G905" s="9" t="str">
        <x:v>https://poke.idleworld.online/pokepedia/pokemon/noctowl</x:v>
      </x:c>
    </x:row>
    <x:row r="906" ht="22" customHeight="1">
      <x:c r="A906" s="1" t="n">
        <x:v>164</x:v>
      </x:c>
      <x:c r="B906" s="1" t="str">
        <x:v>Noctowl</x:v>
      </x:c>
      <x:c r="C906" s="1" t="str">
        <x:v>Rubber Ball</x:v>
      </x:c>
      <x:c r="D906" s="1" t="n">
        <x:v>1</x:v>
      </x:c>
      <x:c r="E906" s="1" t="n">
        <x:v>5</x:v>
      </x:c>
      <x:c r="F906" s="13" t="n">
        <x:v>0.95</x:v>
      </x:c>
      <x:c r="G906" s="9" t="str">
        <x:v>https://poke.idleworld.online/pokepedia/pokemon/noctowl</x:v>
      </x:c>
    </x:row>
    <x:row r="907" ht="22" customHeight="1">
      <x:c r="A907" s="1" t="n">
        <x:v>164</x:v>
      </x:c>
      <x:c r="B907" s="1" t="str">
        <x:v>Noctowl</x:v>
      </x:c>
      <x:c r="C907" s="1" t="str">
        <x:v>Feather</x:v>
      </x:c>
      <x:c r="D907" s="1" t="n">
        <x:v>1</x:v>
      </x:c>
      <x:c r="E907" s="1" t="n">
        <x:v>10</x:v>
      </x:c>
      <x:c r="F907" s="13" t="n">
        <x:v>0.9442162</x:v>
      </x:c>
      <x:c r="G907" s="9" t="str">
        <x:v>https://poke.idleworld.online/pokepedia/pokemon/noctowl</x:v>
      </x:c>
    </x:row>
    <x:row r="908" ht="22" customHeight="1">
      <x:c r="A908" s="1" t="n">
        <x:v>164</x:v>
      </x:c>
      <x:c r="B908" s="1" t="str">
        <x:v>Noctowl</x:v>
      </x:c>
      <x:c r="C908" s="1" t="str">
        <x:v>Feather Stone</x:v>
      </x:c>
      <x:c r="D908" s="1" t="n">
        <x:v>1</x:v>
      </x:c>
      <x:c r="E908" s="1" t="n">
        <x:v>1</x:v>
      </x:c>
      <x:c r="F908" s="13" t="n">
        <x:v>0.0029400999999999997</x:v>
      </x:c>
      <x:c r="G908" s="9" t="str">
        <x:v>https://poke.idleworld.online/pokepedia/pokemon/noctowl</x:v>
      </x:c>
    </x:row>
    <x:row r="909" ht="22" customHeight="1">
      <x:c r="A909" s="1" t="n">
        <x:v>164</x:v>
      </x:c>
      <x:c r="B909" s="1" t="str">
        <x:v>Noctowl</x:v>
      </x:c>
      <x:c r="C909" s="1" t="str">
        <x:v>Owl Feather</x:v>
      </x:c>
      <x:c r="D909" s="1" t="n">
        <x:v>1</x:v>
      </x:c>
      <x:c r="E909" s="1" t="n">
        <x:v>1</x:v>
      </x:c>
      <x:c r="F909" s="13" t="n">
        <x:v>0.20222</x:v>
      </x:c>
      <x:c r="G909" s="9" t="str">
        <x:v>https://poke.idleworld.online/pokepedia/pokemon/noctowl</x:v>
      </x:c>
    </x:row>
    <x:row r="910" ht="22" customHeight="1">
      <x:c r="A910" s="1" t="n">
        <x:v>164</x:v>
      </x:c>
      <x:c r="B910" s="1" t="str">
        <x:v>Noctowl</x:v>
      </x:c>
      <x:c r="C910" s="1" t="str">
        <x:v>Heart Stone</x:v>
      </x:c>
      <x:c r="D910" s="1" t="n">
        <x:v>1</x:v>
      </x:c>
      <x:c r="E910" s="1" t="n">
        <x:v>1</x:v>
      </x:c>
      <x:c r="F910" s="13" t="n">
        <x:v>0.0036982</x:v>
      </x:c>
      <x:c r="G910" s="9" t="str">
        <x:v>https://poke.idleworld.online/pokepedia/pokemon/noctowl</x:v>
      </x:c>
    </x:row>
    <x:row r="911" ht="22" customHeight="1">
      <x:c r="A911" s="1" t="n">
        <x:v>165</x:v>
      </x:c>
      <x:c r="B911" s="1" t="str">
        <x:v>Ledyba</x:v>
      </x:c>
      <x:c r="C911" s="1" t="str">
        <x:v>Strange Pheromone</x:v>
      </x:c>
      <x:c r="D911" s="1" t="n">
        <x:v>1</x:v>
      </x:c>
      <x:c r="E911" s="1" t="n">
        <x:v>1</x:v>
      </x:c>
      <x:c r="F911" s="13" t="n">
        <x:v>0</x:v>
      </x:c>
      <x:c r="G911" s="9" t="str">
        <x:v>https://poke.idleworld.online/pokepedia/pokemon/ledyba</x:v>
      </x:c>
    </x:row>
    <x:row r="912" ht="22" customHeight="1">
      <x:c r="A912" s="1" t="n">
        <x:v>165</x:v>
      </x:c>
      <x:c r="B912" s="1" t="str">
        <x:v>Ledyba</x:v>
      </x:c>
      <x:c r="C912" s="1" t="str">
        <x:v>Straw</x:v>
      </x:c>
      <x:c r="D912" s="1" t="n">
        <x:v>1</x:v>
      </x:c>
      <x:c r="E912" s="1" t="n">
        <x:v>5</x:v>
      </x:c>
      <x:c r="F912" s="13" t="n">
        <x:v>0.0482785</x:v>
      </x:c>
      <x:c r="G912" s="9" t="str">
        <x:v>https://poke.idleworld.online/pokepedia/pokemon/ledyba</x:v>
      </x:c>
    </x:row>
    <x:row r="913" ht="22" customHeight="1">
      <x:c r="A913" s="1" t="n">
        <x:v>165</x:v>
      </x:c>
      <x:c r="B913" s="1" t="str">
        <x:v>Ledyba</x:v>
      </x:c>
      <x:c r="C913" s="1" t="str">
        <x:v>Bug Gosme</x:v>
      </x:c>
      <x:c r="D913" s="1" t="n">
        <x:v>1</x:v>
      </x:c>
      <x:c r="E913" s="1" t="n">
        <x:v>1</x:v>
      </x:c>
      <x:c r="F913" s="13" t="n">
        <x:v>0.0048278</x:v>
      </x:c>
      <x:c r="G913" s="9" t="str">
        <x:v>https://poke.idleworld.online/pokepedia/pokemon/ledyba</x:v>
      </x:c>
    </x:row>
    <x:row r="914" ht="22" customHeight="1">
      <x:c r="A914" s="1" t="n">
        <x:v>165</x:v>
      </x:c>
      <x:c r="B914" s="1" t="str">
        <x:v>Ledyba</x:v>
      </x:c>
      <x:c r="C914" s="1" t="str">
        <x:v>Ladybug Wing</x:v>
      </x:c>
      <x:c r="D914" s="1" t="n">
        <x:v>1</x:v>
      </x:c>
      <x:c r="E914" s="1" t="n">
        <x:v>29</x:v>
      </x:c>
      <x:c r="F914" s="13" t="n">
        <x:v>0.011963900000000001</x:v>
      </x:c>
      <x:c r="G914" s="9" t="str">
        <x:v>https://poke.idleworld.online/pokepedia/pokemon/ledyba</x:v>
      </x:c>
    </x:row>
    <x:row r="915" ht="22" customHeight="1">
      <x:c r="A915" s="1" t="n">
        <x:v>165</x:v>
      </x:c>
      <x:c r="B915" s="1" t="str">
        <x:v>Ledyba</x:v>
      </x:c>
      <x:c r="C915" s="1" t="str">
        <x:v>Pot of Moss Bug</x:v>
      </x:c>
      <x:c r="D915" s="1" t="n">
        <x:v>1</x:v>
      </x:c>
      <x:c r="E915" s="1" t="n">
        <x:v>28</x:v>
      </x:c>
      <x:c r="F915" s="13" t="n">
        <x:v>0.0120696</x:v>
      </x:c>
      <x:c r="G915" s="9" t="str">
        <x:v>https://poke.idleworld.online/pokepedia/pokemon/ledyba</x:v>
      </x:c>
    </x:row>
    <x:row r="916" ht="22" customHeight="1">
      <x:c r="A916" s="1" t="n">
        <x:v>166</x:v>
      </x:c>
      <x:c r="B916" s="1" t="str">
        <x:v>Ledian</x:v>
      </x:c>
      <x:c r="C916" s="1" t="str">
        <x:v>Strange Pheromone</x:v>
      </x:c>
      <x:c r="D916" s="1" t="n">
        <x:v>1</x:v>
      </x:c>
      <x:c r="E916" s="1" t="n">
        <x:v>1</x:v>
      </x:c>
      <x:c r="F916" s="13" t="n">
        <x:v>0</x:v>
      </x:c>
      <x:c r="G916" s="9" t="str">
        <x:v>https://poke.idleworld.online/pokepedia/pokemon/ledian</x:v>
      </x:c>
    </x:row>
    <x:row r="917" ht="22" customHeight="1">
      <x:c r="A917" s="1" t="n">
        <x:v>166</x:v>
      </x:c>
      <x:c r="B917" s="1" t="str">
        <x:v>Ledian</x:v>
      </x:c>
      <x:c r="C917" s="1" t="str">
        <x:v>Straw</x:v>
      </x:c>
      <x:c r="D917" s="1" t="n">
        <x:v>1</x:v>
      </x:c>
      <x:c r="E917" s="1" t="n">
        <x:v>5</x:v>
      </x:c>
      <x:c r="F917" s="13" t="n">
        <x:v>0.0439709</x:v>
      </x:c>
      <x:c r="G917" s="9" t="str">
        <x:v>https://poke.idleworld.online/pokepedia/pokemon/ledian</x:v>
      </x:c>
    </x:row>
    <x:row r="918" ht="22" customHeight="1">
      <x:c r="A918" s="1" t="n">
        <x:v>166</x:v>
      </x:c>
      <x:c r="B918" s="1" t="str">
        <x:v>Ledian</x:v>
      </x:c>
      <x:c r="C918" s="1" t="str">
        <x:v>Bug Gosme</x:v>
      </x:c>
      <x:c r="D918" s="1" t="n">
        <x:v>1</x:v>
      </x:c>
      <x:c r="E918" s="1" t="n">
        <x:v>1</x:v>
      </x:c>
      <x:c r="F918" s="13" t="n">
        <x:v>0.0082445</x:v>
      </x:c>
      <x:c r="G918" s="9" t="str">
        <x:v>https://poke.idleworld.online/pokepedia/pokemon/ledian</x:v>
      </x:c>
    </x:row>
    <x:row r="919" ht="22" customHeight="1">
      <x:c r="A919" s="1" t="n">
        <x:v>166</x:v>
      </x:c>
      <x:c r="B919" s="1" t="str">
        <x:v>Ledian</x:v>
      </x:c>
      <x:c r="C919" s="1" t="str">
        <x:v>Cocoon Stone</x:v>
      </x:c>
      <x:c r="D919" s="1" t="n">
        <x:v>1</x:v>
      </x:c>
      <x:c r="E919" s="1" t="n">
        <x:v>1</x:v>
      </x:c>
      <x:c r="F919" s="13" t="n">
        <x:v>0.0022507</x:v>
      </x:c>
      <x:c r="G919" s="9" t="str">
        <x:v>https://poke.idleworld.online/pokepedia/pokemon/ledian</x:v>
      </x:c>
    </x:row>
    <x:row r="920" ht="22" customHeight="1">
      <x:c r="A920" s="1" t="n">
        <x:v>166</x:v>
      </x:c>
      <x:c r="B920" s="1" t="str">
        <x:v>Ledian</x:v>
      </x:c>
      <x:c r="C920" s="1" t="str">
        <x:v>Ladybug Wing</x:v>
      </x:c>
      <x:c r="D920" s="1" t="n">
        <x:v>1</x:v>
      </x:c>
      <x:c r="E920" s="1" t="n">
        <x:v>55</x:v>
      </x:c>
      <x:c r="F920" s="13" t="n">
        <x:v>0.0108518</x:v>
      </x:c>
      <x:c r="G920" s="9" t="str">
        <x:v>https://poke.idleworld.online/pokepedia/pokemon/ledian</x:v>
      </x:c>
    </x:row>
    <x:row r="921" ht="22" customHeight="1">
      <x:c r="A921" s="1" t="n">
        <x:v>166</x:v>
      </x:c>
      <x:c r="B921" s="1" t="str">
        <x:v>Ledian</x:v>
      </x:c>
      <x:c r="C921" s="1" t="str">
        <x:v>Pot of Moss Bug</x:v>
      </x:c>
      <x:c r="D921" s="1" t="n">
        <x:v>1</x:v>
      </x:c>
      <x:c r="E921" s="1" t="n">
        <x:v>54</x:v>
      </x:c>
      <x:c r="F921" s="13" t="n">
        <x:v>0.0109927</x:v>
      </x:c>
      <x:c r="G921" s="9" t="str">
        <x:v>https://poke.idleworld.online/pokepedia/pokemon/ledian</x:v>
      </x:c>
    </x:row>
    <x:row r="922" ht="22" customHeight="1">
      <x:c r="A922" s="1" t="n">
        <x:v>167</x:v>
      </x:c>
      <x:c r="B922" s="1" t="str">
        <x:v>Spinarak</x:v>
      </x:c>
      <x:c r="C922" s="1" t="str">
        <x:v>Strange Pheromone</x:v>
      </x:c>
      <x:c r="D922" s="1" t="n">
        <x:v>1</x:v>
      </x:c>
      <x:c r="E922" s="1" t="n">
        <x:v>1</x:v>
      </x:c>
      <x:c r="F922" s="13" t="n">
        <x:v>0</x:v>
      </x:c>
      <x:c r="G922" s="9" t="str">
        <x:v>https://poke.idleworld.online/pokepedia/pokemon/spinarak</x:v>
      </x:c>
    </x:row>
    <x:row r="923" ht="22" customHeight="1">
      <x:c r="A923" s="1" t="n">
        <x:v>167</x:v>
      </x:c>
      <x:c r="B923" s="1" t="str">
        <x:v>Spinarak</x:v>
      </x:c>
      <x:c r="C923" s="1" t="str">
        <x:v>Bug Gosme</x:v>
      </x:c>
      <x:c r="D923" s="1" t="n">
        <x:v>1</x:v>
      </x:c>
      <x:c r="E923" s="1" t="n">
        <x:v>5</x:v>
      </x:c>
      <x:c r="F923" s="13" t="n">
        <x:v>0.2175398</x:v>
      </x:c>
      <x:c r="G923" s="9" t="str">
        <x:v>https://poke.idleworld.online/pokepedia/pokemon/spinarak</x:v>
      </x:c>
    </x:row>
    <x:row r="924" ht="22" customHeight="1">
      <x:c r="A924" s="1" t="n">
        <x:v>167</x:v>
      </x:c>
      <x:c r="B924" s="1" t="str">
        <x:v>Spinarak</x:v>
      </x:c>
      <x:c r="C924" s="1" t="str">
        <x:v>Bottles of Poison</x:v>
      </x:c>
      <x:c r="D924" s="1" t="n">
        <x:v>1</x:v>
      </x:c>
      <x:c r="E924" s="1" t="n">
        <x:v>2</x:v>
      </x:c>
      <x:c r="F924" s="13" t="n">
        <x:v>0.032631</x:v>
      </x:c>
      <x:c r="G924" s="9" t="str">
        <x:v>https://poke.idleworld.online/pokepedia/pokemon/spinarak</x:v>
      </x:c>
    </x:row>
    <x:row r="925" ht="22" customHeight="1">
      <x:c r="A925" s="1" t="n">
        <x:v>167</x:v>
      </x:c>
      <x:c r="B925" s="1" t="str">
        <x:v>Spinarak</x:v>
      </x:c>
      <x:c r="C925" s="1" t="str">
        <x:v>Venom Stone</x:v>
      </x:c>
      <x:c r="D925" s="1" t="n">
        <x:v>1</x:v>
      </x:c>
      <x:c r="E925" s="1" t="n">
        <x:v>1</x:v>
      </x:c>
      <x:c r="F925" s="13" t="n">
        <x:v>0.0009423999999999999</x:v>
      </x:c>
      <x:c r="G925" s="9" t="str">
        <x:v>https://poke.idleworld.online/pokepedia/pokemon/spinarak</x:v>
      </x:c>
    </x:row>
    <x:row r="926" ht="22" customHeight="1">
      <x:c r="A926" s="1" t="n">
        <x:v>167</x:v>
      </x:c>
      <x:c r="B926" s="1" t="str">
        <x:v>Spinarak</x:v>
      </x:c>
      <x:c r="C926" s="1" t="str">
        <x:v>Spider Leg</x:v>
      </x:c>
      <x:c r="D926" s="1" t="n">
        <x:v>1</x:v>
      </x:c>
      <x:c r="E926" s="1" t="n">
        <x:v>4</x:v>
      </x:c>
      <x:c r="F926" s="13" t="n">
        <x:v>0.0483259</x:v>
      </x:c>
      <x:c r="G926" s="9" t="str">
        <x:v>https://poke.idleworld.online/pokepedia/pokemon/spinarak</x:v>
      </x:c>
    </x:row>
    <x:row r="927" ht="22" customHeight="1">
      <x:c r="A927" s="1" t="n">
        <x:v>167</x:v>
      </x:c>
      <x:c r="B927" s="1" t="str">
        <x:v>Spinarak</x:v>
      </x:c>
      <x:c r="C927" s="1" t="str">
        <x:v>Pot of Moss Bug</x:v>
      </x:c>
      <x:c r="D927" s="1" t="n">
        <x:v>1</x:v>
      </x:c>
      <x:c r="E927" s="1" t="n">
        <x:v>3</x:v>
      </x:c>
      <x:c r="F927" s="13" t="n">
        <x:v>0.054385</x:v>
      </x:c>
      <x:c r="G927" s="9" t="str">
        <x:v>https://poke.idleworld.online/pokepedia/pokemon/spinarak</x:v>
      </x:c>
    </x:row>
    <x:row r="928" ht="22" customHeight="1">
      <x:c r="A928" s="1" t="n">
        <x:v>168</x:v>
      </x:c>
      <x:c r="B928" s="1" t="str">
        <x:v>Ariados</x:v>
      </x:c>
      <x:c r="C928" s="1" t="str">
        <x:v>Strange Pheromone</x:v>
      </x:c>
      <x:c r="D928" s="1" t="n">
        <x:v>1</x:v>
      </x:c>
      <x:c r="E928" s="1" t="n">
        <x:v>1</x:v>
      </x:c>
      <x:c r="F928" s="13" t="n">
        <x:v>0</x:v>
      </x:c>
      <x:c r="G928" s="9" t="str">
        <x:v>https://poke.idleworld.online/pokepedia/pokemon/ariados</x:v>
      </x:c>
    </x:row>
    <x:row r="929" ht="22" customHeight="1">
      <x:c r="A929" s="1" t="n">
        <x:v>168</x:v>
      </x:c>
      <x:c r="B929" s="1" t="str">
        <x:v>Ariados</x:v>
      </x:c>
      <x:c r="C929" s="1" t="str">
        <x:v>Bug Gosme</x:v>
      </x:c>
      <x:c r="D929" s="1" t="n">
        <x:v>1</x:v>
      </x:c>
      <x:c r="E929" s="1" t="n">
        <x:v>5</x:v>
      </x:c>
      <x:c r="F929" s="13" t="n">
        <x:v>0.3159422</x:v>
      </x:c>
      <x:c r="G929" s="9" t="str">
        <x:v>https://poke.idleworld.online/pokepedia/pokemon/ariados</x:v>
      </x:c>
    </x:row>
    <x:row r="930" ht="22" customHeight="1">
      <x:c r="A930" s="1" t="n">
        <x:v>168</x:v>
      </x:c>
      <x:c r="B930" s="1" t="str">
        <x:v>Ariados</x:v>
      </x:c>
      <x:c r="C930" s="1" t="str">
        <x:v>Bottles of Poison</x:v>
      </x:c>
      <x:c r="D930" s="1" t="n">
        <x:v>1</x:v>
      </x:c>
      <x:c r="E930" s="1" t="n">
        <x:v>3</x:v>
      </x:c>
      <x:c r="F930" s="13" t="n">
        <x:v>0.0789856</x:v>
      </x:c>
      <x:c r="G930" s="9" t="str">
        <x:v>https://poke.idleworld.online/pokepedia/pokemon/ariados</x:v>
      </x:c>
    </x:row>
    <x:row r="931" ht="22" customHeight="1">
      <x:c r="A931" s="1" t="n">
        <x:v>168</x:v>
      </x:c>
      <x:c r="B931" s="1" t="str">
        <x:v>Ariados</x:v>
      </x:c>
      <x:c r="C931" s="1" t="str">
        <x:v>Venom Stone</x:v>
      </x:c>
      <x:c r="D931" s="1" t="n">
        <x:v>1</x:v>
      </x:c>
      <x:c r="E931" s="1" t="n">
        <x:v>1</x:v>
      </x:c>
      <x:c r="F931" s="13" t="n">
        <x:v>0.0008916</x:v>
      </x:c>
      <x:c r="G931" s="9" t="str">
        <x:v>https://poke.idleworld.online/pokepedia/pokemon/ariados</x:v>
      </x:c>
    </x:row>
    <x:row r="932" ht="22" customHeight="1">
      <x:c r="A932" s="1" t="n">
        <x:v>168</x:v>
      </x:c>
      <x:c r="B932" s="1" t="str">
        <x:v>Ariados</x:v>
      </x:c>
      <x:c r="C932" s="1" t="str">
        <x:v>Cocoon Stone</x:v>
      </x:c>
      <x:c r="D932" s="1" t="n">
        <x:v>1</x:v>
      </x:c>
      <x:c r="E932" s="1" t="n">
        <x:v>1</x:v>
      </x:c>
      <x:c r="F932" s="13" t="n">
        <x:v>0.0011887</x:v>
      </x:c>
      <x:c r="G932" s="9" t="str">
        <x:v>https://poke.idleworld.online/pokepedia/pokemon/ariados</x:v>
      </x:c>
    </x:row>
    <x:row r="933" ht="22" customHeight="1">
      <x:c r="A933" s="1" t="n">
        <x:v>168</x:v>
      </x:c>
      <x:c r="B933" s="1" t="str">
        <x:v>Ariados</x:v>
      </x:c>
      <x:c r="C933" s="1" t="str">
        <x:v>Pot of Moss Bug</x:v>
      </x:c>
      <x:c r="D933" s="1" t="n">
        <x:v>1</x:v>
      </x:c>
      <x:c r="E933" s="1" t="n">
        <x:v>6</x:v>
      </x:c>
      <x:c r="F933" s="13" t="n">
        <x:v>0.0789856</x:v>
      </x:c>
      <x:c r="G933" s="9" t="str">
        <x:v>https://poke.idleworld.online/pokepedia/pokemon/ariados</x:v>
      </x:c>
    </x:row>
    <x:row r="934" ht="22" customHeight="1">
      <x:c r="A934" s="1" t="n">
        <x:v>168</x:v>
      </x:c>
      <x:c r="B934" s="1" t="str">
        <x:v>Ariados</x:v>
      </x:c>
      <x:c r="C934" s="1" t="str">
        <x:v>Spider Leg</x:v>
      </x:c>
      <x:c r="D934" s="1" t="n">
        <x:v>1</x:v>
      </x:c>
      <x:c r="E934" s="1" t="n">
        <x:v>6</x:v>
      </x:c>
      <x:c r="F934" s="13" t="n">
        <x:v>0.0767505</x:v>
      </x:c>
      <x:c r="G934" s="9" t="str">
        <x:v>https://poke.idleworld.online/pokepedia/pokemon/ariados</x:v>
      </x:c>
    </x:row>
    <x:row r="935" ht="22" customHeight="1">
      <x:c r="A935" s="1" t="n">
        <x:v>169</x:v>
      </x:c>
      <x:c r="B935" s="1" t="str">
        <x:v>Crobat</x:v>
      </x:c>
      <x:c r="C935" s="1" t="str">
        <x:v>Strange Pheromone</x:v>
      </x:c>
      <x:c r="D935" s="1" t="n">
        <x:v>1</x:v>
      </x:c>
      <x:c r="E935" s="1" t="n">
        <x:v>1</x:v>
      </x:c>
      <x:c r="F935" s="13" t="n">
        <x:v>0</x:v>
      </x:c>
      <x:c r="G935" s="9" t="str">
        <x:v>https://poke.idleworld.online/pokepedia/pokemon/crobat</x:v>
      </x:c>
    </x:row>
    <x:row r="936" ht="22" customHeight="1">
      <x:c r="A936" s="1" t="n">
        <x:v>169</x:v>
      </x:c>
      <x:c r="B936" s="1" t="str">
        <x:v>Crobat</x:v>
      </x:c>
      <x:c r="C936" s="1" t="str">
        <x:v>Ancient Stone</x:v>
      </x:c>
      <x:c r="D936" s="1" t="n">
        <x:v>1</x:v>
      </x:c>
      <x:c r="E936" s="1" t="n">
        <x:v>1</x:v>
      </x:c>
      <x:c r="F936" s="13" t="n">
        <x:v>0.0002</x:v>
      </x:c>
      <x:c r="G936" s="9" t="str">
        <x:v>https://poke.idleworld.online/pokepedia/pokemon/crobat</x:v>
      </x:c>
    </x:row>
    <x:row r="937" ht="22" customHeight="1">
      <x:c r="A937" s="1" t="n">
        <x:v>169</x:v>
      </x:c>
      <x:c r="B937" s="1" t="str">
        <x:v>Crobat</x:v>
      </x:c>
      <x:c r="C937" s="1" t="str">
        <x:v>Straw</x:v>
      </x:c>
      <x:c r="D937" s="1" t="n">
        <x:v>1</x:v>
      </x:c>
      <x:c r="E937" s="1" t="n">
        <x:v>5</x:v>
      </x:c>
      <x:c r="F937" s="13" t="n">
        <x:v>0.18326009999999998</x:v>
      </x:c>
      <x:c r="G937" s="9" t="str">
        <x:v>https://poke.idleworld.online/pokepedia/pokemon/crobat</x:v>
      </x:c>
    </x:row>
    <x:row r="938" ht="22" customHeight="1">
      <x:c r="A938" s="1" t="n">
        <x:v>169</x:v>
      </x:c>
      <x:c r="B938" s="1" t="str">
        <x:v>Crobat</x:v>
      </x:c>
      <x:c r="C938" s="1" t="str">
        <x:v>Bottles of Poison</x:v>
      </x:c>
      <x:c r="D938" s="1" t="n">
        <x:v>1</x:v>
      </x:c>
      <x:c r="E938" s="1" t="n">
        <x:v>4</x:v>
      </x:c>
      <x:c r="F938" s="13" t="n">
        <x:v>0.103081</x:v>
      </x:c>
      <x:c r="G938" s="9" t="str">
        <x:v>https://poke.idleworld.online/pokepedia/pokemon/crobat</x:v>
      </x:c>
    </x:row>
    <x:row r="939" ht="22" customHeight="1">
      <x:c r="A939" s="1" t="n">
        <x:v>169</x:v>
      </x:c>
      <x:c r="B939" s="1" t="str">
        <x:v>Crobat</x:v>
      </x:c>
      <x:c r="C939" s="1" t="str">
        <x:v>Venom Stone</x:v>
      </x:c>
      <x:c r="D939" s="1" t="n">
        <x:v>1</x:v>
      </x:c>
      <x:c r="E939" s="1" t="n">
        <x:v>1</x:v>
      </x:c>
      <x:c r="F939" s="13" t="n">
        <x:v>0.00102</x:v>
      </x:c>
      <x:c r="G939" s="9" t="str">
        <x:v>https://poke.idleworld.online/pokepedia/pokemon/crobat</x:v>
      </x:c>
    </x:row>
    <x:row r="940" ht="22" customHeight="1">
      <x:c r="A940" s="1" t="n">
        <x:v>169</x:v>
      </x:c>
      <x:c r="B940" s="1" t="str">
        <x:v>Crobat</x:v>
      </x:c>
      <x:c r="C940" s="1" t="str">
        <x:v>Giant Bat Wing</x:v>
      </x:c>
      <x:c r="D940" s="1" t="n">
        <x:v>1</x:v>
      </x:c>
      <x:c r="E940" s="1" t="n">
        <x:v>4</x:v>
      </x:c>
      <x:c r="F940" s="13" t="n">
        <x:v>0.20080409999999999</x:v>
      </x:c>
      <x:c r="G940" s="9" t="str">
        <x:v>https://poke.idleworld.online/pokepedia/pokemon/crobat</x:v>
      </x:c>
    </x:row>
    <x:row r="941" ht="22" customHeight="1">
      <x:c r="A941" s="1" t="n">
        <x:v>169</x:v>
      </x:c>
      <x:c r="B941" s="1" t="str">
        <x:v>Crobat</x:v>
      </x:c>
      <x:c r="C941" s="1" t="str">
        <x:v>Tooth</x:v>
      </x:c>
      <x:c r="D941" s="1" t="n">
        <x:v>1</x:v>
      </x:c>
      <x:c r="E941" s="1" t="n">
        <x:v>3</x:v>
      </x:c>
      <x:c r="F941" s="13" t="n">
        <x:v>0.2238702</x:v>
      </x:c>
      <x:c r="G941" s="9" t="str">
        <x:v>https://poke.idleworld.online/pokepedia/pokemon/crobat</x:v>
      </x:c>
    </x:row>
    <x:row r="942" ht="22" customHeight="1">
      <x:c r="A942" s="1" t="n">
        <x:v>170</x:v>
      </x:c>
      <x:c r="B942" s="1" t="str">
        <x:v>Chinchou</x:v>
      </x:c>
      <x:c r="C942" s="1" t="str">
        <x:v>Strange Pheromone</x:v>
      </x:c>
      <x:c r="D942" s="1" t="n">
        <x:v>1</x:v>
      </x:c>
      <x:c r="E942" s="1" t="n">
        <x:v>1</x:v>
      </x:c>
      <x:c r="F942" s="13" t="n">
        <x:v>0</x:v>
      </x:c>
      <x:c r="G942" s="9" t="str">
        <x:v>https://poke.idleworld.online/pokepedia/pokemon/chinchou</x:v>
      </x:c>
    </x:row>
    <x:row r="943" ht="22" customHeight="1">
      <x:c r="A943" s="1" t="n">
        <x:v>170</x:v>
      </x:c>
      <x:c r="B943" s="1" t="str">
        <x:v>Chinchou</x:v>
      </x:c>
      <x:c r="C943" s="1" t="str">
        <x:v>Screw</x:v>
      </x:c>
      <x:c r="D943" s="1" t="n">
        <x:v>1</x:v>
      </x:c>
      <x:c r="E943" s="1" t="n">
        <x:v>5</x:v>
      </x:c>
      <x:c r="F943" s="13" t="n">
        <x:v>0.48822410000000005</x:v>
      </x:c>
      <x:c r="G943" s="9" t="str">
        <x:v>https://poke.idleworld.online/pokepedia/pokemon/chinchou</x:v>
      </x:c>
    </x:row>
    <x:row r="944" ht="22" customHeight="1">
      <x:c r="A944" s="1" t="n">
        <x:v>170</x:v>
      </x:c>
      <x:c r="B944" s="1" t="str">
        <x:v>Chinchou</x:v>
      </x:c>
      <x:c r="C944" s="1" t="str">
        <x:v>Water Gem</x:v>
      </x:c>
      <x:c r="D944" s="1" t="n">
        <x:v>1</x:v>
      </x:c>
      <x:c r="E944" s="1" t="n">
        <x:v>5</x:v>
      </x:c>
      <x:c r="F944" s="13" t="n">
        <x:v>0.48822410000000005</x:v>
      </x:c>
      <x:c r="G944" s="9" t="str">
        <x:v>https://poke.idleworld.online/pokepedia/pokemon/chinchou</x:v>
      </x:c>
    </x:row>
    <x:row r="945" ht="22" customHeight="1">
      <x:c r="A945" s="1" t="n">
        <x:v>170</x:v>
      </x:c>
      <x:c r="B945" s="1" t="str">
        <x:v>Chinchou</x:v>
      </x:c>
      <x:c r="C945" s="1" t="str">
        <x:v>Electric Box</x:v>
      </x:c>
      <x:c r="D945" s="1" t="n">
        <x:v>1</x:v>
      </x:c>
      <x:c r="E945" s="1" t="n">
        <x:v>1</x:v>
      </x:c>
      <x:c r="F945" s="13" t="n">
        <x:v>0.122056</x:v>
      </x:c>
      <x:c r="G945" s="9" t="str">
        <x:v>https://poke.idleworld.online/pokepedia/pokemon/chinchou</x:v>
      </x:c>
    </x:row>
    <x:row r="946" ht="22" customHeight="1">
      <x:c r="A946" s="1" t="n">
        <x:v>170</x:v>
      </x:c>
      <x:c r="B946" s="1" t="str">
        <x:v>Chinchou</x:v>
      </x:c>
      <x:c r="C946" s="1" t="str">
        <x:v>Thunder Stone</x:v>
      </x:c>
      <x:c r="D946" s="1" t="n">
        <x:v>1</x:v>
      </x:c>
      <x:c r="E946" s="1" t="n">
        <x:v>1</x:v>
      </x:c>
      <x:c r="F946" s="13" t="n">
        <x:v>0.0009674</x:v>
      </x:c>
      <x:c r="G946" s="9" t="str">
        <x:v>https://poke.idleworld.online/pokepedia/pokemon/chinchou</x:v>
      </x:c>
    </x:row>
    <x:row r="947" ht="22" customHeight="1">
      <x:c r="A947" s="1" t="n">
        <x:v>170</x:v>
      </x:c>
      <x:c r="B947" s="1" t="str">
        <x:v>Chinchou</x:v>
      </x:c>
      <x:c r="C947" s="1" t="str">
        <x:v>Point Of Light</x:v>
      </x:c>
      <x:c r="D947" s="1" t="n">
        <x:v>1</x:v>
      </x:c>
      <x:c r="E947" s="1" t="n">
        <x:v>1</x:v>
      </x:c>
      <x:c r="F947" s="13" t="n">
        <x:v>0.038416599999999995</x:v>
      </x:c>
      <x:c r="G947" s="9" t="str">
        <x:v>https://poke.idleworld.online/pokepedia/pokemon/chinchou</x:v>
      </x:c>
    </x:row>
    <x:row r="948" ht="22" customHeight="1">
      <x:c r="A948" s="1" t="n">
        <x:v>170</x:v>
      </x:c>
      <x:c r="B948" s="1" t="str">
        <x:v>Chinchou</x:v>
      </x:c>
      <x:c r="C948" s="1" t="str">
        <x:v>Water Pendant</x:v>
      </x:c>
      <x:c r="D948" s="1" t="n">
        <x:v>1</x:v>
      </x:c>
      <x:c r="E948" s="1" t="n">
        <x:v>1</x:v>
      </x:c>
      <x:c r="F948" s="13" t="n">
        <x:v>0.1536663</x:v>
      </x:c>
      <x:c r="G948" s="9" t="str">
        <x:v>https://poke.idleworld.online/pokepedia/pokemon/chinchou</x:v>
      </x:c>
    </x:row>
    <x:row r="949" ht="22" customHeight="1">
      <x:c r="A949" s="1" t="n">
        <x:v>171</x:v>
      </x:c>
      <x:c r="B949" s="1" t="str">
        <x:v>Lanturn</x:v>
      </x:c>
      <x:c r="C949" s="1" t="str">
        <x:v>Strange Pheromone</x:v>
      </x:c>
      <x:c r="D949" s="1" t="n">
        <x:v>1</x:v>
      </x:c>
      <x:c r="E949" s="1" t="n">
        <x:v>1</x:v>
      </x:c>
      <x:c r="F949" s="13" t="n">
        <x:v>0</x:v>
      </x:c>
      <x:c r="G949" s="9" t="str">
        <x:v>https://poke.idleworld.online/pokepedia/pokemon/lanturn</x:v>
      </x:c>
    </x:row>
    <x:row r="950" ht="22" customHeight="1">
      <x:c r="A950" s="1" t="n">
        <x:v>171</x:v>
      </x:c>
      <x:c r="B950" s="1" t="str">
        <x:v>Lanturn</x:v>
      </x:c>
      <x:c r="C950" s="1" t="str">
        <x:v>Screw</x:v>
      </x:c>
      <x:c r="D950" s="1" t="n">
        <x:v>1</x:v>
      </x:c>
      <x:c r="E950" s="1" t="n">
        <x:v>5</x:v>
      </x:c>
      <x:c r="F950" s="13" t="n">
        <x:v>0.6462911</x:v>
      </x:c>
      <x:c r="G950" s="9" t="str">
        <x:v>https://poke.idleworld.online/pokepedia/pokemon/lanturn</x:v>
      </x:c>
    </x:row>
    <x:row r="951" ht="22" customHeight="1">
      <x:c r="A951" s="1" t="n">
        <x:v>171</x:v>
      </x:c>
      <x:c r="B951" s="1" t="str">
        <x:v>Lanturn</x:v>
      </x:c>
      <x:c r="C951" s="1" t="str">
        <x:v>Electric Box</x:v>
      </x:c>
      <x:c r="D951" s="1" t="n">
        <x:v>1</x:v>
      </x:c>
      <x:c r="E951" s="1" t="n">
        <x:v>2</x:v>
      </x:c>
      <x:c r="F951" s="13" t="n">
        <x:v>0.2827422</x:v>
      </x:c>
      <x:c r="G951" s="9" t="str">
        <x:v>https://poke.idleworld.online/pokepedia/pokemon/lanturn</x:v>
      </x:c>
    </x:row>
    <x:row r="952" ht="22" customHeight="1">
      <x:c r="A952" s="1" t="n">
        <x:v>171</x:v>
      </x:c>
      <x:c r="B952" s="1" t="str">
        <x:v>Lanturn</x:v>
      </x:c>
      <x:c r="C952" s="1" t="str">
        <x:v>Water Gem</x:v>
      </x:c>
      <x:c r="D952" s="1" t="n">
        <x:v>1</x:v>
      </x:c>
      <x:c r="E952" s="1" t="n">
        <x:v>1</x:v>
      </x:c>
      <x:c r="F952" s="13" t="n">
        <x:v>0.040403299999999996</x:v>
      </x:c>
      <x:c r="G952" s="9" t="str">
        <x:v>https://poke.idleworld.online/pokepedia/pokemon/lanturn</x:v>
      </x:c>
    </x:row>
    <x:row r="953" ht="22" customHeight="1">
      <x:c r="A953" s="1" t="n">
        <x:v>171</x:v>
      </x:c>
      <x:c r="B953" s="1" t="str">
        <x:v>Lanturn</x:v>
      </x:c>
      <x:c r="C953" s="1" t="str">
        <x:v>Thunder Stone</x:v>
      </x:c>
      <x:c r="D953" s="1" t="n">
        <x:v>1</x:v>
      </x:c>
      <x:c r="E953" s="1" t="n">
        <x:v>1</x:v>
      </x:c>
      <x:c r="F953" s="13" t="n">
        <x:v>0.0018</x:v>
      </x:c>
      <x:c r="G953" s="9" t="str">
        <x:v>https://poke.idleworld.online/pokepedia/pokemon/lanturn</x:v>
      </x:c>
    </x:row>
    <x:row r="954" ht="22" customHeight="1">
      <x:c r="A954" s="1" t="n">
        <x:v>171</x:v>
      </x:c>
      <x:c r="B954" s="1" t="str">
        <x:v>Lanturn</x:v>
      </x:c>
      <x:c r="C954" s="1" t="str">
        <x:v>Point Of Light</x:v>
      </x:c>
      <x:c r="D954" s="1" t="n">
        <x:v>1</x:v>
      </x:c>
      <x:c r="E954" s="1" t="n">
        <x:v>1</x:v>
      </x:c>
      <x:c r="F954" s="13" t="n">
        <x:v>0.0970516</x:v>
      </x:c>
      <x:c r="G954" s="9" t="str">
        <x:v>https://poke.idleworld.online/pokepedia/pokemon/lanturn</x:v>
      </x:c>
    </x:row>
    <x:row r="955" ht="22" customHeight="1">
      <x:c r="A955" s="1" t="n">
        <x:v>171</x:v>
      </x:c>
      <x:c r="B955" s="1" t="str">
        <x:v>Lanturn</x:v>
      </x:c>
      <x:c r="C955" s="1" t="str">
        <x:v>Water Stone</x:v>
      </x:c>
      <x:c r="D955" s="1" t="n">
        <x:v>1</x:v>
      </x:c>
      <x:c r="E955" s="1" t="n">
        <x:v>1</x:v>
      </x:c>
      <x:c r="F955" s="13" t="n">
        <x:v>0.004</x:v>
      </x:c>
      <x:c r="G955" s="9" t="str">
        <x:v>https://poke.idleworld.online/pokepedia/pokemon/lanturn</x:v>
      </x:c>
    </x:row>
    <x:row r="956" ht="22" customHeight="1">
      <x:c r="A956" s="1" t="n">
        <x:v>171</x:v>
      </x:c>
      <x:c r="B956" s="1" t="str">
        <x:v>Lanturn</x:v>
      </x:c>
      <x:c r="C956" s="1" t="str">
        <x:v>Water Pendant</x:v>
      </x:c>
      <x:c r="D956" s="1" t="n">
        <x:v>1</x:v>
      </x:c>
      <x:c r="E956" s="1" t="n">
        <x:v>1</x:v>
      </x:c>
      <x:c r="F956" s="13" t="n">
        <x:v>0.269715</x:v>
      </x:c>
      <x:c r="G956" s="9" t="str">
        <x:v>https://poke.idleworld.online/pokepedia/pokemon/lanturn</x:v>
      </x:c>
    </x:row>
    <x:row r="957" ht="22" customHeight="1">
      <x:c r="A957" s="1" t="n">
        <x:v>171</x:v>
      </x:c>
      <x:c r="B957" s="1" t="str">
        <x:v>Lanturn</x:v>
      </x:c>
      <x:c r="C957" s="1" t="str">
        <x:v>Diving Mask</x:v>
      </x:c>
      <x:c r="D957" s="1" t="n">
        <x:v>1</x:v>
      </x:c>
      <x:c r="E957" s="1" t="n">
        <x:v>1</x:v>
      </x:c>
      <x:c r="F957" s="13" t="n">
        <x:v>0.0194121</x:v>
      </x:c>
      <x:c r="G957" s="9" t="str">
        <x:v>https://poke.idleworld.online/pokepedia/pokemon/lanturn</x:v>
      </x:c>
    </x:row>
    <x:row r="958" ht="22" customHeight="1">
      <x:c r="A958" s="1" t="n">
        <x:v>171</x:v>
      </x:c>
      <x:c r="B958" s="1" t="str">
        <x:v>Lanturn</x:v>
      </x:c>
      <x:c r="C958" s="1" t="str">
        <x:v>Air Tank</x:v>
      </x:c>
      <x:c r="D958" s="1" t="n">
        <x:v>1</x:v>
      </x:c>
      <x:c r="E958" s="1" t="n">
        <x:v>1</x:v>
      </x:c>
      <x:c r="F958" s="13" t="n">
        <x:v>0.0194103</x:v>
      </x:c>
      <x:c r="G958" s="9" t="str">
        <x:v>https://poke.idleworld.online/pokepedia/pokemon/lanturn</x:v>
      </x:c>
    </x:row>
    <x:row r="959" ht="22" customHeight="1">
      <x:c r="A959" s="1" t="n">
        <x:v>171</x:v>
      </x:c>
      <x:c r="B959" s="1" t="str">
        <x:v>Lanturn</x:v>
      </x:c>
      <x:c r="C959" s="1" t="str">
        <x:v>Fins</x:v>
      </x:c>
      <x:c r="D959" s="1" t="n">
        <x:v>1</x:v>
      </x:c>
      <x:c r="E959" s="1" t="n">
        <x:v>1</x:v>
      </x:c>
      <x:c r="F959" s="13" t="n">
        <x:v>0.0194103</x:v>
      </x:c>
      <x:c r="G959" s="9" t="str">
        <x:v>https://poke.idleworld.online/pokepedia/pokemon/lanturn</x:v>
      </x:c>
    </x:row>
    <x:row r="960" ht="22" customHeight="1">
      <x:c r="A960" s="1" t="n">
        <x:v>172</x:v>
      </x:c>
      <x:c r="B960" s="1" t="str">
        <x:v>Pichu</x:v>
      </x:c>
      <x:c r="C960" s="1" t="str">
        <x:v>Strange Pheromone</x:v>
      </x:c>
      <x:c r="D960" s="1" t="n">
        <x:v>1</x:v>
      </x:c>
      <x:c r="E960" s="1" t="n">
        <x:v>1</x:v>
      </x:c>
      <x:c r="F960" s="13" t="n">
        <x:v>0</x:v>
      </x:c>
      <x:c r="G960" s="9" t="str">
        <x:v>https://poke.idleworld.online/pokepedia/pokemon/pichu</x:v>
      </x:c>
    </x:row>
    <x:row r="961" ht="22" customHeight="1">
      <x:c r="A961" s="1" t="n">
        <x:v>172</x:v>
      </x:c>
      <x:c r="B961" s="1" t="str">
        <x:v>Pichu</x:v>
      </x:c>
      <x:c r="C961" s="1" t="str">
        <x:v>Screw</x:v>
      </x:c>
      <x:c r="D961" s="1" t="n">
        <x:v>1</x:v>
      </x:c>
      <x:c r="E961" s="1" t="n">
        <x:v>5</x:v>
      </x:c>
      <x:c r="F961" s="13" t="n">
        <x:v>0.95</x:v>
      </x:c>
      <x:c r="G961" s="9" t="str">
        <x:v>https://poke.idleworld.online/pokepedia/pokemon/pichu</x:v>
      </x:c>
    </x:row>
    <x:row r="962" ht="22" customHeight="1">
      <x:c r="A962" s="1" t="n">
        <x:v>172</x:v>
      </x:c>
      <x:c r="B962" s="1" t="str">
        <x:v>Pichu</x:v>
      </x:c>
      <x:c r="C962" s="1" t="str">
        <x:v>Electric Rat Tail</x:v>
      </x:c>
      <x:c r="D962" s="1" t="n">
        <x:v>1</x:v>
      </x:c>
      <x:c r="E962" s="1" t="n">
        <x:v>1</x:v>
      </x:c>
      <x:c r="F962" s="13" t="n">
        <x:v>0.0202378</x:v>
      </x:c>
      <x:c r="G962" s="9" t="str">
        <x:v>https://poke.idleworld.online/pokepedia/pokemon/pichu</x:v>
      </x:c>
    </x:row>
    <x:row r="963" ht="22" customHeight="1">
      <x:c r="A963" s="1" t="n">
        <x:v>172</x:v>
      </x:c>
      <x:c r="B963" s="1" t="str">
        <x:v>Pichu</x:v>
      </x:c>
      <x:c r="C963" s="1" t="str">
        <x:v>Electric Box</x:v>
      </x:c>
      <x:c r="D963" s="1" t="n">
        <x:v>1</x:v>
      </x:c>
      <x:c r="E963" s="1" t="n">
        <x:v>1</x:v>
      </x:c>
      <x:c r="F963" s="13" t="n">
        <x:v>0.4051072</x:v>
      </x:c>
      <x:c r="G963" s="9" t="str">
        <x:v>https://poke.idleworld.online/pokepedia/pokemon/pichu</x:v>
      </x:c>
    </x:row>
    <x:row r="964" ht="22" customHeight="1">
      <x:c r="A964" s="1" t="n">
        <x:v>172</x:v>
      </x:c>
      <x:c r="B964" s="1" t="str">
        <x:v>Pichu</x:v>
      </x:c>
      <x:c r="C964" s="1" t="str">
        <x:v>Thunder Stone</x:v>
      </x:c>
      <x:c r="D964" s="1" t="n">
        <x:v>1</x:v>
      </x:c>
      <x:c r="E964" s="1" t="n">
        <x:v>1</x:v>
      </x:c>
      <x:c r="F964" s="13" t="n">
        <x:v>0.0011678</x:v>
      </x:c>
      <x:c r="G964" s="9" t="str">
        <x:v>https://poke.idleworld.online/pokepedia/pokemon/pichu</x:v>
      </x:c>
    </x:row>
    <x:row r="965" ht="22" customHeight="1">
      <x:c r="A965" s="1" t="n">
        <x:v>173</x:v>
      </x:c>
      <x:c r="B965" s="1" t="str">
        <x:v>Cleffa</x:v>
      </x:c>
      <x:c r="C965" s="1" t="str">
        <x:v>Strange Pheromone</x:v>
      </x:c>
      <x:c r="D965" s="1" t="n">
        <x:v>1</x:v>
      </x:c>
      <x:c r="E965" s="1" t="n">
        <x:v>1</x:v>
      </x:c>
      <x:c r="F965" s="13" t="n">
        <x:v>0</x:v>
      </x:c>
      <x:c r="G965" s="9" t="str">
        <x:v>https://poke.idleworld.online/pokepedia/pokemon/cleffa</x:v>
      </x:c>
    </x:row>
    <x:row r="966" ht="22" customHeight="1">
      <x:c r="A966" s="1" t="n">
        <x:v>173</x:v>
      </x:c>
      <x:c r="B966" s="1" t="str">
        <x:v>Cleffa</x:v>
      </x:c>
      <x:c r="C966" s="1" t="str">
        <x:v>Rubber Ball</x:v>
      </x:c>
      <x:c r="D966" s="1" t="n">
        <x:v>1</x:v>
      </x:c>
      <x:c r="E966" s="1" t="n">
        <x:v>5</x:v>
      </x:c>
      <x:c r="F966" s="13" t="n">
        <x:v>0.95</x:v>
      </x:c>
      <x:c r="G966" s="9" t="str">
        <x:v>https://poke.idleworld.online/pokepedia/pokemon/cleffa</x:v>
      </x:c>
    </x:row>
    <x:row r="967" ht="22" customHeight="1">
      <x:c r="A967" s="1" t="n">
        <x:v>173</x:v>
      </x:c>
      <x:c r="B967" s="1" t="str">
        <x:v>Cleffa</x:v>
      </x:c>
      <x:c r="C967" s="1" t="str">
        <x:v>Heart Stone</x:v>
      </x:c>
      <x:c r="D967" s="1" t="n">
        <x:v>1</x:v>
      </x:c>
      <x:c r="E967" s="1" t="n">
        <x:v>1</x:v>
      </x:c>
      <x:c r="F967" s="13" t="n">
        <x:v>0.0011548</x:v>
      </x:c>
      <x:c r="G967" s="9" t="str">
        <x:v>https://poke.idleworld.online/pokepedia/pokemon/cleffa</x:v>
      </x:c>
    </x:row>
    <x:row r="968" ht="22" customHeight="1">
      <x:c r="A968" s="1" t="n">
        <x:v>173</x:v>
      </x:c>
      <x:c r="B968" s="1" t="str">
        <x:v>Cleffa</x:v>
      </x:c>
      <x:c r="C968" s="1" t="str">
        <x:v>Topknot</x:v>
      </x:c>
      <x:c r="D968" s="1" t="n">
        <x:v>1</x:v>
      </x:c>
      <x:c r="E968" s="1" t="n">
        <x:v>1</x:v>
      </x:c>
      <x:c r="F968" s="13" t="n">
        <x:v>0.0430291</x:v>
      </x:c>
      <x:c r="G968" s="9" t="str">
        <x:v>https://poke.idleworld.online/pokepedia/pokemon/cleffa</x:v>
      </x:c>
    </x:row>
    <x:row r="969" ht="22" customHeight="1">
      <x:c r="A969" s="1" t="n">
        <x:v>173</x:v>
      </x:c>
      <x:c r="B969" s="1" t="str">
        <x:v>Cleffa</x:v>
      </x:c>
      <x:c r="C969" s="1" t="str">
        <x:v>Comb</x:v>
      </x:c>
      <x:c r="D969" s="1" t="n">
        <x:v>1</x:v>
      </x:c>
      <x:c r="E969" s="1" t="n">
        <x:v>1</x:v>
      </x:c>
      <x:c r="F969" s="13" t="n">
        <x:v>0.0429663</x:v>
      </x:c>
      <x:c r="G969" s="9" t="str">
        <x:v>https://poke.idleworld.online/pokepedia/pokemon/cleffa</x:v>
      </x:c>
    </x:row>
    <x:row r="970" ht="22" customHeight="1">
      <x:c r="A970" s="1" t="n">
        <x:v>174</x:v>
      </x:c>
      <x:c r="B970" s="1" t="str">
        <x:v>Igglybuff</x:v>
      </x:c>
      <x:c r="C970" s="1" t="str">
        <x:v>Strange Pheromone</x:v>
      </x:c>
      <x:c r="D970" s="1" t="n">
        <x:v>1</x:v>
      </x:c>
      <x:c r="E970" s="1" t="n">
        <x:v>1</x:v>
      </x:c>
      <x:c r="F970" s="13" t="n">
        <x:v>0</x:v>
      </x:c>
      <x:c r="G970" s="9" t="str">
        <x:v>https://poke.idleworld.online/pokepedia/pokemon/igglybuff</x:v>
      </x:c>
    </x:row>
    <x:row r="971" ht="22" customHeight="1">
      <x:c r="A971" s="1" t="n">
        <x:v>174</x:v>
      </x:c>
      <x:c r="B971" s="1" t="str">
        <x:v>Igglybuff</x:v>
      </x:c>
      <x:c r="C971" s="1" t="str">
        <x:v>Rubber Ball</x:v>
      </x:c>
      <x:c r="D971" s="1" t="n">
        <x:v>1</x:v>
      </x:c>
      <x:c r="E971" s="1" t="n">
        <x:v>5</x:v>
      </x:c>
      <x:c r="F971" s="13" t="n">
        <x:v>0.36704580000000003</x:v>
      </x:c>
      <x:c r="G971" s="9" t="str">
        <x:v>https://poke.idleworld.online/pokepedia/pokemon/igglybuff</x:v>
      </x:c>
    </x:row>
    <x:row r="972" ht="22" customHeight="1">
      <x:c r="A972" s="1" t="n">
        <x:v>174</x:v>
      </x:c>
      <x:c r="B972" s="1" t="str">
        <x:v>Igglybuff</x:v>
      </x:c>
      <x:c r="C972" s="1" t="str">
        <x:v>Microphone</x:v>
      </x:c>
      <x:c r="D972" s="1" t="n">
        <x:v>1</x:v>
      </x:c>
      <x:c r="E972" s="1" t="n">
        <x:v>1</x:v>
      </x:c>
      <x:c r="F972" s="13" t="n">
        <x:v>0.0022937</x:v>
      </x:c>
      <x:c r="G972" s="9" t="str">
        <x:v>https://poke.idleworld.online/pokepedia/pokemon/igglybuff</x:v>
      </x:c>
    </x:row>
    <x:row r="973" ht="22" customHeight="1">
      <x:c r="A973" s="1" t="n">
        <x:v>174</x:v>
      </x:c>
      <x:c r="B973" s="1" t="str">
        <x:v>Igglybuff</x:v>
      </x:c>
      <x:c r="C973" s="1" t="str">
        <x:v>Heart Stone</x:v>
      </x:c>
      <x:c r="D973" s="1" t="n">
        <x:v>1</x:v>
      </x:c>
      <x:c r="E973" s="1" t="n">
        <x:v>1</x:v>
      </x:c>
      <x:c r="F973" s="13" t="n">
        <x:v>0.0012795999999999999</x:v>
      </x:c>
      <x:c r="G973" s="9" t="str">
        <x:v>https://poke.idleworld.online/pokepedia/pokemon/igglybuff</x:v>
      </x:c>
    </x:row>
    <x:row r="974" ht="22" customHeight="1">
      <x:c r="A974" s="1" t="n">
        <x:v>174</x:v>
      </x:c>
      <x:c r="B974" s="1" t="str">
        <x:v>Igglybuff</x:v>
      </x:c>
      <x:c r="C974" s="1" t="str">
        <x:v>Comb</x:v>
      </x:c>
      <x:c r="D974" s="1" t="n">
        <x:v>1</x:v>
      </x:c>
      <x:c r="E974" s="1" t="n">
        <x:v>1</x:v>
      </x:c>
      <x:c r="F974" s="13" t="n">
        <x:v>0.13489620000000002</x:v>
      </x:c>
      <x:c r="G974" s="9" t="str">
        <x:v>https://poke.idleworld.online/pokepedia/pokemon/igglybuff</x:v>
      </x:c>
    </x:row>
    <x:row r="975" ht="22" customHeight="1">
      <x:c r="A975" s="1" t="n">
        <x:v>175</x:v>
      </x:c>
      <x:c r="B975" s="1" t="str">
        <x:v>Togepi</x:v>
      </x:c>
      <x:c r="C975" s="1" t="str">
        <x:v>Strange Pheromone</x:v>
      </x:c>
      <x:c r="D975" s="1" t="n">
        <x:v>1</x:v>
      </x:c>
      <x:c r="E975" s="1" t="n">
        <x:v>1</x:v>
      </x:c>
      <x:c r="F975" s="13" t="n">
        <x:v>0</x:v>
      </x:c>
      <x:c r="G975" s="9" t="str">
        <x:v>https://poke.idleworld.online/pokepedia/pokemon/togepi</x:v>
      </x:c>
    </x:row>
    <x:row r="976" ht="22" customHeight="1">
      <x:c r="A976" s="1" t="n">
        <x:v>175</x:v>
      </x:c>
      <x:c r="B976" s="1" t="str">
        <x:v>Togepi</x:v>
      </x:c>
      <x:c r="C976" s="1" t="str">
        <x:v>Rubber Ball</x:v>
      </x:c>
      <x:c r="D976" s="1" t="n">
        <x:v>1</x:v>
      </x:c>
      <x:c r="E976" s="1" t="n">
        <x:v>5</x:v>
      </x:c>
      <x:c r="F976" s="13" t="n">
        <x:v>0.470003</x:v>
      </x:c>
      <x:c r="G976" s="9" t="str">
        <x:v>https://poke.idleworld.online/pokepedia/pokemon/togepi</x:v>
      </x:c>
    </x:row>
    <x:row r="977" ht="22" customHeight="1">
      <x:c r="A977" s="1" t="n">
        <x:v>175</x:v>
      </x:c>
      <x:c r="B977" s="1" t="str">
        <x:v>Togepi</x:v>
      </x:c>
      <x:c r="C977" s="1" t="str">
        <x:v>Heart Stone</x:v>
      </x:c>
      <x:c r="D977" s="1" t="n">
        <x:v>1</x:v>
      </x:c>
      <x:c r="E977" s="1" t="n">
        <x:v>1</x:v>
      </x:c>
      <x:c r="F977" s="13" t="n">
        <x:v>0.0009945</x:v>
      </x:c>
      <x:c r="G977" s="9" t="str">
        <x:v>https://poke.idleworld.online/pokepedia/pokemon/togepi</x:v>
      </x:c>
    </x:row>
    <x:row r="978" ht="22" customHeight="1">
      <x:c r="A978" s="1" t="n">
        <x:v>175</x:v>
      </x:c>
      <x:c r="B978" s="1" t="str">
        <x:v>Togepi</x:v>
      </x:c>
      <x:c r="C978" s="1" t="str">
        <x:v>Eggshell</x:v>
      </x:c>
      <x:c r="D978" s="1" t="n">
        <x:v>1</x:v>
      </x:c>
      <x:c r="E978" s="1" t="n">
        <x:v>1</x:v>
      </x:c>
      <x:c r="F978" s="13" t="n">
        <x:v>0.009253200000000001</x:v>
      </x:c>
      <x:c r="G978" s="9" t="str">
        <x:v>https://poke.idleworld.online/pokepedia/pokemon/togepi</x:v>
      </x:c>
    </x:row>
    <x:row r="979" ht="22" customHeight="1">
      <x:c r="A979" s="1" t="n">
        <x:v>175</x:v>
      </x:c>
      <x:c r="B979" s="1" t="str">
        <x:v>Togepi</x:v>
      </x:c>
      <x:c r="C979" s="1" t="str">
        <x:v>Feather</x:v>
      </x:c>
      <x:c r="D979" s="1" t="n">
        <x:v>1</x:v>
      </x:c>
      <x:c r="E979" s="1" t="n">
        <x:v>1</x:v>
      </x:c>
      <x:c r="F979" s="13" t="n">
        <x:v>0.1175007</x:v>
      </x:c>
      <x:c r="G979" s="9" t="str">
        <x:v>https://poke.idleworld.online/pokepedia/pokemon/togepi</x:v>
      </x:c>
    </x:row>
    <x:row r="980" ht="22" customHeight="1">
      <x:c r="A980" s="1" t="n">
        <x:v>176</x:v>
      </x:c>
      <x:c r="B980" s="1" t="str">
        <x:v>Togetic</x:v>
      </x:c>
      <x:c r="C980" s="1" t="str">
        <x:v>Strange Pheromone</x:v>
      </x:c>
      <x:c r="D980" s="1" t="n">
        <x:v>1</x:v>
      </x:c>
      <x:c r="E980" s="1" t="n">
        <x:v>1</x:v>
      </x:c>
      <x:c r="F980" s="13" t="n">
        <x:v>0</x:v>
      </x:c>
      <x:c r="G980" s="9" t="str">
        <x:v>https://poke.idleworld.online/pokepedia/pokemon/togetic</x:v>
      </x:c>
    </x:row>
    <x:row r="981" ht="22" customHeight="1">
      <x:c r="A981" s="1" t="n">
        <x:v>176</x:v>
      </x:c>
      <x:c r="B981" s="1" t="str">
        <x:v>Togetic</x:v>
      </x:c>
      <x:c r="C981" s="1" t="str">
        <x:v>Rubber Ball</x:v>
      </x:c>
      <x:c r="D981" s="1" t="n">
        <x:v>1</x:v>
      </x:c>
      <x:c r="E981" s="1" t="n">
        <x:v>5</x:v>
      </x:c>
      <x:c r="F981" s="13" t="n">
        <x:v>0.95</x:v>
      </x:c>
      <x:c r="G981" s="9" t="str">
        <x:v>https://poke.idleworld.online/pokepedia/pokemon/togetic</x:v>
      </x:c>
    </x:row>
    <x:row r="982" ht="22" customHeight="1">
      <x:c r="A982" s="1" t="n">
        <x:v>176</x:v>
      </x:c>
      <x:c r="B982" s="1" t="str">
        <x:v>Togetic</x:v>
      </x:c>
      <x:c r="C982" s="1" t="str">
        <x:v>Straw</x:v>
      </x:c>
      <x:c r="D982" s="1" t="n">
        <x:v>1</x:v>
      </x:c>
      <x:c r="E982" s="1" t="n">
        <x:v>5</x:v>
      </x:c>
      <x:c r="F982" s="13" t="n">
        <x:v>0.95</x:v>
      </x:c>
      <x:c r="G982" s="9" t="str">
        <x:v>https://poke.idleworld.online/pokepedia/pokemon/togetic</x:v>
      </x:c>
    </x:row>
    <x:row r="983" ht="22" customHeight="1">
      <x:c r="A983" s="1" t="n">
        <x:v>176</x:v>
      </x:c>
      <x:c r="B983" s="1" t="str">
        <x:v>Togetic</x:v>
      </x:c>
      <x:c r="C983" s="1" t="str">
        <x:v>Feather</x:v>
      </x:c>
      <x:c r="D983" s="1" t="n">
        <x:v>1</x:v>
      </x:c>
      <x:c r="E983" s="1" t="n">
        <x:v>8</x:v>
      </x:c>
      <x:c r="F983" s="13" t="n">
        <x:v>0.95</x:v>
      </x:c>
      <x:c r="G983" s="9" t="str">
        <x:v>https://poke.idleworld.online/pokepedia/pokemon/togetic</x:v>
      </x:c>
    </x:row>
    <x:row r="984" ht="22" customHeight="1">
      <x:c r="A984" s="1" t="n">
        <x:v>176</x:v>
      </x:c>
      <x:c r="B984" s="1" t="str">
        <x:v>Togetic</x:v>
      </x:c>
      <x:c r="C984" s="1" t="str">
        <x:v>Heart Stone</x:v>
      </x:c>
      <x:c r="D984" s="1" t="n">
        <x:v>1</x:v>
      </x:c>
      <x:c r="E984" s="1" t="n">
        <x:v>1</x:v>
      </x:c>
      <x:c r="F984" s="13" t="n">
        <x:v>0.003</x:v>
      </x:c>
      <x:c r="G984" s="9" t="str">
        <x:v>https://poke.idleworld.online/pokepedia/pokemon/togetic</x:v>
      </x:c>
    </x:row>
    <x:row r="985" ht="22" customHeight="1">
      <x:c r="A985" s="1" t="n">
        <x:v>176</x:v>
      </x:c>
      <x:c r="B985" s="1" t="str">
        <x:v>Togetic</x:v>
      </x:c>
      <x:c r="C985" s="1" t="str">
        <x:v>Eggshell</x:v>
      </x:c>
      <x:c r="D985" s="1" t="n">
        <x:v>1</x:v>
      </x:c>
      <x:c r="E985" s="1" t="n">
        <x:v>1</x:v>
      </x:c>
      <x:c r="F985" s="13" t="n">
        <x:v>0.002802</x:v>
      </x:c>
      <x:c r="G985" s="9" t="str">
        <x:v>https://poke.idleworld.online/pokepedia/pokemon/togetic</x:v>
      </x:c>
    </x:row>
    <x:row r="986" ht="22" customHeight="1">
      <x:c r="A986" s="1" t="n">
        <x:v>176</x:v>
      </x:c>
      <x:c r="B986" s="1" t="str">
        <x:v>Togetic</x:v>
      </x:c>
      <x:c r="C986" s="1" t="str">
        <x:v>Lovely Topknot</x:v>
      </x:c>
      <x:c r="D986" s="1" t="n">
        <x:v>1</x:v>
      </x:c>
      <x:c r="E986" s="1" t="n">
        <x:v>1</x:v>
      </x:c>
      <x:c r="F986" s="13" t="n">
        <x:v>0.002802</x:v>
      </x:c>
      <x:c r="G986" s="9" t="str">
        <x:v>https://poke.idleworld.online/pokepedia/pokemon/togetic</x:v>
      </x:c>
    </x:row>
    <x:row r="987" ht="22" customHeight="1">
      <x:c r="A987" s="1" t="n">
        <x:v>176</x:v>
      </x:c>
      <x:c r="B987" s="1" t="str">
        <x:v>Togetic</x:v>
      </x:c>
      <x:c r="C987" s="1" t="str">
        <x:v>Shiny Stone</x:v>
      </x:c>
      <x:c r="D987" s="1" t="n">
        <x:v>1</x:v>
      </x:c>
      <x:c r="E987" s="1" t="n">
        <x:v>1</x:v>
      </x:c>
      <x:c r="F987" s="13" t="n">
        <x:v>0.00028010000000000003</x:v>
      </x:c>
      <x:c r="G987" s="9" t="str">
        <x:v>https://poke.idleworld.online/pokepedia/pokemon/togetic</x:v>
      </x:c>
    </x:row>
    <x:row r="988" ht="22" customHeight="1">
      <x:c r="A988" s="1" t="n">
        <x:v>177</x:v>
      </x:c>
      <x:c r="B988" s="1" t="str">
        <x:v>Natu</x:v>
      </x:c>
      <x:c r="C988" s="1" t="str">
        <x:v>Strange Pheromone</x:v>
      </x:c>
      <x:c r="D988" s="1" t="n">
        <x:v>1</x:v>
      </x:c>
      <x:c r="E988" s="1" t="n">
        <x:v>1</x:v>
      </x:c>
      <x:c r="F988" s="13" t="n">
        <x:v>0</x:v>
      </x:c>
      <x:c r="G988" s="9" t="str">
        <x:v>https://poke.idleworld.online/pokepedia/pokemon/natu</x:v>
      </x:c>
    </x:row>
    <x:row r="989" ht="22" customHeight="1">
      <x:c r="A989" s="1" t="n">
        <x:v>177</x:v>
      </x:c>
      <x:c r="B989" s="1" t="str">
        <x:v>Natu</x:v>
      </x:c>
      <x:c r="C989" s="1" t="str">
        <x:v>Straw</x:v>
      </x:c>
      <x:c r="D989" s="1" t="n">
        <x:v>1</x:v>
      </x:c>
      <x:c r="E989" s="1" t="n">
        <x:v>5</x:v>
      </x:c>
      <x:c r="F989" s="13" t="n">
        <x:v>0.3730732</x:v>
      </x:c>
      <x:c r="G989" s="9" t="str">
        <x:v>https://poke.idleworld.online/pokepedia/pokemon/natu</x:v>
      </x:c>
    </x:row>
    <x:row r="990" ht="22" customHeight="1">
      <x:c r="A990" s="1" t="n">
        <x:v>177</x:v>
      </x:c>
      <x:c r="B990" s="1" t="str">
        <x:v>Natu</x:v>
      </x:c>
      <x:c r="C990" s="1" t="str">
        <x:v>Enchanted Gem</x:v>
      </x:c>
      <x:c r="D990" s="1" t="n">
        <x:v>1</x:v>
      </x:c>
      <x:c r="E990" s="1" t="n">
        <x:v>4</x:v>
      </x:c>
      <x:c r="F990" s="13" t="n">
        <x:v>0.3730732</x:v>
      </x:c>
      <x:c r="G990" s="9" t="str">
        <x:v>https://poke.idleworld.online/pokepedia/pokemon/natu</x:v>
      </x:c>
    </x:row>
    <x:row r="991" ht="22" customHeight="1">
      <x:c r="A991" s="1" t="n">
        <x:v>177</x:v>
      </x:c>
      <x:c r="B991" s="1" t="str">
        <x:v>Natu</x:v>
      </x:c>
      <x:c r="C991" s="1" t="str">
        <x:v>Feather</x:v>
      </x:c>
      <x:c r="D991" s="1" t="n">
        <x:v>1</x:v>
      </x:c>
      <x:c r="E991" s="1" t="n">
        <x:v>5</x:v>
      </x:c>
      <x:c r="F991" s="13" t="n">
        <x:v>0.3730732</x:v>
      </x:c>
      <x:c r="G991" s="9" t="str">
        <x:v>https://poke.idleworld.online/pokepedia/pokemon/natu</x:v>
      </x:c>
    </x:row>
    <x:row r="992" ht="22" customHeight="1">
      <x:c r="A992" s="1" t="n">
        <x:v>177</x:v>
      </x:c>
      <x:c r="B992" s="1" t="str">
        <x:v>Natu</x:v>
      </x:c>
      <x:c r="C992" s="1" t="str">
        <x:v>Enigma Stone</x:v>
      </x:c>
      <x:c r="D992" s="1" t="n">
        <x:v>1</x:v>
      </x:c>
      <x:c r="E992" s="1" t="n">
        <x:v>1</x:v>
      </x:c>
      <x:c r="F992" s="13" t="n">
        <x:v>0.002061</x:v>
      </x:c>
      <x:c r="G992" s="9" t="str">
        <x:v>https://poke.idleworld.online/pokepedia/pokemon/natu</x:v>
      </x:c>
    </x:row>
    <x:row r="993" ht="22" customHeight="1">
      <x:c r="A993" s="1" t="n">
        <x:v>177</x:v>
      </x:c>
      <x:c r="B993" s="1" t="str">
        <x:v>Natu</x:v>
      </x:c>
      <x:c r="C993" s="1" t="str">
        <x:v>Strange Wing</x:v>
      </x:c>
      <x:c r="D993" s="1" t="n">
        <x:v>1</x:v>
      </x:c>
      <x:c r="E993" s="1" t="n">
        <x:v>1</x:v>
      </x:c>
      <x:c r="F993" s="13" t="n">
        <x:v>0.0776157</x:v>
      </x:c>
      <x:c r="G993" s="9" t="str">
        <x:v>https://poke.idleworld.online/pokepedia/pokemon/natu</x:v>
      </x:c>
    </x:row>
    <x:row r="994" ht="22" customHeight="1">
      <x:c r="A994" s="1" t="n">
        <x:v>178</x:v>
      </x:c>
      <x:c r="B994" s="1" t="str">
        <x:v>Xatu</x:v>
      </x:c>
      <x:c r="C994" s="1" t="str">
        <x:v>Strange Pheromone</x:v>
      </x:c>
      <x:c r="D994" s="1" t="n">
        <x:v>1</x:v>
      </x:c>
      <x:c r="E994" s="1" t="n">
        <x:v>1</x:v>
      </x:c>
      <x:c r="F994" s="13" t="n">
        <x:v>0</x:v>
      </x:c>
      <x:c r="G994" s="9" t="str">
        <x:v>https://poke.idleworld.online/pokepedia/pokemon/xatu</x:v>
      </x:c>
    </x:row>
    <x:row r="995" ht="22" customHeight="1">
      <x:c r="A995" s="1" t="n">
        <x:v>178</x:v>
      </x:c>
      <x:c r="B995" s="1" t="str">
        <x:v>Xatu</x:v>
      </x:c>
      <x:c r="C995" s="1" t="str">
        <x:v>Feather Stone</x:v>
      </x:c>
      <x:c r="D995" s="1" t="n">
        <x:v>1</x:v>
      </x:c>
      <x:c r="E995" s="1" t="n">
        <x:v>1</x:v>
      </x:c>
      <x:c r="F995" s="13" t="n">
        <x:v>0.00064</x:v>
      </x:c>
      <x:c r="G995" s="9" t="str">
        <x:v>https://poke.idleworld.online/pokepedia/pokemon/xatu</x:v>
      </x:c>
    </x:row>
    <x:row r="996" ht="22" customHeight="1">
      <x:c r="A996" s="1" t="n">
        <x:v>178</x:v>
      </x:c>
      <x:c r="B996" s="1" t="str">
        <x:v>Xatu</x:v>
      </x:c>
      <x:c r="C996" s="1" t="str">
        <x:v>Straw</x:v>
      </x:c>
      <x:c r="D996" s="1" t="n">
        <x:v>1</x:v>
      </x:c>
      <x:c r="E996" s="1" t="n">
        <x:v>5</x:v>
      </x:c>
      <x:c r="F996" s="13" t="n">
        <x:v>0.6913171</x:v>
      </x:c>
      <x:c r="G996" s="9" t="str">
        <x:v>https://poke.idleworld.online/pokepedia/pokemon/xatu</x:v>
      </x:c>
    </x:row>
    <x:row r="997" ht="22" customHeight="1">
      <x:c r="A997" s="1" t="n">
        <x:v>178</x:v>
      </x:c>
      <x:c r="B997" s="1" t="str">
        <x:v>Xatu</x:v>
      </x:c>
      <x:c r="C997" s="1" t="str">
        <x:v>Enchanted Gem</x:v>
      </x:c>
      <x:c r="D997" s="1" t="n">
        <x:v>1</x:v>
      </x:c>
      <x:c r="E997" s="1" t="n">
        <x:v>10</x:v>
      </x:c>
      <x:c r="F997" s="13" t="n">
        <x:v>0.6913171</x:v>
      </x:c>
      <x:c r="G997" s="9" t="str">
        <x:v>https://poke.idleworld.online/pokepedia/pokemon/xatu</x:v>
      </x:c>
    </x:row>
    <x:row r="998" ht="22" customHeight="1">
      <x:c r="A998" s="1" t="n">
        <x:v>178</x:v>
      </x:c>
      <x:c r="B998" s="1" t="str">
        <x:v>Xatu</x:v>
      </x:c>
      <x:c r="C998" s="1" t="str">
        <x:v>Feather</x:v>
      </x:c>
      <x:c r="D998" s="1" t="n">
        <x:v>1</x:v>
      </x:c>
      <x:c r="E998" s="1" t="n">
        <x:v>10</x:v>
      </x:c>
      <x:c r="F998" s="13" t="n">
        <x:v>0.6913171</x:v>
      </x:c>
      <x:c r="G998" s="9" t="str">
        <x:v>https://poke.idleworld.online/pokepedia/pokemon/xatu</x:v>
      </x:c>
    </x:row>
    <x:row r="999" ht="22" customHeight="1">
      <x:c r="A999" s="1" t="n">
        <x:v>178</x:v>
      </x:c>
      <x:c r="B999" s="1" t="str">
        <x:v>Xatu</x:v>
      </x:c>
      <x:c r="C999" s="1" t="str">
        <x:v>Enigma Stone</x:v>
      </x:c>
      <x:c r="D999" s="1" t="n">
        <x:v>1</x:v>
      </x:c>
      <x:c r="E999" s="1" t="n">
        <x:v>1</x:v>
      </x:c>
      <x:c r="F999" s="13" t="n">
        <x:v>0.00322</x:v>
      </x:c>
      <x:c r="G999" s="9" t="str">
        <x:v>https://poke.idleworld.online/pokepedia/pokemon/xatu</x:v>
      </x:c>
    </x:row>
    <x:row r="1000" ht="22" customHeight="1">
      <x:c r="A1000" s="1" t="n">
        <x:v>178</x:v>
      </x:c>
      <x:c r="B1000" s="1" t="str">
        <x:v>Xatu</x:v>
      </x:c>
      <x:c r="C1000" s="1" t="str">
        <x:v>Strange Wing</x:v>
      </x:c>
      <x:c r="D1000" s="1" t="n">
        <x:v>1</x:v>
      </x:c>
      <x:c r="E1000" s="1" t="n">
        <x:v>3</x:v>
      </x:c>
      <x:c r="F1000" s="13" t="n">
        <x:v>0.213259</x:v>
      </x:c>
      <x:c r="G1000" s="9" t="str">
        <x:v>https://poke.idleworld.online/pokepedia/pokemon/xatu</x:v>
      </x:c>
    </x:row>
    <x:row r="1001" ht="22" customHeight="1">
      <x:c r="A1001" s="1" t="n">
        <x:v>179</x:v>
      </x:c>
      <x:c r="B1001" s="1" t="str">
        <x:v>Mareep</x:v>
      </x:c>
      <x:c r="C1001" s="1" t="str">
        <x:v>Strange Pheromone</x:v>
      </x:c>
      <x:c r="D1001" s="1" t="n">
        <x:v>1</x:v>
      </x:c>
      <x:c r="E1001" s="1" t="n">
        <x:v>1</x:v>
      </x:c>
      <x:c r="F1001" s="13" t="n">
        <x:v>0</x:v>
      </x:c>
      <x:c r="G1001" s="9" t="str">
        <x:v>https://poke.idleworld.online/pokepedia/pokemon/mareep</x:v>
      </x:c>
    </x:row>
    <x:row r="1002" ht="22" customHeight="1">
      <x:c r="A1002" s="1" t="n">
        <x:v>179</x:v>
      </x:c>
      <x:c r="B1002" s="1" t="str">
        <x:v>Mareep</x:v>
      </x:c>
      <x:c r="C1002" s="1" t="str">
        <x:v>Screw</x:v>
      </x:c>
      <x:c r="D1002" s="1" t="n">
        <x:v>1</x:v>
      </x:c>
      <x:c r="E1002" s="1" t="n">
        <x:v>5</x:v>
      </x:c>
      <x:c r="F1002" s="13" t="n">
        <x:v>0.0958012</x:v>
      </x:c>
      <x:c r="G1002" s="9" t="str">
        <x:v>https://poke.idleworld.online/pokepedia/pokemon/mareep</x:v>
      </x:c>
    </x:row>
    <x:row r="1003" ht="22" customHeight="1">
      <x:c r="A1003" s="1" t="n">
        <x:v>179</x:v>
      </x:c>
      <x:c r="B1003" s="1" t="str">
        <x:v>Mareep</x:v>
      </x:c>
      <x:c r="C1003" s="1" t="str">
        <x:v>Electric Box</x:v>
      </x:c>
      <x:c r="D1003" s="1" t="n">
        <x:v>1</x:v>
      </x:c>
      <x:c r="E1003" s="1" t="n">
        <x:v>1</x:v>
      </x:c>
      <x:c r="F1003" s="13" t="n">
        <x:v>0.0239503</x:v>
      </x:c>
      <x:c r="G1003" s="9" t="str">
        <x:v>https://poke.idleworld.online/pokepedia/pokemon/mareep</x:v>
      </x:c>
    </x:row>
    <x:row r="1004" ht="22" customHeight="1">
      <x:c r="A1004" s="1" t="n">
        <x:v>179</x:v>
      </x:c>
      <x:c r="B1004" s="1" t="str">
        <x:v>Mareep</x:v>
      </x:c>
      <x:c r="C1004" s="1" t="str">
        <x:v>Thunder Stone</x:v>
      </x:c>
      <x:c r="D1004" s="1" t="n">
        <x:v>1</x:v>
      </x:c>
      <x:c r="E1004" s="1" t="n">
        <x:v>1</x:v>
      </x:c>
      <x:c r="F1004" s="13" t="n">
        <x:v>0.00038</x:v>
      </x:c>
      <x:c r="G1004" s="9" t="str">
        <x:v>https://poke.idleworld.online/pokepedia/pokemon/mareep</x:v>
      </x:c>
    </x:row>
    <x:row r="1005" ht="22" customHeight="1">
      <x:c r="A1005" s="1" t="n">
        <x:v>179</x:v>
      </x:c>
      <x:c r="B1005" s="1" t="str">
        <x:v>Mareep</x:v>
      </x:c>
      <x:c r="C1005" s="1" t="str">
        <x:v>Sheep Wool</x:v>
      </x:c>
      <x:c r="D1005" s="1" t="n">
        <x:v>1</x:v>
      </x:c>
      <x:c r="E1005" s="1" t="n">
        <x:v>1</x:v>
      </x:c>
      <x:c r="F1005" s="13" t="n">
        <x:v>0.1502336</x:v>
      </x:c>
      <x:c r="G1005" s="9" t="str">
        <x:v>https://poke.idleworld.online/pokepedia/pokemon/mareep</x:v>
      </x:c>
    </x:row>
    <x:row r="1006" ht="22" customHeight="1">
      <x:c r="A1006" s="1" t="n">
        <x:v>180</x:v>
      </x:c>
      <x:c r="B1006" s="1" t="str">
        <x:v>Flaaffy</x:v>
      </x:c>
      <x:c r="C1006" s="1" t="str">
        <x:v>Strange Pheromone</x:v>
      </x:c>
      <x:c r="D1006" s="1" t="n">
        <x:v>1</x:v>
      </x:c>
      <x:c r="E1006" s="1" t="n">
        <x:v>1</x:v>
      </x:c>
      <x:c r="F1006" s="13" t="n">
        <x:v>0</x:v>
      </x:c>
      <x:c r="G1006" s="9" t="str">
        <x:v>https://poke.idleworld.online/pokepedia/pokemon/flaaffy</x:v>
      </x:c>
    </x:row>
    <x:row r="1007" ht="22" customHeight="1">
      <x:c r="A1007" s="1" t="n">
        <x:v>180</x:v>
      </x:c>
      <x:c r="B1007" s="1" t="str">
        <x:v>Flaaffy</x:v>
      </x:c>
      <x:c r="C1007" s="1" t="str">
        <x:v>Screw</x:v>
      </x:c>
      <x:c r="D1007" s="1" t="n">
        <x:v>1</x:v>
      </x:c>
      <x:c r="E1007" s="1" t="n">
        <x:v>5</x:v>
      </x:c>
      <x:c r="F1007" s="13" t="n">
        <x:v>0.0986041</x:v>
      </x:c>
      <x:c r="G1007" s="9" t="str">
        <x:v>https://poke.idleworld.online/pokepedia/pokemon/flaaffy</x:v>
      </x:c>
    </x:row>
    <x:row r="1008" ht="22" customHeight="1">
      <x:c r="A1008" s="1" t="n">
        <x:v>180</x:v>
      </x:c>
      <x:c r="B1008" s="1" t="str">
        <x:v>Flaaffy</x:v>
      </x:c>
      <x:c r="C1008" s="1" t="str">
        <x:v>Electric Box</x:v>
      </x:c>
      <x:c r="D1008" s="1" t="n">
        <x:v>1</x:v>
      </x:c>
      <x:c r="E1008" s="1" t="n">
        <x:v>2</x:v>
      </x:c>
      <x:c r="F1008" s="13" t="n">
        <x:v>0.036981799999999995</x:v>
      </x:c>
      <x:c r="G1008" s="9" t="str">
        <x:v>https://poke.idleworld.online/pokepedia/pokemon/flaaffy</x:v>
      </x:c>
    </x:row>
    <x:row r="1009" ht="22" customHeight="1">
      <x:c r="A1009" s="1" t="n">
        <x:v>180</x:v>
      </x:c>
      <x:c r="B1009" s="1" t="str">
        <x:v>Flaaffy</x:v>
      </x:c>
      <x:c r="C1009" s="1" t="str">
        <x:v>Thunder Stone</x:v>
      </x:c>
      <x:c r="D1009" s="1" t="n">
        <x:v>1</x:v>
      </x:c>
      <x:c r="E1009" s="1" t="n">
        <x:v>1</x:v>
      </x:c>
      <x:c r="F1009" s="13" t="n">
        <x:v>0.00044</x:v>
      </x:c>
      <x:c r="G1009" s="9" t="str">
        <x:v>https://poke.idleworld.online/pokepedia/pokemon/flaaffy</x:v>
      </x:c>
    </x:row>
    <x:row r="1010" ht="22" customHeight="1">
      <x:c r="A1010" s="1" t="n">
        <x:v>180</x:v>
      </x:c>
      <x:c r="B1010" s="1" t="str">
        <x:v>Flaaffy</x:v>
      </x:c>
      <x:c r="C1010" s="1" t="str">
        <x:v>Sheep Wool</x:v>
      </x:c>
      <x:c r="D1010" s="1" t="n">
        <x:v>1</x:v>
      </x:c>
      <x:c r="E1010" s="1" t="n">
        <x:v>3</x:v>
      </x:c>
      <x:c r="F1010" s="13" t="n">
        <x:v>0.1439819</x:v>
      </x:c>
      <x:c r="G1010" s="9" t="str">
        <x:v>https://poke.idleworld.online/pokepedia/pokemon/flaaffy</x:v>
      </x:c>
    </x:row>
    <x:row r="1011" ht="22" customHeight="1">
      <x:c r="A1011" s="1" t="n">
        <x:v>181</x:v>
      </x:c>
      <x:c r="B1011" s="1" t="str">
        <x:v>Ampharos</x:v>
      </x:c>
      <x:c r="C1011" s="1" t="str">
        <x:v>Strange Pheromone</x:v>
      </x:c>
      <x:c r="D1011" s="1" t="n">
        <x:v>1</x:v>
      </x:c>
      <x:c r="E1011" s="1" t="n">
        <x:v>1</x:v>
      </x:c>
      <x:c r="F1011" s="13" t="n">
        <x:v>0</x:v>
      </x:c>
      <x:c r="G1011" s="9" t="str">
        <x:v>https://poke.idleworld.online/pokepedia/pokemon/ampharos</x:v>
      </x:c>
    </x:row>
    <x:row r="1012" ht="22" customHeight="1">
      <x:c r="A1012" s="1" t="n">
        <x:v>181</x:v>
      </x:c>
      <x:c r="B1012" s="1" t="str">
        <x:v>Ampharos</x:v>
      </x:c>
      <x:c r="C1012" s="1" t="str">
        <x:v>Screw</x:v>
      </x:c>
      <x:c r="D1012" s="1" t="n">
        <x:v>1</x:v>
      </x:c>
      <x:c r="E1012" s="1" t="n">
        <x:v>5</x:v>
      </x:c>
      <x:c r="F1012" s="13" t="n">
        <x:v>0.20222779999999999</x:v>
      </x:c>
      <x:c r="G1012" s="9" t="str">
        <x:v>https://poke.idleworld.online/pokepedia/pokemon/ampharos</x:v>
      </x:c>
    </x:row>
    <x:row r="1013" ht="22" customHeight="1">
      <x:c r="A1013" s="1" t="n">
        <x:v>181</x:v>
      </x:c>
      <x:c r="B1013" s="1" t="str">
        <x:v>Ampharos</x:v>
      </x:c>
      <x:c r="C1013" s="1" t="str">
        <x:v>Thunder Stone</x:v>
      </x:c>
      <x:c r="D1013" s="1" t="n">
        <x:v>1</x:v>
      </x:c>
      <x:c r="E1013" s="1" t="n">
        <x:v>1</x:v>
      </x:c>
      <x:c r="F1013" s="13" t="n">
        <x:v>0.00116</x:v>
      </x:c>
      <x:c r="G1013" s="9" t="str">
        <x:v>https://poke.idleworld.online/pokepedia/pokemon/ampharos</x:v>
      </x:c>
    </x:row>
    <x:row r="1014" ht="22" customHeight="1">
      <x:c r="A1014" s="1" t="n">
        <x:v>181</x:v>
      </x:c>
      <x:c r="B1014" s="1" t="str">
        <x:v>Ampharos</x:v>
      </x:c>
      <x:c r="C1014" s="1" t="str">
        <x:v>Sheep Wool</x:v>
      </x:c>
      <x:c r="D1014" s="1" t="n">
        <x:v>1</x:v>
      </x:c>
      <x:c r="E1014" s="1" t="n">
        <x:v>5</x:v>
      </x:c>
      <x:c r="F1014" s="13" t="n">
        <x:v>0.2117028</x:v>
      </x:c>
      <x:c r="G1014" s="9" t="str">
        <x:v>https://poke.idleworld.online/pokepedia/pokemon/ampharos</x:v>
      </x:c>
    </x:row>
    <x:row r="1015" ht="22" customHeight="1">
      <x:c r="A1015" s="1" t="n">
        <x:v>181</x:v>
      </x:c>
      <x:c r="B1015" s="1" t="str">
        <x:v>Ampharos</x:v>
      </x:c>
      <x:c r="C1015" s="1" t="str">
        <x:v>Electric Box</x:v>
      </x:c>
      <x:c r="D1015" s="1" t="n">
        <x:v>1</x:v>
      </x:c>
      <x:c r="E1015" s="1" t="n">
        <x:v>4</x:v>
      </x:c>
      <x:c r="F1015" s="13" t="n">
        <x:v>0.21822360000000002</x:v>
      </x:c>
      <x:c r="G1015" s="9" t="str">
        <x:v>https://poke.idleworld.online/pokepedia/pokemon/ampharos</x:v>
      </x:c>
    </x:row>
    <x:row r="1016" ht="22" customHeight="1">
      <x:c r="A1016" s="1" t="n">
        <x:v>182</x:v>
      </x:c>
      <x:c r="B1016" s="1" t="str">
        <x:v>Bellossom</x:v>
      </x:c>
      <x:c r="C1016" s="1" t="str">
        <x:v>Strange Pheromone</x:v>
      </x:c>
      <x:c r="D1016" s="1" t="n">
        <x:v>1</x:v>
      </x:c>
      <x:c r="E1016" s="1" t="n">
        <x:v>1</x:v>
      </x:c>
      <x:c r="F1016" s="13" t="n">
        <x:v>0</x:v>
      </x:c>
      <x:c r="G1016" s="9" t="str">
        <x:v>https://poke.idleworld.online/pokepedia/pokemon/bellossom</x:v>
      </x:c>
    </x:row>
    <x:row r="1017" ht="22" customHeight="1">
      <x:c r="A1017" s="1" t="n">
        <x:v>182</x:v>
      </x:c>
      <x:c r="B1017" s="1" t="str">
        <x:v>Bellossom</x:v>
      </x:c>
      <x:c r="C1017" s="1" t="str">
        <x:v>Seed</x:v>
      </x:c>
      <x:c r="D1017" s="1" t="n">
        <x:v>1</x:v>
      </x:c>
      <x:c r="E1017" s="1" t="n">
        <x:v>5</x:v>
      </x:c>
      <x:c r="F1017" s="13" t="n">
        <x:v>0.7790213</x:v>
      </x:c>
      <x:c r="G1017" s="9" t="str">
        <x:v>https://poke.idleworld.online/pokepedia/pokemon/bellossom</x:v>
      </x:c>
    </x:row>
    <x:row r="1018" ht="22" customHeight="1">
      <x:c r="A1018" s="1" t="n">
        <x:v>182</x:v>
      </x:c>
      <x:c r="B1018" s="1" t="str">
        <x:v>Bellossom</x:v>
      </x:c>
      <x:c r="C1018" s="1" t="str">
        <x:v>Strange Flower</x:v>
      </x:c>
      <x:c r="D1018" s="1" t="n">
        <x:v>1</x:v>
      </x:c>
      <x:c r="E1018" s="1" t="n">
        <x:v>1</x:v>
      </x:c>
      <x:c r="F1018" s="13" t="n">
        <x:v>0.2755791</x:v>
      </x:c>
      <x:c r="G1018" s="9" t="str">
        <x:v>https://poke.idleworld.online/pokepedia/pokemon/bellossom</x:v>
      </x:c>
    </x:row>
    <x:row r="1019" ht="22" customHeight="1">
      <x:c r="A1019" s="1" t="n">
        <x:v>182</x:v>
      </x:c>
      <x:c r="B1019" s="1" t="str">
        <x:v>Bellossom</x:v>
      </x:c>
      <x:c r="C1019" s="1" t="str">
        <x:v>Leaves</x:v>
      </x:c>
      <x:c r="D1019" s="1" t="n">
        <x:v>1</x:v>
      </x:c>
      <x:c r="E1019" s="1" t="n">
        <x:v>3</x:v>
      </x:c>
      <x:c r="F1019" s="13" t="n">
        <x:v>0.7790213</x:v>
      </x:c>
      <x:c r="G1019" s="9" t="str">
        <x:v>https://poke.idleworld.online/pokepedia/pokemon/bellossom</x:v>
      </x:c>
    </x:row>
    <x:row r="1020" ht="22" customHeight="1">
      <x:c r="A1020" s="1" t="n">
        <x:v>182</x:v>
      </x:c>
      <x:c r="B1020" s="1" t="str">
        <x:v>Bellossom</x:v>
      </x:c>
      <x:c r="C1020" s="1" t="str">
        <x:v>Leaf Stone</x:v>
      </x:c>
      <x:c r="D1020" s="1" t="n">
        <x:v>1</x:v>
      </x:c>
      <x:c r="E1020" s="1" t="n">
        <x:v>1</x:v>
      </x:c>
      <x:c r="F1020" s="13" t="n">
        <x:v>0.00097</x:v>
      </x:c>
      <x:c r="G1020" s="9" t="str">
        <x:v>https://poke.idleworld.online/pokepedia/pokemon/bellossom</x:v>
      </x:c>
    </x:row>
    <x:row r="1021" ht="22" customHeight="1">
      <x:c r="A1021" s="1" t="n">
        <x:v>183</x:v>
      </x:c>
      <x:c r="B1021" s="1" t="str">
        <x:v>Marill</x:v>
      </x:c>
      <x:c r="C1021" s="1" t="str">
        <x:v>Strange Pheromone</x:v>
      </x:c>
      <x:c r="D1021" s="1" t="n">
        <x:v>1</x:v>
      </x:c>
      <x:c r="E1021" s="1" t="n">
        <x:v>1</x:v>
      </x:c>
      <x:c r="F1021" s="13" t="n">
        <x:v>0</x:v>
      </x:c>
      <x:c r="G1021" s="9" t="str">
        <x:v>https://poke.idleworld.online/pokepedia/pokemon/marill</x:v>
      </x:c>
    </x:row>
    <x:row r="1022" ht="22" customHeight="1">
      <x:c r="A1022" s="1" t="n">
        <x:v>183</x:v>
      </x:c>
      <x:c r="B1022" s="1" t="str">
        <x:v>Marill</x:v>
      </x:c>
      <x:c r="C1022" s="1" t="str">
        <x:v>Rubber Ball</x:v>
      </x:c>
      <x:c r="D1022" s="1" t="n">
        <x:v>1</x:v>
      </x:c>
      <x:c r="E1022" s="1" t="n">
        <x:v>5</x:v>
      </x:c>
      <x:c r="F1022" s="13" t="n">
        <x:v>0.95</x:v>
      </x:c>
      <x:c r="G1022" s="9" t="str">
        <x:v>https://poke.idleworld.online/pokepedia/pokemon/marill</x:v>
      </x:c>
    </x:row>
    <x:row r="1023" ht="22" customHeight="1">
      <x:c r="A1023" s="1" t="n">
        <x:v>183</x:v>
      </x:c>
      <x:c r="B1023" s="1" t="str">
        <x:v>Marill</x:v>
      </x:c>
      <x:c r="C1023" s="1" t="str">
        <x:v>Water Gem</x:v>
      </x:c>
      <x:c r="D1023" s="1" t="n">
        <x:v>1</x:v>
      </x:c>
      <x:c r="E1023" s="1" t="n">
        <x:v>1</x:v>
      </x:c>
      <x:c r="F1023" s="13" t="n">
        <x:v>0.3056843</x:v>
      </x:c>
      <x:c r="G1023" s="9" t="str">
        <x:v>https://poke.idleworld.online/pokepedia/pokemon/marill</x:v>
      </x:c>
    </x:row>
    <x:row r="1024" ht="22" customHeight="1">
      <x:c r="A1024" s="1" t="n">
        <x:v>183</x:v>
      </x:c>
      <x:c r="B1024" s="1" t="str">
        <x:v>Marill</x:v>
      </x:c>
      <x:c r="C1024" s="1" t="str">
        <x:v>Heart Stone</x:v>
      </x:c>
      <x:c r="D1024" s="1" t="n">
        <x:v>1</x:v>
      </x:c>
      <x:c r="E1024" s="1" t="n">
        <x:v>1</x:v>
      </x:c>
      <x:c r="F1024" s="13" t="n">
        <x:v>0.0015805</x:v>
      </x:c>
      <x:c r="G1024" s="9" t="str">
        <x:v>https://poke.idleworld.online/pokepedia/pokemon/marill</x:v>
      </x:c>
    </x:row>
    <x:row r="1025" ht="22" customHeight="1">
      <x:c r="A1025" s="1" t="n">
        <x:v>183</x:v>
      </x:c>
      <x:c r="B1025" s="1" t="str">
        <x:v>Marill</x:v>
      </x:c>
      <x:c r="C1025" s="1" t="str">
        <x:v>Blue Ball</x:v>
      </x:c>
      <x:c r="D1025" s="1" t="n">
        <x:v>1</x:v>
      </x:c>
      <x:c r="E1025" s="1" t="n">
        <x:v>1</x:v>
      </x:c>
      <x:c r="F1025" s="13" t="n">
        <x:v>0.0817291</x:v>
      </x:c>
      <x:c r="G1025" s="9" t="str">
        <x:v>https://poke.idleworld.online/pokepedia/pokemon/marill</x:v>
      </x:c>
    </x:row>
    <x:row r="1026" ht="22" customHeight="1">
      <x:c r="A1026" s="1" t="n">
        <x:v>183</x:v>
      </x:c>
      <x:c r="B1026" s="1" t="str">
        <x:v>Marill</x:v>
      </x:c>
      <x:c r="C1026" s="1" t="str">
        <x:v>Water Pendant</x:v>
      </x:c>
      <x:c r="D1026" s="1" t="n">
        <x:v>1</x:v>
      </x:c>
      <x:c r="E1026" s="1" t="n">
        <x:v>1</x:v>
      </x:c>
      <x:c r="F1026" s="13" t="n">
        <x:v>0.3268699</x:v>
      </x:c>
      <x:c r="G1026" s="9" t="str">
        <x:v>https://poke.idleworld.online/pokepedia/pokemon/marill</x:v>
      </x:c>
    </x:row>
    <x:row r="1027" ht="22" customHeight="1">
      <x:c r="A1027" s="1" t="n">
        <x:v>184</x:v>
      </x:c>
      <x:c r="B1027" s="1" t="str">
        <x:v>Azumarill</x:v>
      </x:c>
      <x:c r="C1027" s="1" t="str">
        <x:v>Strange Pheromone</x:v>
      </x:c>
      <x:c r="D1027" s="1" t="n">
        <x:v>1</x:v>
      </x:c>
      <x:c r="E1027" s="1" t="n">
        <x:v>1</x:v>
      </x:c>
      <x:c r="F1027" s="13" t="n">
        <x:v>0</x:v>
      </x:c>
      <x:c r="G1027" s="9" t="str">
        <x:v>https://poke.idleworld.online/pokepedia/pokemon/azumarill</x:v>
      </x:c>
    </x:row>
    <x:row r="1028" ht="22" customHeight="1">
      <x:c r="A1028" s="1" t="n">
        <x:v>184</x:v>
      </x:c>
      <x:c r="B1028" s="1" t="str">
        <x:v>Azumarill</x:v>
      </x:c>
      <x:c r="C1028" s="1" t="str">
        <x:v>Rubber Ball</x:v>
      </x:c>
      <x:c r="D1028" s="1" t="n">
        <x:v>1</x:v>
      </x:c>
      <x:c r="E1028" s="1" t="n">
        <x:v>5</x:v>
      </x:c>
      <x:c r="F1028" s="13" t="n">
        <x:v>0.376394</x:v>
      </x:c>
      <x:c r="G1028" s="9" t="str">
        <x:v>https://poke.idleworld.online/pokepedia/pokemon/azumarill</x:v>
      </x:c>
    </x:row>
    <x:row r="1029" ht="22" customHeight="1">
      <x:c r="A1029" s="1" t="n">
        <x:v>184</x:v>
      </x:c>
      <x:c r="B1029" s="1" t="str">
        <x:v>Azumarill</x:v>
      </x:c>
      <x:c r="C1029" s="1" t="str">
        <x:v>Water Gem</x:v>
      </x:c>
      <x:c r="D1029" s="1" t="n">
        <x:v>1</x:v>
      </x:c>
      <x:c r="E1029" s="1" t="n">
        <x:v>1</x:v>
      </x:c>
      <x:c r="F1029" s="13" t="n">
        <x:v>0.08469020000000001</x:v>
      </x:c>
      <x:c r="G1029" s="9" t="str">
        <x:v>https://poke.idleworld.online/pokepedia/pokemon/azumarill</x:v>
      </x:c>
    </x:row>
    <x:row r="1030" ht="22" customHeight="1">
      <x:c r="A1030" s="1" t="n">
        <x:v>184</x:v>
      </x:c>
      <x:c r="B1030" s="1" t="str">
        <x:v>Azumarill</x:v>
      </x:c>
      <x:c r="C1030" s="1" t="str">
        <x:v>Water Pendant</x:v>
      </x:c>
      <x:c r="D1030" s="1" t="n">
        <x:v>1</x:v>
      </x:c>
      <x:c r="E1030" s="1" t="n">
        <x:v>1</x:v>
      </x:c>
      <x:c r="F1030" s="13" t="n">
        <x:v>0.0376434</x:v>
      </x:c>
      <x:c r="G1030" s="9" t="str">
        <x:v>https://poke.idleworld.online/pokepedia/pokemon/azumarill</x:v>
      </x:c>
    </x:row>
    <x:row r="1031" ht="22" customHeight="1">
      <x:c r="A1031" s="1" t="n">
        <x:v>184</x:v>
      </x:c>
      <x:c r="B1031" s="1" t="str">
        <x:v>Azumarill</x:v>
      </x:c>
      <x:c r="C1031" s="1" t="str">
        <x:v>Water Stone</x:v>
      </x:c>
      <x:c r="D1031" s="1" t="n">
        <x:v>1</x:v>
      </x:c>
      <x:c r="E1031" s="1" t="n">
        <x:v>1</x:v>
      </x:c>
      <x:c r="F1031" s="13" t="n">
        <x:v>0.00141</x:v>
      </x:c>
      <x:c r="G1031" s="9" t="str">
        <x:v>https://poke.idleworld.online/pokepedia/pokemon/azumarill</x:v>
      </x:c>
    </x:row>
    <x:row r="1032" ht="22" customHeight="1">
      <x:c r="A1032" s="1" t="n">
        <x:v>184</x:v>
      </x:c>
      <x:c r="B1032" s="1" t="str">
        <x:v>Azumarill</x:v>
      </x:c>
      <x:c r="C1032" s="1" t="str">
        <x:v>Blue Ball</x:v>
      </x:c>
      <x:c r="D1032" s="1" t="n">
        <x:v>1</x:v>
      </x:c>
      <x:c r="E1032" s="1" t="n">
        <x:v>4</x:v>
      </x:c>
      <x:c r="F1032" s="13" t="n">
        <x:v>0.16803939999999998</x:v>
      </x:c>
      <x:c r="G1032" s="9" t="str">
        <x:v>https://poke.idleworld.online/pokepedia/pokemon/azumarill</x:v>
      </x:c>
    </x:row>
    <x:row r="1033" ht="22" customHeight="1">
      <x:c r="A1033" s="1" t="n">
        <x:v>185</x:v>
      </x:c>
      <x:c r="B1033" s="1" t="str">
        <x:v>Sudowoodo</x:v>
      </x:c>
      <x:c r="C1033" s="1" t="str">
        <x:v>Strange Pheromone</x:v>
      </x:c>
      <x:c r="D1033" s="1" t="n">
        <x:v>1</x:v>
      </x:c>
      <x:c r="E1033" s="1" t="n">
        <x:v>1</x:v>
      </x:c>
      <x:c r="F1033" s="13" t="n">
        <x:v>0</x:v>
      </x:c>
      <x:c r="G1033" s="9" t="str">
        <x:v>https://poke.idleworld.online/pokepedia/pokemon/sudowoodo</x:v>
      </x:c>
    </x:row>
    <x:row r="1034" ht="22" customHeight="1">
      <x:c r="A1034" s="1" t="n">
        <x:v>185</x:v>
      </x:c>
      <x:c r="B1034" s="1" t="str">
        <x:v>Sudowoodo</x:v>
      </x:c>
      <x:c r="C1034" s="1" t="str">
        <x:v>Small Stone</x:v>
      </x:c>
      <x:c r="D1034" s="1" t="n">
        <x:v>1</x:v>
      </x:c>
      <x:c r="E1034" s="1" t="n">
        <x:v>10</x:v>
      </x:c>
      <x:c r="F1034" s="13" t="n">
        <x:v>0.8</x:v>
      </x:c>
      <x:c r="G1034" s="9" t="str">
        <x:v>https://poke.idleworld.online/pokepedia/pokemon/sudowoodo</x:v>
      </x:c>
    </x:row>
    <x:row r="1035" ht="22" customHeight="1">
      <x:c r="A1035" s="1" t="n">
        <x:v>185</x:v>
      </x:c>
      <x:c r="B1035" s="1" t="str">
        <x:v>Sudowoodo</x:v>
      </x:c>
      <x:c r="C1035" s="1" t="str">
        <x:v>Stone Orb</x:v>
      </x:c>
      <x:c r="D1035" s="1" t="n">
        <x:v>1</x:v>
      </x:c>
      <x:c r="E1035" s="1" t="n">
        <x:v>1</x:v>
      </x:c>
      <x:c r="F1035" s="13" t="n">
        <x:v>0.1</x:v>
      </x:c>
      <x:c r="G1035" s="9" t="str">
        <x:v>https://poke.idleworld.online/pokepedia/pokemon/sudowoodo</x:v>
      </x:c>
    </x:row>
    <x:row r="1036" ht="22" customHeight="1">
      <x:c r="A1036" s="1" t="n">
        <x:v>185</x:v>
      </x:c>
      <x:c r="B1036" s="1" t="str">
        <x:v>Sudowoodo</x:v>
      </x:c>
      <x:c r="C1036" s="1" t="str">
        <x:v>Rock Stone</x:v>
      </x:c>
      <x:c r="D1036" s="1" t="n">
        <x:v>1</x:v>
      </x:c>
      <x:c r="E1036" s="1" t="n">
        <x:v>1</x:v>
      </x:c>
      <x:c r="F1036" s="13" t="n">
        <x:v>0.003</x:v>
      </x:c>
      <x:c r="G1036" s="9" t="str">
        <x:v>https://poke.idleworld.online/pokepedia/pokemon/sudowoodo</x:v>
      </x:c>
    </x:row>
    <x:row r="1037" ht="22" customHeight="1">
      <x:c r="A1037" s="1" t="n">
        <x:v>185</x:v>
      </x:c>
      <x:c r="B1037" s="1" t="str">
        <x:v>Sudowoodo</x:v>
      </x:c>
      <x:c r="C1037" s="1" t="str">
        <x:v>Branch of Stone</x:v>
      </x:c>
      <x:c r="D1037" s="1" t="n">
        <x:v>1</x:v>
      </x:c>
      <x:c r="E1037" s="1" t="n">
        <x:v>3</x:v>
      </x:c>
      <x:c r="F1037" s="13" t="n">
        <x:v>0.165625</x:v>
      </x:c>
      <x:c r="G1037" s="9" t="str">
        <x:v>https://poke.idleworld.online/pokepedia/pokemon/sudowoodo</x:v>
      </x:c>
    </x:row>
    <x:row r="1038" ht="22" customHeight="1">
      <x:c r="A1038" s="1" t="n">
        <x:v>186</x:v>
      </x:c>
      <x:c r="B1038" s="1" t="str">
        <x:v>Politoed</x:v>
      </x:c>
      <x:c r="C1038" s="1" t="str">
        <x:v>Strange Pheromone</x:v>
      </x:c>
      <x:c r="D1038" s="1" t="n">
        <x:v>1</x:v>
      </x:c>
      <x:c r="E1038" s="1" t="n">
        <x:v>1</x:v>
      </x:c>
      <x:c r="F1038" s="13" t="n">
        <x:v>0</x:v>
      </x:c>
      <x:c r="G1038" s="9" t="str">
        <x:v>https://poke.idleworld.online/pokepedia/pokemon/politoed</x:v>
      </x:c>
    </x:row>
    <x:row r="1039" ht="22" customHeight="1">
      <x:c r="A1039" s="1" t="n">
        <x:v>186</x:v>
      </x:c>
      <x:c r="B1039" s="1" t="str">
        <x:v>Politoed</x:v>
      </x:c>
      <x:c r="C1039" s="1" t="str">
        <x:v>Water Gem</x:v>
      </x:c>
      <x:c r="D1039" s="1" t="n">
        <x:v>1</x:v>
      </x:c>
      <x:c r="E1039" s="1" t="n">
        <x:v>1</x:v>
      </x:c>
      <x:c r="F1039" s="13" t="n">
        <x:v>0.0412543</x:v>
      </x:c>
      <x:c r="G1039" s="9" t="str">
        <x:v>https://poke.idleworld.online/pokepedia/pokemon/politoed</x:v>
      </x:c>
    </x:row>
    <x:row r="1040" ht="22" customHeight="1">
      <x:c r="A1040" s="1" t="n">
        <x:v>186</x:v>
      </x:c>
      <x:c r="B1040" s="1" t="str">
        <x:v>Politoed</x:v>
      </x:c>
      <x:c r="C1040" s="1" t="str">
        <x:v>Water Stone</x:v>
      </x:c>
      <x:c r="D1040" s="1" t="n">
        <x:v>1</x:v>
      </x:c>
      <x:c r="E1040" s="1" t="n">
        <x:v>1</x:v>
      </x:c>
      <x:c r="F1040" s="13" t="n">
        <x:v>0.0016</x:v>
      </x:c>
      <x:c r="G1040" s="9" t="str">
        <x:v>https://poke.idleworld.online/pokepedia/pokemon/politoed</x:v>
      </x:c>
    </x:row>
    <x:row r="1041" ht="22" customHeight="1">
      <x:c r="A1041" s="1" t="n">
        <x:v>186</x:v>
      </x:c>
      <x:c r="B1041" s="1" t="str">
        <x:v>Politoed</x:v>
      </x:c>
      <x:c r="C1041" s="1" t="str">
        <x:v>Strange Thing</x:v>
      </x:c>
      <x:c r="D1041" s="1" t="n">
        <x:v>1</x:v>
      </x:c>
      <x:c r="E1041" s="1" t="n">
        <x:v>5</x:v>
      </x:c>
      <x:c r="F1041" s="13" t="n">
        <x:v>0.17173349999999998</x:v>
      </x:c>
      <x:c r="G1041" s="9" t="str">
        <x:v>https://poke.idleworld.online/pokepedia/pokemon/politoed</x:v>
      </x:c>
    </x:row>
    <x:row r="1042" ht="22" customHeight="1">
      <x:c r="A1042" s="1" t="n">
        <x:v>186</x:v>
      </x:c>
      <x:c r="B1042" s="1" t="str">
        <x:v>Politoed</x:v>
      </x:c>
      <x:c r="C1042" s="1" t="str">
        <x:v>Water Pendant</x:v>
      </x:c>
      <x:c r="D1042" s="1" t="n">
        <x:v>1</x:v>
      </x:c>
      <x:c r="E1042" s="1" t="n">
        <x:v>4</x:v>
      </x:c>
      <x:c r="F1042" s="13" t="n">
        <x:v>0.1937277</x:v>
      </x:c>
      <x:c r="G1042" s="9" t="str">
        <x:v>https://poke.idleworld.online/pokepedia/pokemon/politoed</x:v>
      </x:c>
    </x:row>
    <x:row r="1043" ht="22" customHeight="1">
      <x:c r="A1043" s="1" t="n">
        <x:v>187</x:v>
      </x:c>
      <x:c r="B1043" s="1" t="str">
        <x:v>Hoppip</x:v>
      </x:c>
      <x:c r="C1043" s="1" t="str">
        <x:v>Strange Pheromone</x:v>
      </x:c>
      <x:c r="D1043" s="1" t="n">
        <x:v>1</x:v>
      </x:c>
      <x:c r="E1043" s="1" t="n">
        <x:v>1</x:v>
      </x:c>
      <x:c r="F1043" s="13" t="n">
        <x:v>0</x:v>
      </x:c>
      <x:c r="G1043" s="9" t="str">
        <x:v>https://poke.idleworld.online/pokepedia/pokemon/hoppip</x:v>
      </x:c>
    </x:row>
    <x:row r="1044" ht="22" customHeight="1">
      <x:c r="A1044" s="1" t="n">
        <x:v>187</x:v>
      </x:c>
      <x:c r="B1044" s="1" t="str">
        <x:v>Hoppip</x:v>
      </x:c>
      <x:c r="C1044" s="1" t="str">
        <x:v>Straw</x:v>
      </x:c>
      <x:c r="D1044" s="1" t="n">
        <x:v>1</x:v>
      </x:c>
      <x:c r="E1044" s="1" t="n">
        <x:v>5</x:v>
      </x:c>
      <x:c r="F1044" s="13" t="n">
        <x:v>0.1384464</x:v>
      </x:c>
      <x:c r="G1044" s="9" t="str">
        <x:v>https://poke.idleworld.online/pokepedia/pokemon/hoppip</x:v>
      </x:c>
    </x:row>
    <x:row r="1045" ht="22" customHeight="1">
      <x:c r="A1045" s="1" t="n">
        <x:v>187</x:v>
      </x:c>
      <x:c r="B1045" s="1" t="str">
        <x:v>Hoppip</x:v>
      </x:c>
      <x:c r="C1045" s="1" t="str">
        <x:v>Seed</x:v>
      </x:c>
      <x:c r="D1045" s="1" t="n">
        <x:v>1</x:v>
      </x:c>
      <x:c r="E1045" s="1" t="n">
        <x:v>5</x:v>
      </x:c>
      <x:c r="F1045" s="13" t="n">
        <x:v>0.1384464</x:v>
      </x:c>
      <x:c r="G1045" s="9" t="str">
        <x:v>https://poke.idleworld.online/pokepedia/pokemon/hoppip</x:v>
      </x:c>
    </x:row>
    <x:row r="1046" ht="22" customHeight="1">
      <x:c r="A1046" s="1" t="n">
        <x:v>187</x:v>
      </x:c>
      <x:c r="B1046" s="1" t="str">
        <x:v>Hoppip</x:v>
      </x:c>
      <x:c r="C1046" s="1" t="str">
        <x:v>Bag of Pollen</x:v>
      </x:c>
      <x:c r="D1046" s="1" t="n">
        <x:v>1</x:v>
      </x:c>
      <x:c r="E1046" s="1" t="n">
        <x:v>5</x:v>
      </x:c>
      <x:c r="F1046" s="13" t="n">
        <x:v>0.1384464</x:v>
      </x:c>
      <x:c r="G1046" s="9" t="str">
        <x:v>https://poke.idleworld.online/pokepedia/pokemon/hoppip</x:v>
      </x:c>
    </x:row>
    <x:row r="1047" ht="22" customHeight="1">
      <x:c r="A1047" s="1" t="n">
        <x:v>187</x:v>
      </x:c>
      <x:c r="B1047" s="1" t="str">
        <x:v>Hoppip</x:v>
      </x:c>
      <x:c r="C1047" s="1" t="str">
        <x:v>Yellow Flower</x:v>
      </x:c>
      <x:c r="D1047" s="1" t="n">
        <x:v>1</x:v>
      </x:c>
      <x:c r="E1047" s="1" t="n">
        <x:v>1</x:v>
      </x:c>
      <x:c r="F1047" s="13" t="n">
        <x:v>0.0039469</x:v>
      </x:c>
      <x:c r="G1047" s="9" t="str">
        <x:v>https://poke.idleworld.online/pokepedia/pokemon/hoppip</x:v>
      </x:c>
    </x:row>
    <x:row r="1048" ht="22" customHeight="1">
      <x:c r="A1048" s="1" t="n">
        <x:v>188</x:v>
      </x:c>
      <x:c r="B1048" s="1" t="str">
        <x:v>Skiploom</x:v>
      </x:c>
      <x:c r="C1048" s="1" t="str">
        <x:v>Strange Pheromone</x:v>
      </x:c>
      <x:c r="D1048" s="1" t="n">
        <x:v>1</x:v>
      </x:c>
      <x:c r="E1048" s="1" t="n">
        <x:v>1</x:v>
      </x:c>
      <x:c r="F1048" s="13" t="n">
        <x:v>0</x:v>
      </x:c>
      <x:c r="G1048" s="9" t="str">
        <x:v>https://poke.idleworld.online/pokepedia/pokemon/skiploom</x:v>
      </x:c>
    </x:row>
    <x:row r="1049" ht="22" customHeight="1">
      <x:c r="A1049" s="1" t="n">
        <x:v>188</x:v>
      </x:c>
      <x:c r="B1049" s="1" t="str">
        <x:v>Skiploom</x:v>
      </x:c>
      <x:c r="C1049" s="1" t="str">
        <x:v>Straw</x:v>
      </x:c>
      <x:c r="D1049" s="1" t="n">
        <x:v>1</x:v>
      </x:c>
      <x:c r="E1049" s="1" t="n">
        <x:v>5</x:v>
      </x:c>
      <x:c r="F1049" s="13" t="n">
        <x:v>0.097935</x:v>
      </x:c>
      <x:c r="G1049" s="9" t="str">
        <x:v>https://poke.idleworld.online/pokepedia/pokemon/skiploom</x:v>
      </x:c>
    </x:row>
    <x:row r="1050" ht="22" customHeight="1">
      <x:c r="A1050" s="1" t="n">
        <x:v>188</x:v>
      </x:c>
      <x:c r="B1050" s="1" t="str">
        <x:v>Skiploom</x:v>
      </x:c>
      <x:c r="C1050" s="1" t="str">
        <x:v>Seed</x:v>
      </x:c>
      <x:c r="D1050" s="1" t="n">
        <x:v>1</x:v>
      </x:c>
      <x:c r="E1050" s="1" t="n">
        <x:v>5</x:v>
      </x:c>
      <x:c r="F1050" s="13" t="n">
        <x:v>0.097935</x:v>
      </x:c>
      <x:c r="G1050" s="9" t="str">
        <x:v>https://poke.idleworld.online/pokepedia/pokemon/skiploom</x:v>
      </x:c>
    </x:row>
    <x:row r="1051" ht="22" customHeight="1">
      <x:c r="A1051" s="1" t="n">
        <x:v>188</x:v>
      </x:c>
      <x:c r="B1051" s="1" t="str">
        <x:v>Skiploom</x:v>
      </x:c>
      <x:c r="C1051" s="1" t="str">
        <x:v>Bag of Pollen</x:v>
      </x:c>
      <x:c r="D1051" s="1" t="n">
        <x:v>1</x:v>
      </x:c>
      <x:c r="E1051" s="1" t="n">
        <x:v>8</x:v>
      </x:c>
      <x:c r="F1051" s="13" t="n">
        <x:v>0.097935</x:v>
      </x:c>
      <x:c r="G1051" s="9" t="str">
        <x:v>https://poke.idleworld.online/pokepedia/pokemon/skiploom</x:v>
      </x:c>
    </x:row>
    <x:row r="1052" ht="22" customHeight="1">
      <x:c r="A1052" s="1" t="n">
        <x:v>188</x:v>
      </x:c>
      <x:c r="B1052" s="1" t="str">
        <x:v>Skiploom</x:v>
      </x:c>
      <x:c r="C1052" s="1" t="str">
        <x:v>Leaf Stone</x:v>
      </x:c>
      <x:c r="D1052" s="1" t="n">
        <x:v>1</x:v>
      </x:c>
      <x:c r="E1052" s="1" t="n">
        <x:v>1</x:v>
      </x:c>
      <x:c r="F1052" s="13" t="n">
        <x:v>0.0017235</x:v>
      </x:c>
      <x:c r="G1052" s="9" t="str">
        <x:v>https://poke.idleworld.online/pokepedia/pokemon/skiploom</x:v>
      </x:c>
    </x:row>
    <x:row r="1053" ht="22" customHeight="1">
      <x:c r="A1053" s="1" t="n">
        <x:v>188</x:v>
      </x:c>
      <x:c r="B1053" s="1" t="str">
        <x:v>Skiploom</x:v>
      </x:c>
      <x:c r="C1053" s="1" t="str">
        <x:v>Yellow Flower</x:v>
      </x:c>
      <x:c r="D1053" s="1" t="n">
        <x:v>1</x:v>
      </x:c>
      <x:c r="E1053" s="1" t="n">
        <x:v>1</x:v>
      </x:c>
      <x:c r="F1053" s="13" t="n">
        <x:v>0.016590999999999998</x:v>
      </x:c>
      <x:c r="G1053" s="9" t="str">
        <x:v>https://poke.idleworld.online/pokepedia/pokemon/skiploom</x:v>
      </x:c>
    </x:row>
    <x:row r="1054" ht="22" customHeight="1">
      <x:c r="A1054" s="1" t="n">
        <x:v>189</x:v>
      </x:c>
      <x:c r="B1054" s="1" t="str">
        <x:v>Jumpluff</x:v>
      </x:c>
      <x:c r="C1054" s="1" t="str">
        <x:v>Strange Pheromone</x:v>
      </x:c>
      <x:c r="D1054" s="1" t="n">
        <x:v>1</x:v>
      </x:c>
      <x:c r="E1054" s="1" t="n">
        <x:v>1</x:v>
      </x:c>
      <x:c r="F1054" s="13" t="n">
        <x:v>0</x:v>
      </x:c>
      <x:c r="G1054" s="9" t="str">
        <x:v>https://poke.idleworld.online/pokepedia/pokemon/jumpluff</x:v>
      </x:c>
    </x:row>
    <x:row r="1055" ht="22" customHeight="1">
      <x:c r="A1055" s="1" t="n">
        <x:v>189</x:v>
      </x:c>
      <x:c r="B1055" s="1" t="str">
        <x:v>Jumpluff</x:v>
      </x:c>
      <x:c r="C1055" s="1" t="str">
        <x:v>Straw</x:v>
      </x:c>
      <x:c r="D1055" s="1" t="n">
        <x:v>1</x:v>
      </x:c>
      <x:c r="E1055" s="1" t="n">
        <x:v>5</x:v>
      </x:c>
      <x:c r="F1055" s="13" t="n">
        <x:v>0.1055982</x:v>
      </x:c>
      <x:c r="G1055" s="9" t="str">
        <x:v>https://poke.idleworld.online/pokepedia/pokemon/jumpluff</x:v>
      </x:c>
    </x:row>
    <x:row r="1056" ht="22" customHeight="1">
      <x:c r="A1056" s="1" t="n">
        <x:v>189</x:v>
      </x:c>
      <x:c r="B1056" s="1" t="str">
        <x:v>Jumpluff</x:v>
      </x:c>
      <x:c r="C1056" s="1" t="str">
        <x:v>Seed</x:v>
      </x:c>
      <x:c r="D1056" s="1" t="n">
        <x:v>1</x:v>
      </x:c>
      <x:c r="E1056" s="1" t="n">
        <x:v>5</x:v>
      </x:c>
      <x:c r="F1056" s="13" t="n">
        <x:v>0.1055982</x:v>
      </x:c>
      <x:c r="G1056" s="9" t="str">
        <x:v>https://poke.idleworld.online/pokepedia/pokemon/jumpluff</x:v>
      </x:c>
    </x:row>
    <x:row r="1057" ht="22" customHeight="1">
      <x:c r="A1057" s="1" t="n">
        <x:v>189</x:v>
      </x:c>
      <x:c r="B1057" s="1" t="str">
        <x:v>Jumpluff</x:v>
      </x:c>
      <x:c r="C1057" s="1" t="str">
        <x:v>Bag of Pollen</x:v>
      </x:c>
      <x:c r="D1057" s="1" t="n">
        <x:v>1</x:v>
      </x:c>
      <x:c r="E1057" s="1" t="n">
        <x:v>12</x:v>
      </x:c>
      <x:c r="F1057" s="13" t="n">
        <x:v>0.1055982</x:v>
      </x:c>
      <x:c r="G1057" s="9" t="str">
        <x:v>https://poke.idleworld.online/pokepedia/pokemon/jumpluff</x:v>
      </x:c>
    </x:row>
    <x:row r="1058" ht="22" customHeight="1">
      <x:c r="A1058" s="1" t="n">
        <x:v>189</x:v>
      </x:c>
      <x:c r="B1058" s="1" t="str">
        <x:v>Jumpluff</x:v>
      </x:c>
      <x:c r="C1058" s="1" t="str">
        <x:v>Leaf Stone</x:v>
      </x:c>
      <x:c r="D1058" s="1" t="n">
        <x:v>1</x:v>
      </x:c>
      <x:c r="E1058" s="1" t="n">
        <x:v>1</x:v>
      </x:c>
      <x:c r="F1058" s="13" t="n">
        <x:v>0.0026935</x:v>
      </x:c>
      <x:c r="G1058" s="9" t="str">
        <x:v>https://poke.idleworld.online/pokepedia/pokemon/jumpluff</x:v>
      </x:c>
    </x:row>
    <x:row r="1059" ht="22" customHeight="1">
      <x:c r="A1059" s="1" t="n">
        <x:v>189</x:v>
      </x:c>
      <x:c r="B1059" s="1" t="str">
        <x:v>Jumpluff</x:v>
      </x:c>
      <x:c r="C1059" s="1" t="str">
        <x:v>Yellow Flower</x:v>
      </x:c>
      <x:c r="D1059" s="1" t="n">
        <x:v>1</x:v>
      </x:c>
      <x:c r="E1059" s="1" t="n">
        <x:v>2</x:v>
      </x:c>
      <x:c r="F1059" s="13" t="n">
        <x:v>0.019498599999999998</x:v>
      </x:c>
      <x:c r="G1059" s="9" t="str">
        <x:v>https://poke.idleworld.online/pokepedia/pokemon/jumpluff</x:v>
      </x:c>
    </x:row>
    <x:row r="1060" ht="22" customHeight="1">
      <x:c r="A1060" s="1" t="n">
        <x:v>190</x:v>
      </x:c>
      <x:c r="B1060" s="1" t="str">
        <x:v>Aipom</x:v>
      </x:c>
      <x:c r="C1060" s="1" t="str">
        <x:v>Strange Pheromone</x:v>
      </x:c>
      <x:c r="D1060" s="1" t="n">
        <x:v>1</x:v>
      </x:c>
      <x:c r="E1060" s="1" t="n">
        <x:v>1</x:v>
      </x:c>
      <x:c r="F1060" s="13" t="n">
        <x:v>0</x:v>
      </x:c>
      <x:c r="G1060" s="9" t="str">
        <x:v>https://poke.idleworld.online/pokepedia/pokemon/aipom</x:v>
      </x:c>
    </x:row>
    <x:row r="1061" ht="22" customHeight="1">
      <x:c r="A1061" s="1" t="n">
        <x:v>190</x:v>
      </x:c>
      <x:c r="B1061" s="1" t="str">
        <x:v>Aipom</x:v>
      </x:c>
      <x:c r="C1061" s="1" t="str">
        <x:v>Rubber Ball</x:v>
      </x:c>
      <x:c r="D1061" s="1" t="n">
        <x:v>1</x:v>
      </x:c>
      <x:c r="E1061" s="1" t="n">
        <x:v>5</x:v>
      </x:c>
      <x:c r="F1061" s="13" t="n">
        <x:v>0.1548598</x:v>
      </x:c>
      <x:c r="G1061" s="9" t="str">
        <x:v>https://poke.idleworld.online/pokepedia/pokemon/aipom</x:v>
      </x:c>
    </x:row>
    <x:row r="1062" ht="22" customHeight="1">
      <x:c r="A1062" s="1" t="n">
        <x:v>190</x:v>
      </x:c>
      <x:c r="B1062" s="1" t="str">
        <x:v>Aipom</x:v>
      </x:c>
      <x:c r="C1062" s="1" t="str">
        <x:v>Bitten Apple</x:v>
      </x:c>
      <x:c r="D1062" s="1" t="n">
        <x:v>1</x:v>
      </x:c>
      <x:c r="E1062" s="1" t="n">
        <x:v>22</x:v>
      </x:c>
      <x:c r="F1062" s="13" t="n">
        <x:v>0.0387149</x:v>
      </x:c>
      <x:c r="G1062" s="9" t="str">
        <x:v>https://poke.idleworld.online/pokepedia/pokemon/aipom</x:v>
      </x:c>
    </x:row>
    <x:row r="1063" ht="22" customHeight="1">
      <x:c r="A1063" s="1" t="n">
        <x:v>190</x:v>
      </x:c>
      <x:c r="B1063" s="1" t="str">
        <x:v>Aipom</x:v>
      </x:c>
      <x:c r="C1063" s="1" t="str">
        <x:v>Monkey Paw</x:v>
      </x:c>
      <x:c r="D1063" s="1" t="n">
        <x:v>1</x:v>
      </x:c>
      <x:c r="E1063" s="1" t="n">
        <x:v>22</x:v>
      </x:c>
      <x:c r="F1063" s="13" t="n">
        <x:v>0.0371907</x:v>
      </x:c>
      <x:c r="G1063" s="9" t="str">
        <x:v>https://poke.idleworld.online/pokepedia/pokemon/aipom</x:v>
      </x:c>
    </x:row>
    <x:row r="1064" ht="22" customHeight="1">
      <x:c r="A1064" s="1" t="n">
        <x:v>191</x:v>
      </x:c>
      <x:c r="B1064" s="1" t="str">
        <x:v>Sunkern</x:v>
      </x:c>
      <x:c r="C1064" s="1" t="str">
        <x:v>Strange Pheromone</x:v>
      </x:c>
      <x:c r="D1064" s="1" t="n">
        <x:v>1</x:v>
      </x:c>
      <x:c r="E1064" s="1" t="n">
        <x:v>1</x:v>
      </x:c>
      <x:c r="F1064" s="13" t="n">
        <x:v>0</x:v>
      </x:c>
      <x:c r="G1064" s="9" t="str">
        <x:v>https://poke.idleworld.online/pokepedia/pokemon/sunkern</x:v>
      </x:c>
    </x:row>
    <x:row r="1065" ht="22" customHeight="1">
      <x:c r="A1065" s="1" t="n">
        <x:v>191</x:v>
      </x:c>
      <x:c r="B1065" s="1" t="str">
        <x:v>Sunkern</x:v>
      </x:c>
      <x:c r="C1065" s="1" t="str">
        <x:v>Seed</x:v>
      </x:c>
      <x:c r="D1065" s="1" t="n">
        <x:v>1</x:v>
      </x:c>
      <x:c r="E1065" s="1" t="n">
        <x:v>5</x:v>
      </x:c>
      <x:c r="F1065" s="13" t="n">
        <x:v>0.95</x:v>
      </x:c>
      <x:c r="G1065" s="9" t="str">
        <x:v>https://poke.idleworld.online/pokepedia/pokemon/sunkern</x:v>
      </x:c>
    </x:row>
    <x:row r="1066" ht="22" customHeight="1">
      <x:c r="A1066" s="1" t="n">
        <x:v>191</x:v>
      </x:c>
      <x:c r="B1066" s="1" t="str">
        <x:v>Sunkern</x:v>
      </x:c>
      <x:c r="C1066" s="1" t="str">
        <x:v>Leaves</x:v>
      </x:c>
      <x:c r="D1066" s="1" t="n">
        <x:v>1</x:v>
      </x:c>
      <x:c r="E1066" s="1" t="n">
        <x:v>1</x:v>
      </x:c>
      <x:c r="F1066" s="13" t="n">
        <x:v>0.4525317</x:v>
      </x:c>
      <x:c r="G1066" s="9" t="str">
        <x:v>https://poke.idleworld.online/pokepedia/pokemon/sunkern</x:v>
      </x:c>
    </x:row>
    <x:row r="1067" ht="22" customHeight="1">
      <x:c r="A1067" s="1" t="n">
        <x:v>191</x:v>
      </x:c>
      <x:c r="B1067" s="1" t="str">
        <x:v>Sunkern</x:v>
      </x:c>
      <x:c r="C1067" s="1" t="str">
        <x:v>Helicopter Leaves</x:v>
      </x:c>
      <x:c r="D1067" s="1" t="n">
        <x:v>1</x:v>
      </x:c>
      <x:c r="E1067" s="1" t="n">
        <x:v>1</x:v>
      </x:c>
      <x:c r="F1067" s="13" t="n">
        <x:v>0.10498379999999999</x:v>
      </x:c>
      <x:c r="G1067" s="9" t="str">
        <x:v>https://poke.idleworld.online/pokepedia/pokemon/sunkern</x:v>
      </x:c>
    </x:row>
    <x:row r="1068" ht="22" customHeight="1">
      <x:c r="A1068" s="1" t="n">
        <x:v>192</x:v>
      </x:c>
      <x:c r="B1068" s="1" t="str">
        <x:v>Sunflora</x:v>
      </x:c>
      <x:c r="C1068" s="1" t="str">
        <x:v>Strange Pheromone</x:v>
      </x:c>
      <x:c r="D1068" s="1" t="n">
        <x:v>1</x:v>
      </x:c>
      <x:c r="E1068" s="1" t="n">
        <x:v>1</x:v>
      </x:c>
      <x:c r="F1068" s="13" t="n">
        <x:v>0</x:v>
      </x:c>
      <x:c r="G1068" s="9" t="str">
        <x:v>https://poke.idleworld.online/pokepedia/pokemon/sunflora</x:v>
      </x:c>
    </x:row>
    <x:row r="1069" ht="22" customHeight="1">
      <x:c r="A1069" s="1" t="n">
        <x:v>192</x:v>
      </x:c>
      <x:c r="B1069" s="1" t="str">
        <x:v>Sunflora</x:v>
      </x:c>
      <x:c r="C1069" s="1" t="str">
        <x:v>Seed</x:v>
      </x:c>
      <x:c r="D1069" s="1" t="n">
        <x:v>1</x:v>
      </x:c>
      <x:c r="E1069" s="1" t="n">
        <x:v>10</x:v>
      </x:c>
      <x:c r="F1069" s="13" t="n">
        <x:v>0.5445481</x:v>
      </x:c>
      <x:c r="G1069" s="9" t="str">
        <x:v>https://poke.idleworld.online/pokepedia/pokemon/sunflora</x:v>
      </x:c>
    </x:row>
    <x:row r="1070" ht="22" customHeight="1">
      <x:c r="A1070" s="1" t="n">
        <x:v>192</x:v>
      </x:c>
      <x:c r="B1070" s="1" t="str">
        <x:v>Sunflora</x:v>
      </x:c>
      <x:c r="C1070" s="1" t="str">
        <x:v>Leaf Stone</x:v>
      </x:c>
      <x:c r="D1070" s="1" t="n">
        <x:v>1</x:v>
      </x:c>
      <x:c r="E1070" s="1" t="n">
        <x:v>1</x:v>
      </x:c>
      <x:c r="F1070" s="13" t="n">
        <x:v>0.0014652</x:v>
      </x:c>
      <x:c r="G1070" s="9" t="str">
        <x:v>https://poke.idleworld.online/pokepedia/pokemon/sunflora</x:v>
      </x:c>
    </x:row>
    <x:row r="1071" ht="22" customHeight="1">
      <x:c r="A1071" s="1" t="n">
        <x:v>192</x:v>
      </x:c>
      <x:c r="B1071" s="1" t="str">
        <x:v>Sunflora</x:v>
      </x:c>
      <x:c r="C1071" s="1" t="str">
        <x:v>Helicopter Leaves</x:v>
      </x:c>
      <x:c r="D1071" s="1" t="n">
        <x:v>1</x:v>
      </x:c>
      <x:c r="E1071" s="1" t="n">
        <x:v>2</x:v>
      </x:c>
      <x:c r="F1071" s="13" t="n">
        <x:v>0.1229783</x:v>
      </x:c>
      <x:c r="G1071" s="9" t="str">
        <x:v>https://poke.idleworld.online/pokepedia/pokemon/sunflora</x:v>
      </x:c>
    </x:row>
    <x:row r="1072" ht="22" customHeight="1">
      <x:c r="A1072" s="1" t="n">
        <x:v>192</x:v>
      </x:c>
      <x:c r="B1072" s="1" t="str">
        <x:v>Sunflora</x:v>
      </x:c>
      <x:c r="C1072" s="1" t="str">
        <x:v>Leaves</x:v>
      </x:c>
      <x:c r="D1072" s="1" t="n">
        <x:v>1</x:v>
      </x:c>
      <x:c r="E1072" s="1" t="n">
        <x:v>1</x:v>
      </x:c>
      <x:c r="F1072" s="13" t="n">
        <x:v>0.1523169</x:v>
      </x:c>
      <x:c r="G1072" s="9" t="str">
        <x:v>https://poke.idleworld.online/pokepedia/pokemon/sunflora</x:v>
      </x:c>
    </x:row>
    <x:row r="1073" ht="22" customHeight="1">
      <x:c r="A1073" s="1" t="n">
        <x:v>193</x:v>
      </x:c>
      <x:c r="B1073" s="1" t="str">
        <x:v>Yanma</x:v>
      </x:c>
      <x:c r="C1073" s="1" t="str">
        <x:v>Strange Pheromone</x:v>
      </x:c>
      <x:c r="D1073" s="1" t="n">
        <x:v>1</x:v>
      </x:c>
      <x:c r="E1073" s="1" t="n">
        <x:v>1</x:v>
      </x:c>
      <x:c r="F1073" s="13" t="n">
        <x:v>0</x:v>
      </x:c>
      <x:c r="G1073" s="9" t="str">
        <x:v>https://poke.idleworld.online/pokepedia/pokemon/yanma</x:v>
      </x:c>
    </x:row>
    <x:row r="1074" ht="22" customHeight="1">
      <x:c r="A1074" s="1" t="n">
        <x:v>193</x:v>
      </x:c>
      <x:c r="B1074" s="1" t="str">
        <x:v>Yanma</x:v>
      </x:c>
      <x:c r="C1074" s="1" t="str">
        <x:v>Straw</x:v>
      </x:c>
      <x:c r="D1074" s="1" t="n">
        <x:v>1</x:v>
      </x:c>
      <x:c r="E1074" s="1" t="n">
        <x:v>5</x:v>
      </x:c>
      <x:c r="F1074" s="13" t="n">
        <x:v>0.062216099999999996</x:v>
      </x:c>
      <x:c r="G1074" s="9" t="str">
        <x:v>https://poke.idleworld.online/pokepedia/pokemon/yanma</x:v>
      </x:c>
    </x:row>
    <x:row r="1075" ht="22" customHeight="1">
      <x:c r="A1075" s="1" t="n">
        <x:v>193</x:v>
      </x:c>
      <x:c r="B1075" s="1" t="str">
        <x:v>Yanma</x:v>
      </x:c>
      <x:c r="C1075" s="1" t="str">
        <x:v>Bug Gosme</x:v>
      </x:c>
      <x:c r="D1075" s="1" t="n">
        <x:v>1</x:v>
      </x:c>
      <x:c r="E1075" s="1" t="n">
        <x:v>5</x:v>
      </x:c>
      <x:c r="F1075" s="13" t="n">
        <x:v>0.062216099999999996</x:v>
      </x:c>
      <x:c r="G1075" s="9" t="str">
        <x:v>https://poke.idleworld.online/pokepedia/pokemon/yanma</x:v>
      </x:c>
    </x:row>
    <x:row r="1076" ht="22" customHeight="1">
      <x:c r="A1076" s="1" t="n">
        <x:v>193</x:v>
      </x:c>
      <x:c r="B1076" s="1" t="str">
        <x:v>Yanma</x:v>
      </x:c>
      <x:c r="C1076" s="1" t="str">
        <x:v>Cocoon Stone</x:v>
      </x:c>
      <x:c r="D1076" s="1" t="n">
        <x:v>1</x:v>
      </x:c>
      <x:c r="E1076" s="1" t="n">
        <x:v>1</x:v>
      </x:c>
      <x:c r="F1076" s="13" t="n">
        <x:v>0.0028669999999999998</x:v>
      </x:c>
      <x:c r="G1076" s="9" t="str">
        <x:v>https://poke.idleworld.online/pokepedia/pokemon/yanma</x:v>
      </x:c>
    </x:row>
    <x:row r="1077" ht="22" customHeight="1">
      <x:c r="A1077" s="1" t="n">
        <x:v>193</x:v>
      </x:c>
      <x:c r="B1077" s="1" t="str">
        <x:v>Yanma</x:v>
      </x:c>
      <x:c r="C1077" s="1" t="str">
        <x:v>Insect Tail</x:v>
      </x:c>
      <x:c r="D1077" s="1" t="n">
        <x:v>1</x:v>
      </x:c>
      <x:c r="E1077" s="1" t="n">
        <x:v>34</x:v>
      </x:c>
      <x:c r="F1077" s="13" t="n">
        <x:v>0.0155189</x:v>
      </x:c>
      <x:c r="G1077" s="9" t="str">
        <x:v>https://poke.idleworld.online/pokepedia/pokemon/yanma</x:v>
      </x:c>
    </x:row>
    <x:row r="1078" ht="22" customHeight="1">
      <x:c r="A1078" s="1" t="n">
        <x:v>193</x:v>
      </x:c>
      <x:c r="B1078" s="1" t="str">
        <x:v>Yanma</x:v>
      </x:c>
      <x:c r="C1078" s="1" t="str">
        <x:v>Pot of Moss Bug</x:v>
      </x:c>
      <x:c r="D1078" s="1" t="n">
        <x:v>1</x:v>
      </x:c>
      <x:c r="E1078" s="1" t="n">
        <x:v>33</x:v>
      </x:c>
      <x:c r="F1078" s="13" t="n">
        <x:v>0.015554</x:v>
      </x:c>
      <x:c r="G1078" s="9" t="str">
        <x:v>https://poke.idleworld.online/pokepedia/pokemon/yanma</x:v>
      </x:c>
    </x:row>
    <x:row r="1079" ht="22" customHeight="1">
      <x:c r="A1079" s="1" t="n">
        <x:v>194</x:v>
      </x:c>
      <x:c r="B1079" s="1" t="str">
        <x:v>Wooper</x:v>
      </x:c>
      <x:c r="C1079" s="1" t="str">
        <x:v>Strange Pheromone</x:v>
      </x:c>
      <x:c r="D1079" s="1" t="n">
        <x:v>1</x:v>
      </x:c>
      <x:c r="E1079" s="1" t="n">
        <x:v>1</x:v>
      </x:c>
      <x:c r="F1079" s="13" t="n">
        <x:v>0</x:v>
      </x:c>
      <x:c r="G1079" s="9" t="str">
        <x:v>https://poke.idleworld.online/pokepedia/pokemon/wooper</x:v>
      </x:c>
    </x:row>
    <x:row r="1080" ht="22" customHeight="1">
      <x:c r="A1080" s="1" t="n">
        <x:v>194</x:v>
      </x:c>
      <x:c r="B1080" s="1" t="str">
        <x:v>Wooper</x:v>
      </x:c>
      <x:c r="C1080" s="1" t="str">
        <x:v>Water Gem</x:v>
      </x:c>
      <x:c r="D1080" s="1" t="n">
        <x:v>1</x:v>
      </x:c>
      <x:c r="E1080" s="1" t="n">
        <x:v>5</x:v>
      </x:c>
      <x:c r="F1080" s="13" t="n">
        <x:v>0.7277828999999999</x:v>
      </x:c>
      <x:c r="G1080" s="9" t="str">
        <x:v>https://poke.idleworld.online/pokepedia/pokemon/wooper</x:v>
      </x:c>
    </x:row>
    <x:row r="1081" ht="22" customHeight="1">
      <x:c r="A1081" s="1" t="n">
        <x:v>194</x:v>
      </x:c>
      <x:c r="B1081" s="1" t="str">
        <x:v>Wooper</x:v>
      </x:c>
      <x:c r="C1081" s="1" t="str">
        <x:v>Earth Ball</x:v>
      </x:c>
      <x:c r="D1081" s="1" t="n">
        <x:v>1</x:v>
      </x:c>
      <x:c r="E1081" s="1" t="n">
        <x:v>1</x:v>
      </x:c>
      <x:c r="F1081" s="13" t="n">
        <x:v>0.1819457</x:v>
      </x:c>
      <x:c r="G1081" s="9" t="str">
        <x:v>https://poke.idleworld.online/pokepedia/pokemon/wooper</x:v>
      </x:c>
    </x:row>
    <x:row r="1082" ht="22" customHeight="1">
      <x:c r="A1082" s="1" t="n">
        <x:v>194</x:v>
      </x:c>
      <x:c r="B1082" s="1" t="str">
        <x:v>Wooper</x:v>
      </x:c>
      <x:c r="C1082" s="1" t="str">
        <x:v>Sandbag</x:v>
      </x:c>
      <x:c r="D1082" s="1" t="n">
        <x:v>1</x:v>
      </x:c>
      <x:c r="E1082" s="1" t="n">
        <x:v>1</x:v>
      </x:c>
      <x:c r="F1082" s="13" t="n">
        <x:v>0.1819457</x:v>
      </x:c>
      <x:c r="G1082" s="9" t="str">
        <x:v>https://poke.idleworld.online/pokepedia/pokemon/wooper</x:v>
      </x:c>
    </x:row>
    <x:row r="1083" ht="22" customHeight="1">
      <x:c r="A1083" s="1" t="n">
        <x:v>194</x:v>
      </x:c>
      <x:c r="B1083" s="1" t="str">
        <x:v>Wooper</x:v>
      </x:c>
      <x:c r="C1083" s="1" t="str">
        <x:v>Water Pendant</x:v>
      </x:c>
      <x:c r="D1083" s="1" t="n">
        <x:v>1</x:v>
      </x:c>
      <x:c r="E1083" s="1" t="n">
        <x:v>1</x:v>
      </x:c>
      <x:c r="F1083" s="13" t="n">
        <x:v>0.1819457</x:v>
      </x:c>
      <x:c r="G1083" s="9" t="str">
        <x:v>https://poke.idleworld.online/pokepedia/pokemon/wooper</x:v>
      </x:c>
    </x:row>
    <x:row r="1084" ht="22" customHeight="1">
      <x:c r="A1084" s="1" t="n">
        <x:v>194</x:v>
      </x:c>
      <x:c r="B1084" s="1" t="str">
        <x:v>Wooper</x:v>
      </x:c>
      <x:c r="C1084" s="1" t="str">
        <x:v>Wooper Horn</x:v>
      </x:c>
      <x:c r="D1084" s="1" t="n">
        <x:v>1</x:v>
      </x:c>
      <x:c r="E1084" s="1" t="n">
        <x:v>1</x:v>
      </x:c>
      <x:c r="F1084" s="13" t="n">
        <x:v>0.1005034</x:v>
      </x:c>
      <x:c r="G1084" s="9" t="str">
        <x:v>https://poke.idleworld.online/pokepedia/pokemon/wooper</x:v>
      </x:c>
    </x:row>
    <x:row r="1085" ht="22" customHeight="1">
      <x:c r="A1085" s="1" t="n">
        <x:v>195</x:v>
      </x:c>
      <x:c r="B1085" s="1" t="str">
        <x:v>Quagsire</x:v>
      </x:c>
      <x:c r="C1085" s="1" t="str">
        <x:v>Strange Pheromone</x:v>
      </x:c>
      <x:c r="D1085" s="1" t="n">
        <x:v>1</x:v>
      </x:c>
      <x:c r="E1085" s="1" t="n">
        <x:v>1</x:v>
      </x:c>
      <x:c r="F1085" s="13" t="n">
        <x:v>0</x:v>
      </x:c>
      <x:c r="G1085" s="9" t="str">
        <x:v>https://poke.idleworld.online/pokepedia/pokemon/quagsire</x:v>
      </x:c>
    </x:row>
    <x:row r="1086" ht="22" customHeight="1">
      <x:c r="A1086" s="1" t="n">
        <x:v>195</x:v>
      </x:c>
      <x:c r="B1086" s="1" t="str">
        <x:v>Quagsire</x:v>
      </x:c>
      <x:c r="C1086" s="1" t="str">
        <x:v>Water Gem</x:v>
      </x:c>
      <x:c r="D1086" s="1" t="n">
        <x:v>1</x:v>
      </x:c>
      <x:c r="E1086" s="1" t="n">
        <x:v>5</x:v>
      </x:c>
      <x:c r="F1086" s="13" t="n">
        <x:v>0.657255</x:v>
      </x:c>
      <x:c r="G1086" s="9" t="str">
        <x:v>https://poke.idleworld.online/pokepedia/pokemon/quagsire</x:v>
      </x:c>
    </x:row>
    <x:row r="1087" ht="22" customHeight="1">
      <x:c r="A1087" s="1" t="n">
        <x:v>195</x:v>
      </x:c>
      <x:c r="B1087" s="1" t="str">
        <x:v>Quagsire</x:v>
      </x:c>
      <x:c r="C1087" s="1" t="str">
        <x:v>Earth Ball</x:v>
      </x:c>
      <x:c r="D1087" s="1" t="n">
        <x:v>1</x:v>
      </x:c>
      <x:c r="E1087" s="1" t="n">
        <x:v>2</x:v>
      </x:c>
      <x:c r="F1087" s="13" t="n">
        <x:v>0.2464733</x:v>
      </x:c>
      <x:c r="G1087" s="9" t="str">
        <x:v>https://poke.idleworld.online/pokepedia/pokemon/quagsire</x:v>
      </x:c>
    </x:row>
    <x:row r="1088" ht="22" customHeight="1">
      <x:c r="A1088" s="1" t="n">
        <x:v>195</x:v>
      </x:c>
      <x:c r="B1088" s="1" t="str">
        <x:v>Quagsire</x:v>
      </x:c>
      <x:c r="C1088" s="1" t="str">
        <x:v>Earth Stone</x:v>
      </x:c>
      <x:c r="D1088" s="1" t="n">
        <x:v>1</x:v>
      </x:c>
      <x:c r="E1088" s="1" t="n">
        <x:v>1</x:v>
      </x:c>
      <x:c r="F1088" s="13" t="n">
        <x:v>0.002213</x:v>
      </x:c>
      <x:c r="G1088" s="9" t="str">
        <x:v>https://poke.idleworld.online/pokepedia/pokemon/quagsire</x:v>
      </x:c>
    </x:row>
    <x:row r="1089" ht="22" customHeight="1">
      <x:c r="A1089" s="1" t="n">
        <x:v>195</x:v>
      </x:c>
      <x:c r="B1089" s="1" t="str">
        <x:v>Quagsire</x:v>
      </x:c>
      <x:c r="C1089" s="1" t="str">
        <x:v>Water Stone</x:v>
      </x:c>
      <x:c r="D1089" s="1" t="n">
        <x:v>1</x:v>
      </x:c>
      <x:c r="E1089" s="1" t="n">
        <x:v>1</x:v>
      </x:c>
      <x:c r="F1089" s="13" t="n">
        <x:v>0.002213</x:v>
      </x:c>
      <x:c r="G1089" s="9" t="str">
        <x:v>https://poke.idleworld.online/pokepedia/pokemon/quagsire</x:v>
      </x:c>
    </x:row>
    <x:row r="1090" ht="22" customHeight="1">
      <x:c r="A1090" s="1" t="n">
        <x:v>195</x:v>
      </x:c>
      <x:c r="B1090" s="1" t="str">
        <x:v>Quagsire</x:v>
      </x:c>
      <x:c r="C1090" s="1" t="str">
        <x:v>Sandbag</x:v>
      </x:c>
      <x:c r="D1090" s="1" t="n">
        <x:v>1</x:v>
      </x:c>
      <x:c r="E1090" s="1" t="n">
        <x:v>2</x:v>
      </x:c>
      <x:c r="F1090" s="13" t="n">
        <x:v>0.21645150000000002</x:v>
      </x:c>
      <x:c r="G1090" s="9" t="str">
        <x:v>https://poke.idleworld.online/pokepedia/pokemon/quagsire</x:v>
      </x:c>
    </x:row>
    <x:row r="1091" ht="22" customHeight="1">
      <x:c r="A1091" s="1" t="n">
        <x:v>195</x:v>
      </x:c>
      <x:c r="B1091" s="1" t="str">
        <x:v>Quagsire</x:v>
      </x:c>
      <x:c r="C1091" s="1" t="str">
        <x:v>Water Pendant</x:v>
      </x:c>
      <x:c r="D1091" s="1" t="n">
        <x:v>1</x:v>
      </x:c>
      <x:c r="E1091" s="1" t="n">
        <x:v>2</x:v>
      </x:c>
      <x:c r="F1091" s="13" t="n">
        <x:v>0.21645150000000002</x:v>
      </x:c>
      <x:c r="G1091" s="9" t="str">
        <x:v>https://poke.idleworld.online/pokepedia/pokemon/quagsire</x:v>
      </x:c>
    </x:row>
    <x:row r="1092" ht="22" customHeight="1">
      <x:c r="A1092" s="1" t="n">
        <x:v>195</x:v>
      </x:c>
      <x:c r="B1092" s="1" t="str">
        <x:v>Quagsire</x:v>
      </x:c>
      <x:c r="C1092" s="1" t="str">
        <x:v>Wooper Horn</x:v>
      </x:c>
      <x:c r="D1092" s="1" t="n">
        <x:v>1</x:v>
      </x:c>
      <x:c r="E1092" s="1" t="n">
        <x:v>2</x:v>
      </x:c>
      <x:c r="F1092" s="13" t="n">
        <x:v>0.18674459999999998</x:v>
      </x:c>
      <x:c r="G1092" s="9" t="str">
        <x:v>https://poke.idleworld.online/pokepedia/pokemon/quagsire</x:v>
      </x:c>
    </x:row>
    <x:row r="1093" ht="22" customHeight="1">
      <x:c r="A1093" s="1" t="n">
        <x:v>196</x:v>
      </x:c>
      <x:c r="B1093" s="1" t="str">
        <x:v>Espeon</x:v>
      </x:c>
      <x:c r="C1093" s="1" t="str">
        <x:v>Enchanted Gem</x:v>
      </x:c>
      <x:c r="D1093" s="1" t="n">
        <x:v>1</x:v>
      </x:c>
      <x:c r="E1093" s="1" t="n">
        <x:v>14</x:v>
      </x:c>
      <x:c r="F1093" s="13" t="n">
        <x:v>0.8</x:v>
      </x:c>
      <x:c r="G1093" s="9" t="str">
        <x:v>https://poke.idleworld.online/pokepedia/pokemon/espeon</x:v>
      </x:c>
    </x:row>
    <x:row r="1094" ht="22" customHeight="1">
      <x:c r="A1094" s="1" t="n">
        <x:v>196</x:v>
      </x:c>
      <x:c r="B1094" s="1" t="str">
        <x:v>Espeon</x:v>
      </x:c>
      <x:c r="C1094" s="1" t="str">
        <x:v>Future Orb</x:v>
      </x:c>
      <x:c r="D1094" s="1" t="n">
        <x:v>1</x:v>
      </x:c>
      <x:c r="E1094" s="1" t="n">
        <x:v>1</x:v>
      </x:c>
      <x:c r="F1094" s="13" t="n">
        <x:v>0.12</x:v>
      </x:c>
      <x:c r="G1094" s="9" t="str">
        <x:v>https://poke.idleworld.online/pokepedia/pokemon/espeon</x:v>
      </x:c>
    </x:row>
    <x:row r="1095" ht="22" customHeight="1">
      <x:c r="A1095" s="1" t="n">
        <x:v>196</x:v>
      </x:c>
      <x:c r="B1095" s="1" t="str">
        <x:v>Espeon</x:v>
      </x:c>
      <x:c r="C1095" s="1" t="str">
        <x:v>Enigma Stone</x:v>
      </x:c>
      <x:c r="D1095" s="1" t="n">
        <x:v>1</x:v>
      </x:c>
      <x:c r="E1095" s="1" t="n">
        <x:v>1</x:v>
      </x:c>
      <x:c r="F1095" s="13" t="n">
        <x:v>0.003</x:v>
      </x:c>
      <x:c r="G1095" s="9" t="str">
        <x:v>https://poke.idleworld.online/pokepedia/pokemon/espeon</x:v>
      </x:c>
    </x:row>
    <x:row r="1096" ht="22" customHeight="1">
      <x:c r="A1096" s="1" t="n">
        <x:v>196</x:v>
      </x:c>
      <x:c r="B1096" s="1" t="str">
        <x:v>Espeon</x:v>
      </x:c>
      <x:c r="C1096" s="1" t="str">
        <x:v>Psychic Ear</x:v>
      </x:c>
      <x:c r="D1096" s="1" t="n">
        <x:v>1</x:v>
      </x:c>
      <x:c r="E1096" s="1" t="n">
        <x:v>3</x:v>
      </x:c>
      <x:c r="F1096" s="13" t="n">
        <x:v>0.186</x:v>
      </x:c>
      <x:c r="G1096" s="9" t="str">
        <x:v>https://poke.idleworld.online/pokepedia/pokemon/espeon</x:v>
      </x:c>
    </x:row>
    <x:row r="1097" ht="22" customHeight="1">
      <x:c r="A1097" s="1" t="n">
        <x:v>197</x:v>
      </x:c>
      <x:c r="B1097" s="1" t="str">
        <x:v>Umbreon</x:v>
      </x:c>
      <x:c r="C1097" s="1" t="str">
        <x:v>Dark Gem</x:v>
      </x:c>
      <x:c r="D1097" s="1" t="n">
        <x:v>1</x:v>
      </x:c>
      <x:c r="E1097" s="1" t="n">
        <x:v>5</x:v>
      </x:c>
      <x:c r="F1097" s="13" t="n">
        <x:v>0.8</x:v>
      </x:c>
      <x:c r="G1097" s="9" t="str">
        <x:v>https://poke.idleworld.online/pokepedia/pokemon/umbreon</x:v>
      </x:c>
    </x:row>
    <x:row r="1098" ht="22" customHeight="1">
      <x:c r="A1098" s="1" t="n">
        <x:v>197</x:v>
      </x:c>
      <x:c r="B1098" s="1" t="str">
        <x:v>Umbreon</x:v>
      </x:c>
      <x:c r="C1098" s="1" t="str">
        <x:v>Darkness Stone</x:v>
      </x:c>
      <x:c r="D1098" s="1" t="n">
        <x:v>1</x:v>
      </x:c>
      <x:c r="E1098" s="1" t="n">
        <x:v>1</x:v>
      </x:c>
      <x:c r="F1098" s="13" t="n">
        <x:v>0.003</x:v>
      </x:c>
      <x:c r="G1098" s="9" t="str">
        <x:v>https://poke.idleworld.online/pokepedia/pokemon/umbreon</x:v>
      </x:c>
    </x:row>
    <x:row r="1099" ht="22" customHeight="1">
      <x:c r="A1099" s="1" t="n">
        <x:v>197</x:v>
      </x:c>
      <x:c r="B1099" s="1" t="str">
        <x:v>Umbreon</x:v>
      </x:c>
      <x:c r="C1099" s="1" t="str">
        <x:v>Dark Ear</x:v>
      </x:c>
      <x:c r="D1099" s="1" t="n">
        <x:v>1</x:v>
      </x:c>
      <x:c r="E1099" s="1" t="n">
        <x:v>3</x:v>
      </x:c>
      <x:c r="F1099" s="13" t="n">
        <x:v>0.18625</x:v>
      </x:c>
      <x:c r="G1099" s="9" t="str">
        <x:v>https://poke.idleworld.online/pokepedia/pokemon/umbreon</x:v>
      </x:c>
    </x:row>
    <x:row r="1100" ht="22" customHeight="1">
      <x:c r="A1100" s="1" t="n">
        <x:v>198</x:v>
      </x:c>
      <x:c r="B1100" s="1" t="str">
        <x:v>Murkrow</x:v>
      </x:c>
      <x:c r="C1100" s="1" t="str">
        <x:v>Strange Pheromone</x:v>
      </x:c>
      <x:c r="D1100" s="1" t="n">
        <x:v>1</x:v>
      </x:c>
      <x:c r="E1100" s="1" t="n">
        <x:v>1</x:v>
      </x:c>
      <x:c r="F1100" s="13" t="n">
        <x:v>0</x:v>
      </x:c>
      <x:c r="G1100" s="9" t="str">
        <x:v>https://poke.idleworld.online/pokepedia/pokemon/murkrow</x:v>
      </x:c>
    </x:row>
    <x:row r="1101" ht="22" customHeight="1">
      <x:c r="A1101" s="1" t="n">
        <x:v>198</x:v>
      </x:c>
      <x:c r="B1101" s="1" t="str">
        <x:v>Murkrow</x:v>
      </x:c>
      <x:c r="C1101" s="1" t="str">
        <x:v>Straw</x:v>
      </x:c>
      <x:c r="D1101" s="1" t="n">
        <x:v>1</x:v>
      </x:c>
      <x:c r="E1101" s="1" t="n">
        <x:v>5</x:v>
      </x:c>
      <x:c r="F1101" s="13" t="n">
        <x:v>0.6423568</x:v>
      </x:c>
      <x:c r="G1101" s="9" t="str">
        <x:v>https://poke.idleworld.online/pokepedia/pokemon/murkrow</x:v>
      </x:c>
    </x:row>
    <x:row r="1102" ht="22" customHeight="1">
      <x:c r="A1102" s="1" t="n">
        <x:v>198</x:v>
      </x:c>
      <x:c r="B1102" s="1" t="str">
        <x:v>Murkrow</x:v>
      </x:c>
      <x:c r="C1102" s="1" t="str">
        <x:v>Dark Gem</x:v>
      </x:c>
      <x:c r="D1102" s="1" t="n">
        <x:v>1</x:v>
      </x:c>
      <x:c r="E1102" s="1" t="n">
        <x:v>5</x:v>
      </x:c>
      <x:c r="F1102" s="13" t="n">
        <x:v>0.6423568</x:v>
      </x:c>
      <x:c r="G1102" s="9" t="str">
        <x:v>https://poke.idleworld.online/pokepedia/pokemon/murkrow</x:v>
      </x:c>
    </x:row>
    <x:row r="1103" ht="22" customHeight="1">
      <x:c r="A1103" s="1" t="n">
        <x:v>198</x:v>
      </x:c>
      <x:c r="B1103" s="1" t="str">
        <x:v>Murkrow</x:v>
      </x:c>
      <x:c r="C1103" s="1" t="str">
        <x:v>Feather</x:v>
      </x:c>
      <x:c r="D1103" s="1" t="n">
        <x:v>1</x:v>
      </x:c>
      <x:c r="E1103" s="1" t="n">
        <x:v>8</x:v>
      </x:c>
      <x:c r="F1103" s="13" t="n">
        <x:v>0.6423569</x:v>
      </x:c>
      <x:c r="G1103" s="9" t="str">
        <x:v>https://poke.idleworld.online/pokepedia/pokemon/murkrow</x:v>
      </x:c>
    </x:row>
    <x:row r="1104" ht="22" customHeight="1">
      <x:c r="A1104" s="1" t="n">
        <x:v>198</x:v>
      </x:c>
      <x:c r="B1104" s="1" t="str">
        <x:v>Murkrow</x:v>
      </x:c>
      <x:c r="C1104" s="1" t="str">
        <x:v>Darkness Stone</x:v>
      </x:c>
      <x:c r="D1104" s="1" t="n">
        <x:v>1</x:v>
      </x:c>
      <x:c r="E1104" s="1" t="n">
        <x:v>1</x:v>
      </x:c>
      <x:c r="F1104" s="13" t="n">
        <x:v>0.003</x:v>
      </x:c>
      <x:c r="G1104" s="9" t="str">
        <x:v>https://poke.idleworld.online/pokepedia/pokemon/murkrow</x:v>
      </x:c>
    </x:row>
    <x:row r="1105" ht="22" customHeight="1">
      <x:c r="A1105" s="1" t="n">
        <x:v>198</x:v>
      </x:c>
      <x:c r="B1105" s="1" t="str">
        <x:v>Murkrow</x:v>
      </x:c>
      <x:c r="C1105" s="1" t="str">
        <x:v>Dark Beak</x:v>
      </x:c>
      <x:c r="D1105" s="1" t="n">
        <x:v>1</x:v>
      </x:c>
      <x:c r="E1105" s="1" t="n">
        <x:v>1</x:v>
      </x:c>
      <x:c r="F1105" s="13" t="n">
        <x:v>1e-7</x:v>
      </x:c>
      <x:c r="G1105" s="9" t="str">
        <x:v>https://poke.idleworld.online/pokepedia/pokemon/murkrow</x:v>
      </x:c>
    </x:row>
    <x:row r="1106" ht="22" customHeight="1">
      <x:c r="A1106" s="1" t="n">
        <x:v>198</x:v>
      </x:c>
      <x:c r="B1106" s="1" t="str">
        <x:v>Murkrow</x:v>
      </x:c>
      <x:c r="C1106" s="1" t="str">
        <x:v>Feather Stone</x:v>
      </x:c>
      <x:c r="D1106" s="1" t="n">
        <x:v>1</x:v>
      </x:c>
      <x:c r="E1106" s="1" t="n">
        <x:v>1</x:v>
      </x:c>
      <x:c r="F1106" s="13" t="n">
        <x:v>0.0035981999999999997</x:v>
      </x:c>
      <x:c r="G1106" s="9" t="str">
        <x:v>https://poke.idleworld.online/pokepedia/pokemon/murkrow</x:v>
      </x:c>
    </x:row>
    <x:row r="1107" ht="22" customHeight="1">
      <x:c r="A1107" s="1" t="n">
        <x:v>199</x:v>
      </x:c>
      <x:c r="B1107" s="1" t="str">
        <x:v>Slowking</x:v>
      </x:c>
      <x:c r="C1107" s="1" t="str">
        <x:v>Strange Pheromone</x:v>
      </x:c>
      <x:c r="D1107" s="1" t="n">
        <x:v>1</x:v>
      </x:c>
      <x:c r="E1107" s="1" t="n">
        <x:v>1</x:v>
      </x:c>
      <x:c r="F1107" s="13" t="n">
        <x:v>0</x:v>
      </x:c>
      <x:c r="G1107" s="9" t="str">
        <x:v>https://poke.idleworld.online/pokepedia/pokemon/slowking</x:v>
      </x:c>
    </x:row>
    <x:row r="1108" ht="22" customHeight="1">
      <x:c r="A1108" s="1" t="n">
        <x:v>199</x:v>
      </x:c>
      <x:c r="B1108" s="1" t="str">
        <x:v>Slowking</x:v>
      </x:c>
      <x:c r="C1108" s="1" t="str">
        <x:v>Ancient Stone</x:v>
      </x:c>
      <x:c r="D1108" s="1" t="n">
        <x:v>1</x:v>
      </x:c>
      <x:c r="E1108" s="1" t="n">
        <x:v>1</x:v>
      </x:c>
      <x:c r="F1108" s="13" t="n">
        <x:v>0.001</x:v>
      </x:c>
      <x:c r="G1108" s="9" t="str">
        <x:v>https://poke.idleworld.online/pokepedia/pokemon/slowking</x:v>
      </x:c>
    </x:row>
    <x:row r="1109" ht="22" customHeight="1">
      <x:c r="A1109" s="1" t="n">
        <x:v>199</x:v>
      </x:c>
      <x:c r="B1109" s="1" t="str">
        <x:v>Slowking</x:v>
      </x:c>
      <x:c r="C1109" s="1" t="str">
        <x:v>Water Gem</x:v>
      </x:c>
      <x:c r="D1109" s="1" t="n">
        <x:v>1</x:v>
      </x:c>
      <x:c r="E1109" s="1" t="n">
        <x:v>5</x:v>
      </x:c>
      <x:c r="F1109" s="13" t="n">
        <x:v>0.8</x:v>
      </x:c>
      <x:c r="G1109" s="9" t="str">
        <x:v>https://poke.idleworld.online/pokepedia/pokemon/slowking</x:v>
      </x:c>
    </x:row>
    <x:row r="1110" ht="22" customHeight="1">
      <x:c r="A1110" s="1" t="n">
        <x:v>199</x:v>
      </x:c>
      <x:c r="B1110" s="1" t="str">
        <x:v>Slowking</x:v>
      </x:c>
      <x:c r="C1110" s="1" t="str">
        <x:v>Enchanted Gem</x:v>
      </x:c>
      <x:c r="D1110" s="1" t="n">
        <x:v>1</x:v>
      </x:c>
      <x:c r="E1110" s="1" t="n">
        <x:v>11</x:v>
      </x:c>
      <x:c r="F1110" s="13" t="n">
        <x:v>0.8</x:v>
      </x:c>
      <x:c r="G1110" s="9" t="str">
        <x:v>https://poke.idleworld.online/pokepedia/pokemon/slowking</x:v>
      </x:c>
    </x:row>
    <x:row r="1111" ht="22" customHeight="1">
      <x:c r="A1111" s="1" t="n">
        <x:v>199</x:v>
      </x:c>
      <x:c r="B1111" s="1" t="str">
        <x:v>Slowking</x:v>
      </x:c>
      <x:c r="C1111" s="1" t="str">
        <x:v>Slow Tail</x:v>
      </x:c>
      <x:c r="D1111" s="1" t="n">
        <x:v>1</x:v>
      </x:c>
      <x:c r="E1111" s="1" t="n">
        <x:v>4</x:v>
      </x:c>
      <x:c r="F1111" s="13" t="n">
        <x:v>0.315</x:v>
      </x:c>
      <x:c r="G1111" s="9" t="str">
        <x:v>https://poke.idleworld.online/pokepedia/pokemon/slowking</x:v>
      </x:c>
    </x:row>
    <x:row r="1112" ht="22" customHeight="1">
      <x:c r="A1112" s="1" t="n">
        <x:v>199</x:v>
      </x:c>
      <x:c r="B1112" s="1" t="str">
        <x:v>Slowking</x:v>
      </x:c>
      <x:c r="C1112" s="1" t="str">
        <x:v>Water Stone</x:v>
      </x:c>
      <x:c r="D1112" s="1" t="n">
        <x:v>1</x:v>
      </x:c>
      <x:c r="E1112" s="1" t="n">
        <x:v>1</x:v>
      </x:c>
      <x:c r="F1112" s="13" t="n">
        <x:v>0.003</x:v>
      </x:c>
      <x:c r="G1112" s="9" t="str">
        <x:v>https://poke.idleworld.online/pokepedia/pokemon/slowking</x:v>
      </x:c>
    </x:row>
    <x:row r="1113" ht="22" customHeight="1">
      <x:c r="A1113" s="1" t="n">
        <x:v>199</x:v>
      </x:c>
      <x:c r="B1113" s="1" t="str">
        <x:v>Slowking</x:v>
      </x:c>
      <x:c r="C1113" s="1" t="str">
        <x:v>Future Orb</x:v>
      </x:c>
      <x:c r="D1113" s="1" t="n">
        <x:v>1</x:v>
      </x:c>
      <x:c r="E1113" s="1" t="n">
        <x:v>11</x:v>
      </x:c>
      <x:c r="F1113" s="13" t="n">
        <x:v>0.1854167</x:v>
      </x:c>
      <x:c r="G1113" s="9" t="str">
        <x:v>https://poke.idleworld.online/pokepedia/pokemon/slowking</x:v>
      </x:c>
    </x:row>
    <x:row r="1114" ht="22" customHeight="1">
      <x:c r="A1114" s="1" t="n">
        <x:v>199</x:v>
      </x:c>
      <x:c r="B1114" s="1" t="str">
        <x:v>Slowking</x:v>
      </x:c>
      <x:c r="C1114" s="1" t="str">
        <x:v>Water Pendant</x:v>
      </x:c>
      <x:c r="D1114" s="1" t="n">
        <x:v>1</x:v>
      </x:c>
      <x:c r="E1114" s="1" t="n">
        <x:v>10</x:v>
      </x:c>
      <x:c r="F1114" s="13" t="n">
        <x:v>0.2</x:v>
      </x:c>
      <x:c r="G1114" s="9" t="str">
        <x:v>https://poke.idleworld.online/pokepedia/pokemon/slowking</x:v>
      </x:c>
    </x:row>
    <x:row r="1115" ht="22" customHeight="1">
      <x:c r="A1115" s="1" t="n">
        <x:v>200</x:v>
      </x:c>
      <x:c r="B1115" s="1" t="str">
        <x:v>Misdreavus</x:v>
      </x:c>
      <x:c r="C1115" s="1" t="str">
        <x:v>Strange Pheromone</x:v>
      </x:c>
      <x:c r="D1115" s="1" t="n">
        <x:v>1</x:v>
      </x:c>
      <x:c r="E1115" s="1" t="n">
        <x:v>1</x:v>
      </x:c>
      <x:c r="F1115" s="13" t="n">
        <x:v>0</x:v>
      </x:c>
      <x:c r="G1115" s="9" t="str">
        <x:v>https://poke.idleworld.online/pokepedia/pokemon/misdreavus</x:v>
      </x:c>
    </x:row>
    <x:row r="1116" ht="22" customHeight="1">
      <x:c r="A1116" s="1" t="n">
        <x:v>200</x:v>
      </x:c>
      <x:c r="B1116" s="1" t="str">
        <x:v>Misdreavus</x:v>
      </x:c>
      <x:c r="C1116" s="1" t="str">
        <x:v>Ghost Essence</x:v>
      </x:c>
      <x:c r="D1116" s="1" t="n">
        <x:v>1</x:v>
      </x:c>
      <x:c r="E1116" s="1" t="n">
        <x:v>10</x:v>
      </x:c>
      <x:c r="F1116" s="13" t="n">
        <x:v>0.95</x:v>
      </x:c>
      <x:c r="G1116" s="9" t="str">
        <x:v>https://poke.idleworld.online/pokepedia/pokemon/misdreavus</x:v>
      </x:c>
    </x:row>
    <x:row r="1117" ht="22" customHeight="1">
      <x:c r="A1117" s="1" t="n">
        <x:v>200</x:v>
      </x:c>
      <x:c r="B1117" s="1" t="str">
        <x:v>Misdreavus</x:v>
      </x:c>
      <x:c r="C1117" s="1" t="str">
        <x:v>Darkness Stone</x:v>
      </x:c>
      <x:c r="D1117" s="1" t="n">
        <x:v>1</x:v>
      </x:c>
      <x:c r="E1117" s="1" t="n">
        <x:v>1</x:v>
      </x:c>
      <x:c r="F1117" s="13" t="n">
        <x:v>0.00634</x:v>
      </x:c>
      <x:c r="G1117" s="9" t="str">
        <x:v>https://poke.idleworld.online/pokepedia/pokemon/misdreavus</x:v>
      </x:c>
    </x:row>
    <x:row r="1118" ht="22" customHeight="1">
      <x:c r="A1118" s="1" t="n">
        <x:v>200</x:v>
      </x:c>
      <x:c r="B1118" s="1" t="str">
        <x:v>Misdreavus</x:v>
      </x:c>
      <x:c r="C1118" s="1" t="str">
        <x:v>Future Orb</x:v>
      </x:c>
      <x:c r="D1118" s="1" t="n">
        <x:v>1</x:v>
      </x:c>
      <x:c r="E1118" s="1" t="n">
        <x:v>2</x:v>
      </x:c>
      <x:c r="F1118" s="13" t="n">
        <x:v>0.4294034</x:v>
      </x:c>
      <x:c r="G1118" s="9" t="str">
        <x:v>https://poke.idleworld.online/pokepedia/pokemon/misdreavus</x:v>
      </x:c>
    </x:row>
    <x:row r="1119" ht="22" customHeight="1">
      <x:c r="A1119" s="1" t="n">
        <x:v>200</x:v>
      </x:c>
      <x:c r="B1119" s="1" t="str">
        <x:v>Misdreavus</x:v>
      </x:c>
      <x:c r="C1119" s="1" t="str">
        <x:v>Miss Trace</x:v>
      </x:c>
      <x:c r="D1119" s="1" t="n">
        <x:v>1</x:v>
      </x:c>
      <x:c r="E1119" s="1" t="n">
        <x:v>2</x:v>
      </x:c>
      <x:c r="F1119" s="13" t="n">
        <x:v>0.2947394</x:v>
      </x:c>
      <x:c r="G1119" s="9" t="str">
        <x:v>https://poke.idleworld.online/pokepedia/pokemon/misdreavus</x:v>
      </x:c>
    </x:row>
    <x:row r="1120" ht="22" customHeight="1">
      <x:c r="A1120" s="1" t="n">
        <x:v>202</x:v>
      </x:c>
      <x:c r="B1120" s="1" t="str">
        <x:v>Wobbuffet</x:v>
      </x:c>
      <x:c r="C1120" s="1" t="str">
        <x:v>Strange Pheromone</x:v>
      </x:c>
      <x:c r="D1120" s="1" t="n">
        <x:v>1</x:v>
      </x:c>
      <x:c r="E1120" s="1" t="n">
        <x:v>1</x:v>
      </x:c>
      <x:c r="F1120" s="13" t="n">
        <x:v>0</x:v>
      </x:c>
      <x:c r="G1120" s="9" t="str">
        <x:v>https://poke.idleworld.online/pokepedia/pokemon/wobbuffet</x:v>
      </x:c>
    </x:row>
    <x:row r="1121" ht="22" customHeight="1">
      <x:c r="A1121" s="1" t="n">
        <x:v>202</x:v>
      </x:c>
      <x:c r="B1121" s="1" t="str">
        <x:v>Wobbuffet</x:v>
      </x:c>
      <x:c r="C1121" s="1" t="str">
        <x:v>Enchanted Gem</x:v>
      </x:c>
      <x:c r="D1121" s="1" t="n">
        <x:v>1</x:v>
      </x:c>
      <x:c r="E1121" s="1" t="n">
        <x:v>10</x:v>
      </x:c>
      <x:c r="F1121" s="13" t="n">
        <x:v>0.6045531</x:v>
      </x:c>
      <x:c r="G1121" s="9" t="str">
        <x:v>https://poke.idleworld.online/pokepedia/pokemon/wobbuffet</x:v>
      </x:c>
    </x:row>
    <x:row r="1122" ht="22" customHeight="1">
      <x:c r="A1122" s="1" t="n">
        <x:v>202</x:v>
      </x:c>
      <x:c r="B1122" s="1" t="str">
        <x:v>Wobbuffet</x:v>
      </x:c>
      <x:c r="C1122" s="1" t="str">
        <x:v>Future Orb</x:v>
      </x:c>
      <x:c r="D1122" s="1" t="n">
        <x:v>1</x:v>
      </x:c>
      <x:c r="E1122" s="1" t="n">
        <x:v>1</x:v>
      </x:c>
      <x:c r="F1122" s="13" t="n">
        <x:v>0.0755638</x:v>
      </x:c>
      <x:c r="G1122" s="9" t="str">
        <x:v>https://poke.idleworld.online/pokepedia/pokemon/wobbuffet</x:v>
      </x:c>
    </x:row>
    <x:row r="1123" ht="22" customHeight="1">
      <x:c r="A1123" s="1" t="n">
        <x:v>202</x:v>
      </x:c>
      <x:c r="B1123" s="1" t="str">
        <x:v>Wobbuffet</x:v>
      </x:c>
      <x:c r="C1123" s="1" t="str">
        <x:v>Enigma Stone</x:v>
      </x:c>
      <x:c r="D1123" s="1" t="n">
        <x:v>1</x:v>
      </x:c>
      <x:c r="E1123" s="1" t="n">
        <x:v>1</x:v>
      </x:c>
      <x:c r="F1123" s="13" t="n">
        <x:v>0.00159</x:v>
      </x:c>
      <x:c r="G1123" s="9" t="str">
        <x:v>https://poke.idleworld.online/pokepedia/pokemon/wobbuffet</x:v>
      </x:c>
    </x:row>
    <x:row r="1124" ht="22" customHeight="1">
      <x:c r="A1124" s="1" t="n">
        <x:v>202</x:v>
      </x:c>
      <x:c r="B1124" s="1" t="str">
        <x:v>Wobbuffet</x:v>
      </x:c>
      <x:c r="C1124" s="1" t="str">
        <x:v>Strange Tail</x:v>
      </x:c>
      <x:c r="D1124" s="1" t="n">
        <x:v>1</x:v>
      </x:c>
      <x:c r="E1124" s="1" t="n">
        <x:v>6</x:v>
      </x:c>
      <x:c r="F1124" s="13" t="n">
        <x:v>0.2475813</x:v>
      </x:c>
      <x:c r="G1124" s="9" t="str">
        <x:v>https://poke.idleworld.online/pokepedia/pokemon/wobbuffet</x:v>
      </x:c>
    </x:row>
    <x:row r="1125" ht="22" customHeight="1">
      <x:c r="A1125" s="1" t="n">
        <x:v>203</x:v>
      </x:c>
      <x:c r="B1125" s="1" t="str">
        <x:v>Girafarig</x:v>
      </x:c>
      <x:c r="C1125" s="1" t="str">
        <x:v>Strange Pheromone</x:v>
      </x:c>
      <x:c r="D1125" s="1" t="n">
        <x:v>1</x:v>
      </x:c>
      <x:c r="E1125" s="1" t="n">
        <x:v>1</x:v>
      </x:c>
      <x:c r="F1125" s="13" t="n">
        <x:v>0</x:v>
      </x:c>
      <x:c r="G1125" s="9" t="str">
        <x:v>https://poke.idleworld.online/pokepedia/pokemon/girafarig</x:v>
      </x:c>
    </x:row>
    <x:row r="1126" ht="22" customHeight="1">
      <x:c r="A1126" s="1" t="n">
        <x:v>203</x:v>
      </x:c>
      <x:c r="B1126" s="1" t="str">
        <x:v>Girafarig</x:v>
      </x:c>
      <x:c r="C1126" s="1" t="str">
        <x:v>Rubber Ball</x:v>
      </x:c>
      <x:c r="D1126" s="1" t="n">
        <x:v>1</x:v>
      </x:c>
      <x:c r="E1126" s="1" t="n">
        <x:v>5</x:v>
      </x:c>
      <x:c r="F1126" s="13" t="n">
        <x:v>0.6225832</x:v>
      </x:c>
      <x:c r="G1126" s="9" t="str">
        <x:v>https://poke.idleworld.online/pokepedia/pokemon/girafarig</x:v>
      </x:c>
    </x:row>
    <x:row r="1127" ht="22" customHeight="1">
      <x:c r="A1127" s="1" t="n">
        <x:v>203</x:v>
      </x:c>
      <x:c r="B1127" s="1" t="str">
        <x:v>Girafarig</x:v>
      </x:c>
      <x:c r="C1127" s="1" t="str">
        <x:v>Enchanted Gem</x:v>
      </x:c>
      <x:c r="D1127" s="1" t="n">
        <x:v>1</x:v>
      </x:c>
      <x:c r="E1127" s="1" t="n">
        <x:v>8</x:v>
      </x:c>
      <x:c r="F1127" s="13" t="n">
        <x:v>0.6225832</x:v>
      </x:c>
      <x:c r="G1127" s="9" t="str">
        <x:v>https://poke.idleworld.online/pokepedia/pokemon/girafarig</x:v>
      </x:c>
    </x:row>
    <x:row r="1128" ht="22" customHeight="1">
      <x:c r="A1128" s="1" t="n">
        <x:v>203</x:v>
      </x:c>
      <x:c r="B1128" s="1" t="str">
        <x:v>Girafarig</x:v>
      </x:c>
      <x:c r="C1128" s="1" t="str">
        <x:v>Enigma Stone</x:v>
      </x:c>
      <x:c r="D1128" s="1" t="n">
        <x:v>1</x:v>
      </x:c>
      <x:c r="E1128" s="1" t="n">
        <x:v>1</x:v>
      </x:c>
      <x:c r="F1128" s="13" t="n">
        <x:v>0.00242</x:v>
      </x:c>
      <x:c r="G1128" s="9" t="str">
        <x:v>https://poke.idleworld.online/pokepedia/pokemon/girafarig</x:v>
      </x:c>
    </x:row>
    <x:row r="1129" ht="22" customHeight="1">
      <x:c r="A1129" s="1" t="n">
        <x:v>203</x:v>
      </x:c>
      <x:c r="B1129" s="1" t="str">
        <x:v>Girafarig</x:v>
      </x:c>
      <x:c r="C1129" s="1" t="str">
        <x:v>Future Orb</x:v>
      </x:c>
      <x:c r="D1129" s="1" t="n">
        <x:v>1</x:v>
      </x:c>
      <x:c r="E1129" s="1" t="n">
        <x:v>2</x:v>
      </x:c>
      <x:c r="F1129" s="13" t="n">
        <x:v>0.3229668</x:v>
      </x:c>
      <x:c r="G1129" s="9" t="str">
        <x:v>https://poke.idleworld.online/pokepedia/pokemon/girafarig</x:v>
      </x:c>
    </x:row>
    <x:row r="1130" ht="22" customHeight="1">
      <x:c r="A1130" s="1" t="n">
        <x:v>203</x:v>
      </x:c>
      <x:c r="B1130" s="1" t="str">
        <x:v>Girafarig</x:v>
      </x:c>
      <x:c r="C1130" s="1" t="str">
        <x:v>Heart Stone</x:v>
      </x:c>
      <x:c r="D1130" s="1" t="n">
        <x:v>1</x:v>
      </x:c>
      <x:c r="E1130" s="1" t="n">
        <x:v>1</x:v>
      </x:c>
      <x:c r="F1130" s="13" t="n">
        <x:v>0.004</x:v>
      </x:c>
      <x:c r="G1130" s="9" t="str">
        <x:v>https://poke.idleworld.online/pokepedia/pokemon/girafarig</x:v>
      </x:c>
    </x:row>
    <x:row r="1131" ht="22" customHeight="1">
      <x:c r="A1131" s="1" t="n">
        <x:v>203</x:v>
      </x:c>
      <x:c r="B1131" s="1" t="str">
        <x:v>Girafarig</x:v>
      </x:c>
      <x:c r="C1131" s="1" t="str">
        <x:v>Strange Antenna</x:v>
      </x:c>
      <x:c r="D1131" s="1" t="n">
        <x:v>1</x:v>
      </x:c>
      <x:c r="E1131" s="1" t="n">
        <x:v>2</x:v>
      </x:c>
      <x:c r="F1131" s="13" t="n">
        <x:v>0.3229308</x:v>
      </x:c>
      <x:c r="G1131" s="9" t="str">
        <x:v>https://poke.idleworld.online/pokepedia/pokemon/girafarig</x:v>
      </x:c>
    </x:row>
    <x:row r="1132" ht="22" customHeight="1">
      <x:c r="A1132" s="1" t="n">
        <x:v>204</x:v>
      </x:c>
      <x:c r="B1132" s="1" t="str">
        <x:v>Pineco</x:v>
      </x:c>
      <x:c r="C1132" s="1" t="str">
        <x:v>Strange Pheromone</x:v>
      </x:c>
      <x:c r="D1132" s="1" t="n">
        <x:v>1</x:v>
      </x:c>
      <x:c r="E1132" s="1" t="n">
        <x:v>1</x:v>
      </x:c>
      <x:c r="F1132" s="13" t="n">
        <x:v>0</x:v>
      </x:c>
      <x:c r="G1132" s="9" t="str">
        <x:v>https://poke.idleworld.online/pokepedia/pokemon/pineco</x:v>
      </x:c>
    </x:row>
    <x:row r="1133" ht="22" customHeight="1">
      <x:c r="A1133" s="1" t="n">
        <x:v>204</x:v>
      </x:c>
      <x:c r="B1133" s="1" t="str">
        <x:v>Pineco</x:v>
      </x:c>
      <x:c r="C1133" s="1" t="str">
        <x:v>Bug Gosme</x:v>
      </x:c>
      <x:c r="D1133" s="1" t="n">
        <x:v>1</x:v>
      </x:c>
      <x:c r="E1133" s="1" t="n">
        <x:v>2</x:v>
      </x:c>
      <x:c r="F1133" s="13" t="n">
        <x:v>0.0129295</x:v>
      </x:c>
      <x:c r="G1133" s="9" t="str">
        <x:v>https://poke.idleworld.online/pokepedia/pokemon/pineco</x:v>
      </x:c>
    </x:row>
    <x:row r="1134" ht="22" customHeight="1">
      <x:c r="A1134" s="1" t="n">
        <x:v>204</x:v>
      </x:c>
      <x:c r="B1134" s="1" t="str">
        <x:v>Pineco</x:v>
      </x:c>
      <x:c r="C1134" s="1" t="str">
        <x:v>Cocoon Stone</x:v>
      </x:c>
      <x:c r="D1134" s="1" t="n">
        <x:v>1</x:v>
      </x:c>
      <x:c r="E1134" s="1" t="n">
        <x:v>1</x:v>
      </x:c>
      <x:c r="F1134" s="13" t="n">
        <x:v>0.0001</x:v>
      </x:c>
      <x:c r="G1134" s="9" t="str">
        <x:v>https://poke.idleworld.online/pokepedia/pokemon/pineco</x:v>
      </x:c>
    </x:row>
    <x:row r="1135" ht="22" customHeight="1">
      <x:c r="A1135" s="1" t="n">
        <x:v>204</x:v>
      </x:c>
      <x:c r="B1135" s="1" t="str">
        <x:v>Pineco</x:v>
      </x:c>
      <x:c r="C1135" s="1" t="str">
        <x:v>Piece Of Shell</x:v>
      </x:c>
      <x:c r="D1135" s="1" t="n">
        <x:v>1</x:v>
      </x:c>
      <x:c r="E1135" s="1" t="n">
        <x:v>1</x:v>
      </x:c>
      <x:c r="F1135" s="13" t="n">
        <x:v>0.1051994</x:v>
      </x:c>
      <x:c r="G1135" s="9" t="str">
        <x:v>https://poke.idleworld.online/pokepedia/pokemon/pineco</x:v>
      </x:c>
    </x:row>
    <x:row r="1136" ht="22" customHeight="1">
      <x:c r="A1136" s="1" t="n">
        <x:v>204</x:v>
      </x:c>
      <x:c r="B1136" s="1" t="str">
        <x:v>Pineco</x:v>
      </x:c>
      <x:c r="C1136" s="1" t="str">
        <x:v>Pot of Moss Bug</x:v>
      </x:c>
      <x:c r="D1136" s="1" t="n">
        <x:v>1</x:v>
      </x:c>
      <x:c r="E1136" s="1" t="n">
        <x:v>1</x:v>
      </x:c>
      <x:c r="F1136" s="13" t="n">
        <x:v>0.2986031</x:v>
      </x:c>
      <x:c r="G1136" s="9" t="str">
        <x:v>https://poke.idleworld.online/pokepedia/pokemon/pineco</x:v>
      </x:c>
    </x:row>
    <x:row r="1137" ht="22" customHeight="1">
      <x:c r="A1137" s="1" t="n">
        <x:v>205</x:v>
      </x:c>
      <x:c r="B1137" s="1" t="str">
        <x:v>Forretress</x:v>
      </x:c>
      <x:c r="C1137" s="1" t="str">
        <x:v>Strange Pheromone</x:v>
      </x:c>
      <x:c r="D1137" s="1" t="n">
        <x:v>1</x:v>
      </x:c>
      <x:c r="E1137" s="1" t="n">
        <x:v>1</x:v>
      </x:c>
      <x:c r="F1137" s="13" t="n">
        <x:v>0</x:v>
      </x:c>
      <x:c r="G1137" s="9" t="str">
        <x:v>https://poke.idleworld.online/pokepedia/pokemon/forretress</x:v>
      </x:c>
    </x:row>
    <x:row r="1138" ht="22" customHeight="1">
      <x:c r="A1138" s="1" t="n">
        <x:v>205</x:v>
      </x:c>
      <x:c r="B1138" s="1" t="str">
        <x:v>Forretress</x:v>
      </x:c>
      <x:c r="C1138" s="1" t="str">
        <x:v>Bug Gosme</x:v>
      </x:c>
      <x:c r="D1138" s="1" t="n">
        <x:v>1</x:v>
      </x:c>
      <x:c r="E1138" s="1" t="n">
        <x:v>5</x:v>
      </x:c>
      <x:c r="F1138" s="13" t="n">
        <x:v>0.2166389</x:v>
      </x:c>
      <x:c r="G1138" s="9" t="str">
        <x:v>https://poke.idleworld.online/pokepedia/pokemon/forretress</x:v>
      </x:c>
    </x:row>
    <x:row r="1139" ht="22" customHeight="1">
      <x:c r="A1139" s="1" t="n">
        <x:v>205</x:v>
      </x:c>
      <x:c r="B1139" s="1" t="str">
        <x:v>Forretress</x:v>
      </x:c>
      <x:c r="C1139" s="1" t="str">
        <x:v>Piece of Steel</x:v>
      </x:c>
      <x:c r="D1139" s="1" t="n">
        <x:v>1</x:v>
      </x:c>
      <x:c r="E1139" s="1" t="n">
        <x:v>2</x:v>
      </x:c>
      <x:c r="F1139" s="13" t="n">
        <x:v>0.0812396</x:v>
      </x:c>
      <x:c r="G1139" s="9" t="str">
        <x:v>https://poke.idleworld.online/pokepedia/pokemon/forretress</x:v>
      </x:c>
    </x:row>
    <x:row r="1140" ht="22" customHeight="1">
      <x:c r="A1140" s="1" t="n">
        <x:v>205</x:v>
      </x:c>
      <x:c r="B1140" s="1" t="str">
        <x:v>Forretress</x:v>
      </x:c>
      <x:c r="C1140" s="1" t="str">
        <x:v>Cocoon Stone</x:v>
      </x:c>
      <x:c r="D1140" s="1" t="n">
        <x:v>1</x:v>
      </x:c>
      <x:c r="E1140" s="1" t="n">
        <x:v>1</x:v>
      </x:c>
      <x:c r="F1140" s="13" t="n">
        <x:v>0.00066</x:v>
      </x:c>
      <x:c r="G1140" s="9" t="str">
        <x:v>https://poke.idleworld.online/pokepedia/pokemon/forretress</x:v>
      </x:c>
    </x:row>
    <x:row r="1141" ht="22" customHeight="1">
      <x:c r="A1141" s="1" t="n">
        <x:v>205</x:v>
      </x:c>
      <x:c r="B1141" s="1" t="str">
        <x:v>Forretress</x:v>
      </x:c>
      <x:c r="C1141" s="1" t="str">
        <x:v>Piece Of Shell</x:v>
      </x:c>
      <x:c r="D1141" s="1" t="n">
        <x:v>1</x:v>
      </x:c>
      <x:c r="E1141" s="1" t="n">
        <x:v>5</x:v>
      </x:c>
      <x:c r="F1141" s="13" t="n">
        <x:v>0.2459982</x:v>
      </x:c>
      <x:c r="G1141" s="9" t="str">
        <x:v>https://poke.idleworld.online/pokepedia/pokemon/forretress</x:v>
      </x:c>
    </x:row>
    <x:row r="1142" ht="22" customHeight="1">
      <x:c r="A1142" s="1" t="n">
        <x:v>205</x:v>
      </x:c>
      <x:c r="B1142" s="1" t="str">
        <x:v>Forretress</x:v>
      </x:c>
      <x:c r="C1142" s="1" t="str">
        <x:v>Pot of Moss Bug</x:v>
      </x:c>
      <x:c r="D1142" s="1" t="n">
        <x:v>1</x:v>
      </x:c>
      <x:c r="E1142" s="1" t="n">
        <x:v>5</x:v>
      </x:c>
      <x:c r="F1142" s="13" t="n">
        <x:v>0.2475307</x:v>
      </x:c>
      <x:c r="G1142" s="9" t="str">
        <x:v>https://poke.idleworld.online/pokepedia/pokemon/forretress</x:v>
      </x:c>
    </x:row>
    <x:row r="1143" ht="22" customHeight="1">
      <x:c r="A1143" s="1" t="n">
        <x:v>206</x:v>
      </x:c>
      <x:c r="B1143" s="1" t="str">
        <x:v>Dunsparce</x:v>
      </x:c>
      <x:c r="C1143" s="1" t="str">
        <x:v>Strange Pheromone</x:v>
      </x:c>
      <x:c r="D1143" s="1" t="n">
        <x:v>1</x:v>
      </x:c>
      <x:c r="E1143" s="1" t="n">
        <x:v>1</x:v>
      </x:c>
      <x:c r="F1143" s="13" t="n">
        <x:v>0</x:v>
      </x:c>
      <x:c r="G1143" s="9" t="str">
        <x:v>https://poke.idleworld.online/pokepedia/pokemon/dunsparce</x:v>
      </x:c>
    </x:row>
    <x:row r="1144" ht="22" customHeight="1">
      <x:c r="A1144" s="1" t="n">
        <x:v>206</x:v>
      </x:c>
      <x:c r="B1144" s="1" t="str">
        <x:v>Dunsparce</x:v>
      </x:c>
      <x:c r="C1144" s="1" t="str">
        <x:v>Rubber Ball</x:v>
      </x:c>
      <x:c r="D1144" s="1" t="n">
        <x:v>1</x:v>
      </x:c>
      <x:c r="E1144" s="1" t="n">
        <x:v>5</x:v>
      </x:c>
      <x:c r="F1144" s="13" t="n">
        <x:v>0.101073</x:v>
      </x:c>
      <x:c r="G1144" s="9" t="str">
        <x:v>https://poke.idleworld.online/pokepedia/pokemon/dunsparce</x:v>
      </x:c>
    </x:row>
    <x:row r="1145" ht="22" customHeight="1">
      <x:c r="A1145" s="1" t="n">
        <x:v>206</x:v>
      </x:c>
      <x:c r="B1145" s="1" t="str">
        <x:v>Dunsparce</x:v>
      </x:c>
      <x:c r="C1145" s="1" t="str">
        <x:v>Small Wing</x:v>
      </x:c>
      <x:c r="D1145" s="1" t="n">
        <x:v>1</x:v>
      </x:c>
      <x:c r="E1145" s="1" t="n">
        <x:v>43</x:v>
      </x:c>
      <x:c r="F1145" s="13" t="n">
        <x:v>0.0249998</x:v>
      </x:c>
      <x:c r="G1145" s="9" t="str">
        <x:v>https://poke.idleworld.online/pokepedia/pokemon/dunsparce</x:v>
      </x:c>
    </x:row>
    <x:row r="1146" ht="22" customHeight="1">
      <x:c r="A1146" s="1" t="n">
        <x:v>207</x:v>
      </x:c>
      <x:c r="B1146" s="1" t="str">
        <x:v>Gligar</x:v>
      </x:c>
      <x:c r="C1146" s="1" t="str">
        <x:v>Strange Pheromone</x:v>
      </x:c>
      <x:c r="D1146" s="1" t="n">
        <x:v>1</x:v>
      </x:c>
      <x:c r="E1146" s="1" t="n">
        <x:v>1</x:v>
      </x:c>
      <x:c r="F1146" s="13" t="n">
        <x:v>0</x:v>
      </x:c>
      <x:c r="G1146" s="9" t="str">
        <x:v>https://poke.idleworld.online/pokepedia/pokemon/gligar</x:v>
      </x:c>
    </x:row>
    <x:row r="1147" ht="22" customHeight="1">
      <x:c r="A1147" s="1" t="n">
        <x:v>207</x:v>
      </x:c>
      <x:c r="B1147" s="1" t="str">
        <x:v>Gligar</x:v>
      </x:c>
      <x:c r="C1147" s="1" t="str">
        <x:v>Straw</x:v>
      </x:c>
      <x:c r="D1147" s="1" t="n">
        <x:v>1</x:v>
      </x:c>
      <x:c r="E1147" s="1" t="n">
        <x:v>5</x:v>
      </x:c>
      <x:c r="F1147" s="13" t="n">
        <x:v>0.2088676</x:v>
      </x:c>
      <x:c r="G1147" s="9" t="str">
        <x:v>https://poke.idleworld.online/pokepedia/pokemon/gligar</x:v>
      </x:c>
    </x:row>
    <x:row r="1148" ht="22" customHeight="1">
      <x:c r="A1148" s="1" t="n">
        <x:v>207</x:v>
      </x:c>
      <x:c r="B1148" s="1" t="str">
        <x:v>Gligar</x:v>
      </x:c>
      <x:c r="C1148" s="1" t="str">
        <x:v>Earth Ball</x:v>
      </x:c>
      <x:c r="D1148" s="1" t="n">
        <x:v>1</x:v>
      </x:c>
      <x:c r="E1148" s="1" t="n">
        <x:v>2</x:v>
      </x:c>
      <x:c r="F1148" s="13" t="n">
        <x:v>0.0652716</x:v>
      </x:c>
      <x:c r="G1148" s="9" t="str">
        <x:v>https://poke.idleworld.online/pokepedia/pokemon/gligar</x:v>
      </x:c>
    </x:row>
    <x:row r="1149" ht="22" customHeight="1">
      <x:c r="A1149" s="1" t="n">
        <x:v>207</x:v>
      </x:c>
      <x:c r="B1149" s="1" t="str">
        <x:v>Gligar</x:v>
      </x:c>
      <x:c r="C1149" s="1" t="str">
        <x:v>Earth Stone</x:v>
      </x:c>
      <x:c r="D1149" s="1" t="n">
        <x:v>1</x:v>
      </x:c>
      <x:c r="E1149" s="1" t="n">
        <x:v>1</x:v>
      </x:c>
      <x:c r="F1149" s="13" t="n">
        <x:v>0.00104</x:v>
      </x:c>
      <x:c r="G1149" s="9" t="str">
        <x:v>https://poke.idleworld.online/pokepedia/pokemon/gligar</x:v>
      </x:c>
    </x:row>
    <x:row r="1150" ht="22" customHeight="1">
      <x:c r="A1150" s="1" t="n">
        <x:v>207</x:v>
      </x:c>
      <x:c r="B1150" s="1" t="str">
        <x:v>Gligar</x:v>
      </x:c>
      <x:c r="C1150" s="1" t="str">
        <x:v>Gligar Claw</x:v>
      </x:c>
      <x:c r="D1150" s="1" t="n">
        <x:v>1</x:v>
      </x:c>
      <x:c r="E1150" s="1" t="n">
        <x:v>3</x:v>
      </x:c>
      <x:c r="F1150" s="13" t="n">
        <x:v>0.15115979999999998</x:v>
      </x:c>
      <x:c r="G1150" s="9" t="str">
        <x:v>https://poke.idleworld.online/pokepedia/pokemon/gligar</x:v>
      </x:c>
    </x:row>
    <x:row r="1151" ht="22" customHeight="1">
      <x:c r="A1151" s="1" t="n">
        <x:v>207</x:v>
      </x:c>
      <x:c r="B1151" s="1" t="str">
        <x:v>Gligar</x:v>
      </x:c>
      <x:c r="C1151" s="1" t="str">
        <x:v>Sandbag</x:v>
      </x:c>
      <x:c r="D1151" s="1" t="n">
        <x:v>1</x:v>
      </x:c>
      <x:c r="E1151" s="1" t="n">
        <x:v>2</x:v>
      </x:c>
      <x:c r="F1151" s="13" t="n">
        <x:v>0.1512492</x:v>
      </x:c>
      <x:c r="G1151" s="9" t="str">
        <x:v>https://poke.idleworld.online/pokepedia/pokemon/gligar</x:v>
      </x:c>
    </x:row>
    <x:row r="1152" ht="22" customHeight="1">
      <x:c r="A1152" s="1" t="n">
        <x:v>207</x:v>
      </x:c>
      <x:c r="B1152" s="1" t="str">
        <x:v>Gligar</x:v>
      </x:c>
      <x:c r="C1152" s="1" t="str">
        <x:v>Tooth</x:v>
      </x:c>
      <x:c r="D1152" s="1" t="n">
        <x:v>1</x:v>
      </x:c>
      <x:c r="E1152" s="1" t="n">
        <x:v>2</x:v>
      </x:c>
      <x:c r="F1152" s="13" t="n">
        <x:v>0.1512492</x:v>
      </x:c>
      <x:c r="G1152" s="9" t="str">
        <x:v>https://poke.idleworld.online/pokepedia/pokemon/gligar</x:v>
      </x:c>
    </x:row>
    <x:row r="1153" ht="22" customHeight="1">
      <x:c r="A1153" s="1" t="n">
        <x:v>208</x:v>
      </x:c>
      <x:c r="B1153" s="1" t="str">
        <x:v>Steelix</x:v>
      </x:c>
      <x:c r="C1153" s="1" t="str">
        <x:v>Strange Pheromone</x:v>
      </x:c>
      <x:c r="D1153" s="1" t="n">
        <x:v>1</x:v>
      </x:c>
      <x:c r="E1153" s="1" t="n">
        <x:v>1</x:v>
      </x:c>
      <x:c r="F1153" s="13" t="n">
        <x:v>0</x:v>
      </x:c>
      <x:c r="G1153" s="9" t="str">
        <x:v>https://poke.idleworld.online/pokepedia/pokemon/steelix</x:v>
      </x:c>
    </x:row>
    <x:row r="1154" ht="22" customHeight="1">
      <x:c r="A1154" s="1" t="n">
        <x:v>208</x:v>
      </x:c>
      <x:c r="B1154" s="1" t="str">
        <x:v>Steelix</x:v>
      </x:c>
      <x:c r="C1154" s="1" t="str">
        <x:v>Metal Stone</x:v>
      </x:c>
      <x:c r="D1154" s="1" t="n">
        <x:v>1</x:v>
      </x:c>
      <x:c r="E1154" s="1" t="n">
        <x:v>1</x:v>
      </x:c>
      <x:c r="F1154" s="13" t="n">
        <x:v>0.00059</x:v>
      </x:c>
      <x:c r="G1154" s="9" t="str">
        <x:v>https://poke.idleworld.online/pokepedia/pokemon/steelix</x:v>
      </x:c>
    </x:row>
    <x:row r="1155" ht="22" customHeight="1">
      <x:c r="A1155" s="1" t="n">
        <x:v>208</x:v>
      </x:c>
      <x:c r="B1155" s="1" t="str">
        <x:v>Steelix</x:v>
      </x:c>
      <x:c r="C1155" s="1" t="str">
        <x:v>Earth Ball</x:v>
      </x:c>
      <x:c r="D1155" s="1" t="n">
        <x:v>1</x:v>
      </x:c>
      <x:c r="E1155" s="1" t="n">
        <x:v>5</x:v>
      </x:c>
      <x:c r="F1155" s="13" t="n">
        <x:v>0.9385135000000001</x:v>
      </x:c>
      <x:c r="G1155" s="9" t="str">
        <x:v>https://poke.idleworld.online/pokepedia/pokemon/steelix</x:v>
      </x:c>
    </x:row>
    <x:row r="1156" ht="22" customHeight="1">
      <x:c r="A1156" s="1" t="n">
        <x:v>208</x:v>
      </x:c>
      <x:c r="B1156" s="1" t="str">
        <x:v>Steelix</x:v>
      </x:c>
      <x:c r="C1156" s="1" t="str">
        <x:v>Piece of Steel</x:v>
      </x:c>
      <x:c r="D1156" s="1" t="n">
        <x:v>1</x:v>
      </x:c>
      <x:c r="E1156" s="1" t="n">
        <x:v>3</x:v>
      </x:c>
      <x:c r="F1156" s="13" t="n">
        <x:v>0.4105972</x:v>
      </x:c>
      <x:c r="G1156" s="9" t="str">
        <x:v>https://poke.idleworld.online/pokepedia/pokemon/steelix</x:v>
      </x:c>
    </x:row>
    <x:row r="1157" ht="22" customHeight="1">
      <x:c r="A1157" s="1" t="n">
        <x:v>208</x:v>
      </x:c>
      <x:c r="B1157" s="1" t="str">
        <x:v>Steelix</x:v>
      </x:c>
      <x:c r="C1157" s="1" t="str">
        <x:v>Earth Stone</x:v>
      </x:c>
      <x:c r="D1157" s="1" t="n">
        <x:v>1</x:v>
      </x:c>
      <x:c r="E1157" s="1" t="n">
        <x:v>1</x:v>
      </x:c>
      <x:c r="F1157" s="13" t="n">
        <x:v>0.00179</x:v>
      </x:c>
      <x:c r="G1157" s="9" t="str">
        <x:v>https://poke.idleworld.online/pokepedia/pokemon/steelix</x:v>
      </x:c>
    </x:row>
    <x:row r="1158" ht="22" customHeight="1">
      <x:c r="A1158" s="1" t="n">
        <x:v>208</x:v>
      </x:c>
      <x:c r="B1158" s="1" t="str">
        <x:v>Steelix</x:v>
      </x:c>
      <x:c r="C1158" s="1" t="str">
        <x:v>Sandbag</x:v>
      </x:c>
      <x:c r="D1158" s="1" t="n">
        <x:v>1</x:v>
      </x:c>
      <x:c r="E1158" s="1" t="n">
        <x:v>1</x:v>
      </x:c>
      <x:c r="F1158" s="13" t="n">
        <x:v>0.3938205</x:v>
      </x:c>
      <x:c r="G1158" s="9" t="str">
        <x:v>https://poke.idleworld.online/pokepedia/pokemon/steelix</x:v>
      </x:c>
    </x:row>
    <x:row r="1159" ht="22" customHeight="1">
      <x:c r="A1159" s="1" t="n">
        <x:v>208</x:v>
      </x:c>
      <x:c r="B1159" s="1" t="str">
        <x:v>Steelix</x:v>
      </x:c>
      <x:c r="C1159" s="1" t="str">
        <x:v>Steelix Tail</x:v>
      </x:c>
      <x:c r="D1159" s="1" t="n">
        <x:v>1</x:v>
      </x:c>
      <x:c r="E1159" s="1" t="n">
        <x:v>1</x:v>
      </x:c>
      <x:c r="F1159" s="13" t="n">
        <x:v>0.0745421</x:v>
      </x:c>
      <x:c r="G1159" s="9" t="str">
        <x:v>https://poke.idleworld.online/pokepedia/pokemon/steelix</x:v>
      </x:c>
    </x:row>
    <x:row r="1160" ht="22" customHeight="1">
      <x:c r="A1160" s="1" t="n">
        <x:v>209</x:v>
      </x:c>
      <x:c r="B1160" s="1" t="str">
        <x:v>Snubbull</x:v>
      </x:c>
      <x:c r="C1160" s="1" t="str">
        <x:v>Strange Pheromone</x:v>
      </x:c>
      <x:c r="D1160" s="1" t="n">
        <x:v>1</x:v>
      </x:c>
      <x:c r="E1160" s="1" t="n">
        <x:v>1</x:v>
      </x:c>
      <x:c r="F1160" s="13" t="n">
        <x:v>0</x:v>
      </x:c>
      <x:c r="G1160" s="9" t="str">
        <x:v>https://poke.idleworld.online/pokepedia/pokemon/snubbull</x:v>
      </x:c>
    </x:row>
    <x:row r="1161" ht="22" customHeight="1">
      <x:c r="A1161" s="1" t="n">
        <x:v>209</x:v>
      </x:c>
      <x:c r="B1161" s="1" t="str">
        <x:v>Snubbull</x:v>
      </x:c>
      <x:c r="C1161" s="1" t="str">
        <x:v>Rubber Ball</x:v>
      </x:c>
      <x:c r="D1161" s="1" t="n">
        <x:v>1</x:v>
      </x:c>
      <x:c r="E1161" s="1" t="n">
        <x:v>5</x:v>
      </x:c>
      <x:c r="F1161" s="13" t="n">
        <x:v>0.25398540000000003</x:v>
      </x:c>
      <x:c r="G1161" s="9" t="str">
        <x:v>https://poke.idleworld.online/pokepedia/pokemon/snubbull</x:v>
      </x:c>
    </x:row>
    <x:row r="1162" ht="22" customHeight="1">
      <x:c r="A1162" s="1" t="n">
        <x:v>209</x:v>
      </x:c>
      <x:c r="B1162" s="1" t="str">
        <x:v>Snubbull</x:v>
      </x:c>
      <x:c r="C1162" s="1" t="str">
        <x:v>Heart Stone</x:v>
      </x:c>
      <x:c r="D1162" s="1" t="n">
        <x:v>1</x:v>
      </x:c>
      <x:c r="E1162" s="1" t="n">
        <x:v>1</x:v>
      </x:c>
      <x:c r="F1162" s="13" t="n">
        <x:v>0.0014205</x:v>
      </x:c>
      <x:c r="G1162" s="9" t="str">
        <x:v>https://poke.idleworld.online/pokepedia/pokemon/snubbull</x:v>
      </x:c>
    </x:row>
    <x:row r="1163" ht="22" customHeight="1">
      <x:c r="A1163" s="1" t="n">
        <x:v>209</x:v>
      </x:c>
      <x:c r="B1163" s="1" t="str">
        <x:v>Snubbull</x:v>
      </x:c>
      <x:c r="C1163" s="1" t="str">
        <x:v>Dog Ear</x:v>
      </x:c>
      <x:c r="D1163" s="1" t="n">
        <x:v>1</x:v>
      </x:c>
      <x:c r="E1163" s="1" t="n">
        <x:v>2</x:v>
      </x:c>
      <x:c r="F1163" s="13" t="n">
        <x:v>0.07170359999999999</x:v>
      </x:c>
      <x:c r="G1163" s="9" t="str">
        <x:v>https://poke.idleworld.online/pokepedia/pokemon/snubbull</x:v>
      </x:c>
    </x:row>
    <x:row r="1164" ht="22" customHeight="1">
      <x:c r="A1164" s="1" t="n">
        <x:v>210</x:v>
      </x:c>
      <x:c r="B1164" s="1" t="str">
        <x:v>Granbull</x:v>
      </x:c>
      <x:c r="C1164" s="1" t="str">
        <x:v>Strange Pheromone</x:v>
      </x:c>
      <x:c r="D1164" s="1" t="n">
        <x:v>1</x:v>
      </x:c>
      <x:c r="E1164" s="1" t="n">
        <x:v>1</x:v>
      </x:c>
      <x:c r="F1164" s="13" t="n">
        <x:v>0</x:v>
      </x:c>
      <x:c r="G1164" s="9" t="str">
        <x:v>https://poke.idleworld.online/pokepedia/pokemon/granbull</x:v>
      </x:c>
    </x:row>
    <x:row r="1165" ht="22" customHeight="1">
      <x:c r="A1165" s="1" t="n">
        <x:v>210</x:v>
      </x:c>
      <x:c r="B1165" s="1" t="str">
        <x:v>Granbull</x:v>
      </x:c>
      <x:c r="C1165" s="1" t="str">
        <x:v>Rubber Ball</x:v>
      </x:c>
      <x:c r="D1165" s="1" t="n">
        <x:v>1</x:v>
      </x:c>
      <x:c r="E1165" s="1" t="n">
        <x:v>5</x:v>
      </x:c>
      <x:c r="F1165" s="13" t="n">
        <x:v>0.9320167</x:v>
      </x:c>
      <x:c r="G1165" s="9" t="str">
        <x:v>https://poke.idleworld.online/pokepedia/pokemon/granbull</x:v>
      </x:c>
    </x:row>
    <x:row r="1166" ht="22" customHeight="1">
      <x:c r="A1166" s="1" t="n">
        <x:v>210</x:v>
      </x:c>
      <x:c r="B1166" s="1" t="str">
        <x:v>Granbull</x:v>
      </x:c>
      <x:c r="C1166" s="1" t="str">
        <x:v>Heart Stone</x:v>
      </x:c>
      <x:c r="D1166" s="1" t="n">
        <x:v>1</x:v>
      </x:c>
      <x:c r="E1166" s="1" t="n">
        <x:v>1</x:v>
      </x:c>
      <x:c r="F1166" s="13" t="n">
        <x:v>0.00504</x:v>
      </x:c>
      <x:c r="G1166" s="9" t="str">
        <x:v>https://poke.idleworld.online/pokepedia/pokemon/granbull</x:v>
      </x:c>
    </x:row>
    <x:row r="1167" ht="22" customHeight="1">
      <x:c r="A1167" s="1" t="n">
        <x:v>210</x:v>
      </x:c>
      <x:c r="B1167" s="1" t="str">
        <x:v>Granbull</x:v>
      </x:c>
      <x:c r="C1167" s="1" t="str">
        <x:v>Dog Ear</x:v>
      </x:c>
      <x:c r="D1167" s="1" t="n">
        <x:v>1</x:v>
      </x:c>
      <x:c r="E1167" s="1" t="n">
        <x:v>4</x:v>
      </x:c>
      <x:c r="F1167" s="13" t="n">
        <x:v>0.2161291</x:v>
      </x:c>
      <x:c r="G1167" s="9" t="str">
        <x:v>https://poke.idleworld.online/pokepedia/pokemon/granbull</x:v>
      </x:c>
    </x:row>
    <x:row r="1168" ht="22" customHeight="1">
      <x:c r="A1168" s="1" t="n">
        <x:v>211</x:v>
      </x:c>
      <x:c r="B1168" s="1" t="str">
        <x:v>Qwilfish</x:v>
      </x:c>
      <x:c r="C1168" s="1" t="str">
        <x:v>Strange Pheromone</x:v>
      </x:c>
      <x:c r="D1168" s="1" t="n">
        <x:v>1</x:v>
      </x:c>
      <x:c r="E1168" s="1" t="n">
        <x:v>1</x:v>
      </x:c>
      <x:c r="F1168" s="13" t="n">
        <x:v>0</x:v>
      </x:c>
      <x:c r="G1168" s="9" t="str">
        <x:v>https://poke.idleworld.online/pokepedia/pokemon/qwilfish</x:v>
      </x:c>
    </x:row>
    <x:row r="1169" ht="22" customHeight="1">
      <x:c r="A1169" s="1" t="n">
        <x:v>211</x:v>
      </x:c>
      <x:c r="B1169" s="1" t="str">
        <x:v>Qwilfish</x:v>
      </x:c>
      <x:c r="C1169" s="1" t="str">
        <x:v>Water Gem</x:v>
      </x:c>
      <x:c r="D1169" s="1" t="n">
        <x:v>1</x:v>
      </x:c>
      <x:c r="E1169" s="1" t="n">
        <x:v>5</x:v>
      </x:c>
      <x:c r="F1169" s="13" t="n">
        <x:v>0.9163060000000001</x:v>
      </x:c>
      <x:c r="G1169" s="9" t="str">
        <x:v>https://poke.idleworld.online/pokepedia/pokemon/qwilfish</x:v>
      </x:c>
    </x:row>
    <x:row r="1170" ht="22" customHeight="1">
      <x:c r="A1170" s="1" t="n">
        <x:v>211</x:v>
      </x:c>
      <x:c r="B1170" s="1" t="str">
        <x:v>Qwilfish</x:v>
      </x:c>
      <x:c r="C1170" s="1" t="str">
        <x:v>Bottles of Poison</x:v>
      </x:c>
      <x:c r="D1170" s="1" t="n">
        <x:v>1</x:v>
      </x:c>
      <x:c r="E1170" s="1" t="n">
        <x:v>2</x:v>
      </x:c>
      <x:c r="F1170" s="13" t="n">
        <x:v>0.2061688</x:v>
      </x:c>
      <x:c r="G1170" s="9" t="str">
        <x:v>https://poke.idleworld.online/pokepedia/pokemon/qwilfish</x:v>
      </x:c>
    </x:row>
    <x:row r="1171" ht="22" customHeight="1">
      <x:c r="A1171" s="1" t="n">
        <x:v>211</x:v>
      </x:c>
      <x:c r="B1171" s="1" t="str">
        <x:v>Qwilfish</x:v>
      </x:c>
      <x:c r="C1171" s="1" t="str">
        <x:v>Venom Stone</x:v>
      </x:c>
      <x:c r="D1171" s="1" t="n">
        <x:v>1</x:v>
      </x:c>
      <x:c r="E1171" s="1" t="n">
        <x:v>1</x:v>
      </x:c>
      <x:c r="F1171" s="13" t="n">
        <x:v>0.0015061000000000002</x:v>
      </x:c>
      <x:c r="G1171" s="9" t="str">
        <x:v>https://poke.idleworld.online/pokepedia/pokemon/qwilfish</x:v>
      </x:c>
    </x:row>
    <x:row r="1172" ht="22" customHeight="1">
      <x:c r="A1172" s="1" t="n">
        <x:v>211</x:v>
      </x:c>
      <x:c r="B1172" s="1" t="str">
        <x:v>Qwilfish</x:v>
      </x:c>
      <x:c r="C1172" s="1" t="str">
        <x:v>Air Tank</x:v>
      </x:c>
      <x:c r="D1172" s="1" t="n">
        <x:v>1</x:v>
      </x:c>
      <x:c r="E1172" s="1" t="n">
        <x:v>1</x:v>
      </x:c>
      <x:c r="F1172" s="13" t="n">
        <x:v>0.009945299999999999</x:v>
      </x:c>
      <x:c r="G1172" s="9" t="str">
        <x:v>https://poke.idleworld.online/pokepedia/pokemon/qwilfish</x:v>
      </x:c>
    </x:row>
    <x:row r="1173" ht="22" customHeight="1">
      <x:c r="A1173" s="1" t="n">
        <x:v>211</x:v>
      </x:c>
      <x:c r="B1173" s="1" t="str">
        <x:v>Qwilfish</x:v>
      </x:c>
      <x:c r="C1173" s="1" t="str">
        <x:v>Diving Mask</x:v>
      </x:c>
      <x:c r="D1173" s="1" t="n">
        <x:v>1</x:v>
      </x:c>
      <x:c r="E1173" s="1" t="n">
        <x:v>1</x:v>
      </x:c>
      <x:c r="F1173" s="13" t="n">
        <x:v>0.0099451</x:v>
      </x:c>
      <x:c r="G1173" s="9" t="str">
        <x:v>https://poke.idleworld.online/pokepedia/pokemon/qwilfish</x:v>
      </x:c>
    </x:row>
    <x:row r="1174" ht="22" customHeight="1">
      <x:c r="A1174" s="1" t="n">
        <x:v>211</x:v>
      </x:c>
      <x:c r="B1174" s="1" t="str">
        <x:v>Qwilfish</x:v>
      </x:c>
      <x:c r="C1174" s="1" t="str">
        <x:v>Fins</x:v>
      </x:c>
      <x:c r="D1174" s="1" t="n">
        <x:v>1</x:v>
      </x:c>
      <x:c r="E1174" s="1" t="n">
        <x:v>1</x:v>
      </x:c>
      <x:c r="F1174" s="13" t="n">
        <x:v>0.0099451</x:v>
      </x:c>
      <x:c r="G1174" s="9" t="str">
        <x:v>https://poke.idleworld.online/pokepedia/pokemon/qwilfish</x:v>
      </x:c>
    </x:row>
    <x:row r="1175" ht="22" customHeight="1">
      <x:c r="A1175" s="1" t="n">
        <x:v>211</x:v>
      </x:c>
      <x:c r="B1175" s="1" t="str">
        <x:v>Qwilfish</x:v>
      </x:c>
      <x:c r="C1175" s="1" t="str">
        <x:v>Small Tail</x:v>
      </x:c>
      <x:c r="D1175" s="1" t="n">
        <x:v>1</x:v>
      </x:c>
      <x:c r="E1175" s="1" t="n">
        <x:v>1</x:v>
      </x:c>
      <x:c r="F1175" s="13" t="n">
        <x:v>0.0497259</x:v>
      </x:c>
      <x:c r="G1175" s="9" t="str">
        <x:v>https://poke.idleworld.online/pokepedia/pokemon/qwilfish</x:v>
      </x:c>
    </x:row>
    <x:row r="1176" ht="22" customHeight="1">
      <x:c r="A1176" s="1" t="n">
        <x:v>211</x:v>
      </x:c>
      <x:c r="B1176" s="1" t="str">
        <x:v>Qwilfish</x:v>
      </x:c>
      <x:c r="C1176" s="1" t="str">
        <x:v>Water Pendant</x:v>
      </x:c>
      <x:c r="D1176" s="1" t="n">
        <x:v>1</x:v>
      </x:c>
      <x:c r="E1176" s="1" t="n">
        <x:v>1</x:v>
      </x:c>
      <x:c r="F1176" s="13" t="n">
        <x:v>0.1989032</x:v>
      </x:c>
      <x:c r="G1176" s="9" t="str">
        <x:v>https://poke.idleworld.online/pokepedia/pokemon/qwilfish</x:v>
      </x:c>
    </x:row>
    <x:row r="1177" ht="22" customHeight="1">
      <x:c r="A1177" s="1" t="n">
        <x:v>211</x:v>
      </x:c>
      <x:c r="B1177" s="1" t="str">
        <x:v>Qwilfish</x:v>
      </x:c>
      <x:c r="C1177" s="1" t="str">
        <x:v>Water Stone</x:v>
      </x:c>
      <x:c r="D1177" s="1" t="n">
        <x:v>1</x:v>
      </x:c>
      <x:c r="E1177" s="1" t="n">
        <x:v>1</x:v>
      </x:c>
      <x:c r="F1177" s="13" t="n">
        <x:v>0.0020081</x:v>
      </x:c>
      <x:c r="G1177" s="9" t="str">
        <x:v>https://poke.idleworld.online/pokepedia/pokemon/qwilfish</x:v>
      </x:c>
    </x:row>
    <x:row r="1178" ht="22" customHeight="1">
      <x:c r="A1178" s="1" t="n">
        <x:v>212</x:v>
      </x:c>
      <x:c r="B1178" s="1" t="str">
        <x:v>Scizor</x:v>
      </x:c>
      <x:c r="C1178" s="1" t="str">
        <x:v>Strange Pheromone</x:v>
      </x:c>
      <x:c r="D1178" s="1" t="n">
        <x:v>1</x:v>
      </x:c>
      <x:c r="E1178" s="1" t="n">
        <x:v>1</x:v>
      </x:c>
      <x:c r="F1178" s="13" t="n">
        <x:v>0</x:v>
      </x:c>
      <x:c r="G1178" s="9" t="str">
        <x:v>https://poke.idleworld.online/pokepedia/pokemon/scizor</x:v>
      </x:c>
    </x:row>
    <x:row r="1179" ht="22" customHeight="1">
      <x:c r="A1179" s="1" t="n">
        <x:v>212</x:v>
      </x:c>
      <x:c r="B1179" s="1" t="str">
        <x:v>Scizor</x:v>
      </x:c>
      <x:c r="C1179" s="1" t="str">
        <x:v>Metal Stone</x:v>
      </x:c>
      <x:c r="D1179" s="1" t="n">
        <x:v>1</x:v>
      </x:c>
      <x:c r="E1179" s="1" t="n">
        <x:v>1</x:v>
      </x:c>
      <x:c r="F1179" s="13" t="n">
        <x:v>0.00062</x:v>
      </x:c>
      <x:c r="G1179" s="9" t="str">
        <x:v>https://poke.idleworld.online/pokepedia/pokemon/scizor</x:v>
      </x:c>
    </x:row>
    <x:row r="1180" ht="22" customHeight="1">
      <x:c r="A1180" s="1" t="n">
        <x:v>212</x:v>
      </x:c>
      <x:c r="B1180" s="1" t="str">
        <x:v>Scizor</x:v>
      </x:c>
      <x:c r="C1180" s="1" t="str">
        <x:v>Bug Gosme</x:v>
      </x:c>
      <x:c r="D1180" s="1" t="n">
        <x:v>1</x:v>
      </x:c>
      <x:c r="E1180" s="1" t="n">
        <x:v>5</x:v>
      </x:c>
      <x:c r="F1180" s="13" t="n">
        <x:v>0.7919139</x:v>
      </x:c>
      <x:c r="G1180" s="9" t="str">
        <x:v>https://poke.idleworld.online/pokepedia/pokemon/scizor</x:v>
      </x:c>
    </x:row>
    <x:row r="1181" ht="22" customHeight="1">
      <x:c r="A1181" s="1" t="n">
        <x:v>212</x:v>
      </x:c>
      <x:c r="B1181" s="1" t="str">
        <x:v>Scizor</x:v>
      </x:c>
      <x:c r="C1181" s="1" t="str">
        <x:v>Piece of Steel</x:v>
      </x:c>
      <x:c r="D1181" s="1" t="n">
        <x:v>1</x:v>
      </x:c>
      <x:c r="E1181" s="1" t="n">
        <x:v>2</x:v>
      </x:c>
      <x:c r="F1181" s="13" t="n">
        <x:v>0.2969596</x:v>
      </x:c>
      <x:c r="G1181" s="9" t="str">
        <x:v>https://poke.idleworld.online/pokepedia/pokemon/scizor</x:v>
      </x:c>
    </x:row>
    <x:row r="1182" ht="22" customHeight="1">
      <x:c r="A1182" s="1" t="n">
        <x:v>212</x:v>
      </x:c>
      <x:c r="B1182" s="1" t="str">
        <x:v>Scizor</x:v>
      </x:c>
      <x:c r="C1182" s="1" t="str">
        <x:v>Cocoon Stone</x:v>
      </x:c>
      <x:c r="D1182" s="1" t="n">
        <x:v>1</x:v>
      </x:c>
      <x:c r="E1182" s="1" t="n">
        <x:v>1</x:v>
      </x:c>
      <x:c r="F1182" s="13" t="n">
        <x:v>0.00184</x:v>
      </x:c>
      <x:c r="G1182" s="9" t="str">
        <x:v>https://poke.idleworld.online/pokepedia/pokemon/scizor</x:v>
      </x:c>
    </x:row>
    <x:row r="1183" ht="22" customHeight="1">
      <x:c r="A1183" s="1" t="n">
        <x:v>212</x:v>
      </x:c>
      <x:c r="B1183" s="1" t="str">
        <x:v>Scizor</x:v>
      </x:c>
      <x:c r="C1183" s="1" t="str">
        <x:v>Scizor Claw</x:v>
      </x:c>
      <x:c r="D1183" s="1" t="n">
        <x:v>1</x:v>
      </x:c>
      <x:c r="E1183" s="1" t="n">
        <x:v>1</x:v>
      </x:c>
      <x:c r="F1183" s="13" t="n">
        <x:v>0.011961600000000001</x:v>
      </x:c>
      <x:c r="G1183" s="9" t="str">
        <x:v>https://poke.idleworld.online/pokepedia/pokemon/scizor</x:v>
      </x:c>
    </x:row>
    <x:row r="1184" ht="22" customHeight="1">
      <x:c r="A1184" s="1" t="n">
        <x:v>212</x:v>
      </x:c>
      <x:c r="B1184" s="1" t="str">
        <x:v>Scizor</x:v>
      </x:c>
      <x:c r="C1184" s="1" t="str">
        <x:v>Pot of Moss Bug</x:v>
      </x:c>
      <x:c r="D1184" s="1" t="n">
        <x:v>1</x:v>
      </x:c>
      <x:c r="E1184" s="1" t="n">
        <x:v>1</x:v>
      </x:c>
      <x:c r="F1184" s="13" t="n">
        <x:v>0.2392333</x:v>
      </x:c>
      <x:c r="G1184" s="9" t="str">
        <x:v>https://poke.idleworld.online/pokepedia/pokemon/scizor</x:v>
      </x:c>
    </x:row>
    <x:row r="1185" ht="22" customHeight="1">
      <x:c r="A1185" s="1" t="n">
        <x:v>213</x:v>
      </x:c>
      <x:c r="B1185" s="1" t="str">
        <x:v>Shuckle</x:v>
      </x:c>
      <x:c r="C1185" s="1" t="str">
        <x:v>Strange Pheromone</x:v>
      </x:c>
      <x:c r="D1185" s="1" t="n">
        <x:v>1</x:v>
      </x:c>
      <x:c r="E1185" s="1" t="n">
        <x:v>1</x:v>
      </x:c>
      <x:c r="F1185" s="13" t="n">
        <x:v>0</x:v>
      </x:c>
      <x:c r="G1185" s="9" t="str">
        <x:v>https://poke.idleworld.online/pokepedia/pokemon/shuckle</x:v>
      </x:c>
    </x:row>
    <x:row r="1186" ht="22" customHeight="1">
      <x:c r="A1186" s="1" t="n">
        <x:v>213</x:v>
      </x:c>
      <x:c r="B1186" s="1" t="str">
        <x:v>Shuckle</x:v>
      </x:c>
      <x:c r="C1186" s="1" t="str">
        <x:v>Small Stone</x:v>
      </x:c>
      <x:c r="D1186" s="1" t="n">
        <x:v>1</x:v>
      </x:c>
      <x:c r="E1186" s="1" t="n">
        <x:v>10</x:v>
      </x:c>
      <x:c r="F1186" s="13" t="n">
        <x:v>0.95</x:v>
      </x:c>
      <x:c r="G1186" s="9" t="str">
        <x:v>https://poke.idleworld.online/pokepedia/pokemon/shuckle</x:v>
      </x:c>
    </x:row>
    <x:row r="1187" ht="22" customHeight="1">
      <x:c r="A1187" s="1" t="n">
        <x:v>213</x:v>
      </x:c>
      <x:c r="B1187" s="1" t="str">
        <x:v>Shuckle</x:v>
      </x:c>
      <x:c r="C1187" s="1" t="str">
        <x:v>Bug Gosme</x:v>
      </x:c>
      <x:c r="D1187" s="1" t="n">
        <x:v>1</x:v>
      </x:c>
      <x:c r="E1187" s="1" t="n">
        <x:v>2</x:v>
      </x:c>
      <x:c r="F1187" s="13" t="n">
        <x:v>0.95</x:v>
      </x:c>
      <x:c r="G1187" s="9" t="str">
        <x:v>https://poke.idleworld.online/pokepedia/pokemon/shuckle</x:v>
      </x:c>
    </x:row>
    <x:row r="1188" ht="22" customHeight="1">
      <x:c r="A1188" s="1" t="n">
        <x:v>213</x:v>
      </x:c>
      <x:c r="B1188" s="1" t="str">
        <x:v>Shuckle</x:v>
      </x:c>
      <x:c r="C1188" s="1" t="str">
        <x:v>Rock Stone</x:v>
      </x:c>
      <x:c r="D1188" s="1" t="n">
        <x:v>1</x:v>
      </x:c>
      <x:c r="E1188" s="1" t="n">
        <x:v>1</x:v>
      </x:c>
      <x:c r="F1188" s="13" t="n">
        <x:v>0.0020201</x:v>
      </x:c>
      <x:c r="G1188" s="9" t="str">
        <x:v>https://poke.idleworld.online/pokepedia/pokemon/shuckle</x:v>
      </x:c>
    </x:row>
    <x:row r="1189" ht="22" customHeight="1">
      <x:c r="A1189" s="1" t="n">
        <x:v>213</x:v>
      </x:c>
      <x:c r="B1189" s="1" t="str">
        <x:v>Shuckle</x:v>
      </x:c>
      <x:c r="C1189" s="1" t="str">
        <x:v>Small Shell</x:v>
      </x:c>
      <x:c r="D1189" s="1" t="n">
        <x:v>1</x:v>
      </x:c>
      <x:c r="E1189" s="1" t="n">
        <x:v>1</x:v>
      </x:c>
      <x:c r="F1189" s="13" t="n">
        <x:v>0.2197174</x:v>
      </x:c>
      <x:c r="G1189" s="9" t="str">
        <x:v>https://poke.idleworld.online/pokepedia/pokemon/shuckle</x:v>
      </x:c>
    </x:row>
    <x:row r="1190" ht="22" customHeight="1">
      <x:c r="A1190" s="1" t="n">
        <x:v>213</x:v>
      </x:c>
      <x:c r="B1190" s="1" t="str">
        <x:v>Shuckle</x:v>
      </x:c>
      <x:c r="C1190" s="1" t="str">
        <x:v>Pot of Moss Bug</x:v>
      </x:c>
      <x:c r="D1190" s="1" t="n">
        <x:v>1</x:v>
      </x:c>
      <x:c r="E1190" s="1" t="n">
        <x:v>1</x:v>
      </x:c>
      <x:c r="F1190" s="13" t="n">
        <x:v>0.21961470000000002</x:v>
      </x:c>
      <x:c r="G1190" s="9" t="str">
        <x:v>https://poke.idleworld.online/pokepedia/pokemon/shuckle</x:v>
      </x:c>
    </x:row>
    <x:row r="1191" ht="22" customHeight="1">
      <x:c r="A1191" s="1" t="n">
        <x:v>214</x:v>
      </x:c>
      <x:c r="B1191" s="1" t="str">
        <x:v>Heracross</x:v>
      </x:c>
      <x:c r="C1191" s="1" t="str">
        <x:v>Strange Pheromone</x:v>
      </x:c>
      <x:c r="D1191" s="1" t="n">
        <x:v>1</x:v>
      </x:c>
      <x:c r="E1191" s="1" t="n">
        <x:v>1</x:v>
      </x:c>
      <x:c r="F1191" s="13" t="n">
        <x:v>0</x:v>
      </x:c>
      <x:c r="G1191" s="9" t="str">
        <x:v>https://poke.idleworld.online/pokepedia/pokemon/heracross</x:v>
      </x:c>
    </x:row>
    <x:row r="1192" ht="22" customHeight="1">
      <x:c r="A1192" s="1" t="n">
        <x:v>214</x:v>
      </x:c>
      <x:c r="B1192" s="1" t="str">
        <x:v>Heracross</x:v>
      </x:c>
      <x:c r="C1192" s="1" t="str">
        <x:v>Band Aid</x:v>
      </x:c>
      <x:c r="D1192" s="1" t="n">
        <x:v>1</x:v>
      </x:c>
      <x:c r="E1192" s="1" t="n">
        <x:v>5</x:v>
      </x:c>
      <x:c r="F1192" s="13" t="n">
        <x:v>0.95</x:v>
      </x:c>
      <x:c r="G1192" s="9" t="str">
        <x:v>https://poke.idleworld.online/pokepedia/pokemon/heracross</x:v>
      </x:c>
    </x:row>
    <x:row r="1193" ht="22" customHeight="1">
      <x:c r="A1193" s="1" t="n">
        <x:v>214</x:v>
      </x:c>
      <x:c r="B1193" s="1" t="str">
        <x:v>Heracross</x:v>
      </x:c>
      <x:c r="C1193" s="1" t="str">
        <x:v>Bug Gosme</x:v>
      </x:c>
      <x:c r="D1193" s="1" t="n">
        <x:v>1</x:v>
      </x:c>
      <x:c r="E1193" s="1" t="n">
        <x:v>5</x:v>
      </x:c>
      <x:c r="F1193" s="13" t="n">
        <x:v>0.95</x:v>
      </x:c>
      <x:c r="G1193" s="9" t="str">
        <x:v>https://poke.idleworld.online/pokepedia/pokemon/heracross</x:v>
      </x:c>
    </x:row>
    <x:row r="1194" ht="22" customHeight="1">
      <x:c r="A1194" s="1" t="n">
        <x:v>214</x:v>
      </x:c>
      <x:c r="B1194" s="1" t="str">
        <x:v>Heracross</x:v>
      </x:c>
      <x:c r="C1194" s="1" t="str">
        <x:v>Punch Stone</x:v>
      </x:c>
      <x:c r="D1194" s="1" t="n">
        <x:v>1</x:v>
      </x:c>
      <x:c r="E1194" s="1" t="n">
        <x:v>1</x:v>
      </x:c>
      <x:c r="F1194" s="13" t="n">
        <x:v>0.005839700000000001</x:v>
      </x:c>
      <x:c r="G1194" s="9" t="str">
        <x:v>https://poke.idleworld.online/pokepedia/pokemon/heracross</x:v>
      </x:c>
    </x:row>
    <x:row r="1195" ht="22" customHeight="1">
      <x:c r="A1195" s="1" t="n">
        <x:v>214</x:v>
      </x:c>
      <x:c r="B1195" s="1" t="str">
        <x:v>Heracross</x:v>
      </x:c>
      <x:c r="C1195" s="1" t="str">
        <x:v>Insect Claw</x:v>
      </x:c>
      <x:c r="D1195" s="1" t="n">
        <x:v>1</x:v>
      </x:c>
      <x:c r="E1195" s="1" t="n">
        <x:v>3</x:v>
      </x:c>
      <x:c r="F1195" s="13" t="n">
        <x:v>0.2830427</x:v>
      </x:c>
      <x:c r="G1195" s="9" t="str">
        <x:v>https://poke.idleworld.online/pokepedia/pokemon/heracross</x:v>
      </x:c>
    </x:row>
    <x:row r="1196" ht="22" customHeight="1">
      <x:c r="A1196" s="1" t="n">
        <x:v>214</x:v>
      </x:c>
      <x:c r="B1196" s="1" t="str">
        <x:v>Heracross</x:v>
      </x:c>
      <x:c r="C1196" s="1" t="str">
        <x:v>Cocoon Stone</x:v>
      </x:c>
      <x:c r="D1196" s="1" t="n">
        <x:v>1</x:v>
      </x:c>
      <x:c r="E1196" s="1" t="n">
        <x:v>1</x:v>
      </x:c>
      <x:c r="F1196" s="13" t="n">
        <x:v>0.0037676</x:v>
      </x:c>
      <x:c r="G1196" s="9" t="str">
        <x:v>https://poke.idleworld.online/pokepedia/pokemon/heracross</x:v>
      </x:c>
    </x:row>
    <x:row r="1197" ht="22" customHeight="1">
      <x:c r="A1197" s="1" t="n">
        <x:v>214</x:v>
      </x:c>
      <x:c r="B1197" s="1" t="str">
        <x:v>Heracross</x:v>
      </x:c>
      <x:c r="C1197" s="1" t="str">
        <x:v>Pot of Moss Bug</x:v>
      </x:c>
      <x:c r="D1197" s="1" t="n">
        <x:v>1</x:v>
      </x:c>
      <x:c r="E1197" s="1" t="n">
        <x:v>2</x:v>
      </x:c>
      <x:c r="F1197" s="13" t="n">
        <x:v>0.374164</x:v>
      </x:c>
      <x:c r="G1197" s="9" t="str">
        <x:v>https://poke.idleworld.online/pokepedia/pokemon/heracross</x:v>
      </x:c>
    </x:row>
    <x:row r="1198" ht="22" customHeight="1">
      <x:c r="A1198" s="1" t="n">
        <x:v>215</x:v>
      </x:c>
      <x:c r="B1198" s="1" t="str">
        <x:v>Sneasel</x:v>
      </x:c>
      <x:c r="C1198" s="1" t="str">
        <x:v>Strange Pheromone</x:v>
      </x:c>
      <x:c r="D1198" s="1" t="n">
        <x:v>1</x:v>
      </x:c>
      <x:c r="E1198" s="1" t="n">
        <x:v>1</x:v>
      </x:c>
      <x:c r="F1198" s="13" t="n">
        <x:v>0</x:v>
      </x:c>
      <x:c r="G1198" s="9" t="str">
        <x:v>https://poke.idleworld.online/pokepedia/pokemon/sneasel</x:v>
      </x:c>
    </x:row>
    <x:row r="1199" ht="22" customHeight="1">
      <x:c r="A1199" s="1" t="n">
        <x:v>215</x:v>
      </x:c>
      <x:c r="B1199" s="1" t="str">
        <x:v>Sneasel</x:v>
      </x:c>
      <x:c r="C1199" s="1" t="str">
        <x:v>Dark Gem</x:v>
      </x:c>
      <x:c r="D1199" s="1" t="n">
        <x:v>1</x:v>
      </x:c>
      <x:c r="E1199" s="1" t="n">
        <x:v>5</x:v>
      </x:c>
      <x:c r="F1199" s="13" t="n">
        <x:v>0.8779297</x:v>
      </x:c>
      <x:c r="G1199" s="9" t="str">
        <x:v>https://poke.idleworld.online/pokepedia/pokemon/sneasel</x:v>
      </x:c>
    </x:row>
    <x:row r="1200" ht="22" customHeight="1">
      <x:c r="A1200" s="1" t="n">
        <x:v>215</x:v>
      </x:c>
      <x:c r="B1200" s="1" t="str">
        <x:v>Sneasel</x:v>
      </x:c>
      <x:c r="C1200" s="1" t="str">
        <x:v>Snowball</x:v>
      </x:c>
      <x:c r="D1200" s="1" t="n">
        <x:v>1</x:v>
      </x:c>
      <x:c r="E1200" s="1" t="n">
        <x:v>1</x:v>
      </x:c>
      <x:c r="F1200" s="13" t="n">
        <x:v>0.1646118</x:v>
      </x:c>
      <x:c r="G1200" s="9" t="str">
        <x:v>https://poke.idleworld.online/pokepedia/pokemon/sneasel</x:v>
      </x:c>
    </x:row>
    <x:row r="1201" ht="22" customHeight="1">
      <x:c r="A1201" s="1" t="n">
        <x:v>215</x:v>
      </x:c>
      <x:c r="B1201" s="1" t="str">
        <x:v>Sneasel</x:v>
      </x:c>
      <x:c r="C1201" s="1" t="str">
        <x:v>Darkness Stone</x:v>
      </x:c>
      <x:c r="D1201" s="1" t="n">
        <x:v>1</x:v>
      </x:c>
      <x:c r="E1201" s="1" t="n">
        <x:v>1</x:v>
      </x:c>
      <x:c r="F1201" s="13" t="n">
        <x:v>0.0013322999999999998</x:v>
      </x:c>
      <x:c r="G1201" s="9" t="str">
        <x:v>https://poke.idleworld.online/pokepedia/pokemon/sneasel</x:v>
      </x:c>
    </x:row>
    <x:row r="1202" ht="22" customHeight="1">
      <x:c r="A1202" s="1" t="n">
        <x:v>215</x:v>
      </x:c>
      <x:c r="B1202" s="1" t="str">
        <x:v>Sneasel</x:v>
      </x:c>
      <x:c r="C1202" s="1" t="str">
        <x:v>cat ear</x:v>
      </x:c>
      <x:c r="D1202" s="1" t="n">
        <x:v>1</x:v>
      </x:c>
      <x:c r="E1202" s="1" t="n">
        <x:v>2</x:v>
      </x:c>
      <x:c r="F1202" s="13" t="n">
        <x:v>0.21948240000000002</x:v>
      </x:c>
      <x:c r="G1202" s="9" t="str">
        <x:v>https://poke.idleworld.online/pokepedia/pokemon/sneasel</x:v>
      </x:c>
    </x:row>
    <x:row r="1203" ht="22" customHeight="1">
      <x:c r="A1203" s="1" t="n">
        <x:v>215</x:v>
      </x:c>
      <x:c r="B1203" s="1" t="str">
        <x:v>Sneasel</x:v>
      </x:c>
      <x:c r="C1203" s="1" t="str">
        <x:v>Ice Orb</x:v>
      </x:c>
      <x:c r="D1203" s="1" t="n">
        <x:v>1</x:v>
      </x:c>
      <x:c r="E1203" s="1" t="n">
        <x:v>1</x:v>
      </x:c>
      <x:c r="F1203" s="13" t="n">
        <x:v>0.21948240000000002</x:v>
      </x:c>
      <x:c r="G1203" s="9" t="str">
        <x:v>https://poke.idleworld.online/pokepedia/pokemon/sneasel</x:v>
      </x:c>
    </x:row>
    <x:row r="1204" ht="22" customHeight="1">
      <x:c r="A1204" s="1" t="n">
        <x:v>215</x:v>
      </x:c>
      <x:c r="B1204" s="1" t="str">
        <x:v>Sneasel</x:v>
      </x:c>
      <x:c r="C1204" s="1" t="str">
        <x:v>Ice Stone</x:v>
      </x:c>
      <x:c r="D1204" s="1" t="n">
        <x:v>1</x:v>
      </x:c>
      <x:c r="E1204" s="1" t="n">
        <x:v>1</x:v>
      </x:c>
      <x:c r="F1204" s="13" t="n">
        <x:v>0.0017765</x:v>
      </x:c>
      <x:c r="G1204" s="9" t="str">
        <x:v>https://poke.idleworld.online/pokepedia/pokemon/sneasel</x:v>
      </x:c>
    </x:row>
    <x:row r="1205" ht="22" customHeight="1">
      <x:c r="A1205" s="1" t="n">
        <x:v>215</x:v>
      </x:c>
      <x:c r="B1205" s="1" t="str">
        <x:v>Sneasel</x:v>
      </x:c>
      <x:c r="C1205" s="1" t="str">
        <x:v>Wool Ball</x:v>
      </x:c>
      <x:c r="D1205" s="1" t="n">
        <x:v>1</x:v>
      </x:c>
      <x:c r="E1205" s="1" t="n">
        <x:v>1</x:v>
      </x:c>
      <x:c r="F1205" s="13" t="n">
        <x:v>0.18926389999999998</x:v>
      </x:c>
      <x:c r="G1205" s="9" t="str">
        <x:v>https://poke.idleworld.online/pokepedia/pokemon/sneasel</x:v>
      </x:c>
    </x:row>
    <x:row r="1206" ht="22" customHeight="1">
      <x:c r="A1206" s="1" t="n">
        <x:v>216</x:v>
      </x:c>
      <x:c r="B1206" s="1" t="str">
        <x:v>Teddiursa</x:v>
      </x:c>
      <x:c r="C1206" s="1" t="str">
        <x:v>Strange Pheromone</x:v>
      </x:c>
      <x:c r="D1206" s="1" t="n">
        <x:v>1</x:v>
      </x:c>
      <x:c r="E1206" s="1" t="n">
        <x:v>1</x:v>
      </x:c>
      <x:c r="F1206" s="13" t="n">
        <x:v>0</x:v>
      </x:c>
      <x:c r="G1206" s="9" t="str">
        <x:v>https://poke.idleworld.online/pokepedia/pokemon/teddiursa</x:v>
      </x:c>
    </x:row>
    <x:row r="1207" ht="22" customHeight="1">
      <x:c r="A1207" s="1" t="n">
        <x:v>216</x:v>
      </x:c>
      <x:c r="B1207" s="1" t="str">
        <x:v>Teddiursa</x:v>
      </x:c>
      <x:c r="C1207" s="1" t="str">
        <x:v>Rubber Ball</x:v>
      </x:c>
      <x:c r="D1207" s="1" t="n">
        <x:v>1</x:v>
      </x:c>
      <x:c r="E1207" s="1" t="n">
        <x:v>5</x:v>
      </x:c>
      <x:c r="F1207" s="13" t="n">
        <x:v>0.3562803</x:v>
      </x:c>
      <x:c r="G1207" s="9" t="str">
        <x:v>https://poke.idleworld.online/pokepedia/pokemon/teddiursa</x:v>
      </x:c>
    </x:row>
    <x:row r="1208" ht="22" customHeight="1">
      <x:c r="A1208" s="1" t="n">
        <x:v>216</x:v>
      </x:c>
      <x:c r="B1208" s="1" t="str">
        <x:v>Teddiursa</x:v>
      </x:c>
      <x:c r="C1208" s="1" t="str">
        <x:v>Fur</x:v>
      </x:c>
      <x:c r="D1208" s="1" t="n">
        <x:v>1</x:v>
      </x:c>
      <x:c r="E1208" s="1" t="n">
        <x:v>8</x:v>
      </x:c>
      <x:c r="F1208" s="13" t="n">
        <x:v>0.3562803</x:v>
      </x:c>
      <x:c r="G1208" s="9" t="str">
        <x:v>https://poke.idleworld.online/pokepedia/pokemon/teddiursa</x:v>
      </x:c>
    </x:row>
    <x:row r="1209" ht="22" customHeight="1">
      <x:c r="A1209" s="1" t="n">
        <x:v>216</x:v>
      </x:c>
      <x:c r="B1209" s="1" t="str">
        <x:v>Teddiursa</x:v>
      </x:c>
      <x:c r="C1209" s="1" t="str">
        <x:v>Bear Paw</x:v>
      </x:c>
      <x:c r="D1209" s="1" t="n">
        <x:v>1</x:v>
      </x:c>
      <x:c r="E1209" s="1" t="n">
        <x:v>1</x:v>
      </x:c>
      <x:c r="F1209" s="13" t="n">
        <x:v>0.0080776</x:v>
      </x:c>
      <x:c r="G1209" s="9" t="str">
        <x:v>https://poke.idleworld.online/pokepedia/pokemon/teddiursa</x:v>
      </x:c>
    </x:row>
    <x:row r="1210" ht="22" customHeight="1">
      <x:c r="A1210" s="1" t="n">
        <x:v>217</x:v>
      </x:c>
      <x:c r="B1210" s="1" t="str">
        <x:v>Ursaring</x:v>
      </x:c>
      <x:c r="C1210" s="1" t="str">
        <x:v>Strange Pheromone</x:v>
      </x:c>
      <x:c r="D1210" s="1" t="n">
        <x:v>1</x:v>
      </x:c>
      <x:c r="E1210" s="1" t="n">
        <x:v>1</x:v>
      </x:c>
      <x:c r="F1210" s="13" t="n">
        <x:v>0</x:v>
      </x:c>
      <x:c r="G1210" s="9" t="str">
        <x:v>https://poke.idleworld.online/pokepedia/pokemon/ursaring</x:v>
      </x:c>
    </x:row>
    <x:row r="1211" ht="22" customHeight="1">
      <x:c r="A1211" s="1" t="n">
        <x:v>217</x:v>
      </x:c>
      <x:c r="B1211" s="1" t="str">
        <x:v>Ursaring</x:v>
      </x:c>
      <x:c r="C1211" s="1" t="str">
        <x:v>Ancient Stone</x:v>
      </x:c>
      <x:c r="D1211" s="1" t="n">
        <x:v>1</x:v>
      </x:c>
      <x:c r="E1211" s="1" t="n">
        <x:v>1</x:v>
      </x:c>
      <x:c r="F1211" s="13" t="n">
        <x:v>0.00056</x:v>
      </x:c>
      <x:c r="G1211" s="9" t="str">
        <x:v>https://poke.idleworld.online/pokepedia/pokemon/ursaring</x:v>
      </x:c>
    </x:row>
    <x:row r="1212" ht="22" customHeight="1">
      <x:c r="A1212" s="1" t="n">
        <x:v>217</x:v>
      </x:c>
      <x:c r="B1212" s="1" t="str">
        <x:v>Ursaring</x:v>
      </x:c>
      <x:c r="C1212" s="1" t="str">
        <x:v>Rubber Ball</x:v>
      </x:c>
      <x:c r="D1212" s="1" t="n">
        <x:v>1</x:v>
      </x:c>
      <x:c r="E1212" s="1" t="n">
        <x:v>5</x:v>
      </x:c>
      <x:c r="F1212" s="13" t="n">
        <x:v>0.4774991</x:v>
      </x:c>
      <x:c r="G1212" s="9" t="str">
        <x:v>https://poke.idleworld.online/pokepedia/pokemon/ursaring</x:v>
      </x:c>
    </x:row>
    <x:row r="1213" ht="22" customHeight="1">
      <x:c r="A1213" s="1" t="n">
        <x:v>217</x:v>
      </x:c>
      <x:c r="B1213" s="1" t="str">
        <x:v>Ursaring</x:v>
      </x:c>
      <x:c r="C1213" s="1" t="str">
        <x:v>Fur</x:v>
      </x:c>
      <x:c r="D1213" s="1" t="n">
        <x:v>1</x:v>
      </x:c>
      <x:c r="E1213" s="1" t="n">
        <x:v>12</x:v>
      </x:c>
      <x:c r="F1213" s="13" t="n">
        <x:v>0.4774991</x:v>
      </x:c>
      <x:c r="G1213" s="9" t="str">
        <x:v>https://poke.idleworld.online/pokepedia/pokemon/ursaring</x:v>
      </x:c>
    </x:row>
    <x:row r="1214" ht="22" customHeight="1">
      <x:c r="A1214" s="1" t="n">
        <x:v>217</x:v>
      </x:c>
      <x:c r="B1214" s="1" t="str">
        <x:v>Ursaring</x:v>
      </x:c>
      <x:c r="C1214" s="1" t="str">
        <x:v>Heart Stone</x:v>
      </x:c>
      <x:c r="D1214" s="1" t="n">
        <x:v>1</x:v>
      </x:c>
      <x:c r="E1214" s="1" t="n">
        <x:v>1</x:v>
      </x:c>
      <x:c r="F1214" s="13" t="n">
        <x:v>0.00169</x:v>
      </x:c>
      <x:c r="G1214" s="9" t="str">
        <x:v>https://poke.idleworld.online/pokepedia/pokemon/ursaring</x:v>
      </x:c>
    </x:row>
    <x:row r="1215" ht="22" customHeight="1">
      <x:c r="A1215" s="1" t="n">
        <x:v>217</x:v>
      </x:c>
      <x:c r="B1215" s="1" t="str">
        <x:v>Ursaring</x:v>
      </x:c>
      <x:c r="C1215" s="1" t="str">
        <x:v>Bear Arm</x:v>
      </x:c>
      <x:c r="D1215" s="1" t="n">
        <x:v>1</x:v>
      </x:c>
      <x:c r="E1215" s="1" t="n">
        <x:v>1</x:v>
      </x:c>
      <x:c r="F1215" s="13" t="n">
        <x:v>0.0055188</x:v>
      </x:c>
      <x:c r="G1215" s="9" t="str">
        <x:v>https://poke.idleworld.online/pokepedia/pokemon/ursaring</x:v>
      </x:c>
    </x:row>
    <x:row r="1216" ht="22" customHeight="1">
      <x:c r="A1216" s="1" t="n">
        <x:v>217</x:v>
      </x:c>
      <x:c r="B1216" s="1" t="str">
        <x:v>Ursaring</x:v>
      </x:c>
      <x:c r="C1216" s="1" t="str">
        <x:v>Bear Paw</x:v>
      </x:c>
      <x:c r="D1216" s="1" t="n">
        <x:v>1</x:v>
      </x:c>
      <x:c r="E1216" s="1" t="n">
        <x:v>1</x:v>
      </x:c>
      <x:c r="F1216" s="13" t="n">
        <x:v>0.027593899999999998</x:v>
      </x:c>
      <x:c r="G1216" s="9" t="str">
        <x:v>https://poke.idleworld.online/pokepedia/pokemon/ursaring</x:v>
      </x:c>
    </x:row>
    <x:row r="1217" ht="22" customHeight="1">
      <x:c r="A1217" s="1" t="n">
        <x:v>218</x:v>
      </x:c>
      <x:c r="B1217" s="1" t="str">
        <x:v>Slugma</x:v>
      </x:c>
      <x:c r="C1217" s="1" t="str">
        <x:v>Strange Pheromone</x:v>
      </x:c>
      <x:c r="D1217" s="1" t="n">
        <x:v>1</x:v>
      </x:c>
      <x:c r="E1217" s="1" t="n">
        <x:v>1</x:v>
      </x:c>
      <x:c r="F1217" s="13" t="n">
        <x:v>0</x:v>
      </x:c>
      <x:c r="G1217" s="9" t="str">
        <x:v>https://poke.idleworld.online/pokepedia/pokemon/slugma</x:v>
      </x:c>
    </x:row>
    <x:row r="1218" ht="22" customHeight="1">
      <x:c r="A1218" s="1" t="n">
        <x:v>218</x:v>
      </x:c>
      <x:c r="B1218" s="1" t="str">
        <x:v>Slugma</x:v>
      </x:c>
      <x:c r="C1218" s="1" t="str">
        <x:v>Essence of Fire</x:v>
      </x:c>
      <x:c r="D1218" s="1" t="n">
        <x:v>1</x:v>
      </x:c>
      <x:c r="E1218" s="1" t="n">
        <x:v>5</x:v>
      </x:c>
      <x:c r="F1218" s="13" t="n">
        <x:v>0.08619030000000001</x:v>
      </x:c>
      <x:c r="G1218" s="9" t="str">
        <x:v>https://poke.idleworld.online/pokepedia/pokemon/slugma</x:v>
      </x:c>
    </x:row>
    <x:row r="1219" ht="22" customHeight="1">
      <x:c r="A1219" s="1" t="n">
        <x:v>218</x:v>
      </x:c>
      <x:c r="B1219" s="1" t="str">
        <x:v>Slugma</x:v>
      </x:c>
      <x:c r="C1219" s="1" t="str">
        <x:v>Pot of Lava</x:v>
      </x:c>
      <x:c r="D1219" s="1" t="n">
        <x:v>1</x:v>
      </x:c>
      <x:c r="E1219" s="1" t="n">
        <x:v>8</x:v>
      </x:c>
      <x:c r="F1219" s="13" t="n">
        <x:v>0.08619030000000001</x:v>
      </x:c>
      <x:c r="G1219" s="9" t="str">
        <x:v>https://poke.idleworld.online/pokepedia/pokemon/slugma</x:v>
      </x:c>
    </x:row>
    <x:row r="1220" ht="22" customHeight="1">
      <x:c r="A1220" s="1" t="n">
        <x:v>218</x:v>
      </x:c>
      <x:c r="B1220" s="1" t="str">
        <x:v>Slugma</x:v>
      </x:c>
      <x:c r="C1220" s="1" t="str">
        <x:v>Fire Stone</x:v>
      </x:c>
      <x:c r="D1220" s="1" t="n">
        <x:v>1</x:v>
      </x:c>
      <x:c r="E1220" s="1" t="n">
        <x:v>1</x:v>
      </x:c>
      <x:c r="F1220" s="13" t="n">
        <x:v>0.0002</x:v>
      </x:c>
      <x:c r="G1220" s="9" t="str">
        <x:v>https://poke.idleworld.online/pokepedia/pokemon/slugma</x:v>
      </x:c>
    </x:row>
    <x:row r="1221" ht="22" customHeight="1">
      <x:c r="A1221" s="1" t="n">
        <x:v>218</x:v>
      </x:c>
      <x:c r="B1221" s="1" t="str">
        <x:v>Slugma</x:v>
      </x:c>
      <x:c r="C1221" s="1" t="str">
        <x:v>Fire Ear</x:v>
      </x:c>
      <x:c r="D1221" s="1" t="n">
        <x:v>1</x:v>
      </x:c>
      <x:c r="E1221" s="1" t="n">
        <x:v>1</x:v>
      </x:c>
      <x:c r="F1221" s="13" t="n">
        <x:v>0.0798349</x:v>
      </x:c>
      <x:c r="G1221" s="9" t="str">
        <x:v>https://poke.idleworld.online/pokepedia/pokemon/slugma</x:v>
      </x:c>
    </x:row>
    <x:row r="1222" ht="22" customHeight="1">
      <x:c r="A1222" s="1" t="n">
        <x:v>219</x:v>
      </x:c>
      <x:c r="B1222" s="1" t="str">
        <x:v>Magcargo</x:v>
      </x:c>
      <x:c r="C1222" s="1" t="str">
        <x:v>Strange Pheromone</x:v>
      </x:c>
      <x:c r="D1222" s="1" t="n">
        <x:v>1</x:v>
      </x:c>
      <x:c r="E1222" s="1" t="n">
        <x:v>1</x:v>
      </x:c>
      <x:c r="F1222" s="13" t="n">
        <x:v>0</x:v>
      </x:c>
      <x:c r="G1222" s="9" t="str">
        <x:v>https://poke.idleworld.online/pokepedia/pokemon/magcargo</x:v>
      </x:c>
    </x:row>
    <x:row r="1223" ht="22" customHeight="1">
      <x:c r="A1223" s="1" t="n">
        <x:v>219</x:v>
      </x:c>
      <x:c r="B1223" s="1" t="str">
        <x:v>Magcargo</x:v>
      </x:c>
      <x:c r="C1223" s="1" t="str">
        <x:v>Essence of Fire</x:v>
      </x:c>
      <x:c r="D1223" s="1" t="n">
        <x:v>1</x:v>
      </x:c>
      <x:c r="E1223" s="1" t="n">
        <x:v>5</x:v>
      </x:c>
      <x:c r="F1223" s="13" t="n">
        <x:v>0.7302349</x:v>
      </x:c>
      <x:c r="G1223" s="9" t="str">
        <x:v>https://poke.idleworld.online/pokepedia/pokemon/magcargo</x:v>
      </x:c>
    </x:row>
    <x:row r="1224" ht="22" customHeight="1">
      <x:c r="A1224" s="1" t="n">
        <x:v>219</x:v>
      </x:c>
      <x:c r="B1224" s="1" t="str">
        <x:v>Magcargo</x:v>
      </x:c>
      <x:c r="C1224" s="1" t="str">
        <x:v>Pot of Lava</x:v>
      </x:c>
      <x:c r="D1224" s="1" t="n">
        <x:v>1</x:v>
      </x:c>
      <x:c r="E1224" s="1" t="n">
        <x:v>10</x:v>
      </x:c>
      <x:c r="F1224" s="13" t="n">
        <x:v>0.7302349</x:v>
      </x:c>
      <x:c r="G1224" s="9" t="str">
        <x:v>https://poke.idleworld.online/pokepedia/pokemon/magcargo</x:v>
      </x:c>
    </x:row>
    <x:row r="1225" ht="22" customHeight="1">
      <x:c r="A1225" s="1" t="n">
        <x:v>219</x:v>
      </x:c>
      <x:c r="B1225" s="1" t="str">
        <x:v>Magcargo</x:v>
      </x:c>
      <x:c r="C1225" s="1" t="str">
        <x:v>Small Stone</x:v>
      </x:c>
      <x:c r="D1225" s="1" t="n">
        <x:v>1</x:v>
      </x:c>
      <x:c r="E1225" s="1" t="n">
        <x:v>1</x:v>
      </x:c>
      <x:c r="F1225" s="13" t="n">
        <x:v>0.13691299999999998</x:v>
      </x:c>
      <x:c r="G1225" s="9" t="str">
        <x:v>https://poke.idleworld.online/pokepedia/pokemon/magcargo</x:v>
      </x:c>
    </x:row>
    <x:row r="1226" ht="22" customHeight="1">
      <x:c r="A1226" s="1" t="n">
        <x:v>219</x:v>
      </x:c>
      <x:c r="B1226" s="1" t="str">
        <x:v>Magcargo</x:v>
      </x:c>
      <x:c r="C1226" s="1" t="str">
        <x:v>Fire Stone</x:v>
      </x:c>
      <x:c r="D1226" s="1" t="n">
        <x:v>1</x:v>
      </x:c>
      <x:c r="E1226" s="1" t="n">
        <x:v>1</x:v>
      </x:c>
      <x:c r="F1226" s="13" t="n">
        <x:v>0.0017</x:v>
      </x:c>
      <x:c r="G1226" s="9" t="str">
        <x:v>https://poke.idleworld.online/pokepedia/pokemon/magcargo</x:v>
      </x:c>
    </x:row>
    <x:row r="1227" ht="22" customHeight="1">
      <x:c r="A1227" s="1" t="n">
        <x:v>219</x:v>
      </x:c>
      <x:c r="B1227" s="1" t="str">
        <x:v>Magcargo</x:v>
      </x:c>
      <x:c r="C1227" s="1" t="str">
        <x:v>Fire Ear</x:v>
      </x:c>
      <x:c r="D1227" s="1" t="n">
        <x:v>1</x:v>
      </x:c>
      <x:c r="E1227" s="1" t="n">
        <x:v>1</x:v>
      </x:c>
      <x:c r="F1227" s="13" t="n">
        <x:v>0.1167356</x:v>
      </x:c>
      <x:c r="G1227" s="9" t="str">
        <x:v>https://poke.idleworld.online/pokepedia/pokemon/magcargo</x:v>
      </x:c>
    </x:row>
    <x:row r="1228" ht="22" customHeight="1">
      <x:c r="A1228" s="1" t="n">
        <x:v>219</x:v>
      </x:c>
      <x:c r="B1228" s="1" t="str">
        <x:v>Magcargo</x:v>
      </x:c>
      <x:c r="C1228" s="1" t="str">
        <x:v>Rock Stone</x:v>
      </x:c>
      <x:c r="D1228" s="1" t="n">
        <x:v>1</x:v>
      </x:c>
      <x:c r="E1228" s="1" t="n">
        <x:v>1</x:v>
      </x:c>
      <x:c r="F1228" s="13" t="n">
        <x:v>0.004</x:v>
      </x:c>
      <x:c r="G1228" s="9" t="str">
        <x:v>https://poke.idleworld.online/pokepedia/pokemon/magcargo</x:v>
      </x:c>
    </x:row>
    <x:row r="1229" ht="22" customHeight="1">
      <x:c r="A1229" s="1" t="n">
        <x:v>220</x:v>
      </x:c>
      <x:c r="B1229" s="1" t="str">
        <x:v>Swinub</x:v>
      </x:c>
      <x:c r="C1229" s="1" t="str">
        <x:v>Strange Pheromone</x:v>
      </x:c>
      <x:c r="D1229" s="1" t="n">
        <x:v>1</x:v>
      </x:c>
      <x:c r="E1229" s="1" t="n">
        <x:v>1</x:v>
      </x:c>
      <x:c r="F1229" s="13" t="n">
        <x:v>0</x:v>
      </x:c>
      <x:c r="G1229" s="9" t="str">
        <x:v>https://poke.idleworld.online/pokepedia/pokemon/swinub</x:v>
      </x:c>
    </x:row>
    <x:row r="1230" ht="22" customHeight="1">
      <x:c r="A1230" s="1" t="n">
        <x:v>220</x:v>
      </x:c>
      <x:c r="B1230" s="1" t="str">
        <x:v>Swinub</x:v>
      </x:c>
      <x:c r="C1230" s="1" t="str">
        <x:v>Earth Ball</x:v>
      </x:c>
      <x:c r="D1230" s="1" t="n">
        <x:v>1</x:v>
      </x:c>
      <x:c r="E1230" s="1" t="n">
        <x:v>5</x:v>
      </x:c>
      <x:c r="F1230" s="13" t="n">
        <x:v>0.7513510000000001</x:v>
      </x:c>
      <x:c r="G1230" s="9" t="str">
        <x:v>https://poke.idleworld.online/pokepedia/pokemon/swinub</x:v>
      </x:c>
    </x:row>
    <x:row r="1231" ht="22" customHeight="1">
      <x:c r="A1231" s="1" t="n">
        <x:v>220</x:v>
      </x:c>
      <x:c r="B1231" s="1" t="str">
        <x:v>Swinub</x:v>
      </x:c>
      <x:c r="C1231" s="1" t="str">
        <x:v>Snowball</x:v>
      </x:c>
      <x:c r="D1231" s="1" t="n">
        <x:v>1</x:v>
      </x:c>
      <x:c r="E1231" s="1" t="n">
        <x:v>8</x:v>
      </x:c>
      <x:c r="F1231" s="13" t="n">
        <x:v>0.7513510000000001</x:v>
      </x:c>
      <x:c r="G1231" s="9" t="str">
        <x:v>https://poke.idleworld.online/pokepedia/pokemon/swinub</x:v>
      </x:c>
    </x:row>
    <x:row r="1232" ht="22" customHeight="1">
      <x:c r="A1232" s="1" t="n">
        <x:v>220</x:v>
      </x:c>
      <x:c r="B1232" s="1" t="str">
        <x:v>Swinub</x:v>
      </x:c>
      <x:c r="C1232" s="1" t="str">
        <x:v>Fur</x:v>
      </x:c>
      <x:c r="D1232" s="1" t="n">
        <x:v>1</x:v>
      </x:c>
      <x:c r="E1232" s="1" t="n">
        <x:v>2</x:v>
      </x:c>
      <x:c r="F1232" s="13" t="n">
        <x:v>0.2347919</x:v>
      </x:c>
      <x:c r="G1232" s="9" t="str">
        <x:v>https://poke.idleworld.online/pokepedia/pokemon/swinub</x:v>
      </x:c>
    </x:row>
    <x:row r="1233" ht="22" customHeight="1">
      <x:c r="A1233" s="1" t="n">
        <x:v>220</x:v>
      </x:c>
      <x:c r="B1233" s="1" t="str">
        <x:v>Swinub</x:v>
      </x:c>
      <x:c r="C1233" s="1" t="str">
        <x:v>Ice Orb</x:v>
      </x:c>
      <x:c r="D1233" s="1" t="n">
        <x:v>1</x:v>
      </x:c>
      <x:c r="E1233" s="1" t="n">
        <x:v>1</x:v>
      </x:c>
      <x:c r="F1233" s="13" t="n">
        <x:v>0.0751351</x:v>
      </x:c>
      <x:c r="G1233" s="9" t="str">
        <x:v>https://poke.idleworld.online/pokepedia/pokemon/swinub</x:v>
      </x:c>
    </x:row>
    <x:row r="1234" ht="22" customHeight="1">
      <x:c r="A1234" s="1" t="n">
        <x:v>220</x:v>
      </x:c>
      <x:c r="B1234" s="1" t="str">
        <x:v>Swinub</x:v>
      </x:c>
      <x:c r="C1234" s="1" t="str">
        <x:v>Ice Stone</x:v>
      </x:c>
      <x:c r="D1234" s="1" t="n">
        <x:v>1</x:v>
      </x:c>
      <x:c r="E1234" s="1" t="n">
        <x:v>1</x:v>
      </x:c>
      <x:c r="F1234" s="13" t="n">
        <x:v>0.001088</x:v>
      </x:c>
      <x:c r="G1234" s="9" t="str">
        <x:v>https://poke.idleworld.online/pokepedia/pokemon/swinub</x:v>
      </x:c>
    </x:row>
    <x:row r="1235" ht="22" customHeight="1">
      <x:c r="A1235" s="1" t="n">
        <x:v>220</x:v>
      </x:c>
      <x:c r="B1235" s="1" t="str">
        <x:v>Swinub</x:v>
      </x:c>
      <x:c r="C1235" s="1" t="str">
        <x:v>Tusk</x:v>
      </x:c>
      <x:c r="D1235" s="1" t="n">
        <x:v>1</x:v>
      </x:c>
      <x:c r="E1235" s="1" t="n">
        <x:v>1</x:v>
      </x:c>
      <x:c r="F1235" s="13" t="n">
        <x:v>2e-7</x:v>
      </x:c>
      <x:c r="G1235" s="9" t="str">
        <x:v>https://poke.idleworld.online/pokepedia/pokemon/swinub</x:v>
      </x:c>
    </x:row>
    <x:row r="1236" ht="22" customHeight="1">
      <x:c r="A1236" s="1" t="n">
        <x:v>221</x:v>
      </x:c>
      <x:c r="B1236" s="1" t="str">
        <x:v>Piloswine</x:v>
      </x:c>
      <x:c r="C1236" s="1" t="str">
        <x:v>Strange Pheromone</x:v>
      </x:c>
      <x:c r="D1236" s="1" t="n">
        <x:v>1</x:v>
      </x:c>
      <x:c r="E1236" s="1" t="n">
        <x:v>1</x:v>
      </x:c>
      <x:c r="F1236" s="13" t="n">
        <x:v>0</x:v>
      </x:c>
      <x:c r="G1236" s="9" t="str">
        <x:v>https://poke.idleworld.online/pokepedia/pokemon/piloswine</x:v>
      </x:c>
    </x:row>
    <x:row r="1237" ht="22" customHeight="1">
      <x:c r="A1237" s="1" t="n">
        <x:v>221</x:v>
      </x:c>
      <x:c r="B1237" s="1" t="str">
        <x:v>Piloswine</x:v>
      </x:c>
      <x:c r="C1237" s="1" t="str">
        <x:v>Earth Ball</x:v>
      </x:c>
      <x:c r="D1237" s="1" t="n">
        <x:v>1</x:v>
      </x:c>
      <x:c r="E1237" s="1" t="n">
        <x:v>5</x:v>
      </x:c>
      <x:c r="F1237" s="13" t="n">
        <x:v>0.95</x:v>
      </x:c>
      <x:c r="G1237" s="9" t="str">
        <x:v>https://poke.idleworld.online/pokepedia/pokemon/piloswine</x:v>
      </x:c>
    </x:row>
    <x:row r="1238" ht="22" customHeight="1">
      <x:c r="A1238" s="1" t="n">
        <x:v>221</x:v>
      </x:c>
      <x:c r="B1238" s="1" t="str">
        <x:v>Piloswine</x:v>
      </x:c>
      <x:c r="C1238" s="1" t="str">
        <x:v>Snowball</x:v>
      </x:c>
      <x:c r="D1238" s="1" t="n">
        <x:v>1</x:v>
      </x:c>
      <x:c r="E1238" s="1" t="n">
        <x:v>10</x:v>
      </x:c>
      <x:c r="F1238" s="13" t="n">
        <x:v>0.95</x:v>
      </x:c>
      <x:c r="G1238" s="9" t="str">
        <x:v>https://poke.idleworld.online/pokepedia/pokemon/piloswine</x:v>
      </x:c>
    </x:row>
    <x:row r="1239" ht="22" customHeight="1">
      <x:c r="A1239" s="1" t="n">
        <x:v>221</x:v>
      </x:c>
      <x:c r="B1239" s="1" t="str">
        <x:v>Piloswine</x:v>
      </x:c>
      <x:c r="C1239" s="1" t="str">
        <x:v>Ice Stone</x:v>
      </x:c>
      <x:c r="D1239" s="1" t="n">
        <x:v>1</x:v>
      </x:c>
      <x:c r="E1239" s="1" t="n">
        <x:v>1</x:v>
      </x:c>
      <x:c r="F1239" s="13" t="n">
        <x:v>0.0037001</x:v>
      </x:c>
      <x:c r="G1239" s="9" t="str">
        <x:v>https://poke.idleworld.online/pokepedia/pokemon/piloswine</x:v>
      </x:c>
    </x:row>
    <x:row r="1240" ht="22" customHeight="1">
      <x:c r="A1240" s="1" t="n">
        <x:v>221</x:v>
      </x:c>
      <x:c r="B1240" s="1" t="str">
        <x:v>Piloswine</x:v>
      </x:c>
      <x:c r="C1240" s="1" t="str">
        <x:v>Earth Stone</x:v>
      </x:c>
      <x:c r="D1240" s="1" t="n">
        <x:v>1</x:v>
      </x:c>
      <x:c r="E1240" s="1" t="n">
        <x:v>1</x:v>
      </x:c>
      <x:c r="F1240" s="13" t="n">
        <x:v>0.0035072000000000002</x:v>
      </x:c>
      <x:c r="G1240" s="9" t="str">
        <x:v>https://poke.idleworld.online/pokepedia/pokemon/piloswine</x:v>
      </x:c>
    </x:row>
    <x:row r="1241" ht="22" customHeight="1">
      <x:c r="A1241" s="1" t="n">
        <x:v>221</x:v>
      </x:c>
      <x:c r="B1241" s="1" t="str">
        <x:v>Piloswine</x:v>
      </x:c>
      <x:c r="C1241" s="1" t="str">
        <x:v>Fur</x:v>
      </x:c>
      <x:c r="D1241" s="1" t="n">
        <x:v>1</x:v>
      </x:c>
      <x:c r="E1241" s="1" t="n">
        <x:v>1</x:v>
      </x:c>
      <x:c r="F1241" s="13" t="n">
        <x:v>0.1943942</x:v>
      </x:c>
      <x:c r="G1241" s="9" t="str">
        <x:v>https://poke.idleworld.online/pokepedia/pokemon/piloswine</x:v>
      </x:c>
    </x:row>
    <x:row r="1242" ht="22" customHeight="1">
      <x:c r="A1242" s="1" t="n">
        <x:v>221</x:v>
      </x:c>
      <x:c r="B1242" s="1" t="str">
        <x:v>Piloswine</x:v>
      </x:c>
      <x:c r="C1242" s="1" t="str">
        <x:v>Goggles</x:v>
      </x:c>
      <x:c r="D1242" s="1" t="n">
        <x:v>1</x:v>
      </x:c>
      <x:c r="E1242" s="1" t="n">
        <x:v>1</x:v>
      </x:c>
      <x:c r="F1242" s="13" t="n">
        <x:v>0.0486053</x:v>
      </x:c>
      <x:c r="G1242" s="9" t="str">
        <x:v>https://poke.idleworld.online/pokepedia/pokemon/piloswine</x:v>
      </x:c>
    </x:row>
    <x:row r="1243" ht="22" customHeight="1">
      <x:c r="A1243" s="1" t="n">
        <x:v>221</x:v>
      </x:c>
      <x:c r="B1243" s="1" t="str">
        <x:v>Piloswine</x:v>
      </x:c>
      <x:c r="C1243" s="1" t="str">
        <x:v>Ice Orb</x:v>
      </x:c>
      <x:c r="D1243" s="1" t="n">
        <x:v>1</x:v>
      </x:c>
      <x:c r="E1243" s="1" t="n">
        <x:v>1</x:v>
      </x:c>
      <x:c r="F1243" s="13" t="n">
        <x:v>0.1943942</x:v>
      </x:c>
      <x:c r="G1243" s="9" t="str">
        <x:v>https://poke.idleworld.online/pokepedia/pokemon/piloswine</x:v>
      </x:c>
    </x:row>
    <x:row r="1244" ht="22" customHeight="1">
      <x:c r="A1244" s="1" t="n">
        <x:v>221</x:v>
      </x:c>
      <x:c r="B1244" s="1" t="str">
        <x:v>Piloswine</x:v>
      </x:c>
      <x:c r="C1244" s="1" t="str">
        <x:v>Ski Poles</x:v>
      </x:c>
      <x:c r="D1244" s="1" t="n">
        <x:v>1</x:v>
      </x:c>
      <x:c r="E1244" s="1" t="n">
        <x:v>1</x:v>
      </x:c>
      <x:c r="F1244" s="13" t="n">
        <x:v>0.0097197</x:v>
      </x:c>
      <x:c r="G1244" s="9" t="str">
        <x:v>https://poke.idleworld.online/pokepedia/pokemon/piloswine</x:v>
      </x:c>
    </x:row>
    <x:row r="1245" ht="22" customHeight="1">
      <x:c r="A1245" s="1" t="n">
        <x:v>221</x:v>
      </x:c>
      <x:c r="B1245" s="1" t="str">
        <x:v>Piloswine</x:v>
      </x:c>
      <x:c r="C1245" s="1" t="str">
        <x:v>Snow Skis</x:v>
      </x:c>
      <x:c r="D1245" s="1" t="n">
        <x:v>1</x:v>
      </x:c>
      <x:c r="E1245" s="1" t="n">
        <x:v>1</x:v>
      </x:c>
      <x:c r="F1245" s="13" t="n">
        <x:v>0.0485985</x:v>
      </x:c>
      <x:c r="G1245" s="9" t="str">
        <x:v>https://poke.idleworld.online/pokepedia/pokemon/piloswine</x:v>
      </x:c>
    </x:row>
    <x:row r="1246" ht="22" customHeight="1">
      <x:c r="A1246" s="1" t="n">
        <x:v>221</x:v>
      </x:c>
      <x:c r="B1246" s="1" t="str">
        <x:v>Piloswine</x:v>
      </x:c>
      <x:c r="C1246" s="1" t="str">
        <x:v>Tusk</x:v>
      </x:c>
      <x:c r="D1246" s="1" t="n">
        <x:v>1</x:v>
      </x:c>
      <x:c r="E1246" s="1" t="n">
        <x:v>1</x:v>
      </x:c>
      <x:c r="F1246" s="13" t="n">
        <x:v>0.0485985</x:v>
      </x:c>
      <x:c r="G1246" s="9" t="str">
        <x:v>https://poke.idleworld.online/pokepedia/pokemon/piloswine</x:v>
      </x:c>
    </x:row>
    <x:row r="1247" ht="22" customHeight="1">
      <x:c r="A1247" s="1" t="n">
        <x:v>222</x:v>
      </x:c>
      <x:c r="B1247" s="1" t="str">
        <x:v>Corsola</x:v>
      </x:c>
      <x:c r="C1247" s="1" t="str">
        <x:v>Strange Pheromone</x:v>
      </x:c>
      <x:c r="D1247" s="1" t="n">
        <x:v>1</x:v>
      </x:c>
      <x:c r="E1247" s="1" t="n">
        <x:v>1</x:v>
      </x:c>
      <x:c r="F1247" s="13" t="n">
        <x:v>0</x:v>
      </x:c>
      <x:c r="G1247" s="9" t="str">
        <x:v>https://poke.idleworld.online/pokepedia/pokemon/corsola</x:v>
      </x:c>
    </x:row>
    <x:row r="1248" ht="22" customHeight="1">
      <x:c r="A1248" s="1" t="n">
        <x:v>222</x:v>
      </x:c>
      <x:c r="B1248" s="1" t="str">
        <x:v>Corsola</x:v>
      </x:c>
      <x:c r="C1248" s="1" t="str">
        <x:v>Small Stone</x:v>
      </x:c>
      <x:c r="D1248" s="1" t="n">
        <x:v>1</x:v>
      </x:c>
      <x:c r="E1248" s="1" t="n">
        <x:v>8</x:v>
      </x:c>
      <x:c r="F1248" s="13" t="n">
        <x:v>0.95</x:v>
      </x:c>
      <x:c r="G1248" s="9" t="str">
        <x:v>https://poke.idleworld.online/pokepedia/pokemon/corsola</x:v>
      </x:c>
    </x:row>
    <x:row r="1249" ht="22" customHeight="1">
      <x:c r="A1249" s="1" t="n">
        <x:v>222</x:v>
      </x:c>
      <x:c r="B1249" s="1" t="str">
        <x:v>Corsola</x:v>
      </x:c>
      <x:c r="C1249" s="1" t="str">
        <x:v>Water Gem</x:v>
      </x:c>
      <x:c r="D1249" s="1" t="n">
        <x:v>1</x:v>
      </x:c>
      <x:c r="E1249" s="1" t="n">
        <x:v>1</x:v>
      </x:c>
      <x:c r="F1249" s="13" t="n">
        <x:v>0.95</x:v>
      </x:c>
      <x:c r="G1249" s="9" t="str">
        <x:v>https://poke.idleworld.online/pokepedia/pokemon/corsola</x:v>
      </x:c>
    </x:row>
    <x:row r="1250" ht="22" customHeight="1">
      <x:c r="A1250" s="1" t="n">
        <x:v>222</x:v>
      </x:c>
      <x:c r="B1250" s="1" t="str">
        <x:v>Corsola</x:v>
      </x:c>
      <x:c r="C1250" s="1" t="str">
        <x:v>Water Stone</x:v>
      </x:c>
      <x:c r="D1250" s="1" t="n">
        <x:v>1</x:v>
      </x:c>
      <x:c r="E1250" s="1" t="n">
        <x:v>1</x:v>
      </x:c>
      <x:c r="F1250" s="13" t="n">
        <x:v>0.0019081999999999999</x:v>
      </x:c>
      <x:c r="G1250" s="9" t="str">
        <x:v>https://poke.idleworld.online/pokepedia/pokemon/corsola</x:v>
      </x:c>
    </x:row>
    <x:row r="1251" ht="22" customHeight="1">
      <x:c r="A1251" s="1" t="n">
        <x:v>222</x:v>
      </x:c>
      <x:c r="B1251" s="1" t="str">
        <x:v>Corsola</x:v>
      </x:c>
      <x:c r="C1251" s="1" t="str">
        <x:v>Air Tank</x:v>
      </x:c>
      <x:c r="D1251" s="1" t="n">
        <x:v>1</x:v>
      </x:c>
      <x:c r="E1251" s="1" t="n">
        <x:v>1</x:v>
      </x:c>
      <x:c r="F1251" s="13" t="n">
        <x:v>1e-7</x:v>
      </x:c>
      <x:c r="G1251" s="9" t="str">
        <x:v>https://poke.idleworld.online/pokepedia/pokemon/corsola</x:v>
      </x:c>
    </x:row>
    <x:row r="1252" ht="22" customHeight="1">
      <x:c r="A1252" s="1" t="n">
        <x:v>222</x:v>
      </x:c>
      <x:c r="B1252" s="1" t="str">
        <x:v>Corsola</x:v>
      </x:c>
      <x:c r="C1252" s="1" t="str">
        <x:v>Diving Mask</x:v>
      </x:c>
      <x:c r="D1252" s="1" t="n">
        <x:v>1</x:v>
      </x:c>
      <x:c r="E1252" s="1" t="n">
        <x:v>1</x:v>
      </x:c>
      <x:c r="F1252" s="13" t="n">
        <x:v>0.00001</x:v>
      </x:c>
      <x:c r="G1252" s="9" t="str">
        <x:v>https://poke.idleworld.online/pokepedia/pokemon/corsola</x:v>
      </x:c>
    </x:row>
    <x:row r="1253" ht="22" customHeight="1">
      <x:c r="A1253" s="1" t="n">
        <x:v>222</x:v>
      </x:c>
      <x:c r="B1253" s="1" t="str">
        <x:v>Corsola</x:v>
      </x:c>
      <x:c r="C1253" s="1" t="str">
        <x:v>Fins</x:v>
      </x:c>
      <x:c r="D1253" s="1" t="n">
        <x:v>1</x:v>
      </x:c>
      <x:c r="E1253" s="1" t="n">
        <x:v>1</x:v>
      </x:c>
      <x:c r="F1253" s="13" t="n">
        <x:v>0.00001</x:v>
      </x:c>
      <x:c r="G1253" s="9" t="str">
        <x:v>https://poke.idleworld.online/pokepedia/pokemon/corsola</x:v>
      </x:c>
    </x:row>
    <x:row r="1254" ht="22" customHeight="1">
      <x:c r="A1254" s="1" t="n">
        <x:v>222</x:v>
      </x:c>
      <x:c r="B1254" s="1" t="str">
        <x:v>Corsola</x:v>
      </x:c>
      <x:c r="C1254" s="1" t="str">
        <x:v>Piece Of Coral</x:v>
      </x:c>
      <x:c r="D1254" s="1" t="n">
        <x:v>1</x:v>
      </x:c>
      <x:c r="E1254" s="1" t="n">
        <x:v>1</x:v>
      </x:c>
      <x:c r="F1254" s="13" t="n">
        <x:v>0.00001</x:v>
      </x:c>
      <x:c r="G1254" s="9" t="str">
        <x:v>https://poke.idleworld.online/pokepedia/pokemon/corsola</x:v>
      </x:c>
    </x:row>
    <x:row r="1255" ht="22" customHeight="1">
      <x:c r="A1255" s="1" t="n">
        <x:v>222</x:v>
      </x:c>
      <x:c r="B1255" s="1" t="str">
        <x:v>Corsola</x:v>
      </x:c>
      <x:c r="C1255" s="1" t="str">
        <x:v>Rock Stone</x:v>
      </x:c>
      <x:c r="D1255" s="1" t="n">
        <x:v>1</x:v>
      </x:c>
      <x:c r="E1255" s="1" t="n">
        <x:v>1</x:v>
      </x:c>
      <x:c r="F1255" s="13" t="n">
        <x:v>0.0009570000000000001</x:v>
      </x:c>
      <x:c r="G1255" s="9" t="str">
        <x:v>https://poke.idleworld.online/pokepedia/pokemon/corsola</x:v>
      </x:c>
    </x:row>
    <x:row r="1256" ht="22" customHeight="1">
      <x:c r="A1256" s="1" t="n">
        <x:v>222</x:v>
      </x:c>
      <x:c r="B1256" s="1" t="str">
        <x:v>Corsola</x:v>
      </x:c>
      <x:c r="C1256" s="1" t="str">
        <x:v>Water Pendant</x:v>
      </x:c>
      <x:c r="D1256" s="1" t="n">
        <x:v>1</x:v>
      </x:c>
      <x:c r="E1256" s="1" t="n">
        <x:v>1</x:v>
      </x:c>
      <x:c r="F1256" s="13" t="n">
        <x:v>0.00001</x:v>
      </x:c>
      <x:c r="G1256" s="9" t="str">
        <x:v>https://poke.idleworld.online/pokepedia/pokemon/corsola</x:v>
      </x:c>
    </x:row>
    <x:row r="1257" ht="22" customHeight="1">
      <x:c r="A1257" s="1" t="n">
        <x:v>223</x:v>
      </x:c>
      <x:c r="B1257" s="1" t="str">
        <x:v>Remoraid</x:v>
      </x:c>
      <x:c r="C1257" s="1" t="str">
        <x:v>Strange Pheromone</x:v>
      </x:c>
      <x:c r="D1257" s="1" t="n">
        <x:v>1</x:v>
      </x:c>
      <x:c r="E1257" s="1" t="n">
        <x:v>1</x:v>
      </x:c>
      <x:c r="F1257" s="13" t="n">
        <x:v>0</x:v>
      </x:c>
      <x:c r="G1257" s="9" t="str">
        <x:v>https://poke.idleworld.online/pokepedia/pokemon/remoraid</x:v>
      </x:c>
    </x:row>
    <x:row r="1258" ht="22" customHeight="1">
      <x:c r="A1258" s="1" t="n">
        <x:v>223</x:v>
      </x:c>
      <x:c r="B1258" s="1" t="str">
        <x:v>Remoraid</x:v>
      </x:c>
      <x:c r="C1258" s="1" t="str">
        <x:v>Water Gem</x:v>
      </x:c>
      <x:c r="D1258" s="1" t="n">
        <x:v>1</x:v>
      </x:c>
      <x:c r="E1258" s="1" t="n">
        <x:v>5</x:v>
      </x:c>
      <x:c r="F1258" s="13" t="n">
        <x:v>0.1272102</x:v>
      </x:c>
      <x:c r="G1258" s="9" t="str">
        <x:v>https://poke.idleworld.online/pokepedia/pokemon/remoraid</x:v>
      </x:c>
    </x:row>
    <x:row r="1259" ht="22" customHeight="1">
      <x:c r="A1259" s="1" t="n">
        <x:v>223</x:v>
      </x:c>
      <x:c r="B1259" s="1" t="str">
        <x:v>Remoraid</x:v>
      </x:c>
      <x:c r="C1259" s="1" t="str">
        <x:v>Water Stone</x:v>
      </x:c>
      <x:c r="D1259" s="1" t="n">
        <x:v>1</x:v>
      </x:c>
      <x:c r="E1259" s="1" t="n">
        <x:v>1</x:v>
      </x:c>
      <x:c r="F1259" s="13" t="n">
        <x:v>0.0014298</x:v>
      </x:c>
      <x:c r="G1259" s="9" t="str">
        <x:v>https://poke.idleworld.online/pokepedia/pokemon/remoraid</x:v>
      </x:c>
    </x:row>
    <x:row r="1260" ht="22" customHeight="1">
      <x:c r="A1260" s="1" t="n">
        <x:v>223</x:v>
      </x:c>
      <x:c r="B1260" s="1" t="str">
        <x:v>Remoraid</x:v>
      </x:c>
      <x:c r="C1260" s="1" t="str">
        <x:v>Tentacle</x:v>
      </x:c>
      <x:c r="D1260" s="1" t="n">
        <x:v>1</x:v>
      </x:c>
      <x:c r="E1260" s="1" t="n">
        <x:v>6</x:v>
      </x:c>
      <x:c r="F1260" s="13" t="n">
        <x:v>0.0275736</x:v>
      </x:c>
      <x:c r="G1260" s="9" t="str">
        <x:v>https://poke.idleworld.online/pokepedia/pokemon/remoraid</x:v>
      </x:c>
    </x:row>
    <x:row r="1261" ht="22" customHeight="1">
      <x:c r="A1261" s="1" t="n">
        <x:v>223</x:v>
      </x:c>
      <x:c r="B1261" s="1" t="str">
        <x:v>Remoraid</x:v>
      </x:c>
      <x:c r="C1261" s="1" t="str">
        <x:v>Water Pendant</x:v>
      </x:c>
      <x:c r="D1261" s="1" t="n">
        <x:v>1</x:v>
      </x:c>
      <x:c r="E1261" s="1" t="n">
        <x:v>5</x:v>
      </x:c>
      <x:c r="F1261" s="13" t="n">
        <x:v>0.0318025</x:v>
      </x:c>
      <x:c r="G1261" s="9" t="str">
        <x:v>https://poke.idleworld.online/pokepedia/pokemon/remoraid</x:v>
      </x:c>
    </x:row>
    <x:row r="1262" ht="22" customHeight="1">
      <x:c r="A1262" s="1" t="n">
        <x:v>224</x:v>
      </x:c>
      <x:c r="B1262" s="1" t="str">
        <x:v>Octillery</x:v>
      </x:c>
      <x:c r="C1262" s="1" t="str">
        <x:v>Strange Pheromone</x:v>
      </x:c>
      <x:c r="D1262" s="1" t="n">
        <x:v>1</x:v>
      </x:c>
      <x:c r="E1262" s="1" t="n">
        <x:v>1</x:v>
      </x:c>
      <x:c r="F1262" s="13" t="n">
        <x:v>0</x:v>
      </x:c>
      <x:c r="G1262" s="9" t="str">
        <x:v>https://poke.idleworld.online/pokepedia/pokemon/octillery</x:v>
      </x:c>
    </x:row>
    <x:row r="1263" ht="22" customHeight="1">
      <x:c r="A1263" s="1" t="n">
        <x:v>224</x:v>
      </x:c>
      <x:c r="B1263" s="1" t="str">
        <x:v>Octillery</x:v>
      </x:c>
      <x:c r="C1263" s="1" t="str">
        <x:v>Water Gem</x:v>
      </x:c>
      <x:c r="D1263" s="1" t="n">
        <x:v>1</x:v>
      </x:c>
      <x:c r="E1263" s="1" t="n">
        <x:v>1</x:v>
      </x:c>
      <x:c r="F1263" s="13" t="n">
        <x:v>0.13384200000000002</x:v>
      </x:c>
      <x:c r="G1263" s="9" t="str">
        <x:v>https://poke.idleworld.online/pokepedia/pokemon/octillery</x:v>
      </x:c>
    </x:row>
    <x:row r="1264" ht="22" customHeight="1">
      <x:c r="A1264" s="1" t="n">
        <x:v>224</x:v>
      </x:c>
      <x:c r="B1264" s="1" t="str">
        <x:v>Octillery</x:v>
      </x:c>
      <x:c r="C1264" s="1" t="str">
        <x:v>Water Stone</x:v>
      </x:c>
      <x:c r="D1264" s="1" t="n">
        <x:v>1</x:v>
      </x:c>
      <x:c r="E1264" s="1" t="n">
        <x:v>1</x:v>
      </x:c>
      <x:c r="F1264" s="13" t="n">
        <x:v>0.003</x:v>
      </x:c>
      <x:c r="G1264" s="9" t="str">
        <x:v>https://poke.idleworld.online/pokepedia/pokemon/octillery</x:v>
      </x:c>
    </x:row>
    <x:row r="1265" ht="22" customHeight="1">
      <x:c r="A1265" s="1" t="n">
        <x:v>224</x:v>
      </x:c>
      <x:c r="B1265" s="1" t="str">
        <x:v>Octillery</x:v>
      </x:c>
      <x:c r="C1265" s="1" t="str">
        <x:v>Air Tank</x:v>
      </x:c>
      <x:c r="D1265" s="1" t="n">
        <x:v>1</x:v>
      </x:c>
      <x:c r="E1265" s="1" t="n">
        <x:v>1</x:v>
      </x:c>
      <x:c r="F1265" s="13" t="n">
        <x:v>0.0257469</x:v>
      </x:c>
      <x:c r="G1265" s="9" t="str">
        <x:v>https://poke.idleworld.online/pokepedia/pokemon/octillery</x:v>
      </x:c>
    </x:row>
    <x:row r="1266" ht="22" customHeight="1">
      <x:c r="A1266" s="1" t="n">
        <x:v>224</x:v>
      </x:c>
      <x:c r="B1266" s="1" t="str">
        <x:v>Octillery</x:v>
      </x:c>
      <x:c r="C1266" s="1" t="str">
        <x:v>Diving Mask</x:v>
      </x:c>
      <x:c r="D1266" s="1" t="n">
        <x:v>1</x:v>
      </x:c>
      <x:c r="E1266" s="1" t="n">
        <x:v>1</x:v>
      </x:c>
      <x:c r="F1266" s="13" t="n">
        <x:v>0.0257452</x:v>
      </x:c>
      <x:c r="G1266" s="9" t="str">
        <x:v>https://poke.idleworld.online/pokepedia/pokemon/octillery</x:v>
      </x:c>
    </x:row>
    <x:row r="1267" ht="22" customHeight="1">
      <x:c r="A1267" s="1" t="n">
        <x:v>224</x:v>
      </x:c>
      <x:c r="B1267" s="1" t="str">
        <x:v>Octillery</x:v>
      </x:c>
      <x:c r="C1267" s="1" t="str">
        <x:v>Fins</x:v>
      </x:c>
      <x:c r="D1267" s="1" t="n">
        <x:v>1</x:v>
      </x:c>
      <x:c r="E1267" s="1" t="n">
        <x:v>1</x:v>
      </x:c>
      <x:c r="F1267" s="13" t="n">
        <x:v>0.0257452</x:v>
      </x:c>
      <x:c r="G1267" s="9" t="str">
        <x:v>https://poke.idleworld.online/pokepedia/pokemon/octillery</x:v>
      </x:c>
    </x:row>
    <x:row r="1268" ht="22" customHeight="1">
      <x:c r="A1268" s="1" t="n">
        <x:v>224</x:v>
      </x:c>
      <x:c r="B1268" s="1" t="str">
        <x:v>Octillery</x:v>
      </x:c>
      <x:c r="C1268" s="1" t="str">
        <x:v>Tentacle</x:v>
      </x:c>
      <x:c r="D1268" s="1" t="n">
        <x:v>1</x:v>
      </x:c>
      <x:c r="E1268" s="1" t="n">
        <x:v>1</x:v>
      </x:c>
      <x:c r="F1268" s="13" t="n">
        <x:v>0.1287258</x:v>
      </x:c>
      <x:c r="G1268" s="9" t="str">
        <x:v>https://poke.idleworld.online/pokepedia/pokemon/octillery</x:v>
      </x:c>
    </x:row>
    <x:row r="1269" ht="22" customHeight="1">
      <x:c r="A1269" s="1" t="n">
        <x:v>224</x:v>
      </x:c>
      <x:c r="B1269" s="1" t="str">
        <x:v>Octillery</x:v>
      </x:c>
      <x:c r="C1269" s="1" t="str">
        <x:v>Water Pendant</x:v>
      </x:c>
      <x:c r="D1269" s="1" t="n">
        <x:v>1</x:v>
      </x:c>
      <x:c r="E1269" s="1" t="n">
        <x:v>1</x:v>
      </x:c>
      <x:c r="F1269" s="13" t="n">
        <x:v>0.26768400000000003</x:v>
      </x:c>
      <x:c r="G1269" s="9" t="str">
        <x:v>https://poke.idleworld.online/pokepedia/pokemon/octillery</x:v>
      </x:c>
    </x:row>
    <x:row r="1270" ht="22" customHeight="1">
      <x:c r="A1270" s="1" t="n">
        <x:v>225</x:v>
      </x:c>
      <x:c r="B1270" s="1" t="str">
        <x:v>Delibird</x:v>
      </x:c>
      <x:c r="C1270" s="1" t="str">
        <x:v>Strange Pheromone</x:v>
      </x:c>
      <x:c r="D1270" s="1" t="n">
        <x:v>1</x:v>
      </x:c>
      <x:c r="E1270" s="1" t="n">
        <x:v>1</x:v>
      </x:c>
      <x:c r="F1270" s="13" t="n">
        <x:v>0</x:v>
      </x:c>
      <x:c r="G1270" s="9" t="str">
        <x:v>https://poke.idleworld.online/pokepedia/pokemon/delibird</x:v>
      </x:c>
    </x:row>
    <x:row r="1271" ht="22" customHeight="1">
      <x:c r="A1271" s="1" t="n">
        <x:v>225</x:v>
      </x:c>
      <x:c r="B1271" s="1" t="str">
        <x:v>Delibird</x:v>
      </x:c>
      <x:c r="C1271" s="1" t="str">
        <x:v>Straw</x:v>
      </x:c>
      <x:c r="D1271" s="1" t="n">
        <x:v>1</x:v>
      </x:c>
      <x:c r="E1271" s="1" t="n">
        <x:v>5</x:v>
      </x:c>
      <x:c r="F1271" s="13" t="n">
        <x:v>0.8226832000000001</x:v>
      </x:c>
      <x:c r="G1271" s="9" t="str">
        <x:v>https://poke.idleworld.online/pokepedia/pokemon/delibird</x:v>
      </x:c>
    </x:row>
    <x:row r="1272" ht="22" customHeight="1">
      <x:c r="A1272" s="1" t="n">
        <x:v>225</x:v>
      </x:c>
      <x:c r="B1272" s="1" t="str">
        <x:v>Delibird</x:v>
      </x:c>
      <x:c r="C1272" s="1" t="str">
        <x:v>Snowball</x:v>
      </x:c>
      <x:c r="D1272" s="1" t="n">
        <x:v>1</x:v>
      </x:c>
      <x:c r="E1272" s="1" t="n">
        <x:v>2</x:v>
      </x:c>
      <x:c r="F1272" s="13" t="n">
        <x:v>0.2570885</x:v>
      </x:c>
      <x:c r="G1272" s="9" t="str">
        <x:v>https://poke.idleworld.online/pokepedia/pokemon/delibird</x:v>
      </x:c>
    </x:row>
    <x:row r="1273" ht="22" customHeight="1">
      <x:c r="A1273" s="1" t="n">
        <x:v>225</x:v>
      </x:c>
      <x:c r="B1273" s="1" t="str">
        <x:v>Delibird</x:v>
      </x:c>
      <x:c r="C1273" s="1" t="str">
        <x:v>Ice Stone</x:v>
      </x:c>
      <x:c r="D1273" s="1" t="n">
        <x:v>1</x:v>
      </x:c>
      <x:c r="E1273" s="1" t="n">
        <x:v>1</x:v>
      </x:c>
      <x:c r="F1273" s="13" t="n">
        <x:v>0.003</x:v>
      </x:c>
      <x:c r="G1273" s="9" t="str">
        <x:v>https://poke.idleworld.online/pokepedia/pokemon/delibird</x:v>
      </x:c>
    </x:row>
    <x:row r="1274" ht="22" customHeight="1">
      <x:c r="A1274" s="1" t="n">
        <x:v>225</x:v>
      </x:c>
      <x:c r="B1274" s="1" t="str">
        <x:v>Delibird</x:v>
      </x:c>
      <x:c r="C1274" s="1" t="str">
        <x:v>Gift Bag</x:v>
      </x:c>
      <x:c r="D1274" s="1" t="n">
        <x:v>1</x:v>
      </x:c>
      <x:c r="E1274" s="1" t="n">
        <x:v>2</x:v>
      </x:c>
      <x:c r="F1274" s="13" t="n">
        <x:v>0.1965299</x:v>
      </x:c>
      <x:c r="G1274" s="9" t="str">
        <x:v>https://poke.idleworld.online/pokepedia/pokemon/delibird</x:v>
      </x:c>
    </x:row>
    <x:row r="1275" ht="22" customHeight="1">
      <x:c r="A1275" s="1" t="n">
        <x:v>225</x:v>
      </x:c>
      <x:c r="B1275" s="1" t="str">
        <x:v>Delibird</x:v>
      </x:c>
      <x:c r="C1275" s="1" t="str">
        <x:v>Ice Orb</x:v>
      </x:c>
      <x:c r="D1275" s="1" t="n">
        <x:v>1</x:v>
      </x:c>
      <x:c r="E1275" s="1" t="n">
        <x:v>1</x:v>
      </x:c>
      <x:c r="F1275" s="13" t="n">
        <x:v>0.20567080000000001</x:v>
      </x:c>
      <x:c r="G1275" s="9" t="str">
        <x:v>https://poke.idleworld.online/pokepedia/pokemon/delibird</x:v>
      </x:c>
    </x:row>
    <x:row r="1276" ht="22" customHeight="1">
      <x:c r="A1276" s="1" t="n">
        <x:v>226</x:v>
      </x:c>
      <x:c r="B1276" s="1" t="str">
        <x:v>Mantine</x:v>
      </x:c>
      <x:c r="C1276" s="1" t="str">
        <x:v>Strange Pheromone</x:v>
      </x:c>
      <x:c r="D1276" s="1" t="n">
        <x:v>1</x:v>
      </x:c>
      <x:c r="E1276" s="1" t="n">
        <x:v>1</x:v>
      </x:c>
      <x:c r="F1276" s="13" t="n">
        <x:v>0</x:v>
      </x:c>
      <x:c r="G1276" s="9" t="str">
        <x:v>https://poke.idleworld.online/pokepedia/pokemon/mantine</x:v>
      </x:c>
    </x:row>
    <x:row r="1277" ht="22" customHeight="1">
      <x:c r="A1277" s="1" t="n">
        <x:v>226</x:v>
      </x:c>
      <x:c r="B1277" s="1" t="str">
        <x:v>Mantine</x:v>
      </x:c>
      <x:c r="C1277" s="1" t="str">
        <x:v>Ancient Stone</x:v>
      </x:c>
      <x:c r="D1277" s="1" t="n">
        <x:v>1</x:v>
      </x:c>
      <x:c r="E1277" s="1" t="n">
        <x:v>1</x:v>
      </x:c>
      <x:c r="F1277" s="13" t="n">
        <x:v>0.00041</x:v>
      </x:c>
      <x:c r="G1277" s="9" t="str">
        <x:v>https://poke.idleworld.online/pokepedia/pokemon/mantine</x:v>
      </x:c>
    </x:row>
    <x:row r="1278" ht="22" customHeight="1">
      <x:c r="A1278" s="1" t="n">
        <x:v>226</x:v>
      </x:c>
      <x:c r="B1278" s="1" t="str">
        <x:v>Mantine</x:v>
      </x:c>
      <x:c r="C1278" s="1" t="str">
        <x:v>Straw</x:v>
      </x:c>
      <x:c r="D1278" s="1" t="n">
        <x:v>1</x:v>
      </x:c>
      <x:c r="E1278" s="1" t="n">
        <x:v>5</x:v>
      </x:c>
      <x:c r="F1278" s="13" t="n">
        <x:v>0.95</x:v>
      </x:c>
      <x:c r="G1278" s="9" t="str">
        <x:v>https://poke.idleworld.online/pokepedia/pokemon/mantine</x:v>
      </x:c>
    </x:row>
    <x:row r="1279" ht="22" customHeight="1">
      <x:c r="A1279" s="1" t="n">
        <x:v>226</x:v>
      </x:c>
      <x:c r="B1279" s="1" t="str">
        <x:v>Mantine</x:v>
      </x:c>
      <x:c r="C1279" s="1" t="str">
        <x:v>Fins</x:v>
      </x:c>
      <x:c r="D1279" s="1" t="n">
        <x:v>1</x:v>
      </x:c>
      <x:c r="E1279" s="1" t="n">
        <x:v>1</x:v>
      </x:c>
      <x:c r="F1279" s="13" t="n">
        <x:v>0.050236</x:v>
      </x:c>
      <x:c r="G1279" s="9" t="str">
        <x:v>https://poke.idleworld.online/pokepedia/pokemon/mantine</x:v>
      </x:c>
    </x:row>
    <x:row r="1280" ht="22" customHeight="1">
      <x:c r="A1280" s="1" t="n">
        <x:v>226</x:v>
      </x:c>
      <x:c r="B1280" s="1" t="str">
        <x:v>Mantine</x:v>
      </x:c>
      <x:c r="C1280" s="1" t="str">
        <x:v>Water Gem</x:v>
      </x:c>
      <x:c r="D1280" s="1" t="n">
        <x:v>1</x:v>
      </x:c>
      <x:c r="E1280" s="1" t="n">
        <x:v>1</x:v>
      </x:c>
      <x:c r="F1280" s="13" t="n">
        <x:v>0.1435709</x:v>
      </x:c>
      <x:c r="G1280" s="9" t="str">
        <x:v>https://poke.idleworld.online/pokepedia/pokemon/mantine</x:v>
      </x:c>
    </x:row>
    <x:row r="1281" ht="22" customHeight="1">
      <x:c r="A1281" s="1" t="n">
        <x:v>226</x:v>
      </x:c>
      <x:c r="B1281" s="1" t="str">
        <x:v>Mantine</x:v>
      </x:c>
      <x:c r="C1281" s="1" t="str">
        <x:v>Water Stone</x:v>
      </x:c>
      <x:c r="D1281" s="1" t="n">
        <x:v>1</x:v>
      </x:c>
      <x:c r="E1281" s="1" t="n">
        <x:v>1</x:v>
      </x:c>
      <x:c r="F1281" s="13" t="n">
        <x:v>0.00124</x:v>
      </x:c>
      <x:c r="G1281" s="9" t="str">
        <x:v>https://poke.idleworld.online/pokepedia/pokemon/mantine</x:v>
      </x:c>
    </x:row>
    <x:row r="1282" ht="22" customHeight="1">
      <x:c r="A1282" s="1" t="n">
        <x:v>226</x:v>
      </x:c>
      <x:c r="B1282" s="1" t="str">
        <x:v>Mantine</x:v>
      </x:c>
      <x:c r="C1282" s="1" t="str">
        <x:v>Air Tank</x:v>
      </x:c>
      <x:c r="D1282" s="1" t="n">
        <x:v>1</x:v>
      </x:c>
      <x:c r="E1282" s="1" t="n">
        <x:v>1</x:v>
      </x:c>
      <x:c r="F1282" s="13" t="n">
        <x:v>0.0842585</x:v>
      </x:c>
      <x:c r="G1282" s="9" t="str">
        <x:v>https://poke.idleworld.online/pokepedia/pokemon/mantine</x:v>
      </x:c>
    </x:row>
    <x:row r="1283" ht="22" customHeight="1">
      <x:c r="A1283" s="1" t="n">
        <x:v>226</x:v>
      </x:c>
      <x:c r="B1283" s="1" t="str">
        <x:v>Mantine</x:v>
      </x:c>
      <x:c r="C1283" s="1" t="str">
        <x:v>Diving Mask</x:v>
      </x:c>
      <x:c r="D1283" s="1" t="n">
        <x:v>1</x:v>
      </x:c>
      <x:c r="E1283" s="1" t="n">
        <x:v>1</x:v>
      </x:c>
      <x:c r="F1283" s="13" t="n">
        <x:v>0.08424569999999999</x:v>
      </x:c>
      <x:c r="G1283" s="9" t="str">
        <x:v>https://poke.idleworld.online/pokepedia/pokemon/mantine</x:v>
      </x:c>
    </x:row>
    <x:row r="1284" ht="22" customHeight="1">
      <x:c r="A1284" s="1" t="n">
        <x:v>226</x:v>
      </x:c>
      <x:c r="B1284" s="1" t="str">
        <x:v>Mantine</x:v>
      </x:c>
      <x:c r="C1284" s="1" t="str">
        <x:v>Streak Tail</x:v>
      </x:c>
      <x:c r="D1284" s="1" t="n">
        <x:v>1</x:v>
      </x:c>
      <x:c r="E1284" s="1" t="n">
        <x:v>1</x:v>
      </x:c>
      <x:c r="F1284" s="13" t="n">
        <x:v>0.4212289</x:v>
      </x:c>
      <x:c r="G1284" s="9" t="str">
        <x:v>https://poke.idleworld.online/pokepedia/pokemon/mantine</x:v>
      </x:c>
    </x:row>
    <x:row r="1285" ht="22" customHeight="1">
      <x:c r="A1285" s="1" t="n">
        <x:v>226</x:v>
      </x:c>
      <x:c r="B1285" s="1" t="str">
        <x:v>Mantine</x:v>
      </x:c>
      <x:c r="C1285" s="1" t="str">
        <x:v>Water Pendant</x:v>
      </x:c>
      <x:c r="D1285" s="1" t="n">
        <x:v>1</x:v>
      </x:c>
      <x:c r="E1285" s="1" t="n">
        <x:v>1</x:v>
      </x:c>
      <x:c r="F1285" s="13" t="n">
        <x:v>0.6929097999999999</x:v>
      </x:c>
      <x:c r="G1285" s="9" t="str">
        <x:v>https://poke.idleworld.online/pokepedia/pokemon/mantine</x:v>
      </x:c>
    </x:row>
    <x:row r="1286" ht="22" customHeight="1">
      <x:c r="A1286" s="1" t="n">
        <x:v>227</x:v>
      </x:c>
      <x:c r="B1286" s="1" t="str">
        <x:v>Skarmory</x:v>
      </x:c>
      <x:c r="C1286" s="1" t="str">
        <x:v>Strange Pheromone</x:v>
      </x:c>
      <x:c r="D1286" s="1" t="n">
        <x:v>1</x:v>
      </x:c>
      <x:c r="E1286" s="1" t="n">
        <x:v>1</x:v>
      </x:c>
      <x:c r="F1286" s="13" t="n">
        <x:v>0</x:v>
      </x:c>
      <x:c r="G1286" s="9" t="str">
        <x:v>https://poke.idleworld.online/pokepedia/pokemon/skarmory</x:v>
      </x:c>
    </x:row>
    <x:row r="1287" ht="22" customHeight="1">
      <x:c r="A1287" s="1" t="n">
        <x:v>227</x:v>
      </x:c>
      <x:c r="B1287" s="1" t="str">
        <x:v>Skarmory</x:v>
      </x:c>
      <x:c r="C1287" s="1" t="str">
        <x:v>Metal Stone</x:v>
      </x:c>
      <x:c r="D1287" s="1" t="n">
        <x:v>1</x:v>
      </x:c>
      <x:c r="E1287" s="1" t="n">
        <x:v>1</x:v>
      </x:c>
      <x:c r="F1287" s="13" t="n">
        <x:v>0.00112</x:v>
      </x:c>
      <x:c r="G1287" s="9" t="str">
        <x:v>https://poke.idleworld.online/pokepedia/pokemon/skarmory</x:v>
      </x:c>
    </x:row>
    <x:row r="1288" ht="22" customHeight="1">
      <x:c r="A1288" s="1" t="n">
        <x:v>227</x:v>
      </x:c>
      <x:c r="B1288" s="1" t="str">
        <x:v>Skarmory</x:v>
      </x:c>
      <x:c r="C1288" s="1" t="str">
        <x:v>Feather Stone</x:v>
      </x:c>
      <x:c r="D1288" s="1" t="n">
        <x:v>1</x:v>
      </x:c>
      <x:c r="E1288" s="1" t="n">
        <x:v>1</x:v>
      </x:c>
      <x:c r="F1288" s="13" t="n">
        <x:v>0.00112</x:v>
      </x:c>
      <x:c r="G1288" s="9" t="str">
        <x:v>https://poke.idleworld.online/pokepedia/pokemon/skarmory</x:v>
      </x:c>
    </x:row>
    <x:row r="1289" ht="22" customHeight="1">
      <x:c r="A1289" s="1" t="n">
        <x:v>227</x:v>
      </x:c>
      <x:c r="B1289" s="1" t="str">
        <x:v>Skarmory</x:v>
      </x:c>
      <x:c r="C1289" s="1" t="str">
        <x:v>Straw</x:v>
      </x:c>
      <x:c r="D1289" s="1" t="n">
        <x:v>1</x:v>
      </x:c>
      <x:c r="E1289" s="1" t="n">
        <x:v>5</x:v>
      </x:c>
      <x:c r="F1289" s="13" t="n">
        <x:v>0.95</x:v>
      </x:c>
      <x:c r="G1289" s="9" t="str">
        <x:v>https://poke.idleworld.online/pokepedia/pokemon/skarmory</x:v>
      </x:c>
    </x:row>
    <x:row r="1290" ht="22" customHeight="1">
      <x:c r="A1290" s="1" t="n">
        <x:v>227</x:v>
      </x:c>
      <x:c r="B1290" s="1" t="str">
        <x:v>Skarmory</x:v>
      </x:c>
      <x:c r="C1290" s="1" t="str">
        <x:v>Piece of Steel</x:v>
      </x:c>
      <x:c r="D1290" s="1" t="n">
        <x:v>1</x:v>
      </x:c>
      <x:c r="E1290" s="1" t="n">
        <x:v>2</x:v>
      </x:c>
      <x:c r="F1290" s="13" t="n">
        <x:v>0.95</x:v>
      </x:c>
      <x:c r="G1290" s="9" t="str">
        <x:v>https://poke.idleworld.online/pokepedia/pokemon/skarmory</x:v>
      </x:c>
    </x:row>
    <x:row r="1291" ht="22" customHeight="1">
      <x:c r="A1291" s="1" t="n">
        <x:v>227</x:v>
      </x:c>
      <x:c r="B1291" s="1" t="str">
        <x:v>Skarmory</x:v>
      </x:c>
      <x:c r="C1291" s="1" t="str">
        <x:v>Steel Wing</x:v>
      </x:c>
      <x:c r="D1291" s="1" t="n">
        <x:v>1</x:v>
      </x:c>
      <x:c r="E1291" s="1" t="n">
        <x:v>2</x:v>
      </x:c>
      <x:c r="F1291" s="13" t="n">
        <x:v>0.5005938</x:v>
      </x:c>
      <x:c r="G1291" s="9" t="str">
        <x:v>https://poke.idleworld.online/pokepedia/pokemon/skarmory</x:v>
      </x:c>
    </x:row>
    <x:row r="1292" ht="22" customHeight="1">
      <x:c r="A1292" s="1" t="n">
        <x:v>228</x:v>
      </x:c>
      <x:c r="B1292" s="1" t="str">
        <x:v>Houndour</x:v>
      </x:c>
      <x:c r="C1292" s="1" t="str">
        <x:v>Strange Pheromone</x:v>
      </x:c>
      <x:c r="D1292" s="1" t="n">
        <x:v>1</x:v>
      </x:c>
      <x:c r="E1292" s="1" t="n">
        <x:v>1</x:v>
      </x:c>
      <x:c r="F1292" s="13" t="n">
        <x:v>0</x:v>
      </x:c>
      <x:c r="G1292" s="9" t="str">
        <x:v>https://poke.idleworld.online/pokepedia/pokemon/houndour</x:v>
      </x:c>
    </x:row>
    <x:row r="1293" ht="22" customHeight="1">
      <x:c r="A1293" s="1" t="n">
        <x:v>228</x:v>
      </x:c>
      <x:c r="B1293" s="1" t="str">
        <x:v>Houndour</x:v>
      </x:c>
      <x:c r="C1293" s="1" t="str">
        <x:v>Essence of Fire</x:v>
      </x:c>
      <x:c r="D1293" s="1" t="n">
        <x:v>1</x:v>
      </x:c>
      <x:c r="E1293" s="1" t="n">
        <x:v>5</x:v>
      </x:c>
      <x:c r="F1293" s="13" t="n">
        <x:v>0.95</x:v>
      </x:c>
      <x:c r="G1293" s="9" t="str">
        <x:v>https://poke.idleworld.online/pokepedia/pokemon/houndour</x:v>
      </x:c>
    </x:row>
    <x:row r="1294" ht="22" customHeight="1">
      <x:c r="A1294" s="1" t="n">
        <x:v>228</x:v>
      </x:c>
      <x:c r="B1294" s="1" t="str">
        <x:v>Houndour</x:v>
      </x:c>
      <x:c r="C1294" s="1" t="str">
        <x:v>Dark Gem</x:v>
      </x:c>
      <x:c r="D1294" s="1" t="n">
        <x:v>1</x:v>
      </x:c>
      <x:c r="E1294" s="1" t="n">
        <x:v>5</x:v>
      </x:c>
      <x:c r="F1294" s="13" t="n">
        <x:v>0.95</x:v>
      </x:c>
      <x:c r="G1294" s="9" t="str">
        <x:v>https://poke.idleworld.online/pokepedia/pokemon/houndour</x:v>
      </x:c>
    </x:row>
    <x:row r="1295" ht="22" customHeight="1">
      <x:c r="A1295" s="1" t="n">
        <x:v>228</x:v>
      </x:c>
      <x:c r="B1295" s="1" t="str">
        <x:v>Houndour</x:v>
      </x:c>
      <x:c r="C1295" s="1" t="str">
        <x:v>Fire Stone</x:v>
      </x:c>
      <x:c r="D1295" s="1" t="n">
        <x:v>1</x:v>
      </x:c>
      <x:c r="E1295" s="1" t="n">
        <x:v>1</x:v>
      </x:c>
      <x:c r="F1295" s="13" t="n">
        <x:v>0.0013452000000000002</x:v>
      </x:c>
      <x:c r="G1295" s="9" t="str">
        <x:v>https://poke.idleworld.online/pokepedia/pokemon/houndour</x:v>
      </x:c>
    </x:row>
    <x:row r="1296" ht="22" customHeight="1">
      <x:c r="A1296" s="1" t="n">
        <x:v>228</x:v>
      </x:c>
      <x:c r="B1296" s="1" t="str">
        <x:v>Houndour</x:v>
      </x:c>
      <x:c r="C1296" s="1" t="str">
        <x:v>Strange Bone</x:v>
      </x:c>
      <x:c r="D1296" s="1" t="n">
        <x:v>1</x:v>
      </x:c>
      <x:c r="E1296" s="1" t="n">
        <x:v>1</x:v>
      </x:c>
      <x:c r="F1296" s="13" t="n">
        <x:v>0.0396716</x:v>
      </x:c>
      <x:c r="G1296" s="9" t="str">
        <x:v>https://poke.idleworld.online/pokepedia/pokemon/houndour</x:v>
      </x:c>
    </x:row>
    <x:row r="1297" ht="22" customHeight="1">
      <x:c r="A1297" s="1" t="n">
        <x:v>228</x:v>
      </x:c>
      <x:c r="B1297" s="1" t="str">
        <x:v>Houndour</x:v>
      </x:c>
      <x:c r="C1297" s="1" t="str">
        <x:v>Pot of Lava</x:v>
      </x:c>
      <x:c r="D1297" s="1" t="n">
        <x:v>1</x:v>
      </x:c>
      <x:c r="E1297" s="1" t="n">
        <x:v>1</x:v>
      </x:c>
      <x:c r="F1297" s="13" t="n">
        <x:v>0.1584961</x:v>
      </x:c>
      <x:c r="G1297" s="9" t="str">
        <x:v>https://poke.idleworld.online/pokepedia/pokemon/houndour</x:v>
      </x:c>
    </x:row>
    <x:row r="1298" ht="22" customHeight="1">
      <x:c r="A1298" s="1" t="n">
        <x:v>229</x:v>
      </x:c>
      <x:c r="B1298" s="1" t="str">
        <x:v>Houndoom</x:v>
      </x:c>
      <x:c r="C1298" s="1" t="str">
        <x:v>Strange Pheromone</x:v>
      </x:c>
      <x:c r="D1298" s="1" t="n">
        <x:v>1</x:v>
      </x:c>
      <x:c r="E1298" s="1" t="n">
        <x:v>1</x:v>
      </x:c>
      <x:c r="F1298" s="13" t="n">
        <x:v>0</x:v>
      </x:c>
      <x:c r="G1298" s="9" t="str">
        <x:v>https://poke.idleworld.online/pokepedia/pokemon/houndoom</x:v>
      </x:c>
    </x:row>
    <x:row r="1299" ht="22" customHeight="1">
      <x:c r="A1299" s="1" t="n">
        <x:v>229</x:v>
      </x:c>
      <x:c r="B1299" s="1" t="str">
        <x:v>Houndoom</x:v>
      </x:c>
      <x:c r="C1299" s="1" t="str">
        <x:v>Essence of Fire</x:v>
      </x:c>
      <x:c r="D1299" s="1" t="n">
        <x:v>1</x:v>
      </x:c>
      <x:c r="E1299" s="1" t="n">
        <x:v>5</x:v>
      </x:c>
      <x:c r="F1299" s="13" t="n">
        <x:v>0.5748583</x:v>
      </x:c>
      <x:c r="G1299" s="9" t="str">
        <x:v>https://poke.idleworld.online/pokepedia/pokemon/houndoom</x:v>
      </x:c>
    </x:row>
    <x:row r="1300" ht="22" customHeight="1">
      <x:c r="A1300" s="1" t="n">
        <x:v>229</x:v>
      </x:c>
      <x:c r="B1300" s="1" t="str">
        <x:v>Houndoom</x:v>
      </x:c>
      <x:c r="C1300" s="1" t="str">
        <x:v>Dark Gem</x:v>
      </x:c>
      <x:c r="D1300" s="1" t="n">
        <x:v>1</x:v>
      </x:c>
      <x:c r="E1300" s="1" t="n">
        <x:v>5</x:v>
      </x:c>
      <x:c r="F1300" s="13" t="n">
        <x:v>0.5748583</x:v>
      </x:c>
      <x:c r="G1300" s="9" t="str">
        <x:v>https://poke.idleworld.online/pokepedia/pokemon/houndoom</x:v>
      </x:c>
    </x:row>
    <x:row r="1301" ht="22" customHeight="1">
      <x:c r="A1301" s="1" t="n">
        <x:v>229</x:v>
      </x:c>
      <x:c r="B1301" s="1" t="str">
        <x:v>Houndoom</x:v>
      </x:c>
      <x:c r="C1301" s="1" t="str">
        <x:v>Darkness Stone</x:v>
      </x:c>
      <x:c r="D1301" s="1" t="n">
        <x:v>1</x:v>
      </x:c>
      <x:c r="E1301" s="1" t="n">
        <x:v>1</x:v>
      </x:c>
      <x:c r="F1301" s="13" t="n">
        <x:v>0.00165</x:v>
      </x:c>
      <x:c r="G1301" s="9" t="str">
        <x:v>https://poke.idleworld.online/pokepedia/pokemon/houndoom</x:v>
      </x:c>
    </x:row>
    <x:row r="1302" ht="22" customHeight="1">
      <x:c r="A1302" s="1" t="n">
        <x:v>229</x:v>
      </x:c>
      <x:c r="B1302" s="1" t="str">
        <x:v>Houndoom</x:v>
      </x:c>
      <x:c r="C1302" s="1" t="str">
        <x:v>Fire Stone</x:v>
      </x:c>
      <x:c r="D1302" s="1" t="n">
        <x:v>1</x:v>
      </x:c>
      <x:c r="E1302" s="1" t="n">
        <x:v>1</x:v>
      </x:c>
      <x:c r="F1302" s="13" t="n">
        <x:v>0.00165</x:v>
      </x:c>
      <x:c r="G1302" s="9" t="str">
        <x:v>https://poke.idleworld.online/pokepedia/pokemon/houndoom</x:v>
      </x:c>
    </x:row>
    <x:row r="1303" ht="22" customHeight="1">
      <x:c r="A1303" s="1" t="n">
        <x:v>229</x:v>
      </x:c>
      <x:c r="B1303" s="1" t="str">
        <x:v>Houndoom</x:v>
      </x:c>
      <x:c r="C1303" s="1" t="str">
        <x:v>Pot of Lava</x:v>
      </x:c>
      <x:c r="D1303" s="1" t="n">
        <x:v>1</x:v>
      </x:c>
      <x:c r="E1303" s="1" t="n">
        <x:v>5</x:v>
      </x:c>
      <x:c r="F1303" s="13" t="n">
        <x:v>0.26201979999999997</x:v>
      </x:c>
      <x:c r="G1303" s="9" t="str">
        <x:v>https://poke.idleworld.online/pokepedia/pokemon/houndoom</x:v>
      </x:c>
    </x:row>
    <x:row r="1304" ht="22" customHeight="1">
      <x:c r="A1304" s="1" t="n">
        <x:v>229</x:v>
      </x:c>
      <x:c r="B1304" s="1" t="str">
        <x:v>Houndoom</x:v>
      </x:c>
      <x:c r="C1304" s="1" t="str">
        <x:v>Strange Bone</x:v>
      </x:c>
      <x:c r="D1304" s="1" t="n">
        <x:v>1</x:v>
      </x:c>
      <x:c r="E1304" s="1" t="n">
        <x:v>5</x:v>
      </x:c>
      <x:c r="F1304" s="13" t="n">
        <x:v>0.2287709</x:v>
      </x:c>
      <x:c r="G1304" s="9" t="str">
        <x:v>https://poke.idleworld.online/pokepedia/pokemon/houndoom</x:v>
      </x:c>
    </x:row>
    <x:row r="1305" ht="22" customHeight="1">
      <x:c r="A1305" s="1" t="n">
        <x:v>230</x:v>
      </x:c>
      <x:c r="B1305" s="1" t="str">
        <x:v>Kingdra</x:v>
      </x:c>
      <x:c r="C1305" s="1" t="str">
        <x:v>Strange Pheromone</x:v>
      </x:c>
      <x:c r="D1305" s="1" t="n">
        <x:v>1</x:v>
      </x:c>
      <x:c r="E1305" s="1" t="n">
        <x:v>1</x:v>
      </x:c>
      <x:c r="F1305" s="13" t="n">
        <x:v>0</x:v>
      </x:c>
      <x:c r="G1305" s="9" t="str">
        <x:v>https://poke.idleworld.online/pokepedia/pokemon/kingdra</x:v>
      </x:c>
    </x:row>
    <x:row r="1306" ht="22" customHeight="1">
      <x:c r="A1306" s="1" t="n">
        <x:v>230</x:v>
      </x:c>
      <x:c r="B1306" s="1" t="str">
        <x:v>Kingdra</x:v>
      </x:c>
      <x:c r="C1306" s="1" t="str">
        <x:v>Water Gem</x:v>
      </x:c>
      <x:c r="D1306" s="1" t="n">
        <x:v>1</x:v>
      </x:c>
      <x:c r="E1306" s="1" t="n">
        <x:v>5</x:v>
      </x:c>
      <x:c r="F1306" s="13" t="n">
        <x:v>0.95</x:v>
      </x:c>
      <x:c r="G1306" s="9" t="str">
        <x:v>https://poke.idleworld.online/pokepedia/pokemon/kingdra</x:v>
      </x:c>
    </x:row>
    <x:row r="1307" ht="22" customHeight="1">
      <x:c r="A1307" s="1" t="n">
        <x:v>230</x:v>
      </x:c>
      <x:c r="B1307" s="1" t="str">
        <x:v>Kingdra</x:v>
      </x:c>
      <x:c r="C1307" s="1" t="str">
        <x:v>Seahorse Tail</x:v>
      </x:c>
      <x:c r="D1307" s="1" t="n">
        <x:v>1</x:v>
      </x:c>
      <x:c r="E1307" s="1" t="n">
        <x:v>2</x:v>
      </x:c>
      <x:c r="F1307" s="13" t="n">
        <x:v>0.42702120000000005</x:v>
      </x:c>
      <x:c r="G1307" s="9" t="str">
        <x:v>https://poke.idleworld.online/pokepedia/pokemon/kingdra</x:v>
      </x:c>
    </x:row>
    <x:row r="1308" ht="22" customHeight="1">
      <x:c r="A1308" s="1" t="n">
        <x:v>230</x:v>
      </x:c>
      <x:c r="B1308" s="1" t="str">
        <x:v>Kingdra</x:v>
      </x:c>
      <x:c r="C1308" s="1" t="str">
        <x:v>Dragon Scale</x:v>
      </x:c>
      <x:c r="D1308" s="1" t="n">
        <x:v>1</x:v>
      </x:c>
      <x:c r="E1308" s="1" t="n">
        <x:v>2</x:v>
      </x:c>
      <x:c r="F1308" s="13" t="n">
        <x:v>0.95</x:v>
      </x:c>
      <x:c r="G1308" s="9" t="str">
        <x:v>https://poke.idleworld.online/pokepedia/pokemon/kingdra</x:v>
      </x:c>
    </x:row>
    <x:row r="1309" ht="22" customHeight="1">
      <x:c r="A1309" s="1" t="n">
        <x:v>230</x:v>
      </x:c>
      <x:c r="B1309" s="1" t="str">
        <x:v>Kingdra</x:v>
      </x:c>
      <x:c r="C1309" s="1" t="str">
        <x:v>Water Stone</x:v>
      </x:c>
      <x:c r="D1309" s="1" t="n">
        <x:v>1</x:v>
      </x:c>
      <x:c r="E1309" s="1" t="n">
        <x:v>1</x:v>
      </x:c>
      <x:c r="F1309" s="13" t="n">
        <x:v>0.00212</x:v>
      </x:c>
      <x:c r="G1309" s="9" t="str">
        <x:v>https://poke.idleworld.online/pokepedia/pokemon/kingdra</x:v>
      </x:c>
    </x:row>
    <x:row r="1310" ht="22" customHeight="1">
      <x:c r="A1310" s="1" t="n">
        <x:v>230</x:v>
      </x:c>
      <x:c r="B1310" s="1" t="str">
        <x:v>Kingdra</x:v>
      </x:c>
      <x:c r="C1310" s="1" t="str">
        <x:v>Air Tank</x:v>
      </x:c>
      <x:c r="D1310" s="1" t="n">
        <x:v>1</x:v>
      </x:c>
      <x:c r="E1310" s="1" t="n">
        <x:v>1</x:v>
      </x:c>
      <x:c r="F1310" s="13" t="n">
        <x:v>0.0214864</x:v>
      </x:c>
      <x:c r="G1310" s="9" t="str">
        <x:v>https://poke.idleworld.online/pokepedia/pokemon/kingdra</x:v>
      </x:c>
    </x:row>
    <x:row r="1311" ht="22" customHeight="1">
      <x:c r="A1311" s="1" t="n">
        <x:v>230</x:v>
      </x:c>
      <x:c r="B1311" s="1" t="str">
        <x:v>Kingdra</x:v>
      </x:c>
      <x:c r="C1311" s="1" t="str">
        <x:v>Crystal Stone</x:v>
      </x:c>
      <x:c r="D1311" s="1" t="n">
        <x:v>1</x:v>
      </x:c>
      <x:c r="E1311" s="1" t="n">
        <x:v>1</x:v>
      </x:c>
      <x:c r="F1311" s="13" t="n">
        <x:v>0.0006324</x:v>
      </x:c>
      <x:c r="G1311" s="9" t="str">
        <x:v>https://poke.idleworld.online/pokepedia/pokemon/kingdra</x:v>
      </x:c>
    </x:row>
    <x:row r="1312" ht="22" customHeight="1">
      <x:c r="A1312" s="1" t="n">
        <x:v>230</x:v>
      </x:c>
      <x:c r="B1312" s="1" t="str">
        <x:v>Kingdra</x:v>
      </x:c>
      <x:c r="C1312" s="1" t="str">
        <x:v>Diving Mask</x:v>
      </x:c>
      <x:c r="D1312" s="1" t="n">
        <x:v>1</x:v>
      </x:c>
      <x:c r="E1312" s="1" t="n">
        <x:v>1</x:v>
      </x:c>
      <x:c r="F1312" s="13" t="n">
        <x:v>0.0214857</x:v>
      </x:c>
      <x:c r="G1312" s="9" t="str">
        <x:v>https://poke.idleworld.online/pokepedia/pokemon/kingdra</x:v>
      </x:c>
    </x:row>
    <x:row r="1313" ht="22" customHeight="1">
      <x:c r="A1313" s="1" t="n">
        <x:v>230</x:v>
      </x:c>
      <x:c r="B1313" s="1" t="str">
        <x:v>Kingdra</x:v>
      </x:c>
      <x:c r="C1313" s="1" t="str">
        <x:v>Fins</x:v>
      </x:c>
      <x:c r="D1313" s="1" t="n">
        <x:v>1</x:v>
      </x:c>
      <x:c r="E1313" s="1" t="n">
        <x:v>1</x:v>
      </x:c>
      <x:c r="F1313" s="13" t="n">
        <x:v>0.0214857</x:v>
      </x:c>
      <x:c r="G1313" s="9" t="str">
        <x:v>https://poke.idleworld.online/pokepedia/pokemon/kingdra</x:v>
      </x:c>
    </x:row>
    <x:row r="1314" ht="22" customHeight="1">
      <x:c r="A1314" s="1" t="n">
        <x:v>230</x:v>
      </x:c>
      <x:c r="B1314" s="1" t="str">
        <x:v>Kingdra</x:v>
      </x:c>
      <x:c r="C1314" s="1" t="str">
        <x:v>Water Pendant</x:v>
      </x:c>
      <x:c r="D1314" s="1" t="n">
        <x:v>1</x:v>
      </x:c>
      <x:c r="E1314" s="1" t="n">
        <x:v>1</x:v>
      </x:c>
      <x:c r="F1314" s="13" t="n">
        <x:v>0.42972059999999995</x:v>
      </x:c>
      <x:c r="G1314" s="9" t="str">
        <x:v>https://poke.idleworld.online/pokepedia/pokemon/kingdra</x:v>
      </x:c>
    </x:row>
    <x:row r="1315" ht="22" customHeight="1">
      <x:c r="A1315" s="1" t="n">
        <x:v>231</x:v>
      </x:c>
      <x:c r="B1315" s="1" t="str">
        <x:v>Phanpy</x:v>
      </x:c>
      <x:c r="C1315" s="1" t="str">
        <x:v>Strange Pheromone</x:v>
      </x:c>
      <x:c r="D1315" s="1" t="n">
        <x:v>1</x:v>
      </x:c>
      <x:c r="E1315" s="1" t="n">
        <x:v>1</x:v>
      </x:c>
      <x:c r="F1315" s="13" t="n">
        <x:v>0</x:v>
      </x:c>
      <x:c r="G1315" s="9" t="str">
        <x:v>https://poke.idleworld.online/pokepedia/pokemon/phanpy</x:v>
      </x:c>
    </x:row>
    <x:row r="1316" ht="22" customHeight="1">
      <x:c r="A1316" s="1" t="n">
        <x:v>231</x:v>
      </x:c>
      <x:c r="B1316" s="1" t="str">
        <x:v>Phanpy</x:v>
      </x:c>
      <x:c r="C1316" s="1" t="str">
        <x:v>Earth Ball</x:v>
      </x:c>
      <x:c r="D1316" s="1" t="n">
        <x:v>1</x:v>
      </x:c>
      <x:c r="E1316" s="1" t="n">
        <x:v>8</x:v>
      </x:c>
      <x:c r="F1316" s="13" t="n">
        <x:v>0.95</x:v>
      </x:c>
      <x:c r="G1316" s="9" t="str">
        <x:v>https://poke.idleworld.online/pokepedia/pokemon/phanpy</x:v>
      </x:c>
    </x:row>
    <x:row r="1317" ht="22" customHeight="1">
      <x:c r="A1317" s="1" t="n">
        <x:v>231</x:v>
      </x:c>
      <x:c r="B1317" s="1" t="str">
        <x:v>Phanpy</x:v>
      </x:c>
      <x:c r="C1317" s="1" t="str">
        <x:v>Earth Stone</x:v>
      </x:c>
      <x:c r="D1317" s="1" t="n">
        <x:v>1</x:v>
      </x:c>
      <x:c r="E1317" s="1" t="n">
        <x:v>1</x:v>
      </x:c>
      <x:c r="F1317" s="13" t="n">
        <x:v>0.0013862</x:v>
      </x:c>
      <x:c r="G1317" s="9" t="str">
        <x:v>https://poke.idleworld.online/pokepedia/pokemon/phanpy</x:v>
      </x:c>
    </x:row>
    <x:row r="1318" ht="22" customHeight="1">
      <x:c r="A1318" s="1" t="n">
        <x:v>231</x:v>
      </x:c>
      <x:c r="B1318" s="1" t="str">
        <x:v>Phanpy</x:v>
      </x:c>
      <x:c r="C1318" s="1" t="str">
        <x:v>Elephant Foot</x:v>
      </x:c>
      <x:c r="D1318" s="1" t="n">
        <x:v>1</x:v>
      </x:c>
      <x:c r="E1318" s="1" t="n">
        <x:v>1</x:v>
      </x:c>
      <x:c r="F1318" s="13" t="n">
        <x:v>0.0495742</x:v>
      </x:c>
      <x:c r="G1318" s="9" t="str">
        <x:v>https://poke.idleworld.online/pokepedia/pokemon/phanpy</x:v>
      </x:c>
    </x:row>
    <x:row r="1319" ht="22" customHeight="1">
      <x:c r="A1319" s="1" t="n">
        <x:v>231</x:v>
      </x:c>
      <x:c r="B1319" s="1" t="str">
        <x:v>Phanpy</x:v>
      </x:c>
      <x:c r="C1319" s="1" t="str">
        <x:v>Sandbag</x:v>
      </x:c>
      <x:c r="D1319" s="1" t="n">
        <x:v>1</x:v>
      </x:c>
      <x:c r="E1319" s="1" t="n">
        <x:v>1</x:v>
      </x:c>
      <x:c r="F1319" s="13" t="n">
        <x:v>0.19822979999999998</x:v>
      </x:c>
      <x:c r="G1319" s="9" t="str">
        <x:v>https://poke.idleworld.online/pokepedia/pokemon/phanpy</x:v>
      </x:c>
    </x:row>
    <x:row r="1320" ht="22" customHeight="1">
      <x:c r="A1320" s="1" t="n">
        <x:v>232</x:v>
      </x:c>
      <x:c r="B1320" s="1" t="str">
        <x:v>Donphan</x:v>
      </x:c>
      <x:c r="C1320" s="1" t="str">
        <x:v>Strange Pheromone</x:v>
      </x:c>
      <x:c r="D1320" s="1" t="n">
        <x:v>1</x:v>
      </x:c>
      <x:c r="E1320" s="1" t="n">
        <x:v>1</x:v>
      </x:c>
      <x:c r="F1320" s="13" t="n">
        <x:v>0</x:v>
      </x:c>
      <x:c r="G1320" s="9" t="str">
        <x:v>https://poke.idleworld.online/pokepedia/pokemon/donphan</x:v>
      </x:c>
    </x:row>
    <x:row r="1321" ht="22" customHeight="1">
      <x:c r="A1321" s="1" t="n">
        <x:v>232</x:v>
      </x:c>
      <x:c r="B1321" s="1" t="str">
        <x:v>Donphan</x:v>
      </x:c>
      <x:c r="C1321" s="1" t="str">
        <x:v>Earth Ball</x:v>
      </x:c>
      <x:c r="D1321" s="1" t="n">
        <x:v>1</x:v>
      </x:c>
      <x:c r="E1321" s="1" t="n">
        <x:v>12</x:v>
      </x:c>
      <x:c r="F1321" s="13" t="n">
        <x:v>0.95</x:v>
      </x:c>
      <x:c r="G1321" s="9" t="str">
        <x:v>https://poke.idleworld.online/pokepedia/pokemon/donphan</x:v>
      </x:c>
    </x:row>
    <x:row r="1322" ht="22" customHeight="1">
      <x:c r="A1322" s="1" t="n">
        <x:v>232</x:v>
      </x:c>
      <x:c r="B1322" s="1" t="str">
        <x:v>Donphan</x:v>
      </x:c>
      <x:c r="C1322" s="1" t="str">
        <x:v>Earth Stone</x:v>
      </x:c>
      <x:c r="D1322" s="1" t="n">
        <x:v>1</x:v>
      </x:c>
      <x:c r="E1322" s="1" t="n">
        <x:v>1</x:v>
      </x:c>
      <x:c r="F1322" s="13" t="n">
        <x:v>0.00654</x:v>
      </x:c>
      <x:c r="G1322" s="9" t="str">
        <x:v>https://poke.idleworld.online/pokepedia/pokemon/donphan</x:v>
      </x:c>
    </x:row>
    <x:row r="1323" ht="22" customHeight="1">
      <x:c r="A1323" s="1" t="n">
        <x:v>232</x:v>
      </x:c>
      <x:c r="B1323" s="1" t="str">
        <x:v>Donphan</x:v>
      </x:c>
      <x:c r="C1323" s="1" t="str">
        <x:v>Elephant Foot</x:v>
      </x:c>
      <x:c r="D1323" s="1" t="n">
        <x:v>1</x:v>
      </x:c>
      <x:c r="E1323" s="1" t="n">
        <x:v>2</x:v>
      </x:c>
      <x:c r="F1323" s="13" t="n">
        <x:v>0.2703858</x:v>
      </x:c>
      <x:c r="G1323" s="9" t="str">
        <x:v>https://poke.idleworld.online/pokepedia/pokemon/donphan</x:v>
      </x:c>
    </x:row>
    <x:row r="1324" ht="22" customHeight="1">
      <x:c r="A1324" s="1" t="n">
        <x:v>232</x:v>
      </x:c>
      <x:c r="B1324" s="1" t="str">
        <x:v>Donphan</x:v>
      </x:c>
      <x:c r="C1324" s="1" t="str">
        <x:v>Sandbag</x:v>
      </x:c>
      <x:c r="D1324" s="1" t="n">
        <x:v>1</x:v>
      </x:c>
      <x:c r="E1324" s="1" t="n">
        <x:v>1</x:v>
      </x:c>
      <x:c r="F1324" s="13" t="n">
        <x:v>0.32196040000000004</x:v>
      </x:c>
      <x:c r="G1324" s="9" t="str">
        <x:v>https://poke.idleworld.online/pokepedia/pokemon/donphan</x:v>
      </x:c>
    </x:row>
    <x:row r="1325" ht="22" customHeight="1">
      <x:c r="A1325" s="1" t="n">
        <x:v>233</x:v>
      </x:c>
      <x:c r="B1325" s="1" t="str">
        <x:v>Porygon2</x:v>
      </x:c>
      <x:c r="C1325" s="1" t="str">
        <x:v>Strange Pheromone</x:v>
      </x:c>
      <x:c r="D1325" s="1" t="n">
        <x:v>1</x:v>
      </x:c>
      <x:c r="E1325" s="1" t="n">
        <x:v>1</x:v>
      </x:c>
      <x:c r="F1325" s="13" t="n">
        <x:v>0</x:v>
      </x:c>
      <x:c r="G1325" s="9" t="str">
        <x:v>https://poke.idleworld.online/pokepedia/pokemon/porygon2</x:v>
      </x:c>
    </x:row>
    <x:row r="1326" ht="22" customHeight="1">
      <x:c r="A1326" s="1" t="n">
        <x:v>233</x:v>
      </x:c>
      <x:c r="B1326" s="1" t="str">
        <x:v>Porygon2</x:v>
      </x:c>
      <x:c r="C1326" s="1" t="str">
        <x:v>Rubber Ball</x:v>
      </x:c>
      <x:c r="D1326" s="1" t="n">
        <x:v>1</x:v>
      </x:c>
      <x:c r="E1326" s="1" t="n">
        <x:v>5</x:v>
      </x:c>
      <x:c r="F1326" s="13" t="n">
        <x:v>0.8</x:v>
      </x:c>
      <x:c r="G1326" s="9" t="str">
        <x:v>https://poke.idleworld.online/pokepedia/pokemon/porygon2</x:v>
      </x:c>
    </x:row>
    <x:row r="1327" ht="22" customHeight="1">
      <x:c r="A1327" s="1" t="n">
        <x:v>233</x:v>
      </x:c>
      <x:c r="B1327" s="1" t="str">
        <x:v>Porygon2</x:v>
      </x:c>
      <x:c r="C1327" s="1" t="str">
        <x:v>Enigma Stone</x:v>
      </x:c>
      <x:c r="D1327" s="1" t="n">
        <x:v>1</x:v>
      </x:c>
      <x:c r="E1327" s="1" t="n">
        <x:v>1</x:v>
      </x:c>
      <x:c r="F1327" s="13" t="n">
        <x:v>0.003</x:v>
      </x:c>
      <x:c r="G1327" s="9" t="str">
        <x:v>https://poke.idleworld.online/pokepedia/pokemon/porygon2</x:v>
      </x:c>
    </x:row>
    <x:row r="1328" ht="22" customHeight="1">
      <x:c r="A1328" s="1" t="n">
        <x:v>233</x:v>
      </x:c>
      <x:c r="B1328" s="1" t="str">
        <x:v>Porygon2</x:v>
      </x:c>
      <x:c r="C1328" s="1" t="str">
        <x:v>Virtual Tail</x:v>
      </x:c>
      <x:c r="D1328" s="1" t="n">
        <x:v>1</x:v>
      </x:c>
      <x:c r="E1328" s="1" t="n">
        <x:v>1</x:v>
      </x:c>
      <x:c r="F1328" s="13" t="n">
        <x:v>0.0065122</x:v>
      </x:c>
      <x:c r="G1328" s="9" t="str">
        <x:v>https://poke.idleworld.online/pokepedia/pokemon/porygon2</x:v>
      </x:c>
    </x:row>
    <x:row r="1329" ht="22" customHeight="1">
      <x:c r="A1329" s="1" t="n">
        <x:v>234</x:v>
      </x:c>
      <x:c r="B1329" s="1" t="str">
        <x:v>Stantler</x:v>
      </x:c>
      <x:c r="C1329" s="1" t="str">
        <x:v>Strange Pheromone</x:v>
      </x:c>
      <x:c r="D1329" s="1" t="n">
        <x:v>1</x:v>
      </x:c>
      <x:c r="E1329" s="1" t="n">
        <x:v>1</x:v>
      </x:c>
      <x:c r="F1329" s="13" t="n">
        <x:v>0</x:v>
      </x:c>
      <x:c r="G1329" s="9" t="str">
        <x:v>https://poke.idleworld.online/pokepedia/pokemon/stantler</x:v>
      </x:c>
    </x:row>
    <x:row r="1330" ht="22" customHeight="1">
      <x:c r="A1330" s="1" t="n">
        <x:v>234</x:v>
      </x:c>
      <x:c r="B1330" s="1" t="str">
        <x:v>Stantler</x:v>
      </x:c>
      <x:c r="C1330" s="1" t="str">
        <x:v>Rubber Ball</x:v>
      </x:c>
      <x:c r="D1330" s="1" t="n">
        <x:v>1</x:v>
      </x:c>
      <x:c r="E1330" s="1" t="n">
        <x:v>5</x:v>
      </x:c>
      <x:c r="F1330" s="13" t="n">
        <x:v>0.5274855</x:v>
      </x:c>
      <x:c r="G1330" s="9" t="str">
        <x:v>https://poke.idleworld.online/pokepedia/pokemon/stantler</x:v>
      </x:c>
    </x:row>
    <x:row r="1331" ht="22" customHeight="1">
      <x:c r="A1331" s="1" t="n">
        <x:v>234</x:v>
      </x:c>
      <x:c r="B1331" s="1" t="str">
        <x:v>Stantler</x:v>
      </x:c>
      <x:c r="C1331" s="1" t="str">
        <x:v>Heart Stone</x:v>
      </x:c>
      <x:c r="D1331" s="1" t="n">
        <x:v>1</x:v>
      </x:c>
      <x:c r="E1331" s="1" t="n">
        <x:v>1</x:v>
      </x:c>
      <x:c r="F1331" s="13" t="n">
        <x:v>0.0029643</x:v>
      </x:c>
      <x:c r="G1331" s="9" t="str">
        <x:v>https://poke.idleworld.online/pokepedia/pokemon/stantler</x:v>
      </x:c>
    </x:row>
    <x:row r="1332" ht="22" customHeight="1">
      <x:c r="A1332" s="1" t="n">
        <x:v>234</x:v>
      </x:c>
      <x:c r="B1332" s="1" t="str">
        <x:v>Stantler</x:v>
      </x:c>
      <x:c r="C1332" s="1" t="str">
        <x:v>Reindeer Horn</x:v>
      </x:c>
      <x:c r="D1332" s="1" t="n">
        <x:v>1</x:v>
      </x:c>
      <x:c r="E1332" s="1" t="n">
        <x:v>4</x:v>
      </x:c>
      <x:c r="F1332" s="13" t="n">
        <x:v>0.10731969999999999</x:v>
      </x:c>
      <x:c r="G1332" s="9" t="str">
        <x:v>https://poke.idleworld.online/pokepedia/pokemon/stantler</x:v>
      </x:c>
    </x:row>
    <x:row r="1333" ht="22" customHeight="1">
      <x:c r="A1333" s="1" t="n">
        <x:v>235</x:v>
      </x:c>
      <x:c r="B1333" s="1" t="str">
        <x:v>Smeargle</x:v>
      </x:c>
      <x:c r="C1333" s="1" t="str">
        <x:v>Strange Pheromone</x:v>
      </x:c>
      <x:c r="D1333" s="1" t="n">
        <x:v>1</x:v>
      </x:c>
      <x:c r="E1333" s="1" t="n">
        <x:v>1</x:v>
      </x:c>
      <x:c r="F1333" s="13" t="n">
        <x:v>0</x:v>
      </x:c>
      <x:c r="G1333" s="9" t="str">
        <x:v>https://poke.idleworld.online/pokepedia/pokemon/smeargle</x:v>
      </x:c>
    </x:row>
    <x:row r="1334" ht="22" customHeight="1">
      <x:c r="A1334" s="1" t="n">
        <x:v>235</x:v>
      </x:c>
      <x:c r="B1334" s="1" t="str">
        <x:v>Smeargle</x:v>
      </x:c>
      <x:c r="C1334" s="1" t="str">
        <x:v>Rubber Ball</x:v>
      </x:c>
      <x:c r="D1334" s="1" t="n">
        <x:v>1</x:v>
      </x:c>
      <x:c r="E1334" s="1" t="n">
        <x:v>5</x:v>
      </x:c>
      <x:c r="F1334" s="13" t="n">
        <x:v>0.8</x:v>
      </x:c>
      <x:c r="G1334" s="9" t="str">
        <x:v>https://poke.idleworld.online/pokepedia/pokemon/smeargle</x:v>
      </x:c>
    </x:row>
    <x:row r="1335" ht="22" customHeight="1">
      <x:c r="A1335" s="1" t="n">
        <x:v>235</x:v>
      </x:c>
      <x:c r="B1335" s="1" t="str">
        <x:v>Smeargle</x:v>
      </x:c>
      <x:c r="C1335" s="1" t="str">
        <x:v>Brush</x:v>
      </x:c>
      <x:c r="D1335" s="1" t="n">
        <x:v>1</x:v>
      </x:c>
      <x:c r="E1335" s="1" t="n">
        <x:v>23</x:v>
      </x:c>
      <x:c r="F1335" s="13" t="n">
        <x:v>0.1993056</x:v>
      </x:c>
      <x:c r="G1335" s="9" t="str">
        <x:v>https://poke.idleworld.online/pokepedia/pokemon/smeargle</x:v>
      </x:c>
    </x:row>
    <x:row r="1336" ht="22" customHeight="1">
      <x:c r="A1336" s="1" t="n">
        <x:v>236</x:v>
      </x:c>
      <x:c r="B1336" s="1" t="str">
        <x:v>Tyrogue</x:v>
      </x:c>
      <x:c r="C1336" s="1" t="str">
        <x:v>Strange Pheromone</x:v>
      </x:c>
      <x:c r="D1336" s="1" t="n">
        <x:v>1</x:v>
      </x:c>
      <x:c r="E1336" s="1" t="n">
        <x:v>1</x:v>
      </x:c>
      <x:c r="F1336" s="13" t="n">
        <x:v>0</x:v>
      </x:c>
      <x:c r="G1336" s="9" t="str">
        <x:v>https://poke.idleworld.online/pokepedia/pokemon/tyrogue</x:v>
      </x:c>
    </x:row>
    <x:row r="1337" ht="22" customHeight="1">
      <x:c r="A1337" s="1" t="n">
        <x:v>236</x:v>
      </x:c>
      <x:c r="B1337" s="1" t="str">
        <x:v>Tyrogue</x:v>
      </x:c>
      <x:c r="C1337" s="1" t="str">
        <x:v>Band Aid</x:v>
      </x:c>
      <x:c r="D1337" s="1" t="n">
        <x:v>1</x:v>
      </x:c>
      <x:c r="E1337" s="1" t="n">
        <x:v>5</x:v>
      </x:c>
      <x:c r="F1337" s="13" t="n">
        <x:v>0.2139491</x:v>
      </x:c>
      <x:c r="G1337" s="9" t="str">
        <x:v>https://poke.idleworld.online/pokepedia/pokemon/tyrogue</x:v>
      </x:c>
    </x:row>
    <x:row r="1338" ht="22" customHeight="1">
      <x:c r="A1338" s="1" t="n">
        <x:v>236</x:v>
      </x:c>
      <x:c r="B1338" s="1" t="str">
        <x:v>Tyrogue</x:v>
      </x:c>
      <x:c r="C1338" s="1" t="str">
        <x:v>Sandbag</x:v>
      </x:c>
      <x:c r="D1338" s="1" t="n">
        <x:v>1</x:v>
      </x:c>
      <x:c r="E1338" s="1" t="n">
        <x:v>8</x:v>
      </x:c>
      <x:c r="F1338" s="13" t="n">
        <x:v>0.21394900000000003</x:v>
      </x:c>
      <x:c r="G1338" s="9" t="str">
        <x:v>https://poke.idleworld.online/pokepedia/pokemon/tyrogue</x:v>
      </x:c>
    </x:row>
    <x:row r="1339" ht="22" customHeight="1">
      <x:c r="A1339" s="1" t="n">
        <x:v>236</x:v>
      </x:c>
      <x:c r="B1339" s="1" t="str">
        <x:v>Tyrogue</x:v>
      </x:c>
      <x:c r="C1339" s="1" t="str">
        <x:v>Punch Machine</x:v>
      </x:c>
      <x:c r="D1339" s="1" t="n">
        <x:v>1</x:v>
      </x:c>
      <x:c r="E1339" s="1" t="n">
        <x:v>1</x:v>
      </x:c>
      <x:c r="F1339" s="13" t="n">
        <x:v>0.053487299999999995</x:v>
      </x:c>
      <x:c r="G1339" s="9" t="str">
        <x:v>https://poke.idleworld.online/pokepedia/pokemon/tyrogue</x:v>
      </x:c>
    </x:row>
    <x:row r="1340" ht="22" customHeight="1">
      <x:c r="A1340" s="1" t="n">
        <x:v>236</x:v>
      </x:c>
      <x:c r="B1340" s="1" t="str">
        <x:v>Tyrogue</x:v>
      </x:c>
      <x:c r="C1340" s="1" t="str">
        <x:v>Punch Stone</x:v>
      </x:c>
      <x:c r="D1340" s="1" t="n">
        <x:v>1</x:v>
      </x:c>
      <x:c r="E1340" s="1" t="n">
        <x:v>1</x:v>
      </x:c>
      <x:c r="F1340" s="13" t="n">
        <x:v>0.00136</x:v>
      </x:c>
      <x:c r="G1340" s="9" t="str">
        <x:v>https://poke.idleworld.online/pokepedia/pokemon/tyrogue</x:v>
      </x:c>
    </x:row>
    <x:row r="1341" ht="22" customHeight="1">
      <x:c r="A1341" s="1" t="n">
        <x:v>237</x:v>
      </x:c>
      <x:c r="B1341" s="1" t="str">
        <x:v>Hitmontop</x:v>
      </x:c>
      <x:c r="C1341" s="1" t="str">
        <x:v>Strange Pheromone</x:v>
      </x:c>
      <x:c r="D1341" s="1" t="n">
        <x:v>1</x:v>
      </x:c>
      <x:c r="E1341" s="1" t="n">
        <x:v>1</x:v>
      </x:c>
      <x:c r="F1341" s="13" t="n">
        <x:v>0</x:v>
      </x:c>
      <x:c r="G1341" s="9" t="str">
        <x:v>https://poke.idleworld.online/pokepedia/pokemon/hitmontop</x:v>
      </x:c>
    </x:row>
    <x:row r="1342" ht="22" customHeight="1">
      <x:c r="A1342" s="1" t="n">
        <x:v>237</x:v>
      </x:c>
      <x:c r="B1342" s="1" t="str">
        <x:v>Hitmontop</x:v>
      </x:c>
      <x:c r="C1342" s="1" t="str">
        <x:v>Band Aid</x:v>
      </x:c>
      <x:c r="D1342" s="1" t="n">
        <x:v>1</x:v>
      </x:c>
      <x:c r="E1342" s="1" t="n">
        <x:v>5</x:v>
      </x:c>
      <x:c r="F1342" s="13" t="n">
        <x:v>0.37602480000000005</x:v>
      </x:c>
      <x:c r="G1342" s="9" t="str">
        <x:v>https://poke.idleworld.online/pokepedia/pokemon/hitmontop</x:v>
      </x:c>
    </x:row>
    <x:row r="1343" ht="22" customHeight="1">
      <x:c r="A1343" s="1" t="n">
        <x:v>237</x:v>
      </x:c>
      <x:c r="B1343" s="1" t="str">
        <x:v>Hitmontop</x:v>
      </x:c>
      <x:c r="C1343" s="1" t="str">
        <x:v>Martial Arts Scroll</x:v>
      </x:c>
      <x:c r="D1343" s="1" t="n">
        <x:v>1</x:v>
      </x:c>
      <x:c r="E1343" s="1" t="n">
        <x:v>2</x:v>
      </x:c>
      <x:c r="F1343" s="13" t="n">
        <x:v>0.11750870000000001</x:v>
      </x:c>
      <x:c r="G1343" s="9" t="str">
        <x:v>https://poke.idleworld.online/pokepedia/pokemon/hitmontop</x:v>
      </x:c>
    </x:row>
    <x:row r="1344" ht="22" customHeight="1">
      <x:c r="A1344" s="1" t="n">
        <x:v>237</x:v>
      </x:c>
      <x:c r="B1344" s="1" t="str">
        <x:v>Hitmontop</x:v>
      </x:c>
      <x:c r="C1344" s="1" t="str">
        <x:v>Punch Stone</x:v>
      </x:c>
      <x:c r="D1344" s="1" t="n">
        <x:v>1</x:v>
      </x:c>
      <x:c r="E1344" s="1" t="n">
        <x:v>1</x:v>
      </x:c>
      <x:c r="F1344" s="13" t="n">
        <x:v>0.00315</x:v>
      </x:c>
      <x:c r="G1344" s="9" t="str">
        <x:v>https://poke.idleworld.online/pokepedia/pokemon/hitmontop</x:v>
      </x:c>
    </x:row>
    <x:row r="1345" ht="22" customHeight="1">
      <x:c r="A1345" s="1" t="n">
        <x:v>237</x:v>
      </x:c>
      <x:c r="B1345" s="1" t="str">
        <x:v>Hitmontop</x:v>
      </x:c>
      <x:c r="C1345" s="1" t="str">
        <x:v>Spin Machine</x:v>
      </x:c>
      <x:c r="D1345" s="1" t="n">
        <x:v>1</x:v>
      </x:c>
      <x:c r="E1345" s="1" t="n">
        <x:v>1</x:v>
      </x:c>
      <x:c r="F1345" s="13" t="n">
        <x:v>0.0637722</x:v>
      </x:c>
      <x:c r="G1345" s="9" t="str">
        <x:v>https://poke.idleworld.online/pokepedia/pokemon/hitmontop</x:v>
      </x:c>
    </x:row>
    <x:row r="1346" ht="22" customHeight="1">
      <x:c r="A1346" s="1" t="n">
        <x:v>238</x:v>
      </x:c>
      <x:c r="B1346" s="1" t="str">
        <x:v>Smoochum</x:v>
      </x:c>
      <x:c r="C1346" s="1" t="str">
        <x:v>Strange Pheromone</x:v>
      </x:c>
      <x:c r="D1346" s="1" t="n">
        <x:v>1</x:v>
      </x:c>
      <x:c r="E1346" s="1" t="n">
        <x:v>1</x:v>
      </x:c>
      <x:c r="F1346" s="13" t="n">
        <x:v>0</x:v>
      </x:c>
      <x:c r="G1346" s="9" t="str">
        <x:v>https://poke.idleworld.online/pokepedia/pokemon/smoochum</x:v>
      </x:c>
    </x:row>
    <x:row r="1347" ht="22" customHeight="1">
      <x:c r="A1347" s="1" t="n">
        <x:v>238</x:v>
      </x:c>
      <x:c r="B1347" s="1" t="str">
        <x:v>Smoochum</x:v>
      </x:c>
      <x:c r="C1347" s="1" t="str">
        <x:v>Enchanted Gem</x:v>
      </x:c>
      <x:c r="D1347" s="1" t="n">
        <x:v>1</x:v>
      </x:c>
      <x:c r="E1347" s="1" t="n">
        <x:v>5</x:v>
      </x:c>
      <x:c r="F1347" s="13" t="n">
        <x:v>0.47549480000000005</x:v>
      </x:c>
      <x:c r="G1347" s="9" t="str">
        <x:v>https://poke.idleworld.online/pokepedia/pokemon/smoochum</x:v>
      </x:c>
    </x:row>
    <x:row r="1348" ht="22" customHeight="1">
      <x:c r="A1348" s="1" t="n">
        <x:v>238</x:v>
      </x:c>
      <x:c r="B1348" s="1" t="str">
        <x:v>Smoochum</x:v>
      </x:c>
      <x:c r="C1348" s="1" t="str">
        <x:v>Snowball</x:v>
      </x:c>
      <x:c r="D1348" s="1" t="n">
        <x:v>1</x:v>
      </x:c>
      <x:c r="E1348" s="1" t="n">
        <x:v>2</x:v>
      </x:c>
      <x:c r="F1348" s="13" t="n">
        <x:v>0.1531284</x:v>
      </x:c>
      <x:c r="G1348" s="9" t="str">
        <x:v>https://poke.idleworld.online/pokepedia/pokemon/smoochum</x:v>
      </x:c>
    </x:row>
    <x:row r="1349" ht="22" customHeight="1">
      <x:c r="A1349" s="1" t="n">
        <x:v>238</x:v>
      </x:c>
      <x:c r="B1349" s="1" t="str">
        <x:v>Smoochum</x:v>
      </x:c>
      <x:c r="C1349" s="1" t="str">
        <x:v>Ice Stone</x:v>
      </x:c>
      <x:c r="D1349" s="1" t="n">
        <x:v>1</x:v>
      </x:c>
      <x:c r="E1349" s="1" t="n">
        <x:v>1</x:v>
      </x:c>
      <x:c r="F1349" s="13" t="n">
        <x:v>0.0016077</x:v>
      </x:c>
      <x:c r="G1349" s="9" t="str">
        <x:v>https://poke.idleworld.online/pokepedia/pokemon/smoochum</x:v>
      </x:c>
    </x:row>
    <x:row r="1350" ht="22" customHeight="1">
      <x:c r="A1350" s="1" t="n">
        <x:v>238</x:v>
      </x:c>
      <x:c r="B1350" s="1" t="str">
        <x:v>Smoochum</x:v>
      </x:c>
      <x:c r="C1350" s="1" t="str">
        <x:v>Ice Bra</x:v>
      </x:c>
      <x:c r="D1350" s="1" t="n">
        <x:v>1</x:v>
      </x:c>
      <x:c r="E1350" s="1" t="n">
        <x:v>1</x:v>
      </x:c>
      <x:c r="F1350" s="13" t="n">
        <x:v>0.012916700000000001</x:v>
      </x:c>
      <x:c r="G1350" s="9" t="str">
        <x:v>https://poke.idleworld.online/pokepedia/pokemon/smoochum</x:v>
      </x:c>
    </x:row>
    <x:row r="1351" ht="22" customHeight="1">
      <x:c r="A1351" s="1" t="n">
        <x:v>238</x:v>
      </x:c>
      <x:c r="B1351" s="1" t="str">
        <x:v>Smoochum</x:v>
      </x:c>
      <x:c r="C1351" s="1" t="str">
        <x:v>Ice Orb</x:v>
      </x:c>
      <x:c r="D1351" s="1" t="n">
        <x:v>1</x:v>
      </x:c>
      <x:c r="E1351" s="1" t="n">
        <x:v>1</x:v>
      </x:c>
      <x:c r="F1351" s="13" t="n">
        <x:v>0.1267986</x:v>
      </x:c>
      <x:c r="G1351" s="9" t="str">
        <x:v>https://poke.idleworld.online/pokepedia/pokemon/smoochum</x:v>
      </x:c>
    </x:row>
    <x:row r="1352" ht="22" customHeight="1">
      <x:c r="A1352" s="1" t="n">
        <x:v>239</x:v>
      </x:c>
      <x:c r="B1352" s="1" t="str">
        <x:v>Elekid</x:v>
      </x:c>
      <x:c r="C1352" s="1" t="str">
        <x:v>Strange Pheromone</x:v>
      </x:c>
      <x:c r="D1352" s="1" t="n">
        <x:v>1</x:v>
      </x:c>
      <x:c r="E1352" s="1" t="n">
        <x:v>1</x:v>
      </x:c>
      <x:c r="F1352" s="13" t="n">
        <x:v>0</x:v>
      </x:c>
      <x:c r="G1352" s="9" t="str">
        <x:v>https://poke.idleworld.online/pokepedia/pokemon/elekid</x:v>
      </x:c>
    </x:row>
    <x:row r="1353" ht="22" customHeight="1">
      <x:c r="A1353" s="1" t="n">
        <x:v>239</x:v>
      </x:c>
      <x:c r="B1353" s="1" t="str">
        <x:v>Elekid</x:v>
      </x:c>
      <x:c r="C1353" s="1" t="str">
        <x:v>Screw</x:v>
      </x:c>
      <x:c r="D1353" s="1" t="n">
        <x:v>1</x:v>
      </x:c>
      <x:c r="E1353" s="1" t="n">
        <x:v>5</x:v>
      </x:c>
      <x:c r="F1353" s="13" t="n">
        <x:v>0.0976523</x:v>
      </x:c>
      <x:c r="G1353" s="9" t="str">
        <x:v>https://poke.idleworld.online/pokepedia/pokemon/elekid</x:v>
      </x:c>
    </x:row>
    <x:row r="1354" ht="22" customHeight="1">
      <x:c r="A1354" s="1" t="n">
        <x:v>239</x:v>
      </x:c>
      <x:c r="B1354" s="1" t="str">
        <x:v>Elekid</x:v>
      </x:c>
      <x:c r="C1354" s="1" t="str">
        <x:v>Electric Box</x:v>
      </x:c>
      <x:c r="D1354" s="1" t="n">
        <x:v>1</x:v>
      </x:c>
      <x:c r="E1354" s="1" t="n">
        <x:v>8</x:v>
      </x:c>
      <x:c r="F1354" s="13" t="n">
        <x:v>0.0976523</x:v>
      </x:c>
      <x:c r="G1354" s="9" t="str">
        <x:v>https://poke.idleworld.online/pokepedia/pokemon/elekid</x:v>
      </x:c>
    </x:row>
    <x:row r="1355" ht="22" customHeight="1">
      <x:c r="A1355" s="1" t="n">
        <x:v>239</x:v>
      </x:c>
      <x:c r="B1355" s="1" t="str">
        <x:v>Elekid</x:v>
      </x:c>
      <x:c r="C1355" s="1" t="str">
        <x:v>Electric Tail</x:v>
      </x:c>
      <x:c r="D1355" s="1" t="n">
        <x:v>1</x:v>
      </x:c>
      <x:c r="E1355" s="1" t="n">
        <x:v>1</x:v>
      </x:c>
      <x:c r="F1355" s="13" t="n">
        <x:v>0.0244131</x:v>
      </x:c>
      <x:c r="G1355" s="9" t="str">
        <x:v>https://poke.idleworld.online/pokepedia/pokemon/elekid</x:v>
      </x:c>
    </x:row>
    <x:row r="1356" ht="22" customHeight="1">
      <x:c r="A1356" s="1" t="n">
        <x:v>239</x:v>
      </x:c>
      <x:c r="B1356" s="1" t="str">
        <x:v>Elekid</x:v>
      </x:c>
      <x:c r="C1356" s="1" t="str">
        <x:v>Thunder Stone</x:v>
      </x:c>
      <x:c r="D1356" s="1" t="n">
        <x:v>1</x:v>
      </x:c>
      <x:c r="E1356" s="1" t="n">
        <x:v>1</x:v>
      </x:c>
      <x:c r="F1356" s="13" t="n">
        <x:v>0.00074</x:v>
      </x:c>
      <x:c r="G1356" s="9" t="str">
        <x:v>https://poke.idleworld.online/pokepedia/pokemon/elekid</x:v>
      </x:c>
    </x:row>
    <x:row r="1357" ht="22" customHeight="1">
      <x:c r="A1357" s="1" t="n">
        <x:v>240</x:v>
      </x:c>
      <x:c r="B1357" s="1" t="str">
        <x:v>Magby</x:v>
      </x:c>
      <x:c r="C1357" s="1" t="str">
        <x:v>Strange Pheromone</x:v>
      </x:c>
      <x:c r="D1357" s="1" t="n">
        <x:v>1</x:v>
      </x:c>
      <x:c r="E1357" s="1" t="n">
        <x:v>1</x:v>
      </x:c>
      <x:c r="F1357" s="13" t="n">
        <x:v>0</x:v>
      </x:c>
      <x:c r="G1357" s="9" t="str">
        <x:v>https://poke.idleworld.online/pokepedia/pokemon/magby</x:v>
      </x:c>
    </x:row>
    <x:row r="1358" ht="22" customHeight="1">
      <x:c r="A1358" s="1" t="n">
        <x:v>240</x:v>
      </x:c>
      <x:c r="B1358" s="1" t="str">
        <x:v>Magby</x:v>
      </x:c>
      <x:c r="C1358" s="1" t="str">
        <x:v>Essence of Fire</x:v>
      </x:c>
      <x:c r="D1358" s="1" t="n">
        <x:v>1</x:v>
      </x:c>
      <x:c r="E1358" s="1" t="n">
        <x:v>8</x:v>
      </x:c>
      <x:c r="F1358" s="13" t="n">
        <x:v>0.5295601</x:v>
      </x:c>
      <x:c r="G1358" s="9" t="str">
        <x:v>https://poke.idleworld.online/pokepedia/pokemon/magby</x:v>
      </x:c>
    </x:row>
    <x:row r="1359" ht="22" customHeight="1">
      <x:c r="A1359" s="1" t="n">
        <x:v>240</x:v>
      </x:c>
      <x:c r="B1359" s="1" t="str">
        <x:v>Magby</x:v>
      </x:c>
      <x:c r="C1359" s="1" t="str">
        <x:v>Fire Stone</x:v>
      </x:c>
      <x:c r="D1359" s="1" t="n">
        <x:v>1</x:v>
      </x:c>
      <x:c r="E1359" s="1" t="n">
        <x:v>1</x:v>
      </x:c>
      <x:c r="F1359" s="13" t="n">
        <x:v>0.0018842</x:v>
      </x:c>
      <x:c r="G1359" s="9" t="str">
        <x:v>https://poke.idleworld.online/pokepedia/pokemon/magby</x:v>
      </x:c>
    </x:row>
    <x:row r="1360" ht="22" customHeight="1">
      <x:c r="A1360" s="1" t="n">
        <x:v>240</x:v>
      </x:c>
      <x:c r="B1360" s="1" t="str">
        <x:v>Magby</x:v>
      </x:c>
      <x:c r="C1360" s="1" t="str">
        <x:v>Magma Foot</x:v>
      </x:c>
      <x:c r="D1360" s="1" t="n">
        <x:v>1</x:v>
      </x:c>
      <x:c r="E1360" s="1" t="n">
        <x:v>1</x:v>
      </x:c>
      <x:c r="F1360" s="13" t="n">
        <x:v>0.0342654</x:v>
      </x:c>
      <x:c r="G1360" s="9" t="str">
        <x:v>https://poke.idleworld.online/pokepedia/pokemon/magby</x:v>
      </x:c>
    </x:row>
    <x:row r="1361" ht="22" customHeight="1">
      <x:c r="A1361" s="1" t="n">
        <x:v>240</x:v>
      </x:c>
      <x:c r="B1361" s="1" t="str">
        <x:v>Magby</x:v>
      </x:c>
      <x:c r="C1361" s="1" t="str">
        <x:v>Pot of Lava</x:v>
      </x:c>
      <x:c r="D1361" s="1" t="n">
        <x:v>1</x:v>
      </x:c>
      <x:c r="E1361" s="1" t="n">
        <x:v>1</x:v>
      </x:c>
      <x:c r="F1361" s="13" t="n">
        <x:v>0.1370615</x:v>
      </x:c>
      <x:c r="G1361" s="9" t="str">
        <x:v>https://poke.idleworld.online/pokepedia/pokemon/magby</x:v>
      </x:c>
    </x:row>
    <x:row r="1362" ht="22" customHeight="1">
      <x:c r="A1362" s="1" t="n">
        <x:v>241</x:v>
      </x:c>
      <x:c r="B1362" s="1" t="str">
        <x:v>Miltank</x:v>
      </x:c>
      <x:c r="C1362" s="1" t="str">
        <x:v>Strange Pheromone</x:v>
      </x:c>
      <x:c r="D1362" s="1" t="n">
        <x:v>1</x:v>
      </x:c>
      <x:c r="E1362" s="1" t="n">
        <x:v>1</x:v>
      </x:c>
      <x:c r="F1362" s="13" t="n">
        <x:v>0</x:v>
      </x:c>
      <x:c r="G1362" s="9" t="str">
        <x:v>https://poke.idleworld.online/pokepedia/pokemon/miltank</x:v>
      </x:c>
    </x:row>
    <x:row r="1363" ht="22" customHeight="1">
      <x:c r="A1363" s="1" t="n">
        <x:v>241</x:v>
      </x:c>
      <x:c r="B1363" s="1" t="str">
        <x:v>Miltank</x:v>
      </x:c>
      <x:c r="C1363" s="1" t="str">
        <x:v>Rubber Ball</x:v>
      </x:c>
      <x:c r="D1363" s="1" t="n">
        <x:v>1</x:v>
      </x:c>
      <x:c r="E1363" s="1" t="n">
        <x:v>5</x:v>
      </x:c>
      <x:c r="F1363" s="13" t="n">
        <x:v>0.7024651</x:v>
      </x:c>
      <x:c r="G1363" s="9" t="str">
        <x:v>https://poke.idleworld.online/pokepedia/pokemon/miltank</x:v>
      </x:c>
    </x:row>
    <x:row r="1364" ht="22" customHeight="1">
      <x:c r="A1364" s="1" t="n">
        <x:v>241</x:v>
      </x:c>
      <x:c r="B1364" s="1" t="str">
        <x:v>Miltank</x:v>
      </x:c>
      <x:c r="C1364" s="1" t="str">
        <x:v>Heart Stone</x:v>
      </x:c>
      <x:c r="D1364" s="1" t="n">
        <x:v>1</x:v>
      </x:c>
      <x:c r="E1364" s="1" t="n">
        <x:v>1</x:v>
      </x:c>
      <x:c r="F1364" s="13" t="n">
        <x:v>0.0031</x:v>
      </x:c>
      <x:c r="G1364" s="9" t="str">
        <x:v>https://poke.idleworld.online/pokepedia/pokemon/miltank</x:v>
      </x:c>
    </x:row>
    <x:row r="1365" ht="22" customHeight="1">
      <x:c r="A1365" s="1" t="n">
        <x:v>241</x:v>
      </x:c>
      <x:c r="B1365" s="1" t="str">
        <x:v>Miltank</x:v>
      </x:c>
      <x:c r="C1365" s="1" t="str">
        <x:v>Cow Tail</x:v>
      </x:c>
      <x:c r="D1365" s="1" t="n">
        <x:v>1</x:v>
      </x:c>
      <x:c r="E1365" s="1" t="n">
        <x:v>4</x:v>
      </x:c>
      <x:c r="F1365" s="13" t="n">
        <x:v>0.2382388</x:v>
      </x:c>
      <x:c r="G1365" s="9" t="str">
        <x:v>https://poke.idleworld.online/pokepedia/pokemon/miltank</x:v>
      </x:c>
    </x:row>
    <x:row r="1366" ht="22" customHeight="1">
      <x:c r="A1366" s="1" t="n">
        <x:v>242</x:v>
      </x:c>
      <x:c r="B1366" s="1" t="str">
        <x:v>Blissey</x:v>
      </x:c>
      <x:c r="C1366" s="1" t="str">
        <x:v>Strange Pheromone</x:v>
      </x:c>
      <x:c r="D1366" s="1" t="n">
        <x:v>1</x:v>
      </x:c>
      <x:c r="E1366" s="1" t="n">
        <x:v>1</x:v>
      </x:c>
      <x:c r="F1366" s="13" t="n">
        <x:v>0</x:v>
      </x:c>
      <x:c r="G1366" s="9" t="str">
        <x:v>https://poke.idleworld.online/pokepedia/pokemon/blissey</x:v>
      </x:c>
    </x:row>
    <x:row r="1367" ht="22" customHeight="1">
      <x:c r="A1367" s="1" t="n">
        <x:v>242</x:v>
      </x:c>
      <x:c r="B1367" s="1" t="str">
        <x:v>Blissey</x:v>
      </x:c>
      <x:c r="C1367" s="1" t="str">
        <x:v>Rubber Ball</x:v>
      </x:c>
      <x:c r="D1367" s="1" t="n">
        <x:v>1</x:v>
      </x:c>
      <x:c r="E1367" s="1" t="n">
        <x:v>5</x:v>
      </x:c>
      <x:c r="F1367" s="13" t="n">
        <x:v>0.95</x:v>
      </x:c>
      <x:c r="G1367" s="9" t="str">
        <x:v>https://poke.idleworld.online/pokepedia/pokemon/blissey</x:v>
      </x:c>
    </x:row>
    <x:row r="1368" ht="22" customHeight="1">
      <x:c r="A1368" s="1" t="n">
        <x:v>242</x:v>
      </x:c>
      <x:c r="B1368" s="1" t="str">
        <x:v>Blissey</x:v>
      </x:c>
      <x:c r="C1368" s="1" t="str">
        <x:v>Chansey Egg</x:v>
      </x:c>
      <x:c r="D1368" s="1" t="n">
        <x:v>1</x:v>
      </x:c>
      <x:c r="E1368" s="1" t="n">
        <x:v>1</x:v>
      </x:c>
      <x:c r="F1368" s="13" t="n">
        <x:v>0.2647</x:v>
      </x:c>
      <x:c r="G1368" s="9" t="str">
        <x:v>https://poke.idleworld.online/pokepedia/pokemon/blissey</x:v>
      </x:c>
    </x:row>
    <x:row r="1369" ht="22" customHeight="1">
      <x:c r="A1369" s="1" t="n">
        <x:v>242</x:v>
      </x:c>
      <x:c r="B1369" s="1" t="str">
        <x:v>Blissey</x:v>
      </x:c>
      <x:c r="C1369" s="1" t="str">
        <x:v>Heart Stone</x:v>
      </x:c>
      <x:c r="D1369" s="1" t="n">
        <x:v>1</x:v>
      </x:c>
      <x:c r="E1369" s="1" t="n">
        <x:v>1</x:v>
      </x:c>
      <x:c r="F1369" s="13" t="n">
        <x:v>0.003</x:v>
      </x:c>
      <x:c r="G1369" s="9" t="str">
        <x:v>https://poke.idleworld.online/pokepedia/pokemon/blissey</x:v>
      </x:c>
    </x:row>
    <x:row r="1370" ht="22" customHeight="1">
      <x:c r="A1370" s="1" t="n">
        <x:v>243</x:v>
      </x:c>
      <x:c r="B1370" s="1" t="str">
        <x:v>Raikou</x:v>
      </x:c>
      <x:c r="C1370" s="1" t="str">
        <x:v>Strange Pheromone</x:v>
      </x:c>
      <x:c r="D1370" s="1" t="n">
        <x:v>1</x:v>
      </x:c>
      <x:c r="E1370" s="1" t="n">
        <x:v>1</x:v>
      </x:c>
      <x:c r="F1370" s="13" t="n">
        <x:v>0</x:v>
      </x:c>
      <x:c r="G1370" s="9" t="str">
        <x:v>https://poke.idleworld.online/pokepedia/pokemon/raikou</x:v>
      </x:c>
    </x:row>
    <x:row r="1371" ht="22" customHeight="1">
      <x:c r="A1371" s="1" t="n">
        <x:v>243</x:v>
      </x:c>
      <x:c r="B1371" s="1" t="str">
        <x:v>Raikou</x:v>
      </x:c>
      <x:c r="C1371" s="1" t="str">
        <x:v>Screw</x:v>
      </x:c>
      <x:c r="D1371" s="1" t="n">
        <x:v>1</x:v>
      </x:c>
      <x:c r="E1371" s="1" t="n">
        <x:v>5</x:v>
      </x:c>
      <x:c r="F1371" s="13" t="n">
        <x:v>0.8</x:v>
      </x:c>
      <x:c r="G1371" s="9" t="str">
        <x:v>https://poke.idleworld.online/pokepedia/pokemon/raikou</x:v>
      </x:c>
    </x:row>
    <x:row r="1372" ht="22" customHeight="1">
      <x:c r="A1372" s="1" t="n">
        <x:v>243</x:v>
      </x:c>
      <x:c r="B1372" s="1" t="str">
        <x:v>Raikou</x:v>
      </x:c>
      <x:c r="C1372" s="1" t="str">
        <x:v>Electric Tail</x:v>
      </x:c>
      <x:c r="D1372" s="1" t="n">
        <x:v>1</x:v>
      </x:c>
      <x:c r="E1372" s="1" t="n">
        <x:v>4</x:v>
      </x:c>
      <x:c r="F1372" s="13" t="n">
        <x:v>0.145</x:v>
      </x:c>
      <x:c r="G1372" s="9" t="str">
        <x:v>https://poke.idleworld.online/pokepedia/pokemon/raikou</x:v>
      </x:c>
    </x:row>
    <x:row r="1373" ht="22" customHeight="1">
      <x:c r="A1373" s="1" t="n">
        <x:v>243</x:v>
      </x:c>
      <x:c r="B1373" s="1" t="str">
        <x:v>Raikou</x:v>
      </x:c>
      <x:c r="C1373" s="1" t="str">
        <x:v>Magnet</x:v>
      </x:c>
      <x:c r="D1373" s="1" t="n">
        <x:v>1</x:v>
      </x:c>
      <x:c r="E1373" s="1" t="n">
        <x:v>3</x:v>
      </x:c>
      <x:c r="F1373" s="13" t="n">
        <x:v>0.4</x:v>
      </x:c>
      <x:c r="G1373" s="9" t="str">
        <x:v>https://poke.idleworld.online/pokepedia/pokemon/raikou</x:v>
      </x:c>
    </x:row>
    <x:row r="1374" ht="22" customHeight="1">
      <x:c r="A1374" s="1" t="n">
        <x:v>243</x:v>
      </x:c>
      <x:c r="B1374" s="1" t="str">
        <x:v>Raikou</x:v>
      </x:c>
      <x:c r="C1374" s="1" t="str">
        <x:v>Crystal Stone</x:v>
      </x:c>
      <x:c r="D1374" s="1" t="n">
        <x:v>1</x:v>
      </x:c>
      <x:c r="E1374" s="1" t="n">
        <x:v>1</x:v>
      </x:c>
      <x:c r="F1374" s="13" t="n">
        <x:v>0.005</x:v>
      </x:c>
      <x:c r="G1374" s="9" t="str">
        <x:v>https://poke.idleworld.online/pokepedia/pokemon/raikou</x:v>
      </x:c>
    </x:row>
    <x:row r="1375" ht="22" customHeight="1">
      <x:c r="A1375" s="1" t="n">
        <x:v>243</x:v>
      </x:c>
      <x:c r="B1375" s="1" t="str">
        <x:v>Raikou</x:v>
      </x:c>
      <x:c r="C1375" s="1" t="str">
        <x:v>Thunder Stone</x:v>
      </x:c>
      <x:c r="D1375" s="1" t="n">
        <x:v>1</x:v>
      </x:c>
      <x:c r="E1375" s="1" t="n">
        <x:v>1</x:v>
      </x:c>
      <x:c r="F1375" s="13" t="n">
        <x:v>0.005</x:v>
      </x:c>
      <x:c r="G1375" s="9" t="str">
        <x:v>https://poke.idleworld.online/pokepedia/pokemon/raikou</x:v>
      </x:c>
    </x:row>
    <x:row r="1376" ht="22" customHeight="1">
      <x:c r="A1376" s="1" t="n">
        <x:v>244</x:v>
      </x:c>
      <x:c r="B1376" s="1" t="str">
        <x:v>Entei</x:v>
      </x:c>
      <x:c r="C1376" s="1" t="str">
        <x:v>Strange Pheromone</x:v>
      </x:c>
      <x:c r="D1376" s="1" t="n">
        <x:v>1</x:v>
      </x:c>
      <x:c r="E1376" s="1" t="n">
        <x:v>1</x:v>
      </x:c>
      <x:c r="F1376" s="13" t="n">
        <x:v>0</x:v>
      </x:c>
      <x:c r="G1376" s="9" t="str">
        <x:v>https://poke.idleworld.online/pokepedia/pokemon/entei</x:v>
      </x:c>
    </x:row>
    <x:row r="1377" ht="22" customHeight="1">
      <x:c r="A1377" s="1" t="n">
        <x:v>244</x:v>
      </x:c>
      <x:c r="B1377" s="1" t="str">
        <x:v>Entei</x:v>
      </x:c>
      <x:c r="C1377" s="1" t="str">
        <x:v>Fire Tail</x:v>
      </x:c>
      <x:c r="D1377" s="1" t="n">
        <x:v>1</x:v>
      </x:c>
      <x:c r="E1377" s="1" t="n">
        <x:v>10</x:v>
      </x:c>
      <x:c r="F1377" s="13" t="n">
        <x:v>0.53</x:v>
      </x:c>
      <x:c r="G1377" s="9" t="str">
        <x:v>https://poke.idleworld.online/pokepedia/pokemon/entei</x:v>
      </x:c>
    </x:row>
    <x:row r="1378" ht="22" customHeight="1">
      <x:c r="A1378" s="1" t="n">
        <x:v>244</x:v>
      </x:c>
      <x:c r="B1378" s="1" t="str">
        <x:v>Entei</x:v>
      </x:c>
      <x:c r="C1378" s="1" t="str">
        <x:v>Essence of Fire</x:v>
      </x:c>
      <x:c r="D1378" s="1" t="n">
        <x:v>1</x:v>
      </x:c>
      <x:c r="E1378" s="1" t="n">
        <x:v>4</x:v>
      </x:c>
      <x:c r="F1378" s="13" t="n">
        <x:v>0.45</x:v>
      </x:c>
      <x:c r="G1378" s="9" t="str">
        <x:v>https://poke.idleworld.online/pokepedia/pokemon/entei</x:v>
      </x:c>
    </x:row>
    <x:row r="1379" ht="22" customHeight="1">
      <x:c r="A1379" s="1" t="n">
        <x:v>244</x:v>
      </x:c>
      <x:c r="B1379" s="1" t="str">
        <x:v>Entei</x:v>
      </x:c>
      <x:c r="C1379" s="1" t="str">
        <x:v>Magma Foot</x:v>
      </x:c>
      <x:c r="D1379" s="1" t="n">
        <x:v>1</x:v>
      </x:c>
      <x:c r="E1379" s="1" t="n">
        <x:v>1</x:v>
      </x:c>
      <x:c r="F1379" s="13" t="n">
        <x:v>0.12</x:v>
      </x:c>
      <x:c r="G1379" s="9" t="str">
        <x:v>https://poke.idleworld.online/pokepedia/pokemon/entei</x:v>
      </x:c>
    </x:row>
    <x:row r="1380" ht="22" customHeight="1">
      <x:c r="A1380" s="1" t="n">
        <x:v>244</x:v>
      </x:c>
      <x:c r="B1380" s="1" t="str">
        <x:v>Entei</x:v>
      </x:c>
      <x:c r="C1380" s="1" t="str">
        <x:v>Fire Stone</x:v>
      </x:c>
      <x:c r="D1380" s="1" t="n">
        <x:v>1</x:v>
      </x:c>
      <x:c r="E1380" s="1" t="n">
        <x:v>1</x:v>
      </x:c>
      <x:c r="F1380" s="13" t="n">
        <x:v>0.01</x:v>
      </x:c>
      <x:c r="G1380" s="9" t="str">
        <x:v>https://poke.idleworld.online/pokepedia/pokemon/entei</x:v>
      </x:c>
    </x:row>
    <x:row r="1381" ht="22" customHeight="1">
      <x:c r="A1381" s="1" t="n">
        <x:v>245</x:v>
      </x:c>
      <x:c r="B1381" s="1" t="str">
        <x:v>Suicune</x:v>
      </x:c>
      <x:c r="C1381" s="1" t="str">
        <x:v>Strange Pheromone</x:v>
      </x:c>
      <x:c r="D1381" s="1" t="n">
        <x:v>1</x:v>
      </x:c>
      <x:c r="E1381" s="1" t="n">
        <x:v>1</x:v>
      </x:c>
      <x:c r="F1381" s="13" t="n">
        <x:v>0</x:v>
      </x:c>
      <x:c r="G1381" s="9" t="str">
        <x:v>https://poke.idleworld.online/pokepedia/pokemon/suicune</x:v>
      </x:c>
    </x:row>
    <x:row r="1382" ht="22" customHeight="1">
      <x:c r="A1382" s="1" t="n">
        <x:v>245</x:v>
      </x:c>
      <x:c r="B1382" s="1" t="str">
        <x:v>Suicune</x:v>
      </x:c>
      <x:c r="C1382" s="1" t="str">
        <x:v>Giant Fin</x:v>
      </x:c>
      <x:c r="D1382" s="1" t="n">
        <x:v>1</x:v>
      </x:c>
      <x:c r="E1382" s="1" t="n">
        <x:v>4</x:v>
      </x:c>
      <x:c r="F1382" s="13" t="n">
        <x:v>0.17</x:v>
      </x:c>
      <x:c r="G1382" s="9" t="str">
        <x:v>https://poke.idleworld.online/pokepedia/pokemon/suicune</x:v>
      </x:c>
    </x:row>
    <x:row r="1383" ht="22" customHeight="1">
      <x:c r="A1383" s="1" t="n">
        <x:v>245</x:v>
      </x:c>
      <x:c r="B1383" s="1" t="str">
        <x:v>Suicune</x:v>
      </x:c>
      <x:c r="C1383" s="1" t="str">
        <x:v>Water Gem</x:v>
      </x:c>
      <x:c r="D1383" s="1" t="n">
        <x:v>1</x:v>
      </x:c>
      <x:c r="E1383" s="1" t="n">
        <x:v>3</x:v>
      </x:c>
      <x:c r="F1383" s="13" t="n">
        <x:v>0.4</x:v>
      </x:c>
      <x:c r="G1383" s="9" t="str">
        <x:v>https://poke.idleworld.online/pokepedia/pokemon/suicune</x:v>
      </x:c>
    </x:row>
    <x:row r="1384" ht="22" customHeight="1">
      <x:c r="A1384" s="1" t="n">
        <x:v>245</x:v>
      </x:c>
      <x:c r="B1384" s="1" t="str">
        <x:v>Suicune</x:v>
      </x:c>
      <x:c r="C1384" s="1" t="str">
        <x:v>Crystal Stone</x:v>
      </x:c>
      <x:c r="D1384" s="1" t="n">
        <x:v>1</x:v>
      </x:c>
      <x:c r="E1384" s="1" t="n">
        <x:v>1</x:v>
      </x:c>
      <x:c r="F1384" s="13" t="n">
        <x:v>0.005</x:v>
      </x:c>
      <x:c r="G1384" s="9" t="str">
        <x:v>https://poke.idleworld.online/pokepedia/pokemon/suicune</x:v>
      </x:c>
    </x:row>
    <x:row r="1385" ht="22" customHeight="1">
      <x:c r="A1385" s="1" t="n">
        <x:v>245</x:v>
      </x:c>
      <x:c r="B1385" s="1" t="str">
        <x:v>Suicune</x:v>
      </x:c>
      <x:c r="C1385" s="1" t="str">
        <x:v>Water Stone</x:v>
      </x:c>
      <x:c r="D1385" s="1" t="n">
        <x:v>1</x:v>
      </x:c>
      <x:c r="E1385" s="1" t="n">
        <x:v>1</x:v>
      </x:c>
      <x:c r="F1385" s="13" t="n">
        <x:v>0.005</x:v>
      </x:c>
      <x:c r="G1385" s="9" t="str">
        <x:v>https://poke.idleworld.online/pokepedia/pokemon/suicune</x:v>
      </x:c>
    </x:row>
    <x:row r="1386" ht="22" customHeight="1">
      <x:c r="A1386" s="1" t="n">
        <x:v>246</x:v>
      </x:c>
      <x:c r="B1386" s="1" t="str">
        <x:v>Larvitar</x:v>
      </x:c>
      <x:c r="C1386" s="1" t="str">
        <x:v>Strange Pheromone</x:v>
      </x:c>
      <x:c r="D1386" s="1" t="n">
        <x:v>1</x:v>
      </x:c>
      <x:c r="E1386" s="1" t="n">
        <x:v>1</x:v>
      </x:c>
      <x:c r="F1386" s="13" t="n">
        <x:v>0</x:v>
      </x:c>
      <x:c r="G1386" s="9" t="str">
        <x:v>https://poke.idleworld.online/pokepedia/pokemon/larvitar</x:v>
      </x:c>
    </x:row>
    <x:row r="1387" ht="22" customHeight="1">
      <x:c r="A1387" s="1" t="n">
        <x:v>246</x:v>
      </x:c>
      <x:c r="B1387" s="1" t="str">
        <x:v>Larvitar</x:v>
      </x:c>
      <x:c r="C1387" s="1" t="str">
        <x:v>Small Stone</x:v>
      </x:c>
      <x:c r="D1387" s="1" t="n">
        <x:v>1</x:v>
      </x:c>
      <x:c r="E1387" s="1" t="n">
        <x:v>8</x:v>
      </x:c>
      <x:c r="F1387" s="13" t="n">
        <x:v>0.95</x:v>
      </x:c>
      <x:c r="G1387" s="9" t="str">
        <x:v>https://poke.idleworld.online/pokepedia/pokemon/larvitar</x:v>
      </x:c>
    </x:row>
    <x:row r="1388" ht="22" customHeight="1">
      <x:c r="A1388" s="1" t="n">
        <x:v>246</x:v>
      </x:c>
      <x:c r="B1388" s="1" t="str">
        <x:v>Larvitar</x:v>
      </x:c>
      <x:c r="C1388" s="1" t="str">
        <x:v>Earth Ball</x:v>
      </x:c>
      <x:c r="D1388" s="1" t="n">
        <x:v>1</x:v>
      </x:c>
      <x:c r="E1388" s="1" t="n">
        <x:v>2</x:v>
      </x:c>
      <x:c r="F1388" s="13" t="n">
        <x:v>0.95</x:v>
      </x:c>
      <x:c r="G1388" s="9" t="str">
        <x:v>https://poke.idleworld.online/pokepedia/pokemon/larvitar</x:v>
      </x:c>
    </x:row>
    <x:row r="1389" ht="22" customHeight="1">
      <x:c r="A1389" s="1" t="n">
        <x:v>246</x:v>
      </x:c>
      <x:c r="B1389" s="1" t="str">
        <x:v>Larvitar</x:v>
      </x:c>
      <x:c r="C1389" s="1" t="str">
        <x:v>Rock Stone</x:v>
      </x:c>
      <x:c r="D1389" s="1" t="n">
        <x:v>1</x:v>
      </x:c>
      <x:c r="E1389" s="1" t="n">
        <x:v>1</x:v>
      </x:c>
      <x:c r="F1389" s="13" t="n">
        <x:v>0.0015924000000000001</x:v>
      </x:c>
      <x:c r="G1389" s="9" t="str">
        <x:v>https://poke.idleworld.online/pokepedia/pokemon/larvitar</x:v>
      </x:c>
    </x:row>
    <x:row r="1390" ht="22" customHeight="1">
      <x:c r="A1390" s="1" t="n">
        <x:v>246</x:v>
      </x:c>
      <x:c r="B1390" s="1" t="str">
        <x:v>Larvitar</x:v>
      </x:c>
      <x:c r="C1390" s="1" t="str">
        <x:v>Lizard Tail</x:v>
      </x:c>
      <x:c r="D1390" s="1" t="n">
        <x:v>1</x:v>
      </x:c>
      <x:c r="E1390" s="1" t="n">
        <x:v>1</x:v>
      </x:c>
      <x:c r="F1390" s="13" t="n">
        <x:v>0.0222817</x:v>
      </x:c>
      <x:c r="G1390" s="9" t="str">
        <x:v>https://poke.idleworld.online/pokepedia/pokemon/larvitar</x:v>
      </x:c>
    </x:row>
    <x:row r="1391" ht="22" customHeight="1">
      <x:c r="A1391" s="1" t="n">
        <x:v>246</x:v>
      </x:c>
      <x:c r="B1391" s="1" t="str">
        <x:v>Larvitar</x:v>
      </x:c>
      <x:c r="C1391" s="1" t="str">
        <x:v>Stone Orb</x:v>
      </x:c>
      <x:c r="D1391" s="1" t="n">
        <x:v>1</x:v>
      </x:c>
      <x:c r="E1391" s="1" t="n">
        <x:v>1</x:v>
      </x:c>
      <x:c r="F1391" s="13" t="n">
        <x:v>0.0890918</x:v>
      </x:c>
      <x:c r="G1391" s="9" t="str">
        <x:v>https://poke.idleworld.online/pokepedia/pokemon/larvitar</x:v>
      </x:c>
    </x:row>
    <x:row r="1392" ht="22" customHeight="1">
      <x:c r="A1392" s="1" t="n">
        <x:v>246</x:v>
      </x:c>
      <x:c r="B1392" s="1" t="str">
        <x:v>Larvitar</x:v>
      </x:c>
      <x:c r="C1392" s="1" t="str">
        <x:v>Sandbag</x:v>
      </x:c>
      <x:c r="D1392" s="1" t="n">
        <x:v>1</x:v>
      </x:c>
      <x:c r="E1392" s="1" t="n">
        <x:v>1</x:v>
      </x:c>
      <x:c r="F1392" s="13" t="n">
        <x:v>0.0890918</x:v>
      </x:c>
      <x:c r="G1392" s="9" t="str">
        <x:v>https://poke.idleworld.online/pokepedia/pokemon/larvitar</x:v>
      </x:c>
    </x:row>
    <x:row r="1393" ht="22" customHeight="1">
      <x:c r="A1393" s="1" t="n">
        <x:v>247</x:v>
      </x:c>
      <x:c r="B1393" s="1" t="str">
        <x:v>Pupitar</x:v>
      </x:c>
      <x:c r="C1393" s="1" t="str">
        <x:v>Strange Pheromone</x:v>
      </x:c>
      <x:c r="D1393" s="1" t="n">
        <x:v>1</x:v>
      </x:c>
      <x:c r="E1393" s="1" t="n">
        <x:v>1</x:v>
      </x:c>
      <x:c r="F1393" s="13" t="n">
        <x:v>0</x:v>
      </x:c>
      <x:c r="G1393" s="9" t="str">
        <x:v>https://poke.idleworld.online/pokepedia/pokemon/pupitar</x:v>
      </x:c>
    </x:row>
    <x:row r="1394" ht="22" customHeight="1">
      <x:c r="A1394" s="1" t="n">
        <x:v>247</x:v>
      </x:c>
      <x:c r="B1394" s="1" t="str">
        <x:v>Pupitar</x:v>
      </x:c>
      <x:c r="C1394" s="1" t="str">
        <x:v>Ancient Stone</x:v>
      </x:c>
      <x:c r="D1394" s="1" t="n">
        <x:v>1</x:v>
      </x:c>
      <x:c r="E1394" s="1" t="n">
        <x:v>1</x:v>
      </x:c>
      <x:c r="F1394" s="13" t="n">
        <x:v>0.0002661</x:v>
      </x:c>
      <x:c r="G1394" s="9" t="str">
        <x:v>https://poke.idleworld.online/pokepedia/pokemon/pupitar</x:v>
      </x:c>
    </x:row>
    <x:row r="1395" ht="22" customHeight="1">
      <x:c r="A1395" s="1" t="n">
        <x:v>247</x:v>
      </x:c>
      <x:c r="B1395" s="1" t="str">
        <x:v>Pupitar</x:v>
      </x:c>
      <x:c r="C1395" s="1" t="str">
        <x:v>Earth Ball</x:v>
      </x:c>
      <x:c r="D1395" s="1" t="n">
        <x:v>1</x:v>
      </x:c>
      <x:c r="E1395" s="1" t="n">
        <x:v>5</x:v>
      </x:c>
      <x:c r="F1395" s="13" t="n">
        <x:v>0.95</x:v>
      </x:c>
      <x:c r="G1395" s="9" t="str">
        <x:v>https://poke.idleworld.online/pokepedia/pokemon/pupitar</x:v>
      </x:c>
    </x:row>
    <x:row r="1396" ht="22" customHeight="1">
      <x:c r="A1396" s="1" t="n">
        <x:v>247</x:v>
      </x:c>
      <x:c r="B1396" s="1" t="str">
        <x:v>Pupitar</x:v>
      </x:c>
      <x:c r="C1396" s="1" t="str">
        <x:v>Small Stone</x:v>
      </x:c>
      <x:c r="D1396" s="1" t="n">
        <x:v>1</x:v>
      </x:c>
      <x:c r="E1396" s="1" t="n">
        <x:v>10</x:v>
      </x:c>
      <x:c r="F1396" s="13" t="n">
        <x:v>0.95</x:v>
      </x:c>
      <x:c r="G1396" s="9" t="str">
        <x:v>https://poke.idleworld.online/pokepedia/pokemon/pupitar</x:v>
      </x:c>
    </x:row>
    <x:row r="1397" ht="22" customHeight="1">
      <x:c r="A1397" s="1" t="n">
        <x:v>247</x:v>
      </x:c>
      <x:c r="B1397" s="1" t="str">
        <x:v>Pupitar</x:v>
      </x:c>
      <x:c r="C1397" s="1" t="str">
        <x:v>Stone Orb</x:v>
      </x:c>
      <x:c r="D1397" s="1" t="n">
        <x:v>1</x:v>
      </x:c>
      <x:c r="E1397" s="1" t="n">
        <x:v>2</x:v>
      </x:c>
      <x:c r="F1397" s="13" t="n">
        <x:v>0.3627365</x:v>
      </x:c>
      <x:c r="G1397" s="9" t="str">
        <x:v>https://poke.idleworld.online/pokepedia/pokemon/pupitar</x:v>
      </x:c>
    </x:row>
    <x:row r="1398" ht="22" customHeight="1">
      <x:c r="A1398" s="1" t="n">
        <x:v>247</x:v>
      </x:c>
      <x:c r="B1398" s="1" t="str">
        <x:v>Pupitar</x:v>
      </x:c>
      <x:c r="C1398" s="1" t="str">
        <x:v>Rock Stone</x:v>
      </x:c>
      <x:c r="D1398" s="1" t="n">
        <x:v>1</x:v>
      </x:c>
      <x:c r="E1398" s="1" t="n">
        <x:v>1</x:v>
      </x:c>
      <x:c r="F1398" s="13" t="n">
        <x:v>0.0008023</x:v>
      </x:c>
      <x:c r="G1398" s="9" t="str">
        <x:v>https://poke.idleworld.online/pokepedia/pokemon/pupitar</x:v>
      </x:c>
    </x:row>
    <x:row r="1399" ht="22" customHeight="1">
      <x:c r="A1399" s="1" t="n">
        <x:v>247</x:v>
      </x:c>
      <x:c r="B1399" s="1" t="str">
        <x:v>Pupitar</x:v>
      </x:c>
      <x:c r="C1399" s="1" t="str">
        <x:v>Lizard Tail</x:v>
      </x:c>
      <x:c r="D1399" s="1" t="n">
        <x:v>1</x:v>
      </x:c>
      <x:c r="E1399" s="1" t="n">
        <x:v>1</x:v>
      </x:c>
      <x:c r="F1399" s="13" t="n">
        <x:v>0.0452425</x:v>
      </x:c>
      <x:c r="G1399" s="9" t="str">
        <x:v>https://poke.idleworld.online/pokepedia/pokemon/pupitar</x:v>
      </x:c>
    </x:row>
    <x:row r="1400" ht="22" customHeight="1">
      <x:c r="A1400" s="1" t="n">
        <x:v>247</x:v>
      </x:c>
      <x:c r="B1400" s="1" t="str">
        <x:v>Pupitar</x:v>
      </x:c>
      <x:c r="C1400" s="1" t="str">
        <x:v>Sandbag</x:v>
      </x:c>
      <x:c r="D1400" s="1" t="n">
        <x:v>1</x:v>
      </x:c>
      <x:c r="E1400" s="1" t="n">
        <x:v>1</x:v>
      </x:c>
      <x:c r="F1400" s="13" t="n">
        <x:v>0.1809276</x:v>
      </x:c>
      <x:c r="G1400" s="9" t="str">
        <x:v>https://poke.idleworld.online/pokepedia/pokemon/pupitar</x:v>
      </x:c>
    </x:row>
    <x:row r="1401" ht="22" customHeight="1">
      <x:c r="A1401" s="1" t="n">
        <x:v>248</x:v>
      </x:c>
      <x:c r="B1401" s="1" t="str">
        <x:v>Tyranitar</x:v>
      </x:c>
      <x:c r="C1401" s="1" t="str">
        <x:v>Strange Pheromone</x:v>
      </x:c>
      <x:c r="D1401" s="1" t="n">
        <x:v>1</x:v>
      </x:c>
      <x:c r="E1401" s="1" t="n">
        <x:v>1</x:v>
      </x:c>
      <x:c r="F1401" s="13" t="n">
        <x:v>0</x:v>
      </x:c>
      <x:c r="G1401" s="9" t="str">
        <x:v>https://poke.idleworld.online/pokepedia/pokemon/tyranitar</x:v>
      </x:c>
    </x:row>
    <x:row r="1402" ht="22" customHeight="1">
      <x:c r="A1402" s="1" t="n">
        <x:v>248</x:v>
      </x:c>
      <x:c r="B1402" s="1" t="str">
        <x:v>Tyranitar</x:v>
      </x:c>
      <x:c r="C1402" s="1" t="str">
        <x:v>Ancient Stone</x:v>
      </x:c>
      <x:c r="D1402" s="1" t="n">
        <x:v>1</x:v>
      </x:c>
      <x:c r="E1402" s="1" t="n">
        <x:v>1</x:v>
      </x:c>
      <x:c r="F1402" s="13" t="n">
        <x:v>0.00048</x:v>
      </x:c>
      <x:c r="G1402" s="9" t="str">
        <x:v>https://poke.idleworld.online/pokepedia/pokemon/tyranitar</x:v>
      </x:c>
    </x:row>
    <x:row r="1403" ht="22" customHeight="1">
      <x:c r="A1403" s="1" t="n">
        <x:v>248</x:v>
      </x:c>
      <x:c r="B1403" s="1" t="str">
        <x:v>Tyranitar</x:v>
      </x:c>
      <x:c r="C1403" s="1" t="str">
        <x:v>Small Stone</x:v>
      </x:c>
      <x:c r="D1403" s="1" t="n">
        <x:v>1</x:v>
      </x:c>
      <x:c r="E1403" s="1" t="n">
        <x:v>5</x:v>
      </x:c>
      <x:c r="F1403" s="13" t="n">
        <x:v>0.4596111</x:v>
      </x:c>
      <x:c r="G1403" s="9" t="str">
        <x:v>https://poke.idleworld.online/pokepedia/pokemon/tyranitar</x:v>
      </x:c>
    </x:row>
    <x:row r="1404" ht="22" customHeight="1">
      <x:c r="A1404" s="1" t="n">
        <x:v>248</x:v>
      </x:c>
      <x:c r="B1404" s="1" t="str">
        <x:v>Tyranitar</x:v>
      </x:c>
      <x:c r="C1404" s="1" t="str">
        <x:v>Dark Gem</x:v>
      </x:c>
      <x:c r="D1404" s="1" t="n">
        <x:v>1</x:v>
      </x:c>
      <x:c r="E1404" s="1" t="n">
        <x:v>5</x:v>
      </x:c>
      <x:c r="F1404" s="13" t="n">
        <x:v>0.4596111</x:v>
      </x:c>
      <x:c r="G1404" s="9" t="str">
        <x:v>https://poke.idleworld.online/pokepedia/pokemon/tyranitar</x:v>
      </x:c>
    </x:row>
    <x:row r="1405" ht="22" customHeight="1">
      <x:c r="A1405" s="1" t="n">
        <x:v>248</x:v>
      </x:c>
      <x:c r="B1405" s="1" t="str">
        <x:v>Tyranitar</x:v>
      </x:c>
      <x:c r="C1405" s="1" t="str">
        <x:v>Stone Orb</x:v>
      </x:c>
      <x:c r="D1405" s="1" t="n">
        <x:v>1</x:v>
      </x:c>
      <x:c r="E1405" s="1" t="n">
        <x:v>12</x:v>
      </x:c>
      <x:c r="F1405" s="13" t="n">
        <x:v>0.4596111</x:v>
      </x:c>
      <x:c r="G1405" s="9" t="str">
        <x:v>https://poke.idleworld.online/pokepedia/pokemon/tyranitar</x:v>
      </x:c>
    </x:row>
    <x:row r="1406" ht="22" customHeight="1">
      <x:c r="A1406" s="1" t="n">
        <x:v>248</x:v>
      </x:c>
      <x:c r="B1406" s="1" t="str">
        <x:v>Tyranitar</x:v>
      </x:c>
      <x:c r="C1406" s="1" t="str">
        <x:v>Darkness Stone</x:v>
      </x:c>
      <x:c r="D1406" s="1" t="n">
        <x:v>1</x:v>
      </x:c>
      <x:c r="E1406" s="1" t="n">
        <x:v>1</x:v>
      </x:c>
      <x:c r="F1406" s="13" t="n">
        <x:v>0.00143</x:v>
      </x:c>
      <x:c r="G1406" s="9" t="str">
        <x:v>https://poke.idleworld.online/pokepedia/pokemon/tyranitar</x:v>
      </x:c>
    </x:row>
    <x:row r="1407" ht="22" customHeight="1">
      <x:c r="A1407" s="1" t="n">
        <x:v>248</x:v>
      </x:c>
      <x:c r="B1407" s="1" t="str">
        <x:v>Tyranitar</x:v>
      </x:c>
      <x:c r="C1407" s="1" t="str">
        <x:v>Rock Stone</x:v>
      </x:c>
      <x:c r="D1407" s="1" t="n">
        <x:v>1</x:v>
      </x:c>
      <x:c r="E1407" s="1" t="n">
        <x:v>1</x:v>
      </x:c>
      <x:c r="F1407" s="13" t="n">
        <x:v>0.00143</x:v>
      </x:c>
      <x:c r="G1407" s="9" t="str">
        <x:v>https://poke.idleworld.online/pokepedia/pokemon/tyranitar</x:v>
      </x:c>
    </x:row>
    <x:row r="1408" ht="22" customHeight="1">
      <x:c r="A1408" s="1" t="n">
        <x:v>248</x:v>
      </x:c>
      <x:c r="B1408" s="1" t="str">
        <x:v>Tyranitar</x:v>
      </x:c>
      <x:c r="C1408" s="1" t="str">
        <x:v>Lizard Tail</x:v>
      </x:c>
      <x:c r="D1408" s="1" t="n">
        <x:v>1</x:v>
      </x:c>
      <x:c r="E1408" s="1" t="n">
        <x:v>1</x:v>
      </x:c>
      <x:c r="F1408" s="13" t="n">
        <x:v>0.0904784</x:v>
      </x:c>
      <x:c r="G1408" s="9" t="str">
        <x:v>https://poke.idleworld.online/pokepedia/pokemon/tyranitar</x:v>
      </x:c>
    </x:row>
    <x:row r="1409" ht="22" customHeight="1">
      <x:c r="A1409" s="1" t="n">
        <x:v>248</x:v>
      </x:c>
      <x:c r="B1409" s="1" t="str">
        <x:v>Tyranitar</x:v>
      </x:c>
      <x:c r="C1409" s="1" t="str">
        <x:v>Sandbag</x:v>
      </x:c>
      <x:c r="D1409" s="1" t="n">
        <x:v>1</x:v>
      </x:c>
      <x:c r="E1409" s="1" t="n">
        <x:v>1</x:v>
      </x:c>
      <x:c r="F1409" s="13" t="n">
        <x:v>0.2410126</x:v>
      </x:c>
      <x:c r="G1409" s="9" t="str">
        <x:v>https://poke.idleworld.online/pokepedia/pokemon/tyranitar</x:v>
      </x:c>
    </x:row>
    <x:row r="1410" ht="22" customHeight="1">
      <x:c r="A1410" s="1" t="n">
        <x:v>249</x:v>
      </x:c>
      <x:c r="B1410" s="1" t="str">
        <x:v>Lugia</x:v>
      </x:c>
      <x:c r="C1410" s="1" t="str">
        <x:v>Strange Pheromone</x:v>
      </x:c>
      <x:c r="D1410" s="1" t="n">
        <x:v>1</x:v>
      </x:c>
      <x:c r="E1410" s="1" t="n">
        <x:v>1</x:v>
      </x:c>
      <x:c r="F1410" s="13" t="n">
        <x:v>0</x:v>
      </x:c>
      <x:c r="G1410" s="9" t="str">
        <x:v>https://poke.idleworld.online/pokepedia/pokemon/lugia</x:v>
      </x:c>
    </x:row>
    <x:row r="1411" ht="22" customHeight="1">
      <x:c r="A1411" s="1" t="n">
        <x:v>249</x:v>
      </x:c>
      <x:c r="B1411" s="1" t="str">
        <x:v>Lugia</x:v>
      </x:c>
      <x:c r="C1411" s="1" t="str">
        <x:v>Straw</x:v>
      </x:c>
      <x:c r="D1411" s="1" t="n">
        <x:v>1</x:v>
      </x:c>
      <x:c r="E1411" s="1" t="n">
        <x:v>5</x:v>
      </x:c>
      <x:c r="F1411" s="13" t="n">
        <x:v>0.8</x:v>
      </x:c>
      <x:c r="G1411" s="9" t="str">
        <x:v>https://poke.idleworld.online/pokepedia/pokemon/lugia</x:v>
      </x:c>
    </x:row>
    <x:row r="1412" ht="22" customHeight="1">
      <x:c r="A1412" s="1" t="n">
        <x:v>249</x:v>
      </x:c>
      <x:c r="B1412" s="1" t="str">
        <x:v>Lugia</x:v>
      </x:c>
      <x:c r="C1412" s="1" t="str">
        <x:v>Enchanted Gem</x:v>
      </x:c>
      <x:c r="D1412" s="1" t="n">
        <x:v>1</x:v>
      </x:c>
      <x:c r="E1412" s="1" t="n">
        <x:v>20</x:v>
      </x:c>
      <x:c r="F1412" s="13" t="n">
        <x:v>0.8</x:v>
      </x:c>
      <x:c r="G1412" s="9" t="str">
        <x:v>https://poke.idleworld.online/pokepedia/pokemon/lugia</x:v>
      </x:c>
    </x:row>
    <x:row r="1413" ht="22" customHeight="1">
      <x:c r="A1413" s="1" t="n">
        <x:v>249</x:v>
      </x:c>
      <x:c r="B1413" s="1" t="str">
        <x:v>Lugia</x:v>
      </x:c>
      <x:c r="C1413" s="1" t="str">
        <x:v>Feather</x:v>
      </x:c>
      <x:c r="D1413" s="1" t="n">
        <x:v>1</x:v>
      </x:c>
      <x:c r="E1413" s="1" t="n">
        <x:v>15</x:v>
      </x:c>
      <x:c r="F1413" s="13" t="n">
        <x:v>0.8</x:v>
      </x:c>
      <x:c r="G1413" s="9" t="str">
        <x:v>https://poke.idleworld.online/pokepedia/pokemon/lugia</x:v>
      </x:c>
    </x:row>
    <x:row r="1414" ht="22" customHeight="1">
      <x:c r="A1414" s="1" t="n">
        <x:v>249</x:v>
      </x:c>
      <x:c r="B1414" s="1" t="str">
        <x:v>Lugia</x:v>
      </x:c>
      <x:c r="C1414" s="1" t="str">
        <x:v>Colored Feather</x:v>
      </x:c>
      <x:c r="D1414" s="1" t="n">
        <x:v>1</x:v>
      </x:c>
      <x:c r="E1414" s="1" t="n">
        <x:v>1</x:v>
      </x:c>
      <x:c r="F1414" s="13" t="n">
        <x:v>0.095</x:v>
      </x:c>
      <x:c r="G1414" s="9" t="str">
        <x:v>https://poke.idleworld.online/pokepedia/pokemon/lugia</x:v>
      </x:c>
    </x:row>
    <x:row r="1415" ht="22" customHeight="1">
      <x:c r="A1415" s="1" t="n">
        <x:v>249</x:v>
      </x:c>
      <x:c r="B1415" s="1" t="str">
        <x:v>Lugia</x:v>
      </x:c>
      <x:c r="C1415" s="1" t="str">
        <x:v>Psychic Spoon</x:v>
      </x:c>
      <x:c r="D1415" s="1" t="n">
        <x:v>1</x:v>
      </x:c>
      <x:c r="E1415" s="1" t="n">
        <x:v>2</x:v>
      </x:c>
      <x:c r="F1415" s="13" t="n">
        <x:v>0.2</x:v>
      </x:c>
      <x:c r="G1415" s="9" t="str">
        <x:v>https://poke.idleworld.online/pokepedia/pokemon/lugia</x:v>
      </x:c>
    </x:row>
    <x:row r="1416" ht="22" customHeight="1">
      <x:c r="A1416" s="1" t="n">
        <x:v>249</x:v>
      </x:c>
      <x:c r="B1416" s="1" t="str">
        <x:v>Lugia</x:v>
      </x:c>
      <x:c r="C1416" s="1" t="str">
        <x:v>Crystal Stone</x:v>
      </x:c>
      <x:c r="D1416" s="1" t="n">
        <x:v>1</x:v>
      </x:c>
      <x:c r="E1416" s="1" t="n">
        <x:v>1</x:v>
      </x:c>
      <x:c r="F1416" s="13" t="n">
        <x:v>0.005</x:v>
      </x:c>
      <x:c r="G1416" s="9" t="str">
        <x:v>https://poke.idleworld.online/pokepedia/pokemon/lugia</x:v>
      </x:c>
    </x:row>
    <x:row r="1417" ht="22" customHeight="1">
      <x:c r="A1417" s="1" t="n">
        <x:v>249</x:v>
      </x:c>
      <x:c r="B1417" s="1" t="str">
        <x:v>Lugia</x:v>
      </x:c>
      <x:c r="C1417" s="1" t="str">
        <x:v>Enigma Stone</x:v>
      </x:c>
      <x:c r="D1417" s="1" t="n">
        <x:v>1</x:v>
      </x:c>
      <x:c r="E1417" s="1" t="n">
        <x:v>1</x:v>
      </x:c>
      <x:c r="F1417" s="13" t="n">
        <x:v>0.005</x:v>
      </x:c>
      <x:c r="G1417" s="9" t="str">
        <x:v>https://poke.idleworld.online/pokepedia/pokemon/lugia</x:v>
      </x:c>
    </x:row>
    <x:row r="1418" ht="22" customHeight="1">
      <x:c r="A1418" s="1" t="n">
        <x:v>250</x:v>
      </x:c>
      <x:c r="B1418" s="1" t="str">
        <x:v>Ho-oh</x:v>
      </x:c>
      <x:c r="C1418" s="1" t="str">
        <x:v>Strange Pheromone</x:v>
      </x:c>
      <x:c r="D1418" s="1" t="n">
        <x:v>1</x:v>
      </x:c>
      <x:c r="E1418" s="1" t="n">
        <x:v>1</x:v>
      </x:c>
      <x:c r="F1418" s="13" t="n">
        <x:v>0</x:v>
      </x:c>
      <x:c r="G1418" s="9" t="str">
        <x:v>https://poke.idleworld.online/pokepedia/pokemon/hooh</x:v>
      </x:c>
    </x:row>
    <x:row r="1419" ht="22" customHeight="1">
      <x:c r="A1419" s="1" t="n">
        <x:v>250</x:v>
      </x:c>
      <x:c r="B1419" s="1" t="str">
        <x:v>Ho-oh</x:v>
      </x:c>
      <x:c r="C1419" s="1" t="str">
        <x:v>Straw</x:v>
      </x:c>
      <x:c r="D1419" s="1" t="n">
        <x:v>1</x:v>
      </x:c>
      <x:c r="E1419" s="1" t="n">
        <x:v>5</x:v>
      </x:c>
      <x:c r="F1419" s="13" t="n">
        <x:v>0.8</x:v>
      </x:c>
      <x:c r="G1419" s="9" t="str">
        <x:v>https://poke.idleworld.online/pokepedia/pokemon/hooh</x:v>
      </x:c>
    </x:row>
    <x:row r="1420" ht="22" customHeight="1">
      <x:c r="A1420" s="1" t="n">
        <x:v>250</x:v>
      </x:c>
      <x:c r="B1420" s="1" t="str">
        <x:v>Ho-oh</x:v>
      </x:c>
      <x:c r="C1420" s="1" t="str">
        <x:v>Red Wing</x:v>
      </x:c>
      <x:c r="D1420" s="1" t="n">
        <x:v>1</x:v>
      </x:c>
      <x:c r="E1420" s="1" t="n">
        <x:v>5</x:v>
      </x:c>
      <x:c r="F1420" s="13" t="n">
        <x:v>0.265</x:v>
      </x:c>
      <x:c r="G1420" s="9" t="str">
        <x:v>https://poke.idleworld.online/pokepedia/pokemon/hooh</x:v>
      </x:c>
    </x:row>
    <x:row r="1421" ht="22" customHeight="1">
      <x:c r="A1421" s="1" t="n">
        <x:v>250</x:v>
      </x:c>
      <x:c r="B1421" s="1" t="str">
        <x:v>Ho-oh</x:v>
      </x:c>
      <x:c r="C1421" s="1" t="str">
        <x:v>Colored Feather</x:v>
      </x:c>
      <x:c r="D1421" s="1" t="n">
        <x:v>1</x:v>
      </x:c>
      <x:c r="E1421" s="1" t="n">
        <x:v>1</x:v>
      </x:c>
      <x:c r="F1421" s="13" t="n">
        <x:v>0.1</x:v>
      </x:c>
      <x:c r="G1421" s="9" t="str">
        <x:v>https://poke.idleworld.online/pokepedia/pokemon/hooh</x:v>
      </x:c>
    </x:row>
    <x:row r="1422" ht="22" customHeight="1">
      <x:c r="A1422" s="1" t="n">
        <x:v>250</x:v>
      </x:c>
      <x:c r="B1422" s="1" t="str">
        <x:v>Ho-oh</x:v>
      </x:c>
      <x:c r="C1422" s="1" t="str">
        <x:v>Essence of Fire</x:v>
      </x:c>
      <x:c r="D1422" s="1" t="n">
        <x:v>1</x:v>
      </x:c>
      <x:c r="E1422" s="1" t="n">
        <x:v>2</x:v>
      </x:c>
      <x:c r="F1422" s="13" t="n">
        <x:v>0.2</x:v>
      </x:c>
      <x:c r="G1422" s="9" t="str">
        <x:v>https://poke.idleworld.online/pokepedia/pokemon/hooh</x:v>
      </x:c>
    </x:row>
    <x:row r="1423" ht="22" customHeight="1">
      <x:c r="A1423" s="1" t="n">
        <x:v>250</x:v>
      </x:c>
      <x:c r="B1423" s="1" t="str">
        <x:v>Ho-oh</x:v>
      </x:c>
      <x:c r="C1423" s="1" t="str">
        <x:v>Crystal Stone</x:v>
      </x:c>
      <x:c r="D1423" s="1" t="n">
        <x:v>1</x:v>
      </x:c>
      <x:c r="E1423" s="1" t="n">
        <x:v>1</x:v>
      </x:c>
      <x:c r="F1423" s="13" t="n">
        <x:v>0.005</x:v>
      </x:c>
      <x:c r="G1423" s="9" t="str">
        <x:v>https://poke.idleworld.online/pokepedia/pokemon/hooh</x:v>
      </x:c>
    </x:row>
    <x:row r="1424" ht="22" customHeight="1">
      <x:c r="A1424" s="1" t="n">
        <x:v>250</x:v>
      </x:c>
      <x:c r="B1424" s="1" t="str">
        <x:v>Ho-oh</x:v>
      </x:c>
      <x:c r="C1424" s="1" t="str">
        <x:v>Fire Stone</x:v>
      </x:c>
      <x:c r="D1424" s="1" t="n">
        <x:v>1</x:v>
      </x:c>
      <x:c r="E1424" s="1" t="n">
        <x:v>1</x:v>
      </x:c>
      <x:c r="F1424" s="13" t="n">
        <x:v>0.005</x:v>
      </x:c>
      <x:c r="G1424" s="9" t="str">
        <x:v>https://poke.idleworld.online/pokepedia/pokemon/hooh</x:v>
      </x:c>
    </x:row>
    <x:row r="1425" ht="22" customHeight="1">
      <x:c r="A1425" s="1" t="n">
        <x:v>251</x:v>
      </x:c>
      <x:c r="B1425" s="1" t="str">
        <x:v>Celebi</x:v>
      </x:c>
      <x:c r="C1425" s="1" t="str">
        <x:v>Strange Pheromone</x:v>
      </x:c>
      <x:c r="D1425" s="1" t="n">
        <x:v>1</x:v>
      </x:c>
      <x:c r="E1425" s="1" t="n">
        <x:v>1</x:v>
      </x:c>
      <x:c r="F1425" s="13" t="n">
        <x:v>0</x:v>
      </x:c>
      <x:c r="G1425" s="9" t="str">
        <x:v>https://poke.idleworld.online/pokepedia/pokemon/celebi</x:v>
      </x:c>
    </x:row>
    <x:row r="1426" ht="22" customHeight="1">
      <x:c r="A1426" s="1" t="n">
        <x:v>251</x:v>
      </x:c>
      <x:c r="B1426" s="1" t="str">
        <x:v>Celebi</x:v>
      </x:c>
      <x:c r="C1426" s="1" t="str">
        <x:v>Seed</x:v>
      </x:c>
      <x:c r="D1426" s="1" t="n">
        <x:v>1</x:v>
      </x:c>
      <x:c r="E1426" s="1" t="n">
        <x:v>5</x:v>
      </x:c>
      <x:c r="F1426" s="13" t="n">
        <x:v>0.8</x:v>
      </x:c>
      <x:c r="G1426" s="9" t="str">
        <x:v>https://poke.idleworld.online/pokepedia/pokemon/celebi</x:v>
      </x:c>
    </x:row>
    <x:row r="1427" ht="22" customHeight="1">
      <x:c r="A1427" s="1" t="n">
        <x:v>251</x:v>
      </x:c>
      <x:c r="B1427" s="1" t="str">
        <x:v>Celebi</x:v>
      </x:c>
      <x:c r="C1427" s="1" t="str">
        <x:v>Enchanted Gem</x:v>
      </x:c>
      <x:c r="D1427" s="1" t="n">
        <x:v>1</x:v>
      </x:c>
      <x:c r="E1427" s="1" t="n">
        <x:v>15</x:v>
      </x:c>
      <x:c r="F1427" s="13" t="n">
        <x:v>0.8</x:v>
      </x:c>
      <x:c r="G1427" s="9" t="str">
        <x:v>https://poke.idleworld.online/pokepedia/pokemon/celebi</x:v>
      </x:c>
    </x:row>
    <x:row r="1428" ht="22" customHeight="1">
      <x:c r="A1428" s="1" t="n">
        <x:v>251</x:v>
      </x:c>
      <x:c r="B1428" s="1" t="str">
        <x:v>Celebi</x:v>
      </x:c>
      <x:c r="C1428" s="1" t="str">
        <x:v>Strange Flower</x:v>
      </x:c>
      <x:c r="D1428" s="1" t="n">
        <x:v>1</x:v>
      </x:c>
      <x:c r="E1428" s="1" t="n">
        <x:v>4</x:v>
      </x:c>
      <x:c r="F1428" s="13" t="n">
        <x:v>0.25</x:v>
      </x:c>
      <x:c r="G1428" s="9" t="str">
        <x:v>https://poke.idleworld.online/pokepedia/pokemon/celebi</x:v>
      </x:c>
    </x:row>
    <x:row r="1429" ht="22" customHeight="1">
      <x:c r="A1429" s="1" t="n">
        <x:v>251</x:v>
      </x:c>
      <x:c r="B1429" s="1" t="str">
        <x:v>Celebi</x:v>
      </x:c>
      <x:c r="C1429" s="1" t="str">
        <x:v>Bag of Pollen</x:v>
      </x:c>
      <x:c r="D1429" s="1" t="n">
        <x:v>1</x:v>
      </x:c>
      <x:c r="E1429" s="1" t="n">
        <x:v>3</x:v>
      </x:c>
      <x:c r="F1429" s="13" t="n">
        <x:v>0.4</x:v>
      </x:c>
      <x:c r="G1429" s="9" t="str">
        <x:v>https://poke.idleworld.online/pokepedia/pokemon/celebi</x:v>
      </x:c>
    </x:row>
    <x:row r="1430" ht="22" customHeight="1">
      <x:c r="A1430" s="1" t="n">
        <x:v>251</x:v>
      </x:c>
      <x:c r="B1430" s="1" t="str">
        <x:v>Celebi</x:v>
      </x:c>
      <x:c r="C1430" s="1" t="str">
        <x:v>Future Orb</x:v>
      </x:c>
      <x:c r="D1430" s="1" t="n">
        <x:v>1</x:v>
      </x:c>
      <x:c r="E1430" s="1" t="n">
        <x:v>2</x:v>
      </x:c>
      <x:c r="F1430" s="13" t="n">
        <x:v>0.2</x:v>
      </x:c>
      <x:c r="G1430" s="9" t="str">
        <x:v>https://poke.idleworld.online/pokepedia/pokemon/celebi</x:v>
      </x:c>
    </x:row>
    <x:row r="1431" ht="22" customHeight="1">
      <x:c r="A1431" s="1" t="n">
        <x:v>251</x:v>
      </x:c>
      <x:c r="B1431" s="1" t="str">
        <x:v>Celebi</x:v>
      </x:c>
      <x:c r="C1431" s="1" t="str">
        <x:v>Crystal Stone</x:v>
      </x:c>
      <x:c r="D1431" s="1" t="n">
        <x:v>1</x:v>
      </x:c>
      <x:c r="E1431" s="1" t="n">
        <x:v>1</x:v>
      </x:c>
      <x:c r="F1431" s="13" t="n">
        <x:v>0.005</x:v>
      </x:c>
      <x:c r="G1431" s="9" t="str">
        <x:v>https://poke.idleworld.online/pokepedia/pokemon/celebi</x:v>
      </x:c>
    </x:row>
    <x:row r="1432" ht="22" customHeight="1">
      <x:c r="A1432" s="1" t="n">
        <x:v>251</x:v>
      </x:c>
      <x:c r="B1432" s="1" t="str">
        <x:v>Celebi</x:v>
      </x:c>
      <x:c r="C1432" s="1" t="str">
        <x:v>Enigma Stone</x:v>
      </x:c>
      <x:c r="D1432" s="1" t="n">
        <x:v>1</x:v>
      </x:c>
      <x:c r="E1432" s="1" t="n">
        <x:v>1</x:v>
      </x:c>
      <x:c r="F1432" s="13" t="n">
        <x:v>0.005</x:v>
      </x:c>
      <x:c r="G1432" s="9" t="str">
        <x:v>https://poke.idleworld.online/pokepedia/pokemon/celebi</x:v>
      </x:c>
    </x:row>
    <x:row r="1433" ht="22" customHeight="1">
      <x:c r="A1433" s="1" t="n">
        <x:v>252</x:v>
      </x:c>
      <x:c r="B1433" s="1" t="str">
        <x:v>Treecko</x:v>
      </x:c>
      <x:c r="C1433" s="1" t="str">
        <x:v>Seed</x:v>
      </x:c>
      <x:c r="D1433" s="1" t="n">
        <x:v>1</x:v>
      </x:c>
      <x:c r="E1433" s="1" t="n">
        <x:v>10</x:v>
      </x:c>
      <x:c r="F1433" s="13" t="n">
        <x:v>0.8</x:v>
      </x:c>
      <x:c r="G1433" s="9" t="str">
        <x:v>https://poke.idleworld.online/pokepedia/pokemon/treecko</x:v>
      </x:c>
    </x:row>
    <x:row r="1434" ht="22" customHeight="1">
      <x:c r="A1434" s="1" t="n">
        <x:v>252</x:v>
      </x:c>
      <x:c r="B1434" s="1" t="str">
        <x:v>Treecko</x:v>
      </x:c>
      <x:c r="C1434" s="1" t="str">
        <x:v>Leaves</x:v>
      </x:c>
      <x:c r="D1434" s="1" t="n">
        <x:v>1</x:v>
      </x:c>
      <x:c r="E1434" s="1" t="n">
        <x:v>1</x:v>
      </x:c>
      <x:c r="F1434" s="13" t="n">
        <x:v>0.26</x:v>
      </x:c>
      <x:c r="G1434" s="9" t="str">
        <x:v>https://poke.idleworld.online/pokepedia/pokemon/treecko</x:v>
      </x:c>
    </x:row>
    <x:row r="1435" ht="22" customHeight="1">
      <x:c r="A1435" s="1" t="n">
        <x:v>252</x:v>
      </x:c>
      <x:c r="B1435" s="1" t="str">
        <x:v>Treecko</x:v>
      </x:c>
      <x:c r="C1435" s="1" t="str">
        <x:v>greens</x:v>
      </x:c>
      <x:c r="D1435" s="1" t="n">
        <x:v>1</x:v>
      </x:c>
      <x:c r="E1435" s="1" t="n">
        <x:v>1</x:v>
      </x:c>
      <x:c r="F1435" s="13" t="n">
        <x:v>0.01</x:v>
      </x:c>
      <x:c r="G1435" s="9" t="str">
        <x:v>https://poke.idleworld.online/pokepedia/pokemon/treecko</x:v>
      </x:c>
    </x:row>
    <x:row r="1436" ht="22" customHeight="1">
      <x:c r="A1436" s="1" t="n">
        <x:v>253</x:v>
      </x:c>
      <x:c r="B1436" s="1" t="str">
        <x:v>Grovyle</x:v>
      </x:c>
      <x:c r="C1436" s="1" t="str">
        <x:v>Seed</x:v>
      </x:c>
      <x:c r="D1436" s="1" t="n">
        <x:v>1</x:v>
      </x:c>
      <x:c r="E1436" s="1" t="n">
        <x:v>20</x:v>
      </x:c>
      <x:c r="F1436" s="13" t="n">
        <x:v>0.8</x:v>
      </x:c>
      <x:c r="G1436" s="9" t="str">
        <x:v>https://poke.idleworld.online/pokepedia/pokemon/grovyle</x:v>
      </x:c>
    </x:row>
    <x:row r="1437" ht="22" customHeight="1">
      <x:c r="A1437" s="1" t="n">
        <x:v>253</x:v>
      </x:c>
      <x:c r="B1437" s="1" t="str">
        <x:v>Grovyle</x:v>
      </x:c>
      <x:c r="C1437" s="1" t="str">
        <x:v>Leaf Stone</x:v>
      </x:c>
      <x:c r="D1437" s="1" t="n">
        <x:v>1</x:v>
      </x:c>
      <x:c r="E1437" s="1" t="n">
        <x:v>1</x:v>
      </x:c>
      <x:c r="F1437" s="13" t="n">
        <x:v>0.01</x:v>
      </x:c>
      <x:c r="G1437" s="9" t="str">
        <x:v>https://poke.idleworld.online/pokepedia/pokemon/grovyle</x:v>
      </x:c>
    </x:row>
    <x:row r="1438" ht="22" customHeight="1">
      <x:c r="A1438" s="1" t="n">
        <x:v>253</x:v>
      </x:c>
      <x:c r="B1438" s="1" t="str">
        <x:v>Grovyle</x:v>
      </x:c>
      <x:c r="C1438" s="1" t="str">
        <x:v>Leaves</x:v>
      </x:c>
      <x:c r="D1438" s="1" t="n">
        <x:v>1</x:v>
      </x:c>
      <x:c r="E1438" s="1" t="n">
        <x:v>1</x:v>
      </x:c>
      <x:c r="F1438" s="13" t="n">
        <x:v>0.32</x:v>
      </x:c>
      <x:c r="G1438" s="9" t="str">
        <x:v>https://poke.idleworld.online/pokepedia/pokemon/grovyle</x:v>
      </x:c>
    </x:row>
    <x:row r="1439" ht="22" customHeight="1">
      <x:c r="A1439" s="1" t="n">
        <x:v>253</x:v>
      </x:c>
      <x:c r="B1439" s="1" t="str">
        <x:v>Grovyle</x:v>
      </x:c>
      <x:c r="C1439" s="1" t="str">
        <x:v>greens</x:v>
      </x:c>
      <x:c r="D1439" s="1" t="n">
        <x:v>1</x:v>
      </x:c>
      <x:c r="E1439" s="1" t="n">
        <x:v>1</x:v>
      </x:c>
      <x:c r="F1439" s="13" t="n">
        <x:v>0.02</x:v>
      </x:c>
      <x:c r="G1439" s="9" t="str">
        <x:v>https://poke.idleworld.online/pokepedia/pokemon/grovyle</x:v>
      </x:c>
    </x:row>
    <x:row r="1440" ht="22" customHeight="1">
      <x:c r="A1440" s="1" t="n">
        <x:v>254</x:v>
      </x:c>
      <x:c r="B1440" s="1" t="str">
        <x:v>Sceptile</x:v>
      </x:c>
      <x:c r="C1440" s="1" t="str">
        <x:v>Seed</x:v>
      </x:c>
      <x:c r="D1440" s="1" t="n">
        <x:v>1</x:v>
      </x:c>
      <x:c r="E1440" s="1" t="n">
        <x:v>43</x:v>
      </x:c>
      <x:c r="F1440" s="13" t="n">
        <x:v>0.8</x:v>
      </x:c>
      <x:c r="G1440" s="9" t="str">
        <x:v>https://poke.idleworld.online/pokepedia/pokemon/sceptile</x:v>
      </x:c>
    </x:row>
    <x:row r="1441" ht="22" customHeight="1">
      <x:c r="A1441" s="1" t="n">
        <x:v>254</x:v>
      </x:c>
      <x:c r="B1441" s="1" t="str">
        <x:v>Sceptile</x:v>
      </x:c>
      <x:c r="C1441" s="1" t="str">
        <x:v>Leaf Stone</x:v>
      </x:c>
      <x:c r="D1441" s="1" t="n">
        <x:v>1</x:v>
      </x:c>
      <x:c r="E1441" s="1" t="n">
        <x:v>1</x:v>
      </x:c>
      <x:c r="F1441" s="13" t="n">
        <x:v>0.01</x:v>
      </x:c>
      <x:c r="G1441" s="9" t="str">
        <x:v>https://poke.idleworld.online/pokepedia/pokemon/sceptile</x:v>
      </x:c>
    </x:row>
    <x:row r="1442" ht="22" customHeight="1">
      <x:c r="A1442" s="1" t="n">
        <x:v>254</x:v>
      </x:c>
      <x:c r="B1442" s="1" t="str">
        <x:v>Sceptile</x:v>
      </x:c>
      <x:c r="C1442" s="1" t="str">
        <x:v>Leaves</x:v>
      </x:c>
      <x:c r="D1442" s="1" t="n">
        <x:v>1</x:v>
      </x:c>
      <x:c r="E1442" s="1" t="n">
        <x:v>1</x:v>
      </x:c>
      <x:c r="F1442" s="13" t="n">
        <x:v>0.49</x:v>
      </x:c>
      <x:c r="G1442" s="9" t="str">
        <x:v>https://poke.idleworld.online/pokepedia/pokemon/sceptile</x:v>
      </x:c>
    </x:row>
    <x:row r="1443" ht="22" customHeight="1">
      <x:c r="A1443" s="1" t="n">
        <x:v>254</x:v>
      </x:c>
      <x:c r="B1443" s="1" t="str">
        <x:v>Sceptile</x:v>
      </x:c>
      <x:c r="C1443" s="1" t="str">
        <x:v>greens</x:v>
      </x:c>
      <x:c r="D1443" s="1" t="n">
        <x:v>1</x:v>
      </x:c>
      <x:c r="E1443" s="1" t="n">
        <x:v>1</x:v>
      </x:c>
      <x:c r="F1443" s="13" t="n">
        <x:v>0.0425</x:v>
      </x:c>
      <x:c r="G1443" s="9" t="str">
        <x:v>https://poke.idleworld.online/pokepedia/pokemon/sceptile</x:v>
      </x:c>
    </x:row>
    <x:row r="1444" ht="22" customHeight="1">
      <x:c r="A1444" s="1" t="n">
        <x:v>255</x:v>
      </x:c>
      <x:c r="B1444" s="1" t="str">
        <x:v>Torchic</x:v>
      </x:c>
      <x:c r="C1444" s="1" t="str">
        <x:v>fire feather</x:v>
      </x:c>
      <x:c r="D1444" s="1" t="n">
        <x:v>1</x:v>
      </x:c>
      <x:c r="E1444" s="1" t="n">
        <x:v>1</x:v>
      </x:c>
      <x:c r="F1444" s="13" t="n">
        <x:v>0.01</x:v>
      </x:c>
      <x:c r="G1444" s="9" t="str">
        <x:v>https://poke.idleworld.online/pokepedia/pokemon/torchic</x:v>
      </x:c>
    </x:row>
    <x:row r="1445" ht="22" customHeight="1">
      <x:c r="A1445" s="1" t="n">
        <x:v>255</x:v>
      </x:c>
      <x:c r="B1445" s="1" t="str">
        <x:v>Torchic</x:v>
      </x:c>
      <x:c r="C1445" s="1" t="str">
        <x:v>Essence of Fire</x:v>
      </x:c>
      <x:c r="D1445" s="1" t="n">
        <x:v>1</x:v>
      </x:c>
      <x:c r="E1445" s="1" t="n">
        <x:v>10</x:v>
      </x:c>
      <x:c r="F1445" s="13" t="n">
        <x:v>0.8</x:v>
      </x:c>
      <x:c r="G1445" s="9" t="str">
        <x:v>https://poke.idleworld.online/pokepedia/pokemon/torchic</x:v>
      </x:c>
    </x:row>
    <x:row r="1446" ht="22" customHeight="1">
      <x:c r="A1446" s="1" t="n">
        <x:v>255</x:v>
      </x:c>
      <x:c r="B1446" s="1" t="str">
        <x:v>Torchic</x:v>
      </x:c>
      <x:c r="C1446" s="1" t="str">
        <x:v>Pot of Lava</x:v>
      </x:c>
      <x:c r="D1446" s="1" t="n">
        <x:v>1</x:v>
      </x:c>
      <x:c r="E1446" s="1" t="n">
        <x:v>1</x:v>
      </x:c>
      <x:c r="F1446" s="13" t="n">
        <x:v>0.21</x:v>
      </x:c>
      <x:c r="G1446" s="9" t="str">
        <x:v>https://poke.idleworld.online/pokepedia/pokemon/torchic</x:v>
      </x:c>
    </x:row>
    <x:row r="1447" ht="22" customHeight="1">
      <x:c r="A1447" s="1" t="n">
        <x:v>256</x:v>
      </x:c>
      <x:c r="B1447" s="1" t="str">
        <x:v>Combusken</x:v>
      </x:c>
      <x:c r="C1447" s="1" t="str">
        <x:v>fire feather</x:v>
      </x:c>
      <x:c r="D1447" s="1" t="n">
        <x:v>1</x:v>
      </x:c>
      <x:c r="E1447" s="1" t="n">
        <x:v>1</x:v>
      </x:c>
      <x:c r="F1447" s="13" t="n">
        <x:v>0.02</x:v>
      </x:c>
      <x:c r="G1447" s="9" t="str">
        <x:v>https://poke.idleworld.online/pokepedia/pokemon/combusken</x:v>
      </x:c>
    </x:row>
    <x:row r="1448" ht="22" customHeight="1">
      <x:c r="A1448" s="1" t="n">
        <x:v>256</x:v>
      </x:c>
      <x:c r="B1448" s="1" t="str">
        <x:v>Combusken</x:v>
      </x:c>
      <x:c r="C1448" s="1" t="str">
        <x:v>band-aid</x:v>
      </x:c>
      <x:c r="D1448" s="1" t="n">
        <x:v>1</x:v>
      </x:c>
      <x:c r="E1448" s="1" t="n">
        <x:v>10</x:v>
      </x:c>
      <x:c r="F1448" s="13" t="n">
        <x:v>0.8</x:v>
      </x:c>
      <x:c r="G1448" s="9" t="str">
        <x:v>https://poke.idleworld.online/pokepedia/pokemon/combusken</x:v>
      </x:c>
    </x:row>
    <x:row r="1449" ht="22" customHeight="1">
      <x:c r="A1449" s="1" t="n">
        <x:v>256</x:v>
      </x:c>
      <x:c r="B1449" s="1" t="str">
        <x:v>Combusken</x:v>
      </x:c>
      <x:c r="C1449" s="1" t="str">
        <x:v>Essence of Fire</x:v>
      </x:c>
      <x:c r="D1449" s="1" t="n">
        <x:v>1</x:v>
      </x:c>
      <x:c r="E1449" s="1" t="n">
        <x:v>10</x:v>
      </x:c>
      <x:c r="F1449" s="13" t="n">
        <x:v>0.8</x:v>
      </x:c>
      <x:c r="G1449" s="9" t="str">
        <x:v>https://poke.idleworld.online/pokepedia/pokemon/combusken</x:v>
      </x:c>
    </x:row>
    <x:row r="1450" ht="22" customHeight="1">
      <x:c r="A1450" s="1" t="n">
        <x:v>256</x:v>
      </x:c>
      <x:c r="B1450" s="1" t="str">
        <x:v>Combusken</x:v>
      </x:c>
      <x:c r="C1450" s="1" t="str">
        <x:v>Fire Stone</x:v>
      </x:c>
      <x:c r="D1450" s="1" t="n">
        <x:v>1</x:v>
      </x:c>
      <x:c r="E1450" s="1" t="n">
        <x:v>1</x:v>
      </x:c>
      <x:c r="F1450" s="13" t="n">
        <x:v>0.01</x:v>
      </x:c>
      <x:c r="G1450" s="9" t="str">
        <x:v>https://poke.idleworld.online/pokepedia/pokemon/combusken</x:v>
      </x:c>
    </x:row>
    <x:row r="1451" ht="22" customHeight="1">
      <x:c r="A1451" s="1" t="n">
        <x:v>256</x:v>
      </x:c>
      <x:c r="B1451" s="1" t="str">
        <x:v>Combusken</x:v>
      </x:c>
      <x:c r="C1451" s="1" t="str">
        <x:v>Punch Stone</x:v>
      </x:c>
      <x:c r="D1451" s="1" t="n">
        <x:v>1</x:v>
      </x:c>
      <x:c r="E1451" s="1" t="n">
        <x:v>1</x:v>
      </x:c>
      <x:c r="F1451" s="13" t="n">
        <x:v>0.01</x:v>
      </x:c>
      <x:c r="G1451" s="9" t="str">
        <x:v>https://poke.idleworld.online/pokepedia/pokemon/combusken</x:v>
      </x:c>
    </x:row>
    <x:row r="1452" ht="22" customHeight="1">
      <x:c r="A1452" s="1" t="n">
        <x:v>256</x:v>
      </x:c>
      <x:c r="B1452" s="1" t="str">
        <x:v>Combusken</x:v>
      </x:c>
      <x:c r="C1452" s="1" t="str">
        <x:v>Pot of Lava</x:v>
      </x:c>
      <x:c r="D1452" s="1" t="n">
        <x:v>1</x:v>
      </x:c>
      <x:c r="E1452" s="1" t="n">
        <x:v>1</x:v>
      </x:c>
      <x:c r="F1452" s="13" t="n">
        <x:v>0.32</x:v>
      </x:c>
      <x:c r="G1452" s="9" t="str">
        <x:v>https://poke.idleworld.online/pokepedia/pokemon/combusken</x:v>
      </x:c>
    </x:row>
    <x:row r="1453" ht="22" customHeight="1">
      <x:c r="A1453" s="1" t="n">
        <x:v>257</x:v>
      </x:c>
      <x:c r="B1453" s="1" t="str">
        <x:v>Blaziken</x:v>
      </x:c>
      <x:c r="C1453" s="1" t="str">
        <x:v>fire feather</x:v>
      </x:c>
      <x:c r="D1453" s="1" t="n">
        <x:v>1</x:v>
      </x:c>
      <x:c r="E1453" s="1" t="n">
        <x:v>1</x:v>
      </x:c>
      <x:c r="F1453" s="13" t="n">
        <x:v>0.0425</x:v>
      </x:c>
      <x:c r="G1453" s="9" t="str">
        <x:v>https://poke.idleworld.online/pokepedia/pokemon/blaziken</x:v>
      </x:c>
    </x:row>
    <x:row r="1454" ht="22" customHeight="1">
      <x:c r="A1454" s="1" t="n">
        <x:v>257</x:v>
      </x:c>
      <x:c r="B1454" s="1" t="str">
        <x:v>Blaziken</x:v>
      </x:c>
      <x:c r="C1454" s="1" t="str">
        <x:v>band-aid</x:v>
      </x:c>
      <x:c r="D1454" s="1" t="n">
        <x:v>1</x:v>
      </x:c>
      <x:c r="E1454" s="1" t="n">
        <x:v>21</x:v>
      </x:c>
      <x:c r="F1454" s="13" t="n">
        <x:v>0.8</x:v>
      </x:c>
      <x:c r="G1454" s="9" t="str">
        <x:v>https://poke.idleworld.online/pokepedia/pokemon/blaziken</x:v>
      </x:c>
    </x:row>
    <x:row r="1455" ht="22" customHeight="1">
      <x:c r="A1455" s="1" t="n">
        <x:v>257</x:v>
      </x:c>
      <x:c r="B1455" s="1" t="str">
        <x:v>Blaziken</x:v>
      </x:c>
      <x:c r="C1455" s="1" t="str">
        <x:v>Essence of Fire</x:v>
      </x:c>
      <x:c r="D1455" s="1" t="n">
        <x:v>1</x:v>
      </x:c>
      <x:c r="E1455" s="1" t="n">
        <x:v>21</x:v>
      </x:c>
      <x:c r="F1455" s="13" t="n">
        <x:v>0.8</x:v>
      </x:c>
      <x:c r="G1455" s="9" t="str">
        <x:v>https://poke.idleworld.online/pokepedia/pokemon/blaziken</x:v>
      </x:c>
    </x:row>
    <x:row r="1456" ht="22" customHeight="1">
      <x:c r="A1456" s="1" t="n">
        <x:v>257</x:v>
      </x:c>
      <x:c r="B1456" s="1" t="str">
        <x:v>Blaziken</x:v>
      </x:c>
      <x:c r="C1456" s="1" t="str">
        <x:v>Fire Stone</x:v>
      </x:c>
      <x:c r="D1456" s="1" t="n">
        <x:v>1</x:v>
      </x:c>
      <x:c r="E1456" s="1" t="n">
        <x:v>1</x:v>
      </x:c>
      <x:c r="F1456" s="13" t="n">
        <x:v>0.01</x:v>
      </x:c>
      <x:c r="G1456" s="9" t="str">
        <x:v>https://poke.idleworld.online/pokepedia/pokemon/blaziken</x:v>
      </x:c>
    </x:row>
    <x:row r="1457" ht="22" customHeight="1">
      <x:c r="A1457" s="1" t="n">
        <x:v>257</x:v>
      </x:c>
      <x:c r="B1457" s="1" t="str">
        <x:v>Blaziken</x:v>
      </x:c>
      <x:c r="C1457" s="1" t="str">
        <x:v>Punch Stone</x:v>
      </x:c>
      <x:c r="D1457" s="1" t="n">
        <x:v>1</x:v>
      </x:c>
      <x:c r="E1457" s="1" t="n">
        <x:v>1</x:v>
      </x:c>
      <x:c r="F1457" s="13" t="n">
        <x:v>0.01</x:v>
      </x:c>
      <x:c r="G1457" s="9" t="str">
        <x:v>https://poke.idleworld.online/pokepedia/pokemon/blaziken</x:v>
      </x:c>
    </x:row>
    <x:row r="1458" ht="22" customHeight="1">
      <x:c r="A1458" s="1" t="n">
        <x:v>257</x:v>
      </x:c>
      <x:c r="B1458" s="1" t="str">
        <x:v>Blaziken</x:v>
      </x:c>
      <x:c r="C1458" s="1" t="str">
        <x:v>Pot of Lava</x:v>
      </x:c>
      <x:c r="D1458" s="1" t="n">
        <x:v>1</x:v>
      </x:c>
      <x:c r="E1458" s="1" t="n">
        <x:v>1</x:v>
      </x:c>
      <x:c r="F1458" s="13" t="n">
        <x:v>0.455</x:v>
      </x:c>
      <x:c r="G1458" s="9" t="str">
        <x:v>https://poke.idleworld.online/pokepedia/pokemon/blaziken</x:v>
      </x:c>
    </x:row>
    <x:row r="1459" ht="22" customHeight="1">
      <x:c r="A1459" s="1" t="n">
        <x:v>258</x:v>
      </x:c>
      <x:c r="B1459" s="1" t="str">
        <x:v>Mudkip</x:v>
      </x:c>
      <x:c r="C1459" s="1" t="str">
        <x:v>black fins</x:v>
      </x:c>
      <x:c r="D1459" s="1" t="n">
        <x:v>1</x:v>
      </x:c>
      <x:c r="E1459" s="1" t="n">
        <x:v>1</x:v>
      </x:c>
      <x:c r="F1459" s="13" t="n">
        <x:v>0.01</x:v>
      </x:c>
      <x:c r="G1459" s="9" t="str">
        <x:v>https://poke.idleworld.online/pokepedia/pokemon/mudkip</x:v>
      </x:c>
    </x:row>
    <x:row r="1460" ht="22" customHeight="1">
      <x:c r="A1460" s="1" t="n">
        <x:v>258</x:v>
      </x:c>
      <x:c r="B1460" s="1" t="str">
        <x:v>Mudkip</x:v>
      </x:c>
      <x:c r="C1460" s="1" t="str">
        <x:v>Water Gem</x:v>
      </x:c>
      <x:c r="D1460" s="1" t="n">
        <x:v>1</x:v>
      </x:c>
      <x:c r="E1460" s="1" t="n">
        <x:v>10</x:v>
      </x:c>
      <x:c r="F1460" s="13" t="n">
        <x:v>0.8</x:v>
      </x:c>
      <x:c r="G1460" s="9" t="str">
        <x:v>https://poke.idleworld.online/pokepedia/pokemon/mudkip</x:v>
      </x:c>
    </x:row>
    <x:row r="1461" ht="22" customHeight="1">
      <x:c r="A1461" s="1" t="n">
        <x:v>258</x:v>
      </x:c>
      <x:c r="B1461" s="1" t="str">
        <x:v>Mudkip</x:v>
      </x:c>
      <x:c r="C1461" s="1" t="str">
        <x:v>Water Pendant</x:v>
      </x:c>
      <x:c r="D1461" s="1" t="n">
        <x:v>1</x:v>
      </x:c>
      <x:c r="E1461" s="1" t="n">
        <x:v>1</x:v>
      </x:c>
      <x:c r="F1461" s="13" t="n">
        <x:v>0.21</x:v>
      </x:c>
      <x:c r="G1461" s="9" t="str">
        <x:v>https://poke.idleworld.online/pokepedia/pokemon/mudkip</x:v>
      </x:c>
    </x:row>
    <x:row r="1462" ht="22" customHeight="1">
      <x:c r="A1462" s="1" t="n">
        <x:v>259</x:v>
      </x:c>
      <x:c r="B1462" s="1" t="str">
        <x:v>Marshtomp</x:v>
      </x:c>
      <x:c r="C1462" s="1" t="str">
        <x:v>black fins</x:v>
      </x:c>
      <x:c r="D1462" s="1" t="n">
        <x:v>1</x:v>
      </x:c>
      <x:c r="E1462" s="1" t="n">
        <x:v>1</x:v>
      </x:c>
      <x:c r="F1462" s="13" t="n">
        <x:v>0.02</x:v>
      </x:c>
      <x:c r="G1462" s="9" t="str">
        <x:v>https://poke.idleworld.online/pokepedia/pokemon/marshtomp</x:v>
      </x:c>
    </x:row>
    <x:row r="1463" ht="22" customHeight="1">
      <x:c r="A1463" s="1" t="n">
        <x:v>259</x:v>
      </x:c>
      <x:c r="B1463" s="1" t="str">
        <x:v>Marshtomp</x:v>
      </x:c>
      <x:c r="C1463" s="1" t="str">
        <x:v>Earth Ball</x:v>
      </x:c>
      <x:c r="D1463" s="1" t="n">
        <x:v>1</x:v>
      </x:c>
      <x:c r="E1463" s="1" t="n">
        <x:v>10</x:v>
      </x:c>
      <x:c r="F1463" s="13" t="n">
        <x:v>0.8</x:v>
      </x:c>
      <x:c r="G1463" s="9" t="str">
        <x:v>https://poke.idleworld.online/pokepedia/pokemon/marshtomp</x:v>
      </x:c>
    </x:row>
    <x:row r="1464" ht="22" customHeight="1">
      <x:c r="A1464" s="1" t="n">
        <x:v>259</x:v>
      </x:c>
      <x:c r="B1464" s="1" t="str">
        <x:v>Marshtomp</x:v>
      </x:c>
      <x:c r="C1464" s="1" t="str">
        <x:v>Water Gem</x:v>
      </x:c>
      <x:c r="D1464" s="1" t="n">
        <x:v>1</x:v>
      </x:c>
      <x:c r="E1464" s="1" t="n">
        <x:v>10</x:v>
      </x:c>
      <x:c r="F1464" s="13" t="n">
        <x:v>0.8</x:v>
      </x:c>
      <x:c r="G1464" s="9" t="str">
        <x:v>https://poke.idleworld.online/pokepedia/pokemon/marshtomp</x:v>
      </x:c>
    </x:row>
    <x:row r="1465" ht="22" customHeight="1">
      <x:c r="A1465" s="1" t="n">
        <x:v>259</x:v>
      </x:c>
      <x:c r="B1465" s="1" t="str">
        <x:v>Marshtomp</x:v>
      </x:c>
      <x:c r="C1465" s="1" t="str">
        <x:v>Water Stone</x:v>
      </x:c>
      <x:c r="D1465" s="1" t="n">
        <x:v>1</x:v>
      </x:c>
      <x:c r="E1465" s="1" t="n">
        <x:v>1</x:v>
      </x:c>
      <x:c r="F1465" s="13" t="n">
        <x:v>0.01</x:v>
      </x:c>
      <x:c r="G1465" s="9" t="str">
        <x:v>https://poke.idleworld.online/pokepedia/pokemon/marshtomp</x:v>
      </x:c>
    </x:row>
    <x:row r="1466" ht="22" customHeight="1">
      <x:c r="A1466" s="1" t="n">
        <x:v>259</x:v>
      </x:c>
      <x:c r="B1466" s="1" t="str">
        <x:v>Marshtomp</x:v>
      </x:c>
      <x:c r="C1466" s="1" t="str">
        <x:v>Earth Stone</x:v>
      </x:c>
      <x:c r="D1466" s="1" t="n">
        <x:v>1</x:v>
      </x:c>
      <x:c r="E1466" s="1" t="n">
        <x:v>1</x:v>
      </x:c>
      <x:c r="F1466" s="13" t="n">
        <x:v>0.01</x:v>
      </x:c>
      <x:c r="G1466" s="9" t="str">
        <x:v>https://poke.idleworld.online/pokepedia/pokemon/marshtomp</x:v>
      </x:c>
    </x:row>
    <x:row r="1467" ht="22" customHeight="1">
      <x:c r="A1467" s="1" t="n">
        <x:v>259</x:v>
      </x:c>
      <x:c r="B1467" s="1" t="str">
        <x:v>Marshtomp</x:v>
      </x:c>
      <x:c r="C1467" s="1" t="str">
        <x:v>Water Pendant</x:v>
      </x:c>
      <x:c r="D1467" s="1" t="n">
        <x:v>1</x:v>
      </x:c>
      <x:c r="E1467" s="1" t="n">
        <x:v>1</x:v>
      </x:c>
      <x:c r="F1467" s="13" t="n">
        <x:v>0.16</x:v>
      </x:c>
      <x:c r="G1467" s="9" t="str">
        <x:v>https://poke.idleworld.online/pokepedia/pokemon/marshtomp</x:v>
      </x:c>
    </x:row>
    <x:row r="1468" ht="22" customHeight="1">
      <x:c r="A1468" s="1" t="n">
        <x:v>259</x:v>
      </x:c>
      <x:c r="B1468" s="1" t="str">
        <x:v>Marshtomp</x:v>
      </x:c>
      <x:c r="C1468" s="1" t="str">
        <x:v>Sandbag</x:v>
      </x:c>
      <x:c r="D1468" s="1" t="n">
        <x:v>1</x:v>
      </x:c>
      <x:c r="E1468" s="1" t="n">
        <x:v>1</x:v>
      </x:c>
      <x:c r="F1468" s="13" t="n">
        <x:v>0.16</x:v>
      </x:c>
      <x:c r="G1468" s="9" t="str">
        <x:v>https://poke.idleworld.online/pokepedia/pokemon/marshtomp</x:v>
      </x:c>
    </x:row>
    <x:row r="1469" ht="22" customHeight="1">
      <x:c r="A1469" s="1" t="n">
        <x:v>260</x:v>
      </x:c>
      <x:c r="B1469" s="1" t="str">
        <x:v>Swampert</x:v>
      </x:c>
      <x:c r="C1469" s="1" t="str">
        <x:v>black fins</x:v>
      </x:c>
      <x:c r="D1469" s="1" t="n">
        <x:v>1</x:v>
      </x:c>
      <x:c r="E1469" s="1" t="n">
        <x:v>1</x:v>
      </x:c>
      <x:c r="F1469" s="13" t="n">
        <x:v>0.0425</x:v>
      </x:c>
      <x:c r="G1469" s="9" t="str">
        <x:v>https://poke.idleworld.online/pokepedia/pokemon/swampert</x:v>
      </x:c>
    </x:row>
    <x:row r="1470" ht="22" customHeight="1">
      <x:c r="A1470" s="1" t="n">
        <x:v>260</x:v>
      </x:c>
      <x:c r="B1470" s="1" t="str">
        <x:v>Swampert</x:v>
      </x:c>
      <x:c r="C1470" s="1" t="str">
        <x:v>Earth Ball</x:v>
      </x:c>
      <x:c r="D1470" s="1" t="n">
        <x:v>1</x:v>
      </x:c>
      <x:c r="E1470" s="1" t="n">
        <x:v>21</x:v>
      </x:c>
      <x:c r="F1470" s="13" t="n">
        <x:v>0.8</x:v>
      </x:c>
      <x:c r="G1470" s="9" t="str">
        <x:v>https://poke.idleworld.online/pokepedia/pokemon/swampert</x:v>
      </x:c>
    </x:row>
    <x:row r="1471" ht="22" customHeight="1">
      <x:c r="A1471" s="1" t="n">
        <x:v>260</x:v>
      </x:c>
      <x:c r="B1471" s="1" t="str">
        <x:v>Swampert</x:v>
      </x:c>
      <x:c r="C1471" s="1" t="str">
        <x:v>Water Gem</x:v>
      </x:c>
      <x:c r="D1471" s="1" t="n">
        <x:v>1</x:v>
      </x:c>
      <x:c r="E1471" s="1" t="n">
        <x:v>21</x:v>
      </x:c>
      <x:c r="F1471" s="13" t="n">
        <x:v>0.8</x:v>
      </x:c>
      <x:c r="G1471" s="9" t="str">
        <x:v>https://poke.idleworld.online/pokepedia/pokemon/swampert</x:v>
      </x:c>
    </x:row>
    <x:row r="1472" ht="22" customHeight="1">
      <x:c r="A1472" s="1" t="n">
        <x:v>260</x:v>
      </x:c>
      <x:c r="B1472" s="1" t="str">
        <x:v>Swampert</x:v>
      </x:c>
      <x:c r="C1472" s="1" t="str">
        <x:v>Water Stone</x:v>
      </x:c>
      <x:c r="D1472" s="1" t="n">
        <x:v>1</x:v>
      </x:c>
      <x:c r="E1472" s="1" t="n">
        <x:v>1</x:v>
      </x:c>
      <x:c r="F1472" s="13" t="n">
        <x:v>0.01</x:v>
      </x:c>
      <x:c r="G1472" s="9" t="str">
        <x:v>https://poke.idleworld.online/pokepedia/pokemon/swampert</x:v>
      </x:c>
    </x:row>
    <x:row r="1473" ht="22" customHeight="1">
      <x:c r="A1473" s="1" t="n">
        <x:v>260</x:v>
      </x:c>
      <x:c r="B1473" s="1" t="str">
        <x:v>Swampert</x:v>
      </x:c>
      <x:c r="C1473" s="1" t="str">
        <x:v>Earth Stone</x:v>
      </x:c>
      <x:c r="D1473" s="1" t="n">
        <x:v>1</x:v>
      </x:c>
      <x:c r="E1473" s="1" t="n">
        <x:v>1</x:v>
      </x:c>
      <x:c r="F1473" s="13" t="n">
        <x:v>0.01</x:v>
      </x:c>
      <x:c r="G1473" s="9" t="str">
        <x:v>https://poke.idleworld.online/pokepedia/pokemon/swampert</x:v>
      </x:c>
    </x:row>
    <x:row r="1474" ht="22" customHeight="1">
      <x:c r="A1474" s="1" t="n">
        <x:v>260</x:v>
      </x:c>
      <x:c r="B1474" s="1" t="str">
        <x:v>Swampert</x:v>
      </x:c>
      <x:c r="C1474" s="1" t="str">
        <x:v>Water Pendant</x:v>
      </x:c>
      <x:c r="D1474" s="1" t="n">
        <x:v>1</x:v>
      </x:c>
      <x:c r="E1474" s="1" t="n">
        <x:v>1</x:v>
      </x:c>
      <x:c r="F1474" s="13" t="n">
        <x:v>0.2275</x:v>
      </x:c>
      <x:c r="G1474" s="9" t="str">
        <x:v>https://poke.idleworld.online/pokepedia/pokemon/swampert</x:v>
      </x:c>
    </x:row>
    <x:row r="1475" ht="22" customHeight="1">
      <x:c r="A1475" s="1" t="n">
        <x:v>260</x:v>
      </x:c>
      <x:c r="B1475" s="1" t="str">
        <x:v>Swampert</x:v>
      </x:c>
      <x:c r="C1475" s="1" t="str">
        <x:v>Sandbag</x:v>
      </x:c>
      <x:c r="D1475" s="1" t="n">
        <x:v>1</x:v>
      </x:c>
      <x:c r="E1475" s="1" t="n">
        <x:v>1</x:v>
      </x:c>
      <x:c r="F1475" s="13" t="n">
        <x:v>0.2275</x:v>
      </x:c>
      <x:c r="G1475" s="9" t="str">
        <x:v>https://poke.idleworld.online/pokepedia/pokemon/swampert</x:v>
      </x:c>
    </x:row>
    <x:row r="1476" ht="22" customHeight="1">
      <x:c r="A1476" s="1" t="n">
        <x:v>261</x:v>
      </x:c>
      <x:c r="B1476" s="1" t="str">
        <x:v>Poochyena</x:v>
      </x:c>
      <x:c r="C1476" s="1" t="str">
        <x:v>hyena tail</x:v>
      </x:c>
      <x:c r="D1476" s="1" t="n">
        <x:v>1</x:v>
      </x:c>
      <x:c r="E1476" s="1" t="n">
        <x:v>1</x:v>
      </x:c>
      <x:c r="F1476" s="13" t="n">
        <x:v>0.015</x:v>
      </x:c>
      <x:c r="G1476" s="9" t="str">
        <x:v>https://poke.idleworld.online/pokepedia/pokemon/poochyena</x:v>
      </x:c>
    </x:row>
    <x:row r="1477" ht="22" customHeight="1">
      <x:c r="A1477" s="1" t="n">
        <x:v>261</x:v>
      </x:c>
      <x:c r="B1477" s="1" t="str">
        <x:v>Poochyena</x:v>
      </x:c>
      <x:c r="C1477" s="1" t="str">
        <x:v>Dark Gem</x:v>
      </x:c>
      <x:c r="D1477" s="1" t="n">
        <x:v>1</x:v>
      </x:c>
      <x:c r="E1477" s="1" t="n">
        <x:v>10</x:v>
      </x:c>
      <x:c r="F1477" s="13" t="n">
        <x:v>0.8</x:v>
      </x:c>
      <x:c r="G1477" s="9" t="str">
        <x:v>https://poke.idleworld.online/pokepedia/pokemon/poochyena</x:v>
      </x:c>
    </x:row>
    <x:row r="1478" ht="22" customHeight="1">
      <x:c r="A1478" s="1" t="n">
        <x:v>262</x:v>
      </x:c>
      <x:c r="B1478" s="1" t="str">
        <x:v>Mightyena</x:v>
      </x:c>
      <x:c r="C1478" s="1" t="str">
        <x:v>hyena tail</x:v>
      </x:c>
      <x:c r="D1478" s="1" t="n">
        <x:v>1</x:v>
      </x:c>
      <x:c r="E1478" s="1" t="n">
        <x:v>1</x:v>
      </x:c>
      <x:c r="F1478" s="13" t="n">
        <x:v>0.0425</x:v>
      </x:c>
      <x:c r="G1478" s="9" t="str">
        <x:v>https://poke.idleworld.online/pokepedia/pokemon/mightyena</x:v>
      </x:c>
    </x:row>
    <x:row r="1479" ht="22" customHeight="1">
      <x:c r="A1479" s="1" t="n">
        <x:v>262</x:v>
      </x:c>
      <x:c r="B1479" s="1" t="str">
        <x:v>Mightyena</x:v>
      </x:c>
      <x:c r="C1479" s="1" t="str">
        <x:v>Dark Gem</x:v>
      </x:c>
      <x:c r="D1479" s="1" t="n">
        <x:v>1</x:v>
      </x:c>
      <x:c r="E1479" s="1" t="n">
        <x:v>43</x:v>
      </x:c>
      <x:c r="F1479" s="13" t="n">
        <x:v>0.8</x:v>
      </x:c>
      <x:c r="G1479" s="9" t="str">
        <x:v>https://poke.idleworld.online/pokepedia/pokemon/mightyena</x:v>
      </x:c>
    </x:row>
    <x:row r="1480" ht="22" customHeight="1">
      <x:c r="A1480" s="1" t="n">
        <x:v>262</x:v>
      </x:c>
      <x:c r="B1480" s="1" t="str">
        <x:v>Mightyena</x:v>
      </x:c>
      <x:c r="C1480" s="1" t="str">
        <x:v>Darkness Stone</x:v>
      </x:c>
      <x:c r="D1480" s="1" t="n">
        <x:v>1</x:v>
      </x:c>
      <x:c r="E1480" s="1" t="n">
        <x:v>1</x:v>
      </x:c>
      <x:c r="F1480" s="13" t="n">
        <x:v>0.01</x:v>
      </x:c>
      <x:c r="G1480" s="9" t="str">
        <x:v>https://poke.idleworld.online/pokepedia/pokemon/mightyena</x:v>
      </x:c>
    </x:row>
    <x:row r="1481" ht="22" customHeight="1">
      <x:c r="A1481" s="1" t="n">
        <x:v>270</x:v>
      </x:c>
      <x:c r="B1481" s="1" t="str">
        <x:v>Lotad</x:v>
      </x:c>
      <x:c r="C1481" s="1" t="str">
        <x:v>water plant</x:v>
      </x:c>
      <x:c r="D1481" s="1" t="n">
        <x:v>1</x:v>
      </x:c>
      <x:c r="E1481" s="1" t="n">
        <x:v>1</x:v>
      </x:c>
      <x:c r="F1481" s="13" t="n">
        <x:v>0.011</x:v>
      </x:c>
      <x:c r="G1481" s="9" t="str">
        <x:v>https://poke.idleworld.online/pokepedia/pokemon/lotad</x:v>
      </x:c>
    </x:row>
    <x:row r="1482" ht="22" customHeight="1">
      <x:c r="A1482" s="1" t="n">
        <x:v>270</x:v>
      </x:c>
      <x:c r="B1482" s="1" t="str">
        <x:v>Lotad</x:v>
      </x:c>
      <x:c r="C1482" s="1" t="str">
        <x:v>Seed</x:v>
      </x:c>
      <x:c r="D1482" s="1" t="n">
        <x:v>1</x:v>
      </x:c>
      <x:c r="E1482" s="1" t="n">
        <x:v>5</x:v>
      </x:c>
      <x:c r="F1482" s="13" t="n">
        <x:v>0.8</x:v>
      </x:c>
      <x:c r="G1482" s="9" t="str">
        <x:v>https://poke.idleworld.online/pokepedia/pokemon/lotad</x:v>
      </x:c>
    </x:row>
    <x:row r="1483" ht="22" customHeight="1">
      <x:c r="A1483" s="1" t="n">
        <x:v>270</x:v>
      </x:c>
      <x:c r="B1483" s="1" t="str">
        <x:v>Lotad</x:v>
      </x:c>
      <x:c r="C1483" s="1" t="str">
        <x:v>Water Gem</x:v>
      </x:c>
      <x:c r="D1483" s="1" t="n">
        <x:v>1</x:v>
      </x:c>
      <x:c r="E1483" s="1" t="n">
        <x:v>5</x:v>
      </x:c>
      <x:c r="F1483" s="13" t="n">
        <x:v>0.8</x:v>
      </x:c>
      <x:c r="G1483" s="9" t="str">
        <x:v>https://poke.idleworld.online/pokepedia/pokemon/lotad</x:v>
      </x:c>
    </x:row>
    <x:row r="1484" ht="22" customHeight="1">
      <x:c r="A1484" s="1" t="n">
        <x:v>270</x:v>
      </x:c>
      <x:c r="B1484" s="1" t="str">
        <x:v>Lotad</x:v>
      </x:c>
      <x:c r="C1484" s="1" t="str">
        <x:v>Leaves</x:v>
      </x:c>
      <x:c r="D1484" s="1" t="n">
        <x:v>1</x:v>
      </x:c>
      <x:c r="E1484" s="1" t="n">
        <x:v>1</x:v>
      </x:c>
      <x:c r="F1484" s="13" t="n">
        <x:v>0.13</x:v>
      </x:c>
      <x:c r="G1484" s="9" t="str">
        <x:v>https://poke.idleworld.online/pokepedia/pokemon/lotad</x:v>
      </x:c>
    </x:row>
    <x:row r="1485" ht="22" customHeight="1">
      <x:c r="A1485" s="1" t="n">
        <x:v>270</x:v>
      </x:c>
      <x:c r="B1485" s="1" t="str">
        <x:v>Lotad</x:v>
      </x:c>
      <x:c r="C1485" s="1" t="str">
        <x:v>Water Pendant</x:v>
      </x:c>
      <x:c r="D1485" s="1" t="n">
        <x:v>1</x:v>
      </x:c>
      <x:c r="E1485" s="1" t="n">
        <x:v>1</x:v>
      </x:c>
      <x:c r="F1485" s="13" t="n">
        <x:v>0.13</x:v>
      </x:c>
      <x:c r="G1485" s="9" t="str">
        <x:v>https://poke.idleworld.online/pokepedia/pokemon/lotad</x:v>
      </x:c>
    </x:row>
    <x:row r="1486" ht="22" customHeight="1">
      <x:c r="A1486" s="1" t="n">
        <x:v>271</x:v>
      </x:c>
      <x:c r="B1486" s="1" t="str">
        <x:v>Lombre</x:v>
      </x:c>
      <x:c r="C1486" s="1" t="str">
        <x:v>water plant</x:v>
      </x:c>
      <x:c r="D1486" s="1" t="n">
        <x:v>1</x:v>
      </x:c>
      <x:c r="E1486" s="1" t="n">
        <x:v>1</x:v>
      </x:c>
      <x:c r="F1486" s="13" t="n">
        <x:v>0.022</x:v>
      </x:c>
      <x:c r="G1486" s="9" t="str">
        <x:v>https://poke.idleworld.online/pokepedia/pokemon/lombre</x:v>
      </x:c>
    </x:row>
    <x:row r="1487" ht="22" customHeight="1">
      <x:c r="A1487" s="1" t="n">
        <x:v>271</x:v>
      </x:c>
      <x:c r="B1487" s="1" t="str">
        <x:v>Lombre</x:v>
      </x:c>
      <x:c r="C1487" s="1" t="str">
        <x:v>Seed</x:v>
      </x:c>
      <x:c r="D1487" s="1" t="n">
        <x:v>1</x:v>
      </x:c>
      <x:c r="E1487" s="1" t="n">
        <x:v>10</x:v>
      </x:c>
      <x:c r="F1487" s="13" t="n">
        <x:v>0.8</x:v>
      </x:c>
      <x:c r="G1487" s="9" t="str">
        <x:v>https://poke.idleworld.online/pokepedia/pokemon/lombre</x:v>
      </x:c>
    </x:row>
    <x:row r="1488" ht="22" customHeight="1">
      <x:c r="A1488" s="1" t="n">
        <x:v>271</x:v>
      </x:c>
      <x:c r="B1488" s="1" t="str">
        <x:v>Lombre</x:v>
      </x:c>
      <x:c r="C1488" s="1" t="str">
        <x:v>Water Gem</x:v>
      </x:c>
      <x:c r="D1488" s="1" t="n">
        <x:v>1</x:v>
      </x:c>
      <x:c r="E1488" s="1" t="n">
        <x:v>10</x:v>
      </x:c>
      <x:c r="F1488" s="13" t="n">
        <x:v>0.8</x:v>
      </x:c>
      <x:c r="G1488" s="9" t="str">
        <x:v>https://poke.idleworld.online/pokepedia/pokemon/lombre</x:v>
      </x:c>
    </x:row>
    <x:row r="1489" ht="22" customHeight="1">
      <x:c r="A1489" s="1" t="n">
        <x:v>271</x:v>
      </x:c>
      <x:c r="B1489" s="1" t="str">
        <x:v>Lombre</x:v>
      </x:c>
      <x:c r="C1489" s="1" t="str">
        <x:v>Leaves</x:v>
      </x:c>
      <x:c r="D1489" s="1" t="n">
        <x:v>1</x:v>
      </x:c>
      <x:c r="E1489" s="1" t="n">
        <x:v>1</x:v>
      </x:c>
      <x:c r="F1489" s="13" t="n">
        <x:v>0.16</x:v>
      </x:c>
      <x:c r="G1489" s="9" t="str">
        <x:v>https://poke.idleworld.online/pokepedia/pokemon/lombre</x:v>
      </x:c>
    </x:row>
    <x:row r="1490" ht="22" customHeight="1">
      <x:c r="A1490" s="1" t="n">
        <x:v>271</x:v>
      </x:c>
      <x:c r="B1490" s="1" t="str">
        <x:v>Lombre</x:v>
      </x:c>
      <x:c r="C1490" s="1" t="str">
        <x:v>Water Pendant</x:v>
      </x:c>
      <x:c r="D1490" s="1" t="n">
        <x:v>1</x:v>
      </x:c>
      <x:c r="E1490" s="1" t="n">
        <x:v>1</x:v>
      </x:c>
      <x:c r="F1490" s="13" t="n">
        <x:v>0.16</x:v>
      </x:c>
      <x:c r="G1490" s="9" t="str">
        <x:v>https://poke.idleworld.online/pokepedia/pokemon/lombre</x:v>
      </x:c>
    </x:row>
    <x:row r="1491" ht="22" customHeight="1">
      <x:c r="A1491" s="1" t="n">
        <x:v>271</x:v>
      </x:c>
      <x:c r="B1491" s="1" t="str">
        <x:v>Lombre</x:v>
      </x:c>
      <x:c r="C1491" s="1" t="str">
        <x:v>Leaf Stone</x:v>
      </x:c>
      <x:c r="D1491" s="1" t="n">
        <x:v>1</x:v>
      </x:c>
      <x:c r="E1491" s="1" t="n">
        <x:v>1</x:v>
      </x:c>
      <x:c r="F1491" s="13" t="n">
        <x:v>0.01</x:v>
      </x:c>
      <x:c r="G1491" s="9" t="str">
        <x:v>https://poke.idleworld.online/pokepedia/pokemon/lombre</x:v>
      </x:c>
    </x:row>
    <x:row r="1492" ht="22" customHeight="1">
      <x:c r="A1492" s="1" t="n">
        <x:v>271</x:v>
      </x:c>
      <x:c r="B1492" s="1" t="str">
        <x:v>Lombre</x:v>
      </x:c>
      <x:c r="C1492" s="1" t="str">
        <x:v>Water Stone</x:v>
      </x:c>
      <x:c r="D1492" s="1" t="n">
        <x:v>1</x:v>
      </x:c>
      <x:c r="E1492" s="1" t="n">
        <x:v>1</x:v>
      </x:c>
      <x:c r="F1492" s="13" t="n">
        <x:v>0.01</x:v>
      </x:c>
      <x:c r="G1492" s="9" t="str">
        <x:v>https://poke.idleworld.online/pokepedia/pokemon/lombre</x:v>
      </x:c>
    </x:row>
    <x:row r="1493" ht="22" customHeight="1">
      <x:c r="A1493" s="1" t="n">
        <x:v>272</x:v>
      </x:c>
      <x:c r="B1493" s="1" t="str">
        <x:v>Ludicolo</x:v>
      </x:c>
      <x:c r="C1493" s="1" t="str">
        <x:v>water plant</x:v>
      </x:c>
      <x:c r="D1493" s="1" t="n">
        <x:v>1</x:v>
      </x:c>
      <x:c r="E1493" s="1" t="n">
        <x:v>1</x:v>
      </x:c>
      <x:c r="F1493" s="13" t="n">
        <x:v>0.045</x:v>
      </x:c>
      <x:c r="G1493" s="9" t="str">
        <x:v>https://poke.idleworld.online/pokepedia/pokemon/ludicolo</x:v>
      </x:c>
    </x:row>
    <x:row r="1494" ht="22" customHeight="1">
      <x:c r="A1494" s="1" t="n">
        <x:v>272</x:v>
      </x:c>
      <x:c r="B1494" s="1" t="str">
        <x:v>Ludicolo</x:v>
      </x:c>
      <x:c r="C1494" s="1" t="str">
        <x:v>Seed</x:v>
      </x:c>
      <x:c r="D1494" s="1" t="n">
        <x:v>1</x:v>
      </x:c>
      <x:c r="E1494" s="1" t="n">
        <x:v>21</x:v>
      </x:c>
      <x:c r="F1494" s="13" t="n">
        <x:v>0.8</x:v>
      </x:c>
      <x:c r="G1494" s="9" t="str">
        <x:v>https://poke.idleworld.online/pokepedia/pokemon/ludicolo</x:v>
      </x:c>
    </x:row>
    <x:row r="1495" ht="22" customHeight="1">
      <x:c r="A1495" s="1" t="n">
        <x:v>272</x:v>
      </x:c>
      <x:c r="B1495" s="1" t="str">
        <x:v>Ludicolo</x:v>
      </x:c>
      <x:c r="C1495" s="1" t="str">
        <x:v>Water Gem</x:v>
      </x:c>
      <x:c r="D1495" s="1" t="n">
        <x:v>1</x:v>
      </x:c>
      <x:c r="E1495" s="1" t="n">
        <x:v>21</x:v>
      </x:c>
      <x:c r="F1495" s="13" t="n">
        <x:v>0.8</x:v>
      </x:c>
      <x:c r="G1495" s="9" t="str">
        <x:v>https://poke.idleworld.online/pokepedia/pokemon/ludicolo</x:v>
      </x:c>
    </x:row>
    <x:row r="1496" ht="22" customHeight="1">
      <x:c r="A1496" s="1" t="n">
        <x:v>272</x:v>
      </x:c>
      <x:c r="B1496" s="1" t="str">
        <x:v>Ludicolo</x:v>
      </x:c>
      <x:c r="C1496" s="1" t="str">
        <x:v>Leaves</x:v>
      </x:c>
      <x:c r="D1496" s="1" t="n">
        <x:v>1</x:v>
      </x:c>
      <x:c r="E1496" s="1" t="n">
        <x:v>1</x:v>
      </x:c>
      <x:c r="F1496" s="13" t="n">
        <x:v>0.2275</x:v>
      </x:c>
      <x:c r="G1496" s="9" t="str">
        <x:v>https://poke.idleworld.online/pokepedia/pokemon/ludicolo</x:v>
      </x:c>
    </x:row>
    <x:row r="1497" ht="22" customHeight="1">
      <x:c r="A1497" s="1" t="n">
        <x:v>272</x:v>
      </x:c>
      <x:c r="B1497" s="1" t="str">
        <x:v>Ludicolo</x:v>
      </x:c>
      <x:c r="C1497" s="1" t="str">
        <x:v>Water Pendant</x:v>
      </x:c>
      <x:c r="D1497" s="1" t="n">
        <x:v>1</x:v>
      </x:c>
      <x:c r="E1497" s="1" t="n">
        <x:v>1</x:v>
      </x:c>
      <x:c r="F1497" s="13" t="n">
        <x:v>0.2275</x:v>
      </x:c>
      <x:c r="G1497" s="9" t="str">
        <x:v>https://poke.idleworld.online/pokepedia/pokemon/ludicolo</x:v>
      </x:c>
    </x:row>
    <x:row r="1498" ht="22" customHeight="1">
      <x:c r="A1498" s="1" t="n">
        <x:v>272</x:v>
      </x:c>
      <x:c r="B1498" s="1" t="str">
        <x:v>Ludicolo</x:v>
      </x:c>
      <x:c r="C1498" s="1" t="str">
        <x:v>Leaf Stone</x:v>
      </x:c>
      <x:c r="D1498" s="1" t="n">
        <x:v>1</x:v>
      </x:c>
      <x:c r="E1498" s="1" t="n">
        <x:v>1</x:v>
      </x:c>
      <x:c r="F1498" s="13" t="n">
        <x:v>0.01</x:v>
      </x:c>
      <x:c r="G1498" s="9" t="str">
        <x:v>https://poke.idleworld.online/pokepedia/pokemon/ludicolo</x:v>
      </x:c>
    </x:row>
    <x:row r="1499" ht="22" customHeight="1">
      <x:c r="A1499" s="1" t="n">
        <x:v>272</x:v>
      </x:c>
      <x:c r="B1499" s="1" t="str">
        <x:v>Ludicolo</x:v>
      </x:c>
      <x:c r="C1499" s="1" t="str">
        <x:v>Water Stone</x:v>
      </x:c>
      <x:c r="D1499" s="1" t="n">
        <x:v>1</x:v>
      </x:c>
      <x:c r="E1499" s="1" t="n">
        <x:v>1</x:v>
      </x:c>
      <x:c r="F1499" s="13" t="n">
        <x:v>0.01</x:v>
      </x:c>
      <x:c r="G1499" s="9" t="str">
        <x:v>https://poke.idleworld.online/pokepedia/pokemon/ludicolo</x:v>
      </x:c>
    </x:row>
    <x:row r="1500" ht="22" customHeight="1">
      <x:c r="A1500" s="1" t="n">
        <x:v>273</x:v>
      </x:c>
      <x:c r="B1500" s="1" t="str">
        <x:v>Seedot</x:v>
      </x:c>
      <x:c r="C1500" s="1" t="str">
        <x:v>big seed</x:v>
      </x:c>
      <x:c r="D1500" s="1" t="n">
        <x:v>1</x:v>
      </x:c>
      <x:c r="E1500" s="1" t="n">
        <x:v>1</x:v>
      </x:c>
      <x:c r="F1500" s="13" t="n">
        <x:v>0.011</x:v>
      </x:c>
      <x:c r="G1500" s="9" t="str">
        <x:v>https://poke.idleworld.online/pokepedia/pokemon/seedot</x:v>
      </x:c>
    </x:row>
    <x:row r="1501" ht="22" customHeight="1">
      <x:c r="A1501" s="1" t="n">
        <x:v>273</x:v>
      </x:c>
      <x:c r="B1501" s="1" t="str">
        <x:v>Seedot</x:v>
      </x:c>
      <x:c r="C1501" s="1" t="str">
        <x:v>Seed</x:v>
      </x:c>
      <x:c r="D1501" s="1" t="n">
        <x:v>1</x:v>
      </x:c>
      <x:c r="E1501" s="1" t="n">
        <x:v>10</x:v>
      </x:c>
      <x:c r="F1501" s="13" t="n">
        <x:v>0.8</x:v>
      </x:c>
      <x:c r="G1501" s="9" t="str">
        <x:v>https://poke.idleworld.online/pokepedia/pokemon/seedot</x:v>
      </x:c>
    </x:row>
    <x:row r="1502" ht="22" customHeight="1">
      <x:c r="A1502" s="1" t="n">
        <x:v>273</x:v>
      </x:c>
      <x:c r="B1502" s="1" t="str">
        <x:v>Seedot</x:v>
      </x:c>
      <x:c r="C1502" s="1" t="str">
        <x:v>Leaves</x:v>
      </x:c>
      <x:c r="D1502" s="1" t="n">
        <x:v>1</x:v>
      </x:c>
      <x:c r="E1502" s="1" t="n">
        <x:v>1</x:v>
      </x:c>
      <x:c r="F1502" s="13" t="n">
        <x:v>0.26</x:v>
      </x:c>
      <x:c r="G1502" s="9" t="str">
        <x:v>https://poke.idleworld.online/pokepedia/pokemon/seedot</x:v>
      </x:c>
    </x:row>
    <x:row r="1503" ht="22" customHeight="1">
      <x:c r="A1503" s="1" t="n">
        <x:v>274</x:v>
      </x:c>
      <x:c r="B1503" s="1" t="str">
        <x:v>Nuzleaf</x:v>
      </x:c>
      <x:c r="C1503" s="1" t="str">
        <x:v>big seed</x:v>
      </x:c>
      <x:c r="D1503" s="1" t="n">
        <x:v>1</x:v>
      </x:c>
      <x:c r="E1503" s="1" t="n">
        <x:v>1</x:v>
      </x:c>
      <x:c r="F1503" s="13" t="n">
        <x:v>0.022</x:v>
      </x:c>
      <x:c r="G1503" s="9" t="str">
        <x:v>https://poke.idleworld.online/pokepedia/pokemon/nuzleaf</x:v>
      </x:c>
    </x:row>
    <x:row r="1504" ht="22" customHeight="1">
      <x:c r="A1504" s="1" t="n">
        <x:v>274</x:v>
      </x:c>
      <x:c r="B1504" s="1" t="str">
        <x:v>Nuzleaf</x:v>
      </x:c>
      <x:c r="C1504" s="1" t="str">
        <x:v>Seed</x:v>
      </x:c>
      <x:c r="D1504" s="1" t="n">
        <x:v>1</x:v>
      </x:c>
      <x:c r="E1504" s="1" t="n">
        <x:v>10</x:v>
      </x:c>
      <x:c r="F1504" s="13" t="n">
        <x:v>0.8</x:v>
      </x:c>
      <x:c r="G1504" s="9" t="str">
        <x:v>https://poke.idleworld.online/pokepedia/pokemon/nuzleaf</x:v>
      </x:c>
    </x:row>
    <x:row r="1505" ht="22" customHeight="1">
      <x:c r="A1505" s="1" t="n">
        <x:v>274</x:v>
      </x:c>
      <x:c r="B1505" s="1" t="str">
        <x:v>Nuzleaf</x:v>
      </x:c>
      <x:c r="C1505" s="1" t="str">
        <x:v>Dark Gem</x:v>
      </x:c>
      <x:c r="D1505" s="1" t="n">
        <x:v>1</x:v>
      </x:c>
      <x:c r="E1505" s="1" t="n">
        <x:v>10</x:v>
      </x:c>
      <x:c r="F1505" s="13" t="n">
        <x:v>0.8</x:v>
      </x:c>
      <x:c r="G1505" s="9" t="str">
        <x:v>https://poke.idleworld.online/pokepedia/pokemon/nuzleaf</x:v>
      </x:c>
    </x:row>
    <x:row r="1506" ht="22" customHeight="1">
      <x:c r="A1506" s="1" t="n">
        <x:v>274</x:v>
      </x:c>
      <x:c r="B1506" s="1" t="str">
        <x:v>Nuzleaf</x:v>
      </x:c>
      <x:c r="C1506" s="1" t="str">
        <x:v>Leaves</x:v>
      </x:c>
      <x:c r="D1506" s="1" t="n">
        <x:v>1</x:v>
      </x:c>
      <x:c r="E1506" s="1" t="n">
        <x:v>1</x:v>
      </x:c>
      <x:c r="F1506" s="13" t="n">
        <x:v>0.32</x:v>
      </x:c>
      <x:c r="G1506" s="9" t="str">
        <x:v>https://poke.idleworld.online/pokepedia/pokemon/nuzleaf</x:v>
      </x:c>
    </x:row>
    <x:row r="1507" ht="22" customHeight="1">
      <x:c r="A1507" s="1" t="n">
        <x:v>274</x:v>
      </x:c>
      <x:c r="B1507" s="1" t="str">
        <x:v>Nuzleaf</x:v>
      </x:c>
      <x:c r="C1507" s="1" t="str">
        <x:v>Leaf Stone</x:v>
      </x:c>
      <x:c r="D1507" s="1" t="n">
        <x:v>1</x:v>
      </x:c>
      <x:c r="E1507" s="1" t="n">
        <x:v>1</x:v>
      </x:c>
      <x:c r="F1507" s="13" t="n">
        <x:v>0.01</x:v>
      </x:c>
      <x:c r="G1507" s="9" t="str">
        <x:v>https://poke.idleworld.online/pokepedia/pokemon/nuzleaf</x:v>
      </x:c>
    </x:row>
    <x:row r="1508" ht="22" customHeight="1">
      <x:c r="A1508" s="1" t="n">
        <x:v>274</x:v>
      </x:c>
      <x:c r="B1508" s="1" t="str">
        <x:v>Nuzleaf</x:v>
      </x:c>
      <x:c r="C1508" s="1" t="str">
        <x:v>Darkness Stone</x:v>
      </x:c>
      <x:c r="D1508" s="1" t="n">
        <x:v>1</x:v>
      </x:c>
      <x:c r="E1508" s="1" t="n">
        <x:v>1</x:v>
      </x:c>
      <x:c r="F1508" s="13" t="n">
        <x:v>0.01</x:v>
      </x:c>
      <x:c r="G1508" s="9" t="str">
        <x:v>https://poke.idleworld.online/pokepedia/pokemon/nuzleaf</x:v>
      </x:c>
    </x:row>
    <x:row r="1509" ht="22" customHeight="1">
      <x:c r="A1509" s="1" t="n">
        <x:v>275</x:v>
      </x:c>
      <x:c r="B1509" s="1" t="str">
        <x:v>Shiftry</x:v>
      </x:c>
      <x:c r="C1509" s="1" t="str">
        <x:v>Sharp Leaves</x:v>
      </x:c>
      <x:c r="D1509" s="1" t="n">
        <x:v>1</x:v>
      </x:c>
      <x:c r="E1509" s="1" t="n">
        <x:v>1</x:v>
      </x:c>
      <x:c r="F1509" s="13" t="n">
        <x:v>0.045</x:v>
      </x:c>
      <x:c r="G1509" s="9" t="str">
        <x:v>https://poke.idleworld.online/pokepedia/pokemon/shiftry</x:v>
      </x:c>
    </x:row>
    <x:row r="1510" ht="22" customHeight="1">
      <x:c r="A1510" s="1" t="n">
        <x:v>275</x:v>
      </x:c>
      <x:c r="B1510" s="1" t="str">
        <x:v>Shiftry</x:v>
      </x:c>
      <x:c r="C1510" s="1" t="str">
        <x:v>Seed</x:v>
      </x:c>
      <x:c r="D1510" s="1" t="n">
        <x:v>1</x:v>
      </x:c>
      <x:c r="E1510" s="1" t="n">
        <x:v>21</x:v>
      </x:c>
      <x:c r="F1510" s="13" t="n">
        <x:v>0.8</x:v>
      </x:c>
      <x:c r="G1510" s="9" t="str">
        <x:v>https://poke.idleworld.online/pokepedia/pokemon/shiftry</x:v>
      </x:c>
    </x:row>
    <x:row r="1511" ht="22" customHeight="1">
      <x:c r="A1511" s="1" t="n">
        <x:v>275</x:v>
      </x:c>
      <x:c r="B1511" s="1" t="str">
        <x:v>Shiftry</x:v>
      </x:c>
      <x:c r="C1511" s="1" t="str">
        <x:v>Dark Gem</x:v>
      </x:c>
      <x:c r="D1511" s="1" t="n">
        <x:v>1</x:v>
      </x:c>
      <x:c r="E1511" s="1" t="n">
        <x:v>21</x:v>
      </x:c>
      <x:c r="F1511" s="13" t="n">
        <x:v>0.8</x:v>
      </x:c>
      <x:c r="G1511" s="9" t="str">
        <x:v>https://poke.idleworld.online/pokepedia/pokemon/shiftry</x:v>
      </x:c>
    </x:row>
    <x:row r="1512" ht="22" customHeight="1">
      <x:c r="A1512" s="1" t="n">
        <x:v>275</x:v>
      </x:c>
      <x:c r="B1512" s="1" t="str">
        <x:v>Shiftry</x:v>
      </x:c>
      <x:c r="C1512" s="1" t="str">
        <x:v>Leaf Stone</x:v>
      </x:c>
      <x:c r="D1512" s="1" t="n">
        <x:v>1</x:v>
      </x:c>
      <x:c r="E1512" s="1" t="n">
        <x:v>1</x:v>
      </x:c>
      <x:c r="F1512" s="13" t="n">
        <x:v>0.01</x:v>
      </x:c>
      <x:c r="G1512" s="9" t="str">
        <x:v>https://poke.idleworld.online/pokepedia/pokemon/shiftry</x:v>
      </x:c>
    </x:row>
    <x:row r="1513" ht="22" customHeight="1">
      <x:c r="A1513" s="1" t="n">
        <x:v>275</x:v>
      </x:c>
      <x:c r="B1513" s="1" t="str">
        <x:v>Shiftry</x:v>
      </x:c>
      <x:c r="C1513" s="1" t="str">
        <x:v>Darkness Stone</x:v>
      </x:c>
      <x:c r="D1513" s="1" t="n">
        <x:v>1</x:v>
      </x:c>
      <x:c r="E1513" s="1" t="n">
        <x:v>1</x:v>
      </x:c>
      <x:c r="F1513" s="13" t="n">
        <x:v>0.01</x:v>
      </x:c>
      <x:c r="G1513" s="9" t="str">
        <x:v>https://poke.idleworld.online/pokepedia/pokemon/shiftry</x:v>
      </x:c>
    </x:row>
    <x:row r="1514" ht="22" customHeight="1">
      <x:c r="A1514" s="1" t="n">
        <x:v>275</x:v>
      </x:c>
      <x:c r="B1514" s="1" t="str">
        <x:v>Shiftry</x:v>
      </x:c>
      <x:c r="C1514" s="1" t="str">
        <x:v>Leaves</x:v>
      </x:c>
      <x:c r="D1514" s="1" t="n">
        <x:v>1</x:v>
      </x:c>
      <x:c r="E1514" s="1" t="n">
        <x:v>1</x:v>
      </x:c>
      <x:c r="F1514" s="13" t="n">
        <x:v>0.455</x:v>
      </x:c>
      <x:c r="G1514" s="9" t="str">
        <x:v>https://poke.idleworld.online/pokepedia/pokemon/shiftry</x:v>
      </x:c>
    </x:row>
    <x:row r="1515" ht="22" customHeight="1">
      <x:c r="A1515" s="1" t="n">
        <x:v>276</x:v>
      </x:c>
      <x:c r="B1515" s="1" t="str">
        <x:v>Taillow</x:v>
      </x:c>
      <x:c r="C1515" s="1" t="str">
        <x:v>crimson feather</x:v>
      </x:c>
      <x:c r="D1515" s="1" t="n">
        <x:v>1</x:v>
      </x:c>
      <x:c r="E1515" s="1" t="n">
        <x:v>1</x:v>
      </x:c>
      <x:c r="F1515" s="13" t="n">
        <x:v>0.011</x:v>
      </x:c>
      <x:c r="G1515" s="9" t="str">
        <x:v>https://poke.idleworld.online/pokepedia/pokemon/taillow</x:v>
      </x:c>
    </x:row>
    <x:row r="1516" ht="22" customHeight="1">
      <x:c r="A1516" s="1" t="n">
        <x:v>276</x:v>
      </x:c>
      <x:c r="B1516" s="1" t="str">
        <x:v>Taillow</x:v>
      </x:c>
      <x:c r="C1516" s="1" t="str">
        <x:v>Straw</x:v>
      </x:c>
      <x:c r="D1516" s="1" t="n">
        <x:v>1</x:v>
      </x:c>
      <x:c r="E1516" s="1" t="n">
        <x:v>5</x:v>
      </x:c>
      <x:c r="F1516" s="13" t="n">
        <x:v>0.8</x:v>
      </x:c>
      <x:c r="G1516" s="9" t="str">
        <x:v>https://poke.idleworld.online/pokepedia/pokemon/taillow</x:v>
      </x:c>
    </x:row>
    <x:row r="1517" ht="22" customHeight="1">
      <x:c r="A1517" s="1" t="n">
        <x:v>276</x:v>
      </x:c>
      <x:c r="B1517" s="1" t="str">
        <x:v>Taillow</x:v>
      </x:c>
      <x:c r="C1517" s="1" t="str">
        <x:v>Rubber Ball</x:v>
      </x:c>
      <x:c r="D1517" s="1" t="n">
        <x:v>1</x:v>
      </x:c>
      <x:c r="E1517" s="1" t="n">
        <x:v>5</x:v>
      </x:c>
      <x:c r="F1517" s="13" t="n">
        <x:v>0.8</x:v>
      </x:c>
      <x:c r="G1517" s="9" t="str">
        <x:v>https://poke.idleworld.online/pokepedia/pokemon/taillow</x:v>
      </x:c>
    </x:row>
    <x:row r="1518" ht="22" customHeight="1">
      <x:c r="A1518" s="1" t="n">
        <x:v>276</x:v>
      </x:c>
      <x:c r="B1518" s="1" t="str">
        <x:v>Taillow</x:v>
      </x:c>
      <x:c r="C1518" s="1" t="str">
        <x:v>Feather</x:v>
      </x:c>
      <x:c r="D1518" s="1" t="n">
        <x:v>1</x:v>
      </x:c>
      <x:c r="E1518" s="1" t="n">
        <x:v>1</x:v>
      </x:c>
      <x:c r="F1518" s="13" t="n">
        <x:v>0.13</x:v>
      </x:c>
      <x:c r="G1518" s="9" t="str">
        <x:v>https://poke.idleworld.online/pokepedia/pokemon/taillow</x:v>
      </x:c>
    </x:row>
    <x:row r="1519" ht="22" customHeight="1">
      <x:c r="A1519" s="1" t="n">
        <x:v>276</x:v>
      </x:c>
      <x:c r="B1519" s="1" t="str">
        <x:v>Taillow</x:v>
      </x:c>
      <x:c r="C1519" s="1" t="str">
        <x:v>Bird Beak</x:v>
      </x:c>
      <x:c r="D1519" s="1" t="n">
        <x:v>1</x:v>
      </x:c>
      <x:c r="E1519" s="1" t="n">
        <x:v>1</x:v>
      </x:c>
      <x:c r="F1519" s="13" t="n">
        <x:v>0.06</x:v>
      </x:c>
      <x:c r="G1519" s="9" t="str">
        <x:v>https://poke.idleworld.online/pokepedia/pokemon/taillow</x:v>
      </x:c>
    </x:row>
    <x:row r="1520" ht="22" customHeight="1">
      <x:c r="A1520" s="1" t="n">
        <x:v>277</x:v>
      </x:c>
      <x:c r="B1520" s="1" t="str">
        <x:v>Swellow</x:v>
      </x:c>
      <x:c r="C1520" s="1" t="str">
        <x:v>crimson feather</x:v>
      </x:c>
      <x:c r="D1520" s="1" t="n">
        <x:v>1</x:v>
      </x:c>
      <x:c r="E1520" s="1" t="n">
        <x:v>1</x:v>
      </x:c>
      <x:c r="F1520" s="13" t="n">
        <x:v>0.045</x:v>
      </x:c>
      <x:c r="G1520" s="9" t="str">
        <x:v>https://poke.idleworld.online/pokepedia/pokemon/swellow</x:v>
      </x:c>
    </x:row>
    <x:row r="1521" ht="22" customHeight="1">
      <x:c r="A1521" s="1" t="n">
        <x:v>277</x:v>
      </x:c>
      <x:c r="B1521" s="1" t="str">
        <x:v>Swellow</x:v>
      </x:c>
      <x:c r="C1521" s="1" t="str">
        <x:v>Straw</x:v>
      </x:c>
      <x:c r="D1521" s="1" t="n">
        <x:v>1</x:v>
      </x:c>
      <x:c r="E1521" s="1" t="n">
        <x:v>19</x:v>
      </x:c>
      <x:c r="F1521" s="13" t="n">
        <x:v>0.8</x:v>
      </x:c>
      <x:c r="G1521" s="9" t="str">
        <x:v>https://poke.idleworld.online/pokepedia/pokemon/swellow</x:v>
      </x:c>
    </x:row>
    <x:row r="1522" ht="22" customHeight="1">
      <x:c r="A1522" s="1" t="n">
        <x:v>277</x:v>
      </x:c>
      <x:c r="B1522" s="1" t="str">
        <x:v>Swellow</x:v>
      </x:c>
      <x:c r="C1522" s="1" t="str">
        <x:v>Rubber Ball</x:v>
      </x:c>
      <x:c r="D1522" s="1" t="n">
        <x:v>1</x:v>
      </x:c>
      <x:c r="E1522" s="1" t="n">
        <x:v>19</x:v>
      </x:c>
      <x:c r="F1522" s="13" t="n">
        <x:v>0.8</x:v>
      </x:c>
      <x:c r="G1522" s="9" t="str">
        <x:v>https://poke.idleworld.online/pokepedia/pokemon/swellow</x:v>
      </x:c>
    </x:row>
    <x:row r="1523" ht="22" customHeight="1">
      <x:c r="A1523" s="1" t="n">
        <x:v>277</x:v>
      </x:c>
      <x:c r="B1523" s="1" t="str">
        <x:v>Swellow</x:v>
      </x:c>
      <x:c r="C1523" s="1" t="str">
        <x:v>Feather</x:v>
      </x:c>
      <x:c r="D1523" s="1" t="n">
        <x:v>1</x:v>
      </x:c>
      <x:c r="E1523" s="1" t="n">
        <x:v>1</x:v>
      </x:c>
      <x:c r="F1523" s="13" t="n">
        <x:v>0.13</x:v>
      </x:c>
      <x:c r="G1523" s="9" t="str">
        <x:v>https://poke.idleworld.online/pokepedia/pokemon/swellow</x:v>
      </x:c>
    </x:row>
    <x:row r="1524" ht="22" customHeight="1">
      <x:c r="A1524" s="1" t="n">
        <x:v>277</x:v>
      </x:c>
      <x:c r="B1524" s="1" t="str">
        <x:v>Swellow</x:v>
      </x:c>
      <x:c r="C1524" s="1" t="str">
        <x:v>Bird Beak</x:v>
      </x:c>
      <x:c r="D1524" s="1" t="n">
        <x:v>1</x:v>
      </x:c>
      <x:c r="E1524" s="1" t="n">
        <x:v>1</x:v>
      </x:c>
      <x:c r="F1524" s="13" t="n">
        <x:v>0.255</x:v>
      </x:c>
      <x:c r="G1524" s="9" t="str">
        <x:v>https://poke.idleworld.online/pokepedia/pokemon/swellow</x:v>
      </x:c>
    </x:row>
    <x:row r="1525" ht="22" customHeight="1">
      <x:c r="A1525" s="1" t="n">
        <x:v>277</x:v>
      </x:c>
      <x:c r="B1525" s="1" t="str">
        <x:v>Swellow</x:v>
      </x:c>
      <x:c r="C1525" s="1" t="str">
        <x:v>Feather Stone</x:v>
      </x:c>
      <x:c r="D1525" s="1" t="n">
        <x:v>1</x:v>
      </x:c>
      <x:c r="E1525" s="1" t="n">
        <x:v>1</x:v>
      </x:c>
      <x:c r="F1525" s="13" t="n">
        <x:v>0.01</x:v>
      </x:c>
      <x:c r="G1525" s="9" t="str">
        <x:v>https://poke.idleworld.online/pokepedia/pokemon/swellow</x:v>
      </x:c>
    </x:row>
    <x:row r="1526" ht="22" customHeight="1">
      <x:c r="A1526" s="1" t="n">
        <x:v>277</x:v>
      </x:c>
      <x:c r="B1526" s="1" t="str">
        <x:v>Swellow</x:v>
      </x:c>
      <x:c r="C1526" s="1" t="str">
        <x:v>Heart Stone</x:v>
      </x:c>
      <x:c r="D1526" s="1" t="n">
        <x:v>1</x:v>
      </x:c>
      <x:c r="E1526" s="1" t="n">
        <x:v>1</x:v>
      </x:c>
      <x:c r="F1526" s="13" t="n">
        <x:v>0.01</x:v>
      </x:c>
      <x:c r="G1526" s="9" t="str">
        <x:v>https://poke.idleworld.online/pokepedia/pokemon/swellow</x:v>
      </x:c>
    </x:row>
    <x:row r="1527" ht="22" customHeight="1">
      <x:c r="A1527" s="1" t="n">
        <x:v>278</x:v>
      </x:c>
      <x:c r="B1527" s="1" t="str">
        <x:v>Wingull</x:v>
      </x:c>
      <x:c r="C1527" s="1" t="str">
        <x:v>pelican wing</x:v>
      </x:c>
      <x:c r="D1527" s="1" t="n">
        <x:v>1</x:v>
      </x:c>
      <x:c r="E1527" s="1" t="n">
        <x:v>1</x:v>
      </x:c>
      <x:c r="F1527" s="13" t="n">
        <x:v>0.0301375</x:v>
      </x:c>
      <x:c r="G1527" s="9" t="str">
        <x:v>https://poke.idleworld.online/pokepedia/pokemon/wingull</x:v>
      </x:c>
    </x:row>
    <x:row r="1528" ht="22" customHeight="1">
      <x:c r="A1528" s="1" t="n">
        <x:v>278</x:v>
      </x:c>
      <x:c r="B1528" s="1" t="str">
        <x:v>Wingull</x:v>
      </x:c>
      <x:c r="C1528" s="1" t="str">
        <x:v>Straw</x:v>
      </x:c>
      <x:c r="D1528" s="1" t="n">
        <x:v>1</x:v>
      </x:c>
      <x:c r="E1528" s="1" t="n">
        <x:v>6</x:v>
      </x:c>
      <x:c r="F1528" s="13" t="n">
        <x:v>0.927</x:v>
      </x:c>
      <x:c r="G1528" s="9" t="str">
        <x:v>https://poke.idleworld.online/pokepedia/pokemon/wingull</x:v>
      </x:c>
    </x:row>
    <x:row r="1529" ht="22" customHeight="1">
      <x:c r="A1529" s="1" t="n">
        <x:v>278</x:v>
      </x:c>
      <x:c r="B1529" s="1" t="str">
        <x:v>Wingull</x:v>
      </x:c>
      <x:c r="C1529" s="1" t="str">
        <x:v>Water Gem</x:v>
      </x:c>
      <x:c r="D1529" s="1" t="n">
        <x:v>1</x:v>
      </x:c>
      <x:c r="E1529" s="1" t="n">
        <x:v>5</x:v>
      </x:c>
      <x:c r="F1529" s="13" t="n">
        <x:v>0.95</x:v>
      </x:c>
      <x:c r="G1529" s="9" t="str">
        <x:v>https://poke.idleworld.online/pokepedia/pokemon/wingull</x:v>
      </x:c>
    </x:row>
    <x:row r="1530" ht="22" customHeight="1">
      <x:c r="A1530" s="1" t="n">
        <x:v>279</x:v>
      </x:c>
      <x:c r="B1530" s="1" t="str">
        <x:v>Pelipper</x:v>
      </x:c>
      <x:c r="C1530" s="1" t="str">
        <x:v>pelican wing</x:v>
      </x:c>
      <x:c r="D1530" s="1" t="n">
        <x:v>1</x:v>
      </x:c>
      <x:c r="E1530" s="1" t="n">
        <x:v>1</x:v>
      </x:c>
      <x:c r="F1530" s="13" t="n">
        <x:v>0.0425</x:v>
      </x:c>
      <x:c r="G1530" s="9" t="str">
        <x:v>https://poke.idleworld.online/pokepedia/pokemon/pelipper</x:v>
      </x:c>
    </x:row>
    <x:row r="1531" ht="22" customHeight="1">
      <x:c r="A1531" s="1" t="n">
        <x:v>279</x:v>
      </x:c>
      <x:c r="B1531" s="1" t="str">
        <x:v>Pelipper</x:v>
      </x:c>
      <x:c r="C1531" s="1" t="str">
        <x:v>Straw</x:v>
      </x:c>
      <x:c r="D1531" s="1" t="n">
        <x:v>1</x:v>
      </x:c>
      <x:c r="E1531" s="1" t="n">
        <x:v>21</x:v>
      </x:c>
      <x:c r="F1531" s="13" t="n">
        <x:v>0.8</x:v>
      </x:c>
      <x:c r="G1531" s="9" t="str">
        <x:v>https://poke.idleworld.online/pokepedia/pokemon/pelipper</x:v>
      </x:c>
    </x:row>
    <x:row r="1532" ht="22" customHeight="1">
      <x:c r="A1532" s="1" t="n">
        <x:v>279</x:v>
      </x:c>
      <x:c r="B1532" s="1" t="str">
        <x:v>Pelipper</x:v>
      </x:c>
      <x:c r="C1532" s="1" t="str">
        <x:v>Water Gem</x:v>
      </x:c>
      <x:c r="D1532" s="1" t="n">
        <x:v>1</x:v>
      </x:c>
      <x:c r="E1532" s="1" t="n">
        <x:v>21</x:v>
      </x:c>
      <x:c r="F1532" s="13" t="n">
        <x:v>0.8</x:v>
      </x:c>
      <x:c r="G1532" s="9" t="str">
        <x:v>https://poke.idleworld.online/pokepedia/pokemon/pelipper</x:v>
      </x:c>
    </x:row>
    <x:row r="1533" ht="22" customHeight="1">
      <x:c r="A1533" s="1" t="n">
        <x:v>279</x:v>
      </x:c>
      <x:c r="B1533" s="1" t="str">
        <x:v>Pelipper</x:v>
      </x:c>
      <x:c r="C1533" s="1" t="str">
        <x:v>Feather Stone</x:v>
      </x:c>
      <x:c r="D1533" s="1" t="n">
        <x:v>1</x:v>
      </x:c>
      <x:c r="E1533" s="1" t="n">
        <x:v>1</x:v>
      </x:c>
      <x:c r="F1533" s="13" t="n">
        <x:v>0.01</x:v>
      </x:c>
      <x:c r="G1533" s="9" t="str">
        <x:v>https://poke.idleworld.online/pokepedia/pokemon/pelipper</x:v>
      </x:c>
    </x:row>
    <x:row r="1534" ht="22" customHeight="1">
      <x:c r="A1534" s="1" t="n">
        <x:v>279</x:v>
      </x:c>
      <x:c r="B1534" s="1" t="str">
        <x:v>Pelipper</x:v>
      </x:c>
      <x:c r="C1534" s="1" t="str">
        <x:v>Water Stone</x:v>
      </x:c>
      <x:c r="D1534" s="1" t="n">
        <x:v>1</x:v>
      </x:c>
      <x:c r="E1534" s="1" t="n">
        <x:v>1</x:v>
      </x:c>
      <x:c r="F1534" s="13" t="n">
        <x:v>0.01</x:v>
      </x:c>
      <x:c r="G1534" s="9" t="str">
        <x:v>https://poke.idleworld.online/pokepedia/pokemon/pelipper</x:v>
      </x:c>
    </x:row>
    <x:row r="1535" ht="22" customHeight="1">
      <x:c r="A1535" s="1" t="n">
        <x:v>279</x:v>
      </x:c>
      <x:c r="B1535" s="1" t="str">
        <x:v>Pelipper</x:v>
      </x:c>
      <x:c r="C1535" s="1" t="str">
        <x:v>Water Pendant</x:v>
      </x:c>
      <x:c r="D1535" s="1" t="n">
        <x:v>1</x:v>
      </x:c>
      <x:c r="E1535" s="1" t="n">
        <x:v>1</x:v>
      </x:c>
      <x:c r="F1535" s="13" t="n">
        <x:v>0.45</x:v>
      </x:c>
      <x:c r="G1535" s="9" t="str">
        <x:v>https://poke.idleworld.online/pokepedia/pokemon/pelipper</x:v>
      </x:c>
    </x:row>
    <x:row r="1536" ht="22" customHeight="1">
      <x:c r="A1536" s="1" t="n">
        <x:v>280</x:v>
      </x:c>
      <x:c r="B1536" s="1" t="str">
        <x:v>Ralts</x:v>
      </x:c>
      <x:c r="C1536" s="1" t="str">
        <x:v>Cure Flower</x:v>
      </x:c>
      <x:c r="D1536" s="1" t="n">
        <x:v>1</x:v>
      </x:c>
      <x:c r="E1536" s="1" t="n">
        <x:v>1</x:v>
      </x:c>
      <x:c r="F1536" s="13" t="n">
        <x:v>0.01</x:v>
      </x:c>
      <x:c r="G1536" s="9" t="str">
        <x:v>https://poke.idleworld.online/pokepedia/pokemon/ralts</x:v>
      </x:c>
    </x:row>
    <x:row r="1537" ht="22" customHeight="1">
      <x:c r="A1537" s="1" t="n">
        <x:v>280</x:v>
      </x:c>
      <x:c r="B1537" s="1" t="str">
        <x:v>Ralts</x:v>
      </x:c>
      <x:c r="C1537" s="1" t="str">
        <x:v>Comb</x:v>
      </x:c>
      <x:c r="D1537" s="1" t="n">
        <x:v>1</x:v>
      </x:c>
      <x:c r="E1537" s="1" t="n">
        <x:v>1</x:v>
      </x:c>
      <x:c r="F1537" s="13" t="n">
        <x:v>0.01</x:v>
      </x:c>
      <x:c r="G1537" s="9" t="str">
        <x:v>https://poke.idleworld.online/pokepedia/pokemon/ralts</x:v>
      </x:c>
    </x:row>
    <x:row r="1538" ht="22" customHeight="1">
      <x:c r="A1538" s="1" t="n">
        <x:v>280</x:v>
      </x:c>
      <x:c r="B1538" s="1" t="str">
        <x:v>Ralts</x:v>
      </x:c>
      <x:c r="C1538" s="1" t="str">
        <x:v>Enchanted Gem</x:v>
      </x:c>
      <x:c r="D1538" s="1" t="n">
        <x:v>1</x:v>
      </x:c>
      <x:c r="E1538" s="1" t="n">
        <x:v>10</x:v>
      </x:c>
      <x:c r="F1538" s="13" t="n">
        <x:v>0.8</x:v>
      </x:c>
      <x:c r="G1538" s="9" t="str">
        <x:v>https://poke.idleworld.online/pokepedia/pokemon/ralts</x:v>
      </x:c>
    </x:row>
    <x:row r="1539" ht="22" customHeight="1">
      <x:c r="A1539" s="1" t="n">
        <x:v>280</x:v>
      </x:c>
      <x:c r="B1539" s="1" t="str">
        <x:v>Ralts</x:v>
      </x:c>
      <x:c r="C1539" s="1" t="str">
        <x:v>Future Orb</x:v>
      </x:c>
      <x:c r="D1539" s="1" t="n">
        <x:v>1</x:v>
      </x:c>
      <x:c r="E1539" s="1" t="n">
        <x:v>1</x:v>
      </x:c>
      <x:c r="F1539" s="13" t="n">
        <x:v>0.2</x:v>
      </x:c>
      <x:c r="G1539" s="9" t="str">
        <x:v>https://poke.idleworld.online/pokepedia/pokemon/ralts</x:v>
      </x:c>
    </x:row>
    <x:row r="1540" ht="22" customHeight="1">
      <x:c r="A1540" s="1" t="n">
        <x:v>281</x:v>
      </x:c>
      <x:c r="B1540" s="1" t="str">
        <x:v>Kirlia</x:v>
      </x:c>
      <x:c r="C1540" s="1" t="str">
        <x:v>Cure Flower</x:v>
      </x:c>
      <x:c r="D1540" s="1" t="n">
        <x:v>1</x:v>
      </x:c>
      <x:c r="E1540" s="1" t="n">
        <x:v>1</x:v>
      </x:c>
      <x:c r="F1540" s="13" t="n">
        <x:v>0.04</x:v>
      </x:c>
      <x:c r="G1540" s="9" t="str">
        <x:v>https://poke.idleworld.online/pokepedia/pokemon/kirlia</x:v>
      </x:c>
    </x:row>
    <x:row r="1541" ht="22" customHeight="1">
      <x:c r="A1541" s="1" t="n">
        <x:v>281</x:v>
      </x:c>
      <x:c r="B1541" s="1" t="str">
        <x:v>Kirlia</x:v>
      </x:c>
      <x:c r="C1541" s="1" t="str">
        <x:v>Comb</x:v>
      </x:c>
      <x:c r="D1541" s="1" t="n">
        <x:v>1</x:v>
      </x:c>
      <x:c r="E1541" s="1" t="n">
        <x:v>1</x:v>
      </x:c>
      <x:c r="F1541" s="13" t="n">
        <x:v>0.035</x:v>
      </x:c>
      <x:c r="G1541" s="9" t="str">
        <x:v>https://poke.idleworld.online/pokepedia/pokemon/kirlia</x:v>
      </x:c>
    </x:row>
    <x:row r="1542" ht="22" customHeight="1">
      <x:c r="A1542" s="1" t="n">
        <x:v>281</x:v>
      </x:c>
      <x:c r="B1542" s="1" t="str">
        <x:v>Kirlia</x:v>
      </x:c>
      <x:c r="C1542" s="1" t="str">
        <x:v>Enchanted Gem</x:v>
      </x:c>
      <x:c r="D1542" s="1" t="n">
        <x:v>1</x:v>
      </x:c>
      <x:c r="E1542" s="1" t="n">
        <x:v>43</x:v>
      </x:c>
      <x:c r="F1542" s="13" t="n">
        <x:v>0.8</x:v>
      </x:c>
      <x:c r="G1542" s="9" t="str">
        <x:v>https://poke.idleworld.online/pokepedia/pokemon/kirlia</x:v>
      </x:c>
    </x:row>
    <x:row r="1543" ht="22" customHeight="1">
      <x:c r="A1543" s="1" t="n">
        <x:v>281</x:v>
      </x:c>
      <x:c r="B1543" s="1" t="str">
        <x:v>Kirlia</x:v>
      </x:c>
      <x:c r="C1543" s="1" t="str">
        <x:v>Future Orb</x:v>
      </x:c>
      <x:c r="D1543" s="1" t="n">
        <x:v>1</x:v>
      </x:c>
      <x:c r="E1543" s="1" t="n">
        <x:v>1</x:v>
      </x:c>
      <x:c r="F1543" s="13" t="n">
        <x:v>0.3</x:v>
      </x:c>
      <x:c r="G1543" s="9" t="str">
        <x:v>https://poke.idleworld.online/pokepedia/pokemon/kirlia</x:v>
      </x:c>
    </x:row>
    <x:row r="1544" ht="22" customHeight="1">
      <x:c r="A1544" s="1" t="n">
        <x:v>281</x:v>
      </x:c>
      <x:c r="B1544" s="1" t="str">
        <x:v>Kirlia</x:v>
      </x:c>
      <x:c r="C1544" s="1" t="str">
        <x:v>Enigma Stone</x:v>
      </x:c>
      <x:c r="D1544" s="1" t="n">
        <x:v>1</x:v>
      </x:c>
      <x:c r="E1544" s="1" t="n">
        <x:v>1</x:v>
      </x:c>
      <x:c r="F1544" s="13" t="n">
        <x:v>0.01</x:v>
      </x:c>
      <x:c r="G1544" s="9" t="str">
        <x:v>https://poke.idleworld.online/pokepedia/pokemon/kirlia</x:v>
      </x:c>
    </x:row>
    <x:row r="1545" ht="22" customHeight="1">
      <x:c r="A1545" s="1" t="n">
        <x:v>282</x:v>
      </x:c>
      <x:c r="B1545" s="1" t="str">
        <x:v>Gardevoir</x:v>
      </x:c>
      <x:c r="C1545" s="1" t="str">
        <x:v>Cure Flower</x:v>
      </x:c>
      <x:c r="D1545" s="1" t="n">
        <x:v>1</x:v>
      </x:c>
      <x:c r="E1545" s="1" t="n">
        <x:v>1</x:v>
      </x:c>
      <x:c r="F1545" s="13" t="n">
        <x:v>0.0425</x:v>
      </x:c>
      <x:c r="G1545" s="9" t="str">
        <x:v>https://poke.idleworld.online/pokepedia/pokemon/gardevoir</x:v>
      </x:c>
    </x:row>
    <x:row r="1546" ht="22" customHeight="1">
      <x:c r="A1546" s="1" t="n">
        <x:v>282</x:v>
      </x:c>
      <x:c r="B1546" s="1" t="str">
        <x:v>Gardevoir</x:v>
      </x:c>
      <x:c r="C1546" s="1" t="str">
        <x:v>Comb</x:v>
      </x:c>
      <x:c r="D1546" s="1" t="n">
        <x:v>1</x:v>
      </x:c>
      <x:c r="E1546" s="1" t="n">
        <x:v>1</x:v>
      </x:c>
      <x:c r="F1546" s="13" t="n">
        <x:v>0.025</x:v>
      </x:c>
      <x:c r="G1546" s="9" t="str">
        <x:v>https://poke.idleworld.online/pokepedia/pokemon/gardevoir</x:v>
      </x:c>
    </x:row>
    <x:row r="1547" ht="22" customHeight="1">
      <x:c r="A1547" s="1" t="n">
        <x:v>282</x:v>
      </x:c>
      <x:c r="B1547" s="1" t="str">
        <x:v>Gardevoir</x:v>
      </x:c>
      <x:c r="C1547" s="1" t="str">
        <x:v>Enchanted Gem</x:v>
      </x:c>
      <x:c r="D1547" s="1" t="n">
        <x:v>1</x:v>
      </x:c>
      <x:c r="E1547" s="1" t="n">
        <x:v>43</x:v>
      </x:c>
      <x:c r="F1547" s="13" t="n">
        <x:v>1</x:v>
      </x:c>
      <x:c r="G1547" s="9" t="str">
        <x:v>https://poke.idleworld.online/pokepedia/pokemon/gardevoir</x:v>
      </x:c>
    </x:row>
    <x:row r="1548" ht="22" customHeight="1">
      <x:c r="A1548" s="1" t="n">
        <x:v>282</x:v>
      </x:c>
      <x:c r="B1548" s="1" t="str">
        <x:v>Gardevoir</x:v>
      </x:c>
      <x:c r="C1548" s="1" t="str">
        <x:v>Future Orb</x:v>
      </x:c>
      <x:c r="D1548" s="1" t="n">
        <x:v>1</x:v>
      </x:c>
      <x:c r="E1548" s="1" t="n">
        <x:v>1</x:v>
      </x:c>
      <x:c r="F1548" s="13" t="n">
        <x:v>0.4</x:v>
      </x:c>
      <x:c r="G1548" s="9" t="str">
        <x:v>https://poke.idleworld.online/pokepedia/pokemon/gardevoir</x:v>
      </x:c>
    </x:row>
    <x:row r="1549" ht="22" customHeight="1">
      <x:c r="A1549" s="1" t="n">
        <x:v>282</x:v>
      </x:c>
      <x:c r="B1549" s="1" t="str">
        <x:v>Gardevoir</x:v>
      </x:c>
      <x:c r="C1549" s="1" t="str">
        <x:v>Enigma Stone</x:v>
      </x:c>
      <x:c r="D1549" s="1" t="n">
        <x:v>1</x:v>
      </x:c>
      <x:c r="E1549" s="1" t="n">
        <x:v>1</x:v>
      </x:c>
      <x:c r="F1549" s="13" t="n">
        <x:v>0.01</x:v>
      </x:c>
      <x:c r="G1549" s="9" t="str">
        <x:v>https://poke.idleworld.online/pokepedia/pokemon/gardevoir</x:v>
      </x:c>
    </x:row>
    <x:row r="1550" ht="22" customHeight="1">
      <x:c r="A1550" s="1" t="n">
        <x:v>282</x:v>
      </x:c>
      <x:c r="B1550" s="1" t="str">
        <x:v>Gardevoir</x:v>
      </x:c>
      <x:c r="C1550" s="1" t="str">
        <x:v>Crystal Stone</x:v>
      </x:c>
      <x:c r="D1550" s="1" t="n">
        <x:v>1</x:v>
      </x:c>
      <x:c r="E1550" s="1" t="n">
        <x:v>1</x:v>
      </x:c>
      <x:c r="F1550" s="13" t="n">
        <x:v>0.01</x:v>
      </x:c>
      <x:c r="G1550" s="9" t="str">
        <x:v>https://poke.idleworld.online/pokepedia/pokemon/gardevoir</x:v>
      </x:c>
    </x:row>
    <x:row r="1551" ht="22" customHeight="1">
      <x:c r="A1551" s="1" t="n">
        <x:v>287</x:v>
      </x:c>
      <x:c r="B1551" s="1" t="str">
        <x:v>Slakoth</x:v>
      </x:c>
      <x:c r="C1551" s="1" t="str">
        <x:v>fur ball</x:v>
      </x:c>
      <x:c r="D1551" s="1" t="n">
        <x:v>1</x:v>
      </x:c>
      <x:c r="E1551" s="1" t="n">
        <x:v>1</x:v>
      </x:c>
      <x:c r="F1551" s="13" t="n">
        <x:v>0.013</x:v>
      </x:c>
      <x:c r="G1551" s="9" t="str">
        <x:v>https://poke.idleworld.online/pokepedia/pokemon/slakoth</x:v>
      </x:c>
    </x:row>
    <x:row r="1552" ht="22" customHeight="1">
      <x:c r="A1552" s="1" t="n">
        <x:v>287</x:v>
      </x:c>
      <x:c r="B1552" s="1" t="str">
        <x:v>Slakoth</x:v>
      </x:c>
      <x:c r="C1552" s="1" t="str">
        <x:v>Rubber Ball</x:v>
      </x:c>
      <x:c r="D1552" s="1" t="n">
        <x:v>1</x:v>
      </x:c>
      <x:c r="E1552" s="1" t="n">
        <x:v>10</x:v>
      </x:c>
      <x:c r="F1552" s="13" t="n">
        <x:v>0.8</x:v>
      </x:c>
      <x:c r="G1552" s="9" t="str">
        <x:v>https://poke.idleworld.online/pokepedia/pokemon/slakoth</x:v>
      </x:c>
    </x:row>
    <x:row r="1553" ht="22" customHeight="1">
      <x:c r="A1553" s="1" t="n">
        <x:v>287</x:v>
      </x:c>
      <x:c r="B1553" s="1" t="str">
        <x:v>Slakoth</x:v>
      </x:c>
      <x:c r="C1553" s="1" t="str">
        <x:v>Fur</x:v>
      </x:c>
      <x:c r="D1553" s="1" t="n">
        <x:v>1</x:v>
      </x:c>
      <x:c r="E1553" s="1" t="n">
        <x:v>1</x:v>
      </x:c>
      <x:c r="F1553" s="13" t="n">
        <x:v>0.26</x:v>
      </x:c>
      <x:c r="G1553" s="9" t="str">
        <x:v>https://poke.idleworld.online/pokepedia/pokemon/slakoth</x:v>
      </x:c>
    </x:row>
    <x:row r="1554" ht="22" customHeight="1">
      <x:c r="A1554" s="1" t="n">
        <x:v>288</x:v>
      </x:c>
      <x:c r="B1554" s="1" t="str">
        <x:v>Vigoroth</x:v>
      </x:c>
      <x:c r="C1554" s="1" t="str">
        <x:v>fur ball</x:v>
      </x:c>
      <x:c r="D1554" s="1" t="n">
        <x:v>1</x:v>
      </x:c>
      <x:c r="E1554" s="1" t="n">
        <x:v>1</x:v>
      </x:c>
      <x:c r="F1554" s="13" t="n">
        <x:v>0.05</x:v>
      </x:c>
      <x:c r="G1554" s="9" t="str">
        <x:v>https://poke.idleworld.online/pokepedia/pokemon/vigoroth</x:v>
      </x:c>
    </x:row>
    <x:row r="1555" ht="22" customHeight="1">
      <x:c r="A1555" s="1" t="n">
        <x:v>288</x:v>
      </x:c>
      <x:c r="B1555" s="1" t="str">
        <x:v>Vigoroth</x:v>
      </x:c>
      <x:c r="C1555" s="1" t="str">
        <x:v>Rubber Ball</x:v>
      </x:c>
      <x:c r="D1555" s="1" t="n">
        <x:v>1</x:v>
      </x:c>
      <x:c r="E1555" s="1" t="n">
        <x:v>43</x:v>
      </x:c>
      <x:c r="F1555" s="13" t="n">
        <x:v>0.8</x:v>
      </x:c>
      <x:c r="G1555" s="9" t="str">
        <x:v>https://poke.idleworld.online/pokepedia/pokemon/vigoroth</x:v>
      </x:c>
    </x:row>
    <x:row r="1556" ht="22" customHeight="1">
      <x:c r="A1556" s="1" t="n">
        <x:v>288</x:v>
      </x:c>
      <x:c r="B1556" s="1" t="str">
        <x:v>Vigoroth</x:v>
      </x:c>
      <x:c r="C1556" s="1" t="str">
        <x:v>Fur</x:v>
      </x:c>
      <x:c r="D1556" s="1" t="n">
        <x:v>1</x:v>
      </x:c>
      <x:c r="E1556" s="1" t="n">
        <x:v>1</x:v>
      </x:c>
      <x:c r="F1556" s="13" t="n">
        <x:v>0.455</x:v>
      </x:c>
      <x:c r="G1556" s="9" t="str">
        <x:v>https://poke.idleworld.online/pokepedia/pokemon/vigoroth</x:v>
      </x:c>
    </x:row>
    <x:row r="1557" ht="22" customHeight="1">
      <x:c r="A1557" s="1" t="n">
        <x:v>288</x:v>
      </x:c>
      <x:c r="B1557" s="1" t="str">
        <x:v>Vigoroth</x:v>
      </x:c>
      <x:c r="C1557" s="1" t="str">
        <x:v>Heart Stone</x:v>
      </x:c>
      <x:c r="D1557" s="1" t="n">
        <x:v>1</x:v>
      </x:c>
      <x:c r="E1557" s="1" t="n">
        <x:v>1</x:v>
      </x:c>
      <x:c r="F1557" s="13" t="n">
        <x:v>0.01</x:v>
      </x:c>
      <x:c r="G1557" s="9" t="str">
        <x:v>https://poke.idleworld.online/pokepedia/pokemon/vigoroth</x:v>
      </x:c>
    </x:row>
    <x:row r="1558" ht="22" customHeight="1">
      <x:c r="A1558" s="1" t="n">
        <x:v>289</x:v>
      </x:c>
      <x:c r="B1558" s="1" t="str">
        <x:v>Slaking</x:v>
      </x:c>
      <x:c r="C1558" s="1" t="str">
        <x:v>Rubber Ball</x:v>
      </x:c>
      <x:c r="D1558" s="1" t="n">
        <x:v>1</x:v>
      </x:c>
      <x:c r="E1558" s="1" t="n">
        <x:v>10</x:v>
      </x:c>
      <x:c r="F1558" s="13" t="n">
        <x:v>0.8</x:v>
      </x:c>
      <x:c r="G1558" s="9" t="str">
        <x:v>https://poke.idleworld.online/pokepedia/pokemon/slaking</x:v>
      </x:c>
    </x:row>
    <x:row r="1559" ht="22" customHeight="1">
      <x:c r="A1559" s="1" t="n">
        <x:v>289</x:v>
      </x:c>
      <x:c r="B1559" s="1" t="str">
        <x:v>Slaking</x:v>
      </x:c>
      <x:c r="C1559" s="1" t="str">
        <x:v>Power Banana</x:v>
      </x:c>
      <x:c r="D1559" s="1" t="n">
        <x:v>1</x:v>
      </x:c>
      <x:c r="E1559" s="1" t="n">
        <x:v>1</x:v>
      </x:c>
      <x:c r="F1559" s="13" t="n">
        <x:v>0.000013300000000000001</x:v>
      </x:c>
      <x:c r="G1559" s="9" t="str">
        <x:v>https://poke.idleworld.online/pokepedia/pokemon/slaking</x:v>
      </x:c>
    </x:row>
    <x:row r="1560" ht="22" customHeight="1">
      <x:c r="A1560" s="1" t="n">
        <x:v>289</x:v>
      </x:c>
      <x:c r="B1560" s="1" t="str">
        <x:v>Slaking</x:v>
      </x:c>
      <x:c r="C1560" s="1" t="str">
        <x:v>fur ball</x:v>
      </x:c>
      <x:c r="D1560" s="1" t="n">
        <x:v>1</x:v>
      </x:c>
      <x:c r="E1560" s="1" t="n">
        <x:v>1</x:v>
      </x:c>
      <x:c r="F1560" s="13" t="n">
        <x:v>0.07</x:v>
      </x:c>
      <x:c r="G1560" s="9" t="str">
        <x:v>https://poke.idleworld.online/pokepedia/pokemon/slaking</x:v>
      </x:c>
    </x:row>
    <x:row r="1561" ht="22" customHeight="1">
      <x:c r="A1561" s="1" t="n">
        <x:v>293</x:v>
      </x:c>
      <x:c r="B1561" s="1" t="str">
        <x:v>Whismur</x:v>
      </x:c>
      <x:c r="C1561" s="1" t="str">
        <x:v>cute ball</x:v>
      </x:c>
      <x:c r="D1561" s="1" t="n">
        <x:v>1</x:v>
      </x:c>
      <x:c r="E1561" s="1" t="n">
        <x:v>1</x:v>
      </x:c>
      <x:c r="F1561" s="13" t="n">
        <x:v>0.02</x:v>
      </x:c>
      <x:c r="G1561" s="9" t="str">
        <x:v>https://poke.idleworld.online/pokepedia/pokemon/whismur</x:v>
      </x:c>
    </x:row>
    <x:row r="1562" ht="22" customHeight="1">
      <x:c r="A1562" s="1" t="n">
        <x:v>293</x:v>
      </x:c>
      <x:c r="B1562" s="1" t="str">
        <x:v>Whismur</x:v>
      </x:c>
      <x:c r="C1562" s="1" t="str">
        <x:v>Rubber Ball</x:v>
      </x:c>
      <x:c r="D1562" s="1" t="n">
        <x:v>1</x:v>
      </x:c>
      <x:c r="E1562" s="1" t="n">
        <x:v>10</x:v>
      </x:c>
      <x:c r="F1562" s="13" t="n">
        <x:v>0.8</x:v>
      </x:c>
      <x:c r="G1562" s="9" t="str">
        <x:v>https://poke.idleworld.online/pokepedia/pokemon/whismur</x:v>
      </x:c>
    </x:row>
    <x:row r="1563" ht="22" customHeight="1">
      <x:c r="A1563" s="1" t="n">
        <x:v>293</x:v>
      </x:c>
      <x:c r="B1563" s="1" t="str">
        <x:v>Whismur</x:v>
      </x:c>
      <x:c r="C1563" s="1" t="str">
        <x:v>Nail</x:v>
      </x:c>
      <x:c r="D1563" s="1" t="n">
        <x:v>1</x:v>
      </x:c>
      <x:c r="E1563" s="1" t="n">
        <x:v>1</x:v>
      </x:c>
      <x:c r="F1563" s="13" t="n">
        <x:v>0.2</x:v>
      </x:c>
      <x:c r="G1563" s="9" t="str">
        <x:v>https://poke.idleworld.online/pokepedia/pokemon/whismur</x:v>
      </x:c>
    </x:row>
    <x:row r="1564" ht="22" customHeight="1">
      <x:c r="A1564" s="1" t="n">
        <x:v>294</x:v>
      </x:c>
      <x:c r="B1564" s="1" t="str">
        <x:v>Loudred</x:v>
      </x:c>
      <x:c r="C1564" s="1" t="str">
        <x:v>cute ball</x:v>
      </x:c>
      <x:c r="D1564" s="1" t="n">
        <x:v>1</x:v>
      </x:c>
      <x:c r="E1564" s="1" t="n">
        <x:v>1</x:v>
      </x:c>
      <x:c r="F1564" s="13" t="n">
        <x:v>0.04</x:v>
      </x:c>
      <x:c r="G1564" s="9" t="str">
        <x:v>https://poke.idleworld.online/pokepedia/pokemon/loudred</x:v>
      </x:c>
    </x:row>
    <x:row r="1565" ht="22" customHeight="1">
      <x:c r="A1565" s="1" t="n">
        <x:v>294</x:v>
      </x:c>
      <x:c r="B1565" s="1" t="str">
        <x:v>Loudred</x:v>
      </x:c>
      <x:c r="C1565" s="1" t="str">
        <x:v>Rubber Ball</x:v>
      </x:c>
      <x:c r="D1565" s="1" t="n">
        <x:v>1</x:v>
      </x:c>
      <x:c r="E1565" s="1" t="n">
        <x:v>20</x:v>
      </x:c>
      <x:c r="F1565" s="13" t="n">
        <x:v>0.8</x:v>
      </x:c>
      <x:c r="G1565" s="9" t="str">
        <x:v>https://poke.idleworld.online/pokepedia/pokemon/loudred</x:v>
      </x:c>
    </x:row>
    <x:row r="1566" ht="22" customHeight="1">
      <x:c r="A1566" s="1" t="n">
        <x:v>294</x:v>
      </x:c>
      <x:c r="B1566" s="1" t="str">
        <x:v>Loudred</x:v>
      </x:c>
      <x:c r="C1566" s="1" t="str">
        <x:v>eruption ears</x:v>
      </x:c>
      <x:c r="D1566" s="1" t="n">
        <x:v>1</x:v>
      </x:c>
      <x:c r="E1566" s="1" t="n">
        <x:v>1</x:v>
      </x:c>
      <x:c r="F1566" s="13" t="n">
        <x:v>0.021</x:v>
      </x:c>
      <x:c r="G1566" s="9" t="str">
        <x:v>https://poke.idleworld.online/pokepedia/pokemon/loudred</x:v>
      </x:c>
    </x:row>
    <x:row r="1567" ht="22" customHeight="1">
      <x:c r="A1567" s="1" t="n">
        <x:v>294</x:v>
      </x:c>
      <x:c r="B1567" s="1" t="str">
        <x:v>Loudred</x:v>
      </x:c>
      <x:c r="C1567" s="1" t="str">
        <x:v>Heart Stone</x:v>
      </x:c>
      <x:c r="D1567" s="1" t="n">
        <x:v>1</x:v>
      </x:c>
      <x:c r="E1567" s="1" t="n">
        <x:v>1</x:v>
      </x:c>
      <x:c r="F1567" s="13" t="n">
        <x:v>0.01</x:v>
      </x:c>
      <x:c r="G1567" s="9" t="str">
        <x:v>https://poke.idleworld.online/pokepedia/pokemon/loudred</x:v>
      </x:c>
    </x:row>
    <x:row r="1568" ht="22" customHeight="1">
      <x:c r="A1568" s="1" t="n">
        <x:v>294</x:v>
      </x:c>
      <x:c r="B1568" s="1" t="str">
        <x:v>Loudred</x:v>
      </x:c>
      <x:c r="C1568" s="1" t="str">
        <x:v>Nail</x:v>
      </x:c>
      <x:c r="D1568" s="1" t="n">
        <x:v>1</x:v>
      </x:c>
      <x:c r="E1568" s="1" t="n">
        <x:v>1</x:v>
      </x:c>
      <x:c r="F1568" s="13" t="n">
        <x:v>0.35</x:v>
      </x:c>
      <x:c r="G1568" s="9" t="str">
        <x:v>https://poke.idleworld.online/pokepedia/pokemon/loudred</x:v>
      </x:c>
    </x:row>
    <x:row r="1569" ht="22" customHeight="1">
      <x:c r="A1569" s="1" t="n">
        <x:v>295</x:v>
      </x:c>
      <x:c r="B1569" s="1" t="str">
        <x:v>Exploud</x:v>
      </x:c>
      <x:c r="C1569" s="1" t="str">
        <x:v>cute ball</x:v>
      </x:c>
      <x:c r="D1569" s="1" t="n">
        <x:v>1</x:v>
      </x:c>
      <x:c r="E1569" s="1" t="n">
        <x:v>1</x:v>
      </x:c>
      <x:c r="F1569" s="13" t="n">
        <x:v>0.085</x:v>
      </x:c>
      <x:c r="G1569" s="9" t="str">
        <x:v>https://poke.idleworld.online/pokepedia/pokemon/exploud</x:v>
      </x:c>
    </x:row>
    <x:row r="1570" ht="22" customHeight="1">
      <x:c r="A1570" s="1" t="n">
        <x:v>295</x:v>
      </x:c>
      <x:c r="B1570" s="1" t="str">
        <x:v>Exploud</x:v>
      </x:c>
      <x:c r="C1570" s="1" t="str">
        <x:v>Rubber Ball</x:v>
      </x:c>
      <x:c r="D1570" s="1" t="n">
        <x:v>1</x:v>
      </x:c>
      <x:c r="E1570" s="1" t="n">
        <x:v>43</x:v>
      </x:c>
      <x:c r="F1570" s="13" t="n">
        <x:v>0.8</x:v>
      </x:c>
      <x:c r="G1570" s="9" t="str">
        <x:v>https://poke.idleworld.online/pokepedia/pokemon/exploud</x:v>
      </x:c>
    </x:row>
    <x:row r="1571" ht="22" customHeight="1">
      <x:c r="A1571" s="1" t="n">
        <x:v>295</x:v>
      </x:c>
      <x:c r="B1571" s="1" t="str">
        <x:v>Exploud</x:v>
      </x:c>
      <x:c r="C1571" s="1" t="str">
        <x:v>eruption ears</x:v>
      </x:c>
      <x:c r="D1571" s="1" t="n">
        <x:v>1</x:v>
      </x:c>
      <x:c r="E1571" s="1" t="n">
        <x:v>1</x:v>
      </x:c>
      <x:c r="F1571" s="13" t="n">
        <x:v>0.045</x:v>
      </x:c>
      <x:c r="G1571" s="9" t="str">
        <x:v>https://poke.idleworld.online/pokepedia/pokemon/exploud</x:v>
      </x:c>
    </x:row>
    <x:row r="1572" ht="22" customHeight="1">
      <x:c r="A1572" s="1" t="n">
        <x:v>295</x:v>
      </x:c>
      <x:c r="B1572" s="1" t="str">
        <x:v>Exploud</x:v>
      </x:c>
      <x:c r="C1572" s="1" t="str">
        <x:v>Heart Stone</x:v>
      </x:c>
      <x:c r="D1572" s="1" t="n">
        <x:v>1</x:v>
      </x:c>
      <x:c r="E1572" s="1" t="n">
        <x:v>1</x:v>
      </x:c>
      <x:c r="F1572" s="13" t="n">
        <x:v>0.01</x:v>
      </x:c>
      <x:c r="G1572" s="9" t="str">
        <x:v>https://poke.idleworld.online/pokepedia/pokemon/exploud</x:v>
      </x:c>
    </x:row>
    <x:row r="1573" ht="22" customHeight="1">
      <x:c r="A1573" s="1" t="n">
        <x:v>295</x:v>
      </x:c>
      <x:c r="B1573" s="1" t="str">
        <x:v>Exploud</x:v>
      </x:c>
      <x:c r="C1573" s="1" t="str">
        <x:v>Nail</x:v>
      </x:c>
      <x:c r="D1573" s="1" t="n">
        <x:v>1</x:v>
      </x:c>
      <x:c r="E1573" s="1" t="n">
        <x:v>1</x:v>
      </x:c>
      <x:c r="F1573" s="13" t="n">
        <x:v>0.5</x:v>
      </x:c>
      <x:c r="G1573" s="9" t="str">
        <x:v>https://poke.idleworld.online/pokepedia/pokemon/exploud</x:v>
      </x:c>
    </x:row>
    <x:row r="1574" ht="22" customHeight="1">
      <x:c r="A1574" s="1" t="n">
        <x:v>296</x:v>
      </x:c>
      <x:c r="B1574" s="1" t="str">
        <x:v>Makuhita</x:v>
      </x:c>
      <x:c r="C1574" s="1" t="str">
        <x:v>samurai hair</x:v>
      </x:c>
      <x:c r="D1574" s="1" t="n">
        <x:v>1</x:v>
      </x:c>
      <x:c r="E1574" s="1" t="n">
        <x:v>1</x:v>
      </x:c>
      <x:c r="F1574" s="13" t="n">
        <x:v>0.013</x:v>
      </x:c>
      <x:c r="G1574" s="9" t="str">
        <x:v>https://poke.idleworld.online/pokepedia/pokemon/makuhita</x:v>
      </x:c>
    </x:row>
    <x:row r="1575" ht="22" customHeight="1">
      <x:c r="A1575" s="1" t="n">
        <x:v>296</x:v>
      </x:c>
      <x:c r="B1575" s="1" t="str">
        <x:v>Makuhita</x:v>
      </x:c>
      <x:c r="C1575" s="1" t="str">
        <x:v>band-aid</x:v>
      </x:c>
      <x:c r="D1575" s="1" t="n">
        <x:v>1</x:v>
      </x:c>
      <x:c r="E1575" s="1" t="n">
        <x:v>10</x:v>
      </x:c>
      <x:c r="F1575" s="13" t="n">
        <x:v>0.8</x:v>
      </x:c>
      <x:c r="G1575" s="9" t="str">
        <x:v>https://poke.idleworld.online/pokepedia/pokemon/makuhita</x:v>
      </x:c>
    </x:row>
    <x:row r="1576" ht="22" customHeight="1">
      <x:c r="A1576" s="1" t="n">
        <x:v>302</x:v>
      </x:c>
      <x:c r="B1576" s="1" t="str">
        <x:v>Sableye</x:v>
      </x:c>
      <x:c r="C1576" s="1" t="str">
        <x:v>Big Crystal</x:v>
      </x:c>
      <x:c r="D1576" s="1" t="n">
        <x:v>1</x:v>
      </x:c>
      <x:c r="E1576" s="1" t="n">
        <x:v>1</x:v>
      </x:c>
      <x:c r="F1576" s="13" t="n">
        <x:v>0.017</x:v>
      </x:c>
      <x:c r="G1576" s="9" t="str">
        <x:v>https://poke.idleworld.online/pokepedia/pokemon/sableye</x:v>
      </x:c>
    </x:row>
    <x:row r="1577" ht="22" customHeight="1">
      <x:c r="A1577" s="1" t="n">
        <x:v>302</x:v>
      </x:c>
      <x:c r="B1577" s="1" t="str">
        <x:v>Sableye</x:v>
      </x:c>
      <x:c r="C1577" s="1" t="str">
        <x:v>Ruby</x:v>
      </x:c>
      <x:c r="D1577" s="1" t="n">
        <x:v>1</x:v>
      </x:c>
      <x:c r="E1577" s="1" t="n">
        <x:v>1</x:v>
      </x:c>
      <x:c r="F1577" s="13" t="n">
        <x:v>0.0365</x:v>
      </x:c>
      <x:c r="G1577" s="9" t="str">
        <x:v>https://poke.idleworld.online/pokepedia/pokemon/sableye</x:v>
      </x:c>
    </x:row>
    <x:row r="1578" ht="22" customHeight="1">
      <x:c r="A1578" s="1" t="n">
        <x:v>302</x:v>
      </x:c>
      <x:c r="B1578" s="1" t="str">
        <x:v>Sableye</x:v>
      </x:c>
      <x:c r="C1578" s="1" t="str">
        <x:v>Ghost Essence</x:v>
      </x:c>
      <x:c r="D1578" s="1" t="n">
        <x:v>1</x:v>
      </x:c>
      <x:c r="E1578" s="1" t="n">
        <x:v>39</x:v>
      </x:c>
      <x:c r="F1578" s="13" t="n">
        <x:v>0.8</x:v>
      </x:c>
      <x:c r="G1578" s="9" t="str">
        <x:v>https://poke.idleworld.online/pokepedia/pokemon/sableye</x:v>
      </x:c>
    </x:row>
    <x:row r="1579" ht="22" customHeight="1">
      <x:c r="A1579" s="1" t="n">
        <x:v>302</x:v>
      </x:c>
      <x:c r="B1579" s="1" t="str">
        <x:v>Sableye</x:v>
      </x:c>
      <x:c r="C1579" s="1" t="str">
        <x:v>Darkness Stone</x:v>
      </x:c>
      <x:c r="D1579" s="1" t="n">
        <x:v>1</x:v>
      </x:c>
      <x:c r="E1579" s="1" t="n">
        <x:v>1</x:v>
      </x:c>
      <x:c r="F1579" s="13" t="n">
        <x:v>0.01</x:v>
      </x:c>
      <x:c r="G1579" s="9" t="str">
        <x:v>https://poke.idleworld.online/pokepedia/pokemon/sableye</x:v>
      </x:c>
    </x:row>
    <x:row r="1580" ht="22" customHeight="1">
      <x:c r="A1580" s="1" t="n">
        <x:v>303</x:v>
      </x:c>
      <x:c r="B1580" s="1" t="str">
        <x:v>Mawile</x:v>
      </x:c>
      <x:c r="C1580" s="1" t="str">
        <x:v>Metal Jaw</x:v>
      </x:c>
      <x:c r="D1580" s="1" t="n">
        <x:v>1</x:v>
      </x:c>
      <x:c r="E1580" s="1" t="n">
        <x:v>1</x:v>
      </x:c>
      <x:c r="F1580" s="13" t="n">
        <x:v>0.057</x:v>
      </x:c>
      <x:c r="G1580" s="9" t="str">
        <x:v>https://poke.idleworld.online/pokepedia/pokemon/mawile</x:v>
      </x:c>
    </x:row>
    <x:row r="1581" ht="22" customHeight="1">
      <x:c r="A1581" s="1" t="n">
        <x:v>303</x:v>
      </x:c>
      <x:c r="B1581" s="1" t="str">
        <x:v>Mawile</x:v>
      </x:c>
      <x:c r="C1581" s="1" t="str">
        <x:v>Piece of Steel</x:v>
      </x:c>
      <x:c r="D1581" s="1" t="n">
        <x:v>1</x:v>
      </x:c>
      <x:c r="E1581" s="1" t="n">
        <x:v>11</x:v>
      </x:c>
      <x:c r="F1581" s="13" t="n">
        <x:v>0.8</x:v>
      </x:c>
      <x:c r="G1581" s="9" t="str">
        <x:v>https://poke.idleworld.online/pokepedia/pokemon/mawile</x:v>
      </x:c>
    </x:row>
    <x:row r="1582" ht="22" customHeight="1">
      <x:c r="A1582" s="1" t="n">
        <x:v>303</x:v>
      </x:c>
      <x:c r="B1582" s="1" t="str">
        <x:v>Mawile</x:v>
      </x:c>
      <x:c r="C1582" s="1" t="str">
        <x:v>Metal Stone</x:v>
      </x:c>
      <x:c r="D1582" s="1" t="n">
        <x:v>1</x:v>
      </x:c>
      <x:c r="E1582" s="1" t="n">
        <x:v>1</x:v>
      </x:c>
      <x:c r="F1582" s="13" t="n">
        <x:v>0.01</x:v>
      </x:c>
      <x:c r="G1582" s="9" t="str">
        <x:v>https://poke.idleworld.online/pokepedia/pokemon/mawile</x:v>
      </x:c>
    </x:row>
    <x:row r="1583" ht="22" customHeight="1">
      <x:c r="A1583" s="1" t="n">
        <x:v>304</x:v>
      </x:c>
      <x:c r="B1583" s="1" t="str">
        <x:v>Aron</x:v>
      </x:c>
      <x:c r="C1583" s="1" t="str">
        <x:v>Metal Hull</x:v>
      </x:c>
      <x:c r="D1583" s="1" t="n">
        <x:v>1</x:v>
      </x:c>
      <x:c r="E1583" s="1" t="n">
        <x:v>1</x:v>
      </x:c>
      <x:c r="F1583" s="13" t="n">
        <x:v>0.01</x:v>
      </x:c>
      <x:c r="G1583" s="9" t="str">
        <x:v>https://poke.idleworld.online/pokepedia/pokemon/aron</x:v>
      </x:c>
    </x:row>
    <x:row r="1584" ht="22" customHeight="1">
      <x:c r="A1584" s="1" t="n">
        <x:v>304</x:v>
      </x:c>
      <x:c r="B1584" s="1" t="str">
        <x:v>Aron</x:v>
      </x:c>
      <x:c r="C1584" s="1" t="str">
        <x:v>Piece of Steel</x:v>
      </x:c>
      <x:c r="D1584" s="1" t="n">
        <x:v>1</x:v>
      </x:c>
      <x:c r="E1584" s="1" t="n">
        <x:v>5</x:v>
      </x:c>
      <x:c r="F1584" s="13" t="n">
        <x:v>0.8</x:v>
      </x:c>
      <x:c r="G1584" s="9" t="str">
        <x:v>https://poke.idleworld.online/pokepedia/pokemon/aron</x:v>
      </x:c>
    </x:row>
    <x:row r="1585" ht="22" customHeight="1">
      <x:c r="A1585" s="1" t="n">
        <x:v>304</x:v>
      </x:c>
      <x:c r="B1585" s="1" t="str">
        <x:v>Aron</x:v>
      </x:c>
      <x:c r="C1585" s="1" t="str">
        <x:v>Small Stone</x:v>
      </x:c>
      <x:c r="D1585" s="1" t="n">
        <x:v>1</x:v>
      </x:c>
      <x:c r="E1585" s="1" t="n">
        <x:v>5</x:v>
      </x:c>
      <x:c r="F1585" s="13" t="n">
        <x:v>0.8</x:v>
      </x:c>
      <x:c r="G1585" s="9" t="str">
        <x:v>https://poke.idleworld.online/pokepedia/pokemon/aron</x:v>
      </x:c>
    </x:row>
    <x:row r="1586" ht="22" customHeight="1">
      <x:c r="A1586" s="1" t="n">
        <x:v>304</x:v>
      </x:c>
      <x:c r="B1586" s="1" t="str">
        <x:v>Aron</x:v>
      </x:c>
      <x:c r="C1586" s="1" t="str">
        <x:v>Stone Orb</x:v>
      </x:c>
      <x:c r="D1586" s="1" t="n">
        <x:v>1</x:v>
      </x:c>
      <x:c r="E1586" s="1" t="n">
        <x:v>1</x:v>
      </x:c>
      <x:c r="F1586" s="13" t="n">
        <x:v>0.2</x:v>
      </x:c>
      <x:c r="G1586" s="9" t="str">
        <x:v>https://poke.idleworld.online/pokepedia/pokemon/aron</x:v>
      </x:c>
    </x:row>
    <x:row r="1587" ht="22" customHeight="1">
      <x:c r="A1587" s="1" t="n">
        <x:v>305</x:v>
      </x:c>
      <x:c r="B1587" s="1" t="str">
        <x:v>Lairon</x:v>
      </x:c>
      <x:c r="C1587" s="1" t="str">
        <x:v>Metal Hull</x:v>
      </x:c>
      <x:c r="D1587" s="1" t="n">
        <x:v>1</x:v>
      </x:c>
      <x:c r="E1587" s="1" t="n">
        <x:v>1</x:v>
      </x:c>
      <x:c r="F1587" s="13" t="n">
        <x:v>0.041</x:v>
      </x:c>
      <x:c r="G1587" s="9" t="str">
        <x:v>https://poke.idleworld.online/pokepedia/pokemon/lairon</x:v>
      </x:c>
    </x:row>
    <x:row r="1588" ht="22" customHeight="1">
      <x:c r="A1588" s="1" t="n">
        <x:v>305</x:v>
      </x:c>
      <x:c r="B1588" s="1" t="str">
        <x:v>Lairon</x:v>
      </x:c>
      <x:c r="C1588" s="1" t="str">
        <x:v>Piece of Steel</x:v>
      </x:c>
      <x:c r="D1588" s="1" t="n">
        <x:v>1</x:v>
      </x:c>
      <x:c r="E1588" s="1" t="n">
        <x:v>18</x:v>
      </x:c>
      <x:c r="F1588" s="13" t="n">
        <x:v>0.8</x:v>
      </x:c>
      <x:c r="G1588" s="9" t="str">
        <x:v>https://poke.idleworld.online/pokepedia/pokemon/lairon</x:v>
      </x:c>
    </x:row>
    <x:row r="1589" ht="22" customHeight="1">
      <x:c r="A1589" s="1" t="n">
        <x:v>305</x:v>
      </x:c>
      <x:c r="B1589" s="1" t="str">
        <x:v>Lairon</x:v>
      </x:c>
      <x:c r="C1589" s="1" t="str">
        <x:v>Small Stone</x:v>
      </x:c>
      <x:c r="D1589" s="1" t="n">
        <x:v>1</x:v>
      </x:c>
      <x:c r="E1589" s="1" t="n">
        <x:v>18</x:v>
      </x:c>
      <x:c r="F1589" s="13" t="n">
        <x:v>0.8</x:v>
      </x:c>
      <x:c r="G1589" s="9" t="str">
        <x:v>https://poke.idleworld.online/pokepedia/pokemon/lairon</x:v>
      </x:c>
    </x:row>
    <x:row r="1590" ht="22" customHeight="1">
      <x:c r="A1590" s="1" t="n">
        <x:v>305</x:v>
      </x:c>
      <x:c r="B1590" s="1" t="str">
        <x:v>Lairon</x:v>
      </x:c>
      <x:c r="C1590" s="1" t="str">
        <x:v>Rock Stone</x:v>
      </x:c>
      <x:c r="D1590" s="1" t="n">
        <x:v>1</x:v>
      </x:c>
      <x:c r="E1590" s="1" t="n">
        <x:v>1</x:v>
      </x:c>
      <x:c r="F1590" s="13" t="n">
        <x:v>0.01</x:v>
      </x:c>
      <x:c r="G1590" s="9" t="str">
        <x:v>https://poke.idleworld.online/pokepedia/pokemon/lairon</x:v>
      </x:c>
    </x:row>
    <x:row r="1591" ht="22" customHeight="1">
      <x:c r="A1591" s="1" t="n">
        <x:v>305</x:v>
      </x:c>
      <x:c r="B1591" s="1" t="str">
        <x:v>Lairon</x:v>
      </x:c>
      <x:c r="C1591" s="1" t="str">
        <x:v>Stone Orb</x:v>
      </x:c>
      <x:c r="D1591" s="1" t="n">
        <x:v>1</x:v>
      </x:c>
      <x:c r="E1591" s="1" t="n">
        <x:v>1</x:v>
      </x:c>
      <x:c r="F1591" s="13" t="n">
        <x:v>0.4</x:v>
      </x:c>
      <x:c r="G1591" s="9" t="str">
        <x:v>https://poke.idleworld.online/pokepedia/pokemon/lairon</x:v>
      </x:c>
    </x:row>
    <x:row r="1592" ht="22" customHeight="1">
      <x:c r="A1592" s="1" t="n">
        <x:v>306</x:v>
      </x:c>
      <x:c r="B1592" s="1" t="str">
        <x:v>Aggron</x:v>
      </x:c>
      <x:c r="C1592" s="1" t="str">
        <x:v>Metal Hull</x:v>
      </x:c>
      <x:c r="D1592" s="1" t="n">
        <x:v>1</x:v>
      </x:c>
      <x:c r="E1592" s="1" t="n">
        <x:v>3</x:v>
      </x:c>
      <x:c r="F1592" s="13" t="n">
        <x:v>0.0425</x:v>
      </x:c>
      <x:c r="G1592" s="9" t="str">
        <x:v>https://poke.idleworld.online/pokepedia/pokemon/aggron</x:v>
      </x:c>
    </x:row>
    <x:row r="1593" ht="22" customHeight="1">
      <x:c r="A1593" s="1" t="n">
        <x:v>306</x:v>
      </x:c>
      <x:c r="B1593" s="1" t="str">
        <x:v>Aggron</x:v>
      </x:c>
      <x:c r="C1593" s="1" t="str">
        <x:v>Piece of Steel</x:v>
      </x:c>
      <x:c r="D1593" s="1" t="n">
        <x:v>1</x:v>
      </x:c>
      <x:c r="E1593" s="1" t="n">
        <x:v>21</x:v>
      </x:c>
      <x:c r="F1593" s="13" t="n">
        <x:v>1</x:v>
      </x:c>
      <x:c r="G1593" s="9" t="str">
        <x:v>https://poke.idleworld.online/pokepedia/pokemon/aggron</x:v>
      </x:c>
    </x:row>
    <x:row r="1594" ht="22" customHeight="1">
      <x:c r="A1594" s="1" t="n">
        <x:v>306</x:v>
      </x:c>
      <x:c r="B1594" s="1" t="str">
        <x:v>Aggron</x:v>
      </x:c>
      <x:c r="C1594" s="1" t="str">
        <x:v>Small Stone</x:v>
      </x:c>
      <x:c r="D1594" s="1" t="n">
        <x:v>1</x:v>
      </x:c>
      <x:c r="E1594" s="1" t="n">
        <x:v>21</x:v>
      </x:c>
      <x:c r="F1594" s="13" t="n">
        <x:v>1</x:v>
      </x:c>
      <x:c r="G1594" s="9" t="str">
        <x:v>https://poke.idleworld.online/pokepedia/pokemon/aggron</x:v>
      </x:c>
    </x:row>
    <x:row r="1595" ht="22" customHeight="1">
      <x:c r="A1595" s="1" t="n">
        <x:v>306</x:v>
      </x:c>
      <x:c r="B1595" s="1" t="str">
        <x:v>Aggron</x:v>
      </x:c>
      <x:c r="C1595" s="1" t="str">
        <x:v>Rock Stone</x:v>
      </x:c>
      <x:c r="D1595" s="1" t="n">
        <x:v>1</x:v>
      </x:c>
      <x:c r="E1595" s="1" t="n">
        <x:v>1</x:v>
      </x:c>
      <x:c r="F1595" s="13" t="n">
        <x:v>0.01</x:v>
      </x:c>
      <x:c r="G1595" s="9" t="str">
        <x:v>https://poke.idleworld.online/pokepedia/pokemon/aggron</x:v>
      </x:c>
    </x:row>
    <x:row r="1596" ht="22" customHeight="1">
      <x:c r="A1596" s="1" t="n">
        <x:v>306</x:v>
      </x:c>
      <x:c r="B1596" s="1" t="str">
        <x:v>Aggron</x:v>
      </x:c>
      <x:c r="C1596" s="1" t="str">
        <x:v>Metal Stone</x:v>
      </x:c>
      <x:c r="D1596" s="1" t="n">
        <x:v>1</x:v>
      </x:c>
      <x:c r="E1596" s="1" t="n">
        <x:v>1</x:v>
      </x:c>
      <x:c r="F1596" s="13" t="n">
        <x:v>0.01</x:v>
      </x:c>
      <x:c r="G1596" s="9" t="str">
        <x:v>https://poke.idleworld.online/pokepedia/pokemon/aggron</x:v>
      </x:c>
    </x:row>
    <x:row r="1597" ht="22" customHeight="1">
      <x:c r="A1597" s="1" t="n">
        <x:v>306</x:v>
      </x:c>
      <x:c r="B1597" s="1" t="str">
        <x:v>Aggron</x:v>
      </x:c>
      <x:c r="C1597" s="1" t="str">
        <x:v>Stone Orb</x:v>
      </x:c>
      <x:c r="D1597" s="1" t="n">
        <x:v>1</x:v>
      </x:c>
      <x:c r="E1597" s="1" t="n">
        <x:v>1</x:v>
      </x:c>
      <x:c r="F1597" s="13" t="n">
        <x:v>0.5</x:v>
      </x:c>
      <x:c r="G1597" s="9" t="str">
        <x:v>https://poke.idleworld.online/pokepedia/pokemon/aggron</x:v>
      </x:c>
    </x:row>
    <x:row r="1598" ht="22" customHeight="1">
      <x:c r="A1598" s="1" t="n">
        <x:v>307</x:v>
      </x:c>
      <x:c r="B1598" s="1" t="str">
        <x:v>Meditite</x:v>
      </x:c>
      <x:c r="C1598" s="1" t="str">
        <x:v>mediling</x:v>
      </x:c>
      <x:c r="D1598" s="1" t="n">
        <x:v>1</x:v>
      </x:c>
      <x:c r="E1598" s="1" t="n">
        <x:v>1</x:v>
      </x:c>
      <x:c r="F1598" s="13" t="n">
        <x:v>0.01</x:v>
      </x:c>
      <x:c r="G1598" s="9" t="str">
        <x:v>https://poke.idleworld.online/pokepedia/pokemon/meditite</x:v>
      </x:c>
    </x:row>
    <x:row r="1599" ht="22" customHeight="1">
      <x:c r="A1599" s="1" t="n">
        <x:v>307</x:v>
      </x:c>
      <x:c r="B1599" s="1" t="str">
        <x:v>Meditite</x:v>
      </x:c>
      <x:c r="C1599" s="1" t="str">
        <x:v>band-aid</x:v>
      </x:c>
      <x:c r="D1599" s="1" t="n">
        <x:v>1</x:v>
      </x:c>
      <x:c r="E1599" s="1" t="n">
        <x:v>5</x:v>
      </x:c>
      <x:c r="F1599" s="13" t="n">
        <x:v>0.8</x:v>
      </x:c>
      <x:c r="G1599" s="9" t="str">
        <x:v>https://poke.idleworld.online/pokepedia/pokemon/meditite</x:v>
      </x:c>
    </x:row>
    <x:row r="1600" ht="22" customHeight="1">
      <x:c r="A1600" s="1" t="n">
        <x:v>307</x:v>
      </x:c>
      <x:c r="B1600" s="1" t="str">
        <x:v>Meditite</x:v>
      </x:c>
      <x:c r="C1600" s="1" t="str">
        <x:v>Enchanted Gem</x:v>
      </x:c>
      <x:c r="D1600" s="1" t="n">
        <x:v>1</x:v>
      </x:c>
      <x:c r="E1600" s="1" t="n">
        <x:v>5</x:v>
      </x:c>
      <x:c r="F1600" s="13" t="n">
        <x:v>0.8</x:v>
      </x:c>
      <x:c r="G1600" s="9" t="str">
        <x:v>https://poke.idleworld.online/pokepedia/pokemon/meditite</x:v>
      </x:c>
    </x:row>
    <x:row r="1601" ht="22" customHeight="1">
      <x:c r="A1601" s="1" t="n">
        <x:v>307</x:v>
      </x:c>
      <x:c r="B1601" s="1" t="str">
        <x:v>Meditite</x:v>
      </x:c>
      <x:c r="C1601" s="1" t="str">
        <x:v>Future Orb</x:v>
      </x:c>
      <x:c r="D1601" s="1" t="n">
        <x:v>1</x:v>
      </x:c>
      <x:c r="E1601" s="1" t="n">
        <x:v>1</x:v>
      </x:c>
      <x:c r="F1601" s="13" t="n">
        <x:v>0.2</x:v>
      </x:c>
      <x:c r="G1601" s="9" t="str">
        <x:v>https://poke.idleworld.online/pokepedia/pokemon/meditite</x:v>
      </x:c>
    </x:row>
    <x:row r="1602" ht="22" customHeight="1">
      <x:c r="A1602" s="1" t="n">
        <x:v>308</x:v>
      </x:c>
      <x:c r="B1602" s="1" t="str">
        <x:v>Medicham</x:v>
      </x:c>
      <x:c r="C1602" s="1" t="str">
        <x:v>mediling</x:v>
      </x:c>
      <x:c r="D1602" s="1" t="n">
        <x:v>1</x:v>
      </x:c>
      <x:c r="E1602" s="1" t="n">
        <x:v>1</x:v>
      </x:c>
      <x:c r="F1602" s="13" t="n">
        <x:v>0.0425</x:v>
      </x:c>
      <x:c r="G1602" s="9" t="str">
        <x:v>https://poke.idleworld.online/pokepedia/pokemon/medicham</x:v>
      </x:c>
    </x:row>
    <x:row r="1603" ht="22" customHeight="1">
      <x:c r="A1603" s="1" t="n">
        <x:v>308</x:v>
      </x:c>
      <x:c r="B1603" s="1" t="str">
        <x:v>Medicham</x:v>
      </x:c>
      <x:c r="C1603" s="1" t="str">
        <x:v>band-aid</x:v>
      </x:c>
      <x:c r="D1603" s="1" t="n">
        <x:v>1</x:v>
      </x:c>
      <x:c r="E1603" s="1" t="n">
        <x:v>21</x:v>
      </x:c>
      <x:c r="F1603" s="13" t="n">
        <x:v>0.8</x:v>
      </x:c>
      <x:c r="G1603" s="9" t="str">
        <x:v>https://poke.idleworld.online/pokepedia/pokemon/medicham</x:v>
      </x:c>
    </x:row>
    <x:row r="1604" ht="22" customHeight="1">
      <x:c r="A1604" s="1" t="n">
        <x:v>308</x:v>
      </x:c>
      <x:c r="B1604" s="1" t="str">
        <x:v>Medicham</x:v>
      </x:c>
      <x:c r="C1604" s="1" t="str">
        <x:v>Enchanted Gem</x:v>
      </x:c>
      <x:c r="D1604" s="1" t="n">
        <x:v>1</x:v>
      </x:c>
      <x:c r="E1604" s="1" t="n">
        <x:v>21</x:v>
      </x:c>
      <x:c r="F1604" s="13" t="n">
        <x:v>0.8</x:v>
      </x:c>
      <x:c r="G1604" s="9" t="str">
        <x:v>https://poke.idleworld.online/pokepedia/pokemon/medicham</x:v>
      </x:c>
    </x:row>
    <x:row r="1605" ht="22" customHeight="1">
      <x:c r="A1605" s="1" t="n">
        <x:v>308</x:v>
      </x:c>
      <x:c r="B1605" s="1" t="str">
        <x:v>Medicham</x:v>
      </x:c>
      <x:c r="C1605" s="1" t="str">
        <x:v>Future Orb</x:v>
      </x:c>
      <x:c r="D1605" s="1" t="n">
        <x:v>1</x:v>
      </x:c>
      <x:c r="E1605" s="1" t="n">
        <x:v>1</x:v>
      </x:c>
      <x:c r="F1605" s="13" t="n">
        <x:v>0.3</x:v>
      </x:c>
      <x:c r="G1605" s="9" t="str">
        <x:v>https://poke.idleworld.online/pokepedia/pokemon/medicham</x:v>
      </x:c>
    </x:row>
    <x:row r="1606" ht="22" customHeight="1">
      <x:c r="A1606" s="1" t="n">
        <x:v>308</x:v>
      </x:c>
      <x:c r="B1606" s="1" t="str">
        <x:v>Medicham</x:v>
      </x:c>
      <x:c r="C1606" s="1" t="str">
        <x:v>Punch Stone</x:v>
      </x:c>
      <x:c r="D1606" s="1" t="n">
        <x:v>1</x:v>
      </x:c>
      <x:c r="E1606" s="1" t="n">
        <x:v>1</x:v>
      </x:c>
      <x:c r="F1606" s="13" t="n">
        <x:v>0.01</x:v>
      </x:c>
      <x:c r="G1606" s="9" t="str">
        <x:v>https://poke.idleworld.online/pokepedia/pokemon/medicham</x:v>
      </x:c>
    </x:row>
    <x:row r="1607" ht="22" customHeight="1">
      <x:c r="A1607" s="1" t="n">
        <x:v>308</x:v>
      </x:c>
      <x:c r="B1607" s="1" t="str">
        <x:v>Medicham</x:v>
      </x:c>
      <x:c r="C1607" s="1" t="str">
        <x:v>Enigma Stone</x:v>
      </x:c>
      <x:c r="D1607" s="1" t="n">
        <x:v>1</x:v>
      </x:c>
      <x:c r="E1607" s="1" t="n">
        <x:v>1</x:v>
      </x:c>
      <x:c r="F1607" s="13" t="n">
        <x:v>0.01</x:v>
      </x:c>
      <x:c r="G1607" s="9" t="str">
        <x:v>https://poke.idleworld.online/pokepedia/pokemon/medicham</x:v>
      </x:c>
    </x:row>
    <x:row r="1608" ht="22" customHeight="1">
      <x:c r="A1608" s="1" t="n">
        <x:v>309</x:v>
      </x:c>
      <x:c r="B1608" s="1" t="str">
        <x:v>Electrike</x:v>
      </x:c>
      <x:c r="C1608" s="1" t="str">
        <x:v>shock topknot</x:v>
      </x:c>
      <x:c r="D1608" s="1" t="n">
        <x:v>1</x:v>
      </x:c>
      <x:c r="E1608" s="1" t="n">
        <x:v>1</x:v>
      </x:c>
      <x:c r="F1608" s="13" t="n">
        <x:v>0.01</x:v>
      </x:c>
      <x:c r="G1608" s="9" t="str">
        <x:v>https://poke.idleworld.online/pokepedia/pokemon/electrike</x:v>
      </x:c>
    </x:row>
    <x:row r="1609" ht="22" customHeight="1">
      <x:c r="A1609" s="1" t="n">
        <x:v>309</x:v>
      </x:c>
      <x:c r="B1609" s="1" t="str">
        <x:v>Electrike</x:v>
      </x:c>
      <x:c r="C1609" s="1" t="str">
        <x:v>Screw</x:v>
      </x:c>
      <x:c r="D1609" s="1" t="n">
        <x:v>1</x:v>
      </x:c>
      <x:c r="E1609" s="1" t="n">
        <x:v>10</x:v>
      </x:c>
      <x:c r="F1609" s="13" t="n">
        <x:v>0.8</x:v>
      </x:c>
      <x:c r="G1609" s="9" t="str">
        <x:v>https://poke.idleworld.online/pokepedia/pokemon/electrike</x:v>
      </x:c>
    </x:row>
    <x:row r="1610" ht="22" customHeight="1">
      <x:c r="A1610" s="1" t="n">
        <x:v>309</x:v>
      </x:c>
      <x:c r="B1610" s="1" t="str">
        <x:v>Electrike</x:v>
      </x:c>
      <x:c r="C1610" s="1" t="str">
        <x:v>Electric Box</x:v>
      </x:c>
      <x:c r="D1610" s="1" t="n">
        <x:v>1</x:v>
      </x:c>
      <x:c r="E1610" s="1" t="n">
        <x:v>1</x:v>
      </x:c>
      <x:c r="F1610" s="13" t="n">
        <x:v>0.2</x:v>
      </x:c>
      <x:c r="G1610" s="9" t="str">
        <x:v>https://poke.idleworld.online/pokepedia/pokemon/electrike</x:v>
      </x:c>
    </x:row>
    <x:row r="1611" ht="22" customHeight="1">
      <x:c r="A1611" s="1" t="n">
        <x:v>310</x:v>
      </x:c>
      <x:c r="B1611" s="1" t="str">
        <x:v>Manectric</x:v>
      </x:c>
      <x:c r="C1611" s="1" t="str">
        <x:v>shock topknot</x:v>
      </x:c>
      <x:c r="D1611" s="1" t="n">
        <x:v>1</x:v>
      </x:c>
      <x:c r="E1611" s="1" t="n">
        <x:v>1</x:v>
      </x:c>
      <x:c r="F1611" s="13" t="n">
        <x:v>0.0425</x:v>
      </x:c>
      <x:c r="G1611" s="9" t="str">
        <x:v>https://poke.idleworld.online/pokepedia/pokemon/manectric</x:v>
      </x:c>
    </x:row>
    <x:row r="1612" ht="22" customHeight="1">
      <x:c r="A1612" s="1" t="n">
        <x:v>310</x:v>
      </x:c>
      <x:c r="B1612" s="1" t="str">
        <x:v>Manectric</x:v>
      </x:c>
      <x:c r="C1612" s="1" t="str">
        <x:v>Screw</x:v>
      </x:c>
      <x:c r="D1612" s="1" t="n">
        <x:v>1</x:v>
      </x:c>
      <x:c r="E1612" s="1" t="n">
        <x:v>43</x:v>
      </x:c>
      <x:c r="F1612" s="13" t="n">
        <x:v>0.8</x:v>
      </x:c>
      <x:c r="G1612" s="9" t="str">
        <x:v>https://poke.idleworld.online/pokepedia/pokemon/manectric</x:v>
      </x:c>
    </x:row>
    <x:row r="1613" ht="22" customHeight="1">
      <x:c r="A1613" s="1" t="n">
        <x:v>310</x:v>
      </x:c>
      <x:c r="B1613" s="1" t="str">
        <x:v>Manectric</x:v>
      </x:c>
      <x:c r="C1613" s="1" t="str">
        <x:v>Electric Box</x:v>
      </x:c>
      <x:c r="D1613" s="1" t="n">
        <x:v>1</x:v>
      </x:c>
      <x:c r="E1613" s="1" t="n">
        <x:v>1</x:v>
      </x:c>
      <x:c r="F1613" s="13" t="n">
        <x:v>0.4</x:v>
      </x:c>
      <x:c r="G1613" s="9" t="str">
        <x:v>https://poke.idleworld.online/pokepedia/pokemon/manectric</x:v>
      </x:c>
    </x:row>
    <x:row r="1614" ht="22" customHeight="1">
      <x:c r="A1614" s="1" t="n">
        <x:v>310</x:v>
      </x:c>
      <x:c r="B1614" s="1" t="str">
        <x:v>Manectric</x:v>
      </x:c>
      <x:c r="C1614" s="1" t="str">
        <x:v>Thunder Stone</x:v>
      </x:c>
      <x:c r="D1614" s="1" t="n">
        <x:v>1</x:v>
      </x:c>
      <x:c r="E1614" s="1" t="n">
        <x:v>1</x:v>
      </x:c>
      <x:c r="F1614" s="13" t="n">
        <x:v>0.01</x:v>
      </x:c>
      <x:c r="G1614" s="9" t="str">
        <x:v>https://poke.idleworld.online/pokepedia/pokemon/manectric</x:v>
      </x:c>
    </x:row>
    <x:row r="1615" ht="22" customHeight="1">
      <x:c r="A1615" s="1" t="n">
        <x:v>318</x:v>
      </x:c>
      <x:c r="B1615" s="1" t="str">
        <x:v>Carvanha</x:v>
      </x:c>
      <x:c r="C1615" s="1" t="str">
        <x:v>Water Stone</x:v>
      </x:c>
      <x:c r="D1615" s="1" t="n">
        <x:v>1</x:v>
      </x:c>
      <x:c r="E1615" s="1" t="n">
        <x:v>1</x:v>
      </x:c>
      <x:c r="F1615" s="13" t="n">
        <x:v>0.01</x:v>
      </x:c>
      <x:c r="G1615" s="9" t="str">
        <x:v>https://poke.idleworld.online/pokepedia/pokemon/carvanha</x:v>
      </x:c>
    </x:row>
    <x:row r="1616" ht="22" customHeight="1">
      <x:c r="A1616" s="1" t="n">
        <x:v>319</x:v>
      </x:c>
      <x:c r="B1616" s="1" t="str">
        <x:v>Sharpedo</x:v>
      </x:c>
      <x:c r="C1616" s="1" t="str">
        <x:v>Water Stone</x:v>
      </x:c>
      <x:c r="D1616" s="1" t="n">
        <x:v>1</x:v>
      </x:c>
      <x:c r="E1616" s="1" t="n">
        <x:v>1</x:v>
      </x:c>
      <x:c r="F1616" s="13" t="n">
        <x:v>0.01</x:v>
      </x:c>
      <x:c r="G1616" s="9" t="str">
        <x:v>https://poke.idleworld.online/pokepedia/pokemon/sharpedo</x:v>
      </x:c>
    </x:row>
    <x:row r="1617" ht="22" customHeight="1">
      <x:c r="A1617" s="1" t="n">
        <x:v>322</x:v>
      </x:c>
      <x:c r="B1617" s="1" t="str">
        <x:v>Numel</x:v>
      </x:c>
      <x:c r="C1617" s="1" t="str">
        <x:v>nu ball</x:v>
      </x:c>
      <x:c r="D1617" s="1" t="n">
        <x:v>1</x:v>
      </x:c>
      <x:c r="E1617" s="1" t="n">
        <x:v>1</x:v>
      </x:c>
      <x:c r="F1617" s="13" t="n">
        <x:v>0.011</x:v>
      </x:c>
      <x:c r="G1617" s="9" t="str">
        <x:v>https://poke.idleworld.online/pokepedia/pokemon/numel</x:v>
      </x:c>
    </x:row>
    <x:row r="1618" ht="22" customHeight="1">
      <x:c r="A1618" s="1" t="n">
        <x:v>322</x:v>
      </x:c>
      <x:c r="B1618" s="1" t="str">
        <x:v>Numel</x:v>
      </x:c>
      <x:c r="C1618" s="1" t="str">
        <x:v>Essence of Fire</x:v>
      </x:c>
      <x:c r="D1618" s="1" t="n">
        <x:v>1</x:v>
      </x:c>
      <x:c r="E1618" s="1" t="n">
        <x:v>5</x:v>
      </x:c>
      <x:c r="F1618" s="13" t="n">
        <x:v>0.8</x:v>
      </x:c>
      <x:c r="G1618" s="9" t="str">
        <x:v>https://poke.idleworld.online/pokepedia/pokemon/numel</x:v>
      </x:c>
    </x:row>
    <x:row r="1619" ht="22" customHeight="1">
      <x:c r="A1619" s="1" t="n">
        <x:v>322</x:v>
      </x:c>
      <x:c r="B1619" s="1" t="str">
        <x:v>Numel</x:v>
      </x:c>
      <x:c r="C1619" s="1" t="str">
        <x:v>Earth Ball</x:v>
      </x:c>
      <x:c r="D1619" s="1" t="n">
        <x:v>1</x:v>
      </x:c>
      <x:c r="E1619" s="1" t="n">
        <x:v>5</x:v>
      </x:c>
      <x:c r="F1619" s="13" t="n">
        <x:v>0.8</x:v>
      </x:c>
      <x:c r="G1619" s="9" t="str">
        <x:v>https://poke.idleworld.online/pokepedia/pokemon/numel</x:v>
      </x:c>
    </x:row>
    <x:row r="1620" ht="22" customHeight="1">
      <x:c r="A1620" s="1" t="n">
        <x:v>322</x:v>
      </x:c>
      <x:c r="B1620" s="1" t="str">
        <x:v>Numel</x:v>
      </x:c>
      <x:c r="C1620" s="1" t="str">
        <x:v>Pot of Lava</x:v>
      </x:c>
      <x:c r="D1620" s="1" t="n">
        <x:v>1</x:v>
      </x:c>
      <x:c r="E1620" s="1" t="n">
        <x:v>1</x:v>
      </x:c>
      <x:c r="F1620" s="13" t="n">
        <x:v>0.13</x:v>
      </x:c>
      <x:c r="G1620" s="9" t="str">
        <x:v>https://poke.idleworld.online/pokepedia/pokemon/numel</x:v>
      </x:c>
    </x:row>
    <x:row r="1621" ht="22" customHeight="1">
      <x:c r="A1621" s="1" t="n">
        <x:v>322</x:v>
      </x:c>
      <x:c r="B1621" s="1" t="str">
        <x:v>Numel</x:v>
      </x:c>
      <x:c r="C1621" s="1" t="str">
        <x:v>Sandbag</x:v>
      </x:c>
      <x:c r="D1621" s="1" t="n">
        <x:v>1</x:v>
      </x:c>
      <x:c r="E1621" s="1" t="n">
        <x:v>1</x:v>
      </x:c>
      <x:c r="F1621" s="13" t="n">
        <x:v>0.13</x:v>
      </x:c>
      <x:c r="G1621" s="9" t="str">
        <x:v>https://poke.idleworld.online/pokepedia/pokemon/numel</x:v>
      </x:c>
    </x:row>
    <x:row r="1622" ht="22" customHeight="1">
      <x:c r="A1622" s="1" t="n">
        <x:v>323</x:v>
      </x:c>
      <x:c r="B1622" s="1" t="str">
        <x:v>Camerupt</x:v>
      </x:c>
      <x:c r="C1622" s="1" t="str">
        <x:v>nu ball</x:v>
      </x:c>
      <x:c r="D1622" s="1" t="n">
        <x:v>1</x:v>
      </x:c>
      <x:c r="E1622" s="1" t="n">
        <x:v>1</x:v>
      </x:c>
      <x:c r="F1622" s="13" t="n">
        <x:v>0.045</x:v>
      </x:c>
      <x:c r="G1622" s="9" t="str">
        <x:v>https://poke.idleworld.online/pokepedia/pokemon/camerupt</x:v>
      </x:c>
    </x:row>
    <x:row r="1623" ht="22" customHeight="1">
      <x:c r="A1623" s="1" t="n">
        <x:v>323</x:v>
      </x:c>
      <x:c r="B1623" s="1" t="str">
        <x:v>Camerupt</x:v>
      </x:c>
      <x:c r="C1623" s="1" t="str">
        <x:v>Essence of Fire</x:v>
      </x:c>
      <x:c r="D1623" s="1" t="n">
        <x:v>1</x:v>
      </x:c>
      <x:c r="E1623" s="1" t="n">
        <x:v>21</x:v>
      </x:c>
      <x:c r="F1623" s="13" t="n">
        <x:v>0.8</x:v>
      </x:c>
      <x:c r="G1623" s="9" t="str">
        <x:v>https://poke.idleworld.online/pokepedia/pokemon/camerupt</x:v>
      </x:c>
    </x:row>
    <x:row r="1624" ht="22" customHeight="1">
      <x:c r="A1624" s="1" t="n">
        <x:v>323</x:v>
      </x:c>
      <x:c r="B1624" s="1" t="str">
        <x:v>Camerupt</x:v>
      </x:c>
      <x:c r="C1624" s="1" t="str">
        <x:v>Earth Ball</x:v>
      </x:c>
      <x:c r="D1624" s="1" t="n">
        <x:v>1</x:v>
      </x:c>
      <x:c r="E1624" s="1" t="n">
        <x:v>21</x:v>
      </x:c>
      <x:c r="F1624" s="13" t="n">
        <x:v>0.8</x:v>
      </x:c>
      <x:c r="G1624" s="9" t="str">
        <x:v>https://poke.idleworld.online/pokepedia/pokemon/camerupt</x:v>
      </x:c>
    </x:row>
    <x:row r="1625" ht="22" customHeight="1">
      <x:c r="A1625" s="1" t="n">
        <x:v>323</x:v>
      </x:c>
      <x:c r="B1625" s="1" t="str">
        <x:v>Camerupt</x:v>
      </x:c>
      <x:c r="C1625" s="1" t="str">
        <x:v>Pot of Lava</x:v>
      </x:c>
      <x:c r="D1625" s="1" t="n">
        <x:v>1</x:v>
      </x:c>
      <x:c r="E1625" s="1" t="n">
        <x:v>1</x:v>
      </x:c>
      <x:c r="F1625" s="13" t="n">
        <x:v>0.22</x:v>
      </x:c>
      <x:c r="G1625" s="9" t="str">
        <x:v>https://poke.idleworld.online/pokepedia/pokemon/camerupt</x:v>
      </x:c>
    </x:row>
    <x:row r="1626" ht="22" customHeight="1">
      <x:c r="A1626" s="1" t="n">
        <x:v>323</x:v>
      </x:c>
      <x:c r="B1626" s="1" t="str">
        <x:v>Camerupt</x:v>
      </x:c>
      <x:c r="C1626" s="1" t="str">
        <x:v>Sandbag</x:v>
      </x:c>
      <x:c r="D1626" s="1" t="n">
        <x:v>1</x:v>
      </x:c>
      <x:c r="E1626" s="1" t="n">
        <x:v>1</x:v>
      </x:c>
      <x:c r="F1626" s="13" t="n">
        <x:v>0.22</x:v>
      </x:c>
      <x:c r="G1626" s="9" t="str">
        <x:v>https://poke.idleworld.online/pokepedia/pokemon/camerupt</x:v>
      </x:c>
    </x:row>
    <x:row r="1627" ht="22" customHeight="1">
      <x:c r="A1627" s="1" t="n">
        <x:v>323</x:v>
      </x:c>
      <x:c r="B1627" s="1" t="str">
        <x:v>Camerupt</x:v>
      </x:c>
      <x:c r="C1627" s="1" t="str">
        <x:v>Fire Stone</x:v>
      </x:c>
      <x:c r="D1627" s="1" t="n">
        <x:v>1</x:v>
      </x:c>
      <x:c r="E1627" s="1" t="n">
        <x:v>1</x:v>
      </x:c>
      <x:c r="F1627" s="13" t="n">
        <x:v>0.01</x:v>
      </x:c>
      <x:c r="G1627" s="9" t="str">
        <x:v>https://poke.idleworld.online/pokepedia/pokemon/camerupt</x:v>
      </x:c>
    </x:row>
    <x:row r="1628" ht="22" customHeight="1">
      <x:c r="A1628" s="1" t="n">
        <x:v>323</x:v>
      </x:c>
      <x:c r="B1628" s="1" t="str">
        <x:v>Camerupt</x:v>
      </x:c>
      <x:c r="C1628" s="1" t="str">
        <x:v>Earth Stone</x:v>
      </x:c>
      <x:c r="D1628" s="1" t="n">
        <x:v>1</x:v>
      </x:c>
      <x:c r="E1628" s="1" t="n">
        <x:v>1</x:v>
      </x:c>
      <x:c r="F1628" s="13" t="n">
        <x:v>0.01</x:v>
      </x:c>
      <x:c r="G1628" s="9" t="str">
        <x:v>https://poke.idleworld.online/pokepedia/pokemon/camerupt</x:v>
      </x:c>
    </x:row>
    <x:row r="1629" ht="22" customHeight="1">
      <x:c r="A1629" s="1" t="n">
        <x:v>323</x:v>
      </x:c>
      <x:c r="B1629" s="1" t="str">
        <x:v>Camerupt</x:v>
      </x:c>
      <x:c r="C1629" s="1" t="str">
        <x:v>mini volcano</x:v>
      </x:c>
      <x:c r="D1629" s="1" t="n">
        <x:v>1</x:v>
      </x:c>
      <x:c r="E1629" s="1" t="n">
        <x:v>1</x:v>
      </x:c>
      <x:c r="F1629" s="13" t="n">
        <x:v>0.01</x:v>
      </x:c>
      <x:c r="G1629" s="9" t="str">
        <x:v>https://poke.idleworld.online/pokepedia/pokemon/camerupt</x:v>
      </x:c>
    </x:row>
    <x:row r="1630" ht="22" customHeight="1">
      <x:c r="A1630" s="1" t="n">
        <x:v>324</x:v>
      </x:c>
      <x:c r="B1630" s="1" t="str">
        <x:v>Torkoal</x:v>
      </x:c>
      <x:c r="C1630" s="1" t="str">
        <x:v>Essence of Fire</x:v>
      </x:c>
      <x:c r="D1630" s="1" t="n">
        <x:v>1</x:v>
      </x:c>
      <x:c r="E1630" s="1" t="n">
        <x:v>21</x:v>
      </x:c>
      <x:c r="F1630" s="13" t="n">
        <x:v>0.00001</x:v>
      </x:c>
      <x:c r="G1630" s="9" t="str">
        <x:v>https://poke.idleworld.online/pokepedia/pokemon/torkoal</x:v>
      </x:c>
    </x:row>
    <x:row r="1631" ht="22" customHeight="1">
      <x:c r="A1631" s="1" t="n">
        <x:v>324</x:v>
      </x:c>
      <x:c r="B1631" s="1" t="str">
        <x:v>Torkoal</x:v>
      </x:c>
      <x:c r="C1631" s="1" t="str">
        <x:v>Pot of Lava</x:v>
      </x:c>
      <x:c r="D1631" s="1" t="n">
        <x:v>1</x:v>
      </x:c>
      <x:c r="E1631" s="1" t="n">
        <x:v>1</x:v>
      </x:c>
      <x:c r="F1631" s="13" t="n">
        <x:v>0.00001</x:v>
      </x:c>
      <x:c r="G1631" s="9" t="str">
        <x:v>https://poke.idleworld.online/pokepedia/pokemon/torkoal</x:v>
      </x:c>
    </x:row>
    <x:row r="1632" ht="22" customHeight="1">
      <x:c r="A1632" s="1" t="n">
        <x:v>324</x:v>
      </x:c>
      <x:c r="B1632" s="1" t="str">
        <x:v>Torkoal</x:v>
      </x:c>
      <x:c r="C1632" s="1" t="str">
        <x:v>Black Hull</x:v>
      </x:c>
      <x:c r="D1632" s="1" t="n">
        <x:v>1</x:v>
      </x:c>
      <x:c r="E1632" s="1" t="n">
        <x:v>1</x:v>
      </x:c>
      <x:c r="F1632" s="13" t="n">
        <x:v>1e-7</x:v>
      </x:c>
      <x:c r="G1632" s="9" t="str">
        <x:v>https://poke.idleworld.online/pokepedia/pokemon/torkoal</x:v>
      </x:c>
    </x:row>
    <x:row r="1633" ht="22" customHeight="1">
      <x:c r="A1633" s="1" t="n">
        <x:v>324</x:v>
      </x:c>
      <x:c r="B1633" s="1" t="str">
        <x:v>Torkoal</x:v>
      </x:c>
      <x:c r="C1633" s="1" t="str">
        <x:v>Fire Stone</x:v>
      </x:c>
      <x:c r="D1633" s="1" t="n">
        <x:v>1</x:v>
      </x:c>
      <x:c r="E1633" s="1" t="n">
        <x:v>1</x:v>
      </x:c>
      <x:c r="F1633" s="13" t="n">
        <x:v>0.01</x:v>
      </x:c>
      <x:c r="G1633" s="9" t="str">
        <x:v>https://poke.idleworld.online/pokepedia/pokemon/torkoal</x:v>
      </x:c>
    </x:row>
    <x:row r="1634" ht="22" customHeight="1">
      <x:c r="A1634" s="1" t="n">
        <x:v>324</x:v>
      </x:c>
      <x:c r="B1634" s="1" t="str">
        <x:v>Torkoal</x:v>
      </x:c>
      <x:c r="C1634" s="1" t="str">
        <x:v>Ancient Stone</x:v>
      </x:c>
      <x:c r="D1634" s="1" t="n">
        <x:v>1</x:v>
      </x:c>
      <x:c r="E1634" s="1" t="n">
        <x:v>1</x:v>
      </x:c>
      <x:c r="F1634" s="13" t="n">
        <x:v>0.00031800000000000003</x:v>
      </x:c>
      <x:c r="G1634" s="9" t="str">
        <x:v>https://poke.idleworld.online/pokepedia/pokemon/torkoal</x:v>
      </x:c>
    </x:row>
    <x:row r="1635" ht="22" customHeight="1">
      <x:c r="A1635" s="1" t="n">
        <x:v>325</x:v>
      </x:c>
      <x:c r="B1635" s="1" t="str">
        <x:v>Spoink</x:v>
      </x:c>
      <x:c r="C1635" s="1" t="str">
        <x:v>springs</x:v>
      </x:c>
      <x:c r="D1635" s="1" t="n">
        <x:v>1</x:v>
      </x:c>
      <x:c r="E1635" s="1" t="n">
        <x:v>1</x:v>
      </x:c>
      <x:c r="F1635" s="13" t="n">
        <x:v>0.013</x:v>
      </x:c>
      <x:c r="G1635" s="9" t="str">
        <x:v>https://poke.idleworld.online/pokepedia/pokemon/spoink</x:v>
      </x:c>
    </x:row>
    <x:row r="1636" ht="22" customHeight="1">
      <x:c r="A1636" s="1" t="n">
        <x:v>325</x:v>
      </x:c>
      <x:c r="B1636" s="1" t="str">
        <x:v>Spoink</x:v>
      </x:c>
      <x:c r="C1636" s="1" t="str">
        <x:v>Enchanted Gem</x:v>
      </x:c>
      <x:c r="D1636" s="1" t="n">
        <x:v>1</x:v>
      </x:c>
      <x:c r="E1636" s="1" t="n">
        <x:v>10</x:v>
      </x:c>
      <x:c r="F1636" s="13" t="n">
        <x:v>0.8</x:v>
      </x:c>
      <x:c r="G1636" s="9" t="str">
        <x:v>https://poke.idleworld.online/pokepedia/pokemon/spoink</x:v>
      </x:c>
    </x:row>
    <x:row r="1637" ht="22" customHeight="1">
      <x:c r="A1637" s="1" t="n">
        <x:v>325</x:v>
      </x:c>
      <x:c r="B1637" s="1" t="str">
        <x:v>Spoink</x:v>
      </x:c>
      <x:c r="C1637" s="1" t="str">
        <x:v>Future Orb</x:v>
      </x:c>
      <x:c r="D1637" s="1" t="n">
        <x:v>1</x:v>
      </x:c>
      <x:c r="E1637" s="1" t="n">
        <x:v>1</x:v>
      </x:c>
      <x:c r="F1637" s="13" t="n">
        <x:v>0.2</x:v>
      </x:c>
      <x:c r="G1637" s="9" t="str">
        <x:v>https://poke.idleworld.online/pokepedia/pokemon/spoink</x:v>
      </x:c>
    </x:row>
    <x:row r="1638" ht="22" customHeight="1">
      <x:c r="A1638" s="1" t="n">
        <x:v>326</x:v>
      </x:c>
      <x:c r="B1638" s="1" t="str">
        <x:v>Grumpig</x:v>
      </x:c>
      <x:c r="C1638" s="1" t="str">
        <x:v>springs</x:v>
      </x:c>
      <x:c r="D1638" s="1" t="n">
        <x:v>1</x:v>
      </x:c>
      <x:c r="E1638" s="1" t="n">
        <x:v>1</x:v>
      </x:c>
      <x:c r="F1638" s="13" t="n">
        <x:v>0.05</x:v>
      </x:c>
      <x:c r="G1638" s="9" t="str">
        <x:v>https://poke.idleworld.online/pokepedia/pokemon/grumpig</x:v>
      </x:c>
    </x:row>
    <x:row r="1639" ht="22" customHeight="1">
      <x:c r="A1639" s="1" t="n">
        <x:v>326</x:v>
      </x:c>
      <x:c r="B1639" s="1" t="str">
        <x:v>Grumpig</x:v>
      </x:c>
      <x:c r="C1639" s="1" t="str">
        <x:v>Enchanted Gem</x:v>
      </x:c>
      <x:c r="D1639" s="1" t="n">
        <x:v>1</x:v>
      </x:c>
      <x:c r="E1639" s="1" t="n">
        <x:v>43</x:v>
      </x:c>
      <x:c r="F1639" s="13" t="n">
        <x:v>0.8</x:v>
      </x:c>
      <x:c r="G1639" s="9" t="str">
        <x:v>https://poke.idleworld.online/pokepedia/pokemon/grumpig</x:v>
      </x:c>
    </x:row>
    <x:row r="1640" ht="22" customHeight="1">
      <x:c r="A1640" s="1" t="n">
        <x:v>326</x:v>
      </x:c>
      <x:c r="B1640" s="1" t="str">
        <x:v>Grumpig</x:v>
      </x:c>
      <x:c r="C1640" s="1" t="str">
        <x:v>Future Orb</x:v>
      </x:c>
      <x:c r="D1640" s="1" t="n">
        <x:v>1</x:v>
      </x:c>
      <x:c r="E1640" s="1" t="n">
        <x:v>1</x:v>
      </x:c>
      <x:c r="F1640" s="13" t="n">
        <x:v>0.3</x:v>
      </x:c>
      <x:c r="G1640" s="9" t="str">
        <x:v>https://poke.idleworld.online/pokepedia/pokemon/grumpig</x:v>
      </x:c>
    </x:row>
    <x:row r="1641" ht="22" customHeight="1">
      <x:c r="A1641" s="1" t="n">
        <x:v>326</x:v>
      </x:c>
      <x:c r="B1641" s="1" t="str">
        <x:v>Grumpig</x:v>
      </x:c>
      <x:c r="C1641" s="1" t="str">
        <x:v>Enigma Stone</x:v>
      </x:c>
      <x:c r="D1641" s="1" t="n">
        <x:v>1</x:v>
      </x:c>
      <x:c r="E1641" s="1" t="n">
        <x:v>1</x:v>
      </x:c>
      <x:c r="F1641" s="13" t="n">
        <x:v>0.01</x:v>
      </x:c>
      <x:c r="G1641" s="9" t="str">
        <x:v>https://poke.idleworld.online/pokepedia/pokemon/grumpig</x:v>
      </x:c>
    </x:row>
    <x:row r="1642" ht="22" customHeight="1">
      <x:c r="A1642" s="1" t="n">
        <x:v>328</x:v>
      </x:c>
      <x:c r="B1642" s="1" t="str">
        <x:v>Trapinch</x:v>
      </x:c>
      <x:c r="C1642" s="1" t="str">
        <x:v>strange ball</x:v>
      </x:c>
      <x:c r="D1642" s="1" t="n">
        <x:v>1</x:v>
      </x:c>
      <x:c r="E1642" s="1" t="n">
        <x:v>1</x:v>
      </x:c>
      <x:c r="F1642" s="13" t="n">
        <x:v>0.01</x:v>
      </x:c>
      <x:c r="G1642" s="9" t="str">
        <x:v>https://poke.idleworld.online/pokepedia/pokemon/trapinch</x:v>
      </x:c>
    </x:row>
    <x:row r="1643" ht="22" customHeight="1">
      <x:c r="A1643" s="1" t="n">
        <x:v>328</x:v>
      </x:c>
      <x:c r="B1643" s="1" t="str">
        <x:v>Trapinch</x:v>
      </x:c>
      <x:c r="C1643" s="1" t="str">
        <x:v>Earth Ball</x:v>
      </x:c>
      <x:c r="D1643" s="1" t="n">
        <x:v>1</x:v>
      </x:c>
      <x:c r="E1643" s="1" t="n">
        <x:v>10</x:v>
      </x:c>
      <x:c r="F1643" s="13" t="n">
        <x:v>0.8</x:v>
      </x:c>
      <x:c r="G1643" s="9" t="str">
        <x:v>https://poke.idleworld.online/pokepedia/pokemon/trapinch</x:v>
      </x:c>
    </x:row>
    <x:row r="1644" ht="22" customHeight="1">
      <x:c r="A1644" s="1" t="n">
        <x:v>328</x:v>
      </x:c>
      <x:c r="B1644" s="1" t="str">
        <x:v>Trapinch</x:v>
      </x:c>
      <x:c r="C1644" s="1" t="str">
        <x:v>Sandbag</x:v>
      </x:c>
      <x:c r="D1644" s="1" t="n">
        <x:v>1</x:v>
      </x:c>
      <x:c r="E1644" s="1" t="n">
        <x:v>1</x:v>
      </x:c>
      <x:c r="F1644" s="13" t="n">
        <x:v>0.2</x:v>
      </x:c>
      <x:c r="G1644" s="9" t="str">
        <x:v>https://poke.idleworld.online/pokepedia/pokemon/trapinch</x:v>
      </x:c>
    </x:row>
    <x:row r="1645" ht="22" customHeight="1">
      <x:c r="A1645" s="1" t="n">
        <x:v>329</x:v>
      </x:c>
      <x:c r="B1645" s="1" t="str">
        <x:v>Vibrava</x:v>
      </x:c>
      <x:c r="C1645" s="1" t="str">
        <x:v>Sand Tail</x:v>
      </x:c>
      <x:c r="D1645" s="1" t="n">
        <x:v>1</x:v>
      </x:c>
      <x:c r="E1645" s="1" t="n">
        <x:v>1</x:v>
      </x:c>
      <x:c r="F1645" s="13" t="n">
        <x:v>0.02</x:v>
      </x:c>
      <x:c r="G1645" s="9" t="str">
        <x:v>https://poke.idleworld.online/pokepedia/pokemon/vibrava</x:v>
      </x:c>
    </x:row>
    <x:row r="1646" ht="22" customHeight="1">
      <x:c r="A1646" s="1" t="n">
        <x:v>329</x:v>
      </x:c>
      <x:c r="B1646" s="1" t="str">
        <x:v>Vibrava</x:v>
      </x:c>
      <x:c r="C1646" s="1" t="str">
        <x:v>Dragon Scale</x:v>
      </x:c>
      <x:c r="D1646" s="1" t="n">
        <x:v>1</x:v>
      </x:c>
      <x:c r="E1646" s="1" t="n">
        <x:v>10</x:v>
      </x:c>
      <x:c r="F1646" s="13" t="n">
        <x:v>0.8</x:v>
      </x:c>
      <x:c r="G1646" s="9" t="str">
        <x:v>https://poke.idleworld.online/pokepedia/pokemon/vibrava</x:v>
      </x:c>
    </x:row>
    <x:row r="1647" ht="22" customHeight="1">
      <x:c r="A1647" s="1" t="n">
        <x:v>329</x:v>
      </x:c>
      <x:c r="B1647" s="1" t="str">
        <x:v>Vibrava</x:v>
      </x:c>
      <x:c r="C1647" s="1" t="str">
        <x:v>Earth Ball</x:v>
      </x:c>
      <x:c r="D1647" s="1" t="n">
        <x:v>1</x:v>
      </x:c>
      <x:c r="E1647" s="1" t="n">
        <x:v>10</x:v>
      </x:c>
      <x:c r="F1647" s="13" t="n">
        <x:v>0.8</x:v>
      </x:c>
      <x:c r="G1647" s="9" t="str">
        <x:v>https://poke.idleworld.online/pokepedia/pokemon/vibrava</x:v>
      </x:c>
    </x:row>
    <x:row r="1648" ht="22" customHeight="1">
      <x:c r="A1648" s="1" t="n">
        <x:v>329</x:v>
      </x:c>
      <x:c r="B1648" s="1" t="str">
        <x:v>Vibrava</x:v>
      </x:c>
      <x:c r="C1648" s="1" t="str">
        <x:v>Sandbag</x:v>
      </x:c>
      <x:c r="D1648" s="1" t="n">
        <x:v>1</x:v>
      </x:c>
      <x:c r="E1648" s="1" t="n">
        <x:v>1</x:v>
      </x:c>
      <x:c r="F1648" s="13" t="n">
        <x:v>0.3</x:v>
      </x:c>
      <x:c r="G1648" s="9" t="str">
        <x:v>https://poke.idleworld.online/pokepedia/pokemon/vibrava</x:v>
      </x:c>
    </x:row>
    <x:row r="1649" ht="22" customHeight="1">
      <x:c r="A1649" s="1" t="n">
        <x:v>329</x:v>
      </x:c>
      <x:c r="B1649" s="1" t="str">
        <x:v>Vibrava</x:v>
      </x:c>
      <x:c r="C1649" s="1" t="str">
        <x:v>Earth Stone</x:v>
      </x:c>
      <x:c r="D1649" s="1" t="n">
        <x:v>1</x:v>
      </x:c>
      <x:c r="E1649" s="1" t="n">
        <x:v>1</x:v>
      </x:c>
      <x:c r="F1649" s="13" t="n">
        <x:v>0.01</x:v>
      </x:c>
      <x:c r="G1649" s="9" t="str">
        <x:v>https://poke.idleworld.online/pokepedia/pokemon/vibrava</x:v>
      </x:c>
    </x:row>
    <x:row r="1650" ht="22" customHeight="1">
      <x:c r="A1650" s="1" t="n">
        <x:v>330</x:v>
      </x:c>
      <x:c r="B1650" s="1" t="str">
        <x:v>Flygon</x:v>
      </x:c>
      <x:c r="C1650" s="1" t="str">
        <x:v>Sand Tail</x:v>
      </x:c>
      <x:c r="D1650" s="1" t="n">
        <x:v>1</x:v>
      </x:c>
      <x:c r="E1650" s="1" t="n">
        <x:v>1</x:v>
      </x:c>
      <x:c r="F1650" s="13" t="n">
        <x:v>0.0425</x:v>
      </x:c>
      <x:c r="G1650" s="9" t="str">
        <x:v>https://poke.idleworld.online/pokepedia/pokemon/flygon</x:v>
      </x:c>
    </x:row>
    <x:row r="1651" ht="22" customHeight="1">
      <x:c r="A1651" s="1" t="n">
        <x:v>330</x:v>
      </x:c>
      <x:c r="B1651" s="1" t="str">
        <x:v>Flygon</x:v>
      </x:c>
      <x:c r="C1651" s="1" t="str">
        <x:v>Dragon Scale</x:v>
      </x:c>
      <x:c r="D1651" s="1" t="n">
        <x:v>1</x:v>
      </x:c>
      <x:c r="E1651" s="1" t="n">
        <x:v>21</x:v>
      </x:c>
      <x:c r="F1651" s="13" t="n">
        <x:v>0.8</x:v>
      </x:c>
      <x:c r="G1651" s="9" t="str">
        <x:v>https://poke.idleworld.online/pokepedia/pokemon/flygon</x:v>
      </x:c>
    </x:row>
    <x:row r="1652" ht="22" customHeight="1">
      <x:c r="A1652" s="1" t="n">
        <x:v>330</x:v>
      </x:c>
      <x:c r="B1652" s="1" t="str">
        <x:v>Flygon</x:v>
      </x:c>
      <x:c r="C1652" s="1" t="str">
        <x:v>Earth Ball</x:v>
      </x:c>
      <x:c r="D1652" s="1" t="n">
        <x:v>1</x:v>
      </x:c>
      <x:c r="E1652" s="1" t="n">
        <x:v>21</x:v>
      </x:c>
      <x:c r="F1652" s="13" t="n">
        <x:v>0.8</x:v>
      </x:c>
      <x:c r="G1652" s="9" t="str">
        <x:v>https://poke.idleworld.online/pokepedia/pokemon/flygon</x:v>
      </x:c>
    </x:row>
    <x:row r="1653" ht="22" customHeight="1">
      <x:c r="A1653" s="1" t="n">
        <x:v>330</x:v>
      </x:c>
      <x:c r="B1653" s="1" t="str">
        <x:v>Flygon</x:v>
      </x:c>
      <x:c r="C1653" s="1" t="str">
        <x:v>Sandbag</x:v>
      </x:c>
      <x:c r="D1653" s="1" t="n">
        <x:v>1</x:v>
      </x:c>
      <x:c r="E1653" s="1" t="n">
        <x:v>1</x:v>
      </x:c>
      <x:c r="F1653" s="13" t="n">
        <x:v>0.5</x:v>
      </x:c>
      <x:c r="G1653" s="9" t="str">
        <x:v>https://poke.idleworld.online/pokepedia/pokemon/flygon</x:v>
      </x:c>
    </x:row>
    <x:row r="1654" ht="22" customHeight="1">
      <x:c r="A1654" s="1" t="n">
        <x:v>330</x:v>
      </x:c>
      <x:c r="B1654" s="1" t="str">
        <x:v>Flygon</x:v>
      </x:c>
      <x:c r="C1654" s="1" t="str">
        <x:v>Earth Stone</x:v>
      </x:c>
      <x:c r="D1654" s="1" t="n">
        <x:v>1</x:v>
      </x:c>
      <x:c r="E1654" s="1" t="n">
        <x:v>1</x:v>
      </x:c>
      <x:c r="F1654" s="13" t="n">
        <x:v>0.01</x:v>
      </x:c>
      <x:c r="G1654" s="9" t="str">
        <x:v>https://poke.idleworld.online/pokepedia/pokemon/flygon</x:v>
      </x:c>
    </x:row>
    <x:row r="1655" ht="22" customHeight="1">
      <x:c r="A1655" s="1" t="n">
        <x:v>330</x:v>
      </x:c>
      <x:c r="B1655" s="1" t="str">
        <x:v>Flygon</x:v>
      </x:c>
      <x:c r="C1655" s="1" t="str">
        <x:v>Crystal Stone</x:v>
      </x:c>
      <x:c r="D1655" s="1" t="n">
        <x:v>1</x:v>
      </x:c>
      <x:c r="E1655" s="1" t="n">
        <x:v>1</x:v>
      </x:c>
      <x:c r="F1655" s="13" t="n">
        <x:v>0.01</x:v>
      </x:c>
      <x:c r="G1655" s="9" t="str">
        <x:v>https://poke.idleworld.online/pokepedia/pokemon/flygon</x:v>
      </x:c>
    </x:row>
    <x:row r="1656" ht="22" customHeight="1">
      <x:c r="A1656" s="1" t="n">
        <x:v>332</x:v>
      </x:c>
      <x:c r="B1656" s="1" t="str">
        <x:v>Cacturne</x:v>
      </x:c>
      <x:c r="C1656" s="1" t="str">
        <x:v>Cactus Head</x:v>
      </x:c>
      <x:c r="D1656" s="1" t="n">
        <x:v>1</x:v>
      </x:c>
      <x:c r="E1656" s="1" t="n">
        <x:v>1</x:v>
      </x:c>
      <x:c r="F1656" s="13" t="n">
        <x:v>0.0425</x:v>
      </x:c>
      <x:c r="G1656" s="9" t="str">
        <x:v>https://poke.idleworld.online/pokepedia/pokemon/cacturne</x:v>
      </x:c>
    </x:row>
    <x:row r="1657" ht="22" customHeight="1">
      <x:c r="A1657" s="1" t="n">
        <x:v>332</x:v>
      </x:c>
      <x:c r="B1657" s="1" t="str">
        <x:v>Cacturne</x:v>
      </x:c>
      <x:c r="C1657" s="1" t="str">
        <x:v>Seed</x:v>
      </x:c>
      <x:c r="D1657" s="1" t="n">
        <x:v>1</x:v>
      </x:c>
      <x:c r="E1657" s="1" t="n">
        <x:v>21</x:v>
      </x:c>
      <x:c r="F1657" s="13" t="n">
        <x:v>0.8</x:v>
      </x:c>
      <x:c r="G1657" s="9" t="str">
        <x:v>https://poke.idleworld.online/pokepedia/pokemon/cacturne</x:v>
      </x:c>
    </x:row>
    <x:row r="1658" ht="22" customHeight="1">
      <x:c r="A1658" s="1" t="n">
        <x:v>332</x:v>
      </x:c>
      <x:c r="B1658" s="1" t="str">
        <x:v>Cacturne</x:v>
      </x:c>
      <x:c r="C1658" s="1" t="str">
        <x:v>Dark Gem</x:v>
      </x:c>
      <x:c r="D1658" s="1" t="n">
        <x:v>1</x:v>
      </x:c>
      <x:c r="E1658" s="1" t="n">
        <x:v>21</x:v>
      </x:c>
      <x:c r="F1658" s="13" t="n">
        <x:v>0.8</x:v>
      </x:c>
      <x:c r="G1658" s="9" t="str">
        <x:v>https://poke.idleworld.online/pokepedia/pokemon/cacturne</x:v>
      </x:c>
    </x:row>
    <x:row r="1659" ht="22" customHeight="1">
      <x:c r="A1659" s="1" t="n">
        <x:v>332</x:v>
      </x:c>
      <x:c r="B1659" s="1" t="str">
        <x:v>Cacturne</x:v>
      </x:c>
      <x:c r="C1659" s="1" t="str">
        <x:v>Small Crown</x:v>
      </x:c>
      <x:c r="D1659" s="1" t="n">
        <x:v>1</x:v>
      </x:c>
      <x:c r="E1659" s="1" t="n">
        <x:v>1</x:v>
      </x:c>
      <x:c r="F1659" s="13" t="n">
        <x:v>0.25</x:v>
      </x:c>
      <x:c r="G1659" s="9" t="str">
        <x:v>https://poke.idleworld.online/pokepedia/pokemon/cacturne</x:v>
      </x:c>
    </x:row>
    <x:row r="1660" ht="22" customHeight="1">
      <x:c r="A1660" s="1" t="n">
        <x:v>332</x:v>
      </x:c>
      <x:c r="B1660" s="1" t="str">
        <x:v>Cacturne</x:v>
      </x:c>
      <x:c r="C1660" s="1" t="str">
        <x:v>Leaf Stone</x:v>
      </x:c>
      <x:c r="D1660" s="1" t="n">
        <x:v>1</x:v>
      </x:c>
      <x:c r="E1660" s="1" t="n">
        <x:v>1</x:v>
      </x:c>
      <x:c r="F1660" s="13" t="n">
        <x:v>0.01</x:v>
      </x:c>
      <x:c r="G1660" s="9" t="str">
        <x:v>https://poke.idleworld.online/pokepedia/pokemon/cacturne</x:v>
      </x:c>
    </x:row>
    <x:row r="1661" ht="22" customHeight="1">
      <x:c r="A1661" s="1" t="n">
        <x:v>332</x:v>
      </x:c>
      <x:c r="B1661" s="1" t="str">
        <x:v>Cacturne</x:v>
      </x:c>
      <x:c r="C1661" s="1" t="str">
        <x:v>Darkness Stone</x:v>
      </x:c>
      <x:c r="D1661" s="1" t="n">
        <x:v>1</x:v>
      </x:c>
      <x:c r="E1661" s="1" t="n">
        <x:v>1</x:v>
      </x:c>
      <x:c r="F1661" s="13" t="n">
        <x:v>0.01</x:v>
      </x:c>
      <x:c r="G1661" s="9" t="str">
        <x:v>https://poke.idleworld.online/pokepedia/pokemon/cacturne</x:v>
      </x:c>
    </x:row>
    <x:row r="1662" ht="22" customHeight="1">
      <x:c r="A1662" s="1" t="n">
        <x:v>333</x:v>
      </x:c>
      <x:c r="B1662" s="1" t="str">
        <x:v>Swablu</x:v>
      </x:c>
      <x:c r="C1662" s="1" t="str">
        <x:v>cloud</x:v>
      </x:c>
      <x:c r="D1662" s="1" t="n">
        <x:v>1</x:v>
      </x:c>
      <x:c r="E1662" s="1" t="n">
        <x:v>1</x:v>
      </x:c>
      <x:c r="F1662" s="13" t="n">
        <x:v>0.01</x:v>
      </x:c>
      <x:c r="G1662" s="9" t="str">
        <x:v>https://poke.idleworld.online/pokepedia/pokemon/swablu</x:v>
      </x:c>
    </x:row>
    <x:row r="1663" ht="22" customHeight="1">
      <x:c r="A1663" s="1" t="n">
        <x:v>333</x:v>
      </x:c>
      <x:c r="B1663" s="1" t="str">
        <x:v>Swablu</x:v>
      </x:c>
      <x:c r="C1663" s="1" t="str">
        <x:v>Rubber Ball</x:v>
      </x:c>
      <x:c r="D1663" s="1" t="n">
        <x:v>1</x:v>
      </x:c>
      <x:c r="E1663" s="1" t="n">
        <x:v>5</x:v>
      </x:c>
      <x:c r="F1663" s="13" t="n">
        <x:v>0.8</x:v>
      </x:c>
      <x:c r="G1663" s="9" t="str">
        <x:v>https://poke.idleworld.online/pokepedia/pokemon/swablu</x:v>
      </x:c>
    </x:row>
    <x:row r="1664" ht="22" customHeight="1">
      <x:c r="A1664" s="1" t="n">
        <x:v>333</x:v>
      </x:c>
      <x:c r="B1664" s="1" t="str">
        <x:v>Swablu</x:v>
      </x:c>
      <x:c r="C1664" s="1" t="str">
        <x:v>Straw</x:v>
      </x:c>
      <x:c r="D1664" s="1" t="n">
        <x:v>1</x:v>
      </x:c>
      <x:c r="E1664" s="1" t="n">
        <x:v>5</x:v>
      </x:c>
      <x:c r="F1664" s="13" t="n">
        <x:v>0.8</x:v>
      </x:c>
      <x:c r="G1664" s="9" t="str">
        <x:v>https://poke.idleworld.online/pokepedia/pokemon/swablu</x:v>
      </x:c>
    </x:row>
    <x:row r="1665" ht="22" customHeight="1">
      <x:c r="A1665" s="1" t="n">
        <x:v>333</x:v>
      </x:c>
      <x:c r="B1665" s="1" t="str">
        <x:v>Swablu</x:v>
      </x:c>
      <x:c r="C1665" s="1" t="str">
        <x:v>Feather</x:v>
      </x:c>
      <x:c r="D1665" s="1" t="n">
        <x:v>1</x:v>
      </x:c>
      <x:c r="E1665" s="1" t="n">
        <x:v>1</x:v>
      </x:c>
      <x:c r="F1665" s="13" t="n">
        <x:v>0.13</x:v>
      </x:c>
      <x:c r="G1665" s="9" t="str">
        <x:v>https://poke.idleworld.online/pokepedia/pokemon/swablu</x:v>
      </x:c>
    </x:row>
    <x:row r="1666" ht="22" customHeight="1">
      <x:c r="A1666" s="1" t="n">
        <x:v>334</x:v>
      </x:c>
      <x:c r="B1666" s="1" t="str">
        <x:v>Altaria</x:v>
      </x:c>
      <x:c r="C1666" s="1" t="str">
        <x:v>cloud</x:v>
      </x:c>
      <x:c r="D1666" s="1" t="n">
        <x:v>1</x:v>
      </x:c>
      <x:c r="E1666" s="1" t="n">
        <x:v>1</x:v>
      </x:c>
      <x:c r="F1666" s="13" t="n">
        <x:v>0.0425</x:v>
      </x:c>
      <x:c r="G1666" s="9" t="str">
        <x:v>https://poke.idleworld.online/pokepedia/pokemon/altaria</x:v>
      </x:c>
    </x:row>
    <x:row r="1667" ht="22" customHeight="1">
      <x:c r="A1667" s="1" t="n">
        <x:v>334</x:v>
      </x:c>
      <x:c r="B1667" s="1" t="str">
        <x:v>Altaria</x:v>
      </x:c>
      <x:c r="C1667" s="1" t="str">
        <x:v>Dragon Scale</x:v>
      </x:c>
      <x:c r="D1667" s="1" t="n">
        <x:v>1</x:v>
      </x:c>
      <x:c r="E1667" s="1" t="n">
        <x:v>21</x:v>
      </x:c>
      <x:c r="F1667" s="13" t="n">
        <x:v>0.8</x:v>
      </x:c>
      <x:c r="G1667" s="9" t="str">
        <x:v>https://poke.idleworld.online/pokepedia/pokemon/altaria</x:v>
      </x:c>
    </x:row>
    <x:row r="1668" ht="22" customHeight="1">
      <x:c r="A1668" s="1" t="n">
        <x:v>334</x:v>
      </x:c>
      <x:c r="B1668" s="1" t="str">
        <x:v>Altaria</x:v>
      </x:c>
      <x:c r="C1668" s="1" t="str">
        <x:v>Straw</x:v>
      </x:c>
      <x:c r="D1668" s="1" t="n">
        <x:v>1</x:v>
      </x:c>
      <x:c r="E1668" s="1" t="n">
        <x:v>21</x:v>
      </x:c>
      <x:c r="F1668" s="13" t="n">
        <x:v>0.8</x:v>
      </x:c>
      <x:c r="G1668" s="9" t="str">
        <x:v>https://poke.idleworld.online/pokepedia/pokemon/altaria</x:v>
      </x:c>
    </x:row>
    <x:row r="1669" ht="22" customHeight="1">
      <x:c r="A1669" s="1" t="n">
        <x:v>334</x:v>
      </x:c>
      <x:c r="B1669" s="1" t="str">
        <x:v>Altaria</x:v>
      </x:c>
      <x:c r="C1669" s="1" t="str">
        <x:v>Feather</x:v>
      </x:c>
      <x:c r="D1669" s="1" t="n">
        <x:v>1</x:v>
      </x:c>
      <x:c r="E1669" s="1" t="n">
        <x:v>1</x:v>
      </x:c>
      <x:c r="F1669" s="13" t="n">
        <x:v>0.255</x:v>
      </x:c>
      <x:c r="G1669" s="9" t="str">
        <x:v>https://poke.idleworld.online/pokepedia/pokemon/altaria</x:v>
      </x:c>
    </x:row>
    <x:row r="1670" ht="22" customHeight="1">
      <x:c r="A1670" s="1" t="n">
        <x:v>334</x:v>
      </x:c>
      <x:c r="B1670" s="1" t="str">
        <x:v>Altaria</x:v>
      </x:c>
      <x:c r="C1670" s="1" t="str">
        <x:v>Feather Stone</x:v>
      </x:c>
      <x:c r="D1670" s="1" t="n">
        <x:v>1</x:v>
      </x:c>
      <x:c r="E1670" s="1" t="n">
        <x:v>1</x:v>
      </x:c>
      <x:c r="F1670" s="13" t="n">
        <x:v>0.01</x:v>
      </x:c>
      <x:c r="G1670" s="9" t="str">
        <x:v>https://poke.idleworld.online/pokepedia/pokemon/altaria</x:v>
      </x:c>
    </x:row>
    <x:row r="1671" ht="22" customHeight="1">
      <x:c r="A1671" s="1" t="n">
        <x:v>334</x:v>
      </x:c>
      <x:c r="B1671" s="1" t="str">
        <x:v>Altaria</x:v>
      </x:c>
      <x:c r="C1671" s="1" t="str">
        <x:v>Crystal Stone</x:v>
      </x:c>
      <x:c r="D1671" s="1" t="n">
        <x:v>1</x:v>
      </x:c>
      <x:c r="E1671" s="1" t="n">
        <x:v>1</x:v>
      </x:c>
      <x:c r="F1671" s="13" t="n">
        <x:v>0.01</x:v>
      </x:c>
      <x:c r="G1671" s="9" t="str">
        <x:v>https://poke.idleworld.online/pokepedia/pokemon/altaria</x:v>
      </x:c>
    </x:row>
    <x:row r="1672" ht="22" customHeight="1">
      <x:c r="A1672" s="1" t="n">
        <x:v>335</x:v>
      </x:c>
      <x:c r="B1672" s="1" t="str">
        <x:v>Zangoose</x:v>
      </x:c>
      <x:c r="C1672" s="1" t="str">
        <x:v>tribe mark</x:v>
      </x:c>
      <x:c r="D1672" s="1" t="n">
        <x:v>1</x:v>
      </x:c>
      <x:c r="E1672" s="1" t="n">
        <x:v>1</x:v>
      </x:c>
      <x:c r="F1672" s="13" t="n">
        <x:v>0.0966062</x:v>
      </x:c>
      <x:c r="G1672" s="9" t="str">
        <x:v>https://poke.idleworld.online/pokepedia/pokemon/zangoose</x:v>
      </x:c>
    </x:row>
    <x:row r="1673" ht="22" customHeight="1">
      <x:c r="A1673" s="1" t="n">
        <x:v>335</x:v>
      </x:c>
      <x:c r="B1673" s="1" t="str">
        <x:v>Zangoose</x:v>
      </x:c>
      <x:c r="C1673" s="1" t="str">
        <x:v>Wool Ball</x:v>
      </x:c>
      <x:c r="D1673" s="1" t="n">
        <x:v>1</x:v>
      </x:c>
      <x:c r="E1673" s="1" t="n">
        <x:v>1</x:v>
      </x:c>
      <x:c r="F1673" s="13" t="n">
        <x:v>0.493285</x:v>
      </x:c>
      <x:c r="G1673" s="9" t="str">
        <x:v>https://poke.idleworld.online/pokepedia/pokemon/zangoose</x:v>
      </x:c>
    </x:row>
    <x:row r="1674" ht="22" customHeight="1">
      <x:c r="A1674" s="1" t="n">
        <x:v>335</x:v>
      </x:c>
      <x:c r="B1674" s="1" t="str">
        <x:v>Zangoose</x:v>
      </x:c>
      <x:c r="C1674" s="1" t="str">
        <x:v>Rubber Ball</x:v>
      </x:c>
      <x:c r="D1674" s="1" t="n">
        <x:v>1</x:v>
      </x:c>
      <x:c r="E1674" s="1" t="n">
        <x:v>44</x:v>
      </x:c>
      <x:c r="F1674" s="13" t="n">
        <x:v>0.95</x:v>
      </x:c>
      <x:c r="G1674" s="9" t="str">
        <x:v>https://poke.idleworld.online/pokepedia/pokemon/zangoose</x:v>
      </x:c>
    </x:row>
    <x:row r="1675" ht="22" customHeight="1">
      <x:c r="A1675" s="1" t="n">
        <x:v>335</x:v>
      </x:c>
      <x:c r="B1675" s="1" t="str">
        <x:v>Zangoose</x:v>
      </x:c>
      <x:c r="C1675" s="1" t="str">
        <x:v>Heart Stone</x:v>
      </x:c>
      <x:c r="D1675" s="1" t="n">
        <x:v>1</x:v>
      </x:c>
      <x:c r="E1675" s="1" t="n">
        <x:v>1</x:v>
      </x:c>
      <x:c r="F1675" s="13" t="n">
        <x:v>0.01</x:v>
      </x:c>
      <x:c r="G1675" s="9" t="str">
        <x:v>https://poke.idleworld.online/pokepedia/pokemon/zangoose</x:v>
      </x:c>
    </x:row>
    <x:row r="1676" ht="22" customHeight="1">
      <x:c r="A1676" s="1" t="n">
        <x:v>335</x:v>
      </x:c>
      <x:c r="B1676" s="1" t="str">
        <x:v>Zangoose</x:v>
      </x:c>
      <x:c r="C1676" s="1" t="str">
        <x:v>cat ear</x:v>
      </x:c>
      <x:c r="D1676" s="1" t="n">
        <x:v>1</x:v>
      </x:c>
      <x:c r="E1676" s="1" t="n">
        <x:v>1</x:v>
      </x:c>
      <x:c r="F1676" s="13" t="n">
        <x:v>0.0716022</x:v>
      </x:c>
      <x:c r="G1676" s="9" t="str">
        <x:v>https://poke.idleworld.online/pokepedia/pokemon/zangoose</x:v>
      </x:c>
    </x:row>
    <x:row r="1677" ht="22" customHeight="1">
      <x:c r="A1677" s="1" t="n">
        <x:v>336</x:v>
      </x:c>
      <x:c r="B1677" s="1" t="str">
        <x:v>Seviper</x:v>
      </x:c>
      <x:c r="C1677" s="1" t="str">
        <x:v>Poisonous Tail</x:v>
      </x:c>
      <x:c r="D1677" s="1" t="n">
        <x:v>1</x:v>
      </x:c>
      <x:c r="E1677" s="1" t="n">
        <x:v>1</x:v>
      </x:c>
      <x:c r="F1677" s="13" t="n">
        <x:v>0.0425</x:v>
      </x:c>
      <x:c r="G1677" s="9" t="str">
        <x:v>https://poke.idleworld.online/pokepedia/pokemon/seviper</x:v>
      </x:c>
    </x:row>
    <x:row r="1678" ht="22" customHeight="1">
      <x:c r="A1678" s="1" t="n">
        <x:v>336</x:v>
      </x:c>
      <x:c r="B1678" s="1" t="str">
        <x:v>Seviper</x:v>
      </x:c>
      <x:c r="C1678" s="1" t="str">
        <x:v>Bottles of Poison</x:v>
      </x:c>
      <x:c r="D1678" s="1" t="n">
        <x:v>1</x:v>
      </x:c>
      <x:c r="E1678" s="1" t="n">
        <x:v>43</x:v>
      </x:c>
      <x:c r="F1678" s="13" t="n">
        <x:v>0.8</x:v>
      </x:c>
      <x:c r="G1678" s="9" t="str">
        <x:v>https://poke.idleworld.online/pokepedia/pokemon/seviper</x:v>
      </x:c>
    </x:row>
    <x:row r="1679" ht="22" customHeight="1">
      <x:c r="A1679" s="1" t="n">
        <x:v>336</x:v>
      </x:c>
      <x:c r="B1679" s="1" t="str">
        <x:v>Seviper</x:v>
      </x:c>
      <x:c r="C1679" s="1" t="str">
        <x:v>Venom Stone</x:v>
      </x:c>
      <x:c r="D1679" s="1" t="n">
        <x:v>1</x:v>
      </x:c>
      <x:c r="E1679" s="1" t="n">
        <x:v>1</x:v>
      </x:c>
      <x:c r="F1679" s="13" t="n">
        <x:v>0.01</x:v>
      </x:c>
      <x:c r="G1679" s="9" t="str">
        <x:v>https://poke.idleworld.online/pokepedia/pokemon/seviper</x:v>
      </x:c>
    </x:row>
    <x:row r="1680" ht="22" customHeight="1">
      <x:c r="A1680" s="1" t="n">
        <x:v>336</x:v>
      </x:c>
      <x:c r="B1680" s="1" t="str">
        <x:v>Seviper</x:v>
      </x:c>
      <x:c r="C1680" s="1" t="str">
        <x:v>Tooth</x:v>
      </x:c>
      <x:c r="D1680" s="1" t="n">
        <x:v>1</x:v>
      </x:c>
      <x:c r="E1680" s="1" t="n">
        <x:v>1</x:v>
      </x:c>
      <x:c r="F1680" s="13" t="n">
        <x:v>0.6</x:v>
      </x:c>
      <x:c r="G1680" s="9" t="str">
        <x:v>https://poke.idleworld.online/pokepedia/pokemon/seviper</x:v>
      </x:c>
    </x:row>
    <x:row r="1681" ht="22" customHeight="1">
      <x:c r="A1681" s="1" t="n">
        <x:v>337</x:v>
      </x:c>
      <x:c r="B1681" s="1" t="str">
        <x:v>Lunatone</x:v>
      </x:c>
      <x:c r="C1681" s="1" t="str">
        <x:v>Enigma Stone</x:v>
      </x:c>
      <x:c r="D1681" s="1" t="n">
        <x:v>1</x:v>
      </x:c>
      <x:c r="E1681" s="1" t="n">
        <x:v>1</x:v>
      </x:c>
      <x:c r="F1681" s="13" t="n">
        <x:v>0.01</x:v>
      </x:c>
      <x:c r="G1681" s="9" t="str">
        <x:v>https://poke.idleworld.online/pokepedia/pokemon/lunatone</x:v>
      </x:c>
    </x:row>
    <x:row r="1682" ht="22" customHeight="1">
      <x:c r="A1682" s="1" t="n">
        <x:v>338</x:v>
      </x:c>
      <x:c r="B1682" s="1" t="str">
        <x:v>Solrock</x:v>
      </x:c>
      <x:c r="C1682" s="1" t="str">
        <x:v>Rock Stone</x:v>
      </x:c>
      <x:c r="D1682" s="1" t="n">
        <x:v>1</x:v>
      </x:c>
      <x:c r="E1682" s="1" t="n">
        <x:v>1</x:v>
      </x:c>
      <x:c r="F1682" s="13" t="n">
        <x:v>0.01</x:v>
      </x:c>
      <x:c r="G1682" s="9" t="str">
        <x:v>https://poke.idleworld.online/pokepedia/pokemon/solrock</x:v>
      </x:c>
    </x:row>
    <x:row r="1683" ht="22" customHeight="1">
      <x:c r="A1683" s="1" t="n">
        <x:v>339</x:v>
      </x:c>
      <x:c r="B1683" s="1" t="str">
        <x:v>Barboach</x:v>
      </x:c>
      <x:c r="C1683" s="1" t="str">
        <x:v>Solid Water Gem</x:v>
      </x:c>
      <x:c r="D1683" s="1" t="n">
        <x:v>1</x:v>
      </x:c>
      <x:c r="E1683" s="1" t="n">
        <x:v>5</x:v>
      </x:c>
      <x:c r="F1683" s="13" t="n">
        <x:v>0.8</x:v>
      </x:c>
      <x:c r="G1683" s="9" t="str">
        <x:v>https://poke.idleworld.online/pokepedia/pokemon/barboach</x:v>
      </x:c>
    </x:row>
    <x:row r="1684" ht="22" customHeight="1">
      <x:c r="A1684" s="1" t="n">
        <x:v>339</x:v>
      </x:c>
      <x:c r="B1684" s="1" t="str">
        <x:v>Barboach</x:v>
      </x:c>
      <x:c r="C1684" s="1" t="str">
        <x:v>Water Pendant</x:v>
      </x:c>
      <x:c r="D1684" s="1" t="n">
        <x:v>1</x:v>
      </x:c>
      <x:c r="E1684" s="1" t="n">
        <x:v>1</x:v>
      </x:c>
      <x:c r="F1684" s="13" t="n">
        <x:v>0.5</x:v>
      </x:c>
      <x:c r="G1684" s="9" t="str">
        <x:v>https://poke.idleworld.online/pokepedia/pokemon/barboach</x:v>
      </x:c>
    </x:row>
    <x:row r="1685" ht="22" customHeight="1">
      <x:c r="A1685" s="1" t="n">
        <x:v>339</x:v>
      </x:c>
      <x:c r="B1685" s="1" t="str">
        <x:v>Barboach</x:v>
      </x:c>
      <x:c r="C1685" s="1" t="str">
        <x:v>Water Stone</x:v>
      </x:c>
      <x:c r="D1685" s="1" t="n">
        <x:v>1</x:v>
      </x:c>
      <x:c r="E1685" s="1" t="n">
        <x:v>1</x:v>
      </x:c>
      <x:c r="F1685" s="13" t="n">
        <x:v>0.03</x:v>
      </x:c>
      <x:c r="G1685" s="9" t="str">
        <x:v>https://poke.idleworld.online/pokepedia/pokemon/barboach</x:v>
      </x:c>
    </x:row>
    <x:row r="1686" ht="22" customHeight="1">
      <x:c r="A1686" s="1" t="n">
        <x:v>340</x:v>
      </x:c>
      <x:c r="B1686" s="1" t="str">
        <x:v>Whiscash</x:v>
      </x:c>
      <x:c r="C1686" s="1" t="str">
        <x:v>Water Pendant</x:v>
      </x:c>
      <x:c r="D1686" s="1" t="n">
        <x:v>1</x:v>
      </x:c>
      <x:c r="E1686" s="1" t="n">
        <x:v>1</x:v>
      </x:c>
      <x:c r="F1686" s="13" t="n">
        <x:v>0.02759</x:v>
      </x:c>
      <x:c r="G1686" s="9" t="str">
        <x:v>https://poke.idleworld.online/pokepedia/pokemon/whiscash</x:v>
      </x:c>
    </x:row>
    <x:row r="1687" ht="22" customHeight="1">
      <x:c r="A1687" s="1" t="n">
        <x:v>340</x:v>
      </x:c>
      <x:c r="B1687" s="1" t="str">
        <x:v>Whiscash</x:v>
      </x:c>
      <x:c r="C1687" s="1" t="str">
        <x:v>Water Stone</x:v>
      </x:c>
      <x:c r="D1687" s="1" t="n">
        <x:v>1</x:v>
      </x:c>
      <x:c r="E1687" s="1" t="n">
        <x:v>1</x:v>
      </x:c>
      <x:c r="F1687" s="13" t="n">
        <x:v>0.01</x:v>
      </x:c>
      <x:c r="G1687" s="9" t="str">
        <x:v>https://poke.idleworld.online/pokepedia/pokemon/whiscash</x:v>
      </x:c>
    </x:row>
    <x:row r="1688" ht="22" customHeight="1">
      <x:c r="A1688" s="1" t="n">
        <x:v>341</x:v>
      </x:c>
      <x:c r="B1688" s="1" t="str">
        <x:v>Corphish</x:v>
      </x:c>
      <x:c r="C1688" s="1" t="str">
        <x:v>lobster claw</x:v>
      </x:c>
      <x:c r="D1688" s="1" t="n">
        <x:v>1</x:v>
      </x:c>
      <x:c r="E1688" s="1" t="n">
        <x:v>1</x:v>
      </x:c>
      <x:c r="F1688" s="13" t="n">
        <x:v>0.01</x:v>
      </x:c>
      <x:c r="G1688" s="9" t="str">
        <x:v>https://poke.idleworld.online/pokepedia/pokemon/corphish</x:v>
      </x:c>
    </x:row>
    <x:row r="1689" ht="22" customHeight="1">
      <x:c r="A1689" s="1" t="n">
        <x:v>341</x:v>
      </x:c>
      <x:c r="B1689" s="1" t="str">
        <x:v>Corphish</x:v>
      </x:c>
      <x:c r="C1689" s="1" t="str">
        <x:v>Water Gem</x:v>
      </x:c>
      <x:c r="D1689" s="1" t="n">
        <x:v>1</x:v>
      </x:c>
      <x:c r="E1689" s="1" t="n">
        <x:v>10</x:v>
      </x:c>
      <x:c r="F1689" s="13" t="n">
        <x:v>0.8</x:v>
      </x:c>
      <x:c r="G1689" s="9" t="str">
        <x:v>https://poke.idleworld.online/pokepedia/pokemon/corphish</x:v>
      </x:c>
    </x:row>
    <x:row r="1690" ht="22" customHeight="1">
      <x:c r="A1690" s="1" t="n">
        <x:v>341</x:v>
      </x:c>
      <x:c r="B1690" s="1" t="str">
        <x:v>Corphish</x:v>
      </x:c>
      <x:c r="C1690" s="1" t="str">
        <x:v>Water Pendant</x:v>
      </x:c>
      <x:c r="D1690" s="1" t="n">
        <x:v>1</x:v>
      </x:c>
      <x:c r="E1690" s="1" t="n">
        <x:v>1</x:v>
      </x:c>
      <x:c r="F1690" s="13" t="n">
        <x:v>0.21</x:v>
      </x:c>
      <x:c r="G1690" s="9" t="str">
        <x:v>https://poke.idleworld.online/pokepedia/pokemon/corphish</x:v>
      </x:c>
    </x:row>
    <x:row r="1691" ht="22" customHeight="1">
      <x:c r="A1691" s="1" t="n">
        <x:v>342</x:v>
      </x:c>
      <x:c r="B1691" s="1" t="str">
        <x:v>Crawdaunt</x:v>
      </x:c>
      <x:c r="C1691" s="1" t="str">
        <x:v>lobster claw</x:v>
      </x:c>
      <x:c r="D1691" s="1" t="n">
        <x:v>1</x:v>
      </x:c>
      <x:c r="E1691" s="1" t="n">
        <x:v>1</x:v>
      </x:c>
      <x:c r="F1691" s="13" t="n">
        <x:v>0.0425</x:v>
      </x:c>
      <x:c r="G1691" s="9" t="str">
        <x:v>https://poke.idleworld.online/pokepedia/pokemon/crawdaunt</x:v>
      </x:c>
    </x:row>
    <x:row r="1692" ht="22" customHeight="1">
      <x:c r="A1692" s="1" t="n">
        <x:v>342</x:v>
      </x:c>
      <x:c r="B1692" s="1" t="str">
        <x:v>Crawdaunt</x:v>
      </x:c>
      <x:c r="C1692" s="1" t="str">
        <x:v>Dark Gem</x:v>
      </x:c>
      <x:c r="D1692" s="1" t="n">
        <x:v>1</x:v>
      </x:c>
      <x:c r="E1692" s="1" t="n">
        <x:v>21</x:v>
      </x:c>
      <x:c r="F1692" s="13" t="n">
        <x:v>0.8</x:v>
      </x:c>
      <x:c r="G1692" s="9" t="str">
        <x:v>https://poke.idleworld.online/pokepedia/pokemon/crawdaunt</x:v>
      </x:c>
    </x:row>
    <x:row r="1693" ht="22" customHeight="1">
      <x:c r="A1693" s="1" t="n">
        <x:v>342</x:v>
      </x:c>
      <x:c r="B1693" s="1" t="str">
        <x:v>Crawdaunt</x:v>
      </x:c>
      <x:c r="C1693" s="1" t="str">
        <x:v>Water Gem</x:v>
      </x:c>
      <x:c r="D1693" s="1" t="n">
        <x:v>1</x:v>
      </x:c>
      <x:c r="E1693" s="1" t="n">
        <x:v>21</x:v>
      </x:c>
      <x:c r="F1693" s="13" t="n">
        <x:v>0.8</x:v>
      </x:c>
      <x:c r="G1693" s="9" t="str">
        <x:v>https://poke.idleworld.online/pokepedia/pokemon/crawdaunt</x:v>
      </x:c>
    </x:row>
    <x:row r="1694" ht="22" customHeight="1">
      <x:c r="A1694" s="1" t="n">
        <x:v>342</x:v>
      </x:c>
      <x:c r="B1694" s="1" t="str">
        <x:v>Crawdaunt</x:v>
      </x:c>
      <x:c r="C1694" s="1" t="str">
        <x:v>Darkness Stone</x:v>
      </x:c>
      <x:c r="D1694" s="1" t="n">
        <x:v>1</x:v>
      </x:c>
      <x:c r="E1694" s="1" t="n">
        <x:v>1</x:v>
      </x:c>
      <x:c r="F1694" s="13" t="n">
        <x:v>0.01</x:v>
      </x:c>
      <x:c r="G1694" s="9" t="str">
        <x:v>https://poke.idleworld.online/pokepedia/pokemon/crawdaunt</x:v>
      </x:c>
    </x:row>
    <x:row r="1695" ht="22" customHeight="1">
      <x:c r="A1695" s="1" t="n">
        <x:v>342</x:v>
      </x:c>
      <x:c r="B1695" s="1" t="str">
        <x:v>Crawdaunt</x:v>
      </x:c>
      <x:c r="C1695" s="1" t="str">
        <x:v>Water Stone</x:v>
      </x:c>
      <x:c r="D1695" s="1" t="n">
        <x:v>1</x:v>
      </x:c>
      <x:c r="E1695" s="1" t="n">
        <x:v>1</x:v>
      </x:c>
      <x:c r="F1695" s="13" t="n">
        <x:v>0.01</x:v>
      </x:c>
      <x:c r="G1695" s="9" t="str">
        <x:v>https://poke.idleworld.online/pokepedia/pokemon/crawdaunt</x:v>
      </x:c>
    </x:row>
    <x:row r="1696" ht="22" customHeight="1">
      <x:c r="A1696" s="1" t="n">
        <x:v>342</x:v>
      </x:c>
      <x:c r="B1696" s="1" t="str">
        <x:v>Crawdaunt</x:v>
      </x:c>
      <x:c r="C1696" s="1" t="str">
        <x:v>Water Pendant</x:v>
      </x:c>
      <x:c r="D1696" s="1" t="n">
        <x:v>1</x:v>
      </x:c>
      <x:c r="E1696" s="1" t="n">
        <x:v>1</x:v>
      </x:c>
      <x:c r="F1696" s="13" t="n">
        <x:v>0.45</x:v>
      </x:c>
      <x:c r="G1696" s="9" t="str">
        <x:v>https://poke.idleworld.online/pokepedia/pokemon/crawdaunt</x:v>
      </x:c>
    </x:row>
    <x:row r="1697" ht="22" customHeight="1">
      <x:c r="A1697" s="1" t="n">
        <x:v>343</x:v>
      </x:c>
      <x:c r="B1697" s="1" t="str">
        <x:v>Baltoy</x:v>
      </x:c>
      <x:c r="C1697" s="1" t="str">
        <x:v>pawn</x:v>
      </x:c>
      <x:c r="D1697" s="1" t="n">
        <x:v>1</x:v>
      </x:c>
      <x:c r="E1697" s="1" t="n">
        <x:v>1</x:v>
      </x:c>
      <x:c r="F1697" s="13" t="n">
        <x:v>0.01</x:v>
      </x:c>
      <x:c r="G1697" s="9" t="str">
        <x:v>https://poke.idleworld.online/pokepedia/pokemon/baltoy</x:v>
      </x:c>
    </x:row>
    <x:row r="1698" ht="22" customHeight="1">
      <x:c r="A1698" s="1" t="n">
        <x:v>343</x:v>
      </x:c>
      <x:c r="B1698" s="1" t="str">
        <x:v>Baltoy</x:v>
      </x:c>
      <x:c r="C1698" s="1" t="str">
        <x:v>Earth Ball</x:v>
      </x:c>
      <x:c r="D1698" s="1" t="n">
        <x:v>1</x:v>
      </x:c>
      <x:c r="E1698" s="1" t="n">
        <x:v>5</x:v>
      </x:c>
      <x:c r="F1698" s="13" t="n">
        <x:v>0.8</x:v>
      </x:c>
      <x:c r="G1698" s="9" t="str">
        <x:v>https://poke.idleworld.online/pokepedia/pokemon/baltoy</x:v>
      </x:c>
    </x:row>
    <x:row r="1699" ht="22" customHeight="1">
      <x:c r="A1699" s="1" t="n">
        <x:v>343</x:v>
      </x:c>
      <x:c r="B1699" s="1" t="str">
        <x:v>Baltoy</x:v>
      </x:c>
      <x:c r="C1699" s="1" t="str">
        <x:v>Enchanted Gem</x:v>
      </x:c>
      <x:c r="D1699" s="1" t="n">
        <x:v>1</x:v>
      </x:c>
      <x:c r="E1699" s="1" t="n">
        <x:v>5</x:v>
      </x:c>
      <x:c r="F1699" s="13" t="n">
        <x:v>0.8</x:v>
      </x:c>
      <x:c r="G1699" s="9" t="str">
        <x:v>https://poke.idleworld.online/pokepedia/pokemon/baltoy</x:v>
      </x:c>
    </x:row>
    <x:row r="1700" ht="22" customHeight="1">
      <x:c r="A1700" s="1" t="n">
        <x:v>343</x:v>
      </x:c>
      <x:c r="B1700" s="1" t="str">
        <x:v>Baltoy</x:v>
      </x:c>
      <x:c r="C1700" s="1" t="str">
        <x:v>Future Orb</x:v>
      </x:c>
      <x:c r="D1700" s="1" t="n">
        <x:v>1</x:v>
      </x:c>
      <x:c r="E1700" s="1" t="n">
        <x:v>1</x:v>
      </x:c>
      <x:c r="F1700" s="13" t="n">
        <x:v>0.13</x:v>
      </x:c>
      <x:c r="G1700" s="9" t="str">
        <x:v>https://poke.idleworld.online/pokepedia/pokemon/baltoy</x:v>
      </x:c>
    </x:row>
    <x:row r="1701" ht="22" customHeight="1">
      <x:c r="A1701" s="1" t="n">
        <x:v>343</x:v>
      </x:c>
      <x:c r="B1701" s="1" t="str">
        <x:v>Baltoy</x:v>
      </x:c>
      <x:c r="C1701" s="1" t="str">
        <x:v>Sandbag</x:v>
      </x:c>
      <x:c r="D1701" s="1" t="n">
        <x:v>1</x:v>
      </x:c>
      <x:c r="E1701" s="1" t="n">
        <x:v>1</x:v>
      </x:c>
      <x:c r="F1701" s="13" t="n">
        <x:v>0.13</x:v>
      </x:c>
      <x:c r="G1701" s="9" t="str">
        <x:v>https://poke.idleworld.online/pokepedia/pokemon/baltoy</x:v>
      </x:c>
    </x:row>
    <x:row r="1702" ht="22" customHeight="1">
      <x:c r="A1702" s="1" t="n">
        <x:v>344</x:v>
      </x:c>
      <x:c r="B1702" s="1" t="str">
        <x:v>Claydol</x:v>
      </x:c>
      <x:c r="C1702" s="1" t="str">
        <x:v>pawn</x:v>
      </x:c>
      <x:c r="D1702" s="1" t="n">
        <x:v>1</x:v>
      </x:c>
      <x:c r="E1702" s="1" t="n">
        <x:v>1</x:v>
      </x:c>
      <x:c r="F1702" s="13" t="n">
        <x:v>0.0425</x:v>
      </x:c>
      <x:c r="G1702" s="9" t="str">
        <x:v>https://poke.idleworld.online/pokepedia/pokemon/claydol</x:v>
      </x:c>
    </x:row>
    <x:row r="1703" ht="22" customHeight="1">
      <x:c r="A1703" s="1" t="n">
        <x:v>344</x:v>
      </x:c>
      <x:c r="B1703" s="1" t="str">
        <x:v>Claydol</x:v>
      </x:c>
      <x:c r="C1703" s="1" t="str">
        <x:v>Earth Ball</x:v>
      </x:c>
      <x:c r="D1703" s="1" t="n">
        <x:v>1</x:v>
      </x:c>
      <x:c r="E1703" s="1" t="n">
        <x:v>21</x:v>
      </x:c>
      <x:c r="F1703" s="13" t="n">
        <x:v>0.8</x:v>
      </x:c>
      <x:c r="G1703" s="9" t="str">
        <x:v>https://poke.idleworld.online/pokepedia/pokemon/claydol</x:v>
      </x:c>
    </x:row>
    <x:row r="1704" ht="22" customHeight="1">
      <x:c r="A1704" s="1" t="n">
        <x:v>344</x:v>
      </x:c>
      <x:c r="B1704" s="1" t="str">
        <x:v>Claydol</x:v>
      </x:c>
      <x:c r="C1704" s="1" t="str">
        <x:v>Enchanted Gem</x:v>
      </x:c>
      <x:c r="D1704" s="1" t="n">
        <x:v>1</x:v>
      </x:c>
      <x:c r="E1704" s="1" t="n">
        <x:v>21</x:v>
      </x:c>
      <x:c r="F1704" s="13" t="n">
        <x:v>0.8</x:v>
      </x:c>
      <x:c r="G1704" s="9" t="str">
        <x:v>https://poke.idleworld.online/pokepedia/pokemon/claydol</x:v>
      </x:c>
    </x:row>
    <x:row r="1705" ht="22" customHeight="1">
      <x:c r="A1705" s="1" t="n">
        <x:v>344</x:v>
      </x:c>
      <x:c r="B1705" s="1" t="str">
        <x:v>Claydol</x:v>
      </x:c>
      <x:c r="C1705" s="1" t="str">
        <x:v>Future Orb</x:v>
      </x:c>
      <x:c r="D1705" s="1" t="n">
        <x:v>1</x:v>
      </x:c>
      <x:c r="E1705" s="1" t="n">
        <x:v>1</x:v>
      </x:c>
      <x:c r="F1705" s="13" t="n">
        <x:v>0.225</x:v>
      </x:c>
      <x:c r="G1705" s="9" t="str">
        <x:v>https://poke.idleworld.online/pokepedia/pokemon/claydol</x:v>
      </x:c>
    </x:row>
    <x:row r="1706" ht="22" customHeight="1">
      <x:c r="A1706" s="1" t="n">
        <x:v>344</x:v>
      </x:c>
      <x:c r="B1706" s="1" t="str">
        <x:v>Claydol</x:v>
      </x:c>
      <x:c r="C1706" s="1" t="str">
        <x:v>Sandbag</x:v>
      </x:c>
      <x:c r="D1706" s="1" t="n">
        <x:v>1</x:v>
      </x:c>
      <x:c r="E1706" s="1" t="n">
        <x:v>1</x:v>
      </x:c>
      <x:c r="F1706" s="13" t="n">
        <x:v>0.225</x:v>
      </x:c>
      <x:c r="G1706" s="9" t="str">
        <x:v>https://poke.idleworld.online/pokepedia/pokemon/claydol</x:v>
      </x:c>
    </x:row>
    <x:row r="1707" ht="22" customHeight="1">
      <x:c r="A1707" s="1" t="n">
        <x:v>344</x:v>
      </x:c>
      <x:c r="B1707" s="1" t="str">
        <x:v>Claydol</x:v>
      </x:c>
      <x:c r="C1707" s="1" t="str">
        <x:v>Enigma Stone</x:v>
      </x:c>
      <x:c r="D1707" s="1" t="n">
        <x:v>1</x:v>
      </x:c>
      <x:c r="E1707" s="1" t="n">
        <x:v>1</x:v>
      </x:c>
      <x:c r="F1707" s="13" t="n">
        <x:v>0.01</x:v>
      </x:c>
      <x:c r="G1707" s="9" t="str">
        <x:v>https://poke.idleworld.online/pokepedia/pokemon/claydol</x:v>
      </x:c>
    </x:row>
    <x:row r="1708" ht="22" customHeight="1">
      <x:c r="A1708" s="1" t="n">
        <x:v>344</x:v>
      </x:c>
      <x:c r="B1708" s="1" t="str">
        <x:v>Claydol</x:v>
      </x:c>
      <x:c r="C1708" s="1" t="str">
        <x:v>Earth Stone</x:v>
      </x:c>
      <x:c r="D1708" s="1" t="n">
        <x:v>1</x:v>
      </x:c>
      <x:c r="E1708" s="1" t="n">
        <x:v>1</x:v>
      </x:c>
      <x:c r="F1708" s="13" t="n">
        <x:v>0.01</x:v>
      </x:c>
      <x:c r="G1708" s="9" t="str">
        <x:v>https://poke.idleworld.online/pokepedia/pokemon/claydol</x:v>
      </x:c>
    </x:row>
    <x:row r="1709" ht="22" customHeight="1">
      <x:c r="A1709" s="1" t="n">
        <x:v>349</x:v>
      </x:c>
      <x:c r="B1709" s="1" t="str">
        <x:v>Feebas</x:v>
      </x:c>
      <x:c r="C1709" s="1" t="str">
        <x:v>Water Gem</x:v>
      </x:c>
      <x:c r="D1709" s="1" t="n">
        <x:v>1</x:v>
      </x:c>
      <x:c r="E1709" s="1" t="n">
        <x:v>5</x:v>
      </x:c>
      <x:c r="F1709" s="13" t="n">
        <x:v>0.75</x:v>
      </x:c>
      <x:c r="G1709" s="9" t="str">
        <x:v>https://poke.idleworld.online/pokepedia/pokemon/feebas</x:v>
      </x:c>
    </x:row>
    <x:row r="1710" ht="22" customHeight="1">
      <x:c r="A1710" s="1" t="n">
        <x:v>349</x:v>
      </x:c>
      <x:c r="B1710" s="1" t="str">
        <x:v>Feebas</x:v>
      </x:c>
      <x:c r="C1710" s="1" t="str">
        <x:v>Water Pendant</x:v>
      </x:c>
      <x:c r="D1710" s="1" t="n">
        <x:v>1</x:v>
      </x:c>
      <x:c r="E1710" s="1" t="n">
        <x:v>1</x:v>
      </x:c>
      <x:c r="F1710" s="13" t="n">
        <x:v>0.04</x:v>
      </x:c>
      <x:c r="G1710" s="9" t="str">
        <x:v>https://poke.idleworld.online/pokepedia/pokemon/feebas</x:v>
      </x:c>
    </x:row>
    <x:row r="1711" ht="22" customHeight="1">
      <x:c r="A1711" s="1" t="n">
        <x:v>350</x:v>
      </x:c>
      <x:c r="B1711" s="1" t="str">
        <x:v>Milotic</x:v>
      </x:c>
      <x:c r="C1711" s="1" t="str">
        <x:v>Water Gem</x:v>
      </x:c>
      <x:c r="D1711" s="1" t="n">
        <x:v>1</x:v>
      </x:c>
      <x:c r="E1711" s="1" t="n">
        <x:v>10</x:v>
      </x:c>
      <x:c r="F1711" s="13" t="n">
        <x:v>0.8</x:v>
      </x:c>
      <x:c r="G1711" s="9" t="str">
        <x:v>https://poke.idleworld.online/pokepedia/pokemon/milotic</x:v>
      </x:c>
    </x:row>
    <x:row r="1712" ht="22" customHeight="1">
      <x:c r="A1712" s="1" t="n">
        <x:v>350</x:v>
      </x:c>
      <x:c r="B1712" s="1" t="str">
        <x:v>Milotic</x:v>
      </x:c>
      <x:c r="C1712" s="1" t="str">
        <x:v>Water Stone</x:v>
      </x:c>
      <x:c r="D1712" s="1" t="n">
        <x:v>1</x:v>
      </x:c>
      <x:c r="E1712" s="1" t="n">
        <x:v>1</x:v>
      </x:c>
      <x:c r="F1712" s="13" t="n">
        <x:v>0.01</x:v>
      </x:c>
      <x:c r="G1712" s="9" t="str">
        <x:v>https://poke.idleworld.online/pokepedia/pokemon/milotic</x:v>
      </x:c>
    </x:row>
    <x:row r="1713" ht="22" customHeight="1">
      <x:c r="A1713" s="1" t="n">
        <x:v>350</x:v>
      </x:c>
      <x:c r="B1713" s="1" t="str">
        <x:v>Milotic</x:v>
      </x:c>
      <x:c r="C1713" s="1" t="str">
        <x:v>Prism Scale</x:v>
      </x:c>
      <x:c r="D1713" s="1" t="n">
        <x:v>1</x:v>
      </x:c>
      <x:c r="E1713" s="1" t="n">
        <x:v>1</x:v>
      </x:c>
      <x:c r="F1713" s="13" t="n">
        <x:v>0.000013300000000000001</x:v>
      </x:c>
      <x:c r="G1713" s="9" t="str">
        <x:v>https://poke.idleworld.online/pokepedia/pokemon/milotic</x:v>
      </x:c>
    </x:row>
    <x:row r="1714" ht="22" customHeight="1">
      <x:c r="A1714" s="1" t="n">
        <x:v>350</x:v>
      </x:c>
      <x:c r="B1714" s="1" t="str">
        <x:v>Milotic</x:v>
      </x:c>
      <x:c r="C1714" s="1" t="str">
        <x:v>Beautiful Scales</x:v>
      </x:c>
      <x:c r="D1714" s="1" t="n">
        <x:v>1</x:v>
      </x:c>
      <x:c r="E1714" s="1" t="n">
        <x:v>1</x:v>
      </x:c>
      <x:c r="F1714" s="13" t="n">
        <x:v>0.00016</x:v>
      </x:c>
      <x:c r="G1714" s="9" t="str">
        <x:v>https://poke.idleworld.online/pokepedia/pokemon/milotic</x:v>
      </x:c>
    </x:row>
    <x:row r="1715" ht="22" customHeight="1">
      <x:c r="A1715" s="1" t="n">
        <x:v>353</x:v>
      </x:c>
      <x:c r="B1715" s="1" t="str">
        <x:v>Shuppet</x:v>
      </x:c>
      <x:c r="C1715" s="1" t="str">
        <x:v>Ghost Essence</x:v>
      </x:c>
      <x:c r="D1715" s="1" t="n">
        <x:v>1</x:v>
      </x:c>
      <x:c r="E1715" s="1" t="n">
        <x:v>10</x:v>
      </x:c>
      <x:c r="F1715" s="13" t="n">
        <x:v>0.8</x:v>
      </x:c>
      <x:c r="G1715" s="9" t="str">
        <x:v>https://poke.idleworld.online/pokepedia/pokemon/shuppet</x:v>
      </x:c>
    </x:row>
    <x:row r="1716" ht="22" customHeight="1">
      <x:c r="A1716" s="1" t="n">
        <x:v>353</x:v>
      </x:c>
      <x:c r="B1716" s="1" t="str">
        <x:v>Shuppet</x:v>
      </x:c>
      <x:c r="C1716" s="1" t="str">
        <x:v>doll star</x:v>
      </x:c>
      <x:c r="D1716" s="1" t="n">
        <x:v>1</x:v>
      </x:c>
      <x:c r="E1716" s="1" t="n">
        <x:v>1</x:v>
      </x:c>
      <x:c r="F1716" s="13" t="n">
        <x:v>0.015</x:v>
      </x:c>
      <x:c r="G1716" s="9" t="str">
        <x:v>https://poke.idleworld.online/pokepedia/pokemon/shuppet</x:v>
      </x:c>
    </x:row>
    <x:row r="1717" ht="22" customHeight="1">
      <x:c r="A1717" s="1" t="n">
        <x:v>354</x:v>
      </x:c>
      <x:c r="B1717" s="1" t="str">
        <x:v>Banette</x:v>
      </x:c>
      <x:c r="C1717" s="1" t="str">
        <x:v>Ghost Essence</x:v>
      </x:c>
      <x:c r="D1717" s="1" t="n">
        <x:v>1</x:v>
      </x:c>
      <x:c r="E1717" s="1" t="n">
        <x:v>43</x:v>
      </x:c>
      <x:c r="F1717" s="13" t="n">
        <x:v>0.8</x:v>
      </x:c>
      <x:c r="G1717" s="9" t="str">
        <x:v>https://poke.idleworld.online/pokepedia/pokemon/banette</x:v>
      </x:c>
    </x:row>
    <x:row r="1718" ht="22" customHeight="1">
      <x:c r="A1718" s="1" t="n">
        <x:v>354</x:v>
      </x:c>
      <x:c r="B1718" s="1" t="str">
        <x:v>Banette</x:v>
      </x:c>
      <x:c r="C1718" s="1" t="str">
        <x:v>doll star</x:v>
      </x:c>
      <x:c r="D1718" s="1" t="n">
        <x:v>1</x:v>
      </x:c>
      <x:c r="E1718" s="1" t="n">
        <x:v>2</x:v>
      </x:c>
      <x:c r="F1718" s="13" t="n">
        <x:v>0.05</x:v>
      </x:c>
      <x:c r="G1718" s="9" t="str">
        <x:v>https://poke.idleworld.online/pokepedia/pokemon/banette</x:v>
      </x:c>
    </x:row>
    <x:row r="1719" ht="22" customHeight="1">
      <x:c r="A1719" s="1" t="n">
        <x:v>354</x:v>
      </x:c>
      <x:c r="B1719" s="1" t="str">
        <x:v>Banette</x:v>
      </x:c>
      <x:c r="C1719" s="1" t="str">
        <x:v>Darkness Stone</x:v>
      </x:c>
      <x:c r="D1719" s="1" t="n">
        <x:v>1</x:v>
      </x:c>
      <x:c r="E1719" s="1" t="n">
        <x:v>1</x:v>
      </x:c>
      <x:c r="F1719" s="13" t="n">
        <x:v>0.01</x:v>
      </x:c>
      <x:c r="G1719" s="9" t="str">
        <x:v>https://poke.idleworld.online/pokepedia/pokemon/banette</x:v>
      </x:c>
    </x:row>
    <x:row r="1720" ht="22" customHeight="1">
      <x:c r="A1720" s="1" t="n">
        <x:v>355</x:v>
      </x:c>
      <x:c r="B1720" s="1" t="str">
        <x:v>Duskull</x:v>
      </x:c>
      <x:c r="C1720" s="1" t="str">
        <x:v>Ghost Essence</x:v>
      </x:c>
      <x:c r="D1720" s="1" t="n">
        <x:v>1</x:v>
      </x:c>
      <x:c r="E1720" s="1" t="n">
        <x:v>20</x:v>
      </x:c>
      <x:c r="F1720" s="13" t="n">
        <x:v>0.8</x:v>
      </x:c>
      <x:c r="G1720" s="9" t="str">
        <x:v>https://poke.idleworld.online/pokepedia/pokemon/duskull</x:v>
      </x:c>
    </x:row>
    <x:row r="1721" ht="22" customHeight="1">
      <x:c r="A1721" s="1" t="n">
        <x:v>355</x:v>
      </x:c>
      <x:c r="B1721" s="1" t="str">
        <x:v>Duskull</x:v>
      </x:c>
      <x:c r="C1721" s="1" t="str">
        <x:v>ghost skull</x:v>
      </x:c>
      <x:c r="D1721" s="1" t="n">
        <x:v>1</x:v>
      </x:c>
      <x:c r="E1721" s="1" t="n">
        <x:v>1</x:v>
      </x:c>
      <x:c r="F1721" s="13" t="n">
        <x:v>0.02</x:v>
      </x:c>
      <x:c r="G1721" s="9" t="str">
        <x:v>https://poke.idleworld.online/pokepedia/pokemon/duskull</x:v>
      </x:c>
    </x:row>
    <x:row r="1722" ht="22" customHeight="1">
      <x:c r="A1722" s="1" t="n">
        <x:v>356</x:v>
      </x:c>
      <x:c r="B1722" s="1" t="str">
        <x:v>Dusclops</x:v>
      </x:c>
      <x:c r="C1722" s="1" t="str">
        <x:v>Ghost Essence</x:v>
      </x:c>
      <x:c r="D1722" s="1" t="n">
        <x:v>1</x:v>
      </x:c>
      <x:c r="E1722" s="1" t="n">
        <x:v>43</x:v>
      </x:c>
      <x:c r="F1722" s="13" t="n">
        <x:v>0.8</x:v>
      </x:c>
      <x:c r="G1722" s="9" t="str">
        <x:v>https://poke.idleworld.online/pokepedia/pokemon/dusclops</x:v>
      </x:c>
    </x:row>
    <x:row r="1723" ht="22" customHeight="1">
      <x:c r="A1723" s="1" t="n">
        <x:v>356</x:v>
      </x:c>
      <x:c r="B1723" s="1" t="str">
        <x:v>Dusclops</x:v>
      </x:c>
      <x:c r="C1723" s="1" t="str">
        <x:v>ghost skull</x:v>
      </x:c>
      <x:c r="D1723" s="1" t="n">
        <x:v>1</x:v>
      </x:c>
      <x:c r="E1723" s="1" t="n">
        <x:v>1</x:v>
      </x:c>
      <x:c r="F1723" s="13" t="n">
        <x:v>0.05</x:v>
      </x:c>
      <x:c r="G1723" s="9" t="str">
        <x:v>https://poke.idleworld.online/pokepedia/pokemon/dusclops</x:v>
      </x:c>
    </x:row>
    <x:row r="1724" ht="22" customHeight="1">
      <x:c r="A1724" s="1" t="n">
        <x:v>356</x:v>
      </x:c>
      <x:c r="B1724" s="1" t="str">
        <x:v>Dusclops</x:v>
      </x:c>
      <x:c r="C1724" s="1" t="str">
        <x:v>Darkness Stone</x:v>
      </x:c>
      <x:c r="D1724" s="1" t="n">
        <x:v>1</x:v>
      </x:c>
      <x:c r="E1724" s="1" t="n">
        <x:v>1</x:v>
      </x:c>
      <x:c r="F1724" s="13" t="n">
        <x:v>0.01</x:v>
      </x:c>
      <x:c r="G1724" s="9" t="str">
        <x:v>https://poke.idleworld.online/pokepedia/pokemon/dusclops</x:v>
      </x:c>
    </x:row>
    <x:row r="1725" ht="22" customHeight="1">
      <x:c r="A1725" s="1" t="n">
        <x:v>356</x:v>
      </x:c>
      <x:c r="B1725" s="1" t="str">
        <x:v>Dusclops</x:v>
      </x:c>
      <x:c r="C1725" s="1" t="str">
        <x:v>creepy eye</x:v>
      </x:c>
      <x:c r="D1725" s="1" t="n">
        <x:v>1</x:v>
      </x:c>
      <x:c r="E1725" s="1" t="n">
        <x:v>1</x:v>
      </x:c>
      <x:c r="F1725" s="13" t="n">
        <x:v>0.01</x:v>
      </x:c>
      <x:c r="G1725" s="9" t="str">
        <x:v>https://poke.idleworld.online/pokepedia/pokemon/dusclops</x:v>
      </x:c>
    </x:row>
    <x:row r="1726" ht="22" customHeight="1">
      <x:c r="A1726" s="1" t="n">
        <x:v>357</x:v>
      </x:c>
      <x:c r="B1726" s="1" t="str">
        <x:v>Tropius</x:v>
      </x:c>
      <x:c r="C1726" s="1" t="str">
        <x:v>palm leaves</x:v>
      </x:c>
      <x:c r="D1726" s="1" t="n">
        <x:v>1</x:v>
      </x:c>
      <x:c r="E1726" s="1" t="n">
        <x:v>1</x:v>
      </x:c>
      <x:c r="F1726" s="13" t="n">
        <x:v>0.0425</x:v>
      </x:c>
      <x:c r="G1726" s="9" t="str">
        <x:v>https://poke.idleworld.online/pokepedia/pokemon/tropius</x:v>
      </x:c>
    </x:row>
    <x:row r="1727" ht="22" customHeight="1">
      <x:c r="A1727" s="1" t="n">
        <x:v>357</x:v>
      </x:c>
      <x:c r="B1727" s="1" t="str">
        <x:v>Tropius</x:v>
      </x:c>
      <x:c r="C1727" s="1" t="str">
        <x:v>Straw</x:v>
      </x:c>
      <x:c r="D1727" s="1" t="n">
        <x:v>1</x:v>
      </x:c>
      <x:c r="E1727" s="1" t="n">
        <x:v>21</x:v>
      </x:c>
      <x:c r="F1727" s="13" t="n">
        <x:v>0.8</x:v>
      </x:c>
      <x:c r="G1727" s="9" t="str">
        <x:v>https://poke.idleworld.online/pokepedia/pokemon/tropius</x:v>
      </x:c>
    </x:row>
    <x:row r="1728" ht="22" customHeight="1">
      <x:c r="A1728" s="1" t="n">
        <x:v>357</x:v>
      </x:c>
      <x:c r="B1728" s="1" t="str">
        <x:v>Tropius</x:v>
      </x:c>
      <x:c r="C1728" s="1" t="str">
        <x:v>Seed</x:v>
      </x:c>
      <x:c r="D1728" s="1" t="n">
        <x:v>1</x:v>
      </x:c>
      <x:c r="E1728" s="1" t="n">
        <x:v>21</x:v>
      </x:c>
      <x:c r="F1728" s="13" t="n">
        <x:v>0.8</x:v>
      </x:c>
      <x:c r="G1728" s="9" t="str">
        <x:v>https://poke.idleworld.online/pokepedia/pokemon/tropius</x:v>
      </x:c>
    </x:row>
    <x:row r="1729" ht="22" customHeight="1">
      <x:c r="A1729" s="1" t="n">
        <x:v>357</x:v>
      </x:c>
      <x:c r="B1729" s="1" t="str">
        <x:v>Tropius</x:v>
      </x:c>
      <x:c r="C1729" s="1" t="str">
        <x:v>Feather</x:v>
      </x:c>
      <x:c r="D1729" s="1" t="n">
        <x:v>1</x:v>
      </x:c>
      <x:c r="E1729" s="1" t="n">
        <x:v>1</x:v>
      </x:c>
      <x:c r="F1729" s="13" t="n">
        <x:v>0.13</x:v>
      </x:c>
      <x:c r="G1729" s="9" t="str">
        <x:v>https://poke.idleworld.online/pokepedia/pokemon/tropius</x:v>
      </x:c>
    </x:row>
    <x:row r="1730" ht="22" customHeight="1">
      <x:c r="A1730" s="1" t="n">
        <x:v>357</x:v>
      </x:c>
      <x:c r="B1730" s="1" t="str">
        <x:v>Tropius</x:v>
      </x:c>
      <x:c r="C1730" s="1" t="str">
        <x:v>Bird Beak</x:v>
      </x:c>
      <x:c r="D1730" s="1" t="n">
        <x:v>1</x:v>
      </x:c>
      <x:c r="E1730" s="1" t="n">
        <x:v>1</x:v>
      </x:c>
      <x:c r="F1730" s="13" t="n">
        <x:v>0.255</x:v>
      </x:c>
      <x:c r="G1730" s="9" t="str">
        <x:v>https://poke.idleworld.online/pokepedia/pokemon/tropius</x:v>
      </x:c>
    </x:row>
    <x:row r="1731" ht="22" customHeight="1">
      <x:c r="A1731" s="1" t="n">
        <x:v>357</x:v>
      </x:c>
      <x:c r="B1731" s="1" t="str">
        <x:v>Tropius</x:v>
      </x:c>
      <x:c r="C1731" s="1" t="str">
        <x:v>Feather Stone</x:v>
      </x:c>
      <x:c r="D1731" s="1" t="n">
        <x:v>1</x:v>
      </x:c>
      <x:c r="E1731" s="1" t="n">
        <x:v>1</x:v>
      </x:c>
      <x:c r="F1731" s="13" t="n">
        <x:v>0.01</x:v>
      </x:c>
      <x:c r="G1731" s="9" t="str">
        <x:v>https://poke.idleworld.online/pokepedia/pokemon/tropius</x:v>
      </x:c>
    </x:row>
    <x:row r="1732" ht="22" customHeight="1">
      <x:c r="A1732" s="1" t="n">
        <x:v>357</x:v>
      </x:c>
      <x:c r="B1732" s="1" t="str">
        <x:v>Tropius</x:v>
      </x:c>
      <x:c r="C1732" s="1" t="str">
        <x:v>Leaf Stone</x:v>
      </x:c>
      <x:c r="D1732" s="1" t="n">
        <x:v>1</x:v>
      </x:c>
      <x:c r="E1732" s="1" t="n">
        <x:v>1</x:v>
      </x:c>
      <x:c r="F1732" s="13" t="n">
        <x:v>0.01</x:v>
      </x:c>
      <x:c r="G1732" s="9" t="str">
        <x:v>https://poke.idleworld.online/pokepedia/pokemon/tropius</x:v>
      </x:c>
    </x:row>
    <x:row r="1733" ht="22" customHeight="1">
      <x:c r="A1733" s="1" t="n">
        <x:v>357</x:v>
      </x:c>
      <x:c r="B1733" s="1" t="str">
        <x:v>Tropius</x:v>
      </x:c>
      <x:c r="C1733" s="1" t="str">
        <x:v>Ancient Stone</x:v>
      </x:c>
      <x:c r="D1733" s="1" t="n">
        <x:v>1</x:v>
      </x:c>
      <x:c r="E1733" s="1" t="n">
        <x:v>1</x:v>
      </x:c>
      <x:c r="F1733" s="13" t="n">
        <x:v>0.01</x:v>
      </x:c>
      <x:c r="G1733" s="9" t="str">
        <x:v>https://poke.idleworld.online/pokepedia/pokemon/tropius</x:v>
      </x:c>
    </x:row>
    <x:row r="1734" ht="22" customHeight="1">
      <x:c r="A1734" s="1" t="n">
        <x:v>359</x:v>
      </x:c>
      <x:c r="B1734" s="1" t="str">
        <x:v>Absol</x:v>
      </x:c>
      <x:c r="C1734" s="1" t="str">
        <x:v>dark moon</x:v>
      </x:c>
      <x:c r="D1734" s="1" t="n">
        <x:v>1</x:v>
      </x:c>
      <x:c r="E1734" s="1" t="n">
        <x:v>1</x:v>
      </x:c>
      <x:c r="F1734" s="13" t="n">
        <x:v>0.01</x:v>
      </x:c>
      <x:c r="G1734" s="9" t="str">
        <x:v>https://poke.idleworld.online/pokepedia/pokemon/absol</x:v>
      </x:c>
    </x:row>
    <x:row r="1735" ht="22" customHeight="1">
      <x:c r="A1735" s="1" t="n">
        <x:v>359</x:v>
      </x:c>
      <x:c r="B1735" s="1" t="str">
        <x:v>Absol</x:v>
      </x:c>
      <x:c r="C1735" s="1" t="str">
        <x:v>Dark Gem</x:v>
      </x:c>
      <x:c r="D1735" s="1" t="n">
        <x:v>1</x:v>
      </x:c>
      <x:c r="E1735" s="1" t="n">
        <x:v>43</x:v>
      </x:c>
      <x:c r="F1735" s="13" t="n">
        <x:v>1</x:v>
      </x:c>
      <x:c r="G1735" s="9" t="str">
        <x:v>https://poke.idleworld.online/pokepedia/pokemon/absol</x:v>
      </x:c>
    </x:row>
    <x:row r="1736" ht="22" customHeight="1">
      <x:c r="A1736" s="1" t="n">
        <x:v>359</x:v>
      </x:c>
      <x:c r="B1736" s="1" t="str">
        <x:v>Absol</x:v>
      </x:c>
      <x:c r="C1736" s="1" t="str">
        <x:v>Darkness Stone</x:v>
      </x:c>
      <x:c r="D1736" s="1" t="n">
        <x:v>1</x:v>
      </x:c>
      <x:c r="E1736" s="1" t="n">
        <x:v>1</x:v>
      </x:c>
      <x:c r="F1736" s="13" t="n">
        <x:v>0.01</x:v>
      </x:c>
      <x:c r="G1736" s="9" t="str">
        <x:v>https://poke.idleworld.online/pokepedia/pokemon/absol</x:v>
      </x:c>
    </x:row>
    <x:row r="1737" ht="22" customHeight="1">
      <x:c r="A1737" s="1" t="n">
        <x:v>359</x:v>
      </x:c>
      <x:c r="B1737" s="1" t="str">
        <x:v>Absol</x:v>
      </x:c>
      <x:c r="C1737" s="1" t="str">
        <x:v>Ancient Stone</x:v>
      </x:c>
      <x:c r="D1737" s="1" t="n">
        <x:v>1</x:v>
      </x:c>
      <x:c r="E1737" s="1" t="n">
        <x:v>1</x:v>
      </x:c>
      <x:c r="F1737" s="13" t="n">
        <x:v>0.01</x:v>
      </x:c>
      <x:c r="G1737" s="9" t="str">
        <x:v>https://poke.idleworld.online/pokepedia/pokemon/absol</x:v>
      </x:c>
    </x:row>
    <x:row r="1738" ht="22" customHeight="1">
      <x:c r="A1738" s="1" t="n">
        <x:v>361</x:v>
      </x:c>
      <x:c r="B1738" s="1" t="str">
        <x:v>Snorunt</x:v>
      </x:c>
      <x:c r="C1738" s="1" t="str">
        <x:v>ice blocks</x:v>
      </x:c>
      <x:c r="D1738" s="1" t="n">
        <x:v>1</x:v>
      </x:c>
      <x:c r="E1738" s="1" t="n">
        <x:v>1</x:v>
      </x:c>
      <x:c r="F1738" s="13" t="n">
        <x:v>0.01</x:v>
      </x:c>
      <x:c r="G1738" s="9" t="str">
        <x:v>https://poke.idleworld.online/pokepedia/pokemon/snorunt</x:v>
      </x:c>
    </x:row>
    <x:row r="1739" ht="22" customHeight="1">
      <x:c r="A1739" s="1" t="n">
        <x:v>361</x:v>
      </x:c>
      <x:c r="B1739" s="1" t="str">
        <x:v>Snorunt</x:v>
      </x:c>
      <x:c r="C1739" s="1" t="str">
        <x:v>Snowball</x:v>
      </x:c>
      <x:c r="D1739" s="1" t="n">
        <x:v>1</x:v>
      </x:c>
      <x:c r="E1739" s="1" t="n">
        <x:v>10</x:v>
      </x:c>
      <x:c r="F1739" s="13" t="n">
        <x:v>0.8</x:v>
      </x:c>
      <x:c r="G1739" s="9" t="str">
        <x:v>https://poke.idleworld.online/pokepedia/pokemon/snorunt</x:v>
      </x:c>
    </x:row>
    <x:row r="1740" ht="22" customHeight="1">
      <x:c r="A1740" s="1" t="n">
        <x:v>361</x:v>
      </x:c>
      <x:c r="B1740" s="1" t="str">
        <x:v>Snorunt</x:v>
      </x:c>
      <x:c r="C1740" s="1" t="str">
        <x:v>Ice Orb</x:v>
      </x:c>
      <x:c r="D1740" s="1" t="n">
        <x:v>1</x:v>
      </x:c>
      <x:c r="E1740" s="1" t="n">
        <x:v>1</x:v>
      </x:c>
      <x:c r="F1740" s="13" t="n">
        <x:v>0.1</x:v>
      </x:c>
      <x:c r="G1740" s="9" t="str">
        <x:v>https://poke.idleworld.online/pokepedia/pokemon/snorunt</x:v>
      </x:c>
    </x:row>
    <x:row r="1741" ht="22" customHeight="1">
      <x:c r="A1741" s="1" t="n">
        <x:v>362</x:v>
      </x:c>
      <x:c r="B1741" s="1" t="str">
        <x:v>Glalie</x:v>
      </x:c>
      <x:c r="C1741" s="1" t="str">
        <x:v>ice blocks</x:v>
      </x:c>
      <x:c r="D1741" s="1" t="n">
        <x:v>1</x:v>
      </x:c>
      <x:c r="E1741" s="1" t="n">
        <x:v>1</x:v>
      </x:c>
      <x:c r="F1741" s="13" t="n">
        <x:v>0.0425</x:v>
      </x:c>
      <x:c r="G1741" s="9" t="str">
        <x:v>https://poke.idleworld.online/pokepedia/pokemon/glalie</x:v>
      </x:c>
    </x:row>
    <x:row r="1742" ht="22" customHeight="1">
      <x:c r="A1742" s="1" t="n">
        <x:v>362</x:v>
      </x:c>
      <x:c r="B1742" s="1" t="str">
        <x:v>Glalie</x:v>
      </x:c>
      <x:c r="C1742" s="1" t="str">
        <x:v>Snowball</x:v>
      </x:c>
      <x:c r="D1742" s="1" t="n">
        <x:v>1</x:v>
      </x:c>
      <x:c r="E1742" s="1" t="n">
        <x:v>43</x:v>
      </x:c>
      <x:c r="F1742" s="13" t="n">
        <x:v>0.8</x:v>
      </x:c>
      <x:c r="G1742" s="9" t="str">
        <x:v>https://poke.idleworld.online/pokepedia/pokemon/glalie</x:v>
      </x:c>
    </x:row>
    <x:row r="1743" ht="22" customHeight="1">
      <x:c r="A1743" s="1" t="n">
        <x:v>362</x:v>
      </x:c>
      <x:c r="B1743" s="1" t="str">
        <x:v>Glalie</x:v>
      </x:c>
      <x:c r="C1743" s="1" t="str">
        <x:v>Ice Orb</x:v>
      </x:c>
      <x:c r="D1743" s="1" t="n">
        <x:v>1</x:v>
      </x:c>
      <x:c r="E1743" s="1" t="n">
        <x:v>1</x:v>
      </x:c>
      <x:c r="F1743" s="13" t="n">
        <x:v>0.25</x:v>
      </x:c>
      <x:c r="G1743" s="9" t="str">
        <x:v>https://poke.idleworld.online/pokepedia/pokemon/glalie</x:v>
      </x:c>
    </x:row>
    <x:row r="1744" ht="22" customHeight="1">
      <x:c r="A1744" s="1" t="n">
        <x:v>362</x:v>
      </x:c>
      <x:c r="B1744" s="1" t="str">
        <x:v>Glalie</x:v>
      </x:c>
      <x:c r="C1744" s="1" t="str">
        <x:v>Ice Stone</x:v>
      </x:c>
      <x:c r="D1744" s="1" t="n">
        <x:v>1</x:v>
      </x:c>
      <x:c r="E1744" s="1" t="n">
        <x:v>1</x:v>
      </x:c>
      <x:c r="F1744" s="13" t="n">
        <x:v>0.01</x:v>
      </x:c>
      <x:c r="G1744" s="9" t="str">
        <x:v>https://poke.idleworld.online/pokepedia/pokemon/glalie</x:v>
      </x:c>
    </x:row>
    <x:row r="1745" ht="22" customHeight="1">
      <x:c r="A1745" s="1" t="n">
        <x:v>363</x:v>
      </x:c>
      <x:c r="B1745" s="1" t="str">
        <x:v>Spheal</x:v>
      </x:c>
      <x:c r="C1745" s="1" t="str">
        <x:v>Snowball</x:v>
      </x:c>
      <x:c r="D1745" s="1" t="n">
        <x:v>1</x:v>
      </x:c>
      <x:c r="E1745" s="1" t="n">
        <x:v>10</x:v>
      </x:c>
      <x:c r="F1745" s="13" t="n">
        <x:v>0.8</x:v>
      </x:c>
      <x:c r="G1745" s="9" t="str">
        <x:v>https://poke.idleworld.online/pokepedia/pokemon/spheal</x:v>
      </x:c>
    </x:row>
    <x:row r="1746" ht="22" customHeight="1">
      <x:c r="A1746" s="1" t="n">
        <x:v>363</x:v>
      </x:c>
      <x:c r="B1746" s="1" t="str">
        <x:v>Spheal</x:v>
      </x:c>
      <x:c r="C1746" s="1" t="str">
        <x:v>Water Gem</x:v>
      </x:c>
      <x:c r="D1746" s="1" t="n">
        <x:v>1</x:v>
      </x:c>
      <x:c r="E1746" s="1" t="n">
        <x:v>10</x:v>
      </x:c>
      <x:c r="F1746" s="13" t="n">
        <x:v>0.8</x:v>
      </x:c>
      <x:c r="G1746" s="9" t="str">
        <x:v>https://poke.idleworld.online/pokepedia/pokemon/spheal</x:v>
      </x:c>
    </x:row>
    <x:row r="1747" ht="22" customHeight="1">
      <x:c r="A1747" s="1" t="n">
        <x:v>363</x:v>
      </x:c>
      <x:c r="B1747" s="1" t="str">
        <x:v>Spheal</x:v>
      </x:c>
      <x:c r="C1747" s="1" t="str">
        <x:v>Ice Orb</x:v>
      </x:c>
      <x:c r="D1747" s="1" t="n">
        <x:v>1</x:v>
      </x:c>
      <x:c r="E1747" s="1" t="n">
        <x:v>1</x:v>
      </x:c>
      <x:c r="F1747" s="13" t="n">
        <x:v>0.16</x:v>
      </x:c>
      <x:c r="G1747" s="9" t="str">
        <x:v>https://poke.idleworld.online/pokepedia/pokemon/spheal</x:v>
      </x:c>
    </x:row>
    <x:row r="1748" ht="22" customHeight="1">
      <x:c r="A1748" s="1" t="n">
        <x:v>363</x:v>
      </x:c>
      <x:c r="B1748" s="1" t="str">
        <x:v>Spheal</x:v>
      </x:c>
      <x:c r="C1748" s="1" t="str">
        <x:v>Nail</x:v>
      </x:c>
      <x:c r="D1748" s="1" t="n">
        <x:v>1</x:v>
      </x:c>
      <x:c r="E1748" s="1" t="n">
        <x:v>1</x:v>
      </x:c>
      <x:c r="F1748" s="13" t="n">
        <x:v>0.16</x:v>
      </x:c>
      <x:c r="G1748" s="9" t="str">
        <x:v>https://poke.idleworld.online/pokepedia/pokemon/spheal</x:v>
      </x:c>
    </x:row>
    <x:row r="1749" ht="22" customHeight="1">
      <x:c r="A1749" s="1" t="n">
        <x:v>363</x:v>
      </x:c>
      <x:c r="B1749" s="1" t="str">
        <x:v>Spheal</x:v>
      </x:c>
      <x:c r="C1749" s="1" t="str">
        <x:v>seal mustache</x:v>
      </x:c>
      <x:c r="D1749" s="1" t="n">
        <x:v>1</x:v>
      </x:c>
      <x:c r="E1749" s="1" t="n">
        <x:v>1</x:v>
      </x:c>
      <x:c r="F1749" s="13" t="n">
        <x:v>0.011</x:v>
      </x:c>
      <x:c r="G1749" s="9" t="str">
        <x:v>https://poke.idleworld.online/pokepedia/pokemon/spheal</x:v>
      </x:c>
    </x:row>
    <x:row r="1750" ht="22" customHeight="1">
      <x:c r="A1750" s="1" t="n">
        <x:v>364</x:v>
      </x:c>
      <x:c r="B1750" s="1" t="str">
        <x:v>Sealeo</x:v>
      </x:c>
      <x:c r="C1750" s="1" t="str">
        <x:v>seal mustache</x:v>
      </x:c>
      <x:c r="D1750" s="1" t="n">
        <x:v>1</x:v>
      </x:c>
      <x:c r="E1750" s="1" t="n">
        <x:v>1</x:v>
      </x:c>
      <x:c r="F1750" s="13" t="n">
        <x:v>0.022156199999999997</x:v>
      </x:c>
      <x:c r="G1750" s="9" t="str">
        <x:v>https://poke.idleworld.online/pokepedia/pokemon/sealeo</x:v>
      </x:c>
    </x:row>
    <x:row r="1751" ht="22" customHeight="1">
      <x:c r="A1751" s="1" t="n">
        <x:v>364</x:v>
      </x:c>
      <x:c r="B1751" s="1" t="str">
        <x:v>Sealeo</x:v>
      </x:c>
      <x:c r="C1751" s="1" t="str">
        <x:v>Snowball</x:v>
      </x:c>
      <x:c r="D1751" s="1" t="n">
        <x:v>1</x:v>
      </x:c>
      <x:c r="E1751" s="1" t="n">
        <x:v>14</x:v>
      </x:c>
      <x:c r="F1751" s="13" t="n">
        <x:v>0.8862483</x:v>
      </x:c>
      <x:c r="G1751" s="9" t="str">
        <x:v>https://poke.idleworld.online/pokepedia/pokemon/sealeo</x:v>
      </x:c>
    </x:row>
    <x:row r="1752" ht="22" customHeight="1">
      <x:c r="A1752" s="1" t="n">
        <x:v>364</x:v>
      </x:c>
      <x:c r="B1752" s="1" t="str">
        <x:v>Sealeo</x:v>
      </x:c>
      <x:c r="C1752" s="1" t="str">
        <x:v>Water Gem</x:v>
      </x:c>
      <x:c r="D1752" s="1" t="n">
        <x:v>1</x:v>
      </x:c>
      <x:c r="E1752" s="1" t="n">
        <x:v>14</x:v>
      </x:c>
      <x:c r="F1752" s="13" t="n">
        <x:v>0.8862482</x:v>
      </x:c>
      <x:c r="G1752" s="9" t="str">
        <x:v>https://poke.idleworld.online/pokepedia/pokemon/sealeo</x:v>
      </x:c>
    </x:row>
    <x:row r="1753" ht="22" customHeight="1">
      <x:c r="A1753" s="1" t="n">
        <x:v>364</x:v>
      </x:c>
      <x:c r="B1753" s="1" t="str">
        <x:v>Sealeo</x:v>
      </x:c>
      <x:c r="C1753" s="1" t="str">
        <x:v>Ice Orb</x:v>
      </x:c>
      <x:c r="D1753" s="1" t="n">
        <x:v>1</x:v>
      </x:c>
      <x:c r="E1753" s="1" t="n">
        <x:v>1</x:v>
      </x:c>
      <x:c r="F1753" s="13" t="n">
        <x:v>0.013293699999999999</x:v>
      </x:c>
      <x:c r="G1753" s="9" t="str">
        <x:v>https://poke.idleworld.online/pokepedia/pokemon/sealeo</x:v>
      </x:c>
    </x:row>
    <x:row r="1754" ht="22" customHeight="1">
      <x:c r="A1754" s="1" t="n">
        <x:v>364</x:v>
      </x:c>
      <x:c r="B1754" s="1" t="str">
        <x:v>Sealeo</x:v>
      </x:c>
      <x:c r="C1754" s="1" t="str">
        <x:v>Ice Stone</x:v>
      </x:c>
      <x:c r="D1754" s="1" t="n">
        <x:v>1</x:v>
      </x:c>
      <x:c r="E1754" s="1" t="n">
        <x:v>1</x:v>
      </x:c>
      <x:c r="F1754" s="13" t="n">
        <x:v>0.01</x:v>
      </x:c>
      <x:c r="G1754" s="9" t="str">
        <x:v>https://poke.idleworld.online/pokepedia/pokemon/sealeo</x:v>
      </x:c>
    </x:row>
    <x:row r="1755" ht="22" customHeight="1">
      <x:c r="A1755" s="1" t="n">
        <x:v>364</x:v>
      </x:c>
      <x:c r="B1755" s="1" t="str">
        <x:v>Sealeo</x:v>
      </x:c>
      <x:c r="C1755" s="1" t="str">
        <x:v>Water Stone</x:v>
      </x:c>
      <x:c r="D1755" s="1" t="n">
        <x:v>1</x:v>
      </x:c>
      <x:c r="E1755" s="1" t="n">
        <x:v>1</x:v>
      </x:c>
      <x:c r="F1755" s="13" t="n">
        <x:v>0.01</x:v>
      </x:c>
      <x:c r="G1755" s="9" t="str">
        <x:v>https://poke.idleworld.online/pokepedia/pokemon/sealeo</x:v>
      </x:c>
    </x:row>
    <x:row r="1756" ht="22" customHeight="1">
      <x:c r="A1756" s="1" t="n">
        <x:v>364</x:v>
      </x:c>
      <x:c r="B1756" s="1" t="str">
        <x:v>Sealeo</x:v>
      </x:c>
      <x:c r="C1756" s="1" t="str">
        <x:v>Nail</x:v>
      </x:c>
      <x:c r="D1756" s="1" t="n">
        <x:v>1</x:v>
      </x:c>
      <x:c r="E1756" s="1" t="n">
        <x:v>1</x:v>
      </x:c>
      <x:c r="F1756" s="13" t="n">
        <x:v>0.3877336</x:v>
      </x:c>
      <x:c r="G1756" s="9" t="str">
        <x:v>https://poke.idleworld.online/pokepedia/pokemon/sealeo</x:v>
      </x:c>
    </x:row>
    <x:row r="1757" ht="22" customHeight="1">
      <x:c r="A1757" s="1" t="n">
        <x:v>365</x:v>
      </x:c>
      <x:c r="B1757" s="1" t="str">
        <x:v>Walrein</x:v>
      </x:c>
      <x:c r="C1757" s="1" t="str">
        <x:v>seal mustache</x:v>
      </x:c>
      <x:c r="D1757" s="1" t="n">
        <x:v>1</x:v>
      </x:c>
      <x:c r="E1757" s="1" t="n">
        <x:v>1</x:v>
      </x:c>
      <x:c r="F1757" s="13" t="n">
        <x:v>0.061611099999999995</x:v>
      </x:c>
      <x:c r="G1757" s="9" t="str">
        <x:v>https://poke.idleworld.online/pokepedia/pokemon/walrein</x:v>
      </x:c>
    </x:row>
    <x:row r="1758" ht="22" customHeight="1">
      <x:c r="A1758" s="1" t="n">
        <x:v>365</x:v>
      </x:c>
      <x:c r="B1758" s="1" t="str">
        <x:v>Walrein</x:v>
      </x:c>
      <x:c r="C1758" s="1" t="str">
        <x:v>Snowball</x:v>
      </x:c>
      <x:c r="D1758" s="1" t="n">
        <x:v>1</x:v>
      </x:c>
      <x:c r="E1758" s="1" t="n">
        <x:v>22</x:v>
      </x:c>
      <x:c r="F1758" s="13" t="n">
        <x:v>0.925393</x:v>
      </x:c>
      <x:c r="G1758" s="9" t="str">
        <x:v>https://poke.idleworld.online/pokepedia/pokemon/walrein</x:v>
      </x:c>
    </x:row>
    <x:row r="1759" ht="22" customHeight="1">
      <x:c r="A1759" s="1" t="n">
        <x:v>365</x:v>
      </x:c>
      <x:c r="B1759" s="1" t="str">
        <x:v>Walrein</x:v>
      </x:c>
      <x:c r="C1759" s="1" t="str">
        <x:v>Water Gem</x:v>
      </x:c>
      <x:c r="D1759" s="1" t="n">
        <x:v>1</x:v>
      </x:c>
      <x:c r="E1759" s="1" t="n">
        <x:v>21</x:v>
      </x:c>
      <x:c r="F1759" s="13" t="n">
        <x:v>0.95</x:v>
      </x:c>
      <x:c r="G1759" s="9" t="str">
        <x:v>https://poke.idleworld.online/pokepedia/pokemon/walrein</x:v>
      </x:c>
    </x:row>
    <x:row r="1760" ht="22" customHeight="1">
      <x:c r="A1760" s="1" t="n">
        <x:v>365</x:v>
      </x:c>
      <x:c r="B1760" s="1" t="str">
        <x:v>Walrein</x:v>
      </x:c>
      <x:c r="C1760" s="1" t="str">
        <x:v>Ice Orb</x:v>
      </x:c>
      <x:c r="D1760" s="1" t="n">
        <x:v>1</x:v>
      </x:c>
      <x:c r="E1760" s="1" t="n">
        <x:v>1</x:v>
      </x:c>
      <x:c r="F1760" s="13" t="n">
        <x:v>0.04349020000000001</x:v>
      </x:c>
      <x:c r="G1760" s="9" t="str">
        <x:v>https://poke.idleworld.online/pokepedia/pokemon/walrein</x:v>
      </x:c>
    </x:row>
    <x:row r="1761" ht="22" customHeight="1">
      <x:c r="A1761" s="1" t="n">
        <x:v>365</x:v>
      </x:c>
      <x:c r="B1761" s="1" t="str">
        <x:v>Walrein</x:v>
      </x:c>
      <x:c r="C1761" s="1" t="str">
        <x:v>Ice Stone</x:v>
      </x:c>
      <x:c r="D1761" s="1" t="n">
        <x:v>1</x:v>
      </x:c>
      <x:c r="E1761" s="1" t="n">
        <x:v>1</x:v>
      </x:c>
      <x:c r="F1761" s="13" t="n">
        <x:v>0.01</x:v>
      </x:c>
      <x:c r="G1761" s="9" t="str">
        <x:v>https://poke.idleworld.online/pokepedia/pokemon/walrein</x:v>
      </x:c>
    </x:row>
    <x:row r="1762" ht="22" customHeight="1">
      <x:c r="A1762" s="1" t="n">
        <x:v>365</x:v>
      </x:c>
      <x:c r="B1762" s="1" t="str">
        <x:v>Walrein</x:v>
      </x:c>
      <x:c r="C1762" s="1" t="str">
        <x:v>Crystal Stone</x:v>
      </x:c>
      <x:c r="D1762" s="1" t="n">
        <x:v>1</x:v>
      </x:c>
      <x:c r="E1762" s="1" t="n">
        <x:v>1</x:v>
      </x:c>
      <x:c r="F1762" s="13" t="n">
        <x:v>0.01</x:v>
      </x:c>
      <x:c r="G1762" s="9" t="str">
        <x:v>https://poke.idleworld.online/pokepedia/pokemon/walrein</x:v>
      </x:c>
    </x:row>
    <x:row r="1763" ht="22" customHeight="1">
      <x:c r="A1763" s="1" t="n">
        <x:v>365</x:v>
      </x:c>
      <x:c r="B1763" s="1" t="str">
        <x:v>Walrein</x:v>
      </x:c>
      <x:c r="C1763" s="1" t="str">
        <x:v>Nail</x:v>
      </x:c>
      <x:c r="D1763" s="1" t="n">
        <x:v>1</x:v>
      </x:c>
      <x:c r="E1763" s="1" t="n">
        <x:v>1</x:v>
      </x:c>
      <x:c r="F1763" s="13" t="n">
        <x:v>0.724836</x:v>
      </x:c>
      <x:c r="G1763" s="9" t="str">
        <x:v>https://poke.idleworld.online/pokepedia/pokemon/walrein</x:v>
      </x:c>
    </x:row>
    <x:row r="1764" ht="22" customHeight="1">
      <x:c r="A1764" s="1" t="n">
        <x:v>371</x:v>
      </x:c>
      <x:c r="B1764" s="1" t="str">
        <x:v>Bagon</x:v>
      </x:c>
      <x:c r="C1764" s="1" t="str">
        <x:v>Mini Wings</x:v>
      </x:c>
      <x:c r="D1764" s="1" t="n">
        <x:v>1</x:v>
      </x:c>
      <x:c r="E1764" s="1" t="n">
        <x:v>1</x:v>
      </x:c>
      <x:c r="F1764" s="13" t="n">
        <x:v>0.01</x:v>
      </x:c>
      <x:c r="G1764" s="9" t="str">
        <x:v>https://poke.idleworld.online/pokepedia/pokemon/bagon</x:v>
      </x:c>
    </x:row>
    <x:row r="1765" ht="22" customHeight="1">
      <x:c r="A1765" s="1" t="n">
        <x:v>371</x:v>
      </x:c>
      <x:c r="B1765" s="1" t="str">
        <x:v>Bagon</x:v>
      </x:c>
      <x:c r="C1765" s="1" t="str">
        <x:v>Dragon Scale</x:v>
      </x:c>
      <x:c r="D1765" s="1" t="n">
        <x:v>1</x:v>
      </x:c>
      <x:c r="E1765" s="1" t="n">
        <x:v>10</x:v>
      </x:c>
      <x:c r="F1765" s="13" t="n">
        <x:v>0.8</x:v>
      </x:c>
      <x:c r="G1765" s="9" t="str">
        <x:v>https://poke.idleworld.online/pokepedia/pokemon/bagon</x:v>
      </x:c>
    </x:row>
    <x:row r="1766" ht="22" customHeight="1">
      <x:c r="A1766" s="1" t="n">
        <x:v>372</x:v>
      </x:c>
      <x:c r="B1766" s="1" t="str">
        <x:v>Shelgon</x:v>
      </x:c>
      <x:c r="C1766" s="1" t="str">
        <x:v>Mini Wings</x:v>
      </x:c>
      <x:c r="D1766" s="1" t="n">
        <x:v>1</x:v>
      </x:c>
      <x:c r="E1766" s="1" t="n">
        <x:v>1</x:v>
      </x:c>
      <x:c r="F1766" s="13" t="n">
        <x:v>0.01</x:v>
      </x:c>
      <x:c r="G1766" s="9" t="str">
        <x:v>https://poke.idleworld.online/pokepedia/pokemon/shelgon</x:v>
      </x:c>
    </x:row>
    <x:row r="1767" ht="22" customHeight="1">
      <x:c r="A1767" s="1" t="n">
        <x:v>372</x:v>
      </x:c>
      <x:c r="B1767" s="1" t="str">
        <x:v>Shelgon</x:v>
      </x:c>
      <x:c r="C1767" s="1" t="str">
        <x:v>Dragon Scale</x:v>
      </x:c>
      <x:c r="D1767" s="1" t="n">
        <x:v>1</x:v>
      </x:c>
      <x:c r="E1767" s="1" t="n">
        <x:v>20</x:v>
      </x:c>
      <x:c r="F1767" s="13" t="n">
        <x:v>0.8</x:v>
      </x:c>
      <x:c r="G1767" s="9" t="str">
        <x:v>https://poke.idleworld.online/pokepedia/pokemon/shelgon</x:v>
      </x:c>
    </x:row>
    <x:row r="1768" ht="22" customHeight="1">
      <x:c r="A1768" s="1" t="n">
        <x:v>372</x:v>
      </x:c>
      <x:c r="B1768" s="1" t="str">
        <x:v>Shelgon</x:v>
      </x:c>
      <x:c r="C1768" s="1" t="str">
        <x:v>Crystal Stone</x:v>
      </x:c>
      <x:c r="D1768" s="1" t="n">
        <x:v>1</x:v>
      </x:c>
      <x:c r="E1768" s="1" t="n">
        <x:v>1</x:v>
      </x:c>
      <x:c r="F1768" s="13" t="n">
        <x:v>0.01</x:v>
      </x:c>
      <x:c r="G1768" s="9" t="str">
        <x:v>https://poke.idleworld.online/pokepedia/pokemon/shelgon</x:v>
      </x:c>
    </x:row>
    <x:row r="1769" ht="22" customHeight="1">
      <x:c r="A1769" s="1" t="n">
        <x:v>373</x:v>
      </x:c>
      <x:c r="B1769" s="1" t="str">
        <x:v>Salamence</x:v>
      </x:c>
      <x:c r="C1769" s="1" t="str">
        <x:v>Dragon Scale</x:v>
      </x:c>
      <x:c r="D1769" s="1" t="n">
        <x:v>1</x:v>
      </x:c>
      <x:c r="E1769" s="1" t="n">
        <x:v>21</x:v>
      </x:c>
      <x:c r="F1769" s="13" t="n">
        <x:v>0.8</x:v>
      </x:c>
      <x:c r="G1769" s="9" t="str">
        <x:v>https://poke.idleworld.online/pokepedia/pokemon/salamence</x:v>
      </x:c>
    </x:row>
    <x:row r="1770" ht="22" customHeight="1">
      <x:c r="A1770" s="1" t="n">
        <x:v>373</x:v>
      </x:c>
      <x:c r="B1770" s="1" t="str">
        <x:v>Salamence</x:v>
      </x:c>
      <x:c r="C1770" s="1" t="str">
        <x:v>Mini Wings</x:v>
      </x:c>
      <x:c r="D1770" s="1" t="n">
        <x:v>1</x:v>
      </x:c>
      <x:c r="E1770" s="1" t="n">
        <x:v>1</x:v>
      </x:c>
      <x:c r="F1770" s="13" t="n">
        <x:v>0.0425</x:v>
      </x:c>
      <x:c r="G1770" s="9" t="str">
        <x:v>https://poke.idleworld.online/pokepedia/pokemon/salamence</x:v>
      </x:c>
    </x:row>
    <x:row r="1771" ht="22" customHeight="1">
      <x:c r="A1771" s="1" t="n">
        <x:v>373</x:v>
      </x:c>
      <x:c r="B1771" s="1" t="str">
        <x:v>Salamence</x:v>
      </x:c>
      <x:c r="C1771" s="1" t="str">
        <x:v>Crystal Stone</x:v>
      </x:c>
      <x:c r="D1771" s="1" t="n">
        <x:v>1</x:v>
      </x:c>
      <x:c r="E1771" s="1" t="n">
        <x:v>1</x:v>
      </x:c>
      <x:c r="F1771" s="13" t="n">
        <x:v>0.01</x:v>
      </x:c>
      <x:c r="G1771" s="9" t="str">
        <x:v>https://poke.idleworld.online/pokepedia/pokemon/salamence</x:v>
      </x:c>
    </x:row>
    <x:row r="1772" ht="22" customHeight="1">
      <x:c r="A1772" s="1" t="n">
        <x:v>373</x:v>
      </x:c>
      <x:c r="B1772" s="1" t="str">
        <x:v>Salamence</x:v>
      </x:c>
      <x:c r="C1772" s="1" t="str">
        <x:v>Dragon Tooth</x:v>
      </x:c>
      <x:c r="D1772" s="1" t="n">
        <x:v>1</x:v>
      </x:c>
      <x:c r="E1772" s="1" t="n">
        <x:v>1</x:v>
      </x:c>
      <x:c r="F1772" s="13" t="n">
        <x:v>1e-7</x:v>
      </x:c>
      <x:c r="G1772" s="9" t="str">
        <x:v>https://poke.idleworld.online/pokepedia/pokemon/salamence</x:v>
      </x:c>
    </x:row>
    <x:row r="1773" ht="22" customHeight="1">
      <x:c r="A1773" s="1" t="n">
        <x:v>373</x:v>
      </x:c>
      <x:c r="B1773" s="1" t="str">
        <x:v>Salamence</x:v>
      </x:c>
      <x:c r="C1773" s="1" t="str">
        <x:v>Bloody Wing</x:v>
      </x:c>
      <x:c r="D1773" s="1" t="n">
        <x:v>1</x:v>
      </x:c>
      <x:c r="E1773" s="1" t="n">
        <x:v>1</x:v>
      </x:c>
      <x:c r="F1773" s="13" t="n">
        <x:v>0.01</x:v>
      </x:c>
      <x:c r="G1773" s="9" t="str">
        <x:v>https://poke.idleworld.online/pokepedia/pokemon/salamence</x:v>
      </x:c>
    </x:row>
    <x:row r="1774" ht="22" customHeight="1">
      <x:c r="A1774" s="1" t="n">
        <x:v>374</x:v>
      </x:c>
      <x:c r="B1774" s="1" t="str">
        <x:v>Beldum</x:v>
      </x:c>
      <x:c r="C1774" s="1" t="str">
        <x:v>Tech Ball</x:v>
      </x:c>
      <x:c r="D1774" s="1" t="n">
        <x:v>1</x:v>
      </x:c>
      <x:c r="E1774" s="1" t="n">
        <x:v>1</x:v>
      </x:c>
      <x:c r="F1774" s="13" t="n">
        <x:v>0.01</x:v>
      </x:c>
      <x:c r="G1774" s="9" t="str">
        <x:v>https://poke.idleworld.online/pokepedia/pokemon/beldum</x:v>
      </x:c>
    </x:row>
    <x:row r="1775" ht="22" customHeight="1">
      <x:c r="A1775" s="1" t="n">
        <x:v>374</x:v>
      </x:c>
      <x:c r="B1775" s="1" t="str">
        <x:v>Beldum</x:v>
      </x:c>
      <x:c r="C1775" s="1" t="str">
        <x:v>Piece of Steel</x:v>
      </x:c>
      <x:c r="D1775" s="1" t="n">
        <x:v>1</x:v>
      </x:c>
      <x:c r="E1775" s="1" t="n">
        <x:v>10</x:v>
      </x:c>
      <x:c r="F1775" s="13" t="n">
        <x:v>0.8</x:v>
      </x:c>
      <x:c r="G1775" s="9" t="str">
        <x:v>https://poke.idleworld.online/pokepedia/pokemon/beldum</x:v>
      </x:c>
    </x:row>
    <x:row r="1776" ht="22" customHeight="1">
      <x:c r="A1776" s="1" t="n">
        <x:v>375</x:v>
      </x:c>
      <x:c r="B1776" s="1" t="str">
        <x:v>Metang</x:v>
      </x:c>
      <x:c r="C1776" s="1" t="str">
        <x:v>Tech Ball</x:v>
      </x:c>
      <x:c r="D1776" s="1" t="n">
        <x:v>1</x:v>
      </x:c>
      <x:c r="E1776" s="1" t="n">
        <x:v>1</x:v>
      </x:c>
      <x:c r="F1776" s="13" t="n">
        <x:v>0.01</x:v>
      </x:c>
      <x:c r="G1776" s="9" t="str">
        <x:v>https://poke.idleworld.online/pokepedia/pokemon/metang</x:v>
      </x:c>
    </x:row>
    <x:row r="1777" ht="22" customHeight="1">
      <x:c r="A1777" s="1" t="n">
        <x:v>375</x:v>
      </x:c>
      <x:c r="B1777" s="1" t="str">
        <x:v>Metang</x:v>
      </x:c>
      <x:c r="C1777" s="1" t="str">
        <x:v>Piece of Steel</x:v>
      </x:c>
      <x:c r="D1777" s="1" t="n">
        <x:v>1</x:v>
      </x:c>
      <x:c r="E1777" s="1" t="n">
        <x:v>20</x:v>
      </x:c>
      <x:c r="F1777" s="13" t="n">
        <x:v>0.8</x:v>
      </x:c>
      <x:c r="G1777" s="9" t="str">
        <x:v>https://poke.idleworld.online/pokepedia/pokemon/metang</x:v>
      </x:c>
    </x:row>
    <x:row r="1778" ht="22" customHeight="1">
      <x:c r="A1778" s="1" t="n">
        <x:v>375</x:v>
      </x:c>
      <x:c r="B1778" s="1" t="str">
        <x:v>Metang</x:v>
      </x:c>
      <x:c r="C1778" s="1" t="str">
        <x:v>Metal Stone</x:v>
      </x:c>
      <x:c r="D1778" s="1" t="n">
        <x:v>1</x:v>
      </x:c>
      <x:c r="E1778" s="1" t="n">
        <x:v>1</x:v>
      </x:c>
      <x:c r="F1778" s="13" t="n">
        <x:v>0.01</x:v>
      </x:c>
      <x:c r="G1778" s="9" t="str">
        <x:v>https://poke.idleworld.online/pokepedia/pokemon/metang</x:v>
      </x:c>
    </x:row>
    <x:row r="1779" ht="22" customHeight="1">
      <x:c r="A1779" s="1" t="n">
        <x:v>375</x:v>
      </x:c>
      <x:c r="B1779" s="1" t="str">
        <x:v>Metang</x:v>
      </x:c>
      <x:c r="C1779" s="1" t="str">
        <x:v>Enigma Stone</x:v>
      </x:c>
      <x:c r="D1779" s="1" t="n">
        <x:v>1</x:v>
      </x:c>
      <x:c r="E1779" s="1" t="n">
        <x:v>1</x:v>
      </x:c>
      <x:c r="F1779" s="13" t="n">
        <x:v>0.01</x:v>
      </x:c>
      <x:c r="G1779" s="9" t="str">
        <x:v>https://poke.idleworld.online/pokepedia/pokemon/metang</x:v>
      </x:c>
    </x:row>
    <x:row r="1780" ht="22" customHeight="1">
      <x:c r="A1780" s="1" t="n">
        <x:v>376</x:v>
      </x:c>
      <x:c r="B1780" s="1" t="str">
        <x:v>Metagross</x:v>
      </x:c>
      <x:c r="C1780" s="1" t="str">
        <x:v>Piece of Steel</x:v>
      </x:c>
      <x:c r="D1780" s="1" t="n">
        <x:v>1</x:v>
      </x:c>
      <x:c r="E1780" s="1" t="n">
        <x:v>21</x:v>
      </x:c>
      <x:c r="F1780" s="13" t="n">
        <x:v>0.8</x:v>
      </x:c>
      <x:c r="G1780" s="9" t="str">
        <x:v>https://poke.idleworld.online/pokepedia/pokemon/metagross</x:v>
      </x:c>
    </x:row>
    <x:row r="1781" ht="22" customHeight="1">
      <x:c r="A1781" s="1" t="n">
        <x:v>376</x:v>
      </x:c>
      <x:c r="B1781" s="1" t="str">
        <x:v>Metagross</x:v>
      </x:c>
      <x:c r="C1781" s="1" t="str">
        <x:v>Tech Ball</x:v>
      </x:c>
      <x:c r="D1781" s="1" t="n">
        <x:v>1</x:v>
      </x:c>
      <x:c r="E1781" s="1" t="n">
        <x:v>1</x:v>
      </x:c>
      <x:c r="F1781" s="13" t="n">
        <x:v>0.0425</x:v>
      </x:c>
      <x:c r="G1781" s="9" t="str">
        <x:v>https://poke.idleworld.online/pokepedia/pokemon/metagross</x:v>
      </x:c>
    </x:row>
    <x:row r="1782" ht="22" customHeight="1">
      <x:c r="A1782" s="1" t="n">
        <x:v>376</x:v>
      </x:c>
      <x:c r="B1782" s="1" t="str">
        <x:v>Metagross</x:v>
      </x:c>
      <x:c r="C1782" s="1" t="str">
        <x:v>Metal Stone</x:v>
      </x:c>
      <x:c r="D1782" s="1" t="n">
        <x:v>1</x:v>
      </x:c>
      <x:c r="E1782" s="1" t="n">
        <x:v>1</x:v>
      </x:c>
      <x:c r="F1782" s="13" t="n">
        <x:v>0.01</x:v>
      </x:c>
      <x:c r="G1782" s="9" t="str">
        <x:v>https://poke.idleworld.online/pokepedia/pokemon/metagross</x:v>
      </x:c>
    </x:row>
    <x:row r="1783" ht="22" customHeight="1">
      <x:c r="A1783" s="1" t="n">
        <x:v>376</x:v>
      </x:c>
      <x:c r="B1783" s="1" t="str">
        <x:v>Metagross</x:v>
      </x:c>
      <x:c r="C1783" s="1" t="str">
        <x:v>Metal Coat</x:v>
      </x:c>
      <x:c r="D1783" s="1" t="n">
        <x:v>1</x:v>
      </x:c>
      <x:c r="E1783" s="1" t="n">
        <x:v>1</x:v>
      </x:c>
      <x:c r="F1783" s="13" t="n">
        <x:v>0.000013300000000000001</x:v>
      </x:c>
      <x:c r="G1783" s="9" t="str">
        <x:v>https://poke.idleworld.online/pokepedia/pokemon/metagross</x:v>
      </x:c>
    </x:row>
    <x:row r="1784" ht="22" customHeight="1">
      <x:c r="A1784" s="1" t="n">
        <x:v>408</x:v>
      </x:c>
      <x:c r="B1784" s="1" t="str">
        <x:v>Cranidos</x:v>
      </x:c>
      <x:c r="C1784" s="1" t="str">
        <x:v>Small Stone</x:v>
      </x:c>
      <x:c r="D1784" s="1" t="n">
        <x:v>1</x:v>
      </x:c>
      <x:c r="E1784" s="1" t="n">
        <x:v>22</x:v>
      </x:c>
      <x:c r="F1784" s="13" t="n">
        <x:v>0.065</x:v>
      </x:c>
      <x:c r="G1784" s="9" t="str">
        <x:v>https://poke.idleworld.online/pokepedia/pokemon/cranidos</x:v>
      </x:c>
    </x:row>
    <x:row r="1785" ht="22" customHeight="1">
      <x:c r="A1785" s="1" t="n">
        <x:v>408</x:v>
      </x:c>
      <x:c r="B1785" s="1" t="str">
        <x:v>Cranidos</x:v>
      </x:c>
      <x:c r="C1785" s="1" t="str">
        <x:v>Rock Stone</x:v>
      </x:c>
      <x:c r="D1785" s="1" t="n">
        <x:v>1</x:v>
      </x:c>
      <x:c r="E1785" s="1" t="n">
        <x:v>1</x:v>
      </x:c>
      <x:c r="F1785" s="13" t="n">
        <x:v>0.01</x:v>
      </x:c>
      <x:c r="G1785" s="9" t="str">
        <x:v>https://poke.idleworld.online/pokepedia/pokemon/cranidos</x:v>
      </x:c>
    </x:row>
    <x:row r="1786" ht="22" customHeight="1">
      <x:c r="A1786" s="1" t="n">
        <x:v>409</x:v>
      </x:c>
      <x:c r="B1786" s="1" t="str">
        <x:v>Rampardos</x:v>
      </x:c>
      <x:c r="C1786" s="1" t="str">
        <x:v>Rock Stone</x:v>
      </x:c>
      <x:c r="D1786" s="1" t="n">
        <x:v>1</x:v>
      </x:c>
      <x:c r="E1786" s="1" t="n">
        <x:v>1</x:v>
      </x:c>
      <x:c r="F1786" s="13" t="n">
        <x:v>0.01</x:v>
      </x:c>
      <x:c r="G1786" s="9" t="str">
        <x:v>https://poke.idleworld.online/pokepedia/pokemon/rampardos</x:v>
      </x:c>
    </x:row>
    <x:row r="1787" ht="22" customHeight="1">
      <x:c r="A1787" s="1" t="n">
        <x:v>410</x:v>
      </x:c>
      <x:c r="B1787" s="1" t="str">
        <x:v>Shieldon</x:v>
      </x:c>
      <x:c r="C1787" s="1" t="str">
        <x:v>Piece of Steel</x:v>
      </x:c>
      <x:c r="D1787" s="1" t="n">
        <x:v>1</x:v>
      </x:c>
      <x:c r="E1787" s="1" t="n">
        <x:v>10</x:v>
      </x:c>
      <x:c r="F1787" s="13" t="n">
        <x:v>0.75</x:v>
      </x:c>
      <x:c r="G1787" s="9" t="str">
        <x:v>https://poke.idleworld.online/pokepedia/pokemon/shieldon</x:v>
      </x:c>
    </x:row>
    <x:row r="1788" ht="22" customHeight="1">
      <x:c r="A1788" s="1" t="n">
        <x:v>410</x:v>
      </x:c>
      <x:c r="B1788" s="1" t="str">
        <x:v>Shieldon</x:v>
      </x:c>
      <x:c r="C1788" s="1" t="str">
        <x:v>Small Stone</x:v>
      </x:c>
      <x:c r="D1788" s="1" t="n">
        <x:v>1</x:v>
      </x:c>
      <x:c r="E1788" s="1" t="n">
        <x:v>3</x:v>
      </x:c>
      <x:c r="F1788" s="13" t="n">
        <x:v>0.3</x:v>
      </x:c>
      <x:c r="G1788" s="9" t="str">
        <x:v>https://poke.idleworld.online/pokepedia/pokemon/shieldon</x:v>
      </x:c>
    </x:row>
    <x:row r="1789" ht="22" customHeight="1">
      <x:c r="A1789" s="1" t="n">
        <x:v>410</x:v>
      </x:c>
      <x:c r="B1789" s="1" t="str">
        <x:v>Shieldon</x:v>
      </x:c>
      <x:c r="C1789" s="1" t="str">
        <x:v>Metal Stone</x:v>
      </x:c>
      <x:c r="D1789" s="1" t="n">
        <x:v>1</x:v>
      </x:c>
      <x:c r="E1789" s="1" t="n">
        <x:v>1</x:v>
      </x:c>
      <x:c r="F1789" s="13" t="n">
        <x:v>0.01</x:v>
      </x:c>
      <x:c r="G1789" s="9" t="str">
        <x:v>https://poke.idleworld.online/pokepedia/pokemon/shieldon</x:v>
      </x:c>
    </x:row>
    <x:row r="1790" ht="22" customHeight="1">
      <x:c r="A1790" s="1" t="n">
        <x:v>410</x:v>
      </x:c>
      <x:c r="B1790" s="1" t="str">
        <x:v>Shieldon</x:v>
      </x:c>
      <x:c r="C1790" s="1" t="str">
        <x:v>Armor Fossil</x:v>
      </x:c>
      <x:c r="D1790" s="1" t="n">
        <x:v>1</x:v>
      </x:c>
      <x:c r="E1790" s="1" t="n">
        <x:v>1</x:v>
      </x:c>
      <x:c r="F1790" s="13" t="n">
        <x:v>1e-7</x:v>
      </x:c>
      <x:c r="G1790" s="9" t="str">
        <x:v>https://poke.idleworld.online/pokepedia/pokemon/shieldon</x:v>
      </x:c>
    </x:row>
    <x:row r="1791" ht="22" customHeight="1">
      <x:c r="A1791" s="1" t="n">
        <x:v>410</x:v>
      </x:c>
      <x:c r="B1791" s="1" t="str">
        <x:v>Shieldon</x:v>
      </x:c>
      <x:c r="C1791" s="1" t="str">
        <x:v>Stone Orb</x:v>
      </x:c>
      <x:c r="D1791" s="1" t="n">
        <x:v>1</x:v>
      </x:c>
      <x:c r="E1791" s="1" t="n">
        <x:v>1</x:v>
      </x:c>
      <x:c r="F1791" s="13" t="n">
        <x:v>0.00001</x:v>
      </x:c>
      <x:c r="G1791" s="9" t="str">
        <x:v>https://poke.idleworld.online/pokepedia/pokemon/shieldon</x:v>
      </x:c>
    </x:row>
    <x:row r="1792" ht="22" customHeight="1">
      <x:c r="A1792" s="1" t="n">
        <x:v>411</x:v>
      </x:c>
      <x:c r="B1792" s="1" t="str">
        <x:v>Bastiodon</x:v>
      </x:c>
      <x:c r="C1792" s="1" t="str">
        <x:v>Piece of Steel</x:v>
      </x:c>
      <x:c r="D1792" s="1" t="n">
        <x:v>1</x:v>
      </x:c>
      <x:c r="E1792" s="1" t="n">
        <x:v>15</x:v>
      </x:c>
      <x:c r="F1792" s="13" t="n">
        <x:v>0.7664471</x:v>
      </x:c>
      <x:c r="G1792" s="9" t="str">
        <x:v>https://poke.idleworld.online/pokepedia/pokemon/bastiodon</x:v>
      </x:c>
    </x:row>
    <x:row r="1793" ht="22" customHeight="1">
      <x:c r="A1793" s="1" t="n">
        <x:v>411</x:v>
      </x:c>
      <x:c r="B1793" s="1" t="str">
        <x:v>Bastiodon</x:v>
      </x:c>
      <x:c r="C1793" s="1" t="str">
        <x:v>Small Stone</x:v>
      </x:c>
      <x:c r="D1793" s="1" t="n">
        <x:v>1</x:v>
      </x:c>
      <x:c r="E1793" s="1" t="n">
        <x:v>5</x:v>
      </x:c>
      <x:c r="F1793" s="13" t="n">
        <x:v>0.2874177</x:v>
      </x:c>
      <x:c r="G1793" s="9" t="str">
        <x:v>https://poke.idleworld.online/pokepedia/pokemon/bastiodon</x:v>
      </x:c>
    </x:row>
    <x:row r="1794" ht="22" customHeight="1">
      <x:c r="A1794" s="1" t="n">
        <x:v>411</x:v>
      </x:c>
      <x:c r="B1794" s="1" t="str">
        <x:v>Bastiodon</x:v>
      </x:c>
      <x:c r="C1794" s="1" t="str">
        <x:v>Metal Stone</x:v>
      </x:c>
      <x:c r="D1794" s="1" t="n">
        <x:v>1</x:v>
      </x:c>
      <x:c r="E1794" s="1" t="n">
        <x:v>1</x:v>
      </x:c>
      <x:c r="F1794" s="13" t="n">
        <x:v>0.015</x:v>
      </x:c>
      <x:c r="G1794" s="9" t="str">
        <x:v>https://poke.idleworld.online/pokepedia/pokemon/bastiodon</x:v>
      </x:c>
    </x:row>
    <x:row r="1795" ht="22" customHeight="1">
      <x:c r="A1795" s="1" t="n">
        <x:v>411</x:v>
      </x:c>
      <x:c r="B1795" s="1" t="str">
        <x:v>Bastiodon</x:v>
      </x:c>
      <x:c r="C1795" s="1" t="str">
        <x:v>Armor Fossil</x:v>
      </x:c>
      <x:c r="D1795" s="1" t="n">
        <x:v>1</x:v>
      </x:c>
      <x:c r="E1795" s="1" t="n">
        <x:v>1</x:v>
      </x:c>
      <x:c r="F1795" s="13" t="n">
        <x:v>1e-7</x:v>
      </x:c>
      <x:c r="G1795" s="9" t="str">
        <x:v>https://poke.idleworld.online/pokepedia/pokemon/bastiodon</x:v>
      </x:c>
    </x:row>
    <x:row r="1796" ht="22" customHeight="1">
      <x:c r="A1796" s="1" t="n">
        <x:v>411</x:v>
      </x:c>
      <x:c r="B1796" s="1" t="str">
        <x:v>Bastiodon</x:v>
      </x:c>
      <x:c r="C1796" s="1" t="str">
        <x:v>Bone Shield</x:v>
      </x:c>
      <x:c r="D1796" s="1" t="n">
        <x:v>1</x:v>
      </x:c>
      <x:c r="E1796" s="1" t="n">
        <x:v>1</x:v>
      </x:c>
      <x:c r="F1796" s="13" t="n">
        <x:v>0.00001</x:v>
      </x:c>
      <x:c r="G1796" s="9" t="str">
        <x:v>https://poke.idleworld.online/pokepedia/pokemon/bastiodon</x:v>
      </x:c>
    </x:row>
    <x:row r="1797" ht="22" customHeight="1">
      <x:c r="A1797" s="1" t="n">
        <x:v>411</x:v>
      </x:c>
      <x:c r="B1797" s="1" t="str">
        <x:v>Bastiodon</x:v>
      </x:c>
      <x:c r="C1797" s="1" t="str">
        <x:v>Stone Orb</x:v>
      </x:c>
      <x:c r="D1797" s="1" t="n">
        <x:v>1</x:v>
      </x:c>
      <x:c r="E1797" s="1" t="n">
        <x:v>1</x:v>
      </x:c>
      <x:c r="F1797" s="13" t="n">
        <x:v>0.00001</x:v>
      </x:c>
      <x:c r="G1797" s="9" t="str">
        <x:v>https://poke.idleworld.online/pokepedia/pokemon/bastiodon</x:v>
      </x:c>
    </x:row>
    <x:row r="1798" ht="22" customHeight="1">
      <x:c r="A1798" s="1" t="n">
        <x:v>416</x:v>
      </x:c>
      <x:c r="B1798" s="1" t="str">
        <x:v>Vespiquen</x:v>
      </x:c>
      <x:c r="C1798" s="1" t="str">
        <x:v>Bucket of Honey</x:v>
      </x:c>
      <x:c r="D1798" s="1" t="n">
        <x:v>1</x:v>
      </x:c>
      <x:c r="E1798" s="1" t="n">
        <x:v>6</x:v>
      </x:c>
      <x:c r="F1798" s="13" t="n">
        <x:v>0.1851541</x:v>
      </x:c>
      <x:c r="G1798" s="9" t="str">
        <x:v>https://poke.idleworld.online/pokepedia/pokemon/vespiquen</x:v>
      </x:c>
    </x:row>
    <x:row r="1799" ht="22" customHeight="1">
      <x:c r="A1799" s="1" t="n">
        <x:v>416</x:v>
      </x:c>
      <x:c r="B1799" s="1" t="str">
        <x:v>Vespiquen</x:v>
      </x:c>
      <x:c r="C1799" s="1" t="str">
        <x:v>Cocoon Stone</x:v>
      </x:c>
      <x:c r="D1799" s="1" t="n">
        <x:v>1</x:v>
      </x:c>
      <x:c r="E1799" s="1" t="n">
        <x:v>1</x:v>
      </x:c>
      <x:c r="F1799" s="13" t="n">
        <x:v>0.004</x:v>
      </x:c>
      <x:c r="G1799" s="9" t="str">
        <x:v>https://poke.idleworld.online/pokepedia/pokemon/vespiquen</x:v>
      </x:c>
    </x:row>
    <x:row r="1800" ht="22" customHeight="1">
      <x:c r="A1800" s="1" t="n">
        <x:v>416</x:v>
      </x:c>
      <x:c r="B1800" s="1" t="str">
        <x:v>Vespiquen</x:v>
      </x:c>
      <x:c r="C1800" s="1" t="str">
        <x:v>Pot of Moss Bug</x:v>
      </x:c>
      <x:c r="D1800" s="1" t="n">
        <x:v>1</x:v>
      </x:c>
      <x:c r="E1800" s="1" t="n">
        <x:v>5</x:v>
      </x:c>
      <x:c r="F1800" s="13" t="n">
        <x:v>0.2</x:v>
      </x:c>
      <x:c r="G1800" s="9" t="str">
        <x:v>https://poke.idleworld.online/pokepedia/pokemon/vespiquen</x:v>
      </x:c>
    </x:row>
    <x:row r="1801" ht="22" customHeight="1">
      <x:c r="A1801" s="1" t="n">
        <x:v>417</x:v>
      </x:c>
      <x:c r="B1801" s="1" t="str">
        <x:v>Pachirisu</x:v>
      </x:c>
      <x:c r="C1801" s="1" t="str">
        <x:v>Screw</x:v>
      </x:c>
      <x:c r="D1801" s="1" t="n">
        <x:v>1</x:v>
      </x:c>
      <x:c r="E1801" s="1" t="n">
        <x:v>5</x:v>
      </x:c>
      <x:c r="F1801" s="13" t="n">
        <x:v>0.75</x:v>
      </x:c>
      <x:c r="G1801" s="9" t="str">
        <x:v>https://poke.idleworld.online/pokepedia/pokemon/pachirisu</x:v>
      </x:c>
    </x:row>
    <x:row r="1802" ht="22" customHeight="1">
      <x:c r="A1802" s="1" t="n">
        <x:v>417</x:v>
      </x:c>
      <x:c r="B1802" s="1" t="str">
        <x:v>Pachirisu</x:v>
      </x:c>
      <x:c r="C1802" s="1" t="str">
        <x:v>Electric Box</x:v>
      </x:c>
      <x:c r="D1802" s="1" t="n">
        <x:v>1</x:v>
      </x:c>
      <x:c r="E1802" s="1" t="n">
        <x:v>2</x:v>
      </x:c>
      <x:c r="F1802" s="13" t="n">
        <x:v>0.3</x:v>
      </x:c>
      <x:c r="G1802" s="9" t="str">
        <x:v>https://poke.idleworld.online/pokepedia/pokemon/pachirisu</x:v>
      </x:c>
    </x:row>
    <x:row r="1803" ht="22" customHeight="1">
      <x:c r="A1803" s="1" t="n">
        <x:v>417</x:v>
      </x:c>
      <x:c r="B1803" s="1" t="str">
        <x:v>Pachirisu</x:v>
      </x:c>
      <x:c r="C1803" s="1" t="str">
        <x:v>Thunder Stone</x:v>
      </x:c>
      <x:c r="D1803" s="1" t="n">
        <x:v>1</x:v>
      </x:c>
      <x:c r="E1803" s="1" t="n">
        <x:v>1</x:v>
      </x:c>
      <x:c r="F1803" s="13" t="n">
        <x:v>0.01</x:v>
      </x:c>
      <x:c r="G1803" s="9" t="str">
        <x:v>https://poke.idleworld.online/pokepedia/pokemon/pachirisu</x:v>
      </x:c>
    </x:row>
    <x:row r="1804" ht="22" customHeight="1">
      <x:c r="A1804" s="1" t="n">
        <x:v>428</x:v>
      </x:c>
      <x:c r="B1804" s="1" t="str">
        <x:v>Lopunny</x:v>
      </x:c>
      <x:c r="C1804" s="1" t="str">
        <x:v>Rubber Ball</x:v>
      </x:c>
      <x:c r="D1804" s="1" t="n">
        <x:v>1</x:v>
      </x:c>
      <x:c r="E1804" s="1" t="n">
        <x:v>8</x:v>
      </x:c>
      <x:c r="F1804" s="13" t="n">
        <x:v>0.6804874000000001</x:v>
      </x:c>
      <x:c r="G1804" s="9" t="str">
        <x:v>https://poke.idleworld.online/pokepedia/pokemon/lopunny</x:v>
      </x:c>
    </x:row>
    <x:row r="1805" ht="22" customHeight="1">
      <x:c r="A1805" s="1" t="n">
        <x:v>428</x:v>
      </x:c>
      <x:c r="B1805" s="1" t="str">
        <x:v>Lopunny</x:v>
      </x:c>
      <x:c r="C1805" s="1" t="str">
        <x:v>Heart Stone</x:v>
      </x:c>
      <x:c r="D1805" s="1" t="n">
        <x:v>1</x:v>
      </x:c>
      <x:c r="E1805" s="1" t="n">
        <x:v>1</x:v>
      </x:c>
      <x:c r="F1805" s="13" t="n">
        <x:v>0.0002625</x:v>
      </x:c>
      <x:c r="G1805" s="9" t="str">
        <x:v>https://poke.idleworld.online/pokepedia/pokemon/lopunny</x:v>
      </x:c>
    </x:row>
    <x:row r="1806" ht="22" customHeight="1">
      <x:c r="A1806" s="1" t="n">
        <x:v>428</x:v>
      </x:c>
      <x:c r="B1806" s="1" t="str">
        <x:v>Lopunny</x:v>
      </x:c>
      <x:c r="C1806" s="1" t="str">
        <x:v>Rabbit Ear</x:v>
      </x:c>
      <x:c r="D1806" s="1" t="n">
        <x:v>1</x:v>
      </x:c>
      <x:c r="E1806" s="1" t="n">
        <x:v>1</x:v>
      </x:c>
      <x:c r="F1806" s="13" t="n">
        <x:v>0.00001</x:v>
      </x:c>
      <x:c r="G1806" s="9" t="str">
        <x:v>https://poke.idleworld.online/pokepedia/pokemon/lopunny</x:v>
      </x:c>
    </x:row>
    <x:row r="1807" ht="22" customHeight="1">
      <x:c r="A1807" s="1" t="n">
        <x:v>428</x:v>
      </x:c>
      <x:c r="B1807" s="1" t="str">
        <x:v>Lopunny</x:v>
      </x:c>
      <x:c r="C1807" s="1" t="str">
        <x:v>Rabbit Eyebrows</x:v>
      </x:c>
      <x:c r="D1807" s="1" t="n">
        <x:v>1</x:v>
      </x:c>
      <x:c r="E1807" s="1" t="n">
        <x:v>1</x:v>
      </x:c>
      <x:c r="F1807" s="13" t="n">
        <x:v>1e-7</x:v>
      </x:c>
      <x:c r="G1807" s="9" t="str">
        <x:v>https://poke.idleworld.online/pokepedia/pokemon/lopunny</x:v>
      </x:c>
    </x:row>
    <x:row r="1808" ht="22" customHeight="1">
      <x:c r="A1808" s="1" t="n">
        <x:v>428</x:v>
      </x:c>
      <x:c r="B1808" s="1" t="str">
        <x:v>Lopunny</x:v>
      </x:c>
      <x:c r="C1808" s="1" t="str">
        <x:v>Rabbit Fur</x:v>
      </x:c>
      <x:c r="D1808" s="1" t="n">
        <x:v>1</x:v>
      </x:c>
      <x:c r="E1808" s="1" t="n">
        <x:v>1</x:v>
      </x:c>
      <x:c r="F1808" s="13" t="n">
        <x:v>0.00001</x:v>
      </x:c>
      <x:c r="G1808" s="9" t="str">
        <x:v>https://poke.idleworld.online/pokepedia/pokemon/lopunny</x:v>
      </x:c>
    </x:row>
    <x:row r="1809" ht="22" customHeight="1">
      <x:c r="A1809" s="1" t="n">
        <x:v>443</x:v>
      </x:c>
      <x:c r="B1809" s="1" t="str">
        <x:v>Gible</x:v>
      </x:c>
      <x:c r="C1809" s="1" t="str">
        <x:v>Crystal Stone</x:v>
      </x:c>
      <x:c r="D1809" s="1" t="n">
        <x:v>1</x:v>
      </x:c>
      <x:c r="E1809" s="1" t="n">
        <x:v>1</x:v>
      </x:c>
      <x:c r="F1809" s="13" t="n">
        <x:v>0.01</x:v>
      </x:c>
      <x:c r="G1809" s="9" t="str">
        <x:v>https://poke.idleworld.online/pokepedia/pokemon/gible</x:v>
      </x:c>
    </x:row>
    <x:row r="1810" ht="22" customHeight="1">
      <x:c r="A1810" s="1" t="n">
        <x:v>444</x:v>
      </x:c>
      <x:c r="B1810" s="1" t="str">
        <x:v>Gabite</x:v>
      </x:c>
      <x:c r="C1810" s="1" t="str">
        <x:v>Crystal Stone</x:v>
      </x:c>
      <x:c r="D1810" s="1" t="n">
        <x:v>1</x:v>
      </x:c>
      <x:c r="E1810" s="1" t="n">
        <x:v>1</x:v>
      </x:c>
      <x:c r="F1810" s="13" t="n">
        <x:v>0.01</x:v>
      </x:c>
      <x:c r="G1810" s="9" t="str">
        <x:v>https://poke.idleworld.online/pokepedia/pokemon/gabite</x:v>
      </x:c>
    </x:row>
    <x:row r="1811" ht="22" customHeight="1">
      <x:c r="A1811" s="1" t="n">
        <x:v>445</x:v>
      </x:c>
      <x:c r="B1811" s="1" t="str">
        <x:v>Garchomp</x:v>
      </x:c>
      <x:c r="C1811" s="1" t="str">
        <x:v>Crystal Stone</x:v>
      </x:c>
      <x:c r="D1811" s="1" t="n">
        <x:v>1</x:v>
      </x:c>
      <x:c r="E1811" s="1" t="n">
        <x:v>1</x:v>
      </x:c>
      <x:c r="F1811" s="13" t="n">
        <x:v>0.01</x:v>
      </x:c>
      <x:c r="G1811" s="9" t="str">
        <x:v>https://poke.idleworld.online/pokepedia/pokemon/garchomp</x:v>
      </x:c>
    </x:row>
    <x:row r="1812" ht="22" customHeight="1">
      <x:c r="A1812" s="1" t="n">
        <x:v>447</x:v>
      </x:c>
      <x:c r="B1812" s="1" t="str">
        <x:v>Riolu</x:v>
      </x:c>
      <x:c r="C1812" s="1" t="str">
        <x:v>Band Aid</x:v>
      </x:c>
      <x:c r="D1812" s="1" t="n">
        <x:v>1</x:v>
      </x:c>
      <x:c r="E1812" s="1" t="n">
        <x:v>10</x:v>
      </x:c>
      <x:c r="F1812" s="13" t="n">
        <x:v>0.8</x:v>
      </x:c>
      <x:c r="G1812" s="9" t="str">
        <x:v>https://poke.idleworld.online/pokepedia/pokemon/riolu</x:v>
      </x:c>
    </x:row>
    <x:row r="1813" ht="22" customHeight="1">
      <x:c r="A1813" s="1" t="n">
        <x:v>447</x:v>
      </x:c>
      <x:c r="B1813" s="1" t="str">
        <x:v>Riolu</x:v>
      </x:c>
      <x:c r="C1813" s="1" t="str">
        <x:v>samurai hair</x:v>
      </x:c>
      <x:c r="D1813" s="1" t="n">
        <x:v>1</x:v>
      </x:c>
      <x:c r="E1813" s="1" t="n">
        <x:v>1</x:v>
      </x:c>
      <x:c r="F1813" s="13" t="n">
        <x:v>0.013</x:v>
      </x:c>
      <x:c r="G1813" s="9" t="str">
        <x:v>https://poke.idleworld.online/pokepedia/pokemon/riolu</x:v>
      </x:c>
    </x:row>
    <x:row r="1814" ht="22" customHeight="1">
      <x:c r="A1814" s="1" t="n">
        <x:v>448</x:v>
      </x:c>
      <x:c r="B1814" s="1" t="str">
        <x:v>Lucario</x:v>
      </x:c>
      <x:c r="C1814" s="1" t="str">
        <x:v>Piece of Steel</x:v>
      </x:c>
      <x:c r="D1814" s="1" t="n">
        <x:v>1</x:v>
      </x:c>
      <x:c r="E1814" s="1" t="n">
        <x:v>21</x:v>
      </x:c>
      <x:c r="F1814" s="13" t="n">
        <x:v>0.8</x:v>
      </x:c>
      <x:c r="G1814" s="9" t="str">
        <x:v>https://poke.idleworld.online/pokepedia/pokemon/lucario</x:v>
      </x:c>
    </x:row>
    <x:row r="1815" ht="22" customHeight="1">
      <x:c r="A1815" s="1" t="n">
        <x:v>448</x:v>
      </x:c>
      <x:c r="B1815" s="1" t="str">
        <x:v>Lucario</x:v>
      </x:c>
      <x:c r="C1815" s="1" t="str">
        <x:v>Metal Stone</x:v>
      </x:c>
      <x:c r="D1815" s="1" t="n">
        <x:v>1</x:v>
      </x:c>
      <x:c r="E1815" s="1" t="n">
        <x:v>1</x:v>
      </x:c>
      <x:c r="F1815" s="13" t="n">
        <x:v>0.01</x:v>
      </x:c>
      <x:c r="G1815" s="9" t="str">
        <x:v>https://poke.idleworld.online/pokepedia/pokemon/lucario</x:v>
      </x:c>
    </x:row>
    <x:row r="1816" ht="22" customHeight="1">
      <x:c r="A1816" s="1" t="n">
        <x:v>448</x:v>
      </x:c>
      <x:c r="B1816" s="1" t="str">
        <x:v>Lucario</x:v>
      </x:c>
      <x:c r="C1816" s="1" t="str">
        <x:v>Rock Stone</x:v>
      </x:c>
      <x:c r="D1816" s="1" t="n">
        <x:v>1</x:v>
      </x:c>
      <x:c r="E1816" s="1" t="n">
        <x:v>1</x:v>
      </x:c>
      <x:c r="F1816" s="13" t="n">
        <x:v>0.01</x:v>
      </x:c>
      <x:c r="G1816" s="9" t="str">
        <x:v>https://poke.idleworld.online/pokepedia/pokemon/lucario</x:v>
      </x:c>
    </x:row>
    <x:row r="1817" ht="22" customHeight="1">
      <x:c r="A1817" s="1" t="n">
        <x:v>448</x:v>
      </x:c>
      <x:c r="B1817" s="1" t="str">
        <x:v>Lucario</x:v>
      </x:c>
      <x:c r="C1817" s="1" t="str">
        <x:v>Talon</x:v>
      </x:c>
      <x:c r="D1817" s="1" t="n">
        <x:v>1</x:v>
      </x:c>
      <x:c r="E1817" s="1" t="n">
        <x:v>1</x:v>
      </x:c>
      <x:c r="F1817" s="13" t="n">
        <x:v>0.0068</x:v>
      </x:c>
      <x:c r="G1817" s="9" t="str">
        <x:v>https://poke.idleworld.online/pokepedia/pokemon/lucario</x:v>
      </x:c>
    </x:row>
    <x:row r="1818" ht="22" customHeight="1">
      <x:c r="A1818" s="1" t="n">
        <x:v>458</x:v>
      </x:c>
      <x:c r="B1818" s="1" t="str">
        <x:v>Mantyke</x:v>
      </x:c>
      <x:c r="C1818" s="1" t="str">
        <x:v>Water Gem</x:v>
      </x:c>
      <x:c r="D1818" s="1" t="n">
        <x:v>1</x:v>
      </x:c>
      <x:c r="E1818" s="1" t="n">
        <x:v>20</x:v>
      </x:c>
      <x:c r="F1818" s="13" t="n">
        <x:v>0.8</x:v>
      </x:c>
      <x:c r="G1818" s="9" t="str">
        <x:v>https://poke.idleworld.online/pokepedia/pokemon/mantyke</x:v>
      </x:c>
    </x:row>
    <x:row r="1819" ht="22" customHeight="1">
      <x:c r="A1819" s="1" t="n">
        <x:v>458</x:v>
      </x:c>
      <x:c r="B1819" s="1" t="str">
        <x:v>Mantyke</x:v>
      </x:c>
      <x:c r="C1819" s="1" t="str">
        <x:v>Straw</x:v>
      </x:c>
      <x:c r="D1819" s="1" t="n">
        <x:v>1</x:v>
      </x:c>
      <x:c r="E1819" s="1" t="n">
        <x:v>20</x:v>
      </x:c>
      <x:c r="F1819" s="13" t="n">
        <x:v>0.8</x:v>
      </x:c>
      <x:c r="G1819" s="9" t="str">
        <x:v>https://poke.idleworld.online/pokepedia/pokemon/mantyke</x:v>
      </x:c>
    </x:row>
    <x:row r="1820" ht="22" customHeight="1">
      <x:c r="A1820" s="1" t="n">
        <x:v>460</x:v>
      </x:c>
      <x:c r="B1820" s="1" t="str">
        <x:v>Abomasnow</x:v>
      </x:c>
      <x:c r="C1820" s="1" t="str">
        <x:v>Ice Orb</x:v>
      </x:c>
      <x:c r="D1820" s="1" t="n">
        <x:v>1</x:v>
      </x:c>
      <x:c r="E1820" s="1" t="n">
        <x:v>1</x:v>
      </x:c>
      <x:c r="F1820" s="13" t="n">
        <x:v>0.02759</x:v>
      </x:c>
      <x:c r="G1820" s="9" t="str">
        <x:v>https://poke.idleworld.online/pokepedia/pokemon/abomasnow</x:v>
      </x:c>
    </x:row>
    <x:row r="1821" ht="22" customHeight="1">
      <x:c r="A1821" s="1" t="n">
        <x:v>460</x:v>
      </x:c>
      <x:c r="B1821" s="1" t="str">
        <x:v>Abomasnow</x:v>
      </x:c>
      <x:c r="C1821" s="1" t="str">
        <x:v>Leaves</x:v>
      </x:c>
      <x:c r="D1821" s="1" t="n">
        <x:v>1</x:v>
      </x:c>
      <x:c r="E1821" s="1" t="n">
        <x:v>1</x:v>
      </x:c>
      <x:c r="F1821" s="13" t="n">
        <x:v>0.02759</x:v>
      </x:c>
      <x:c r="G1821" s="9" t="str">
        <x:v>https://poke.idleworld.online/pokepedia/pokemon/abomasnow</x:v>
      </x:c>
    </x:row>
    <x:row r="1822" ht="22" customHeight="1">
      <x:c r="A1822" s="1" t="n">
        <x:v>460</x:v>
      </x:c>
      <x:c r="B1822" s="1" t="str">
        <x:v>Abomasnow</x:v>
      </x:c>
      <x:c r="C1822" s="1" t="str">
        <x:v>seal mustache</x:v>
      </x:c>
      <x:c r="D1822" s="1" t="n">
        <x:v>1</x:v>
      </x:c>
      <x:c r="E1822" s="1" t="n">
        <x:v>1</x:v>
      </x:c>
      <x:c r="F1822" s="13" t="n">
        <x:v>0.02759</x:v>
      </x:c>
      <x:c r="G1822" s="9" t="str">
        <x:v>https://poke.idleworld.online/pokepedia/pokemon/abomasnow</x:v>
      </x:c>
    </x:row>
    <x:row r="1823" ht="22" customHeight="1">
      <x:c r="A1823" s="1" t="n">
        <x:v>461</x:v>
      </x:c>
      <x:c r="B1823" s="1" t="str">
        <x:v>Weavile</x:v>
      </x:c>
      <x:c r="C1823" s="1" t="str">
        <x:v>Strange Pheromone</x:v>
      </x:c>
      <x:c r="D1823" s="1" t="n">
        <x:v>1</x:v>
      </x:c>
      <x:c r="E1823" s="1" t="n">
        <x:v>1</x:v>
      </x:c>
      <x:c r="F1823" s="13" t="n">
        <x:v>0</x:v>
      </x:c>
      <x:c r="G1823" s="9" t="str">
        <x:v>https://poke.idleworld.online/pokepedia/pokemon/weavile</x:v>
      </x:c>
    </x:row>
    <x:row r="1824" ht="22" customHeight="1">
      <x:c r="A1824" s="1" t="n">
        <x:v>461</x:v>
      </x:c>
      <x:c r="B1824" s="1" t="str">
        <x:v>Weavile</x:v>
      </x:c>
      <x:c r="C1824" s="1" t="str">
        <x:v>Dark Gem</x:v>
      </x:c>
      <x:c r="D1824" s="1" t="n">
        <x:v>1</x:v>
      </x:c>
      <x:c r="E1824" s="1" t="n">
        <x:v>43</x:v>
      </x:c>
      <x:c r="F1824" s="13" t="n">
        <x:v>0.8</x:v>
      </x:c>
      <x:c r="G1824" s="9" t="str">
        <x:v>https://poke.idleworld.online/pokepedia/pokemon/weavile</x:v>
      </x:c>
    </x:row>
    <x:row r="1825" ht="22" customHeight="1">
      <x:c r="A1825" s="1" t="n">
        <x:v>461</x:v>
      </x:c>
      <x:c r="B1825" s="1" t="str">
        <x:v>Weavile</x:v>
      </x:c>
      <x:c r="C1825" s="1" t="str">
        <x:v>Snowball</x:v>
      </x:c>
      <x:c r="D1825" s="1" t="n">
        <x:v>1</x:v>
      </x:c>
      <x:c r="E1825" s="1" t="n">
        <x:v>3</x:v>
      </x:c>
      <x:c r="F1825" s="13" t="n">
        <x:v>0.15</x:v>
      </x:c>
      <x:c r="G1825" s="9" t="str">
        <x:v>https://poke.idleworld.online/pokepedia/pokemon/weavile</x:v>
      </x:c>
    </x:row>
    <x:row r="1826" ht="22" customHeight="1">
      <x:c r="A1826" s="1" t="n">
        <x:v>461</x:v>
      </x:c>
      <x:c r="B1826" s="1" t="str">
        <x:v>Weavile</x:v>
      </x:c>
      <x:c r="C1826" s="1" t="str">
        <x:v>Darkness Stone</x:v>
      </x:c>
      <x:c r="D1826" s="1" t="n">
        <x:v>1</x:v>
      </x:c>
      <x:c r="E1826" s="1" t="n">
        <x:v>1</x:v>
      </x:c>
      <x:c r="F1826" s="13" t="n">
        <x:v>0.01</x:v>
      </x:c>
      <x:c r="G1826" s="9" t="str">
        <x:v>https://poke.idleworld.online/pokepedia/pokemon/weavile</x:v>
      </x:c>
    </x:row>
    <x:row r="1827" ht="22" customHeight="1">
      <x:c r="A1827" s="1" t="n">
        <x:v>461</x:v>
      </x:c>
      <x:c r="B1827" s="1" t="str">
        <x:v>Weavile</x:v>
      </x:c>
      <x:c r="C1827" s="1" t="str">
        <x:v>Cat Ear</x:v>
      </x:c>
      <x:c r="D1827" s="1" t="n">
        <x:v>1</x:v>
      </x:c>
      <x:c r="E1827" s="1" t="n">
        <x:v>1</x:v>
      </x:c>
      <x:c r="F1827" s="13" t="n">
        <x:v>0.12882</x:v>
      </x:c>
      <x:c r="G1827" s="9" t="str">
        <x:v>https://poke.idleworld.online/pokepedia/pokemon/weavile</x:v>
      </x:c>
    </x:row>
    <x:row r="1828" ht="22" customHeight="1">
      <x:c r="A1828" s="1" t="n">
        <x:v>461</x:v>
      </x:c>
      <x:c r="B1828" s="1" t="str">
        <x:v>Weavile</x:v>
      </x:c>
      <x:c r="C1828" s="1" t="str">
        <x:v>Ice Orb</x:v>
      </x:c>
      <x:c r="D1828" s="1" t="n">
        <x:v>1</x:v>
      </x:c>
      <x:c r="E1828" s="1" t="n">
        <x:v>1</x:v>
      </x:c>
      <x:c r="F1828" s="13" t="n">
        <x:v>0.12882</x:v>
      </x:c>
      <x:c r="G1828" s="9" t="str">
        <x:v>https://poke.idleworld.online/pokepedia/pokemon/weavile</x:v>
      </x:c>
    </x:row>
    <x:row r="1829" ht="22" customHeight="1">
      <x:c r="A1829" s="1" t="n">
        <x:v>461</x:v>
      </x:c>
      <x:c r="B1829" s="1" t="str">
        <x:v>Weavile</x:v>
      </x:c>
      <x:c r="C1829" s="1" t="str">
        <x:v>Ice Stone</x:v>
      </x:c>
      <x:c r="D1829" s="1" t="n">
        <x:v>1</x:v>
      </x:c>
      <x:c r="E1829" s="1" t="n">
        <x:v>1</x:v>
      </x:c>
      <x:c r="F1829" s="13" t="n">
        <x:v>0.00644</x:v>
      </x:c>
      <x:c r="G1829" s="9" t="str">
        <x:v>https://poke.idleworld.online/pokepedia/pokemon/weavile</x:v>
      </x:c>
    </x:row>
    <x:row r="1830" ht="22" customHeight="1">
      <x:c r="A1830" s="1" t="n">
        <x:v>462</x:v>
      </x:c>
      <x:c r="B1830" s="1" t="str">
        <x:v>Magnezone</x:v>
      </x:c>
      <x:c r="C1830" s="1" t="str">
        <x:v>Magnet</x:v>
      </x:c>
      <x:c r="D1830" s="1" t="n">
        <x:v>1</x:v>
      </x:c>
      <x:c r="E1830" s="1" t="n">
        <x:v>1</x:v>
      </x:c>
      <x:c r="F1830" s="13" t="n">
        <x:v>0.02759</x:v>
      </x:c>
      <x:c r="G1830" s="9" t="str">
        <x:v>https://poke.idleworld.online/pokepedia/pokemon/magnezone</x:v>
      </x:c>
    </x:row>
    <x:row r="1831" ht="22" customHeight="1">
      <x:c r="A1831" s="1" t="n">
        <x:v>462</x:v>
      </x:c>
      <x:c r="B1831" s="1" t="str">
        <x:v>Magnezone</x:v>
      </x:c>
      <x:c r="C1831" s="1" t="str">
        <x:v>Titanium Imam</x:v>
      </x:c>
      <x:c r="D1831" s="1" t="n">
        <x:v>1</x:v>
      </x:c>
      <x:c r="E1831" s="1" t="n">
        <x:v>1</x:v>
      </x:c>
      <x:c r="F1831" s="13" t="n">
        <x:v>0.02759</x:v>
      </x:c>
      <x:c r="G1831" s="9" t="str">
        <x:v>https://poke.idleworld.online/pokepedia/pokemon/magnezone</x:v>
      </x:c>
    </x:row>
    <x:row r="1832" ht="22" customHeight="1">
      <x:c r="A1832" s="1" t="n">
        <x:v>462</x:v>
      </x:c>
      <x:c r="B1832" s="1" t="str">
        <x:v>Magnezone</x:v>
      </x:c>
      <x:c r="C1832" s="1" t="str">
        <x:v>Metal Stone</x:v>
      </x:c>
      <x:c r="D1832" s="1" t="n">
        <x:v>1</x:v>
      </x:c>
      <x:c r="E1832" s="1" t="n">
        <x:v>1</x:v>
      </x:c>
      <x:c r="F1832" s="13" t="n">
        <x:v>0.01</x:v>
      </x:c>
      <x:c r="G1832" s="9" t="str">
        <x:v>https://poke.idleworld.online/pokepedia/pokemon/magnezone</x:v>
      </x:c>
    </x:row>
    <x:row r="1833" ht="22" customHeight="1">
      <x:c r="A1833" s="1" t="n">
        <x:v>462</x:v>
      </x:c>
      <x:c r="B1833" s="1" t="str">
        <x:v>Magnezone</x:v>
      </x:c>
      <x:c r="C1833" s="1" t="str">
        <x:v>Thunder Stone</x:v>
      </x:c>
      <x:c r="D1833" s="1" t="n">
        <x:v>1</x:v>
      </x:c>
      <x:c r="E1833" s="1" t="n">
        <x:v>1</x:v>
      </x:c>
      <x:c r="F1833" s="13" t="n">
        <x:v>0.01</x:v>
      </x:c>
      <x:c r="G1833" s="9" t="str">
        <x:v>https://poke.idleworld.online/pokepedia/pokemon/magnezone</x:v>
      </x:c>
    </x:row>
    <x:row r="1834" ht="22" customHeight="1">
      <x:c r="A1834" s="1" t="n">
        <x:v>464</x:v>
      </x:c>
      <x:c r="B1834" s="1" t="str">
        <x:v>Rhyperior</x:v>
      </x:c>
      <x:c r="C1834" s="1" t="str">
        <x:v>Earth Ball</x:v>
      </x:c>
      <x:c r="D1834" s="1" t="n">
        <x:v>1</x:v>
      </x:c>
      <x:c r="E1834" s="1" t="n">
        <x:v>10</x:v>
      </x:c>
      <x:c r="F1834" s="13" t="n">
        <x:v>0.55311</x:v>
      </x:c>
      <x:c r="G1834" s="9" t="str">
        <x:v>https://poke.idleworld.online/pokepedia/pokemon/rhyperior</x:v>
      </x:c>
    </x:row>
    <x:row r="1835" ht="22" customHeight="1">
      <x:c r="A1835" s="1" t="n">
        <x:v>464</x:v>
      </x:c>
      <x:c r="B1835" s="1" t="str">
        <x:v>Rhyperior</x:v>
      </x:c>
      <x:c r="C1835" s="1" t="str">
        <x:v>Ancient Stone</x:v>
      </x:c>
      <x:c r="D1835" s="1" t="n">
        <x:v>1</x:v>
      </x:c>
      <x:c r="E1835" s="1" t="n">
        <x:v>1</x:v>
      </x:c>
      <x:c r="F1835" s="13" t="n">
        <x:v>0.001</x:v>
      </x:c>
      <x:c r="G1835" s="9" t="str">
        <x:v>https://poke.idleworld.online/pokepedia/pokemon/rhyperior</x:v>
      </x:c>
    </x:row>
    <x:row r="1836" ht="22" customHeight="1">
      <x:c r="A1836" s="1" t="n">
        <x:v>464</x:v>
      </x:c>
      <x:c r="B1836" s="1" t="str">
        <x:v>Rhyperior</x:v>
      </x:c>
      <x:c r="C1836" s="1" t="str">
        <x:v>Protector</x:v>
      </x:c>
      <x:c r="D1836" s="1" t="n">
        <x:v>1</x:v>
      </x:c>
      <x:c r="E1836" s="1" t="n">
        <x:v>1</x:v>
      </x:c>
      <x:c r="F1836" s="13" t="n">
        <x:v>0.000013300000000000001</x:v>
      </x:c>
      <x:c r="G1836" s="9" t="str">
        <x:v>https://poke.idleworld.online/pokepedia/pokemon/rhyperior</x:v>
      </x:c>
    </x:row>
    <x:row r="1837" ht="22" customHeight="1">
      <x:c r="A1837" s="1" t="n">
        <x:v>464</x:v>
      </x:c>
      <x:c r="B1837" s="1" t="str">
        <x:v>Rhyperior</x:v>
      </x:c>
      <x:c r="C1837" s="1" t="str">
        <x:v>Solid Rock Paw</x:v>
      </x:c>
      <x:c r="D1837" s="1" t="n">
        <x:v>1</x:v>
      </x:c>
      <x:c r="E1837" s="1" t="n">
        <x:v>1</x:v>
      </x:c>
      <x:c r="F1837" s="13" t="n">
        <x:v>0.0001244</x:v>
      </x:c>
      <x:c r="G1837" s="9" t="str">
        <x:v>https://poke.idleworld.online/pokepedia/pokemon/rhyperior</x:v>
      </x:c>
    </x:row>
    <x:row r="1838" ht="22" customHeight="1">
      <x:c r="A1838" s="1" t="n">
        <x:v>465</x:v>
      </x:c>
      <x:c r="B1838" s="1" t="str">
        <x:v>Tangrowth</x:v>
      </x:c>
      <x:c r="C1838" s="1" t="str">
        <x:v>Seed</x:v>
      </x:c>
      <x:c r="D1838" s="1" t="n">
        <x:v>1</x:v>
      </x:c>
      <x:c r="E1838" s="1" t="n">
        <x:v>3</x:v>
      </x:c>
      <x:c r="F1838" s="13" t="n">
        <x:v>0.7493216</x:v>
      </x:c>
      <x:c r="G1838" s="9" t="str">
        <x:v>https://poke.idleworld.online/pokepedia/pokemon/tangrowth</x:v>
      </x:c>
    </x:row>
    <x:row r="1839" ht="22" customHeight="1">
      <x:c r="A1839" s="1" t="n">
        <x:v>465</x:v>
      </x:c>
      <x:c r="B1839" s="1" t="str">
        <x:v>Tangrowth</x:v>
      </x:c>
      <x:c r="C1839" s="1" t="str">
        <x:v>Blue Vines</x:v>
      </x:c>
      <x:c r="D1839" s="1" t="n">
        <x:v>1</x:v>
      </x:c>
      <x:c r="E1839" s="1" t="n">
        <x:v>1</x:v>
      </x:c>
      <x:c r="F1839" s="13" t="n">
        <x:v>0.0190927</x:v>
      </x:c>
      <x:c r="G1839" s="9" t="str">
        <x:v>https://poke.idleworld.online/pokepedia/pokemon/tangrowth</x:v>
      </x:c>
    </x:row>
    <x:row r="1840" ht="22" customHeight="1">
      <x:c r="A1840" s="1" t="n">
        <x:v>465</x:v>
      </x:c>
      <x:c r="B1840" s="1" t="str">
        <x:v>Tangrowth</x:v>
      </x:c>
      <x:c r="C1840" s="1" t="str">
        <x:v>Leaf Stone</x:v>
      </x:c>
      <x:c r="D1840" s="1" t="n">
        <x:v>1</x:v>
      </x:c>
      <x:c r="E1840" s="1" t="n">
        <x:v>1</x:v>
      </x:c>
      <x:c r="F1840" s="13" t="n">
        <x:v>0.01146</x:v>
      </x:c>
      <x:c r="G1840" s="9" t="str">
        <x:v>https://poke.idleworld.online/pokepedia/pokemon/tangrowth</x:v>
      </x:c>
    </x:row>
    <x:row r="1841" ht="22" customHeight="1">
      <x:c r="A1841" s="1" t="n">
        <x:v>465</x:v>
      </x:c>
      <x:c r="B1841" s="1" t="str">
        <x:v>Tangrowth</x:v>
      </x:c>
      <x:c r="C1841" s="1" t="str">
        <x:v>Gaia Tentacles</x:v>
      </x:c>
      <x:c r="D1841" s="1" t="n">
        <x:v>1</x:v>
      </x:c>
      <x:c r="E1841" s="1" t="n">
        <x:v>1</x:v>
      </x:c>
      <x:c r="F1841" s="13" t="n">
        <x:v>0.000013300000000000001</x:v>
      </x:c>
      <x:c r="G1841" s="9" t="str">
        <x:v>https://poke.idleworld.online/pokepedia/pokemon/tangrowth</x:v>
      </x:c>
    </x:row>
    <x:row r="1842" ht="22" customHeight="1">
      <x:c r="A1842" s="1" t="n">
        <x:v>465</x:v>
      </x:c>
      <x:c r="B1842" s="1" t="str">
        <x:v>Tangrowth</x:v>
      </x:c>
      <x:c r="C1842" s="1" t="str">
        <x:v>Massive Vines</x:v>
      </x:c>
      <x:c r="D1842" s="1" t="n">
        <x:v>1</x:v>
      </x:c>
      <x:c r="E1842" s="1" t="n">
        <x:v>1</x:v>
      </x:c>
      <x:c r="F1842" s="13" t="n">
        <x:v>1e-7</x:v>
      </x:c>
      <x:c r="G1842" s="9" t="str">
        <x:v>https://poke.idleworld.online/pokepedia/pokemon/tangrowth</x:v>
      </x:c>
    </x:row>
    <x:row r="1843" ht="22" customHeight="1">
      <x:c r="A1843" s="1" t="n">
        <x:v>466</x:v>
      </x:c>
      <x:c r="B1843" s="1" t="str">
        <x:v>Electivire</x:v>
      </x:c>
      <x:c r="C1843" s="1" t="str">
        <x:v>Screw</x:v>
      </x:c>
      <x:c r="D1843" s="1" t="n">
        <x:v>1</x:v>
      </x:c>
      <x:c r="E1843" s="1" t="n">
        <x:v>10</x:v>
      </x:c>
      <x:c r="F1843" s="13" t="n">
        <x:v>0.75</x:v>
      </x:c>
      <x:c r="G1843" s="9" t="str">
        <x:v>https://poke.idleworld.online/pokepedia/pokemon/electivire</x:v>
      </x:c>
    </x:row>
    <x:row r="1844" ht="22" customHeight="1">
      <x:c r="A1844" s="1" t="n">
        <x:v>466</x:v>
      </x:c>
      <x:c r="B1844" s="1" t="str">
        <x:v>Electivire</x:v>
      </x:c>
      <x:c r="C1844" s="1" t="str">
        <x:v>Electric Tail</x:v>
      </x:c>
      <x:c r="D1844" s="1" t="n">
        <x:v>1</x:v>
      </x:c>
      <x:c r="E1844" s="1" t="n">
        <x:v>1</x:v>
      </x:c>
      <x:c r="F1844" s="13" t="n">
        <x:v>0.01566</x:v>
      </x:c>
      <x:c r="G1844" s="9" t="str">
        <x:v>https://poke.idleworld.online/pokepedia/pokemon/electivire</x:v>
      </x:c>
    </x:row>
    <x:row r="1845" ht="22" customHeight="1">
      <x:c r="A1845" s="1" t="n">
        <x:v>466</x:v>
      </x:c>
      <x:c r="B1845" s="1" t="str">
        <x:v>Electivire</x:v>
      </x:c>
      <x:c r="C1845" s="1" t="str">
        <x:v>Thunder Stone</x:v>
      </x:c>
      <x:c r="D1845" s="1" t="n">
        <x:v>1</x:v>
      </x:c>
      <x:c r="E1845" s="1" t="n">
        <x:v>1</x:v>
      </x:c>
      <x:c r="F1845" s="13" t="n">
        <x:v>0.01</x:v>
      </x:c>
      <x:c r="G1845" s="9" t="str">
        <x:v>https://poke.idleworld.online/pokepedia/pokemon/electivire</x:v>
      </x:c>
    </x:row>
    <x:row r="1846" ht="22" customHeight="1">
      <x:c r="A1846" s="1" t="n">
        <x:v>466</x:v>
      </x:c>
      <x:c r="B1846" s="1" t="str">
        <x:v>Electivire</x:v>
      </x:c>
      <x:c r="C1846" s="1" t="str">
        <x:v>Electirizer</x:v>
      </x:c>
      <x:c r="D1846" s="1" t="n">
        <x:v>1</x:v>
      </x:c>
      <x:c r="E1846" s="1" t="n">
        <x:v>1</x:v>
      </x:c>
      <x:c r="F1846" s="13" t="n">
        <x:v>0.000013300000000000001</x:v>
      </x:c>
      <x:c r="G1846" s="9" t="str">
        <x:v>https://poke.idleworld.online/pokepedia/pokemon/electivire</x:v>
      </x:c>
    </x:row>
    <x:row r="1847" ht="22" customHeight="1">
      <x:c r="A1847" s="1" t="n">
        <x:v>466</x:v>
      </x:c>
      <x:c r="B1847" s="1" t="str">
        <x:v>Electivire</x:v>
      </x:c>
      <x:c r="C1847" s="1" t="str">
        <x:v>Max Volt Paw</x:v>
      </x:c>
      <x:c r="D1847" s="1" t="n">
        <x:v>1</x:v>
      </x:c>
      <x:c r="E1847" s="1" t="n">
        <x:v>1</x:v>
      </x:c>
      <x:c r="F1847" s="13" t="n">
        <x:v>0.0003</x:v>
      </x:c>
      <x:c r="G1847" s="9" t="str">
        <x:v>https://poke.idleworld.online/pokepedia/pokemon/electivire</x:v>
      </x:c>
    </x:row>
    <x:row r="1848" ht="22" customHeight="1">
      <x:c r="A1848" s="1" t="n">
        <x:v>467</x:v>
      </x:c>
      <x:c r="B1848" s="1" t="str">
        <x:v>Magmortar</x:v>
      </x:c>
      <x:c r="C1848" s="1" t="str">
        <x:v>Essence of Fire</x:v>
      </x:c>
      <x:c r="D1848" s="1" t="n">
        <x:v>1</x:v>
      </x:c>
      <x:c r="E1848" s="1" t="n">
        <x:v>10</x:v>
      </x:c>
      <x:c r="F1848" s="13" t="n">
        <x:v>0.75</x:v>
      </x:c>
      <x:c r="G1848" s="9" t="str">
        <x:v>https://poke.idleworld.online/pokepedia/pokemon/magmortar</x:v>
      </x:c>
    </x:row>
    <x:row r="1849" ht="22" customHeight="1">
      <x:c r="A1849" s="1" t="n">
        <x:v>467</x:v>
      </x:c>
      <x:c r="B1849" s="1" t="str">
        <x:v>Magmortar</x:v>
      </x:c>
      <x:c r="C1849" s="1" t="str">
        <x:v>Fire Stone</x:v>
      </x:c>
      <x:c r="D1849" s="1" t="n">
        <x:v>1</x:v>
      </x:c>
      <x:c r="E1849" s="1" t="n">
        <x:v>1</x:v>
      </x:c>
      <x:c r="F1849" s="13" t="n">
        <x:v>0.01</x:v>
      </x:c>
      <x:c r="G1849" s="9" t="str">
        <x:v>https://poke.idleworld.online/pokepedia/pokemon/magmortar</x:v>
      </x:c>
    </x:row>
    <x:row r="1850" ht="22" customHeight="1">
      <x:c r="A1850" s="1" t="n">
        <x:v>467</x:v>
      </x:c>
      <x:c r="B1850" s="1" t="str">
        <x:v>Magmortar</x:v>
      </x:c>
      <x:c r="C1850" s="1" t="str">
        <x:v>Magmarizer</x:v>
      </x:c>
      <x:c r="D1850" s="1" t="n">
        <x:v>1</x:v>
      </x:c>
      <x:c r="E1850" s="1" t="n">
        <x:v>1</x:v>
      </x:c>
      <x:c r="F1850" s="13" t="n">
        <x:v>0.000013300000000000001</x:v>
      </x:c>
      <x:c r="G1850" s="9" t="str">
        <x:v>https://poke.idleworld.online/pokepedia/pokemon/magmortar</x:v>
      </x:c>
    </x:row>
    <x:row r="1851" ht="22" customHeight="1">
      <x:c r="A1851" s="1" t="n">
        <x:v>467</x:v>
      </x:c>
      <x:c r="B1851" s="1" t="str">
        <x:v>Magmortar</x:v>
      </x:c>
      <x:c r="C1851" s="1" t="str">
        <x:v>Blaze Topknot</x:v>
      </x:c>
      <x:c r="D1851" s="1" t="n">
        <x:v>1</x:v>
      </x:c>
      <x:c r="E1851" s="1" t="n">
        <x:v>1</x:v>
      </x:c>
      <x:c r="F1851" s="13" t="n">
        <x:v>0.00038130000000000005</x:v>
      </x:c>
      <x:c r="G1851" s="9" t="str">
        <x:v>https://poke.idleworld.online/pokepedia/pokemon/magmortar</x:v>
      </x:c>
    </x:row>
    <x:row r="1852" ht="22" customHeight="1">
      <x:c r="A1852" s="1" t="n">
        <x:v>468</x:v>
      </x:c>
      <x:c r="B1852" s="1" t="str">
        <x:v>Togekiss</x:v>
      </x:c>
      <x:c r="C1852" s="1" t="str">
        <x:v>Feather</x:v>
      </x:c>
      <x:c r="D1852" s="1" t="n">
        <x:v>1</x:v>
      </x:c>
      <x:c r="E1852" s="1" t="n">
        <x:v>8</x:v>
      </x:c>
      <x:c r="F1852" s="13" t="n">
        <x:v>0.8</x:v>
      </x:c>
      <x:c r="G1852" s="9" t="str">
        <x:v>https://poke.idleworld.online/pokepedia/pokemon/togekiss</x:v>
      </x:c>
    </x:row>
    <x:row r="1853" ht="22" customHeight="1">
      <x:c r="A1853" s="1" t="n">
        <x:v>468</x:v>
      </x:c>
      <x:c r="B1853" s="1" t="str">
        <x:v>Togekiss</x:v>
      </x:c>
      <x:c r="C1853" s="1" t="str">
        <x:v>Straw</x:v>
      </x:c>
      <x:c r="D1853" s="1" t="n">
        <x:v>1</x:v>
      </x:c>
      <x:c r="E1853" s="1" t="n">
        <x:v>5</x:v>
      </x:c>
      <x:c r="F1853" s="13" t="n">
        <x:v>0.6</x:v>
      </x:c>
      <x:c r="G1853" s="9" t="str">
        <x:v>https://poke.idleworld.online/pokepedia/pokemon/togekiss</x:v>
      </x:c>
    </x:row>
    <x:row r="1854" ht="22" customHeight="1">
      <x:c r="A1854" s="1" t="n">
        <x:v>468</x:v>
      </x:c>
      <x:c r="B1854" s="1" t="str">
        <x:v>Togekiss</x:v>
      </x:c>
      <x:c r="C1854" s="1" t="str">
        <x:v>Heart Stone</x:v>
      </x:c>
      <x:c r="D1854" s="1" t="n">
        <x:v>1</x:v>
      </x:c>
      <x:c r="E1854" s="1" t="n">
        <x:v>1</x:v>
      </x:c>
      <x:c r="F1854" s="13" t="n">
        <x:v>0.01</x:v>
      </x:c>
      <x:c r="G1854" s="9" t="str">
        <x:v>https://poke.idleworld.online/pokepedia/pokemon/togekiss</x:v>
      </x:c>
    </x:row>
    <x:row r="1855" ht="22" customHeight="1">
      <x:c r="A1855" s="1" t="n">
        <x:v>468</x:v>
      </x:c>
      <x:c r="B1855" s="1" t="str">
        <x:v>Togekiss</x:v>
      </x:c>
      <x:c r="C1855" s="1" t="str">
        <x:v>Lovely Topknot</x:v>
      </x:c>
      <x:c r="D1855" s="1" t="n">
        <x:v>1</x:v>
      </x:c>
      <x:c r="E1855" s="1" t="n">
        <x:v>1</x:v>
      </x:c>
      <x:c r="F1855" s="13" t="n">
        <x:v>0.00935</x:v>
      </x:c>
      <x:c r="G1855" s="9" t="str">
        <x:v>https://poke.idleworld.online/pokepedia/pokemon/togekiss</x:v>
      </x:c>
    </x:row>
    <x:row r="1856" ht="22" customHeight="1">
      <x:c r="A1856" s="1" t="n">
        <x:v>468</x:v>
      </x:c>
      <x:c r="B1856" s="1" t="str">
        <x:v>Togekiss</x:v>
      </x:c>
      <x:c r="C1856" s="1" t="str">
        <x:v>Shiny Stone</x:v>
      </x:c>
      <x:c r="D1856" s="1" t="n">
        <x:v>1</x:v>
      </x:c>
      <x:c r="E1856" s="1" t="n">
        <x:v>1</x:v>
      </x:c>
      <x:c r="F1856" s="13" t="n">
        <x:v>0.00187</x:v>
      </x:c>
      <x:c r="G1856" s="9" t="str">
        <x:v>https://poke.idleworld.online/pokepedia/pokemon/togekiss</x:v>
      </x:c>
    </x:row>
    <x:row r="1857" ht="22" customHeight="1">
      <x:c r="A1857" s="1" t="n">
        <x:v>470</x:v>
      </x:c>
      <x:c r="B1857" s="1" t="str">
        <x:v>Leafeon</x:v>
      </x:c>
      <x:c r="C1857" s="1" t="str">
        <x:v>Strange Pheromone</x:v>
      </x:c>
      <x:c r="D1857" s="1" t="n">
        <x:v>1</x:v>
      </x:c>
      <x:c r="E1857" s="1" t="n">
        <x:v>1</x:v>
      </x:c>
      <x:c r="F1857" s="13" t="n">
        <x:v>0</x:v>
      </x:c>
      <x:c r="G1857" s="9" t="str">
        <x:v>https://poke.idleworld.online/pokepedia/pokemon/leafeon</x:v>
      </x:c>
    </x:row>
    <x:row r="1858" ht="22" customHeight="1">
      <x:c r="A1858" s="1" t="n">
        <x:v>470</x:v>
      </x:c>
      <x:c r="B1858" s="1" t="str">
        <x:v>Leafeon</x:v>
      </x:c>
      <x:c r="C1858" s="1" t="str">
        <x:v>Enchanted Gem</x:v>
      </x:c>
      <x:c r="D1858" s="1" t="n">
        <x:v>1</x:v>
      </x:c>
      <x:c r="E1858" s="1" t="n">
        <x:v>14</x:v>
      </x:c>
      <x:c r="F1858" s="13" t="n">
        <x:v>0.95</x:v>
      </x:c>
      <x:c r="G1858" s="9" t="str">
        <x:v>https://poke.idleworld.online/pokepedia/pokemon/leafeon</x:v>
      </x:c>
    </x:row>
    <x:row r="1859" ht="22" customHeight="1">
      <x:c r="A1859" s="1" t="n">
        <x:v>470</x:v>
      </x:c>
      <x:c r="B1859" s="1" t="str">
        <x:v>Leafeon</x:v>
      </x:c>
      <x:c r="C1859" s="1" t="str">
        <x:v>Leaves</x:v>
      </x:c>
      <x:c r="D1859" s="1" t="n">
        <x:v>1</x:v>
      </x:c>
      <x:c r="E1859" s="1" t="n">
        <x:v>8</x:v>
      </x:c>
      <x:c r="F1859" s="13" t="n">
        <x:v>0.84715</x:v>
      </x:c>
      <x:c r="G1859" s="9" t="str">
        <x:v>https://poke.idleworld.online/pokepedia/pokemon/leafeon</x:v>
      </x:c>
    </x:row>
    <x:row r="1860" ht="22" customHeight="1">
      <x:c r="A1860" s="1" t="n">
        <x:v>470</x:v>
      </x:c>
      <x:c r="B1860" s="1" t="str">
        <x:v>Leafeon</x:v>
      </x:c>
      <x:c r="C1860" s="1" t="str">
        <x:v>Seed</x:v>
      </x:c>
      <x:c r="D1860" s="1" t="n">
        <x:v>1</x:v>
      </x:c>
      <x:c r="E1860" s="1" t="n">
        <x:v>5</x:v>
      </x:c>
      <x:c r="F1860" s="13" t="n">
        <x:v>0.75</x:v>
      </x:c>
      <x:c r="G1860" s="9" t="str">
        <x:v>https://poke.idleworld.online/pokepedia/pokemon/leafeon</x:v>
      </x:c>
    </x:row>
    <x:row r="1861" ht="22" customHeight="1">
      <x:c r="A1861" s="1" t="n">
        <x:v>470</x:v>
      </x:c>
      <x:c r="B1861" s="1" t="str">
        <x:v>Leafeon</x:v>
      </x:c>
      <x:c r="C1861" s="1" t="str">
        <x:v>Leaf Stone</x:v>
      </x:c>
      <x:c r="D1861" s="1" t="n">
        <x:v>1</x:v>
      </x:c>
      <x:c r="E1861" s="1" t="n">
        <x:v>1</x:v>
      </x:c>
      <x:c r="F1861" s="13" t="n">
        <x:v>0.003</x:v>
      </x:c>
      <x:c r="G1861" s="9" t="str">
        <x:v>https://poke.idleworld.online/pokepedia/pokemon/leafeon</x:v>
      </x:c>
    </x:row>
    <x:row r="1862" ht="22" customHeight="1">
      <x:c r="A1862" s="1" t="n">
        <x:v>471</x:v>
      </x:c>
      <x:c r="B1862" s="1" t="str">
        <x:v>Glaceon</x:v>
      </x:c>
      <x:c r="C1862" s="1" t="str">
        <x:v>Strange Pheromone</x:v>
      </x:c>
      <x:c r="D1862" s="1" t="n">
        <x:v>1</x:v>
      </x:c>
      <x:c r="E1862" s="1" t="n">
        <x:v>1</x:v>
      </x:c>
      <x:c r="F1862" s="13" t="n">
        <x:v>0</x:v>
      </x:c>
      <x:c r="G1862" s="9" t="str">
        <x:v>https://poke.idleworld.online/pokepedia/pokemon/glaceon</x:v>
      </x:c>
    </x:row>
    <x:row r="1863" ht="22" customHeight="1">
      <x:c r="A1863" s="1" t="n">
        <x:v>471</x:v>
      </x:c>
      <x:c r="B1863" s="1" t="str">
        <x:v>Glaceon</x:v>
      </x:c>
      <x:c r="C1863" s="1" t="str">
        <x:v>Enchanted Gem</x:v>
      </x:c>
      <x:c r="D1863" s="1" t="n">
        <x:v>1</x:v>
      </x:c>
      <x:c r="E1863" s="1" t="n">
        <x:v>14</x:v>
      </x:c>
      <x:c r="F1863" s="13" t="n">
        <x:v>0.95</x:v>
      </x:c>
      <x:c r="G1863" s="9" t="str">
        <x:v>https://poke.idleworld.online/pokepedia/pokemon/glaceon</x:v>
      </x:c>
    </x:row>
    <x:row r="1864" ht="22" customHeight="1">
      <x:c r="A1864" s="1" t="n">
        <x:v>471</x:v>
      </x:c>
      <x:c r="B1864" s="1" t="str">
        <x:v>Glaceon</x:v>
      </x:c>
      <x:c r="C1864" s="1" t="str">
        <x:v>Snowball</x:v>
      </x:c>
      <x:c r="D1864" s="1" t="n">
        <x:v>1</x:v>
      </x:c>
      <x:c r="E1864" s="1" t="n">
        <x:v>8</x:v>
      </x:c>
      <x:c r="F1864" s="13" t="n">
        <x:v>0.84715</x:v>
      </x:c>
      <x:c r="G1864" s="9" t="str">
        <x:v>https://poke.idleworld.online/pokepedia/pokemon/glaceon</x:v>
      </x:c>
    </x:row>
    <x:row r="1865" ht="22" customHeight="1">
      <x:c r="A1865" s="1" t="n">
        <x:v>471</x:v>
      </x:c>
      <x:c r="B1865" s="1" t="str">
        <x:v>Glaceon</x:v>
      </x:c>
      <x:c r="C1865" s="1" t="str">
        <x:v>Ice Orb</x:v>
      </x:c>
      <x:c r="D1865" s="1" t="n">
        <x:v>1</x:v>
      </x:c>
      <x:c r="E1865" s="1" t="n">
        <x:v>3</x:v>
      </x:c>
      <x:c r="F1865" s="13" t="n">
        <x:v>0.50683</x:v>
      </x:c>
      <x:c r="G1865" s="9" t="str">
        <x:v>https://poke.idleworld.online/pokepedia/pokemon/glaceon</x:v>
      </x:c>
    </x:row>
    <x:row r="1866" ht="22" customHeight="1">
      <x:c r="A1866" s="1" t="n">
        <x:v>471</x:v>
      </x:c>
      <x:c r="B1866" s="1" t="str">
        <x:v>Glaceon</x:v>
      </x:c>
      <x:c r="C1866" s="1" t="str">
        <x:v>Ice Stone</x:v>
      </x:c>
      <x:c r="D1866" s="1" t="n">
        <x:v>1</x:v>
      </x:c>
      <x:c r="E1866" s="1" t="n">
        <x:v>1</x:v>
      </x:c>
      <x:c r="F1866" s="13" t="n">
        <x:v>0.003</x:v>
      </x:c>
      <x:c r="G1866" s="9" t="str">
        <x:v>https://poke.idleworld.online/pokepedia/pokemon/glaceon</x:v>
      </x:c>
    </x:row>
    <x:row r="1867" ht="22" customHeight="1">
      <x:c r="A1867" s="1" t="n">
        <x:v>472</x:v>
      </x:c>
      <x:c r="B1867" s="1" t="str">
        <x:v>Gliscor</x:v>
      </x:c>
      <x:c r="C1867" s="1" t="str">
        <x:v>Earth Ball</x:v>
      </x:c>
      <x:c r="D1867" s="1" t="n">
        <x:v>1</x:v>
      </x:c>
      <x:c r="E1867" s="1" t="n">
        <x:v>8</x:v>
      </x:c>
      <x:c r="F1867" s="13" t="n">
        <x:v>0.55</x:v>
      </x:c>
      <x:c r="G1867" s="9" t="str">
        <x:v>https://poke.idleworld.online/pokepedia/pokemon/gliscor</x:v>
      </x:c>
    </x:row>
    <x:row r="1868" ht="22" customHeight="1">
      <x:c r="A1868" s="1" t="n">
        <x:v>472</x:v>
      </x:c>
      <x:c r="B1868" s="1" t="str">
        <x:v>Gliscor</x:v>
      </x:c>
      <x:c r="C1868" s="1" t="str">
        <x:v>Sandbag</x:v>
      </x:c>
      <x:c r="D1868" s="1" t="n">
        <x:v>1</x:v>
      </x:c>
      <x:c r="E1868" s="1" t="n">
        <x:v>3</x:v>
      </x:c>
      <x:c r="F1868" s="13" t="n">
        <x:v>0.3</x:v>
      </x:c>
      <x:c r="G1868" s="9" t="str">
        <x:v>https://poke.idleworld.online/pokepedia/pokemon/gliscor</x:v>
      </x:c>
    </x:row>
    <x:row r="1869" ht="22" customHeight="1">
      <x:c r="A1869" s="1" t="n">
        <x:v>472</x:v>
      </x:c>
      <x:c r="B1869" s="1" t="str">
        <x:v>Gliscor</x:v>
      </x:c>
      <x:c r="C1869" s="1" t="str">
        <x:v>Gligar Claw</x:v>
      </x:c>
      <x:c r="D1869" s="1" t="n">
        <x:v>1</x:v>
      </x:c>
      <x:c r="E1869" s="1" t="n">
        <x:v>1</x:v>
      </x:c>
      <x:c r="F1869" s="13" t="n">
        <x:v>0.017346900000000002</x:v>
      </x:c>
      <x:c r="G1869" s="9" t="str">
        <x:v>https://poke.idleworld.online/pokepedia/pokemon/gliscor</x:v>
      </x:c>
    </x:row>
    <x:row r="1870" ht="22" customHeight="1">
      <x:c r="A1870" s="1" t="n">
        <x:v>472</x:v>
      </x:c>
      <x:c r="B1870" s="1" t="str">
        <x:v>Gliscor</x:v>
      </x:c>
      <x:c r="C1870" s="1" t="str">
        <x:v>Tooth</x:v>
      </x:c>
      <x:c r="D1870" s="1" t="n">
        <x:v>1</x:v>
      </x:c>
      <x:c r="E1870" s="1" t="n">
        <x:v>1</x:v>
      </x:c>
      <x:c r="F1870" s="13" t="n">
        <x:v>0.017346900000000002</x:v>
      </x:c>
      <x:c r="G1870" s="9" t="str">
        <x:v>https://poke.idleworld.online/pokepedia/pokemon/gliscor</x:v>
      </x:c>
    </x:row>
    <x:row r="1871" ht="22" customHeight="1">
      <x:c r="A1871" s="1" t="n">
        <x:v>477</x:v>
      </x:c>
      <x:c r="B1871" s="1" t="str">
        <x:v>Dusknoir</x:v>
      </x:c>
      <x:c r="C1871" s="1" t="str">
        <x:v>Ghost Essence</x:v>
      </x:c>
      <x:c r="D1871" s="1" t="n">
        <x:v>1</x:v>
      </x:c>
      <x:c r="E1871" s="1" t="n">
        <x:v>20</x:v>
      </x:c>
      <x:c r="F1871" s="13" t="n">
        <x:v>0.8</x:v>
      </x:c>
      <x:c r="G1871" s="9" t="str">
        <x:v>https://poke.idleworld.online/pokepedia/pokemon/dusknoir</x:v>
      </x:c>
    </x:row>
    <x:row r="1872" ht="22" customHeight="1">
      <x:c r="A1872" s="1" t="n">
        <x:v>477</x:v>
      </x:c>
      <x:c r="B1872" s="1" t="str">
        <x:v>Dusknoir</x:v>
      </x:c>
      <x:c r="C1872" s="1" t="str">
        <x:v>Reaper Cloth</x:v>
      </x:c>
      <x:c r="D1872" s="1" t="n">
        <x:v>1</x:v>
      </x:c>
      <x:c r="E1872" s="1" t="n">
        <x:v>1</x:v>
      </x:c>
      <x:c r="F1872" s="13" t="n">
        <x:v>0.000013300000000000001</x:v>
      </x:c>
      <x:c r="G1872" s="9" t="str">
        <x:v>https://poke.idleworld.online/pokepedia/pokemon/dusknoir</x:v>
      </x:c>
    </x:row>
    <x:row r="1873" ht="22" customHeight="1">
      <x:c r="A1873" s="1" t="n">
        <x:v>477</x:v>
      </x:c>
      <x:c r="B1873" s="1" t="str">
        <x:v>Dusknoir</x:v>
      </x:c>
      <x:c r="C1873" s="1" t="str">
        <x:v>Scary Smile</x:v>
      </x:c>
      <x:c r="D1873" s="1" t="n">
        <x:v>1</x:v>
      </x:c>
      <x:c r="E1873" s="1" t="n">
        <x:v>1</x:v>
      </x:c>
      <x:c r="F1873" s="13" t="n">
        <x:v>0.000008</x:v>
      </x:c>
      <x:c r="G1873" s="9" t="str">
        <x:v>https://poke.idleworld.online/pokepedia/pokemon/dusknoir</x:v>
      </x:c>
    </x:row>
    <x:row r="1874" ht="22" customHeight="1">
      <x:c r="A1874" s="1" t="n">
        <x:v>538</x:v>
      </x:c>
      <x:c r="B1874" s="1" t="str">
        <x:v>Throh</x:v>
      </x:c>
      <x:c r="C1874" s="1" t="str">
        <x:v>Nail</x:v>
      </x:c>
      <x:c r="D1874" s="1" t="n">
        <x:v>1</x:v>
      </x:c>
      <x:c r="E1874" s="1" t="n">
        <x:v>5</x:v>
      </x:c>
      <x:c r="F1874" s="13" t="n">
        <x:v>0.6</x:v>
      </x:c>
      <x:c r="G1874" s="9" t="str">
        <x:v>https://poke.idleworld.online/pokepedia/pokemon/throh</x:v>
      </x:c>
    </x:row>
    <x:row r="1875" ht="22" customHeight="1">
      <x:c r="A1875" s="1" t="n">
        <x:v>538</x:v>
      </x:c>
      <x:c r="B1875" s="1" t="str">
        <x:v>Throh</x:v>
      </x:c>
      <x:c r="C1875" s="1" t="str">
        <x:v>Stone Orb</x:v>
      </x:c>
      <x:c r="D1875" s="1" t="n">
        <x:v>1</x:v>
      </x:c>
      <x:c r="E1875" s="1" t="n">
        <x:v>1</x:v>
      </x:c>
      <x:c r="F1875" s="13" t="n">
        <x:v>0.2</x:v>
      </x:c>
      <x:c r="G1875" s="9" t="str">
        <x:v>https://poke.idleworld.online/pokepedia/pokemon/throh</x:v>
      </x:c>
    </x:row>
    <x:row r="1876" ht="22" customHeight="1">
      <x:c r="A1876" s="1" t="n">
        <x:v>539</x:v>
      </x:c>
      <x:c r="B1876" s="1" t="str">
        <x:v>Sawk</x:v>
      </x:c>
      <x:c r="C1876" s="1" t="str">
        <x:v>Nail</x:v>
      </x:c>
      <x:c r="D1876" s="1" t="n">
        <x:v>1</x:v>
      </x:c>
      <x:c r="E1876" s="1" t="n">
        <x:v>5</x:v>
      </x:c>
      <x:c r="F1876" s="13" t="n">
        <x:v>0.6</x:v>
      </x:c>
      <x:c r="G1876" s="9" t="str">
        <x:v>https://poke.idleworld.online/pokepedia/pokemon/sawk</x:v>
      </x:c>
    </x:row>
    <x:row r="1877" ht="22" customHeight="1">
      <x:c r="A1877" s="1" t="n">
        <x:v>539</x:v>
      </x:c>
      <x:c r="B1877" s="1" t="str">
        <x:v>Sawk</x:v>
      </x:c>
      <x:c r="C1877" s="1" t="str">
        <x:v>Stone Orb</x:v>
      </x:c>
      <x:c r="D1877" s="1" t="n">
        <x:v>1</x:v>
      </x:c>
      <x:c r="E1877" s="1" t="n">
        <x:v>1</x:v>
      </x:c>
      <x:c r="F1877" s="13" t="n">
        <x:v>0.2</x:v>
      </x:c>
      <x:c r="G1877" s="9" t="str">
        <x:v>https://poke.idleworld.online/pokepedia/pokemon/sawk</x:v>
      </x:c>
    </x:row>
    <x:row r="1878" ht="22" customHeight="1">
      <x:c r="A1878" s="1" t="n">
        <x:v>548</x:v>
      </x:c>
      <x:c r="B1878" s="1" t="str">
        <x:v>Petilil</x:v>
      </x:c>
      <x:c r="C1878" s="1" t="str">
        <x:v>Leaf Stone</x:v>
      </x:c>
      <x:c r="D1878" s="1" t="n">
        <x:v>1</x:v>
      </x:c>
      <x:c r="E1878" s="1" t="n">
        <x:v>1</x:v>
      </x:c>
      <x:c r="F1878" s="13" t="n">
        <x:v>0.01</x:v>
      </x:c>
      <x:c r="G1878" s="9" t="str">
        <x:v>https://poke.idleworld.online/pokepedia/pokemon/petilil</x:v>
      </x:c>
    </x:row>
    <x:row r="1879" ht="22" customHeight="1">
      <x:c r="A1879" s="1" t="n">
        <x:v>549</x:v>
      </x:c>
      <x:c r="B1879" s="1" t="str">
        <x:v>Lilligant</x:v>
      </x:c>
      <x:c r="C1879" s="1" t="str">
        <x:v>Bag of Pollen</x:v>
      </x:c>
      <x:c r="D1879" s="1" t="n">
        <x:v>1</x:v>
      </x:c>
      <x:c r="E1879" s="1" t="n">
        <x:v>1</x:v>
      </x:c>
      <x:c r="F1879" s="13" t="n">
        <x:v>0.02759</x:v>
      </x:c>
      <x:c r="G1879" s="9" t="str">
        <x:v>https://poke.idleworld.online/pokepedia/pokemon/lilligant</x:v>
      </x:c>
    </x:row>
    <x:row r="1880" ht="22" customHeight="1">
      <x:c r="A1880" s="1" t="n">
        <x:v>549</x:v>
      </x:c>
      <x:c r="B1880" s="1" t="str">
        <x:v>Lilligant</x:v>
      </x:c>
      <x:c r="C1880" s="1" t="str">
        <x:v>Leaf Stone</x:v>
      </x:c>
      <x:c r="D1880" s="1" t="n">
        <x:v>1</x:v>
      </x:c>
      <x:c r="E1880" s="1" t="n">
        <x:v>1</x:v>
      </x:c>
      <x:c r="F1880" s="13" t="n">
        <x:v>0.01</x:v>
      </x:c>
      <x:c r="G1880" s="9" t="str">
        <x:v>https://poke.idleworld.online/pokepedia/pokemon/lilligant</x:v>
      </x:c>
    </x:row>
    <x:row r="1881" ht="22" customHeight="1">
      <x:c r="A1881" s="1" t="n">
        <x:v>564</x:v>
      </x:c>
      <x:c r="B1881" s="1" t="str">
        <x:v>Tirtouga</x:v>
      </x:c>
      <x:c r="C1881" s="1" t="str">
        <x:v>Water Gem</x:v>
      </x:c>
      <x:c r="D1881" s="1" t="n">
        <x:v>1</x:v>
      </x:c>
      <x:c r="E1881" s="1" t="n">
        <x:v>5</x:v>
      </x:c>
      <x:c r="F1881" s="13" t="n">
        <x:v>0.6</x:v>
      </x:c>
      <x:c r="G1881" s="9" t="str">
        <x:v>https://poke.idleworld.online/pokepedia/pokemon/tirtouga</x:v>
      </x:c>
    </x:row>
    <x:row r="1882" ht="22" customHeight="1">
      <x:c r="A1882" s="1" t="n">
        <x:v>564</x:v>
      </x:c>
      <x:c r="B1882" s="1" t="str">
        <x:v>Tirtouga</x:v>
      </x:c>
      <x:c r="C1882" s="1" t="str">
        <x:v>Small Stone</x:v>
      </x:c>
      <x:c r="D1882" s="1" t="n">
        <x:v>1</x:v>
      </x:c>
      <x:c r="E1882" s="1" t="n">
        <x:v>3</x:v>
      </x:c>
      <x:c r="F1882" s="13" t="n">
        <x:v>0.3</x:v>
      </x:c>
      <x:c r="G1882" s="9" t="str">
        <x:v>https://poke.idleworld.online/pokepedia/pokemon/tirtouga</x:v>
      </x:c>
    </x:row>
    <x:row r="1883" ht="22" customHeight="1">
      <x:c r="A1883" s="1" t="n">
        <x:v>564</x:v>
      </x:c>
      <x:c r="B1883" s="1" t="str">
        <x:v>Tirtouga</x:v>
      </x:c>
      <x:c r="C1883" s="1" t="str">
        <x:v>Ancient Stone</x:v>
      </x:c>
      <x:c r="D1883" s="1" t="n">
        <x:v>1</x:v>
      </x:c>
      <x:c r="E1883" s="1" t="n">
        <x:v>1</x:v>
      </x:c>
      <x:c r="F1883" s="13" t="n">
        <x:v>0.001</x:v>
      </x:c>
      <x:c r="G1883" s="9" t="str">
        <x:v>https://poke.idleworld.online/pokepedia/pokemon/tirtouga</x:v>
      </x:c>
    </x:row>
    <x:row r="1884" ht="22" customHeight="1">
      <x:c r="A1884" s="1" t="n">
        <x:v>565</x:v>
      </x:c>
      <x:c r="B1884" s="1" t="str">
        <x:v>Carracosta</x:v>
      </x:c>
      <x:c r="C1884" s="1" t="str">
        <x:v>Water Gem</x:v>
      </x:c>
      <x:c r="D1884" s="1" t="n">
        <x:v>1</x:v>
      </x:c>
      <x:c r="E1884" s="1" t="n">
        <x:v>10</x:v>
      </x:c>
      <x:c r="F1884" s="13" t="n">
        <x:v>0.75</x:v>
      </x:c>
      <x:c r="G1884" s="9" t="str">
        <x:v>https://poke.idleworld.online/pokepedia/pokemon/carracosta</x:v>
      </x:c>
    </x:row>
    <x:row r="1885" ht="22" customHeight="1">
      <x:c r="A1885" s="1" t="n">
        <x:v>565</x:v>
      </x:c>
      <x:c r="B1885" s="1" t="str">
        <x:v>Carracosta</x:v>
      </x:c>
      <x:c r="C1885" s="1" t="str">
        <x:v>Small Stone</x:v>
      </x:c>
      <x:c r="D1885" s="1" t="n">
        <x:v>1</x:v>
      </x:c>
      <x:c r="E1885" s="1" t="n">
        <x:v>5</x:v>
      </x:c>
      <x:c r="F1885" s="13" t="n">
        <x:v>0.3</x:v>
      </x:c>
      <x:c r="G1885" s="9" t="str">
        <x:v>https://poke.idleworld.online/pokepedia/pokemon/carracosta</x:v>
      </x:c>
    </x:row>
    <x:row r="1886" ht="22" customHeight="1">
      <x:c r="A1886" s="1" t="n">
        <x:v>565</x:v>
      </x:c>
      <x:c r="B1886" s="1" t="str">
        <x:v>Carracosta</x:v>
      </x:c>
      <x:c r="C1886" s="1" t="str">
        <x:v>Ancient Stone</x:v>
      </x:c>
      <x:c r="D1886" s="1" t="n">
        <x:v>1</x:v>
      </x:c>
      <x:c r="E1886" s="1" t="n">
        <x:v>1</x:v>
      </x:c>
      <x:c r="F1886" s="13" t="n">
        <x:v>0.0015</x:v>
      </x:c>
      <x:c r="G1886" s="9" t="str">
        <x:v>https://poke.idleworld.online/pokepedia/pokemon/carracosta</x:v>
      </x:c>
    </x:row>
    <x:row r="1887" ht="22" customHeight="1">
      <x:c r="A1887" s="1" t="n">
        <x:v>566</x:v>
      </x:c>
      <x:c r="B1887" s="1" t="str">
        <x:v>Archen</x:v>
      </x:c>
      <x:c r="C1887" s="1" t="str">
        <x:v>Small Stone</x:v>
      </x:c>
      <x:c r="D1887" s="1" t="n">
        <x:v>1</x:v>
      </x:c>
      <x:c r="E1887" s="1" t="n">
        <x:v>5</x:v>
      </x:c>
      <x:c r="F1887" s="13" t="n">
        <x:v>0.6</x:v>
      </x:c>
      <x:c r="G1887" s="9" t="str">
        <x:v>https://poke.idleworld.online/pokepedia/pokemon/archen</x:v>
      </x:c>
    </x:row>
    <x:row r="1888" ht="22" customHeight="1">
      <x:c r="A1888" s="1" t="n">
        <x:v>566</x:v>
      </x:c>
      <x:c r="B1888" s="1" t="str">
        <x:v>Archen</x:v>
      </x:c>
      <x:c r="C1888" s="1" t="str">
        <x:v>Mini Wings</x:v>
      </x:c>
      <x:c r="D1888" s="1" t="n">
        <x:v>1</x:v>
      </x:c>
      <x:c r="E1888" s="1" t="n">
        <x:v>1</x:v>
      </x:c>
      <x:c r="F1888" s="13" t="n">
        <x:v>0.0425</x:v>
      </x:c>
      <x:c r="G1888" s="9" t="str">
        <x:v>https://poke.idleworld.online/pokepedia/pokemon/archen</x:v>
      </x:c>
    </x:row>
    <x:row r="1889" ht="22" customHeight="1">
      <x:c r="A1889" s="1" t="n">
        <x:v>566</x:v>
      </x:c>
      <x:c r="B1889" s="1" t="str">
        <x:v>Archen</x:v>
      </x:c>
      <x:c r="C1889" s="1" t="str">
        <x:v>Ancient Stone</x:v>
      </x:c>
      <x:c r="D1889" s="1" t="n">
        <x:v>1</x:v>
      </x:c>
      <x:c r="E1889" s="1" t="n">
        <x:v>1</x:v>
      </x:c>
      <x:c r="F1889" s="13" t="n">
        <x:v>0.001</x:v>
      </x:c>
      <x:c r="G1889" s="9" t="str">
        <x:v>https://poke.idleworld.online/pokepedia/pokemon/archen</x:v>
      </x:c>
    </x:row>
    <x:row r="1890" ht="22" customHeight="1">
      <x:c r="A1890" s="1" t="n">
        <x:v>567</x:v>
      </x:c>
      <x:c r="B1890" s="1" t="str">
        <x:v>Archeops</x:v>
      </x:c>
      <x:c r="C1890" s="1" t="str">
        <x:v>Small Stone</x:v>
      </x:c>
      <x:c r="D1890" s="1" t="n">
        <x:v>1</x:v>
      </x:c>
      <x:c r="E1890" s="1" t="n">
        <x:v>8</x:v>
      </x:c>
      <x:c r="F1890" s="13" t="n">
        <x:v>0.75</x:v>
      </x:c>
      <x:c r="G1890" s="9" t="str">
        <x:v>https://poke.idleworld.online/pokepedia/pokemon/archeops</x:v>
      </x:c>
    </x:row>
    <x:row r="1891" ht="22" customHeight="1">
      <x:c r="A1891" s="1" t="n">
        <x:v>567</x:v>
      </x:c>
      <x:c r="B1891" s="1" t="str">
        <x:v>Archeops</x:v>
      </x:c>
      <x:c r="C1891" s="1" t="str">
        <x:v>Mini Wings</x:v>
      </x:c>
      <x:c r="D1891" s="1" t="n">
        <x:v>1</x:v>
      </x:c>
      <x:c r="E1891" s="1" t="n">
        <x:v>1</x:v>
      </x:c>
      <x:c r="F1891" s="13" t="n">
        <x:v>0.06</x:v>
      </x:c>
      <x:c r="G1891" s="9" t="str">
        <x:v>https://poke.idleworld.online/pokepedia/pokemon/archeops</x:v>
      </x:c>
    </x:row>
    <x:row r="1892" ht="22" customHeight="1">
      <x:c r="A1892" s="1" t="n">
        <x:v>567</x:v>
      </x:c>
      <x:c r="B1892" s="1" t="str">
        <x:v>Archeops</x:v>
      </x:c>
      <x:c r="C1892" s="1" t="str">
        <x:v>Ancient Stone</x:v>
      </x:c>
      <x:c r="D1892" s="1" t="n">
        <x:v>1</x:v>
      </x:c>
      <x:c r="E1892" s="1" t="n">
        <x:v>1</x:v>
      </x:c>
      <x:c r="F1892" s="13" t="n">
        <x:v>0.0015</x:v>
      </x:c>
      <x:c r="G1892" s="9" t="str">
        <x:v>https://poke.idleworld.online/pokepedia/pokemon/archeops</x:v>
      </x:c>
    </x:row>
    <x:row r="1893" ht="22" customHeight="1">
      <x:c r="A1893" s="1" t="n">
        <x:v>571</x:v>
      </x:c>
      <x:c r="B1893" s="1" t="str">
        <x:v>Zoroark</x:v>
      </x:c>
      <x:c r="C1893" s="1" t="str">
        <x:v>Dark Gem</x:v>
      </x:c>
      <x:c r="D1893" s="1" t="n">
        <x:v>1</x:v>
      </x:c>
      <x:c r="E1893" s="1" t="n">
        <x:v>43</x:v>
      </x:c>
      <x:c r="F1893" s="13" t="n">
        <x:v>1</x:v>
      </x:c>
      <x:c r="G1893" s="9" t="str">
        <x:v>https://poke.idleworld.online/pokepedia/pokemon/zoroark</x:v>
      </x:c>
    </x:row>
    <x:row r="1894" ht="22" customHeight="1">
      <x:c r="A1894" s="1" t="n">
        <x:v>571</x:v>
      </x:c>
      <x:c r="B1894" s="1" t="str">
        <x:v>Zoroark</x:v>
      </x:c>
      <x:c r="C1894" s="1" t="str">
        <x:v>Nail</x:v>
      </x:c>
      <x:c r="D1894" s="1" t="n">
        <x:v>1</x:v>
      </x:c>
      <x:c r="E1894" s="1" t="n">
        <x:v>3</x:v>
      </x:c>
      <x:c r="F1894" s="13" t="n">
        <x:v>0.3</x:v>
      </x:c>
      <x:c r="G1894" s="9" t="str">
        <x:v>https://poke.idleworld.online/pokepedia/pokemon/zoroark</x:v>
      </x:c>
    </x:row>
    <x:row r="1895" ht="22" customHeight="1">
      <x:c r="A1895" s="1" t="n">
        <x:v>571</x:v>
      </x:c>
      <x:c r="B1895" s="1" t="str">
        <x:v>Zoroark</x:v>
      </x:c>
      <x:c r="C1895" s="1" t="str">
        <x:v>Darkness Stone</x:v>
      </x:c>
      <x:c r="D1895" s="1" t="n">
        <x:v>1</x:v>
      </x:c>
      <x:c r="E1895" s="1" t="n">
        <x:v>1</x:v>
      </x:c>
      <x:c r="F1895" s="13" t="n">
        <x:v>0.01</x:v>
      </x:c>
      <x:c r="G1895" s="9" t="str">
        <x:v>https://poke.idleworld.online/pokepedia/pokemon/zoroark</x:v>
      </x:c>
    </x:row>
    <x:row r="1896" ht="22" customHeight="1">
      <x:c r="A1896" s="1" t="n">
        <x:v>571</x:v>
      </x:c>
      <x:c r="B1896" s="1" t="str">
        <x:v>Zoroark</x:v>
      </x:c>
      <x:c r="C1896" s="1" t="str">
        <x:v>Cat Ear</x:v>
      </x:c>
      <x:c r="D1896" s="1" t="n">
        <x:v>1</x:v>
      </x:c>
      <x:c r="E1896" s="1" t="n">
        <x:v>1</x:v>
      </x:c>
      <x:c r="F1896" s="13" t="n">
        <x:v>0.01734</x:v>
      </x:c>
      <x:c r="G1896" s="9" t="str">
        <x:v>https://poke.idleworld.online/pokepedia/pokemon/zoroark</x:v>
      </x:c>
    </x:row>
    <x:row r="1897" ht="22" customHeight="1">
      <x:c r="A1897" s="1" t="n">
        <x:v>599</x:v>
      </x:c>
      <x:c r="B1897" s="1" t="str">
        <x:v>Klink</x:v>
      </x:c>
      <x:c r="C1897" s="1" t="str">
        <x:v>Compressed Steel</x:v>
      </x:c>
      <x:c r="D1897" s="1" t="n">
        <x:v>1</x:v>
      </x:c>
      <x:c r="E1897" s="1" t="n">
        <x:v>5</x:v>
      </x:c>
      <x:c r="F1897" s="13" t="n">
        <x:v>0.8</x:v>
      </x:c>
      <x:c r="G1897" s="9" t="str">
        <x:v>https://poke.idleworld.online/pokepedia/pokemon/klink</x:v>
      </x:c>
    </x:row>
    <x:row r="1898" ht="22" customHeight="1">
      <x:c r="A1898" s="1" t="n">
        <x:v>599</x:v>
      </x:c>
      <x:c r="B1898" s="1" t="str">
        <x:v>Klink</x:v>
      </x:c>
      <x:c r="C1898" s="1" t="str">
        <x:v>Metal Stone</x:v>
      </x:c>
      <x:c r="D1898" s="1" t="n">
        <x:v>1</x:v>
      </x:c>
      <x:c r="E1898" s="1" t="n">
        <x:v>1</x:v>
      </x:c>
      <x:c r="F1898" s="13" t="n">
        <x:v>0.01</x:v>
      </x:c>
      <x:c r="G1898" s="9" t="str">
        <x:v>https://poke.idleworld.online/pokepedia/pokemon/klink</x:v>
      </x:c>
    </x:row>
    <x:row r="1899" ht="22" customHeight="1">
      <x:c r="A1899" s="1" t="n">
        <x:v>600</x:v>
      </x:c>
      <x:c r="B1899" s="1" t="str">
        <x:v>Klang</x:v>
      </x:c>
      <x:c r="C1899" s="1" t="str">
        <x:v>Compressed Steel</x:v>
      </x:c>
      <x:c r="D1899" s="1" t="n">
        <x:v>1</x:v>
      </x:c>
      <x:c r="E1899" s="1" t="n">
        <x:v>5</x:v>
      </x:c>
      <x:c r="F1899" s="13" t="n">
        <x:v>0.8</x:v>
      </x:c>
      <x:c r="G1899" s="9" t="str">
        <x:v>https://poke.idleworld.online/pokepedia/pokemon/klang</x:v>
      </x:c>
    </x:row>
    <x:row r="1900" ht="22" customHeight="1">
      <x:c r="A1900" s="1" t="n">
        <x:v>600</x:v>
      </x:c>
      <x:c r="B1900" s="1" t="str">
        <x:v>Klang</x:v>
      </x:c>
      <x:c r="C1900" s="1" t="str">
        <x:v>Metal Stone</x:v>
      </x:c>
      <x:c r="D1900" s="1" t="n">
        <x:v>1</x:v>
      </x:c>
      <x:c r="E1900" s="1" t="n">
        <x:v>1</x:v>
      </x:c>
      <x:c r="F1900" s="13" t="n">
        <x:v>0.01</x:v>
      </x:c>
      <x:c r="G1900" s="9" t="str">
        <x:v>https://poke.idleworld.online/pokepedia/pokemon/klang</x:v>
      </x:c>
    </x:row>
    <x:row r="1901" ht="22" customHeight="1">
      <x:c r="A1901" s="1" t="n">
        <x:v>601</x:v>
      </x:c>
      <x:c r="B1901" s="1" t="str">
        <x:v>Klinklang</x:v>
      </x:c>
      <x:c r="C1901" s="1" t="str">
        <x:v>Compressed Steel</x:v>
      </x:c>
      <x:c r="D1901" s="1" t="n">
        <x:v>1</x:v>
      </x:c>
      <x:c r="E1901" s="1" t="n">
        <x:v>10</x:v>
      </x:c>
      <x:c r="F1901" s="13" t="n">
        <x:v>0.8</x:v>
      </x:c>
      <x:c r="G1901" s="9" t="str">
        <x:v>https://poke.idleworld.online/pokepedia/pokemon/klinklang</x:v>
      </x:c>
    </x:row>
    <x:row r="1902" ht="22" customHeight="1">
      <x:c r="A1902" s="1" t="n">
        <x:v>601</x:v>
      </x:c>
      <x:c r="B1902" s="1" t="str">
        <x:v>Klinklang</x:v>
      </x:c>
      <x:c r="C1902" s="1" t="str">
        <x:v>Metal Stone</x:v>
      </x:c>
      <x:c r="D1902" s="1" t="n">
        <x:v>1</x:v>
      </x:c>
      <x:c r="E1902" s="1" t="n">
        <x:v>1</x:v>
      </x:c>
      <x:c r="F1902" s="13" t="n">
        <x:v>0.01</x:v>
      </x:c>
      <x:c r="G1902" s="9" t="str">
        <x:v>https://poke.idleworld.online/pokepedia/pokemon/klinklang</x:v>
      </x:c>
    </x:row>
    <x:row r="1903" ht="22" customHeight="1">
      <x:c r="A1903" s="1" t="n">
        <x:v>603</x:v>
      </x:c>
      <x:c r="B1903" s="1" t="str">
        <x:v>Eelektrik</x:v>
      </x:c>
      <x:c r="C1903" s="1" t="str">
        <x:v>Big Screw</x:v>
      </x:c>
      <x:c r="D1903" s="1" t="n">
        <x:v>1</x:v>
      </x:c>
      <x:c r="E1903" s="1" t="n">
        <x:v>5</x:v>
      </x:c>
      <x:c r="F1903" s="13" t="n">
        <x:v>0.8</x:v>
      </x:c>
      <x:c r="G1903" s="9" t="str">
        <x:v>https://poke.idleworld.online/pokepedia/pokemon/eelektrik</x:v>
      </x:c>
    </x:row>
    <x:row r="1904" ht="22" customHeight="1">
      <x:c r="A1904" s="1" t="n">
        <x:v>603</x:v>
      </x:c>
      <x:c r="B1904" s="1" t="str">
        <x:v>Eelektrik</x:v>
      </x:c>
      <x:c r="C1904" s="1" t="str">
        <x:v>Thunder Stone</x:v>
      </x:c>
      <x:c r="D1904" s="1" t="n">
        <x:v>1</x:v>
      </x:c>
      <x:c r="E1904" s="1" t="n">
        <x:v>1</x:v>
      </x:c>
      <x:c r="F1904" s="13" t="n">
        <x:v>0.03</x:v>
      </x:c>
      <x:c r="G1904" s="9" t="str">
        <x:v>https://poke.idleworld.online/pokepedia/pokemon/eelektrik</x:v>
      </x:c>
    </x:row>
    <x:row r="1905" ht="22" customHeight="1">
      <x:c r="A1905" s="1" t="n">
        <x:v>627</x:v>
      </x:c>
      <x:c r="B1905" s="1" t="str">
        <x:v>Rufflet</x:v>
      </x:c>
      <x:c r="C1905" s="1" t="str">
        <x:v>Feather</x:v>
      </x:c>
      <x:c r="D1905" s="1" t="n">
        <x:v>1</x:v>
      </x:c>
      <x:c r="E1905" s="1" t="n">
        <x:v>1</x:v>
      </x:c>
      <x:c r="F1905" s="13" t="n">
        <x:v>0.02759</x:v>
      </x:c>
      <x:c r="G1905" s="9" t="str">
        <x:v>https://poke.idleworld.online/pokepedia/pokemon/rufflet</x:v>
      </x:c>
    </x:row>
    <x:row r="1906" ht="22" customHeight="1">
      <x:c r="A1906" s="1" t="n">
        <x:v>627</x:v>
      </x:c>
      <x:c r="B1906" s="1" t="str">
        <x:v>Rufflet</x:v>
      </x:c>
      <x:c r="C1906" s="1" t="str">
        <x:v>Feather Stone</x:v>
      </x:c>
      <x:c r="D1906" s="1" t="n">
        <x:v>1</x:v>
      </x:c>
      <x:c r="E1906" s="1" t="n">
        <x:v>1</x:v>
      </x:c>
      <x:c r="F1906" s="13" t="n">
        <x:v>0.01</x:v>
      </x:c>
      <x:c r="G1906" s="9" t="str">
        <x:v>https://poke.idleworld.online/pokepedia/pokemon/rufflet</x:v>
      </x:c>
    </x:row>
    <x:row r="1907" ht="22" customHeight="1">
      <x:c r="A1907" s="1" t="n">
        <x:v>628</x:v>
      </x:c>
      <x:c r="B1907" s="1" t="str">
        <x:v>Braviary</x:v>
      </x:c>
      <x:c r="C1907" s="1" t="str">
        <x:v>Feather</x:v>
      </x:c>
      <x:c r="D1907" s="1" t="n">
        <x:v>1</x:v>
      </x:c>
      <x:c r="E1907" s="1" t="n">
        <x:v>1</x:v>
      </x:c>
      <x:c r="F1907" s="13" t="n">
        <x:v>0.02759</x:v>
      </x:c>
      <x:c r="G1907" s="9" t="str">
        <x:v>https://poke.idleworld.online/pokepedia/pokemon/braviary</x:v>
      </x:c>
    </x:row>
    <x:row r="1908" ht="22" customHeight="1">
      <x:c r="A1908" s="1" t="n">
        <x:v>628</x:v>
      </x:c>
      <x:c r="B1908" s="1" t="str">
        <x:v>Braviary</x:v>
      </x:c>
      <x:c r="C1908" s="1" t="str">
        <x:v>Feather Stone</x:v>
      </x:c>
      <x:c r="D1908" s="1" t="n">
        <x:v>1</x:v>
      </x:c>
      <x:c r="E1908" s="1" t="n">
        <x:v>1</x:v>
      </x:c>
      <x:c r="F1908" s="13" t="n">
        <x:v>0.01</x:v>
      </x:c>
      <x:c r="G1908" s="9" t="str">
        <x:v>https://poke.idleworld.online/pokepedia/pokemon/braviary</x:v>
      </x:c>
    </x:row>
    <x:row r="1909" ht="22" customHeight="1">
      <x:c r="A1909" s="1" t="n">
        <x:v>636</x:v>
      </x:c>
      <x:c r="B1909" s="1" t="str">
        <x:v>Larvesta</x:v>
      </x:c>
      <x:c r="C1909" s="1" t="str">
        <x:v>Essence of Fire</x:v>
      </x:c>
      <x:c r="D1909" s="1" t="n">
        <x:v>1</x:v>
      </x:c>
      <x:c r="E1909" s="1" t="n">
        <x:v>5</x:v>
      </x:c>
      <x:c r="F1909" s="13" t="n">
        <x:v>0.6</x:v>
      </x:c>
      <x:c r="G1909" s="9" t="str">
        <x:v>https://poke.idleworld.online/pokepedia/pokemon/larvesta</x:v>
      </x:c>
    </x:row>
    <x:row r="1910" ht="22" customHeight="1">
      <x:c r="A1910" s="1" t="n">
        <x:v>636</x:v>
      </x:c>
      <x:c r="B1910" s="1" t="str">
        <x:v>Larvesta</x:v>
      </x:c>
      <x:c r="C1910" s="1" t="str">
        <x:v>Bag of Pollen</x:v>
      </x:c>
      <x:c r="D1910" s="1" t="n">
        <x:v>1</x:v>
      </x:c>
      <x:c r="E1910" s="1" t="n">
        <x:v>2</x:v>
      </x:c>
      <x:c r="F1910" s="13" t="n">
        <x:v>0.3</x:v>
      </x:c>
      <x:c r="G1910" s="9" t="str">
        <x:v>https://poke.idleworld.online/pokepedia/pokemon/larvesta</x:v>
      </x:c>
    </x:row>
    <x:row r="1911" ht="22" customHeight="1">
      <x:c r="A1911" s="1" t="n">
        <x:v>637</x:v>
      </x:c>
      <x:c r="B1911" s="1" t="str">
        <x:v>Volcarona</x:v>
      </x:c>
      <x:c r="C1911" s="1" t="str">
        <x:v>Essence of Fire</x:v>
      </x:c>
      <x:c r="D1911" s="1" t="n">
        <x:v>1</x:v>
      </x:c>
      <x:c r="E1911" s="1" t="n">
        <x:v>10</x:v>
      </x:c>
      <x:c r="F1911" s="13" t="n">
        <x:v>0.75</x:v>
      </x:c>
      <x:c r="G1911" s="9" t="str">
        <x:v>https://poke.idleworld.online/pokepedia/pokemon/volcarona</x:v>
      </x:c>
    </x:row>
    <x:row r="1912" ht="22" customHeight="1">
      <x:c r="A1912" s="1" t="n">
        <x:v>637</x:v>
      </x:c>
      <x:c r="B1912" s="1" t="str">
        <x:v>Volcarona</x:v>
      </x:c>
      <x:c r="C1912" s="1" t="str">
        <x:v>Bag of Pollen</x:v>
      </x:c>
      <x:c r="D1912" s="1" t="n">
        <x:v>1</x:v>
      </x:c>
      <x:c r="E1912" s="1" t="n">
        <x:v>3</x:v>
      </x:c>
      <x:c r="F1912" s="13" t="n">
        <x:v>0.3</x:v>
      </x:c>
      <x:c r="G1912" s="9" t="str">
        <x:v>https://poke.idleworld.online/pokepedia/pokemon/volcarona</x:v>
      </x:c>
    </x:row>
    <x:row r="1913" ht="22" customHeight="1">
      <x:c r="A1913" s="1" t="n">
        <x:v>637</x:v>
      </x:c>
      <x:c r="B1913" s="1" t="str">
        <x:v>Volcarona</x:v>
      </x:c>
      <x:c r="C1913" s="1" t="str">
        <x:v>Fire Stone</x:v>
      </x:c>
      <x:c r="D1913" s="1" t="n">
        <x:v>1</x:v>
      </x:c>
      <x:c r="E1913" s="1" t="n">
        <x:v>1</x:v>
      </x:c>
      <x:c r="F1913" s="13" t="n">
        <x:v>0.01</x:v>
      </x:c>
      <x:c r="G1913" s="9" t="str">
        <x:v>https://poke.idleworld.online/pokepedia/pokemon/volcarona</x:v>
      </x:c>
    </x:row>
    <x:row r="1914" ht="22" customHeight="1">
      <x:c r="A1914" s="1" t="n">
        <x:v>667</x:v>
      </x:c>
      <x:c r="B1914" s="1" t="str">
        <x:v>Litleo</x:v>
      </x:c>
      <x:c r="C1914" s="1" t="str">
        <x:v>Compressed Fire</x:v>
      </x:c>
      <x:c r="D1914" s="1" t="n">
        <x:v>1</x:v>
      </x:c>
      <x:c r="E1914" s="1" t="n">
        <x:v>5</x:v>
      </x:c>
      <x:c r="F1914" s="13" t="n">
        <x:v>0.8</x:v>
      </x:c>
      <x:c r="G1914" s="9" t="str">
        <x:v>https://poke.idleworld.online/pokepedia/pokemon/litleo</x:v>
      </x:c>
    </x:row>
    <x:row r="1915" ht="22" customHeight="1">
      <x:c r="A1915" s="1" t="n">
        <x:v>667</x:v>
      </x:c>
      <x:c r="B1915" s="1" t="str">
        <x:v>Litleo</x:v>
      </x:c>
      <x:c r="C1915" s="1" t="str">
        <x:v>Fire Stone</x:v>
      </x:c>
      <x:c r="D1915" s="1" t="n">
        <x:v>1</x:v>
      </x:c>
      <x:c r="E1915" s="1" t="n">
        <x:v>1</x:v>
      </x:c>
      <x:c r="F1915" s="13" t="n">
        <x:v>0.03</x:v>
      </x:c>
      <x:c r="G1915" s="9" t="str">
        <x:v>https://poke.idleworld.online/pokepedia/pokemon/litleo</x:v>
      </x:c>
    </x:row>
    <x:row r="1916" ht="22" customHeight="1">
      <x:c r="A1916" s="1" t="n">
        <x:v>667</x:v>
      </x:c>
      <x:c r="B1916" s="1" t="str">
        <x:v>Litleo</x:v>
      </x:c>
      <x:c r="C1916" s="1" t="str">
        <x:v>Leather</x:v>
      </x:c>
      <x:c r="D1916" s="1" t="n">
        <x:v>1</x:v>
      </x:c>
      <x:c r="E1916" s="1" t="n">
        <x:v>1</x:v>
      </x:c>
      <x:c r="F1916" s="13" t="n">
        <x:v>0.01</x:v>
      </x:c>
      <x:c r="G1916" s="9" t="str">
        <x:v>https://poke.idleworld.online/pokepedia/pokemon/litleo</x:v>
      </x:c>
    </x:row>
    <x:row r="1917" ht="22" customHeight="1">
      <x:c r="A1917" s="1" t="n">
        <x:v>669</x:v>
      </x:c>
      <x:c r="B1917" s="1" t="str">
        <x:v>Flabebe</x:v>
      </x:c>
      <x:c r="C1917" s="1" t="str">
        <x:v>Cure Flower</x:v>
      </x:c>
      <x:c r="D1917" s="1" t="n">
        <x:v>1</x:v>
      </x:c>
      <x:c r="E1917" s="1" t="n">
        <x:v>1</x:v>
      </x:c>
      <x:c r="F1917" s="13" t="n">
        <x:v>0.3</x:v>
      </x:c>
      <x:c r="G1917" s="9" t="str">
        <x:v>https://poke.idleworld.online/pokepedia/pokemon/flabebe</x:v>
      </x:c>
    </x:row>
    <x:row r="1918" ht="22" customHeight="1">
      <x:c r="A1918" s="1" t="n">
        <x:v>669</x:v>
      </x:c>
      <x:c r="B1918" s="1" t="str">
        <x:v>Flabebe</x:v>
      </x:c>
      <x:c r="C1918" s="1" t="str">
        <x:v>Seed</x:v>
      </x:c>
      <x:c r="D1918" s="1" t="n">
        <x:v>1</x:v>
      </x:c>
      <x:c r="E1918" s="1" t="n">
        <x:v>3</x:v>
      </x:c>
      <x:c r="F1918" s="13" t="n">
        <x:v>0.6</x:v>
      </x:c>
      <x:c r="G1918" s="9" t="str">
        <x:v>https://poke.idleworld.online/pokepedia/pokemon/flabebe</x:v>
      </x:c>
    </x:row>
    <x:row r="1919" ht="22" customHeight="1">
      <x:c r="A1919" s="1" t="n">
        <x:v>670</x:v>
      </x:c>
      <x:c r="B1919" s="1" t="str">
        <x:v>Floette</x:v>
      </x:c>
      <x:c r="C1919" s="1" t="str">
        <x:v>Heart Stone</x:v>
      </x:c>
      <x:c r="D1919" s="1" t="n">
        <x:v>1</x:v>
      </x:c>
      <x:c r="E1919" s="1" t="n">
        <x:v>1</x:v>
      </x:c>
      <x:c r="F1919" s="13" t="n">
        <x:v>0.0007379999999999999</x:v>
      </x:c>
      <x:c r="G1919" s="9" t="str">
        <x:v>https://poke.idleworld.online/pokepedia/pokemon/floette</x:v>
      </x:c>
    </x:row>
    <x:row r="1920" ht="22" customHeight="1">
      <x:c r="A1920" s="1" t="n">
        <x:v>670</x:v>
      </x:c>
      <x:c r="B1920" s="1" t="str">
        <x:v>Floette</x:v>
      </x:c>
      <x:c r="C1920" s="1" t="str">
        <x:v>Mystic Flower</x:v>
      </x:c>
      <x:c r="D1920" s="1" t="n">
        <x:v>1</x:v>
      </x:c>
      <x:c r="E1920" s="1" t="n">
        <x:v>1</x:v>
      </x:c>
      <x:c r="F1920" s="13" t="n">
        <x:v>0.0191333</x:v>
      </x:c>
      <x:c r="G1920" s="9" t="str">
        <x:v>https://poke.idleworld.online/pokepedia/pokemon/floette</x:v>
      </x:c>
    </x:row>
    <x:row r="1921" ht="22" customHeight="1">
      <x:c r="A1921" s="1" t="n">
        <x:v>671</x:v>
      </x:c>
      <x:c r="B1921" s="1" t="str">
        <x:v>Florges</x:v>
      </x:c>
      <x:c r="C1921" s="1" t="str">
        <x:v>Crystal Stone</x:v>
      </x:c>
      <x:c r="D1921" s="1" t="n">
        <x:v>1</x:v>
      </x:c>
      <x:c r="E1921" s="1" t="n">
        <x:v>1</x:v>
      </x:c>
      <x:c r="F1921" s="13" t="n">
        <x:v>0.0000738</x:v>
      </x:c>
      <x:c r="G1921" s="9" t="str">
        <x:v>https://poke.idleworld.online/pokepedia/pokemon/florges</x:v>
      </x:c>
    </x:row>
    <x:row r="1922" ht="22" customHeight="1">
      <x:c r="A1922" s="1" t="n">
        <x:v>671</x:v>
      </x:c>
      <x:c r="B1922" s="1" t="str">
        <x:v>Florges</x:v>
      </x:c>
      <x:c r="C1922" s="1" t="str">
        <x:v>Heart Stone</x:v>
      </x:c>
      <x:c r="D1922" s="1" t="n">
        <x:v>1</x:v>
      </x:c>
      <x:c r="E1922" s="1" t="n">
        <x:v>1</x:v>
      </x:c>
      <x:c r="F1922" s="13" t="n">
        <x:v>0.0007379999999999999</x:v>
      </x:c>
      <x:c r="G1922" s="9" t="str">
        <x:v>https://poke.idleworld.online/pokepedia/pokemon/florges</x:v>
      </x:c>
    </x:row>
    <x:row r="1923" ht="22" customHeight="1">
      <x:c r="A1923" s="1" t="n">
        <x:v>671</x:v>
      </x:c>
      <x:c r="B1923" s="1" t="str">
        <x:v>Florges</x:v>
      </x:c>
      <x:c r="C1923" s="1" t="str">
        <x:v>Mystic Flower</x:v>
      </x:c>
      <x:c r="D1923" s="1" t="n">
        <x:v>1</x:v>
      </x:c>
      <x:c r="E1923" s="1" t="n">
        <x:v>1</x:v>
      </x:c>
      <x:c r="F1923" s="13" t="n">
        <x:v>0.027333299999999998</x:v>
      </x:c>
      <x:c r="G1923" s="9" t="str">
        <x:v>https://poke.idleworld.online/pokepedia/pokemon/florges</x:v>
      </x:c>
    </x:row>
    <x:row r="1924" ht="22" customHeight="1">
      <x:c r="A1924" s="1" t="n">
        <x:v>671</x:v>
      </x:c>
      <x:c r="B1924" s="1" t="str">
        <x:v>Florges</x:v>
      </x:c>
      <x:c r="C1924" s="1" t="str">
        <x:v>Mystic Petal</x:v>
      </x:c>
      <x:c r="D1924" s="1" t="n">
        <x:v>1</x:v>
      </x:c>
      <x:c r="E1924" s="1" t="n">
        <x:v>1</x:v>
      </x:c>
      <x:c r="F1924" s="13" t="n">
        <x:v>0.027333299999999998</x:v>
      </x:c>
      <x:c r="G1924" s="9" t="str">
        <x:v>https://poke.idleworld.online/pokepedia/pokemon/florges</x:v>
      </x:c>
    </x:row>
    <x:row r="1925" ht="22" customHeight="1">
      <x:c r="A1925" s="1" t="n">
        <x:v>672</x:v>
      </x:c>
      <x:c r="B1925" s="1" t="str">
        <x:v>Skiddo</x:v>
      </x:c>
      <x:c r="C1925" s="1" t="str">
        <x:v>Pile Of Seeds</x:v>
      </x:c>
      <x:c r="D1925" s="1" t="n">
        <x:v>1</x:v>
      </x:c>
      <x:c r="E1925" s="1" t="n">
        <x:v>5</x:v>
      </x:c>
      <x:c r="F1925" s="13" t="n">
        <x:v>0.8</x:v>
      </x:c>
      <x:c r="G1925" s="9" t="str">
        <x:v>https://poke.idleworld.online/pokepedia/pokemon/skiddo</x:v>
      </x:c>
    </x:row>
    <x:row r="1926" ht="22" customHeight="1">
      <x:c r="A1926" s="1" t="n">
        <x:v>672</x:v>
      </x:c>
      <x:c r="B1926" s="1" t="str">
        <x:v>Skiddo</x:v>
      </x:c>
      <x:c r="C1926" s="1" t="str">
        <x:v>Leaf Stone</x:v>
      </x:c>
      <x:c r="D1926" s="1" t="n">
        <x:v>1</x:v>
      </x:c>
      <x:c r="E1926" s="1" t="n">
        <x:v>1</x:v>
      </x:c>
      <x:c r="F1926" s="13" t="n">
        <x:v>0.03</x:v>
      </x:c>
      <x:c r="G1926" s="9" t="str">
        <x:v>https://poke.idleworld.online/pokepedia/pokemon/skiddo</x:v>
      </x:c>
    </x:row>
    <x:row r="1927" ht="22" customHeight="1">
      <x:c r="A1927" s="1" t="n">
        <x:v>674</x:v>
      </x:c>
      <x:c r="B1927" s="1" t="str">
        <x:v>Pancham</x:v>
      </x:c>
      <x:c r="C1927" s="1" t="str">
        <x:v>Rubber Ball</x:v>
      </x:c>
      <x:c r="D1927" s="1" t="n">
        <x:v>1</x:v>
      </x:c>
      <x:c r="E1927" s="1" t="n">
        <x:v>5</x:v>
      </x:c>
      <x:c r="F1927" s="13" t="n">
        <x:v>0.6</x:v>
      </x:c>
      <x:c r="G1927" s="9" t="str">
        <x:v>https://poke.idleworld.online/pokepedia/pokemon/pancham</x:v>
      </x:c>
    </x:row>
    <x:row r="1928" ht="22" customHeight="1">
      <x:c r="A1928" s="1" t="n">
        <x:v>674</x:v>
      </x:c>
      <x:c r="B1928" s="1" t="str">
        <x:v>Pancham</x:v>
      </x:c>
      <x:c r="C1928" s="1" t="str">
        <x:v>Nail</x:v>
      </x:c>
      <x:c r="D1928" s="1" t="n">
        <x:v>1</x:v>
      </x:c>
      <x:c r="E1928" s="1" t="n">
        <x:v>2</x:v>
      </x:c>
      <x:c r="F1928" s="13" t="n">
        <x:v>0.2</x:v>
      </x:c>
      <x:c r="G1928" s="9" t="str">
        <x:v>https://poke.idleworld.online/pokepedia/pokemon/pancham</x:v>
      </x:c>
    </x:row>
    <x:row r="1929" ht="22" customHeight="1">
      <x:c r="A1929" s="1" t="n">
        <x:v>675</x:v>
      </x:c>
      <x:c r="B1929" s="1" t="str">
        <x:v>Pangoro</x:v>
      </x:c>
      <x:c r="C1929" s="1" t="str">
        <x:v>Rubber Ball</x:v>
      </x:c>
      <x:c r="D1929" s="1" t="n">
        <x:v>1</x:v>
      </x:c>
      <x:c r="E1929" s="1" t="n">
        <x:v>8</x:v>
      </x:c>
      <x:c r="F1929" s="13" t="n">
        <x:v>0.7</x:v>
      </x:c>
      <x:c r="G1929" s="9" t="str">
        <x:v>https://poke.idleworld.online/pokepedia/pokemon/pangoro</x:v>
      </x:c>
    </x:row>
    <x:row r="1930" ht="22" customHeight="1">
      <x:c r="A1930" s="1" t="n">
        <x:v>675</x:v>
      </x:c>
      <x:c r="B1930" s="1" t="str">
        <x:v>Pangoro</x:v>
      </x:c>
      <x:c r="C1930" s="1" t="str">
        <x:v>Nail</x:v>
      </x:c>
      <x:c r="D1930" s="1" t="n">
        <x:v>1</x:v>
      </x:c>
      <x:c r="E1930" s="1" t="n">
        <x:v>3</x:v>
      </x:c>
      <x:c r="F1930" s="13" t="n">
        <x:v>0.3</x:v>
      </x:c>
      <x:c r="G1930" s="9" t="str">
        <x:v>https://poke.idleworld.online/pokepedia/pokemon/pangoro</x:v>
      </x:c>
    </x:row>
    <x:row r="1931" ht="22" customHeight="1">
      <x:c r="A1931" s="1" t="n">
        <x:v>675</x:v>
      </x:c>
      <x:c r="B1931" s="1" t="str">
        <x:v>Pangoro</x:v>
      </x:c>
      <x:c r="C1931" s="1" t="str">
        <x:v>Dark Gem</x:v>
      </x:c>
      <x:c r="D1931" s="1" t="n">
        <x:v>1</x:v>
      </x:c>
      <x:c r="E1931" s="1" t="n">
        <x:v>2</x:v>
      </x:c>
      <x:c r="F1931" s="13" t="n">
        <x:v>0.1</x:v>
      </x:c>
      <x:c r="G1931" s="9" t="str">
        <x:v>https://poke.idleworld.online/pokepedia/pokemon/pangoro</x:v>
      </x:c>
    </x:row>
    <x:row r="1932" ht="22" customHeight="1">
      <x:c r="A1932" s="1" t="n">
        <x:v>677</x:v>
      </x:c>
      <x:c r="B1932" s="1" t="str">
        <x:v>Espurr</x:v>
      </x:c>
      <x:c r="C1932" s="1" t="str">
        <x:v>Enigma Stone</x:v>
      </x:c>
      <x:c r="D1932" s="1" t="n">
        <x:v>1</x:v>
      </x:c>
      <x:c r="E1932" s="1" t="n">
        <x:v>1</x:v>
      </x:c>
      <x:c r="F1932" s="13" t="n">
        <x:v>0.01</x:v>
      </x:c>
      <x:c r="G1932" s="9" t="str">
        <x:v>https://poke.idleworld.online/pokepedia/pokemon/espurr</x:v>
      </x:c>
    </x:row>
    <x:row r="1933" ht="22" customHeight="1">
      <x:c r="A1933" s="1" t="n">
        <x:v>677</x:v>
      </x:c>
      <x:c r="B1933" s="1" t="str">
        <x:v>Espurr</x:v>
      </x:c>
      <x:c r="C1933" s="1" t="str">
        <x:v>Future Orb</x:v>
      </x:c>
      <x:c r="D1933" s="1" t="n">
        <x:v>1</x:v>
      </x:c>
      <x:c r="E1933" s="1" t="n">
        <x:v>1</x:v>
      </x:c>
      <x:c r="F1933" s="13" t="n">
        <x:v>0.02759</x:v>
      </x:c>
      <x:c r="G1933" s="9" t="str">
        <x:v>https://poke.idleworld.online/pokepedia/pokemon/espurr</x:v>
      </x:c>
    </x:row>
    <x:row r="1934" ht="22" customHeight="1">
      <x:c r="A1934" s="1" t="n">
        <x:v>681</x:v>
      </x:c>
      <x:c r="B1934" s="1" t="str">
        <x:v>Aegislash</x:v>
      </x:c>
      <x:c r="C1934" s="1" t="str">
        <x:v>Piece of Steel</x:v>
      </x:c>
      <x:c r="D1934" s="1" t="n">
        <x:v>1</x:v>
      </x:c>
      <x:c r="E1934" s="1" t="n">
        <x:v>12</x:v>
      </x:c>
      <x:c r="F1934" s="13" t="n">
        <x:v>0.75</x:v>
      </x:c>
      <x:c r="G1934" s="9" t="str">
        <x:v>https://poke.idleworld.online/pokepedia/pokemon/aegislash</x:v>
      </x:c>
    </x:row>
    <x:row r="1935" ht="22" customHeight="1">
      <x:c r="A1935" s="1" t="n">
        <x:v>681</x:v>
      </x:c>
      <x:c r="B1935" s="1" t="str">
        <x:v>Aegislash</x:v>
      </x:c>
      <x:c r="C1935" s="1" t="str">
        <x:v>Ghost Essence</x:v>
      </x:c>
      <x:c r="D1935" s="1" t="n">
        <x:v>1</x:v>
      </x:c>
      <x:c r="E1935" s="1" t="n">
        <x:v>5</x:v>
      </x:c>
      <x:c r="F1935" s="13" t="n">
        <x:v>0.3</x:v>
      </x:c>
      <x:c r="G1935" s="9" t="str">
        <x:v>https://poke.idleworld.online/pokepedia/pokemon/aegislash</x:v>
      </x:c>
    </x:row>
    <x:row r="1936" ht="22" customHeight="1">
      <x:c r="A1936" s="1" t="n">
        <x:v>681</x:v>
      </x:c>
      <x:c r="B1936" s="1" t="str">
        <x:v>Aegislash</x:v>
      </x:c>
      <x:c r="C1936" s="1" t="str">
        <x:v>Metal Stone</x:v>
      </x:c>
      <x:c r="D1936" s="1" t="n">
        <x:v>1</x:v>
      </x:c>
      <x:c r="E1936" s="1" t="n">
        <x:v>1</x:v>
      </x:c>
      <x:c r="F1936" s="13" t="n">
        <x:v>0.015</x:v>
      </x:c>
      <x:c r="G1936" s="9" t="str">
        <x:v>https://poke.idleworld.online/pokepedia/pokemon/aegislash</x:v>
      </x:c>
    </x:row>
    <x:row r="1937" ht="22" customHeight="1">
      <x:c r="A1937" s="1" t="n">
        <x:v>690</x:v>
      </x:c>
      <x:c r="B1937" s="1" t="str">
        <x:v>Skrelp</x:v>
      </x:c>
      <x:c r="C1937" s="1" t="str">
        <x:v>Dragon Scale</x:v>
      </x:c>
      <x:c r="D1937" s="1" t="n">
        <x:v>1</x:v>
      </x:c>
      <x:c r="E1937" s="1" t="n">
        <x:v>1</x:v>
      </x:c>
      <x:c r="F1937" s="13" t="n">
        <x:v>0.2</x:v>
      </x:c>
      <x:c r="G1937" s="9" t="str">
        <x:v>https://poke.idleworld.online/pokepedia/pokemon/skrelp</x:v>
      </x:c>
    </x:row>
    <x:row r="1938" ht="22" customHeight="1">
      <x:c r="A1938" s="1" t="n">
        <x:v>690</x:v>
      </x:c>
      <x:c r="B1938" s="1" t="str">
        <x:v>Skrelp</x:v>
      </x:c>
      <x:c r="C1938" s="1" t="str">
        <x:v>Bottles of Poison</x:v>
      </x:c>
      <x:c r="D1938" s="1" t="n">
        <x:v>1</x:v>
      </x:c>
      <x:c r="E1938" s="1" t="n">
        <x:v>4</x:v>
      </x:c>
      <x:c r="F1938" s="13" t="n">
        <x:v>0.6</x:v>
      </x:c>
      <x:c r="G1938" s="9" t="str">
        <x:v>https://poke.idleworld.online/pokepedia/pokemon/skrelp</x:v>
      </x:c>
    </x:row>
    <x:row r="1939" ht="22" customHeight="1">
      <x:c r="A1939" s="1" t="n">
        <x:v>691</x:v>
      </x:c>
      <x:c r="B1939" s="1" t="str">
        <x:v>Dragalge</x:v>
      </x:c>
      <x:c r="C1939" s="1" t="str">
        <x:v>Dragon Scale</x:v>
      </x:c>
      <x:c r="D1939" s="1" t="n">
        <x:v>1</x:v>
      </x:c>
      <x:c r="E1939" s="1" t="n">
        <x:v>2</x:v>
      </x:c>
      <x:c r="F1939" s="13" t="n">
        <x:v>0.4</x:v>
      </x:c>
      <x:c r="G1939" s="9" t="str">
        <x:v>https://poke.idleworld.online/pokepedia/pokemon/dragalge</x:v>
      </x:c>
    </x:row>
    <x:row r="1940" ht="22" customHeight="1">
      <x:c r="A1940" s="1" t="n">
        <x:v>691</x:v>
      </x:c>
      <x:c r="B1940" s="1" t="str">
        <x:v>Dragalge</x:v>
      </x:c>
      <x:c r="C1940" s="1" t="str">
        <x:v>Bottles of Poison</x:v>
      </x:c>
      <x:c r="D1940" s="1" t="n">
        <x:v>1</x:v>
      </x:c>
      <x:c r="E1940" s="1" t="n">
        <x:v>5</x:v>
      </x:c>
      <x:c r="F1940" s="13" t="n">
        <x:v>0.7</x:v>
      </x:c>
      <x:c r="G1940" s="9" t="str">
        <x:v>https://poke.idleworld.online/pokepedia/pokemon/dragalge</x:v>
      </x:c>
    </x:row>
    <x:row r="1941" ht="22" customHeight="1">
      <x:c r="A1941" s="1" t="n">
        <x:v>700</x:v>
      </x:c>
      <x:c r="B1941" s="1" t="str">
        <x:v>Sylveon</x:v>
      </x:c>
      <x:c r="C1941" s="1" t="str">
        <x:v>Strange Pheromone</x:v>
      </x:c>
      <x:c r="D1941" s="1" t="n">
        <x:v>1</x:v>
      </x:c>
      <x:c r="E1941" s="1" t="n">
        <x:v>1</x:v>
      </x:c>
      <x:c r="F1941" s="13" t="n">
        <x:v>0</x:v>
      </x:c>
      <x:c r="G1941" s="9" t="str">
        <x:v>https://poke.idleworld.online/pokepedia/pokemon/sylveon</x:v>
      </x:c>
    </x:row>
    <x:row r="1942" ht="22" customHeight="1">
      <x:c r="A1942" s="1" t="n">
        <x:v>700</x:v>
      </x:c>
      <x:c r="B1942" s="1" t="str">
        <x:v>Sylveon</x:v>
      </x:c>
      <x:c r="C1942" s="1" t="str">
        <x:v>Enchanted Gem</x:v>
      </x:c>
      <x:c r="D1942" s="1" t="n">
        <x:v>1</x:v>
      </x:c>
      <x:c r="E1942" s="1" t="n">
        <x:v>14</x:v>
      </x:c>
      <x:c r="F1942" s="13" t="n">
        <x:v>0.95</x:v>
      </x:c>
      <x:c r="G1942" s="9" t="str">
        <x:v>https://poke.idleworld.online/pokepedia/pokemon/sylveon</x:v>
      </x:c>
    </x:row>
    <x:row r="1943" ht="22" customHeight="1">
      <x:c r="A1943" s="1" t="n">
        <x:v>700</x:v>
      </x:c>
      <x:c r="B1943" s="1" t="str">
        <x:v>Sylveon</x:v>
      </x:c>
      <x:c r="C1943" s="1" t="str">
        <x:v>Heart Stone</x:v>
      </x:c>
      <x:c r="D1943" s="1" t="n">
        <x:v>1</x:v>
      </x:c>
      <x:c r="E1943" s="1" t="n">
        <x:v>1</x:v>
      </x:c>
      <x:c r="F1943" s="13" t="n">
        <x:v>0.003</x:v>
      </x:c>
      <x:c r="G1943" s="9" t="str">
        <x:v>https://poke.idleworld.online/pokepedia/pokemon/sylveon</x:v>
      </x:c>
    </x:row>
    <x:row r="1944" ht="22" customHeight="1">
      <x:c r="A1944" s="1" t="n">
        <x:v>700</x:v>
      </x:c>
      <x:c r="B1944" s="1" t="str">
        <x:v>Sylveon</x:v>
      </x:c>
      <x:c r="C1944" s="1" t="str">
        <x:v>Mystic Petal</x:v>
      </x:c>
      <x:c r="D1944" s="1" t="n">
        <x:v>1</x:v>
      </x:c>
      <x:c r="E1944" s="1" t="n">
        <x:v>1</x:v>
      </x:c>
      <x:c r="F1944" s="13" t="n">
        <x:v>0.2</x:v>
      </x:c>
      <x:c r="G1944" s="9" t="str">
        <x:v>https://poke.idleworld.online/pokepedia/pokemon/sylveon</x:v>
      </x:c>
    </x:row>
    <x:row r="1945" ht="22" customHeight="1">
      <x:c r="A1945" s="1" t="n">
        <x:v>700</x:v>
      </x:c>
      <x:c r="B1945" s="1" t="str">
        <x:v>Sylveon</x:v>
      </x:c>
      <x:c r="C1945" s="1" t="str">
        <x:v>Sylveon Bag</x:v>
      </x:c>
      <x:c r="D1945" s="1" t="n">
        <x:v>1</x:v>
      </x:c>
      <x:c r="E1945" s="1" t="n">
        <x:v>1</x:v>
      </x:c>
      <x:c r="F1945" s="13" t="n">
        <x:v>0.01</x:v>
      </x:c>
      <x:c r="G1945" s="9" t="str">
        <x:v>https://poke.idleworld.online/pokepedia/pokemon/sylveon</x:v>
      </x:c>
    </x:row>
    <x:row r="1946" ht="22" customHeight="1">
      <x:c r="A1946" s="1" t="n">
        <x:v>704</x:v>
      </x:c>
      <x:c r="B1946" s="1" t="str">
        <x:v>Goomy</x:v>
      </x:c>
      <x:c r="C1946" s="1" t="str">
        <x:v>Crystal Stone</x:v>
      </x:c>
      <x:c r="D1946" s="1" t="n">
        <x:v>1</x:v>
      </x:c>
      <x:c r="E1946" s="1" t="n">
        <x:v>1</x:v>
      </x:c>
      <x:c r="F1946" s="13" t="n">
        <x:v>0.01</x:v>
      </x:c>
      <x:c r="G1946" s="9" t="str">
        <x:v>https://poke.idleworld.online/pokepedia/pokemon/goomy</x:v>
      </x:c>
    </x:row>
    <x:row r="1947" ht="22" customHeight="1">
      <x:c r="A1947" s="1" t="n">
        <x:v>705</x:v>
      </x:c>
      <x:c r="B1947" s="1" t="str">
        <x:v>Sliggoo</x:v>
      </x:c>
      <x:c r="C1947" s="1" t="str">
        <x:v>Crystal Stone</x:v>
      </x:c>
      <x:c r="D1947" s="1" t="n">
        <x:v>1</x:v>
      </x:c>
      <x:c r="E1947" s="1" t="n">
        <x:v>1</x:v>
      </x:c>
      <x:c r="F1947" s="13" t="n">
        <x:v>0.01</x:v>
      </x:c>
      <x:c r="G1947" s="9" t="str">
        <x:v>https://poke.idleworld.online/pokepedia/pokemon/sliggoo</x:v>
      </x:c>
    </x:row>
    <x:row r="1948" ht="22" customHeight="1">
      <x:c r="A1948" s="1" t="n">
        <x:v>706</x:v>
      </x:c>
      <x:c r="B1948" s="1" t="str">
        <x:v>Goodra</x:v>
      </x:c>
      <x:c r="C1948" s="1" t="str">
        <x:v>Crystal Stone</x:v>
      </x:c>
      <x:c r="D1948" s="1" t="n">
        <x:v>1</x:v>
      </x:c>
      <x:c r="E1948" s="1" t="n">
        <x:v>1</x:v>
      </x:c>
      <x:c r="F1948" s="13" t="n">
        <x:v>0.01</x:v>
      </x:c>
      <x:c r="G1948" s="9" t="str">
        <x:v>https://poke.idleworld.online/pokepedia/pokemon/goodra</x:v>
      </x:c>
    </x:row>
    <x:row r="1949" ht="22" customHeight="1">
      <x:c r="A1949" s="1" t="n">
        <x:v>744</x:v>
      </x:c>
      <x:c r="B1949" s="1" t="str">
        <x:v>Rockruff</x:v>
      </x:c>
      <x:c r="C1949" s="1" t="str">
        <x:v>Rock Stone</x:v>
      </x:c>
      <x:c r="D1949" s="1" t="n">
        <x:v>1</x:v>
      </x:c>
      <x:c r="E1949" s="1" t="n">
        <x:v>1</x:v>
      </x:c>
      <x:c r="F1949" s="13" t="n">
        <x:v>0.01</x:v>
      </x:c>
      <x:c r="G1949" s="9" t="str">
        <x:v>https://poke.idleworld.online/pokepedia/pokemon/rockruff</x:v>
      </x:c>
    </x:row>
    <x:row r="1950" ht="22" customHeight="1">
      <x:c r="A1950" s="1" t="n">
        <x:v>843</x:v>
      </x:c>
      <x:c r="B1950" s="1" t="str">
        <x:v>Silicobra</x:v>
      </x:c>
      <x:c r="C1950" s="1" t="str">
        <x:v>Earth Stone</x:v>
      </x:c>
      <x:c r="D1950" s="1" t="n">
        <x:v>1</x:v>
      </x:c>
      <x:c r="E1950" s="1" t="n">
        <x:v>1</x:v>
      </x:c>
      <x:c r="F1950" s="13" t="n">
        <x:v>0.01</x:v>
      </x:c>
      <x:c r="G1950" s="9" t="str">
        <x:v>https://poke.idleworld.online/pokepedia/pokemon/silicobra</x:v>
      </x:c>
    </x:row>
    <x:row r="1951" ht="22" customHeight="1">
      <x:c r="A1951" s="1" t="n">
        <x:v>843</x:v>
      </x:c>
      <x:c r="B1951" s="1" t="str">
        <x:v>Silicobra</x:v>
      </x:c>
      <x:c r="C1951" s="1" t="str">
        <x:v>Sandbag</x:v>
      </x:c>
      <x:c r="D1951" s="1" t="n">
        <x:v>1</x:v>
      </x:c>
      <x:c r="E1951" s="1" t="n">
        <x:v>1</x:v>
      </x:c>
      <x:c r="F1951" s="13" t="n">
        <x:v>0.02759</x:v>
      </x:c>
      <x:c r="G1951" s="9" t="str">
        <x:v>https://poke.idleworld.online/pokepedia/pokemon/silicobra</x:v>
      </x:c>
    </x:row>
    <x:row r="1952" ht="22" customHeight="1">
      <x:c r="A1952" s="1" t="n">
        <x:v>844</x:v>
      </x:c>
      <x:c r="B1952" s="1" t="str">
        <x:v>Sandaconda</x:v>
      </x:c>
      <x:c r="C1952" s="1" t="str">
        <x:v>Earth Stone</x:v>
      </x:c>
      <x:c r="D1952" s="1" t="n">
        <x:v>1</x:v>
      </x:c>
      <x:c r="E1952" s="1" t="n">
        <x:v>1</x:v>
      </x:c>
      <x:c r="F1952" s="13" t="n">
        <x:v>0.01</x:v>
      </x:c>
      <x:c r="G1952" s="9" t="str">
        <x:v>https://poke.idleworld.online/pokepedia/pokemon/sandaconda</x:v>
      </x:c>
    </x:row>
  </x:sheetData>
  <x:pageMargins left="0.7" right="0.7" top="0.75" bottom="0.75" header="0.3" footer="0.3"/>
  <x:tableParts count="1">
    <x:tablePart xmlns:r="http://schemas.openxmlformats.org/officeDocument/2006/relationships" r:id="R63ab3296da0c454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16" t="str">
        <x:v>Rank</x:v>
      </x:c>
      <x:c r="B1" s="16" t="str">
        <x:v>Nome</x:v>
      </x:c>
      <x:c r="C1" s="16" t="str">
        <x:v>Skill</x:v>
      </x:c>
      <x:c r="D1" s="16" t="str">
        <x:v>Tipo</x:v>
      </x:c>
      <x:c r="E1" s="16" t="str">
        <x:v>Power</x:v>
      </x:c>
      <x:c r="F1" s="16" t="str">
        <x:v>Status Base</x:v>
      </x:c>
      <x:c r="G1" s="16" t="str">
        <x:v>Somatório</x:v>
      </x:c>
    </x:row>
    <x:row r="2" ht="12" customHeight="1"/>
    <x:row r="3" ht="22" customHeight="1">
      <x:c r="A3" s="17" t="n">
        <x:f>IF(B3="","",1)</x:f>
        <x:v>1</x:v>
      </x:c>
      <x:c r="B3" s="1" t="str">
        <x:f>'Ranking'!C5</x:f>
        <x:v>Mewtwo</x:v>
      </x:c>
      <x:c r="C3" s="1" t="str">
        <x:f>'Habilidades'!D1443</x:f>
        <x:v>Mental Singularity</x:v>
      </x:c>
      <x:c r="D3" s="1" t="str">
        <x:f>'Habilidades'!F1443</x:f>
        <x:v>Especial</x:v>
      </x:c>
      <x:c r="E3" s="18" t="n">
        <x:f>'Habilidades'!G1443</x:f>
        <x:v>300</x:v>
      </x:c>
      <x:c r="F3" s="18" t="n">
        <x:f>'Habilidades'!H1443</x:f>
        <x:v>154</x:v>
      </x:c>
      <x:c r="G3" s="18" t="n">
        <x:f>'Habilidades'!I1443</x:f>
        <x:v>454</x:v>
      </x:c>
    </x:row>
    <x:row r="4" ht="22" customHeight="1">
      <x:c r="A4" s="17" t="n">
        <x:f>IF(B4="","",IF(B4=B3,A3,A3+1))</x:f>
        <x:v>1</x:v>
      </x:c>
      <x:c r="B4" s="1" t="str">
        <x:f>'Ranking'!C5</x:f>
        <x:v>Mewtwo</x:v>
      </x:c>
      <x:c r="C4" s="1" t="str">
        <x:f>'Habilidades'!D1444</x:f>
        <x:v>Future Sight</x:v>
      </x:c>
      <x:c r="D4" s="1" t="str">
        <x:f>'Habilidades'!F1444</x:f>
        <x:v>Especial</x:v>
      </x:c>
      <x:c r="E4" s="18" t="n">
        <x:f>'Habilidades'!G1444</x:f>
        <x:v>120</x:v>
      </x:c>
      <x:c r="F4" s="18" t="n">
        <x:f>'Habilidades'!H1444</x:f>
        <x:v>154</x:v>
      </x:c>
      <x:c r="G4" s="18" t="n">
        <x:f>'Habilidades'!I1444</x:f>
        <x:v>274</x:v>
      </x:c>
    </x:row>
    <x:row r="5" ht="22" customHeight="1">
      <x:c r="A5" s="17" t="n">
        <x:f>IF(B5="","",IF(B5=B4,A4,A4+1))</x:f>
        <x:v>1</x:v>
      </x:c>
      <x:c r="B5" s="1" t="str">
        <x:f>'Ranking'!C5</x:f>
        <x:v>Mewtwo</x:v>
      </x:c>
      <x:c r="C5" s="1" t="str">
        <x:f>'Habilidades'!D1445</x:f>
        <x:v>Psystrike</x:v>
      </x:c>
      <x:c r="D5" s="1" t="str">
        <x:f>'Habilidades'!F1445</x:f>
        <x:v>Especial</x:v>
      </x:c>
      <x:c r="E5" s="18" t="n">
        <x:f>'Habilidades'!G1445</x:f>
        <x:v>100</x:v>
      </x:c>
      <x:c r="F5" s="18" t="n">
        <x:f>'Habilidades'!H1445</x:f>
        <x:v>154</x:v>
      </x:c>
      <x:c r="G5" s="18" t="n">
        <x:f>'Habilidades'!I1445</x:f>
        <x:v>254</x:v>
      </x:c>
    </x:row>
    <x:row r="6" ht="22" customHeight="1">
      <x:c r="A6" s="17" t="n">
        <x:f>IF(B6="","",IF(B6=B5,A5,A5+1))</x:f>
        <x:v>1</x:v>
      </x:c>
      <x:c r="B6" s="1" t="str">
        <x:f>'Ranking'!C5</x:f>
        <x:v>Mewtwo</x:v>
      </x:c>
      <x:c r="C6" s="1" t="str">
        <x:f>'Habilidades'!D1446</x:f>
        <x:v>Psychic</x:v>
      </x:c>
      <x:c r="D6" s="1" t="str">
        <x:f>'Habilidades'!F1446</x:f>
        <x:v>Especial</x:v>
      </x:c>
      <x:c r="E6" s="18" t="n">
        <x:f>'Habilidades'!G1446</x:f>
        <x:v>90</x:v>
      </x:c>
      <x:c r="F6" s="18" t="n">
        <x:f>'Habilidades'!H1446</x:f>
        <x:v>154</x:v>
      </x:c>
      <x:c r="G6" s="18" t="n">
        <x:f>'Habilidades'!I1446</x:f>
        <x:v>244</x:v>
      </x:c>
    </x:row>
    <x:row r="7" ht="22" customHeight="1">
      <x:c r="A7" s="19" t="n">
        <x:f>IF(B7="","",IF(B7=B6,A6,A6+1))</x:f>
        <x:v>1</x:v>
      </x:c>
      <x:c r="B7" s="20" t="str">
        <x:f>'Ranking'!C5</x:f>
        <x:v>Mewtwo</x:v>
      </x:c>
      <x:c r="C7" s="20" t="str">
        <x:f>'Habilidades'!D1447</x:f>
        <x:v>Aura Sphere</x:v>
      </x:c>
      <x:c r="D7" s="20" t="str">
        <x:f>'Habilidades'!F1447</x:f>
        <x:v>Especial</x:v>
      </x:c>
      <x:c r="E7" s="21" t="n">
        <x:f>'Habilidades'!G1447</x:f>
        <x:v>80</x:v>
      </x:c>
      <x:c r="F7" s="21" t="n">
        <x:f>'Habilidades'!H1447</x:f>
        <x:v>154</x:v>
      </x:c>
      <x:c r="G7" s="21" t="n">
        <x:f>'Habilidades'!I1447</x:f>
        <x:v>234</x:v>
      </x:c>
    </x:row>
    <x:row r="8" ht="22" customHeight="1">
      <x:c r="A8" s="17" t="n">
        <x:f>IF(B8="","",IF(B8=B7,A7,A7+1))</x:f>
        <x:v>2</x:v>
      </x:c>
      <x:c r="B8" s="1" t="str">
        <x:f>'Ranking'!C6</x:f>
        <x:v>Alakazam</x:v>
      </x:c>
      <x:c r="C8" s="1" t="str">
        <x:f>'Habilidades'!D568</x:f>
        <x:v>Mental Singularity</x:v>
      </x:c>
      <x:c r="D8" s="1" t="str">
        <x:f>'Habilidades'!F568</x:f>
        <x:v>Especial</x:v>
      </x:c>
      <x:c r="E8" s="18" t="n">
        <x:f>'Habilidades'!G568</x:f>
        <x:v>300</x:v>
      </x:c>
      <x:c r="F8" s="18" t="n">
        <x:f>'Habilidades'!H568</x:f>
        <x:v>135</x:v>
      </x:c>
      <x:c r="G8" s="18" t="n">
        <x:f>'Habilidades'!I568</x:f>
        <x:v>435</x:v>
      </x:c>
    </x:row>
    <x:row r="9" ht="22" customHeight="1">
      <x:c r="A9" s="17" t="n">
        <x:f>IF(B9="","",IF(B9=B8,A8,A8+1))</x:f>
        <x:v>2</x:v>
      </x:c>
      <x:c r="B9" s="1" t="str">
        <x:f>'Ranking'!C6</x:f>
        <x:v>Alakazam</x:v>
      </x:c>
      <x:c r="C9" s="1" t="str">
        <x:f>'Habilidades'!D569</x:f>
        <x:v>Future Sight</x:v>
      </x:c>
      <x:c r="D9" s="1" t="str">
        <x:f>'Habilidades'!F569</x:f>
        <x:v>Especial</x:v>
      </x:c>
      <x:c r="E9" s="18" t="n">
        <x:f>'Habilidades'!G569</x:f>
        <x:v>120</x:v>
      </x:c>
      <x:c r="F9" s="18" t="n">
        <x:f>'Habilidades'!H569</x:f>
        <x:v>135</x:v>
      </x:c>
      <x:c r="G9" s="18" t="n">
        <x:f>'Habilidades'!I569</x:f>
        <x:v>255</x:v>
      </x:c>
    </x:row>
    <x:row r="10" ht="22" customHeight="1">
      <x:c r="A10" s="17" t="n">
        <x:f>IF(B10="","",IF(B10=B9,A9,A9+1))</x:f>
        <x:v>2</x:v>
      </x:c>
      <x:c r="B10" s="1" t="str">
        <x:f>'Ranking'!C6</x:f>
        <x:v>Alakazam</x:v>
      </x:c>
      <x:c r="C10" s="1" t="str">
        <x:f>'Habilidades'!D570</x:f>
        <x:v>Psychic</x:v>
      </x:c>
      <x:c r="D10" s="1" t="str">
        <x:f>'Habilidades'!F570</x:f>
        <x:v>Especial</x:v>
      </x:c>
      <x:c r="E10" s="18" t="n">
        <x:f>'Habilidades'!G570</x:f>
        <x:v>90</x:v>
      </x:c>
      <x:c r="F10" s="18" t="n">
        <x:f>'Habilidades'!H570</x:f>
        <x:v>135</x:v>
      </x:c>
      <x:c r="G10" s="18" t="n">
        <x:f>'Habilidades'!I570</x:f>
        <x:v>225</x:v>
      </x:c>
    </x:row>
    <x:row r="11" ht="22" customHeight="1">
      <x:c r="A11" s="17" t="n">
        <x:f>IF(B11="","",IF(B11=B10,A10,A10+1))</x:f>
        <x:v>2</x:v>
      </x:c>
      <x:c r="B11" s="1" t="str">
        <x:f>'Ranking'!C6</x:f>
        <x:v>Alakazam</x:v>
      </x:c>
      <x:c r="C11" s="1" t="str">
        <x:f>'Habilidades'!D571</x:f>
        <x:v>Psybeam</x:v>
      </x:c>
      <x:c r="D11" s="1" t="str">
        <x:f>'Habilidades'!F571</x:f>
        <x:v>Especial</x:v>
      </x:c>
      <x:c r="E11" s="18" t="n">
        <x:f>'Habilidades'!G571</x:f>
        <x:v>65</x:v>
      </x:c>
      <x:c r="F11" s="18" t="n">
        <x:f>'Habilidades'!H571</x:f>
        <x:v>135</x:v>
      </x:c>
      <x:c r="G11" s="18" t="n">
        <x:f>'Habilidades'!I571</x:f>
        <x:v>200</x:v>
      </x:c>
    </x:row>
    <x:row r="12" ht="22" customHeight="1">
      <x:c r="A12" s="19" t="n">
        <x:f>IF(B12="","",IF(B12=B11,A11,A11+1))</x:f>
        <x:v>2</x:v>
      </x:c>
      <x:c r="B12" s="20" t="str">
        <x:f>'Ranking'!C6</x:f>
        <x:v>Alakazam</x:v>
      </x:c>
      <x:c r="C12" s="20" t="str">
        <x:f>'Habilidades'!D573</x:f>
        <x:v>Psycho Cut</x:v>
      </x:c>
      <x:c r="D12" s="20" t="str">
        <x:f>'Habilidades'!F573</x:f>
        <x:v>Física</x:v>
      </x:c>
      <x:c r="E12" s="21" t="n">
        <x:f>'Habilidades'!G573</x:f>
        <x:v>70</x:v>
      </x:c>
      <x:c r="F12" s="21" t="n">
        <x:f>'Habilidades'!H573</x:f>
        <x:v>50</x:v>
      </x:c>
      <x:c r="G12" s="21" t="n">
        <x:f>'Habilidades'!I573</x:f>
        <x:v>120</x:v>
      </x:c>
    </x:row>
    <x:row r="13" ht="22" customHeight="1">
      <x:c r="A13" s="17" t="n">
        <x:f>IF(B13="","",IF(B13=B12,A12,A12+1))</x:f>
        <x:v>3</x:v>
      </x:c>
      <x:c r="B13" s="1" t="str">
        <x:f>'Ranking'!C7</x:f>
        <x:v>Dragonite</x:v>
      </x:c>
      <x:c r="C13" s="1" t="str">
        <x:f>'Habilidades'!D1429</x:f>
        <x:v>Massive Hurricane</x:v>
      </x:c>
      <x:c r="D13" s="1" t="str">
        <x:f>'Habilidades'!F1429</x:f>
        <x:v>Física</x:v>
      </x:c>
      <x:c r="E13" s="18" t="n">
        <x:f>'Habilidades'!G1429</x:f>
        <x:v>300</x:v>
      </x:c>
      <x:c r="F13" s="18" t="n">
        <x:f>'Habilidades'!H1429</x:f>
        <x:v>134</x:v>
      </x:c>
      <x:c r="G13" s="18" t="n">
        <x:f>'Habilidades'!I1429</x:f>
        <x:v>434</x:v>
      </x:c>
    </x:row>
    <x:row r="14" ht="22" customHeight="1">
      <x:c r="A14" s="17" t="n">
        <x:f>IF(B14="","",IF(B14=B13,A13,A13+1))</x:f>
        <x:v>3</x:v>
      </x:c>
      <x:c r="B14" s="1" t="str">
        <x:f>'Ranking'!C7</x:f>
        <x:v>Dragonite</x:v>
      </x:c>
      <x:c r="C14" s="1" t="str">
        <x:f>'Habilidades'!D1430</x:f>
        <x:v>Draconic Soul</x:v>
      </x:c>
      <x:c r="D14" s="1" t="str">
        <x:f>'Habilidades'!F1430</x:f>
        <x:v>Especial</x:v>
      </x:c>
      <x:c r="E14" s="18" t="n">
        <x:f>'Habilidades'!G1430</x:f>
        <x:v>300</x:v>
      </x:c>
      <x:c r="F14" s="18" t="n">
        <x:f>'Habilidades'!H1430</x:f>
        <x:v>100</x:v>
      </x:c>
      <x:c r="G14" s="18" t="n">
        <x:f>'Habilidades'!I1430</x:f>
        <x:v>400</x:v>
      </x:c>
    </x:row>
    <x:row r="15" ht="22" customHeight="1">
      <x:c r="A15" s="17" t="n">
        <x:f>IF(B15="","",IF(B15=B14,A14,A14+1))</x:f>
        <x:v>3</x:v>
      </x:c>
      <x:c r="B15" s="1" t="str">
        <x:f>'Ranking'!C7</x:f>
        <x:v>Dragonite</x:v>
      </x:c>
      <x:c r="C15" s="1" t="str">
        <x:f>'Habilidades'!D1431</x:f>
        <x:v>Outrage</x:v>
      </x:c>
      <x:c r="D15" s="1" t="str">
        <x:f>'Habilidades'!F1431</x:f>
        <x:v>Física</x:v>
      </x:c>
      <x:c r="E15" s="18" t="n">
        <x:f>'Habilidades'!G1431</x:f>
        <x:v>120</x:v>
      </x:c>
      <x:c r="F15" s="18" t="n">
        <x:f>'Habilidades'!H1431</x:f>
        <x:v>134</x:v>
      </x:c>
      <x:c r="G15" s="18" t="n">
        <x:f>'Habilidades'!I1431</x:f>
        <x:v>254</x:v>
      </x:c>
    </x:row>
    <x:row r="16" ht="22" customHeight="1">
      <x:c r="A16" s="17" t="n">
        <x:f>IF(B16="","",IF(B16=B15,A15,A15+1))</x:f>
        <x:v>3</x:v>
      </x:c>
      <x:c r="B16" s="1" t="str">
        <x:f>'Ranking'!C7</x:f>
        <x:v>Dragonite</x:v>
      </x:c>
      <x:c r="C16" s="1" t="str">
        <x:f>'Habilidades'!D1432</x:f>
        <x:v>Hyper Beam</x:v>
      </x:c>
      <x:c r="D16" s="1" t="str">
        <x:f>'Habilidades'!F1432</x:f>
        <x:v>Especial</x:v>
      </x:c>
      <x:c r="E16" s="18" t="n">
        <x:f>'Habilidades'!G1432</x:f>
        <x:v>150</x:v>
      </x:c>
      <x:c r="F16" s="18" t="n">
        <x:f>'Habilidades'!H1432</x:f>
        <x:v>100</x:v>
      </x:c>
      <x:c r="G16" s="18" t="n">
        <x:f>'Habilidades'!I1432</x:f>
        <x:v>250</x:v>
      </x:c>
    </x:row>
    <x:row r="17" ht="22" customHeight="1">
      <x:c r="A17" s="19" t="n">
        <x:f>IF(B17="","",IF(B17=B16,A16,A16+1))</x:f>
        <x:v>3</x:v>
      </x:c>
      <x:c r="B17" s="20" t="str">
        <x:f>'Ranking'!C7</x:f>
        <x:v>Dragonite</x:v>
      </x:c>
      <x:c r="C17" s="20" t="str">
        <x:f>'Habilidades'!D1436</x:f>
        <x:v>Hurricane</x:v>
      </x:c>
      <x:c r="D17" s="20" t="str">
        <x:f>'Habilidades'!F1436</x:f>
        <x:v>Especial</x:v>
      </x:c>
      <x:c r="E17" s="21" t="n">
        <x:f>'Habilidades'!G1436</x:f>
        <x:v>110</x:v>
      </x:c>
      <x:c r="F17" s="21" t="n">
        <x:f>'Habilidades'!H1436</x:f>
        <x:v>100</x:v>
      </x:c>
      <x:c r="G17" s="21" t="n">
        <x:f>'Habilidades'!I1436</x:f>
        <x:v>210</x:v>
      </x:c>
    </x:row>
    <x:row r="18" ht="22" customHeight="1">
      <x:c r="A18" s="17" t="n">
        <x:f>IF(B18="","",IF(B18=B17,A17,A17+1))</x:f>
        <x:v>4</x:v>
      </x:c>
      <x:c r="B18" s="1" t="str">
        <x:f>'Ranking'!C8</x:f>
        <x:v>Tyranitar</x:v>
      </x:c>
      <x:c r="C18" s="1" t="str">
        <x:f>'Habilidades'!D2308</x:f>
        <x:v>Crumbling Rain</x:v>
      </x:c>
      <x:c r="D18" s="1" t="str">
        <x:f>'Habilidades'!F2308</x:f>
        <x:v>Física</x:v>
      </x:c>
      <x:c r="E18" s="18" t="n">
        <x:f>'Habilidades'!G2308</x:f>
        <x:v>300</x:v>
      </x:c>
      <x:c r="F18" s="18" t="n">
        <x:f>'Habilidades'!H2308</x:f>
        <x:v>134</x:v>
      </x:c>
      <x:c r="G18" s="18" t="n">
        <x:f>'Habilidades'!I2308</x:f>
        <x:v>434</x:v>
      </x:c>
    </x:row>
    <x:row r="19" ht="22" customHeight="1">
      <x:c r="A19" s="17" t="n">
        <x:f>IF(B19="","",IF(B19=B18,A18,A18+1))</x:f>
        <x:v>4</x:v>
      </x:c>
      <x:c r="B19" s="1" t="str">
        <x:f>'Ranking'!C8</x:f>
        <x:v>Tyranitar</x:v>
      </x:c>
      <x:c r="C19" s="1" t="str">
        <x:f>'Habilidades'!D2309</x:f>
        <x:v>Giga Impact</x:v>
      </x:c>
      <x:c r="D19" s="1" t="str">
        <x:f>'Habilidades'!F2309</x:f>
        <x:v>Física</x:v>
      </x:c>
      <x:c r="E19" s="18" t="n">
        <x:f>'Habilidades'!G2309</x:f>
        <x:v>150</x:v>
      </x:c>
      <x:c r="F19" s="18" t="n">
        <x:f>'Habilidades'!H2309</x:f>
        <x:v>134</x:v>
      </x:c>
      <x:c r="G19" s="18" t="n">
        <x:f>'Habilidades'!I2309</x:f>
        <x:v>284</x:v>
      </x:c>
    </x:row>
    <x:row r="20" ht="22" customHeight="1">
      <x:c r="A20" s="17" t="n">
        <x:f>IF(B20="","",IF(B20=B19,A19,A19+1))</x:f>
        <x:v>4</x:v>
      </x:c>
      <x:c r="B20" s="1" t="str">
        <x:f>'Ranking'!C8</x:f>
        <x:v>Tyranitar</x:v>
      </x:c>
      <x:c r="C20" s="1" t="str">
        <x:f>'Habilidades'!D2310</x:f>
        <x:v>Thrash</x:v>
      </x:c>
      <x:c r="D20" s="1" t="str">
        <x:f>'Habilidades'!F2310</x:f>
        <x:v>Física</x:v>
      </x:c>
      <x:c r="E20" s="18" t="n">
        <x:f>'Habilidades'!G2310</x:f>
        <x:v>120</x:v>
      </x:c>
      <x:c r="F20" s="18" t="n">
        <x:f>'Habilidades'!H2310</x:f>
        <x:v>134</x:v>
      </x:c>
      <x:c r="G20" s="18" t="n">
        <x:f>'Habilidades'!I2310</x:f>
        <x:v>254</x:v>
      </x:c>
    </x:row>
    <x:row r="21" ht="22" customHeight="1">
      <x:c r="A21" s="17" t="n">
        <x:f>IF(B21="","",IF(B21=B20,A20,A20+1))</x:f>
        <x:v>4</x:v>
      </x:c>
      <x:c r="B21" s="1" t="str">
        <x:f>'Ranking'!C8</x:f>
        <x:v>Tyranitar</x:v>
      </x:c>
      <x:c r="C21" s="1" t="str">
        <x:f>'Habilidades'!D2311</x:f>
        <x:v>Hyper Beam</x:v>
      </x:c>
      <x:c r="D21" s="1" t="str">
        <x:f>'Habilidades'!F2311</x:f>
        <x:v>Especial</x:v>
      </x:c>
      <x:c r="E21" s="18" t="n">
        <x:f>'Habilidades'!G2311</x:f>
        <x:v>150</x:v>
      </x:c>
      <x:c r="F21" s="18" t="n">
        <x:f>'Habilidades'!H2311</x:f>
        <x:v>95</x:v>
      </x:c>
      <x:c r="G21" s="18" t="n">
        <x:f>'Habilidades'!I2311</x:f>
        <x:v>245</x:v>
      </x:c>
    </x:row>
    <x:row r="22" ht="22" customHeight="1">
      <x:c r="A22" s="19" t="n">
        <x:f>IF(B22="","",IF(B22=B21,A21,A21+1))</x:f>
        <x:v>4</x:v>
      </x:c>
      <x:c r="B22" s="20" t="str">
        <x:f>'Ranking'!C8</x:f>
        <x:v>Tyranitar</x:v>
      </x:c>
      <x:c r="C22" s="20" t="str">
        <x:f>'Habilidades'!D2312</x:f>
        <x:v>Earthquake</x:v>
      </x:c>
      <x:c r="D22" s="20" t="str">
        <x:f>'Habilidades'!F2312</x:f>
        <x:v>Física</x:v>
      </x:c>
      <x:c r="E22" s="21" t="n">
        <x:f>'Habilidades'!G2312</x:f>
        <x:v>100</x:v>
      </x:c>
      <x:c r="F22" s="21" t="n">
        <x:f>'Habilidades'!H2312</x:f>
        <x:v>134</x:v>
      </x:c>
      <x:c r="G22" s="21" t="n">
        <x:f>'Habilidades'!I2312</x:f>
        <x:v>234</x:v>
      </x:c>
    </x:row>
    <x:row r="23" ht="22" customHeight="1">
      <x:c r="A23" s="17" t="n">
        <x:f>IF(B23="","",IF(B23=B22,A22,A22+1))</x:f>
        <x:v>5</x:v>
      </x:c>
      <x:c r="B23" s="1" t="str">
        <x:f>'Ranking'!C12</x:f>
        <x:v>Espeon</x:v>
      </x:c>
      <x:c r="C23" s="1" t="str">
        <x:f>'Habilidades'!D1833</x:f>
        <x:v>Mental Singularity</x:v>
      </x:c>
      <x:c r="D23" s="1" t="str">
        <x:f>'Habilidades'!F1833</x:f>
        <x:v>Especial</x:v>
      </x:c>
      <x:c r="E23" s="18" t="n">
        <x:f>'Habilidades'!G1833</x:f>
        <x:v>300</x:v>
      </x:c>
      <x:c r="F23" s="18" t="n">
        <x:f>'Habilidades'!H1833</x:f>
        <x:v>130</x:v>
      </x:c>
      <x:c r="G23" s="18" t="n">
        <x:f>'Habilidades'!I1833</x:f>
        <x:v>430</x:v>
      </x:c>
    </x:row>
    <x:row r="24" ht="22" customHeight="1">
      <x:c r="A24" s="17" t="n">
        <x:f>IF(B24="","",IF(B24=B23,A23,A23+1))</x:f>
        <x:v>5</x:v>
      </x:c>
      <x:c r="B24" s="1" t="str">
        <x:f>'Ranking'!C12</x:f>
        <x:v>Espeon</x:v>
      </x:c>
      <x:c r="C24" s="1" t="str">
        <x:f>'Habilidades'!D1834</x:f>
        <x:v>Future Sight</x:v>
      </x:c>
      <x:c r="D24" s="1" t="str">
        <x:f>'Habilidades'!F1834</x:f>
        <x:v>Especial</x:v>
      </x:c>
      <x:c r="E24" s="18" t="n">
        <x:f>'Habilidades'!G1834</x:f>
        <x:v>120</x:v>
      </x:c>
      <x:c r="F24" s="18" t="n">
        <x:f>'Habilidades'!H1834</x:f>
        <x:v>130</x:v>
      </x:c>
      <x:c r="G24" s="18" t="n">
        <x:f>'Habilidades'!I1834</x:f>
        <x:v>250</x:v>
      </x:c>
    </x:row>
    <x:row r="25" ht="22" customHeight="1">
      <x:c r="A25" s="17" t="n">
        <x:f>IF(B25="","",IF(B25=B24,A24,A24+1))</x:f>
        <x:v>5</x:v>
      </x:c>
      <x:c r="B25" s="1" t="str">
        <x:f>'Ranking'!C12</x:f>
        <x:v>Espeon</x:v>
      </x:c>
      <x:c r="C25" s="1" t="str">
        <x:f>'Habilidades'!D1835</x:f>
        <x:v>Psychic</x:v>
      </x:c>
      <x:c r="D25" s="1" t="str">
        <x:f>'Habilidades'!F1835</x:f>
        <x:v>Especial</x:v>
      </x:c>
      <x:c r="E25" s="18" t="n">
        <x:f>'Habilidades'!G1835</x:f>
        <x:v>90</x:v>
      </x:c>
      <x:c r="F25" s="18" t="n">
        <x:f>'Habilidades'!H1835</x:f>
        <x:v>130</x:v>
      </x:c>
      <x:c r="G25" s="18" t="n">
        <x:f>'Habilidades'!I1835</x:f>
        <x:v>220</x:v>
      </x:c>
    </x:row>
    <x:row r="26" ht="22" customHeight="1">
      <x:c r="A26" s="17" t="n">
        <x:f>IF(B26="","",IF(B26=B25,A25,A25+1))</x:f>
        <x:v>5</x:v>
      </x:c>
      <x:c r="B26" s="1" t="str">
        <x:f>'Ranking'!C12</x:f>
        <x:v>Espeon</x:v>
      </x:c>
      <x:c r="C26" s="1" t="str">
        <x:f>'Habilidades'!D1836</x:f>
        <x:v>Last Resort</x:v>
      </x:c>
      <x:c r="D26" s="1" t="str">
        <x:f>'Habilidades'!F1836</x:f>
        <x:v>Física</x:v>
      </x:c>
      <x:c r="E26" s="18" t="n">
        <x:f>'Habilidades'!G1836</x:f>
        <x:v>140</x:v>
      </x:c>
      <x:c r="F26" s="18" t="n">
        <x:f>'Habilidades'!H1836</x:f>
        <x:v>65</x:v>
      </x:c>
      <x:c r="G26" s="18" t="n">
        <x:f>'Habilidades'!I1836</x:f>
        <x:v>205</x:v>
      </x:c>
    </x:row>
    <x:row r="27" ht="22" customHeight="1">
      <x:c r="A27" s="19" t="n">
        <x:f>IF(B27="","",IF(B27=B26,A26,A26+1))</x:f>
        <x:v>5</x:v>
      </x:c>
      <x:c r="B27" s="20" t="str">
        <x:f>'Ranking'!C12</x:f>
        <x:v>Espeon</x:v>
      </x:c>
      <x:c r="C27" s="20" t="str">
        <x:f>'Habilidades'!D1837</x:f>
        <x:v>Psybeam</x:v>
      </x:c>
      <x:c r="D27" s="20" t="str">
        <x:f>'Habilidades'!F1837</x:f>
        <x:v>Especial</x:v>
      </x:c>
      <x:c r="E27" s="21" t="n">
        <x:f>'Habilidades'!G1837</x:f>
        <x:v>65</x:v>
      </x:c>
      <x:c r="F27" s="21" t="n">
        <x:f>'Habilidades'!H1837</x:f>
        <x:v>130</x:v>
      </x:c>
      <x:c r="G27" s="21" t="n">
        <x:f>'Habilidades'!I1837</x:f>
        <x:v>195</x:v>
      </x:c>
    </x:row>
    <x:row r="28" ht="22" customHeight="1">
      <x:c r="A28" s="17" t="n">
        <x:f>IF(B28="","",IF(B28=B27,A27,A27+1))</x:f>
        <x:v>6</x:v>
      </x:c>
      <x:c r="B28" s="1" t="str">
        <x:f>'Ranking'!C10</x:f>
        <x:v>Gengar</x:v>
      </x:c>
      <x:c r="C28" s="1" t="str">
        <x:f>'Habilidades'!D871</x:f>
        <x:v>Untold Nightmare</x:v>
      </x:c>
      <x:c r="D28" s="1" t="str">
        <x:f>'Habilidades'!F871</x:f>
        <x:v>Especial</x:v>
      </x:c>
      <x:c r="E28" s="18" t="n">
        <x:f>'Habilidades'!G871</x:f>
        <x:v>300</x:v>
      </x:c>
      <x:c r="F28" s="18" t="n">
        <x:f>'Habilidades'!H871</x:f>
        <x:v>130</x:v>
      </x:c>
      <x:c r="G28" s="18" t="n">
        <x:f>'Habilidades'!I871</x:f>
        <x:v>430</x:v>
      </x:c>
    </x:row>
    <x:row r="29" ht="22" customHeight="1">
      <x:c r="A29" s="17" t="n">
        <x:f>IF(B29="","",IF(B29=B28,A28,A28+1))</x:f>
        <x:v>6</x:v>
      </x:c>
      <x:c r="B29" s="1" t="str">
        <x:f>'Ranking'!C10</x:f>
        <x:v>Gengar</x:v>
      </x:c>
      <x:c r="C29" s="1" t="str">
        <x:f>'Habilidades'!D872</x:f>
        <x:v>Dream Eater</x:v>
      </x:c>
      <x:c r="D29" s="1" t="str">
        <x:f>'Habilidades'!F872</x:f>
        <x:v>Especial</x:v>
      </x:c>
      <x:c r="E29" s="18" t="n">
        <x:f>'Habilidades'!G872</x:f>
        <x:v>100</x:v>
      </x:c>
      <x:c r="F29" s="18" t="n">
        <x:f>'Habilidades'!H872</x:f>
        <x:v>130</x:v>
      </x:c>
      <x:c r="G29" s="18" t="n">
        <x:f>'Habilidades'!I872</x:f>
        <x:v>230</x:v>
      </x:c>
    </x:row>
    <x:row r="30" ht="22" customHeight="1">
      <x:c r="A30" s="17" t="n">
        <x:f>IF(B30="","",IF(B30=B29,A29,A29+1))</x:f>
        <x:v>6</x:v>
      </x:c>
      <x:c r="B30" s="1" t="str">
        <x:f>'Ranking'!C10</x:f>
        <x:v>Gengar</x:v>
      </x:c>
      <x:c r="C30" s="1" t="str">
        <x:f>'Habilidades'!D873</x:f>
        <x:v>Shadow Ball</x:v>
      </x:c>
      <x:c r="D30" s="1" t="str">
        <x:f>'Habilidades'!F873</x:f>
        <x:v>Especial</x:v>
      </x:c>
      <x:c r="E30" s="18" t="n">
        <x:f>'Habilidades'!G873</x:f>
        <x:v>80</x:v>
      </x:c>
      <x:c r="F30" s="18" t="n">
        <x:f>'Habilidades'!H873</x:f>
        <x:v>130</x:v>
      </x:c>
      <x:c r="G30" s="18" t="n">
        <x:f>'Habilidades'!I873</x:f>
        <x:v>210</x:v>
      </x:c>
    </x:row>
    <x:row r="31" ht="22" customHeight="1">
      <x:c r="A31" s="17" t="n">
        <x:f>IF(B31="","",IF(B31=B30,A30,A30+1))</x:f>
        <x:v>6</x:v>
      </x:c>
      <x:c r="B31" s="1" t="str">
        <x:f>'Ranking'!C10</x:f>
        <x:v>Gengar</x:v>
      </x:c>
      <x:c r="C31" s="1" t="str">
        <x:f>'Habilidades'!D874</x:f>
        <x:v>Dark Pulse</x:v>
      </x:c>
      <x:c r="D31" s="1" t="str">
        <x:f>'Habilidades'!F874</x:f>
        <x:v>Especial</x:v>
      </x:c>
      <x:c r="E31" s="18" t="n">
        <x:f>'Habilidades'!G874</x:f>
        <x:v>80</x:v>
      </x:c>
      <x:c r="F31" s="18" t="n">
        <x:f>'Habilidades'!H874</x:f>
        <x:v>130</x:v>
      </x:c>
      <x:c r="G31" s="18" t="n">
        <x:f>'Habilidades'!I874</x:f>
        <x:v>210</x:v>
      </x:c>
    </x:row>
    <x:row r="32" ht="22" customHeight="1">
      <x:c r="A32" s="19" t="n">
        <x:f>IF(B32="","",IF(B32=B31,A31,A31+1))</x:f>
        <x:v>6</x:v>
      </x:c>
      <x:c r="B32" s="20" t="str">
        <x:f>'Ranking'!C10</x:f>
        <x:v>Gengar</x:v>
      </x:c>
      <x:c r="C32" s="20" t="str">
        <x:f>'Habilidades'!D876</x:f>
        <x:v>Sucker Punch</x:v>
      </x:c>
      <x:c r="D32" s="20" t="str">
        <x:f>'Habilidades'!F876</x:f>
        <x:v>Física</x:v>
      </x:c>
      <x:c r="E32" s="21" t="n">
        <x:f>'Habilidades'!G876</x:f>
        <x:v>80</x:v>
      </x:c>
      <x:c r="F32" s="21" t="n">
        <x:f>'Habilidades'!H876</x:f>
        <x:v>65</x:v>
      </x:c>
      <x:c r="G32" s="21" t="n">
        <x:f>'Habilidades'!I876</x:f>
        <x:v>145</x:v>
      </x:c>
    </x:row>
    <x:row r="33" ht="22" customHeight="1">
      <x:c r="A33" s="17" t="n">
        <x:f>IF(B33="","",IF(B33=B32,A32,A32+1))</x:f>
        <x:v>7</x:v>
      </x:c>
      <x:c r="B33" s="1" t="str">
        <x:f>'Ranking'!C15</x:f>
        <x:v>Glaceon</x:v>
      </x:c>
      <x:c r="C33" s="1" t="str">
        <x:f>'Habilidades'!D3351</x:f>
        <x:v>Ice Time</x:v>
      </x:c>
      <x:c r="D33" s="1" t="str">
        <x:f>'Habilidades'!F3351</x:f>
        <x:v>Especial</x:v>
      </x:c>
      <x:c r="E33" s="18" t="n">
        <x:f>'Habilidades'!G3351</x:f>
        <x:v>300</x:v>
      </x:c>
      <x:c r="F33" s="18" t="n">
        <x:f>'Habilidades'!H3351</x:f>
        <x:v>130</x:v>
      </x:c>
      <x:c r="G33" s="18" t="n">
        <x:f>'Habilidades'!I3351</x:f>
        <x:v>430</x:v>
      </x:c>
    </x:row>
    <x:row r="34" ht="22" customHeight="1">
      <x:c r="A34" s="17" t="n">
        <x:f>IF(B34="","",IF(B34=B33,A33,A33+1))</x:f>
        <x:v>7</x:v>
      </x:c>
      <x:c r="B34" s="1" t="str">
        <x:f>'Ranking'!C15</x:f>
        <x:v>Glaceon</x:v>
      </x:c>
      <x:c r="C34" s="1" t="str">
        <x:f>'Habilidades'!D3352</x:f>
        <x:v>Blizzard</x:v>
      </x:c>
      <x:c r="D34" s="1" t="str">
        <x:f>'Habilidades'!F3352</x:f>
        <x:v>Especial</x:v>
      </x:c>
      <x:c r="E34" s="18" t="n">
        <x:f>'Habilidades'!G3352</x:f>
        <x:v>110</x:v>
      </x:c>
      <x:c r="F34" s="18" t="n">
        <x:f>'Habilidades'!H3352</x:f>
        <x:v>130</x:v>
      </x:c>
      <x:c r="G34" s="18" t="n">
        <x:f>'Habilidades'!I3352</x:f>
        <x:v>240</x:v>
      </x:c>
    </x:row>
    <x:row r="35" ht="22" customHeight="1">
      <x:c r="A35" s="17" t="n">
        <x:f>IF(B35="","",IF(B35=B34,A34,A34+1))</x:f>
        <x:v>7</x:v>
      </x:c>
      <x:c r="B35" s="1" t="str">
        <x:f>'Ranking'!C15</x:f>
        <x:v>Glaceon</x:v>
      </x:c>
      <x:c r="C35" s="1" t="str">
        <x:f>'Habilidades'!D3353</x:f>
        <x:v>Last Resort</x:v>
      </x:c>
      <x:c r="D35" s="1" t="str">
        <x:f>'Habilidades'!F3353</x:f>
        <x:v>Física</x:v>
      </x:c>
      <x:c r="E35" s="18" t="n">
        <x:f>'Habilidades'!G3353</x:f>
        <x:v>140</x:v>
      </x:c>
      <x:c r="F35" s="18" t="n">
        <x:f>'Habilidades'!H3353</x:f>
        <x:v>60</x:v>
      </x:c>
      <x:c r="G35" s="18" t="n">
        <x:f>'Habilidades'!I3353</x:f>
        <x:v>200</x:v>
      </x:c>
    </x:row>
    <x:row r="36" ht="22" customHeight="1">
      <x:c r="A36" s="17" t="n">
        <x:f>IF(B36="","",IF(B36=B35,A35,A35+1))</x:f>
        <x:v>7</x:v>
      </x:c>
      <x:c r="B36" s="1" t="str">
        <x:f>'Ranking'!C15</x:f>
        <x:v>Glaceon</x:v>
      </x:c>
      <x:c r="C36" s="1" t="str">
        <x:f>'Habilidades'!D3355</x:f>
        <x:v>Ice Fang</x:v>
      </x:c>
      <x:c r="D36" s="1" t="str">
        <x:f>'Habilidades'!F3355</x:f>
        <x:v>Física</x:v>
      </x:c>
      <x:c r="E36" s="18" t="n">
        <x:f>'Habilidades'!G3355</x:f>
        <x:v>65</x:v>
      </x:c>
      <x:c r="F36" s="18" t="n">
        <x:f>'Habilidades'!H3355</x:f>
        <x:v>60</x:v>
      </x:c>
      <x:c r="G36" s="18" t="n">
        <x:f>'Habilidades'!I3355</x:f>
        <x:v>125</x:v>
      </x:c>
    </x:row>
    <x:row r="37" ht="22" customHeight="1">
      <x:c r="A37" s="19" t="n">
        <x:f>IF(B37="","",IF(B37=B36,A36,A36+1))</x:f>
        <x:v>7</x:v>
      </x:c>
      <x:c r="B37" s="20" t="str">
        <x:f>'Ranking'!C15</x:f>
        <x:v>Glaceon</x:v>
      </x:c>
      <x:c r="C37" s="20" t="str">
        <x:f>'Habilidades'!D3356</x:f>
        <x:v>Bite</x:v>
      </x:c>
      <x:c r="D37" s="20" t="str">
        <x:f>'Habilidades'!F3356</x:f>
        <x:v>Física</x:v>
      </x:c>
      <x:c r="E37" s="21" t="n">
        <x:f>'Habilidades'!G3356</x:f>
        <x:v>60</x:v>
      </x:c>
      <x:c r="F37" s="21" t="n">
        <x:f>'Habilidades'!H3356</x:f>
        <x:v>60</x:v>
      </x:c>
      <x:c r="G37" s="21" t="n">
        <x:f>'Habilidades'!I3356</x:f>
        <x:v>120</x:v>
      </x:c>
    </x:row>
    <x:row r="38" ht="22" customHeight="1">
      <x:c r="A38" s="17" t="n">
        <x:f>IF(B38="","",IF(B38=B37,A37,A37+1))</x:f>
        <x:v>8</x:v>
      </x:c>
      <x:c r="B38" s="1" t="str">
        <x:f>'Ranking'!C14</x:f>
        <x:v>Ho-oh</x:v>
      </x:c>
      <x:c r="C38" s="1" t="str">
        <x:f>'Habilidades'!D2334</x:f>
        <x:v>Massive Hurricane</x:v>
      </x:c>
      <x:c r="D38" s="1" t="str">
        <x:f>'Habilidades'!F2334</x:f>
        <x:v>Física</x:v>
      </x:c>
      <x:c r="E38" s="18" t="n">
        <x:f>'Habilidades'!G2334</x:f>
        <x:v>300</x:v>
      </x:c>
      <x:c r="F38" s="18" t="n">
        <x:f>'Habilidades'!H2334</x:f>
        <x:v>130</x:v>
      </x:c>
      <x:c r="G38" s="18" t="n">
        <x:f>'Habilidades'!I2334</x:f>
        <x:v>430</x:v>
      </x:c>
    </x:row>
    <x:row r="39" ht="22" customHeight="1">
      <x:c r="A39" s="17" t="n">
        <x:f>IF(B39="","",IF(B39=B38,A38,A38+1))</x:f>
        <x:v>8</x:v>
      </x:c>
      <x:c r="B39" s="1" t="str">
        <x:f>'Ranking'!C14</x:f>
        <x:v>Ho-oh</x:v>
      </x:c>
      <x:c r="C39" s="1" t="str">
        <x:f>'Habilidades'!D2335</x:f>
        <x:v>Ignition Point</x:v>
      </x:c>
      <x:c r="D39" s="1" t="str">
        <x:f>'Habilidades'!F2335</x:f>
        <x:v>Especial</x:v>
      </x:c>
      <x:c r="E39" s="18" t="n">
        <x:f>'Habilidades'!G2335</x:f>
        <x:v>300</x:v>
      </x:c>
      <x:c r="F39" s="18" t="n">
        <x:f>'Habilidades'!H2335</x:f>
        <x:v>110</x:v>
      </x:c>
      <x:c r="G39" s="18" t="n">
        <x:f>'Habilidades'!I2335</x:f>
        <x:v>410</x:v>
      </x:c>
    </x:row>
    <x:row r="40" ht="22" customHeight="1">
      <x:c r="A40" s="17" t="n">
        <x:f>IF(B40="","",IF(B40=B39,A39,A39+1))</x:f>
        <x:v>8</x:v>
      </x:c>
      <x:c r="B40" s="1" t="str">
        <x:f>'Ranking'!C14</x:f>
        <x:v>Ho-oh</x:v>
      </x:c>
      <x:c r="C40" s="1" t="str">
        <x:f>'Habilidades'!D2336</x:f>
        <x:v>Sky Attack</x:v>
      </x:c>
      <x:c r="D40" s="1" t="str">
        <x:f>'Habilidades'!F2336</x:f>
        <x:v>Física</x:v>
      </x:c>
      <x:c r="E40" s="18" t="n">
        <x:f>'Habilidades'!G2336</x:f>
        <x:v>140</x:v>
      </x:c>
      <x:c r="F40" s="18" t="n">
        <x:f>'Habilidades'!H2336</x:f>
        <x:v>130</x:v>
      </x:c>
      <x:c r="G40" s="18" t="n">
        <x:f>'Habilidades'!I2336</x:f>
        <x:v>270</x:v>
      </x:c>
    </x:row>
    <x:row r="41" ht="22" customHeight="1">
      <x:c r="A41" s="17" t="n">
        <x:f>IF(B41="","",IF(B41=B40,A40,A40+1))</x:f>
        <x:v>8</x:v>
      </x:c>
      <x:c r="B41" s="1" t="str">
        <x:f>'Ranking'!C14</x:f>
        <x:v>Ho-oh</x:v>
      </x:c>
      <x:c r="C41" s="1" t="str">
        <x:f>'Habilidades'!D2337</x:f>
        <x:v>Brave Bird</x:v>
      </x:c>
      <x:c r="D41" s="1" t="str">
        <x:f>'Habilidades'!F2337</x:f>
        <x:v>Física</x:v>
      </x:c>
      <x:c r="E41" s="18" t="n">
        <x:f>'Habilidades'!G2337</x:f>
        <x:v>120</x:v>
      </x:c>
      <x:c r="F41" s="18" t="n">
        <x:f>'Habilidades'!H2337</x:f>
        <x:v>130</x:v>
      </x:c>
      <x:c r="G41" s="18" t="n">
        <x:f>'Habilidades'!I2337</x:f>
        <x:v>250</x:v>
      </x:c>
    </x:row>
    <x:row r="42" ht="22" customHeight="1">
      <x:c r="A42" s="19" t="n">
        <x:f>IF(B42="","",IF(B42=B41,A41,A41+1))</x:f>
        <x:v>8</x:v>
      </x:c>
      <x:c r="B42" s="20" t="str">
        <x:f>'Ranking'!C14</x:f>
        <x:v>Ho-oh</x:v>
      </x:c>
      <x:c r="C42" s="20" t="str">
        <x:f>'Habilidades'!D2338</x:f>
        <x:v>Future Sight</x:v>
      </x:c>
      <x:c r="D42" s="20" t="str">
        <x:f>'Habilidades'!F2338</x:f>
        <x:v>Especial</x:v>
      </x:c>
      <x:c r="E42" s="21" t="n">
        <x:f>'Habilidades'!G2338</x:f>
        <x:v>120</x:v>
      </x:c>
      <x:c r="F42" s="21" t="n">
        <x:f>'Habilidades'!H2338</x:f>
        <x:v>110</x:v>
      </x:c>
      <x:c r="G42" s="21" t="n">
        <x:f>'Habilidades'!I2338</x:f>
        <x:v>230</x:v>
      </x:c>
    </x:row>
    <x:row r="43" ht="22" customHeight="1">
      <x:c r="A43" s="17" t="n">
        <x:f>IF(B43="","",IF(B43=B42,A42,A42+1))</x:f>
        <x:v>9</x:v>
      </x:c>
      <x:c r="B43" s="1" t="str">
        <x:f>'Ranking'!C9</x:f>
        <x:v>Machamp</x:v>
      </x:c>
      <x:c r="C43" s="1" t="str">
        <x:f>'Habilidades'!D596</x:f>
        <x:v>Meteor Fists</x:v>
      </x:c>
      <x:c r="D43" s="1" t="str">
        <x:f>'Habilidades'!F596</x:f>
        <x:v>Física</x:v>
      </x:c>
      <x:c r="E43" s="18" t="n">
        <x:f>'Habilidades'!G596</x:f>
        <x:v>300</x:v>
      </x:c>
      <x:c r="F43" s="18" t="n">
        <x:f>'Habilidades'!H596</x:f>
        <x:v>130</x:v>
      </x:c>
      <x:c r="G43" s="18" t="n">
        <x:f>'Habilidades'!I596</x:f>
        <x:v>430</x:v>
      </x:c>
    </x:row>
    <x:row r="44" ht="22" customHeight="1">
      <x:c r="A44" s="17" t="n">
        <x:f>IF(B44="","",IF(B44=B43,A43,A43+1))</x:f>
        <x:v>9</x:v>
      </x:c>
      <x:c r="B44" s="1" t="str">
        <x:f>'Ranking'!C9</x:f>
        <x:v>Machamp</x:v>
      </x:c>
      <x:c r="C44" s="1" t="str">
        <x:f>'Habilidades'!D597</x:f>
        <x:v>Cross Chop</x:v>
      </x:c>
      <x:c r="D44" s="1" t="str">
        <x:f>'Habilidades'!F597</x:f>
        <x:v>Física</x:v>
      </x:c>
      <x:c r="E44" s="18" t="n">
        <x:f>'Habilidades'!G597</x:f>
        <x:v>100</x:v>
      </x:c>
      <x:c r="F44" s="18" t="n">
        <x:f>'Habilidades'!H597</x:f>
        <x:v>130</x:v>
      </x:c>
      <x:c r="G44" s="18" t="n">
        <x:f>'Habilidades'!I597</x:f>
        <x:v>230</x:v>
      </x:c>
    </x:row>
    <x:row r="45" ht="22" customHeight="1">
      <x:c r="A45" s="17" t="n">
        <x:f>IF(B45="","",IF(B45=B44,A44,A44+1))</x:f>
        <x:v>9</x:v>
      </x:c>
      <x:c r="B45" s="1" t="str">
        <x:f>'Ranking'!C9</x:f>
        <x:v>Machamp</x:v>
      </x:c>
      <x:c r="C45" s="1" t="str">
        <x:f>'Habilidades'!D598</x:f>
        <x:v>Dynamic Punch</x:v>
      </x:c>
      <x:c r="D45" s="1" t="str">
        <x:f>'Habilidades'!F598</x:f>
        <x:v>Física</x:v>
      </x:c>
      <x:c r="E45" s="18" t="n">
        <x:f>'Habilidades'!G598</x:f>
        <x:v>100</x:v>
      </x:c>
      <x:c r="F45" s="18" t="n">
        <x:f>'Habilidades'!H598</x:f>
        <x:v>130</x:v>
      </x:c>
      <x:c r="G45" s="18" t="n">
        <x:f>'Habilidades'!I598</x:f>
        <x:v>230</x:v>
      </x:c>
    </x:row>
    <x:row r="46" ht="22" customHeight="1">
      <x:c r="A46" s="17" t="n">
        <x:f>IF(B46="","",IF(B46=B45,A45,A45+1))</x:f>
        <x:v>9</x:v>
      </x:c>
      <x:c r="B46" s="1" t="str">
        <x:f>'Ranking'!C9</x:f>
        <x:v>Machamp</x:v>
      </x:c>
      <x:c r="C46" s="1" t="str">
        <x:f>'Habilidades'!D599</x:f>
        <x:v>Low Kick</x:v>
      </x:c>
      <x:c r="D46" s="1" t="str">
        <x:f>'Habilidades'!F599</x:f>
        <x:v>Física</x:v>
      </x:c>
      <x:c r="E46" s="18" t="n">
        <x:f>'Habilidades'!G599</x:f>
        <x:v>80</x:v>
      </x:c>
      <x:c r="F46" s="18" t="n">
        <x:f>'Habilidades'!H599</x:f>
        <x:v>130</x:v>
      </x:c>
      <x:c r="G46" s="18" t="n">
        <x:f>'Habilidades'!I599</x:f>
        <x:v>210</x:v>
      </x:c>
    </x:row>
    <x:row r="47" ht="22" customHeight="1">
      <x:c r="A47" s="19" t="n">
        <x:f>IF(B47="","",IF(B47=B46,A46,A46+1))</x:f>
        <x:v>9</x:v>
      </x:c>
      <x:c r="B47" s="20" t="str">
        <x:f>'Ranking'!C9</x:f>
        <x:v>Machamp</x:v>
      </x:c>
      <x:c r="C47" s="20" t="str">
        <x:f>'Habilidades'!D600</x:f>
        <x:v>Submission</x:v>
      </x:c>
      <x:c r="D47" s="20" t="str">
        <x:f>'Habilidades'!F600</x:f>
        <x:v>Física</x:v>
      </x:c>
      <x:c r="E47" s="21" t="n">
        <x:f>'Habilidades'!G600</x:f>
        <x:v>80</x:v>
      </x:c>
      <x:c r="F47" s="21" t="n">
        <x:f>'Habilidades'!H600</x:f>
        <x:v>130</x:v>
      </x:c>
      <x:c r="G47" s="21" t="n">
        <x:f>'Habilidades'!I600</x:f>
        <x:v>210</x:v>
      </x:c>
    </x:row>
    <x:row r="48" ht="22" customHeight="1">
      <x:c r="A48" s="17" t="n">
        <x:f>IF(B48="","",IF(B48=B47,A47,A47+1))</x:f>
        <x:v>10</x:v>
      </x:c>
      <x:c r="B48" s="1" t="str">
        <x:f>'Ranking'!C11</x:f>
        <x:v>Rhydon</x:v>
      </x:c>
      <x:c r="C48" s="1" t="str">
        <x:f>'Habilidades'!D1060</x:f>
        <x:v>Crossing Fissure</x:v>
      </x:c>
      <x:c r="D48" s="1" t="str">
        <x:f>'Habilidades'!F1060</x:f>
        <x:v>Física</x:v>
      </x:c>
      <x:c r="E48" s="18" t="n">
        <x:f>'Habilidades'!G1060</x:f>
        <x:v>300</x:v>
      </x:c>
      <x:c r="F48" s="18" t="n">
        <x:f>'Habilidades'!H1060</x:f>
        <x:v>130</x:v>
      </x:c>
      <x:c r="G48" s="18" t="n">
        <x:f>'Habilidades'!I1060</x:f>
        <x:v>430</x:v>
      </x:c>
    </x:row>
    <x:row r="49" ht="22" customHeight="1">
      <x:c r="A49" s="17" t="n">
        <x:f>IF(B49="","",IF(B49=B48,A48,A48+1))</x:f>
        <x:v>10</x:v>
      </x:c>
      <x:c r="B49" s="1" t="str">
        <x:f>'Ranking'!C11</x:f>
        <x:v>Rhydon</x:v>
      </x:c>
      <x:c r="C49" s="1" t="str">
        <x:f>'Habilidades'!D1061</x:f>
        <x:v>Megahorn</x:v>
      </x:c>
      <x:c r="D49" s="1" t="str">
        <x:f>'Habilidades'!F1061</x:f>
        <x:v>Física</x:v>
      </x:c>
      <x:c r="E49" s="18" t="n">
        <x:f>'Habilidades'!G1061</x:f>
        <x:v>120</x:v>
      </x:c>
      <x:c r="F49" s="18" t="n">
        <x:f>'Habilidades'!H1061</x:f>
        <x:v>130</x:v>
      </x:c>
      <x:c r="G49" s="18" t="n">
        <x:f>'Habilidades'!I1061</x:f>
        <x:v>250</x:v>
      </x:c>
    </x:row>
    <x:row r="50" ht="22" customHeight="1">
      <x:c r="A50" s="17" t="n">
        <x:f>IF(B50="","",IF(B50=B49,A49,A49+1))</x:f>
        <x:v>10</x:v>
      </x:c>
      <x:c r="B50" s="1" t="str">
        <x:f>'Ranking'!C11</x:f>
        <x:v>Rhydon</x:v>
      </x:c>
      <x:c r="C50" s="1" t="str">
        <x:f>'Habilidades'!D1062</x:f>
        <x:v>Stone Edge</x:v>
      </x:c>
      <x:c r="D50" s="1" t="str">
        <x:f>'Habilidades'!F1062</x:f>
        <x:v>Física</x:v>
      </x:c>
      <x:c r="E50" s="18" t="n">
        <x:f>'Habilidades'!G1062</x:f>
        <x:v>100</x:v>
      </x:c>
      <x:c r="F50" s="18" t="n">
        <x:f>'Habilidades'!H1062</x:f>
        <x:v>130</x:v>
      </x:c>
      <x:c r="G50" s="18" t="n">
        <x:f>'Habilidades'!I1062</x:f>
        <x:v>230</x:v>
      </x:c>
    </x:row>
    <x:row r="51" ht="22" customHeight="1">
      <x:c r="A51" s="17" t="n">
        <x:f>IF(B51="","",IF(B51=B50,A50,A50+1))</x:f>
        <x:v>10</x:v>
      </x:c>
      <x:c r="B51" s="1" t="str">
        <x:f>'Ranking'!C11</x:f>
        <x:v>Rhydon</x:v>
      </x:c>
      <x:c r="C51" s="1" t="str">
        <x:f>'Habilidades'!D1063</x:f>
        <x:v>Hammer Arm</x:v>
      </x:c>
      <x:c r="D51" s="1" t="str">
        <x:f>'Habilidades'!F1063</x:f>
        <x:v>Física</x:v>
      </x:c>
      <x:c r="E51" s="18" t="n">
        <x:f>'Habilidades'!G1063</x:f>
        <x:v>100</x:v>
      </x:c>
      <x:c r="F51" s="18" t="n">
        <x:f>'Habilidades'!H1063</x:f>
        <x:v>130</x:v>
      </x:c>
      <x:c r="G51" s="18" t="n">
        <x:f>'Habilidades'!I1063</x:f>
        <x:v>230</x:v>
      </x:c>
    </x:row>
    <x:row r="52" ht="22" customHeight="1">
      <x:c r="A52" s="19" t="n">
        <x:f>IF(B52="","",IF(B52=B51,A51,A51+1))</x:f>
        <x:v>10</x:v>
      </x:c>
      <x:c r="B52" s="20" t="str">
        <x:f>'Ranking'!C11</x:f>
        <x:v>Rhydon</x:v>
      </x:c>
      <x:c r="C52" s="20" t="str">
        <x:f>'Habilidades'!D1064</x:f>
        <x:v>Earthquake</x:v>
      </x:c>
      <x:c r="D52" s="20" t="str">
        <x:f>'Habilidades'!F1064</x:f>
        <x:v>Física</x:v>
      </x:c>
      <x:c r="E52" s="21" t="n">
        <x:f>'Habilidades'!G1064</x:f>
        <x:v>100</x:v>
      </x:c>
      <x:c r="F52" s="21" t="n">
        <x:f>'Habilidades'!H1064</x:f>
        <x:v>130</x:v>
      </x:c>
      <x:c r="G52" s="21" t="n">
        <x:f>'Habilidades'!I1064</x:f>
        <x:v>230</x:v>
      </x:c>
    </x:row>
    <x:row r="53" ht="22" customHeight="1">
      <x:c r="A53" s="17" t="n">
        <x:f>IF(B53="","",IF(B53=B52,A52,A52+1))</x:f>
        <x:v>11</x:v>
      </x:c>
      <x:c r="B53" s="1" t="str">
        <x:f>'Ranking'!C13</x:f>
        <x:v>Scizor</x:v>
      </x:c>
      <x:c r="C53" s="1" t="str">
        <x:f>'Habilidades'!D1976</x:f>
        <x:v>Hive Crush</x:v>
      </x:c>
      <x:c r="D53" s="1" t="str">
        <x:f>'Habilidades'!F1976</x:f>
        <x:v>Física</x:v>
      </x:c>
      <x:c r="E53" s="18" t="n">
        <x:f>'Habilidades'!G1976</x:f>
        <x:v>300</x:v>
      </x:c>
      <x:c r="F53" s="18" t="n">
        <x:f>'Habilidades'!H1976</x:f>
        <x:v>130</x:v>
      </x:c>
      <x:c r="G53" s="18" t="n">
        <x:f>'Habilidades'!I1976</x:f>
        <x:v>430</x:v>
      </x:c>
    </x:row>
    <x:row r="54" ht="22" customHeight="1">
      <x:c r="A54" s="17" t="n">
        <x:f>IF(B54="","",IF(B54=B53,A53,A53+1))</x:f>
        <x:v>11</x:v>
      </x:c>
      <x:c r="B54" s="1" t="str">
        <x:f>'Ranking'!C13</x:f>
        <x:v>Scizor</x:v>
      </x:c>
      <x:c r="C54" s="1" t="str">
        <x:f>'Habilidades'!D1977</x:f>
        <x:v>X-Scissor</x:v>
      </x:c>
      <x:c r="D54" s="1" t="str">
        <x:f>'Habilidades'!F1977</x:f>
        <x:v>Física</x:v>
      </x:c>
      <x:c r="E54" s="18" t="n">
        <x:f>'Habilidades'!G1977</x:f>
        <x:v>80</x:v>
      </x:c>
      <x:c r="F54" s="18" t="n">
        <x:f>'Habilidades'!H1977</x:f>
        <x:v>130</x:v>
      </x:c>
      <x:c r="G54" s="18" t="n">
        <x:f>'Habilidades'!I1977</x:f>
        <x:v>210</x:v>
      </x:c>
    </x:row>
    <x:row r="55" ht="22" customHeight="1">
      <x:c r="A55" s="17" t="n">
        <x:f>IF(B55="","",IF(B55=B54,A54,A54+1))</x:f>
        <x:v>11</x:v>
      </x:c>
      <x:c r="B55" s="1" t="str">
        <x:f>'Ranking'!C13</x:f>
        <x:v>Scizor</x:v>
      </x:c>
      <x:c r="C55" s="1" t="str">
        <x:f>'Habilidades'!D1978</x:f>
        <x:v>Iron Head</x:v>
      </x:c>
      <x:c r="D55" s="1" t="str">
        <x:f>'Habilidades'!F1978</x:f>
        <x:v>Física</x:v>
      </x:c>
      <x:c r="E55" s="18" t="n">
        <x:f>'Habilidades'!G1978</x:f>
        <x:v>80</x:v>
      </x:c>
      <x:c r="F55" s="18" t="n">
        <x:f>'Habilidades'!H1978</x:f>
        <x:v>130</x:v>
      </x:c>
      <x:c r="G55" s="18" t="n">
        <x:f>'Habilidades'!I1978</x:f>
        <x:v>210</x:v>
      </x:c>
    </x:row>
    <x:row r="56" ht="22" customHeight="1">
      <x:c r="A56" s="17" t="n">
        <x:f>IF(B56="","",IF(B56=B55,A55,A55+1))</x:f>
        <x:v>11</x:v>
      </x:c>
      <x:c r="B56" s="1" t="str">
        <x:f>'Ranking'!C13</x:f>
        <x:v>Scizor</x:v>
      </x:c>
      <x:c r="C56" s="1" t="str">
        <x:f>'Habilidades'!D1979</x:f>
        <x:v>Slash</x:v>
      </x:c>
      <x:c r="D56" s="1" t="str">
        <x:f>'Habilidades'!F1979</x:f>
        <x:v>Física</x:v>
      </x:c>
      <x:c r="E56" s="18" t="n">
        <x:f>'Habilidades'!G1979</x:f>
        <x:v>70</x:v>
      </x:c>
      <x:c r="F56" s="18" t="n">
        <x:f>'Habilidades'!H1979</x:f>
        <x:v>130</x:v>
      </x:c>
      <x:c r="G56" s="18" t="n">
        <x:f>'Habilidades'!I1979</x:f>
        <x:v>200</x:v>
      </x:c>
    </x:row>
    <x:row r="57" ht="22" customHeight="1">
      <x:c r="A57" s="19" t="n">
        <x:f>IF(B57="","",IF(B57=B56,A56,A56+1))</x:f>
        <x:v>11</x:v>
      </x:c>
      <x:c r="B57" s="20" t="str">
        <x:f>'Ranking'!C13</x:f>
        <x:v>Scizor</x:v>
      </x:c>
      <x:c r="C57" s="20" t="str">
        <x:f>'Habilidades'!D1989</x:f>
        <x:v>Razor Wind</x:v>
      </x:c>
      <x:c r="D57" s="20" t="str">
        <x:f>'Habilidades'!F1989</x:f>
        <x:v>Especial</x:v>
      </x:c>
      <x:c r="E57" s="21" t="n">
        <x:f>'Habilidades'!G1989</x:f>
        <x:v>80</x:v>
      </x:c>
      <x:c r="F57" s="21" t="n">
        <x:f>'Habilidades'!H1989</x:f>
        <x:v>55</x:v>
      </x:c>
      <x:c r="G57" s="21" t="n">
        <x:f>'Habilidades'!I1989</x:f>
        <x:v>135</x:v>
      </x:c>
    </x:row>
    <x:row r="58" ht="22" customHeight="1">
      <x:c r="A58" s="17" t="n">
        <x:f>IF(B58="","",IF(B58=B57,A57,A57+1))</x:f>
        <x:v>12</x:v>
      </x:c>
      <x:c r="B58" s="1" t="str">
        <x:f>'Ranking'!C16</x:f>
        <x:v>Exeggutor</x:v>
      </x:c>
      <x:c r="C58" s="1" t="str">
        <x:f>'Habilidades'!D964</x:f>
        <x:v>Petal Bloom</x:v>
      </x:c>
      <x:c r="D58" s="1" t="str">
        <x:f>'Habilidades'!F964</x:f>
        <x:v>Especial</x:v>
      </x:c>
      <x:c r="E58" s="18" t="n">
        <x:f>'Habilidades'!G964</x:f>
        <x:v>300</x:v>
      </x:c>
      <x:c r="F58" s="18" t="n">
        <x:f>'Habilidades'!H964</x:f>
        <x:v>125</x:v>
      </x:c>
      <x:c r="G58" s="18" t="n">
        <x:f>'Habilidades'!I964</x:f>
        <x:v>425</x:v>
      </x:c>
    </x:row>
    <x:row r="59" ht="22" customHeight="1">
      <x:c r="A59" s="17" t="n">
        <x:f>IF(B59="","",IF(B59=B58,A58,A58+1))</x:f>
        <x:v>12</x:v>
      </x:c>
      <x:c r="B59" s="1" t="str">
        <x:f>'Ranking'!C16</x:f>
        <x:v>Exeggutor</x:v>
      </x:c>
      <x:c r="C59" s="1" t="str">
        <x:f>'Habilidades'!D965</x:f>
        <x:v>Leaf Storm</x:v>
      </x:c>
      <x:c r="D59" s="1" t="str">
        <x:f>'Habilidades'!F965</x:f>
        <x:v>Especial</x:v>
      </x:c>
      <x:c r="E59" s="18" t="n">
        <x:f>'Habilidades'!G965</x:f>
        <x:v>130</x:v>
      </x:c>
      <x:c r="F59" s="18" t="n">
        <x:f>'Habilidades'!H965</x:f>
        <x:v>125</x:v>
      </x:c>
      <x:c r="G59" s="18" t="n">
        <x:f>'Habilidades'!I965</x:f>
        <x:v>255</x:v>
      </x:c>
    </x:row>
    <x:row r="60" ht="22" customHeight="1">
      <x:c r="A60" s="17" t="n">
        <x:f>IF(B60="","",IF(B60=B59,A59,A59+1))</x:f>
        <x:v>12</x:v>
      </x:c>
      <x:c r="B60" s="1" t="str">
        <x:f>'Ranking'!C16</x:f>
        <x:v>Exeggutor</x:v>
      </x:c>
      <x:c r="C60" s="1" t="str">
        <x:f>'Habilidades'!D966</x:f>
        <x:v>Wood Hammer</x:v>
      </x:c>
      <x:c r="D60" s="1" t="str">
        <x:f>'Habilidades'!F966</x:f>
        <x:v>Física</x:v>
      </x:c>
      <x:c r="E60" s="18" t="n">
        <x:f>'Habilidades'!G966</x:f>
        <x:v>120</x:v>
      </x:c>
      <x:c r="F60" s="18" t="n">
        <x:f>'Habilidades'!H966</x:f>
        <x:v>95</x:v>
      </x:c>
      <x:c r="G60" s="18" t="n">
        <x:f>'Habilidades'!I966</x:f>
        <x:v>215</x:v>
      </x:c>
    </x:row>
    <x:row r="61" ht="22" customHeight="1">
      <x:c r="A61" s="17" t="n">
        <x:f>IF(B61="","",IF(B61=B60,A60,A60+1))</x:f>
        <x:v>12</x:v>
      </x:c>
      <x:c r="B61" s="1" t="str">
        <x:f>'Ranking'!C16</x:f>
        <x:v>Exeggutor</x:v>
      </x:c>
      <x:c r="C61" s="1" t="str">
        <x:f>'Habilidades'!D968</x:f>
        <x:v>Egg Bomb</x:v>
      </x:c>
      <x:c r="D61" s="1" t="str">
        <x:f>'Habilidades'!F968</x:f>
        <x:v>Física</x:v>
      </x:c>
      <x:c r="E61" s="18" t="n">
        <x:f>'Habilidades'!G968</x:f>
        <x:v>100</x:v>
      </x:c>
      <x:c r="F61" s="18" t="n">
        <x:f>'Habilidades'!H968</x:f>
        <x:v>95</x:v>
      </x:c>
      <x:c r="G61" s="18" t="n">
        <x:f>'Habilidades'!I968</x:f>
        <x:v>195</x:v>
      </x:c>
    </x:row>
    <x:row r="62" ht="22" customHeight="1">
      <x:c r="A62" s="19" t="n">
        <x:f>IF(B62="","",IF(B62=B61,A61,A61+1))</x:f>
        <x:v>12</x:v>
      </x:c>
      <x:c r="B62" s="20" t="str">
        <x:f>'Ranking'!C16</x:f>
        <x:v>Exeggutor</x:v>
      </x:c>
      <x:c r="C62" s="20" t="str">
        <x:f>'Habilidades'!D969</x:f>
        <x:v>Seed Bomb</x:v>
      </x:c>
      <x:c r="D62" s="20" t="str">
        <x:f>'Habilidades'!F969</x:f>
        <x:v>Física</x:v>
      </x:c>
      <x:c r="E62" s="21" t="n">
        <x:f>'Habilidades'!G969</x:f>
        <x:v>80</x:v>
      </x:c>
      <x:c r="F62" s="21" t="n">
        <x:f>'Habilidades'!H969</x:f>
        <x:v>95</x:v>
      </x:c>
      <x:c r="G62" s="21" t="n">
        <x:f>'Habilidades'!I969</x:f>
        <x:v>175</x:v>
      </x:c>
    </x:row>
    <x:row r="63" ht="22" customHeight="1">
      <x:c r="A63" s="17" t="n">
        <x:f>IF(B63="","",IF(B63=B62,A62,A62+1))</x:f>
        <x:v>13</x:v>
      </x:c>
      <x:c r="B63" s="1" t="str">
        <x:f>'Ranking'!C18</x:f>
        <x:v>Gyarados</x:v>
      </x:c>
      <x:c r="C63" s="1" t="str">
        <x:f>'Habilidades'!D1248</x:f>
        <x:v>Massive Hurricane</x:v>
      </x:c>
      <x:c r="D63" s="1" t="str">
        <x:f>'Habilidades'!F1248</x:f>
        <x:v>Física</x:v>
      </x:c>
      <x:c r="E63" s="18" t="n">
        <x:f>'Habilidades'!G1248</x:f>
        <x:v>300</x:v>
      </x:c>
      <x:c r="F63" s="18" t="n">
        <x:f>'Habilidades'!H1248</x:f>
        <x:v>125</x:v>
      </x:c>
      <x:c r="G63" s="18" t="n">
        <x:f>'Habilidades'!I1248</x:f>
        <x:v>425</x:v>
      </x:c>
    </x:row>
    <x:row r="64" ht="22" customHeight="1">
      <x:c r="A64" s="17" t="n">
        <x:f>IF(B64="","",IF(B64=B63,A63,A63+1))</x:f>
        <x:v>13</x:v>
      </x:c>
      <x:c r="B64" s="1" t="str">
        <x:f>'Ranking'!C18</x:f>
        <x:v>Gyarados</x:v>
      </x:c>
      <x:c r="C64" s="1" t="str">
        <x:f>'Habilidades'!D1249</x:f>
        <x:v>Cyclonic Tide</x:v>
      </x:c>
      <x:c r="D64" s="1" t="str">
        <x:f>'Habilidades'!F1249</x:f>
        <x:v>Especial</x:v>
      </x:c>
      <x:c r="E64" s="18" t="n">
        <x:f>'Habilidades'!G1249</x:f>
        <x:v>300</x:v>
      </x:c>
      <x:c r="F64" s="18" t="n">
        <x:f>'Habilidades'!H1249</x:f>
        <x:v>60</x:v>
      </x:c>
      <x:c r="G64" s="18" t="n">
        <x:f>'Habilidades'!I1249</x:f>
        <x:v>360</x:v>
      </x:c>
    </x:row>
    <x:row r="65" ht="22" customHeight="1">
      <x:c r="A65" s="17" t="n">
        <x:f>IF(B65="","",IF(B65=B64,A64,A64+1))</x:f>
        <x:v>13</x:v>
      </x:c>
      <x:c r="B65" s="1" t="str">
        <x:f>'Ranking'!C18</x:f>
        <x:v>Gyarados</x:v>
      </x:c>
      <x:c r="C65" s="1" t="str">
        <x:f>'Habilidades'!D1250</x:f>
        <x:v>Thrash</x:v>
      </x:c>
      <x:c r="D65" s="1" t="str">
        <x:f>'Habilidades'!F1250</x:f>
        <x:v>Física</x:v>
      </x:c>
      <x:c r="E65" s="18" t="n">
        <x:f>'Habilidades'!G1250</x:f>
        <x:v>120</x:v>
      </x:c>
      <x:c r="F65" s="18" t="n">
        <x:f>'Habilidades'!H1250</x:f>
        <x:v>125</x:v>
      </x:c>
      <x:c r="G65" s="18" t="n">
        <x:f>'Habilidades'!I1250</x:f>
        <x:v>245</x:v>
      </x:c>
    </x:row>
    <x:row r="66" ht="22" customHeight="1">
      <x:c r="A66" s="17" t="n">
        <x:f>IF(B66="","",IF(B66=B65,A65,A65+1))</x:f>
        <x:v>13</x:v>
      </x:c>
      <x:c r="B66" s="1" t="str">
        <x:f>'Ranking'!C18</x:f>
        <x:v>Gyarados</x:v>
      </x:c>
      <x:c r="C66" s="1" t="str">
        <x:f>'Habilidades'!D1252</x:f>
        <x:v>Hyper Beam</x:v>
      </x:c>
      <x:c r="D66" s="1" t="str">
        <x:f>'Habilidades'!F1252</x:f>
        <x:v>Especial</x:v>
      </x:c>
      <x:c r="E66" s="18" t="n">
        <x:f>'Habilidades'!G1252</x:f>
        <x:v>150</x:v>
      </x:c>
      <x:c r="F66" s="18" t="n">
        <x:f>'Habilidades'!H1252</x:f>
        <x:v>60</x:v>
      </x:c>
      <x:c r="G66" s="18" t="n">
        <x:f>'Habilidades'!I1252</x:f>
        <x:v>210</x:v>
      </x:c>
    </x:row>
    <x:row r="67" ht="22" customHeight="1">
      <x:c r="A67" s="19" t="n">
        <x:f>IF(B67="","",IF(B67=B66,A66,A66+1))</x:f>
        <x:v>13</x:v>
      </x:c>
      <x:c r="B67" s="20" t="str">
        <x:f>'Ranking'!C18</x:f>
        <x:v>Gyarados</x:v>
      </x:c>
      <x:c r="C67" s="20" t="str">
        <x:f>'Habilidades'!D1256</x:f>
        <x:v>Hydro Pump</x:v>
      </x:c>
      <x:c r="D67" s="20" t="str">
        <x:f>'Habilidades'!F1256</x:f>
        <x:v>Especial</x:v>
      </x:c>
      <x:c r="E67" s="21" t="n">
        <x:f>'Habilidades'!G1256</x:f>
        <x:v>110</x:v>
      </x:c>
      <x:c r="F67" s="21" t="n">
        <x:f>'Habilidades'!H1256</x:f>
        <x:v>60</x:v>
      </x:c>
      <x:c r="G67" s="21" t="n">
        <x:f>'Habilidades'!I1256</x:f>
        <x:v>170</x:v>
      </x:c>
    </x:row>
    <x:row r="68" ht="22" customHeight="1">
      <x:c r="A68" s="17" t="n">
        <x:f>IF(B68="","",IF(B68=B67,A67,A67+1))</x:f>
        <x:v>14</x:v>
      </x:c>
      <x:c r="B68" s="1" t="str">
        <x:f>'Ranking'!C21</x:f>
        <x:v>Heracross</x:v>
      </x:c>
      <x:c r="C68" s="1" t="str">
        <x:f>'Habilidades'!D1999</x:f>
        <x:v>Hive Crush</x:v>
      </x:c>
      <x:c r="D68" s="1" t="str">
        <x:f>'Habilidades'!F1999</x:f>
        <x:v>Física</x:v>
      </x:c>
      <x:c r="E68" s="18" t="n">
        <x:f>'Habilidades'!G1999</x:f>
        <x:v>300</x:v>
      </x:c>
      <x:c r="F68" s="18" t="n">
        <x:f>'Habilidades'!H1999</x:f>
        <x:v>125</x:v>
      </x:c>
      <x:c r="G68" s="18" t="n">
        <x:f>'Habilidades'!I1999</x:f>
        <x:v>425</x:v>
      </x:c>
    </x:row>
    <x:row r="69" ht="22" customHeight="1">
      <x:c r="A69" s="17" t="n">
        <x:f>IF(B69="","",IF(B69=B68,A68,A68+1))</x:f>
        <x:v>14</x:v>
      </x:c>
      <x:c r="B69" s="1" t="str">
        <x:f>'Ranking'!C21</x:f>
        <x:v>Heracross</x:v>
      </x:c>
      <x:c r="C69" s="1" t="str">
        <x:f>'Habilidades'!D2000</x:f>
        <x:v>Megahorn</x:v>
      </x:c>
      <x:c r="D69" s="1" t="str">
        <x:f>'Habilidades'!F2000</x:f>
        <x:v>Física</x:v>
      </x:c>
      <x:c r="E69" s="18" t="n">
        <x:f>'Habilidades'!G2000</x:f>
        <x:v>120</x:v>
      </x:c>
      <x:c r="F69" s="18" t="n">
        <x:f>'Habilidades'!H2000</x:f>
        <x:v>125</x:v>
      </x:c>
      <x:c r="G69" s="18" t="n">
        <x:f>'Habilidades'!I2000</x:f>
        <x:v>245</x:v>
      </x:c>
    </x:row>
    <x:row r="70" ht="22" customHeight="1">
      <x:c r="A70" s="17" t="n">
        <x:f>IF(B70="","",IF(B70=B69,A69,A69+1))</x:f>
        <x:v>14</x:v>
      </x:c>
      <x:c r="B70" s="1" t="str">
        <x:f>'Ranking'!C21</x:f>
        <x:v>Heracross</x:v>
      </x:c>
      <x:c r="C70" s="1" t="str">
        <x:f>'Habilidades'!D2001</x:f>
        <x:v>Close Combat</x:v>
      </x:c>
      <x:c r="D70" s="1" t="str">
        <x:f>'Habilidades'!F2001</x:f>
        <x:v>Física</x:v>
      </x:c>
      <x:c r="E70" s="18" t="n">
        <x:f>'Habilidades'!G2001</x:f>
        <x:v>120</x:v>
      </x:c>
      <x:c r="F70" s="18" t="n">
        <x:f>'Habilidades'!H2001</x:f>
        <x:v>125</x:v>
      </x:c>
      <x:c r="G70" s="18" t="n">
        <x:f>'Habilidades'!I2001</x:f>
        <x:v>245</x:v>
      </x:c>
    </x:row>
    <x:row r="71" ht="22" customHeight="1">
      <x:c r="A71" s="17" t="n">
        <x:f>IF(B71="","",IF(B71=B70,A70,A70+1))</x:f>
        <x:v>14</x:v>
      </x:c>
      <x:c r="B71" s="1" t="str">
        <x:f>'Ranking'!C21</x:f>
        <x:v>Heracross</x:v>
      </x:c>
      <x:c r="C71" s="1" t="str">
        <x:f>'Habilidades'!D2002</x:f>
        <x:v>Take Down</x:v>
      </x:c>
      <x:c r="D71" s="1" t="str">
        <x:f>'Habilidades'!F2002</x:f>
        <x:v>Física</x:v>
      </x:c>
      <x:c r="E71" s="18" t="n">
        <x:f>'Habilidades'!G2002</x:f>
        <x:v>90</x:v>
      </x:c>
      <x:c r="F71" s="18" t="n">
        <x:f>'Habilidades'!H2002</x:f>
        <x:v>125</x:v>
      </x:c>
      <x:c r="G71" s="18" t="n">
        <x:f>'Habilidades'!I2002</x:f>
        <x:v>215</x:v>
      </x:c>
    </x:row>
    <x:row r="72" ht="22" customHeight="1">
      <x:c r="A72" s="19" t="n">
        <x:f>IF(B72="","",IF(B72=B71,A71,A71+1))</x:f>
        <x:v>14</x:v>
      </x:c>
      <x:c r="B72" s="20" t="str">
        <x:f>'Ranking'!C21</x:f>
        <x:v>Heracross</x:v>
      </x:c>
      <x:c r="C72" s="20" t="str">
        <x:f>'Habilidades'!D2003</x:f>
        <x:v>Brick Break</x:v>
      </x:c>
      <x:c r="D72" s="20" t="str">
        <x:f>'Habilidades'!F2003</x:f>
        <x:v>Física</x:v>
      </x:c>
      <x:c r="E72" s="21" t="n">
        <x:f>'Habilidades'!G2003</x:f>
        <x:v>75</x:v>
      </x:c>
      <x:c r="F72" s="21" t="n">
        <x:f>'Habilidades'!H2003</x:f>
        <x:v>125</x:v>
      </x:c>
      <x:c r="G72" s="21" t="n">
        <x:f>'Habilidades'!I2003</x:f>
        <x:v>200</x:v>
      </x:c>
    </x:row>
    <x:row r="73" ht="22" customHeight="1">
      <x:c r="A73" s="17" t="n">
        <x:f>IF(B73="","",IF(B73=B72,A72,A72+1))</x:f>
        <x:v>15</x:v>
      </x:c>
      <x:c r="B73" s="1" t="str">
        <x:f>'Ranking'!C20</x:f>
        <x:v>Moltres</x:v>
      </x:c>
      <x:c r="C73" s="1" t="str">
        <x:f>'Habilidades'!D1399</x:f>
        <x:v>Ignition Point</x:v>
      </x:c>
      <x:c r="D73" s="1" t="str">
        <x:f>'Habilidades'!F1399</x:f>
        <x:v>Especial</x:v>
      </x:c>
      <x:c r="E73" s="18" t="n">
        <x:f>'Habilidades'!G1399</x:f>
        <x:v>300</x:v>
      </x:c>
      <x:c r="F73" s="18" t="n">
        <x:f>'Habilidades'!H1399</x:f>
        <x:v>125</x:v>
      </x:c>
      <x:c r="G73" s="18" t="n">
        <x:f>'Habilidades'!I1399</x:f>
        <x:v>425</x:v>
      </x:c>
    </x:row>
    <x:row r="74" ht="22" customHeight="1">
      <x:c r="A74" s="17" t="n">
        <x:f>IF(B74="","",IF(B74=B73,A73,A73+1))</x:f>
        <x:v>15</x:v>
      </x:c>
      <x:c r="B74" s="1" t="str">
        <x:f>'Ranking'!C20</x:f>
        <x:v>Moltres</x:v>
      </x:c>
      <x:c r="C74" s="1" t="str">
        <x:f>'Habilidades'!D1400</x:f>
        <x:v>Massive Hurricane</x:v>
      </x:c>
      <x:c r="D74" s="1" t="str">
        <x:f>'Habilidades'!F1400</x:f>
        <x:v>Física</x:v>
      </x:c>
      <x:c r="E74" s="18" t="n">
        <x:f>'Habilidades'!G1400</x:f>
        <x:v>300</x:v>
      </x:c>
      <x:c r="F74" s="18" t="n">
        <x:f>'Habilidades'!H1400</x:f>
        <x:v>100</x:v>
      </x:c>
      <x:c r="G74" s="18" t="n">
        <x:f>'Habilidades'!I1400</x:f>
        <x:v>400</x:v>
      </x:c>
    </x:row>
    <x:row r="75" ht="22" customHeight="1">
      <x:c r="A75" s="17" t="n">
        <x:f>IF(B75="","",IF(B75=B74,A74,A74+1))</x:f>
        <x:v>15</x:v>
      </x:c>
      <x:c r="B75" s="1" t="str">
        <x:f>'Ranking'!C20</x:f>
        <x:v>Moltres</x:v>
      </x:c>
      <x:c r="C75" s="1" t="str">
        <x:f>'Habilidades'!D1401</x:f>
        <x:v>Solar Beam</x:v>
      </x:c>
      <x:c r="D75" s="1" t="str">
        <x:f>'Habilidades'!F1401</x:f>
        <x:v>Especial</x:v>
      </x:c>
      <x:c r="E75" s="18" t="n">
        <x:f>'Habilidades'!G1401</x:f>
        <x:v>120</x:v>
      </x:c>
      <x:c r="F75" s="18" t="n">
        <x:f>'Habilidades'!H1401</x:f>
        <x:v>125</x:v>
      </x:c>
      <x:c r="G75" s="18" t="n">
        <x:f>'Habilidades'!I1401</x:f>
        <x:v>245</x:v>
      </x:c>
    </x:row>
    <x:row r="76" ht="22" customHeight="1">
      <x:c r="A76" s="17" t="n">
        <x:f>IF(B76="","",IF(B76=B75,A75,A75+1))</x:f>
        <x:v>15</x:v>
      </x:c>
      <x:c r="B76" s="1" t="str">
        <x:f>'Ranking'!C20</x:f>
        <x:v>Moltres</x:v>
      </x:c>
      <x:c r="C76" s="1" t="str">
        <x:f>'Habilidades'!D1402</x:f>
        <x:v>Sky Attack</x:v>
      </x:c>
      <x:c r="D76" s="1" t="str">
        <x:f>'Habilidades'!F1402</x:f>
        <x:v>Física</x:v>
      </x:c>
      <x:c r="E76" s="18" t="n">
        <x:f>'Habilidades'!G1402</x:f>
        <x:v>140</x:v>
      </x:c>
      <x:c r="F76" s="18" t="n">
        <x:f>'Habilidades'!H1402</x:f>
        <x:v>100</x:v>
      </x:c>
      <x:c r="G76" s="18" t="n">
        <x:f>'Habilidades'!I1402</x:f>
        <x:v>240</x:v>
      </x:c>
    </x:row>
    <x:row r="77" ht="22" customHeight="1">
      <x:c r="A77" s="19" t="n">
        <x:f>IF(B77="","",IF(B77=B76,A76,A76+1))</x:f>
        <x:v>15</x:v>
      </x:c>
      <x:c r="B77" s="20" t="str">
        <x:f>'Ranking'!C20</x:f>
        <x:v>Moltres</x:v>
      </x:c>
      <x:c r="C77" s="20" t="str">
        <x:f>'Habilidades'!D1403</x:f>
        <x:v>Hurricane</x:v>
      </x:c>
      <x:c r="D77" s="20" t="str">
        <x:f>'Habilidades'!F1403</x:f>
        <x:v>Especial</x:v>
      </x:c>
      <x:c r="E77" s="21" t="n">
        <x:f>'Habilidades'!G1403</x:f>
        <x:v>110</x:v>
      </x:c>
      <x:c r="F77" s="21" t="n">
        <x:f>'Habilidades'!H1403</x:f>
        <x:v>125</x:v>
      </x:c>
      <x:c r="G77" s="21" t="n">
        <x:f>'Habilidades'!I1403</x:f>
        <x:v>235</x:v>
      </x:c>
    </x:row>
    <x:row r="78" ht="22" customHeight="1">
      <x:c r="A78" s="17" t="n">
        <x:f>IF(B78="","",IF(B78=B77,A77,A77+1))</x:f>
        <x:v>16</x:v>
      </x:c>
      <x:c r="B78" s="1" t="str">
        <x:f>'Ranking'!C17</x:f>
        <x:v>Pinsir</x:v>
      </x:c>
      <x:c r="C78" s="1" t="str">
        <x:f>'Habilidades'!D1220</x:f>
        <x:v>Hive Crush</x:v>
      </x:c>
      <x:c r="D78" s="1" t="str">
        <x:f>'Habilidades'!F1220</x:f>
        <x:v>Física</x:v>
      </x:c>
      <x:c r="E78" s="18" t="n">
        <x:f>'Habilidades'!G1220</x:f>
        <x:v>300</x:v>
      </x:c>
      <x:c r="F78" s="18" t="n">
        <x:f>'Habilidades'!H1220</x:f>
        <x:v>125</x:v>
      </x:c>
      <x:c r="G78" s="18" t="n">
        <x:f>'Habilidades'!I1220</x:f>
        <x:v>425</x:v>
      </x:c>
    </x:row>
    <x:row r="79" ht="22" customHeight="1">
      <x:c r="A79" s="17" t="n">
        <x:f>IF(B79="","",IF(B79=B78,A78,A78+1))</x:f>
        <x:v>16</x:v>
      </x:c>
      <x:c r="B79" s="1" t="str">
        <x:f>'Ranking'!C17</x:f>
        <x:v>Pinsir</x:v>
      </x:c>
      <x:c r="C79" s="1" t="str">
        <x:f>'Habilidades'!D1221</x:f>
        <x:v>Thrash</x:v>
      </x:c>
      <x:c r="D79" s="1" t="str">
        <x:f>'Habilidades'!F1221</x:f>
        <x:v>Física</x:v>
      </x:c>
      <x:c r="E79" s="18" t="n">
        <x:f>'Habilidades'!G1221</x:f>
        <x:v>120</x:v>
      </x:c>
      <x:c r="F79" s="18" t="n">
        <x:f>'Habilidades'!H1221</x:f>
        <x:v>125</x:v>
      </x:c>
      <x:c r="G79" s="18" t="n">
        <x:f>'Habilidades'!I1221</x:f>
        <x:v>245</x:v>
      </x:c>
    </x:row>
    <x:row r="80" ht="22" customHeight="1">
      <x:c r="A80" s="17" t="n">
        <x:f>IF(B80="","",IF(B80=B79,A79,A79+1))</x:f>
        <x:v>16</x:v>
      </x:c>
      <x:c r="B80" s="1" t="str">
        <x:f>'Ranking'!C17</x:f>
        <x:v>Pinsir</x:v>
      </x:c>
      <x:c r="C80" s="1" t="str">
        <x:f>'Habilidades'!D1222</x:f>
        <x:v>Superpower</x:v>
      </x:c>
      <x:c r="D80" s="1" t="str">
        <x:f>'Habilidades'!F1222</x:f>
        <x:v>Física</x:v>
      </x:c>
      <x:c r="E80" s="18" t="n">
        <x:f>'Habilidades'!G1222</x:f>
        <x:v>120</x:v>
      </x:c>
      <x:c r="F80" s="18" t="n">
        <x:f>'Habilidades'!H1222</x:f>
        <x:v>125</x:v>
      </x:c>
      <x:c r="G80" s="18" t="n">
        <x:f>'Habilidades'!I1222</x:f>
        <x:v>245</x:v>
      </x:c>
    </x:row>
    <x:row r="81" ht="22" customHeight="1">
      <x:c r="A81" s="17" t="n">
        <x:f>IF(B81="","",IF(B81=B80,A80,A80+1))</x:f>
        <x:v>16</x:v>
      </x:c>
      <x:c r="B81" s="1" t="str">
        <x:f>'Ranking'!C17</x:f>
        <x:v>Pinsir</x:v>
      </x:c>
      <x:c r="C81" s="1" t="str">
        <x:f>'Habilidades'!D1223</x:f>
        <x:v>Submission</x:v>
      </x:c>
      <x:c r="D81" s="1" t="str">
        <x:f>'Habilidades'!F1223</x:f>
        <x:v>Física</x:v>
      </x:c>
      <x:c r="E81" s="18" t="n">
        <x:f>'Habilidades'!G1223</x:f>
        <x:v>80</x:v>
      </x:c>
      <x:c r="F81" s="18" t="n">
        <x:f>'Habilidades'!H1223</x:f>
        <x:v>125</x:v>
      </x:c>
      <x:c r="G81" s="18" t="n">
        <x:f>'Habilidades'!I1223</x:f>
        <x:v>205</x:v>
      </x:c>
    </x:row>
    <x:row r="82" ht="22" customHeight="1">
      <x:c r="A82" s="19" t="n">
        <x:f>IF(B82="","",IF(B82=B81,A81,A81+1))</x:f>
        <x:v>16</x:v>
      </x:c>
      <x:c r="B82" s="20" t="str">
        <x:f>'Ranking'!C17</x:f>
        <x:v>Pinsir</x:v>
      </x:c>
      <x:c r="C82" s="20" t="str">
        <x:f>'Habilidades'!D1224</x:f>
        <x:v>X-Scissor</x:v>
      </x:c>
      <x:c r="D82" s="20" t="str">
        <x:f>'Habilidades'!F1224</x:f>
        <x:v>Física</x:v>
      </x:c>
      <x:c r="E82" s="21" t="n">
        <x:f>'Habilidades'!G1224</x:f>
        <x:v>80</x:v>
      </x:c>
      <x:c r="F82" s="21" t="n">
        <x:f>'Habilidades'!H1224</x:f>
        <x:v>125</x:v>
      </x:c>
      <x:c r="G82" s="21" t="n">
        <x:f>'Habilidades'!I1224</x:f>
        <x:v>205</x:v>
      </x:c>
    </x:row>
    <x:row r="83" ht="22" customHeight="1">
      <x:c r="A83" s="17" t="n">
        <x:f>IF(B83="","",IF(B83=B82,A82,A82+1))</x:f>
        <x:v>17</x:v>
      </x:c>
      <x:c r="B83" s="1" t="str">
        <x:f>'Ranking'!C19</x:f>
        <x:v>Zapdos</x:v>
      </x:c>
      <x:c r="C83" s="1" t="str">
        <x:f>'Habilidades'!D1388</x:f>
        <x:v>Static Overload</x:v>
      </x:c>
      <x:c r="D83" s="1" t="str">
        <x:f>'Habilidades'!F1388</x:f>
        <x:v>Especial</x:v>
      </x:c>
      <x:c r="E83" s="18" t="n">
        <x:f>'Habilidades'!G1388</x:f>
        <x:v>300</x:v>
      </x:c>
      <x:c r="F83" s="18" t="n">
        <x:f>'Habilidades'!H1388</x:f>
        <x:v>125</x:v>
      </x:c>
      <x:c r="G83" s="18" t="n">
        <x:f>'Habilidades'!I1388</x:f>
        <x:v>425</x:v>
      </x:c>
    </x:row>
    <x:row r="84" ht="22" customHeight="1">
      <x:c r="A84" s="17" t="n">
        <x:f>IF(B84="","",IF(B84=B83,A83,A83+1))</x:f>
        <x:v>17</x:v>
      </x:c>
      <x:c r="B84" s="1" t="str">
        <x:f>'Ranking'!C19</x:f>
        <x:v>Zapdos</x:v>
      </x:c>
      <x:c r="C84" s="1" t="str">
        <x:f>'Habilidades'!D1389</x:f>
        <x:v>Massive Hurricane</x:v>
      </x:c>
      <x:c r="D84" s="1" t="str">
        <x:f>'Habilidades'!F1389</x:f>
        <x:v>Física</x:v>
      </x:c>
      <x:c r="E84" s="18" t="n">
        <x:f>'Habilidades'!G1389</x:f>
        <x:v>300</x:v>
      </x:c>
      <x:c r="F84" s="18" t="n">
        <x:f>'Habilidades'!H1389</x:f>
        <x:v>90</x:v>
      </x:c>
      <x:c r="G84" s="18" t="n">
        <x:f>'Habilidades'!I1389</x:f>
        <x:v>390</x:v>
      </x:c>
    </x:row>
    <x:row r="85" ht="22" customHeight="1">
      <x:c r="A85" s="17" t="n">
        <x:f>IF(B85="","",IF(B85=B84,A84,A84+1))</x:f>
        <x:v>17</x:v>
      </x:c>
      <x:c r="B85" s="1" t="str">
        <x:f>'Ranking'!C19</x:f>
        <x:v>Zapdos</x:v>
      </x:c>
      <x:c r="C85" s="1" t="str">
        <x:f>'Habilidades'!D1390</x:f>
        <x:v>Zap Cannon</x:v>
      </x:c>
      <x:c r="D85" s="1" t="str">
        <x:f>'Habilidades'!F1390</x:f>
        <x:v>Especial</x:v>
      </x:c>
      <x:c r="E85" s="18" t="n">
        <x:f>'Habilidades'!G1390</x:f>
        <x:v>120</x:v>
      </x:c>
      <x:c r="F85" s="18" t="n">
        <x:f>'Habilidades'!H1390</x:f>
        <x:v>125</x:v>
      </x:c>
      <x:c r="G85" s="18" t="n">
        <x:f>'Habilidades'!I1390</x:f>
        <x:v>245</x:v>
      </x:c>
    </x:row>
    <x:row r="86" ht="22" customHeight="1">
      <x:c r="A86" s="17" t="n">
        <x:f>IF(B86="","",IF(B86=B85,A85,A85+1))</x:f>
        <x:v>17</x:v>
      </x:c>
      <x:c r="B86" s="1" t="str">
        <x:f>'Ranking'!C19</x:f>
        <x:v>Zapdos</x:v>
      </x:c>
      <x:c r="C86" s="1" t="str">
        <x:f>'Habilidades'!D1391</x:f>
        <x:v>Thunder</x:v>
      </x:c>
      <x:c r="D86" s="1" t="str">
        <x:f>'Habilidades'!F1391</x:f>
        <x:v>Especial</x:v>
      </x:c>
      <x:c r="E86" s="18" t="n">
        <x:f>'Habilidades'!G1391</x:f>
        <x:v>110</x:v>
      </x:c>
      <x:c r="F86" s="18" t="n">
        <x:f>'Habilidades'!H1391</x:f>
        <x:v>125</x:v>
      </x:c>
      <x:c r="G86" s="18" t="n">
        <x:f>'Habilidades'!I1391</x:f>
        <x:v>235</x:v>
      </x:c>
    </x:row>
    <x:row r="87" ht="22" customHeight="1">
      <x:c r="A87" s="19" t="n">
        <x:f>IF(B87="","",IF(B87=B86,A86,A86+1))</x:f>
        <x:v>17</x:v>
      </x:c>
      <x:c r="B87" s="20" t="str">
        <x:f>'Ranking'!C19</x:f>
        <x:v>Zapdos</x:v>
      </x:c>
      <x:c r="C87" s="20" t="str">
        <x:f>'Habilidades'!D1394</x:f>
        <x:v>Drill Peck</x:v>
      </x:c>
      <x:c r="D87" s="20" t="str">
        <x:f>'Habilidades'!F1394</x:f>
        <x:v>Física</x:v>
      </x:c>
      <x:c r="E87" s="21" t="n">
        <x:f>'Habilidades'!G1394</x:f>
        <x:v>80</x:v>
      </x:c>
      <x:c r="F87" s="21" t="n">
        <x:f>'Habilidades'!H1394</x:f>
        <x:v>90</x:v>
      </x:c>
      <x:c r="G87" s="21" t="n">
        <x:f>'Habilidades'!I1394</x:f>
        <x:v>170</x:v>
      </x:c>
    </x:row>
    <x:row r="88" ht="22" customHeight="1">
      <x:c r="A88" s="17" t="n">
        <x:f>IF(B88="","",IF(B88=B87,A87,A87+1))</x:f>
        <x:v>18</x:v>
      </x:c>
      <x:c r="B88" s="1" t="str">
        <x:f>'Ranking'!C25</x:f>
        <x:v>Donphan</x:v>
      </x:c>
      <x:c r="C88" s="1" t="str">
        <x:f>'Habilidades'!D2183</x:f>
        <x:v>Crossing Fissure</x:v>
      </x:c>
      <x:c r="D88" s="1" t="str">
        <x:f>'Habilidades'!F2183</x:f>
        <x:v>Física</x:v>
      </x:c>
      <x:c r="E88" s="18" t="n">
        <x:f>'Habilidades'!G2183</x:f>
        <x:v>300</x:v>
      </x:c>
      <x:c r="F88" s="18" t="n">
        <x:f>'Habilidades'!H2183</x:f>
        <x:v>120</x:v>
      </x:c>
      <x:c r="G88" s="18" t="n">
        <x:f>'Habilidades'!I2183</x:f>
        <x:v>420</x:v>
      </x:c>
    </x:row>
    <x:row r="89" ht="22" customHeight="1">
      <x:c r="A89" s="17" t="n">
        <x:f>IF(B89="","",IF(B89=B88,A88,A88+1))</x:f>
        <x:v>18</x:v>
      </x:c>
      <x:c r="B89" s="1" t="str">
        <x:f>'Ranking'!C25</x:f>
        <x:v>Donphan</x:v>
      </x:c>
      <x:c r="C89" s="1" t="str">
        <x:f>'Habilidades'!D2184</x:f>
        <x:v>Giga Impact</x:v>
      </x:c>
      <x:c r="D89" s="1" t="str">
        <x:f>'Habilidades'!F2184</x:f>
        <x:v>Física</x:v>
      </x:c>
      <x:c r="E89" s="18" t="n">
        <x:f>'Habilidades'!G2184</x:f>
        <x:v>150</x:v>
      </x:c>
      <x:c r="F89" s="18" t="n">
        <x:f>'Habilidades'!H2184</x:f>
        <x:v>120</x:v>
      </x:c>
      <x:c r="G89" s="18" t="n">
        <x:f>'Habilidades'!I2184</x:f>
        <x:v>270</x:v>
      </x:c>
    </x:row>
    <x:row r="90" ht="22" customHeight="1">
      <x:c r="A90" s="17" t="n">
        <x:f>IF(B90="","",IF(B90=B89,A89,A89+1))</x:f>
        <x:v>18</x:v>
      </x:c>
      <x:c r="B90" s="1" t="str">
        <x:f>'Ranking'!C25</x:f>
        <x:v>Donphan</x:v>
      </x:c>
      <x:c r="C90" s="1" t="str">
        <x:f>'Habilidades'!D2185</x:f>
        <x:v>Earthquake</x:v>
      </x:c>
      <x:c r="D90" s="1" t="str">
        <x:f>'Habilidades'!F2185</x:f>
        <x:v>Física</x:v>
      </x:c>
      <x:c r="E90" s="18" t="n">
        <x:f>'Habilidades'!G2185</x:f>
        <x:v>100</x:v>
      </x:c>
      <x:c r="F90" s="18" t="n">
        <x:f>'Habilidades'!H2185</x:f>
        <x:v>120</x:v>
      </x:c>
      <x:c r="G90" s="18" t="n">
        <x:f>'Habilidades'!I2185</x:f>
        <x:v>220</x:v>
      </x:c>
    </x:row>
    <x:row r="91" ht="22" customHeight="1">
      <x:c r="A91" s="17" t="n">
        <x:f>IF(B91="","",IF(B91=B90,A90,A90+1))</x:f>
        <x:v>18</x:v>
      </x:c>
      <x:c r="B91" s="1" t="str">
        <x:f>'Ranking'!C25</x:f>
        <x:v>Donphan</x:v>
      </x:c>
      <x:c r="C91" s="1" t="str">
        <x:f>'Habilidades'!D2186</x:f>
        <x:v>Slam</x:v>
      </x:c>
      <x:c r="D91" s="1" t="str">
        <x:f>'Habilidades'!F2186</x:f>
        <x:v>Física</x:v>
      </x:c>
      <x:c r="E91" s="18" t="n">
        <x:f>'Habilidades'!G2186</x:f>
        <x:v>80</x:v>
      </x:c>
      <x:c r="F91" s="18" t="n">
        <x:f>'Habilidades'!H2186</x:f>
        <x:v>120</x:v>
      </x:c>
      <x:c r="G91" s="18" t="n">
        <x:f>'Habilidades'!I2186</x:f>
        <x:v>200</x:v>
      </x:c>
    </x:row>
    <x:row r="92" ht="22" customHeight="1">
      <x:c r="A92" s="19" t="n">
        <x:f>IF(B92="","",IF(B92=B91,A91,A91+1))</x:f>
        <x:v>18</x:v>
      </x:c>
      <x:c r="B92" s="20" t="str">
        <x:f>'Ranking'!C25</x:f>
        <x:v>Donphan</x:v>
      </x:c>
      <x:c r="C92" s="20" t="str">
        <x:f>'Habilidades'!D2187</x:f>
        <x:v>Horn Attack</x:v>
      </x:c>
      <x:c r="D92" s="20" t="str">
        <x:f>'Habilidades'!F2187</x:f>
        <x:v>Física</x:v>
      </x:c>
      <x:c r="E92" s="21" t="n">
        <x:f>'Habilidades'!G2187</x:f>
        <x:v>65</x:v>
      </x:c>
      <x:c r="F92" s="21" t="n">
        <x:f>'Habilidades'!H2187</x:f>
        <x:v>120</x:v>
      </x:c>
      <x:c r="G92" s="21" t="n">
        <x:f>'Habilidades'!I2187</x:f>
        <x:v>185</x:v>
      </x:c>
    </x:row>
    <x:row r="93" ht="22" customHeight="1">
      <x:c r="A93" s="17" t="n">
        <x:f>IF(B93="","",IF(B93=B92,A92,A92+1))</x:f>
        <x:v>19</x:v>
      </x:c>
      <x:c r="B93" s="1" t="str">
        <x:f>'Ranking'!C22</x:f>
        <x:v>Golem</x:v>
      </x:c>
      <x:c r="C93" s="1" t="str">
        <x:f>'Habilidades'!D676</x:f>
        <x:v>Crumbling Rain</x:v>
      </x:c>
      <x:c r="D93" s="1" t="str">
        <x:f>'Habilidades'!F676</x:f>
        <x:v>Física</x:v>
      </x:c>
      <x:c r="E93" s="18" t="n">
        <x:f>'Habilidades'!G676</x:f>
        <x:v>300</x:v>
      </x:c>
      <x:c r="F93" s="18" t="n">
        <x:f>'Habilidades'!H676</x:f>
        <x:v>120</x:v>
      </x:c>
      <x:c r="G93" s="18" t="n">
        <x:f>'Habilidades'!I676</x:f>
        <x:v>420</x:v>
      </x:c>
    </x:row>
    <x:row r="94" ht="22" customHeight="1">
      <x:c r="A94" s="17" t="n">
        <x:f>IF(B94="","",IF(B94=B93,A93,A93+1))</x:f>
        <x:v>19</x:v>
      </x:c>
      <x:c r="B94" s="1" t="str">
        <x:f>'Ranking'!C22</x:f>
        <x:v>Golem</x:v>
      </x:c>
      <x:c r="C94" s="1" t="str">
        <x:f>'Habilidades'!D677</x:f>
        <x:v>Double-Edge</x:v>
      </x:c>
      <x:c r="D94" s="1" t="str">
        <x:f>'Habilidades'!F677</x:f>
        <x:v>Física</x:v>
      </x:c>
      <x:c r="E94" s="18" t="n">
        <x:f>'Habilidades'!G677</x:f>
        <x:v>120</x:v>
      </x:c>
      <x:c r="F94" s="18" t="n">
        <x:f>'Habilidades'!H677</x:f>
        <x:v>120</x:v>
      </x:c>
      <x:c r="G94" s="18" t="n">
        <x:f>'Habilidades'!I677</x:f>
        <x:v>240</x:v>
      </x:c>
    </x:row>
    <x:row r="95" ht="22" customHeight="1">
      <x:c r="A95" s="17" t="n">
        <x:f>IF(B95="","",IF(B95=B94,A94,A94+1))</x:f>
        <x:v>19</x:v>
      </x:c>
      <x:c r="B95" s="1" t="str">
        <x:f>'Ranking'!C22</x:f>
        <x:v>Golem</x:v>
      </x:c>
      <x:c r="C95" s="1" t="str">
        <x:f>'Habilidades'!D678</x:f>
        <x:v>Earthquake</x:v>
      </x:c>
      <x:c r="D95" s="1" t="str">
        <x:f>'Habilidades'!F678</x:f>
        <x:v>Física</x:v>
      </x:c>
      <x:c r="E95" s="18" t="n">
        <x:f>'Habilidades'!G678</x:f>
        <x:v>100</x:v>
      </x:c>
      <x:c r="F95" s="18" t="n">
        <x:f>'Habilidades'!H678</x:f>
        <x:v>120</x:v>
      </x:c>
      <x:c r="G95" s="18" t="n">
        <x:f>'Habilidades'!I678</x:f>
        <x:v>220</x:v>
      </x:c>
    </x:row>
    <x:row r="96" ht="22" customHeight="1">
      <x:c r="A96" s="17" t="n">
        <x:f>IF(B96="","",IF(B96=B95,A95,A95+1))</x:f>
        <x:v>19</x:v>
      </x:c>
      <x:c r="B96" s="1" t="str">
        <x:f>'Ranking'!C22</x:f>
        <x:v>Golem</x:v>
      </x:c>
      <x:c r="C96" s="1" t="str">
        <x:f>'Habilidades'!D679</x:f>
        <x:v>Stone Edge</x:v>
      </x:c>
      <x:c r="D96" s="1" t="str">
        <x:f>'Habilidades'!F679</x:f>
        <x:v>Física</x:v>
      </x:c>
      <x:c r="E96" s="18" t="n">
        <x:f>'Habilidades'!G679</x:f>
        <x:v>100</x:v>
      </x:c>
      <x:c r="F96" s="18" t="n">
        <x:f>'Habilidades'!H679</x:f>
        <x:v>120</x:v>
      </x:c>
      <x:c r="G96" s="18" t="n">
        <x:f>'Habilidades'!I679</x:f>
        <x:v>220</x:v>
      </x:c>
    </x:row>
    <x:row r="97" ht="22" customHeight="1">
      <x:c r="A97" s="19" t="n">
        <x:f>IF(B97="","",IF(B97=B96,A96,A96+1))</x:f>
        <x:v>19</x:v>
      </x:c>
      <x:c r="B97" s="20" t="str">
        <x:f>'Ranking'!C22</x:f>
        <x:v>Golem</x:v>
      </x:c>
      <x:c r="C97" s="20" t="str">
        <x:f>'Habilidades'!D680</x:f>
        <x:v>Steamroller</x:v>
      </x:c>
      <x:c r="D97" s="20" t="str">
        <x:f>'Habilidades'!F680</x:f>
        <x:v>Física</x:v>
      </x:c>
      <x:c r="E97" s="21" t="n">
        <x:f>'Habilidades'!G680</x:f>
        <x:v>65</x:v>
      </x:c>
      <x:c r="F97" s="21" t="n">
        <x:f>'Habilidades'!H680</x:f>
        <x:v>120</x:v>
      </x:c>
      <x:c r="G97" s="21" t="n">
        <x:f>'Habilidades'!I680</x:f>
        <x:v>185</x:v>
      </x:c>
    </x:row>
    <x:row r="98" ht="22" customHeight="1">
      <x:c r="A98" s="17" t="n">
        <x:f>IF(B98="","",IF(B98=B97,A97,A97+1))</x:f>
        <x:v>20</x:v>
      </x:c>
      <x:c r="B98" s="1" t="str">
        <x:f>'Ranking'!C24</x:f>
        <x:v>Hitmonlee</x:v>
      </x:c>
      <x:c r="C98" s="1" t="str">
        <x:f>'Habilidades'!D993</x:f>
        <x:v>Meteor Fists</x:v>
      </x:c>
      <x:c r="D98" s="1" t="str">
        <x:f>'Habilidades'!F993</x:f>
        <x:v>Física</x:v>
      </x:c>
      <x:c r="E98" s="18" t="n">
        <x:f>'Habilidades'!G993</x:f>
        <x:v>300</x:v>
      </x:c>
      <x:c r="F98" s="18" t="n">
        <x:f>'Habilidades'!H993</x:f>
        <x:v>120</x:v>
      </x:c>
      <x:c r="G98" s="18" t="n">
        <x:f>'Habilidades'!I993</x:f>
        <x:v>420</x:v>
      </x:c>
    </x:row>
    <x:row r="99" ht="22" customHeight="1">
      <x:c r="A99" s="17" t="n">
        <x:f>IF(B99="","",IF(B99=B98,A98,A98+1))</x:f>
        <x:v>20</x:v>
      </x:c>
      <x:c r="B99" s="1" t="str">
        <x:f>'Ranking'!C24</x:f>
        <x:v>Hitmonlee</x:v>
      </x:c>
      <x:c r="C99" s="1" t="str">
        <x:f>'Habilidades'!D994</x:f>
        <x:v>Hi Jump Kick</x:v>
      </x:c>
      <x:c r="D99" s="1" t="str">
        <x:f>'Habilidades'!F994</x:f>
        <x:v>Física</x:v>
      </x:c>
      <x:c r="E99" s="18" t="n">
        <x:f>'Habilidades'!G994</x:f>
        <x:v>130</x:v>
      </x:c>
      <x:c r="F99" s="18" t="n">
        <x:f>'Habilidades'!H994</x:f>
        <x:v>120</x:v>
      </x:c>
      <x:c r="G99" s="18" t="n">
        <x:f>'Habilidades'!I994</x:f>
        <x:v>250</x:v>
      </x:c>
    </x:row>
    <x:row r="100" ht="22" customHeight="1">
      <x:c r="A100" s="17" t="n">
        <x:f>IF(B100="","",IF(B100=B99,A99,A99+1))</x:f>
        <x:v>20</x:v>
      </x:c>
      <x:c r="B100" s="1" t="str">
        <x:f>'Ranking'!C24</x:f>
        <x:v>Hitmonlee</x:v>
      </x:c>
      <x:c r="C100" s="1" t="str">
        <x:f>'Habilidades'!D995</x:f>
        <x:v>Mega Kick</x:v>
      </x:c>
      <x:c r="D100" s="1" t="str">
        <x:f>'Habilidades'!F995</x:f>
        <x:v>Física</x:v>
      </x:c>
      <x:c r="E100" s="18" t="n">
        <x:f>'Habilidades'!G995</x:f>
        <x:v>120</x:v>
      </x:c>
      <x:c r="F100" s="18" t="n">
        <x:f>'Habilidades'!H995</x:f>
        <x:v>120</x:v>
      </x:c>
      <x:c r="G100" s="18" t="n">
        <x:f>'Habilidades'!I995</x:f>
        <x:v>240</x:v>
      </x:c>
    </x:row>
    <x:row r="101" ht="22" customHeight="1">
      <x:c r="A101" s="17" t="n">
        <x:f>IF(B101="","",IF(B101=B100,A100,A100+1))</x:f>
        <x:v>20</x:v>
      </x:c>
      <x:c r="B101" s="1" t="str">
        <x:f>'Ranking'!C24</x:f>
        <x:v>Hitmonlee</x:v>
      </x:c>
      <x:c r="C101" s="1" t="str">
        <x:f>'Habilidades'!D996</x:f>
        <x:v>Close Combat</x:v>
      </x:c>
      <x:c r="D101" s="1" t="str">
        <x:f>'Habilidades'!F996</x:f>
        <x:v>Física</x:v>
      </x:c>
      <x:c r="E101" s="18" t="n">
        <x:f>'Habilidades'!G996</x:f>
        <x:v>120</x:v>
      </x:c>
      <x:c r="F101" s="18" t="n">
        <x:f>'Habilidades'!H996</x:f>
        <x:v>120</x:v>
      </x:c>
      <x:c r="G101" s="18" t="n">
        <x:f>'Habilidades'!I996</x:f>
        <x:v>240</x:v>
      </x:c>
    </x:row>
    <x:row r="102" ht="22" customHeight="1">
      <x:c r="A102" s="19" t="n">
        <x:f>IF(B102="","",IF(B102=B101,A101,A101+1))</x:f>
        <x:v>20</x:v>
      </x:c>
      <x:c r="B102" s="20" t="str">
        <x:f>'Ranking'!C24</x:f>
        <x:v>Hitmonlee</x:v>
      </x:c>
      <x:c r="C102" s="20" t="str">
        <x:f>'Habilidades'!D997</x:f>
        <x:v>Jump Kick</x:v>
      </x:c>
      <x:c r="D102" s="20" t="str">
        <x:f>'Habilidades'!F997</x:f>
        <x:v>Física</x:v>
      </x:c>
      <x:c r="E102" s="21" t="n">
        <x:f>'Habilidades'!G997</x:f>
        <x:v>100</x:v>
      </x:c>
      <x:c r="F102" s="21" t="n">
        <x:f>'Habilidades'!H997</x:f>
        <x:v>120</x:v>
      </x:c>
      <x:c r="G102" s="21" t="n">
        <x:f>'Habilidades'!I997</x:f>
        <x:v>220</x:v>
      </x:c>
    </x:row>
    <x:row r="103" ht="22" customHeight="1">
      <x:c r="A103" s="17" t="n">
        <x:f>IF(B103="","",IF(B103=B102,A102,A102+1))</x:f>
        <x:v>21</x:v>
      </x:c>
      <x:c r="B103" s="1" t="str">
        <x:f>'Ranking'!C23</x:f>
        <x:v>Magneton</x:v>
      </x:c>
      <x:c r="C103" s="1" t="str">
        <x:f>'Habilidades'!D740</x:f>
        <x:v>Static Overload</x:v>
      </x:c>
      <x:c r="D103" s="1" t="str">
        <x:f>'Habilidades'!F740</x:f>
        <x:v>Especial</x:v>
      </x:c>
      <x:c r="E103" s="18" t="n">
        <x:f>'Habilidades'!G740</x:f>
        <x:v>300</x:v>
      </x:c>
      <x:c r="F103" s="18" t="n">
        <x:f>'Habilidades'!H740</x:f>
        <x:v>120</x:v>
      </x:c>
      <x:c r="G103" s="18" t="n">
        <x:f>'Habilidades'!I740</x:f>
        <x:v>420</x:v>
      </x:c>
    </x:row>
    <x:row r="104" ht="22" customHeight="1">
      <x:c r="A104" s="17" t="n">
        <x:f>IF(B104="","",IF(B104=B103,A103,A103+1))</x:f>
        <x:v>21</x:v>
      </x:c>
      <x:c r="B104" s="1" t="str">
        <x:f>'Ranking'!C23</x:f>
        <x:v>Magneton</x:v>
      </x:c>
      <x:c r="C104" s="1" t="str">
        <x:f>'Habilidades'!D741</x:f>
        <x:v>Zap Cannon</x:v>
      </x:c>
      <x:c r="D104" s="1" t="str">
        <x:f>'Habilidades'!F741</x:f>
        <x:v>Especial</x:v>
      </x:c>
      <x:c r="E104" s="18" t="n">
        <x:f>'Habilidades'!G741</x:f>
        <x:v>120</x:v>
      </x:c>
      <x:c r="F104" s="18" t="n">
        <x:f>'Habilidades'!H741</x:f>
        <x:v>120</x:v>
      </x:c>
      <x:c r="G104" s="18" t="n">
        <x:f>'Habilidades'!I741</x:f>
        <x:v>240</x:v>
      </x:c>
    </x:row>
    <x:row r="105" ht="22" customHeight="1">
      <x:c r="A105" s="17" t="n">
        <x:f>IF(B105="","",IF(B105=B104,A104,A104+1))</x:f>
        <x:v>21</x:v>
      </x:c>
      <x:c r="B105" s="1" t="str">
        <x:f>'Ranking'!C23</x:f>
        <x:v>Magneton</x:v>
      </x:c>
      <x:c r="C105" s="1" t="str">
        <x:f>'Habilidades'!D742</x:f>
        <x:v>Tri-Attack</x:v>
      </x:c>
      <x:c r="D105" s="1" t="str">
        <x:f>'Habilidades'!F742</x:f>
        <x:v>Especial</x:v>
      </x:c>
      <x:c r="E105" s="18" t="n">
        <x:f>'Habilidades'!G742</x:f>
        <x:v>80</x:v>
      </x:c>
      <x:c r="F105" s="18" t="n">
        <x:f>'Habilidades'!H742</x:f>
        <x:v>120</x:v>
      </x:c>
      <x:c r="G105" s="18" t="n">
        <x:f>'Habilidades'!I742</x:f>
        <x:v>200</x:v>
      </x:c>
    </x:row>
    <x:row r="106" ht="22" customHeight="1">
      <x:c r="A106" s="17" t="n">
        <x:f>IF(B106="","",IF(B106=B105,A105,A105+1))</x:f>
        <x:v>21</x:v>
      </x:c>
      <x:c r="B106" s="1" t="str">
        <x:f>'Ranking'!C23</x:f>
        <x:v>Magneton</x:v>
      </x:c>
      <x:c r="C106" s="1" t="str">
        <x:f>'Habilidades'!D743</x:f>
        <x:v>Flash Cannon</x:v>
      </x:c>
      <x:c r="D106" s="1" t="str">
        <x:f>'Habilidades'!F743</x:f>
        <x:v>Especial</x:v>
      </x:c>
      <x:c r="E106" s="18" t="n">
        <x:f>'Habilidades'!G743</x:f>
        <x:v>80</x:v>
      </x:c>
      <x:c r="F106" s="18" t="n">
        <x:f>'Habilidades'!H743</x:f>
        <x:v>120</x:v>
      </x:c>
      <x:c r="G106" s="18" t="n">
        <x:f>'Habilidades'!I743</x:f>
        <x:v>200</x:v>
      </x:c>
    </x:row>
    <x:row r="107" ht="22" customHeight="1">
      <x:c r="A107" s="19" t="n">
        <x:f>IF(B107="","",IF(B107=B106,A106,A106+1))</x:f>
        <x:v>21</x:v>
      </x:c>
      <x:c r="B107" s="20" t="str">
        <x:f>'Ranking'!C23</x:f>
        <x:v>Magneton</x:v>
      </x:c>
      <x:c r="C107" s="20" t="str">
        <x:f>'Habilidades'!D744</x:f>
        <x:v>Discharge</x:v>
      </x:c>
      <x:c r="D107" s="20" t="str">
        <x:f>'Habilidades'!F744</x:f>
        <x:v>Especial</x:v>
      </x:c>
      <x:c r="E107" s="21" t="n">
        <x:f>'Habilidades'!G744</x:f>
        <x:v>80</x:v>
      </x:c>
      <x:c r="F107" s="21" t="n">
        <x:f>'Habilidades'!H744</x:f>
        <x:v>120</x:v>
      </x:c>
      <x:c r="G107" s="21" t="n">
        <x:f>'Habilidades'!I744</x:f>
        <x:v>200</x:v>
      </x:c>
    </x:row>
    <x:row r="108" ht="22" customHeight="1">
      <x:c r="A108" s="17" t="n">
        <x:f>IF(B108="","",IF(B108=B107,A107,A107+1))</x:f>
        <x:v>22</x:v>
      </x:c>
      <x:c r="B108" s="1" t="str">
        <x:f>'Ranking'!C28</x:f>
        <x:v>Ampharos</x:v>
      </x:c>
      <x:c r="C108" s="1" t="str">
        <x:f>'Habilidades'!D1703</x:f>
        <x:v>Static Overload</x:v>
      </x:c>
      <x:c r="D108" s="1" t="str">
        <x:f>'Habilidades'!F1703</x:f>
        <x:v>Especial</x:v>
      </x:c>
      <x:c r="E108" s="18" t="n">
        <x:f>'Habilidades'!G1703</x:f>
        <x:v>300</x:v>
      </x:c>
      <x:c r="F108" s="18" t="n">
        <x:f>'Habilidades'!H1703</x:f>
        <x:v>115</x:v>
      </x:c>
      <x:c r="G108" s="18" t="n">
        <x:f>'Habilidades'!I1703</x:f>
        <x:v>415</x:v>
      </x:c>
    </x:row>
    <x:row r="109" ht="22" customHeight="1">
      <x:c r="A109" s="17" t="n">
        <x:f>IF(B109="","",IF(B109=B108,A108,A108+1))</x:f>
        <x:v>22</x:v>
      </x:c>
      <x:c r="B109" s="1" t="str">
        <x:f>'Ranking'!C28</x:f>
        <x:v>Ampharos</x:v>
      </x:c>
      <x:c r="C109" s="1" t="str">
        <x:f>'Habilidades'!D1704</x:f>
        <x:v>Zap Cannon</x:v>
      </x:c>
      <x:c r="D109" s="1" t="str">
        <x:f>'Habilidades'!F1704</x:f>
        <x:v>Especial</x:v>
      </x:c>
      <x:c r="E109" s="18" t="n">
        <x:f>'Habilidades'!G1704</x:f>
        <x:v>120</x:v>
      </x:c>
      <x:c r="F109" s="18" t="n">
        <x:f>'Habilidades'!H1704</x:f>
        <x:v>115</x:v>
      </x:c>
      <x:c r="G109" s="18" t="n">
        <x:f>'Habilidades'!I1704</x:f>
        <x:v>235</x:v>
      </x:c>
    </x:row>
    <x:row r="110" ht="22" customHeight="1">
      <x:c r="A110" s="17" t="n">
        <x:f>IF(B110="","",IF(B110=B109,A109,A109+1))</x:f>
        <x:v>22</x:v>
      </x:c>
      <x:c r="B110" s="1" t="str">
        <x:f>'Ranking'!C28</x:f>
        <x:v>Ampharos</x:v>
      </x:c>
      <x:c r="C110" s="1" t="str">
        <x:f>'Habilidades'!D1705</x:f>
        <x:v>Thunder</x:v>
      </x:c>
      <x:c r="D110" s="1" t="str">
        <x:f>'Habilidades'!F1705</x:f>
        <x:v>Especial</x:v>
      </x:c>
      <x:c r="E110" s="18" t="n">
        <x:f>'Habilidades'!G1705</x:f>
        <x:v>110</x:v>
      </x:c>
      <x:c r="F110" s="18" t="n">
        <x:f>'Habilidades'!H1705</x:f>
        <x:v>115</x:v>
      </x:c>
      <x:c r="G110" s="18" t="n">
        <x:f>'Habilidades'!I1705</x:f>
        <x:v>225</x:v>
      </x:c>
    </x:row>
    <x:row r="111" ht="22" customHeight="1">
      <x:c r="A111" s="17" t="n">
        <x:f>IF(B111="","",IF(B111=B110,A110,A110+1))</x:f>
        <x:v>22</x:v>
      </x:c>
      <x:c r="B111" s="1" t="str">
        <x:f>'Ranking'!C28</x:f>
        <x:v>Ampharos</x:v>
      </x:c>
      <x:c r="C111" s="1" t="str">
        <x:f>'Habilidades'!D1706</x:f>
        <x:v>Dragon Pulse</x:v>
      </x:c>
      <x:c r="D111" s="1" t="str">
        <x:f>'Habilidades'!F1706</x:f>
        <x:v>Especial</x:v>
      </x:c>
      <x:c r="E111" s="18" t="n">
        <x:f>'Habilidades'!G1706</x:f>
        <x:v>85</x:v>
      </x:c>
      <x:c r="F111" s="18" t="n">
        <x:f>'Habilidades'!H1706</x:f>
        <x:v>115</x:v>
      </x:c>
      <x:c r="G111" s="18" t="n">
        <x:f>'Habilidades'!I1706</x:f>
        <x:v>200</x:v>
      </x:c>
    </x:row>
    <x:row r="112" ht="22" customHeight="1">
      <x:c r="A112" s="19" t="n">
        <x:f>IF(B112="","",IF(B112=B111,A111,A111+1))</x:f>
        <x:v>22</x:v>
      </x:c>
      <x:c r="B112" s="20" t="str">
        <x:f>'Ranking'!C28</x:f>
        <x:v>Ampharos</x:v>
      </x:c>
      <x:c r="C112" s="20" t="str">
        <x:f>'Habilidades'!D1710</x:f>
        <x:v>Take Down</x:v>
      </x:c>
      <x:c r="D112" s="20" t="str">
        <x:f>'Habilidades'!F1710</x:f>
        <x:v>Física</x:v>
      </x:c>
      <x:c r="E112" s="21" t="n">
        <x:f>'Habilidades'!G1710</x:f>
        <x:v>90</x:v>
      </x:c>
      <x:c r="F112" s="21" t="n">
        <x:f>'Habilidades'!H1710</x:f>
        <x:v>75</x:v>
      </x:c>
      <x:c r="G112" s="21" t="n">
        <x:f>'Habilidades'!I1710</x:f>
        <x:v>165</x:v>
      </x:c>
    </x:row>
    <x:row r="113" ht="22" customHeight="1">
      <x:c r="A113" s="17" t="n">
        <x:f>IF(B113="","",IF(B113=B112,A112,A112+1))</x:f>
        <x:v>23</x:v>
      </x:c>
      <x:c r="B113" s="1" t="str">
        <x:f>'Ranking'!C26</x:f>
        <x:v>Jynx</x:v>
      </x:c>
      <x:c r="C113" s="1" t="str">
        <x:f>'Habilidades'!D1185</x:f>
        <x:v>Ice Time</x:v>
      </x:c>
      <x:c r="D113" s="1" t="str">
        <x:f>'Habilidades'!F1185</x:f>
        <x:v>Especial</x:v>
      </x:c>
      <x:c r="E113" s="18" t="n">
        <x:f>'Habilidades'!G1185</x:f>
        <x:v>300</x:v>
      </x:c>
      <x:c r="F113" s="18" t="n">
        <x:f>'Habilidades'!H1185</x:f>
        <x:v>115</x:v>
      </x:c>
      <x:c r="G113" s="18" t="n">
        <x:f>'Habilidades'!I1185</x:f>
        <x:v>415</x:v>
      </x:c>
    </x:row>
    <x:row r="114" ht="22" customHeight="1">
      <x:c r="A114" s="17" t="n">
        <x:f>IF(B114="","",IF(B114=B113,A113,A113+1))</x:f>
        <x:v>23</x:v>
      </x:c>
      <x:c r="B114" s="1" t="str">
        <x:f>'Ranking'!C26</x:f>
        <x:v>Jynx</x:v>
      </x:c>
      <x:c r="C114" s="1" t="str">
        <x:f>'Habilidades'!D1186</x:f>
        <x:v>Blizzard</x:v>
      </x:c>
      <x:c r="D114" s="1" t="str">
        <x:f>'Habilidades'!F1186</x:f>
        <x:v>Especial</x:v>
      </x:c>
      <x:c r="E114" s="18" t="n">
        <x:f>'Habilidades'!G1186</x:f>
        <x:v>110</x:v>
      </x:c>
      <x:c r="F114" s="18" t="n">
        <x:f>'Habilidades'!H1186</x:f>
        <x:v>115</x:v>
      </x:c>
      <x:c r="G114" s="18" t="n">
        <x:f>'Habilidades'!I1186</x:f>
        <x:v>225</x:v>
      </x:c>
    </x:row>
    <x:row r="115" ht="22" customHeight="1">
      <x:c r="A115" s="17" t="n">
        <x:f>IF(B115="","",IF(B115=B114,A114,A114+1))</x:f>
        <x:v>23</x:v>
      </x:c>
      <x:c r="B115" s="1" t="str">
        <x:f>'Ranking'!C26</x:f>
        <x:v>Jynx</x:v>
      </x:c>
      <x:c r="C115" s="1" t="str">
        <x:f>'Habilidades'!D1189</x:f>
        <x:v>Body Slam</x:v>
      </x:c>
      <x:c r="D115" s="1" t="str">
        <x:f>'Habilidades'!F1189</x:f>
        <x:v>Física</x:v>
      </x:c>
      <x:c r="E115" s="18" t="n">
        <x:f>'Habilidades'!G1189</x:f>
        <x:v>85</x:v>
      </x:c>
      <x:c r="F115" s="18" t="n">
        <x:f>'Habilidades'!H1189</x:f>
        <x:v>50</x:v>
      </x:c>
      <x:c r="G115" s="18" t="n">
        <x:f>'Habilidades'!I1189</x:f>
        <x:v>135</x:v>
      </x:c>
    </x:row>
    <x:row r="116" ht="22" customHeight="1">
      <x:c r="A116" s="17" t="n">
        <x:f>IF(B116="","",IF(B116=B115,A115,A115+1))</x:f>
        <x:v>23</x:v>
      </x:c>
      <x:c r="B116" s="1" t="str">
        <x:f>'Ranking'!C26</x:f>
        <x:v>Jynx</x:v>
      </x:c>
      <x:c r="C116" s="1" t="str">
        <x:f>'Habilidades'!D1190</x:f>
        <x:v>Ice Punch</x:v>
      </x:c>
      <x:c r="D116" s="1" t="str">
        <x:f>'Habilidades'!F1190</x:f>
        <x:v>Física</x:v>
      </x:c>
      <x:c r="E116" s="18" t="n">
        <x:f>'Habilidades'!G1190</x:f>
        <x:v>75</x:v>
      </x:c>
      <x:c r="F116" s="18" t="n">
        <x:f>'Habilidades'!H1190</x:f>
        <x:v>50</x:v>
      </x:c>
      <x:c r="G116" s="18" t="n">
        <x:f>'Habilidades'!I1190</x:f>
        <x:v>125</x:v>
      </x:c>
    </x:row>
    <x:row r="117" ht="22" customHeight="1">
      <x:c r="A117" s="19" t="n">
        <x:f>IF(B117="","",IF(B117=B116,A116,A116+1))</x:f>
        <x:v>23</x:v>
      </x:c>
      <x:c r="B117" s="20" t="str">
        <x:f>'Ranking'!C26</x:f>
        <x:v>Jynx</x:v>
      </x:c>
      <x:c r="C117" s="20" t="str">
        <x:f>'Habilidades'!D1191</x:f>
        <x:v>Wake-Up Slap</x:v>
      </x:c>
      <x:c r="D117" s="20" t="str">
        <x:f>'Habilidades'!F1191</x:f>
        <x:v>Física</x:v>
      </x:c>
      <x:c r="E117" s="21" t="n">
        <x:f>'Habilidades'!G1191</x:f>
        <x:v>70</x:v>
      </x:c>
      <x:c r="F117" s="21" t="n">
        <x:f>'Habilidades'!H1191</x:f>
        <x:v>50</x:v>
      </x:c>
      <x:c r="G117" s="21" t="n">
        <x:f>'Habilidades'!I1191</x:f>
        <x:v>120</x:v>
      </x:c>
    </x:row>
    <x:row r="118" ht="22" customHeight="1">
      <x:c r="A118" s="17" t="n">
        <x:f>IF(B118="","",IF(B118=B117,A117,A117+1))</x:f>
        <x:v>24</x:v>
      </x:c>
      <x:c r="B118" s="1" t="str">
        <x:f>'Ranking'!C27</x:f>
        <x:v>Kabutops</x:v>
      </x:c>
      <x:c r="C118" s="1" t="str">
        <x:f>'Habilidades'!D1342</x:f>
        <x:v>Crumbling Rain</x:v>
      </x:c>
      <x:c r="D118" s="1" t="str">
        <x:f>'Habilidades'!F1342</x:f>
        <x:v>Física</x:v>
      </x:c>
      <x:c r="E118" s="18" t="n">
        <x:f>'Habilidades'!G1342</x:f>
        <x:v>300</x:v>
      </x:c>
      <x:c r="F118" s="18" t="n">
        <x:f>'Habilidades'!H1342</x:f>
        <x:v>115</x:v>
      </x:c>
      <x:c r="G118" s="18" t="n">
        <x:f>'Habilidades'!I1342</x:f>
        <x:v>415</x:v>
      </x:c>
    </x:row>
    <x:row r="119" ht="22" customHeight="1">
      <x:c r="A119" s="17" t="n">
        <x:f>IF(B119="","",IF(B119=B118,A118,A118+1))</x:f>
        <x:v>24</x:v>
      </x:c>
      <x:c r="B119" s="1" t="str">
        <x:f>'Ranking'!C27</x:f>
        <x:v>Kabutops</x:v>
      </x:c>
      <x:c r="C119" s="1" t="str">
        <x:f>'Habilidades'!D1343</x:f>
        <x:v>Night Slash</x:v>
      </x:c>
      <x:c r="D119" s="1" t="str">
        <x:f>'Habilidades'!F1343</x:f>
        <x:v>Física</x:v>
      </x:c>
      <x:c r="E119" s="18" t="n">
        <x:f>'Habilidades'!G1343</x:f>
        <x:v>70</x:v>
      </x:c>
      <x:c r="F119" s="18" t="n">
        <x:f>'Habilidades'!H1343</x:f>
        <x:v>115</x:v>
      </x:c>
      <x:c r="G119" s="18" t="n">
        <x:f>'Habilidades'!I1343</x:f>
        <x:v>185</x:v>
      </x:c>
    </x:row>
    <x:row r="120" ht="22" customHeight="1">
      <x:c r="A120" s="17" t="n">
        <x:f>IF(B120="","",IF(B120=B119,A119,A119+1))</x:f>
        <x:v>24</x:v>
      </x:c>
      <x:c r="B120" s="1" t="str">
        <x:f>'Ranking'!C27</x:f>
        <x:v>Kabutops</x:v>
      </x:c>
      <x:c r="C120" s="1" t="str">
        <x:f>'Habilidades'!D1344</x:f>
        <x:v>Slash</x:v>
      </x:c>
      <x:c r="D120" s="1" t="str">
        <x:f>'Habilidades'!F1344</x:f>
        <x:v>Física</x:v>
      </x:c>
      <x:c r="E120" s="18" t="n">
        <x:f>'Habilidades'!G1344</x:f>
        <x:v>70</x:v>
      </x:c>
      <x:c r="F120" s="18" t="n">
        <x:f>'Habilidades'!H1344</x:f>
        <x:v>115</x:v>
      </x:c>
      <x:c r="G120" s="18" t="n">
        <x:f>'Habilidades'!I1344</x:f>
        <x:v>185</x:v>
      </x:c>
    </x:row>
    <x:row r="121" ht="22" customHeight="1">
      <x:c r="A121" s="17" t="n">
        <x:f>IF(B121="","",IF(B121=B120,A120,A120+1))</x:f>
        <x:v>24</x:v>
      </x:c>
      <x:c r="B121" s="1" t="str">
        <x:f>'Ranking'!C27</x:f>
        <x:v>Kabutops</x:v>
      </x:c>
      <x:c r="C121" s="1" t="str">
        <x:f>'Habilidades'!D1348</x:f>
        <x:v>Ancient Power</x:v>
      </x:c>
      <x:c r="D121" s="1" t="str">
        <x:f>'Habilidades'!F1348</x:f>
        <x:v>Especial</x:v>
      </x:c>
      <x:c r="E121" s="18" t="n">
        <x:f>'Habilidades'!G1348</x:f>
        <x:v>60</x:v>
      </x:c>
      <x:c r="F121" s="18" t="n">
        <x:f>'Habilidades'!H1348</x:f>
        <x:v>65</x:v>
      </x:c>
      <x:c r="G121" s="18" t="n">
        <x:f>'Habilidades'!I1348</x:f>
        <x:v>125</x:v>
      </x:c>
    </x:row>
    <x:row r="122" ht="22" customHeight="1">
      <x:c r="A122" s="19" t="n">
        <x:f>IF(B122="","",IF(B122=B121,A121,A121+1))</x:f>
        <x:v>24</x:v>
      </x:c>
      <x:c r="B122" s="20" t="str">
        <x:f>'Ranking'!C27</x:f>
        <x:v>Kabutops</x:v>
      </x:c>
      <x:c r="C122" s="20" t="str">
        <x:f>'Habilidades'!D1349</x:f>
        <x:v>Mud Shot</x:v>
      </x:c>
      <x:c r="D122" s="20" t="str">
        <x:f>'Habilidades'!F1349</x:f>
        <x:v>Especial</x:v>
      </x:c>
      <x:c r="E122" s="21" t="n">
        <x:f>'Habilidades'!G1349</x:f>
        <x:v>55</x:v>
      </x:c>
      <x:c r="F122" s="21" t="n">
        <x:f>'Habilidades'!H1349</x:f>
        <x:v>65</x:v>
      </x:c>
      <x:c r="G122" s="21" t="n">
        <x:f>'Habilidades'!I1349</x:f>
        <x:v>120</x:v>
      </x:c>
    </x:row>
    <x:row r="123" ht="22" customHeight="1">
      <x:c r="A123" s="17" t="n">
        <x:f>IF(B123="","",IF(B123=B122,A122,A122+1))</x:f>
        <x:v>25</x:v>
      </x:c>
      <x:c r="B123" s="1" t="str">
        <x:f>'Ranking'!C29</x:f>
        <x:v>Raikou</x:v>
      </x:c>
      <x:c r="C123" s="1" t="str">
        <x:f>'Habilidades'!D2257</x:f>
        <x:v>Static Overload</x:v>
      </x:c>
      <x:c r="D123" s="1" t="str">
        <x:f>'Habilidades'!F2257</x:f>
        <x:v>Especial</x:v>
      </x:c>
      <x:c r="E123" s="18" t="n">
        <x:f>'Habilidades'!G2257</x:f>
        <x:v>300</x:v>
      </x:c>
      <x:c r="F123" s="18" t="n">
        <x:f>'Habilidades'!H2257</x:f>
        <x:v>115</x:v>
      </x:c>
      <x:c r="G123" s="18" t="n">
        <x:f>'Habilidades'!I2257</x:f>
        <x:v>415</x:v>
      </x:c>
    </x:row>
    <x:row r="124" ht="22" customHeight="1">
      <x:c r="A124" s="17" t="n">
        <x:f>IF(B124="","",IF(B124=B123,A123,A123+1))</x:f>
        <x:v>25</x:v>
      </x:c>
      <x:c r="B124" s="1" t="str">
        <x:f>'Ranking'!C29</x:f>
        <x:v>Raikou</x:v>
      </x:c>
      <x:c r="C124" s="1" t="str">
        <x:f>'Habilidades'!D2258</x:f>
        <x:v>Thunder</x:v>
      </x:c>
      <x:c r="D124" s="1" t="str">
        <x:f>'Habilidades'!F2258</x:f>
        <x:v>Especial</x:v>
      </x:c>
      <x:c r="E124" s="18" t="n">
        <x:f>'Habilidades'!G2258</x:f>
        <x:v>110</x:v>
      </x:c>
      <x:c r="F124" s="18" t="n">
        <x:f>'Habilidades'!H2258</x:f>
        <x:v>115</x:v>
      </x:c>
      <x:c r="G124" s="18" t="n">
        <x:f>'Habilidades'!I2258</x:f>
        <x:v>225</x:v>
      </x:c>
    </x:row>
    <x:row r="125" ht="22" customHeight="1">
      <x:c r="A125" s="17" t="n">
        <x:f>IF(B125="","",IF(B125=B124,A124,A124+1))</x:f>
        <x:v>25</x:v>
      </x:c>
      <x:c r="B125" s="1" t="str">
        <x:f>'Ranking'!C29</x:f>
        <x:v>Raikou</x:v>
      </x:c>
      <x:c r="C125" s="1" t="str">
        <x:f>'Habilidades'!D2259</x:f>
        <x:v>Extrasensory</x:v>
      </x:c>
      <x:c r="D125" s="1" t="str">
        <x:f>'Habilidades'!F2259</x:f>
        <x:v>Especial</x:v>
      </x:c>
      <x:c r="E125" s="18" t="n">
        <x:f>'Habilidades'!G2259</x:f>
        <x:v>80</x:v>
      </x:c>
      <x:c r="F125" s="18" t="n">
        <x:f>'Habilidades'!H2259</x:f>
        <x:v>115</x:v>
      </x:c>
      <x:c r="G125" s="18" t="n">
        <x:f>'Habilidades'!I2259</x:f>
        <x:v>195</x:v>
      </x:c>
    </x:row>
    <x:row r="126" ht="22" customHeight="1">
      <x:c r="A126" s="17" t="n">
        <x:f>IF(B126="","",IF(B126=B125,A125,A125+1))</x:f>
        <x:v>25</x:v>
      </x:c>
      <x:c r="B126" s="1" t="str">
        <x:f>'Ranking'!C29</x:f>
        <x:v>Raikou</x:v>
      </x:c>
      <x:c r="C126" s="1" t="str">
        <x:f>'Habilidades'!D2260</x:f>
        <x:v>Discharge</x:v>
      </x:c>
      <x:c r="D126" s="1" t="str">
        <x:f>'Habilidades'!F2260</x:f>
        <x:v>Especial</x:v>
      </x:c>
      <x:c r="E126" s="18" t="n">
        <x:f>'Habilidades'!G2260</x:f>
        <x:v>80</x:v>
      </x:c>
      <x:c r="F126" s="18" t="n">
        <x:f>'Habilidades'!H2260</x:f>
        <x:v>115</x:v>
      </x:c>
      <x:c r="G126" s="18" t="n">
        <x:f>'Habilidades'!I2260</x:f>
        <x:v>195</x:v>
      </x:c>
    </x:row>
    <x:row r="127" ht="22" customHeight="1">
      <x:c r="A127" s="19" t="n">
        <x:f>IF(B127="","",IF(B127=B126,A126,A126+1))</x:f>
        <x:v>25</x:v>
      </x:c>
      <x:c r="B127" s="20" t="str">
        <x:f>'Ranking'!C29</x:f>
        <x:v>Raikou</x:v>
      </x:c>
      <x:c r="C127" s="20" t="str">
        <x:f>'Habilidades'!D2261</x:f>
        <x:v>Crunch</x:v>
      </x:c>
      <x:c r="D127" s="20" t="str">
        <x:f>'Habilidades'!F2261</x:f>
        <x:v>Física</x:v>
      </x:c>
      <x:c r="E127" s="21" t="n">
        <x:f>'Habilidades'!G2261</x:f>
        <x:v>80</x:v>
      </x:c>
      <x:c r="F127" s="21" t="n">
        <x:f>'Habilidades'!H2261</x:f>
        <x:v>85</x:v>
      </x:c>
      <x:c r="G127" s="21" t="n">
        <x:f>'Habilidades'!I2261</x:f>
        <x:v>165</x:v>
      </x:c>
    </x:row>
    <x:row r="128" ht="22" customHeight="1">
      <x:c r="A128" s="17" t="n">
        <x:f>IF(B128="","",IF(B128=B127,A127,A127+1))</x:f>
        <x:v>26</x:v>
      </x:c>
      <x:c r="B128" s="1" t="str">
        <x:f>'Ranking'!C31</x:f>
        <x:v>Dodrio</x:v>
      </x:c>
      <x:c r="C128" s="1" t="str">
        <x:f>'Habilidades'!D779</x:f>
        <x:v>Massive Hurricane</x:v>
      </x:c>
      <x:c r="D128" s="1" t="str">
        <x:f>'Habilidades'!F779</x:f>
        <x:v>Física</x:v>
      </x:c>
      <x:c r="E128" s="18" t="n">
        <x:f>'Habilidades'!G779</x:f>
        <x:v>300</x:v>
      </x:c>
      <x:c r="F128" s="18" t="n">
        <x:f>'Habilidades'!H779</x:f>
        <x:v>110</x:v>
      </x:c>
      <x:c r="G128" s="18" t="n">
        <x:f>'Habilidades'!I779</x:f>
        <x:v>410</x:v>
      </x:c>
    </x:row>
    <x:row r="129" ht="22" customHeight="1">
      <x:c r="A129" s="17" t="n">
        <x:f>IF(B129="","",IF(B129=B128,A128,A128+1))</x:f>
        <x:v>26</x:v>
      </x:c>
      <x:c r="B129" s="1" t="str">
        <x:f>'Ranking'!C31</x:f>
        <x:v>Dodrio</x:v>
      </x:c>
      <x:c r="C129" s="1" t="str">
        <x:f>'Habilidades'!D780</x:f>
        <x:v>Thrash</x:v>
      </x:c>
      <x:c r="D129" s="1" t="str">
        <x:f>'Habilidades'!F780</x:f>
        <x:v>Física</x:v>
      </x:c>
      <x:c r="E129" s="18" t="n">
        <x:f>'Habilidades'!G780</x:f>
        <x:v>120</x:v>
      </x:c>
      <x:c r="F129" s="18" t="n">
        <x:f>'Habilidades'!H780</x:f>
        <x:v>110</x:v>
      </x:c>
      <x:c r="G129" s="18" t="n">
        <x:f>'Habilidades'!I780</x:f>
        <x:v>230</x:v>
      </x:c>
    </x:row>
    <x:row r="130" ht="22" customHeight="1">
      <x:c r="A130" s="17" t="n">
        <x:f>IF(B130="","",IF(B130=B129,A129,A129+1))</x:f>
        <x:v>26</x:v>
      </x:c>
      <x:c r="B130" s="1" t="str">
        <x:f>'Ranking'!C31</x:f>
        <x:v>Dodrio</x:v>
      </x:c>
      <x:c r="C130" s="1" t="str">
        <x:f>'Habilidades'!D781</x:f>
        <x:v>Drill Peck</x:v>
      </x:c>
      <x:c r="D130" s="1" t="str">
        <x:f>'Habilidades'!F781</x:f>
        <x:v>Física</x:v>
      </x:c>
      <x:c r="E130" s="18" t="n">
        <x:f>'Habilidades'!G781</x:f>
        <x:v>80</x:v>
      </x:c>
      <x:c r="F130" s="18" t="n">
        <x:f>'Habilidades'!H781</x:f>
        <x:v>110</x:v>
      </x:c>
      <x:c r="G130" s="18" t="n">
        <x:f>'Habilidades'!I781</x:f>
        <x:v>190</x:v>
      </x:c>
    </x:row>
    <x:row r="131" ht="22" customHeight="1">
      <x:c r="A131" s="17" t="n">
        <x:f>IF(B131="","",IF(B131=B130,A130,A130+1))</x:f>
        <x:v>26</x:v>
      </x:c>
      <x:c r="B131" s="1" t="str">
        <x:f>'Ranking'!C31</x:f>
        <x:v>Dodrio</x:v>
      </x:c>
      <x:c r="C131" s="1" t="str">
        <x:f>'Habilidades'!D783</x:f>
        <x:v>Uproar</x:v>
      </x:c>
      <x:c r="D131" s="1" t="str">
        <x:f>'Habilidades'!F783</x:f>
        <x:v>Especial</x:v>
      </x:c>
      <x:c r="E131" s="18" t="n">
        <x:f>'Habilidades'!G783</x:f>
        <x:v>90</x:v>
      </x:c>
      <x:c r="F131" s="18" t="n">
        <x:f>'Habilidades'!H783</x:f>
        <x:v>60</x:v>
      </x:c>
      <x:c r="G131" s="18" t="n">
        <x:f>'Habilidades'!I783</x:f>
        <x:v>150</x:v>
      </x:c>
    </x:row>
    <x:row r="132" ht="22" customHeight="1">
      <x:c r="A132" s="19" t="n">
        <x:f>IF(B132="","",IF(B132=B131,A131,A131+1))</x:f>
        <x:v>26</x:v>
      </x:c>
      <x:c r="B132" s="20" t="str">
        <x:f>'Ranking'!C31</x:f>
        <x:v>Dodrio</x:v>
      </x:c>
      <x:c r="C132" s="20" t="str">
        <x:f>'Habilidades'!D787</x:f>
        <x:v>Tri-Attack</x:v>
      </x:c>
      <x:c r="D132" s="20" t="str">
        <x:f>'Habilidades'!F787</x:f>
        <x:v>Especial</x:v>
      </x:c>
      <x:c r="E132" s="21" t="n">
        <x:f>'Habilidades'!G787</x:f>
        <x:v>80</x:v>
      </x:c>
      <x:c r="F132" s="21" t="n">
        <x:f>'Habilidades'!H787</x:f>
        <x:v>60</x:v>
      </x:c>
      <x:c r="G132" s="21" t="n">
        <x:f>'Habilidades'!I787</x:f>
        <x:v>140</x:v>
      </x:c>
    </x:row>
    <x:row r="133" ht="22" customHeight="1">
      <x:c r="A133" s="17" t="n">
        <x:f>IF(B133="","",IF(B133=B132,A132,A132+1))</x:f>
        <x:v>27</x:v>
      </x:c>
      <x:c r="B133" s="1" t="str">
        <x:f>'Ranking'!C34</x:f>
        <x:v>Jolteon</x:v>
      </x:c>
      <x:c r="C133" s="1" t="str">
        <x:f>'Habilidades'!D1285</x:f>
        <x:v>Static Overload</x:v>
      </x:c>
      <x:c r="D133" s="1" t="str">
        <x:f>'Habilidades'!F1285</x:f>
        <x:v>Especial</x:v>
      </x:c>
      <x:c r="E133" s="18" t="n">
        <x:f>'Habilidades'!G1285</x:f>
        <x:v>300</x:v>
      </x:c>
      <x:c r="F133" s="18" t="n">
        <x:f>'Habilidades'!H1285</x:f>
        <x:v>110</x:v>
      </x:c>
      <x:c r="G133" s="18" t="n">
        <x:f>'Habilidades'!I1285</x:f>
        <x:v>410</x:v>
      </x:c>
    </x:row>
    <x:row r="134" ht="22" customHeight="1">
      <x:c r="A134" s="17" t="n">
        <x:f>IF(B134="","",IF(B134=B133,A133,A133+1))</x:f>
        <x:v>27</x:v>
      </x:c>
      <x:c r="B134" s="1" t="str">
        <x:f>'Ranking'!C34</x:f>
        <x:v>Jolteon</x:v>
      </x:c>
      <x:c r="C134" s="1" t="str">
        <x:f>'Habilidades'!D1286</x:f>
        <x:v>Thunder</x:v>
      </x:c>
      <x:c r="D134" s="1" t="str">
        <x:f>'Habilidades'!F1286</x:f>
        <x:v>Especial</x:v>
      </x:c>
      <x:c r="E134" s="18" t="n">
        <x:f>'Habilidades'!G1286</x:f>
        <x:v>110</x:v>
      </x:c>
      <x:c r="F134" s="18" t="n">
        <x:f>'Habilidades'!H1286</x:f>
        <x:v>110</x:v>
      </x:c>
      <x:c r="G134" s="18" t="n">
        <x:f>'Habilidades'!I1286</x:f>
        <x:v>220</x:v>
      </x:c>
    </x:row>
    <x:row r="135" ht="22" customHeight="1">
      <x:c r="A135" s="17" t="n">
        <x:f>IF(B135="","",IF(B135=B134,A134,A134+1))</x:f>
        <x:v>27</x:v>
      </x:c>
      <x:c r="B135" s="1" t="str">
        <x:f>'Ranking'!C34</x:f>
        <x:v>Jolteon</x:v>
      </x:c>
      <x:c r="C135" s="1" t="str">
        <x:f>'Habilidades'!D1287</x:f>
        <x:v>Last Resort</x:v>
      </x:c>
      <x:c r="D135" s="1" t="str">
        <x:f>'Habilidades'!F1287</x:f>
        <x:v>Física</x:v>
      </x:c>
      <x:c r="E135" s="18" t="n">
        <x:f>'Habilidades'!G1287</x:f>
        <x:v>140</x:v>
      </x:c>
      <x:c r="F135" s="18" t="n">
        <x:f>'Habilidades'!H1287</x:f>
        <x:v>65</x:v>
      </x:c>
      <x:c r="G135" s="18" t="n">
        <x:f>'Habilidades'!I1287</x:f>
        <x:v>205</x:v>
      </x:c>
    </x:row>
    <x:row r="136" ht="22" customHeight="1">
      <x:c r="A136" s="17" t="n">
        <x:f>IF(B136="","",IF(B136=B135,A135,A135+1))</x:f>
        <x:v>27</x:v>
      </x:c>
      <x:c r="B136" s="1" t="str">
        <x:f>'Ranking'!C34</x:f>
        <x:v>Jolteon</x:v>
      </x:c>
      <x:c r="C136" s="1" t="str">
        <x:f>'Habilidades'!D1288</x:f>
        <x:v>Discharge</x:v>
      </x:c>
      <x:c r="D136" s="1" t="str">
        <x:f>'Habilidades'!F1288</x:f>
        <x:v>Especial</x:v>
      </x:c>
      <x:c r="E136" s="18" t="n">
        <x:f>'Habilidades'!G1288</x:f>
        <x:v>80</x:v>
      </x:c>
      <x:c r="F136" s="18" t="n">
        <x:f>'Habilidades'!H1288</x:f>
        <x:v>110</x:v>
      </x:c>
      <x:c r="G136" s="18" t="n">
        <x:f>'Habilidades'!I1288</x:f>
        <x:v>190</x:v>
      </x:c>
    </x:row>
    <x:row r="137" ht="22" customHeight="1">
      <x:c r="A137" s="19" t="n">
        <x:f>IF(B137="","",IF(B137=B136,A136,A136+1))</x:f>
        <x:v>27</x:v>
      </x:c>
      <x:c r="B137" s="20" t="str">
        <x:f>'Ranking'!C34</x:f>
        <x:v>Jolteon</x:v>
      </x:c>
      <x:c r="C137" s="20" t="str">
        <x:f>'Habilidades'!D1290</x:f>
        <x:v>Thunder Fang</x:v>
      </x:c>
      <x:c r="D137" s="20" t="str">
        <x:f>'Habilidades'!F1290</x:f>
        <x:v>Física</x:v>
      </x:c>
      <x:c r="E137" s="21" t="n">
        <x:f>'Habilidades'!G1290</x:f>
        <x:v>65</x:v>
      </x:c>
      <x:c r="F137" s="21" t="n">
        <x:f>'Habilidades'!H1290</x:f>
        <x:v>65</x:v>
      </x:c>
      <x:c r="G137" s="21" t="n">
        <x:f>'Habilidades'!I1290</x:f>
        <x:v>130</x:v>
      </x:c>
    </x:row>
    <x:row r="138" ht="22" customHeight="1">
      <x:c r="A138" s="17" t="n">
        <x:f>IF(B138="","",IF(B138=B137,A137,A137+1))</x:f>
        <x:v>28</x:v>
      </x:c>
      <x:c r="B138" s="1" t="str">
        <x:f>'Ranking'!C32</x:f>
        <x:v>Scyther</x:v>
      </x:c>
      <x:c r="C138" s="1" t="str">
        <x:f>'Habilidades'!D1169</x:f>
        <x:v>Hive Crush</x:v>
      </x:c>
      <x:c r="D138" s="1" t="str">
        <x:f>'Habilidades'!F1169</x:f>
        <x:v>Física</x:v>
      </x:c>
      <x:c r="E138" s="18" t="n">
        <x:f>'Habilidades'!G1169</x:f>
        <x:v>300</x:v>
      </x:c>
      <x:c r="F138" s="18" t="n">
        <x:f>'Habilidades'!H1169</x:f>
        <x:v>110</x:v>
      </x:c>
      <x:c r="G138" s="18" t="n">
        <x:f>'Habilidades'!I1169</x:f>
        <x:v>410</x:v>
      </x:c>
    </x:row>
    <x:row r="139" ht="22" customHeight="1">
      <x:c r="A139" s="17" t="n">
        <x:f>IF(B139="","",IF(B139=B138,A138,A138+1))</x:f>
        <x:v>28</x:v>
      </x:c>
      <x:c r="B139" s="1" t="str">
        <x:f>'Ranking'!C32</x:f>
        <x:v>Scyther</x:v>
      </x:c>
      <x:c r="C139" s="1" t="str">
        <x:f>'Habilidades'!D1170</x:f>
        <x:v>X-Scissor</x:v>
      </x:c>
      <x:c r="D139" s="1" t="str">
        <x:f>'Habilidades'!F1170</x:f>
        <x:v>Física</x:v>
      </x:c>
      <x:c r="E139" s="18" t="n">
        <x:f>'Habilidades'!G1170</x:f>
        <x:v>80</x:v>
      </x:c>
      <x:c r="F139" s="18" t="n">
        <x:f>'Habilidades'!H1170</x:f>
        <x:v>110</x:v>
      </x:c>
      <x:c r="G139" s="18" t="n">
        <x:f>'Habilidades'!I1170</x:f>
        <x:v>190</x:v>
      </x:c>
    </x:row>
    <x:row r="140" ht="22" customHeight="1">
      <x:c r="A140" s="17" t="n">
        <x:f>IF(B140="","",IF(B140=B139,A139,A139+1))</x:f>
        <x:v>28</x:v>
      </x:c>
      <x:c r="B140" s="1" t="str">
        <x:f>'Ranking'!C32</x:f>
        <x:v>Scyther</x:v>
      </x:c>
      <x:c r="C140" s="1" t="str">
        <x:f>'Habilidades'!D1171</x:f>
        <x:v>Slash</x:v>
      </x:c>
      <x:c r="D140" s="1" t="str">
        <x:f>'Habilidades'!F1171</x:f>
        <x:v>Física</x:v>
      </x:c>
      <x:c r="E140" s="18" t="n">
        <x:f>'Habilidades'!G1171</x:f>
        <x:v>70</x:v>
      </x:c>
      <x:c r="F140" s="18" t="n">
        <x:f>'Habilidades'!H1171</x:f>
        <x:v>110</x:v>
      </x:c>
      <x:c r="G140" s="18" t="n">
        <x:f>'Habilidades'!I1171</x:f>
        <x:v>180</x:v>
      </x:c>
    </x:row>
    <x:row r="141" ht="22" customHeight="1">
      <x:c r="A141" s="17" t="n">
        <x:f>IF(B141="","",IF(B141=B140,A140,A140+1))</x:f>
        <x:v>28</x:v>
      </x:c>
      <x:c r="B141" s="1" t="str">
        <x:f>'Ranking'!C32</x:f>
        <x:v>Scyther</x:v>
      </x:c>
      <x:c r="C141" s="1" t="str">
        <x:f>'Habilidades'!D1180</x:f>
        <x:v>Razor Wind</x:v>
      </x:c>
      <x:c r="D141" s="1" t="str">
        <x:f>'Habilidades'!F1180</x:f>
        <x:v>Especial</x:v>
      </x:c>
      <x:c r="E141" s="18" t="n">
        <x:f>'Habilidades'!G1180</x:f>
        <x:v>80</x:v>
      </x:c>
      <x:c r="F141" s="18" t="n">
        <x:f>'Habilidades'!H1180</x:f>
        <x:v>55</x:v>
      </x:c>
      <x:c r="G141" s="18" t="n">
        <x:f>'Habilidades'!I1180</x:f>
        <x:v>135</x:v>
      </x:c>
    </x:row>
    <x:row r="142" ht="22" customHeight="1">
      <x:c r="A142" s="19" t="n">
        <x:f>IF(B142="","",IF(B142=B141,A141,A141+1))</x:f>
        <x:v>28</x:v>
      </x:c>
      <x:c r="B142" s="20" t="str">
        <x:f>'Ranking'!C32</x:f>
        <x:v>Scyther</x:v>
      </x:c>
      <x:c r="C142" s="20" t="str">
        <x:f>'Habilidades'!D1181</x:f>
        <x:v>Air Slash</x:v>
      </x:c>
      <x:c r="D142" s="20" t="str">
        <x:f>'Habilidades'!F1181</x:f>
        <x:v>Especial</x:v>
      </x:c>
      <x:c r="E142" s="21" t="n">
        <x:f>'Habilidades'!G1181</x:f>
        <x:v>75</x:v>
      </x:c>
      <x:c r="F142" s="21" t="n">
        <x:f>'Habilidades'!H1181</x:f>
        <x:v>55</x:v>
      </x:c>
      <x:c r="G142" s="21" t="n">
        <x:f>'Habilidades'!I1181</x:f>
        <x:v>130</x:v>
      </x:c>
    </x:row>
    <x:row r="143" ht="22" customHeight="1">
      <x:c r="A143" s="17" t="n">
        <x:f>IF(B143="","",IF(B143=B142,A142,A142+1))</x:f>
        <x:v>29</x:v>
      </x:c>
      <x:c r="B143" s="1" t="str">
        <x:f>'Ranking'!C33</x:f>
        <x:v>Vaporeon</x:v>
      </x:c>
      <x:c r="C143" s="1" t="str">
        <x:f>'Habilidades'!D1276</x:f>
        <x:v>Cyclonic Tide</x:v>
      </x:c>
      <x:c r="D143" s="1" t="str">
        <x:f>'Habilidades'!F1276</x:f>
        <x:v>Especial</x:v>
      </x:c>
      <x:c r="E143" s="18" t="n">
        <x:f>'Habilidades'!G1276</x:f>
        <x:v>300</x:v>
      </x:c>
      <x:c r="F143" s="18" t="n">
        <x:f>'Habilidades'!H1276</x:f>
        <x:v>110</x:v>
      </x:c>
      <x:c r="G143" s="18" t="n">
        <x:f>'Habilidades'!I1276</x:f>
        <x:v>410</x:v>
      </x:c>
    </x:row>
    <x:row r="144" ht="22" customHeight="1">
      <x:c r="A144" s="17" t="n">
        <x:f>IF(B144="","",IF(B144=B143,A143,A143+1))</x:f>
        <x:v>29</x:v>
      </x:c>
      <x:c r="B144" s="1" t="str">
        <x:f>'Ranking'!C33</x:f>
        <x:v>Vaporeon</x:v>
      </x:c>
      <x:c r="C144" s="1" t="str">
        <x:f>'Habilidades'!D1277</x:f>
        <x:v>Hydro Pump</x:v>
      </x:c>
      <x:c r="D144" s="1" t="str">
        <x:f>'Habilidades'!F1277</x:f>
        <x:v>Especial</x:v>
      </x:c>
      <x:c r="E144" s="18" t="n">
        <x:f>'Habilidades'!G1277</x:f>
        <x:v>110</x:v>
      </x:c>
      <x:c r="F144" s="18" t="n">
        <x:f>'Habilidades'!H1277</x:f>
        <x:v>110</x:v>
      </x:c>
      <x:c r="G144" s="18" t="n">
        <x:f>'Habilidades'!I1277</x:f>
        <x:v>220</x:v>
      </x:c>
    </x:row>
    <x:row r="145" ht="22" customHeight="1">
      <x:c r="A145" s="17" t="n">
        <x:f>IF(B145="","",IF(B145=B144,A144,A144+1))</x:f>
        <x:v>29</x:v>
      </x:c>
      <x:c r="B145" s="1" t="str">
        <x:f>'Ranking'!C33</x:f>
        <x:v>Vaporeon</x:v>
      </x:c>
      <x:c r="C145" s="1" t="str">
        <x:f>'Habilidades'!D1278</x:f>
        <x:v>Last Resort</x:v>
      </x:c>
      <x:c r="D145" s="1" t="str">
        <x:f>'Habilidades'!F1278</x:f>
        <x:v>Física</x:v>
      </x:c>
      <x:c r="E145" s="18" t="n">
        <x:f>'Habilidades'!G1278</x:f>
        <x:v>140</x:v>
      </x:c>
      <x:c r="F145" s="18" t="n">
        <x:f>'Habilidades'!H1278</x:f>
        <x:v>65</x:v>
      </x:c>
      <x:c r="G145" s="18" t="n">
        <x:f>'Habilidades'!I1278</x:f>
        <x:v>205</x:v>
      </x:c>
    </x:row>
    <x:row r="146" ht="22" customHeight="1">
      <x:c r="A146" s="17" t="n">
        <x:f>IF(B146="","",IF(B146=B145,A145,A145+1))</x:f>
        <x:v>29</x:v>
      </x:c>
      <x:c r="B146" s="1" t="str">
        <x:f>'Ranking'!C33</x:f>
        <x:v>Vaporeon</x:v>
      </x:c>
      <x:c r="C146" s="1" t="str">
        <x:f>'Habilidades'!D1279</x:f>
        <x:v>Muddy Water</x:v>
      </x:c>
      <x:c r="D146" s="1" t="str">
        <x:f>'Habilidades'!F1279</x:f>
        <x:v>Especial</x:v>
      </x:c>
      <x:c r="E146" s="18" t="n">
        <x:f>'Habilidades'!G1279</x:f>
        <x:v>90</x:v>
      </x:c>
      <x:c r="F146" s="18" t="n">
        <x:f>'Habilidades'!H1279</x:f>
        <x:v>110</x:v>
      </x:c>
      <x:c r="G146" s="18" t="n">
        <x:f>'Habilidades'!I1279</x:f>
        <x:v>200</x:v>
      </x:c>
    </x:row>
    <x:row r="147" ht="22" customHeight="1">
      <x:c r="A147" s="19" t="n">
        <x:f>IF(B147="","",IF(B147=B146,A146,A146+1))</x:f>
        <x:v>29</x:v>
      </x:c>
      <x:c r="B147" s="20" t="str">
        <x:f>'Ranking'!C33</x:f>
        <x:v>Vaporeon</x:v>
      </x:c>
      <x:c r="C147" s="20" t="str">
        <x:f>'Habilidades'!D1280</x:f>
        <x:v>Aurora Beam</x:v>
      </x:c>
      <x:c r="D147" s="20" t="str">
        <x:f>'Habilidades'!F1280</x:f>
        <x:v>Especial</x:v>
      </x:c>
      <x:c r="E147" s="21" t="n">
        <x:f>'Habilidades'!G1280</x:f>
        <x:v>65</x:v>
      </x:c>
      <x:c r="F147" s="21" t="n">
        <x:f>'Habilidades'!H1280</x:f>
        <x:v>110</x:v>
      </x:c>
      <x:c r="G147" s="21" t="n">
        <x:f>'Habilidades'!I1280</x:f>
        <x:v>175</x:v>
      </x:c>
    </x:row>
    <x:row r="148" ht="22" customHeight="1">
      <x:c r="A148" s="17" t="n">
        <x:f>IF(B148="","",IF(B148=B147,A147,A147+1))</x:f>
        <x:v>30</x:v>
      </x:c>
      <x:c r="B148" s="1" t="str">
        <x:f>'Ranking'!C30</x:f>
        <x:v>Vileplume</x:v>
      </x:c>
      <x:c r="C148" s="1" t="str">
        <x:f>'Habilidades'!D380</x:f>
        <x:v>Petal Bloom</x:v>
      </x:c>
      <x:c r="D148" s="1" t="str">
        <x:f>'Habilidades'!F380</x:f>
        <x:v>Especial</x:v>
      </x:c>
      <x:c r="E148" s="18" t="n">
        <x:f>'Habilidades'!G380</x:f>
        <x:v>300</x:v>
      </x:c>
      <x:c r="F148" s="18" t="n">
        <x:f>'Habilidades'!H380</x:f>
        <x:v>110</x:v>
      </x:c>
      <x:c r="G148" s="18" t="n">
        <x:f>'Habilidades'!I380</x:f>
        <x:v>410</x:v>
      </x:c>
    </x:row>
    <x:row r="149" ht="22" customHeight="1">
      <x:c r="A149" s="17" t="n">
        <x:f>IF(B149="","",IF(B149=B148,A148,A148+1))</x:f>
        <x:v>30</x:v>
      </x:c>
      <x:c r="B149" s="1" t="str">
        <x:f>'Ranking'!C30</x:f>
        <x:v>Vileplume</x:v>
      </x:c>
      <x:c r="C149" s="1" t="str">
        <x:f>'Habilidades'!D381</x:f>
        <x:v>Petal Dance</x:v>
      </x:c>
      <x:c r="D149" s="1" t="str">
        <x:f>'Habilidades'!F381</x:f>
        <x:v>Especial</x:v>
      </x:c>
      <x:c r="E149" s="18" t="n">
        <x:f>'Habilidades'!G381</x:f>
        <x:v>120</x:v>
      </x:c>
      <x:c r="F149" s="18" t="n">
        <x:f>'Habilidades'!H381</x:f>
        <x:v>110</x:v>
      </x:c>
      <x:c r="G149" s="18" t="n">
        <x:f>'Habilidades'!I381</x:f>
        <x:v>230</x:v>
      </x:c>
    </x:row>
    <x:row r="150" ht="22" customHeight="1">
      <x:c r="A150" s="17" t="n">
        <x:f>IF(B150="","",IF(B150=B149,A149,A149+1))</x:f>
        <x:v>30</x:v>
      </x:c>
      <x:c r="B150" s="1" t="str">
        <x:f>'Ranking'!C30</x:f>
        <x:v>Vileplume</x:v>
      </x:c>
      <x:c r="C150" s="1" t="str">
        <x:f>'Habilidades'!D382</x:f>
        <x:v>Solar Beam</x:v>
      </x:c>
      <x:c r="D150" s="1" t="str">
        <x:f>'Habilidades'!F382</x:f>
        <x:v>Especial</x:v>
      </x:c>
      <x:c r="E150" s="18" t="n">
        <x:f>'Habilidades'!G382</x:f>
        <x:v>120</x:v>
      </x:c>
      <x:c r="F150" s="18" t="n">
        <x:f>'Habilidades'!H382</x:f>
        <x:v>110</x:v>
      </x:c>
      <x:c r="G150" s="18" t="n">
        <x:f>'Habilidades'!I382</x:f>
        <x:v>230</x:v>
      </x:c>
    </x:row>
    <x:row r="151" ht="22" customHeight="1">
      <x:c r="A151" s="17" t="n">
        <x:f>IF(B151="","",IF(B151=B150,A150,A150+1))</x:f>
        <x:v>30</x:v>
      </x:c>
      <x:c r="B151" s="1" t="str">
        <x:f>'Ranking'!C30</x:f>
        <x:v>Vileplume</x:v>
      </x:c>
      <x:c r="C151" s="1" t="str">
        <x:f>'Habilidades'!D383</x:f>
        <x:v>Petal Blizzard</x:v>
      </x:c>
      <x:c r="D151" s="1" t="str">
        <x:f>'Habilidades'!F383</x:f>
        <x:v>Física</x:v>
      </x:c>
      <x:c r="E151" s="18" t="n">
        <x:f>'Habilidades'!G383</x:f>
        <x:v>90</x:v>
      </x:c>
      <x:c r="F151" s="18" t="n">
        <x:f>'Habilidades'!H383</x:f>
        <x:v>80</x:v>
      </x:c>
      <x:c r="G151" s="18" t="n">
        <x:f>'Habilidades'!I383</x:f>
        <x:v>170</x:v>
      </x:c>
    </x:row>
    <x:row r="152" ht="22" customHeight="1">
      <x:c r="A152" s="19" t="n">
        <x:f>IF(B152="","",IF(B152=B151,A151,A151+1))</x:f>
        <x:v>30</x:v>
      </x:c>
      <x:c r="B152" s="20" t="str">
        <x:f>'Ranking'!C30</x:f>
        <x:v>Vileplume</x:v>
      </x:c>
      <x:c r="C152" s="20" t="str">
        <x:f>'Habilidades'!D384</x:f>
        <x:v>Mega Drain</x:v>
      </x:c>
      <x:c r="D152" s="20" t="str">
        <x:f>'Habilidades'!F384</x:f>
        <x:v>Especial</x:v>
      </x:c>
      <x:c r="E152" s="21" t="n">
        <x:f>'Habilidades'!G384</x:f>
        <x:v>40</x:v>
      </x:c>
      <x:c r="F152" s="21" t="n">
        <x:f>'Habilidades'!H384</x:f>
        <x:v>110</x:v>
      </x:c>
      <x:c r="G152" s="21" t="n">
        <x:f>'Habilidades'!I384</x:f>
        <x:v>150</x:v>
      </x:c>
    </x:row>
    <x:row r="153" ht="22" customHeight="1">
      <x:c r="A153" s="17" t="n">
        <x:f>IF(B153="","",IF(B153=B152,A152,A152+1))</x:f>
        <x:v>31</x:v>
      </x:c>
      <x:c r="B153" s="1" t="str">
        <x:f>'Ranking'!C35</x:f>
        <x:v>Charizard</x:v>
      </x:c>
      <x:c r="C153" s="1" t="str">
        <x:f>'Habilidades'!D51</x:f>
        <x:v>Ignition Point</x:v>
      </x:c>
      <x:c r="D153" s="1" t="str">
        <x:f>'Habilidades'!F51</x:f>
        <x:v>Especial</x:v>
      </x:c>
      <x:c r="E153" s="18" t="n">
        <x:f>'Habilidades'!G51</x:f>
        <x:v>300</x:v>
      </x:c>
      <x:c r="F153" s="18" t="n">
        <x:f>'Habilidades'!H51</x:f>
        <x:v>109</x:v>
      </x:c>
      <x:c r="G153" s="18" t="n">
        <x:f>'Habilidades'!I51</x:f>
        <x:v>409</x:v>
      </x:c>
    </x:row>
    <x:row r="154" ht="22" customHeight="1">
      <x:c r="A154" s="17" t="n">
        <x:f>IF(B154="","",IF(B154=B153,A153,A153+1))</x:f>
        <x:v>31</x:v>
      </x:c>
      <x:c r="B154" s="1" t="str">
        <x:f>'Ranking'!C35</x:f>
        <x:v>Charizard</x:v>
      </x:c>
      <x:c r="C154" s="1" t="str">
        <x:f>'Habilidades'!D52</x:f>
        <x:v>Massive Hurricane</x:v>
      </x:c>
      <x:c r="D154" s="1" t="str">
        <x:f>'Habilidades'!F52</x:f>
        <x:v>Física</x:v>
      </x:c>
      <x:c r="E154" s="18" t="n">
        <x:f>'Habilidades'!G52</x:f>
        <x:v>300</x:v>
      </x:c>
      <x:c r="F154" s="18" t="n">
        <x:f>'Habilidades'!H52</x:f>
        <x:v>84</x:v>
      </x:c>
      <x:c r="G154" s="18" t="n">
        <x:f>'Habilidades'!I52</x:f>
        <x:v>384</x:v>
      </x:c>
    </x:row>
    <x:row r="155" ht="22" customHeight="1">
      <x:c r="A155" s="17" t="n">
        <x:f>IF(B155="","",IF(B155=B154,A154,A154+1))</x:f>
        <x:v>31</x:v>
      </x:c>
      <x:c r="B155" s="1" t="str">
        <x:f>'Ranking'!C35</x:f>
        <x:v>Charizard</x:v>
      </x:c>
      <x:c r="C155" s="1" t="str">
        <x:f>'Habilidades'!D53</x:f>
        <x:v>Inferno</x:v>
      </x:c>
      <x:c r="D155" s="1" t="str">
        <x:f>'Habilidades'!F53</x:f>
        <x:v>Especial</x:v>
      </x:c>
      <x:c r="E155" s="18" t="n">
        <x:f>'Habilidades'!G53</x:f>
        <x:v>100</x:v>
      </x:c>
      <x:c r="F155" s="18" t="n">
        <x:f>'Habilidades'!H53</x:f>
        <x:v>109</x:v>
      </x:c>
      <x:c r="G155" s="18" t="n">
        <x:f>'Habilidades'!I53</x:f>
        <x:v>209</x:v>
      </x:c>
    </x:row>
    <x:row r="156" ht="22" customHeight="1">
      <x:c r="A156" s="17" t="n">
        <x:f>IF(B156="","",IF(B156=B155,A155,A155+1))</x:f>
        <x:v>31</x:v>
      </x:c>
      <x:c r="B156" s="1" t="str">
        <x:f>'Ranking'!C35</x:f>
        <x:v>Charizard</x:v>
      </x:c>
      <x:c r="C156" s="1" t="str">
        <x:f>'Habilidades'!D54</x:f>
        <x:v>Flare Blitz</x:v>
      </x:c>
      <x:c r="D156" s="1" t="str">
        <x:f>'Habilidades'!F54</x:f>
        <x:v>Física</x:v>
      </x:c>
      <x:c r="E156" s="18" t="n">
        <x:f>'Habilidades'!G54</x:f>
        <x:v>120</x:v>
      </x:c>
      <x:c r="F156" s="18" t="n">
        <x:f>'Habilidades'!H54</x:f>
        <x:v>84</x:v>
      </x:c>
      <x:c r="G156" s="18" t="n">
        <x:f>'Habilidades'!I54</x:f>
        <x:v>204</x:v>
      </x:c>
    </x:row>
    <x:row r="157" ht="22" customHeight="1">
      <x:c r="A157" s="19" t="n">
        <x:f>IF(B157="","",IF(B157=B156,A156,A156+1))</x:f>
        <x:v>31</x:v>
      </x:c>
      <x:c r="B157" s="20" t="str">
        <x:f>'Ranking'!C35</x:f>
        <x:v>Charizard</x:v>
      </x:c>
      <x:c r="C157" s="20" t="str">
        <x:f>'Habilidades'!D55</x:f>
        <x:v>Heat Wave</x:v>
      </x:c>
      <x:c r="D157" s="20" t="str">
        <x:f>'Habilidades'!F55</x:f>
        <x:v>Especial</x:v>
      </x:c>
      <x:c r="E157" s="21" t="n">
        <x:f>'Habilidades'!G55</x:f>
        <x:v>95</x:v>
      </x:c>
      <x:c r="F157" s="21" t="n">
        <x:f>'Habilidades'!H55</x:f>
        <x:v>109</x:v>
      </x:c>
      <x:c r="G157" s="21" t="n">
        <x:f>'Habilidades'!I55</x:f>
        <x:v>204</x:v>
      </x:c>
    </x:row>
    <x:row r="158" ht="22" customHeight="1">
      <x:c r="A158" s="17" t="n">
        <x:f>IF(B158="","",IF(B158=B157,A157,A157+1))</x:f>
        <x:v>32</x:v>
      </x:c>
      <x:c r="B158" s="1" t="str">
        <x:f>'Ranking'!C36</x:f>
        <x:v>Typhlosion</x:v>
      </x:c>
      <x:c r="C158" s="1" t="str">
        <x:f>'Habilidades'!D1509</x:f>
        <x:v>Ignition Point</x:v>
      </x:c>
      <x:c r="D158" s="1" t="str">
        <x:f>'Habilidades'!F1509</x:f>
        <x:v>Especial</x:v>
      </x:c>
      <x:c r="E158" s="18" t="n">
        <x:f>'Habilidades'!G1509</x:f>
        <x:v>300</x:v>
      </x:c>
      <x:c r="F158" s="18" t="n">
        <x:f>'Habilidades'!H1509</x:f>
        <x:v>109</x:v>
      </x:c>
      <x:c r="G158" s="18" t="n">
        <x:f>'Habilidades'!I1509</x:f>
        <x:v>409</x:v>
      </x:c>
    </x:row>
    <x:row r="159" ht="22" customHeight="1">
      <x:c r="A159" s="17" t="n">
        <x:f>IF(B159="","",IF(B159=B158,A158,A158+1))</x:f>
        <x:v>32</x:v>
      </x:c>
      <x:c r="B159" s="1" t="str">
        <x:f>'Ranking'!C36</x:f>
        <x:v>Typhlosion</x:v>
      </x:c>
      <x:c r="C159" s="1" t="str">
        <x:f>'Habilidades'!D1510</x:f>
        <x:v>Eruption</x:v>
      </x:c>
      <x:c r="D159" s="1" t="str">
        <x:f>'Habilidades'!F1510</x:f>
        <x:v>Especial</x:v>
      </x:c>
      <x:c r="E159" s="18" t="n">
        <x:f>'Habilidades'!G1510</x:f>
        <x:v>150</x:v>
      </x:c>
      <x:c r="F159" s="18" t="n">
        <x:f>'Habilidades'!H1510</x:f>
        <x:v>109</x:v>
      </x:c>
      <x:c r="G159" s="18" t="n">
        <x:f>'Habilidades'!I1510</x:f>
        <x:v>259</x:v>
      </x:c>
    </x:row>
    <x:row r="160" ht="22" customHeight="1">
      <x:c r="A160" s="17" t="n">
        <x:f>IF(B160="","",IF(B160=B159,A159,A159+1))</x:f>
        <x:v>32</x:v>
      </x:c>
      <x:c r="B160" s="1" t="str">
        <x:f>'Ranking'!C36</x:f>
        <x:v>Typhlosion</x:v>
      </x:c>
      <x:c r="C160" s="1" t="str">
        <x:f>'Habilidades'!D1511</x:f>
        <x:v>Inferno</x:v>
      </x:c>
      <x:c r="D160" s="1" t="str">
        <x:f>'Habilidades'!F1511</x:f>
        <x:v>Especial</x:v>
      </x:c>
      <x:c r="E160" s="18" t="n">
        <x:f>'Habilidades'!G1511</x:f>
        <x:v>100</x:v>
      </x:c>
      <x:c r="F160" s="18" t="n">
        <x:f>'Habilidades'!H1511</x:f>
        <x:v>109</x:v>
      </x:c>
      <x:c r="G160" s="18" t="n">
        <x:f>'Habilidades'!I1511</x:f>
        <x:v>209</x:v>
      </x:c>
    </x:row>
    <x:row r="161" ht="22" customHeight="1">
      <x:c r="A161" s="17" t="n">
        <x:f>IF(B161="","",IF(B161=B160,A160,A160+1))</x:f>
        <x:v>32</x:v>
      </x:c>
      <x:c r="B161" s="1" t="str">
        <x:f>'Ranking'!C36</x:f>
        <x:v>Typhlosion</x:v>
      </x:c>
      <x:c r="C161" s="1" t="str">
        <x:f>'Habilidades'!D1512</x:f>
        <x:v>Double-Edge</x:v>
      </x:c>
      <x:c r="D161" s="1" t="str">
        <x:f>'Habilidades'!F1512</x:f>
        <x:v>Física</x:v>
      </x:c>
      <x:c r="E161" s="18" t="n">
        <x:f>'Habilidades'!G1512</x:f>
        <x:v>120</x:v>
      </x:c>
      <x:c r="F161" s="18" t="n">
        <x:f>'Habilidades'!H1512</x:f>
        <x:v>84</x:v>
      </x:c>
      <x:c r="G161" s="18" t="n">
        <x:f>'Habilidades'!I1512</x:f>
        <x:v>204</x:v>
      </x:c>
    </x:row>
    <x:row r="162" ht="22" customHeight="1">
      <x:c r="A162" s="19" t="n">
        <x:f>IF(B162="","",IF(B162=B161,A161,A161+1))</x:f>
        <x:v>32</x:v>
      </x:c>
      <x:c r="B162" s="20" t="str">
        <x:f>'Ranking'!C36</x:f>
        <x:v>Typhlosion</x:v>
      </x:c>
      <x:c r="C162" s="20" t="str">
        <x:f>'Habilidades'!D1513</x:f>
        <x:v>Flamethrower</x:v>
      </x:c>
      <x:c r="D162" s="20" t="str">
        <x:f>'Habilidades'!F1513</x:f>
        <x:v>Especial</x:v>
      </x:c>
      <x:c r="E162" s="21" t="n">
        <x:f>'Habilidades'!G1513</x:f>
        <x:v>90</x:v>
      </x:c>
      <x:c r="F162" s="21" t="n">
        <x:f>'Habilidades'!H1513</x:f>
        <x:v>109</x:v>
      </x:c>
      <x:c r="G162" s="21" t="n">
        <x:f>'Habilidades'!I1513</x:f>
        <x:v>199</x:v>
      </x:c>
    </x:row>
    <x:row r="163" ht="22" customHeight="1">
      <x:c r="A163" s="17" t="n">
        <x:f>IF(B163="","",IF(B163=B162,A162,A162+1))</x:f>
        <x:v>33</x:v>
      </x:c>
      <x:c r="B163" s="1" t="str">
        <x:f>'Ranking'!C40</x:f>
        <x:v>Aerodactyl</x:v>
      </x:c>
      <x:c r="C163" s="1" t="str">
        <x:f>'Habilidades'!D1352</x:f>
        <x:v>Massive Hurricane</x:v>
      </x:c>
      <x:c r="D163" s="1" t="str">
        <x:f>'Habilidades'!F1352</x:f>
        <x:v>Física</x:v>
      </x:c>
      <x:c r="E163" s="18" t="n">
        <x:f>'Habilidades'!G1352</x:f>
        <x:v>300</x:v>
      </x:c>
      <x:c r="F163" s="18" t="n">
        <x:f>'Habilidades'!H1352</x:f>
        <x:v>105</x:v>
      </x:c>
      <x:c r="G163" s="18" t="n">
        <x:f>'Habilidades'!I1352</x:f>
        <x:v>405</x:v>
      </x:c>
    </x:row>
    <x:row r="164" ht="22" customHeight="1">
      <x:c r="A164" s="17" t="n">
        <x:f>IF(B164="","",IF(B164=B163,A163,A163+1))</x:f>
        <x:v>33</x:v>
      </x:c>
      <x:c r="B164" s="1" t="str">
        <x:f>'Ranking'!C40</x:f>
        <x:v>Aerodactyl</x:v>
      </x:c>
      <x:c r="C164" s="1" t="str">
        <x:f>'Habilidades'!D1353</x:f>
        <x:v>Crumbling Rain</x:v>
      </x:c>
      <x:c r="D164" s="1" t="str">
        <x:f>'Habilidades'!F1353</x:f>
        <x:v>Física</x:v>
      </x:c>
      <x:c r="E164" s="18" t="n">
        <x:f>'Habilidades'!G1353</x:f>
        <x:v>300</x:v>
      </x:c>
      <x:c r="F164" s="18" t="n">
        <x:f>'Habilidades'!H1353</x:f>
        <x:v>105</x:v>
      </x:c>
      <x:c r="G164" s="18" t="n">
        <x:f>'Habilidades'!I1353</x:f>
        <x:v>405</x:v>
      </x:c>
    </x:row>
    <x:row r="165" ht="22" customHeight="1">
      <x:c r="A165" s="17" t="n">
        <x:f>IF(B165="","",IF(B165=B164,A164,A164+1))</x:f>
        <x:v>33</x:v>
      </x:c>
      <x:c r="B165" s="1" t="str">
        <x:f>'Ranking'!C40</x:f>
        <x:v>Aerodactyl</x:v>
      </x:c>
      <x:c r="C165" s="1" t="str">
        <x:f>'Habilidades'!D1354</x:f>
        <x:v>Giga Impact</x:v>
      </x:c>
      <x:c r="D165" s="1" t="str">
        <x:f>'Habilidades'!F1354</x:f>
        <x:v>Física</x:v>
      </x:c>
      <x:c r="E165" s="18" t="n">
        <x:f>'Habilidades'!G1354</x:f>
        <x:v>150</x:v>
      </x:c>
      <x:c r="F165" s="18" t="n">
        <x:f>'Habilidades'!H1354</x:f>
        <x:v>105</x:v>
      </x:c>
      <x:c r="G165" s="18" t="n">
        <x:f>'Habilidades'!I1354</x:f>
        <x:v>255</x:v>
      </x:c>
    </x:row>
    <x:row r="166" ht="22" customHeight="1">
      <x:c r="A166" s="17" t="n">
        <x:f>IF(B166="","",IF(B166=B165,A165,A165+1))</x:f>
        <x:v>33</x:v>
      </x:c>
      <x:c r="B166" s="1" t="str">
        <x:f>'Ranking'!C40</x:f>
        <x:v>Aerodactyl</x:v>
      </x:c>
      <x:c r="C166" s="1" t="str">
        <x:f>'Habilidades'!D1355</x:f>
        <x:v>Hyper Beam</x:v>
      </x:c>
      <x:c r="D166" s="1" t="str">
        <x:f>'Habilidades'!F1355</x:f>
        <x:v>Especial</x:v>
      </x:c>
      <x:c r="E166" s="18" t="n">
        <x:f>'Habilidades'!G1355</x:f>
        <x:v>150</x:v>
      </x:c>
      <x:c r="F166" s="18" t="n">
        <x:f>'Habilidades'!H1355</x:f>
        <x:v>60</x:v>
      </x:c>
      <x:c r="G166" s="18" t="n">
        <x:f>'Habilidades'!I1355</x:f>
        <x:v>210</x:v>
      </x:c>
    </x:row>
    <x:row r="167" ht="22" customHeight="1">
      <x:c r="A167" s="19" t="n">
        <x:f>IF(B167="","",IF(B167=B166,A166,A166+1))</x:f>
        <x:v>33</x:v>
      </x:c>
      <x:c r="B167" s="20" t="str">
        <x:f>'Ranking'!C40</x:f>
        <x:v>Aerodactyl</x:v>
      </x:c>
      <x:c r="C167" s="20" t="str">
        <x:f>'Habilidades'!D1356</x:f>
        <x:v>Take Down</x:v>
      </x:c>
      <x:c r="D167" s="20" t="str">
        <x:f>'Habilidades'!F1356</x:f>
        <x:v>Física</x:v>
      </x:c>
      <x:c r="E167" s="21" t="n">
        <x:f>'Habilidades'!G1356</x:f>
        <x:v>90</x:v>
      </x:c>
      <x:c r="F167" s="21" t="n">
        <x:f>'Habilidades'!H1356</x:f>
        <x:v>105</x:v>
      </x:c>
      <x:c r="G167" s="21" t="n">
        <x:f>'Habilidades'!I1356</x:f>
        <x:v>195</x:v>
      </x:c>
    </x:row>
    <x:row r="168" ht="22" customHeight="1">
      <x:c r="A168" s="17" t="n">
        <x:f>IF(B168="","",IF(B168=B167,A167,A167+1))</x:f>
        <x:v>34</x:v>
      </x:c>
      <x:c r="B168" s="1" t="str">
        <x:f>'Ranking'!C39</x:f>
        <x:v>Hitmonchan</x:v>
      </x:c>
      <x:c r="C168" s="1" t="str">
        <x:f>'Habilidades'!D1004</x:f>
        <x:v>Meteor Fists</x:v>
      </x:c>
      <x:c r="D168" s="1" t="str">
        <x:f>'Habilidades'!F1004</x:f>
        <x:v>Física</x:v>
      </x:c>
      <x:c r="E168" s="18" t="n">
        <x:f>'Habilidades'!G1004</x:f>
        <x:v>300</x:v>
      </x:c>
      <x:c r="F168" s="18" t="n">
        <x:f>'Habilidades'!H1004</x:f>
        <x:v>105</x:v>
      </x:c>
      <x:c r="G168" s="18" t="n">
        <x:f>'Habilidades'!I1004</x:f>
        <x:v>405</x:v>
      </x:c>
    </x:row>
    <x:row r="169" ht="22" customHeight="1">
      <x:c r="A169" s="17" t="n">
        <x:f>IF(B169="","",IF(B169=B168,A168,A168+1))</x:f>
        <x:v>34</x:v>
      </x:c>
      <x:c r="B169" s="1" t="str">
        <x:f>'Ranking'!C39</x:f>
        <x:v>Hitmonchan</x:v>
      </x:c>
      <x:c r="C169" s="1" t="str">
        <x:f>'Habilidades'!D1005</x:f>
        <x:v>Focus Punch</x:v>
      </x:c>
      <x:c r="D169" s="1" t="str">
        <x:f>'Habilidades'!F1005</x:f>
        <x:v>Física</x:v>
      </x:c>
      <x:c r="E169" s="18" t="n">
        <x:f>'Habilidades'!G1005</x:f>
        <x:v>150</x:v>
      </x:c>
      <x:c r="F169" s="18" t="n">
        <x:f>'Habilidades'!H1005</x:f>
        <x:v>105</x:v>
      </x:c>
      <x:c r="G169" s="18" t="n">
        <x:f>'Habilidades'!I1005</x:f>
        <x:v>255</x:v>
      </x:c>
    </x:row>
    <x:row r="170" ht="22" customHeight="1">
      <x:c r="A170" s="17" t="n">
        <x:f>IF(B170="","",IF(B170=B169,A169,A169+1))</x:f>
        <x:v>34</x:v>
      </x:c>
      <x:c r="B170" s="1" t="str">
        <x:f>'Ranking'!C39</x:f>
        <x:v>Hitmonchan</x:v>
      </x:c>
      <x:c r="C170" s="1" t="str">
        <x:f>'Habilidades'!D1006</x:f>
        <x:v>Close Combat</x:v>
      </x:c>
      <x:c r="D170" s="1" t="str">
        <x:f>'Habilidades'!F1006</x:f>
        <x:v>Física</x:v>
      </x:c>
      <x:c r="E170" s="18" t="n">
        <x:f>'Habilidades'!G1006</x:f>
        <x:v>120</x:v>
      </x:c>
      <x:c r="F170" s="18" t="n">
        <x:f>'Habilidades'!H1006</x:f>
        <x:v>105</x:v>
      </x:c>
      <x:c r="G170" s="18" t="n">
        <x:f>'Habilidades'!I1006</x:f>
        <x:v>225</x:v>
      </x:c>
    </x:row>
    <x:row r="171" ht="22" customHeight="1">
      <x:c r="A171" s="17" t="n">
        <x:f>IF(B171="","",IF(B171=B170,A170,A170+1))</x:f>
        <x:v>34</x:v>
      </x:c>
      <x:c r="B171" s="1" t="str">
        <x:f>'Ranking'!C39</x:f>
        <x:v>Hitmonchan</x:v>
      </x:c>
      <x:c r="C171" s="1" t="str">
        <x:f>'Habilidades'!D1007</x:f>
        <x:v>Sky Uppercut</x:v>
      </x:c>
      <x:c r="D171" s="1" t="str">
        <x:f>'Habilidades'!F1007</x:f>
        <x:v>Física</x:v>
      </x:c>
      <x:c r="E171" s="18" t="n">
        <x:f>'Habilidades'!G1007</x:f>
        <x:v>85</x:v>
      </x:c>
      <x:c r="F171" s="18" t="n">
        <x:f>'Habilidades'!H1007</x:f>
        <x:v>105</x:v>
      </x:c>
      <x:c r="G171" s="18" t="n">
        <x:f>'Habilidades'!I1007</x:f>
        <x:v>190</x:v>
      </x:c>
    </x:row>
    <x:row r="172" ht="22" customHeight="1">
      <x:c r="A172" s="19" t="n">
        <x:f>IF(B172="","",IF(B172=B171,A171,A171+1))</x:f>
        <x:v>34</x:v>
      </x:c>
      <x:c r="B172" s="20" t="str">
        <x:f>'Ranking'!C39</x:f>
        <x:v>Hitmonchan</x:v>
      </x:c>
      <x:c r="C172" s="20" t="str">
        <x:f>'Habilidades'!D1008</x:f>
        <x:v>Mega Punch</x:v>
      </x:c>
      <x:c r="D172" s="20" t="str">
        <x:f>'Habilidades'!F1008</x:f>
        <x:v>Física</x:v>
      </x:c>
      <x:c r="E172" s="21" t="n">
        <x:f>'Habilidades'!G1008</x:f>
        <x:v>80</x:v>
      </x:c>
      <x:c r="F172" s="21" t="n">
        <x:f>'Habilidades'!H1008</x:f>
        <x:v>105</x:v>
      </x:c>
      <x:c r="G172" s="21" t="n">
        <x:f>'Habilidades'!I1008</x:f>
        <x:v>185</x:v>
      </x:c>
    </x:row>
    <x:row r="173" ht="22" customHeight="1">
      <x:c r="A173" s="17" t="n">
        <x:f>IF(B173="","",IF(B173=B172,A172,A172+1))</x:f>
        <x:v>35</x:v>
      </x:c>
      <x:c r="B173" s="1" t="str">
        <x:f>'Ranking'!C38</x:f>
        <x:v>Muk</x:v>
      </x:c>
      <x:c r="C173" s="1" t="str">
        <x:f>'Habilidades'!D824</x:f>
        <x:v>Toxic Deluge</x:v>
      </x:c>
      <x:c r="D173" s="1" t="str">
        <x:f>'Habilidades'!F824</x:f>
        <x:v>Física</x:v>
      </x:c>
      <x:c r="E173" s="18" t="n">
        <x:f>'Habilidades'!G824</x:f>
        <x:v>300</x:v>
      </x:c>
      <x:c r="F173" s="18" t="n">
        <x:f>'Habilidades'!H824</x:f>
        <x:v>105</x:v>
      </x:c>
      <x:c r="G173" s="18" t="n">
        <x:f>'Habilidades'!I824</x:f>
        <x:v>405</x:v>
      </x:c>
    </x:row>
    <x:row r="174" ht="22" customHeight="1">
      <x:c r="A174" s="17" t="n">
        <x:f>IF(B174="","",IF(B174=B173,A173,A173+1))</x:f>
        <x:v>35</x:v>
      </x:c>
      <x:c r="B174" s="1" t="str">
        <x:f>'Ranking'!C38</x:f>
        <x:v>Muk</x:v>
      </x:c>
      <x:c r="C174" s="1" t="str">
        <x:f>'Habilidades'!D825</x:f>
        <x:v>Gunk Shot</x:v>
      </x:c>
      <x:c r="D174" s="1" t="str">
        <x:f>'Habilidades'!F825</x:f>
        <x:v>Física</x:v>
      </x:c>
      <x:c r="E174" s="18" t="n">
        <x:f>'Habilidades'!G825</x:f>
        <x:v>120</x:v>
      </x:c>
      <x:c r="F174" s="18" t="n">
        <x:f>'Habilidades'!H825</x:f>
        <x:v>105</x:v>
      </x:c>
      <x:c r="G174" s="18" t="n">
        <x:f>'Habilidades'!I825</x:f>
        <x:v>225</x:v>
      </x:c>
    </x:row>
    <x:row r="175" ht="22" customHeight="1">
      <x:c r="A175" s="17" t="n">
        <x:f>IF(B175="","",IF(B175=B174,A174,A174+1))</x:f>
        <x:v>35</x:v>
      </x:c>
      <x:c r="B175" s="1" t="str">
        <x:f>'Ranking'!C38</x:f>
        <x:v>Muk</x:v>
      </x:c>
      <x:c r="C175" s="1" t="str">
        <x:f>'Habilidades'!D826</x:f>
        <x:v>Belch</x:v>
      </x:c>
      <x:c r="D175" s="1" t="str">
        <x:f>'Habilidades'!F826</x:f>
        <x:v>Especial</x:v>
      </x:c>
      <x:c r="E175" s="18" t="n">
        <x:f>'Habilidades'!G826</x:f>
        <x:v>120</x:v>
      </x:c>
      <x:c r="F175" s="18" t="n">
        <x:f>'Habilidades'!H826</x:f>
        <x:v>65</x:v>
      </x:c>
      <x:c r="G175" s="18" t="n">
        <x:f>'Habilidades'!I826</x:f>
        <x:v>185</x:v>
      </x:c>
    </x:row>
    <x:row r="176" ht="22" customHeight="1">
      <x:c r="A176" s="17" t="n">
        <x:f>IF(B176="","",IF(B176=B175,A175,A175+1))</x:f>
        <x:v>35</x:v>
      </x:c>
      <x:c r="B176" s="1" t="str">
        <x:f>'Ranking'!C38</x:f>
        <x:v>Muk</x:v>
      </x:c>
      <x:c r="C176" s="1" t="str">
        <x:f>'Habilidades'!D827</x:f>
        <x:v>Sludge Wave</x:v>
      </x:c>
      <x:c r="D176" s="1" t="str">
        <x:f>'Habilidades'!F827</x:f>
        <x:v>Especial</x:v>
      </x:c>
      <x:c r="E176" s="18" t="n">
        <x:f>'Habilidades'!G827</x:f>
        <x:v>95</x:v>
      </x:c>
      <x:c r="F176" s="18" t="n">
        <x:f>'Habilidades'!H827</x:f>
        <x:v>65</x:v>
      </x:c>
      <x:c r="G176" s="18" t="n">
        <x:f>'Habilidades'!I827</x:f>
        <x:v>160</x:v>
      </x:c>
    </x:row>
    <x:row r="177" ht="22" customHeight="1">
      <x:c r="A177" s="19" t="n">
        <x:f>IF(B177="","",IF(B177=B176,A176,A176+1))</x:f>
        <x:v>35</x:v>
      </x:c>
      <x:c r="B177" s="20" t="str">
        <x:f>'Ranking'!C38</x:f>
        <x:v>Muk</x:v>
      </x:c>
      <x:c r="C177" s="20" t="str">
        <x:f>'Habilidades'!D828</x:f>
        <x:v>Sludge Bomb</x:v>
      </x:c>
      <x:c r="D177" s="20" t="str">
        <x:f>'Habilidades'!F828</x:f>
        <x:v>Especial</x:v>
      </x:c>
      <x:c r="E177" s="21" t="n">
        <x:f>'Habilidades'!G828</x:f>
        <x:v>90</x:v>
      </x:c>
      <x:c r="F177" s="21" t="n">
        <x:f>'Habilidades'!H828</x:f>
        <x:v>65</x:v>
      </x:c>
      <x:c r="G177" s="21" t="n">
        <x:f>'Habilidades'!I828</x:f>
        <x:v>155</x:v>
      </x:c>
    </x:row>
    <x:row r="178" ht="22" customHeight="1">
      <x:c r="A178" s="17" t="n">
        <x:f>IF(B178="","",IF(B178=B177,A177,A177+1))</x:f>
        <x:v>36</x:v>
      </x:c>
      <x:c r="B178" s="1" t="str">
        <x:f>'Ranking'!C42</x:f>
        <x:v>Octillery</x:v>
      </x:c>
      <x:c r="C178" s="1" t="str">
        <x:f>'Habilidades'!D2106</x:f>
        <x:v>Cyclonic Tide</x:v>
      </x:c>
      <x:c r="D178" s="1" t="str">
        <x:f>'Habilidades'!F2106</x:f>
        <x:v>Especial</x:v>
      </x:c>
      <x:c r="E178" s="18" t="n">
        <x:f>'Habilidades'!G2106</x:f>
        <x:v>300</x:v>
      </x:c>
      <x:c r="F178" s="18" t="n">
        <x:f>'Habilidades'!H2106</x:f>
        <x:v>105</x:v>
      </x:c>
      <x:c r="G178" s="18" t="n">
        <x:f>'Habilidades'!I2106</x:f>
        <x:v>405</x:v>
      </x:c>
    </x:row>
    <x:row r="179" ht="22" customHeight="1">
      <x:c r="A179" s="17" t="n">
        <x:f>IF(B179="","",IF(B179=B178,A178,A178+1))</x:f>
        <x:v>36</x:v>
      </x:c>
      <x:c r="B179" s="1" t="str">
        <x:f>'Ranking'!C42</x:f>
        <x:v>Octillery</x:v>
      </x:c>
      <x:c r="C179" s="1" t="str">
        <x:f>'Habilidades'!D2107</x:f>
        <x:v>Hyper Beam</x:v>
      </x:c>
      <x:c r="D179" s="1" t="str">
        <x:f>'Habilidades'!F2107</x:f>
        <x:v>Especial</x:v>
      </x:c>
      <x:c r="E179" s="18" t="n">
        <x:f>'Habilidades'!G2107</x:f>
        <x:v>150</x:v>
      </x:c>
      <x:c r="F179" s="18" t="n">
        <x:f>'Habilidades'!H2107</x:f>
        <x:v>105</x:v>
      </x:c>
      <x:c r="G179" s="18" t="n">
        <x:f>'Habilidades'!I2107</x:f>
        <x:v>255</x:v>
      </x:c>
    </x:row>
    <x:row r="180" ht="22" customHeight="1">
      <x:c r="A180" s="17" t="n">
        <x:f>IF(B180="","",IF(B180=B179,A179,A179+1))</x:f>
        <x:v>36</x:v>
      </x:c>
      <x:c r="B180" s="1" t="str">
        <x:f>'Ranking'!C42</x:f>
        <x:v>Octillery</x:v>
      </x:c>
      <x:c r="C180" s="1" t="str">
        <x:f>'Habilidades'!D2108</x:f>
        <x:v>Gunk Shot</x:v>
      </x:c>
      <x:c r="D180" s="1" t="str">
        <x:f>'Habilidades'!F2108</x:f>
        <x:v>Física</x:v>
      </x:c>
      <x:c r="E180" s="18" t="n">
        <x:f>'Habilidades'!G2108</x:f>
        <x:v>120</x:v>
      </x:c>
      <x:c r="F180" s="18" t="n">
        <x:f>'Habilidades'!H2108</x:f>
        <x:v>105</x:v>
      </x:c>
      <x:c r="G180" s="18" t="n">
        <x:f>'Habilidades'!I2108</x:f>
        <x:v>225</x:v>
      </x:c>
    </x:row>
    <x:row r="181" ht="22" customHeight="1">
      <x:c r="A181" s="17" t="n">
        <x:f>IF(B181="","",IF(B181=B180,A180,A180+1))</x:f>
        <x:v>36</x:v>
      </x:c>
      <x:c r="B181" s="1" t="str">
        <x:f>'Ranking'!C42</x:f>
        <x:v>Octillery</x:v>
      </x:c>
      <x:c r="C181" s="1" t="str">
        <x:f>'Habilidades'!D2109</x:f>
        <x:v>Hydro Pump</x:v>
      </x:c>
      <x:c r="D181" s="1" t="str">
        <x:f>'Habilidades'!F2109</x:f>
        <x:v>Especial</x:v>
      </x:c>
      <x:c r="E181" s="18" t="n">
        <x:f>'Habilidades'!G2109</x:f>
        <x:v>110</x:v>
      </x:c>
      <x:c r="F181" s="18" t="n">
        <x:f>'Habilidades'!H2109</x:f>
        <x:v>105</x:v>
      </x:c>
      <x:c r="G181" s="18" t="n">
        <x:f>'Habilidades'!I2109</x:f>
        <x:v>215</x:v>
      </x:c>
    </x:row>
    <x:row r="182" ht="22" customHeight="1">
      <x:c r="A182" s="19" t="n">
        <x:f>IF(B182="","",IF(B182=B181,A181,A181+1))</x:f>
        <x:v>36</x:v>
      </x:c>
      <x:c r="B182" s="20" t="str">
        <x:f>'Ranking'!C42</x:f>
        <x:v>Octillery</x:v>
      </x:c>
      <x:c r="C182" s="20" t="str">
        <x:f>'Habilidades'!D2110</x:f>
        <x:v>Ice Beam</x:v>
      </x:c>
      <x:c r="D182" s="20" t="str">
        <x:f>'Habilidades'!F2110</x:f>
        <x:v>Especial</x:v>
      </x:c>
      <x:c r="E182" s="21" t="n">
        <x:f>'Habilidades'!G2110</x:f>
        <x:v>90</x:v>
      </x:c>
      <x:c r="F182" s="21" t="n">
        <x:f>'Habilidades'!H2110</x:f>
        <x:v>105</x:v>
      </x:c>
      <x:c r="G182" s="21" t="n">
        <x:f>'Habilidades'!I2110</x:f>
        <x:v>195</x:v>
      </x:c>
    </x:row>
    <x:row r="183" ht="22" customHeight="1">
      <x:c r="A183" s="17" t="n">
        <x:f>IF(B183="","",IF(B183=B182,A182,A182+1))</x:f>
        <x:v>37</x:v>
      </x:c>
      <x:c r="B183" s="1" t="str">
        <x:f>'Ranking'!C37</x:f>
        <x:v>Primeape</x:v>
      </x:c>
      <x:c r="C183" s="1" t="str">
        <x:f>'Habilidades'!D506</x:f>
        <x:v>Meteor Fists</x:v>
      </x:c>
      <x:c r="D183" s="1" t="str">
        <x:f>'Habilidades'!F506</x:f>
        <x:v>Física</x:v>
      </x:c>
      <x:c r="E183" s="18" t="n">
        <x:f>'Habilidades'!G506</x:f>
        <x:v>300</x:v>
      </x:c>
      <x:c r="F183" s="18" t="n">
        <x:f>'Habilidades'!H506</x:f>
        <x:v>105</x:v>
      </x:c>
      <x:c r="G183" s="18" t="n">
        <x:f>'Habilidades'!I506</x:f>
        <x:v>405</x:v>
      </x:c>
    </x:row>
    <x:row r="184" ht="22" customHeight="1">
      <x:c r="A184" s="17" t="n">
        <x:f>IF(B184="","",IF(B184=B183,A183,A183+1))</x:f>
        <x:v>37</x:v>
      </x:c>
      <x:c r="B184" s="1" t="str">
        <x:f>'Ranking'!C37</x:f>
        <x:v>Primeape</x:v>
      </x:c>
      <x:c r="C184" s="1" t="str">
        <x:f>'Habilidades'!D507</x:f>
        <x:v>Thrash</x:v>
      </x:c>
      <x:c r="D184" s="1" t="str">
        <x:f>'Habilidades'!F507</x:f>
        <x:v>Física</x:v>
      </x:c>
      <x:c r="E184" s="18" t="n">
        <x:f>'Habilidades'!G507</x:f>
        <x:v>120</x:v>
      </x:c>
      <x:c r="F184" s="18" t="n">
        <x:f>'Habilidades'!H507</x:f>
        <x:v>105</x:v>
      </x:c>
      <x:c r="G184" s="18" t="n">
        <x:f>'Habilidades'!I507</x:f>
        <x:v>225</x:v>
      </x:c>
    </x:row>
    <x:row r="185" ht="22" customHeight="1">
      <x:c r="A185" s="17" t="n">
        <x:f>IF(B185="","",IF(B185=B184,A184,A184+1))</x:f>
        <x:v>37</x:v>
      </x:c>
      <x:c r="B185" s="1" t="str">
        <x:f>'Ranking'!C37</x:f>
        <x:v>Primeape</x:v>
      </x:c>
      <x:c r="C185" s="1" t="str">
        <x:f>'Habilidades'!D508</x:f>
        <x:v>Close Combat</x:v>
      </x:c>
      <x:c r="D185" s="1" t="str">
        <x:f>'Habilidades'!F508</x:f>
        <x:v>Física</x:v>
      </x:c>
      <x:c r="E185" s="18" t="n">
        <x:f>'Habilidades'!G508</x:f>
        <x:v>120</x:v>
      </x:c>
      <x:c r="F185" s="18" t="n">
        <x:f>'Habilidades'!H508</x:f>
        <x:v>105</x:v>
      </x:c>
      <x:c r="G185" s="18" t="n">
        <x:f>'Habilidades'!I508</x:f>
        <x:v>225</x:v>
      </x:c>
    </x:row>
    <x:row r="186" ht="22" customHeight="1">
      <x:c r="A186" s="17" t="n">
        <x:f>IF(B186="","",IF(B186=B185,A185,A185+1))</x:f>
        <x:v>37</x:v>
      </x:c>
      <x:c r="B186" s="1" t="str">
        <x:f>'Ranking'!C37</x:f>
        <x:v>Primeape</x:v>
      </x:c>
      <x:c r="C186" s="1" t="str">
        <x:f>'Habilidades'!D509</x:f>
        <x:v>Cross Chop</x:v>
      </x:c>
      <x:c r="D186" s="1" t="str">
        <x:f>'Habilidades'!F509</x:f>
        <x:v>Física</x:v>
      </x:c>
      <x:c r="E186" s="18" t="n">
        <x:f>'Habilidades'!G509</x:f>
        <x:v>100</x:v>
      </x:c>
      <x:c r="F186" s="18" t="n">
        <x:f>'Habilidades'!H509</x:f>
        <x:v>105</x:v>
      </x:c>
      <x:c r="G186" s="18" t="n">
        <x:f>'Habilidades'!I509</x:f>
        <x:v>205</x:v>
      </x:c>
    </x:row>
    <x:row r="187" ht="22" customHeight="1">
      <x:c r="A187" s="19" t="n">
        <x:f>IF(B187="","",IF(B187=B186,A186,A186+1))</x:f>
        <x:v>37</x:v>
      </x:c>
      <x:c r="B187" s="20" t="str">
        <x:f>'Ranking'!C37</x:f>
        <x:v>Primeape</x:v>
      </x:c>
      <x:c r="C187" s="20" t="str">
        <x:f>'Habilidades'!D510</x:f>
        <x:v>Assurance</x:v>
      </x:c>
      <x:c r="D187" s="20" t="str">
        <x:f>'Habilidades'!F510</x:f>
        <x:v>Física</x:v>
      </x:c>
      <x:c r="E187" s="21" t="n">
        <x:f>'Habilidades'!G510</x:f>
        <x:v>60</x:v>
      </x:c>
      <x:c r="F187" s="21" t="n">
        <x:f>'Habilidades'!H510</x:f>
        <x:v>105</x:v>
      </x:c>
      <x:c r="G187" s="21" t="n">
        <x:f>'Habilidades'!I510</x:f>
        <x:v>165</x:v>
      </x:c>
    </x:row>
    <x:row r="188" ht="22" customHeight="1">
      <x:c r="A188" s="17" t="n">
        <x:f>IF(B188="","",IF(B188=B187,A187,A187+1))</x:f>
        <x:v>38</x:v>
      </x:c>
      <x:c r="B188" s="1" t="str">
        <x:f>'Ranking'!C41</x:f>
        <x:v>Sunflora</x:v>
      </x:c>
      <x:c r="C188" s="1" t="str">
        <x:f>'Habilidades'!D1797</x:f>
        <x:v>Petal Bloom</x:v>
      </x:c>
      <x:c r="D188" s="1" t="str">
        <x:f>'Habilidades'!F1797</x:f>
        <x:v>Especial</x:v>
      </x:c>
      <x:c r="E188" s="18" t="n">
        <x:f>'Habilidades'!G1797</x:f>
        <x:v>300</x:v>
      </x:c>
      <x:c r="F188" s="18" t="n">
        <x:f>'Habilidades'!H1797</x:f>
        <x:v>105</x:v>
      </x:c>
      <x:c r="G188" s="18" t="n">
        <x:f>'Habilidades'!I1797</x:f>
        <x:v>405</x:v>
      </x:c>
    </x:row>
    <x:row r="189" ht="22" customHeight="1">
      <x:c r="A189" s="17" t="n">
        <x:f>IF(B189="","",IF(B189=B188,A188,A188+1))</x:f>
        <x:v>38</x:v>
      </x:c>
      <x:c r="B189" s="1" t="str">
        <x:f>'Ranking'!C41</x:f>
        <x:v>Sunflora</x:v>
      </x:c>
      <x:c r="C189" s="1" t="str">
        <x:f>'Habilidades'!D1798</x:f>
        <x:v>Leaf Storm</x:v>
      </x:c>
      <x:c r="D189" s="1" t="str">
        <x:f>'Habilidades'!F1798</x:f>
        <x:v>Especial</x:v>
      </x:c>
      <x:c r="E189" s="18" t="n">
        <x:f>'Habilidades'!G1798</x:f>
        <x:v>130</x:v>
      </x:c>
      <x:c r="F189" s="18" t="n">
        <x:f>'Habilidades'!H1798</x:f>
        <x:v>105</x:v>
      </x:c>
      <x:c r="G189" s="18" t="n">
        <x:f>'Habilidades'!I1798</x:f>
        <x:v>235</x:v>
      </x:c>
    </x:row>
    <x:row r="190" ht="22" customHeight="1">
      <x:c r="A190" s="17" t="n">
        <x:f>IF(B190="","",IF(B190=B189,A189,A189+1))</x:f>
        <x:v>38</x:v>
      </x:c>
      <x:c r="B190" s="1" t="str">
        <x:f>'Ranking'!C41</x:f>
        <x:v>Sunflora</x:v>
      </x:c>
      <x:c r="C190" s="1" t="str">
        <x:f>'Habilidades'!D1799</x:f>
        <x:v>Petal Dance</x:v>
      </x:c>
      <x:c r="D190" s="1" t="str">
        <x:f>'Habilidades'!F1799</x:f>
        <x:v>Especial</x:v>
      </x:c>
      <x:c r="E190" s="18" t="n">
        <x:f>'Habilidades'!G1799</x:f>
        <x:v>120</x:v>
      </x:c>
      <x:c r="F190" s="18" t="n">
        <x:f>'Habilidades'!H1799</x:f>
        <x:v>105</x:v>
      </x:c>
      <x:c r="G190" s="18" t="n">
        <x:f>'Habilidades'!I1799</x:f>
        <x:v>225</x:v>
      </x:c>
    </x:row>
    <x:row r="191" ht="22" customHeight="1">
      <x:c r="A191" s="17" t="n">
        <x:f>IF(B191="","",IF(B191=B190,A190,A190+1))</x:f>
        <x:v>38</x:v>
      </x:c>
      <x:c r="B191" s="1" t="str">
        <x:f>'Ranking'!C41</x:f>
        <x:v>Sunflora</x:v>
      </x:c>
      <x:c r="C191" s="1" t="str">
        <x:f>'Habilidades'!D1800</x:f>
        <x:v>Solar Beam</x:v>
      </x:c>
      <x:c r="D191" s="1" t="str">
        <x:f>'Habilidades'!F1800</x:f>
        <x:v>Especial</x:v>
      </x:c>
      <x:c r="E191" s="18" t="n">
        <x:f>'Habilidades'!G1800</x:f>
        <x:v>120</x:v>
      </x:c>
      <x:c r="F191" s="18" t="n">
        <x:f>'Habilidades'!H1800</x:f>
        <x:v>105</x:v>
      </x:c>
      <x:c r="G191" s="18" t="n">
        <x:f>'Habilidades'!I1800</x:f>
        <x:v>225</x:v>
      </x:c>
    </x:row>
    <x:row r="192" ht="22" customHeight="1">
      <x:c r="A192" s="19" t="n">
        <x:f>IF(B192="","",IF(B192=B191,A191,A191+1))</x:f>
        <x:v>38</x:v>
      </x:c>
      <x:c r="B192" s="20" t="str">
        <x:f>'Ranking'!C41</x:f>
        <x:v>Sunflora</x:v>
      </x:c>
      <x:c r="C192" s="20" t="str">
        <x:f>'Habilidades'!D1801</x:f>
        <x:v>Double-Edge</x:v>
      </x:c>
      <x:c r="D192" s="20" t="str">
        <x:f>'Habilidades'!F1801</x:f>
        <x:v>Física</x:v>
      </x:c>
      <x:c r="E192" s="21" t="n">
        <x:f>'Habilidades'!G1801</x:f>
        <x:v>120</x:v>
      </x:c>
      <x:c r="F192" s="21" t="n">
        <x:f>'Habilidades'!H1801</x:f>
        <x:v>75</x:v>
      </x:c>
      <x:c r="G192" s="21" t="n">
        <x:f>'Habilidades'!I1801</x:f>
        <x:v>195</x:v>
      </x:c>
    </x:row>
    <x:row r="193" ht="22" customHeight="1">
      <x:c r="A193" s="17" t="n">
        <x:f>IF(B193="","",IF(B193=B192,A192,A192+1))</x:f>
        <x:v>39</x:v>
      </x:c>
      <x:c r="B193" s="1" t="str">
        <x:f>'Ranking'!C43</x:f>
        <x:v>Nidoking</x:v>
      </x:c>
      <x:c r="C193" s="1" t="str">
        <x:f>'Habilidades'!D287</x:f>
        <x:v>Toxic Deluge</x:v>
      </x:c>
      <x:c r="D193" s="1" t="str">
        <x:f>'Habilidades'!F287</x:f>
        <x:v>Física</x:v>
      </x:c>
      <x:c r="E193" s="18" t="n">
        <x:f>'Habilidades'!G287</x:f>
        <x:v>300</x:v>
      </x:c>
      <x:c r="F193" s="18" t="n">
        <x:f>'Habilidades'!H287</x:f>
        <x:v>102</x:v>
      </x:c>
      <x:c r="G193" s="18" t="n">
        <x:f>'Habilidades'!I287</x:f>
        <x:v>402</x:v>
      </x:c>
    </x:row>
    <x:row r="194" ht="22" customHeight="1">
      <x:c r="A194" s="17" t="n">
        <x:f>IF(B194="","",IF(B194=B193,A193,A193+1))</x:f>
        <x:v>39</x:v>
      </x:c>
      <x:c r="B194" s="1" t="str">
        <x:f>'Ranking'!C43</x:f>
        <x:v>Nidoking</x:v>
      </x:c>
      <x:c r="C194" s="1" t="str">
        <x:f>'Habilidades'!D288</x:f>
        <x:v>Crossing Fissure</x:v>
      </x:c>
      <x:c r="D194" s="1" t="str">
        <x:f>'Habilidades'!F288</x:f>
        <x:v>Física</x:v>
      </x:c>
      <x:c r="E194" s="18" t="n">
        <x:f>'Habilidades'!G288</x:f>
        <x:v>300</x:v>
      </x:c>
      <x:c r="F194" s="18" t="n">
        <x:f>'Habilidades'!H288</x:f>
        <x:v>102</x:v>
      </x:c>
      <x:c r="G194" s="18" t="n">
        <x:f>'Habilidades'!I288</x:f>
        <x:v>402</x:v>
      </x:c>
    </x:row>
    <x:row r="195" ht="22" customHeight="1">
      <x:c r="A195" s="17" t="n">
        <x:f>IF(B195="","",IF(B195=B194,A194,A194+1))</x:f>
        <x:v>39</x:v>
      </x:c>
      <x:c r="B195" s="1" t="str">
        <x:f>'Ranking'!C43</x:f>
        <x:v>Nidoking</x:v>
      </x:c>
      <x:c r="C195" s="1" t="str">
        <x:f>'Habilidades'!D289</x:f>
        <x:v>Megahorn</x:v>
      </x:c>
      <x:c r="D195" s="1" t="str">
        <x:f>'Habilidades'!F289</x:f>
        <x:v>Física</x:v>
      </x:c>
      <x:c r="E195" s="18" t="n">
        <x:f>'Habilidades'!G289</x:f>
        <x:v>120</x:v>
      </x:c>
      <x:c r="F195" s="18" t="n">
        <x:f>'Habilidades'!H289</x:f>
        <x:v>102</x:v>
      </x:c>
      <x:c r="G195" s="18" t="n">
        <x:f>'Habilidades'!I289</x:f>
        <x:v>222</x:v>
      </x:c>
    </x:row>
    <x:row r="196" ht="22" customHeight="1">
      <x:c r="A196" s="17" t="n">
        <x:f>IF(B196="","",IF(B196=B195,A195,A195+1))</x:f>
        <x:v>39</x:v>
      </x:c>
      <x:c r="B196" s="1" t="str">
        <x:f>'Ranking'!C43</x:f>
        <x:v>Nidoking</x:v>
      </x:c>
      <x:c r="C196" s="1" t="str">
        <x:f>'Habilidades'!D290</x:f>
        <x:v>Thrash</x:v>
      </x:c>
      <x:c r="D196" s="1" t="str">
        <x:f>'Habilidades'!F290</x:f>
        <x:v>Física</x:v>
      </x:c>
      <x:c r="E196" s="18" t="n">
        <x:f>'Habilidades'!G290</x:f>
        <x:v>120</x:v>
      </x:c>
      <x:c r="F196" s="18" t="n">
        <x:f>'Habilidades'!H290</x:f>
        <x:v>102</x:v>
      </x:c>
      <x:c r="G196" s="18" t="n">
        <x:f>'Habilidades'!I290</x:f>
        <x:v>222</x:v>
      </x:c>
    </x:row>
    <x:row r="197" ht="22" customHeight="1">
      <x:c r="A197" s="19" t="n">
        <x:f>IF(B197="","",IF(B197=B196,A196,A196+1))</x:f>
        <x:v>39</x:v>
      </x:c>
      <x:c r="B197" s="20" t="str">
        <x:f>'Ranking'!C43</x:f>
        <x:v>Nidoking</x:v>
      </x:c>
      <x:c r="C197" s="20" t="str">
        <x:f>'Habilidades'!D291</x:f>
        <x:v>Earth Power</x:v>
      </x:c>
      <x:c r="D197" s="20" t="str">
        <x:f>'Habilidades'!F291</x:f>
        <x:v>Especial</x:v>
      </x:c>
      <x:c r="E197" s="21" t="n">
        <x:f>'Habilidades'!G291</x:f>
        <x:v>90</x:v>
      </x:c>
      <x:c r="F197" s="21" t="n">
        <x:f>'Habilidades'!H291</x:f>
        <x:v>85</x:v>
      </x:c>
      <x:c r="G197" s="21" t="n">
        <x:f>'Habilidades'!I291</x:f>
        <x:v>175</x:v>
      </x:c>
    </x:row>
    <x:row r="198" ht="22" customHeight="1">
      <x:c r="A198" s="17" t="n">
        <x:f>IF(B198="","",IF(B198=B197,A197,A197+1))</x:f>
        <x:v>40</x:v>
      </x:c>
      <x:c r="B198" s="1" t="str">
        <x:f>'Ranking'!C44</x:f>
        <x:v>Arcanine</x:v>
      </x:c>
      <x:c r="C198" s="1" t="str">
        <x:f>'Habilidades'!D528</x:f>
        <x:v>Ignition Point</x:v>
      </x:c>
      <x:c r="D198" s="1" t="str">
        <x:f>'Habilidades'!F528</x:f>
        <x:v>Especial</x:v>
      </x:c>
      <x:c r="E198" s="18" t="n">
        <x:f>'Habilidades'!G528</x:f>
        <x:v>300</x:v>
      </x:c>
      <x:c r="F198" s="18" t="n">
        <x:f>'Habilidades'!H528</x:f>
        <x:v>100</x:v>
      </x:c>
      <x:c r="G198" s="18" t="n">
        <x:f>'Habilidades'!I528</x:f>
        <x:v>400</x:v>
      </x:c>
    </x:row>
    <x:row r="199" ht="22" customHeight="1">
      <x:c r="A199" s="17" t="n">
        <x:f>IF(B199="","",IF(B199=B198,A198,A198+1))</x:f>
        <x:v>40</x:v>
      </x:c>
      <x:c r="B199" s="1" t="str">
        <x:f>'Ranking'!C44</x:f>
        <x:v>Arcanine</x:v>
      </x:c>
      <x:c r="C199" s="1" t="str">
        <x:f>'Habilidades'!D529</x:f>
        <x:v>Extreme Speed</x:v>
      </x:c>
      <x:c r="D199" s="1" t="str">
        <x:f>'Habilidades'!F529</x:f>
        <x:v>Física</x:v>
      </x:c>
      <x:c r="E199" s="18" t="n">
        <x:f>'Habilidades'!G529</x:f>
        <x:v>80</x:v>
      </x:c>
      <x:c r="F199" s="18" t="n">
        <x:f>'Habilidades'!H529</x:f>
        <x:v>110</x:v>
      </x:c>
      <x:c r="G199" s="18" t="n">
        <x:f>'Habilidades'!I529</x:f>
        <x:v>190</x:v>
      </x:c>
    </x:row>
    <x:row r="200" ht="22" customHeight="1">
      <x:c r="A200" s="17" t="n">
        <x:f>IF(B200="","",IF(B200=B199,A199,A199+1))</x:f>
        <x:v>40</x:v>
      </x:c>
      <x:c r="B200" s="1" t="str">
        <x:f>'Ranking'!C44</x:f>
        <x:v>Arcanine</x:v>
      </x:c>
      <x:c r="C200" s="1" t="str">
        <x:f>'Habilidades'!D530</x:f>
        <x:v>Fire Fang</x:v>
      </x:c>
      <x:c r="D200" s="1" t="str">
        <x:f>'Habilidades'!F530</x:f>
        <x:v>Física</x:v>
      </x:c>
      <x:c r="E200" s="18" t="n">
        <x:f>'Habilidades'!G530</x:f>
        <x:v>65</x:v>
      </x:c>
      <x:c r="F200" s="18" t="n">
        <x:f>'Habilidades'!H530</x:f>
        <x:v>110</x:v>
      </x:c>
      <x:c r="G200" s="18" t="n">
        <x:f>'Habilidades'!I530</x:f>
        <x:v>175</x:v>
      </x:c>
    </x:row>
    <x:row r="201" ht="22" customHeight="1">
      <x:c r="A201" s="17" t="n">
        <x:f>IF(B201="","",IF(B201=B200,A200,A200+1))</x:f>
        <x:v>40</x:v>
      </x:c>
      <x:c r="B201" s="1" t="str">
        <x:f>'Ranking'!C44</x:f>
        <x:v>Arcanine</x:v>
      </x:c>
      <x:c r="C201" s="1" t="str">
        <x:f>'Habilidades'!D531</x:f>
        <x:v>Thunder Fang</x:v>
      </x:c>
      <x:c r="D201" s="1" t="str">
        <x:f>'Habilidades'!F531</x:f>
        <x:v>Física</x:v>
      </x:c>
      <x:c r="E201" s="18" t="n">
        <x:f>'Habilidades'!G531</x:f>
        <x:v>65</x:v>
      </x:c>
      <x:c r="F201" s="18" t="n">
        <x:f>'Habilidades'!H531</x:f>
        <x:v>110</x:v>
      </x:c>
      <x:c r="G201" s="18" t="n">
        <x:f>'Habilidades'!I531</x:f>
        <x:v>175</x:v>
      </x:c>
    </x:row>
    <x:row r="202" ht="22" customHeight="1">
      <x:c r="A202" s="19" t="n">
        <x:f>IF(B202="","",IF(B202=B201,A201,A201+1))</x:f>
        <x:v>40</x:v>
      </x:c>
      <x:c r="B202" s="20" t="str">
        <x:f>'Ranking'!C44</x:f>
        <x:v>Arcanine</x:v>
      </x:c>
      <x:c r="C202" s="20" t="str">
        <x:f>'Habilidades'!D532</x:f>
        <x:v>Bite</x:v>
      </x:c>
      <x:c r="D202" s="20" t="str">
        <x:f>'Habilidades'!F532</x:f>
        <x:v>Física</x:v>
      </x:c>
      <x:c r="E202" s="21" t="n">
        <x:f>'Habilidades'!G532</x:f>
        <x:v>60</x:v>
      </x:c>
      <x:c r="F202" s="21" t="n">
        <x:f>'Habilidades'!H532</x:f>
        <x:v>110</x:v>
      </x:c>
      <x:c r="G202" s="21" t="n">
        <x:f>'Habilidades'!I532</x:f>
        <x:v>170</x:v>
      </x:c>
    </x:row>
    <x:row r="203" ht="22" customHeight="1">
      <x:c r="A203" s="17" t="n">
        <x:f>IF(B203="","",IF(B203=B202,A202,A202+1))</x:f>
        <x:v>41</x:v>
      </x:c>
      <x:c r="B203" s="1" t="str">
        <x:f>'Ranking'!C56</x:f>
        <x:v>Celebi</x:v>
      </x:c>
      <x:c r="C203" s="1" t="str">
        <x:f>'Habilidades'!D2345</x:f>
        <x:v>Mental Singularity</x:v>
      </x:c>
      <x:c r="D203" s="1" t="str">
        <x:f>'Habilidades'!F2345</x:f>
        <x:v>Especial</x:v>
      </x:c>
      <x:c r="E203" s="18" t="n">
        <x:f>'Habilidades'!G2345</x:f>
        <x:v>300</x:v>
      </x:c>
      <x:c r="F203" s="18" t="n">
        <x:f>'Habilidades'!H2345</x:f>
        <x:v>100</x:v>
      </x:c>
      <x:c r="G203" s="18" t="n">
        <x:f>'Habilidades'!I2345</x:f>
        <x:v>400</x:v>
      </x:c>
    </x:row>
    <x:row r="204" ht="22" customHeight="1">
      <x:c r="A204" s="17" t="n">
        <x:f>IF(B204="","",IF(B204=B203,A203,A203+1))</x:f>
        <x:v>41</x:v>
      </x:c>
      <x:c r="B204" s="1" t="str">
        <x:f>'Ranking'!C56</x:f>
        <x:v>Celebi</x:v>
      </x:c>
      <x:c r="C204" s="1" t="str">
        <x:f>'Habilidades'!D2346</x:f>
        <x:v>Leaf Storm</x:v>
      </x:c>
      <x:c r="D204" s="1" t="str">
        <x:f>'Habilidades'!F2346</x:f>
        <x:v>Especial</x:v>
      </x:c>
      <x:c r="E204" s="18" t="n">
        <x:f>'Habilidades'!G2346</x:f>
        <x:v>130</x:v>
      </x:c>
      <x:c r="F204" s="18" t="n">
        <x:f>'Habilidades'!H2346</x:f>
        <x:v>100</x:v>
      </x:c>
      <x:c r="G204" s="18" t="n">
        <x:f>'Habilidades'!I2346</x:f>
        <x:v>230</x:v>
      </x:c>
    </x:row>
    <x:row r="205" ht="22" customHeight="1">
      <x:c r="A205" s="17" t="n">
        <x:f>IF(B205="","",IF(B205=B204,A204,A204+1))</x:f>
        <x:v>41</x:v>
      </x:c>
      <x:c r="B205" s="1" t="str">
        <x:f>'Ranking'!C56</x:f>
        <x:v>Celebi</x:v>
      </x:c>
      <x:c r="C205" s="1" t="str">
        <x:f>'Habilidades'!D2347</x:f>
        <x:v>Future Sight</x:v>
      </x:c>
      <x:c r="D205" s="1" t="str">
        <x:f>'Habilidades'!F2347</x:f>
        <x:v>Especial</x:v>
      </x:c>
      <x:c r="E205" s="18" t="n">
        <x:f>'Habilidades'!G2347</x:f>
        <x:v>120</x:v>
      </x:c>
      <x:c r="F205" s="18" t="n">
        <x:f>'Habilidades'!H2347</x:f>
        <x:v>100</x:v>
      </x:c>
      <x:c r="G205" s="18" t="n">
        <x:f>'Habilidades'!I2347</x:f>
        <x:v>220</x:v>
      </x:c>
    </x:row>
    <x:row r="206" ht="22" customHeight="1">
      <x:c r="A206" s="17" t="n">
        <x:f>IF(B206="","",IF(B206=B205,A205,A205+1))</x:f>
        <x:v>41</x:v>
      </x:c>
      <x:c r="B206" s="1" t="str">
        <x:f>'Ranking'!C56</x:f>
        <x:v>Celebi</x:v>
      </x:c>
      <x:c r="C206" s="1" t="str">
        <x:f>'Habilidades'!D2348</x:f>
        <x:v>Magical Leaf</x:v>
      </x:c>
      <x:c r="D206" s="1" t="str">
        <x:f>'Habilidades'!F2348</x:f>
        <x:v>Especial</x:v>
      </x:c>
      <x:c r="E206" s="18" t="n">
        <x:f>'Habilidades'!G2348</x:f>
        <x:v>60</x:v>
      </x:c>
      <x:c r="F206" s="18" t="n">
        <x:f>'Habilidades'!H2348</x:f>
        <x:v>100</x:v>
      </x:c>
      <x:c r="G206" s="18" t="n">
        <x:f>'Habilidades'!I2348</x:f>
        <x:v>160</x:v>
      </x:c>
    </x:row>
    <x:row r="207" ht="22" customHeight="1">
      <x:c r="A207" s="19" t="n">
        <x:f>IF(B207="","",IF(B207=B206,A206,A206+1))</x:f>
        <x:v>41</x:v>
      </x:c>
      <x:c r="B207" s="20" t="str">
        <x:f>'Ranking'!C56</x:f>
        <x:v>Celebi</x:v>
      </x:c>
      <x:c r="C207" s="20" t="str">
        <x:f>'Habilidades'!D2349</x:f>
        <x:v>Ancient Power</x:v>
      </x:c>
      <x:c r="D207" s="20" t="str">
        <x:f>'Habilidades'!F2349</x:f>
        <x:v>Especial</x:v>
      </x:c>
      <x:c r="E207" s="21" t="n">
        <x:f>'Habilidades'!G2349</x:f>
        <x:v>60</x:v>
      </x:c>
      <x:c r="F207" s="21" t="n">
        <x:f>'Habilidades'!H2349</x:f>
        <x:v>100</x:v>
      </x:c>
      <x:c r="G207" s="21" t="n">
        <x:f>'Habilidades'!I2349</x:f>
        <x:v>160</x:v>
      </x:c>
    </x:row>
    <x:row r="208" ht="22" customHeight="1">
      <x:c r="A208" s="17" t="n">
        <x:f>IF(B208="","",IF(B208=B207,A207,A207+1))</x:f>
        <x:v>42</x:v>
      </x:c>
      <x:c r="B208" s="1" t="str">
        <x:f>'Ranking'!C52</x:f>
        <x:v>Magmar</x:v>
      </x:c>
      <x:c r="C208" s="1" t="str">
        <x:f>'Habilidades'!D1208</x:f>
        <x:v>Ignition Point</x:v>
      </x:c>
      <x:c r="D208" s="1" t="str">
        <x:f>'Habilidades'!F1208</x:f>
        <x:v>Especial</x:v>
      </x:c>
      <x:c r="E208" s="18" t="n">
        <x:f>'Habilidades'!G1208</x:f>
        <x:v>300</x:v>
      </x:c>
      <x:c r="F208" s="18" t="n">
        <x:f>'Habilidades'!H1208</x:f>
        <x:v>100</x:v>
      </x:c>
      <x:c r="G208" s="18" t="n">
        <x:f>'Habilidades'!I1208</x:f>
        <x:v>400</x:v>
      </x:c>
    </x:row>
    <x:row r="209" ht="22" customHeight="1">
      <x:c r="A209" s="17" t="n">
        <x:f>IF(B209="","",IF(B209=B208,A208,A208+1))</x:f>
        <x:v>42</x:v>
      </x:c>
      <x:c r="B209" s="1" t="str">
        <x:f>'Ranking'!C52</x:f>
        <x:v>Magmar</x:v>
      </x:c>
      <x:c r="C209" s="1" t="str">
        <x:f>'Habilidades'!D1209</x:f>
        <x:v>Fire Blast</x:v>
      </x:c>
      <x:c r="D209" s="1" t="str">
        <x:f>'Habilidades'!F1209</x:f>
        <x:v>Especial</x:v>
      </x:c>
      <x:c r="E209" s="18" t="n">
        <x:f>'Habilidades'!G1209</x:f>
        <x:v>110</x:v>
      </x:c>
      <x:c r="F209" s="18" t="n">
        <x:f>'Habilidades'!H1209</x:f>
        <x:v>100</x:v>
      </x:c>
      <x:c r="G209" s="18" t="n">
        <x:f>'Habilidades'!I1209</x:f>
        <x:v>210</x:v>
      </x:c>
    </x:row>
    <x:row r="210" ht="22" customHeight="1">
      <x:c r="A210" s="17" t="n">
        <x:f>IF(B210="","",IF(B210=B209,A209,A209+1))</x:f>
        <x:v>42</x:v>
      </x:c>
      <x:c r="B210" s="1" t="str">
        <x:f>'Ranking'!C52</x:f>
        <x:v>Magmar</x:v>
      </x:c>
      <x:c r="C210" s="1" t="str">
        <x:f>'Habilidades'!D1210</x:f>
        <x:v>Flamethrower</x:v>
      </x:c>
      <x:c r="D210" s="1" t="str">
        <x:f>'Habilidades'!F1210</x:f>
        <x:v>Especial</x:v>
      </x:c>
      <x:c r="E210" s="18" t="n">
        <x:f>'Habilidades'!G1210</x:f>
        <x:v>90</x:v>
      </x:c>
      <x:c r="F210" s="18" t="n">
        <x:f>'Habilidades'!H1210</x:f>
        <x:v>100</x:v>
      </x:c>
      <x:c r="G210" s="18" t="n">
        <x:f>'Habilidades'!I1210</x:f>
        <x:v>190</x:v>
      </x:c>
    </x:row>
    <x:row r="211" ht="22" customHeight="1">
      <x:c r="A211" s="17" t="n">
        <x:f>IF(B211="","",IF(B211=B210,A210,A210+1))</x:f>
        <x:v>42</x:v>
      </x:c>
      <x:c r="B211" s="1" t="str">
        <x:f>'Ranking'!C52</x:f>
        <x:v>Magmar</x:v>
      </x:c>
      <x:c r="C211" s="1" t="str">
        <x:f>'Habilidades'!D1211</x:f>
        <x:v>Lava Plume</x:v>
      </x:c>
      <x:c r="D211" s="1" t="str">
        <x:f>'Habilidades'!F1211</x:f>
        <x:v>Especial</x:v>
      </x:c>
      <x:c r="E211" s="18" t="n">
        <x:f>'Habilidades'!G1211</x:f>
        <x:v>80</x:v>
      </x:c>
      <x:c r="F211" s="18" t="n">
        <x:f>'Habilidades'!H1211</x:f>
        <x:v>100</x:v>
      </x:c>
      <x:c r="G211" s="18" t="n">
        <x:f>'Habilidades'!I1211</x:f>
        <x:v>180</x:v>
      </x:c>
    </x:row>
    <x:row r="212" ht="22" customHeight="1">
      <x:c r="A212" s="19" t="n">
        <x:f>IF(B212="","",IF(B212=B211,A211,A211+1))</x:f>
        <x:v>42</x:v>
      </x:c>
      <x:c r="B212" s="20" t="str">
        <x:f>'Ranking'!C52</x:f>
        <x:v>Magmar</x:v>
      </x:c>
      <x:c r="C212" s="20" t="str">
        <x:f>'Habilidades'!D1212</x:f>
        <x:v>Fire Punch</x:v>
      </x:c>
      <x:c r="D212" s="20" t="str">
        <x:f>'Habilidades'!F1212</x:f>
        <x:v>Física</x:v>
      </x:c>
      <x:c r="E212" s="21" t="n">
        <x:f>'Habilidades'!G1212</x:f>
        <x:v>75</x:v>
      </x:c>
      <x:c r="F212" s="21" t="n">
        <x:f>'Habilidades'!H1212</x:f>
        <x:v>95</x:v>
      </x:c>
      <x:c r="G212" s="21" t="n">
        <x:f>'Habilidades'!I1212</x:f>
        <x:v>170</x:v>
      </x:c>
    </x:row>
    <x:row r="213" ht="22" customHeight="1">
      <x:c r="A213" s="17" t="n">
        <x:f>IF(B213="","",IF(B213=B212,A212,A212+1))</x:f>
        <x:v>43</x:v>
      </x:c>
      <x:c r="B213" s="1" t="str">
        <x:f>'Ranking'!C53</x:f>
        <x:v>Mew</x:v>
      </x:c>
      <x:c r="C213" s="1" t="str">
        <x:f>'Habilidades'!D1456</x:f>
        <x:v>Mental Singularity</x:v>
      </x:c>
      <x:c r="D213" s="1" t="str">
        <x:f>'Habilidades'!F1456</x:f>
        <x:v>Especial</x:v>
      </x:c>
      <x:c r="E213" s="18" t="n">
        <x:f>'Habilidades'!G1456</x:f>
        <x:v>300</x:v>
      </x:c>
      <x:c r="F213" s="18" t="n">
        <x:f>'Habilidades'!H1456</x:f>
        <x:v>100</x:v>
      </x:c>
      <x:c r="G213" s="18" t="n">
        <x:f>'Habilidades'!I1456</x:f>
        <x:v>400</x:v>
      </x:c>
    </x:row>
    <x:row r="214" ht="22" customHeight="1">
      <x:c r="A214" s="17" t="n">
        <x:f>IF(B214="","",IF(B214=B213,A213,A213+1))</x:f>
        <x:v>43</x:v>
      </x:c>
      <x:c r="B214" s="1" t="str">
        <x:f>'Ranking'!C53</x:f>
        <x:v>Mew</x:v>
      </x:c>
      <x:c r="C214" s="1" t="str">
        <x:f>'Habilidades'!D1457</x:f>
        <x:v>Psychic</x:v>
      </x:c>
      <x:c r="D214" s="1" t="str">
        <x:f>'Habilidades'!F1457</x:f>
        <x:v>Especial</x:v>
      </x:c>
      <x:c r="E214" s="18" t="n">
        <x:f>'Habilidades'!G1457</x:f>
        <x:v>90</x:v>
      </x:c>
      <x:c r="F214" s="18" t="n">
        <x:f>'Habilidades'!H1457</x:f>
        <x:v>100</x:v>
      </x:c>
      <x:c r="G214" s="18" t="n">
        <x:f>'Habilidades'!I1457</x:f>
        <x:v>190</x:v>
      </x:c>
    </x:row>
    <x:row r="215" ht="22" customHeight="1">
      <x:c r="A215" s="17" t="n">
        <x:f>IF(B215="","",IF(B215=B214,A214,A214+1))</x:f>
        <x:v>43</x:v>
      </x:c>
      <x:c r="B215" s="1" t="str">
        <x:f>'Ranking'!C53</x:f>
        <x:v>Mew</x:v>
      </x:c>
      <x:c r="C215" s="1" t="str">
        <x:f>'Habilidades'!D1458</x:f>
        <x:v>Mega Punch</x:v>
      </x:c>
      <x:c r="D215" s="1" t="str">
        <x:f>'Habilidades'!F1458</x:f>
        <x:v>Física</x:v>
      </x:c>
      <x:c r="E215" s="18" t="n">
        <x:f>'Habilidades'!G1458</x:f>
        <x:v>80</x:v>
      </x:c>
      <x:c r="F215" s="18" t="n">
        <x:f>'Habilidades'!H1458</x:f>
        <x:v>100</x:v>
      </x:c>
      <x:c r="G215" s="18" t="n">
        <x:f>'Habilidades'!I1458</x:f>
        <x:v>180</x:v>
      </x:c>
    </x:row>
    <x:row r="216" ht="22" customHeight="1">
      <x:c r="A216" s="17" t="n">
        <x:f>IF(B216="","",IF(B216=B215,A215,A215+1))</x:f>
        <x:v>43</x:v>
      </x:c>
      <x:c r="B216" s="1" t="str">
        <x:f>'Ranking'!C53</x:f>
        <x:v>Mew</x:v>
      </x:c>
      <x:c r="C216" s="1" t="str">
        <x:f>'Habilidades'!D1459</x:f>
        <x:v>Aura Sphere</x:v>
      </x:c>
      <x:c r="D216" s="1" t="str">
        <x:f>'Habilidades'!F1459</x:f>
        <x:v>Especial</x:v>
      </x:c>
      <x:c r="E216" s="18" t="n">
        <x:f>'Habilidades'!G1459</x:f>
        <x:v>80</x:v>
      </x:c>
      <x:c r="F216" s="18" t="n">
        <x:f>'Habilidades'!H1459</x:f>
        <x:v>100</x:v>
      </x:c>
      <x:c r="G216" s="18" t="n">
        <x:f>'Habilidades'!I1459</x:f>
        <x:v>180</x:v>
      </x:c>
    </x:row>
    <x:row r="217" ht="22" customHeight="1">
      <x:c r="A217" s="19" t="n">
        <x:f>IF(B217="","",IF(B217=B216,A216,A216+1))</x:f>
        <x:v>43</x:v>
      </x:c>
      <x:c r="B217" s="20" t="str">
        <x:f>'Ranking'!C53</x:f>
        <x:v>Mew</x:v>
      </x:c>
      <x:c r="C217" s="20" t="str">
        <x:f>'Habilidades'!D1460</x:f>
        <x:v>Ancient Power</x:v>
      </x:c>
      <x:c r="D217" s="20" t="str">
        <x:f>'Habilidades'!F1460</x:f>
        <x:v>Especial</x:v>
      </x:c>
      <x:c r="E217" s="21" t="n">
        <x:f>'Habilidades'!G1460</x:f>
        <x:v>60</x:v>
      </x:c>
      <x:c r="F217" s="21" t="n">
        <x:f>'Habilidades'!H1460</x:f>
        <x:v>100</x:v>
      </x:c>
      <x:c r="G217" s="21" t="n">
        <x:f>'Habilidades'!I1460</x:f>
        <x:v>160</x:v>
      </x:c>
    </x:row>
    <x:row r="218" ht="22" customHeight="1">
      <x:c r="A218" s="17" t="n">
        <x:f>IF(B218="","",IF(B218=B217,A217,A217+1))</x:f>
        <x:v>44</x:v>
      </x:c>
      <x:c r="B218" s="1" t="str">
        <x:f>'Ranking'!C51</x:f>
        <x:v>Mr. Mime</x:v>
      </x:c>
      <x:c r="C218" s="1" t="str">
        <x:f>'Habilidades'!D1157</x:f>
        <x:v>Mental Singularity</x:v>
      </x:c>
      <x:c r="D218" s="1" t="str">
        <x:f>'Habilidades'!F1157</x:f>
        <x:v>Especial</x:v>
      </x:c>
      <x:c r="E218" s="18" t="n">
        <x:f>'Habilidades'!G1157</x:f>
        <x:v>300</x:v>
      </x:c>
      <x:c r="F218" s="18" t="n">
        <x:f>'Habilidades'!H1157</x:f>
        <x:v>100</x:v>
      </x:c>
      <x:c r="G218" s="18" t="n">
        <x:f>'Habilidades'!I1157</x:f>
        <x:v>400</x:v>
      </x:c>
    </x:row>
    <x:row r="219" ht="22" customHeight="1">
      <x:c r="A219" s="17" t="n">
        <x:f>IF(B219="","",IF(B219=B218,A218,A218+1))</x:f>
        <x:v>44</x:v>
      </x:c>
      <x:c r="B219" s="1" t="str">
        <x:f>'Ranking'!C51</x:f>
        <x:v>Mr. Mime</x:v>
      </x:c>
      <x:c r="C219" s="1" t="str">
        <x:f>'Habilidades'!D1158</x:f>
        <x:v>Psychic</x:v>
      </x:c>
      <x:c r="D219" s="1" t="str">
        <x:f>'Habilidades'!F1158</x:f>
        <x:v>Especial</x:v>
      </x:c>
      <x:c r="E219" s="18" t="n">
        <x:f>'Habilidades'!G1158</x:f>
        <x:v>90</x:v>
      </x:c>
      <x:c r="F219" s="18" t="n">
        <x:f>'Habilidades'!H1158</x:f>
        <x:v>100</x:v>
      </x:c>
      <x:c r="G219" s="18" t="n">
        <x:f>'Habilidades'!I1158</x:f>
        <x:v>190</x:v>
      </x:c>
    </x:row>
    <x:row r="220" ht="22" customHeight="1">
      <x:c r="A220" s="17" t="n">
        <x:f>IF(B220="","",IF(B220=B219,A219,A219+1))</x:f>
        <x:v>44</x:v>
      </x:c>
      <x:c r="B220" s="1" t="str">
        <x:f>'Ranking'!C51</x:f>
        <x:v>Mr. Mime</x:v>
      </x:c>
      <x:c r="C220" s="1" t="str">
        <x:f>'Habilidades'!D1159</x:f>
        <x:v>Psybeam</x:v>
      </x:c>
      <x:c r="D220" s="1" t="str">
        <x:f>'Habilidades'!F1159</x:f>
        <x:v>Especial</x:v>
      </x:c>
      <x:c r="E220" s="18" t="n">
        <x:f>'Habilidades'!G1159</x:f>
        <x:v>65</x:v>
      </x:c>
      <x:c r="F220" s="18" t="n">
        <x:f>'Habilidades'!H1159</x:f>
        <x:v>100</x:v>
      </x:c>
      <x:c r="G220" s="18" t="n">
        <x:f>'Habilidades'!I1159</x:f>
        <x:v>165</x:v>
      </x:c>
    </x:row>
    <x:row r="221" ht="22" customHeight="1">
      <x:c r="A221" s="17" t="n">
        <x:f>IF(B221="","",IF(B221=B220,A220,A220+1))</x:f>
        <x:v>44</x:v>
      </x:c>
      <x:c r="B221" s="1" t="str">
        <x:f>'Ranking'!C51</x:f>
        <x:v>Mr. Mime</x:v>
      </x:c>
      <x:c r="C221" s="1" t="str">
        <x:f>'Habilidades'!D1160</x:f>
        <x:v>Magical Leaf</x:v>
      </x:c>
      <x:c r="D221" s="1" t="str">
        <x:f>'Habilidades'!F1160</x:f>
        <x:v>Especial</x:v>
      </x:c>
      <x:c r="E221" s="18" t="n">
        <x:f>'Habilidades'!G1160</x:f>
        <x:v>60</x:v>
      </x:c>
      <x:c r="F221" s="18" t="n">
        <x:f>'Habilidades'!H1160</x:f>
        <x:v>100</x:v>
      </x:c>
      <x:c r="G221" s="18" t="n">
        <x:f>'Habilidades'!I1160</x:f>
        <x:v>160</x:v>
      </x:c>
    </x:row>
    <x:row r="222" ht="22" customHeight="1">
      <x:c r="A222" s="19" t="n">
        <x:f>IF(B222="","",IF(B222=B221,A221,A221+1))</x:f>
        <x:v>44</x:v>
      </x:c>
      <x:c r="B222" s="20" t="str">
        <x:f>'Ranking'!C51</x:f>
        <x:v>Mr. Mime</x:v>
      </x:c>
      <x:c r="C222" s="20" t="str">
        <x:f>'Habilidades'!D1161</x:f>
        <x:v>Psywave</x:v>
      </x:c>
      <x:c r="D222" s="20" t="str">
        <x:f>'Habilidades'!F1161</x:f>
        <x:v>Especial</x:v>
      </x:c>
      <x:c r="E222" s="21" t="n">
        <x:f>'Habilidades'!G1161</x:f>
        <x:v>56</x:v>
      </x:c>
      <x:c r="F222" s="21" t="n">
        <x:f>'Habilidades'!H1161</x:f>
        <x:v>100</x:v>
      </x:c>
      <x:c r="G222" s="21" t="n">
        <x:f>'Habilidades'!I1161</x:f>
        <x:v>156</x:v>
      </x:c>
    </x:row>
    <x:row r="223" ht="22" customHeight="1">
      <x:c r="A223" s="17" t="n">
        <x:f>IF(B223="","",IF(B223=B222,A222,A222+1))</x:f>
        <x:v>45</x:v>
      </x:c>
      <x:c r="B223" s="1" t="str">
        <x:f>'Ranking'!C47</x:f>
        <x:v>Sandslash</x:v>
      </x:c>
      <x:c r="C223" s="1" t="str">
        <x:f>'Habilidades'!D237</x:f>
        <x:v>Crossing Fissure</x:v>
      </x:c>
      <x:c r="D223" s="1" t="str">
        <x:f>'Habilidades'!F237</x:f>
        <x:v>Física</x:v>
      </x:c>
      <x:c r="E223" s="18" t="n">
        <x:f>'Habilidades'!G237</x:f>
        <x:v>300</x:v>
      </x:c>
      <x:c r="F223" s="18" t="n">
        <x:f>'Habilidades'!H237</x:f>
        <x:v>100</x:v>
      </x:c>
      <x:c r="G223" s="18" t="n">
        <x:f>'Habilidades'!I237</x:f>
        <x:v>400</x:v>
      </x:c>
    </x:row>
    <x:row r="224" ht="22" customHeight="1">
      <x:c r="A224" s="17" t="n">
        <x:f>IF(B224="","",IF(B224=B223,A223,A223+1))</x:f>
        <x:v>45</x:v>
      </x:c>
      <x:c r="B224" s="1" t="str">
        <x:f>'Ranking'!C47</x:f>
        <x:v>Sandslash</x:v>
      </x:c>
      <x:c r="C224" s="1" t="str">
        <x:f>'Habilidades'!D238</x:f>
        <x:v>Earthquake</x:v>
      </x:c>
      <x:c r="D224" s="1" t="str">
        <x:f>'Habilidades'!F238</x:f>
        <x:v>Física</x:v>
      </x:c>
      <x:c r="E224" s="18" t="n">
        <x:f>'Habilidades'!G238</x:f>
        <x:v>100</x:v>
      </x:c>
      <x:c r="F224" s="18" t="n">
        <x:f>'Habilidades'!H238</x:f>
        <x:v>100</x:v>
      </x:c>
      <x:c r="G224" s="18" t="n">
        <x:f>'Habilidades'!I238</x:f>
        <x:v>200</x:v>
      </x:c>
    </x:row>
    <x:row r="225" ht="22" customHeight="1">
      <x:c r="A225" s="17" t="n">
        <x:f>IF(B225="","",IF(B225=B224,A224,A224+1))</x:f>
        <x:v>45</x:v>
      </x:c>
      <x:c r="B225" s="1" t="str">
        <x:f>'Ranking'!C47</x:f>
        <x:v>Sandslash</x:v>
      </x:c>
      <x:c r="C225" s="1" t="str">
        <x:f>'Habilidades'!D239</x:f>
        <x:v>Dig</x:v>
      </x:c>
      <x:c r="D225" s="1" t="str">
        <x:f>'Habilidades'!F239</x:f>
        <x:v>Física</x:v>
      </x:c>
      <x:c r="E225" s="18" t="n">
        <x:f>'Habilidades'!G239</x:f>
        <x:v>80</x:v>
      </x:c>
      <x:c r="F225" s="18" t="n">
        <x:f>'Habilidades'!H239</x:f>
        <x:v>100</x:v>
      </x:c>
      <x:c r="G225" s="18" t="n">
        <x:f>'Habilidades'!I239</x:f>
        <x:v>180</x:v>
      </x:c>
    </x:row>
    <x:row r="226" ht="22" customHeight="1">
      <x:c r="A226" s="17" t="n">
        <x:f>IF(B226="","",IF(B226=B225,A225,A225+1))</x:f>
        <x:v>45</x:v>
      </x:c>
      <x:c r="B226" s="1" t="str">
        <x:f>'Ranking'!C47</x:f>
        <x:v>Sandslash</x:v>
      </x:c>
      <x:c r="C226" s="1" t="str">
        <x:f>'Habilidades'!D240</x:f>
        <x:v>Crush Claw</x:v>
      </x:c>
      <x:c r="D226" s="1" t="str">
        <x:f>'Habilidades'!F240</x:f>
        <x:v>Física</x:v>
      </x:c>
      <x:c r="E226" s="18" t="n">
        <x:f>'Habilidades'!G240</x:f>
        <x:v>75</x:v>
      </x:c>
      <x:c r="F226" s="18" t="n">
        <x:f>'Habilidades'!H240</x:f>
        <x:v>100</x:v>
      </x:c>
      <x:c r="G226" s="18" t="n">
        <x:f>'Habilidades'!I240</x:f>
        <x:v>175</x:v>
      </x:c>
    </x:row>
    <x:row r="227" ht="22" customHeight="1">
      <x:c r="A227" s="19" t="n">
        <x:f>IF(B227="","",IF(B227=B226,A226,A226+1))</x:f>
        <x:v>45</x:v>
      </x:c>
      <x:c r="B227" s="20" t="str">
        <x:f>'Ranking'!C47</x:f>
        <x:v>Sandslash</x:v>
      </x:c>
      <x:c r="C227" s="20" t="str">
        <x:f>'Habilidades'!D241</x:f>
        <x:v>Slash</x:v>
      </x:c>
      <x:c r="D227" s="20" t="str">
        <x:f>'Habilidades'!F241</x:f>
        <x:v>Física</x:v>
      </x:c>
      <x:c r="E227" s="21" t="n">
        <x:f>'Habilidades'!G241</x:f>
        <x:v>70</x:v>
      </x:c>
      <x:c r="F227" s="21" t="n">
        <x:f>'Habilidades'!H241</x:f>
        <x:v>100</x:v>
      </x:c>
      <x:c r="G227" s="21" t="n">
        <x:f>'Habilidades'!I241</x:f>
        <x:v>170</x:v>
      </x:c>
    </x:row>
    <x:row r="228" ht="22" customHeight="1">
      <x:c r="A228" s="17" t="n">
        <x:f>IF(B228="","",IF(B228=B227,A227,A227+1))</x:f>
        <x:v>46</x:v>
      </x:c>
      <x:c r="B228" s="1" t="str">
        <x:f>'Ranking'!C48</x:f>
        <x:v>Slowbro</x:v>
      </x:c>
      <x:c r="C228" s="1" t="str">
        <x:f>'Habilidades'!D720</x:f>
        <x:v>Cyclonic Tide</x:v>
      </x:c>
      <x:c r="D228" s="1" t="str">
        <x:f>'Habilidades'!F720</x:f>
        <x:v>Especial</x:v>
      </x:c>
      <x:c r="E228" s="18" t="n">
        <x:f>'Habilidades'!G720</x:f>
        <x:v>300</x:v>
      </x:c>
      <x:c r="F228" s="18" t="n">
        <x:f>'Habilidades'!H720</x:f>
        <x:v>100</x:v>
      </x:c>
      <x:c r="G228" s="18" t="n">
        <x:f>'Habilidades'!I720</x:f>
        <x:v>400</x:v>
      </x:c>
    </x:row>
    <x:row r="229" ht="22" customHeight="1">
      <x:c r="A229" s="17" t="n">
        <x:f>IF(B229="","",IF(B229=B228,A228,A228+1))</x:f>
        <x:v>46</x:v>
      </x:c>
      <x:c r="B229" s="1" t="str">
        <x:f>'Ranking'!C48</x:f>
        <x:v>Slowbro</x:v>
      </x:c>
      <x:c r="C229" s="1" t="str">
        <x:f>'Habilidades'!D721</x:f>
        <x:v>Psychic</x:v>
      </x:c>
      <x:c r="D229" s="1" t="str">
        <x:f>'Habilidades'!F721</x:f>
        <x:v>Especial</x:v>
      </x:c>
      <x:c r="E229" s="18" t="n">
        <x:f>'Habilidades'!G721</x:f>
        <x:v>90</x:v>
      </x:c>
      <x:c r="F229" s="18" t="n">
        <x:f>'Habilidades'!H721</x:f>
        <x:v>100</x:v>
      </x:c>
      <x:c r="G229" s="18" t="n">
        <x:f>'Habilidades'!I721</x:f>
        <x:v>190</x:v>
      </x:c>
    </x:row>
    <x:row r="230" ht="22" customHeight="1">
      <x:c r="A230" s="17" t="n">
        <x:f>IF(B230="","",IF(B230=B229,A229,A229+1))</x:f>
        <x:v>46</x:v>
      </x:c>
      <x:c r="B230" s="1" t="str">
        <x:f>'Ranking'!C48</x:f>
        <x:v>Slowbro</x:v>
      </x:c>
      <x:c r="C230" s="1" t="str">
        <x:f>'Habilidades'!D722</x:f>
        <x:v>Water Pulse</x:v>
      </x:c>
      <x:c r="D230" s="1" t="str">
        <x:f>'Habilidades'!F722</x:f>
        <x:v>Especial</x:v>
      </x:c>
      <x:c r="E230" s="18" t="n">
        <x:f>'Habilidades'!G722</x:f>
        <x:v>60</x:v>
      </x:c>
      <x:c r="F230" s="18" t="n">
        <x:f>'Habilidades'!H722</x:f>
        <x:v>100</x:v>
      </x:c>
      <x:c r="G230" s="18" t="n">
        <x:f>'Habilidades'!I722</x:f>
        <x:v>160</x:v>
      </x:c>
    </x:row>
    <x:row r="231" ht="22" customHeight="1">
      <x:c r="A231" s="17" t="n">
        <x:f>IF(B231="","",IF(B231=B230,A230,A230+1))</x:f>
        <x:v>46</x:v>
      </x:c>
      <x:c r="B231" s="1" t="str">
        <x:f>'Ranking'!C48</x:f>
        <x:v>Slowbro</x:v>
      </x:c>
      <x:c r="C231" s="1" t="str">
        <x:f>'Habilidades'!D723</x:f>
        <x:v>Zen Headbutt</x:v>
      </x:c>
      <x:c r="D231" s="1" t="str">
        <x:f>'Habilidades'!F723</x:f>
        <x:v>Física</x:v>
      </x:c>
      <x:c r="E231" s="18" t="n">
        <x:f>'Habilidades'!G723</x:f>
        <x:v>80</x:v>
      </x:c>
      <x:c r="F231" s="18" t="n">
        <x:f>'Habilidades'!H723</x:f>
        <x:v>75</x:v>
      </x:c>
      <x:c r="G231" s="18" t="n">
        <x:f>'Habilidades'!I723</x:f>
        <x:v>155</x:v>
      </x:c>
    </x:row>
    <x:row r="232" ht="22" customHeight="1">
      <x:c r="A232" s="19" t="n">
        <x:f>IF(B232="","",IF(B232=B231,A231,A231+1))</x:f>
        <x:v>46</x:v>
      </x:c>
      <x:c r="B232" s="20" t="str">
        <x:f>'Ranking'!C48</x:f>
        <x:v>Slowbro</x:v>
      </x:c>
      <x:c r="C232" s="20" t="str">
        <x:f>'Habilidades'!D725</x:f>
        <x:v>Headbutt</x:v>
      </x:c>
      <x:c r="D232" s="20" t="str">
        <x:f>'Habilidades'!F725</x:f>
        <x:v>Física</x:v>
      </x:c>
      <x:c r="E232" s="21" t="n">
        <x:f>'Habilidades'!G725</x:f>
        <x:v>70</x:v>
      </x:c>
      <x:c r="F232" s="21" t="n">
        <x:f>'Habilidades'!H725</x:f>
        <x:v>75</x:v>
      </x:c>
      <x:c r="G232" s="21" t="n">
        <x:f>'Habilidades'!I725</x:f>
        <x:v>145</x:v>
      </x:c>
    </x:row>
    <x:row r="233" ht="22" customHeight="1">
      <x:c r="A233" s="17" t="n">
        <x:f>IF(B233="","",IF(B233=B232,A232,A232+1))</x:f>
        <x:v>47</x:v>
      </x:c>
      <x:c r="B233" s="1" t="str">
        <x:f>'Ranking'!C55</x:f>
        <x:v>Slowking</x:v>
      </x:c>
      <x:c r="C233" s="1" t="str">
        <x:f>'Habilidades'!D1859</x:f>
        <x:v>Cyclonic Tide</x:v>
      </x:c>
      <x:c r="D233" s="1" t="str">
        <x:f>'Habilidades'!F1859</x:f>
        <x:v>Especial</x:v>
      </x:c>
      <x:c r="E233" s="18" t="n">
        <x:f>'Habilidades'!G1859</x:f>
        <x:v>300</x:v>
      </x:c>
      <x:c r="F233" s="18" t="n">
        <x:f>'Habilidades'!H1859</x:f>
        <x:v>100</x:v>
      </x:c>
      <x:c r="G233" s="18" t="n">
        <x:f>'Habilidades'!I1859</x:f>
        <x:v>400</x:v>
      </x:c>
    </x:row>
    <x:row r="234" ht="22" customHeight="1">
      <x:c r="A234" s="17" t="n">
        <x:f>IF(B234="","",IF(B234=B233,A233,A233+1))</x:f>
        <x:v>47</x:v>
      </x:c>
      <x:c r="B234" s="1" t="str">
        <x:f>'Ranking'!C55</x:f>
        <x:v>Slowking</x:v>
      </x:c>
      <x:c r="C234" s="1" t="str">
        <x:f>'Habilidades'!D1860</x:f>
        <x:v>Psychic</x:v>
      </x:c>
      <x:c r="D234" s="1" t="str">
        <x:f>'Habilidades'!F1860</x:f>
        <x:v>Especial</x:v>
      </x:c>
      <x:c r="E234" s="18" t="n">
        <x:f>'Habilidades'!G1860</x:f>
        <x:v>90</x:v>
      </x:c>
      <x:c r="F234" s="18" t="n">
        <x:f>'Habilidades'!H1860</x:f>
        <x:v>100</x:v>
      </x:c>
      <x:c r="G234" s="18" t="n">
        <x:f>'Habilidades'!I1860</x:f>
        <x:v>190</x:v>
      </x:c>
    </x:row>
    <x:row r="235" ht="22" customHeight="1">
      <x:c r="A235" s="17" t="n">
        <x:f>IF(B235="","",IF(B235=B234,A234,A234+1))</x:f>
        <x:v>47</x:v>
      </x:c>
      <x:c r="B235" s="1" t="str">
        <x:f>'Ranking'!C55</x:f>
        <x:v>Slowking</x:v>
      </x:c>
      <x:c r="C235" s="1" t="str">
        <x:f>'Habilidades'!D1861</x:f>
        <x:v>Power Gem</x:v>
      </x:c>
      <x:c r="D235" s="1" t="str">
        <x:f>'Habilidades'!F1861</x:f>
        <x:v>Especial</x:v>
      </x:c>
      <x:c r="E235" s="18" t="n">
        <x:f>'Habilidades'!G1861</x:f>
        <x:v>80</x:v>
      </x:c>
      <x:c r="F235" s="18" t="n">
        <x:f>'Habilidades'!H1861</x:f>
        <x:v>100</x:v>
      </x:c>
      <x:c r="G235" s="18" t="n">
        <x:f>'Habilidades'!I1861</x:f>
        <x:v>180</x:v>
      </x:c>
    </x:row>
    <x:row r="236" ht="22" customHeight="1">
      <x:c r="A236" s="17" t="n">
        <x:f>IF(B236="","",IF(B236=B235,A235,A235+1))</x:f>
        <x:v>47</x:v>
      </x:c>
      <x:c r="B236" s="1" t="str">
        <x:f>'Ranking'!C55</x:f>
        <x:v>Slowking</x:v>
      </x:c>
      <x:c r="C236" s="1" t="str">
        <x:f>'Habilidades'!D1864</x:f>
        <x:v>Zen Headbutt</x:v>
      </x:c>
      <x:c r="D236" s="1" t="str">
        <x:f>'Habilidades'!F1864</x:f>
        <x:v>Física</x:v>
      </x:c>
      <x:c r="E236" s="18" t="n">
        <x:f>'Habilidades'!G1864</x:f>
        <x:v>80</x:v>
      </x:c>
      <x:c r="F236" s="18" t="n">
        <x:f>'Habilidades'!H1864</x:f>
        <x:v>75</x:v>
      </x:c>
      <x:c r="G236" s="18" t="n">
        <x:f>'Habilidades'!I1864</x:f>
        <x:v>155</x:v>
      </x:c>
    </x:row>
    <x:row r="237" ht="22" customHeight="1">
      <x:c r="A237" s="19" t="n">
        <x:f>IF(B237="","",IF(B237=B236,A236,A236+1))</x:f>
        <x:v>47</x:v>
      </x:c>
      <x:c r="B237" s="20" t="str">
        <x:f>'Ranking'!C55</x:f>
        <x:v>Slowking</x:v>
      </x:c>
      <x:c r="C237" s="20" t="str">
        <x:f>'Habilidades'!D1866</x:f>
        <x:v>Headbutt</x:v>
      </x:c>
      <x:c r="D237" s="20" t="str">
        <x:f>'Habilidades'!F1866</x:f>
        <x:v>Física</x:v>
      </x:c>
      <x:c r="E237" s="21" t="n">
        <x:f>'Habilidades'!G1866</x:f>
        <x:v>70</x:v>
      </x:c>
      <x:c r="F237" s="21" t="n">
        <x:f>'Habilidades'!H1866</x:f>
        <x:v>75</x:v>
      </x:c>
      <x:c r="G237" s="21" t="n">
        <x:f>'Habilidades'!I1866</x:f>
        <x:v>145</x:v>
      </x:c>
    </x:row>
    <x:row r="238" ht="22" customHeight="1">
      <x:c r="A238" s="17" t="n">
        <x:f>IF(B238="","",IF(B238=B237,A237,A237+1))</x:f>
        <x:v>48</x:v>
      </x:c>
      <x:c r="B238" s="1" t="str">
        <x:f>'Ranking'!C50</x:f>
        <x:v>Starmie</x:v>
      </x:c>
      <x:c r="C238" s="1" t="str">
        <x:f>'Habilidades'!D1151</x:f>
        <x:v>Cyclonic Tide</x:v>
      </x:c>
      <x:c r="D238" s="1" t="str">
        <x:f>'Habilidades'!F1151</x:f>
        <x:v>Especial</x:v>
      </x:c>
      <x:c r="E238" s="18" t="n">
        <x:f>'Habilidades'!G1151</x:f>
        <x:v>300</x:v>
      </x:c>
      <x:c r="F238" s="18" t="n">
        <x:f>'Habilidades'!H1151</x:f>
        <x:v>100</x:v>
      </x:c>
      <x:c r="G238" s="18" t="n">
        <x:f>'Habilidades'!I1151</x:f>
        <x:v>400</x:v>
      </x:c>
    </x:row>
    <x:row r="239" ht="22" customHeight="1">
      <x:c r="A239" s="17" t="n">
        <x:f>IF(B239="","",IF(B239=B238,A238,A238+1))</x:f>
        <x:v>48</x:v>
      </x:c>
      <x:c r="B239" s="1" t="str">
        <x:f>'Ranking'!C50</x:f>
        <x:v>Starmie</x:v>
      </x:c>
      <x:c r="C239" s="1" t="str">
        <x:f>'Habilidades'!D1152</x:f>
        <x:v>Hydro Pump</x:v>
      </x:c>
      <x:c r="D239" s="1" t="str">
        <x:f>'Habilidades'!F1152</x:f>
        <x:v>Especial</x:v>
      </x:c>
      <x:c r="E239" s="18" t="n">
        <x:f>'Habilidades'!G1152</x:f>
        <x:v>110</x:v>
      </x:c>
      <x:c r="F239" s="18" t="n">
        <x:f>'Habilidades'!H1152</x:f>
        <x:v>100</x:v>
      </x:c>
      <x:c r="G239" s="18" t="n">
        <x:f>'Habilidades'!I1152</x:f>
        <x:v>210</x:v>
      </x:c>
    </x:row>
    <x:row r="240" ht="22" customHeight="1">
      <x:c r="A240" s="17" t="n">
        <x:f>IF(B240="","",IF(B240=B239,A239,A239+1))</x:f>
        <x:v>48</x:v>
      </x:c>
      <x:c r="B240" s="1" t="str">
        <x:f>'Ranking'!C50</x:f>
        <x:v>Starmie</x:v>
      </x:c>
      <x:c r="C240" s="1" t="str">
        <x:f>'Habilidades'!D1153</x:f>
        <x:v>Swift</x:v>
      </x:c>
      <x:c r="D240" s="1" t="str">
        <x:f>'Habilidades'!F1153</x:f>
        <x:v>Especial</x:v>
      </x:c>
      <x:c r="E240" s="18" t="n">
        <x:f>'Habilidades'!G1153</x:f>
        <x:v>60</x:v>
      </x:c>
      <x:c r="F240" s="18" t="n">
        <x:f>'Habilidades'!H1153</x:f>
        <x:v>100</x:v>
      </x:c>
      <x:c r="G240" s="18" t="n">
        <x:f>'Habilidades'!I1153</x:f>
        <x:v>160</x:v>
      </x:c>
    </x:row>
    <x:row r="241" ht="22" customHeight="1">
      <x:c r="A241" s="17" t="n">
        <x:f>IF(B241="","",IF(B241=B240,A240,A240+1))</x:f>
        <x:v>48</x:v>
      </x:c>
      <x:c r="B241" s="1" t="str">
        <x:f>'Ranking'!C50</x:f>
        <x:v>Starmie</x:v>
      </x:c>
      <x:c r="C241" s="1" t="str">
        <x:f>'Habilidades'!D1154</x:f>
        <x:v>Water Gun</x:v>
      </x:c>
      <x:c r="D241" s="1" t="str">
        <x:f>'Habilidades'!F1154</x:f>
        <x:v>Especial</x:v>
      </x:c>
      <x:c r="E241" s="18" t="n">
        <x:f>'Habilidades'!G1154</x:f>
        <x:v>40</x:v>
      </x:c>
      <x:c r="F241" s="18" t="n">
        <x:f>'Habilidades'!H1154</x:f>
        <x:v>100</x:v>
      </x:c>
      <x:c r="G241" s="18" t="n">
        <x:f>'Habilidades'!I1154</x:f>
        <x:v>140</x:v>
      </x:c>
    </x:row>
    <x:row r="242" ht="22" customHeight="1">
      <x:c r="A242" s="19" t="n">
        <x:f>IF(B242="","",IF(B242=B241,A241,A241+1))</x:f>
        <x:v>48</x:v>
      </x:c>
      <x:c r="B242" s="20" t="str">
        <x:f>'Ranking'!C50</x:f>
        <x:v>Starmie</x:v>
      </x:c>
      <x:c r="C242" s="20" t="str">
        <x:f>'Habilidades'!D1155</x:f>
        <x:v>Rapid Spin</x:v>
      </x:c>
      <x:c r="D242" s="20" t="str">
        <x:f>'Habilidades'!F1155</x:f>
        <x:v>Física</x:v>
      </x:c>
      <x:c r="E242" s="21" t="n">
        <x:f>'Habilidades'!G1155</x:f>
        <x:v>20</x:v>
      </x:c>
      <x:c r="F242" s="21" t="n">
        <x:f>'Habilidades'!H1155</x:f>
        <x:v>75</x:v>
      </x:c>
      <x:c r="G242" s="21" t="n">
        <x:f>'Habilidades'!I1155</x:f>
        <x:v>95</x:v>
      </x:c>
    </x:row>
    <x:row r="243" ht="22" customHeight="1">
      <x:c r="A243" s="17" t="n">
        <x:f>IF(B243="","",IF(B243=B242,A242,A242+1))</x:f>
        <x:v>49</x:v>
      </x:c>
      <x:c r="B243" s="1" t="str">
        <x:f>'Ranking'!C54</x:f>
        <x:v>Sudowoodo</x:v>
      </x:c>
      <x:c r="C243" s="1" t="str">
        <x:f>'Habilidades'!D1742</x:f>
        <x:v>Crumbling Rain</x:v>
      </x:c>
      <x:c r="D243" s="1" t="str">
        <x:f>'Habilidades'!F1742</x:f>
        <x:v>Física</x:v>
      </x:c>
      <x:c r="E243" s="18" t="n">
        <x:f>'Habilidades'!G1742</x:f>
        <x:v>300</x:v>
      </x:c>
      <x:c r="F243" s="18" t="n">
        <x:f>'Habilidades'!H1742</x:f>
        <x:v>100</x:v>
      </x:c>
      <x:c r="G243" s="18" t="n">
        <x:f>'Habilidades'!I1742</x:f>
        <x:v>400</x:v>
      </x:c>
    </x:row>
    <x:row r="244" ht="22" customHeight="1">
      <x:c r="A244" s="17" t="n">
        <x:f>IF(B244="","",IF(B244=B243,A243,A243+1))</x:f>
        <x:v>49</x:v>
      </x:c>
      <x:c r="B244" s="1" t="str">
        <x:f>'Ranking'!C54</x:f>
        <x:v>Sudowoodo</x:v>
      </x:c>
      <x:c r="C244" s="1" t="str">
        <x:f>'Habilidades'!D1743</x:f>
        <x:v>Wood Hammer</x:v>
      </x:c>
      <x:c r="D244" s="1" t="str">
        <x:f>'Habilidades'!F1743</x:f>
        <x:v>Física</x:v>
      </x:c>
      <x:c r="E244" s="18" t="n">
        <x:f>'Habilidades'!G1743</x:f>
        <x:v>120</x:v>
      </x:c>
      <x:c r="F244" s="18" t="n">
        <x:f>'Habilidades'!H1743</x:f>
        <x:v>100</x:v>
      </x:c>
      <x:c r="G244" s="18" t="n">
        <x:f>'Habilidades'!I1743</x:f>
        <x:v>220</x:v>
      </x:c>
    </x:row>
    <x:row r="245" ht="22" customHeight="1">
      <x:c r="A245" s="17" t="n">
        <x:f>IF(B245="","",IF(B245=B244,A244,A244+1))</x:f>
        <x:v>49</x:v>
      </x:c>
      <x:c r="B245" s="1" t="str">
        <x:f>'Ranking'!C54</x:f>
        <x:v>Sudowoodo</x:v>
      </x:c>
      <x:c r="C245" s="1" t="str">
        <x:f>'Habilidades'!D1744</x:f>
        <x:v>Double-Edge</x:v>
      </x:c>
      <x:c r="D245" s="1" t="str">
        <x:f>'Habilidades'!F1744</x:f>
        <x:v>Física</x:v>
      </x:c>
      <x:c r="E245" s="18" t="n">
        <x:f>'Habilidades'!G1744</x:f>
        <x:v>120</x:v>
      </x:c>
      <x:c r="F245" s="18" t="n">
        <x:f>'Habilidades'!H1744</x:f>
        <x:v>100</x:v>
      </x:c>
      <x:c r="G245" s="18" t="n">
        <x:f>'Habilidades'!I1744</x:f>
        <x:v>220</x:v>
      </x:c>
    </x:row>
    <x:row r="246" ht="22" customHeight="1">
      <x:c r="A246" s="17" t="n">
        <x:f>IF(B246="","",IF(B246=B245,A245,A245+1))</x:f>
        <x:v>49</x:v>
      </x:c>
      <x:c r="B246" s="1" t="str">
        <x:f>'Ranking'!C54</x:f>
        <x:v>Sudowoodo</x:v>
      </x:c>
      <x:c r="C246" s="1" t="str">
        <x:f>'Habilidades'!D1745</x:f>
        <x:v>Stone Edge</x:v>
      </x:c>
      <x:c r="D246" s="1" t="str">
        <x:f>'Habilidades'!F1745</x:f>
        <x:v>Física</x:v>
      </x:c>
      <x:c r="E246" s="18" t="n">
        <x:f>'Habilidades'!G1745</x:f>
        <x:v>100</x:v>
      </x:c>
      <x:c r="F246" s="18" t="n">
        <x:f>'Habilidades'!H1745</x:f>
        <x:v>100</x:v>
      </x:c>
      <x:c r="G246" s="18" t="n">
        <x:f>'Habilidades'!I1745</x:f>
        <x:v>200</x:v>
      </x:c>
    </x:row>
    <x:row r="247" ht="22" customHeight="1">
      <x:c r="A247" s="19" t="n">
        <x:f>IF(B247="","",IF(B247=B246,A246,A246+1))</x:f>
        <x:v>49</x:v>
      </x:c>
      <x:c r="B247" s="20" t="str">
        <x:f>'Ranking'!C54</x:f>
        <x:v>Sudowoodo</x:v>
      </x:c>
      <x:c r="C247" s="20" t="str">
        <x:f>'Habilidades'!D1746</x:f>
        <x:v>Hammer Arm</x:v>
      </x:c>
      <x:c r="D247" s="20" t="str">
        <x:f>'Habilidades'!F1746</x:f>
        <x:v>Física</x:v>
      </x:c>
      <x:c r="E247" s="21" t="n">
        <x:f>'Habilidades'!G1746</x:f>
        <x:v>100</x:v>
      </x:c>
      <x:c r="F247" s="21" t="n">
        <x:f>'Habilidades'!H1746</x:f>
        <x:v>100</x:v>
      </x:c>
      <x:c r="G247" s="21" t="n">
        <x:f>'Habilidades'!I1746</x:f>
        <x:v>200</x:v>
      </x:c>
    </x:row>
    <x:row r="248" ht="22" customHeight="1">
      <x:c r="A248" s="17" t="n">
        <x:f>IF(B248="","",IF(B248=B247,A247,A247+1))</x:f>
        <x:v>50</x:v>
      </x:c>
      <x:c r="B248" s="1" t="str">
        <x:f>'Ranking'!C49</x:f>
        <x:v>Tangela</x:v>
      </x:c>
      <x:c r="C248" s="1" t="str">
        <x:f>'Habilidades'!D1082</x:f>
        <x:v>Petal Bloom</x:v>
      </x:c>
      <x:c r="D248" s="1" t="str">
        <x:f>'Habilidades'!F1082</x:f>
        <x:v>Especial</x:v>
      </x:c>
      <x:c r="E248" s="18" t="n">
        <x:f>'Habilidades'!G1082</x:f>
        <x:v>300</x:v>
      </x:c>
      <x:c r="F248" s="18" t="n">
        <x:f>'Habilidades'!H1082</x:f>
        <x:v>100</x:v>
      </x:c>
      <x:c r="G248" s="18" t="n">
        <x:f>'Habilidades'!I1082</x:f>
        <x:v>400</x:v>
      </x:c>
    </x:row>
    <x:row r="249" ht="22" customHeight="1">
      <x:c r="A249" s="17" t="n">
        <x:f>IF(B249="","",IF(B249=B248,A248,A248+1))</x:f>
        <x:v>50</x:v>
      </x:c>
      <x:c r="B249" s="1" t="str">
        <x:f>'Ranking'!C49</x:f>
        <x:v>Tangela</x:v>
      </x:c>
      <x:c r="C249" s="1" t="str">
        <x:f>'Habilidades'!D1083</x:f>
        <x:v>Power Whip</x:v>
      </x:c>
      <x:c r="D249" s="1" t="str">
        <x:f>'Habilidades'!F1083</x:f>
        <x:v>Física</x:v>
      </x:c>
      <x:c r="E249" s="18" t="n">
        <x:f>'Habilidades'!G1083</x:f>
        <x:v>120</x:v>
      </x:c>
      <x:c r="F249" s="18" t="n">
        <x:f>'Habilidades'!H1083</x:f>
        <x:v>55</x:v>
      </x:c>
      <x:c r="G249" s="18" t="n">
        <x:f>'Habilidades'!I1083</x:f>
        <x:v>175</x:v>
      </x:c>
    </x:row>
    <x:row r="250" ht="22" customHeight="1">
      <x:c r="A250" s="17" t="n">
        <x:f>IF(B250="","",IF(B250=B249,A249,A249+1))</x:f>
        <x:v>50</x:v>
      </x:c>
      <x:c r="B250" s="1" t="str">
        <x:f>'Ranking'!C49</x:f>
        <x:v>Tangela</x:v>
      </x:c>
      <x:c r="C250" s="1" t="str">
        <x:f>'Habilidades'!D1084</x:f>
        <x:v>Giga Drain</x:v>
      </x:c>
      <x:c r="D250" s="1" t="str">
        <x:f>'Habilidades'!F1084</x:f>
        <x:v>Especial</x:v>
      </x:c>
      <x:c r="E250" s="18" t="n">
        <x:f>'Habilidades'!G1084</x:f>
        <x:v>75</x:v>
      </x:c>
      <x:c r="F250" s="18" t="n">
        <x:f>'Habilidades'!H1084</x:f>
        <x:v>100</x:v>
      </x:c>
      <x:c r="G250" s="18" t="n">
        <x:f>'Habilidades'!I1084</x:f>
        <x:v>175</x:v>
      </x:c>
    </x:row>
    <x:row r="251" ht="22" customHeight="1">
      <x:c r="A251" s="17" t="n">
        <x:f>IF(B251="","",IF(B251=B250,A250,A250+1))</x:f>
        <x:v>50</x:v>
      </x:c>
      <x:c r="B251" s="1" t="str">
        <x:f>'Ranking'!C49</x:f>
        <x:v>Tangela</x:v>
      </x:c>
      <x:c r="C251" s="1" t="str">
        <x:f>'Habilidades'!D1087</x:f>
        <x:v>Slam</x:v>
      </x:c>
      <x:c r="D251" s="1" t="str">
        <x:f>'Habilidades'!F1087</x:f>
        <x:v>Física</x:v>
      </x:c>
      <x:c r="E251" s="18" t="n">
        <x:f>'Habilidades'!G1087</x:f>
        <x:v>80</x:v>
      </x:c>
      <x:c r="F251" s="18" t="n">
        <x:f>'Habilidades'!H1087</x:f>
        <x:v>55</x:v>
      </x:c>
      <x:c r="G251" s="18" t="n">
        <x:f>'Habilidades'!I1087</x:f>
        <x:v>135</x:v>
      </x:c>
    </x:row>
    <x:row r="252" ht="22" customHeight="1">
      <x:c r="A252" s="19" t="n">
        <x:f>IF(B252="","",IF(B252=B251,A251,A251+1))</x:f>
        <x:v>50</x:v>
      </x:c>
      <x:c r="B252" s="20" t="str">
        <x:f>'Ranking'!C49</x:f>
        <x:v>Tangela</x:v>
      </x:c>
      <x:c r="C252" s="20" t="str">
        <x:f>'Habilidades'!D1088</x:f>
        <x:v>Knock Off</x:v>
      </x:c>
      <x:c r="D252" s="20" t="str">
        <x:f>'Habilidades'!F1088</x:f>
        <x:v>Física</x:v>
      </x:c>
      <x:c r="E252" s="21" t="n">
        <x:f>'Habilidades'!G1088</x:f>
        <x:v>65</x:v>
      </x:c>
      <x:c r="F252" s="21" t="n">
        <x:f>'Habilidades'!H1088</x:f>
        <x:v>55</x:v>
      </x:c>
      <x:c r="G252" s="21" t="n">
        <x:f>'Habilidades'!I1088</x:f>
        <x:v>120</x:v>
      </x:c>
    </x:row>
    <x:row r="253" ht="22" customHeight="1">
      <x:c r="A253" s="17" t="n">
        <x:f>IF(B253="","",IF(B253=B252,A252,A252+1))</x:f>
        <x:v>51</x:v>
      </x:c>
      <x:c r="B253" s="1" t="str">
        <x:f>'Ranking'!C46</x:f>
        <x:v>Venusaur</x:v>
      </x:c>
      <x:c r="C253" s="1" t="str">
        <x:f>'Habilidades'!D23</x:f>
        <x:v>Petal Bloom</x:v>
      </x:c>
      <x:c r="D253" s="1" t="str">
        <x:f>'Habilidades'!F23</x:f>
        <x:v>Especial</x:v>
      </x:c>
      <x:c r="E253" s="18" t="n">
        <x:f>'Habilidades'!G23</x:f>
        <x:v>300</x:v>
      </x:c>
      <x:c r="F253" s="18" t="n">
        <x:f>'Habilidades'!H23</x:f>
        <x:v>100</x:v>
      </x:c>
      <x:c r="G253" s="18" t="n">
        <x:f>'Habilidades'!I23</x:f>
        <x:v>400</x:v>
      </x:c>
    </x:row>
    <x:row r="254" ht="22" customHeight="1">
      <x:c r="A254" s="17" t="n">
        <x:f>IF(B254="","",IF(B254=B253,A253,A253+1))</x:f>
        <x:v>51</x:v>
      </x:c>
      <x:c r="B254" s="1" t="str">
        <x:f>'Ranking'!C46</x:f>
        <x:v>Venusaur</x:v>
      </x:c>
      <x:c r="C254" s="1" t="str">
        <x:f>'Habilidades'!D24</x:f>
        <x:v>Petal Dance</x:v>
      </x:c>
      <x:c r="D254" s="1" t="str">
        <x:f>'Habilidades'!F24</x:f>
        <x:v>Especial</x:v>
      </x:c>
      <x:c r="E254" s="18" t="n">
        <x:f>'Habilidades'!G24</x:f>
        <x:v>120</x:v>
      </x:c>
      <x:c r="F254" s="18" t="n">
        <x:f>'Habilidades'!H24</x:f>
        <x:v>100</x:v>
      </x:c>
      <x:c r="G254" s="18" t="n">
        <x:f>'Habilidades'!I24</x:f>
        <x:v>220</x:v>
      </x:c>
    </x:row>
    <x:row r="255" ht="22" customHeight="1">
      <x:c r="A255" s="17" t="n">
        <x:f>IF(B255="","",IF(B255=B254,A254,A254+1))</x:f>
        <x:v>51</x:v>
      </x:c>
      <x:c r="B255" s="1" t="str">
        <x:f>'Ranking'!C46</x:f>
        <x:v>Venusaur</x:v>
      </x:c>
      <x:c r="C255" s="1" t="str">
        <x:f>'Habilidades'!D25</x:f>
        <x:v>Solar Beam</x:v>
      </x:c>
      <x:c r="D255" s="1" t="str">
        <x:f>'Habilidades'!F25</x:f>
        <x:v>Especial</x:v>
      </x:c>
      <x:c r="E255" s="18" t="n">
        <x:f>'Habilidades'!G25</x:f>
        <x:v>120</x:v>
      </x:c>
      <x:c r="F255" s="18" t="n">
        <x:f>'Habilidades'!H25</x:f>
        <x:v>100</x:v>
      </x:c>
      <x:c r="G255" s="18" t="n">
        <x:f>'Habilidades'!I25</x:f>
        <x:v>220</x:v>
      </x:c>
    </x:row>
    <x:row r="256" ht="22" customHeight="1">
      <x:c r="A256" s="17" t="n">
        <x:f>IF(B256="","",IF(B256=B255,A255,A255+1))</x:f>
        <x:v>51</x:v>
      </x:c>
      <x:c r="B256" s="1" t="str">
        <x:f>'Ranking'!C46</x:f>
        <x:v>Venusaur</x:v>
      </x:c>
      <x:c r="C256" s="1" t="str">
        <x:f>'Habilidades'!D26</x:f>
        <x:v>Double-Edge</x:v>
      </x:c>
      <x:c r="D256" s="1" t="str">
        <x:f>'Habilidades'!F26</x:f>
        <x:v>Física</x:v>
      </x:c>
      <x:c r="E256" s="18" t="n">
        <x:f>'Habilidades'!G26</x:f>
        <x:v>120</x:v>
      </x:c>
      <x:c r="F256" s="18" t="n">
        <x:f>'Habilidades'!H26</x:f>
        <x:v>82</x:v>
      </x:c>
      <x:c r="G256" s="18" t="n">
        <x:f>'Habilidades'!I26</x:f>
        <x:v>202</x:v>
      </x:c>
    </x:row>
    <x:row r="257" ht="22" customHeight="1">
      <x:c r="A257" s="19" t="n">
        <x:f>IF(B257="","",IF(B257=B256,A256,A256+1))</x:f>
        <x:v>51</x:v>
      </x:c>
      <x:c r="B257" s="20" t="str">
        <x:f>'Ranking'!C46</x:f>
        <x:v>Venusaur</x:v>
      </x:c>
      <x:c r="C257" s="20" t="str">
        <x:f>'Habilidades'!D27</x:f>
        <x:v>Take Down</x:v>
      </x:c>
      <x:c r="D257" s="20" t="str">
        <x:f>'Habilidades'!F27</x:f>
        <x:v>Física</x:v>
      </x:c>
      <x:c r="E257" s="21" t="n">
        <x:f>'Habilidades'!G27</x:f>
        <x:v>90</x:v>
      </x:c>
      <x:c r="F257" s="21" t="n">
        <x:f>'Habilidades'!H27</x:f>
        <x:v>82</x:v>
      </x:c>
      <x:c r="G257" s="21" t="n">
        <x:f>'Habilidades'!I27</x:f>
        <x:v>172</x:v>
      </x:c>
    </x:row>
    <x:row r="258" ht="22" customHeight="1">
      <x:c r="A258" s="17" t="n">
        <x:f>IF(B258="","",IF(B258=B257,A257,A257+1))</x:f>
        <x:v>52</x:v>
      </x:c>
      <x:c r="B258" s="1" t="str">
        <x:f>'Ranking'!C45</x:f>
        <x:v>Victreebel</x:v>
      </x:c>
      <x:c r="C258" s="1" t="str">
        <x:f>'Habilidades'!D624</x:f>
        <x:v>Petal Bloom</x:v>
      </x:c>
      <x:c r="D258" s="1" t="str">
        <x:f>'Habilidades'!F624</x:f>
        <x:v>Especial</x:v>
      </x:c>
      <x:c r="E258" s="18" t="n">
        <x:f>'Habilidades'!G624</x:f>
        <x:v>300</x:v>
      </x:c>
      <x:c r="F258" s="18" t="n">
        <x:f>'Habilidades'!H624</x:f>
        <x:v>100</x:v>
      </x:c>
      <x:c r="G258" s="18" t="n">
        <x:f>'Habilidades'!I624</x:f>
        <x:v>400</x:v>
      </x:c>
    </x:row>
    <x:row r="259" ht="22" customHeight="1">
      <x:c r="A259" s="17" t="n">
        <x:f>IF(B259="","",IF(B259=B258,A258,A258+1))</x:f>
        <x:v>52</x:v>
      </x:c>
      <x:c r="B259" s="1" t="str">
        <x:f>'Ranking'!C45</x:f>
        <x:v>Victreebel</x:v>
      </x:c>
      <x:c r="C259" s="1" t="str">
        <x:f>'Habilidades'!D625</x:f>
        <x:v>Leaf Storm</x:v>
      </x:c>
      <x:c r="D259" s="1" t="str">
        <x:f>'Habilidades'!F625</x:f>
        <x:v>Especial</x:v>
      </x:c>
      <x:c r="E259" s="18" t="n">
        <x:f>'Habilidades'!G625</x:f>
        <x:v>130</x:v>
      </x:c>
      <x:c r="F259" s="18" t="n">
        <x:f>'Habilidades'!H625</x:f>
        <x:v>100</x:v>
      </x:c>
      <x:c r="G259" s="18" t="n">
        <x:f>'Habilidades'!I625</x:f>
        <x:v>230</x:v>
      </x:c>
    </x:row>
    <x:row r="260" ht="22" customHeight="1">
      <x:c r="A260" s="17" t="n">
        <x:f>IF(B260="","",IF(B260=B259,A259,A259+1))</x:f>
        <x:v>52</x:v>
      </x:c>
      <x:c r="B260" s="1" t="str">
        <x:f>'Ranking'!C45</x:f>
        <x:v>Victreebel</x:v>
      </x:c>
      <x:c r="C260" s="1" t="str">
        <x:f>'Habilidades'!D626</x:f>
        <x:v>Leaf Blade</x:v>
      </x:c>
      <x:c r="D260" s="1" t="str">
        <x:f>'Habilidades'!F626</x:f>
        <x:v>Física</x:v>
      </x:c>
      <x:c r="E260" s="18" t="n">
        <x:f>'Habilidades'!G626</x:f>
        <x:v>90</x:v>
      </x:c>
      <x:c r="F260" s="18" t="n">
        <x:f>'Habilidades'!H626</x:f>
        <x:v>105</x:v>
      </x:c>
      <x:c r="G260" s="18" t="n">
        <x:f>'Habilidades'!I626</x:f>
        <x:v>195</x:v>
      </x:c>
    </x:row>
    <x:row r="261" ht="22" customHeight="1">
      <x:c r="A261" s="17" t="n">
        <x:f>IF(B261="","",IF(B261=B260,A260,A260+1))</x:f>
        <x:v>52</x:v>
      </x:c>
      <x:c r="B261" s="1" t="str">
        <x:f>'Ranking'!C45</x:f>
        <x:v>Victreebel</x:v>
      </x:c>
      <x:c r="C261" s="1" t="str">
        <x:f>'Habilidades'!D627</x:f>
        <x:v>Leaf Tornado</x:v>
      </x:c>
      <x:c r="D261" s="1" t="str">
        <x:f>'Habilidades'!F627</x:f>
        <x:v>Especial</x:v>
      </x:c>
      <x:c r="E261" s="18" t="n">
        <x:f>'Habilidades'!G627</x:f>
        <x:v>65</x:v>
      </x:c>
      <x:c r="F261" s="18" t="n">
        <x:f>'Habilidades'!H627</x:f>
        <x:v>100</x:v>
      </x:c>
      <x:c r="G261" s="18" t="n">
        <x:f>'Habilidades'!I627</x:f>
        <x:v>165</x:v>
      </x:c>
    </x:row>
    <x:row r="262" ht="22" customHeight="1">
      <x:c r="A262" s="19" t="n">
        <x:f>IF(B262="","",IF(B262=B261,A261,A261+1))</x:f>
        <x:v>52</x:v>
      </x:c>
      <x:c r="B262" s="20" t="str">
        <x:f>'Ranking'!C45</x:f>
        <x:v>Victreebel</x:v>
      </x:c>
      <x:c r="C262" s="20" t="str">
        <x:f>'Habilidades'!D628</x:f>
        <x:v>Razor Leaf</x:v>
      </x:c>
      <x:c r="D262" s="20" t="str">
        <x:f>'Habilidades'!F628</x:f>
        <x:v>Física</x:v>
      </x:c>
      <x:c r="E262" s="21" t="n">
        <x:f>'Habilidades'!G628</x:f>
        <x:v>55</x:v>
      </x:c>
      <x:c r="F262" s="21" t="n">
        <x:f>'Habilidades'!H628</x:f>
        <x:v>105</x:v>
      </x:c>
      <x:c r="G262" s="21" t="n">
        <x:f>'Habilidades'!I628</x:f>
        <x:v>160</x:v>
      </x:c>
    </x:row>
    <x:row r="263" ht="22" customHeight="1">
      <x:c r="A263" s="17" t="n">
        <x:f>IF(B263="","",IF(B263=B262,A262,A262+1))</x:f>
        <x:v>53</x:v>
      </x:c>
      <x:c r="B263" s="1" t="str">
        <x:f>'Ranking'!C61</x:f>
        <x:v>Articuno</x:v>
      </x:c>
      <x:c r="C263" s="1" t="str">
        <x:f>'Habilidades'!D1378</x:f>
        <x:v>Ice Time</x:v>
      </x:c>
      <x:c r="D263" s="1" t="str">
        <x:f>'Habilidades'!F1378</x:f>
        <x:v>Especial</x:v>
      </x:c>
      <x:c r="E263" s="18" t="n">
        <x:f>'Habilidades'!G1378</x:f>
        <x:v>300</x:v>
      </x:c>
      <x:c r="F263" s="18" t="n">
        <x:f>'Habilidades'!H1378</x:f>
        <x:v>95</x:v>
      </x:c>
      <x:c r="G263" s="18" t="n">
        <x:f>'Habilidades'!I1378</x:f>
        <x:v>395</x:v>
      </x:c>
    </x:row>
    <x:row r="264" ht="22" customHeight="1">
      <x:c r="A264" s="17" t="n">
        <x:f>IF(B264="","",IF(B264=B263,A263,A263+1))</x:f>
        <x:v>53</x:v>
      </x:c>
      <x:c r="B264" s="1" t="str">
        <x:f>'Ranking'!C61</x:f>
        <x:v>Articuno</x:v>
      </x:c>
      <x:c r="C264" s="1" t="str">
        <x:f>'Habilidades'!D1379</x:f>
        <x:v>Massive Hurricane</x:v>
      </x:c>
      <x:c r="D264" s="1" t="str">
        <x:f>'Habilidades'!F1379</x:f>
        <x:v>Física</x:v>
      </x:c>
      <x:c r="E264" s="18" t="n">
        <x:f>'Habilidades'!G1379</x:f>
        <x:v>300</x:v>
      </x:c>
      <x:c r="F264" s="18" t="n">
        <x:f>'Habilidades'!H1379</x:f>
        <x:v>85</x:v>
      </x:c>
      <x:c r="G264" s="18" t="n">
        <x:f>'Habilidades'!I1379</x:f>
        <x:v>385</x:v>
      </x:c>
    </x:row>
    <x:row r="265" ht="22" customHeight="1">
      <x:c r="A265" s="17" t="n">
        <x:f>IF(B265="","",IF(B265=B264,A264,A264+1))</x:f>
        <x:v>53</x:v>
      </x:c>
      <x:c r="B265" s="1" t="str">
        <x:f>'Ranking'!C61</x:f>
        <x:v>Articuno</x:v>
      </x:c>
      <x:c r="C265" s="1" t="str">
        <x:f>'Habilidades'!D1380</x:f>
        <x:v>Hurricane</x:v>
      </x:c>
      <x:c r="D265" s="1" t="str">
        <x:f>'Habilidades'!F1380</x:f>
        <x:v>Especial</x:v>
      </x:c>
      <x:c r="E265" s="18" t="n">
        <x:f>'Habilidades'!G1380</x:f>
        <x:v>110</x:v>
      </x:c>
      <x:c r="F265" s="18" t="n">
        <x:f>'Habilidades'!H1380</x:f>
        <x:v>95</x:v>
      </x:c>
      <x:c r="G265" s="18" t="n">
        <x:f>'Habilidades'!I1380</x:f>
        <x:v>205</x:v>
      </x:c>
    </x:row>
    <x:row r="266" ht="22" customHeight="1">
      <x:c r="A266" s="17" t="n">
        <x:f>IF(B266="","",IF(B266=B265,A265,A265+1))</x:f>
        <x:v>53</x:v>
      </x:c>
      <x:c r="B266" s="1" t="str">
        <x:f>'Ranking'!C61</x:f>
        <x:v>Articuno</x:v>
      </x:c>
      <x:c r="C266" s="1" t="str">
        <x:f>'Habilidades'!D1381</x:f>
        <x:v>Blizzard</x:v>
      </x:c>
      <x:c r="D266" s="1" t="str">
        <x:f>'Habilidades'!F1381</x:f>
        <x:v>Especial</x:v>
      </x:c>
      <x:c r="E266" s="18" t="n">
        <x:f>'Habilidades'!G1381</x:f>
        <x:v>110</x:v>
      </x:c>
      <x:c r="F266" s="18" t="n">
        <x:f>'Habilidades'!H1381</x:f>
        <x:v>95</x:v>
      </x:c>
      <x:c r="G266" s="18" t="n">
        <x:f>'Habilidades'!I1381</x:f>
        <x:v>205</x:v>
      </x:c>
    </x:row>
    <x:row r="267" ht="22" customHeight="1">
      <x:c r="A267" s="19" t="n">
        <x:f>IF(B267="","",IF(B267=B266,A266,A266+1))</x:f>
        <x:v>53</x:v>
      </x:c>
      <x:c r="B267" s="20" t="str">
        <x:f>'Ranking'!C61</x:f>
        <x:v>Articuno</x:v>
      </x:c>
      <x:c r="C267" s="20" t="str">
        <x:f>'Habilidades'!D1382</x:f>
        <x:v>Ice Beam</x:v>
      </x:c>
      <x:c r="D267" s="20" t="str">
        <x:f>'Habilidades'!F1382</x:f>
        <x:v>Especial</x:v>
      </x:c>
      <x:c r="E267" s="21" t="n">
        <x:f>'Habilidades'!G1382</x:f>
        <x:v>90</x:v>
      </x:c>
      <x:c r="F267" s="21" t="n">
        <x:f>'Habilidades'!H1382</x:f>
        <x:v>95</x:v>
      </x:c>
      <x:c r="G267" s="21" t="n">
        <x:f>'Habilidades'!I1382</x:f>
        <x:v>185</x:v>
      </x:c>
    </x:row>
    <x:row r="268" ht="22" customHeight="1">
      <x:c r="A268" s="17" t="n">
        <x:f>IF(B268="","",IF(B268=B267,A267,A267+1))</x:f>
        <x:v>54</x:v>
      </x:c>
      <x:c r="B268" s="1" t="str">
        <x:f>'Ranking'!C60</x:f>
        <x:v>Electabuzz</x:v>
      </x:c>
      <x:c r="C268" s="1" t="str">
        <x:f>'Habilidades'!D1199</x:f>
        <x:v>Static Overload</x:v>
      </x:c>
      <x:c r="D268" s="1" t="str">
        <x:f>'Habilidades'!F1199</x:f>
        <x:v>Especial</x:v>
      </x:c>
      <x:c r="E268" s="18" t="n">
        <x:f>'Habilidades'!G1199</x:f>
        <x:v>300</x:v>
      </x:c>
      <x:c r="F268" s="18" t="n">
        <x:f>'Habilidades'!H1199</x:f>
        <x:v>95</x:v>
      </x:c>
      <x:c r="G268" s="18" t="n">
        <x:f>'Habilidades'!I1199</x:f>
        <x:v>395</x:v>
      </x:c>
    </x:row>
    <x:row r="269" ht="22" customHeight="1">
      <x:c r="A269" s="17" t="n">
        <x:f>IF(B269="","",IF(B269=B268,A268,A268+1))</x:f>
        <x:v>54</x:v>
      </x:c>
      <x:c r="B269" s="1" t="str">
        <x:f>'Ranking'!C60</x:f>
        <x:v>Electabuzz</x:v>
      </x:c>
      <x:c r="C269" s="1" t="str">
        <x:f>'Habilidades'!D1200</x:f>
        <x:v>Thunder</x:v>
      </x:c>
      <x:c r="D269" s="1" t="str">
        <x:f>'Habilidades'!F1200</x:f>
        <x:v>Especial</x:v>
      </x:c>
      <x:c r="E269" s="18" t="n">
        <x:f>'Habilidades'!G1200</x:f>
        <x:v>110</x:v>
      </x:c>
      <x:c r="F269" s="18" t="n">
        <x:f>'Habilidades'!H1200</x:f>
        <x:v>95</x:v>
      </x:c>
      <x:c r="G269" s="18" t="n">
        <x:f>'Habilidades'!I1200</x:f>
        <x:v>205</x:v>
      </x:c>
    </x:row>
    <x:row r="270" ht="22" customHeight="1">
      <x:c r="A270" s="17" t="n">
        <x:f>IF(B270="","",IF(B270=B269,A269,A269+1))</x:f>
        <x:v>54</x:v>
      </x:c>
      <x:c r="B270" s="1" t="str">
        <x:f>'Ranking'!C60</x:f>
        <x:v>Electabuzz</x:v>
      </x:c>
      <x:c r="C270" s="1" t="str">
        <x:f>'Habilidades'!D1201</x:f>
        <x:v>Thunderbolt</x:v>
      </x:c>
      <x:c r="D270" s="1" t="str">
        <x:f>'Habilidades'!F1201</x:f>
        <x:v>Especial</x:v>
      </x:c>
      <x:c r="E270" s="18" t="n">
        <x:f>'Habilidades'!G1201</x:f>
        <x:v>90</x:v>
      </x:c>
      <x:c r="F270" s="18" t="n">
        <x:f>'Habilidades'!H1201</x:f>
        <x:v>95</x:v>
      </x:c>
      <x:c r="G270" s="18" t="n">
        <x:f>'Habilidades'!I1201</x:f>
        <x:v>185</x:v>
      </x:c>
    </x:row>
    <x:row r="271" ht="22" customHeight="1">
      <x:c r="A271" s="17" t="n">
        <x:f>IF(B271="","",IF(B271=B270,A270,A270+1))</x:f>
        <x:v>54</x:v>
      </x:c>
      <x:c r="B271" s="1" t="str">
        <x:f>'Ranking'!C60</x:f>
        <x:v>Electabuzz</x:v>
      </x:c>
      <x:c r="C271" s="1" t="str">
        <x:f>'Habilidades'!D1202</x:f>
        <x:v>Discharge</x:v>
      </x:c>
      <x:c r="D271" s="1" t="str">
        <x:f>'Habilidades'!F1202</x:f>
        <x:v>Especial</x:v>
      </x:c>
      <x:c r="E271" s="18" t="n">
        <x:f>'Habilidades'!G1202</x:f>
        <x:v>80</x:v>
      </x:c>
      <x:c r="F271" s="18" t="n">
        <x:f>'Habilidades'!H1202</x:f>
        <x:v>95</x:v>
      </x:c>
      <x:c r="G271" s="18" t="n">
        <x:f>'Habilidades'!I1202</x:f>
        <x:v>175</x:v>
      </x:c>
    </x:row>
    <x:row r="272" ht="22" customHeight="1">
      <x:c r="A272" s="19" t="n">
        <x:f>IF(B272="","",IF(B272=B271,A271,A271+1))</x:f>
        <x:v>54</x:v>
      </x:c>
      <x:c r="B272" s="20" t="str">
        <x:f>'Ranking'!C60</x:f>
        <x:v>Electabuzz</x:v>
      </x:c>
      <x:c r="C272" s="20" t="str">
        <x:f>'Habilidades'!D1203</x:f>
        <x:v>Thunder Punch</x:v>
      </x:c>
      <x:c r="D272" s="20" t="str">
        <x:f>'Habilidades'!F1203</x:f>
        <x:v>Física</x:v>
      </x:c>
      <x:c r="E272" s="21" t="n">
        <x:f>'Habilidades'!G1203</x:f>
        <x:v>75</x:v>
      </x:c>
      <x:c r="F272" s="21" t="n">
        <x:f>'Habilidades'!H1203</x:f>
        <x:v>83</x:v>
      </x:c>
      <x:c r="G272" s="21" t="n">
        <x:f>'Habilidades'!I1203</x:f>
        <x:v>158</x:v>
      </x:c>
    </x:row>
    <x:row r="273" ht="22" customHeight="1">
      <x:c r="A273" s="17" t="n">
        <x:f>IF(B273="","",IF(B273=B272,A272,A272+1))</x:f>
        <x:v>55</x:v>
      </x:c>
      <x:c r="B273" s="1" t="str">
        <x:f>'Ranking'!C57</x:f>
        <x:v>Flareon</x:v>
      </x:c>
      <x:c r="C273" s="1" t="str">
        <x:f>'Habilidades'!D1296</x:f>
        <x:v>Ignition Point</x:v>
      </x:c>
      <x:c r="D273" s="1" t="str">
        <x:f>'Habilidades'!F1296</x:f>
        <x:v>Especial</x:v>
      </x:c>
      <x:c r="E273" s="18" t="n">
        <x:f>'Habilidades'!G1296</x:f>
        <x:v>300</x:v>
      </x:c>
      <x:c r="F273" s="18" t="n">
        <x:f>'Habilidades'!H1296</x:f>
        <x:v>95</x:v>
      </x:c>
      <x:c r="G273" s="18" t="n">
        <x:f>'Habilidades'!I1296</x:f>
        <x:v>395</x:v>
      </x:c>
    </x:row>
    <x:row r="274" ht="22" customHeight="1">
      <x:c r="A274" s="17" t="n">
        <x:f>IF(B274="","",IF(B274=B273,A273,A273+1))</x:f>
        <x:v>55</x:v>
      </x:c>
      <x:c r="B274" s="1" t="str">
        <x:f>'Ranking'!C57</x:f>
        <x:v>Flareon</x:v>
      </x:c>
      <x:c r="C274" s="1" t="str">
        <x:f>'Habilidades'!D1297</x:f>
        <x:v>Last Resort</x:v>
      </x:c>
      <x:c r="D274" s="1" t="str">
        <x:f>'Habilidades'!F1297</x:f>
        <x:v>Física</x:v>
      </x:c>
      <x:c r="E274" s="18" t="n">
        <x:f>'Habilidades'!G1297</x:f>
        <x:v>140</x:v>
      </x:c>
      <x:c r="F274" s="18" t="n">
        <x:f>'Habilidades'!H1297</x:f>
        <x:v>130</x:v>
      </x:c>
      <x:c r="G274" s="18" t="n">
        <x:f>'Habilidades'!I1297</x:f>
        <x:v>270</x:v>
      </x:c>
    </x:row>
    <x:row r="275" ht="22" customHeight="1">
      <x:c r="A275" s="17" t="n">
        <x:f>IF(B275="","",IF(B275=B274,A274,A274+1))</x:f>
        <x:v>55</x:v>
      </x:c>
      <x:c r="B275" s="1" t="str">
        <x:f>'Ranking'!C57</x:f>
        <x:v>Flareon</x:v>
      </x:c>
      <x:c r="C275" s="1" t="str">
        <x:f>'Habilidades'!D1298</x:f>
        <x:v>Flare Blitz</x:v>
      </x:c>
      <x:c r="D275" s="1" t="str">
        <x:f>'Habilidades'!F1298</x:f>
        <x:v>Física</x:v>
      </x:c>
      <x:c r="E275" s="18" t="n">
        <x:f>'Habilidades'!G1298</x:f>
        <x:v>120</x:v>
      </x:c>
      <x:c r="F275" s="18" t="n">
        <x:f>'Habilidades'!H1298</x:f>
        <x:v>130</x:v>
      </x:c>
      <x:c r="G275" s="18" t="n">
        <x:f>'Habilidades'!I1298</x:f>
        <x:v>250</x:v>
      </x:c>
    </x:row>
    <x:row r="276" ht="22" customHeight="1">
      <x:c r="A276" s="17" t="n">
        <x:f>IF(B276="","",IF(B276=B275,A275,A275+1))</x:f>
        <x:v>55</x:v>
      </x:c>
      <x:c r="B276" s="1" t="str">
        <x:f>'Ranking'!C57</x:f>
        <x:v>Flareon</x:v>
      </x:c>
      <x:c r="C276" s="1" t="str">
        <x:f>'Habilidades'!D1299</x:f>
        <x:v>Fire Fang</x:v>
      </x:c>
      <x:c r="D276" s="1" t="str">
        <x:f>'Habilidades'!F1299</x:f>
        <x:v>Física</x:v>
      </x:c>
      <x:c r="E276" s="18" t="n">
        <x:f>'Habilidades'!G1299</x:f>
        <x:v>65</x:v>
      </x:c>
      <x:c r="F276" s="18" t="n">
        <x:f>'Habilidades'!H1299</x:f>
        <x:v>130</x:v>
      </x:c>
      <x:c r="G276" s="18" t="n">
        <x:f>'Habilidades'!I1299</x:f>
        <x:v>195</x:v>
      </x:c>
    </x:row>
    <x:row r="277" ht="22" customHeight="1">
      <x:c r="A277" s="19" t="n">
        <x:f>IF(B277="","",IF(B277=B276,A276,A276+1))</x:f>
        <x:v>55</x:v>
      </x:c>
      <x:c r="B277" s="20" t="str">
        <x:f>'Ranking'!C57</x:f>
        <x:v>Flareon</x:v>
      </x:c>
      <x:c r="C277" s="20" t="str">
        <x:f>'Habilidades'!D1302</x:f>
        <x:v>Lava Plume</x:v>
      </x:c>
      <x:c r="D277" s="20" t="str">
        <x:f>'Habilidades'!F1302</x:f>
        <x:v>Especial</x:v>
      </x:c>
      <x:c r="E277" s="21" t="n">
        <x:f>'Habilidades'!G1302</x:f>
        <x:v>80</x:v>
      </x:c>
      <x:c r="F277" s="21" t="n">
        <x:f>'Habilidades'!H1302</x:f>
        <x:v>95</x:v>
      </x:c>
      <x:c r="G277" s="21" t="n">
        <x:f>'Habilidades'!I1302</x:f>
        <x:v>175</x:v>
      </x:c>
    </x:row>
    <x:row r="278" ht="22" customHeight="1">
      <x:c r="A278" s="17" t="n">
        <x:f>IF(B278="","",IF(B278=B277,A277,A277+1))</x:f>
        <x:v>56</x:v>
      </x:c>
      <x:c r="B278" s="1" t="str">
        <x:f>'Ranking'!C59</x:f>
        <x:v>Golduck</x:v>
      </x:c>
      <x:c r="C278" s="1" t="str">
        <x:f>'Habilidades'!D488</x:f>
        <x:v>Cyclonic Tide</x:v>
      </x:c>
      <x:c r="D278" s="1" t="str">
        <x:f>'Habilidades'!F488</x:f>
        <x:v>Especial</x:v>
      </x:c>
      <x:c r="E278" s="18" t="n">
        <x:f>'Habilidades'!G488</x:f>
        <x:v>300</x:v>
      </x:c>
      <x:c r="F278" s="18" t="n">
        <x:f>'Habilidades'!H488</x:f>
        <x:v>95</x:v>
      </x:c>
      <x:c r="G278" s="18" t="n">
        <x:f>'Habilidades'!I488</x:f>
        <x:v>395</x:v>
      </x:c>
    </x:row>
    <x:row r="279" ht="22" customHeight="1">
      <x:c r="A279" s="17" t="n">
        <x:f>IF(B279="","",IF(B279=B278,A278,A278+1))</x:f>
        <x:v>56</x:v>
      </x:c>
      <x:c r="B279" s="1" t="str">
        <x:f>'Ranking'!C59</x:f>
        <x:v>Golduck</x:v>
      </x:c>
      <x:c r="C279" s="1" t="str">
        <x:f>'Habilidades'!D489</x:f>
        <x:v>Hydro Pump</x:v>
      </x:c>
      <x:c r="D279" s="1" t="str">
        <x:f>'Habilidades'!F489</x:f>
        <x:v>Especial</x:v>
      </x:c>
      <x:c r="E279" s="18" t="n">
        <x:f>'Habilidades'!G489</x:f>
        <x:v>110</x:v>
      </x:c>
      <x:c r="F279" s="18" t="n">
        <x:f>'Habilidades'!H489</x:f>
        <x:v>95</x:v>
      </x:c>
      <x:c r="G279" s="18" t="n">
        <x:f>'Habilidades'!I489</x:f>
        <x:v>205</x:v>
      </x:c>
    </x:row>
    <x:row r="280" ht="22" customHeight="1">
      <x:c r="A280" s="17" t="n">
        <x:f>IF(B280="","",IF(B280=B279,A279,A279+1))</x:f>
        <x:v>56</x:v>
      </x:c>
      <x:c r="B280" s="1" t="str">
        <x:f>'Ranking'!C59</x:f>
        <x:v>Golduck</x:v>
      </x:c>
      <x:c r="C280" s="1" t="str">
        <x:f>'Habilidades'!D490</x:f>
        <x:v>Aqua Tail</x:v>
      </x:c>
      <x:c r="D280" s="1" t="str">
        <x:f>'Habilidades'!F490</x:f>
        <x:v>Física</x:v>
      </x:c>
      <x:c r="E280" s="18" t="n">
        <x:f>'Habilidades'!G490</x:f>
        <x:v>90</x:v>
      </x:c>
      <x:c r="F280" s="18" t="n">
        <x:f>'Habilidades'!H490</x:f>
        <x:v>82</x:v>
      </x:c>
      <x:c r="G280" s="18" t="n">
        <x:f>'Habilidades'!I490</x:f>
        <x:v>172</x:v>
      </x:c>
    </x:row>
    <x:row r="281" ht="22" customHeight="1">
      <x:c r="A281" s="17" t="n">
        <x:f>IF(B281="","",IF(B281=B280,A280,A280+1))</x:f>
        <x:v>56</x:v>
      </x:c>
      <x:c r="B281" s="1" t="str">
        <x:f>'Ranking'!C59</x:f>
        <x:v>Golduck</x:v>
      </x:c>
      <x:c r="C281" s="1" t="str">
        <x:f>'Habilidades'!D491</x:f>
        <x:v>Zen Headbutt</x:v>
      </x:c>
      <x:c r="D281" s="1" t="str">
        <x:f>'Habilidades'!F491</x:f>
        <x:v>Física</x:v>
      </x:c>
      <x:c r="E281" s="18" t="n">
        <x:f>'Habilidades'!G491</x:f>
        <x:v>80</x:v>
      </x:c>
      <x:c r="F281" s="18" t="n">
        <x:f>'Habilidades'!H491</x:f>
        <x:v>82</x:v>
      </x:c>
      <x:c r="G281" s="18" t="n">
        <x:f>'Habilidades'!I491</x:f>
        <x:v>162</x:v>
      </x:c>
    </x:row>
    <x:row r="282" ht="22" customHeight="1">
      <x:c r="A282" s="19" t="n">
        <x:f>IF(B282="","",IF(B282=B281,A281,A281+1))</x:f>
        <x:v>56</x:v>
      </x:c>
      <x:c r="B282" s="20" t="str">
        <x:f>'Ranking'!C59</x:f>
        <x:v>Golduck</x:v>
      </x:c>
      <x:c r="C282" s="20" t="str">
        <x:f>'Habilidades'!D492</x:f>
        <x:v>Water Pulse</x:v>
      </x:c>
      <x:c r="D282" s="20" t="str">
        <x:f>'Habilidades'!F492</x:f>
        <x:v>Especial</x:v>
      </x:c>
      <x:c r="E282" s="21" t="n">
        <x:f>'Habilidades'!G492</x:f>
        <x:v>60</x:v>
      </x:c>
      <x:c r="F282" s="21" t="n">
        <x:f>'Habilidades'!H492</x:f>
        <x:v>95</x:v>
      </x:c>
      <x:c r="G282" s="21" t="n">
        <x:f>'Habilidades'!I492</x:f>
        <x:v>155</x:v>
      </x:c>
    </x:row>
    <x:row r="283" ht="22" customHeight="1">
      <x:c r="A283" s="17" t="n">
        <x:f>IF(B283="","",IF(B283=B282,A282,A282+1))</x:f>
        <x:v>57</x:v>
      </x:c>
      <x:c r="B283" s="1" t="str">
        <x:f>'Ranking'!C64</x:f>
        <x:v>Hitmontop</x:v>
      </x:c>
      <x:c r="C283" s="1" t="str">
        <x:f>'Habilidades'!D2211</x:f>
        <x:v>Meteor Fists</x:v>
      </x:c>
      <x:c r="D283" s="1" t="str">
        <x:f>'Habilidades'!F2211</x:f>
        <x:v>Física</x:v>
      </x:c>
      <x:c r="E283" s="18" t="n">
        <x:f>'Habilidades'!G2211</x:f>
        <x:v>300</x:v>
      </x:c>
      <x:c r="F283" s="18" t="n">
        <x:f>'Habilidades'!H2211</x:f>
        <x:v>95</x:v>
      </x:c>
      <x:c r="G283" s="18" t="n">
        <x:f>'Habilidades'!I2211</x:f>
        <x:v>395</x:v>
      </x:c>
    </x:row>
    <x:row r="284" ht="22" customHeight="1">
      <x:c r="A284" s="17" t="n">
        <x:f>IF(B284="","",IF(B284=B283,A283,A283+1))</x:f>
        <x:v>57</x:v>
      </x:c>
      <x:c r="B284" s="1" t="str">
        <x:f>'Ranking'!C64</x:f>
        <x:v>Hitmontop</x:v>
      </x:c>
      <x:c r="C284" s="1" t="str">
        <x:f>'Habilidades'!D2212</x:f>
        <x:v>Close Combat</x:v>
      </x:c>
      <x:c r="D284" s="1" t="str">
        <x:f>'Habilidades'!F2212</x:f>
        <x:v>Física</x:v>
      </x:c>
      <x:c r="E284" s="18" t="n">
        <x:f>'Habilidades'!G2212</x:f>
        <x:v>120</x:v>
      </x:c>
      <x:c r="F284" s="18" t="n">
        <x:f>'Habilidades'!H2212</x:f>
        <x:v>95</x:v>
      </x:c>
      <x:c r="G284" s="18" t="n">
        <x:f>'Habilidades'!I2212</x:f>
        <x:v>215</x:v>
      </x:c>
    </x:row>
    <x:row r="285" ht="22" customHeight="1">
      <x:c r="A285" s="17" t="n">
        <x:f>IF(B285="","",IF(B285=B284,A284,A284+1))</x:f>
        <x:v>57</x:v>
      </x:c>
      <x:c r="B285" s="1" t="str">
        <x:f>'Ranking'!C64</x:f>
        <x:v>Hitmontop</x:v>
      </x:c>
      <x:c r="C285" s="1" t="str">
        <x:f>'Habilidades'!D2213</x:f>
        <x:v>Rolling Kick</x:v>
      </x:c>
      <x:c r="D285" s="1" t="str">
        <x:f>'Habilidades'!F2213</x:f>
        <x:v>Física</x:v>
      </x:c>
      <x:c r="E285" s="18" t="n">
        <x:f>'Habilidades'!G2213</x:f>
        <x:v>60</x:v>
      </x:c>
      <x:c r="F285" s="18" t="n">
        <x:f>'Habilidades'!H2213</x:f>
        <x:v>95</x:v>
      </x:c>
      <x:c r="G285" s="18" t="n">
        <x:f>'Habilidades'!I2213</x:f>
        <x:v>155</x:v>
      </x:c>
    </x:row>
    <x:row r="286" ht="22" customHeight="1">
      <x:c r="A286" s="17" t="n">
        <x:f>IF(B286="","",IF(B286=B285,A285,A285+1))</x:f>
        <x:v>57</x:v>
      </x:c>
      <x:c r="B286" s="1" t="str">
        <x:f>'Ranking'!C64</x:f>
        <x:v>Hitmontop</x:v>
      </x:c>
      <x:c r="C286" s="1" t="str">
        <x:f>'Habilidades'!D2214</x:f>
        <x:v>Revenge</x:v>
      </x:c>
      <x:c r="D286" s="1" t="str">
        <x:f>'Habilidades'!F2214</x:f>
        <x:v>Física</x:v>
      </x:c>
      <x:c r="E286" s="18" t="n">
        <x:f>'Habilidades'!G2214</x:f>
        <x:v>60</x:v>
      </x:c>
      <x:c r="F286" s="18" t="n">
        <x:f>'Habilidades'!H2214</x:f>
        <x:v>95</x:v>
      </x:c>
      <x:c r="G286" s="18" t="n">
        <x:f>'Habilidades'!I2214</x:f>
        <x:v>155</x:v>
      </x:c>
    </x:row>
    <x:row r="287" ht="22" customHeight="1">
      <x:c r="A287" s="19" t="n">
        <x:f>IF(B287="","",IF(B287=B286,A286,A286+1))</x:f>
        <x:v>57</x:v>
      </x:c>
      <x:c r="B287" s="20" t="str">
        <x:f>'Ranking'!C64</x:f>
        <x:v>Hitmontop</x:v>
      </x:c>
      <x:c r="C287" s="20" t="str">
        <x:f>'Habilidades'!D2215</x:f>
        <x:v>Pursuit</x:v>
      </x:c>
      <x:c r="D287" s="20" t="str">
        <x:f>'Habilidades'!F2215</x:f>
        <x:v>Física</x:v>
      </x:c>
      <x:c r="E287" s="21" t="n">
        <x:f>'Habilidades'!G2215</x:f>
        <x:v>40</x:v>
      </x:c>
      <x:c r="F287" s="21" t="n">
        <x:f>'Habilidades'!H2215</x:f>
        <x:v>95</x:v>
      </x:c>
      <x:c r="G287" s="21" t="n">
        <x:f>'Habilidades'!I2215</x:f>
        <x:v>135</x:v>
      </x:c>
    </x:row>
    <x:row r="288" ht="22" customHeight="1">
      <x:c r="A288" s="17" t="n">
        <x:f>IF(B288="","",IF(B288=B287,A287,A287+1))</x:f>
        <x:v>58</x:v>
      </x:c>
      <x:c r="B288" s="1" t="str">
        <x:f>'Ranking'!C63</x:f>
        <x:v>Kingdra</x:v>
      </x:c>
      <x:c r="C288" s="1" t="str">
        <x:f>'Habilidades'!D2168</x:f>
        <x:v>Cyclonic Tide</x:v>
      </x:c>
      <x:c r="D288" s="1" t="str">
        <x:f>'Habilidades'!F2168</x:f>
        <x:v>Especial</x:v>
      </x:c>
      <x:c r="E288" s="18" t="n">
        <x:f>'Habilidades'!G2168</x:f>
        <x:v>300</x:v>
      </x:c>
      <x:c r="F288" s="18" t="n">
        <x:f>'Habilidades'!H2168</x:f>
        <x:v>95</x:v>
      </x:c>
      <x:c r="G288" s="18" t="n">
        <x:f>'Habilidades'!I2168</x:f>
        <x:v>395</x:v>
      </x:c>
    </x:row>
    <x:row r="289" ht="22" customHeight="1">
      <x:c r="A289" s="17" t="n">
        <x:f>IF(B289="","",IF(B289=B288,A288,A288+1))</x:f>
        <x:v>58</x:v>
      </x:c>
      <x:c r="B289" s="1" t="str">
        <x:f>'Ranking'!C63</x:f>
        <x:v>Kingdra</x:v>
      </x:c>
      <x:c r="C289" s="1" t="str">
        <x:f>'Habilidades'!D2169</x:f>
        <x:v>Draconic Soul</x:v>
      </x:c>
      <x:c r="D289" s="1" t="str">
        <x:f>'Habilidades'!F2169</x:f>
        <x:v>Especial</x:v>
      </x:c>
      <x:c r="E289" s="18" t="n">
        <x:f>'Habilidades'!G2169</x:f>
        <x:v>300</x:v>
      </x:c>
      <x:c r="F289" s="18" t="n">
        <x:f>'Habilidades'!H2169</x:f>
        <x:v>95</x:v>
      </x:c>
      <x:c r="G289" s="18" t="n">
        <x:f>'Habilidades'!I2169</x:f>
        <x:v>395</x:v>
      </x:c>
    </x:row>
    <x:row r="290" ht="22" customHeight="1">
      <x:c r="A290" s="17" t="n">
        <x:f>IF(B290="","",IF(B290=B289,A289,A289+1))</x:f>
        <x:v>58</x:v>
      </x:c>
      <x:c r="B290" s="1" t="str">
        <x:f>'Ranking'!C63</x:f>
        <x:v>Kingdra</x:v>
      </x:c>
      <x:c r="C290" s="1" t="str">
        <x:f>'Habilidades'!D2170</x:f>
        <x:v>Hydro Pump</x:v>
      </x:c>
      <x:c r="D290" s="1" t="str">
        <x:f>'Habilidades'!F2170</x:f>
        <x:v>Especial</x:v>
      </x:c>
      <x:c r="E290" s="18" t="n">
        <x:f>'Habilidades'!G2170</x:f>
        <x:v>110</x:v>
      </x:c>
      <x:c r="F290" s="18" t="n">
        <x:f>'Habilidades'!H2170</x:f>
        <x:v>95</x:v>
      </x:c>
      <x:c r="G290" s="18" t="n">
        <x:f>'Habilidades'!I2170</x:f>
        <x:v>205</x:v>
      </x:c>
    </x:row>
    <x:row r="291" ht="22" customHeight="1">
      <x:c r="A291" s="17" t="n">
        <x:f>IF(B291="","",IF(B291=B290,A290,A290+1))</x:f>
        <x:v>58</x:v>
      </x:c>
      <x:c r="B291" s="1" t="str">
        <x:f>'Ranking'!C63</x:f>
        <x:v>Kingdra</x:v>
      </x:c>
      <x:c r="C291" s="1" t="str">
        <x:f>'Habilidades'!D2171</x:f>
        <x:v>Dragon Pulse</x:v>
      </x:c>
      <x:c r="D291" s="1" t="str">
        <x:f>'Habilidades'!F2171</x:f>
        <x:v>Especial</x:v>
      </x:c>
      <x:c r="E291" s="18" t="n">
        <x:f>'Habilidades'!G2171</x:f>
        <x:v>85</x:v>
      </x:c>
      <x:c r="F291" s="18" t="n">
        <x:f>'Habilidades'!H2171</x:f>
        <x:v>95</x:v>
      </x:c>
      <x:c r="G291" s="18" t="n">
        <x:f>'Habilidades'!I2171</x:f>
        <x:v>180</x:v>
      </x:c>
    </x:row>
    <x:row r="292" ht="22" customHeight="1">
      <x:c r="A292" s="19" t="n">
        <x:f>IF(B292="","",IF(B292=B291,A291,A291+1))</x:f>
        <x:v>58</x:v>
      </x:c>
      <x:c r="B292" s="20" t="str">
        <x:f>'Ranking'!C63</x:f>
        <x:v>Kingdra</x:v>
      </x:c>
      <x:c r="C292" s="20" t="str">
        <x:f>'Habilidades'!D2172</x:f>
        <x:v>Bubble Beam</x:v>
      </x:c>
      <x:c r="D292" s="20" t="str">
        <x:f>'Habilidades'!F2172</x:f>
        <x:v>Especial</x:v>
      </x:c>
      <x:c r="E292" s="21" t="n">
        <x:f>'Habilidades'!G2172</x:f>
        <x:v>65</x:v>
      </x:c>
      <x:c r="F292" s="21" t="n">
        <x:f>'Habilidades'!H2172</x:f>
        <x:v>95</x:v>
      </x:c>
      <x:c r="G292" s="21" t="n">
        <x:f>'Habilidades'!I2172</x:f>
        <x:v>160</x:v>
      </x:c>
    </x:row>
    <x:row r="293" ht="22" customHeight="1">
      <x:c r="A293" s="17" t="n">
        <x:f>IF(B293="","",IF(B293=B292,A292,A292+1))</x:f>
        <x:v>59</x:v>
      </x:c>
      <x:c r="B293" s="1" t="str">
        <x:f>'Ranking'!C58</x:f>
        <x:v>Parasect</x:v>
      </x:c>
      <x:c r="C293" s="1" t="str">
        <x:f>'Habilidades'!D395</x:f>
        <x:v>Hive Crush</x:v>
      </x:c>
      <x:c r="D293" s="1" t="str">
        <x:f>'Habilidades'!F395</x:f>
        <x:v>Física</x:v>
      </x:c>
      <x:c r="E293" s="18" t="n">
        <x:f>'Habilidades'!G395</x:f>
        <x:v>300</x:v>
      </x:c>
      <x:c r="F293" s="18" t="n">
        <x:f>'Habilidades'!H395</x:f>
        <x:v>95</x:v>
      </x:c>
      <x:c r="G293" s="18" t="n">
        <x:f>'Habilidades'!I395</x:f>
        <x:v>395</x:v>
      </x:c>
    </x:row>
    <x:row r="294" ht="22" customHeight="1">
      <x:c r="A294" s="17" t="n">
        <x:f>IF(B294="","",IF(B294=B293,A293,A293+1))</x:f>
        <x:v>59</x:v>
      </x:c>
      <x:c r="B294" s="1" t="str">
        <x:f>'Ranking'!C58</x:f>
        <x:v>Parasect</x:v>
      </x:c>
      <x:c r="C294" s="1" t="str">
        <x:f>'Habilidades'!D396</x:f>
        <x:v>X-Scissor</x:v>
      </x:c>
      <x:c r="D294" s="1" t="str">
        <x:f>'Habilidades'!F396</x:f>
        <x:v>Física</x:v>
      </x:c>
      <x:c r="E294" s="18" t="n">
        <x:f>'Habilidades'!G396</x:f>
        <x:v>80</x:v>
      </x:c>
      <x:c r="F294" s="18" t="n">
        <x:f>'Habilidades'!H396</x:f>
        <x:v>95</x:v>
      </x:c>
      <x:c r="G294" s="18" t="n">
        <x:f>'Habilidades'!I396</x:f>
        <x:v>175</x:v>
      </x:c>
    </x:row>
    <x:row r="295" ht="22" customHeight="1">
      <x:c r="A295" s="17" t="n">
        <x:f>IF(B295="","",IF(B295=B294,A294,A294+1))</x:f>
        <x:v>59</x:v>
      </x:c>
      <x:c r="B295" s="1" t="str">
        <x:f>'Ranking'!C58</x:f>
        <x:v>Parasect</x:v>
      </x:c>
      <x:c r="C295" s="1" t="str">
        <x:f>'Habilidades'!D397</x:f>
        <x:v>Cross Poison</x:v>
      </x:c>
      <x:c r="D295" s="1" t="str">
        <x:f>'Habilidades'!F397</x:f>
        <x:v>Física</x:v>
      </x:c>
      <x:c r="E295" s="18" t="n">
        <x:f>'Habilidades'!G397</x:f>
        <x:v>70</x:v>
      </x:c>
      <x:c r="F295" s="18" t="n">
        <x:f>'Habilidades'!H397</x:f>
        <x:v>95</x:v>
      </x:c>
      <x:c r="G295" s="18" t="n">
        <x:f>'Habilidades'!I397</x:f>
        <x:v>165</x:v>
      </x:c>
    </x:row>
    <x:row r="296" ht="22" customHeight="1">
      <x:c r="A296" s="17" t="n">
        <x:f>IF(B296="","",IF(B296=B295,A295,A295+1))</x:f>
        <x:v>59</x:v>
      </x:c>
      <x:c r="B296" s="1" t="str">
        <x:f>'Ranking'!C58</x:f>
        <x:v>Parasect</x:v>
      </x:c>
      <x:c r="C296" s="1" t="str">
        <x:f>'Habilidades'!D398</x:f>
        <x:v>Slash</x:v>
      </x:c>
      <x:c r="D296" s="1" t="str">
        <x:f>'Habilidades'!F398</x:f>
        <x:v>Física</x:v>
      </x:c>
      <x:c r="E296" s="18" t="n">
        <x:f>'Habilidades'!G398</x:f>
        <x:v>70</x:v>
      </x:c>
      <x:c r="F296" s="18" t="n">
        <x:f>'Habilidades'!H398</x:f>
        <x:v>95</x:v>
      </x:c>
      <x:c r="G296" s="18" t="n">
        <x:f>'Habilidades'!I398</x:f>
        <x:v>165</x:v>
      </x:c>
    </x:row>
    <x:row r="297" ht="22" customHeight="1">
      <x:c r="A297" s="19" t="n">
        <x:f>IF(B297="","",IF(B297=B296,A296,A296+1))</x:f>
        <x:v>59</x:v>
      </x:c>
      <x:c r="B297" s="20" t="str">
        <x:f>'Ranking'!C58</x:f>
        <x:v>Parasect</x:v>
      </x:c>
      <x:c r="C297" s="20" t="str">
        <x:f>'Habilidades'!D399</x:f>
        <x:v>Giga Drain</x:v>
      </x:c>
      <x:c r="D297" s="20" t="str">
        <x:f>'Habilidades'!F399</x:f>
        <x:v>Especial</x:v>
      </x:c>
      <x:c r="E297" s="21" t="n">
        <x:f>'Habilidades'!G399</x:f>
        <x:v>75</x:v>
      </x:c>
      <x:c r="F297" s="21" t="n">
        <x:f>'Habilidades'!H399</x:f>
        <x:v>60</x:v>
      </x:c>
      <x:c r="G297" s="21" t="n">
        <x:f>'Habilidades'!I399</x:f>
        <x:v>135</x:v>
      </x:c>
    </x:row>
    <x:row r="298" ht="22" customHeight="1">
      <x:c r="A298" s="17" t="n">
        <x:f>IF(B298="","",IF(B298=B297,A297,A297+1))</x:f>
        <x:v>60</x:v>
      </x:c>
      <x:c r="B298" s="1" t="str">
        <x:f>'Ranking'!C62</x:f>
        <x:v>Xatu</x:v>
      </x:c>
      <x:c r="C298" s="1" t="str">
        <x:f>'Habilidades'!D1681</x:f>
        <x:v>Mental Singularity</x:v>
      </x:c>
      <x:c r="D298" s="1" t="str">
        <x:f>'Habilidades'!F1681</x:f>
        <x:v>Especial</x:v>
      </x:c>
      <x:c r="E298" s="18" t="n">
        <x:f>'Habilidades'!G1681</x:f>
        <x:v>300</x:v>
      </x:c>
      <x:c r="F298" s="18" t="n">
        <x:f>'Habilidades'!H1681</x:f>
        <x:v>95</x:v>
      </x:c>
      <x:c r="G298" s="18" t="n">
        <x:f>'Habilidades'!I1681</x:f>
        <x:v>395</x:v>
      </x:c>
    </x:row>
    <x:row r="299" ht="22" customHeight="1">
      <x:c r="A299" s="17" t="n">
        <x:f>IF(B299="","",IF(B299=B298,A298,A298+1))</x:f>
        <x:v>60</x:v>
      </x:c>
      <x:c r="B299" s="1" t="str">
        <x:f>'Ranking'!C62</x:f>
        <x:v>Xatu</x:v>
      </x:c>
      <x:c r="C299" s="1" t="str">
        <x:f>'Habilidades'!D1682</x:f>
        <x:v>Massive Hurricane</x:v>
      </x:c>
      <x:c r="D299" s="1" t="str">
        <x:f>'Habilidades'!F1682</x:f>
        <x:v>Física</x:v>
      </x:c>
      <x:c r="E299" s="18" t="n">
        <x:f>'Habilidades'!G1682</x:f>
        <x:v>300</x:v>
      </x:c>
      <x:c r="F299" s="18" t="n">
        <x:f>'Habilidades'!H1682</x:f>
        <x:v>75</x:v>
      </x:c>
      <x:c r="G299" s="18" t="n">
        <x:f>'Habilidades'!I1682</x:f>
        <x:v>375</x:v>
      </x:c>
    </x:row>
    <x:row r="300" ht="22" customHeight="1">
      <x:c r="A300" s="17" t="n">
        <x:f>IF(B300="","",IF(B300=B299,A299,A299+1))</x:f>
        <x:v>60</x:v>
      </x:c>
      <x:c r="B300" s="1" t="str">
        <x:f>'Ranking'!C62</x:f>
        <x:v>Xatu</x:v>
      </x:c>
      <x:c r="C300" s="1" t="str">
        <x:f>'Habilidades'!D1683</x:f>
        <x:v>Future Sight</x:v>
      </x:c>
      <x:c r="D300" s="1" t="str">
        <x:f>'Habilidades'!F1683</x:f>
        <x:v>Especial</x:v>
      </x:c>
      <x:c r="E300" s="18" t="n">
        <x:f>'Habilidades'!G1683</x:f>
        <x:v>120</x:v>
      </x:c>
      <x:c r="F300" s="18" t="n">
        <x:f>'Habilidades'!H1683</x:f>
        <x:v>95</x:v>
      </x:c>
      <x:c r="G300" s="18" t="n">
        <x:f>'Habilidades'!I1683</x:f>
        <x:v>215</x:v>
      </x:c>
    </x:row>
    <x:row r="301" ht="22" customHeight="1">
      <x:c r="A301" s="17" t="n">
        <x:f>IF(B301="","",IF(B301=B300,A300,A300+1))</x:f>
        <x:v>60</x:v>
      </x:c>
      <x:c r="B301" s="1" t="str">
        <x:f>'Ranking'!C62</x:f>
        <x:v>Xatu</x:v>
      </x:c>
      <x:c r="C301" s="1" t="str">
        <x:f>'Habilidades'!D1684</x:f>
        <x:v>Psychic</x:v>
      </x:c>
      <x:c r="D301" s="1" t="str">
        <x:f>'Habilidades'!F1684</x:f>
        <x:v>Especial</x:v>
      </x:c>
      <x:c r="E301" s="18" t="n">
        <x:f>'Habilidades'!G1684</x:f>
        <x:v>90</x:v>
      </x:c>
      <x:c r="F301" s="18" t="n">
        <x:f>'Habilidades'!H1684</x:f>
        <x:v>95</x:v>
      </x:c>
      <x:c r="G301" s="18" t="n">
        <x:f>'Habilidades'!I1684</x:f>
        <x:v>185</x:v>
      </x:c>
    </x:row>
    <x:row r="302" ht="22" customHeight="1">
      <x:c r="A302" s="19" t="n">
        <x:f>IF(B302="","",IF(B302=B301,A301,A301+1))</x:f>
        <x:v>60</x:v>
      </x:c>
      <x:c r="B302" s="20" t="str">
        <x:f>'Ranking'!C62</x:f>
        <x:v>Xatu</x:v>
      </x:c>
      <x:c r="C302" s="20" t="str">
        <x:f>'Habilidades'!D1685</x:f>
        <x:v>Air Slash</x:v>
      </x:c>
      <x:c r="D302" s="20" t="str">
        <x:f>'Habilidades'!F1685</x:f>
        <x:v>Especial</x:v>
      </x:c>
      <x:c r="E302" s="21" t="n">
        <x:f>'Habilidades'!G1685</x:f>
        <x:v>75</x:v>
      </x:c>
      <x:c r="F302" s="21" t="n">
        <x:f>'Habilidades'!H1685</x:f>
        <x:v>95</x:v>
      </x:c>
      <x:c r="G302" s="21" t="n">
        <x:f>'Habilidades'!I1685</x:f>
        <x:v>170</x:v>
      </x:c>
    </x:row>
    <x:row r="303" ht="22" customHeight="1">
      <x:c r="A303" s="17" t="n">
        <x:f>IF(B303="","",IF(B303=B302,A302,A302+1))</x:f>
        <x:v>61</x:v>
      </x:c>
      <x:c r="B303" s="1" t="str">
        <x:f>'Ranking'!C65</x:f>
        <x:v>Nidoqueen</x:v>
      </x:c>
      <x:c r="C303" s="1" t="str">
        <x:f>'Habilidades'!D265</x:f>
        <x:v>Toxic Deluge</x:v>
      </x:c>
      <x:c r="D303" s="1" t="str">
        <x:f>'Habilidades'!F265</x:f>
        <x:v>Física</x:v>
      </x:c>
      <x:c r="E303" s="18" t="n">
        <x:f>'Habilidades'!G265</x:f>
        <x:v>300</x:v>
      </x:c>
      <x:c r="F303" s="18" t="n">
        <x:f>'Habilidades'!H265</x:f>
        <x:v>92</x:v>
      </x:c>
      <x:c r="G303" s="18" t="n">
        <x:f>'Habilidades'!I265</x:f>
        <x:v>392</x:v>
      </x:c>
    </x:row>
    <x:row r="304" ht="22" customHeight="1">
      <x:c r="A304" s="17" t="n">
        <x:f>IF(B304="","",IF(B304=B303,A303,A303+1))</x:f>
        <x:v>61</x:v>
      </x:c>
      <x:c r="B304" s="1" t="str">
        <x:f>'Ranking'!C65</x:f>
        <x:v>Nidoqueen</x:v>
      </x:c>
      <x:c r="C304" s="1" t="str">
        <x:f>'Habilidades'!D266</x:f>
        <x:v>Crossing Fissure</x:v>
      </x:c>
      <x:c r="D304" s="1" t="str">
        <x:f>'Habilidades'!F266</x:f>
        <x:v>Física</x:v>
      </x:c>
      <x:c r="E304" s="18" t="n">
        <x:f>'Habilidades'!G266</x:f>
        <x:v>300</x:v>
      </x:c>
      <x:c r="F304" s="18" t="n">
        <x:f>'Habilidades'!H266</x:f>
        <x:v>92</x:v>
      </x:c>
      <x:c r="G304" s="18" t="n">
        <x:f>'Habilidades'!I266</x:f>
        <x:v>392</x:v>
      </x:c>
    </x:row>
    <x:row r="305" ht="22" customHeight="1">
      <x:c r="A305" s="17" t="n">
        <x:f>IF(B305="","",IF(B305=B304,A304,A304+1))</x:f>
        <x:v>61</x:v>
      </x:c>
      <x:c r="B305" s="1" t="str">
        <x:f>'Ranking'!C65</x:f>
        <x:v>Nidoqueen</x:v>
      </x:c>
      <x:c r="C305" s="1" t="str">
        <x:f>'Habilidades'!D267</x:f>
        <x:v>Superpower</x:v>
      </x:c>
      <x:c r="D305" s="1" t="str">
        <x:f>'Habilidades'!F267</x:f>
        <x:v>Física</x:v>
      </x:c>
      <x:c r="E305" s="18" t="n">
        <x:f>'Habilidades'!G267</x:f>
        <x:v>120</x:v>
      </x:c>
      <x:c r="F305" s="18" t="n">
        <x:f>'Habilidades'!H267</x:f>
        <x:v>92</x:v>
      </x:c>
      <x:c r="G305" s="18" t="n">
        <x:f>'Habilidades'!I267</x:f>
        <x:v>212</x:v>
      </x:c>
    </x:row>
    <x:row r="306" ht="22" customHeight="1">
      <x:c r="A306" s="17" t="n">
        <x:f>IF(B306="","",IF(B306=B305,A305,A305+1))</x:f>
        <x:v>61</x:v>
      </x:c>
      <x:c r="B306" s="1" t="str">
        <x:f>'Ranking'!C65</x:f>
        <x:v>Nidoqueen</x:v>
      </x:c>
      <x:c r="C306" s="1" t="str">
        <x:f>'Habilidades'!D268</x:f>
        <x:v>Body Slam</x:v>
      </x:c>
      <x:c r="D306" s="1" t="str">
        <x:f>'Habilidades'!F268</x:f>
        <x:v>Física</x:v>
      </x:c>
      <x:c r="E306" s="18" t="n">
        <x:f>'Habilidades'!G268</x:f>
        <x:v>85</x:v>
      </x:c>
      <x:c r="F306" s="18" t="n">
        <x:f>'Habilidades'!H268</x:f>
        <x:v>92</x:v>
      </x:c>
      <x:c r="G306" s="18" t="n">
        <x:f>'Habilidades'!I268</x:f>
        <x:v>177</x:v>
      </x:c>
    </x:row>
    <x:row r="307" ht="22" customHeight="1">
      <x:c r="A307" s="19" t="n">
        <x:f>IF(B307="","",IF(B307=B306,A306,A306+1))</x:f>
        <x:v>61</x:v>
      </x:c>
      <x:c r="B307" s="20" t="str">
        <x:f>'Ranking'!C65</x:f>
        <x:v>Nidoqueen</x:v>
      </x:c>
      <x:c r="C307" s="20" t="str">
        <x:f>'Habilidades'!D269</x:f>
        <x:v>Earth Power</x:v>
      </x:c>
      <x:c r="D307" s="20" t="str">
        <x:f>'Habilidades'!F269</x:f>
        <x:v>Especial</x:v>
      </x:c>
      <x:c r="E307" s="21" t="n">
        <x:f>'Habilidades'!G269</x:f>
        <x:v>90</x:v>
      </x:c>
      <x:c r="F307" s="21" t="n">
        <x:f>'Habilidades'!H269</x:f>
        <x:v>75</x:v>
      </x:c>
      <x:c r="G307" s="21" t="n">
        <x:f>'Habilidades'!I269</x:f>
        <x:v>165</x:v>
      </x:c>
    </x:row>
    <x:row r="308" ht="22" customHeight="1">
      <x:c r="A308" s="17" t="n">
        <x:f>IF(B308="","",IF(B308=B307,A307,A307+1))</x:f>
        <x:v>62</x:v>
      </x:c>
      <x:c r="B308" s="1" t="str">
        <x:f>'Ranking'!C72</x:f>
        <x:v>Ariados</x:v>
      </x:c>
      <x:c r="C308" s="1" t="str">
        <x:f>'Habilidades'!D1621</x:f>
        <x:v>Hive Crush</x:v>
      </x:c>
      <x:c r="D308" s="1" t="str">
        <x:f>'Habilidades'!F1621</x:f>
        <x:v>Física</x:v>
      </x:c>
      <x:c r="E308" s="18" t="n">
        <x:f>'Habilidades'!G1621</x:f>
        <x:v>300</x:v>
      </x:c>
      <x:c r="F308" s="18" t="n">
        <x:f>'Habilidades'!H1621</x:f>
        <x:v>90</x:v>
      </x:c>
      <x:c r="G308" s="18" t="n">
        <x:f>'Habilidades'!I1621</x:f>
        <x:v>390</x:v>
      </x:c>
    </x:row>
    <x:row r="309" ht="22" customHeight="1">
      <x:c r="A309" s="17" t="n">
        <x:f>IF(B309="","",IF(B309=B308,A308,A308+1))</x:f>
        <x:v>62</x:v>
      </x:c>
      <x:c r="B309" s="1" t="str">
        <x:f>'Ranking'!C72</x:f>
        <x:v>Ariados</x:v>
      </x:c>
      <x:c r="C309" s="1" t="str">
        <x:f>'Habilidades'!D1622</x:f>
        <x:v>Sucker Punch</x:v>
      </x:c>
      <x:c r="D309" s="1" t="str">
        <x:f>'Habilidades'!F1622</x:f>
        <x:v>Física</x:v>
      </x:c>
      <x:c r="E309" s="18" t="n">
        <x:f>'Habilidades'!G1622</x:f>
        <x:v>80</x:v>
      </x:c>
      <x:c r="F309" s="18" t="n">
        <x:f>'Habilidades'!H1622</x:f>
        <x:v>90</x:v>
      </x:c>
      <x:c r="G309" s="18" t="n">
        <x:f>'Habilidades'!I1622</x:f>
        <x:v>170</x:v>
      </x:c>
    </x:row>
    <x:row r="310" ht="22" customHeight="1">
      <x:c r="A310" s="17" t="n">
        <x:f>IF(B310="","",IF(B310=B309,A309,A309+1))</x:f>
        <x:v>62</x:v>
      </x:c>
      <x:c r="B310" s="1" t="str">
        <x:f>'Ranking'!C72</x:f>
        <x:v>Ariados</x:v>
      </x:c>
      <x:c r="C310" s="1" t="str">
        <x:f>'Habilidades'!D1623</x:f>
        <x:v>Poison Jab</x:v>
      </x:c>
      <x:c r="D310" s="1" t="str">
        <x:f>'Habilidades'!F1623</x:f>
        <x:v>Física</x:v>
      </x:c>
      <x:c r="E310" s="18" t="n">
        <x:f>'Habilidades'!G1623</x:f>
        <x:v>80</x:v>
      </x:c>
      <x:c r="F310" s="18" t="n">
        <x:f>'Habilidades'!H1623</x:f>
        <x:v>90</x:v>
      </x:c>
      <x:c r="G310" s="18" t="n">
        <x:f>'Habilidades'!I1623</x:f>
        <x:v>170</x:v>
      </x:c>
    </x:row>
    <x:row r="311" ht="22" customHeight="1">
      <x:c r="A311" s="17" t="n">
        <x:f>IF(B311="","",IF(B311=B310,A310,A310+1))</x:f>
        <x:v>62</x:v>
      </x:c>
      <x:c r="B311" s="1" t="str">
        <x:f>'Ranking'!C72</x:f>
        <x:v>Ariados</x:v>
      </x:c>
      <x:c r="C311" s="1" t="str">
        <x:f>'Habilidades'!D1624</x:f>
        <x:v>Cross Poison</x:v>
      </x:c>
      <x:c r="D311" s="1" t="str">
        <x:f>'Habilidades'!F1624</x:f>
        <x:v>Física</x:v>
      </x:c>
      <x:c r="E311" s="18" t="n">
        <x:f>'Habilidades'!G1624</x:f>
        <x:v>70</x:v>
      </x:c>
      <x:c r="F311" s="18" t="n">
        <x:f>'Habilidades'!H1624</x:f>
        <x:v>90</x:v>
      </x:c>
      <x:c r="G311" s="18" t="n">
        <x:f>'Habilidades'!I1624</x:f>
        <x:v>160</x:v>
      </x:c>
    </x:row>
    <x:row r="312" ht="22" customHeight="1">
      <x:c r="A312" s="19" t="n">
        <x:f>IF(B312="","",IF(B312=B311,A311,A311+1))</x:f>
        <x:v>62</x:v>
      </x:c>
      <x:c r="B312" s="20" t="str">
        <x:f>'Ranking'!C72</x:f>
        <x:v>Ariados</x:v>
      </x:c>
      <x:c r="C312" s="20" t="str">
        <x:f>'Habilidades'!D1625</x:f>
        <x:v>Psychic</x:v>
      </x:c>
      <x:c r="D312" s="20" t="str">
        <x:f>'Habilidades'!F1625</x:f>
        <x:v>Especial</x:v>
      </x:c>
      <x:c r="E312" s="21" t="n">
        <x:f>'Habilidades'!G1625</x:f>
        <x:v>90</x:v>
      </x:c>
      <x:c r="F312" s="21" t="n">
        <x:f>'Habilidades'!H1625</x:f>
        <x:v>60</x:v>
      </x:c>
      <x:c r="G312" s="21" t="n">
        <x:f>'Habilidades'!I1625</x:f>
        <x:v>150</x:v>
      </x:c>
    </x:row>
    <x:row r="313" ht="22" customHeight="1">
      <x:c r="A313" s="17" t="n">
        <x:f>IF(B313="","",IF(B313=B312,A312,A312+1))</x:f>
        <x:v>63</x:v>
      </x:c>
      <x:c r="B313" s="1" t="str">
        <x:f>'Ranking'!C68</x:f>
        <x:v>Beedrill</x:v>
      </x:c>
      <x:c r="C313" s="1" t="str">
        <x:f>'Habilidades'!D115</x:f>
        <x:v>Hive Crush</x:v>
      </x:c>
      <x:c r="D313" s="1" t="str">
        <x:f>'Habilidades'!F115</x:f>
        <x:v>Física</x:v>
      </x:c>
      <x:c r="E313" s="18" t="n">
        <x:f>'Habilidades'!G115</x:f>
        <x:v>300</x:v>
      </x:c>
      <x:c r="F313" s="18" t="n">
        <x:f>'Habilidades'!H115</x:f>
        <x:v>90</x:v>
      </x:c>
      <x:c r="G313" s="18" t="n">
        <x:f>'Habilidades'!I115</x:f>
        <x:v>390</x:v>
      </x:c>
    </x:row>
    <x:row r="314" ht="22" customHeight="1">
      <x:c r="A314" s="17" t="n">
        <x:f>IF(B314="","",IF(B314=B313,A313,A313+1))</x:f>
        <x:v>63</x:v>
      </x:c>
      <x:c r="B314" s="1" t="str">
        <x:f>'Ranking'!C68</x:f>
        <x:v>Beedrill</x:v>
      </x:c>
      <x:c r="C314" s="1" t="str">
        <x:f>'Habilidades'!D116</x:f>
        <x:v>Poison Jab</x:v>
      </x:c>
      <x:c r="D314" s="1" t="str">
        <x:f>'Habilidades'!F116</x:f>
        <x:v>Física</x:v>
      </x:c>
      <x:c r="E314" s="18" t="n">
        <x:f>'Habilidades'!G116</x:f>
        <x:v>80</x:v>
      </x:c>
      <x:c r="F314" s="18" t="n">
        <x:f>'Habilidades'!H116</x:f>
        <x:v>90</x:v>
      </x:c>
      <x:c r="G314" s="18" t="n">
        <x:f>'Habilidades'!I116</x:f>
        <x:v>170</x:v>
      </x:c>
    </x:row>
    <x:row r="315" ht="22" customHeight="1">
      <x:c r="A315" s="17" t="n">
        <x:f>IF(B315="","",IF(B315=B314,A314,A314+1))</x:f>
        <x:v>63</x:v>
      </x:c>
      <x:c r="B315" s="1" t="str">
        <x:f>'Ranking'!C68</x:f>
        <x:v>Beedrill</x:v>
      </x:c>
      <x:c r="C315" s="1" t="str">
        <x:f>'Habilidades'!D117</x:f>
        <x:v>Assurance</x:v>
      </x:c>
      <x:c r="D315" s="1" t="str">
        <x:f>'Habilidades'!F117</x:f>
        <x:v>Física</x:v>
      </x:c>
      <x:c r="E315" s="18" t="n">
        <x:f>'Habilidades'!G117</x:f>
        <x:v>60</x:v>
      </x:c>
      <x:c r="F315" s="18" t="n">
        <x:f>'Habilidades'!H117</x:f>
        <x:v>90</x:v>
      </x:c>
      <x:c r="G315" s="18" t="n">
        <x:f>'Habilidades'!I117</x:f>
        <x:v>150</x:v>
      </x:c>
    </x:row>
    <x:row r="316" ht="22" customHeight="1">
      <x:c r="A316" s="17" t="n">
        <x:f>IF(B316="","",IF(B316=B315,A315,A315+1))</x:f>
        <x:v>63</x:v>
      </x:c>
      <x:c r="B316" s="1" t="str">
        <x:f>'Ranking'!C68</x:f>
        <x:v>Beedrill</x:v>
      </x:c>
      <x:c r="C316" s="1" t="str">
        <x:f>'Habilidades'!D118</x:f>
        <x:v>Pursuit</x:v>
      </x:c>
      <x:c r="D316" s="1" t="str">
        <x:f>'Habilidades'!F118</x:f>
        <x:v>Física</x:v>
      </x:c>
      <x:c r="E316" s="18" t="n">
        <x:f>'Habilidades'!G118</x:f>
        <x:v>40</x:v>
      </x:c>
      <x:c r="F316" s="18" t="n">
        <x:f>'Habilidades'!H118</x:f>
        <x:v>90</x:v>
      </x:c>
      <x:c r="G316" s="18" t="n">
        <x:f>'Habilidades'!I118</x:f>
        <x:v>130</x:v>
      </x:c>
    </x:row>
    <x:row r="317" ht="22" customHeight="1">
      <x:c r="A317" s="19" t="n">
        <x:f>IF(B317="","",IF(B317=B316,A316,A316+1))</x:f>
        <x:v>63</x:v>
      </x:c>
      <x:c r="B317" s="20" t="str">
        <x:f>'Ranking'!C68</x:f>
        <x:v>Beedrill</x:v>
      </x:c>
      <x:c r="C317" s="20" t="str">
        <x:f>'Habilidades'!D119</x:f>
        <x:v>Fell Stinger</x:v>
      </x:c>
      <x:c r="D317" s="20" t="str">
        <x:f>'Habilidades'!F119</x:f>
        <x:v>Física</x:v>
      </x:c>
      <x:c r="E317" s="21" t="n">
        <x:f>'Habilidades'!G119</x:f>
        <x:v>30</x:v>
      </x:c>
      <x:c r="F317" s="21" t="n">
        <x:f>'Habilidades'!H119</x:f>
        <x:v>90</x:v>
      </x:c>
      <x:c r="G317" s="21" t="n">
        <x:f>'Habilidades'!I119</x:f>
        <x:v>120</x:v>
      </x:c>
    </x:row>
    <x:row r="318" ht="22" customHeight="1">
      <x:c r="A318" s="17" t="n">
        <x:f>IF(B318="","",IF(B318=B317,A317,A317+1))</x:f>
        <x:v>64</x:v>
      </x:c>
      <x:c r="B318" s="1" t="str">
        <x:f>'Ranking'!C74</x:f>
        <x:v>Bellossom</x:v>
      </x:c>
      <x:c r="C318" s="1" t="str">
        <x:f>'Habilidades'!D1715</x:f>
        <x:v>Petal Bloom</x:v>
      </x:c>
      <x:c r="D318" s="1" t="str">
        <x:f>'Habilidades'!F1715</x:f>
        <x:v>Especial</x:v>
      </x:c>
      <x:c r="E318" s="18" t="n">
        <x:f>'Habilidades'!G1715</x:f>
        <x:v>300</x:v>
      </x:c>
      <x:c r="F318" s="18" t="n">
        <x:f>'Habilidades'!H1715</x:f>
        <x:v>90</x:v>
      </x:c>
      <x:c r="G318" s="18" t="n">
        <x:f>'Habilidades'!I1715</x:f>
        <x:v>390</x:v>
      </x:c>
    </x:row>
    <x:row r="319" ht="22" customHeight="1">
      <x:c r="A319" s="17" t="n">
        <x:f>IF(B319="","",IF(B319=B318,A318,A318+1))</x:f>
        <x:v>64</x:v>
      </x:c>
      <x:c r="B319" s="1" t="str">
        <x:f>'Ranking'!C74</x:f>
        <x:v>Bellossom</x:v>
      </x:c>
      <x:c r="C319" s="1" t="str">
        <x:f>'Habilidades'!D1716</x:f>
        <x:v>Leaf Storm</x:v>
      </x:c>
      <x:c r="D319" s="1" t="str">
        <x:f>'Habilidades'!F1716</x:f>
        <x:v>Especial</x:v>
      </x:c>
      <x:c r="E319" s="18" t="n">
        <x:f>'Habilidades'!G1716</x:f>
        <x:v>130</x:v>
      </x:c>
      <x:c r="F319" s="18" t="n">
        <x:f>'Habilidades'!H1716</x:f>
        <x:v>90</x:v>
      </x:c>
      <x:c r="G319" s="18" t="n">
        <x:f>'Habilidades'!I1716</x:f>
        <x:v>220</x:v>
      </x:c>
    </x:row>
    <x:row r="320" ht="22" customHeight="1">
      <x:c r="A320" s="17" t="n">
        <x:f>IF(B320="","",IF(B320=B319,A319,A319+1))</x:f>
        <x:v>64</x:v>
      </x:c>
      <x:c r="B320" s="1" t="str">
        <x:f>'Ranking'!C74</x:f>
        <x:v>Bellossom</x:v>
      </x:c>
      <x:c r="C320" s="1" t="str">
        <x:f>'Habilidades'!D1717</x:f>
        <x:v>Leaf Blade</x:v>
      </x:c>
      <x:c r="D320" s="1" t="str">
        <x:f>'Habilidades'!F1717</x:f>
        <x:v>Física</x:v>
      </x:c>
      <x:c r="E320" s="18" t="n">
        <x:f>'Habilidades'!G1717</x:f>
        <x:v>90</x:v>
      </x:c>
      <x:c r="F320" s="18" t="n">
        <x:f>'Habilidades'!H1717</x:f>
        <x:v>80</x:v>
      </x:c>
      <x:c r="G320" s="18" t="n">
        <x:f>'Habilidades'!I1717</x:f>
        <x:v>170</x:v>
      </x:c>
    </x:row>
    <x:row r="321" ht="22" customHeight="1">
      <x:c r="A321" s="17" t="n">
        <x:f>IF(B321="","",IF(B321=B320,A320,A320+1))</x:f>
        <x:v>64</x:v>
      </x:c>
      <x:c r="B321" s="1" t="str">
        <x:f>'Ranking'!C74</x:f>
        <x:v>Bellossom</x:v>
      </x:c>
      <x:c r="C321" s="1" t="str">
        <x:f>'Habilidades'!D1718</x:f>
        <x:v>Petal Blizzard</x:v>
      </x:c>
      <x:c r="D321" s="1" t="str">
        <x:f>'Habilidades'!F1718</x:f>
        <x:v>Física</x:v>
      </x:c>
      <x:c r="E321" s="18" t="n">
        <x:f>'Habilidades'!G1718</x:f>
        <x:v>90</x:v>
      </x:c>
      <x:c r="F321" s="18" t="n">
        <x:f>'Habilidades'!H1718</x:f>
        <x:v>80</x:v>
      </x:c>
      <x:c r="G321" s="18" t="n">
        <x:f>'Habilidades'!I1718</x:f>
        <x:v>170</x:v>
      </x:c>
    </x:row>
    <x:row r="322" ht="22" customHeight="1">
      <x:c r="A322" s="19" t="n">
        <x:f>IF(B322="","",IF(B322=B321,A321,A321+1))</x:f>
        <x:v>64</x:v>
      </x:c>
      <x:c r="B322" s="20" t="str">
        <x:f>'Ranking'!C74</x:f>
        <x:v>Bellossom</x:v>
      </x:c>
      <x:c r="C322" s="20" t="str">
        <x:f>'Habilidades'!D1719</x:f>
        <x:v>Magical Leaf</x:v>
      </x:c>
      <x:c r="D322" s="20" t="str">
        <x:f>'Habilidades'!F1719</x:f>
        <x:v>Especial</x:v>
      </x:c>
      <x:c r="E322" s="21" t="n">
        <x:f>'Habilidades'!G1719</x:f>
        <x:v>60</x:v>
      </x:c>
      <x:c r="F322" s="21" t="n">
        <x:f>'Habilidades'!H1719</x:f>
        <x:v>90</x:v>
      </x:c>
      <x:c r="G322" s="21" t="n">
        <x:f>'Habilidades'!I1719</x:f>
        <x:v>150</x:v>
      </x:c>
    </x:row>
    <x:row r="323" ht="22" customHeight="1">
      <x:c r="A323" s="17" t="n">
        <x:f>IF(B323="","",IF(B323=B322,A322,A322+1))</x:f>
        <x:v>65</x:v>
      </x:c>
      <x:c r="B323" s="1" t="str">
        <x:f>'Ranking'!C73</x:f>
        <x:v>Crobat</x:v>
      </x:c>
      <x:c r="C323" s="1" t="str">
        <x:f>'Habilidades'!D1634</x:f>
        <x:v>Toxic Deluge</x:v>
      </x:c>
      <x:c r="D323" s="1" t="str">
        <x:f>'Habilidades'!F1634</x:f>
        <x:v>Física</x:v>
      </x:c>
      <x:c r="E323" s="18" t="n">
        <x:f>'Habilidades'!G1634</x:f>
        <x:v>300</x:v>
      </x:c>
      <x:c r="F323" s="18" t="n">
        <x:f>'Habilidades'!H1634</x:f>
        <x:v>90</x:v>
      </x:c>
      <x:c r="G323" s="18" t="n">
        <x:f>'Habilidades'!I1634</x:f>
        <x:v>390</x:v>
      </x:c>
    </x:row>
    <x:row r="324" ht="22" customHeight="1">
      <x:c r="A324" s="17" t="n">
        <x:f>IF(B324="","",IF(B324=B323,A323,A323+1))</x:f>
        <x:v>65</x:v>
      </x:c>
      <x:c r="B324" s="1" t="str">
        <x:f>'Ranking'!C73</x:f>
        <x:v>Crobat</x:v>
      </x:c>
      <x:c r="C324" s="1" t="str">
        <x:f>'Habilidades'!D1635</x:f>
        <x:v>Massive Hurricane</x:v>
      </x:c>
      <x:c r="D324" s="1" t="str">
        <x:f>'Habilidades'!F1635</x:f>
        <x:v>Física</x:v>
      </x:c>
      <x:c r="E324" s="18" t="n">
        <x:f>'Habilidades'!G1635</x:f>
        <x:v>300</x:v>
      </x:c>
      <x:c r="F324" s="18" t="n">
        <x:f>'Habilidades'!H1635</x:f>
        <x:v>90</x:v>
      </x:c>
      <x:c r="G324" s="18" t="n">
        <x:f>'Habilidades'!I1635</x:f>
        <x:v>390</x:v>
      </x:c>
    </x:row>
    <x:row r="325" ht="22" customHeight="1">
      <x:c r="A325" s="17" t="n">
        <x:f>IF(B325="","",IF(B325=B324,A324,A324+1))</x:f>
        <x:v>65</x:v>
      </x:c>
      <x:c r="B325" s="1" t="str">
        <x:f>'Ranking'!C73</x:f>
        <x:v>Crobat</x:v>
      </x:c>
      <x:c r="C325" s="1" t="str">
        <x:f>'Habilidades'!D1636</x:f>
        <x:v>Cross Poison</x:v>
      </x:c>
      <x:c r="D325" s="1" t="str">
        <x:f>'Habilidades'!F1636</x:f>
        <x:v>Física</x:v>
      </x:c>
      <x:c r="E325" s="18" t="n">
        <x:f>'Habilidades'!G1636</x:f>
        <x:v>70</x:v>
      </x:c>
      <x:c r="F325" s="18" t="n">
        <x:f>'Habilidades'!H1636</x:f>
        <x:v>90</x:v>
      </x:c>
      <x:c r="G325" s="18" t="n">
        <x:f>'Habilidades'!I1636</x:f>
        <x:v>160</x:v>
      </x:c>
    </x:row>
    <x:row r="326" ht="22" customHeight="1">
      <x:c r="A326" s="17" t="n">
        <x:f>IF(B326="","",IF(B326=B325,A325,A325+1))</x:f>
        <x:v>65</x:v>
      </x:c>
      <x:c r="B326" s="1" t="str">
        <x:f>'Ranking'!C73</x:f>
        <x:v>Crobat</x:v>
      </x:c>
      <x:c r="C326" s="1" t="str">
        <x:f>'Habilidades'!D1639</x:f>
        <x:v>Air Slash</x:v>
      </x:c>
      <x:c r="D326" s="1" t="str">
        <x:f>'Habilidades'!F1639</x:f>
        <x:v>Especial</x:v>
      </x:c>
      <x:c r="E326" s="18" t="n">
        <x:f>'Habilidades'!G1639</x:f>
        <x:v>75</x:v>
      </x:c>
      <x:c r="F326" s="18" t="n">
        <x:f>'Habilidades'!H1639</x:f>
        <x:v>70</x:v>
      </x:c>
      <x:c r="G326" s="18" t="n">
        <x:f>'Habilidades'!I1639</x:f>
        <x:v>145</x:v>
      </x:c>
    </x:row>
    <x:row r="327" ht="22" customHeight="1">
      <x:c r="A327" s="19" t="n">
        <x:f>IF(B327="","",IF(B327=B326,A326,A326+1))</x:f>
        <x:v>65</x:v>
      </x:c>
      <x:c r="B327" s="20" t="str">
        <x:f>'Ranking'!C73</x:f>
        <x:v>Crobat</x:v>
      </x:c>
      <x:c r="C327" s="20" t="str">
        <x:f>'Habilidades'!D1642</x:f>
        <x:v>Venoshock</x:v>
      </x:c>
      <x:c r="D327" s="20" t="str">
        <x:f>'Habilidades'!F1642</x:f>
        <x:v>Especial</x:v>
      </x:c>
      <x:c r="E327" s="21" t="n">
        <x:f>'Habilidades'!G1642</x:f>
        <x:v>65</x:v>
      </x:c>
      <x:c r="F327" s="21" t="n">
        <x:f>'Habilidades'!H1642</x:f>
        <x:v>70</x:v>
      </x:c>
      <x:c r="G327" s="21" t="n">
        <x:f>'Habilidades'!I1642</x:f>
        <x:v>135</x:v>
      </x:c>
    </x:row>
    <x:row r="328" ht="22" customHeight="1">
      <x:c r="A328" s="17" t="n">
        <x:f>IF(B328="","",IF(B328=B327,A327,A327+1))</x:f>
        <x:v>66</x:v>
      </x:c>
      <x:c r="B328" s="1" t="str">
        <x:f>'Ranking'!C66</x:f>
        <x:v>Entei</x:v>
      </x:c>
      <x:c r="C328" s="1" t="str">
        <x:f>'Habilidades'!D2267</x:f>
        <x:v>Ignition Point</x:v>
      </x:c>
      <x:c r="D328" s="1" t="str">
        <x:f>'Habilidades'!F2267</x:f>
        <x:v>Especial</x:v>
      </x:c>
      <x:c r="E328" s="18" t="n">
        <x:f>'Habilidades'!G2267</x:f>
        <x:v>300</x:v>
      </x:c>
      <x:c r="F328" s="18" t="n">
        <x:f>'Habilidades'!H2267</x:f>
        <x:v>90</x:v>
      </x:c>
      <x:c r="G328" s="18" t="n">
        <x:f>'Habilidades'!I2267</x:f>
        <x:v>390</x:v>
      </x:c>
    </x:row>
    <x:row r="329" ht="22" customHeight="1">
      <x:c r="A329" s="17" t="n">
        <x:f>IF(B329="","",IF(B329=B328,A328,A328+1))</x:f>
        <x:v>66</x:v>
      </x:c>
      <x:c r="B329" s="1" t="str">
        <x:f>'Ranking'!C66</x:f>
        <x:v>Entei</x:v>
      </x:c>
      <x:c r="C329" s="1" t="str">
        <x:f>'Habilidades'!D2268</x:f>
        <x:v>Eruption</x:v>
      </x:c>
      <x:c r="D329" s="1" t="str">
        <x:f>'Habilidades'!F2268</x:f>
        <x:v>Especial</x:v>
      </x:c>
      <x:c r="E329" s="18" t="n">
        <x:f>'Habilidades'!G2268</x:f>
        <x:v>150</x:v>
      </x:c>
      <x:c r="F329" s="18" t="n">
        <x:f>'Habilidades'!H2268</x:f>
        <x:v>90</x:v>
      </x:c>
      <x:c r="G329" s="18" t="n">
        <x:f>'Habilidades'!I2268</x:f>
        <x:v>240</x:v>
      </x:c>
    </x:row>
    <x:row r="330" ht="22" customHeight="1">
      <x:c r="A330" s="17" t="n">
        <x:f>IF(B330="","",IF(B330=B329,A329,A329+1))</x:f>
        <x:v>66</x:v>
      </x:c>
      <x:c r="B330" s="1" t="str">
        <x:f>'Ranking'!C66</x:f>
        <x:v>Entei</x:v>
      </x:c>
      <x:c r="C330" s="1" t="str">
        <x:f>'Habilidades'!D2269</x:f>
        <x:v>Sacred Fire</x:v>
      </x:c>
      <x:c r="D330" s="1" t="str">
        <x:f>'Habilidades'!F2269</x:f>
        <x:v>Física</x:v>
      </x:c>
      <x:c r="E330" s="18" t="n">
        <x:f>'Habilidades'!G2269</x:f>
        <x:v>100</x:v>
      </x:c>
      <x:c r="F330" s="18" t="n">
        <x:f>'Habilidades'!H2269</x:f>
        <x:v>115</x:v>
      </x:c>
      <x:c r="G330" s="18" t="n">
        <x:f>'Habilidades'!I2269</x:f>
        <x:v>215</x:v>
      </x:c>
    </x:row>
    <x:row r="331" ht="22" customHeight="1">
      <x:c r="A331" s="17" t="n">
        <x:f>IF(B331="","",IF(B331=B330,A330,A330+1))</x:f>
        <x:v>66</x:v>
      </x:c>
      <x:c r="B331" s="1" t="str">
        <x:f>'Ranking'!C66</x:f>
        <x:v>Entei</x:v>
      </x:c>
      <x:c r="C331" s="1" t="str">
        <x:f>'Habilidades'!D2270</x:f>
        <x:v>Fire Blast</x:v>
      </x:c>
      <x:c r="D331" s="1" t="str">
        <x:f>'Habilidades'!F2270</x:f>
        <x:v>Especial</x:v>
      </x:c>
      <x:c r="E331" s="18" t="n">
        <x:f>'Habilidades'!G2270</x:f>
        <x:v>110</x:v>
      </x:c>
      <x:c r="F331" s="18" t="n">
        <x:f>'Habilidades'!H2270</x:f>
        <x:v>90</x:v>
      </x:c>
      <x:c r="G331" s="18" t="n">
        <x:f>'Habilidades'!I2270</x:f>
        <x:v>200</x:v>
      </x:c>
    </x:row>
    <x:row r="332" ht="22" customHeight="1">
      <x:c r="A332" s="19" t="n">
        <x:f>IF(B332="","",IF(B332=B331,A331,A331+1))</x:f>
        <x:v>66</x:v>
      </x:c>
      <x:c r="B332" s="20" t="str">
        <x:f>'Ranking'!C66</x:f>
        <x:v>Entei</x:v>
      </x:c>
      <x:c r="C332" s="20" t="str">
        <x:f>'Habilidades'!D2271</x:f>
        <x:v>Flamethrower</x:v>
      </x:c>
      <x:c r="D332" s="20" t="str">
        <x:f>'Habilidades'!F2271</x:f>
        <x:v>Especial</x:v>
      </x:c>
      <x:c r="E332" s="21" t="n">
        <x:f>'Habilidades'!G2271</x:f>
        <x:v>90</x:v>
      </x:c>
      <x:c r="F332" s="21" t="n">
        <x:f>'Habilidades'!H2271</x:f>
        <x:v>90</x:v>
      </x:c>
      <x:c r="G332" s="21" t="n">
        <x:f>'Habilidades'!I2271</x:f>
        <x:v>180</x:v>
      </x:c>
    </x:row>
    <x:row r="333" ht="22" customHeight="1">
      <x:c r="A333" s="17" t="n">
        <x:f>IF(B333="","",IF(B333=B332,A332,A332+1))</x:f>
        <x:v>67</x:v>
      </x:c>
      <x:c r="B333" s="1" t="str">
        <x:f>'Ranking'!C69</x:f>
        <x:v>Fearow</x:v>
      </x:c>
      <x:c r="C333" s="1" t="str">
        <x:f>'Habilidades'!D180</x:f>
        <x:v>Massive Hurricane</x:v>
      </x:c>
      <x:c r="D333" s="1" t="str">
        <x:f>'Habilidades'!F180</x:f>
        <x:v>Física</x:v>
      </x:c>
      <x:c r="E333" s="18" t="n">
        <x:f>'Habilidades'!G180</x:f>
        <x:v>300</x:v>
      </x:c>
      <x:c r="F333" s="18" t="n">
        <x:f>'Habilidades'!H180</x:f>
        <x:v>90</x:v>
      </x:c>
      <x:c r="G333" s="18" t="n">
        <x:f>'Habilidades'!I180</x:f>
        <x:v>390</x:v>
      </x:c>
    </x:row>
    <x:row r="334" ht="22" customHeight="1">
      <x:c r="A334" s="17" t="n">
        <x:f>IF(B334="","",IF(B334=B333,A333,A333+1))</x:f>
        <x:v>67</x:v>
      </x:c>
      <x:c r="B334" s="1" t="str">
        <x:f>'Ranking'!C69</x:f>
        <x:v>Fearow</x:v>
      </x:c>
      <x:c r="C334" s="1" t="str">
        <x:f>'Habilidades'!D181</x:f>
        <x:v>Drill Run</x:v>
      </x:c>
      <x:c r="D334" s="1" t="str">
        <x:f>'Habilidades'!F181</x:f>
        <x:v>Física</x:v>
      </x:c>
      <x:c r="E334" s="18" t="n">
        <x:f>'Habilidades'!G181</x:f>
        <x:v>80</x:v>
      </x:c>
      <x:c r="F334" s="18" t="n">
        <x:f>'Habilidades'!H181</x:f>
        <x:v>90</x:v>
      </x:c>
      <x:c r="G334" s="18" t="n">
        <x:f>'Habilidades'!I181</x:f>
        <x:v>170</x:v>
      </x:c>
    </x:row>
    <x:row r="335" ht="22" customHeight="1">
      <x:c r="A335" s="17" t="n">
        <x:f>IF(B335="","",IF(B335=B334,A334,A334+1))</x:f>
        <x:v>67</x:v>
      </x:c>
      <x:c r="B335" s="1" t="str">
        <x:f>'Ranking'!C69</x:f>
        <x:v>Fearow</x:v>
      </x:c>
      <x:c r="C335" s="1" t="str">
        <x:f>'Habilidades'!D182</x:f>
        <x:v>Drill Peck</x:v>
      </x:c>
      <x:c r="D335" s="1" t="str">
        <x:f>'Habilidades'!F182</x:f>
        <x:v>Física</x:v>
      </x:c>
      <x:c r="E335" s="18" t="n">
        <x:f>'Habilidades'!G182</x:f>
        <x:v>80</x:v>
      </x:c>
      <x:c r="F335" s="18" t="n">
        <x:f>'Habilidades'!H182</x:f>
        <x:v>90</x:v>
      </x:c>
      <x:c r="G335" s="18" t="n">
        <x:f>'Habilidades'!I182</x:f>
        <x:v>170</x:v>
      </x:c>
    </x:row>
    <x:row r="336" ht="22" customHeight="1">
      <x:c r="A336" s="17" t="n">
        <x:f>IF(B336="","",IF(B336=B335,A335,A335+1))</x:f>
        <x:v>67</x:v>
      </x:c>
      <x:c r="B336" s="1" t="str">
        <x:f>'Ranking'!C69</x:f>
        <x:v>Fearow</x:v>
      </x:c>
      <x:c r="C336" s="1" t="str">
        <x:f>'Habilidades'!D183</x:f>
        <x:v>Pluck</x:v>
      </x:c>
      <x:c r="D336" s="1" t="str">
        <x:f>'Habilidades'!F183</x:f>
        <x:v>Física</x:v>
      </x:c>
      <x:c r="E336" s="18" t="n">
        <x:f>'Habilidades'!G183</x:f>
        <x:v>60</x:v>
      </x:c>
      <x:c r="F336" s="18" t="n">
        <x:f>'Habilidades'!H183</x:f>
        <x:v>90</x:v>
      </x:c>
      <x:c r="G336" s="18" t="n">
        <x:f>'Habilidades'!I183</x:f>
        <x:v>150</x:v>
      </x:c>
    </x:row>
    <x:row r="337" ht="22" customHeight="1">
      <x:c r="A337" s="19" t="n">
        <x:f>IF(B337="","",IF(B337=B336,A336,A336+1))</x:f>
        <x:v>67</x:v>
      </x:c>
      <x:c r="B337" s="20" t="str">
        <x:f>'Ranking'!C69</x:f>
        <x:v>Fearow</x:v>
      </x:c>
      <x:c r="C337" s="20" t="str">
        <x:f>'Habilidades'!D184</x:f>
        <x:v>Aerial Ace</x:v>
      </x:c>
      <x:c r="D337" s="20" t="str">
        <x:f>'Habilidades'!F184</x:f>
        <x:v>Física</x:v>
      </x:c>
      <x:c r="E337" s="21" t="n">
        <x:f>'Habilidades'!G184</x:f>
        <x:v>60</x:v>
      </x:c>
      <x:c r="F337" s="21" t="n">
        <x:f>'Habilidades'!H184</x:f>
        <x:v>90</x:v>
      </x:c>
      <x:c r="G337" s="21" t="n">
        <x:f>'Habilidades'!I184</x:f>
        <x:v>150</x:v>
      </x:c>
    </x:row>
    <x:row r="338" ht="22" customHeight="1">
      <x:c r="A338" s="17" t="n">
        <x:f>IF(B338="","",IF(B338=B337,A337,A337+1))</x:f>
        <x:v>68</x:v>
      </x:c>
      <x:c r="B338" s="1" t="str">
        <x:f>'Ranking'!C76</x:f>
        <x:v>Forretress</x:v>
      </x:c>
      <x:c r="C338" s="1" t="str">
        <x:f>'Habilidades'!D1892</x:f>
        <x:v>Hive Crush</x:v>
      </x:c>
      <x:c r="D338" s="1" t="str">
        <x:f>'Habilidades'!F1892</x:f>
        <x:v>Física</x:v>
      </x:c>
      <x:c r="E338" s="18" t="n">
        <x:f>'Habilidades'!G1892</x:f>
        <x:v>300</x:v>
      </x:c>
      <x:c r="F338" s="18" t="n">
        <x:f>'Habilidades'!H1892</x:f>
        <x:v>90</x:v>
      </x:c>
      <x:c r="G338" s="18" t="n">
        <x:f>'Habilidades'!I1892</x:f>
        <x:v>390</x:v>
      </x:c>
    </x:row>
    <x:row r="339" ht="22" customHeight="1">
      <x:c r="A339" s="17" t="n">
        <x:f>IF(B339="","",IF(B339=B338,A338,A338+1))</x:f>
        <x:v>68</x:v>
      </x:c>
      <x:c r="B339" s="1" t="str">
        <x:f>'Ranking'!C76</x:f>
        <x:v>Forretress</x:v>
      </x:c>
      <x:c r="C339" s="1" t="str">
        <x:f>'Habilidades'!D1893</x:f>
        <x:v>Double-Edge</x:v>
      </x:c>
      <x:c r="D339" s="1" t="str">
        <x:f>'Habilidades'!F1893</x:f>
        <x:v>Física</x:v>
      </x:c>
      <x:c r="E339" s="18" t="n">
        <x:f>'Habilidades'!G1893</x:f>
        <x:v>120</x:v>
      </x:c>
      <x:c r="F339" s="18" t="n">
        <x:f>'Habilidades'!H1893</x:f>
        <x:v>90</x:v>
      </x:c>
      <x:c r="G339" s="18" t="n">
        <x:f>'Habilidades'!I1893</x:f>
        <x:v>210</x:v>
      </x:c>
    </x:row>
    <x:row r="340" ht="22" customHeight="1">
      <x:c r="A340" s="17" t="n">
        <x:f>IF(B340="","",IF(B340=B339,A339,A339+1))</x:f>
        <x:v>68</x:v>
      </x:c>
      <x:c r="B340" s="1" t="str">
        <x:f>'Ranking'!C76</x:f>
        <x:v>Forretress</x:v>
      </x:c>
      <x:c r="C340" s="1" t="str">
        <x:f>'Habilidades'!D1894</x:f>
        <x:v>Zap Cannon</x:v>
      </x:c>
      <x:c r="D340" s="1" t="str">
        <x:f>'Habilidades'!F1894</x:f>
        <x:v>Especial</x:v>
      </x:c>
      <x:c r="E340" s="18" t="n">
        <x:f>'Habilidades'!G1894</x:f>
        <x:v>120</x:v>
      </x:c>
      <x:c r="F340" s="18" t="n">
        <x:f>'Habilidades'!H1894</x:f>
        <x:v>60</x:v>
      </x:c>
      <x:c r="G340" s="18" t="n">
        <x:f>'Habilidades'!I1894</x:f>
        <x:v>180</x:v>
      </x:c>
    </x:row>
    <x:row r="341" ht="22" customHeight="1">
      <x:c r="A341" s="17" t="n">
        <x:f>IF(B341="","",IF(B341=B340,A340,A340+1))</x:f>
        <x:v>68</x:v>
      </x:c>
      <x:c r="B341" s="1" t="str">
        <x:f>'Ranking'!C76</x:f>
        <x:v>Forretress</x:v>
      </x:c>
      <x:c r="C341" s="1" t="str">
        <x:f>'Habilidades'!D1895</x:f>
        <x:v>Take Down</x:v>
      </x:c>
      <x:c r="D341" s="1" t="str">
        <x:f>'Habilidades'!F1895</x:f>
        <x:v>Física</x:v>
      </x:c>
      <x:c r="E341" s="18" t="n">
        <x:f>'Habilidades'!G1895</x:f>
        <x:v>90</x:v>
      </x:c>
      <x:c r="F341" s="18" t="n">
        <x:f>'Habilidades'!H1895</x:f>
        <x:v>90</x:v>
      </x:c>
      <x:c r="G341" s="18" t="n">
        <x:f>'Habilidades'!I1895</x:f>
        <x:v>180</x:v>
      </x:c>
    </x:row>
    <x:row r="342" ht="22" customHeight="1">
      <x:c r="A342" s="19" t="n">
        <x:f>IF(B342="","",IF(B342=B341,A341,A341+1))</x:f>
        <x:v>68</x:v>
      </x:c>
      <x:c r="B342" s="20" t="str">
        <x:f>'Ranking'!C76</x:f>
        <x:v>Forretress</x:v>
      </x:c>
      <x:c r="C342" s="20" t="str">
        <x:f>'Habilidades'!D1899</x:f>
        <x:v>Mirror Shot</x:v>
      </x:c>
      <x:c r="D342" s="20" t="str">
        <x:f>'Habilidades'!F1899</x:f>
        <x:v>Especial</x:v>
      </x:c>
      <x:c r="E342" s="21" t="n">
        <x:f>'Habilidades'!G1899</x:f>
        <x:v>65</x:v>
      </x:c>
      <x:c r="F342" s="21" t="n">
        <x:f>'Habilidades'!H1899</x:f>
        <x:v>60</x:v>
      </x:c>
      <x:c r="G342" s="21" t="n">
        <x:f>'Habilidades'!I1899</x:f>
        <x:v>125</x:v>
      </x:c>
    </x:row>
    <x:row r="343" ht="22" customHeight="1">
      <x:c r="A343" s="17" t="n">
        <x:f>IF(B343="","",IF(B343=B342,A342,A342+1))</x:f>
        <x:v>69</x:v>
      </x:c>
      <x:c r="B343" s="1" t="str">
        <x:f>'Ranking'!C67</x:f>
        <x:v>Houndoom</x:v>
      </x:c>
      <x:c r="C343" s="1" t="str">
        <x:f>'Habilidades'!D2157</x:f>
        <x:v>Endless Hollow</x:v>
      </x:c>
      <x:c r="D343" s="1" t="str">
        <x:f>'Habilidades'!F2157</x:f>
        <x:v>Física</x:v>
      </x:c>
      <x:c r="E343" s="18" t="n">
        <x:f>'Habilidades'!G2157</x:f>
        <x:v>300</x:v>
      </x:c>
      <x:c r="F343" s="18" t="n">
        <x:f>'Habilidades'!H2157</x:f>
        <x:v>90</x:v>
      </x:c>
      <x:c r="G343" s="18" t="n">
        <x:f>'Habilidades'!I2157</x:f>
        <x:v>390</x:v>
      </x:c>
    </x:row>
    <x:row r="344" ht="22" customHeight="1">
      <x:c r="A344" s="17" t="n">
        <x:f>IF(B344="","",IF(B344=B343,A343,A343+1))</x:f>
        <x:v>69</x:v>
      </x:c>
      <x:c r="B344" s="1" t="str">
        <x:f>'Ranking'!C67</x:f>
        <x:v>Houndoom</x:v>
      </x:c>
      <x:c r="C344" s="1" t="str">
        <x:f>'Habilidades'!D2158</x:f>
        <x:v>Inferno</x:v>
      </x:c>
      <x:c r="D344" s="1" t="str">
        <x:f>'Habilidades'!F2158</x:f>
        <x:v>Especial</x:v>
      </x:c>
      <x:c r="E344" s="18" t="n">
        <x:f>'Habilidades'!G2158</x:f>
        <x:v>100</x:v>
      </x:c>
      <x:c r="F344" s="18" t="n">
        <x:f>'Habilidades'!H2158</x:f>
        <x:v>110</x:v>
      </x:c>
      <x:c r="G344" s="18" t="n">
        <x:f>'Habilidades'!I2158</x:f>
        <x:v>210</x:v>
      </x:c>
    </x:row>
    <x:row r="345" ht="22" customHeight="1">
      <x:c r="A345" s="17" t="n">
        <x:f>IF(B345="","",IF(B345=B344,A344,A344+1))</x:f>
        <x:v>69</x:v>
      </x:c>
      <x:c r="B345" s="1" t="str">
        <x:f>'Ranking'!C67</x:f>
        <x:v>Houndoom</x:v>
      </x:c>
      <x:c r="C345" s="1" t="str">
        <x:f>'Habilidades'!D2159</x:f>
        <x:v>Flamethrower</x:v>
      </x:c>
      <x:c r="D345" s="1" t="str">
        <x:f>'Habilidades'!F2159</x:f>
        <x:v>Especial</x:v>
      </x:c>
      <x:c r="E345" s="18" t="n">
        <x:f>'Habilidades'!G2159</x:f>
        <x:v>90</x:v>
      </x:c>
      <x:c r="F345" s="18" t="n">
        <x:f>'Habilidades'!H2159</x:f>
        <x:v>110</x:v>
      </x:c>
      <x:c r="G345" s="18" t="n">
        <x:f>'Habilidades'!I2159</x:f>
        <x:v>200</x:v>
      </x:c>
    </x:row>
    <x:row r="346" ht="22" customHeight="1">
      <x:c r="A346" s="17" t="n">
        <x:f>IF(B346="","",IF(B346=B345,A345,A345+1))</x:f>
        <x:v>69</x:v>
      </x:c>
      <x:c r="B346" s="1" t="str">
        <x:f>'Ranking'!C67</x:f>
        <x:v>Houndoom</x:v>
      </x:c>
      <x:c r="C346" s="1" t="str">
        <x:f>'Habilidades'!D2160</x:f>
        <x:v>Foul Play</x:v>
      </x:c>
      <x:c r="D346" s="1" t="str">
        <x:f>'Habilidades'!F2160</x:f>
        <x:v>Física</x:v>
      </x:c>
      <x:c r="E346" s="18" t="n">
        <x:f>'Habilidades'!G2160</x:f>
        <x:v>95</x:v>
      </x:c>
      <x:c r="F346" s="18" t="n">
        <x:f>'Habilidades'!H2160</x:f>
        <x:v>90</x:v>
      </x:c>
      <x:c r="G346" s="18" t="n">
        <x:f>'Habilidades'!I2160</x:f>
        <x:v>185</x:v>
      </x:c>
    </x:row>
    <x:row r="347" ht="22" customHeight="1">
      <x:c r="A347" s="19" t="n">
        <x:f>IF(B347="","",IF(B347=B346,A346,A346+1))</x:f>
        <x:v>69</x:v>
      </x:c>
      <x:c r="B347" s="20" t="str">
        <x:f>'Ranking'!C67</x:f>
        <x:v>Houndoom</x:v>
      </x:c>
      <x:c r="C347" s="20" t="str">
        <x:f>'Habilidades'!D2161</x:f>
        <x:v>Crunch</x:v>
      </x:c>
      <x:c r="D347" s="20" t="str">
        <x:f>'Habilidades'!F2161</x:f>
        <x:v>Física</x:v>
      </x:c>
      <x:c r="E347" s="21" t="n">
        <x:f>'Habilidades'!G2161</x:f>
        <x:v>80</x:v>
      </x:c>
      <x:c r="F347" s="21" t="n">
        <x:f>'Habilidades'!H2161</x:f>
        <x:v>90</x:v>
      </x:c>
      <x:c r="G347" s="21" t="n">
        <x:f>'Habilidades'!I2161</x:f>
        <x:v>170</x:v>
      </x:c>
    </x:row>
    <x:row r="348" ht="22" customHeight="1">
      <x:c r="A348" s="17" t="n">
        <x:f>IF(B348="","",IF(B348=B347,A347,A347+1))</x:f>
        <x:v>70</x:v>
      </x:c>
      <x:c r="B348" s="1" t="str">
        <x:f>'Ranking'!C78</x:f>
        <x:v>Lugia</x:v>
      </x:c>
      <x:c r="C348" s="1" t="str">
        <x:f>'Habilidades'!D2323</x:f>
        <x:v>Massive Hurricane</x:v>
      </x:c>
      <x:c r="D348" s="1" t="str">
        <x:f>'Habilidades'!F2323</x:f>
        <x:v>Física</x:v>
      </x:c>
      <x:c r="E348" s="18" t="n">
        <x:f>'Habilidades'!G2323</x:f>
        <x:v>300</x:v>
      </x:c>
      <x:c r="F348" s="18" t="n">
        <x:f>'Habilidades'!H2323</x:f>
        <x:v>90</x:v>
      </x:c>
      <x:c r="G348" s="18" t="n">
        <x:f>'Habilidades'!I2323</x:f>
        <x:v>390</x:v>
      </x:c>
    </x:row>
    <x:row r="349" ht="22" customHeight="1">
      <x:c r="A349" s="17" t="n">
        <x:f>IF(B349="","",IF(B349=B348,A348,A348+1))</x:f>
        <x:v>70</x:v>
      </x:c>
      <x:c r="B349" s="1" t="str">
        <x:f>'Ranking'!C78</x:f>
        <x:v>Lugia</x:v>
      </x:c>
      <x:c r="C349" s="1" t="str">
        <x:f>'Habilidades'!D2324</x:f>
        <x:v>Mental Singularity</x:v>
      </x:c>
      <x:c r="D349" s="1" t="str">
        <x:f>'Habilidades'!F2324</x:f>
        <x:v>Especial</x:v>
      </x:c>
      <x:c r="E349" s="18" t="n">
        <x:f>'Habilidades'!G2324</x:f>
        <x:v>300</x:v>
      </x:c>
      <x:c r="F349" s="18" t="n">
        <x:f>'Habilidades'!H2324</x:f>
        <x:v>90</x:v>
      </x:c>
      <x:c r="G349" s="18" t="n">
        <x:f>'Habilidades'!I2324</x:f>
        <x:v>390</x:v>
      </x:c>
    </x:row>
    <x:row r="350" ht="22" customHeight="1">
      <x:c r="A350" s="17" t="n">
        <x:f>IF(B350="","",IF(B350=B349,A349,A349+1))</x:f>
        <x:v>70</x:v>
      </x:c>
      <x:c r="B350" s="1" t="str">
        <x:f>'Ranking'!C78</x:f>
        <x:v>Lugia</x:v>
      </x:c>
      <x:c r="C350" s="1" t="str">
        <x:f>'Habilidades'!D2325</x:f>
        <x:v>Sky Attack</x:v>
      </x:c>
      <x:c r="D350" s="1" t="str">
        <x:f>'Habilidades'!F2325</x:f>
        <x:v>Física</x:v>
      </x:c>
      <x:c r="E350" s="18" t="n">
        <x:f>'Habilidades'!G2325</x:f>
        <x:v>140</x:v>
      </x:c>
      <x:c r="F350" s="18" t="n">
        <x:f>'Habilidades'!H2325</x:f>
        <x:v>90</x:v>
      </x:c>
      <x:c r="G350" s="18" t="n">
        <x:f>'Habilidades'!I2325</x:f>
        <x:v>230</x:v>
      </x:c>
    </x:row>
    <x:row r="351" ht="22" customHeight="1">
      <x:c r="A351" s="17" t="n">
        <x:f>IF(B351="","",IF(B351=B350,A350,A350+1))</x:f>
        <x:v>70</x:v>
      </x:c>
      <x:c r="B351" s="1" t="str">
        <x:f>'Ranking'!C78</x:f>
        <x:v>Lugia</x:v>
      </x:c>
      <x:c r="C351" s="1" t="str">
        <x:f>'Habilidades'!D2326</x:f>
        <x:v>Future Sight</x:v>
      </x:c>
      <x:c r="D351" s="1" t="str">
        <x:f>'Habilidades'!F2326</x:f>
        <x:v>Especial</x:v>
      </x:c>
      <x:c r="E351" s="18" t="n">
        <x:f>'Habilidades'!G2326</x:f>
        <x:v>120</x:v>
      </x:c>
      <x:c r="F351" s="18" t="n">
        <x:f>'Habilidades'!H2326</x:f>
        <x:v>90</x:v>
      </x:c>
      <x:c r="G351" s="18" t="n">
        <x:f>'Habilidades'!I2326</x:f>
        <x:v>210</x:v>
      </x:c>
    </x:row>
    <x:row r="352" ht="22" customHeight="1">
      <x:c r="A352" s="19" t="n">
        <x:f>IF(B352="","",IF(B352=B351,A351,A351+1))</x:f>
        <x:v>70</x:v>
      </x:c>
      <x:c r="B352" s="20" t="str">
        <x:f>'Ranking'!C78</x:f>
        <x:v>Lugia</x:v>
      </x:c>
      <x:c r="C352" s="20" t="str">
        <x:f>'Habilidades'!D2327</x:f>
        <x:v>Hydro Pump</x:v>
      </x:c>
      <x:c r="D352" s="20" t="str">
        <x:f>'Habilidades'!F2327</x:f>
        <x:v>Especial</x:v>
      </x:c>
      <x:c r="E352" s="21" t="n">
        <x:f>'Habilidades'!G2327</x:f>
        <x:v>110</x:v>
      </x:c>
      <x:c r="F352" s="21" t="n">
        <x:f>'Habilidades'!H2327</x:f>
        <x:v>90</x:v>
      </x:c>
      <x:c r="G352" s="21" t="n">
        <x:f>'Habilidades'!I2327</x:f>
        <x:v>200</x:v>
      </x:c>
    </x:row>
    <x:row r="353" ht="22" customHeight="1">
      <x:c r="A353" s="17" t="n">
        <x:f>IF(B353="","",IF(B353=B352,A352,A352+1))</x:f>
        <x:v>71</x:v>
      </x:c>
      <x:c r="B353" s="1" t="str">
        <x:f>'Ranking'!C75</x:f>
        <x:v>Politoed</x:v>
      </x:c>
      <x:c r="C353" s="1" t="str">
        <x:f>'Habilidades'!D1753</x:f>
        <x:v>Cyclonic Tide</x:v>
      </x:c>
      <x:c r="D353" s="1" t="str">
        <x:f>'Habilidades'!F1753</x:f>
        <x:v>Especial</x:v>
      </x:c>
      <x:c r="E353" s="18" t="n">
        <x:f>'Habilidades'!G1753</x:f>
        <x:v>300</x:v>
      </x:c>
      <x:c r="F353" s="18" t="n">
        <x:f>'Habilidades'!H1753</x:f>
        <x:v>90</x:v>
      </x:c>
      <x:c r="G353" s="18" t="n">
        <x:f>'Habilidades'!I1753</x:f>
        <x:v>390</x:v>
      </x:c>
    </x:row>
    <x:row r="354" ht="22" customHeight="1">
      <x:c r="A354" s="17" t="n">
        <x:f>IF(B354="","",IF(B354=B353,A353,A353+1))</x:f>
        <x:v>71</x:v>
      </x:c>
      <x:c r="B354" s="1" t="str">
        <x:f>'Ranking'!C75</x:f>
        <x:v>Politoed</x:v>
      </x:c>
      <x:c r="C354" s="1" t="str">
        <x:f>'Habilidades'!D1754</x:f>
        <x:v>Hyper Voice</x:v>
      </x:c>
      <x:c r="D354" s="1" t="str">
        <x:f>'Habilidades'!F1754</x:f>
        <x:v>Especial</x:v>
      </x:c>
      <x:c r="E354" s="18" t="n">
        <x:f>'Habilidades'!G1754</x:f>
        <x:v>90</x:v>
      </x:c>
      <x:c r="F354" s="18" t="n">
        <x:f>'Habilidades'!H1754</x:f>
        <x:v>90</x:v>
      </x:c>
      <x:c r="G354" s="18" t="n">
        <x:f>'Habilidades'!I1754</x:f>
        <x:v>180</x:v>
      </x:c>
    </x:row>
    <x:row r="355" ht="22" customHeight="1">
      <x:c r="A355" s="17" t="n">
        <x:f>IF(B355="","",IF(B355=B354,A354,A354+1))</x:f>
        <x:v>71</x:v>
      </x:c>
      <x:c r="B355" s="1" t="str">
        <x:f>'Ranking'!C75</x:f>
        <x:v>Politoed</x:v>
      </x:c>
      <x:c r="C355" s="1" t="str">
        <x:f>'Habilidades'!D1755</x:f>
        <x:v>Bounce</x:v>
      </x:c>
      <x:c r="D355" s="1" t="str">
        <x:f>'Habilidades'!F1755</x:f>
        <x:v>Física</x:v>
      </x:c>
      <x:c r="E355" s="18" t="n">
        <x:f>'Habilidades'!G1755</x:f>
        <x:v>85</x:v>
      </x:c>
      <x:c r="F355" s="18" t="n">
        <x:f>'Habilidades'!H1755</x:f>
        <x:v>75</x:v>
      </x:c>
      <x:c r="G355" s="18" t="n">
        <x:f>'Habilidades'!I1755</x:f>
        <x:v>160</x:v>
      </x:c>
    </x:row>
    <x:row r="356" ht="22" customHeight="1">
      <x:c r="A356" s="17" t="n">
        <x:f>IF(B356="","",IF(B356=B355,A355,A355+1))</x:f>
        <x:v>71</x:v>
      </x:c>
      <x:c r="B356" s="1" t="str">
        <x:f>'Ranking'!C75</x:f>
        <x:v>Politoed</x:v>
      </x:c>
      <x:c r="C356" s="1" t="str">
        <x:f>'Habilidades'!D1756</x:f>
        <x:v>Bubble Beam</x:v>
      </x:c>
      <x:c r="D356" s="1" t="str">
        <x:f>'Habilidades'!F1756</x:f>
        <x:v>Especial</x:v>
      </x:c>
      <x:c r="E356" s="18" t="n">
        <x:f>'Habilidades'!G1756</x:f>
        <x:v>65</x:v>
      </x:c>
      <x:c r="F356" s="18" t="n">
        <x:f>'Habilidades'!H1756</x:f>
        <x:v>90</x:v>
      </x:c>
      <x:c r="G356" s="18" t="n">
        <x:f>'Habilidades'!I1756</x:f>
        <x:v>155</x:v>
      </x:c>
    </x:row>
    <x:row r="357" ht="22" customHeight="1">
      <x:c r="A357" s="19" t="n">
        <x:f>IF(B357="","",IF(B357=B356,A356,A356+1))</x:f>
        <x:v>71</x:v>
      </x:c>
      <x:c r="B357" s="20" t="str">
        <x:f>'Ranking'!C75</x:f>
        <x:v>Politoed</x:v>
      </x:c>
      <x:c r="C357" s="20" t="str">
        <x:f>'Habilidades'!D1757</x:f>
        <x:v>Double Slap</x:v>
      </x:c>
      <x:c r="D357" s="20" t="str">
        <x:f>'Habilidades'!F1757</x:f>
        <x:v>Física</x:v>
      </x:c>
      <x:c r="E357" s="21" t="n">
        <x:f>'Habilidades'!G1757</x:f>
        <x:v>15</x:v>
      </x:c>
      <x:c r="F357" s="21" t="n">
        <x:f>'Habilidades'!H1757</x:f>
        <x:v>75</x:v>
      </x:c>
      <x:c r="G357" s="21" t="n">
        <x:f>'Habilidades'!I1757</x:f>
        <x:v>90</x:v>
      </x:c>
    </x:row>
    <x:row r="358" ht="22" customHeight="1">
      <x:c r="A358" s="17" t="n">
        <x:f>IF(B358="","",IF(B358=B357,A357,A357+1))</x:f>
        <x:v>72</x:v>
      </x:c>
      <x:c r="B358" s="1" t="str">
        <x:f>'Ranking'!C70</x:f>
        <x:v>Raichu</x:v>
      </x:c>
      <x:c r="C358" s="1" t="str">
        <x:f>'Habilidades'!D221</x:f>
        <x:v>Static Overload</x:v>
      </x:c>
      <x:c r="D358" s="1" t="str">
        <x:f>'Habilidades'!F221</x:f>
        <x:v>Especial</x:v>
      </x:c>
      <x:c r="E358" s="18" t="n">
        <x:f>'Habilidades'!G221</x:f>
        <x:v>300</x:v>
      </x:c>
      <x:c r="F358" s="18" t="n">
        <x:f>'Habilidades'!H221</x:f>
        <x:v>90</x:v>
      </x:c>
      <x:c r="G358" s="18" t="n">
        <x:f>'Habilidades'!I221</x:f>
        <x:v>390</x:v>
      </x:c>
    </x:row>
    <x:row r="359" ht="22" customHeight="1">
      <x:c r="A359" s="17" t="n">
        <x:f>IF(B359="","",IF(B359=B358,A358,A358+1))</x:f>
        <x:v>72</x:v>
      </x:c>
      <x:c r="B359" s="1" t="str">
        <x:f>'Ranking'!C70</x:f>
        <x:v>Raichu</x:v>
      </x:c>
      <x:c r="C359" s="1" t="str">
        <x:f>'Habilidades'!D222</x:f>
        <x:v>Thunderbolt</x:v>
      </x:c>
      <x:c r="D359" s="1" t="str">
        <x:f>'Habilidades'!F222</x:f>
        <x:v>Especial</x:v>
      </x:c>
      <x:c r="E359" s="18" t="n">
        <x:f>'Habilidades'!G222</x:f>
        <x:v>90</x:v>
      </x:c>
      <x:c r="F359" s="18" t="n">
        <x:f>'Habilidades'!H222</x:f>
        <x:v>90</x:v>
      </x:c>
      <x:c r="G359" s="18" t="n">
        <x:f>'Habilidades'!I222</x:f>
        <x:v>180</x:v>
      </x:c>
    </x:row>
    <x:row r="360" ht="22" customHeight="1">
      <x:c r="A360" s="17" t="n">
        <x:f>IF(B360="","",IF(B360=B359,A359,A359+1))</x:f>
        <x:v>72</x:v>
      </x:c>
      <x:c r="B360" s="1" t="str">
        <x:f>'Ranking'!C70</x:f>
        <x:v>Raichu</x:v>
      </x:c>
      <x:c r="C360" s="1" t="str">
        <x:f>'Habilidades'!D223</x:f>
        <x:v>Thunder Shock</x:v>
      </x:c>
      <x:c r="D360" s="1" t="str">
        <x:f>'Habilidades'!F223</x:f>
        <x:v>Especial</x:v>
      </x:c>
      <x:c r="E360" s="18" t="n">
        <x:f>'Habilidades'!G223</x:f>
        <x:v>40</x:v>
      </x:c>
      <x:c r="F360" s="18" t="n">
        <x:f>'Habilidades'!H223</x:f>
        <x:v>90</x:v>
      </x:c>
      <x:c r="G360" s="18" t="n">
        <x:f>'Habilidades'!I223</x:f>
        <x:v>130</x:v>
      </x:c>
    </x:row>
    <x:row r="361" ht="22" customHeight="1">
      <x:c r="A361" s="19" t="n">
        <x:f>IF(B361="","",IF(B361=B360,A360,A360+1))</x:f>
        <x:v>72</x:v>
      </x:c>
      <x:c r="B361" s="20" t="str">
        <x:f>'Ranking'!C70</x:f>
        <x:v>Raichu</x:v>
      </x:c>
      <x:c r="C361" s="20" t="str">
        <x:f>'Habilidades'!D224</x:f>
        <x:v>Quick Attack</x:v>
      </x:c>
      <x:c r="D361" s="20" t="str">
        <x:f>'Habilidades'!F224</x:f>
        <x:v>Física</x:v>
      </x:c>
      <x:c r="E361" s="21" t="n">
        <x:f>'Habilidades'!G224</x:f>
        <x:v>40</x:v>
      </x:c>
      <x:c r="F361" s="21" t="n">
        <x:f>'Habilidades'!H224</x:f>
        <x:v>90</x:v>
      </x:c>
      <x:c r="G361" s="21" t="n">
        <x:f>'Habilidades'!I224</x:f>
        <x:v>130</x:v>
      </x:c>
    </x:row>
    <x:row r="362" ht="22" customHeight="1">
      <x:c r="A362" s="17" t="n">
        <x:f>IF(B362="","",IF(B362=B361,A361,A361+1))</x:f>
        <x:v>73</x:v>
      </x:c>
      <x:c r="B362" s="1" t="str">
        <x:f>'Ranking'!C77</x:f>
        <x:v>Suicune</x:v>
      </x:c>
      <x:c r="C362" s="1" t="str">
        <x:f>'Habilidades'!D2279</x:f>
        <x:v>Cyclonic Tide</x:v>
      </x:c>
      <x:c r="D362" s="1" t="str">
        <x:f>'Habilidades'!F2279</x:f>
        <x:v>Especial</x:v>
      </x:c>
      <x:c r="E362" s="18" t="n">
        <x:f>'Habilidades'!G2279</x:f>
        <x:v>300</x:v>
      </x:c>
      <x:c r="F362" s="18" t="n">
        <x:f>'Habilidades'!H2279</x:f>
        <x:v>90</x:v>
      </x:c>
      <x:c r="G362" s="18" t="n">
        <x:f>'Habilidades'!I2279</x:f>
        <x:v>390</x:v>
      </x:c>
    </x:row>
    <x:row r="363" ht="22" customHeight="1">
      <x:c r="A363" s="17" t="n">
        <x:f>IF(B363="","",IF(B363=B362,A362,A362+1))</x:f>
        <x:v>73</x:v>
      </x:c>
      <x:c r="B363" s="1" t="str">
        <x:f>'Ranking'!C77</x:f>
        <x:v>Suicune</x:v>
      </x:c>
      <x:c r="C363" s="1" t="str">
        <x:f>'Habilidades'!D2280</x:f>
        <x:v>Hydro Pump</x:v>
      </x:c>
      <x:c r="D363" s="1" t="str">
        <x:f>'Habilidades'!F2280</x:f>
        <x:v>Especial</x:v>
      </x:c>
      <x:c r="E363" s="18" t="n">
        <x:f>'Habilidades'!G2280</x:f>
        <x:v>110</x:v>
      </x:c>
      <x:c r="F363" s="18" t="n">
        <x:f>'Habilidades'!H2280</x:f>
        <x:v>90</x:v>
      </x:c>
      <x:c r="G363" s="18" t="n">
        <x:f>'Habilidades'!I2280</x:f>
        <x:v>200</x:v>
      </x:c>
    </x:row>
    <x:row r="364" ht="22" customHeight="1">
      <x:c r="A364" s="17" t="n">
        <x:f>IF(B364="","",IF(B364=B363,A363,A363+1))</x:f>
        <x:v>73</x:v>
      </x:c>
      <x:c r="B364" s="1" t="str">
        <x:f>'Ranking'!C77</x:f>
        <x:v>Suicune</x:v>
      </x:c>
      <x:c r="C364" s="1" t="str">
        <x:f>'Habilidades'!D2281</x:f>
        <x:v>Blizzard</x:v>
      </x:c>
      <x:c r="D364" s="1" t="str">
        <x:f>'Habilidades'!F2281</x:f>
        <x:v>Especial</x:v>
      </x:c>
      <x:c r="E364" s="18" t="n">
        <x:f>'Habilidades'!G2281</x:f>
        <x:v>110</x:v>
      </x:c>
      <x:c r="F364" s="18" t="n">
        <x:f>'Habilidades'!H2281</x:f>
        <x:v>90</x:v>
      </x:c>
      <x:c r="G364" s="18" t="n">
        <x:f>'Habilidades'!I2281</x:f>
        <x:v>200</x:v>
      </x:c>
    </x:row>
    <x:row r="365" ht="22" customHeight="1">
      <x:c r="A365" s="17" t="n">
        <x:f>IF(B365="","",IF(B365=B364,A364,A364+1))</x:f>
        <x:v>73</x:v>
      </x:c>
      <x:c r="B365" s="1" t="str">
        <x:f>'Ranking'!C77</x:f>
        <x:v>Suicune</x:v>
      </x:c>
      <x:c r="C365" s="1" t="str">
        <x:f>'Habilidades'!D2282</x:f>
        <x:v>Extrasensory</x:v>
      </x:c>
      <x:c r="D365" s="1" t="str">
        <x:f>'Habilidades'!F2282</x:f>
        <x:v>Especial</x:v>
      </x:c>
      <x:c r="E365" s="18" t="n">
        <x:f>'Habilidades'!G2282</x:f>
        <x:v>80</x:v>
      </x:c>
      <x:c r="F365" s="18" t="n">
        <x:f>'Habilidades'!H2282</x:f>
        <x:v>90</x:v>
      </x:c>
      <x:c r="G365" s="18" t="n">
        <x:f>'Habilidades'!I2282</x:f>
        <x:v>170</x:v>
      </x:c>
    </x:row>
    <x:row r="366" ht="22" customHeight="1">
      <x:c r="A366" s="19" t="n">
        <x:f>IF(B366="","",IF(B366=B365,A365,A365+1))</x:f>
        <x:v>73</x:v>
      </x:c>
      <x:c r="B366" s="20" t="str">
        <x:f>'Ranking'!C77</x:f>
        <x:v>Suicune</x:v>
      </x:c>
      <x:c r="C366" s="20" t="str">
        <x:f>'Habilidades'!D2283</x:f>
        <x:v>Bubble Beam</x:v>
      </x:c>
      <x:c r="D366" s="20" t="str">
        <x:f>'Habilidades'!F2283</x:f>
        <x:v>Especial</x:v>
      </x:c>
      <x:c r="E366" s="21" t="n">
        <x:f>'Habilidades'!G2283</x:f>
        <x:v>65</x:v>
      </x:c>
      <x:c r="F366" s="21" t="n">
        <x:f>'Habilidades'!H2283</x:f>
        <x:v>90</x:v>
      </x:c>
      <x:c r="G366" s="21" t="n">
        <x:f>'Habilidades'!I2283</x:f>
        <x:v>155</x:v>
      </x:c>
    </x:row>
    <x:row r="367" ht="22" customHeight="1">
      <x:c r="A367" s="17" t="n">
        <x:f>IF(B367="","",IF(B367=B366,A366,A366+1))</x:f>
        <x:v>74</x:v>
      </x:c>
      <x:c r="B367" s="1" t="str">
        <x:f>'Ranking'!C71</x:f>
        <x:v>Weezing</x:v>
      </x:c>
      <x:c r="C367" s="1" t="str">
        <x:f>'Habilidades'!D1038</x:f>
        <x:v>Toxic Deluge</x:v>
      </x:c>
      <x:c r="D367" s="1" t="str">
        <x:f>'Habilidades'!F1038</x:f>
        <x:v>Física</x:v>
      </x:c>
      <x:c r="E367" s="18" t="n">
        <x:f>'Habilidades'!G1038</x:f>
        <x:v>300</x:v>
      </x:c>
      <x:c r="F367" s="18" t="n">
        <x:f>'Habilidades'!H1038</x:f>
        <x:v>90</x:v>
      </x:c>
      <x:c r="G367" s="18" t="n">
        <x:f>'Habilidades'!I1038</x:f>
        <x:v>390</x:v>
      </x:c>
    </x:row>
    <x:row r="368" ht="22" customHeight="1">
      <x:c r="A368" s="17" t="n">
        <x:f>IF(B368="","",IF(B368=B367,A367,A367+1))</x:f>
        <x:v>74</x:v>
      </x:c>
      <x:c r="B368" s="1" t="str">
        <x:f>'Ranking'!C71</x:f>
        <x:v>Weezing</x:v>
      </x:c>
      <x:c r="C368" s="1" t="str">
        <x:f>'Habilidades'!D1039</x:f>
        <x:v>Belch</x:v>
      </x:c>
      <x:c r="D368" s="1" t="str">
        <x:f>'Habilidades'!F1039</x:f>
        <x:v>Especial</x:v>
      </x:c>
      <x:c r="E368" s="18" t="n">
        <x:f>'Habilidades'!G1039</x:f>
        <x:v>120</x:v>
      </x:c>
      <x:c r="F368" s="18" t="n">
        <x:f>'Habilidades'!H1039</x:f>
        <x:v>85</x:v>
      </x:c>
      <x:c r="G368" s="18" t="n">
        <x:f>'Habilidades'!I1039</x:f>
        <x:v>205</x:v>
      </x:c>
    </x:row>
    <x:row r="369" ht="22" customHeight="1">
      <x:c r="A369" s="17" t="n">
        <x:f>IF(B369="","",IF(B369=B368,A368,A368+1))</x:f>
        <x:v>74</x:v>
      </x:c>
      <x:c r="B369" s="1" t="str">
        <x:f>'Ranking'!C71</x:f>
        <x:v>Weezing</x:v>
      </x:c>
      <x:c r="C369" s="1" t="str">
        <x:f>'Habilidades'!D1040</x:f>
        <x:v>Sludge Bomb</x:v>
      </x:c>
      <x:c r="D369" s="1" t="str">
        <x:f>'Habilidades'!F1040</x:f>
        <x:v>Especial</x:v>
      </x:c>
      <x:c r="E369" s="18" t="n">
        <x:f>'Habilidades'!G1040</x:f>
        <x:v>90</x:v>
      </x:c>
      <x:c r="F369" s="18" t="n">
        <x:f>'Habilidades'!H1040</x:f>
        <x:v>85</x:v>
      </x:c>
      <x:c r="G369" s="18" t="n">
        <x:f>'Habilidades'!I1040</x:f>
        <x:v>175</x:v>
      </x:c>
    </x:row>
    <x:row r="370" ht="22" customHeight="1">
      <x:c r="A370" s="17" t="n">
        <x:f>IF(B370="","",IF(B370=B369,A369,A369+1))</x:f>
        <x:v>74</x:v>
      </x:c>
      <x:c r="B370" s="1" t="str">
        <x:f>'Ranking'!C71</x:f>
        <x:v>Weezing</x:v>
      </x:c>
      <x:c r="C370" s="1" t="str">
        <x:f>'Habilidades'!D1041</x:f>
        <x:v>Sludge</x:v>
      </x:c>
      <x:c r="D370" s="1" t="str">
        <x:f>'Habilidades'!F1041</x:f>
        <x:v>Especial</x:v>
      </x:c>
      <x:c r="E370" s="18" t="n">
        <x:f>'Habilidades'!G1041</x:f>
        <x:v>65</x:v>
      </x:c>
      <x:c r="F370" s="18" t="n">
        <x:f>'Habilidades'!H1041</x:f>
        <x:v>85</x:v>
      </x:c>
      <x:c r="G370" s="18" t="n">
        <x:f>'Habilidades'!I1041</x:f>
        <x:v>150</x:v>
      </x:c>
    </x:row>
    <x:row r="371" ht="22" customHeight="1">
      <x:c r="A371" s="19" t="n">
        <x:f>IF(B371="","",IF(B371=B370,A370,A370+1))</x:f>
        <x:v>74</x:v>
      </x:c>
      <x:c r="B371" s="20" t="str">
        <x:f>'Ranking'!C71</x:f>
        <x:v>Weezing</x:v>
      </x:c>
      <x:c r="C371" s="20" t="str">
        <x:f>'Habilidades'!D1042</x:f>
        <x:v>Assurance</x:v>
      </x:c>
      <x:c r="D371" s="20" t="str">
        <x:f>'Habilidades'!F1042</x:f>
        <x:v>Física</x:v>
      </x:c>
      <x:c r="E371" s="21" t="n">
        <x:f>'Habilidades'!G1042</x:f>
        <x:v>60</x:v>
      </x:c>
      <x:c r="F371" s="21" t="n">
        <x:f>'Habilidades'!H1042</x:f>
        <x:v>90</x:v>
      </x:c>
      <x:c r="G371" s="21" t="n">
        <x:f>'Habilidades'!I1042</x:f>
        <x:v>150</x:v>
      </x:c>
    </x:row>
    <x:row r="372" ht="22" customHeight="1">
      <x:c r="A372" s="17" t="n">
        <x:f>IF(B372="","",IF(B372=B371,A371,A371+1))</x:f>
        <x:v>75</x:v>
      </x:c>
      <x:c r="B372" s="1" t="str">
        <x:f>'Ranking'!C81</x:f>
        <x:v>Arbok</x:v>
      </x:c>
      <x:c r="C372" s="1" t="str">
        <x:f>'Habilidades'!D197</x:f>
        <x:v>Toxic Deluge</x:v>
      </x:c>
      <x:c r="D372" s="1" t="str">
        <x:f>'Habilidades'!F197</x:f>
        <x:v>Física</x:v>
      </x:c>
      <x:c r="E372" s="18" t="n">
        <x:f>'Habilidades'!G197</x:f>
        <x:v>300</x:v>
      </x:c>
      <x:c r="F372" s="18" t="n">
        <x:f>'Habilidades'!H197</x:f>
        <x:v>85</x:v>
      </x:c>
      <x:c r="G372" s="18" t="n">
        <x:f>'Habilidades'!I197</x:f>
        <x:v>385</x:v>
      </x:c>
    </x:row>
    <x:row r="373" ht="22" customHeight="1">
      <x:c r="A373" s="17" t="n">
        <x:f>IF(B373="","",IF(B373=B372,A372,A372+1))</x:f>
        <x:v>75</x:v>
      </x:c>
      <x:c r="B373" s="1" t="str">
        <x:f>'Ranking'!C81</x:f>
        <x:v>Arbok</x:v>
      </x:c>
      <x:c r="C373" s="1" t="str">
        <x:f>'Habilidades'!D198</x:f>
        <x:v>Gunk Shot</x:v>
      </x:c>
      <x:c r="D373" s="1" t="str">
        <x:f>'Habilidades'!F198</x:f>
        <x:v>Física</x:v>
      </x:c>
      <x:c r="E373" s="18" t="n">
        <x:f>'Habilidades'!G198</x:f>
        <x:v>120</x:v>
      </x:c>
      <x:c r="F373" s="18" t="n">
        <x:f>'Habilidades'!H198</x:f>
        <x:v>85</x:v>
      </x:c>
      <x:c r="G373" s="18" t="n">
        <x:f>'Habilidades'!I198</x:f>
        <x:v>205</x:v>
      </x:c>
    </x:row>
    <x:row r="374" ht="22" customHeight="1">
      <x:c r="A374" s="17" t="n">
        <x:f>IF(B374="","",IF(B374=B373,A373,A373+1))</x:f>
        <x:v>75</x:v>
      </x:c>
      <x:c r="B374" s="1" t="str">
        <x:f>'Ranking'!C81</x:f>
        <x:v>Arbok</x:v>
      </x:c>
      <x:c r="C374" s="1" t="str">
        <x:f>'Habilidades'!D199</x:f>
        <x:v>Belch</x:v>
      </x:c>
      <x:c r="D374" s="1" t="str">
        <x:f>'Habilidades'!F199</x:f>
        <x:v>Especial</x:v>
      </x:c>
      <x:c r="E374" s="18" t="n">
        <x:f>'Habilidades'!G199</x:f>
        <x:v>120</x:v>
      </x:c>
      <x:c r="F374" s="18" t="n">
        <x:f>'Habilidades'!H199</x:f>
        <x:v>65</x:v>
      </x:c>
      <x:c r="G374" s="18" t="n">
        <x:f>'Habilidades'!I199</x:f>
        <x:v>185</x:v>
      </x:c>
    </x:row>
    <x:row r="375" ht="22" customHeight="1">
      <x:c r="A375" s="17" t="n">
        <x:f>IF(B375="","",IF(B375=B374,A374,A374+1))</x:f>
        <x:v>75</x:v>
      </x:c>
      <x:c r="B375" s="1" t="str">
        <x:f>'Ranking'!C81</x:f>
        <x:v>Arbok</x:v>
      </x:c>
      <x:c r="C375" s="1" t="str">
        <x:f>'Habilidades'!D200</x:f>
        <x:v>Crunch</x:v>
      </x:c>
      <x:c r="D375" s="1" t="str">
        <x:f>'Habilidades'!F200</x:f>
        <x:v>Física</x:v>
      </x:c>
      <x:c r="E375" s="18" t="n">
        <x:f>'Habilidades'!G200</x:f>
        <x:v>80</x:v>
      </x:c>
      <x:c r="F375" s="18" t="n">
        <x:f>'Habilidades'!H200</x:f>
        <x:v>85</x:v>
      </x:c>
      <x:c r="G375" s="18" t="n">
        <x:f>'Habilidades'!I200</x:f>
        <x:v>165</x:v>
      </x:c>
    </x:row>
    <x:row r="376" ht="22" customHeight="1">
      <x:c r="A376" s="19" t="n">
        <x:f>IF(B376="","",IF(B376=B375,A375,A375+1))</x:f>
        <x:v>75</x:v>
      </x:c>
      <x:c r="B376" s="20" t="str">
        <x:f>'Ranking'!C81</x:f>
        <x:v>Arbok</x:v>
      </x:c>
      <x:c r="C376" s="20" t="str">
        <x:f>'Habilidades'!D201</x:f>
        <x:v>Thunder Fang</x:v>
      </x:c>
      <x:c r="D376" s="20" t="str">
        <x:f>'Habilidades'!F201</x:f>
        <x:v>Física</x:v>
      </x:c>
      <x:c r="E376" s="21" t="n">
        <x:f>'Habilidades'!G201</x:f>
        <x:v>65</x:v>
      </x:c>
      <x:c r="F376" s="21" t="n">
        <x:f>'Habilidades'!H201</x:f>
        <x:v>85</x:v>
      </x:c>
      <x:c r="G376" s="21" t="n">
        <x:f>'Habilidades'!I201</x:f>
        <x:v>150</x:v>
      </x:c>
    </x:row>
    <x:row r="377" ht="22" customHeight="1">
      <x:c r="A377" s="17" t="n">
        <x:f>IF(B377="","",IF(B377=B376,A376,A376+1))</x:f>
        <x:v>76</x:v>
      </x:c>
      <x:c r="B377" s="1" t="str">
        <x:f>'Ranking'!C80</x:f>
        <x:v>Blastoise</x:v>
      </x:c>
      <x:c r="C377" s="1" t="str">
        <x:f>'Habilidades'!D85</x:f>
        <x:v>Cyclonic Tide</x:v>
      </x:c>
      <x:c r="D377" s="1" t="str">
        <x:f>'Habilidades'!F85</x:f>
        <x:v>Especial</x:v>
      </x:c>
      <x:c r="E377" s="18" t="n">
        <x:f>'Habilidades'!G85</x:f>
        <x:v>300</x:v>
      </x:c>
      <x:c r="F377" s="18" t="n">
        <x:f>'Habilidades'!H85</x:f>
        <x:v>85</x:v>
      </x:c>
      <x:c r="G377" s="18" t="n">
        <x:f>'Habilidades'!I85</x:f>
        <x:v>385</x:v>
      </x:c>
    </x:row>
    <x:row r="378" ht="22" customHeight="1">
      <x:c r="A378" s="17" t="n">
        <x:f>IF(B378="","",IF(B378=B377,A377,A377+1))</x:f>
        <x:v>76</x:v>
      </x:c>
      <x:c r="B378" s="1" t="str">
        <x:f>'Ranking'!C80</x:f>
        <x:v>Blastoise</x:v>
      </x:c>
      <x:c r="C378" s="1" t="str">
        <x:f>'Habilidades'!D86</x:f>
        <x:v>Skull Bash</x:v>
      </x:c>
      <x:c r="D378" s="1" t="str">
        <x:f>'Habilidades'!F86</x:f>
        <x:v>Física</x:v>
      </x:c>
      <x:c r="E378" s="18" t="n">
        <x:f>'Habilidades'!G86</x:f>
        <x:v>130</x:v>
      </x:c>
      <x:c r="F378" s="18" t="n">
        <x:f>'Habilidades'!H86</x:f>
        <x:v>83</x:v>
      </x:c>
      <x:c r="G378" s="18" t="n">
        <x:f>'Habilidades'!I86</x:f>
        <x:v>213</x:v>
      </x:c>
    </x:row>
    <x:row r="379" ht="22" customHeight="1">
      <x:c r="A379" s="17" t="n">
        <x:f>IF(B379="","",IF(B379=B378,A378,A378+1))</x:f>
        <x:v>76</x:v>
      </x:c>
      <x:c r="B379" s="1" t="str">
        <x:f>'Ranking'!C80</x:f>
        <x:v>Blastoise</x:v>
      </x:c>
      <x:c r="C379" s="1" t="str">
        <x:f>'Habilidades'!D87</x:f>
        <x:v>Hydro Pump</x:v>
      </x:c>
      <x:c r="D379" s="1" t="str">
        <x:f>'Habilidades'!F87</x:f>
        <x:v>Especial</x:v>
      </x:c>
      <x:c r="E379" s="18" t="n">
        <x:f>'Habilidades'!G87</x:f>
        <x:v>110</x:v>
      </x:c>
      <x:c r="F379" s="18" t="n">
        <x:f>'Habilidades'!H87</x:f>
        <x:v>85</x:v>
      </x:c>
      <x:c r="G379" s="18" t="n">
        <x:f>'Habilidades'!I87</x:f>
        <x:v>195</x:v>
      </x:c>
    </x:row>
    <x:row r="380" ht="22" customHeight="1">
      <x:c r="A380" s="17" t="n">
        <x:f>IF(B380="","",IF(B380=B379,A379,A379+1))</x:f>
        <x:v>76</x:v>
      </x:c>
      <x:c r="B380" s="1" t="str">
        <x:f>'Ranking'!C80</x:f>
        <x:v>Blastoise</x:v>
      </x:c>
      <x:c r="C380" s="1" t="str">
        <x:f>'Habilidades'!D88</x:f>
        <x:v>Aqua Tail</x:v>
      </x:c>
      <x:c r="D380" s="1" t="str">
        <x:f>'Habilidades'!F88</x:f>
        <x:v>Física</x:v>
      </x:c>
      <x:c r="E380" s="18" t="n">
        <x:f>'Habilidades'!G88</x:f>
        <x:v>90</x:v>
      </x:c>
      <x:c r="F380" s="18" t="n">
        <x:f>'Habilidades'!H88</x:f>
        <x:v>83</x:v>
      </x:c>
      <x:c r="G380" s="18" t="n">
        <x:f>'Habilidades'!I88</x:f>
        <x:v>173</x:v>
      </x:c>
    </x:row>
    <x:row r="381" ht="22" customHeight="1">
      <x:c r="A381" s="19" t="n">
        <x:f>IF(B381="","",IF(B381=B380,A380,A380+1))</x:f>
        <x:v>76</x:v>
      </x:c>
      <x:c r="B381" s="20" t="str">
        <x:f>'Ranking'!C80</x:f>
        <x:v>Blastoise</x:v>
      </x:c>
      <x:c r="C381" s="20" t="str">
        <x:f>'Habilidades'!D89</x:f>
        <x:v>Flash Cannon</x:v>
      </x:c>
      <x:c r="D381" s="20" t="str">
        <x:f>'Habilidades'!F89</x:f>
        <x:v>Especial</x:v>
      </x:c>
      <x:c r="E381" s="21" t="n">
        <x:f>'Habilidades'!G89</x:f>
        <x:v>80</x:v>
      </x:c>
      <x:c r="F381" s="21" t="n">
        <x:f>'Habilidades'!H89</x:f>
        <x:v>85</x:v>
      </x:c>
      <x:c r="G381" s="21" t="n">
        <x:f>'Habilidades'!I89</x:f>
        <x:v>165</x:v>
      </x:c>
    </x:row>
    <x:row r="382" ht="22" customHeight="1">
      <x:c r="A382" s="17" t="n">
        <x:f>IF(B382="","",IF(B382=B381,A381,A381+1))</x:f>
        <x:v>77</x:v>
      </x:c>
      <x:c r="B382" s="1" t="str">
        <x:f>'Ranking'!C79</x:f>
        <x:v>Cloyster</x:v>
      </x:c>
      <x:c r="C382" s="1" t="str">
        <x:f>'Habilidades'!D845</x:f>
        <x:v>Cyclonic Tide</x:v>
      </x:c>
      <x:c r="D382" s="1" t="str">
        <x:f>'Habilidades'!F845</x:f>
        <x:v>Especial</x:v>
      </x:c>
      <x:c r="E382" s="18" t="n">
        <x:f>'Habilidades'!G845</x:f>
        <x:v>300</x:v>
      </x:c>
      <x:c r="F382" s="18" t="n">
        <x:f>'Habilidades'!H845</x:f>
        <x:v>85</x:v>
      </x:c>
      <x:c r="G382" s="18" t="n">
        <x:f>'Habilidades'!I845</x:f>
        <x:v>385</x:v>
      </x:c>
    </x:row>
    <x:row r="383" ht="22" customHeight="1">
      <x:c r="A383" s="17" t="n">
        <x:f>IF(B383="","",IF(B383=B382,A382,A382+1))</x:f>
        <x:v>77</x:v>
      </x:c>
      <x:c r="B383" s="1" t="str">
        <x:f>'Ranking'!C79</x:f>
        <x:v>Cloyster</x:v>
      </x:c>
      <x:c r="C383" s="1" t="str">
        <x:f>'Habilidades'!D846</x:f>
        <x:v>Hydro Pump</x:v>
      </x:c>
      <x:c r="D383" s="1" t="str">
        <x:f>'Habilidades'!F846</x:f>
        <x:v>Especial</x:v>
      </x:c>
      <x:c r="E383" s="18" t="n">
        <x:f>'Habilidades'!G846</x:f>
        <x:v>110</x:v>
      </x:c>
      <x:c r="F383" s="18" t="n">
        <x:f>'Habilidades'!H846</x:f>
        <x:v>85</x:v>
      </x:c>
      <x:c r="G383" s="18" t="n">
        <x:f>'Habilidades'!I846</x:f>
        <x:v>195</x:v>
      </x:c>
    </x:row>
    <x:row r="384" ht="22" customHeight="1">
      <x:c r="A384" s="17" t="n">
        <x:f>IF(B384="","",IF(B384=B383,A383,A383+1))</x:f>
        <x:v>77</x:v>
      </x:c>
      <x:c r="B384" s="1" t="str">
        <x:f>'Ranking'!C79</x:f>
        <x:v>Cloyster</x:v>
      </x:c>
      <x:c r="C384" s="1" t="str">
        <x:f>'Habilidades'!D847</x:f>
        <x:v>Icicle Crash</x:v>
      </x:c>
      <x:c r="D384" s="1" t="str">
        <x:f>'Habilidades'!F847</x:f>
        <x:v>Física</x:v>
      </x:c>
      <x:c r="E384" s="18" t="n">
        <x:f>'Habilidades'!G847</x:f>
        <x:v>85</x:v>
      </x:c>
      <x:c r="F384" s="18" t="n">
        <x:f>'Habilidades'!H847</x:f>
        <x:v>95</x:v>
      </x:c>
      <x:c r="G384" s="18" t="n">
        <x:f>'Habilidades'!I847</x:f>
        <x:v>180</x:v>
      </x:c>
    </x:row>
    <x:row r="385" ht="22" customHeight="1">
      <x:c r="A385" s="17" t="n">
        <x:f>IF(B385="","",IF(B385=B384,A384,A384+1))</x:f>
        <x:v>77</x:v>
      </x:c>
      <x:c r="B385" s="1" t="str">
        <x:f>'Ranking'!C79</x:f>
        <x:v>Cloyster</x:v>
      </x:c>
      <x:c r="C385" s="1" t="str">
        <x:f>'Habilidades'!D848</x:f>
        <x:v>Aurora Beam</x:v>
      </x:c>
      <x:c r="D385" s="1" t="str">
        <x:f>'Habilidades'!F848</x:f>
        <x:v>Especial</x:v>
      </x:c>
      <x:c r="E385" s="18" t="n">
        <x:f>'Habilidades'!G848</x:f>
        <x:v>65</x:v>
      </x:c>
      <x:c r="F385" s="18" t="n">
        <x:f>'Habilidades'!H848</x:f>
        <x:v>85</x:v>
      </x:c>
      <x:c r="G385" s="18" t="n">
        <x:f>'Habilidades'!I848</x:f>
        <x:v>150</x:v>
      </x:c>
    </x:row>
    <x:row r="386" ht="22" customHeight="1">
      <x:c r="A386" s="19" t="n">
        <x:f>IF(B386="","",IF(B386=B385,A385,A385+1))</x:f>
        <x:v>77</x:v>
      </x:c>
      <x:c r="B386" s="20" t="str">
        <x:f>'Ranking'!C79</x:f>
        <x:v>Cloyster</x:v>
      </x:c>
      <x:c r="C386" s="20" t="str">
        <x:f>'Habilidades'!D849</x:f>
        <x:v>Spike Cannon</x:v>
      </x:c>
      <x:c r="D386" s="20" t="str">
        <x:f>'Habilidades'!F849</x:f>
        <x:v>Física</x:v>
      </x:c>
      <x:c r="E386" s="21" t="n">
        <x:f>'Habilidades'!G849</x:f>
        <x:v>20</x:v>
      </x:c>
      <x:c r="F386" s="21" t="n">
        <x:f>'Habilidades'!H849</x:f>
        <x:v>95</x:v>
      </x:c>
      <x:c r="G386" s="21" t="n">
        <x:f>'Habilidades'!I849</x:f>
        <x:v>115</x:v>
      </x:c>
    </x:row>
    <x:row r="387" ht="22" customHeight="1">
      <x:c r="A387" s="17" t="n">
        <x:f>IF(B387="","",IF(B387=B386,A386,A386+1))</x:f>
        <x:v>78</x:v>
      </x:c>
      <x:c r="B387" s="1" t="str">
        <x:f>'Ranking'!C82</x:f>
        <x:v>Lapras</x:v>
      </x:c>
      <x:c r="C387" s="1" t="str">
        <x:f>'Habilidades'!D1258</x:f>
        <x:v>Cyclonic Tide</x:v>
      </x:c>
      <x:c r="D387" s="1" t="str">
        <x:f>'Habilidades'!F1258</x:f>
        <x:v>Especial</x:v>
      </x:c>
      <x:c r="E387" s="18" t="n">
        <x:f>'Habilidades'!G1258</x:f>
        <x:v>300</x:v>
      </x:c>
      <x:c r="F387" s="18" t="n">
        <x:f>'Habilidades'!H1258</x:f>
        <x:v>85</x:v>
      </x:c>
      <x:c r="G387" s="18" t="n">
        <x:f>'Habilidades'!I1258</x:f>
        <x:v>385</x:v>
      </x:c>
    </x:row>
    <x:row r="388" ht="22" customHeight="1">
      <x:c r="A388" s="17" t="n">
        <x:f>IF(B388="","",IF(B388=B387,A387,A387+1))</x:f>
        <x:v>78</x:v>
      </x:c>
      <x:c r="B388" s="1" t="str">
        <x:f>'Ranking'!C82</x:f>
        <x:v>Lapras</x:v>
      </x:c>
      <x:c r="C388" s="1" t="str">
        <x:f>'Habilidades'!D1259</x:f>
        <x:v>Hydro Pump</x:v>
      </x:c>
      <x:c r="D388" s="1" t="str">
        <x:f>'Habilidades'!F1259</x:f>
        <x:v>Especial</x:v>
      </x:c>
      <x:c r="E388" s="18" t="n">
        <x:f>'Habilidades'!G1259</x:f>
        <x:v>110</x:v>
      </x:c>
      <x:c r="F388" s="18" t="n">
        <x:f>'Habilidades'!H1259</x:f>
        <x:v>85</x:v>
      </x:c>
      <x:c r="G388" s="18" t="n">
        <x:f>'Habilidades'!I1259</x:f>
        <x:v>195</x:v>
      </x:c>
    </x:row>
    <x:row r="389" ht="22" customHeight="1">
      <x:c r="A389" s="17" t="n">
        <x:f>IF(B389="","",IF(B389=B388,A388,A388+1))</x:f>
        <x:v>78</x:v>
      </x:c>
      <x:c r="B389" s="1" t="str">
        <x:f>'Ranking'!C82</x:f>
        <x:v>Lapras</x:v>
      </x:c>
      <x:c r="C389" s="1" t="str">
        <x:f>'Habilidades'!D1260</x:f>
        <x:v>Ice Beam</x:v>
      </x:c>
      <x:c r="D389" s="1" t="str">
        <x:f>'Habilidades'!F1260</x:f>
        <x:v>Especial</x:v>
      </x:c>
      <x:c r="E389" s="18" t="n">
        <x:f>'Habilidades'!G1260</x:f>
        <x:v>90</x:v>
      </x:c>
      <x:c r="F389" s="18" t="n">
        <x:f>'Habilidades'!H1260</x:f>
        <x:v>85</x:v>
      </x:c>
      <x:c r="G389" s="18" t="n">
        <x:f>'Habilidades'!I1260</x:f>
        <x:v>175</x:v>
      </x:c>
    </x:row>
    <x:row r="390" ht="22" customHeight="1">
      <x:c r="A390" s="17" t="n">
        <x:f>IF(B390="","",IF(B390=B389,A389,A389+1))</x:f>
        <x:v>78</x:v>
      </x:c>
      <x:c r="B390" s="1" t="str">
        <x:f>'Ranking'!C82</x:f>
        <x:v>Lapras</x:v>
      </x:c>
      <x:c r="C390" s="1" t="str">
        <x:f>'Habilidades'!D1261</x:f>
        <x:v>Body Slam</x:v>
      </x:c>
      <x:c r="D390" s="1" t="str">
        <x:f>'Habilidades'!F1261</x:f>
        <x:v>Física</x:v>
      </x:c>
      <x:c r="E390" s="18" t="n">
        <x:f>'Habilidades'!G1261</x:f>
        <x:v>85</x:v>
      </x:c>
      <x:c r="F390" s="18" t="n">
        <x:f>'Habilidades'!H1261</x:f>
        <x:v>85</x:v>
      </x:c>
      <x:c r="G390" s="18" t="n">
        <x:f>'Habilidades'!I1261</x:f>
        <x:v>170</x:v>
      </x:c>
    </x:row>
    <x:row r="391" ht="22" customHeight="1">
      <x:c r="A391" s="19" t="n">
        <x:f>IF(B391="","",IF(B391=B390,A390,A390+1))</x:f>
        <x:v>78</x:v>
      </x:c>
      <x:c r="B391" s="20" t="str">
        <x:f>'Ranking'!C82</x:f>
        <x:v>Lapras</x:v>
      </x:c>
      <x:c r="C391" s="20" t="str">
        <x:f>'Habilidades'!D1262</x:f>
        <x:v>Brine</x:v>
      </x:c>
      <x:c r="D391" s="20" t="str">
        <x:f>'Habilidades'!F1262</x:f>
        <x:v>Especial</x:v>
      </x:c>
      <x:c r="E391" s="21" t="n">
        <x:f>'Habilidades'!G1262</x:f>
        <x:v>65</x:v>
      </x:c>
      <x:c r="F391" s="21" t="n">
        <x:f>'Habilidades'!H1262</x:f>
        <x:v>85</x:v>
      </x:c>
      <x:c r="G391" s="21" t="n">
        <x:f>'Habilidades'!I1262</x:f>
        <x:v>150</x:v>
      </x:c>
    </x:row>
    <x:row r="392" ht="22" customHeight="1">
      <x:c r="A392" s="17" t="n">
        <x:f>IF(B392="","",IF(B392=B391,A391,A391+1))</x:f>
        <x:v>79</x:v>
      </x:c>
      <x:c r="B392" s="1" t="str">
        <x:f>'Ranking'!C83</x:f>
        <x:v>Murkrow</x:v>
      </x:c>
      <x:c r="C392" s="1" t="str">
        <x:f>'Habilidades'!D1849</x:f>
        <x:v>Massive Hurricane</x:v>
      </x:c>
      <x:c r="D392" s="1" t="str">
        <x:f>'Habilidades'!F1849</x:f>
        <x:v>Física</x:v>
      </x:c>
      <x:c r="E392" s="18" t="n">
        <x:f>'Habilidades'!G1849</x:f>
        <x:v>300</x:v>
      </x:c>
      <x:c r="F392" s="18" t="n">
        <x:f>'Habilidades'!H1849</x:f>
        <x:v>85</x:v>
      </x:c>
      <x:c r="G392" s="18" t="n">
        <x:f>'Habilidades'!I1849</x:f>
        <x:v>385</x:v>
      </x:c>
    </x:row>
    <x:row r="393" ht="22" customHeight="1">
      <x:c r="A393" s="17" t="n">
        <x:f>IF(B393="","",IF(B393=B392,A392,A392+1))</x:f>
        <x:v>79</x:v>
      </x:c>
      <x:c r="B393" s="1" t="str">
        <x:f>'Ranking'!C83</x:f>
        <x:v>Murkrow</x:v>
      </x:c>
      <x:c r="C393" s="1" t="str">
        <x:f>'Habilidades'!D1850</x:f>
        <x:v>Endless Hollow</x:v>
      </x:c>
      <x:c r="D393" s="1" t="str">
        <x:f>'Habilidades'!F1850</x:f>
        <x:v>Física</x:v>
      </x:c>
      <x:c r="E393" s="18" t="n">
        <x:f>'Habilidades'!G1850</x:f>
        <x:v>300</x:v>
      </x:c>
      <x:c r="F393" s="18" t="n">
        <x:f>'Habilidades'!H1850</x:f>
        <x:v>85</x:v>
      </x:c>
      <x:c r="G393" s="18" t="n">
        <x:f>'Habilidades'!I1850</x:f>
        <x:v>385</x:v>
      </x:c>
    </x:row>
    <x:row r="394" ht="22" customHeight="1">
      <x:c r="A394" s="17" t="n">
        <x:f>IF(B394="","",IF(B394=B393,A393,A393+1))</x:f>
        <x:v>79</x:v>
      </x:c>
      <x:c r="B394" s="1" t="str">
        <x:f>'Ranking'!C83</x:f>
        <x:v>Murkrow</x:v>
      </x:c>
      <x:c r="C394" s="1" t="str">
        <x:f>'Habilidades'!D1851</x:f>
        <x:v>Foul Play</x:v>
      </x:c>
      <x:c r="D394" s="1" t="str">
        <x:f>'Habilidades'!F1851</x:f>
        <x:v>Física</x:v>
      </x:c>
      <x:c r="E394" s="18" t="n">
        <x:f>'Habilidades'!G1851</x:f>
        <x:v>95</x:v>
      </x:c>
      <x:c r="F394" s="18" t="n">
        <x:f>'Habilidades'!H1851</x:f>
        <x:v>85</x:v>
      </x:c>
      <x:c r="G394" s="18" t="n">
        <x:f>'Habilidades'!I1851</x:f>
        <x:v>180</x:v>
      </x:c>
    </x:row>
    <x:row r="395" ht="22" customHeight="1">
      <x:c r="A395" s="17" t="n">
        <x:f>IF(B395="","",IF(B395=B394,A394,A394+1))</x:f>
        <x:v>79</x:v>
      </x:c>
      <x:c r="B395" s="1" t="str">
        <x:f>'Ranking'!C83</x:f>
        <x:v>Murkrow</x:v>
      </x:c>
      <x:c r="C395" s="1" t="str">
        <x:f>'Habilidades'!D1852</x:f>
        <x:v>Sucker Punch</x:v>
      </x:c>
      <x:c r="D395" s="1" t="str">
        <x:f>'Habilidades'!F1852</x:f>
        <x:v>Física</x:v>
      </x:c>
      <x:c r="E395" s="18" t="n">
        <x:f>'Habilidades'!G1852</x:f>
        <x:v>80</x:v>
      </x:c>
      <x:c r="F395" s="18" t="n">
        <x:f>'Habilidades'!H1852</x:f>
        <x:v>85</x:v>
      </x:c>
      <x:c r="G395" s="18" t="n">
        <x:f>'Habilidades'!I1852</x:f>
        <x:v>165</x:v>
      </x:c>
    </x:row>
    <x:row r="396" ht="22" customHeight="1">
      <x:c r="A396" s="19" t="n">
        <x:f>IF(B396="","",IF(B396=B395,A395,A395+1))</x:f>
        <x:v>79</x:v>
      </x:c>
      <x:c r="B396" s="20" t="str">
        <x:f>'Ranking'!C83</x:f>
        <x:v>Murkrow</x:v>
      </x:c>
      <x:c r="C396" s="20" t="str">
        <x:f>'Habilidades'!D1853</x:f>
        <x:v>Wing Attack</x:v>
      </x:c>
      <x:c r="D396" s="20" t="str">
        <x:f>'Habilidades'!F1853</x:f>
        <x:v>Física</x:v>
      </x:c>
      <x:c r="E396" s="21" t="n">
        <x:f>'Habilidades'!G1853</x:f>
        <x:v>60</x:v>
      </x:c>
      <x:c r="F396" s="21" t="n">
        <x:f>'Habilidades'!H1853</x:f>
        <x:v>85</x:v>
      </x:c>
      <x:c r="G396" s="21" t="n">
        <x:f>'Habilidades'!I1853</x:f>
        <x:v>145</x:v>
      </x:c>
    </x:row>
    <x:row r="397" ht="22" customHeight="1">
      <x:c r="A397" s="17" t="n">
        <x:f>IF(B397="","",IF(B397=B396,A396,A396+1))</x:f>
        <x:v>80</x:v>
      </x:c>
      <x:c r="B397" s="1" t="str">
        <x:f>'Ranking'!C84</x:f>
        <x:v>Steelix</x:v>
      </x:c>
      <x:c r="C397" s="1" t="str">
        <x:f>'Habilidades'!D1921</x:f>
        <x:v>Crossing Fissure</x:v>
      </x:c>
      <x:c r="D397" s="1" t="str">
        <x:f>'Habilidades'!F1921</x:f>
        <x:v>Física</x:v>
      </x:c>
      <x:c r="E397" s="18" t="n">
        <x:f>'Habilidades'!G1921</x:f>
        <x:v>300</x:v>
      </x:c>
      <x:c r="F397" s="18" t="n">
        <x:f>'Habilidades'!H1921</x:f>
        <x:v>85</x:v>
      </x:c>
      <x:c r="G397" s="18" t="n">
        <x:f>'Habilidades'!I1921</x:f>
        <x:v>385</x:v>
      </x:c>
    </x:row>
    <x:row r="398" ht="22" customHeight="1">
      <x:c r="A398" s="17" t="n">
        <x:f>IF(B398="","",IF(B398=B397,A397,A397+1))</x:f>
        <x:v>80</x:v>
      </x:c>
      <x:c r="B398" s="1" t="str">
        <x:f>'Ranking'!C84</x:f>
        <x:v>Steelix</x:v>
      </x:c>
      <x:c r="C398" s="1" t="str">
        <x:f>'Habilidades'!D1922</x:f>
        <x:v>Double-Edge</x:v>
      </x:c>
      <x:c r="D398" s="1" t="str">
        <x:f>'Habilidades'!F1922</x:f>
        <x:v>Física</x:v>
      </x:c>
      <x:c r="E398" s="18" t="n">
        <x:f>'Habilidades'!G1922</x:f>
        <x:v>120</x:v>
      </x:c>
      <x:c r="F398" s="18" t="n">
        <x:f>'Habilidades'!H1922</x:f>
        <x:v>85</x:v>
      </x:c>
      <x:c r="G398" s="18" t="n">
        <x:f>'Habilidades'!I1922</x:f>
        <x:v>205</x:v>
      </x:c>
    </x:row>
    <x:row r="399" ht="22" customHeight="1">
      <x:c r="A399" s="17" t="n">
        <x:f>IF(B399="","",IF(B399=B398,A398,A398+1))</x:f>
        <x:v>80</x:v>
      </x:c>
      <x:c r="B399" s="1" t="str">
        <x:f>'Ranking'!C84</x:f>
        <x:v>Steelix</x:v>
      </x:c>
      <x:c r="C399" s="1" t="str">
        <x:f>'Habilidades'!D1923</x:f>
        <x:v>Iron Tail</x:v>
      </x:c>
      <x:c r="D399" s="1" t="str">
        <x:f>'Habilidades'!F1923</x:f>
        <x:v>Física</x:v>
      </x:c>
      <x:c r="E399" s="18" t="n">
        <x:f>'Habilidades'!G1923</x:f>
        <x:v>100</x:v>
      </x:c>
      <x:c r="F399" s="18" t="n">
        <x:f>'Habilidades'!H1923</x:f>
        <x:v>85</x:v>
      </x:c>
      <x:c r="G399" s="18" t="n">
        <x:f>'Habilidades'!I1923</x:f>
        <x:v>185</x:v>
      </x:c>
    </x:row>
    <x:row r="400" ht="22" customHeight="1">
      <x:c r="A400" s="17" t="n">
        <x:f>IF(B400="","",IF(B400=B399,A399,A399+1))</x:f>
        <x:v>80</x:v>
      </x:c>
      <x:c r="B400" s="1" t="str">
        <x:f>'Ranking'!C84</x:f>
        <x:v>Steelix</x:v>
      </x:c>
      <x:c r="C400" s="1" t="str">
        <x:f>'Habilidades'!D1924</x:f>
        <x:v>Stone Edge</x:v>
      </x:c>
      <x:c r="D400" s="1" t="str">
        <x:f>'Habilidades'!F1924</x:f>
        <x:v>Física</x:v>
      </x:c>
      <x:c r="E400" s="18" t="n">
        <x:f>'Habilidades'!G1924</x:f>
        <x:v>100</x:v>
      </x:c>
      <x:c r="F400" s="18" t="n">
        <x:f>'Habilidades'!H1924</x:f>
        <x:v>85</x:v>
      </x:c>
      <x:c r="G400" s="18" t="n">
        <x:f>'Habilidades'!I1924</x:f>
        <x:v>185</x:v>
      </x:c>
    </x:row>
    <x:row r="401" ht="22" customHeight="1">
      <x:c r="A401" s="19" t="n">
        <x:f>IF(B401="","",IF(B401=B400,A400,A400+1))</x:f>
        <x:v>80</x:v>
      </x:c>
      <x:c r="B401" s="20" t="str">
        <x:f>'Ranking'!C84</x:f>
        <x:v>Steelix</x:v>
      </x:c>
      <x:c r="C401" s="20" t="str">
        <x:f>'Habilidades'!D1925</x:f>
        <x:v>Slam</x:v>
      </x:c>
      <x:c r="D401" s="20" t="str">
        <x:f>'Habilidades'!F1925</x:f>
        <x:v>Física</x:v>
      </x:c>
      <x:c r="E401" s="21" t="n">
        <x:f>'Habilidades'!G1925</x:f>
        <x:v>80</x:v>
      </x:c>
      <x:c r="F401" s="21" t="n">
        <x:f>'Habilidades'!H1925</x:f>
        <x:v>85</x:v>
      </x:c>
      <x:c r="G401" s="21" t="n">
        <x:f>'Habilidades'!I1925</x:f>
        <x:v>165</x:v>
      </x:c>
    </x:row>
    <x:row r="402" ht="22" customHeight="1">
      <x:c r="A402" s="17" t="n">
        <x:f>IF(B402="","",IF(B402=B401,A401,A401+1))</x:f>
        <x:v>81</x:v>
      </x:c>
      <x:c r="B402" s="1" t="str">
        <x:f>'Ranking'!C85</x:f>
        <x:v>Meganium</x:v>
      </x:c>
      <x:c r="C402" s="1" t="str">
        <x:f>'Habilidades'!D1477</x:f>
        <x:v>Petal Bloom</x:v>
      </x:c>
      <x:c r="D402" s="1" t="str">
        <x:f>'Habilidades'!F1477</x:f>
        <x:v>Especial</x:v>
      </x:c>
      <x:c r="E402" s="18" t="n">
        <x:f>'Habilidades'!G1477</x:f>
        <x:v>300</x:v>
      </x:c>
      <x:c r="F402" s="18" t="n">
        <x:f>'Habilidades'!H1477</x:f>
        <x:v>83</x:v>
      </x:c>
      <x:c r="G402" s="18" t="n">
        <x:f>'Habilidades'!I1477</x:f>
        <x:v>383</x:v>
      </x:c>
    </x:row>
    <x:row r="403" ht="22" customHeight="1">
      <x:c r="A403" s="17" t="n">
        <x:f>IF(B403="","",IF(B403=B402,A402,A402+1))</x:f>
        <x:v>81</x:v>
      </x:c>
      <x:c r="B403" s="1" t="str">
        <x:f>'Ranking'!C85</x:f>
        <x:v>Meganium</x:v>
      </x:c>
      <x:c r="C403" s="1" t="str">
        <x:f>'Habilidades'!D1478</x:f>
        <x:v>Petal Dance</x:v>
      </x:c>
      <x:c r="D403" s="1" t="str">
        <x:f>'Habilidades'!F1478</x:f>
        <x:v>Especial</x:v>
      </x:c>
      <x:c r="E403" s="18" t="n">
        <x:f>'Habilidades'!G1478</x:f>
        <x:v>120</x:v>
      </x:c>
      <x:c r="F403" s="18" t="n">
        <x:f>'Habilidades'!H1478</x:f>
        <x:v>83</x:v>
      </x:c>
      <x:c r="G403" s="18" t="n">
        <x:f>'Habilidades'!I1478</x:f>
        <x:v>203</x:v>
      </x:c>
    </x:row>
    <x:row r="404" ht="22" customHeight="1">
      <x:c r="A404" s="17" t="n">
        <x:f>IF(B404="","",IF(B404=B403,A403,A403+1))</x:f>
        <x:v>81</x:v>
      </x:c>
      <x:c r="B404" s="1" t="str">
        <x:f>'Ranking'!C85</x:f>
        <x:v>Meganium</x:v>
      </x:c>
      <x:c r="C404" s="1" t="str">
        <x:f>'Habilidades'!D1479</x:f>
        <x:v>Solar Beam</x:v>
      </x:c>
      <x:c r="D404" s="1" t="str">
        <x:f>'Habilidades'!F1479</x:f>
        <x:v>Especial</x:v>
      </x:c>
      <x:c r="E404" s="18" t="n">
        <x:f>'Habilidades'!G1479</x:f>
        <x:v>120</x:v>
      </x:c>
      <x:c r="F404" s="18" t="n">
        <x:f>'Habilidades'!H1479</x:f>
        <x:v>83</x:v>
      </x:c>
      <x:c r="G404" s="18" t="n">
        <x:f>'Habilidades'!I1479</x:f>
        <x:v>203</x:v>
      </x:c>
    </x:row>
    <x:row r="405" ht="22" customHeight="1">
      <x:c r="A405" s="17" t="n">
        <x:f>IF(B405="","",IF(B405=B404,A404,A404+1))</x:f>
        <x:v>81</x:v>
      </x:c>
      <x:c r="B405" s="1" t="str">
        <x:f>'Ranking'!C85</x:f>
        <x:v>Meganium</x:v>
      </x:c>
      <x:c r="C405" s="1" t="str">
        <x:f>'Habilidades'!D1480</x:f>
        <x:v>Petal Blizzard</x:v>
      </x:c>
      <x:c r="D405" s="1" t="str">
        <x:f>'Habilidades'!F1480</x:f>
        <x:v>Física</x:v>
      </x:c>
      <x:c r="E405" s="18" t="n">
        <x:f>'Habilidades'!G1480</x:f>
        <x:v>90</x:v>
      </x:c>
      <x:c r="F405" s="18" t="n">
        <x:f>'Habilidades'!H1480</x:f>
        <x:v>82</x:v>
      </x:c>
      <x:c r="G405" s="18" t="n">
        <x:f>'Habilidades'!I1480</x:f>
        <x:v>172</x:v>
      </x:c>
    </x:row>
    <x:row r="406" ht="22" customHeight="1">
      <x:c r="A406" s="19" t="n">
        <x:f>IF(B406="","",IF(B406=B405,A405,A405+1))</x:f>
        <x:v>81</x:v>
      </x:c>
      <x:c r="B406" s="20" t="str">
        <x:f>'Ranking'!C85</x:f>
        <x:v>Meganium</x:v>
      </x:c>
      <x:c r="C406" s="20" t="str">
        <x:f>'Habilidades'!D1481</x:f>
        <x:v>Body Slam</x:v>
      </x:c>
      <x:c r="D406" s="20" t="str">
        <x:f>'Habilidades'!F1481</x:f>
        <x:v>Física</x:v>
      </x:c>
      <x:c r="E406" s="21" t="n">
        <x:f>'Habilidades'!G1481</x:f>
        <x:v>85</x:v>
      </x:c>
      <x:c r="F406" s="21" t="n">
        <x:f>'Habilidades'!H1481</x:f>
        <x:v>82</x:v>
      </x:c>
      <x:c r="G406" s="21" t="n">
        <x:f>'Habilidades'!I1481</x:f>
        <x:v>167</x:v>
      </x:c>
    </x:row>
    <x:row r="407" ht="22" customHeight="1">
      <x:c r="A407" s="17" t="n">
        <x:f>IF(B407="","",IF(B407=B406,A406,A406+1))</x:f>
        <x:v>82</x:v>
      </x:c>
      <x:c r="B407" s="1" t="str">
        <x:f>'Ranking'!C86</x:f>
        <x:v>Ninetales</x:v>
      </x:c>
      <x:c r="C407" s="1" t="str">
        <x:f>'Habilidades'!D321</x:f>
        <x:v>Ignition Point</x:v>
      </x:c>
      <x:c r="D407" s="1" t="str">
        <x:f>'Habilidades'!F321</x:f>
        <x:v>Especial</x:v>
      </x:c>
      <x:c r="E407" s="18" t="n">
        <x:f>'Habilidades'!G321</x:f>
        <x:v>300</x:v>
      </x:c>
      <x:c r="F407" s="18" t="n">
        <x:f>'Habilidades'!H321</x:f>
        <x:v>81</x:v>
      </x:c>
      <x:c r="G407" s="18" t="n">
        <x:f>'Habilidades'!I321</x:f>
        <x:v>381</x:v>
      </x:c>
    </x:row>
    <x:row r="408" ht="22" customHeight="1">
      <x:c r="A408" s="17" t="n">
        <x:f>IF(B408="","",IF(B408=B407,A407,A407+1))</x:f>
        <x:v>82</x:v>
      </x:c>
      <x:c r="B408" s="1" t="str">
        <x:f>'Ranking'!C86</x:f>
        <x:v>Ninetales</x:v>
      </x:c>
      <x:c r="C408" s="1" t="str">
        <x:f>'Habilidades'!D322</x:f>
        <x:v>Flamethrower</x:v>
      </x:c>
      <x:c r="D408" s="1" t="str">
        <x:f>'Habilidades'!F322</x:f>
        <x:v>Especial</x:v>
      </x:c>
      <x:c r="E408" s="18" t="n">
        <x:f>'Habilidades'!G322</x:f>
        <x:v>90</x:v>
      </x:c>
      <x:c r="F408" s="18" t="n">
        <x:f>'Habilidades'!H322</x:f>
        <x:v>81</x:v>
      </x:c>
      <x:c r="G408" s="18" t="n">
        <x:f>'Habilidades'!I322</x:f>
        <x:v>171</x:v>
      </x:c>
    </x:row>
    <x:row r="409" ht="22" customHeight="1">
      <x:c r="A409" s="17" t="n">
        <x:f>IF(B409="","",IF(B409=B408,A408,A408+1))</x:f>
        <x:v>82</x:v>
      </x:c>
      <x:c r="B409" s="1" t="str">
        <x:f>'Ranking'!C86</x:f>
        <x:v>Ninetales</x:v>
      </x:c>
      <x:c r="C409" s="1" t="str">
        <x:f>'Habilidades'!D323</x:f>
        <x:v>Quick Attack</x:v>
      </x:c>
      <x:c r="D409" s="1" t="str">
        <x:f>'Habilidades'!F323</x:f>
        <x:v>Física</x:v>
      </x:c>
      <x:c r="E409" s="18" t="n">
        <x:f>'Habilidades'!G323</x:f>
        <x:v>40</x:v>
      </x:c>
      <x:c r="F409" s="18" t="n">
        <x:f>'Habilidades'!H323</x:f>
        <x:v>76</x:v>
      </x:c>
      <x:c r="G409" s="18" t="n">
        <x:f>'Habilidades'!I323</x:f>
        <x:v>116</x:v>
      </x:c>
    </x:row>
    <x:row r="410" ht="22" customHeight="1">
      <x:c r="A410" s="19" t="n">
        <x:f>IF(B410="","",IF(B410=B409,A409,A409+1))</x:f>
        <x:v>82</x:v>
      </x:c>
      <x:c r="B410" s="20" t="str">
        <x:f>'Ranking'!C86</x:f>
        <x:v>Ninetales</x:v>
      </x:c>
      <x:c r="C410" s="20" t="str">
        <x:f>'Habilidades'!D324</x:f>
        <x:v>Nasty Plot</x:v>
      </x:c>
      <x:c r="D410" s="20" t="str">
        <x:f>'Habilidades'!F324</x:f>
        <x:v>Status</x:v>
      </x:c>
      <x:c r="E410" s="21" t="n">
        <x:f>'Habilidades'!G324</x:f>
        <x:v>0</x:v>
      </x:c>
      <x:c r="F410" s="21" t="str">
        <x:f>'Habilidades'!H324</x:f>
      </x:c>
      <x:c r="G410" s="21" t="str">
        <x:f>'Habilidades'!I324</x:f>
      </x:c>
    </x:row>
    <x:row r="411" ht="22" customHeight="1">
      <x:c r="A411" s="17" t="n">
        <x:f>IF(B411="","",IF(B411=B410,A410,A410+1))</x:f>
        <x:v>83</x:v>
      </x:c>
      <x:c r="B411" s="1" t="str">
        <x:f>'Ranking'!C90</x:f>
        <x:v>Dugtrio</x:v>
      </x:c>
      <x:c r="C411" s="1" t="str">
        <x:f>'Habilidades'!D443</x:f>
        <x:v>Crossing Fissure</x:v>
      </x:c>
      <x:c r="D411" s="1" t="str">
        <x:f>'Habilidades'!F443</x:f>
        <x:v>Física</x:v>
      </x:c>
      <x:c r="E411" s="18" t="n">
        <x:f>'Habilidades'!G443</x:f>
        <x:v>300</x:v>
      </x:c>
      <x:c r="F411" s="18" t="n">
        <x:f>'Habilidades'!H443</x:f>
        <x:v>80</x:v>
      </x:c>
      <x:c r="G411" s="18" t="n">
        <x:f>'Habilidades'!I443</x:f>
        <x:v>380</x:v>
      </x:c>
    </x:row>
    <x:row r="412" ht="22" customHeight="1">
      <x:c r="A412" s="17" t="n">
        <x:f>IF(B412="","",IF(B412=B411,A411,A411+1))</x:f>
        <x:v>83</x:v>
      </x:c>
      <x:c r="B412" s="1" t="str">
        <x:f>'Ranking'!C90</x:f>
        <x:v>Dugtrio</x:v>
      </x:c>
      <x:c r="C412" s="1" t="str">
        <x:f>'Habilidades'!D444</x:f>
        <x:v>Earthquake</x:v>
      </x:c>
      <x:c r="D412" s="1" t="str">
        <x:f>'Habilidades'!F444</x:f>
        <x:v>Física</x:v>
      </x:c>
      <x:c r="E412" s="18" t="n">
        <x:f>'Habilidades'!G444</x:f>
        <x:v>100</x:v>
      </x:c>
      <x:c r="F412" s="18" t="n">
        <x:f>'Habilidades'!H444</x:f>
        <x:v>80</x:v>
      </x:c>
      <x:c r="G412" s="18" t="n">
        <x:f>'Habilidades'!I444</x:f>
        <x:v>180</x:v>
      </x:c>
    </x:row>
    <x:row r="413" ht="22" customHeight="1">
      <x:c r="A413" s="17" t="n">
        <x:f>IF(B413="","",IF(B413=B412,A412,A412+1))</x:f>
        <x:v>83</x:v>
      </x:c>
      <x:c r="B413" s="1" t="str">
        <x:f>'Ranking'!C90</x:f>
        <x:v>Dugtrio</x:v>
      </x:c>
      <x:c r="C413" s="1" t="str">
        <x:f>'Habilidades'!D445</x:f>
        <x:v>Sucker Punch</x:v>
      </x:c>
      <x:c r="D413" s="1" t="str">
        <x:f>'Habilidades'!F445</x:f>
        <x:v>Física</x:v>
      </x:c>
      <x:c r="E413" s="18" t="n">
        <x:f>'Habilidades'!G445</x:f>
        <x:v>80</x:v>
      </x:c>
      <x:c r="F413" s="18" t="n">
        <x:f>'Habilidades'!H445</x:f>
        <x:v>80</x:v>
      </x:c>
      <x:c r="G413" s="18" t="n">
        <x:f>'Habilidades'!I445</x:f>
        <x:v>160</x:v>
      </x:c>
    </x:row>
    <x:row r="414" ht="22" customHeight="1">
      <x:c r="A414" s="17" t="n">
        <x:f>IF(B414="","",IF(B414=B413,A413,A413+1))</x:f>
        <x:v>83</x:v>
      </x:c>
      <x:c r="B414" s="1" t="str">
        <x:f>'Ranking'!C90</x:f>
        <x:v>Dugtrio</x:v>
      </x:c>
      <x:c r="C414" s="1" t="str">
        <x:f>'Habilidades'!D449</x:f>
        <x:v>Earth Power</x:v>
      </x:c>
      <x:c r="D414" s="1" t="str">
        <x:f>'Habilidades'!F449</x:f>
        <x:v>Especial</x:v>
      </x:c>
      <x:c r="E414" s="18" t="n">
        <x:f>'Habilidades'!G449</x:f>
        <x:v>90</x:v>
      </x:c>
      <x:c r="F414" s="18" t="n">
        <x:f>'Habilidades'!H449</x:f>
        <x:v>50</x:v>
      </x:c>
      <x:c r="G414" s="18" t="n">
        <x:f>'Habilidades'!I449</x:f>
        <x:v>140</x:v>
      </x:c>
    </x:row>
    <x:row r="415" ht="22" customHeight="1">
      <x:c r="A415" s="19" t="n">
        <x:f>IF(B415="","",IF(B415=B414,A414,A414+1))</x:f>
        <x:v>83</x:v>
      </x:c>
      <x:c r="B415" s="20" t="str">
        <x:f>'Ranking'!C90</x:f>
        <x:v>Dugtrio</x:v>
      </x:c>
      <x:c r="C415" s="20" t="str">
        <x:f>'Habilidades'!D451</x:f>
        <x:v>Tri Attack</x:v>
      </x:c>
      <x:c r="D415" s="20" t="str">
        <x:f>'Habilidades'!F451</x:f>
        <x:v>Especial</x:v>
      </x:c>
      <x:c r="E415" s="21" t="n">
        <x:f>'Habilidades'!G451</x:f>
        <x:v>80</x:v>
      </x:c>
      <x:c r="F415" s="21" t="n">
        <x:f>'Habilidades'!H451</x:f>
        <x:v>50</x:v>
      </x:c>
      <x:c r="G415" s="21" t="n">
        <x:f>'Habilidades'!I451</x:f>
        <x:v>130</x:v>
      </x:c>
    </x:row>
    <x:row r="416" ht="22" customHeight="1">
      <x:c r="A416" s="17" t="n">
        <x:f>IF(B416="","",IF(B416=B415,A415,A415+1))</x:f>
        <x:v>84</x:v>
      </x:c>
      <x:c r="B416" s="1" t="str">
        <x:f>'Ranking'!C92</x:f>
        <x:v>Electrode</x:v>
      </x:c>
      <x:c r="C416" s="1" t="str">
        <x:f>'Habilidades'!D949</x:f>
        <x:v>Static Overload</x:v>
      </x:c>
      <x:c r="D416" s="1" t="str">
        <x:f>'Habilidades'!F949</x:f>
        <x:v>Especial</x:v>
      </x:c>
      <x:c r="E416" s="18" t="n">
        <x:f>'Habilidades'!G949</x:f>
        <x:v>300</x:v>
      </x:c>
      <x:c r="F416" s="18" t="n">
        <x:f>'Habilidades'!H949</x:f>
        <x:v>80</x:v>
      </x:c>
      <x:c r="G416" s="18" t="n">
        <x:f>'Habilidades'!I949</x:f>
        <x:v>380</x:v>
      </x:c>
    </x:row>
    <x:row r="417" ht="22" customHeight="1">
      <x:c r="A417" s="17" t="n">
        <x:f>IF(B417="","",IF(B417=B416,A416,A416+1))</x:f>
        <x:v>84</x:v>
      </x:c>
      <x:c r="B417" s="1" t="str">
        <x:f>'Ranking'!C92</x:f>
        <x:v>Electrode</x:v>
      </x:c>
      <x:c r="C417" s="1" t="str">
        <x:f>'Habilidades'!D950</x:f>
        <x:v>Discharge</x:v>
      </x:c>
      <x:c r="D417" s="1" t="str">
        <x:f>'Habilidades'!F950</x:f>
        <x:v>Especial</x:v>
      </x:c>
      <x:c r="E417" s="18" t="n">
        <x:f>'Habilidades'!G950</x:f>
        <x:v>80</x:v>
      </x:c>
      <x:c r="F417" s="18" t="n">
        <x:f>'Habilidades'!H950</x:f>
        <x:v>80</x:v>
      </x:c>
      <x:c r="G417" s="18" t="n">
        <x:f>'Habilidades'!I950</x:f>
        <x:v>160</x:v>
      </x:c>
    </x:row>
    <x:row r="418" ht="22" customHeight="1">
      <x:c r="A418" s="17" t="n">
        <x:f>IF(B418="","",IF(B418=B417,A417,A417+1))</x:f>
        <x:v>84</x:v>
      </x:c>
      <x:c r="B418" s="1" t="str">
        <x:f>'Ranking'!C92</x:f>
        <x:v>Electrode</x:v>
      </x:c>
      <x:c r="C418" s="1" t="str">
        <x:f>'Habilidades'!D951</x:f>
        <x:v>Swift</x:v>
      </x:c>
      <x:c r="D418" s="1" t="str">
        <x:f>'Habilidades'!F951</x:f>
        <x:v>Especial</x:v>
      </x:c>
      <x:c r="E418" s="18" t="n">
        <x:f>'Habilidades'!G951</x:f>
        <x:v>60</x:v>
      </x:c>
      <x:c r="F418" s="18" t="n">
        <x:f>'Habilidades'!H951</x:f>
        <x:v>80</x:v>
      </x:c>
      <x:c r="G418" s="18" t="n">
        <x:f>'Habilidades'!I951</x:f>
        <x:v>140</x:v>
      </x:c>
    </x:row>
    <x:row r="419" ht="22" customHeight="1">
      <x:c r="A419" s="17" t="n">
        <x:f>IF(B419="","",IF(B419=B418,A418,A418+1))</x:f>
        <x:v>84</x:v>
      </x:c>
      <x:c r="B419" s="1" t="str">
        <x:f>'Ranking'!C92</x:f>
        <x:v>Electrode</x:v>
      </x:c>
      <x:c r="C419" s="1" t="str">
        <x:f>'Habilidades'!D953</x:f>
        <x:v>Spark</x:v>
      </x:c>
      <x:c r="D419" s="1" t="str">
        <x:f>'Habilidades'!F953</x:f>
        <x:v>Física</x:v>
      </x:c>
      <x:c r="E419" s="18" t="n">
        <x:f>'Habilidades'!G953</x:f>
        <x:v>65</x:v>
      </x:c>
      <x:c r="F419" s="18" t="n">
        <x:f>'Habilidades'!H953</x:f>
        <x:v>50</x:v>
      </x:c>
      <x:c r="G419" s="18" t="n">
        <x:f>'Habilidades'!I953</x:f>
        <x:v>115</x:v>
      </x:c>
    </x:row>
    <x:row r="420" ht="22" customHeight="1">
      <x:c r="A420" s="19" t="n">
        <x:f>IF(B420="","",IF(B420=B419,A419,A419+1))</x:f>
        <x:v>84</x:v>
      </x:c>
      <x:c r="B420" s="20" t="str">
        <x:f>'Ranking'!C92</x:f>
        <x:v>Electrode</x:v>
      </x:c>
      <x:c r="C420" s="20" t="str">
        <x:f>'Habilidades'!D954</x:f>
        <x:v>Tackle</x:v>
      </x:c>
      <x:c r="D420" s="20" t="str">
        <x:f>'Habilidades'!F954</x:f>
        <x:v>Física</x:v>
      </x:c>
      <x:c r="E420" s="21" t="n">
        <x:f>'Habilidades'!G954</x:f>
        <x:v>50</x:v>
      </x:c>
      <x:c r="F420" s="21" t="n">
        <x:f>'Habilidades'!H954</x:f>
        <x:v>50</x:v>
      </x:c>
      <x:c r="G420" s="21" t="n">
        <x:f>'Habilidades'!I954</x:f>
        <x:v>100</x:v>
      </x:c>
    </x:row>
    <x:row r="421" ht="22" customHeight="1">
      <x:c r="A421" s="17" t="n">
        <x:f>IF(B421="","",IF(B421=B420,A420,A420+1))</x:f>
        <x:v>85</x:v>
      </x:c>
      <x:c r="B421" s="1" t="str">
        <x:f>'Ranking'!C88</x:f>
        <x:v>Flygon</x:v>
      </x:c>
      <x:c r="C421" s="1" t="str">
        <x:f>'Habilidades'!D2808</x:f>
        <x:v>Draconic Soul</x:v>
      </x:c>
      <x:c r="D421" s="1" t="str">
        <x:f>'Habilidades'!F2808</x:f>
        <x:v>Especial</x:v>
      </x:c>
      <x:c r="E421" s="18" t="n">
        <x:f>'Habilidades'!G2808</x:f>
        <x:v>300</x:v>
      </x:c>
      <x:c r="F421" s="18" t="n">
        <x:f>'Habilidades'!H2808</x:f>
        <x:v>80</x:v>
      </x:c>
      <x:c r="G421" s="18" t="n">
        <x:f>'Habilidades'!I2808</x:f>
        <x:v>380</x:v>
      </x:c>
    </x:row>
    <x:row r="422" ht="22" customHeight="1">
      <x:c r="A422" s="17" t="n">
        <x:f>IF(B422="","",IF(B422=B421,A421,A421+1))</x:f>
        <x:v>85</x:v>
      </x:c>
      <x:c r="B422" s="1" t="str">
        <x:f>'Ranking'!C88</x:f>
        <x:v>Flygon</x:v>
      </x:c>
      <x:c r="C422" s="1" t="str">
        <x:f>'Habilidades'!D2809</x:f>
        <x:v>Hyper Beam</x:v>
      </x:c>
      <x:c r="D422" s="1" t="str">
        <x:f>'Habilidades'!F2809</x:f>
        <x:v>Especial</x:v>
      </x:c>
      <x:c r="E422" s="18" t="n">
        <x:f>'Habilidades'!G2809</x:f>
        <x:v>150</x:v>
      </x:c>
      <x:c r="F422" s="18" t="n">
        <x:f>'Habilidades'!H2809</x:f>
        <x:v>80</x:v>
      </x:c>
      <x:c r="G422" s="18" t="n">
        <x:f>'Habilidades'!I2809</x:f>
        <x:v>230</x:v>
      </x:c>
    </x:row>
    <x:row r="423" ht="22" customHeight="1">
      <x:c r="A423" s="17" t="n">
        <x:f>IF(B423="","",IF(B423=B422,A422,A422+1))</x:f>
        <x:v>85</x:v>
      </x:c>
      <x:c r="B423" s="1" t="str">
        <x:f>'Ranking'!C88</x:f>
        <x:v>Flygon</x:v>
      </x:c>
      <x:c r="C423" s="1" t="str">
        <x:f>'Habilidades'!D2810</x:f>
        <x:v>Earthquake</x:v>
      </x:c>
      <x:c r="D423" s="1" t="str">
        <x:f>'Habilidades'!F2810</x:f>
        <x:v>Física</x:v>
      </x:c>
      <x:c r="E423" s="18" t="n">
        <x:f>'Habilidades'!G2810</x:f>
        <x:v>100</x:v>
      </x:c>
      <x:c r="F423" s="18" t="n">
        <x:f>'Habilidades'!H2810</x:f>
        <x:v>100</x:v>
      </x:c>
      <x:c r="G423" s="18" t="n">
        <x:f>'Habilidades'!I2810</x:f>
        <x:v>200</x:v>
      </x:c>
    </x:row>
    <x:row r="424" ht="22" customHeight="1">
      <x:c r="A424" s="17" t="n">
        <x:f>IF(B424="","",IF(B424=B423,A423,A423+1))</x:f>
        <x:v>85</x:v>
      </x:c>
      <x:c r="B424" s="1" t="str">
        <x:f>'Ranking'!C88</x:f>
        <x:v>Flygon</x:v>
      </x:c>
      <x:c r="C424" s="1" t="str">
        <x:f>'Habilidades'!D2811</x:f>
        <x:v>Dragon Rush</x:v>
      </x:c>
      <x:c r="D424" s="1" t="str">
        <x:f>'Habilidades'!F2811</x:f>
        <x:v>Física</x:v>
      </x:c>
      <x:c r="E424" s="18" t="n">
        <x:f>'Habilidades'!G2811</x:f>
        <x:v>100</x:v>
      </x:c>
      <x:c r="F424" s="18" t="n">
        <x:f>'Habilidades'!H2811</x:f>
        <x:v>100</x:v>
      </x:c>
      <x:c r="G424" s="18" t="n">
        <x:f>'Habilidades'!I2811</x:f>
        <x:v>200</x:v>
      </x:c>
    </x:row>
    <x:row r="425" ht="22" customHeight="1">
      <x:c r="A425" s="19" t="n">
        <x:f>IF(B425="","",IF(B425=B424,A424,A424+1))</x:f>
        <x:v>85</x:v>
      </x:c>
      <x:c r="B425" s="20" t="str">
        <x:f>'Ranking'!C88</x:f>
        <x:v>Flygon</x:v>
      </x:c>
      <x:c r="C425" s="20" t="str">
        <x:f>'Habilidades'!D2814</x:f>
        <x:v>Earth Power</x:v>
      </x:c>
      <x:c r="D425" s="20" t="str">
        <x:f>'Habilidades'!F2814</x:f>
        <x:v>Especial</x:v>
      </x:c>
      <x:c r="E425" s="21" t="n">
        <x:f>'Habilidades'!G2814</x:f>
        <x:v>90</x:v>
      </x:c>
      <x:c r="F425" s="21" t="n">
        <x:f>'Habilidades'!H2814</x:f>
        <x:v>80</x:v>
      </x:c>
      <x:c r="G425" s="21" t="n">
        <x:f>'Habilidades'!I2814</x:f>
        <x:v>170</x:v>
      </x:c>
    </x:row>
    <x:row r="426" ht="22" customHeight="1">
      <x:c r="A426" s="17" t="n">
        <x:f>IF(B426="","",IF(B426=B425,A425,A425+1))</x:f>
        <x:v>86</x:v>
      </x:c>
      <x:c r="B426" s="1" t="str">
        <x:f>'Ranking'!C97</x:f>
        <x:v>Glalie</x:v>
      </x:c>
      <x:c r="C426" s="1" t="str">
        <x:f>'Habilidades'!D3037</x:f>
        <x:v>Ice Time</x:v>
      </x:c>
      <x:c r="D426" s="1" t="str">
        <x:f>'Habilidades'!F3037</x:f>
        <x:v>Especial</x:v>
      </x:c>
      <x:c r="E426" s="18" t="n">
        <x:f>'Habilidades'!G3037</x:f>
        <x:v>300</x:v>
      </x:c>
      <x:c r="F426" s="18" t="n">
        <x:f>'Habilidades'!H3037</x:f>
        <x:v>80</x:v>
      </x:c>
      <x:c r="G426" s="18" t="n">
        <x:f>'Habilidades'!I3037</x:f>
        <x:v>380</x:v>
      </x:c>
    </x:row>
    <x:row r="427" ht="22" customHeight="1">
      <x:c r="A427" s="17" t="n">
        <x:f>IF(B427="","",IF(B427=B426,A426,A426+1))</x:f>
        <x:v>86</x:v>
      </x:c>
      <x:c r="B427" s="1" t="str">
        <x:f>'Ranking'!C97</x:f>
        <x:v>Glalie</x:v>
      </x:c>
      <x:c r="C427" s="1" t="str">
        <x:f>'Habilidades'!D3038</x:f>
        <x:v>Blizzard</x:v>
      </x:c>
      <x:c r="D427" s="1" t="str">
        <x:f>'Habilidades'!F3038</x:f>
        <x:v>Especial</x:v>
      </x:c>
      <x:c r="E427" s="18" t="n">
        <x:f>'Habilidades'!G3038</x:f>
        <x:v>110</x:v>
      </x:c>
      <x:c r="F427" s="18" t="n">
        <x:f>'Habilidades'!H3038</x:f>
        <x:v>80</x:v>
      </x:c>
      <x:c r="G427" s="18" t="n">
        <x:f>'Habilidades'!I3038</x:f>
        <x:v>190</x:v>
      </x:c>
    </x:row>
    <x:row r="428" ht="22" customHeight="1">
      <x:c r="A428" s="17" t="n">
        <x:f>IF(B428="","",IF(B428=B427,A427,A427+1))</x:f>
        <x:v>86</x:v>
      </x:c>
      <x:c r="B428" s="1" t="str">
        <x:f>'Ranking'!C97</x:f>
        <x:v>Glalie</x:v>
      </x:c>
      <x:c r="C428" s="1" t="str">
        <x:f>'Habilidades'!D3039</x:f>
        <x:v>Crunch</x:v>
      </x:c>
      <x:c r="D428" s="1" t="str">
        <x:f>'Habilidades'!F3039</x:f>
        <x:v>Física</x:v>
      </x:c>
      <x:c r="E428" s="18" t="n">
        <x:f>'Habilidades'!G3039</x:f>
        <x:v>80</x:v>
      </x:c>
      <x:c r="F428" s="18" t="n">
        <x:f>'Habilidades'!H3039</x:f>
        <x:v>80</x:v>
      </x:c>
      <x:c r="G428" s="18" t="n">
        <x:f>'Habilidades'!I3039</x:f>
        <x:v>160</x:v>
      </x:c>
    </x:row>
    <x:row r="429" ht="22" customHeight="1">
      <x:c r="A429" s="17" t="n">
        <x:f>IF(B429="","",IF(B429=B428,A428,A428+1))</x:f>
        <x:v>86</x:v>
      </x:c>
      <x:c r="B429" s="1" t="str">
        <x:f>'Ranking'!C97</x:f>
        <x:v>Glalie</x:v>
      </x:c>
      <x:c r="C429" s="1" t="str">
        <x:f>'Habilidades'!D3040</x:f>
        <x:v>Headbutt</x:v>
      </x:c>
      <x:c r="D429" s="1" t="str">
        <x:f>'Habilidades'!F3040</x:f>
        <x:v>Física</x:v>
      </x:c>
      <x:c r="E429" s="18" t="n">
        <x:f>'Habilidades'!G3040</x:f>
        <x:v>70</x:v>
      </x:c>
      <x:c r="F429" s="18" t="n">
        <x:f>'Habilidades'!H3040</x:f>
        <x:v>80</x:v>
      </x:c>
      <x:c r="G429" s="18" t="n">
        <x:f>'Habilidades'!I3040</x:f>
        <x:v>150</x:v>
      </x:c>
    </x:row>
    <x:row r="430" ht="22" customHeight="1">
      <x:c r="A430" s="19" t="n">
        <x:f>IF(B430="","",IF(B430=B429,A429,A429+1))</x:f>
        <x:v>86</x:v>
      </x:c>
      <x:c r="B430" s="20" t="str">
        <x:f>'Ranking'!C97</x:f>
        <x:v>Glalie</x:v>
      </x:c>
      <x:c r="C430" s="20" t="str">
        <x:f>'Habilidades'!D3041</x:f>
        <x:v>Freeze-Dry</x:v>
      </x:c>
      <x:c r="D430" s="20" t="str">
        <x:f>'Habilidades'!F3041</x:f>
        <x:v>Especial</x:v>
      </x:c>
      <x:c r="E430" s="21" t="n">
        <x:f>'Habilidades'!G3041</x:f>
        <x:v>70</x:v>
      </x:c>
      <x:c r="F430" s="21" t="n">
        <x:f>'Habilidades'!H3041</x:f>
        <x:v>80</x:v>
      </x:c>
      <x:c r="G430" s="21" t="n">
        <x:f>'Habilidades'!I3041</x:f>
        <x:v>150</x:v>
      </x:c>
    </x:row>
    <x:row r="431" ht="22" customHeight="1">
      <x:c r="A431" s="17" t="n">
        <x:f>IF(B431="","",IF(B431=B430,A430,A430+1))</x:f>
        <x:v>87</x:v>
      </x:c>
      <x:c r="B431" s="1" t="str">
        <x:f>'Ranking'!C94</x:f>
        <x:v>Magcargo</x:v>
      </x:c>
      <x:c r="C431" s="1" t="str">
        <x:f>'Habilidades'!D2051</x:f>
        <x:v>Ignition Point</x:v>
      </x:c>
      <x:c r="D431" s="1" t="str">
        <x:f>'Habilidades'!F2051</x:f>
        <x:v>Especial</x:v>
      </x:c>
      <x:c r="E431" s="18" t="n">
        <x:f>'Habilidades'!G2051</x:f>
        <x:v>300</x:v>
      </x:c>
      <x:c r="F431" s="18" t="n">
        <x:f>'Habilidades'!H2051</x:f>
        <x:v>80</x:v>
      </x:c>
      <x:c r="G431" s="18" t="n">
        <x:f>'Habilidades'!I2051</x:f>
        <x:v>380</x:v>
      </x:c>
    </x:row>
    <x:row r="432" ht="22" customHeight="1">
      <x:c r="A432" s="17" t="n">
        <x:f>IF(B432="","",IF(B432=B431,A431,A431+1))</x:f>
        <x:v>87</x:v>
      </x:c>
      <x:c r="B432" s="1" t="str">
        <x:f>'Ranking'!C94</x:f>
        <x:v>Magcargo</x:v>
      </x:c>
      <x:c r="C432" s="1" t="str">
        <x:f>'Habilidades'!D2052</x:f>
        <x:v>Earth Power</x:v>
      </x:c>
      <x:c r="D432" s="1" t="str">
        <x:f>'Habilidades'!F2052</x:f>
        <x:v>Especial</x:v>
      </x:c>
      <x:c r="E432" s="18" t="n">
        <x:f>'Habilidades'!G2052</x:f>
        <x:v>90</x:v>
      </x:c>
      <x:c r="F432" s="18" t="n">
        <x:f>'Habilidades'!H2052</x:f>
        <x:v>80</x:v>
      </x:c>
      <x:c r="G432" s="18" t="n">
        <x:f>'Habilidades'!I2052</x:f>
        <x:v>170</x:v>
      </x:c>
    </x:row>
    <x:row r="433" ht="22" customHeight="1">
      <x:c r="A433" s="17" t="n">
        <x:f>IF(B433="","",IF(B433=B432,A432,A432+1))</x:f>
        <x:v>87</x:v>
      </x:c>
      <x:c r="B433" s="1" t="str">
        <x:f>'Ranking'!C94</x:f>
        <x:v>Magcargo</x:v>
      </x:c>
      <x:c r="C433" s="1" t="str">
        <x:f>'Habilidades'!D2053</x:f>
        <x:v>Flamethrower</x:v>
      </x:c>
      <x:c r="D433" s="1" t="str">
        <x:f>'Habilidades'!F2053</x:f>
        <x:v>Especial</x:v>
      </x:c>
      <x:c r="E433" s="18" t="n">
        <x:f>'Habilidades'!G2053</x:f>
        <x:v>90</x:v>
      </x:c>
      <x:c r="F433" s="18" t="n">
        <x:f>'Habilidades'!H2053</x:f>
        <x:v>80</x:v>
      </x:c>
      <x:c r="G433" s="18" t="n">
        <x:f>'Habilidades'!I2053</x:f>
        <x:v>170</x:v>
      </x:c>
    </x:row>
    <x:row r="434" ht="22" customHeight="1">
      <x:c r="A434" s="17" t="n">
        <x:f>IF(B434="","",IF(B434=B433,A433,A433+1))</x:f>
        <x:v>87</x:v>
      </x:c>
      <x:c r="B434" s="1" t="str">
        <x:f>'Ranking'!C94</x:f>
        <x:v>Magcargo</x:v>
      </x:c>
      <x:c r="C434" s="1" t="str">
        <x:f>'Habilidades'!D2054</x:f>
        <x:v>Lava Plume</x:v>
      </x:c>
      <x:c r="D434" s="1" t="str">
        <x:f>'Habilidades'!F2054</x:f>
        <x:v>Especial</x:v>
      </x:c>
      <x:c r="E434" s="18" t="n">
        <x:f>'Habilidades'!G2054</x:f>
        <x:v>80</x:v>
      </x:c>
      <x:c r="F434" s="18" t="n">
        <x:f>'Habilidades'!H2054</x:f>
        <x:v>80</x:v>
      </x:c>
      <x:c r="G434" s="18" t="n">
        <x:f>'Habilidades'!I2054</x:f>
        <x:v>160</x:v>
      </x:c>
    </x:row>
    <x:row r="435" ht="22" customHeight="1">
      <x:c r="A435" s="19" t="n">
        <x:f>IF(B435="","",IF(B435=B434,A434,A434+1))</x:f>
        <x:v>87</x:v>
      </x:c>
      <x:c r="B435" s="20" t="str">
        <x:f>'Ranking'!C94</x:f>
        <x:v>Magcargo</x:v>
      </x:c>
      <x:c r="C435" s="20" t="str">
        <x:f>'Habilidades'!D2058</x:f>
        <x:v>Body Slam</x:v>
      </x:c>
      <x:c r="D435" s="20" t="str">
        <x:f>'Habilidades'!F2058</x:f>
        <x:v>Física</x:v>
      </x:c>
      <x:c r="E435" s="21" t="n">
        <x:f>'Habilidades'!G2058</x:f>
        <x:v>85</x:v>
      </x:c>
      <x:c r="F435" s="21" t="n">
        <x:f>'Habilidades'!H2058</x:f>
        <x:v>50</x:v>
      </x:c>
      <x:c r="G435" s="21" t="n">
        <x:f>'Habilidades'!I2058</x:f>
        <x:v>135</x:v>
      </x:c>
    </x:row>
    <x:row r="436" ht="22" customHeight="1">
      <x:c r="A436" s="17" t="n">
        <x:f>IF(B436="","",IF(B436=B435,A435,A435+1))</x:f>
        <x:v>88</x:v>
      </x:c>
      <x:c r="B436" s="1" t="str">
        <x:f>'Ranking'!C95</x:f>
        <x:v>Mantine</x:v>
      </x:c>
      <x:c r="C436" s="1" t="str">
        <x:f>'Habilidades'!D2122</x:f>
        <x:v>Cyclonic Tide</x:v>
      </x:c>
      <x:c r="D436" s="1" t="str">
        <x:f>'Habilidades'!F2122</x:f>
        <x:v>Especial</x:v>
      </x:c>
      <x:c r="E436" s="18" t="n">
        <x:f>'Habilidades'!G2122</x:f>
        <x:v>300</x:v>
      </x:c>
      <x:c r="F436" s="18" t="n">
        <x:f>'Habilidades'!H2122</x:f>
        <x:v>80</x:v>
      </x:c>
      <x:c r="G436" s="18" t="n">
        <x:f>'Habilidades'!I2122</x:f>
        <x:v>380</x:v>
      </x:c>
    </x:row>
    <x:row r="437" ht="22" customHeight="1">
      <x:c r="A437" s="17" t="n">
        <x:f>IF(B437="","",IF(B437=B436,A436,A436+1))</x:f>
        <x:v>88</x:v>
      </x:c>
      <x:c r="B437" s="1" t="str">
        <x:f>'Ranking'!C95</x:f>
        <x:v>Mantine</x:v>
      </x:c>
      <x:c r="C437" s="1" t="str">
        <x:f>'Habilidades'!D2123</x:f>
        <x:v>Massive Hurricane</x:v>
      </x:c>
      <x:c r="D437" s="1" t="str">
        <x:f>'Habilidades'!F2123</x:f>
        <x:v>Física</x:v>
      </x:c>
      <x:c r="E437" s="18" t="n">
        <x:f>'Habilidades'!G2123</x:f>
        <x:v>300</x:v>
      </x:c>
      <x:c r="F437" s="18" t="n">
        <x:f>'Habilidades'!H2123</x:f>
        <x:v>40</x:v>
      </x:c>
      <x:c r="G437" s="18" t="n">
        <x:f>'Habilidades'!I2123</x:f>
        <x:v>340</x:v>
      </x:c>
    </x:row>
    <x:row r="438" ht="22" customHeight="1">
      <x:c r="A438" s="17" t="n">
        <x:f>IF(B438="","",IF(B438=B437,A437,A437+1))</x:f>
        <x:v>88</x:v>
      </x:c>
      <x:c r="B438" s="1" t="str">
        <x:f>'Ranking'!C95</x:f>
        <x:v>Mantine</x:v>
      </x:c>
      <x:c r="C438" s="1" t="str">
        <x:f>'Habilidades'!D2124</x:f>
        <x:v>Hydro Pump</x:v>
      </x:c>
      <x:c r="D438" s="1" t="str">
        <x:f>'Habilidades'!F2124</x:f>
        <x:v>Especial</x:v>
      </x:c>
      <x:c r="E438" s="18" t="n">
        <x:f>'Habilidades'!G2124</x:f>
        <x:v>110</x:v>
      </x:c>
      <x:c r="F438" s="18" t="n">
        <x:f>'Habilidades'!H2124</x:f>
        <x:v>80</x:v>
      </x:c>
      <x:c r="G438" s="18" t="n">
        <x:f>'Habilidades'!I2124</x:f>
        <x:v>190</x:v>
      </x:c>
    </x:row>
    <x:row r="439" ht="22" customHeight="1">
      <x:c r="A439" s="17" t="n">
        <x:f>IF(B439="","",IF(B439=B438,A438,A438+1))</x:f>
        <x:v>88</x:v>
      </x:c>
      <x:c r="B439" s="1" t="str">
        <x:f>'Ranking'!C95</x:f>
        <x:v>Mantine</x:v>
      </x:c>
      <x:c r="C439" s="1" t="str">
        <x:f>'Habilidades'!D2130</x:f>
        <x:v>Take Down</x:v>
      </x:c>
      <x:c r="D439" s="1" t="str">
        <x:f>'Habilidades'!F2130</x:f>
        <x:v>Física</x:v>
      </x:c>
      <x:c r="E439" s="18" t="n">
        <x:f>'Habilidades'!G2130</x:f>
        <x:v>90</x:v>
      </x:c>
      <x:c r="F439" s="18" t="n">
        <x:f>'Habilidades'!H2130</x:f>
        <x:v>40</x:v>
      </x:c>
      <x:c r="G439" s="18" t="n">
        <x:f>'Habilidades'!I2130</x:f>
        <x:v>130</x:v>
      </x:c>
    </x:row>
    <x:row r="440" ht="22" customHeight="1">
      <x:c r="A440" s="19" t="n">
        <x:f>IF(B440="","",IF(B440=B439,A439,A439+1))</x:f>
        <x:v>88</x:v>
      </x:c>
      <x:c r="B440" s="20" t="str">
        <x:f>'Ranking'!C95</x:f>
        <x:v>Mantine</x:v>
      </x:c>
      <x:c r="C440" s="20" t="str">
        <x:f>'Habilidades'!D2131</x:f>
        <x:v>Bounce</x:v>
      </x:c>
      <x:c r="D440" s="20" t="str">
        <x:f>'Habilidades'!F2131</x:f>
        <x:v>Física</x:v>
      </x:c>
      <x:c r="E440" s="21" t="n">
        <x:f>'Habilidades'!G2131</x:f>
        <x:v>85</x:v>
      </x:c>
      <x:c r="F440" s="21" t="n">
        <x:f>'Habilidades'!H2131</x:f>
        <x:v>40</x:v>
      </x:c>
      <x:c r="G440" s="21" t="n">
        <x:f>'Habilidades'!I2131</x:f>
        <x:v>125</x:v>
      </x:c>
    </x:row>
    <x:row r="441" ht="22" customHeight="1">
      <x:c r="A441" s="17" t="n">
        <x:f>IF(B441="","",IF(B441=B440,A440,A440+1))</x:f>
        <x:v>89</x:v>
      </x:c>
      <x:c r="B441" s="1" t="str">
        <x:f>'Ranking'!C93</x:f>
        <x:v>Marowak</x:v>
      </x:c>
      <x:c r="C441" s="1" t="str">
        <x:f>'Habilidades'!D983</x:f>
        <x:v>Crossing Fissure</x:v>
      </x:c>
      <x:c r="D441" s="1" t="str">
        <x:f>'Habilidades'!F983</x:f>
        <x:v>Física</x:v>
      </x:c>
      <x:c r="E441" s="18" t="n">
        <x:f>'Habilidades'!G983</x:f>
        <x:v>300</x:v>
      </x:c>
      <x:c r="F441" s="18" t="n">
        <x:f>'Habilidades'!H983</x:f>
        <x:v>80</x:v>
      </x:c>
      <x:c r="G441" s="18" t="n">
        <x:f>'Habilidades'!I983</x:f>
        <x:v>380</x:v>
      </x:c>
    </x:row>
    <x:row r="442" ht="22" customHeight="1">
      <x:c r="A442" s="17" t="n">
        <x:f>IF(B442="","",IF(B442=B441,A441,A441+1))</x:f>
        <x:v>89</x:v>
      </x:c>
      <x:c r="B442" s="1" t="str">
        <x:f>'Ranking'!C93</x:f>
        <x:v>Marowak</x:v>
      </x:c>
      <x:c r="C442" s="1" t="str">
        <x:f>'Habilidades'!D984</x:f>
        <x:v>Thrash</x:v>
      </x:c>
      <x:c r="D442" s="1" t="str">
        <x:f>'Habilidades'!F984</x:f>
        <x:v>Física</x:v>
      </x:c>
      <x:c r="E442" s="18" t="n">
        <x:f>'Habilidades'!G984</x:f>
        <x:v>120</x:v>
      </x:c>
      <x:c r="F442" s="18" t="n">
        <x:f>'Habilidades'!H984</x:f>
        <x:v>80</x:v>
      </x:c>
      <x:c r="G442" s="18" t="n">
        <x:f>'Habilidades'!I984</x:f>
        <x:v>200</x:v>
      </x:c>
    </x:row>
    <x:row r="443" ht="22" customHeight="1">
      <x:c r="A443" s="17" t="n">
        <x:f>IF(B443="","",IF(B443=B442,A442,A442+1))</x:f>
        <x:v>89</x:v>
      </x:c>
      <x:c r="B443" s="1" t="str">
        <x:f>'Ranking'!C93</x:f>
        <x:v>Marowak</x:v>
      </x:c>
      <x:c r="C443" s="1" t="str">
        <x:f>'Habilidades'!D985</x:f>
        <x:v>Double-Edge</x:v>
      </x:c>
      <x:c r="D443" s="1" t="str">
        <x:f>'Habilidades'!F985</x:f>
        <x:v>Física</x:v>
      </x:c>
      <x:c r="E443" s="18" t="n">
        <x:f>'Habilidades'!G985</x:f>
        <x:v>120</x:v>
      </x:c>
      <x:c r="F443" s="18" t="n">
        <x:f>'Habilidades'!H985</x:f>
        <x:v>80</x:v>
      </x:c>
      <x:c r="G443" s="18" t="n">
        <x:f>'Habilidades'!I985</x:f>
        <x:v>200</x:v>
      </x:c>
    </x:row>
    <x:row r="444" ht="22" customHeight="1">
      <x:c r="A444" s="17" t="n">
        <x:f>IF(B444="","",IF(B444=B443,A443,A443+1))</x:f>
        <x:v>89</x:v>
      </x:c>
      <x:c r="B444" s="1" t="str">
        <x:f>'Ranking'!C93</x:f>
        <x:v>Marowak</x:v>
      </x:c>
      <x:c r="C444" s="1" t="str">
        <x:f>'Habilidades'!D986</x:f>
        <x:v>Headbutt</x:v>
      </x:c>
      <x:c r="D444" s="1" t="str">
        <x:f>'Habilidades'!F986</x:f>
        <x:v>Física</x:v>
      </x:c>
      <x:c r="E444" s="18" t="n">
        <x:f>'Habilidades'!G986</x:f>
        <x:v>70</x:v>
      </x:c>
      <x:c r="F444" s="18" t="n">
        <x:f>'Habilidades'!H986</x:f>
        <x:v>80</x:v>
      </x:c>
      <x:c r="G444" s="18" t="n">
        <x:f>'Habilidades'!I986</x:f>
        <x:v>150</x:v>
      </x:c>
    </x:row>
    <x:row r="445" ht="22" customHeight="1">
      <x:c r="A445" s="19" t="n">
        <x:f>IF(B445="","",IF(B445=B444,A444,A444+1))</x:f>
        <x:v>89</x:v>
      </x:c>
      <x:c r="B445" s="20" t="str">
        <x:f>'Ranking'!C93</x:f>
        <x:v>Marowak</x:v>
      </x:c>
      <x:c r="C445" s="20" t="str">
        <x:f>'Habilidades'!D987</x:f>
        <x:v>Retaliate</x:v>
      </x:c>
      <x:c r="D445" s="20" t="str">
        <x:f>'Habilidades'!F987</x:f>
        <x:v>Física</x:v>
      </x:c>
      <x:c r="E445" s="21" t="n">
        <x:f>'Habilidades'!G987</x:f>
        <x:v>70</x:v>
      </x:c>
      <x:c r="F445" s="21" t="n">
        <x:f>'Habilidades'!H987</x:f>
        <x:v>80</x:v>
      </x:c>
      <x:c r="G445" s="21" t="n">
        <x:f>'Habilidades'!I987</x:f>
        <x:v>150</x:v>
      </x:c>
    </x:row>
    <x:row r="446" ht="22" customHeight="1">
      <x:c r="A446" s="17" t="n">
        <x:f>IF(B446="","",IF(B446=B445,A445,A445+1))</x:f>
        <x:v>90</x:v>
      </x:c>
      <x:c r="B446" s="1" t="str">
        <x:f>'Ranking'!C89</x:f>
        <x:v>Pidgeot</x:v>
      </x:c>
      <x:c r="C446" s="1" t="str">
        <x:f>'Habilidades'!D141</x:f>
        <x:v>Massive Hurricane</x:v>
      </x:c>
      <x:c r="D446" s="1" t="str">
        <x:f>'Habilidades'!F141</x:f>
        <x:v>Física</x:v>
      </x:c>
      <x:c r="E446" s="18" t="n">
        <x:f>'Habilidades'!G141</x:f>
        <x:v>300</x:v>
      </x:c>
      <x:c r="F446" s="18" t="n">
        <x:f>'Habilidades'!H141</x:f>
        <x:v>80</x:v>
      </x:c>
      <x:c r="G446" s="18" t="n">
        <x:f>'Habilidades'!I141</x:f>
        <x:v>380</x:v>
      </x:c>
    </x:row>
    <x:row r="447" ht="22" customHeight="1">
      <x:c r="A447" s="17" t="n">
        <x:f>IF(B447="","",IF(B447=B446,A446,A446+1))</x:f>
        <x:v>90</x:v>
      </x:c>
      <x:c r="B447" s="1" t="str">
        <x:f>'Ranking'!C89</x:f>
        <x:v>Pidgeot</x:v>
      </x:c>
      <x:c r="C447" s="1" t="str">
        <x:f>'Habilidades'!D142</x:f>
        <x:v>Hurricane</x:v>
      </x:c>
      <x:c r="D447" s="1" t="str">
        <x:f>'Habilidades'!F142</x:f>
        <x:v>Especial</x:v>
      </x:c>
      <x:c r="E447" s="18" t="n">
        <x:f>'Habilidades'!G142</x:f>
        <x:v>110</x:v>
      </x:c>
      <x:c r="F447" s="18" t="n">
        <x:f>'Habilidades'!H142</x:f>
        <x:v>70</x:v>
      </x:c>
      <x:c r="G447" s="18" t="n">
        <x:f>'Habilidades'!I142</x:f>
        <x:v>180</x:v>
      </x:c>
    </x:row>
    <x:row r="448" ht="22" customHeight="1">
      <x:c r="A448" s="17" t="n">
        <x:f>IF(B448="","",IF(B448=B447,A447,A447+1))</x:f>
        <x:v>90</x:v>
      </x:c>
      <x:c r="B448" s="1" t="str">
        <x:f>'Ranking'!C89</x:f>
        <x:v>Pidgeot</x:v>
      </x:c>
      <x:c r="C448" s="1" t="str">
        <x:f>'Habilidades'!D143</x:f>
        <x:v>Air Slash</x:v>
      </x:c>
      <x:c r="D448" s="1" t="str">
        <x:f>'Habilidades'!F143</x:f>
        <x:v>Especial</x:v>
      </x:c>
      <x:c r="E448" s="18" t="n">
        <x:f>'Habilidades'!G143</x:f>
        <x:v>75</x:v>
      </x:c>
      <x:c r="F448" s="18" t="n">
        <x:f>'Habilidades'!H143</x:f>
        <x:v>70</x:v>
      </x:c>
      <x:c r="G448" s="18" t="n">
        <x:f>'Habilidades'!I143</x:f>
        <x:v>145</x:v>
      </x:c>
    </x:row>
    <x:row r="449" ht="22" customHeight="1">
      <x:c r="A449" s="17" t="n">
        <x:f>IF(B449="","",IF(B449=B448,A448,A448+1))</x:f>
        <x:v>90</x:v>
      </x:c>
      <x:c r="B449" s="1" t="str">
        <x:f>'Ranking'!C89</x:f>
        <x:v>Pidgeot</x:v>
      </x:c>
      <x:c r="C449" s="1" t="str">
        <x:f>'Habilidades'!D144</x:f>
        <x:v>Wing Attack</x:v>
      </x:c>
      <x:c r="D449" s="1" t="str">
        <x:f>'Habilidades'!F144</x:f>
        <x:v>Física</x:v>
      </x:c>
      <x:c r="E449" s="18" t="n">
        <x:f>'Habilidades'!G144</x:f>
        <x:v>60</x:v>
      </x:c>
      <x:c r="F449" s="18" t="n">
        <x:f>'Habilidades'!H144</x:f>
        <x:v>80</x:v>
      </x:c>
      <x:c r="G449" s="18" t="n">
        <x:f>'Habilidades'!I144</x:f>
        <x:v>140</x:v>
      </x:c>
    </x:row>
    <x:row r="450" ht="22" customHeight="1">
      <x:c r="A450" s="19" t="n">
        <x:f>IF(B450="","",IF(B450=B449,A449,A449+1))</x:f>
        <x:v>90</x:v>
      </x:c>
      <x:c r="B450" s="20" t="str">
        <x:f>'Ranking'!C89</x:f>
        <x:v>Pidgeot</x:v>
      </x:c>
      <x:c r="C450" s="20" t="str">
        <x:f>'Habilidades'!D145</x:f>
        <x:v>Tackle</x:v>
      </x:c>
      <x:c r="D450" s="20" t="str">
        <x:f>'Habilidades'!F145</x:f>
        <x:v>Física</x:v>
      </x:c>
      <x:c r="E450" s="21" t="n">
        <x:f>'Habilidades'!G145</x:f>
        <x:v>50</x:v>
      </x:c>
      <x:c r="F450" s="21" t="n">
        <x:f>'Habilidades'!H145</x:f>
        <x:v>80</x:v>
      </x:c>
      <x:c r="G450" s="21" t="n">
        <x:f>'Habilidades'!I145</x:f>
        <x:v>130</x:v>
      </x:c>
    </x:row>
    <x:row r="451" ht="22" customHeight="1">
      <x:c r="A451" s="17" t="n">
        <x:f>IF(B451="","",IF(B451=B450,A450,A450+1))</x:f>
        <x:v>91</x:v>
      </x:c>
      <x:c r="B451" s="1" t="str">
        <x:f>'Ranking'!C87</x:f>
        <x:v>Rapidash</x:v>
      </x:c>
      <x:c r="C451" s="1" t="str">
        <x:f>'Habilidades'!D697</x:f>
        <x:v>Ignition Point</x:v>
      </x:c>
      <x:c r="D451" s="1" t="str">
        <x:f>'Habilidades'!F697</x:f>
        <x:v>Especial</x:v>
      </x:c>
      <x:c r="E451" s="18" t="n">
        <x:f>'Habilidades'!G697</x:f>
        <x:v>300</x:v>
      </x:c>
      <x:c r="F451" s="18" t="n">
        <x:f>'Habilidades'!H697</x:f>
        <x:v>80</x:v>
      </x:c>
      <x:c r="G451" s="18" t="n">
        <x:f>'Habilidades'!I697</x:f>
        <x:v>380</x:v>
      </x:c>
    </x:row>
    <x:row r="452" ht="22" customHeight="1">
      <x:c r="A452" s="17" t="n">
        <x:f>IF(B452="","",IF(B452=B451,A451,A451+1))</x:f>
        <x:v>91</x:v>
      </x:c>
      <x:c r="B452" s="1" t="str">
        <x:f>'Ranking'!C87</x:f>
        <x:v>Rapidash</x:v>
      </x:c>
      <x:c r="C452" s="1" t="str">
        <x:f>'Habilidades'!D698</x:f>
        <x:v>Megahorn</x:v>
      </x:c>
      <x:c r="D452" s="1" t="str">
        <x:f>'Habilidades'!F698</x:f>
        <x:v>Física</x:v>
      </x:c>
      <x:c r="E452" s="18" t="n">
        <x:f>'Habilidades'!G698</x:f>
        <x:v>120</x:v>
      </x:c>
      <x:c r="F452" s="18" t="n">
        <x:f>'Habilidades'!H698</x:f>
        <x:v>100</x:v>
      </x:c>
      <x:c r="G452" s="18" t="n">
        <x:f>'Habilidades'!I698</x:f>
        <x:v>220</x:v>
      </x:c>
    </x:row>
    <x:row r="453" ht="22" customHeight="1">
      <x:c r="A453" s="17" t="n">
        <x:f>IF(B453="","",IF(B453=B452,A452,A452+1))</x:f>
        <x:v>91</x:v>
      </x:c>
      <x:c r="B453" s="1" t="str">
        <x:f>'Ranking'!C87</x:f>
        <x:v>Rapidash</x:v>
      </x:c>
      <x:c r="C453" s="1" t="str">
        <x:f>'Habilidades'!D699</x:f>
        <x:v>Flare Blitz</x:v>
      </x:c>
      <x:c r="D453" s="1" t="str">
        <x:f>'Habilidades'!F699</x:f>
        <x:v>Física</x:v>
      </x:c>
      <x:c r="E453" s="18" t="n">
        <x:f>'Habilidades'!G699</x:f>
        <x:v>120</x:v>
      </x:c>
      <x:c r="F453" s="18" t="n">
        <x:f>'Habilidades'!H699</x:f>
        <x:v>100</x:v>
      </x:c>
      <x:c r="G453" s="18" t="n">
        <x:f>'Habilidades'!I699</x:f>
        <x:v>220</x:v>
      </x:c>
    </x:row>
    <x:row r="454" ht="22" customHeight="1">
      <x:c r="A454" s="17" t="n">
        <x:f>IF(B454="","",IF(B454=B453,A453,A453+1))</x:f>
        <x:v>91</x:v>
      </x:c>
      <x:c r="B454" s="1" t="str">
        <x:f>'Ranking'!C87</x:f>
        <x:v>Rapidash</x:v>
      </x:c>
      <x:c r="C454" s="1" t="str">
        <x:f>'Habilidades'!D700</x:f>
        <x:v>Fire Blast</x:v>
      </x:c>
      <x:c r="D454" s="1" t="str">
        <x:f>'Habilidades'!F700</x:f>
        <x:v>Especial</x:v>
      </x:c>
      <x:c r="E454" s="18" t="n">
        <x:f>'Habilidades'!G700</x:f>
        <x:v>110</x:v>
      </x:c>
      <x:c r="F454" s="18" t="n">
        <x:f>'Habilidades'!H700</x:f>
        <x:v>80</x:v>
      </x:c>
      <x:c r="G454" s="18" t="n">
        <x:f>'Habilidades'!I700</x:f>
        <x:v>190</x:v>
      </x:c>
    </x:row>
    <x:row r="455" ht="22" customHeight="1">
      <x:c r="A455" s="19" t="n">
        <x:f>IF(B455="","",IF(B455=B454,A454,A454+1))</x:f>
        <x:v>91</x:v>
      </x:c>
      <x:c r="B455" s="20" t="str">
        <x:f>'Ranking'!C87</x:f>
        <x:v>Rapidash</x:v>
      </x:c>
      <x:c r="C455" s="20" t="str">
        <x:f>'Habilidades'!D703</x:f>
        <x:v>Inferno</x:v>
      </x:c>
      <x:c r="D455" s="20" t="str">
        <x:f>'Habilidades'!F703</x:f>
        <x:v>Especial</x:v>
      </x:c>
      <x:c r="E455" s="21" t="n">
        <x:f>'Habilidades'!G703</x:f>
        <x:v>100</x:v>
      </x:c>
      <x:c r="F455" s="21" t="n">
        <x:f>'Habilidades'!H703</x:f>
        <x:v>80</x:v>
      </x:c>
      <x:c r="G455" s="21" t="n">
        <x:f>'Habilidades'!I703</x:f>
        <x:v>180</x:v>
      </x:c>
    </x:row>
    <x:row r="456" ht="22" customHeight="1">
      <x:c r="A456" s="17" t="n">
        <x:f>IF(B456="","",IF(B456=B455,A455,A455+1))</x:f>
        <x:v>92</x:v>
      </x:c>
      <x:c r="B456" s="1" t="str">
        <x:f>'Ranking'!C96</x:f>
        <x:v>Skarmory</x:v>
      </x:c>
      <x:c r="C456" s="1" t="str">
        <x:f>'Habilidades'!D2137</x:f>
        <x:v>Massive Hurricane</x:v>
      </x:c>
      <x:c r="D456" s="1" t="str">
        <x:f>'Habilidades'!F2137</x:f>
        <x:v>Física</x:v>
      </x:c>
      <x:c r="E456" s="18" t="n">
        <x:f>'Habilidades'!G2137</x:f>
        <x:v>300</x:v>
      </x:c>
      <x:c r="F456" s="18" t="n">
        <x:f>'Habilidades'!H2137</x:f>
        <x:v>80</x:v>
      </x:c>
      <x:c r="G456" s="18" t="n">
        <x:f>'Habilidades'!I2137</x:f>
        <x:v>380</x:v>
      </x:c>
    </x:row>
    <x:row r="457" ht="22" customHeight="1">
      <x:c r="A457" s="17" t="n">
        <x:f>IF(B457="","",IF(B457=B456,A456,A456+1))</x:f>
        <x:v>92</x:v>
      </x:c>
      <x:c r="B457" s="1" t="str">
        <x:f>'Ranking'!C96</x:f>
        <x:v>Skarmory</x:v>
      </x:c>
      <x:c r="C457" s="1" t="str">
        <x:f>'Habilidades'!D2138</x:f>
        <x:v>Steel Wing</x:v>
      </x:c>
      <x:c r="D457" s="1" t="str">
        <x:f>'Habilidades'!F2138</x:f>
        <x:v>Física</x:v>
      </x:c>
      <x:c r="E457" s="18" t="n">
        <x:f>'Habilidades'!G2138</x:f>
        <x:v>70</x:v>
      </x:c>
      <x:c r="F457" s="18" t="n">
        <x:f>'Habilidades'!H2138</x:f>
        <x:v>80</x:v>
      </x:c>
      <x:c r="G457" s="18" t="n">
        <x:f>'Habilidades'!I2138</x:f>
        <x:v>150</x:v>
      </x:c>
    </x:row>
    <x:row r="458" ht="22" customHeight="1">
      <x:c r="A458" s="17" t="n">
        <x:f>IF(B458="","",IF(B458=B457,A457,A457+1))</x:f>
        <x:v>92</x:v>
      </x:c>
      <x:c r="B458" s="1" t="str">
        <x:f>'Ranking'!C96</x:f>
        <x:v>Skarmory</x:v>
      </x:c>
      <x:c r="C458" s="1" t="str">
        <x:f>'Habilidades'!D2139</x:f>
        <x:v>Slash</x:v>
      </x:c>
      <x:c r="D458" s="1" t="str">
        <x:f>'Habilidades'!F2139</x:f>
        <x:v>Física</x:v>
      </x:c>
      <x:c r="E458" s="18" t="n">
        <x:f>'Habilidades'!G2139</x:f>
        <x:v>70</x:v>
      </x:c>
      <x:c r="F458" s="18" t="n">
        <x:f>'Habilidades'!H2139</x:f>
        <x:v>80</x:v>
      </x:c>
      <x:c r="G458" s="18" t="n">
        <x:f>'Habilidades'!I2139</x:f>
        <x:v>150</x:v>
      </x:c>
    </x:row>
    <x:row r="459" ht="22" customHeight="1">
      <x:c r="A459" s="17" t="n">
        <x:f>IF(B459="","",IF(B459=B458,A458,A458+1))</x:f>
        <x:v>92</x:v>
      </x:c>
      <x:c r="B459" s="1" t="str">
        <x:f>'Ranking'!C96</x:f>
        <x:v>Skarmory</x:v>
      </x:c>
      <x:c r="C459" s="1" t="str">
        <x:f>'Habilidades'!D2140</x:f>
        <x:v>Night Slash</x:v>
      </x:c>
      <x:c r="D459" s="1" t="str">
        <x:f>'Habilidades'!F2140</x:f>
        <x:v>Física</x:v>
      </x:c>
      <x:c r="E459" s="18" t="n">
        <x:f>'Habilidades'!G2140</x:f>
        <x:v>70</x:v>
      </x:c>
      <x:c r="F459" s="18" t="n">
        <x:f>'Habilidades'!H2140</x:f>
        <x:v>80</x:v>
      </x:c>
      <x:c r="G459" s="18" t="n">
        <x:f>'Habilidades'!I2140</x:f>
        <x:v>150</x:v>
      </x:c>
    </x:row>
    <x:row r="460" ht="22" customHeight="1">
      <x:c r="A460" s="19" t="n">
        <x:f>IF(B460="","",IF(B460=B459,A459,A459+1))</x:f>
        <x:v>92</x:v>
      </x:c>
      <x:c r="B460" s="20" t="str">
        <x:f>'Ranking'!C96</x:f>
        <x:v>Skarmory</x:v>
      </x:c>
      <x:c r="C460" s="20" t="str">
        <x:f>'Habilidades'!D2142</x:f>
        <x:v>Air Slash</x:v>
      </x:c>
      <x:c r="D460" s="20" t="str">
        <x:f>'Habilidades'!F2142</x:f>
        <x:v>Especial</x:v>
      </x:c>
      <x:c r="E460" s="21" t="n">
        <x:f>'Habilidades'!G2142</x:f>
        <x:v>75</x:v>
      </x:c>
      <x:c r="F460" s="21" t="n">
        <x:f>'Habilidades'!H2142</x:f>
        <x:v>40</x:v>
      </x:c>
      <x:c r="G460" s="21" t="n">
        <x:f>'Habilidades'!I2142</x:f>
        <x:v>115</x:v>
      </x:c>
    </x:row>
    <x:row r="461" ht="22" customHeight="1">
      <x:c r="A461" s="17" t="n">
        <x:f>IF(B461="","",IF(B461=B460,A460,A460+1))</x:f>
        <x:v>93</x:v>
      </x:c>
      <x:c r="B461" s="1" t="str">
        <x:f>'Ranking'!C91</x:f>
        <x:v>Tentacruel</x:v>
      </x:c>
      <x:c r="C461" s="1" t="str">
        <x:f>'Habilidades'!D644</x:f>
        <x:v>Cyclonic Tide</x:v>
      </x:c>
      <x:c r="D461" s="1" t="str">
        <x:f>'Habilidades'!F644</x:f>
        <x:v>Especial</x:v>
      </x:c>
      <x:c r="E461" s="18" t="n">
        <x:f>'Habilidades'!G644</x:f>
        <x:v>300</x:v>
      </x:c>
      <x:c r="F461" s="18" t="n">
        <x:f>'Habilidades'!H644</x:f>
        <x:v>80</x:v>
      </x:c>
      <x:c r="G461" s="18" t="n">
        <x:f>'Habilidades'!I644</x:f>
        <x:v>380</x:v>
      </x:c>
    </x:row>
    <x:row r="462" ht="22" customHeight="1">
      <x:c r="A462" s="17" t="n">
        <x:f>IF(B462="","",IF(B462=B461,A461,A461+1))</x:f>
        <x:v>93</x:v>
      </x:c>
      <x:c r="B462" s="1" t="str">
        <x:f>'Ranking'!C91</x:f>
        <x:v>Tentacruel</x:v>
      </x:c>
      <x:c r="C462" s="1" t="str">
        <x:f>'Habilidades'!D645</x:f>
        <x:v>Hydro Pump</x:v>
      </x:c>
      <x:c r="D462" s="1" t="str">
        <x:f>'Habilidades'!F645</x:f>
        <x:v>Especial</x:v>
      </x:c>
      <x:c r="E462" s="18" t="n">
        <x:f>'Habilidades'!G645</x:f>
        <x:v>110</x:v>
      </x:c>
      <x:c r="F462" s="18" t="n">
        <x:f>'Habilidades'!H645</x:f>
        <x:v>80</x:v>
      </x:c>
      <x:c r="G462" s="18" t="n">
        <x:f>'Habilidades'!I645</x:f>
        <x:v>190</x:v>
      </x:c>
    </x:row>
    <x:row r="463" ht="22" customHeight="1">
      <x:c r="A463" s="17" t="n">
        <x:f>IF(B463="","",IF(B463=B462,A462,A462+1))</x:f>
        <x:v>93</x:v>
      </x:c>
      <x:c r="B463" s="1" t="str">
        <x:f>'Ranking'!C91</x:f>
        <x:v>Tentacruel</x:v>
      </x:c>
      <x:c r="C463" s="1" t="str">
        <x:f>'Habilidades'!D646</x:f>
        <x:v>Sludge Wave</x:v>
      </x:c>
      <x:c r="D463" s="1" t="str">
        <x:f>'Habilidades'!F646</x:f>
        <x:v>Especial</x:v>
      </x:c>
      <x:c r="E463" s="18" t="n">
        <x:f>'Habilidades'!G646</x:f>
        <x:v>95</x:v>
      </x:c>
      <x:c r="F463" s="18" t="n">
        <x:f>'Habilidades'!H646</x:f>
        <x:v>80</x:v>
      </x:c>
      <x:c r="G463" s="18" t="n">
        <x:f>'Habilidades'!I646</x:f>
        <x:v>175</x:v>
      </x:c>
    </x:row>
    <x:row r="464" ht="22" customHeight="1">
      <x:c r="A464" s="17" t="n">
        <x:f>IF(B464="","",IF(B464=B463,A463,A463+1))</x:f>
        <x:v>93</x:v>
      </x:c>
      <x:c r="B464" s="1" t="str">
        <x:f>'Ranking'!C91</x:f>
        <x:v>Tentacruel</x:v>
      </x:c>
      <x:c r="C464" s="1" t="str">
        <x:f>'Habilidades'!D647</x:f>
        <x:v>Poison Jab</x:v>
      </x:c>
      <x:c r="D464" s="1" t="str">
        <x:f>'Habilidades'!F647</x:f>
        <x:v>Física</x:v>
      </x:c>
      <x:c r="E464" s="18" t="n">
        <x:f>'Habilidades'!G647</x:f>
        <x:v>80</x:v>
      </x:c>
      <x:c r="F464" s="18" t="n">
        <x:f>'Habilidades'!H647</x:f>
        <x:v>70</x:v>
      </x:c>
      <x:c r="G464" s="18" t="n">
        <x:f>'Habilidades'!I647</x:f>
        <x:v>150</x:v>
      </x:c>
    </x:row>
    <x:row r="465" ht="22" customHeight="1">
      <x:c r="A465" s="19" t="n">
        <x:f>IF(B465="","",IF(B465=B464,A464,A464+1))</x:f>
        <x:v>93</x:v>
      </x:c>
      <x:c r="B465" s="20" t="str">
        <x:f>'Ranking'!C91</x:f>
        <x:v>Tentacruel</x:v>
      </x:c>
      <x:c r="C465" s="20" t="str">
        <x:f>'Habilidades'!D648</x:f>
        <x:v>Bubble Beam</x:v>
      </x:c>
      <x:c r="D465" s="20" t="str">
        <x:f>'Habilidades'!F648</x:f>
        <x:v>Especial</x:v>
      </x:c>
      <x:c r="E465" s="21" t="n">
        <x:f>'Habilidades'!G648</x:f>
        <x:v>65</x:v>
      </x:c>
      <x:c r="F465" s="21" t="n">
        <x:f>'Habilidades'!H648</x:f>
        <x:v>80</x:v>
      </x:c>
      <x:c r="G465" s="21" t="n">
        <x:f>'Habilidades'!I648</x:f>
        <x:v>145</x:v>
      </x:c>
    </x:row>
    <x:row r="466" ht="22" customHeight="1">
      <x:c r="A466" s="17" t="n">
        <x:f>IF(B466="","",IF(B466=B465,A465,A465+1))</x:f>
        <x:v>94</x:v>
      </x:c>
      <x:c r="B466" s="1" t="str">
        <x:f>'Ranking'!C98</x:f>
        <x:v>Feraligatr</x:v>
      </x:c>
      <x:c r="C466" s="1" t="str">
        <x:f>'Habilidades'!D1546</x:f>
        <x:v>Cyclonic Tide</x:v>
      </x:c>
      <x:c r="D466" s="1" t="str">
        <x:f>'Habilidades'!F1546</x:f>
        <x:v>Especial</x:v>
      </x:c>
      <x:c r="E466" s="18" t="n">
        <x:f>'Habilidades'!G1546</x:f>
        <x:v>300</x:v>
      </x:c>
      <x:c r="F466" s="18" t="n">
        <x:f>'Habilidades'!H1546</x:f>
        <x:v>79</x:v>
      </x:c>
      <x:c r="G466" s="18" t="n">
        <x:f>'Habilidades'!I1546</x:f>
        <x:v>379</x:v>
      </x:c>
    </x:row>
    <x:row r="467" ht="22" customHeight="1">
      <x:c r="A467" s="17" t="n">
        <x:f>IF(B467="","",IF(B467=B466,A466,A466+1))</x:f>
        <x:v>94</x:v>
      </x:c>
      <x:c r="B467" s="1" t="str">
        <x:f>'Ranking'!C98</x:f>
        <x:v>Feraligatr</x:v>
      </x:c>
      <x:c r="C467" s="1" t="str">
        <x:f>'Habilidades'!D1547</x:f>
        <x:v>Thrash</x:v>
      </x:c>
      <x:c r="D467" s="1" t="str">
        <x:f>'Habilidades'!F1547</x:f>
        <x:v>Física</x:v>
      </x:c>
      <x:c r="E467" s="18" t="n">
        <x:f>'Habilidades'!G1547</x:f>
        <x:v>120</x:v>
      </x:c>
      <x:c r="F467" s="18" t="n">
        <x:f>'Habilidades'!H1547</x:f>
        <x:v>105</x:v>
      </x:c>
      <x:c r="G467" s="18" t="n">
        <x:f>'Habilidades'!I1547</x:f>
        <x:v>225</x:v>
      </x:c>
    </x:row>
    <x:row r="468" ht="22" customHeight="1">
      <x:c r="A468" s="17" t="n">
        <x:f>IF(B468="","",IF(B468=B467,A467,A467+1))</x:f>
        <x:v>94</x:v>
      </x:c>
      <x:c r="B468" s="1" t="str">
        <x:f>'Ranking'!C98</x:f>
        <x:v>Feraligatr</x:v>
      </x:c>
      <x:c r="C468" s="1" t="str">
        <x:f>'Habilidades'!D1548</x:f>
        <x:v>Superpower</x:v>
      </x:c>
      <x:c r="D468" s="1" t="str">
        <x:f>'Habilidades'!F1548</x:f>
        <x:v>Física</x:v>
      </x:c>
      <x:c r="E468" s="18" t="n">
        <x:f>'Habilidades'!G1548</x:f>
        <x:v>120</x:v>
      </x:c>
      <x:c r="F468" s="18" t="n">
        <x:f>'Habilidades'!H1548</x:f>
        <x:v>105</x:v>
      </x:c>
      <x:c r="G468" s="18" t="n">
        <x:f>'Habilidades'!I1548</x:f>
        <x:v>225</x:v>
      </x:c>
    </x:row>
    <x:row r="469" ht="22" customHeight="1">
      <x:c r="A469" s="17" t="n">
        <x:f>IF(B469="","",IF(B469=B468,A468,A468+1))</x:f>
        <x:v>94</x:v>
      </x:c>
      <x:c r="B469" s="1" t="str">
        <x:f>'Ranking'!C98</x:f>
        <x:v>Feraligatr</x:v>
      </x:c>
      <x:c r="C469" s="1" t="str">
        <x:f>'Habilidades'!D1549</x:f>
        <x:v>Aqua Tail</x:v>
      </x:c>
      <x:c r="D469" s="1" t="str">
        <x:f>'Habilidades'!F1549</x:f>
        <x:v>Física</x:v>
      </x:c>
      <x:c r="E469" s="18" t="n">
        <x:f>'Habilidades'!G1549</x:f>
        <x:v>90</x:v>
      </x:c>
      <x:c r="F469" s="18" t="n">
        <x:f>'Habilidades'!H1549</x:f>
        <x:v>105</x:v>
      </x:c>
      <x:c r="G469" s="18" t="n">
        <x:f>'Habilidades'!I1549</x:f>
        <x:v>195</x:v>
      </x:c>
    </x:row>
    <x:row r="470" ht="22" customHeight="1">
      <x:c r="A470" s="19" t="n">
        <x:f>IF(B470="","",IF(B470=B469,A469,A469+1))</x:f>
        <x:v>94</x:v>
      </x:c>
      <x:c r="B470" s="20" t="str">
        <x:f>'Ranking'!C98</x:f>
        <x:v>Feraligatr</x:v>
      </x:c>
      <x:c r="C470" s="20" t="str">
        <x:f>'Habilidades'!D1550</x:f>
        <x:v>Hydro Pump</x:v>
      </x:c>
      <x:c r="D470" s="20" t="str">
        <x:f>'Habilidades'!F1550</x:f>
        <x:v>Especial</x:v>
      </x:c>
      <x:c r="E470" s="21" t="n">
        <x:f>'Habilidades'!G1550</x:f>
        <x:v>110</x:v>
      </x:c>
      <x:c r="F470" s="21" t="n">
        <x:f>'Habilidades'!H1550</x:f>
        <x:v>79</x:v>
      </x:c>
      <x:c r="G470" s="21" t="n">
        <x:f>'Habilidades'!I1550</x:f>
        <x:v>189</x:v>
      </x:c>
    </x:row>
    <x:row r="471" ht="22" customHeight="1">
      <x:c r="A471" s="17" t="n">
        <x:f>IF(B471="","",IF(B471=B470,A470,A470+1))</x:f>
        <x:v>95</x:v>
      </x:c>
      <x:c r="B471" s="1" t="str">
        <x:f>'Ranking'!C99</x:f>
        <x:v>Lanturn</x:v>
      </x:c>
      <x:c r="C471" s="1" t="str">
        <x:f>'Habilidades'!D1655</x:f>
        <x:v>Cyclonic Tide</x:v>
      </x:c>
      <x:c r="D471" s="1" t="str">
        <x:f>'Habilidades'!F1655</x:f>
        <x:v>Especial</x:v>
      </x:c>
      <x:c r="E471" s="18" t="n">
        <x:f>'Habilidades'!G1655</x:f>
        <x:v>300</x:v>
      </x:c>
      <x:c r="F471" s="18" t="n">
        <x:f>'Habilidades'!H1655</x:f>
        <x:v>76</x:v>
      </x:c>
      <x:c r="G471" s="18" t="n">
        <x:f>'Habilidades'!I1655</x:f>
        <x:v>376</x:v>
      </x:c>
    </x:row>
    <x:row r="472" ht="22" customHeight="1">
      <x:c r="A472" s="17" t="n">
        <x:f>IF(B472="","",IF(B472=B471,A471,A471+1))</x:f>
        <x:v>95</x:v>
      </x:c>
      <x:c r="B472" s="1" t="str">
        <x:f>'Ranking'!C99</x:f>
        <x:v>Lanturn</x:v>
      </x:c>
      <x:c r="C472" s="1" t="str">
        <x:f>'Habilidades'!D1656</x:f>
        <x:v>Hydro Pump</x:v>
      </x:c>
      <x:c r="D472" s="1" t="str">
        <x:f>'Habilidades'!F1656</x:f>
        <x:v>Especial</x:v>
      </x:c>
      <x:c r="E472" s="18" t="n">
        <x:f>'Habilidades'!G1656</x:f>
        <x:v>110</x:v>
      </x:c>
      <x:c r="F472" s="18" t="n">
        <x:f>'Habilidades'!H1656</x:f>
        <x:v>76</x:v>
      </x:c>
      <x:c r="G472" s="18" t="n">
        <x:f>'Habilidades'!I1656</x:f>
        <x:v>186</x:v>
      </x:c>
    </x:row>
    <x:row r="473" ht="22" customHeight="1">
      <x:c r="A473" s="17" t="n">
        <x:f>IF(B473="","",IF(B473=B472,A472,A472+1))</x:f>
        <x:v>95</x:v>
      </x:c>
      <x:c r="B473" s="1" t="str">
        <x:f>'Ranking'!C99</x:f>
        <x:v>Lanturn</x:v>
      </x:c>
      <x:c r="C473" s="1" t="str">
        <x:f>'Habilidades'!D1657</x:f>
        <x:v>Discharge</x:v>
      </x:c>
      <x:c r="D473" s="1" t="str">
        <x:f>'Habilidades'!F1657</x:f>
        <x:v>Especial</x:v>
      </x:c>
      <x:c r="E473" s="18" t="n">
        <x:f>'Habilidades'!G1657</x:f>
        <x:v>80</x:v>
      </x:c>
      <x:c r="F473" s="18" t="n">
        <x:f>'Habilidades'!H1657</x:f>
        <x:v>76</x:v>
      </x:c>
      <x:c r="G473" s="18" t="n">
        <x:f>'Habilidades'!I1657</x:f>
        <x:v>156</x:v>
      </x:c>
    </x:row>
    <x:row r="474" ht="22" customHeight="1">
      <x:c r="A474" s="17" t="n">
        <x:f>IF(B474="","",IF(B474=B473,A473,A473+1))</x:f>
        <x:v>95</x:v>
      </x:c>
      <x:c r="B474" s="1" t="str">
        <x:f>'Ranking'!C99</x:f>
        <x:v>Lanturn</x:v>
      </x:c>
      <x:c r="C474" s="1" t="str">
        <x:f>'Habilidades'!D1658</x:f>
        <x:v>Signal Beam</x:v>
      </x:c>
      <x:c r="D474" s="1" t="str">
        <x:f>'Habilidades'!F1658</x:f>
        <x:v>Especial</x:v>
      </x:c>
      <x:c r="E474" s="18" t="n">
        <x:f>'Habilidades'!G1658</x:f>
        <x:v>75</x:v>
      </x:c>
      <x:c r="F474" s="18" t="n">
        <x:f>'Habilidades'!H1658</x:f>
        <x:v>76</x:v>
      </x:c>
      <x:c r="G474" s="18" t="n">
        <x:f>'Habilidades'!I1658</x:f>
        <x:v>151</x:v>
      </x:c>
    </x:row>
    <x:row r="475" ht="22" customHeight="1">
      <x:c r="A475" s="19" t="n">
        <x:f>IF(B475="","",IF(B475=B474,A474,A474+1))</x:f>
        <x:v>95</x:v>
      </x:c>
      <x:c r="B475" s="20" t="str">
        <x:f>'Ranking'!C99</x:f>
        <x:v>Lanturn</x:v>
      </x:c>
      <x:c r="C475" s="20" t="str">
        <x:f>'Habilidades'!D1659</x:f>
        <x:v>Take Down</x:v>
      </x:c>
      <x:c r="D475" s="20" t="str">
        <x:f>'Habilidades'!F1659</x:f>
        <x:v>Física</x:v>
      </x:c>
      <x:c r="E475" s="21" t="n">
        <x:f>'Habilidades'!G1659</x:f>
        <x:v>90</x:v>
      </x:c>
      <x:c r="F475" s="21" t="n">
        <x:f>'Habilidades'!H1659</x:f>
        <x:v>58</x:v>
      </x:c>
      <x:c r="G475" s="21" t="n">
        <x:f>'Habilidades'!I1659</x:f>
        <x:v>148</x:v>
      </x:c>
    </x:row>
    <x:row r="476" ht="22" customHeight="1">
      <x:c r="A476" s="17" t="n">
        <x:f>IF(B476="","",IF(B476=B475,A475,A475+1))</x:f>
        <x:v>96</x:v>
      </x:c>
      <x:c r="B476" s="1" t="str">
        <x:f>'Ranking'!C100</x:f>
        <x:v>Gligar</x:v>
      </x:c>
      <x:c r="C476" s="1" t="str">
        <x:f>'Habilidades'!D1909</x:f>
        <x:v>Massive Hurricane</x:v>
      </x:c>
      <x:c r="D476" s="1" t="str">
        <x:f>'Habilidades'!F1909</x:f>
        <x:v>Física</x:v>
      </x:c>
      <x:c r="E476" s="18" t="n">
        <x:f>'Habilidades'!G1909</x:f>
        <x:v>300</x:v>
      </x:c>
      <x:c r="F476" s="18" t="n">
        <x:f>'Habilidades'!H1909</x:f>
        <x:v>75</x:v>
      </x:c>
      <x:c r="G476" s="18" t="n">
        <x:f>'Habilidades'!I1909</x:f>
        <x:v>375</x:v>
      </x:c>
    </x:row>
    <x:row r="477" ht="22" customHeight="1">
      <x:c r="A477" s="17" t="n">
        <x:f>IF(B477="","",IF(B477=B476,A476,A476+1))</x:f>
        <x:v>96</x:v>
      </x:c>
      <x:c r="B477" s="1" t="str">
        <x:f>'Ranking'!C100</x:f>
        <x:v>Gligar</x:v>
      </x:c>
      <x:c r="C477" s="1" t="str">
        <x:f>'Habilidades'!D1910</x:f>
        <x:v>Crossing Fissure</x:v>
      </x:c>
      <x:c r="D477" s="1" t="str">
        <x:f>'Habilidades'!F1910</x:f>
        <x:v>Física</x:v>
      </x:c>
      <x:c r="E477" s="18" t="n">
        <x:f>'Habilidades'!G1910</x:f>
        <x:v>300</x:v>
      </x:c>
      <x:c r="F477" s="18" t="n">
        <x:f>'Habilidades'!H1910</x:f>
        <x:v>75</x:v>
      </x:c>
      <x:c r="G477" s="18" t="n">
        <x:f>'Habilidades'!I1910</x:f>
        <x:v>375</x:v>
      </x:c>
    </x:row>
    <x:row r="478" ht="22" customHeight="1">
      <x:c r="A478" s="17" t="n">
        <x:f>IF(B478="","",IF(B478=B477,A477,A477+1))</x:f>
        <x:v>96</x:v>
      </x:c>
      <x:c r="B478" s="1" t="str">
        <x:f>'Ranking'!C100</x:f>
        <x:v>Gligar</x:v>
      </x:c>
      <x:c r="C478" s="1" t="str">
        <x:f>'Habilidades'!D1911</x:f>
        <x:v>Sky Uppercut</x:v>
      </x:c>
      <x:c r="D478" s="1" t="str">
        <x:f>'Habilidades'!F1911</x:f>
        <x:v>Física</x:v>
      </x:c>
      <x:c r="E478" s="18" t="n">
        <x:f>'Habilidades'!G1911</x:f>
        <x:v>85</x:v>
      </x:c>
      <x:c r="F478" s="18" t="n">
        <x:f>'Habilidades'!H1911</x:f>
        <x:v>75</x:v>
      </x:c>
      <x:c r="G478" s="18" t="n">
        <x:f>'Habilidades'!I1911</x:f>
        <x:v>160</x:v>
      </x:c>
    </x:row>
    <x:row r="479" ht="22" customHeight="1">
      <x:c r="A479" s="17" t="n">
        <x:f>IF(B479="","",IF(B479=B478,A478,A478+1))</x:f>
        <x:v>96</x:v>
      </x:c>
      <x:c r="B479" s="1" t="str">
        <x:f>'Ranking'!C100</x:f>
        <x:v>Gligar</x:v>
      </x:c>
      <x:c r="C479" s="1" t="str">
        <x:f>'Habilidades'!D1912</x:f>
        <x:v>X-Scissor</x:v>
      </x:c>
      <x:c r="D479" s="1" t="str">
        <x:f>'Habilidades'!F1912</x:f>
        <x:v>Física</x:v>
      </x:c>
      <x:c r="E479" s="18" t="n">
        <x:f>'Habilidades'!G1912</x:f>
        <x:v>80</x:v>
      </x:c>
      <x:c r="F479" s="18" t="n">
        <x:f>'Habilidades'!H1912</x:f>
        <x:v>75</x:v>
      </x:c>
      <x:c r="G479" s="18" t="n">
        <x:f>'Habilidades'!I1912</x:f>
        <x:v>155</x:v>
      </x:c>
    </x:row>
    <x:row r="480" ht="22" customHeight="1">
      <x:c r="A480" s="19" t="n">
        <x:f>IF(B480="","",IF(B480=B479,A479,A479+1))</x:f>
        <x:v>96</x:v>
      </x:c>
      <x:c r="B480" s="20" t="str">
        <x:f>'Ranking'!C100</x:f>
        <x:v>Gligar</x:v>
      </x:c>
      <x:c r="C480" s="20" t="str">
        <x:f>'Habilidades'!D1913</x:f>
        <x:v>Slash</x:v>
      </x:c>
      <x:c r="D480" s="20" t="str">
        <x:f>'Habilidades'!F1913</x:f>
        <x:v>Física</x:v>
      </x:c>
      <x:c r="E480" s="21" t="n">
        <x:f>'Habilidades'!G1913</x:f>
        <x:v>70</x:v>
      </x:c>
      <x:c r="F480" s="21" t="n">
        <x:f>'Habilidades'!H1913</x:f>
        <x:v>75</x:v>
      </x:c>
      <x:c r="G480" s="21" t="n">
        <x:f>'Habilidades'!I1913</x:f>
        <x:v>145</x:v>
      </x:c>
    </x:row>
    <x:row r="481" ht="22" customHeight="1">
      <x:c r="A481" s="17" t="n">
        <x:f>IF(B481="","",IF(B481=B480,A480,A480+1))</x:f>
        <x:v>97</x:v>
      </x:c>
      <x:c r="B481" s="1" t="str">
        <x:f>'Ranking'!C101</x:f>
        <x:v>Sableye</x:v>
      </x:c>
      <x:c r="C481" s="1" t="str">
        <x:f>'Habilidades'!D2616</x:f>
        <x:v>Endless Hollow</x:v>
      </x:c>
      <x:c r="D481" s="1" t="str">
        <x:f>'Habilidades'!F2616</x:f>
        <x:v>Física</x:v>
      </x:c>
      <x:c r="E481" s="18" t="n">
        <x:f>'Habilidades'!G2616</x:f>
        <x:v>300</x:v>
      </x:c>
      <x:c r="F481" s="18" t="n">
        <x:f>'Habilidades'!H2616</x:f>
        <x:v>75</x:v>
      </x:c>
      <x:c r="G481" s="18" t="n">
        <x:f>'Habilidades'!I2616</x:f>
        <x:v>375</x:v>
      </x:c>
    </x:row>
    <x:row r="482" ht="22" customHeight="1">
      <x:c r="A482" s="17" t="n">
        <x:f>IF(B482="","",IF(B482=B481,A481,A481+1))</x:f>
        <x:v>97</x:v>
      </x:c>
      <x:c r="B482" s="1" t="str">
        <x:f>'Ranking'!C101</x:f>
        <x:v>Sableye</x:v>
      </x:c>
      <x:c r="C482" s="1" t="str">
        <x:f>'Habilidades'!D2617</x:f>
        <x:v>Foul Play</x:v>
      </x:c>
      <x:c r="D482" s="1" t="str">
        <x:f>'Habilidades'!F2617</x:f>
        <x:v>Física</x:v>
      </x:c>
      <x:c r="E482" s="18" t="n">
        <x:f>'Habilidades'!G2617</x:f>
        <x:v>95</x:v>
      </x:c>
      <x:c r="F482" s="18" t="n">
        <x:f>'Habilidades'!H2617</x:f>
        <x:v>75</x:v>
      </x:c>
      <x:c r="G482" s="18" t="n">
        <x:f>'Habilidades'!I2617</x:f>
        <x:v>170</x:v>
      </x:c>
    </x:row>
    <x:row r="483" ht="22" customHeight="1">
      <x:c r="A483" s="17" t="n">
        <x:f>IF(B483="","",IF(B483=B482,A482,A482+1))</x:f>
        <x:v>97</x:v>
      </x:c>
      <x:c r="B483" s="1" t="str">
        <x:f>'Ranking'!C101</x:f>
        <x:v>Sableye</x:v>
      </x:c>
      <x:c r="C483" s="1" t="str">
        <x:f>'Habilidades'!D2618</x:f>
        <x:v>Zen Headbutt</x:v>
      </x:c>
      <x:c r="D483" s="1" t="str">
        <x:f>'Habilidades'!F2618</x:f>
        <x:v>Física</x:v>
      </x:c>
      <x:c r="E483" s="18" t="n">
        <x:f>'Habilidades'!G2618</x:f>
        <x:v>80</x:v>
      </x:c>
      <x:c r="F483" s="18" t="n">
        <x:f>'Habilidades'!H2618</x:f>
        <x:v>75</x:v>
      </x:c>
      <x:c r="G483" s="18" t="n">
        <x:f>'Habilidades'!I2618</x:f>
        <x:v>155</x:v>
      </x:c>
    </x:row>
    <x:row r="484" ht="22" customHeight="1">
      <x:c r="A484" s="17" t="n">
        <x:f>IF(B484="","",IF(B484=B483,A483,A483+1))</x:f>
        <x:v>97</x:v>
      </x:c>
      <x:c r="B484" s="1" t="str">
        <x:f>'Ranking'!C101</x:f>
        <x:v>Sableye</x:v>
      </x:c>
      <x:c r="C484" s="1" t="str">
        <x:f>'Habilidades'!D2619</x:f>
        <x:v>Power Gem</x:v>
      </x:c>
      <x:c r="D484" s="1" t="str">
        <x:f>'Habilidades'!F2619</x:f>
        <x:v>Especial</x:v>
      </x:c>
      <x:c r="E484" s="18" t="n">
        <x:f>'Habilidades'!G2619</x:f>
        <x:v>80</x:v>
      </x:c>
      <x:c r="F484" s="18" t="n">
        <x:f>'Habilidades'!H2619</x:f>
        <x:v>65</x:v>
      </x:c>
      <x:c r="G484" s="18" t="n">
        <x:f>'Habilidades'!I2619</x:f>
        <x:v>145</x:v>
      </x:c>
    </x:row>
    <x:row r="485" ht="22" customHeight="1">
      <x:c r="A485" s="19" t="n">
        <x:f>IF(B485="","",IF(B485=B484,A484,A484+1))</x:f>
        <x:v>97</x:v>
      </x:c>
      <x:c r="B485" s="20" t="str">
        <x:f>'Ranking'!C101</x:f>
        <x:v>Sableye</x:v>
      </x:c>
      <x:c r="C485" s="20" t="str">
        <x:f>'Habilidades'!D2620</x:f>
        <x:v>Shadow Ball</x:v>
      </x:c>
      <x:c r="D485" s="20" t="str">
        <x:f>'Habilidades'!F2620</x:f>
        <x:v>Especial</x:v>
      </x:c>
      <x:c r="E485" s="21" t="n">
        <x:f>'Habilidades'!G2620</x:f>
        <x:v>80</x:v>
      </x:c>
      <x:c r="F485" s="21" t="n">
        <x:f>'Habilidades'!H2620</x:f>
        <x:v>65</x:v>
      </x:c>
      <x:c r="G485" s="21" t="n">
        <x:f>'Habilidades'!I2620</x:f>
        <x:v>145</x:v>
      </x:c>
    </x:row>
    <x:row r="486" ht="22" customHeight="1">
      <x:c r="A486" s="17" t="n">
        <x:f>IF(B486="","",IF(B486=B485,A485,A485+1))</x:f>
        <x:v>98</x:v>
      </x:c>
      <x:c r="B486" s="1" t="str">
        <x:f>'Ranking'!C102</x:f>
        <x:v>Hypno</x:v>
      </x:c>
      <x:c r="C486" s="1" t="str">
        <x:f>'Habilidades'!D909</x:f>
        <x:v>Mental Singularity</x:v>
      </x:c>
      <x:c r="D486" s="1" t="str">
        <x:f>'Habilidades'!F909</x:f>
        <x:v>Especial</x:v>
      </x:c>
      <x:c r="E486" s="18" t="n">
        <x:f>'Habilidades'!G909</x:f>
        <x:v>300</x:v>
      </x:c>
      <x:c r="F486" s="18" t="n">
        <x:f>'Habilidades'!H909</x:f>
        <x:v>73</x:v>
      </x:c>
      <x:c r="G486" s="18" t="n">
        <x:f>'Habilidades'!I909</x:f>
        <x:v>373</x:v>
      </x:c>
    </x:row>
    <x:row r="487" ht="22" customHeight="1">
      <x:c r="A487" s="17" t="n">
        <x:f>IF(B487="","",IF(B487=B486,A486,A486+1))</x:f>
        <x:v>98</x:v>
      </x:c>
      <x:c r="B487" s="1" t="str">
        <x:f>'Ranking'!C102</x:f>
        <x:v>Hypno</x:v>
      </x:c>
      <x:c r="C487" s="1" t="str">
        <x:f>'Habilidades'!D910</x:f>
        <x:v>Future Sight</x:v>
      </x:c>
      <x:c r="D487" s="1" t="str">
        <x:f>'Habilidades'!F910</x:f>
        <x:v>Especial</x:v>
      </x:c>
      <x:c r="E487" s="18" t="n">
        <x:f>'Habilidades'!G910</x:f>
        <x:v>120</x:v>
      </x:c>
      <x:c r="F487" s="18" t="n">
        <x:f>'Habilidades'!H910</x:f>
        <x:v>73</x:v>
      </x:c>
      <x:c r="G487" s="18" t="n">
        <x:f>'Habilidades'!I910</x:f>
        <x:v>193</x:v>
      </x:c>
    </x:row>
    <x:row r="488" ht="22" customHeight="1">
      <x:c r="A488" s="17" t="n">
        <x:f>IF(B488="","",IF(B488=B487,A487,A487+1))</x:f>
        <x:v>98</x:v>
      </x:c>
      <x:c r="B488" s="1" t="str">
        <x:f>'Ranking'!C102</x:f>
        <x:v>Hypno</x:v>
      </x:c>
      <x:c r="C488" s="1" t="str">
        <x:f>'Habilidades'!D911</x:f>
        <x:v>Synchronoise</x:v>
      </x:c>
      <x:c r="D488" s="1" t="str">
        <x:f>'Habilidades'!F911</x:f>
        <x:v>Especial</x:v>
      </x:c>
      <x:c r="E488" s="18" t="n">
        <x:f>'Habilidades'!G911</x:f>
        <x:v>120</x:v>
      </x:c>
      <x:c r="F488" s="18" t="n">
        <x:f>'Habilidades'!H911</x:f>
        <x:v>73</x:v>
      </x:c>
      <x:c r="G488" s="18" t="n">
        <x:f>'Habilidades'!I911</x:f>
        <x:v>193</x:v>
      </x:c>
    </x:row>
    <x:row r="489" ht="22" customHeight="1">
      <x:c r="A489" s="17" t="n">
        <x:f>IF(B489="","",IF(B489=B488,A488,A488+1))</x:f>
        <x:v>98</x:v>
      </x:c>
      <x:c r="B489" s="1" t="str">
        <x:f>'Ranking'!C102</x:f>
        <x:v>Hypno</x:v>
      </x:c>
      <x:c r="C489" s="1" t="str">
        <x:f>'Habilidades'!D912</x:f>
        <x:v>Psychic</x:v>
      </x:c>
      <x:c r="D489" s="1" t="str">
        <x:f>'Habilidades'!F912</x:f>
        <x:v>Especial</x:v>
      </x:c>
      <x:c r="E489" s="18" t="n">
        <x:f>'Habilidades'!G912</x:f>
        <x:v>90</x:v>
      </x:c>
      <x:c r="F489" s="18" t="n">
        <x:f>'Habilidades'!H912</x:f>
        <x:v>73</x:v>
      </x:c>
      <x:c r="G489" s="18" t="n">
        <x:f>'Habilidades'!I912</x:f>
        <x:v>163</x:v>
      </x:c>
    </x:row>
    <x:row r="490" ht="22" customHeight="1">
      <x:c r="A490" s="19" t="n">
        <x:f>IF(B490="","",IF(B490=B489,A489,A489+1))</x:f>
        <x:v>98</x:v>
      </x:c>
      <x:c r="B490" s="20" t="str">
        <x:f>'Ranking'!C102</x:f>
        <x:v>Hypno</x:v>
      </x:c>
      <x:c r="C490" s="20" t="str">
        <x:f>'Habilidades'!D913</x:f>
        <x:v>Zen Headbutt</x:v>
      </x:c>
      <x:c r="D490" s="20" t="str">
        <x:f>'Habilidades'!F913</x:f>
        <x:v>Física</x:v>
      </x:c>
      <x:c r="E490" s="21" t="n">
        <x:f>'Habilidades'!G913</x:f>
        <x:v>80</x:v>
      </x:c>
      <x:c r="F490" s="21" t="n">
        <x:f>'Habilidades'!H913</x:f>
        <x:v>73</x:v>
      </x:c>
      <x:c r="G490" s="21" t="n">
        <x:f>'Habilidades'!I913</x:f>
        <x:v>153</x:v>
      </x:c>
    </x:row>
    <x:row r="491" ht="22" customHeight="1">
      <x:c r="A491" s="17" t="n">
        <x:f>IF(B491="","",IF(B491=B490,A490,A490+1))</x:f>
        <x:v>99</x:v>
      </x:c>
      <x:c r="B491" s="1" t="str">
        <x:f>'Ranking'!C104</x:f>
        <x:v>Dewgong</x:v>
      </x:c>
      <x:c r="C491" s="1" t="str">
        <x:f>'Habilidades'!D801</x:f>
        <x:v>Cyclonic Tide</x:v>
      </x:c>
      <x:c r="D491" s="1" t="str">
        <x:f>'Habilidades'!F801</x:f>
        <x:v>Especial</x:v>
      </x:c>
      <x:c r="E491" s="18" t="n">
        <x:f>'Habilidades'!G801</x:f>
        <x:v>300</x:v>
      </x:c>
      <x:c r="F491" s="18" t="n">
        <x:f>'Habilidades'!H801</x:f>
        <x:v>70</x:v>
      </x:c>
      <x:c r="G491" s="18" t="n">
        <x:f>'Habilidades'!I801</x:f>
        <x:v>370</x:v>
      </x:c>
    </x:row>
    <x:row r="492" ht="22" customHeight="1">
      <x:c r="A492" s="17" t="n">
        <x:f>IF(B492="","",IF(B492=B491,A491,A491+1))</x:f>
        <x:v>99</x:v>
      </x:c>
      <x:c r="B492" s="1" t="str">
        <x:f>'Ranking'!C104</x:f>
        <x:v>Dewgong</x:v>
      </x:c>
      <x:c r="C492" s="1" t="str">
        <x:f>'Habilidades'!D802</x:f>
        <x:v>Take Down</x:v>
      </x:c>
      <x:c r="D492" s="1" t="str">
        <x:f>'Habilidades'!F802</x:f>
        <x:v>Física</x:v>
      </x:c>
      <x:c r="E492" s="18" t="n">
        <x:f>'Habilidades'!G802</x:f>
        <x:v>90</x:v>
      </x:c>
      <x:c r="F492" s="18" t="n">
        <x:f>'Habilidades'!H802</x:f>
        <x:v>70</x:v>
      </x:c>
      <x:c r="G492" s="18" t="n">
        <x:f>'Habilidades'!I802</x:f>
        <x:v>160</x:v>
      </x:c>
    </x:row>
    <x:row r="493" ht="22" customHeight="1">
      <x:c r="A493" s="17" t="n">
        <x:f>IF(B493="","",IF(B493=B492,A492,A492+1))</x:f>
        <x:v>99</x:v>
      </x:c>
      <x:c r="B493" s="1" t="str">
        <x:f>'Ranking'!C104</x:f>
        <x:v>Dewgong</x:v>
      </x:c>
      <x:c r="C493" s="1" t="str">
        <x:f>'Habilidades'!D803</x:f>
        <x:v>Aqua Tail</x:v>
      </x:c>
      <x:c r="D493" s="1" t="str">
        <x:f>'Habilidades'!F803</x:f>
        <x:v>Física</x:v>
      </x:c>
      <x:c r="E493" s="18" t="n">
        <x:f>'Habilidades'!G803</x:f>
        <x:v>90</x:v>
      </x:c>
      <x:c r="F493" s="18" t="n">
        <x:f>'Habilidades'!H803</x:f>
        <x:v>70</x:v>
      </x:c>
      <x:c r="G493" s="18" t="n">
        <x:f>'Habilidades'!I803</x:f>
        <x:v>160</x:v>
      </x:c>
    </x:row>
    <x:row r="494" ht="22" customHeight="1">
      <x:c r="A494" s="17" t="n">
        <x:f>IF(B494="","",IF(B494=B493,A493,A493+1))</x:f>
        <x:v>99</x:v>
      </x:c>
      <x:c r="B494" s="1" t="str">
        <x:f>'Ranking'!C104</x:f>
        <x:v>Dewgong</x:v>
      </x:c>
      <x:c r="C494" s="1" t="str">
        <x:f>'Habilidades'!D804</x:f>
        <x:v>Ice Beam</x:v>
      </x:c>
      <x:c r="D494" s="1" t="str">
        <x:f>'Habilidades'!F804</x:f>
        <x:v>Especial</x:v>
      </x:c>
      <x:c r="E494" s="18" t="n">
        <x:f>'Habilidades'!G804</x:f>
        <x:v>90</x:v>
      </x:c>
      <x:c r="F494" s="18" t="n">
        <x:f>'Habilidades'!H804</x:f>
        <x:v>70</x:v>
      </x:c>
      <x:c r="G494" s="18" t="n">
        <x:f>'Habilidades'!I804</x:f>
        <x:v>160</x:v>
      </x:c>
    </x:row>
    <x:row r="495" ht="22" customHeight="1">
      <x:c r="A495" s="19" t="n">
        <x:f>IF(B495="","",IF(B495=B494,A494,A494+1))</x:f>
        <x:v>99</x:v>
      </x:c>
      <x:c r="B495" s="20" t="str">
        <x:f>'Ranking'!C104</x:f>
        <x:v>Dewgong</x:v>
      </x:c>
      <x:c r="C495" s="20" t="str">
        <x:f>'Habilidades'!D805</x:f>
        <x:v>Dive</x:v>
      </x:c>
      <x:c r="D495" s="20" t="str">
        <x:f>'Habilidades'!F805</x:f>
        <x:v>Física</x:v>
      </x:c>
      <x:c r="E495" s="21" t="n">
        <x:f>'Habilidades'!G805</x:f>
        <x:v>80</x:v>
      </x:c>
      <x:c r="F495" s="21" t="n">
        <x:f>'Habilidades'!H805</x:f>
        <x:v>70</x:v>
      </x:c>
      <x:c r="G495" s="21" t="n">
        <x:f>'Habilidades'!I805</x:f>
        <x:v>150</x:v>
      </x:c>
    </x:row>
    <x:row r="496" ht="22" customHeight="1">
      <x:c r="A496" s="17" t="n">
        <x:f>IF(B496="","",IF(B496=B495,A495,A495+1))</x:f>
        <x:v>100</x:v>
      </x:c>
      <x:c r="B496" s="1" t="str">
        <x:f>'Ranking'!C103</x:f>
        <x:v>Poliwrath</x:v>
      </x:c>
      <x:c r="C496" s="1" t="str">
        <x:f>'Habilidades'!D553</x:f>
        <x:v>Cyclonic Tide</x:v>
      </x:c>
      <x:c r="D496" s="1" t="str">
        <x:f>'Habilidades'!F553</x:f>
        <x:v>Especial</x:v>
      </x:c>
      <x:c r="E496" s="18" t="n">
        <x:f>'Habilidades'!G553</x:f>
        <x:v>300</x:v>
      </x:c>
      <x:c r="F496" s="18" t="n">
        <x:f>'Habilidades'!H553</x:f>
        <x:v>70</x:v>
      </x:c>
      <x:c r="G496" s="18" t="n">
        <x:f>'Habilidades'!I553</x:f>
        <x:v>370</x:v>
      </x:c>
    </x:row>
    <x:row r="497" ht="22" customHeight="1">
      <x:c r="A497" s="17" t="n">
        <x:f>IF(B497="","",IF(B497=B496,A496,A496+1))</x:f>
        <x:v>100</x:v>
      </x:c>
      <x:c r="B497" s="1" t="str">
        <x:f>'Ranking'!C103</x:f>
        <x:v>Poliwrath</x:v>
      </x:c>
      <x:c r="C497" s="1" t="str">
        <x:f>'Habilidades'!D554</x:f>
        <x:v>Dynamic Punch</x:v>
      </x:c>
      <x:c r="D497" s="1" t="str">
        <x:f>'Habilidades'!F554</x:f>
        <x:v>Física</x:v>
      </x:c>
      <x:c r="E497" s="18" t="n">
        <x:f>'Habilidades'!G554</x:f>
        <x:v>100</x:v>
      </x:c>
      <x:c r="F497" s="18" t="n">
        <x:f>'Habilidades'!H554</x:f>
        <x:v>95</x:v>
      </x:c>
      <x:c r="G497" s="18" t="n">
        <x:f>'Habilidades'!I554</x:f>
        <x:v>195</x:v>
      </x:c>
    </x:row>
    <x:row r="498" ht="22" customHeight="1">
      <x:c r="A498" s="17" t="n">
        <x:f>IF(B498="","",IF(B498=B497,A497,A497+1))</x:f>
        <x:v>100</x:v>
      </x:c>
      <x:c r="B498" s="1" t="str">
        <x:f>'Ranking'!C103</x:f>
        <x:v>Poliwrath</x:v>
      </x:c>
      <x:c r="C498" s="1" t="str">
        <x:f>'Habilidades'!D555</x:f>
        <x:v>Submission</x:v>
      </x:c>
      <x:c r="D498" s="1" t="str">
        <x:f>'Habilidades'!F555</x:f>
        <x:v>Física</x:v>
      </x:c>
      <x:c r="E498" s="18" t="n">
        <x:f>'Habilidades'!G555</x:f>
        <x:v>80</x:v>
      </x:c>
      <x:c r="F498" s="18" t="n">
        <x:f>'Habilidades'!H555</x:f>
        <x:v>95</x:v>
      </x:c>
      <x:c r="G498" s="18" t="n">
        <x:f>'Habilidades'!I555</x:f>
        <x:v>175</x:v>
      </x:c>
    </x:row>
    <x:row r="499" ht="22" customHeight="1">
      <x:c r="A499" s="17" t="n">
        <x:f>IF(B499="","",IF(B499=B498,A498,A498+1))</x:f>
        <x:v>100</x:v>
      </x:c>
      <x:c r="B499" s="1" t="str">
        <x:f>'Ranking'!C103</x:f>
        <x:v>Poliwrath</x:v>
      </x:c>
      <x:c r="C499" s="1" t="str">
        <x:f>'Habilidades'!D556</x:f>
        <x:v>Circle Throw</x:v>
      </x:c>
      <x:c r="D499" s="1" t="str">
        <x:f>'Habilidades'!F556</x:f>
        <x:v>Física</x:v>
      </x:c>
      <x:c r="E499" s="18" t="n">
        <x:f>'Habilidades'!G556</x:f>
        <x:v>60</x:v>
      </x:c>
      <x:c r="F499" s="18" t="n">
        <x:f>'Habilidades'!H556</x:f>
        <x:v>95</x:v>
      </x:c>
      <x:c r="G499" s="18" t="n">
        <x:f>'Habilidades'!I556</x:f>
        <x:v>155</x:v>
      </x:c>
    </x:row>
    <x:row r="500" ht="22" customHeight="1">
      <x:c r="A500" s="19" t="n">
        <x:f>IF(B500="","",IF(B500=B499,A499,A499+1))</x:f>
        <x:v>100</x:v>
      </x:c>
      <x:c r="B500" s="20" t="str">
        <x:f>'Ranking'!C103</x:f>
        <x:v>Poliwrath</x:v>
      </x:c>
      <x:c r="C500" s="20" t="str">
        <x:f>'Habilidades'!D557</x:f>
        <x:v>Bubble Beam</x:v>
      </x:c>
      <x:c r="D500" s="20" t="str">
        <x:f>'Habilidades'!F557</x:f>
        <x:v>Especial</x:v>
      </x:c>
      <x:c r="E500" s="21" t="n">
        <x:f>'Habilidades'!G557</x:f>
        <x:v>65</x:v>
      </x:c>
      <x:c r="F500" s="21" t="n">
        <x:f>'Habilidades'!H557</x:f>
        <x:v>70</x:v>
      </x:c>
      <x:c r="G500" s="21" t="n">
        <x:f>'Habilidades'!I557</x:f>
        <x:v>135</x:v>
      </x:c>
    </x:row>
    <x:row r="501" ht="22" customHeight="1">
      <x:c r="A501" s="17" t="n">
        <x:f>IF(B501="","",IF(B501=B500,A500,A500+1))</x:f>
        <x:v>101</x:v>
      </x:c>
      <x:c r="B501" s="1" t="str">
        <x:f>'Ranking'!C111</x:f>
        <x:v>Corsola</x:v>
      </x:c>
      <x:c r="C501" s="1" t="str">
        <x:f>'Habilidades'!D2086</x:f>
        <x:v>Cyclonic Tide</x:v>
      </x:c>
      <x:c r="D501" s="1" t="str">
        <x:f>'Habilidades'!F2086</x:f>
        <x:v>Especial</x:v>
      </x:c>
      <x:c r="E501" s="18" t="n">
        <x:f>'Habilidades'!G2086</x:f>
        <x:v>300</x:v>
      </x:c>
      <x:c r="F501" s="18" t="n">
        <x:f>'Habilidades'!H2086</x:f>
        <x:v>65</x:v>
      </x:c>
      <x:c r="G501" s="18" t="n">
        <x:f>'Habilidades'!I2086</x:f>
        <x:v>365</x:v>
      </x:c>
    </x:row>
    <x:row r="502" ht="22" customHeight="1">
      <x:c r="A502" s="17" t="n">
        <x:f>IF(B502="","",IF(B502=B501,A501,A501+1))</x:f>
        <x:v>101</x:v>
      </x:c>
      <x:c r="B502" s="1" t="str">
        <x:f>'Ranking'!C111</x:f>
        <x:v>Corsola</x:v>
      </x:c>
      <x:c r="C502" s="1" t="str">
        <x:f>'Habilidades'!D2087</x:f>
        <x:v>Earth Power</x:v>
      </x:c>
      <x:c r="D502" s="1" t="str">
        <x:f>'Habilidades'!F2087</x:f>
        <x:v>Especial</x:v>
      </x:c>
      <x:c r="E502" s="18" t="n">
        <x:f>'Habilidades'!G2087</x:f>
        <x:v>90</x:v>
      </x:c>
      <x:c r="F502" s="18" t="n">
        <x:f>'Habilidades'!H2087</x:f>
        <x:v>65</x:v>
      </x:c>
      <x:c r="G502" s="18" t="n">
        <x:f>'Habilidades'!I2087</x:f>
        <x:v>155</x:v>
      </x:c>
    </x:row>
    <x:row r="503" ht="22" customHeight="1">
      <x:c r="A503" s="17" t="n">
        <x:f>IF(B503="","",IF(B503=B502,A502,A502+1))</x:f>
        <x:v>101</x:v>
      </x:c>
      <x:c r="B503" s="1" t="str">
        <x:f>'Ranking'!C111</x:f>
        <x:v>Corsola</x:v>
      </x:c>
      <x:c r="C503" s="1" t="str">
        <x:f>'Habilidades'!D2088</x:f>
        <x:v>Power Gem</x:v>
      </x:c>
      <x:c r="D503" s="1" t="str">
        <x:f>'Habilidades'!F2088</x:f>
        <x:v>Especial</x:v>
      </x:c>
      <x:c r="E503" s="18" t="n">
        <x:f>'Habilidades'!G2088</x:f>
        <x:v>80</x:v>
      </x:c>
      <x:c r="F503" s="18" t="n">
        <x:f>'Habilidades'!H2088</x:f>
        <x:v>65</x:v>
      </x:c>
      <x:c r="G503" s="18" t="n">
        <x:f>'Habilidades'!I2088</x:f>
        <x:v>145</x:v>
      </x:c>
    </x:row>
    <x:row r="504" ht="22" customHeight="1">
      <x:c r="A504" s="17" t="n">
        <x:f>IF(B504="","",IF(B504=B503,A503,A503+1))</x:f>
        <x:v>101</x:v>
      </x:c>
      <x:c r="B504" s="1" t="str">
        <x:f>'Ranking'!C111</x:f>
        <x:v>Corsola</x:v>
      </x:c>
      <x:c r="C504" s="1" t="str">
        <x:f>'Habilidades'!D2089</x:f>
        <x:v>Bubble Beam</x:v>
      </x:c>
      <x:c r="D504" s="1" t="str">
        <x:f>'Habilidades'!F2089</x:f>
        <x:v>Especial</x:v>
      </x:c>
      <x:c r="E504" s="18" t="n">
        <x:f>'Habilidades'!G2089</x:f>
        <x:v>65</x:v>
      </x:c>
      <x:c r="F504" s="18" t="n">
        <x:f>'Habilidades'!H2089</x:f>
        <x:v>65</x:v>
      </x:c>
      <x:c r="G504" s="18" t="n">
        <x:f>'Habilidades'!I2089</x:f>
        <x:v>130</x:v>
      </x:c>
    </x:row>
    <x:row r="505" ht="22" customHeight="1">
      <x:c r="A505" s="19" t="n">
        <x:f>IF(B505="","",IF(B505=B504,A504,A504+1))</x:f>
        <x:v>101</x:v>
      </x:c>
      <x:c r="B505" s="20" t="str">
        <x:f>'Ranking'!C111</x:f>
        <x:v>Corsola</x:v>
      </x:c>
      <x:c r="C505" s="20" t="str">
        <x:f>'Habilidades'!D2090</x:f>
        <x:v>Brine</x:v>
      </x:c>
      <x:c r="D505" s="20" t="str">
        <x:f>'Habilidades'!F2090</x:f>
        <x:v>Especial</x:v>
      </x:c>
      <x:c r="E505" s="21" t="n">
        <x:f>'Habilidades'!G2090</x:f>
        <x:v>65</x:v>
      </x:c>
      <x:c r="F505" s="21" t="n">
        <x:f>'Habilidades'!H2090</x:f>
        <x:v>65</x:v>
      </x:c>
      <x:c r="G505" s="21" t="n">
        <x:f>'Habilidades'!I2090</x:f>
        <x:v>130</x:v>
      </x:c>
    </x:row>
    <x:row r="506" ht="22" customHeight="1">
      <x:c r="A506" s="17" t="n">
        <x:f>IF(B506="","",IF(B506=B505,A505,A505+1))</x:f>
        <x:v>102</x:v>
      </x:c>
      <x:c r="B506" s="1" t="str">
        <x:f>'Ranking'!C112</x:f>
        <x:v>Delibird</x:v>
      </x:c>
      <x:c r="C506" s="1" t="str">
        <x:f>'Habilidades'!D2120</x:f>
        <x:v>Ice Time</x:v>
      </x:c>
      <x:c r="D506" s="1" t="str">
        <x:f>'Habilidades'!F2120</x:f>
        <x:v>Especial</x:v>
      </x:c>
      <x:c r="E506" s="18" t="n">
        <x:f>'Habilidades'!G2120</x:f>
        <x:v>300</x:v>
      </x:c>
      <x:c r="F506" s="18" t="n">
        <x:f>'Habilidades'!H2120</x:f>
        <x:v>65</x:v>
      </x:c>
      <x:c r="G506" s="18" t="n">
        <x:f>'Habilidades'!I2120</x:f>
        <x:v>365</x:v>
      </x:c>
    </x:row>
    <x:row r="507" ht="22" customHeight="1">
      <x:c r="A507" s="19" t="n">
        <x:f>IF(B507="","",IF(B507=B506,A506,A506+1))</x:f>
        <x:v>102</x:v>
      </x:c>
      <x:c r="B507" s="20" t="str">
        <x:f>'Ranking'!C112</x:f>
        <x:v>Delibird</x:v>
      </x:c>
      <x:c r="C507" s="20" t="str">
        <x:f>'Habilidades'!D2121</x:f>
        <x:v>Massive Hurricane</x:v>
      </x:c>
      <x:c r="D507" s="20" t="str">
        <x:f>'Habilidades'!F2121</x:f>
        <x:v>Física</x:v>
      </x:c>
      <x:c r="E507" s="21" t="n">
        <x:f>'Habilidades'!G2121</x:f>
        <x:v>300</x:v>
      </x:c>
      <x:c r="F507" s="21" t="n">
        <x:f>'Habilidades'!H2121</x:f>
        <x:v>55</x:v>
      </x:c>
      <x:c r="G507" s="21" t="n">
        <x:f>'Habilidades'!I2121</x:f>
        <x:v>355</x:v>
      </x:c>
    </x:row>
    <x:row r="508" ht="22" customHeight="1">
      <x:c r="A508" s="17" t="n">
        <x:f>IF(B508="","",IF(B508=B507,A507,A507+1))</x:f>
        <x:v>103</x:v>
      </x:c>
      <x:c r="B508" s="1" t="str">
        <x:f>'Ranking'!C109</x:f>
        <x:v>Farfetchd</x:v>
      </x:c>
      <x:c r="C508" s="1" t="str">
        <x:f>'Habilidades'!D750</x:f>
        <x:v>Massive Hurricane</x:v>
      </x:c>
      <x:c r="D508" s="1" t="str">
        <x:f>'Habilidades'!F750</x:f>
        <x:v>Física</x:v>
      </x:c>
      <x:c r="E508" s="18" t="n">
        <x:f>'Habilidades'!G750</x:f>
        <x:v>300</x:v>
      </x:c>
      <x:c r="F508" s="18" t="n">
        <x:f>'Habilidades'!H750</x:f>
        <x:v>65</x:v>
      </x:c>
      <x:c r="G508" s="18" t="n">
        <x:f>'Habilidades'!I750</x:f>
        <x:v>365</x:v>
      </x:c>
    </x:row>
    <x:row r="509" ht="22" customHeight="1">
      <x:c r="A509" s="17" t="n">
        <x:f>IF(B509="","",IF(B509=B508,A508,A508+1))</x:f>
        <x:v>103</x:v>
      </x:c>
      <x:c r="B509" s="1" t="str">
        <x:f>'Ranking'!C109</x:f>
        <x:v>Farfetchd</x:v>
      </x:c>
      <x:c r="C509" s="1" t="str">
        <x:f>'Habilidades'!D751</x:f>
        <x:v>Brave Bird</x:v>
      </x:c>
      <x:c r="D509" s="1" t="str">
        <x:f>'Habilidades'!F751</x:f>
        <x:v>Física</x:v>
      </x:c>
      <x:c r="E509" s="18" t="n">
        <x:f>'Habilidades'!G751</x:f>
        <x:v>120</x:v>
      </x:c>
      <x:c r="F509" s="18" t="n">
        <x:f>'Habilidades'!H751</x:f>
        <x:v>65</x:v>
      </x:c>
      <x:c r="G509" s="18" t="n">
        <x:f>'Habilidades'!I751</x:f>
        <x:v>185</x:v>
      </x:c>
    </x:row>
    <x:row r="510" ht="22" customHeight="1">
      <x:c r="A510" s="17" t="n">
        <x:f>IF(B510="","",IF(B510=B509,A509,A509+1))</x:f>
        <x:v>103</x:v>
      </x:c>
      <x:c r="B510" s="1" t="str">
        <x:f>'Ranking'!C109</x:f>
        <x:v>Farfetchd</x:v>
      </x:c>
      <x:c r="C510" s="1" t="str">
        <x:f>'Habilidades'!D752</x:f>
        <x:v>Poison Jab</x:v>
      </x:c>
      <x:c r="D510" s="1" t="str">
        <x:f>'Habilidades'!F752</x:f>
        <x:v>Física</x:v>
      </x:c>
      <x:c r="E510" s="18" t="n">
        <x:f>'Habilidades'!G752</x:f>
        <x:v>80</x:v>
      </x:c>
      <x:c r="F510" s="18" t="n">
        <x:f>'Habilidades'!H752</x:f>
        <x:v>65</x:v>
      </x:c>
      <x:c r="G510" s="18" t="n">
        <x:f>'Habilidades'!I752</x:f>
        <x:v>145</x:v>
      </x:c>
    </x:row>
    <x:row r="511" ht="22" customHeight="1">
      <x:c r="A511" s="17" t="n">
        <x:f>IF(B511="","",IF(B511=B510,A510,A510+1))</x:f>
        <x:v>103</x:v>
      </x:c>
      <x:c r="B511" s="1" t="str">
        <x:f>'Ranking'!C109</x:f>
        <x:v>Farfetchd</x:v>
      </x:c>
      <x:c r="C511" s="1" t="str">
        <x:f>'Habilidades'!D753</x:f>
        <x:v>Slash</x:v>
      </x:c>
      <x:c r="D511" s="1" t="str">
        <x:f>'Habilidades'!F753</x:f>
        <x:v>Física</x:v>
      </x:c>
      <x:c r="E511" s="18" t="n">
        <x:f>'Habilidades'!G753</x:f>
        <x:v>70</x:v>
      </x:c>
      <x:c r="F511" s="18" t="n">
        <x:f>'Habilidades'!H753</x:f>
        <x:v>65</x:v>
      </x:c>
      <x:c r="G511" s="18" t="n">
        <x:f>'Habilidades'!I753</x:f>
        <x:v>135</x:v>
      </x:c>
    </x:row>
    <x:row r="512" ht="22" customHeight="1">
      <x:c r="A512" s="19" t="n">
        <x:f>IF(B512="","",IF(B512=B511,A511,A511+1))</x:f>
        <x:v>103</x:v>
      </x:c>
      <x:c r="B512" s="20" t="str">
        <x:f>'Ranking'!C109</x:f>
        <x:v>Farfetchd</x:v>
      </x:c>
      <x:c r="C512" s="20" t="str">
        <x:f>'Habilidades'!D755</x:f>
        <x:v>Air Slash</x:v>
      </x:c>
      <x:c r="D512" s="20" t="str">
        <x:f>'Habilidades'!F755</x:f>
        <x:v>Especial</x:v>
      </x:c>
      <x:c r="E512" s="21" t="n">
        <x:f>'Habilidades'!G755</x:f>
        <x:v>75</x:v>
      </x:c>
      <x:c r="F512" s="21" t="n">
        <x:f>'Habilidades'!H755</x:f>
        <x:v>58</x:v>
      </x:c>
      <x:c r="G512" s="21" t="n">
        <x:f>'Habilidades'!I755</x:f>
        <x:v>133</x:v>
      </x:c>
    </x:row>
    <x:row r="513" ht="22" customHeight="1">
      <x:c r="A513" s="17" t="n">
        <x:f>IF(B513="","",IF(B513=B512,A512,A512+1))</x:f>
        <x:v>104</x:v>
      </x:c>
      <x:c r="B513" s="1" t="str">
        <x:f>'Ranking'!C107</x:f>
        <x:v>Quagsire</x:v>
      </x:c>
      <x:c r="C513" s="1" t="str">
        <x:f>'Habilidades'!D1826</x:f>
        <x:v>Cyclonic Tide</x:v>
      </x:c>
      <x:c r="D513" s="1" t="str">
        <x:f>'Habilidades'!F1826</x:f>
        <x:v>Especial</x:v>
      </x:c>
      <x:c r="E513" s="18" t="n">
        <x:f>'Habilidades'!G1826</x:f>
        <x:v>300</x:v>
      </x:c>
      <x:c r="F513" s="18" t="n">
        <x:f>'Habilidades'!H1826</x:f>
        <x:v>65</x:v>
      </x:c>
      <x:c r="G513" s="18" t="n">
        <x:f>'Habilidades'!I1826</x:f>
        <x:v>365</x:v>
      </x:c>
    </x:row>
    <x:row r="514" ht="22" customHeight="1">
      <x:c r="A514" s="17" t="n">
        <x:f>IF(B514="","",IF(B514=B513,A513,A513+1))</x:f>
        <x:v>104</x:v>
      </x:c>
      <x:c r="B514" s="1" t="str">
        <x:f>'Ranking'!C107</x:f>
        <x:v>Quagsire</x:v>
      </x:c>
      <x:c r="C514" s="1" t="str">
        <x:f>'Habilidades'!D1827</x:f>
        <x:v>Earthquake</x:v>
      </x:c>
      <x:c r="D514" s="1" t="str">
        <x:f>'Habilidades'!F1827</x:f>
        <x:v>Física</x:v>
      </x:c>
      <x:c r="E514" s="18" t="n">
        <x:f>'Habilidades'!G1827</x:f>
        <x:v>100</x:v>
      </x:c>
      <x:c r="F514" s="18" t="n">
        <x:f>'Habilidades'!H1827</x:f>
        <x:v>85</x:v>
      </x:c>
      <x:c r="G514" s="18" t="n">
        <x:f>'Habilidades'!I1827</x:f>
        <x:v>185</x:v>
      </x:c>
    </x:row>
    <x:row r="515" ht="22" customHeight="1">
      <x:c r="A515" s="17" t="n">
        <x:f>IF(B515="","",IF(B515=B514,A514,A514+1))</x:f>
        <x:v>104</x:v>
      </x:c>
      <x:c r="B515" s="1" t="str">
        <x:f>'Ranking'!C107</x:f>
        <x:v>Quagsire</x:v>
      </x:c>
      <x:c r="C515" s="1" t="str">
        <x:f>'Habilidades'!D1828</x:f>
        <x:v>Slam</x:v>
      </x:c>
      <x:c r="D515" s="1" t="str">
        <x:f>'Habilidades'!F1828</x:f>
        <x:v>Física</x:v>
      </x:c>
      <x:c r="E515" s="18" t="n">
        <x:f>'Habilidades'!G1828</x:f>
        <x:v>80</x:v>
      </x:c>
      <x:c r="F515" s="18" t="n">
        <x:f>'Habilidades'!H1828</x:f>
        <x:v>85</x:v>
      </x:c>
      <x:c r="G515" s="18" t="n">
        <x:f>'Habilidades'!I1828</x:f>
        <x:v>165</x:v>
      </x:c>
    </x:row>
    <x:row r="516" ht="22" customHeight="1">
      <x:c r="A516" s="17" t="n">
        <x:f>IF(B516="","",IF(B516=B515,A515,A515+1))</x:f>
        <x:v>104</x:v>
      </x:c>
      <x:c r="B516" s="1" t="str">
        <x:f>'Ranking'!C107</x:f>
        <x:v>Quagsire</x:v>
      </x:c>
      <x:c r="C516" s="1" t="str">
        <x:f>'Habilidades'!D1829</x:f>
        <x:v>Muddy Water</x:v>
      </x:c>
      <x:c r="D516" s="1" t="str">
        <x:f>'Habilidades'!F1829</x:f>
        <x:v>Especial</x:v>
      </x:c>
      <x:c r="E516" s="18" t="n">
        <x:f>'Habilidades'!G1829</x:f>
        <x:v>90</x:v>
      </x:c>
      <x:c r="F516" s="18" t="n">
        <x:f>'Habilidades'!H1829</x:f>
        <x:v>65</x:v>
      </x:c>
      <x:c r="G516" s="18" t="n">
        <x:f>'Habilidades'!I1829</x:f>
        <x:v>155</x:v>
      </x:c>
    </x:row>
    <x:row r="517" ht="22" customHeight="1">
      <x:c r="A517" s="19" t="n">
        <x:f>IF(B517="","",IF(B517=B516,A516,A516+1))</x:f>
        <x:v>104</x:v>
      </x:c>
      <x:c r="B517" s="20" t="str">
        <x:f>'Ranking'!C107</x:f>
        <x:v>Quagsire</x:v>
      </x:c>
      <x:c r="C517" s="20" t="str">
        <x:f>'Habilidades'!D1830</x:f>
        <x:v>Mud Bomb</x:v>
      </x:c>
      <x:c r="D517" s="20" t="str">
        <x:f>'Habilidades'!F1830</x:f>
        <x:v>Especial</x:v>
      </x:c>
      <x:c r="E517" s="21" t="n">
        <x:f>'Habilidades'!G1830</x:f>
        <x:v>65</x:v>
      </x:c>
      <x:c r="F517" s="21" t="n">
        <x:f>'Habilidades'!H1830</x:f>
        <x:v>65</x:v>
      </x:c>
      <x:c r="G517" s="21" t="n">
        <x:f>'Habilidades'!I1830</x:f>
        <x:v>130</x:v>
      </x:c>
    </x:row>
    <x:row r="518" ht="22" customHeight="1">
      <x:c r="A518" s="17" t="n">
        <x:f>IF(B518="","",IF(B518=B517,A517,A517+1))</x:f>
        <x:v>105</x:v>
      </x:c>
      <x:c r="B518" s="1" t="str">
        <x:f>'Ranking'!C105</x:f>
        <x:v>Seaking</x:v>
      </x:c>
      <x:c r="C518" s="1" t="str">
        <x:f>'Habilidades'!D1129</x:f>
        <x:v>Cyclonic Tide</x:v>
      </x:c>
      <x:c r="D518" s="1" t="str">
        <x:f>'Habilidades'!F1129</x:f>
        <x:v>Especial</x:v>
      </x:c>
      <x:c r="E518" s="18" t="n">
        <x:f>'Habilidades'!G1129</x:f>
        <x:v>300</x:v>
      </x:c>
      <x:c r="F518" s="18" t="n">
        <x:f>'Habilidades'!H1129</x:f>
        <x:v>65</x:v>
      </x:c>
      <x:c r="G518" s="18" t="n">
        <x:f>'Habilidades'!I1129</x:f>
        <x:v>365</x:v>
      </x:c>
    </x:row>
    <x:row r="519" ht="22" customHeight="1">
      <x:c r="A519" s="17" t="n">
        <x:f>IF(B519="","",IF(B519=B518,A518,A518+1))</x:f>
        <x:v>105</x:v>
      </x:c>
      <x:c r="B519" s="1" t="str">
        <x:f>'Ranking'!C105</x:f>
        <x:v>Seaking</x:v>
      </x:c>
      <x:c r="C519" s="1" t="str">
        <x:f>'Habilidades'!D1130</x:f>
        <x:v>Megahorn</x:v>
      </x:c>
      <x:c r="D519" s="1" t="str">
        <x:f>'Habilidades'!F1130</x:f>
        <x:v>Física</x:v>
      </x:c>
      <x:c r="E519" s="18" t="n">
        <x:f>'Habilidades'!G1130</x:f>
        <x:v>120</x:v>
      </x:c>
      <x:c r="F519" s="18" t="n">
        <x:f>'Habilidades'!H1130</x:f>
        <x:v>92</x:v>
      </x:c>
      <x:c r="G519" s="18" t="n">
        <x:f>'Habilidades'!I1130</x:f>
        <x:v>212</x:v>
      </x:c>
    </x:row>
    <x:row r="520" ht="22" customHeight="1">
      <x:c r="A520" s="17" t="n">
        <x:f>IF(B520="","",IF(B520=B519,A519,A519+1))</x:f>
        <x:v>105</x:v>
      </x:c>
      <x:c r="B520" s="1" t="str">
        <x:f>'Ranking'!C105</x:f>
        <x:v>Seaking</x:v>
      </x:c>
      <x:c r="C520" s="1" t="str">
        <x:f>'Habilidades'!D1131</x:f>
        <x:v>Horn Drill</x:v>
      </x:c>
      <x:c r="D520" s="1" t="str">
        <x:f>'Habilidades'!F1131</x:f>
        <x:v>Física</x:v>
      </x:c>
      <x:c r="E520" s="18" t="n">
        <x:f>'Habilidades'!G1131</x:f>
        <x:v>96</x:v>
      </x:c>
      <x:c r="F520" s="18" t="n">
        <x:f>'Habilidades'!H1131</x:f>
        <x:v>92</x:v>
      </x:c>
      <x:c r="G520" s="18" t="n">
        <x:f>'Habilidades'!I1131</x:f>
        <x:v>188</x:v>
      </x:c>
    </x:row>
    <x:row r="521" ht="22" customHeight="1">
      <x:c r="A521" s="17" t="n">
        <x:f>IF(B521="","",IF(B521=B520,A520,A520+1))</x:f>
        <x:v>105</x:v>
      </x:c>
      <x:c r="B521" s="1" t="str">
        <x:f>'Ranking'!C105</x:f>
        <x:v>Seaking</x:v>
      </x:c>
      <x:c r="C521" s="1" t="str">
        <x:f>'Habilidades'!D1132</x:f>
        <x:v>Poison Jab</x:v>
      </x:c>
      <x:c r="D521" s="1" t="str">
        <x:f>'Habilidades'!F1132</x:f>
        <x:v>Física</x:v>
      </x:c>
      <x:c r="E521" s="18" t="n">
        <x:f>'Habilidades'!G1132</x:f>
        <x:v>80</x:v>
      </x:c>
      <x:c r="F521" s="18" t="n">
        <x:f>'Habilidades'!H1132</x:f>
        <x:v>92</x:v>
      </x:c>
      <x:c r="G521" s="18" t="n">
        <x:f>'Habilidades'!I1132</x:f>
        <x:v>172</x:v>
      </x:c>
    </x:row>
    <x:row r="522" ht="22" customHeight="1">
      <x:c r="A522" s="19" t="n">
        <x:f>IF(B522="","",IF(B522=B521,A521,A521+1))</x:f>
        <x:v>105</x:v>
      </x:c>
      <x:c r="B522" s="20" t="str">
        <x:f>'Ranking'!C105</x:f>
        <x:v>Seaking</x:v>
      </x:c>
      <x:c r="C522" s="20" t="str">
        <x:f>'Habilidades'!D1133</x:f>
        <x:v>Waterfall</x:v>
      </x:c>
      <x:c r="D522" s="20" t="str">
        <x:f>'Habilidades'!F1133</x:f>
        <x:v>Física</x:v>
      </x:c>
      <x:c r="E522" s="21" t="n">
        <x:f>'Habilidades'!G1133</x:f>
        <x:v>80</x:v>
      </x:c>
      <x:c r="F522" s="21" t="n">
        <x:f>'Habilidades'!H1133</x:f>
        <x:v>92</x:v>
      </x:c>
      <x:c r="G522" s="21" t="n">
        <x:f>'Habilidades'!I1133</x:f>
        <x:v>172</x:v>
      </x:c>
    </x:row>
    <x:row r="523" ht="22" customHeight="1">
      <x:c r="A523" s="17" t="n">
        <x:f>IF(B523="","",IF(B523=B522,A522,A522+1))</x:f>
        <x:v>106</x:v>
      </x:c>
      <x:c r="B523" s="1" t="str">
        <x:f>'Ranking'!C110</x:f>
        <x:v>Umbreon</x:v>
      </x:c>
      <x:c r="C523" s="1" t="str">
        <x:f>'Habilidades'!D1842</x:f>
        <x:v>Endless Hollow</x:v>
      </x:c>
      <x:c r="D523" s="1" t="str">
        <x:f>'Habilidades'!F1842</x:f>
        <x:v>Física</x:v>
      </x:c>
      <x:c r="E523" s="18" t="n">
        <x:f>'Habilidades'!G1842</x:f>
        <x:v>300</x:v>
      </x:c>
      <x:c r="F523" s="18" t="n">
        <x:f>'Habilidades'!H1842</x:f>
        <x:v>65</x:v>
      </x:c>
      <x:c r="G523" s="18" t="n">
        <x:f>'Habilidades'!I1842</x:f>
        <x:v>365</x:v>
      </x:c>
    </x:row>
    <x:row r="524" ht="22" customHeight="1">
      <x:c r="A524" s="17" t="n">
        <x:f>IF(B524="","",IF(B524=B523,A523,A523+1))</x:f>
        <x:v>106</x:v>
      </x:c>
      <x:c r="B524" s="1" t="str">
        <x:f>'Ranking'!C110</x:f>
        <x:v>Umbreon</x:v>
      </x:c>
      <x:c r="C524" s="1" t="str">
        <x:f>'Habilidades'!D1843</x:f>
        <x:v>Last Resort</x:v>
      </x:c>
      <x:c r="D524" s="1" t="str">
        <x:f>'Habilidades'!F1843</x:f>
        <x:v>Física</x:v>
      </x:c>
      <x:c r="E524" s="18" t="n">
        <x:f>'Habilidades'!G1843</x:f>
        <x:v>140</x:v>
      </x:c>
      <x:c r="F524" s="18" t="n">
        <x:f>'Habilidades'!H1843</x:f>
        <x:v>65</x:v>
      </x:c>
      <x:c r="G524" s="18" t="n">
        <x:f>'Habilidades'!I1843</x:f>
        <x:v>205</x:v>
      </x:c>
    </x:row>
    <x:row r="525" ht="22" customHeight="1">
      <x:c r="A525" s="17" t="n">
        <x:f>IF(B525="","",IF(B525=B524,A524,A524+1))</x:f>
        <x:v>106</x:v>
      </x:c>
      <x:c r="B525" s="1" t="str">
        <x:f>'Ranking'!C110</x:f>
        <x:v>Umbreon</x:v>
      </x:c>
      <x:c r="C525" s="1" t="str">
        <x:f>'Habilidades'!D1844</x:f>
        <x:v>Feint Attack</x:v>
      </x:c>
      <x:c r="D525" s="1" t="str">
        <x:f>'Habilidades'!F1844</x:f>
        <x:v>Física</x:v>
      </x:c>
      <x:c r="E525" s="18" t="n">
        <x:f>'Habilidades'!G1844</x:f>
        <x:v>60</x:v>
      </x:c>
      <x:c r="F525" s="18" t="n">
        <x:f>'Habilidades'!H1844</x:f>
        <x:v>65</x:v>
      </x:c>
      <x:c r="G525" s="18" t="n">
        <x:f>'Habilidades'!I1844</x:f>
        <x:v>125</x:v>
      </x:c>
    </x:row>
    <x:row r="526" ht="22" customHeight="1">
      <x:c r="A526" s="17" t="n">
        <x:f>IF(B526="","",IF(B526=B525,A525,A525+1))</x:f>
        <x:v>106</x:v>
      </x:c>
      <x:c r="B526" s="1" t="str">
        <x:f>'Ranking'!C110</x:f>
        <x:v>Umbreon</x:v>
      </x:c>
      <x:c r="C526" s="1" t="str">
        <x:f>'Habilidades'!D1845</x:f>
        <x:v>Assurance</x:v>
      </x:c>
      <x:c r="D526" s="1" t="str">
        <x:f>'Habilidades'!F1845</x:f>
        <x:v>Física</x:v>
      </x:c>
      <x:c r="E526" s="18" t="n">
        <x:f>'Habilidades'!G1845</x:f>
        <x:v>60</x:v>
      </x:c>
      <x:c r="F526" s="18" t="n">
        <x:f>'Habilidades'!H1845</x:f>
        <x:v>65</x:v>
      </x:c>
      <x:c r="G526" s="18" t="n">
        <x:f>'Habilidades'!I1845</x:f>
        <x:v>125</x:v>
      </x:c>
    </x:row>
    <x:row r="527" ht="22" customHeight="1">
      <x:c r="A527" s="19" t="n">
        <x:f>IF(B527="","",IF(B527=B526,A526,A526+1))</x:f>
        <x:v>106</x:v>
      </x:c>
      <x:c r="B527" s="20" t="str">
        <x:f>'Ranking'!C110</x:f>
        <x:v>Umbreon</x:v>
      </x:c>
      <x:c r="C527" s="20" t="str">
        <x:f>'Habilidades'!D1846</x:f>
        <x:v>Tackle</x:v>
      </x:c>
      <x:c r="D527" s="20" t="str">
        <x:f>'Habilidades'!F1846</x:f>
        <x:v>Física</x:v>
      </x:c>
      <x:c r="E527" s="21" t="n">
        <x:f>'Habilidades'!G1846</x:f>
        <x:v>50</x:v>
      </x:c>
      <x:c r="F527" s="21" t="n">
        <x:f>'Habilidades'!H1846</x:f>
        <x:v>65</x:v>
      </x:c>
      <x:c r="G527" s="21" t="n">
        <x:f>'Habilidades'!I1846</x:f>
        <x:v>115</x:v>
      </x:c>
    </x:row>
    <x:row r="528" ht="22" customHeight="1">
      <x:c r="A528" s="17" t="n">
        <x:f>IF(B528="","",IF(B528=B527,A527,A527+1))</x:f>
        <x:v>107</x:v>
      </x:c>
      <x:c r="B528" s="1" t="str">
        <x:f>'Ranking'!C106</x:f>
        <x:v>Venomoth</x:v>
      </x:c>
      <x:c r="C528" s="1" t="str">
        <x:f>'Habilidades'!D417</x:f>
        <x:v>Hive Crush</x:v>
      </x:c>
      <x:c r="D528" s="1" t="str">
        <x:f>'Habilidades'!F417</x:f>
        <x:v>Física</x:v>
      </x:c>
      <x:c r="E528" s="18" t="n">
        <x:f>'Habilidades'!G417</x:f>
        <x:v>300</x:v>
      </x:c>
      <x:c r="F528" s="18" t="n">
        <x:f>'Habilidades'!H417</x:f>
        <x:v>65</x:v>
      </x:c>
      <x:c r="G528" s="18" t="n">
        <x:f>'Habilidades'!I417</x:f>
        <x:v>365</x:v>
      </x:c>
    </x:row>
    <x:row r="529" ht="22" customHeight="1">
      <x:c r="A529" s="17" t="n">
        <x:f>IF(B529="","",IF(B529=B528,A528,A528+1))</x:f>
        <x:v>107</x:v>
      </x:c>
      <x:c r="B529" s="1" t="str">
        <x:f>'Ranking'!C106</x:f>
        <x:v>Venomoth</x:v>
      </x:c>
      <x:c r="C529" s="1" t="str">
        <x:f>'Habilidades'!D418</x:f>
        <x:v>Bug Buzz</x:v>
      </x:c>
      <x:c r="D529" s="1" t="str">
        <x:f>'Habilidades'!F418</x:f>
        <x:v>Especial</x:v>
      </x:c>
      <x:c r="E529" s="18" t="n">
        <x:f>'Habilidades'!G418</x:f>
        <x:v>90</x:v>
      </x:c>
      <x:c r="F529" s="18" t="n">
        <x:f>'Habilidades'!H418</x:f>
        <x:v>90</x:v>
      </x:c>
      <x:c r="G529" s="18" t="n">
        <x:f>'Habilidades'!I418</x:f>
        <x:v>180</x:v>
      </x:c>
    </x:row>
    <x:row r="530" ht="22" customHeight="1">
      <x:c r="A530" s="17" t="n">
        <x:f>IF(B530="","",IF(B530=B529,A529,A529+1))</x:f>
        <x:v>107</x:v>
      </x:c>
      <x:c r="B530" s="1" t="str">
        <x:f>'Ranking'!C106</x:f>
        <x:v>Venomoth</x:v>
      </x:c>
      <x:c r="C530" s="1" t="str">
        <x:f>'Habilidades'!D419</x:f>
        <x:v>Psychic</x:v>
      </x:c>
      <x:c r="D530" s="1" t="str">
        <x:f>'Habilidades'!F419</x:f>
        <x:v>Especial</x:v>
      </x:c>
      <x:c r="E530" s="18" t="n">
        <x:f>'Habilidades'!G419</x:f>
        <x:v>90</x:v>
      </x:c>
      <x:c r="F530" s="18" t="n">
        <x:f>'Habilidades'!H419</x:f>
        <x:v>90</x:v>
      </x:c>
      <x:c r="G530" s="18" t="n">
        <x:f>'Habilidades'!I419</x:f>
        <x:v>180</x:v>
      </x:c>
    </x:row>
    <x:row r="531" ht="22" customHeight="1">
      <x:c r="A531" s="17" t="n">
        <x:f>IF(B531="","",IF(B531=B530,A530,A530+1))</x:f>
        <x:v>107</x:v>
      </x:c>
      <x:c r="B531" s="1" t="str">
        <x:f>'Ranking'!C106</x:f>
        <x:v>Venomoth</x:v>
      </x:c>
      <x:c r="C531" s="1" t="str">
        <x:f>'Habilidades'!D420</x:f>
        <x:v>Signal Beam</x:v>
      </x:c>
      <x:c r="D531" s="1" t="str">
        <x:f>'Habilidades'!F420</x:f>
        <x:v>Especial</x:v>
      </x:c>
      <x:c r="E531" s="18" t="n">
        <x:f>'Habilidades'!G420</x:f>
        <x:v>75</x:v>
      </x:c>
      <x:c r="F531" s="18" t="n">
        <x:f>'Habilidades'!H420</x:f>
        <x:v>90</x:v>
      </x:c>
      <x:c r="G531" s="18" t="n">
        <x:f>'Habilidades'!I420</x:f>
        <x:v>165</x:v>
      </x:c>
    </x:row>
    <x:row r="532" ht="22" customHeight="1">
      <x:c r="A532" s="19" t="n">
        <x:f>IF(B532="","",IF(B532=B531,A531,A531+1))</x:f>
        <x:v>107</x:v>
      </x:c>
      <x:c r="B532" s="20" t="str">
        <x:f>'Ranking'!C106</x:f>
        <x:v>Venomoth</x:v>
      </x:c>
      <x:c r="C532" s="20" t="str">
        <x:f>'Habilidades'!D423</x:f>
        <x:v>Zen Headbutt</x:v>
      </x:c>
      <x:c r="D532" s="20" t="str">
        <x:f>'Habilidades'!F423</x:f>
        <x:v>Física</x:v>
      </x:c>
      <x:c r="E532" s="21" t="n">
        <x:f>'Habilidades'!G423</x:f>
        <x:v>80</x:v>
      </x:c>
      <x:c r="F532" s="21" t="n">
        <x:f>'Habilidades'!H423</x:f>
        <x:v>65</x:v>
      </x:c>
      <x:c r="G532" s="21" t="n">
        <x:f>'Habilidades'!I423</x:f>
        <x:v>145</x:v>
      </x:c>
    </x:row>
    <x:row r="533" ht="22" customHeight="1">
      <x:c r="A533" s="17" t="n">
        <x:f>IF(B533="","",IF(B533=B532,A532,A532+1))</x:f>
        <x:v>108</x:v>
      </x:c>
      <x:c r="B533" s="1" t="str">
        <x:f>'Ranking'!C108</x:f>
        <x:v>Yanma</x:v>
      </x:c>
      <x:c r="C533" s="1" t="str">
        <x:f>'Habilidades'!D1809</x:f>
        <x:v>Massive Hurricane</x:v>
      </x:c>
      <x:c r="D533" s="1" t="str">
        <x:f>'Habilidades'!F1809</x:f>
        <x:v>Física</x:v>
      </x:c>
      <x:c r="E533" s="18" t="n">
        <x:f>'Habilidades'!G1809</x:f>
        <x:v>300</x:v>
      </x:c>
      <x:c r="F533" s="18" t="n">
        <x:f>'Habilidades'!H1809</x:f>
        <x:v>65</x:v>
      </x:c>
      <x:c r="G533" s="18" t="n">
        <x:f>'Habilidades'!I1809</x:f>
        <x:v>365</x:v>
      </x:c>
    </x:row>
    <x:row r="534" ht="22" customHeight="1">
      <x:c r="A534" s="17" t="n">
        <x:f>IF(B534="","",IF(B534=B533,A533,A533+1))</x:f>
        <x:v>108</x:v>
      </x:c>
      <x:c r="B534" s="1" t="str">
        <x:f>'Ranking'!C108</x:f>
        <x:v>Yanma</x:v>
      </x:c>
      <x:c r="C534" s="1" t="str">
        <x:f>'Habilidades'!D1810</x:f>
        <x:v>Hive Crush</x:v>
      </x:c>
      <x:c r="D534" s="1" t="str">
        <x:f>'Habilidades'!F1810</x:f>
        <x:v>Física</x:v>
      </x:c>
      <x:c r="E534" s="18" t="n">
        <x:f>'Habilidades'!G1810</x:f>
        <x:v>300</x:v>
      </x:c>
      <x:c r="F534" s="18" t="n">
        <x:f>'Habilidades'!H1810</x:f>
        <x:v>65</x:v>
      </x:c>
      <x:c r="G534" s="18" t="n">
        <x:f>'Habilidades'!I1810</x:f>
        <x:v>365</x:v>
      </x:c>
    </x:row>
    <x:row r="535" ht="22" customHeight="1">
      <x:c r="A535" s="17" t="n">
        <x:f>IF(B535="","",IF(B535=B534,A534,A534+1))</x:f>
        <x:v>108</x:v>
      </x:c>
      <x:c r="B535" s="1" t="str">
        <x:f>'Ranking'!C108</x:f>
        <x:v>Yanma</x:v>
      </x:c>
      <x:c r="C535" s="1" t="str">
        <x:f>'Habilidades'!D1811</x:f>
        <x:v>Uproar</x:v>
      </x:c>
      <x:c r="D535" s="1" t="str">
        <x:f>'Habilidades'!F1811</x:f>
        <x:v>Especial</x:v>
      </x:c>
      <x:c r="E535" s="18" t="n">
        <x:f>'Habilidades'!G1811</x:f>
        <x:v>90</x:v>
      </x:c>
      <x:c r="F535" s="18" t="n">
        <x:f>'Habilidades'!H1811</x:f>
        <x:v>75</x:v>
      </x:c>
      <x:c r="G535" s="18" t="n">
        <x:f>'Habilidades'!I1811</x:f>
        <x:v>165</x:v>
      </x:c>
    </x:row>
    <x:row r="536" ht="22" customHeight="1">
      <x:c r="A536" s="17" t="n">
        <x:f>IF(B536="","",IF(B536=B535,A535,A535+1))</x:f>
        <x:v>108</x:v>
      </x:c>
      <x:c r="B536" s="1" t="str">
        <x:f>'Ranking'!C108</x:f>
        <x:v>Yanma</x:v>
      </x:c>
      <x:c r="C536" s="1" t="str">
        <x:f>'Habilidades'!D1812</x:f>
        <x:v>Bug Buzz</x:v>
      </x:c>
      <x:c r="D536" s="1" t="str">
        <x:f>'Habilidades'!F1812</x:f>
        <x:v>Especial</x:v>
      </x:c>
      <x:c r="E536" s="18" t="n">
        <x:f>'Habilidades'!G1812</x:f>
        <x:v>90</x:v>
      </x:c>
      <x:c r="F536" s="18" t="n">
        <x:f>'Habilidades'!H1812</x:f>
        <x:v>75</x:v>
      </x:c>
      <x:c r="G536" s="18" t="n">
        <x:f>'Habilidades'!I1812</x:f>
        <x:v>165</x:v>
      </x:c>
    </x:row>
    <x:row r="537" ht="22" customHeight="1">
      <x:c r="A537" s="19" t="n">
        <x:f>IF(B537="","",IF(B537=B536,A536,A536+1))</x:f>
        <x:v>108</x:v>
      </x:c>
      <x:c r="B537" s="20" t="str">
        <x:f>'Ranking'!C108</x:f>
        <x:v>Yanma</x:v>
      </x:c>
      <x:c r="C537" s="20" t="str">
        <x:f>'Habilidades'!D1813</x:f>
        <x:v>Air Slash</x:v>
      </x:c>
      <x:c r="D537" s="20" t="str">
        <x:f>'Habilidades'!F1813</x:f>
        <x:v>Especial</x:v>
      </x:c>
      <x:c r="E537" s="21" t="n">
        <x:f>'Habilidades'!G1813</x:f>
        <x:v>75</x:v>
      </x:c>
      <x:c r="F537" s="21" t="n">
        <x:f>'Habilidades'!H1813</x:f>
        <x:v>75</x:v>
      </x:c>
      <x:c r="G537" s="21" t="n">
        <x:f>'Habilidades'!I1813</x:f>
        <x:v>150</x:v>
      </x:c>
    </x:row>
    <x:row r="538" ht="22" customHeight="1">
      <x:c r="A538" s="17" t="n">
        <x:f>IF(B538="","",IF(B538=B537,A537,A537+1))</x:f>
        <x:v>109</x:v>
      </x:c>
      <x:c r="B538" s="1" t="str">
        <x:f>'Ranking'!C117</x:f>
        <x:v>Azumarill</x:v>
      </x:c>
      <x:c r="C538" s="1" t="str">
        <x:f>'Habilidades'!D1731</x:f>
        <x:v>Cyclonic Tide</x:v>
      </x:c>
      <x:c r="D538" s="1" t="str">
        <x:f>'Habilidades'!F1731</x:f>
        <x:v>Especial</x:v>
      </x:c>
      <x:c r="E538" s="18" t="n">
        <x:f>'Habilidades'!G1731</x:f>
        <x:v>300</x:v>
      </x:c>
      <x:c r="F538" s="18" t="n">
        <x:f>'Habilidades'!H1731</x:f>
        <x:v>60</x:v>
      </x:c>
      <x:c r="G538" s="18" t="n">
        <x:f>'Habilidades'!I1731</x:f>
        <x:v>360</x:v>
      </x:c>
    </x:row>
    <x:row r="539" ht="22" customHeight="1">
      <x:c r="A539" s="17" t="n">
        <x:f>IF(B539="","",IF(B539=B538,A538,A538+1))</x:f>
        <x:v>109</x:v>
      </x:c>
      <x:c r="B539" s="1" t="str">
        <x:f>'Ranking'!C117</x:f>
        <x:v>Azumarill</x:v>
      </x:c>
      <x:c r="C539" s="1" t="str">
        <x:f>'Habilidades'!D1732</x:f>
        <x:v>Double-Edge</x:v>
      </x:c>
      <x:c r="D539" s="1" t="str">
        <x:f>'Habilidades'!F1732</x:f>
        <x:v>Física</x:v>
      </x:c>
      <x:c r="E539" s="18" t="n">
        <x:f>'Habilidades'!G1732</x:f>
        <x:v>120</x:v>
      </x:c>
      <x:c r="F539" s="18" t="n">
        <x:f>'Habilidades'!H1732</x:f>
        <x:v>50</x:v>
      </x:c>
      <x:c r="G539" s="18" t="n">
        <x:f>'Habilidades'!I1732</x:f>
        <x:v>170</x:v>
      </x:c>
    </x:row>
    <x:row r="540" ht="22" customHeight="1">
      <x:c r="A540" s="17" t="n">
        <x:f>IF(B540="","",IF(B540=B539,A539,A539+1))</x:f>
        <x:v>109</x:v>
      </x:c>
      <x:c r="B540" s="1" t="str">
        <x:f>'Ranking'!C117</x:f>
        <x:v>Azumarill</x:v>
      </x:c>
      <x:c r="C540" s="1" t="str">
        <x:f>'Habilidades'!D1733</x:f>
        <x:v>Superpower</x:v>
      </x:c>
      <x:c r="D540" s="1" t="str">
        <x:f>'Habilidades'!F1733</x:f>
        <x:v>Física</x:v>
      </x:c>
      <x:c r="E540" s="18" t="n">
        <x:f>'Habilidades'!G1733</x:f>
        <x:v>120</x:v>
      </x:c>
      <x:c r="F540" s="18" t="n">
        <x:f>'Habilidades'!H1733</x:f>
        <x:v>50</x:v>
      </x:c>
      <x:c r="G540" s="18" t="n">
        <x:f>'Habilidades'!I1733</x:f>
        <x:v>170</x:v>
      </x:c>
    </x:row>
    <x:row r="541" ht="22" customHeight="1">
      <x:c r="A541" s="17" t="n">
        <x:f>IF(B541="","",IF(B541=B540,A540,A540+1))</x:f>
        <x:v>109</x:v>
      </x:c>
      <x:c r="B541" s="1" t="str">
        <x:f>'Ranking'!C117</x:f>
        <x:v>Azumarill</x:v>
      </x:c>
      <x:c r="C541" s="1" t="str">
        <x:f>'Habilidades'!D1734</x:f>
        <x:v>Hydro Pump</x:v>
      </x:c>
      <x:c r="D541" s="1" t="str">
        <x:f>'Habilidades'!F1734</x:f>
        <x:v>Especial</x:v>
      </x:c>
      <x:c r="E541" s="18" t="n">
        <x:f>'Habilidades'!G1734</x:f>
        <x:v>110</x:v>
      </x:c>
      <x:c r="F541" s="18" t="n">
        <x:f>'Habilidades'!H1734</x:f>
        <x:v>60</x:v>
      </x:c>
      <x:c r="G541" s="18" t="n">
        <x:f>'Habilidades'!I1734</x:f>
        <x:v>170</x:v>
      </x:c>
    </x:row>
    <x:row r="542" ht="22" customHeight="1">
      <x:c r="A542" s="19" t="n">
        <x:f>IF(B542="","",IF(B542=B541,A541,A541+1))</x:f>
        <x:v>109</x:v>
      </x:c>
      <x:c r="B542" s="20" t="str">
        <x:f>'Ranking'!C117</x:f>
        <x:v>Azumarill</x:v>
      </x:c>
      <x:c r="C542" s="20" t="str">
        <x:f>'Habilidades'!D1735</x:f>
        <x:v>Aqua Tail</x:v>
      </x:c>
      <x:c r="D542" s="20" t="str">
        <x:f>'Habilidades'!F1735</x:f>
        <x:v>Física</x:v>
      </x:c>
      <x:c r="E542" s="21" t="n">
        <x:f>'Habilidades'!G1735</x:f>
        <x:v>90</x:v>
      </x:c>
      <x:c r="F542" s="21" t="n">
        <x:f>'Habilidades'!H1735</x:f>
        <x:v>50</x:v>
      </x:c>
      <x:c r="G542" s="21" t="n">
        <x:f>'Habilidades'!I1735</x:f>
        <x:v>140</x:v>
      </x:c>
    </x:row>
    <x:row r="543" ht="22" customHeight="1">
      <x:c r="A543" s="17" t="n">
        <x:f>IF(B543="","",IF(B543=B542,A542,A542+1))</x:f>
        <x:v>110</x:v>
      </x:c>
      <x:c r="B543" s="1" t="str">
        <x:f>'Ranking'!C114</x:f>
        <x:v>Leafeon</x:v>
      </x:c>
      <x:c r="C543" s="1" t="str">
        <x:f>'Habilidades'!D3343</x:f>
        <x:v>Petal Bloom</x:v>
      </x:c>
      <x:c r="D543" s="1" t="str">
        <x:f>'Habilidades'!F3343</x:f>
        <x:v>Especial</x:v>
      </x:c>
      <x:c r="E543" s="18" t="n">
        <x:f>'Habilidades'!G3343</x:f>
        <x:v>300</x:v>
      </x:c>
      <x:c r="F543" s="18" t="n">
        <x:f>'Habilidades'!H3343</x:f>
        <x:v>60</x:v>
      </x:c>
      <x:c r="G543" s="18" t="n">
        <x:f>'Habilidades'!I3343</x:f>
        <x:v>360</x:v>
      </x:c>
    </x:row>
    <x:row r="544" ht="22" customHeight="1">
      <x:c r="A544" s="17" t="n">
        <x:f>IF(B544="","",IF(B544=B543,A543,A543+1))</x:f>
        <x:v>110</x:v>
      </x:c>
      <x:c r="B544" s="1" t="str">
        <x:f>'Ranking'!C114</x:f>
        <x:v>Leafeon</x:v>
      </x:c>
      <x:c r="C544" s="1" t="str">
        <x:f>'Habilidades'!D3344</x:f>
        <x:v>Last Resort</x:v>
      </x:c>
      <x:c r="D544" s="1" t="str">
        <x:f>'Habilidades'!F3344</x:f>
        <x:v>Física</x:v>
      </x:c>
      <x:c r="E544" s="18" t="n">
        <x:f>'Habilidades'!G3344</x:f>
        <x:v>140</x:v>
      </x:c>
      <x:c r="F544" s="18" t="n">
        <x:f>'Habilidades'!H3344</x:f>
        <x:v>110</x:v>
      </x:c>
      <x:c r="G544" s="18" t="n">
        <x:f>'Habilidades'!I3344</x:f>
        <x:v>250</x:v>
      </x:c>
    </x:row>
    <x:row r="545" ht="22" customHeight="1">
      <x:c r="A545" s="17" t="n">
        <x:f>IF(B545="","",IF(B545=B544,A544,A544+1))</x:f>
        <x:v>110</x:v>
      </x:c>
      <x:c r="B545" s="1" t="str">
        <x:f>'Ranking'!C114</x:f>
        <x:v>Leafeon</x:v>
      </x:c>
      <x:c r="C545" s="1" t="str">
        <x:f>'Habilidades'!D3345</x:f>
        <x:v>Leaf Blade</x:v>
      </x:c>
      <x:c r="D545" s="1" t="str">
        <x:f>'Habilidades'!F3345</x:f>
        <x:v>Física</x:v>
      </x:c>
      <x:c r="E545" s="18" t="n">
        <x:f>'Habilidades'!G3345</x:f>
        <x:v>90</x:v>
      </x:c>
      <x:c r="F545" s="18" t="n">
        <x:f>'Habilidades'!H3345</x:f>
        <x:v>110</x:v>
      </x:c>
      <x:c r="G545" s="18" t="n">
        <x:f>'Habilidades'!I3345</x:f>
        <x:v>200</x:v>
      </x:c>
    </x:row>
    <x:row r="546" ht="22" customHeight="1">
      <x:c r="A546" s="17" t="n">
        <x:f>IF(B546="","",IF(B546=B545,A545,A545+1))</x:f>
        <x:v>110</x:v>
      </x:c>
      <x:c r="B546" s="1" t="str">
        <x:f>'Ranking'!C114</x:f>
        <x:v>Leafeon</x:v>
      </x:c>
      <x:c r="C546" s="1" t="str">
        <x:f>'Habilidades'!D3349</x:f>
        <x:v>Giga Drain</x:v>
      </x:c>
      <x:c r="D546" s="1" t="str">
        <x:f>'Habilidades'!F3349</x:f>
        <x:v>Especial</x:v>
      </x:c>
      <x:c r="E546" s="18" t="n">
        <x:f>'Habilidades'!G3349</x:f>
        <x:v>75</x:v>
      </x:c>
      <x:c r="F546" s="18" t="n">
        <x:f>'Habilidades'!H3349</x:f>
        <x:v>60</x:v>
      </x:c>
      <x:c r="G546" s="18" t="n">
        <x:f>'Habilidades'!I3349</x:f>
        <x:v>135</x:v>
      </x:c>
    </x:row>
    <x:row r="547" ht="22" customHeight="1">
      <x:c r="A547" s="19" t="n">
        <x:f>IF(B547="","",IF(B547=B546,A546,A546+1))</x:f>
        <x:v>110</x:v>
      </x:c>
      <x:c r="B547" s="20" t="str">
        <x:f>'Ranking'!C114</x:f>
        <x:v>Leafeon</x:v>
      </x:c>
      <x:c r="C547" s="20" t="str">
        <x:f>'Habilidades'!D3350</x:f>
        <x:v>Magical Leaf</x:v>
      </x:c>
      <x:c r="D547" s="20" t="str">
        <x:f>'Habilidades'!F3350</x:f>
        <x:v>Especial</x:v>
      </x:c>
      <x:c r="E547" s="21" t="n">
        <x:f>'Habilidades'!G3350</x:f>
        <x:v>60</x:v>
      </x:c>
      <x:c r="F547" s="21" t="n">
        <x:f>'Habilidades'!H3350</x:f>
        <x:v>60</x:v>
      </x:c>
      <x:c r="G547" s="21" t="n">
        <x:f>'Habilidades'!I3350</x:f>
        <x:v>120</x:v>
      </x:c>
    </x:row>
    <x:row r="548" ht="22" customHeight="1">
      <x:c r="A548" s="17" t="n">
        <x:f>IF(B548="","",IF(B548=B547,A547,A547+1))</x:f>
        <x:v>111</x:v>
      </x:c>
      <x:c r="B548" s="1" t="str">
        <x:f>'Ranking'!C113</x:f>
        <x:v>Omastar</x:v>
      </x:c>
      <x:c r="C548" s="1" t="str">
        <x:f>'Habilidades'!D1324</x:f>
        <x:v>Crumbling Rain</x:v>
      </x:c>
      <x:c r="D548" s="1" t="str">
        <x:f>'Habilidades'!F1324</x:f>
        <x:v>Física</x:v>
      </x:c>
      <x:c r="E548" s="18" t="n">
        <x:f>'Habilidades'!G1324</x:f>
        <x:v>300</x:v>
      </x:c>
      <x:c r="F548" s="18" t="n">
        <x:f>'Habilidades'!H1324</x:f>
        <x:v>60</x:v>
      </x:c>
      <x:c r="G548" s="18" t="n">
        <x:f>'Habilidades'!I1324</x:f>
        <x:v>360</x:v>
      </x:c>
    </x:row>
    <x:row r="549" ht="22" customHeight="1">
      <x:c r="A549" s="17" t="n">
        <x:f>IF(B549="","",IF(B549=B548,A548,A548+1))</x:f>
        <x:v>111</x:v>
      </x:c>
      <x:c r="B549" s="1" t="str">
        <x:f>'Ranking'!C113</x:f>
        <x:v>Omastar</x:v>
      </x:c>
      <x:c r="C549" s="1" t="str">
        <x:f>'Habilidades'!D1325</x:f>
        <x:v>Hydro Pump</x:v>
      </x:c>
      <x:c r="D549" s="1" t="str">
        <x:f>'Habilidades'!F1325</x:f>
        <x:v>Especial</x:v>
      </x:c>
      <x:c r="E549" s="18" t="n">
        <x:f>'Habilidades'!G1325</x:f>
        <x:v>110</x:v>
      </x:c>
      <x:c r="F549" s="18" t="n">
        <x:f>'Habilidades'!H1325</x:f>
        <x:v>115</x:v>
      </x:c>
      <x:c r="G549" s="18" t="n">
        <x:f>'Habilidades'!I1325</x:f>
        <x:v>225</x:v>
      </x:c>
    </x:row>
    <x:row r="550" ht="22" customHeight="1">
      <x:c r="A550" s="17" t="n">
        <x:f>IF(B550="","",IF(B550=B549,A549,A549+1))</x:f>
        <x:v>111</x:v>
      </x:c>
      <x:c r="B550" s="1" t="str">
        <x:f>'Ranking'!C113</x:f>
        <x:v>Omastar</x:v>
      </x:c>
      <x:c r="C550" s="1" t="str">
        <x:f>'Habilidades'!D1326</x:f>
        <x:v>Brine</x:v>
      </x:c>
      <x:c r="D550" s="1" t="str">
        <x:f>'Habilidades'!F1326</x:f>
        <x:v>Especial</x:v>
      </x:c>
      <x:c r="E550" s="18" t="n">
        <x:f>'Habilidades'!G1326</x:f>
        <x:v>65</x:v>
      </x:c>
      <x:c r="F550" s="18" t="n">
        <x:f>'Habilidades'!H1326</x:f>
        <x:v>115</x:v>
      </x:c>
      <x:c r="G550" s="18" t="n">
        <x:f>'Habilidades'!I1326</x:f>
        <x:v>180</x:v>
      </x:c>
    </x:row>
    <x:row r="551" ht="22" customHeight="1">
      <x:c r="A551" s="17" t="n">
        <x:f>IF(B551="","",IF(B551=B550,A550,A550+1))</x:f>
        <x:v>111</x:v>
      </x:c>
      <x:c r="B551" s="1" t="str">
        <x:f>'Ranking'!C113</x:f>
        <x:v>Omastar</x:v>
      </x:c>
      <x:c r="C551" s="1" t="str">
        <x:f>'Habilidades'!D1327</x:f>
        <x:v>Ancient Power</x:v>
      </x:c>
      <x:c r="D551" s="1" t="str">
        <x:f>'Habilidades'!F1327</x:f>
        <x:v>Especial</x:v>
      </x:c>
      <x:c r="E551" s="18" t="n">
        <x:f>'Habilidades'!G1327</x:f>
        <x:v>60</x:v>
      </x:c>
      <x:c r="F551" s="18" t="n">
        <x:f>'Habilidades'!H1327</x:f>
        <x:v>115</x:v>
      </x:c>
      <x:c r="G551" s="18" t="n">
        <x:f>'Habilidades'!I1327</x:f>
        <x:v>175</x:v>
      </x:c>
    </x:row>
    <x:row r="552" ht="22" customHeight="1">
      <x:c r="A552" s="19" t="n">
        <x:f>IF(B552="","",IF(B552=B551,A551,A551+1))</x:f>
        <x:v>111</x:v>
      </x:c>
      <x:c r="B552" s="20" t="str">
        <x:f>'Ranking'!C113</x:f>
        <x:v>Omastar</x:v>
      </x:c>
      <x:c r="C552" s="20" t="str">
        <x:f>'Habilidades'!D1330</x:f>
        <x:v>Bite</x:v>
      </x:c>
      <x:c r="D552" s="20" t="str">
        <x:f>'Habilidades'!F1330</x:f>
        <x:v>Física</x:v>
      </x:c>
      <x:c r="E552" s="21" t="n">
        <x:f>'Habilidades'!G1330</x:f>
        <x:v>60</x:v>
      </x:c>
      <x:c r="F552" s="21" t="n">
        <x:f>'Habilidades'!H1330</x:f>
        <x:v>60</x:v>
      </x:c>
      <x:c r="G552" s="21" t="n">
        <x:f>'Habilidades'!I1330</x:f>
        <x:v>120</x:v>
      </x:c>
    </x:row>
    <x:row r="553" ht="22" customHeight="1">
      <x:c r="A553" s="17" t="n">
        <x:f>IF(B553="","",IF(B553=B552,A552,A552+1))</x:f>
        <x:v>112</x:v>
      </x:c>
      <x:c r="B553" s="1" t="str">
        <x:f>'Ranking'!C115</x:f>
        <x:v>Piloswine</x:v>
      </x:c>
      <x:c r="C553" s="1" t="str">
        <x:f>'Habilidades'!D2073</x:f>
        <x:v>Ice Time</x:v>
      </x:c>
      <x:c r="D553" s="1" t="str">
        <x:f>'Habilidades'!F2073</x:f>
        <x:v>Especial</x:v>
      </x:c>
      <x:c r="E553" s="18" t="n">
        <x:f>'Habilidades'!G2073</x:f>
        <x:v>300</x:v>
      </x:c>
      <x:c r="F553" s="18" t="n">
        <x:f>'Habilidades'!H2073</x:f>
        <x:v>60</x:v>
      </x:c>
      <x:c r="G553" s="18" t="n">
        <x:f>'Habilidades'!I2073</x:f>
        <x:v>360</x:v>
      </x:c>
    </x:row>
    <x:row r="554" ht="22" customHeight="1">
      <x:c r="A554" s="17" t="n">
        <x:f>IF(B554="","",IF(B554=B553,A553,A553+1))</x:f>
        <x:v>112</x:v>
      </x:c>
      <x:c r="B554" s="1" t="str">
        <x:f>'Ranking'!C115</x:f>
        <x:v>Piloswine</x:v>
      </x:c>
      <x:c r="C554" s="1" t="str">
        <x:f>'Habilidades'!D2074</x:f>
        <x:v>Thrash</x:v>
      </x:c>
      <x:c r="D554" s="1" t="str">
        <x:f>'Habilidades'!F2074</x:f>
        <x:v>Física</x:v>
      </x:c>
      <x:c r="E554" s="18" t="n">
        <x:f>'Habilidades'!G2074</x:f>
        <x:v>120</x:v>
      </x:c>
      <x:c r="F554" s="18" t="n">
        <x:f>'Habilidades'!H2074</x:f>
        <x:v>100</x:v>
      </x:c>
      <x:c r="G554" s="18" t="n">
        <x:f>'Habilidades'!I2074</x:f>
        <x:v>220</x:v>
      </x:c>
    </x:row>
    <x:row r="555" ht="22" customHeight="1">
      <x:c r="A555" s="17" t="n">
        <x:f>IF(B555="","",IF(B555=B554,A554,A554+1))</x:f>
        <x:v>112</x:v>
      </x:c>
      <x:c r="B555" s="1" t="str">
        <x:f>'Ranking'!C115</x:f>
        <x:v>Piloswine</x:v>
      </x:c>
      <x:c r="C555" s="1" t="str">
        <x:f>'Habilidades'!D2075</x:f>
        <x:v>Earthquake</x:v>
      </x:c>
      <x:c r="D555" s="1" t="str">
        <x:f>'Habilidades'!F2075</x:f>
        <x:v>Física</x:v>
      </x:c>
      <x:c r="E555" s="18" t="n">
        <x:f>'Habilidades'!G2075</x:f>
        <x:v>100</x:v>
      </x:c>
      <x:c r="F555" s="18" t="n">
        <x:f>'Habilidades'!H2075</x:f>
        <x:v>100</x:v>
      </x:c>
      <x:c r="G555" s="18" t="n">
        <x:f>'Habilidades'!I2075</x:f>
        <x:v>200</x:v>
      </x:c>
    </x:row>
    <x:row r="556" ht="22" customHeight="1">
      <x:c r="A556" s="17" t="n">
        <x:f>IF(B556="","",IF(B556=B555,A555,A555+1))</x:f>
        <x:v>112</x:v>
      </x:c>
      <x:c r="B556" s="1" t="str">
        <x:f>'Ranking'!C115</x:f>
        <x:v>Piloswine</x:v>
      </x:c>
      <x:c r="C556" s="1" t="str">
        <x:f>'Habilidades'!D2076</x:f>
        <x:v>Take Down</x:v>
      </x:c>
      <x:c r="D556" s="1" t="str">
        <x:f>'Habilidades'!F2076</x:f>
        <x:v>Física</x:v>
      </x:c>
      <x:c r="E556" s="18" t="n">
        <x:f>'Habilidades'!G2076</x:f>
        <x:v>90</x:v>
      </x:c>
      <x:c r="F556" s="18" t="n">
        <x:f>'Habilidades'!H2076</x:f>
        <x:v>100</x:v>
      </x:c>
      <x:c r="G556" s="18" t="n">
        <x:f>'Habilidades'!I2076</x:f>
        <x:v>190</x:v>
      </x:c>
    </x:row>
    <x:row r="557" ht="22" customHeight="1">
      <x:c r="A557" s="19" t="n">
        <x:f>IF(B557="","",IF(B557=B556,A556,A556+1))</x:f>
        <x:v>112</x:v>
      </x:c>
      <x:c r="B557" s="20" t="str">
        <x:f>'Ranking'!C115</x:f>
        <x:v>Piloswine</x:v>
      </x:c>
      <x:c r="C557" s="20" t="str">
        <x:f>'Habilidades'!D2077</x:f>
        <x:v>Blizzard</x:v>
      </x:c>
      <x:c r="D557" s="20" t="str">
        <x:f>'Habilidades'!F2077</x:f>
        <x:v>Especial</x:v>
      </x:c>
      <x:c r="E557" s="21" t="n">
        <x:f>'Habilidades'!G2077</x:f>
        <x:v>110</x:v>
      </x:c>
      <x:c r="F557" s="21" t="n">
        <x:f>'Habilidades'!H2077</x:f>
        <x:v>60</x:v>
      </x:c>
      <x:c r="G557" s="21" t="n">
        <x:f>'Habilidades'!I2077</x:f>
        <x:v>170</x:v>
      </x:c>
    </x:row>
    <x:row r="558" ht="22" customHeight="1">
      <x:c r="A558" s="17" t="n">
        <x:f>IF(B558="","",IF(B558=B557,A557,A557+1))</x:f>
        <x:v>113</x:v>
      </x:c>
      <x:c r="B558" s="1" t="str">
        <x:f>'Ranking'!C116</x:f>
        <x:v>Shelgon</x:v>
      </x:c>
      <x:c r="C558" s="1" t="str">
        <x:f>'Habilidades'!D3094</x:f>
        <x:v>Draconic Soul</x:v>
      </x:c>
      <x:c r="D558" s="1" t="str">
        <x:f>'Habilidades'!F3094</x:f>
        <x:v>Especial</x:v>
      </x:c>
      <x:c r="E558" s="18" t="n">
        <x:f>'Habilidades'!G3094</x:f>
        <x:v>300</x:v>
      </x:c>
      <x:c r="F558" s="18" t="n">
        <x:f>'Habilidades'!H3094</x:f>
        <x:v>60</x:v>
      </x:c>
      <x:c r="G558" s="18" t="n">
        <x:f>'Habilidades'!I3094</x:f>
        <x:v>360</x:v>
      </x:c>
    </x:row>
    <x:row r="559" ht="22" customHeight="1">
      <x:c r="A559" s="17" t="n">
        <x:f>IF(B559="","",IF(B559=B558,A558,A558+1))</x:f>
        <x:v>113</x:v>
      </x:c>
      <x:c r="B559" s="1" t="str">
        <x:f>'Ranking'!C116</x:f>
        <x:v>Shelgon</x:v>
      </x:c>
      <x:c r="C559" s="1" t="str">
        <x:f>'Habilidades'!D3095</x:f>
        <x:v>Double-Edge</x:v>
      </x:c>
      <x:c r="D559" s="1" t="str">
        <x:f>'Habilidades'!F3095</x:f>
        <x:v>Física</x:v>
      </x:c>
      <x:c r="E559" s="18" t="n">
        <x:f>'Habilidades'!G3095</x:f>
        <x:v>120</x:v>
      </x:c>
      <x:c r="F559" s="18" t="n">
        <x:f>'Habilidades'!H3095</x:f>
        <x:v>95</x:v>
      </x:c>
      <x:c r="G559" s="18" t="n">
        <x:f>'Habilidades'!I3095</x:f>
        <x:v>215</x:v>
      </x:c>
    </x:row>
    <x:row r="560" ht="22" customHeight="1">
      <x:c r="A560" s="17" t="n">
        <x:f>IF(B560="","",IF(B560=B559,A559,A559+1))</x:f>
        <x:v>113</x:v>
      </x:c>
      <x:c r="B560" s="1" t="str">
        <x:f>'Ranking'!C116</x:f>
        <x:v>Shelgon</x:v>
      </x:c>
      <x:c r="C560" s="1" t="str">
        <x:f>'Habilidades'!D3096</x:f>
        <x:v>Crunch</x:v>
      </x:c>
      <x:c r="D560" s="1" t="str">
        <x:f>'Habilidades'!F3096</x:f>
        <x:v>Física</x:v>
      </x:c>
      <x:c r="E560" s="18" t="n">
        <x:f>'Habilidades'!G3096</x:f>
        <x:v>80</x:v>
      </x:c>
      <x:c r="F560" s="18" t="n">
        <x:f>'Habilidades'!H3096</x:f>
        <x:v>95</x:v>
      </x:c>
      <x:c r="G560" s="18" t="n">
        <x:f>'Habilidades'!I3096</x:f>
        <x:v>175</x:v>
      </x:c>
    </x:row>
    <x:row r="561" ht="22" customHeight="1">
      <x:c r="A561" s="17" t="n">
        <x:f>IF(B561="","",IF(B561=B560,A560,A560+1))</x:f>
        <x:v>113</x:v>
      </x:c>
      <x:c r="B561" s="1" t="str">
        <x:f>'Ranking'!C116</x:f>
        <x:v>Shelgon</x:v>
      </x:c>
      <x:c r="C561" s="1" t="str">
        <x:f>'Habilidades'!D3097</x:f>
        <x:v>Dragon Claw</x:v>
      </x:c>
      <x:c r="D561" s="1" t="str">
        <x:f>'Habilidades'!F3097</x:f>
        <x:v>Física</x:v>
      </x:c>
      <x:c r="E561" s="18" t="n">
        <x:f>'Habilidades'!G3097</x:f>
        <x:v>80</x:v>
      </x:c>
      <x:c r="F561" s="18" t="n">
        <x:f>'Habilidades'!H3097</x:f>
        <x:v>95</x:v>
      </x:c>
      <x:c r="G561" s="18" t="n">
        <x:f>'Habilidades'!I3097</x:f>
        <x:v>175</x:v>
      </x:c>
    </x:row>
    <x:row r="562" ht="22" customHeight="1">
      <x:c r="A562" s="19" t="n">
        <x:f>IF(B562="","",IF(B562=B561,A561,A561+1))</x:f>
        <x:v>113</x:v>
      </x:c>
      <x:c r="B562" s="20" t="str">
        <x:f>'Ranking'!C116</x:f>
        <x:v>Shelgon</x:v>
      </x:c>
      <x:c r="C562" s="20" t="str">
        <x:f>'Habilidades'!D3101</x:f>
        <x:v>Flamethrower</x:v>
      </x:c>
      <x:c r="D562" s="20" t="str">
        <x:f>'Habilidades'!F3101</x:f>
        <x:v>Especial</x:v>
      </x:c>
      <x:c r="E562" s="21" t="n">
        <x:f>'Habilidades'!G3101</x:f>
        <x:v>90</x:v>
      </x:c>
      <x:c r="F562" s="21" t="n">
        <x:f>'Habilidades'!H3101</x:f>
        <x:v>60</x:v>
      </x:c>
      <x:c r="G562" s="21" t="n">
        <x:f>'Habilidades'!I3101</x:f>
        <x:v>150</x:v>
      </x:c>
    </x:row>
    <x:row r="563" ht="22" customHeight="1">
      <x:c r="A563" s="17" t="n">
        <x:f>IF(B563="","",IF(B563=B562,A562,A562+1))</x:f>
        <x:v>114</x:v>
      </x:c>
      <x:c r="B563" s="1" t="str">
        <x:f>'Ranking'!C119</x:f>
        <x:v>Jumpluff</x:v>
      </x:c>
      <x:c r="C563" s="1" t="str">
        <x:f>'Habilidades'!D1774</x:f>
        <x:v>Petal Bloom</x:v>
      </x:c>
      <x:c r="D563" s="1" t="str">
        <x:f>'Habilidades'!F1774</x:f>
        <x:v>Especial</x:v>
      </x:c>
      <x:c r="E563" s="18" t="n">
        <x:f>'Habilidades'!G1774</x:f>
        <x:v>300</x:v>
      </x:c>
      <x:c r="F563" s="18" t="n">
        <x:f>'Habilidades'!H1774</x:f>
        <x:v>55</x:v>
      </x:c>
      <x:c r="G563" s="18" t="n">
        <x:f>'Habilidades'!I1774</x:f>
        <x:v>355</x:v>
      </x:c>
    </x:row>
    <x:row r="564" ht="22" customHeight="1">
      <x:c r="A564" s="17" t="n">
        <x:f>IF(B564="","",IF(B564=B563,A563,A563+1))</x:f>
        <x:v>114</x:v>
      </x:c>
      <x:c r="B564" s="1" t="str">
        <x:f>'Ranking'!C119</x:f>
        <x:v>Jumpluff</x:v>
      </x:c>
      <x:c r="C564" s="1" t="str">
        <x:f>'Habilidades'!D1775</x:f>
        <x:v>Massive Hurricane</x:v>
      </x:c>
      <x:c r="D564" s="1" t="str">
        <x:f>'Habilidades'!F1775</x:f>
        <x:v>Física</x:v>
      </x:c>
      <x:c r="E564" s="18" t="n">
        <x:f>'Habilidades'!G1775</x:f>
        <x:v>300</x:v>
      </x:c>
      <x:c r="F564" s="18" t="n">
        <x:f>'Habilidades'!H1775</x:f>
        <x:v>55</x:v>
      </x:c>
      <x:c r="G564" s="18" t="n">
        <x:f>'Habilidades'!I1775</x:f>
        <x:v>355</x:v>
      </x:c>
    </x:row>
    <x:row r="565" ht="22" customHeight="1">
      <x:c r="A565" s="17" t="n">
        <x:f>IF(B565="","",IF(B565=B564,A564,A564+1))</x:f>
        <x:v>114</x:v>
      </x:c>
      <x:c r="B565" s="1" t="str">
        <x:f>'Ranking'!C119</x:f>
        <x:v>Jumpluff</x:v>
      </x:c>
      <x:c r="C565" s="1" t="str">
        <x:f>'Habilidades'!D1776</x:f>
        <x:v>Bounce</x:v>
      </x:c>
      <x:c r="D565" s="1" t="str">
        <x:f>'Habilidades'!F1776</x:f>
        <x:v>Física</x:v>
      </x:c>
      <x:c r="E565" s="18" t="n">
        <x:f>'Habilidades'!G1776</x:f>
        <x:v>85</x:v>
      </x:c>
      <x:c r="F565" s="18" t="n">
        <x:f>'Habilidades'!H1776</x:f>
        <x:v>55</x:v>
      </x:c>
      <x:c r="G565" s="18" t="n">
        <x:f>'Habilidades'!I1776</x:f>
        <x:v>140</x:v>
      </x:c>
    </x:row>
    <x:row r="566" ht="22" customHeight="1">
      <x:c r="A566" s="17" t="n">
        <x:f>IF(B566="","",IF(B566=B565,A565,A565+1))</x:f>
        <x:v>114</x:v>
      </x:c>
      <x:c r="B566" s="1" t="str">
        <x:f>'Ranking'!C119</x:f>
        <x:v>Jumpluff</x:v>
      </x:c>
      <x:c r="C566" s="1" t="str">
        <x:f>'Habilidades'!D1777</x:f>
        <x:v>Giga Drain</x:v>
      </x:c>
      <x:c r="D566" s="1" t="str">
        <x:f>'Habilidades'!F1777</x:f>
        <x:v>Especial</x:v>
      </x:c>
      <x:c r="E566" s="18" t="n">
        <x:f>'Habilidades'!G1777</x:f>
        <x:v>75</x:v>
      </x:c>
      <x:c r="F566" s="18" t="n">
        <x:f>'Habilidades'!H1777</x:f>
        <x:v>55</x:v>
      </x:c>
      <x:c r="G566" s="18" t="n">
        <x:f>'Habilidades'!I1777</x:f>
        <x:v>130</x:v>
      </x:c>
    </x:row>
    <x:row r="567" ht="22" customHeight="1">
      <x:c r="A567" s="19" t="n">
        <x:f>IF(B567="","",IF(B567=B566,A566,A566+1))</x:f>
        <x:v>114</x:v>
      </x:c>
      <x:c r="B567" s="20" t="str">
        <x:f>'Ranking'!C119</x:f>
        <x:v>Jumpluff</x:v>
      </x:c>
      <x:c r="C567" s="20" t="str">
        <x:f>'Habilidades'!D1778</x:f>
        <x:v>U-turn</x:v>
      </x:c>
      <x:c r="D567" s="20" t="str">
        <x:f>'Habilidades'!F1778</x:f>
        <x:v>Física</x:v>
      </x:c>
      <x:c r="E567" s="21" t="n">
        <x:f>'Habilidades'!G1778</x:f>
        <x:v>70</x:v>
      </x:c>
      <x:c r="F567" s="21" t="n">
        <x:f>'Habilidades'!H1778</x:f>
        <x:v>55</x:v>
      </x:c>
      <x:c r="G567" s="21" t="n">
        <x:f>'Habilidades'!I1778</x:f>
        <x:v>125</x:v>
      </x:c>
    </x:row>
    <x:row r="568" ht="22" customHeight="1">
      <x:c r="A568" s="17" t="n">
        <x:f>IF(B568="","",IF(B568=B567,A567,A567+1))</x:f>
        <x:v>115</x:v>
      </x:c>
      <x:c r="B568" s="1" t="str">
        <x:f>'Ranking'!C118</x:f>
        <x:v>Qwilfish</x:v>
      </x:c>
      <x:c r="C568" s="1" t="str">
        <x:f>'Habilidades'!D1962</x:f>
        <x:v>Cyclonic Tide</x:v>
      </x:c>
      <x:c r="D568" s="1" t="str">
        <x:f>'Habilidades'!F1962</x:f>
        <x:v>Especial</x:v>
      </x:c>
      <x:c r="E568" s="18" t="n">
        <x:f>'Habilidades'!G1962</x:f>
        <x:v>300</x:v>
      </x:c>
      <x:c r="F568" s="18" t="n">
        <x:f>'Habilidades'!H1962</x:f>
        <x:v>55</x:v>
      </x:c>
      <x:c r="G568" s="18" t="n">
        <x:f>'Habilidades'!I1962</x:f>
        <x:v>355</x:v>
      </x:c>
    </x:row>
    <x:row r="569" ht="22" customHeight="1">
      <x:c r="A569" s="17" t="n">
        <x:f>IF(B569="","",IF(B569=B568,A568,A568+1))</x:f>
        <x:v>115</x:v>
      </x:c>
      <x:c r="B569" s="1" t="str">
        <x:f>'Ranking'!C118</x:f>
        <x:v>Qwilfish</x:v>
      </x:c>
      <x:c r="C569" s="1" t="str">
        <x:f>'Habilidades'!D1963</x:f>
        <x:v>Take Down</x:v>
      </x:c>
      <x:c r="D569" s="1" t="str">
        <x:f>'Habilidades'!F1963</x:f>
        <x:v>Física</x:v>
      </x:c>
      <x:c r="E569" s="18" t="n">
        <x:f>'Habilidades'!G1963</x:f>
        <x:v>90</x:v>
      </x:c>
      <x:c r="F569" s="18" t="n">
        <x:f>'Habilidades'!H1963</x:f>
        <x:v>95</x:v>
      </x:c>
      <x:c r="G569" s="18" t="n">
        <x:f>'Habilidades'!I1963</x:f>
        <x:v>185</x:v>
      </x:c>
    </x:row>
    <x:row r="570" ht="22" customHeight="1">
      <x:c r="A570" s="17" t="n">
        <x:f>IF(B570="","",IF(B570=B569,A569,A569+1))</x:f>
        <x:v>115</x:v>
      </x:c>
      <x:c r="B570" s="1" t="str">
        <x:f>'Ranking'!C118</x:f>
        <x:v>Qwilfish</x:v>
      </x:c>
      <x:c r="C570" s="1" t="str">
        <x:f>'Habilidades'!D1964</x:f>
        <x:v>Aqua Tail</x:v>
      </x:c>
      <x:c r="D570" s="1" t="str">
        <x:f>'Habilidades'!F1964</x:f>
        <x:v>Física</x:v>
      </x:c>
      <x:c r="E570" s="18" t="n">
        <x:f>'Habilidades'!G1964</x:f>
        <x:v>90</x:v>
      </x:c>
      <x:c r="F570" s="18" t="n">
        <x:f>'Habilidades'!H1964</x:f>
        <x:v>95</x:v>
      </x:c>
      <x:c r="G570" s="18" t="n">
        <x:f>'Habilidades'!I1964</x:f>
        <x:v>185</x:v>
      </x:c>
    </x:row>
    <x:row r="571" ht="22" customHeight="1">
      <x:c r="A571" s="17" t="n">
        <x:f>IF(B571="","",IF(B571=B570,A570,A570+1))</x:f>
        <x:v>115</x:v>
      </x:c>
      <x:c r="B571" s="1" t="str">
        <x:f>'Ranking'!C118</x:f>
        <x:v>Qwilfish</x:v>
      </x:c>
      <x:c r="C571" s="1" t="str">
        <x:f>'Habilidades'!D1965</x:f>
        <x:v>Poison Jab</x:v>
      </x:c>
      <x:c r="D571" s="1" t="str">
        <x:f>'Habilidades'!F1965</x:f>
        <x:v>Física</x:v>
      </x:c>
      <x:c r="E571" s="18" t="n">
        <x:f>'Habilidades'!G1965</x:f>
        <x:v>80</x:v>
      </x:c>
      <x:c r="F571" s="18" t="n">
        <x:f>'Habilidades'!H1965</x:f>
        <x:v>95</x:v>
      </x:c>
      <x:c r="G571" s="18" t="n">
        <x:f>'Habilidades'!I1965</x:f>
        <x:v>175</x:v>
      </x:c>
    </x:row>
    <x:row r="572" ht="22" customHeight="1">
      <x:c r="A572" s="19" t="n">
        <x:f>IF(B572="","",IF(B572=B571,A571,A571+1))</x:f>
        <x:v>115</x:v>
      </x:c>
      <x:c r="B572" s="20" t="str">
        <x:f>'Ranking'!C118</x:f>
        <x:v>Qwilfish</x:v>
      </x:c>
      <x:c r="C572" s="20" t="str">
        <x:f>'Habilidades'!D1966</x:f>
        <x:v>Hydro Pump</x:v>
      </x:c>
      <x:c r="D572" s="20" t="str">
        <x:f>'Habilidades'!F1966</x:f>
        <x:v>Especial</x:v>
      </x:c>
      <x:c r="E572" s="21" t="n">
        <x:f>'Habilidades'!G1966</x:f>
        <x:v>110</x:v>
      </x:c>
      <x:c r="F572" s="21" t="n">
        <x:f>'Habilidades'!H1966</x:f>
        <x:v>55</x:v>
      </x:c>
      <x:c r="G572" s="21" t="n">
        <x:f>'Habilidades'!I1966</x:f>
        <x:v>165</x:v>
      </x:c>
    </x:row>
    <x:row r="573" ht="22" customHeight="1">
      <x:c r="A573" s="17" t="n">
        <x:f>IF(B573="","",IF(B573=B572,A572,A572+1))</x:f>
        <x:v>116</x:v>
      </x:c>
      <x:c r="B573" s="1" t="str">
        <x:f>'Ranking'!C120</x:f>
        <x:v>Kingler</x:v>
      </x:c>
      <x:c r="C573" s="1" t="str">
        <x:f>'Habilidades'!D931</x:f>
        <x:v>Cyclonic Tide</x:v>
      </x:c>
      <x:c r="D573" s="1" t="str">
        <x:f>'Habilidades'!F931</x:f>
        <x:v>Especial</x:v>
      </x:c>
      <x:c r="E573" s="18" t="n">
        <x:f>'Habilidades'!G931</x:f>
        <x:v>300</x:v>
      </x:c>
      <x:c r="F573" s="18" t="n">
        <x:f>'Habilidades'!H931</x:f>
        <x:v>50</x:v>
      </x:c>
      <x:c r="G573" s="18" t="n">
        <x:f>'Habilidades'!I931</x:f>
        <x:v>350</x:v>
      </x:c>
    </x:row>
    <x:row r="574" ht="22" customHeight="1">
      <x:c r="A574" s="17" t="n">
        <x:f>IF(B574="","",IF(B574=B573,A573,A573+1))</x:f>
        <x:v>116</x:v>
      </x:c>
      <x:c r="B574" s="1" t="str">
        <x:f>'Ranking'!C120</x:f>
        <x:v>Kingler</x:v>
      </x:c>
      <x:c r="C574" s="1" t="str">
        <x:f>'Habilidades'!D932</x:f>
        <x:v>Crabhammer</x:v>
      </x:c>
      <x:c r="D574" s="1" t="str">
        <x:f>'Habilidades'!F932</x:f>
        <x:v>Física</x:v>
      </x:c>
      <x:c r="E574" s="18" t="n">
        <x:f>'Habilidades'!G932</x:f>
        <x:v>100</x:v>
      </x:c>
      <x:c r="F574" s="18" t="n">
        <x:f>'Habilidades'!H932</x:f>
        <x:v>130</x:v>
      </x:c>
      <x:c r="G574" s="18" t="n">
        <x:f>'Habilidades'!I932</x:f>
        <x:v>230</x:v>
      </x:c>
    </x:row>
    <x:row r="575" ht="22" customHeight="1">
      <x:c r="A575" s="17" t="n">
        <x:f>IF(B575="","",IF(B575=B574,A574,A574+1))</x:f>
        <x:v>116</x:v>
      </x:c>
      <x:c r="B575" s="1" t="str">
        <x:f>'Ranking'!C120</x:f>
        <x:v>Kingler</x:v>
      </x:c>
      <x:c r="C575" s="1" t="str">
        <x:f>'Habilidades'!D933</x:f>
        <x:v>Slam</x:v>
      </x:c>
      <x:c r="D575" s="1" t="str">
        <x:f>'Habilidades'!F933</x:f>
        <x:v>Física</x:v>
      </x:c>
      <x:c r="E575" s="18" t="n">
        <x:f>'Habilidades'!G933</x:f>
        <x:v>80</x:v>
      </x:c>
      <x:c r="F575" s="18" t="n">
        <x:f>'Habilidades'!H933</x:f>
        <x:v>130</x:v>
      </x:c>
      <x:c r="G575" s="18" t="n">
        <x:f>'Habilidades'!I933</x:f>
        <x:v>210</x:v>
      </x:c>
    </x:row>
    <x:row r="576" ht="22" customHeight="1">
      <x:c r="A576" s="17" t="n">
        <x:f>IF(B576="","",IF(B576=B575,A575,A575+1))</x:f>
        <x:v>116</x:v>
      </x:c>
      <x:c r="B576" s="1" t="str">
        <x:f>'Ranking'!C120</x:f>
        <x:v>Kingler</x:v>
      </x:c>
      <x:c r="C576" s="1" t="str">
        <x:f>'Habilidades'!D934</x:f>
        <x:v>Stomp</x:v>
      </x:c>
      <x:c r="D576" s="1" t="str">
        <x:f>'Habilidades'!F934</x:f>
        <x:v>Física</x:v>
      </x:c>
      <x:c r="E576" s="18" t="n">
        <x:f>'Habilidades'!G934</x:f>
        <x:v>65</x:v>
      </x:c>
      <x:c r="F576" s="18" t="n">
        <x:f>'Habilidades'!H934</x:f>
        <x:v>130</x:v>
      </x:c>
      <x:c r="G576" s="18" t="n">
        <x:f>'Habilidades'!I934</x:f>
        <x:v>195</x:v>
      </x:c>
    </x:row>
    <x:row r="577" ht="22" customHeight="1">
      <x:c r="A577" s="19" t="n">
        <x:f>IF(B577="","",IF(B577=B576,A576,A576+1))</x:f>
        <x:v>116</x:v>
      </x:c>
      <x:c r="B577" s="20" t="str">
        <x:f>'Ranking'!C120</x:f>
        <x:v>Kingler</x:v>
      </x:c>
      <x:c r="C577" s="20" t="str">
        <x:f>'Habilidades'!D938</x:f>
        <x:v>Bubble Beam</x:v>
      </x:c>
      <x:c r="D577" s="20" t="str">
        <x:f>'Habilidades'!F938</x:f>
        <x:v>Especial</x:v>
      </x:c>
      <x:c r="E577" s="21" t="n">
        <x:f>'Habilidades'!G938</x:f>
        <x:v>65</x:v>
      </x:c>
      <x:c r="F577" s="21" t="n">
        <x:f>'Habilidades'!H938</x:f>
        <x:v>50</x:v>
      </x:c>
      <x:c r="G577" s="21" t="n">
        <x:f>'Habilidades'!I938</x:f>
        <x:v>115</x:v>
      </x:c>
    </x:row>
    <x:row r="578" ht="22" customHeight="1">
      <x:c r="A578" s="17" t="n">
        <x:f>IF(B578="","",IF(B578=B577,A577,A577+1))</x:f>
        <x:v>117</x:v>
      </x:c>
      <x:c r="B578" s="1" t="str">
        <x:f>'Ranking'!C121</x:f>
        <x:v>Noctowl</x:v>
      </x:c>
      <x:c r="C578" s="1" t="str">
        <x:f>'Habilidades'!D1582</x:f>
        <x:v>Massive Hurricane</x:v>
      </x:c>
      <x:c r="D578" s="1" t="str">
        <x:f>'Habilidades'!F1582</x:f>
        <x:v>Física</x:v>
      </x:c>
      <x:c r="E578" s="18" t="n">
        <x:f>'Habilidades'!G1582</x:f>
        <x:v>300</x:v>
      </x:c>
      <x:c r="F578" s="18" t="n">
        <x:f>'Habilidades'!H1582</x:f>
        <x:v>50</x:v>
      </x:c>
      <x:c r="G578" s="18" t="n">
        <x:f>'Habilidades'!I1582</x:f>
        <x:v>350</x:v>
      </x:c>
    </x:row>
    <x:row r="579" ht="22" customHeight="1">
      <x:c r="A579" s="17" t="n">
        <x:f>IF(B579="","",IF(B579=B578,A578,A578+1))</x:f>
        <x:v>117</x:v>
      </x:c>
      <x:c r="B579" s="1" t="str">
        <x:f>'Ranking'!C121</x:f>
        <x:v>Noctowl</x:v>
      </x:c>
      <x:c r="C579" s="1" t="str">
        <x:f>'Habilidades'!D1583</x:f>
        <x:v>Synchronoise</x:v>
      </x:c>
      <x:c r="D579" s="1" t="str">
        <x:f>'Habilidades'!F1583</x:f>
        <x:v>Especial</x:v>
      </x:c>
      <x:c r="E579" s="18" t="n">
        <x:f>'Habilidades'!G1583</x:f>
        <x:v>120</x:v>
      </x:c>
      <x:c r="F579" s="18" t="n">
        <x:f>'Habilidades'!H1583</x:f>
        <x:v>76</x:v>
      </x:c>
      <x:c r="G579" s="18" t="n">
        <x:f>'Habilidades'!I1583</x:f>
        <x:v>196</x:v>
      </x:c>
    </x:row>
    <x:row r="580" ht="22" customHeight="1">
      <x:c r="A580" s="17" t="n">
        <x:f>IF(B580="","",IF(B580=B579,A579,A579+1))</x:f>
        <x:v>117</x:v>
      </x:c>
      <x:c r="B580" s="1" t="str">
        <x:f>'Ranking'!C121</x:f>
        <x:v>Noctowl</x:v>
      </x:c>
      <x:c r="C580" s="1" t="str">
        <x:f>'Habilidades'!D1584</x:f>
        <x:v>Sky Attack</x:v>
      </x:c>
      <x:c r="D580" s="1" t="str">
        <x:f>'Habilidades'!F1584</x:f>
        <x:v>Física</x:v>
      </x:c>
      <x:c r="E580" s="18" t="n">
        <x:f>'Habilidades'!G1584</x:f>
        <x:v>140</x:v>
      </x:c>
      <x:c r="F580" s="18" t="n">
        <x:f>'Habilidades'!H1584</x:f>
        <x:v>50</x:v>
      </x:c>
      <x:c r="G580" s="18" t="n">
        <x:f>'Habilidades'!I1584</x:f>
        <x:v>190</x:v>
      </x:c>
    </x:row>
    <x:row r="581" ht="22" customHeight="1">
      <x:c r="A581" s="17" t="n">
        <x:f>IF(B581="","",IF(B581=B580,A580,A580+1))</x:f>
        <x:v>117</x:v>
      </x:c>
      <x:c r="B581" s="1" t="str">
        <x:f>'Ranking'!C121</x:f>
        <x:v>Noctowl</x:v>
      </x:c>
      <x:c r="C581" s="1" t="str">
        <x:f>'Habilidades'!D1585</x:f>
        <x:v>Dream Eater</x:v>
      </x:c>
      <x:c r="D581" s="1" t="str">
        <x:f>'Habilidades'!F1585</x:f>
        <x:v>Especial</x:v>
      </x:c>
      <x:c r="E581" s="18" t="n">
        <x:f>'Habilidades'!G1585</x:f>
        <x:v>100</x:v>
      </x:c>
      <x:c r="F581" s="18" t="n">
        <x:f>'Habilidades'!H1585</x:f>
        <x:v>76</x:v>
      </x:c>
      <x:c r="G581" s="18" t="n">
        <x:f>'Habilidades'!I1585</x:f>
        <x:v>176</x:v>
      </x:c>
    </x:row>
    <x:row r="582" ht="22" customHeight="1">
      <x:c r="A582" s="19" t="n">
        <x:f>IF(B582="","",IF(B582=B581,A581,A581+1))</x:f>
        <x:v>117</x:v>
      </x:c>
      <x:c r="B582" s="20" t="str">
        <x:f>'Ranking'!C121</x:f>
        <x:v>Noctowl</x:v>
      </x:c>
      <x:c r="C582" s="20" t="str">
        <x:f>'Habilidades'!D1586</x:f>
        <x:v>Uproar</x:v>
      </x:c>
      <x:c r="D582" s="20" t="str">
        <x:f>'Habilidades'!F1586</x:f>
        <x:v>Especial</x:v>
      </x:c>
      <x:c r="E582" s="21" t="n">
        <x:f>'Habilidades'!G1586</x:f>
        <x:v>90</x:v>
      </x:c>
      <x:c r="F582" s="21" t="n">
        <x:f>'Habilidades'!H1586</x:f>
        <x:v>76</x:v>
      </x:c>
      <x:c r="G582" s="21" t="n">
        <x:f>'Habilidades'!I1586</x:f>
        <x:v>166</x:v>
      </x:c>
    </x:row>
    <x:row r="583" ht="22" customHeight="1">
      <x:c r="A583" s="17" t="n">
        <x:f>IF(B583="","",IF(B583=B582,A582,A582+1))</x:f>
        <x:v>118</x:v>
      </x:c>
      <x:c r="B583" s="1" t="str">
        <x:f>'Ranking'!C122</x:f>
        <x:v>Butterfree</x:v>
      </x:c>
      <x:c r="C583" s="1" t="str">
        <x:f>'Habilidades'!D100</x:f>
        <x:v>Massive Hurricane</x:v>
      </x:c>
      <x:c r="D583" s="1" t="str">
        <x:f>'Habilidades'!F100</x:f>
        <x:v>Física</x:v>
      </x:c>
      <x:c r="E583" s="18" t="n">
        <x:f>'Habilidades'!G100</x:f>
        <x:v>300</x:v>
      </x:c>
      <x:c r="F583" s="18" t="n">
        <x:f>'Habilidades'!H100</x:f>
        <x:v>45</x:v>
      </x:c>
      <x:c r="G583" s="18" t="n">
        <x:f>'Habilidades'!I100</x:f>
        <x:v>345</x:v>
      </x:c>
    </x:row>
    <x:row r="584" ht="22" customHeight="1">
      <x:c r="A584" s="17" t="n">
        <x:f>IF(B584="","",IF(B584=B583,A583,A583+1))</x:f>
        <x:v>118</x:v>
      </x:c>
      <x:c r="B584" s="1" t="str">
        <x:f>'Ranking'!C122</x:f>
        <x:v>Butterfree</x:v>
      </x:c>
      <x:c r="C584" s="1" t="str">
        <x:f>'Habilidades'!D101</x:f>
        <x:v>Hive Crush</x:v>
      </x:c>
      <x:c r="D584" s="1" t="str">
        <x:f>'Habilidades'!F101</x:f>
        <x:v>Física</x:v>
      </x:c>
      <x:c r="E584" s="18" t="n">
        <x:f>'Habilidades'!G101</x:f>
        <x:v>300</x:v>
      </x:c>
      <x:c r="F584" s="18" t="n">
        <x:f>'Habilidades'!H101</x:f>
        <x:v>45</x:v>
      </x:c>
      <x:c r="G584" s="18" t="n">
        <x:f>'Habilidades'!I101</x:f>
        <x:v>345</x:v>
      </x:c>
    </x:row>
    <x:row r="585" ht="22" customHeight="1">
      <x:c r="A585" s="17" t="n">
        <x:f>IF(B585="","",IF(B585=B584,A584,A584+1))</x:f>
        <x:v>118</x:v>
      </x:c>
      <x:c r="B585" s="1" t="str">
        <x:f>'Ranking'!C122</x:f>
        <x:v>Butterfree</x:v>
      </x:c>
      <x:c r="C585" s="1" t="str">
        <x:f>'Habilidades'!D102</x:f>
        <x:v>Bug Buzz</x:v>
      </x:c>
      <x:c r="D585" s="1" t="str">
        <x:f>'Habilidades'!F102</x:f>
        <x:v>Especial</x:v>
      </x:c>
      <x:c r="E585" s="18" t="n">
        <x:f>'Habilidades'!G102</x:f>
        <x:v>90</x:v>
      </x:c>
      <x:c r="F585" s="18" t="n">
        <x:f>'Habilidades'!H102</x:f>
        <x:v>90</x:v>
      </x:c>
      <x:c r="G585" s="18" t="n">
        <x:f>'Habilidades'!I102</x:f>
        <x:v>180</x:v>
      </x:c>
    </x:row>
    <x:row r="586" ht="22" customHeight="1">
      <x:c r="A586" s="17" t="n">
        <x:f>IF(B586="","",IF(B586=B585,A585,A585+1))</x:f>
        <x:v>118</x:v>
      </x:c>
      <x:c r="B586" s="1" t="str">
        <x:f>'Ranking'!C122</x:f>
        <x:v>Butterfree</x:v>
      </x:c>
      <x:c r="C586" s="1" t="str">
        <x:f>'Habilidades'!D103</x:f>
        <x:v>Psybeam</x:v>
      </x:c>
      <x:c r="D586" s="1" t="str">
        <x:f>'Habilidades'!F103</x:f>
        <x:v>Especial</x:v>
      </x:c>
      <x:c r="E586" s="18" t="n">
        <x:f>'Habilidades'!G103</x:f>
        <x:v>65</x:v>
      </x:c>
      <x:c r="F586" s="18" t="n">
        <x:f>'Habilidades'!H103</x:f>
        <x:v>90</x:v>
      </x:c>
      <x:c r="G586" s="18" t="n">
        <x:f>'Habilidades'!I103</x:f>
        <x:v>155</x:v>
      </x:c>
    </x:row>
    <x:row r="587" ht="22" customHeight="1">
      <x:c r="A587" s="19" t="n">
        <x:f>IF(B587="","",IF(B587=B586,A586,A586+1))</x:f>
        <x:v>118</x:v>
      </x:c>
      <x:c r="B587" s="20" t="str">
        <x:f>'Ranking'!C122</x:f>
        <x:v>Butterfree</x:v>
      </x:c>
      <x:c r="C587" s="20" t="str">
        <x:f>'Habilidades'!D104</x:f>
        <x:v>Silver Wind</x:v>
      </x:c>
      <x:c r="D587" s="20" t="str">
        <x:f>'Habilidades'!F104</x:f>
        <x:v>Especial</x:v>
      </x:c>
      <x:c r="E587" s="21" t="n">
        <x:f>'Habilidades'!G104</x:f>
        <x:v>60</x:v>
      </x:c>
      <x:c r="F587" s="21" t="n">
        <x:f>'Habilidades'!H104</x:f>
        <x:v>90</x:v>
      </x:c>
      <x:c r="G587" s="21" t="n">
        <x:f>'Habilidades'!I104</x:f>
        <x:v>150</x:v>
      </x:c>
    </x:row>
    <x:row r="588" ht="22" customHeight="1">
      <x:c r="A588" s="17" t="n">
        <x:f>IF(B588="","",IF(B588=B587,A587,A587+1))</x:f>
        <x:v>119</x:v>
      </x:c>
      <x:c r="B588" s="1" t="str">
        <x:f>'Ranking'!C123</x:f>
        <x:v>Ledian</x:v>
      </x:c>
      <x:c r="C588" s="1" t="str">
        <x:f>'Habilidades'!D1602</x:f>
        <x:v>Massive Hurricane</x:v>
      </x:c>
      <x:c r="D588" s="1" t="str">
        <x:f>'Habilidades'!F1602</x:f>
        <x:v>Física</x:v>
      </x:c>
      <x:c r="E588" s="18" t="n">
        <x:f>'Habilidades'!G1602</x:f>
        <x:v>300</x:v>
      </x:c>
      <x:c r="F588" s="18" t="n">
        <x:f>'Habilidades'!H1602</x:f>
        <x:v>35</x:v>
      </x:c>
      <x:c r="G588" s="18" t="n">
        <x:f>'Habilidades'!I1602</x:f>
        <x:v>335</x:v>
      </x:c>
    </x:row>
    <x:row r="589" ht="22" customHeight="1">
      <x:c r="A589" s="17" t="n">
        <x:f>IF(B589="","",IF(B589=B588,A588,A588+1))</x:f>
        <x:v>119</x:v>
      </x:c>
      <x:c r="B589" s="1" t="str">
        <x:f>'Ranking'!C123</x:f>
        <x:v>Ledian</x:v>
      </x:c>
      <x:c r="C589" s="1" t="str">
        <x:f>'Habilidades'!D1603</x:f>
        <x:v>Hive Crush</x:v>
      </x:c>
      <x:c r="D589" s="1" t="str">
        <x:f>'Habilidades'!F1603</x:f>
        <x:v>Física</x:v>
      </x:c>
      <x:c r="E589" s="18" t="n">
        <x:f>'Habilidades'!G1603</x:f>
        <x:v>300</x:v>
      </x:c>
      <x:c r="F589" s="18" t="n">
        <x:f>'Habilidades'!H1603</x:f>
        <x:v>35</x:v>
      </x:c>
      <x:c r="G589" s="18" t="n">
        <x:f>'Habilidades'!I1603</x:f>
        <x:v>335</x:v>
      </x:c>
    </x:row>
    <x:row r="590" ht="22" customHeight="1">
      <x:c r="A590" s="17" t="n">
        <x:f>IF(B590="","",IF(B590=B589,A589,A589+1))</x:f>
        <x:v>119</x:v>
      </x:c>
      <x:c r="B590" s="1" t="str">
        <x:f>'Ranking'!C123</x:f>
        <x:v>Ledian</x:v>
      </x:c>
      <x:c r="C590" s="1" t="str">
        <x:f>'Habilidades'!D1604</x:f>
        <x:v>Double-Edge</x:v>
      </x:c>
      <x:c r="D590" s="1" t="str">
        <x:f>'Habilidades'!F1604</x:f>
        <x:v>Física</x:v>
      </x:c>
      <x:c r="E590" s="18" t="n">
        <x:f>'Habilidades'!G1604</x:f>
        <x:v>120</x:v>
      </x:c>
      <x:c r="F590" s="18" t="n">
        <x:f>'Habilidades'!H1604</x:f>
        <x:v>35</x:v>
      </x:c>
      <x:c r="G590" s="18" t="n">
        <x:f>'Habilidades'!I1604</x:f>
        <x:v>155</x:v>
      </x:c>
    </x:row>
    <x:row r="591" ht="22" customHeight="1">
      <x:c r="A591" s="17" t="n">
        <x:f>IF(B591="","",IF(B591=B590,A590,A590+1))</x:f>
        <x:v>119</x:v>
      </x:c>
      <x:c r="B591" s="1" t="str">
        <x:f>'Ranking'!C123</x:f>
        <x:v>Ledian</x:v>
      </x:c>
      <x:c r="C591" s="1" t="str">
        <x:f>'Habilidades'!D1605</x:f>
        <x:v>Bug Buzz</x:v>
      </x:c>
      <x:c r="D591" s="1" t="str">
        <x:f>'Habilidades'!F1605</x:f>
        <x:v>Especial</x:v>
      </x:c>
      <x:c r="E591" s="18" t="n">
        <x:f>'Habilidades'!G1605</x:f>
        <x:v>90</x:v>
      </x:c>
      <x:c r="F591" s="18" t="n">
        <x:f>'Habilidades'!H1605</x:f>
        <x:v>55</x:v>
      </x:c>
      <x:c r="G591" s="18" t="n">
        <x:f>'Habilidades'!I1605</x:f>
        <x:v>145</x:v>
      </x:c>
    </x:row>
    <x:row r="592" ht="22" customHeight="1">
      <x:c r="A592" s="19" t="n">
        <x:f>IF(B592="","",IF(B592=B591,A591,A591+1))</x:f>
        <x:v>119</x:v>
      </x:c>
      <x:c r="B592" s="20" t="str">
        <x:f>'Ranking'!C123</x:f>
        <x:v>Ledian</x:v>
      </x:c>
      <x:c r="C592" s="20" t="str">
        <x:f>'Habilidades'!D1606</x:f>
        <x:v>Silver Wind</x:v>
      </x:c>
      <x:c r="D592" s="20" t="str">
        <x:f>'Habilidades'!F1606</x:f>
        <x:v>Especial</x:v>
      </x:c>
      <x:c r="E592" s="21" t="n">
        <x:f>'Habilidades'!G1606</x:f>
        <x:v>60</x:v>
      </x:c>
      <x:c r="F592" s="21" t="n">
        <x:f>'Habilidades'!H1606</x:f>
        <x:v>55</x:v>
      </x:c>
      <x:c r="G592" s="21" t="n">
        <x:f>'Habilidades'!I1606</x:f>
        <x:v>115</x:v>
      </x:c>
    </x:row>
    <x:row r="593" ht="22" customHeight="1">
      <x:c r="A593" s="19" t="n">
        <x:f>IF(B593="","",IF(B593=B592,A592,A592+1))</x:f>
        <x:v>120</x:v>
      </x:c>
      <x:c r="B593" s="20" t="str">
        <x:f>'Ranking'!C124</x:f>
        <x:v>Wobbuffet</x:v>
      </x:c>
      <x:c r="C593" s="20" t="str">
        <x:f>'Habilidades'!D1875</x:f>
        <x:v>Mental Singularity</x:v>
      </x:c>
      <x:c r="D593" s="20" t="str">
        <x:f>'Habilidades'!F1875</x:f>
        <x:v>Especial</x:v>
      </x:c>
      <x:c r="E593" s="21" t="n">
        <x:f>'Habilidades'!G1875</x:f>
        <x:v>300</x:v>
      </x:c>
      <x:c r="F593" s="21" t="n">
        <x:f>'Habilidades'!H1875</x:f>
        <x:v>33</x:v>
      </x:c>
      <x:c r="G593" s="21" t="n">
        <x:f>'Habilidades'!I1875</x:f>
        <x:v>333</x:v>
      </x:c>
    </x:row>
    <x:row r="594" ht="22" customHeight="1">
      <x:c r="A594" s="17" t="n">
        <x:f>IF(B594="","",IF(B594=B593,A593,A593+1))</x:f>
        <x:v>121</x:v>
      </x:c>
      <x:c r="B594" s="1" t="str">
        <x:f>'Ranking'!C125</x:f>
        <x:v>Rampardos</x:v>
      </x:c>
      <x:c r="C594" s="1" t="str">
        <x:f>'Habilidades'!D3167</x:f>
        <x:v>Head Smash</x:v>
      </x:c>
      <x:c r="D594" s="1" t="str">
        <x:f>'Habilidades'!F3167</x:f>
        <x:v>Física</x:v>
      </x:c>
      <x:c r="E594" s="18" t="n">
        <x:f>'Habilidades'!G3167</x:f>
        <x:v>150</x:v>
      </x:c>
      <x:c r="F594" s="18" t="n">
        <x:f>'Habilidades'!H3167</x:f>
        <x:v>165</x:v>
      </x:c>
      <x:c r="G594" s="18" t="n">
        <x:f>'Habilidades'!I3167</x:f>
        <x:v>315</x:v>
      </x:c>
    </x:row>
    <x:row r="595" ht="22" customHeight="1">
      <x:c r="A595" s="17" t="n">
        <x:f>IF(B595="","",IF(B595=B594,A594,A594+1))</x:f>
        <x:v>121</x:v>
      </x:c>
      <x:c r="B595" s="1" t="str">
        <x:f>'Ranking'!C125</x:f>
        <x:v>Rampardos</x:v>
      </x:c>
      <x:c r="C595" s="1" t="str">
        <x:f>'Habilidades'!D3168</x:f>
        <x:v>Take Down</x:v>
      </x:c>
      <x:c r="D595" s="1" t="str">
        <x:f>'Habilidades'!F3168</x:f>
        <x:v>Física</x:v>
      </x:c>
      <x:c r="E595" s="18" t="n">
        <x:f>'Habilidades'!G3168</x:f>
        <x:v>90</x:v>
      </x:c>
      <x:c r="F595" s="18" t="n">
        <x:f>'Habilidades'!H3168</x:f>
        <x:v>165</x:v>
      </x:c>
      <x:c r="G595" s="18" t="n">
        <x:f>'Habilidades'!I3168</x:f>
        <x:v>255</x:v>
      </x:c>
    </x:row>
    <x:row r="596" ht="22" customHeight="1">
      <x:c r="A596" s="17" t="n">
        <x:f>IF(B596="","",IF(B596=B595,A595,A595+1))</x:f>
        <x:v>121</x:v>
      </x:c>
      <x:c r="B596" s="1" t="str">
        <x:f>'Ranking'!C125</x:f>
        <x:v>Rampardos</x:v>
      </x:c>
      <x:c r="C596" s="1" t="str">
        <x:f>'Habilidades'!D3169</x:f>
        <x:v>Zen Headbutt</x:v>
      </x:c>
      <x:c r="D596" s="1" t="str">
        <x:f>'Habilidades'!F3169</x:f>
        <x:v>Física</x:v>
      </x:c>
      <x:c r="E596" s="18" t="n">
        <x:f>'Habilidades'!G3169</x:f>
        <x:v>80</x:v>
      </x:c>
      <x:c r="F596" s="18" t="n">
        <x:f>'Habilidades'!H3169</x:f>
        <x:v>165</x:v>
      </x:c>
      <x:c r="G596" s="18" t="n">
        <x:f>'Habilidades'!I3169</x:f>
        <x:v>245</x:v>
      </x:c>
    </x:row>
    <x:row r="597" ht="22" customHeight="1">
      <x:c r="A597" s="17" t="n">
        <x:f>IF(B597="","",IF(B597=B596,A596,A596+1))</x:f>
        <x:v>121</x:v>
      </x:c>
      <x:c r="B597" s="1" t="str">
        <x:f>'Ranking'!C125</x:f>
        <x:v>Rampardos</x:v>
      </x:c>
      <x:c r="C597" s="1" t="str">
        <x:f>'Habilidades'!D3170</x:f>
        <x:v>Headbutt</x:v>
      </x:c>
      <x:c r="D597" s="1" t="str">
        <x:f>'Habilidades'!F3170</x:f>
        <x:v>Física</x:v>
      </x:c>
      <x:c r="E597" s="18" t="n">
        <x:f>'Habilidades'!G3170</x:f>
        <x:v>70</x:v>
      </x:c>
      <x:c r="F597" s="18" t="n">
        <x:f>'Habilidades'!H3170</x:f>
        <x:v>165</x:v>
      </x:c>
      <x:c r="G597" s="18" t="n">
        <x:f>'Habilidades'!I3170</x:f>
        <x:v>235</x:v>
      </x:c>
    </x:row>
    <x:row r="598" ht="22" customHeight="1">
      <x:c r="A598" s="19" t="n">
        <x:f>IF(B598="","",IF(B598=B597,A597,A597+1))</x:f>
        <x:v>121</x:v>
      </x:c>
      <x:c r="B598" s="20" t="str">
        <x:f>'Ranking'!C125</x:f>
        <x:v>Rampardos</x:v>
      </x:c>
      <x:c r="C598" s="20" t="str">
        <x:f>'Habilidades'!D3171</x:f>
        <x:v>Chip Away</x:v>
      </x:c>
      <x:c r="D598" s="20" t="str">
        <x:f>'Habilidades'!F3171</x:f>
        <x:v>Física</x:v>
      </x:c>
      <x:c r="E598" s="21" t="n">
        <x:f>'Habilidades'!G3171</x:f>
        <x:v>70</x:v>
      </x:c>
      <x:c r="F598" s="21" t="n">
        <x:f>'Habilidades'!H3171</x:f>
        <x:v>165</x:v>
      </x:c>
      <x:c r="G598" s="21" t="n">
        <x:f>'Habilidades'!I3171</x:f>
        <x:v>235</x:v>
      </x:c>
    </x:row>
    <x:row r="599" ht="22" customHeight="1">
      <x:c r="A599" s="17" t="n">
        <x:f>IF(B599="","",IF(B599=B598,A598,A598+1))</x:f>
        <x:v>122</x:v>
      </x:c>
      <x:c r="B599" s="1" t="str">
        <x:f>'Ranking'!C126</x:f>
        <x:v>Shuckle</x:v>
      </x:c>
      <x:c r="C599" s="1" t="str">
        <x:f>'Habilidades'!D1990</x:f>
        <x:v>Hive Crush</x:v>
      </x:c>
      <x:c r="D599" s="1" t="str">
        <x:f>'Habilidades'!F1990</x:f>
        <x:v>Física</x:v>
      </x:c>
      <x:c r="E599" s="18" t="n">
        <x:f>'Habilidades'!G1990</x:f>
        <x:v>300</x:v>
      </x:c>
      <x:c r="F599" s="18" t="n">
        <x:f>'Habilidades'!H1990</x:f>
        <x:v>10</x:v>
      </x:c>
      <x:c r="G599" s="18" t="n">
        <x:f>'Habilidades'!I1990</x:f>
        <x:v>310</x:v>
      </x:c>
    </x:row>
    <x:row r="600" ht="22" customHeight="1">
      <x:c r="A600" s="17" t="n">
        <x:f>IF(B600="","",IF(B600=B599,A599,A599+1))</x:f>
        <x:v>122</x:v>
      </x:c>
      <x:c r="B600" s="1" t="str">
        <x:f>'Ranking'!C126</x:f>
        <x:v>Shuckle</x:v>
      </x:c>
      <x:c r="C600" s="1" t="str">
        <x:f>'Habilidades'!D1991</x:f>
        <x:v>Stone Edge</x:v>
      </x:c>
      <x:c r="D600" s="1" t="str">
        <x:f>'Habilidades'!F1991</x:f>
        <x:v>Física</x:v>
      </x:c>
      <x:c r="E600" s="18" t="n">
        <x:f>'Habilidades'!G1991</x:f>
        <x:v>100</x:v>
      </x:c>
      <x:c r="F600" s="18" t="n">
        <x:f>'Habilidades'!H1991</x:f>
        <x:v>10</x:v>
      </x:c>
      <x:c r="G600" s="18" t="n">
        <x:f>'Habilidades'!I1991</x:f>
        <x:v>110</x:v>
      </x:c>
    </x:row>
    <x:row r="601" ht="22" customHeight="1">
      <x:c r="A601" s="17" t="n">
        <x:f>IF(B601="","",IF(B601=B600,A600,A600+1))</x:f>
        <x:v>122</x:v>
      </x:c>
      <x:c r="B601" s="1" t="str">
        <x:f>'Ranking'!C126</x:f>
        <x:v>Shuckle</x:v>
      </x:c>
      <x:c r="C601" s="1" t="str">
        <x:f>'Habilidades'!D1992</x:f>
        <x:v>Rock Slide</x:v>
      </x:c>
      <x:c r="D601" s="1" t="str">
        <x:f>'Habilidades'!F1992</x:f>
        <x:v>Física</x:v>
      </x:c>
      <x:c r="E601" s="18" t="n">
        <x:f>'Habilidades'!G1992</x:f>
        <x:v>75</x:v>
      </x:c>
      <x:c r="F601" s="18" t="n">
        <x:f>'Habilidades'!H1992</x:f>
        <x:v>10</x:v>
      </x:c>
      <x:c r="G601" s="18" t="n">
        <x:f>'Habilidades'!I1992</x:f>
        <x:v>85</x:v>
      </x:c>
    </x:row>
    <x:row r="602" ht="22" customHeight="1">
      <x:c r="A602" s="17" t="n">
        <x:f>IF(B602="","",IF(B602=B601,A601,A601+1))</x:f>
        <x:v>122</x:v>
      </x:c>
      <x:c r="B602" s="1" t="str">
        <x:f>'Ranking'!C126</x:f>
        <x:v>Shuckle</x:v>
      </x:c>
      <x:c r="C602" s="1" t="str">
        <x:f>'Habilidades'!D1993</x:f>
        <x:v>Bug Bite</x:v>
      </x:c>
      <x:c r="D602" s="1" t="str">
        <x:f>'Habilidades'!F1993</x:f>
        <x:v>Física</x:v>
      </x:c>
      <x:c r="E602" s="18" t="n">
        <x:f>'Habilidades'!G1993</x:f>
        <x:v>60</x:v>
      </x:c>
      <x:c r="F602" s="18" t="n">
        <x:f>'Habilidades'!H1993</x:f>
        <x:v>10</x:v>
      </x:c>
      <x:c r="G602" s="18" t="n">
        <x:f>'Habilidades'!I1993</x:f>
        <x:v>70</x:v>
      </x:c>
    </x:row>
    <x:row r="603" ht="22" customHeight="1">
      <x:c r="A603" s="19" t="n">
        <x:f>IF(B603="","",IF(B603=B602,A602,A602+1))</x:f>
        <x:v>122</x:v>
      </x:c>
      <x:c r="B603" s="20" t="str">
        <x:f>'Ranking'!C126</x:f>
        <x:v>Shuckle</x:v>
      </x:c>
      <x:c r="C603" s="20" t="str">
        <x:f>'Habilidades'!D1994</x:f>
        <x:v>Struggle Bug</x:v>
      </x:c>
      <x:c r="D603" s="20" t="str">
        <x:f>'Habilidades'!F1994</x:f>
        <x:v>Especial</x:v>
      </x:c>
      <x:c r="E603" s="21" t="n">
        <x:f>'Habilidades'!G1994</x:f>
        <x:v>50</x:v>
      </x:c>
      <x:c r="F603" s="21" t="n">
        <x:f>'Habilidades'!H1994</x:f>
        <x:v>10</x:v>
      </x:c>
      <x:c r="G603" s="21" t="n">
        <x:f>'Habilidades'!I1994</x:f>
        <x:v>60</x:v>
      </x:c>
    </x:row>
    <x:row r="604" ht="22" customHeight="1">
      <x:c r="A604" s="17" t="n">
        <x:f>IF(B604="","",IF(B604=B603,A603,A603+1))</x:f>
        <x:v>123</x:v>
      </x:c>
      <x:c r="B604" s="1" t="str">
        <x:f>'Ranking'!C127</x:f>
        <x:v>Rhyperior</x:v>
      </x:c>
      <x:c r="C604" s="1" t="str">
        <x:f>'Habilidades'!D3291</x:f>
        <x:v>Rock Wrecker</x:v>
      </x:c>
      <x:c r="D604" s="1" t="str">
        <x:f>'Habilidades'!F3291</x:f>
        <x:v>Física</x:v>
      </x:c>
      <x:c r="E604" s="18" t="n">
        <x:f>'Habilidades'!G3291</x:f>
        <x:v>150</x:v>
      </x:c>
      <x:c r="F604" s="18" t="n">
        <x:f>'Habilidades'!H3291</x:f>
        <x:v>140</x:v>
      </x:c>
      <x:c r="G604" s="18" t="n">
        <x:f>'Habilidades'!I3291</x:f>
        <x:v>290</x:v>
      </x:c>
    </x:row>
    <x:row r="605" ht="22" customHeight="1">
      <x:c r="A605" s="17" t="n">
        <x:f>IF(B605="","",IF(B605=B604,A604,A604+1))</x:f>
        <x:v>123</x:v>
      </x:c>
      <x:c r="B605" s="1" t="str">
        <x:f>'Ranking'!C127</x:f>
        <x:v>Rhyperior</x:v>
      </x:c>
      <x:c r="C605" s="1" t="str">
        <x:f>'Habilidades'!D3292</x:f>
        <x:v>Megahorn</x:v>
      </x:c>
      <x:c r="D605" s="1" t="str">
        <x:f>'Habilidades'!F3292</x:f>
        <x:v>Física</x:v>
      </x:c>
      <x:c r="E605" s="18" t="n">
        <x:f>'Habilidades'!G3292</x:f>
        <x:v>120</x:v>
      </x:c>
      <x:c r="F605" s="18" t="n">
        <x:f>'Habilidades'!H3292</x:f>
        <x:v>140</x:v>
      </x:c>
      <x:c r="G605" s="18" t="n">
        <x:f>'Habilidades'!I3292</x:f>
        <x:v>260</x:v>
      </x:c>
    </x:row>
    <x:row r="606" ht="22" customHeight="1">
      <x:c r="A606" s="17" t="n">
        <x:f>IF(B606="","",IF(B606=B605,A605,A605+1))</x:f>
        <x:v>123</x:v>
      </x:c>
      <x:c r="B606" s="1" t="str">
        <x:f>'Ranking'!C127</x:f>
        <x:v>Rhyperior</x:v>
      </x:c>
      <x:c r="C606" s="1" t="str">
        <x:f>'Habilidades'!D3293</x:f>
        <x:v>Stone Edge</x:v>
      </x:c>
      <x:c r="D606" s="1" t="str">
        <x:f>'Habilidades'!F3293</x:f>
        <x:v>Física</x:v>
      </x:c>
      <x:c r="E606" s="18" t="n">
        <x:f>'Habilidades'!G3293</x:f>
        <x:v>100</x:v>
      </x:c>
      <x:c r="F606" s="18" t="n">
        <x:f>'Habilidades'!H3293</x:f>
        <x:v>140</x:v>
      </x:c>
      <x:c r="G606" s="18" t="n">
        <x:f>'Habilidades'!I3293</x:f>
        <x:v>240</x:v>
      </x:c>
    </x:row>
    <x:row r="607" ht="22" customHeight="1">
      <x:c r="A607" s="17" t="n">
        <x:f>IF(B607="","",IF(B607=B606,A606,A606+1))</x:f>
        <x:v>123</x:v>
      </x:c>
      <x:c r="B607" s="1" t="str">
        <x:f>'Ranking'!C127</x:f>
        <x:v>Rhyperior</x:v>
      </x:c>
      <x:c r="C607" s="1" t="str">
        <x:f>'Habilidades'!D3294</x:f>
        <x:v>Hammer Arm</x:v>
      </x:c>
      <x:c r="D607" s="1" t="str">
        <x:f>'Habilidades'!F3294</x:f>
        <x:v>Física</x:v>
      </x:c>
      <x:c r="E607" s="18" t="n">
        <x:f>'Habilidades'!G3294</x:f>
        <x:v>100</x:v>
      </x:c>
      <x:c r="F607" s="18" t="n">
        <x:f>'Habilidades'!H3294</x:f>
        <x:v>140</x:v>
      </x:c>
      <x:c r="G607" s="18" t="n">
        <x:f>'Habilidades'!I3294</x:f>
        <x:v>240</x:v>
      </x:c>
    </x:row>
    <x:row r="608" ht="22" customHeight="1">
      <x:c r="A608" s="19" t="n">
        <x:f>IF(B608="","",IF(B608=B607,A607,A607+1))</x:f>
        <x:v>123</x:v>
      </x:c>
      <x:c r="B608" s="20" t="str">
        <x:f>'Ranking'!C127</x:f>
        <x:v>Rhyperior</x:v>
      </x:c>
      <x:c r="C608" s="20" t="str">
        <x:f>'Habilidades'!D3295</x:f>
        <x:v>Earthquake</x:v>
      </x:c>
      <x:c r="D608" s="20" t="str">
        <x:f>'Habilidades'!F3295</x:f>
        <x:v>Física</x:v>
      </x:c>
      <x:c r="E608" s="21" t="n">
        <x:f>'Habilidades'!G3295</x:f>
        <x:v>100</x:v>
      </x:c>
      <x:c r="F608" s="21" t="n">
        <x:f>'Habilidades'!H3295</x:f>
        <x:v>140</x:v>
      </x:c>
      <x:c r="G608" s="21" t="n">
        <x:f>'Habilidades'!I3295</x:f>
        <x:v>240</x:v>
      </x:c>
    </x:row>
    <x:row r="609" ht="22" customHeight="1">
      <x:c r="A609" s="17" t="n">
        <x:f>IF(B609="","",IF(B609=B608,A608,A608+1))</x:f>
        <x:v>124</x:v>
      </x:c>
      <x:c r="B609" s="1" t="str">
        <x:f>'Ranking'!C128</x:f>
        <x:v>Cranidos</x:v>
      </x:c>
      <x:c r="C609" s="1" t="str">
        <x:f>'Habilidades'!D3159</x:f>
        <x:v>Head Smash</x:v>
      </x:c>
      <x:c r="D609" s="1" t="str">
        <x:f>'Habilidades'!F3159</x:f>
        <x:v>Física</x:v>
      </x:c>
      <x:c r="E609" s="18" t="n">
        <x:f>'Habilidades'!G3159</x:f>
        <x:v>150</x:v>
      </x:c>
      <x:c r="F609" s="18" t="n">
        <x:f>'Habilidades'!H3159</x:f>
        <x:v>125</x:v>
      </x:c>
      <x:c r="G609" s="18" t="n">
        <x:f>'Habilidades'!I3159</x:f>
        <x:v>275</x:v>
      </x:c>
    </x:row>
    <x:row r="610" ht="22" customHeight="1">
      <x:c r="A610" s="17" t="n">
        <x:f>IF(B610="","",IF(B610=B609,A609,A609+1))</x:f>
        <x:v>124</x:v>
      </x:c>
      <x:c r="B610" s="1" t="str">
        <x:f>'Ranking'!C128</x:f>
        <x:v>Cranidos</x:v>
      </x:c>
      <x:c r="C610" s="1" t="str">
        <x:f>'Habilidades'!D3160</x:f>
        <x:v>Take Down</x:v>
      </x:c>
      <x:c r="D610" s="1" t="str">
        <x:f>'Habilidades'!F3160</x:f>
        <x:v>Física</x:v>
      </x:c>
      <x:c r="E610" s="18" t="n">
        <x:f>'Habilidades'!G3160</x:f>
        <x:v>90</x:v>
      </x:c>
      <x:c r="F610" s="18" t="n">
        <x:f>'Habilidades'!H3160</x:f>
        <x:v>125</x:v>
      </x:c>
      <x:c r="G610" s="18" t="n">
        <x:f>'Habilidades'!I3160</x:f>
        <x:v>215</x:v>
      </x:c>
    </x:row>
    <x:row r="611" ht="22" customHeight="1">
      <x:c r="A611" s="17" t="n">
        <x:f>IF(B611="","",IF(B611=B610,A610,A610+1))</x:f>
        <x:v>124</x:v>
      </x:c>
      <x:c r="B611" s="1" t="str">
        <x:f>'Ranking'!C128</x:f>
        <x:v>Cranidos</x:v>
      </x:c>
      <x:c r="C611" s="1" t="str">
        <x:f>'Habilidades'!D3161</x:f>
        <x:v>Zen Headbutt</x:v>
      </x:c>
      <x:c r="D611" s="1" t="str">
        <x:f>'Habilidades'!F3161</x:f>
        <x:v>Física</x:v>
      </x:c>
      <x:c r="E611" s="18" t="n">
        <x:f>'Habilidades'!G3161</x:f>
        <x:v>80</x:v>
      </x:c>
      <x:c r="F611" s="18" t="n">
        <x:f>'Habilidades'!H3161</x:f>
        <x:v>125</x:v>
      </x:c>
      <x:c r="G611" s="18" t="n">
        <x:f>'Habilidades'!I3161</x:f>
        <x:v>205</x:v>
      </x:c>
    </x:row>
    <x:row r="612" ht="22" customHeight="1">
      <x:c r="A612" s="17" t="n">
        <x:f>IF(B612="","",IF(B612=B611,A611,A611+1))</x:f>
        <x:v>124</x:v>
      </x:c>
      <x:c r="B612" s="1" t="str">
        <x:f>'Ranking'!C128</x:f>
        <x:v>Cranidos</x:v>
      </x:c>
      <x:c r="C612" s="1" t="str">
        <x:f>'Habilidades'!D3162</x:f>
        <x:v>Headbutt</x:v>
      </x:c>
      <x:c r="D612" s="1" t="str">
        <x:f>'Habilidades'!F3162</x:f>
        <x:v>Física</x:v>
      </x:c>
      <x:c r="E612" s="18" t="n">
        <x:f>'Habilidades'!G3162</x:f>
        <x:v>70</x:v>
      </x:c>
      <x:c r="F612" s="18" t="n">
        <x:f>'Habilidades'!H3162</x:f>
        <x:v>125</x:v>
      </x:c>
      <x:c r="G612" s="18" t="n">
        <x:f>'Habilidades'!I3162</x:f>
        <x:v>195</x:v>
      </x:c>
    </x:row>
    <x:row r="613" ht="22" customHeight="1">
      <x:c r="A613" s="19" t="n">
        <x:f>IF(B613="","",IF(B613=B612,A612,A612+1))</x:f>
        <x:v>124</x:v>
      </x:c>
      <x:c r="B613" s="20" t="str">
        <x:f>'Ranking'!C128</x:f>
        <x:v>Cranidos</x:v>
      </x:c>
      <x:c r="C613" s="20" t="str">
        <x:f>'Habilidades'!D3163</x:f>
        <x:v>Chip Away</x:v>
      </x:c>
      <x:c r="D613" s="20" t="str">
        <x:f>'Habilidades'!F3163</x:f>
        <x:v>Física</x:v>
      </x:c>
      <x:c r="E613" s="21" t="n">
        <x:f>'Habilidades'!G3163</x:f>
        <x:v>70</x:v>
      </x:c>
      <x:c r="F613" s="21" t="n">
        <x:f>'Habilidades'!H3163</x:f>
        <x:v>125</x:v>
      </x:c>
      <x:c r="G613" s="21" t="n">
        <x:f>'Habilidades'!I3163</x:f>
        <x:v>195</x:v>
      </x:c>
    </x:row>
    <x:row r="614" ht="22" customHeight="1">
      <x:c r="A614" s="17" t="n">
        <x:f>IF(B614="","",IF(B614=B613,A613,A613+1))</x:f>
        <x:v>125</x:v>
      </x:c>
      <x:c r="B614" s="1" t="str">
        <x:f>'Ranking'!C129</x:f>
        <x:v>Magmortar</x:v>
      </x:c>
      <x:c r="C614" s="1" t="str">
        <x:f>'Habilidades'!D3327</x:f>
        <x:v>Hyper Beam</x:v>
      </x:c>
      <x:c r="D614" s="1" t="str">
        <x:f>'Habilidades'!F3327</x:f>
        <x:v>Especial</x:v>
      </x:c>
      <x:c r="E614" s="18" t="n">
        <x:f>'Habilidades'!G3327</x:f>
        <x:v>150</x:v>
      </x:c>
      <x:c r="F614" s="18" t="n">
        <x:f>'Habilidades'!H3327</x:f>
        <x:v>125</x:v>
      </x:c>
      <x:c r="G614" s="18" t="n">
        <x:f>'Habilidades'!I3327</x:f>
        <x:v>275</x:v>
      </x:c>
    </x:row>
    <x:row r="615" ht="22" customHeight="1">
      <x:c r="A615" s="17" t="n">
        <x:f>IF(B615="","",IF(B615=B614,A614,A614+1))</x:f>
        <x:v>125</x:v>
      </x:c>
      <x:c r="B615" s="1" t="str">
        <x:f>'Ranking'!C129</x:f>
        <x:v>Magmortar</x:v>
      </x:c>
      <x:c r="C615" s="1" t="str">
        <x:f>'Habilidades'!D3328</x:f>
        <x:v>Fire Blast</x:v>
      </x:c>
      <x:c r="D615" s="1" t="str">
        <x:f>'Habilidades'!F3328</x:f>
        <x:v>Especial</x:v>
      </x:c>
      <x:c r="E615" s="18" t="n">
        <x:f>'Habilidades'!G3328</x:f>
        <x:v>110</x:v>
      </x:c>
      <x:c r="F615" s="18" t="n">
        <x:f>'Habilidades'!H3328</x:f>
        <x:v>125</x:v>
      </x:c>
      <x:c r="G615" s="18" t="n">
        <x:f>'Habilidades'!I3328</x:f>
        <x:v>235</x:v>
      </x:c>
    </x:row>
    <x:row r="616" ht="22" customHeight="1">
      <x:c r="A616" s="17" t="n">
        <x:f>IF(B616="","",IF(B616=B615,A615,A615+1))</x:f>
        <x:v>125</x:v>
      </x:c>
      <x:c r="B616" s="1" t="str">
        <x:f>'Ranking'!C129</x:f>
        <x:v>Magmortar</x:v>
      </x:c>
      <x:c r="C616" s="1" t="str">
        <x:f>'Habilidades'!D3329</x:f>
        <x:v>Flamethrower</x:v>
      </x:c>
      <x:c r="D616" s="1" t="str">
        <x:f>'Habilidades'!F3329</x:f>
        <x:v>Especial</x:v>
      </x:c>
      <x:c r="E616" s="18" t="n">
        <x:f>'Habilidades'!G3329</x:f>
        <x:v>90</x:v>
      </x:c>
      <x:c r="F616" s="18" t="n">
        <x:f>'Habilidades'!H3329</x:f>
        <x:v>125</x:v>
      </x:c>
      <x:c r="G616" s="18" t="n">
        <x:f>'Habilidades'!I3329</x:f>
        <x:v>215</x:v>
      </x:c>
    </x:row>
    <x:row r="617" ht="22" customHeight="1">
      <x:c r="A617" s="17" t="n">
        <x:f>IF(B617="","",IF(B617=B616,A616,A616+1))</x:f>
        <x:v>125</x:v>
      </x:c>
      <x:c r="B617" s="1" t="str">
        <x:f>'Ranking'!C129</x:f>
        <x:v>Magmortar</x:v>
      </x:c>
      <x:c r="C617" s="1" t="str">
        <x:f>'Habilidades'!D3330</x:f>
        <x:v>Lava Plume</x:v>
      </x:c>
      <x:c r="D617" s="1" t="str">
        <x:f>'Habilidades'!F3330</x:f>
        <x:v>Especial</x:v>
      </x:c>
      <x:c r="E617" s="18" t="n">
        <x:f>'Habilidades'!G3330</x:f>
        <x:v>80</x:v>
      </x:c>
      <x:c r="F617" s="18" t="n">
        <x:f>'Habilidades'!H3330</x:f>
        <x:v>125</x:v>
      </x:c>
      <x:c r="G617" s="18" t="n">
        <x:f>'Habilidades'!I3330</x:f>
        <x:v>205</x:v>
      </x:c>
    </x:row>
    <x:row r="618" ht="22" customHeight="1">
      <x:c r="A618" s="19" t="n">
        <x:f>IF(B618="","",IF(B618=B617,A617,A617+1))</x:f>
        <x:v>125</x:v>
      </x:c>
      <x:c r="B618" s="20" t="str">
        <x:f>'Ranking'!C129</x:f>
        <x:v>Magmortar</x:v>
      </x:c>
      <x:c r="C618" s="20" t="str">
        <x:f>'Habilidades'!D3333</x:f>
        <x:v>Thunder Punch</x:v>
      </x:c>
      <x:c r="D618" s="20" t="str">
        <x:f>'Habilidades'!F3333</x:f>
        <x:v>Física</x:v>
      </x:c>
      <x:c r="E618" s="21" t="n">
        <x:f>'Habilidades'!G3333</x:f>
        <x:v>75</x:v>
      </x:c>
      <x:c r="F618" s="21" t="n">
        <x:f>'Habilidades'!H3333</x:f>
        <x:v>95</x:v>
      </x:c>
      <x:c r="G618" s="21" t="n">
        <x:f>'Habilidades'!I3333</x:f>
        <x:v>170</x:v>
      </x:c>
    </x:row>
    <x:row r="619" ht="22" customHeight="1">
      <x:c r="A619" s="17" t="n">
        <x:f>IF(B619="","",IF(B619=B618,A618,A618+1))</x:f>
        <x:v>126</x:v>
      </x:c>
      <x:c r="B619" s="1" t="str">
        <x:f>'Ranking'!C130</x:f>
        <x:v>Electivire</x:v>
      </x:c>
      <x:c r="C619" s="1" t="str">
        <x:f>'Habilidades'!D3316</x:f>
        <x:v>Giga Impact</x:v>
      </x:c>
      <x:c r="D619" s="1" t="str">
        <x:f>'Habilidades'!F3316</x:f>
        <x:v>Física</x:v>
      </x:c>
      <x:c r="E619" s="18" t="n">
        <x:f>'Habilidades'!G3316</x:f>
        <x:v>150</x:v>
      </x:c>
      <x:c r="F619" s="18" t="n">
        <x:f>'Habilidades'!H3316</x:f>
        <x:v>123</x:v>
      </x:c>
      <x:c r="G619" s="18" t="n">
        <x:f>'Habilidades'!I3316</x:f>
        <x:v>273</x:v>
      </x:c>
    </x:row>
    <x:row r="620" ht="22" customHeight="1">
      <x:c r="A620" s="17" t="n">
        <x:f>IF(B620="","",IF(B620=B619,A619,A619+1))</x:f>
        <x:v>126</x:v>
      </x:c>
      <x:c r="B620" s="1" t="str">
        <x:f>'Ranking'!C130</x:f>
        <x:v>Electivire</x:v>
      </x:c>
      <x:c r="C620" s="1" t="str">
        <x:f>'Habilidades'!D3317</x:f>
        <x:v>Thunder</x:v>
      </x:c>
      <x:c r="D620" s="1" t="str">
        <x:f>'Habilidades'!F3317</x:f>
        <x:v>Especial</x:v>
      </x:c>
      <x:c r="E620" s="18" t="n">
        <x:f>'Habilidades'!G3317</x:f>
        <x:v>110</x:v>
      </x:c>
      <x:c r="F620" s="18" t="n">
        <x:f>'Habilidades'!H3317</x:f>
        <x:v>95</x:v>
      </x:c>
      <x:c r="G620" s="18" t="n">
        <x:f>'Habilidades'!I3317</x:f>
        <x:v>205</x:v>
      </x:c>
    </x:row>
    <x:row r="621" ht="22" customHeight="1">
      <x:c r="A621" s="17" t="n">
        <x:f>IF(B621="","",IF(B621=B620,A620,A620+1))</x:f>
        <x:v>126</x:v>
      </x:c>
      <x:c r="B621" s="1" t="str">
        <x:f>'Ranking'!C130</x:f>
        <x:v>Electivire</x:v>
      </x:c>
      <x:c r="C621" s="1" t="str">
        <x:f>'Habilidades'!D3318</x:f>
        <x:v>Fire Punch</x:v>
      </x:c>
      <x:c r="D621" s="1" t="str">
        <x:f>'Habilidades'!F3318</x:f>
        <x:v>Física</x:v>
      </x:c>
      <x:c r="E621" s="18" t="n">
        <x:f>'Habilidades'!G3318</x:f>
        <x:v>75</x:v>
      </x:c>
      <x:c r="F621" s="18" t="n">
        <x:f>'Habilidades'!H3318</x:f>
        <x:v>123</x:v>
      </x:c>
      <x:c r="G621" s="18" t="n">
        <x:f>'Habilidades'!I3318</x:f>
        <x:v>198</x:v>
      </x:c>
    </x:row>
    <x:row r="622" ht="22" customHeight="1">
      <x:c r="A622" s="17" t="n">
        <x:f>IF(B622="","",IF(B622=B621,A621,A621+1))</x:f>
        <x:v>126</x:v>
      </x:c>
      <x:c r="B622" s="1" t="str">
        <x:f>'Ranking'!C130</x:f>
        <x:v>Electivire</x:v>
      </x:c>
      <x:c r="C622" s="1" t="str">
        <x:f>'Habilidades'!D3321</x:f>
        <x:v>Thunderbolt</x:v>
      </x:c>
      <x:c r="D622" s="1" t="str">
        <x:f>'Habilidades'!F3321</x:f>
        <x:v>Especial</x:v>
      </x:c>
      <x:c r="E622" s="18" t="n">
        <x:f>'Habilidades'!G3321</x:f>
        <x:v>90</x:v>
      </x:c>
      <x:c r="F622" s="18" t="n">
        <x:f>'Habilidades'!H3321</x:f>
        <x:v>95</x:v>
      </x:c>
      <x:c r="G622" s="18" t="n">
        <x:f>'Habilidades'!I3321</x:f>
        <x:v>185</x:v>
      </x:c>
    </x:row>
    <x:row r="623" ht="22" customHeight="1">
      <x:c r="A623" s="19" t="n">
        <x:f>IF(B623="","",IF(B623=B622,A622,A622+1))</x:f>
        <x:v>126</x:v>
      </x:c>
      <x:c r="B623" s="20" t="str">
        <x:f>'Ranking'!C130</x:f>
        <x:v>Electivire</x:v>
      </x:c>
      <x:c r="C623" s="20" t="str">
        <x:f>'Habilidades'!D3322</x:f>
        <x:v>Discharge</x:v>
      </x:c>
      <x:c r="D623" s="20" t="str">
        <x:f>'Habilidades'!F3322</x:f>
        <x:v>Especial</x:v>
      </x:c>
      <x:c r="E623" s="21" t="n">
        <x:f>'Habilidades'!G3322</x:f>
        <x:v>80</x:v>
      </x:c>
      <x:c r="F623" s="21" t="n">
        <x:f>'Habilidades'!H3322</x:f>
        <x:v>95</x:v>
      </x:c>
      <x:c r="G623" s="21" t="n">
        <x:f>'Habilidades'!I3322</x:f>
        <x:v>175</x:v>
      </x:c>
    </x:row>
    <x:row r="624" ht="22" customHeight="1">
      <x:c r="A624" s="17" t="n">
        <x:f>IF(B624="","",IF(B624=B623,A623,A623+1))</x:f>
        <x:v>127</x:v>
      </x:c>
      <x:c r="B624" s="1" t="str">
        <x:f>'Ranking'!C132</x:f>
        <x:v>Archeops</x:v>
      </x:c>
      <x:c r="C624" s="1" t="str">
        <x:f>'Habilidades'!D3476</x:f>
        <x:v>Thrash</x:v>
      </x:c>
      <x:c r="D624" s="1" t="str">
        <x:f>'Habilidades'!F3476</x:f>
        <x:v>Física</x:v>
      </x:c>
      <x:c r="E624" s="18" t="n">
        <x:f>'Habilidades'!G3476</x:f>
        <x:v>120</x:v>
      </x:c>
      <x:c r="F624" s="18" t="n">
        <x:f>'Habilidades'!H3476</x:f>
        <x:v>140</x:v>
      </x:c>
      <x:c r="G624" s="18" t="n">
        <x:f>'Habilidades'!I3476</x:f>
        <x:v>260</x:v>
      </x:c>
    </x:row>
    <x:row r="625" ht="22" customHeight="1">
      <x:c r="A625" s="17" t="n">
        <x:f>IF(B625="","",IF(B625=B624,A624,A624+1))</x:f>
        <x:v>127</x:v>
      </x:c>
      <x:c r="B625" s="1" t="str">
        <x:f>'Ranking'!C132</x:f>
        <x:v>Archeops</x:v>
      </x:c>
      <x:c r="C625" s="1" t="str">
        <x:f>'Habilidades'!D3477</x:f>
        <x:v>Crunch</x:v>
      </x:c>
      <x:c r="D625" s="1" t="str">
        <x:f>'Habilidades'!F3477</x:f>
        <x:v>Física</x:v>
      </x:c>
      <x:c r="E625" s="18" t="n">
        <x:f>'Habilidades'!G3477</x:f>
        <x:v>80</x:v>
      </x:c>
      <x:c r="F625" s="18" t="n">
        <x:f>'Habilidades'!H3477</x:f>
        <x:v>140</x:v>
      </x:c>
      <x:c r="G625" s="18" t="n">
        <x:f>'Habilidades'!I3477</x:f>
        <x:v>220</x:v>
      </x:c>
    </x:row>
    <x:row r="626" ht="22" customHeight="1">
      <x:c r="A626" s="17" t="n">
        <x:f>IF(B626="","",IF(B626=B625,A625,A625+1))</x:f>
        <x:v>127</x:v>
      </x:c>
      <x:c r="B626" s="1" t="str">
        <x:f>'Ranking'!C132</x:f>
        <x:v>Archeops</x:v>
      </x:c>
      <x:c r="C626" s="1" t="str">
        <x:f>'Habilidades'!D3478</x:f>
        <x:v>Dragon Claw</x:v>
      </x:c>
      <x:c r="D626" s="1" t="str">
        <x:f>'Habilidades'!F3478</x:f>
        <x:v>Física</x:v>
      </x:c>
      <x:c r="E626" s="18" t="n">
        <x:f>'Habilidades'!G3478</x:f>
        <x:v>80</x:v>
      </x:c>
      <x:c r="F626" s="18" t="n">
        <x:f>'Habilidades'!H3478</x:f>
        <x:v>140</x:v>
      </x:c>
      <x:c r="G626" s="18" t="n">
        <x:f>'Habilidades'!I3478</x:f>
        <x:v>220</x:v>
      </x:c>
    </x:row>
    <x:row r="627" ht="22" customHeight="1">
      <x:c r="A627" s="17" t="n">
        <x:f>IF(B627="","",IF(B627=B626,A626,A626+1))</x:f>
        <x:v>127</x:v>
      </x:c>
      <x:c r="B627" s="1" t="str">
        <x:f>'Ranking'!C132</x:f>
        <x:v>Archeops</x:v>
      </x:c>
      <x:c r="C627" s="1" t="str">
        <x:f>'Habilidades'!D3479</x:f>
        <x:v>Rock Slide</x:v>
      </x:c>
      <x:c r="D627" s="1" t="str">
        <x:f>'Habilidades'!F3479</x:f>
        <x:v>Física</x:v>
      </x:c>
      <x:c r="E627" s="18" t="n">
        <x:f>'Habilidades'!G3479</x:f>
        <x:v>75</x:v>
      </x:c>
      <x:c r="F627" s="18" t="n">
        <x:f>'Habilidades'!H3479</x:f>
        <x:v>140</x:v>
      </x:c>
      <x:c r="G627" s="18" t="n">
        <x:f>'Habilidades'!I3479</x:f>
        <x:v>215</x:v>
      </x:c>
    </x:row>
    <x:row r="628" ht="22" customHeight="1">
      <x:c r="A628" s="19" t="n">
        <x:f>IF(B628="","",IF(B628=B627,A627,A627+1))</x:f>
        <x:v>127</x:v>
      </x:c>
      <x:c r="B628" s="20" t="str">
        <x:f>'Ranking'!C132</x:f>
        <x:v>Archeops</x:v>
      </x:c>
      <x:c r="C628" s="20" t="str">
        <x:f>'Habilidades'!D3480</x:f>
        <x:v>U-turn</x:v>
      </x:c>
      <x:c r="D628" s="20" t="str">
        <x:f>'Habilidades'!F3480</x:f>
        <x:v>Física</x:v>
      </x:c>
      <x:c r="E628" s="21" t="n">
        <x:f>'Habilidades'!G3480</x:f>
        <x:v>70</x:v>
      </x:c>
      <x:c r="F628" s="21" t="n">
        <x:f>'Habilidades'!H3480</x:f>
        <x:v>140</x:v>
      </x:c>
      <x:c r="G628" s="21" t="n">
        <x:f>'Habilidades'!I3480</x:f>
        <x:v>210</x:v>
      </x:c>
    </x:row>
    <x:row r="629" ht="22" customHeight="1">
      <x:c r="A629" s="17" t="n">
        <x:f>IF(B629="","",IF(B629=B628,A628,A628+1))</x:f>
        <x:v>128</x:v>
      </x:c>
      <x:c r="B629" s="1" t="str">
        <x:f>'Ranking'!C131</x:f>
        <x:v>Slaking</x:v>
      </x:c>
      <x:c r="C629" s="1" t="str">
        <x:f>'Habilidades'!D2571</x:f>
        <x:v>Hammer Arm</x:v>
      </x:c>
      <x:c r="D629" s="1" t="str">
        <x:f>'Habilidades'!F2571</x:f>
        <x:v>Física</x:v>
      </x:c>
      <x:c r="E629" s="18" t="n">
        <x:f>'Habilidades'!G2571</x:f>
        <x:v>100</x:v>
      </x:c>
      <x:c r="F629" s="18" t="n">
        <x:f>'Habilidades'!H2571</x:f>
        <x:v>160</x:v>
      </x:c>
      <x:c r="G629" s="18" t="n">
        <x:f>'Habilidades'!I2571</x:f>
        <x:v>260</x:v>
      </x:c>
    </x:row>
    <x:row r="630" ht="22" customHeight="1">
      <x:c r="A630" s="17" t="n">
        <x:f>IF(B630="","",IF(B630=B629,A629,A629+1))</x:f>
        <x:v>128</x:v>
      </x:c>
      <x:c r="B630" s="1" t="str">
        <x:f>'Ranking'!C131</x:f>
        <x:v>Slaking</x:v>
      </x:c>
      <x:c r="C630" s="1" t="str">
        <x:f>'Habilidades'!D2572</x:f>
        <x:v>Chip Away</x:v>
      </x:c>
      <x:c r="D630" s="1" t="str">
        <x:f>'Habilidades'!F2572</x:f>
        <x:v>Física</x:v>
      </x:c>
      <x:c r="E630" s="18" t="n">
        <x:f>'Habilidades'!G2572</x:f>
        <x:v>70</x:v>
      </x:c>
      <x:c r="F630" s="18" t="n">
        <x:f>'Habilidades'!H2572</x:f>
        <x:v>160</x:v>
      </x:c>
      <x:c r="G630" s="18" t="n">
        <x:f>'Habilidades'!I2572</x:f>
        <x:v>230</x:v>
      </x:c>
    </x:row>
    <x:row r="631" ht="22" customHeight="1">
      <x:c r="A631" s="17" t="n">
        <x:f>IF(B631="","",IF(B631=B630,A630,A630+1))</x:f>
        <x:v>128</x:v>
      </x:c>
      <x:c r="B631" s="1" t="str">
        <x:f>'Ranking'!C131</x:f>
        <x:v>Slaking</x:v>
      </x:c>
      <x:c r="C631" s="1" t="str">
        <x:f>'Habilidades'!D2573</x:f>
        <x:v>Feint Attack</x:v>
      </x:c>
      <x:c r="D631" s="1" t="str">
        <x:f>'Habilidades'!F2573</x:f>
        <x:v>Física</x:v>
      </x:c>
      <x:c r="E631" s="18" t="n">
        <x:f>'Habilidades'!G2573</x:f>
        <x:v>60</x:v>
      </x:c>
      <x:c r="F631" s="18" t="n">
        <x:f>'Habilidades'!H2573</x:f>
        <x:v>160</x:v>
      </x:c>
      <x:c r="G631" s="18" t="n">
        <x:f>'Habilidades'!I2573</x:f>
        <x:v>220</x:v>
      </x:c>
    </x:row>
    <x:row r="632" ht="22" customHeight="1">
      <x:c r="A632" s="17" t="n">
        <x:f>IF(B632="","",IF(B632=B631,A631,A631+1))</x:f>
        <x:v>128</x:v>
      </x:c>
      <x:c r="B632" s="1" t="str">
        <x:f>'Ranking'!C131</x:f>
        <x:v>Slaking</x:v>
      </x:c>
      <x:c r="C632" s="1" t="str">
        <x:f>'Habilidades'!D2574</x:f>
        <x:v>Covet</x:v>
      </x:c>
      <x:c r="D632" s="1" t="str">
        <x:f>'Habilidades'!F2574</x:f>
        <x:v>Física</x:v>
      </x:c>
      <x:c r="E632" s="18" t="n">
        <x:f>'Habilidades'!G2574</x:f>
        <x:v>60</x:v>
      </x:c>
      <x:c r="F632" s="18" t="n">
        <x:f>'Habilidades'!H2574</x:f>
        <x:v>160</x:v>
      </x:c>
      <x:c r="G632" s="18" t="n">
        <x:f>'Habilidades'!I2574</x:f>
        <x:v>220</x:v>
      </x:c>
    </x:row>
    <x:row r="633" ht="22" customHeight="1">
      <x:c r="A633" s="19" t="n">
        <x:f>IF(B633="","",IF(B633=B632,A632,A632+1))</x:f>
        <x:v>128</x:v>
      </x:c>
      <x:c r="B633" s="20" t="str">
        <x:f>'Ranking'!C131</x:f>
        <x:v>Slaking</x:v>
      </x:c>
      <x:c r="C633" s="20" t="str">
        <x:f>'Habilidades'!D2575</x:f>
        <x:v>Scratch</x:v>
      </x:c>
      <x:c r="D633" s="20" t="str">
        <x:f>'Habilidades'!F2575</x:f>
        <x:v>Física</x:v>
      </x:c>
      <x:c r="E633" s="21" t="n">
        <x:f>'Habilidades'!G2575</x:f>
        <x:v>40</x:v>
      </x:c>
      <x:c r="F633" s="21" t="n">
        <x:f>'Habilidades'!H2575</x:f>
        <x:v>160</x:v>
      </x:c>
      <x:c r="G633" s="21" t="n">
        <x:f>'Habilidades'!I2575</x:f>
        <x:v>200</x:v>
      </x:c>
    </x:row>
    <x:row r="634" ht="22" customHeight="1">
      <x:c r="A634" s="17" t="n">
        <x:f>IF(B634="","",IF(B634=B633,A633,A633+1))</x:f>
        <x:v>129</x:v>
      </x:c>
      <x:c r="B634" s="1" t="str">
        <x:f>'Ranking'!C133</x:f>
        <x:v>Snorlax</x:v>
      </x:c>
      <x:c r="C634" s="1" t="str">
        <x:f>'Habilidades'!D1369</x:f>
        <x:v>Giga Impact</x:v>
      </x:c>
      <x:c r="D634" s="1" t="str">
        <x:f>'Habilidades'!F1369</x:f>
        <x:v>Física</x:v>
      </x:c>
      <x:c r="E634" s="18" t="n">
        <x:f>'Habilidades'!G1369</x:f>
        <x:v>150</x:v>
      </x:c>
      <x:c r="F634" s="18" t="n">
        <x:f>'Habilidades'!H1369</x:f>
        <x:v>110</x:v>
      </x:c>
      <x:c r="G634" s="18" t="n">
        <x:f>'Habilidades'!I1369</x:f>
        <x:v>260</x:v>
      </x:c>
    </x:row>
    <x:row r="635" ht="22" customHeight="1">
      <x:c r="A635" s="17" t="n">
        <x:f>IF(B635="","",IF(B635=B634,A634,A634+1))</x:f>
        <x:v>129</x:v>
      </x:c>
      <x:c r="B635" s="1" t="str">
        <x:f>'Ranking'!C133</x:f>
        <x:v>Snorlax</x:v>
      </x:c>
      <x:c r="C635" s="1" t="str">
        <x:f>'Habilidades'!D1370</x:f>
        <x:v>Body Slam</x:v>
      </x:c>
      <x:c r="D635" s="1" t="str">
        <x:f>'Habilidades'!F1370</x:f>
        <x:v>Física</x:v>
      </x:c>
      <x:c r="E635" s="18" t="n">
        <x:f>'Habilidades'!G1370</x:f>
        <x:v>85</x:v>
      </x:c>
      <x:c r="F635" s="18" t="n">
        <x:f>'Habilidades'!H1370</x:f>
        <x:v>110</x:v>
      </x:c>
      <x:c r="G635" s="18" t="n">
        <x:f>'Habilidades'!I1370</x:f>
        <x:v>195</x:v>
      </x:c>
    </x:row>
    <x:row r="636" ht="22" customHeight="1">
      <x:c r="A636" s="17" t="n">
        <x:f>IF(B636="","",IF(B636=B635,A635,A635+1))</x:f>
        <x:v>129</x:v>
      </x:c>
      <x:c r="B636" s="1" t="str">
        <x:f>'Ranking'!C133</x:f>
        <x:v>Snorlax</x:v>
      </x:c>
      <x:c r="C636" s="1" t="str">
        <x:f>'Habilidades'!D1371</x:f>
        <x:v>Crunch</x:v>
      </x:c>
      <x:c r="D636" s="1" t="str">
        <x:f>'Habilidades'!F1371</x:f>
        <x:v>Física</x:v>
      </x:c>
      <x:c r="E636" s="18" t="n">
        <x:f>'Habilidades'!G1371</x:f>
        <x:v>80</x:v>
      </x:c>
      <x:c r="F636" s="18" t="n">
        <x:f>'Habilidades'!H1371</x:f>
        <x:v>110</x:v>
      </x:c>
      <x:c r="G636" s="18" t="n">
        <x:f>'Habilidades'!I1371</x:f>
        <x:v>190</x:v>
      </x:c>
    </x:row>
    <x:row r="637" ht="22" customHeight="1">
      <x:c r="A637" s="17" t="n">
        <x:f>IF(B637="","",IF(B637=B636,A636,A636+1))</x:f>
        <x:v>129</x:v>
      </x:c>
      <x:c r="B637" s="1" t="str">
        <x:f>'Ranking'!C133</x:f>
        <x:v>Snorlax</x:v>
      </x:c>
      <x:c r="C637" s="1" t="str">
        <x:f>'Habilidades'!D1372</x:f>
        <x:v>Chip Away</x:v>
      </x:c>
      <x:c r="D637" s="1" t="str">
        <x:f>'Habilidades'!F1372</x:f>
        <x:v>Física</x:v>
      </x:c>
      <x:c r="E637" s="18" t="n">
        <x:f>'Habilidades'!G1372</x:f>
        <x:v>70</x:v>
      </x:c>
      <x:c r="F637" s="18" t="n">
        <x:f>'Habilidades'!H1372</x:f>
        <x:v>110</x:v>
      </x:c>
      <x:c r="G637" s="18" t="n">
        <x:f>'Habilidades'!I1372</x:f>
        <x:v>180</x:v>
      </x:c>
    </x:row>
    <x:row r="638" ht="22" customHeight="1">
      <x:c r="A638" s="19" t="n">
        <x:f>IF(B638="","",IF(B638=B637,A637,A637+1))</x:f>
        <x:v>129</x:v>
      </x:c>
      <x:c r="B638" s="20" t="str">
        <x:f>'Ranking'!C133</x:f>
        <x:v>Snorlax</x:v>
      </x:c>
      <x:c r="C638" s="20" t="str">
        <x:f>'Habilidades'!D1373</x:f>
        <x:v>Tackle</x:v>
      </x:c>
      <x:c r="D638" s="20" t="str">
        <x:f>'Habilidades'!F1373</x:f>
        <x:v>Física</x:v>
      </x:c>
      <x:c r="E638" s="21" t="n">
        <x:f>'Habilidades'!G1373</x:f>
        <x:v>50</x:v>
      </x:c>
      <x:c r="F638" s="21" t="n">
        <x:f>'Habilidades'!H1373</x:f>
        <x:v>110</x:v>
      </x:c>
      <x:c r="G638" s="21" t="n">
        <x:f>'Habilidades'!I1373</x:f>
        <x:v>160</x:v>
      </x:c>
    </x:row>
    <x:row r="639" ht="22" customHeight="1">
      <x:c r="A639" s="17" t="n">
        <x:f>IF(B639="","",IF(B639=B638,A638,A638+1))</x:f>
        <x:v>130</x:v>
      </x:c>
      <x:c r="B639" s="1" t="str">
        <x:f>'Ranking'!C137</x:f>
        <x:v>Camerupt</x:v>
      </x:c>
      <x:c r="C639" s="1" t="str">
        <x:f>'Habilidades'!D2738</x:f>
        <x:v>Eruption</x:v>
      </x:c>
      <x:c r="D639" s="1" t="str">
        <x:f>'Habilidades'!F2738</x:f>
        <x:v>Especial</x:v>
      </x:c>
      <x:c r="E639" s="18" t="n">
        <x:f>'Habilidades'!G2738</x:f>
        <x:v>150</x:v>
      </x:c>
      <x:c r="F639" s="18" t="n">
        <x:f>'Habilidades'!H2738</x:f>
        <x:v>105</x:v>
      </x:c>
      <x:c r="G639" s="18" t="n">
        <x:f>'Habilidades'!I2738</x:f>
        <x:v>255</x:v>
      </x:c>
    </x:row>
    <x:row r="640" ht="22" customHeight="1">
      <x:c r="A640" s="17" t="n">
        <x:f>IF(B640="","",IF(B640=B639,A639,A639+1))</x:f>
        <x:v>130</x:v>
      </x:c>
      <x:c r="B640" s="1" t="str">
        <x:f>'Ranking'!C137</x:f>
        <x:v>Camerupt</x:v>
      </x:c>
      <x:c r="C640" s="1" t="str">
        <x:f>'Habilidades'!D2739</x:f>
        <x:v>Earthquake</x:v>
      </x:c>
      <x:c r="D640" s="1" t="str">
        <x:f>'Habilidades'!F2739</x:f>
        <x:v>Física</x:v>
      </x:c>
      <x:c r="E640" s="18" t="n">
        <x:f>'Habilidades'!G2739</x:f>
        <x:v>100</x:v>
      </x:c>
      <x:c r="F640" s="18" t="n">
        <x:f>'Habilidades'!H2739</x:f>
        <x:v>100</x:v>
      </x:c>
      <x:c r="G640" s="18" t="n">
        <x:f>'Habilidades'!I2739</x:f>
        <x:v>200</x:v>
      </x:c>
    </x:row>
    <x:row r="641" ht="22" customHeight="1">
      <x:c r="A641" s="17" t="n">
        <x:f>IF(B641="","",IF(B641=B640,A640,A640+1))</x:f>
        <x:v>130</x:v>
      </x:c>
      <x:c r="B641" s="1" t="str">
        <x:f>'Ranking'!C137</x:f>
        <x:v>Camerupt</x:v>
      </x:c>
      <x:c r="C641" s="1" t="str">
        <x:f>'Habilidades'!D2740</x:f>
        <x:v>Earth Power</x:v>
      </x:c>
      <x:c r="D641" s="1" t="str">
        <x:f>'Habilidades'!F2740</x:f>
        <x:v>Especial</x:v>
      </x:c>
      <x:c r="E641" s="18" t="n">
        <x:f>'Habilidades'!G2740</x:f>
        <x:v>90</x:v>
      </x:c>
      <x:c r="F641" s="18" t="n">
        <x:f>'Habilidades'!H2740</x:f>
        <x:v>105</x:v>
      </x:c>
      <x:c r="G641" s="18" t="n">
        <x:f>'Habilidades'!I2740</x:f>
        <x:v>195</x:v>
      </x:c>
    </x:row>
    <x:row r="642" ht="22" customHeight="1">
      <x:c r="A642" s="17" t="n">
        <x:f>IF(B642="","",IF(B642=B641,A641,A641+1))</x:f>
        <x:v>130</x:v>
      </x:c>
      <x:c r="B642" s="1" t="str">
        <x:f>'Ranking'!C137</x:f>
        <x:v>Camerupt</x:v>
      </x:c>
      <x:c r="C642" s="1" t="str">
        <x:f>'Habilidades'!D2741</x:f>
        <x:v>Take Down</x:v>
      </x:c>
      <x:c r="D642" s="1" t="str">
        <x:f>'Habilidades'!F2741</x:f>
        <x:v>Física</x:v>
      </x:c>
      <x:c r="E642" s="18" t="n">
        <x:f>'Habilidades'!G2741</x:f>
        <x:v>90</x:v>
      </x:c>
      <x:c r="F642" s="18" t="n">
        <x:f>'Habilidades'!H2741</x:f>
        <x:v>100</x:v>
      </x:c>
      <x:c r="G642" s="18" t="n">
        <x:f>'Habilidades'!I2741</x:f>
        <x:v>190</x:v>
      </x:c>
    </x:row>
    <x:row r="643" ht="22" customHeight="1">
      <x:c r="A643" s="19" t="n">
        <x:f>IF(B643="","",IF(B643=B642,A642,A642+1))</x:f>
        <x:v>130</x:v>
      </x:c>
      <x:c r="B643" s="20" t="str">
        <x:f>'Ranking'!C137</x:f>
        <x:v>Camerupt</x:v>
      </x:c>
      <x:c r="C643" s="20" t="str">
        <x:f>'Habilidades'!D2742</x:f>
        <x:v>Lava Plume</x:v>
      </x:c>
      <x:c r="D643" s="20" t="str">
        <x:f>'Habilidades'!F2742</x:f>
        <x:v>Especial</x:v>
      </x:c>
      <x:c r="E643" s="21" t="n">
        <x:f>'Habilidades'!G2742</x:f>
        <x:v>80</x:v>
      </x:c>
      <x:c r="F643" s="21" t="n">
        <x:f>'Habilidades'!H2742</x:f>
        <x:v>105</x:v>
      </x:c>
      <x:c r="G643" s="21" t="n">
        <x:f>'Habilidades'!I2742</x:f>
        <x:v>185</x:v>
      </x:c>
    </x:row>
    <x:row r="644" ht="22" customHeight="1">
      <x:c r="A644" s="17" t="n">
        <x:f>IF(B644="","",IF(B644=B643,A643,A643+1))</x:f>
        <x:v>131</x:v>
      </x:c>
      <x:c r="B644" s="1" t="str">
        <x:f>'Ranking'!C136</x:f>
        <x:v>Porygon2</x:v>
      </x:c>
      <x:c r="C644" s="1" t="str">
        <x:f>'Habilidades'!D2196</x:f>
        <x:v>Hyper Beam</x:v>
      </x:c>
      <x:c r="D644" s="1" t="str">
        <x:f>'Habilidades'!F2196</x:f>
        <x:v>Especial</x:v>
      </x:c>
      <x:c r="E644" s="18" t="n">
        <x:f>'Habilidades'!G2196</x:f>
        <x:v>150</x:v>
      </x:c>
      <x:c r="F644" s="18" t="n">
        <x:f>'Habilidades'!H2196</x:f>
        <x:v>105</x:v>
      </x:c>
      <x:c r="G644" s="18" t="n">
        <x:f>'Habilidades'!I2196</x:f>
        <x:v>255</x:v>
      </x:c>
    </x:row>
    <x:row r="645" ht="22" customHeight="1">
      <x:c r="A645" s="17" t="n">
        <x:f>IF(B645="","",IF(B645=B644,A644,A644+1))</x:f>
        <x:v>131</x:v>
      </x:c>
      <x:c r="B645" s="1" t="str">
        <x:f>'Ranking'!C136</x:f>
        <x:v>Porygon2</x:v>
      </x:c>
      <x:c r="C645" s="1" t="str">
        <x:f>'Habilidades'!D2197</x:f>
        <x:v>Zap Cannon</x:v>
      </x:c>
      <x:c r="D645" s="1" t="str">
        <x:f>'Habilidades'!F2197</x:f>
        <x:v>Especial</x:v>
      </x:c>
      <x:c r="E645" s="18" t="n">
        <x:f>'Habilidades'!G2197</x:f>
        <x:v>120</x:v>
      </x:c>
      <x:c r="F645" s="18" t="n">
        <x:f>'Habilidades'!H2197</x:f>
        <x:v>105</x:v>
      </x:c>
      <x:c r="G645" s="18" t="n">
        <x:f>'Habilidades'!I2197</x:f>
        <x:v>225</x:v>
      </x:c>
    </x:row>
    <x:row r="646" ht="22" customHeight="1">
      <x:c r="A646" s="17" t="n">
        <x:f>IF(B646="","",IF(B646=B645,A645,A645+1))</x:f>
        <x:v>131</x:v>
      </x:c>
      <x:c r="B646" s="1" t="str">
        <x:f>'Ranking'!C136</x:f>
        <x:v>Porygon2</x:v>
      </x:c>
      <x:c r="C646" s="1" t="str">
        <x:f>'Habilidades'!D2198</x:f>
        <x:v>Discharge</x:v>
      </x:c>
      <x:c r="D646" s="1" t="str">
        <x:f>'Habilidades'!F2198</x:f>
        <x:v>Especial</x:v>
      </x:c>
      <x:c r="E646" s="18" t="n">
        <x:f>'Habilidades'!G2198</x:f>
        <x:v>80</x:v>
      </x:c>
      <x:c r="F646" s="18" t="n">
        <x:f>'Habilidades'!H2198</x:f>
        <x:v>105</x:v>
      </x:c>
      <x:c r="G646" s="18" t="n">
        <x:f>'Habilidades'!I2198</x:f>
        <x:v>185</x:v>
      </x:c>
    </x:row>
    <x:row r="647" ht="22" customHeight="1">
      <x:c r="A647" s="17" t="n">
        <x:f>IF(B647="","",IF(B647=B646,A646,A646+1))</x:f>
        <x:v>131</x:v>
      </x:c>
      <x:c r="B647" s="1" t="str">
        <x:f>'Ranking'!C136</x:f>
        <x:v>Porygon2</x:v>
      </x:c>
      <x:c r="C647" s="1" t="str">
        <x:f>'Habilidades'!D2199</x:f>
        <x:v>Tri Attack</x:v>
      </x:c>
      <x:c r="D647" s="1" t="str">
        <x:f>'Habilidades'!F2199</x:f>
        <x:v>Especial</x:v>
      </x:c>
      <x:c r="E647" s="18" t="n">
        <x:f>'Habilidades'!G2199</x:f>
        <x:v>80</x:v>
      </x:c>
      <x:c r="F647" s="18" t="n">
        <x:f>'Habilidades'!H2199</x:f>
        <x:v>105</x:v>
      </x:c>
      <x:c r="G647" s="18" t="n">
        <x:f>'Habilidades'!I2199</x:f>
        <x:v>185</x:v>
      </x:c>
    </x:row>
    <x:row r="648" ht="22" customHeight="1">
      <x:c r="A648" s="19" t="n">
        <x:f>IF(B648="","",IF(B648=B647,A647,A647+1))</x:f>
        <x:v>131</x:v>
      </x:c>
      <x:c r="B648" s="20" t="str">
        <x:f>'Ranking'!C136</x:f>
        <x:v>Porygon2</x:v>
      </x:c>
      <x:c r="C648" s="20" t="str">
        <x:f>'Habilidades'!D2200</x:f>
        <x:v>Signal Beam</x:v>
      </x:c>
      <x:c r="D648" s="20" t="str">
        <x:f>'Habilidades'!F2200</x:f>
        <x:v>Especial</x:v>
      </x:c>
      <x:c r="E648" s="21" t="n">
        <x:f>'Habilidades'!G2200</x:f>
        <x:v>75</x:v>
      </x:c>
      <x:c r="F648" s="21" t="n">
        <x:f>'Habilidades'!H2200</x:f>
        <x:v>105</x:v>
      </x:c>
      <x:c r="G648" s="21" t="n">
        <x:f>'Habilidades'!I2200</x:f>
        <x:v>180</x:v>
      </x:c>
    </x:row>
    <x:row r="649" ht="22" customHeight="1">
      <x:c r="A649" s="17" t="n">
        <x:f>IF(B649="","",IF(B649=B648,A648,A648+1))</x:f>
        <x:v>132</x:v>
      </x:c>
      <x:c r="B649" s="1" t="str">
        <x:f>'Ranking'!C134</x:f>
        <x:v>Salamence</x:v>
      </x:c>
      <x:c r="C649" s="1" t="str">
        <x:f>'Habilidades'!D3108</x:f>
        <x:v>Double-Edge</x:v>
      </x:c>
      <x:c r="D649" s="1" t="str">
        <x:f>'Habilidades'!F3108</x:f>
        <x:v>Física</x:v>
      </x:c>
      <x:c r="E649" s="18" t="n">
        <x:f>'Habilidades'!G3108</x:f>
        <x:v>120</x:v>
      </x:c>
      <x:c r="F649" s="18" t="n">
        <x:f>'Habilidades'!H3108</x:f>
        <x:v>135</x:v>
      </x:c>
      <x:c r="G649" s="18" t="n">
        <x:f>'Habilidades'!I3108</x:f>
        <x:v>255</x:v>
      </x:c>
    </x:row>
    <x:row r="650" ht="22" customHeight="1">
      <x:c r="A650" s="17" t="n">
        <x:f>IF(B650="","",IF(B650=B649,A649,A649+1))</x:f>
        <x:v>132</x:v>
      </x:c>
      <x:c r="B650" s="1" t="str">
        <x:f>'Ranking'!C134</x:f>
        <x:v>Salamence</x:v>
      </x:c>
      <x:c r="C650" s="1" t="str">
        <x:f>'Habilidades'!D3109</x:f>
        <x:v>Fly</x:v>
      </x:c>
      <x:c r="D650" s="1" t="str">
        <x:f>'Habilidades'!F3109</x:f>
        <x:v>Física</x:v>
      </x:c>
      <x:c r="E650" s="18" t="n">
        <x:f>'Habilidades'!G3109</x:f>
        <x:v>90</x:v>
      </x:c>
      <x:c r="F650" s="18" t="n">
        <x:f>'Habilidades'!H3109</x:f>
        <x:v>135</x:v>
      </x:c>
      <x:c r="G650" s="18" t="n">
        <x:f>'Habilidades'!I3109</x:f>
        <x:v>225</x:v>
      </x:c>
    </x:row>
    <x:row r="651" ht="22" customHeight="1">
      <x:c r="A651" s="17" t="n">
        <x:f>IF(B651="","",IF(B651=B650,A650,A650+1))</x:f>
        <x:v>132</x:v>
      </x:c>
      <x:c r="B651" s="1" t="str">
        <x:f>'Ranking'!C134</x:f>
        <x:v>Salamence</x:v>
      </x:c>
      <x:c r="C651" s="1" t="str">
        <x:f>'Habilidades'!D3110</x:f>
        <x:v>Crunch</x:v>
      </x:c>
      <x:c r="D651" s="1" t="str">
        <x:f>'Habilidades'!F3110</x:f>
        <x:v>Física</x:v>
      </x:c>
      <x:c r="E651" s="18" t="n">
        <x:f>'Habilidades'!G3110</x:f>
        <x:v>80</x:v>
      </x:c>
      <x:c r="F651" s="18" t="n">
        <x:f>'Habilidades'!H3110</x:f>
        <x:v>135</x:v>
      </x:c>
      <x:c r="G651" s="18" t="n">
        <x:f>'Habilidades'!I3110</x:f>
        <x:v>215</x:v>
      </x:c>
    </x:row>
    <x:row r="652" ht="22" customHeight="1">
      <x:c r="A652" s="17" t="n">
        <x:f>IF(B652="","",IF(B652=B651,A651,A651+1))</x:f>
        <x:v>132</x:v>
      </x:c>
      <x:c r="B652" s="1" t="str">
        <x:f>'Ranking'!C134</x:f>
        <x:v>Salamence</x:v>
      </x:c>
      <x:c r="C652" s="1" t="str">
        <x:f>'Habilidades'!D3111</x:f>
        <x:v>Dragon Claw</x:v>
      </x:c>
      <x:c r="D652" s="1" t="str">
        <x:f>'Habilidades'!F3111</x:f>
        <x:v>Física</x:v>
      </x:c>
      <x:c r="E652" s="18" t="n">
        <x:f>'Habilidades'!G3111</x:f>
        <x:v>80</x:v>
      </x:c>
      <x:c r="F652" s="18" t="n">
        <x:f>'Habilidades'!H3111</x:f>
        <x:v>135</x:v>
      </x:c>
      <x:c r="G652" s="18" t="n">
        <x:f>'Habilidades'!I3111</x:f>
        <x:v>215</x:v>
      </x:c>
    </x:row>
    <x:row r="653" ht="22" customHeight="1">
      <x:c r="A653" s="19" t="n">
        <x:f>IF(B653="","",IF(B653=B652,A652,A652+1))</x:f>
        <x:v>132</x:v>
      </x:c>
      <x:c r="B653" s="20" t="str">
        <x:f>'Ranking'!C134</x:f>
        <x:v>Salamence</x:v>
      </x:c>
      <x:c r="C653" s="20" t="str">
        <x:f>'Habilidades'!D3114</x:f>
        <x:v>Flamethrower</x:v>
      </x:c>
      <x:c r="D653" s="20" t="str">
        <x:f>'Habilidades'!F3114</x:f>
        <x:v>Especial</x:v>
      </x:c>
      <x:c r="E653" s="21" t="n">
        <x:f>'Habilidades'!G3114</x:f>
        <x:v>90</x:v>
      </x:c>
      <x:c r="F653" s="21" t="n">
        <x:f>'Habilidades'!H3114</x:f>
        <x:v>110</x:v>
      </x:c>
      <x:c r="G653" s="21" t="n">
        <x:f>'Habilidades'!I3114</x:f>
        <x:v>200</x:v>
      </x:c>
    </x:row>
    <x:row r="654" ht="22" customHeight="1">
      <x:c r="A654" s="17" t="n">
        <x:f>IF(B654="","",IF(B654=B653,A653,A653+1))</x:f>
        <x:v>133</x:v>
      </x:c>
      <x:c r="B654" s="1" t="str">
        <x:f>'Ranking'!C135</x:f>
        <x:v>Sirfetch'd</x:v>
      </x:c>
      <x:c r="C654" s="1" t="str">
        <x:f>'Habilidades'!D3793</x:f>
        <x:v>Superpower</x:v>
      </x:c>
      <x:c r="D654" s="1" t="str">
        <x:f>'Habilidades'!F3793</x:f>
        <x:v>Física</x:v>
      </x:c>
      <x:c r="E654" s="18" t="n">
        <x:f>'Habilidades'!G3793</x:f>
        <x:v>120</x:v>
      </x:c>
      <x:c r="F654" s="18" t="n">
        <x:f>'Habilidades'!H3793</x:f>
        <x:v>135</x:v>
      </x:c>
      <x:c r="G654" s="18" t="n">
        <x:f>'Habilidades'!I3793</x:f>
        <x:v>255</x:v>
      </x:c>
    </x:row>
    <x:row r="655" ht="22" customHeight="1">
      <x:c r="A655" s="17" t="n">
        <x:f>IF(B655="","",IF(B655=B654,A654,A654+1))</x:f>
        <x:v>133</x:v>
      </x:c>
      <x:c r="B655" s="1" t="str">
        <x:f>'Ranking'!C135</x:f>
        <x:v>Sirfetch'd</x:v>
      </x:c>
      <x:c r="C655" s="1" t="str">
        <x:f>'Habilidades'!D3794</x:f>
        <x:v>Karate Chop</x:v>
      </x:c>
      <x:c r="D655" s="1" t="str">
        <x:f>'Habilidades'!F3794</x:f>
        <x:v>Física</x:v>
      </x:c>
      <x:c r="E655" s="18" t="n">
        <x:f>'Habilidades'!G3794</x:f>
        <x:v>50</x:v>
      </x:c>
      <x:c r="F655" s="18" t="n">
        <x:f>'Habilidades'!H3794</x:f>
        <x:v>135</x:v>
      </x:c>
      <x:c r="G655" s="18" t="n">
        <x:f>'Habilidades'!I3794</x:f>
        <x:v>185</x:v>
      </x:c>
    </x:row>
    <x:row r="656" ht="22" customHeight="1">
      <x:c r="A656" s="19" t="n">
        <x:f>IF(B656="","",IF(B656=B655,A655,A655+1))</x:f>
        <x:v>133</x:v>
      </x:c>
      <x:c r="B656" s="20" t="str">
        <x:f>'Ranking'!C135</x:f>
        <x:v>Sirfetch'd</x:v>
      </x:c>
      <x:c r="C656" s="20" t="str">
        <x:f>'Habilidades'!D3795</x:f>
        <x:v>Peck</x:v>
      </x:c>
      <x:c r="D656" s="20" t="str">
        <x:f>'Habilidades'!F3795</x:f>
        <x:v>Física</x:v>
      </x:c>
      <x:c r="E656" s="21" t="n">
        <x:f>'Habilidades'!G3795</x:f>
        <x:v>35</x:v>
      </x:c>
      <x:c r="F656" s="21" t="n">
        <x:f>'Habilidades'!H3795</x:f>
        <x:v>135</x:v>
      </x:c>
      <x:c r="G656" s="21" t="n">
        <x:f>'Habilidades'!I3795</x:f>
        <x:v>170</x:v>
      </x:c>
    </x:row>
    <x:row r="657" ht="22" customHeight="1">
      <x:c r="A657" s="17" t="n">
        <x:f>IF(B657="","",IF(B657=B656,A656,A656+1))</x:f>
        <x:v>134</x:v>
      </x:c>
      <x:c r="B657" s="1" t="str">
        <x:f>'Ranking'!C140</x:f>
        <x:v>Blaziken</x:v>
      </x:c>
      <x:c r="C657" s="1" t="str">
        <x:f>'Habilidades'!D2403</x:f>
        <x:v>High Jump Kick</x:v>
      </x:c>
      <x:c r="D657" s="1" t="str">
        <x:f>'Habilidades'!F2403</x:f>
        <x:v>Física</x:v>
      </x:c>
      <x:c r="E657" s="18" t="n">
        <x:f>'Habilidades'!G2403</x:f>
        <x:v>130</x:v>
      </x:c>
      <x:c r="F657" s="18" t="n">
        <x:f>'Habilidades'!H2403</x:f>
        <x:v>120</x:v>
      </x:c>
      <x:c r="G657" s="18" t="n">
        <x:f>'Habilidades'!I2403</x:f>
        <x:v>250</x:v>
      </x:c>
    </x:row>
    <x:row r="658" ht="22" customHeight="1">
      <x:c r="A658" s="17" t="n">
        <x:f>IF(B658="","",IF(B658=B657,A657,A657+1))</x:f>
        <x:v>134</x:v>
      </x:c>
      <x:c r="B658" s="1" t="str">
        <x:f>'Ranking'!C140</x:f>
        <x:v>Blaziken</x:v>
      </x:c>
      <x:c r="C658" s="1" t="str">
        <x:f>'Habilidades'!D2404</x:f>
        <x:v>Flare Blitz</x:v>
      </x:c>
      <x:c r="D658" s="1" t="str">
        <x:f>'Habilidades'!F2404</x:f>
        <x:v>Física</x:v>
      </x:c>
      <x:c r="E658" s="18" t="n">
        <x:f>'Habilidades'!G2404</x:f>
        <x:v>120</x:v>
      </x:c>
      <x:c r="F658" s="18" t="n">
        <x:f>'Habilidades'!H2404</x:f>
        <x:v>120</x:v>
      </x:c>
      <x:c r="G658" s="18" t="n">
        <x:f>'Habilidades'!I2404</x:f>
        <x:v>240</x:v>
      </x:c>
    </x:row>
    <x:row r="659" ht="22" customHeight="1">
      <x:c r="A659" s="17" t="n">
        <x:f>IF(B659="","",IF(B659=B658,A658,A658+1))</x:f>
        <x:v>134</x:v>
      </x:c>
      <x:c r="B659" s="1" t="str">
        <x:f>'Ranking'!C140</x:f>
        <x:v>Blaziken</x:v>
      </x:c>
      <x:c r="C659" s="1" t="str">
        <x:f>'Habilidades'!D2405</x:f>
        <x:v>Brave Bird</x:v>
      </x:c>
      <x:c r="D659" s="1" t="str">
        <x:f>'Habilidades'!F2405</x:f>
        <x:v>Física</x:v>
      </x:c>
      <x:c r="E659" s="18" t="n">
        <x:f>'Habilidades'!G2405</x:f>
        <x:v>120</x:v>
      </x:c>
      <x:c r="F659" s="18" t="n">
        <x:f>'Habilidades'!H2405</x:f>
        <x:v>120</x:v>
      </x:c>
      <x:c r="G659" s="18" t="n">
        <x:f>'Habilidades'!I2405</x:f>
        <x:v>240</x:v>
      </x:c>
    </x:row>
    <x:row r="660" ht="22" customHeight="1">
      <x:c r="A660" s="17" t="n">
        <x:f>IF(B660="","",IF(B660=B659,A659,A659+1))</x:f>
        <x:v>134</x:v>
      </x:c>
      <x:c r="B660" s="1" t="str">
        <x:f>'Ranking'!C140</x:f>
        <x:v>Blaziken</x:v>
      </x:c>
      <x:c r="C660" s="1" t="str">
        <x:f>'Habilidades'!D2406</x:f>
        <x:v>Blaze Kick</x:v>
      </x:c>
      <x:c r="D660" s="1" t="str">
        <x:f>'Habilidades'!F2406</x:f>
        <x:v>Física</x:v>
      </x:c>
      <x:c r="E660" s="18" t="n">
        <x:f>'Habilidades'!G2406</x:f>
        <x:v>85</x:v>
      </x:c>
      <x:c r="F660" s="18" t="n">
        <x:f>'Habilidades'!H2406</x:f>
        <x:v>120</x:v>
      </x:c>
      <x:c r="G660" s="18" t="n">
        <x:f>'Habilidades'!I2406</x:f>
        <x:v>205</x:v>
      </x:c>
    </x:row>
    <x:row r="661" ht="22" customHeight="1">
      <x:c r="A661" s="19" t="n">
        <x:f>IF(B661="","",IF(B661=B660,A660,A660+1))</x:f>
        <x:v>134</x:v>
      </x:c>
      <x:c r="B661" s="20" t="str">
        <x:f>'Ranking'!C140</x:f>
        <x:v>Blaziken</x:v>
      </x:c>
      <x:c r="C661" s="20" t="str">
        <x:f>'Habilidades'!D2407</x:f>
        <x:v>Sky Uppercut</x:v>
      </x:c>
      <x:c r="D661" s="20" t="str">
        <x:f>'Habilidades'!F2407</x:f>
        <x:v>Física</x:v>
      </x:c>
      <x:c r="E661" s="21" t="n">
        <x:f>'Habilidades'!G2407</x:f>
        <x:v>85</x:v>
      </x:c>
      <x:c r="F661" s="21" t="n">
        <x:f>'Habilidades'!H2407</x:f>
        <x:v>120</x:v>
      </x:c>
      <x:c r="G661" s="21" t="n">
        <x:f>'Habilidades'!I2407</x:f>
        <x:v>205</x:v>
      </x:c>
    </x:row>
    <x:row r="662" ht="22" customHeight="1">
      <x:c r="A662" s="17" t="n">
        <x:f>IF(B662="","",IF(B662=B661,A661,A661+1))</x:f>
        <x:v>135</x:v>
      </x:c>
      <x:c r="B662" s="1" t="str">
        <x:f>'Ranking'!C139</x:f>
        <x:v>Magnezone</x:v>
      </x:c>
      <x:c r="C662" s="1" t="str">
        <x:f>'Habilidades'!D3282</x:f>
        <x:v>Zap Cannon</x:v>
      </x:c>
      <x:c r="D662" s="1" t="str">
        <x:f>'Habilidades'!F3282</x:f>
        <x:v>Especial</x:v>
      </x:c>
      <x:c r="E662" s="18" t="n">
        <x:f>'Habilidades'!G3282</x:f>
        <x:v>120</x:v>
      </x:c>
      <x:c r="F662" s="18" t="n">
        <x:f>'Habilidades'!H3282</x:f>
        <x:v>130</x:v>
      </x:c>
      <x:c r="G662" s="18" t="n">
        <x:f>'Habilidades'!I3282</x:f>
        <x:v>250</x:v>
      </x:c>
    </x:row>
    <x:row r="663" ht="22" customHeight="1">
      <x:c r="A663" s="17" t="n">
        <x:f>IF(B663="","",IF(B663=B662,A662,A662+1))</x:f>
        <x:v>135</x:v>
      </x:c>
      <x:c r="B663" s="1" t="str">
        <x:f>'Ranking'!C139</x:f>
        <x:v>Magnezone</x:v>
      </x:c>
      <x:c r="C663" s="1" t="str">
        <x:f>'Habilidades'!D3283</x:f>
        <x:v>Flash Cannon</x:v>
      </x:c>
      <x:c r="D663" s="1" t="str">
        <x:f>'Habilidades'!F3283</x:f>
        <x:v>Especial</x:v>
      </x:c>
      <x:c r="E663" s="18" t="n">
        <x:f>'Habilidades'!G3283</x:f>
        <x:v>80</x:v>
      </x:c>
      <x:c r="F663" s="18" t="n">
        <x:f>'Habilidades'!H3283</x:f>
        <x:v>130</x:v>
      </x:c>
      <x:c r="G663" s="18" t="n">
        <x:f>'Habilidades'!I3283</x:f>
        <x:v>210</x:v>
      </x:c>
    </x:row>
    <x:row r="664" ht="22" customHeight="1">
      <x:c r="A664" s="17" t="n">
        <x:f>IF(B664="","",IF(B664=B663,A663,A663+1))</x:f>
        <x:v>135</x:v>
      </x:c>
      <x:c r="B664" s="1" t="str">
        <x:f>'Ranking'!C139</x:f>
        <x:v>Magnezone</x:v>
      </x:c>
      <x:c r="C664" s="1" t="str">
        <x:f>'Habilidades'!D3284</x:f>
        <x:v>Discharge</x:v>
      </x:c>
      <x:c r="D664" s="1" t="str">
        <x:f>'Habilidades'!F3284</x:f>
        <x:v>Especial</x:v>
      </x:c>
      <x:c r="E664" s="18" t="n">
        <x:f>'Habilidades'!G3284</x:f>
        <x:v>80</x:v>
      </x:c>
      <x:c r="F664" s="18" t="n">
        <x:f>'Habilidades'!H3284</x:f>
        <x:v>130</x:v>
      </x:c>
      <x:c r="G664" s="18" t="n">
        <x:f>'Habilidades'!I3284</x:f>
        <x:v>210</x:v>
      </x:c>
    </x:row>
    <x:row r="665" ht="22" customHeight="1">
      <x:c r="A665" s="17" t="n">
        <x:f>IF(B665="","",IF(B665=B664,A664,A664+1))</x:f>
        <x:v>135</x:v>
      </x:c>
      <x:c r="B665" s="1" t="str">
        <x:f>'Ranking'!C139</x:f>
        <x:v>Magnezone</x:v>
      </x:c>
      <x:c r="C665" s="1" t="str">
        <x:f>'Habilidades'!D3285</x:f>
        <x:v>Mirror Shot</x:v>
      </x:c>
      <x:c r="D665" s="1" t="str">
        <x:f>'Habilidades'!F3285</x:f>
        <x:v>Especial</x:v>
      </x:c>
      <x:c r="E665" s="18" t="n">
        <x:f>'Habilidades'!G3285</x:f>
        <x:v>65</x:v>
      </x:c>
      <x:c r="F665" s="18" t="n">
        <x:f>'Habilidades'!H3285</x:f>
        <x:v>130</x:v>
      </x:c>
      <x:c r="G665" s="18" t="n">
        <x:f>'Habilidades'!I3285</x:f>
        <x:v>195</x:v>
      </x:c>
    </x:row>
    <x:row r="666" ht="22" customHeight="1">
      <x:c r="A666" s="19" t="n">
        <x:f>IF(B666="","",IF(B666=B665,A665,A665+1))</x:f>
        <x:v>135</x:v>
      </x:c>
      <x:c r="B666" s="20" t="str">
        <x:f>'Ranking'!C139</x:f>
        <x:v>Magnezone</x:v>
      </x:c>
      <x:c r="C666" s="20" t="str">
        <x:f>'Habilidades'!D3287</x:f>
        <x:v>Spark</x:v>
      </x:c>
      <x:c r="D666" s="20" t="str">
        <x:f>'Habilidades'!F3287</x:f>
        <x:v>Física</x:v>
      </x:c>
      <x:c r="E666" s="21" t="n">
        <x:f>'Habilidades'!G3287</x:f>
        <x:v>65</x:v>
      </x:c>
      <x:c r="F666" s="21" t="n">
        <x:f>'Habilidades'!H3287</x:f>
        <x:v>70</x:v>
      </x:c>
      <x:c r="G666" s="21" t="n">
        <x:f>'Habilidades'!I3287</x:f>
        <x:v>135</x:v>
      </x:c>
    </x:row>
    <x:row r="667" ht="22" customHeight="1">
      <x:c r="A667" s="17" t="n">
        <x:f>IF(B667="","",IF(B667=B666,A666,A666+1))</x:f>
        <x:v>136</x:v>
      </x:c>
      <x:c r="B667" s="1" t="str">
        <x:f>'Ranking'!C141</x:f>
        <x:v>Sharpedo</x:v>
      </x:c>
      <x:c r="C667" s="1" t="str">
        <x:f>'Habilidades'!D2718</x:f>
        <x:v>Skull Bash</x:v>
      </x:c>
      <x:c r="D667" s="1" t="str">
        <x:f>'Habilidades'!F2718</x:f>
        <x:v>Física</x:v>
      </x:c>
      <x:c r="E667" s="18" t="n">
        <x:f>'Habilidades'!G2718</x:f>
        <x:v>130</x:v>
      </x:c>
      <x:c r="F667" s="18" t="n">
        <x:f>'Habilidades'!H2718</x:f>
        <x:v>120</x:v>
      </x:c>
      <x:c r="G667" s="18" t="n">
        <x:f>'Habilidades'!I2718</x:f>
        <x:v>250</x:v>
      </x:c>
    </x:row>
    <x:row r="668" ht="22" customHeight="1">
      <x:c r="A668" s="17" t="n">
        <x:f>IF(B668="","",IF(B668=B667,A667,A667+1))</x:f>
        <x:v>136</x:v>
      </x:c>
      <x:c r="B668" s="1" t="str">
        <x:f>'Ranking'!C141</x:f>
        <x:v>Sharpedo</x:v>
      </x:c>
      <x:c r="C668" s="1" t="str">
        <x:f>'Habilidades'!D2719</x:f>
        <x:v>Crunch</x:v>
      </x:c>
      <x:c r="D668" s="1" t="str">
        <x:f>'Habilidades'!F2719</x:f>
        <x:v>Física</x:v>
      </x:c>
      <x:c r="E668" s="18" t="n">
        <x:f>'Habilidades'!G2719</x:f>
        <x:v>80</x:v>
      </x:c>
      <x:c r="F668" s="18" t="n">
        <x:f>'Habilidades'!H2719</x:f>
        <x:v>120</x:v>
      </x:c>
      <x:c r="G668" s="18" t="n">
        <x:f>'Habilidades'!I2719</x:f>
        <x:v>200</x:v>
      </x:c>
    </x:row>
    <x:row r="669" ht="22" customHeight="1">
      <x:c r="A669" s="17" t="n">
        <x:f>IF(B669="","",IF(B669=B668,A668,A668+1))</x:f>
        <x:v>136</x:v>
      </x:c>
      <x:c r="B669" s="1" t="str">
        <x:f>'Ranking'!C141</x:f>
        <x:v>Sharpedo</x:v>
      </x:c>
      <x:c r="C669" s="1" t="str">
        <x:f>'Habilidades'!D2720</x:f>
        <x:v>Night Slash</x:v>
      </x:c>
      <x:c r="D669" s="1" t="str">
        <x:f>'Habilidades'!F2720</x:f>
        <x:v>Física</x:v>
      </x:c>
      <x:c r="E669" s="18" t="n">
        <x:f>'Habilidades'!G2720</x:f>
        <x:v>70</x:v>
      </x:c>
      <x:c r="F669" s="18" t="n">
        <x:f>'Habilidades'!H2720</x:f>
        <x:v>120</x:v>
      </x:c>
      <x:c r="G669" s="18" t="n">
        <x:f>'Habilidades'!I2720</x:f>
        <x:v>190</x:v>
      </x:c>
    </x:row>
    <x:row r="670" ht="22" customHeight="1">
      <x:c r="A670" s="17" t="n">
        <x:f>IF(B670="","",IF(B670=B669,A669,A669+1))</x:f>
        <x:v>136</x:v>
      </x:c>
      <x:c r="B670" s="1" t="str">
        <x:f>'Ranking'!C141</x:f>
        <x:v>Sharpedo</x:v>
      </x:c>
      <x:c r="C670" s="1" t="str">
        <x:f>'Habilidades'!D2721</x:f>
        <x:v>Slash</x:v>
      </x:c>
      <x:c r="D670" s="1" t="str">
        <x:f>'Habilidades'!F2721</x:f>
        <x:v>Física</x:v>
      </x:c>
      <x:c r="E670" s="18" t="n">
        <x:f>'Habilidades'!G2721</x:f>
        <x:v>70</x:v>
      </x:c>
      <x:c r="F670" s="18" t="n">
        <x:f>'Habilidades'!H2721</x:f>
        <x:v>120</x:v>
      </x:c>
      <x:c r="G670" s="18" t="n">
        <x:f>'Habilidades'!I2721</x:f>
        <x:v>190</x:v>
      </x:c>
    </x:row>
    <x:row r="671" ht="22" customHeight="1">
      <x:c r="A671" s="19" t="n">
        <x:f>IF(B671="","",IF(B671=B670,A670,A670+1))</x:f>
        <x:v>136</x:v>
      </x:c>
      <x:c r="B671" s="20" t="str">
        <x:f>'Ranking'!C141</x:f>
        <x:v>Sharpedo</x:v>
      </x:c>
      <x:c r="C671" s="20" t="str">
        <x:f>'Habilidades'!D2722</x:f>
        <x:v>Ice Fang</x:v>
      </x:c>
      <x:c r="D671" s="20" t="str">
        <x:f>'Habilidades'!F2722</x:f>
        <x:v>Física</x:v>
      </x:c>
      <x:c r="E671" s="21" t="n">
        <x:f>'Habilidades'!G2722</x:f>
        <x:v>65</x:v>
      </x:c>
      <x:c r="F671" s="21" t="n">
        <x:f>'Habilidades'!H2722</x:f>
        <x:v>120</x:v>
      </x:c>
      <x:c r="G671" s="21" t="n">
        <x:f>'Habilidades'!I2722</x:f>
        <x:v>185</x:v>
      </x:c>
    </x:row>
    <x:row r="672" ht="22" customHeight="1">
      <x:c r="A672" s="17" t="n">
        <x:f>IF(B672="","",IF(B672=B671,A671,A671+1))</x:f>
        <x:v>137</x:v>
      </x:c>
      <x:c r="B672" s="1" t="str">
        <x:f>'Ranking'!C142</x:f>
        <x:v>Tauros</x:v>
      </x:c>
      <x:c r="C672" s="1" t="str">
        <x:f>'Habilidades'!D1235</x:f>
        <x:v>Giga Impact</x:v>
      </x:c>
      <x:c r="D672" s="1" t="str">
        <x:f>'Habilidades'!F1235</x:f>
        <x:v>Física</x:v>
      </x:c>
      <x:c r="E672" s="18" t="n">
        <x:f>'Habilidades'!G1235</x:f>
        <x:v>150</x:v>
      </x:c>
      <x:c r="F672" s="18" t="n">
        <x:f>'Habilidades'!H1235</x:f>
        <x:v>100</x:v>
      </x:c>
      <x:c r="G672" s="18" t="n">
        <x:f>'Habilidades'!I1235</x:f>
        <x:v>250</x:v>
      </x:c>
    </x:row>
    <x:row r="673" ht="22" customHeight="1">
      <x:c r="A673" s="17" t="n">
        <x:f>IF(B673="","",IF(B673=B672,A672,A672+1))</x:f>
        <x:v>137</x:v>
      </x:c>
      <x:c r="B673" s="1" t="str">
        <x:f>'Ranking'!C142</x:f>
        <x:v>Tauros</x:v>
      </x:c>
      <x:c r="C673" s="1" t="str">
        <x:f>'Habilidades'!D1236</x:f>
        <x:v>Thrash</x:v>
      </x:c>
      <x:c r="D673" s="1" t="str">
        <x:f>'Habilidades'!F1236</x:f>
        <x:v>Física</x:v>
      </x:c>
      <x:c r="E673" s="18" t="n">
        <x:f>'Habilidades'!G1236</x:f>
        <x:v>120</x:v>
      </x:c>
      <x:c r="F673" s="18" t="n">
        <x:f>'Habilidades'!H1236</x:f>
        <x:v>100</x:v>
      </x:c>
      <x:c r="G673" s="18" t="n">
        <x:f>'Habilidades'!I1236</x:f>
        <x:v>220</x:v>
      </x:c>
    </x:row>
    <x:row r="674" ht="22" customHeight="1">
      <x:c r="A674" s="17" t="n">
        <x:f>IF(B674="","",IF(B674=B673,A673,A673+1))</x:f>
        <x:v>137</x:v>
      </x:c>
      <x:c r="B674" s="1" t="str">
        <x:f>'Ranking'!C142</x:f>
        <x:v>Tauros</x:v>
      </x:c>
      <x:c r="C674" s="1" t="str">
        <x:f>'Habilidades'!D1237</x:f>
        <x:v>Take Down</x:v>
      </x:c>
      <x:c r="D674" s="1" t="str">
        <x:f>'Habilidades'!F1237</x:f>
        <x:v>Física</x:v>
      </x:c>
      <x:c r="E674" s="18" t="n">
        <x:f>'Habilidades'!G1237</x:f>
        <x:v>90</x:v>
      </x:c>
      <x:c r="F674" s="18" t="n">
        <x:f>'Habilidades'!H1237</x:f>
        <x:v>100</x:v>
      </x:c>
      <x:c r="G674" s="18" t="n">
        <x:f>'Habilidades'!I1237</x:f>
        <x:v>190</x:v>
      </x:c>
    </x:row>
    <x:row r="675" ht="22" customHeight="1">
      <x:c r="A675" s="17" t="n">
        <x:f>IF(B675="","",IF(B675=B674,A674,A674+1))</x:f>
        <x:v>137</x:v>
      </x:c>
      <x:c r="B675" s="1" t="str">
        <x:f>'Ranking'!C142</x:f>
        <x:v>Tauros</x:v>
      </x:c>
      <x:c r="C675" s="1" t="str">
        <x:f>'Habilidades'!D1238</x:f>
        <x:v>Zen Headbutt</x:v>
      </x:c>
      <x:c r="D675" s="1" t="str">
        <x:f>'Habilidades'!F1238</x:f>
        <x:v>Física</x:v>
      </x:c>
      <x:c r="E675" s="18" t="n">
        <x:f>'Habilidades'!G1238</x:f>
        <x:v>80</x:v>
      </x:c>
      <x:c r="F675" s="18" t="n">
        <x:f>'Habilidades'!H1238</x:f>
        <x:v>100</x:v>
      </x:c>
      <x:c r="G675" s="18" t="n">
        <x:f>'Habilidades'!I1238</x:f>
        <x:v>180</x:v>
      </x:c>
    </x:row>
    <x:row r="676" ht="22" customHeight="1">
      <x:c r="A676" s="19" t="n">
        <x:f>IF(B676="","",IF(B676=B675,A675,A675+1))</x:f>
        <x:v>137</x:v>
      </x:c>
      <x:c r="B676" s="20" t="str">
        <x:f>'Ranking'!C142</x:f>
        <x:v>Tauros</x:v>
      </x:c>
      <x:c r="C676" s="20" t="str">
        <x:f>'Habilidades'!D1239</x:f>
        <x:v>Horn Attack</x:v>
      </x:c>
      <x:c r="D676" s="20" t="str">
        <x:f>'Habilidades'!F1239</x:f>
        <x:v>Física</x:v>
      </x:c>
      <x:c r="E676" s="21" t="n">
        <x:f>'Habilidades'!G1239</x:f>
        <x:v>65</x:v>
      </x:c>
      <x:c r="F676" s="21" t="n">
        <x:f>'Habilidades'!H1239</x:f>
        <x:v>100</x:v>
      </x:c>
      <x:c r="G676" s="21" t="n">
        <x:f>'Habilidades'!I1239</x:f>
        <x:v>165</x:v>
      </x:c>
    </x:row>
    <x:row r="677" ht="22" customHeight="1">
      <x:c r="A677" s="17" t="n">
        <x:f>IF(B677="","",IF(B677=B676,A676,A676+1))</x:f>
        <x:v>138</x:v>
      </x:c>
      <x:c r="B677" s="1" t="str">
        <x:f>'Ranking'!C138</x:f>
        <x:v>Ursaring</x:v>
      </x:c>
      <x:c r="C677" s="1" t="str">
        <x:f>'Habilidades'!D2030</x:f>
        <x:v>Thrash</x:v>
      </x:c>
      <x:c r="D677" s="1" t="str">
        <x:f>'Habilidades'!F2030</x:f>
        <x:v>Física</x:v>
      </x:c>
      <x:c r="E677" s="18" t="n">
        <x:f>'Habilidades'!G2030</x:f>
        <x:v>120</x:v>
      </x:c>
      <x:c r="F677" s="18" t="n">
        <x:f>'Habilidades'!H2030</x:f>
        <x:v>130</x:v>
      </x:c>
      <x:c r="G677" s="18" t="n">
        <x:f>'Habilidades'!I2030</x:f>
        <x:v>250</x:v>
      </x:c>
    </x:row>
    <x:row r="678" ht="22" customHeight="1">
      <x:c r="A678" s="17" t="n">
        <x:f>IF(B678="","",IF(B678=B677,A677,A677+1))</x:f>
        <x:v>138</x:v>
      </x:c>
      <x:c r="B678" s="1" t="str">
        <x:f>'Ranking'!C138</x:f>
        <x:v>Ursaring</x:v>
      </x:c>
      <x:c r="C678" s="1" t="str">
        <x:f>'Habilidades'!D2031</x:f>
        <x:v>Hammer Arm</x:v>
      </x:c>
      <x:c r="D678" s="1" t="str">
        <x:f>'Habilidades'!F2031</x:f>
        <x:v>Física</x:v>
      </x:c>
      <x:c r="E678" s="18" t="n">
        <x:f>'Habilidades'!G2031</x:f>
        <x:v>100</x:v>
      </x:c>
      <x:c r="F678" s="18" t="n">
        <x:f>'Habilidades'!H2031</x:f>
        <x:v>130</x:v>
      </x:c>
      <x:c r="G678" s="18" t="n">
        <x:f>'Habilidades'!I2031</x:f>
        <x:v>230</x:v>
      </x:c>
    </x:row>
    <x:row r="679" ht="22" customHeight="1">
      <x:c r="A679" s="17" t="n">
        <x:f>IF(B679="","",IF(B679=B678,A678,A678+1))</x:f>
        <x:v>138</x:v>
      </x:c>
      <x:c r="B679" s="1" t="str">
        <x:f>'Ranking'!C138</x:f>
        <x:v>Ursaring</x:v>
      </x:c>
      <x:c r="C679" s="1" t="str">
        <x:f>'Habilidades'!D2032</x:f>
        <x:v>Slash</x:v>
      </x:c>
      <x:c r="D679" s="1" t="str">
        <x:f>'Habilidades'!F2032</x:f>
        <x:v>Física</x:v>
      </x:c>
      <x:c r="E679" s="18" t="n">
        <x:f>'Habilidades'!G2032</x:f>
        <x:v>70</x:v>
      </x:c>
      <x:c r="F679" s="18" t="n">
        <x:f>'Habilidades'!H2032</x:f>
        <x:v>130</x:v>
      </x:c>
      <x:c r="G679" s="18" t="n">
        <x:f>'Habilidades'!I2032</x:f>
        <x:v>200</x:v>
      </x:c>
    </x:row>
    <x:row r="680" ht="22" customHeight="1">
      <x:c r="A680" s="17" t="n">
        <x:f>IF(B680="","",IF(B680=B679,A679,A679+1))</x:f>
        <x:v>138</x:v>
      </x:c>
      <x:c r="B680" s="1" t="str">
        <x:f>'Ranking'!C138</x:f>
        <x:v>Ursaring</x:v>
      </x:c>
      <x:c r="C680" s="1" t="str">
        <x:f>'Habilidades'!D2033</x:f>
        <x:v>Covet</x:v>
      </x:c>
      <x:c r="D680" s="1" t="str">
        <x:f>'Habilidades'!F2033</x:f>
        <x:v>Física</x:v>
      </x:c>
      <x:c r="E680" s="18" t="n">
        <x:f>'Habilidades'!G2033</x:f>
        <x:v>60</x:v>
      </x:c>
      <x:c r="F680" s="18" t="n">
        <x:f>'Habilidades'!H2033</x:f>
        <x:v>130</x:v>
      </x:c>
      <x:c r="G680" s="18" t="n">
        <x:f>'Habilidades'!I2033</x:f>
        <x:v>190</x:v>
      </x:c>
    </x:row>
    <x:row r="681" ht="22" customHeight="1">
      <x:c r="A681" s="19" t="n">
        <x:f>IF(B681="","",IF(B681=B680,A680,A680+1))</x:f>
        <x:v>138</x:v>
      </x:c>
      <x:c r="B681" s="20" t="str">
        <x:f>'Ranking'!C138</x:f>
        <x:v>Ursaring</x:v>
      </x:c>
      <x:c r="C681" s="20" t="str">
        <x:f>'Habilidades'!D2034</x:f>
        <x:v>Feint Attack</x:v>
      </x:c>
      <x:c r="D681" s="20" t="str">
        <x:f>'Habilidades'!F2034</x:f>
        <x:v>Física</x:v>
      </x:c>
      <x:c r="E681" s="21" t="n">
        <x:f>'Habilidades'!G2034</x:f>
        <x:v>60</x:v>
      </x:c>
      <x:c r="F681" s="21" t="n">
        <x:f>'Habilidades'!H2034</x:f>
        <x:v>130</x:v>
      </x:c>
      <x:c r="G681" s="21" t="n">
        <x:f>'Habilidades'!I2034</x:f>
        <x:v>190</x:v>
      </x:c>
    </x:row>
    <x:row r="682" ht="22" customHeight="1">
      <x:c r="A682" s="17" t="n">
        <x:f>IF(B682="","",IF(B682=B681,A681,A681+1))</x:f>
        <x:v>139</x:v>
      </x:c>
      <x:c r="B682" s="1" t="str">
        <x:f>'Ranking'!C146</x:f>
        <x:v>Gallade</x:v>
      </x:c>
      <x:c r="C682" s="1" t="str">
        <x:f>'Habilidades'!D3374</x:f>
        <x:v>Close Combat</x:v>
      </x:c>
      <x:c r="D682" s="1" t="str">
        <x:f>'Habilidades'!F3374</x:f>
        <x:v>Física</x:v>
      </x:c>
      <x:c r="E682" s="18" t="n">
        <x:f>'Habilidades'!G3374</x:f>
        <x:v>120</x:v>
      </x:c>
      <x:c r="F682" s="18" t="n">
        <x:f>'Habilidades'!H3374</x:f>
        <x:v>125</x:v>
      </x:c>
      <x:c r="G682" s="18" t="n">
        <x:f>'Habilidades'!I3374</x:f>
        <x:v>245</x:v>
      </x:c>
    </x:row>
    <x:row r="683" ht="22" customHeight="1">
      <x:c r="A683" s="17" t="n">
        <x:f>IF(B683="","",IF(B683=B682,A682,A682+1))</x:f>
        <x:v>139</x:v>
      </x:c>
      <x:c r="B683" s="1" t="str">
        <x:f>'Ranking'!C146</x:f>
        <x:v>Gallade</x:v>
      </x:c>
      <x:c r="C683" s="1" t="str">
        <x:f>'Habilidades'!D3375</x:f>
        <x:v>Leaf Blade</x:v>
      </x:c>
      <x:c r="D683" s="1" t="str">
        <x:f>'Habilidades'!F3375</x:f>
        <x:v>Física</x:v>
      </x:c>
      <x:c r="E683" s="18" t="n">
        <x:f>'Habilidades'!G3375</x:f>
        <x:v>90</x:v>
      </x:c>
      <x:c r="F683" s="18" t="n">
        <x:f>'Habilidades'!H3375</x:f>
        <x:v>125</x:v>
      </x:c>
      <x:c r="G683" s="18" t="n">
        <x:f>'Habilidades'!I3375</x:f>
        <x:v>215</x:v>
      </x:c>
    </x:row>
    <x:row r="684" ht="22" customHeight="1">
      <x:c r="A684" s="17" t="n">
        <x:f>IF(B684="","",IF(B684=B683,A683,A683+1))</x:f>
        <x:v>139</x:v>
      </x:c>
      <x:c r="B684" s="1" t="str">
        <x:f>'Ranking'!C146</x:f>
        <x:v>Gallade</x:v>
      </x:c>
      <x:c r="C684" s="1" t="str">
        <x:f>'Habilidades'!D3376</x:f>
        <x:v>Night Slash</x:v>
      </x:c>
      <x:c r="D684" s="1" t="str">
        <x:f>'Habilidades'!F3376</x:f>
        <x:v>Física</x:v>
      </x:c>
      <x:c r="E684" s="18" t="n">
        <x:f>'Habilidades'!G3376</x:f>
        <x:v>70</x:v>
      </x:c>
      <x:c r="F684" s="18" t="n">
        <x:f>'Habilidades'!H3376</x:f>
        <x:v>125</x:v>
      </x:c>
      <x:c r="G684" s="18" t="n">
        <x:f>'Habilidades'!I3376</x:f>
        <x:v>195</x:v>
      </x:c>
    </x:row>
    <x:row r="685" ht="22" customHeight="1">
      <x:c r="A685" s="17" t="n">
        <x:f>IF(B685="","",IF(B685=B684,A684,A684+1))</x:f>
        <x:v>139</x:v>
      </x:c>
      <x:c r="B685" s="1" t="str">
        <x:f>'Ranking'!C146</x:f>
        <x:v>Gallade</x:v>
      </x:c>
      <x:c r="C685" s="1" t="str">
        <x:f>'Habilidades'!D3377</x:f>
        <x:v>Slash</x:v>
      </x:c>
      <x:c r="D685" s="1" t="str">
        <x:f>'Habilidades'!F3377</x:f>
        <x:v>Física</x:v>
      </x:c>
      <x:c r="E685" s="18" t="n">
        <x:f>'Habilidades'!G3377</x:f>
        <x:v>70</x:v>
      </x:c>
      <x:c r="F685" s="18" t="n">
        <x:f>'Habilidades'!H3377</x:f>
        <x:v>125</x:v>
      </x:c>
      <x:c r="G685" s="18" t="n">
        <x:f>'Habilidades'!I3377</x:f>
        <x:v>195</x:v>
      </x:c>
    </x:row>
    <x:row r="686" ht="22" customHeight="1">
      <x:c r="A686" s="19" t="n">
        <x:f>IF(B686="","",IF(B686=B685,A685,A685+1))</x:f>
        <x:v>139</x:v>
      </x:c>
      <x:c r="B686" s="20" t="str">
        <x:f>'Ranking'!C146</x:f>
        <x:v>Gallade</x:v>
      </x:c>
      <x:c r="C686" s="20" t="str">
        <x:f>'Habilidades'!D3378</x:f>
        <x:v>Psycho Cut</x:v>
      </x:c>
      <x:c r="D686" s="20" t="str">
        <x:f>'Habilidades'!F3378</x:f>
        <x:v>Física</x:v>
      </x:c>
      <x:c r="E686" s="21" t="n">
        <x:f>'Habilidades'!G3378</x:f>
        <x:v>70</x:v>
      </x:c>
      <x:c r="F686" s="21" t="n">
        <x:f>'Habilidades'!H3378</x:f>
        <x:v>125</x:v>
      </x:c>
      <x:c r="G686" s="21" t="n">
        <x:f>'Habilidades'!I3378</x:f>
        <x:v>195</x:v>
      </x:c>
    </x:row>
    <x:row r="687" ht="22" customHeight="1">
      <x:c r="A687" s="17" t="n">
        <x:f>IF(B687="","",IF(B687=B686,A686,A686+1))</x:f>
        <x:v>140</x:v>
      </x:c>
      <x:c r="B687" s="1" t="str">
        <x:f>'Ranking'!C145</x:f>
        <x:v>Gardevoir</x:v>
      </x:c>
      <x:c r="C687" s="1" t="str">
        <x:f>'Habilidades'!D2546</x:f>
        <x:v>Future Sight</x:v>
      </x:c>
      <x:c r="D687" s="1" t="str">
        <x:f>'Habilidades'!F2546</x:f>
        <x:v>Especial</x:v>
      </x:c>
      <x:c r="E687" s="18" t="n">
        <x:f>'Habilidades'!G2546</x:f>
        <x:v>120</x:v>
      </x:c>
      <x:c r="F687" s="18" t="n">
        <x:f>'Habilidades'!H2546</x:f>
        <x:v>125</x:v>
      </x:c>
      <x:c r="G687" s="18" t="n">
        <x:f>'Habilidades'!I2546</x:f>
        <x:v>245</x:v>
      </x:c>
    </x:row>
    <x:row r="688" ht="22" customHeight="1">
      <x:c r="A688" s="17" t="n">
        <x:f>IF(B688="","",IF(B688=B687,A687,A687+1))</x:f>
        <x:v>140</x:v>
      </x:c>
      <x:c r="B688" s="1" t="str">
        <x:f>'Ranking'!C145</x:f>
        <x:v>Gardevoir</x:v>
      </x:c>
      <x:c r="C688" s="1" t="str">
        <x:f>'Habilidades'!D2547</x:f>
        <x:v>Dream Eater</x:v>
      </x:c>
      <x:c r="D688" s="1" t="str">
        <x:f>'Habilidades'!F2547</x:f>
        <x:v>Especial</x:v>
      </x:c>
      <x:c r="E688" s="18" t="n">
        <x:f>'Habilidades'!G2547</x:f>
        <x:v>100</x:v>
      </x:c>
      <x:c r="F688" s="18" t="n">
        <x:f>'Habilidades'!H2547</x:f>
        <x:v>125</x:v>
      </x:c>
      <x:c r="G688" s="18" t="n">
        <x:f>'Habilidades'!I2547</x:f>
        <x:v>225</x:v>
      </x:c>
    </x:row>
    <x:row r="689" ht="22" customHeight="1">
      <x:c r="A689" s="17" t="n">
        <x:f>IF(B689="","",IF(B689=B688,A688,A688+1))</x:f>
        <x:v>140</x:v>
      </x:c>
      <x:c r="B689" s="1" t="str">
        <x:f>'Ranking'!C145</x:f>
        <x:v>Gardevoir</x:v>
      </x:c>
      <x:c r="C689" s="1" t="str">
        <x:f>'Habilidades'!D2548</x:f>
        <x:v>Moonblast</x:v>
      </x:c>
      <x:c r="D689" s="1" t="str">
        <x:f>'Habilidades'!F2548</x:f>
        <x:v>Especial</x:v>
      </x:c>
      <x:c r="E689" s="18" t="n">
        <x:f>'Habilidades'!G2548</x:f>
        <x:v>95</x:v>
      </x:c>
      <x:c r="F689" s="18" t="n">
        <x:f>'Habilidades'!H2548</x:f>
        <x:v>125</x:v>
      </x:c>
      <x:c r="G689" s="18" t="n">
        <x:f>'Habilidades'!I2548</x:f>
        <x:v>220</x:v>
      </x:c>
    </x:row>
    <x:row r="690" ht="22" customHeight="1">
      <x:c r="A690" s="17" t="n">
        <x:f>IF(B690="","",IF(B690=B689,A689,A689+1))</x:f>
        <x:v>140</x:v>
      </x:c>
      <x:c r="B690" s="1" t="str">
        <x:f>'Ranking'!C145</x:f>
        <x:v>Gardevoir</x:v>
      </x:c>
      <x:c r="C690" s="1" t="str">
        <x:f>'Habilidades'!D2549</x:f>
        <x:v>Psychic</x:v>
      </x:c>
      <x:c r="D690" s="1" t="str">
        <x:f>'Habilidades'!F2549</x:f>
        <x:v>Especial</x:v>
      </x:c>
      <x:c r="E690" s="18" t="n">
        <x:f>'Habilidades'!G2549</x:f>
        <x:v>90</x:v>
      </x:c>
      <x:c r="F690" s="18" t="n">
        <x:f>'Habilidades'!H2549</x:f>
        <x:v>125</x:v>
      </x:c>
      <x:c r="G690" s="18" t="n">
        <x:f>'Habilidades'!I2549</x:f>
        <x:v>215</x:v>
      </x:c>
    </x:row>
    <x:row r="691" ht="22" customHeight="1">
      <x:c r="A691" s="19" t="n">
        <x:f>IF(B691="","",IF(B691=B690,A690,A690+1))</x:f>
        <x:v>140</x:v>
      </x:c>
      <x:c r="B691" s="20" t="str">
        <x:f>'Ranking'!C145</x:f>
        <x:v>Gardevoir</x:v>
      </x:c>
      <x:c r="C691" s="20" t="str">
        <x:f>'Habilidades'!D2550</x:f>
        <x:v>Magical Leaf</x:v>
      </x:c>
      <x:c r="D691" s="20" t="str">
        <x:f>'Habilidades'!F2550</x:f>
        <x:v>Especial</x:v>
      </x:c>
      <x:c r="E691" s="21" t="n">
        <x:f>'Habilidades'!G2550</x:f>
        <x:v>60</x:v>
      </x:c>
      <x:c r="F691" s="21" t="n">
        <x:f>'Habilidades'!H2550</x:f>
        <x:v>125</x:v>
      </x:c>
      <x:c r="G691" s="21" t="n">
        <x:f>'Habilidades'!I2550</x:f>
        <x:v>185</x:v>
      </x:c>
    </x:row>
    <x:row r="692" ht="22" customHeight="1">
      <x:c r="A692" s="17" t="n">
        <x:f>IF(B692="","",IF(B692=B691,A691,A691+1))</x:f>
        <x:v>141</x:v>
      </x:c>
      <x:c r="B692" s="1" t="str">
        <x:f>'Ranking'!C143</x:f>
        <x:v>Metagross</x:v>
      </x:c>
      <x:c r="C692" s="1" t="str">
        <x:f>'Habilidades'!D3132</x:f>
        <x:v>Hyper Beam</x:v>
      </x:c>
      <x:c r="D692" s="1" t="str">
        <x:f>'Habilidades'!F3132</x:f>
        <x:v>Especial</x:v>
      </x:c>
      <x:c r="E692" s="18" t="n">
        <x:f>'Habilidades'!G3132</x:f>
        <x:v>150</x:v>
      </x:c>
      <x:c r="F692" s="18" t="n">
        <x:f>'Habilidades'!H3132</x:f>
        <x:v>95</x:v>
      </x:c>
      <x:c r="G692" s="18" t="n">
        <x:f>'Habilidades'!I3132</x:f>
        <x:v>245</x:v>
      </x:c>
    </x:row>
    <x:row r="693" ht="22" customHeight="1">
      <x:c r="A693" s="17" t="n">
        <x:f>IF(B693="","",IF(B693=B692,A692,A692+1))</x:f>
        <x:v>141</x:v>
      </x:c>
      <x:c r="B693" s="1" t="str">
        <x:f>'Ranking'!C143</x:f>
        <x:v>Metagross</x:v>
      </x:c>
      <x:c r="C693" s="1" t="str">
        <x:f>'Habilidades'!D3133</x:f>
        <x:v>Hammer Arm</x:v>
      </x:c>
      <x:c r="D693" s="1" t="str">
        <x:f>'Habilidades'!F3133</x:f>
        <x:v>Física</x:v>
      </x:c>
      <x:c r="E693" s="18" t="n">
        <x:f>'Habilidades'!G3133</x:f>
        <x:v>100</x:v>
      </x:c>
      <x:c r="F693" s="18" t="n">
        <x:f>'Habilidades'!H3133</x:f>
        <x:v>135</x:v>
      </x:c>
      <x:c r="G693" s="18" t="n">
        <x:f>'Habilidades'!I3133</x:f>
        <x:v>235</x:v>
      </x:c>
    </x:row>
    <x:row r="694" ht="22" customHeight="1">
      <x:c r="A694" s="17" t="n">
        <x:f>IF(B694="","",IF(B694=B693,A693,A693+1))</x:f>
        <x:v>141</x:v>
      </x:c>
      <x:c r="B694" s="1" t="str">
        <x:f>'Ranking'!C143</x:f>
        <x:v>Metagross</x:v>
      </x:c>
      <x:c r="C694" s="1" t="str">
        <x:f>'Habilidades'!D3134</x:f>
        <x:v>Take Down</x:v>
      </x:c>
      <x:c r="D694" s="1" t="str">
        <x:f>'Habilidades'!F3134</x:f>
        <x:v>Física</x:v>
      </x:c>
      <x:c r="E694" s="18" t="n">
        <x:f>'Habilidades'!G3134</x:f>
        <x:v>90</x:v>
      </x:c>
      <x:c r="F694" s="18" t="n">
        <x:f>'Habilidades'!H3134</x:f>
        <x:v>135</x:v>
      </x:c>
      <x:c r="G694" s="18" t="n">
        <x:f>'Habilidades'!I3134</x:f>
        <x:v>225</x:v>
      </x:c>
    </x:row>
    <x:row r="695" ht="22" customHeight="1">
      <x:c r="A695" s="17" t="n">
        <x:f>IF(B695="","",IF(B695=B694,A694,A694+1))</x:f>
        <x:v>141</x:v>
      </x:c>
      <x:c r="B695" s="1" t="str">
        <x:f>'Ranking'!C143</x:f>
        <x:v>Metagross</x:v>
      </x:c>
      <x:c r="C695" s="1" t="str">
        <x:f>'Habilidades'!D3135</x:f>
        <x:v>Meteor Mash</x:v>
      </x:c>
      <x:c r="D695" s="1" t="str">
        <x:f>'Habilidades'!F3135</x:f>
        <x:v>Física</x:v>
      </x:c>
      <x:c r="E695" s="18" t="n">
        <x:f>'Habilidades'!G3135</x:f>
        <x:v>90</x:v>
      </x:c>
      <x:c r="F695" s="18" t="n">
        <x:f>'Habilidades'!H3135</x:f>
        <x:v>135</x:v>
      </x:c>
      <x:c r="G695" s="18" t="n">
        <x:f>'Habilidades'!I3135</x:f>
        <x:v>225</x:v>
      </x:c>
    </x:row>
    <x:row r="696" ht="22" customHeight="1">
      <x:c r="A696" s="19" t="n">
        <x:f>IF(B696="","",IF(B696=B695,A695,A695+1))</x:f>
        <x:v>141</x:v>
      </x:c>
      <x:c r="B696" s="20" t="str">
        <x:f>'Ranking'!C143</x:f>
        <x:v>Metagross</x:v>
      </x:c>
      <x:c r="C696" s="20" t="str">
        <x:f>'Habilidades'!D3137</x:f>
        <x:v>Psychic</x:v>
      </x:c>
      <x:c r="D696" s="20" t="str">
        <x:f>'Habilidades'!F3137</x:f>
        <x:v>Especial</x:v>
      </x:c>
      <x:c r="E696" s="21" t="n">
        <x:f>'Habilidades'!G3137</x:f>
        <x:v>90</x:v>
      </x:c>
      <x:c r="F696" s="21" t="n">
        <x:f>'Habilidades'!H3137</x:f>
        <x:v>95</x:v>
      </x:c>
      <x:c r="G696" s="21" t="n">
        <x:f>'Habilidades'!I3137</x:f>
        <x:v>185</x:v>
      </x:c>
    </x:row>
    <x:row r="697" ht="22" customHeight="1">
      <x:c r="A697" s="17" t="n">
        <x:f>IF(B697="","",IF(B697=B696,A696,A696+1))</x:f>
        <x:v>142</x:v>
      </x:c>
      <x:c r="B697" s="1" t="str">
        <x:f>'Ranking'!C147</x:f>
        <x:v>Sawk</x:v>
      </x:c>
      <x:c r="C697" s="1" t="str">
        <x:f>'Habilidades'!D3406</x:f>
        <x:v>Close Combat</x:v>
      </x:c>
      <x:c r="D697" s="1" t="str">
        <x:f>'Habilidades'!F3406</x:f>
        <x:v>Física</x:v>
      </x:c>
      <x:c r="E697" s="18" t="n">
        <x:f>'Habilidades'!G3406</x:f>
        <x:v>120</x:v>
      </x:c>
      <x:c r="F697" s="18" t="n">
        <x:f>'Habilidades'!H3406</x:f>
        <x:v>125</x:v>
      </x:c>
      <x:c r="G697" s="18" t="n">
        <x:f>'Habilidades'!I3406</x:f>
        <x:v>245</x:v>
      </x:c>
    </x:row>
    <x:row r="698" ht="22" customHeight="1">
      <x:c r="A698" s="17" t="n">
        <x:f>IF(B698="","",IF(B698=B697,A697,A697+1))</x:f>
        <x:v>142</x:v>
      </x:c>
      <x:c r="B698" s="1" t="str">
        <x:f>'Ranking'!C147</x:f>
        <x:v>Sawk</x:v>
      </x:c>
      <x:c r="C698" s="1" t="str">
        <x:f>'Habilidades'!D3407</x:f>
        <x:v>Brick Break</x:v>
      </x:c>
      <x:c r="D698" s="1" t="str">
        <x:f>'Habilidades'!F3407</x:f>
        <x:v>Física</x:v>
      </x:c>
      <x:c r="E698" s="18" t="n">
        <x:f>'Habilidades'!G3407</x:f>
        <x:v>75</x:v>
      </x:c>
      <x:c r="F698" s="18" t="n">
        <x:f>'Habilidades'!H3407</x:f>
        <x:v>125</x:v>
      </x:c>
      <x:c r="G698" s="18" t="n">
        <x:f>'Habilidades'!I3407</x:f>
        <x:v>200</x:v>
      </x:c>
    </x:row>
    <x:row r="699" ht="22" customHeight="1">
      <x:c r="A699" s="17" t="n">
        <x:f>IF(B699="","",IF(B699=B698,A698,A698+1))</x:f>
        <x:v>142</x:v>
      </x:c>
      <x:c r="B699" s="1" t="str">
        <x:f>'Ranking'!C147</x:f>
        <x:v>Sawk</x:v>
      </x:c>
      <x:c r="C699" s="1" t="str">
        <x:f>'Habilidades'!D3408</x:f>
        <x:v>Retaliate</x:v>
      </x:c>
      <x:c r="D699" s="1" t="str">
        <x:f>'Habilidades'!F3408</x:f>
        <x:v>Física</x:v>
      </x:c>
      <x:c r="E699" s="18" t="n">
        <x:f>'Habilidades'!G3408</x:f>
        <x:v>70</x:v>
      </x:c>
      <x:c r="F699" s="18" t="n">
        <x:f>'Habilidades'!H3408</x:f>
        <x:v>125</x:v>
      </x:c>
      <x:c r="G699" s="18" t="n">
        <x:f>'Habilidades'!I3408</x:f>
        <x:v>195</x:v>
      </x:c>
    </x:row>
    <x:row r="700" ht="22" customHeight="1">
      <x:c r="A700" s="17" t="n">
        <x:f>IF(B700="","",IF(B700=B699,A699,A699+1))</x:f>
        <x:v>142</x:v>
      </x:c>
      <x:c r="B700" s="1" t="str">
        <x:f>'Ranking'!C147</x:f>
        <x:v>Sawk</x:v>
      </x:c>
      <x:c r="C700" s="1" t="str">
        <x:f>'Habilidades'!D3409</x:f>
        <x:v>Low Sweep</x:v>
      </x:c>
      <x:c r="D700" s="1" t="str">
        <x:f>'Habilidades'!F3409</x:f>
        <x:v>Física</x:v>
      </x:c>
      <x:c r="E700" s="18" t="n">
        <x:f>'Habilidades'!G3409</x:f>
        <x:v>65</x:v>
      </x:c>
      <x:c r="F700" s="18" t="n">
        <x:f>'Habilidades'!H3409</x:f>
        <x:v>125</x:v>
      </x:c>
      <x:c r="G700" s="18" t="n">
        <x:f>'Habilidades'!I3409</x:f>
        <x:v>190</x:v>
      </x:c>
    </x:row>
    <x:row r="701" ht="22" customHeight="1">
      <x:c r="A701" s="19" t="n">
        <x:f>IF(B701="","",IF(B701=B700,A700,A700+1))</x:f>
        <x:v>142</x:v>
      </x:c>
      <x:c r="B701" s="20" t="str">
        <x:f>'Ranking'!C147</x:f>
        <x:v>Sawk</x:v>
      </x:c>
      <x:c r="C701" s="20" t="str">
        <x:f>'Habilidades'!D3410</x:f>
        <x:v>Karate Chop</x:v>
      </x:c>
      <x:c r="D701" s="20" t="str">
        <x:f>'Habilidades'!F3410</x:f>
        <x:v>Física</x:v>
      </x:c>
      <x:c r="E701" s="21" t="n">
        <x:f>'Habilidades'!G3410</x:f>
        <x:v>50</x:v>
      </x:c>
      <x:c r="F701" s="21" t="n">
        <x:f>'Habilidades'!H3410</x:f>
        <x:v>125</x:v>
      </x:c>
      <x:c r="G701" s="21" t="n">
        <x:f>'Habilidades'!I3410</x:f>
        <x:v>175</x:v>
      </x:c>
    </x:row>
    <x:row r="702" ht="22" customHeight="1">
      <x:c r="A702" s="17" t="n">
        <x:f>IF(B702="","",IF(B702=B701,A701,A701+1))</x:f>
        <x:v>143</x:v>
      </x:c>
      <x:c r="B702" s="1" t="str">
        <x:f>'Ranking'!C144</x:f>
        <x:v>Volcarona</x:v>
      </x:c>
      <x:c r="C702" s="1" t="str">
        <x:f>'Habilidades'!D3604</x:f>
        <x:v>Hurricane</x:v>
      </x:c>
      <x:c r="D702" s="1" t="str">
        <x:f>'Habilidades'!F3604</x:f>
        <x:v>Especial</x:v>
      </x:c>
      <x:c r="E702" s="18" t="n">
        <x:f>'Habilidades'!G3604</x:f>
        <x:v>110</x:v>
      </x:c>
      <x:c r="F702" s="18" t="n">
        <x:f>'Habilidades'!H3604</x:f>
        <x:v>135</x:v>
      </x:c>
      <x:c r="G702" s="18" t="n">
        <x:f>'Habilidades'!I3604</x:f>
        <x:v>245</x:v>
      </x:c>
    </x:row>
    <x:row r="703" ht="22" customHeight="1">
      <x:c r="A703" s="17" t="n">
        <x:f>IF(B703="","",IF(B703=B702,A702,A702+1))</x:f>
        <x:v>143</x:v>
      </x:c>
      <x:c r="B703" s="1" t="str">
        <x:f>'Ranking'!C144</x:f>
        <x:v>Volcarona</x:v>
      </x:c>
      <x:c r="C703" s="1" t="str">
        <x:f>'Habilidades'!D3605</x:f>
        <x:v>Heat Wave</x:v>
      </x:c>
      <x:c r="D703" s="1" t="str">
        <x:f>'Habilidades'!F3605</x:f>
        <x:v>Especial</x:v>
      </x:c>
      <x:c r="E703" s="18" t="n">
        <x:f>'Habilidades'!G3605</x:f>
        <x:v>95</x:v>
      </x:c>
      <x:c r="F703" s="18" t="n">
        <x:f>'Habilidades'!H3605</x:f>
        <x:v>135</x:v>
      </x:c>
      <x:c r="G703" s="18" t="n">
        <x:f>'Habilidades'!I3605</x:f>
        <x:v>230</x:v>
      </x:c>
    </x:row>
    <x:row r="704" ht="22" customHeight="1">
      <x:c r="A704" s="17" t="n">
        <x:f>IF(B704="","",IF(B704=B703,A703,A703+1))</x:f>
        <x:v>143</x:v>
      </x:c>
      <x:c r="B704" s="1" t="str">
        <x:f>'Ranking'!C144</x:f>
        <x:v>Volcarona</x:v>
      </x:c>
      <x:c r="C704" s="1" t="str">
        <x:f>'Habilidades'!D3606</x:f>
        <x:v>Bug Buzz</x:v>
      </x:c>
      <x:c r="D704" s="1" t="str">
        <x:f>'Habilidades'!F3606</x:f>
        <x:v>Especial</x:v>
      </x:c>
      <x:c r="E704" s="18" t="n">
        <x:f>'Habilidades'!G3606</x:f>
        <x:v>90</x:v>
      </x:c>
      <x:c r="F704" s="18" t="n">
        <x:f>'Habilidades'!H3606</x:f>
        <x:v>135</x:v>
      </x:c>
      <x:c r="G704" s="18" t="n">
        <x:f>'Habilidades'!I3606</x:f>
        <x:v>225</x:v>
      </x:c>
    </x:row>
    <x:row r="705" ht="22" customHeight="1">
      <x:c r="A705" s="17" t="n">
        <x:f>IF(B705="","",IF(B705=B704,A704,A704+1))</x:f>
        <x:v>143</x:v>
      </x:c>
      <x:c r="B705" s="1" t="str">
        <x:f>'Ranking'!C144</x:f>
        <x:v>Volcarona</x:v>
      </x:c>
      <x:c r="C705" s="1" t="str">
        <x:f>'Habilidades'!D3609</x:f>
        <x:v>Thrash</x:v>
      </x:c>
      <x:c r="D705" s="1" t="str">
        <x:f>'Habilidades'!F3609</x:f>
        <x:v>Física</x:v>
      </x:c>
      <x:c r="E705" s="18" t="n">
        <x:f>'Habilidades'!G3609</x:f>
        <x:v>120</x:v>
      </x:c>
      <x:c r="F705" s="18" t="n">
        <x:f>'Habilidades'!H3609</x:f>
        <x:v>60</x:v>
      </x:c>
      <x:c r="G705" s="18" t="n">
        <x:f>'Habilidades'!I3609</x:f>
        <x:v>180</x:v>
      </x:c>
    </x:row>
    <x:row r="706" ht="22" customHeight="1">
      <x:c r="A706" s="19" t="n">
        <x:f>IF(B706="","",IF(B706=B705,A705,A705+1))</x:f>
        <x:v>143</x:v>
      </x:c>
      <x:c r="B706" s="20" t="str">
        <x:f>'Ranking'!C144</x:f>
        <x:v>Volcarona</x:v>
      </x:c>
      <x:c r="C706" s="20" t="str">
        <x:f>'Habilidades'!D3610</x:f>
        <x:v>Flare Blitz</x:v>
      </x:c>
      <x:c r="D706" s="20" t="str">
        <x:f>'Habilidades'!F3610</x:f>
        <x:v>Física</x:v>
      </x:c>
      <x:c r="E706" s="21" t="n">
        <x:f>'Habilidades'!G3610</x:f>
        <x:v>120</x:v>
      </x:c>
      <x:c r="F706" s="21" t="n">
        <x:f>'Habilidades'!H3610</x:f>
        <x:v>60</x:v>
      </x:c>
      <x:c r="G706" s="21" t="n">
        <x:f>'Habilidades'!I3610</x:f>
        <x:v>180</x:v>
      </x:c>
    </x:row>
    <x:row r="707" ht="22" customHeight="1">
      <x:c r="A707" s="17" t="n">
        <x:f>IF(B707="","",IF(B707=B706,A706,A706+1))</x:f>
        <x:v>144</x:v>
      </x:c>
      <x:c r="B707" s="1" t="str">
        <x:f>'Ranking'!C148</x:f>
        <x:v>Braviary</x:v>
      </x:c>
      <x:c r="C707" s="1" t="str">
        <x:f>'Habilidades'!D3582</x:f>
        <x:v>Thrash</x:v>
      </x:c>
      <x:c r="D707" s="1" t="str">
        <x:f>'Habilidades'!F3582</x:f>
        <x:v>Física</x:v>
      </x:c>
      <x:c r="E707" s="18" t="n">
        <x:f>'Habilidades'!G3582</x:f>
        <x:v>120</x:v>
      </x:c>
      <x:c r="F707" s="18" t="n">
        <x:f>'Habilidades'!H3582</x:f>
        <x:v>123</x:v>
      </x:c>
      <x:c r="G707" s="18" t="n">
        <x:f>'Habilidades'!I3582</x:f>
        <x:v>243</x:v>
      </x:c>
    </x:row>
    <x:row r="708" ht="22" customHeight="1">
      <x:c r="A708" s="17" t="n">
        <x:f>IF(B708="","",IF(B708=B707,A707,A707+1))</x:f>
        <x:v>144</x:v>
      </x:c>
      <x:c r="B708" s="1" t="str">
        <x:f>'Ranking'!C148</x:f>
        <x:v>Braviary</x:v>
      </x:c>
      <x:c r="C708" s="1" t="str">
        <x:f>'Habilidades'!D3583</x:f>
        <x:v>Superpower</x:v>
      </x:c>
      <x:c r="D708" s="1" t="str">
        <x:f>'Habilidades'!F3583</x:f>
        <x:v>Física</x:v>
      </x:c>
      <x:c r="E708" s="18" t="n">
        <x:f>'Habilidades'!G3583</x:f>
        <x:v>120</x:v>
      </x:c>
      <x:c r="F708" s="18" t="n">
        <x:f>'Habilidades'!H3583</x:f>
        <x:v>123</x:v>
      </x:c>
      <x:c r="G708" s="18" t="n">
        <x:f>'Habilidades'!I3583</x:f>
        <x:v>243</x:v>
      </x:c>
    </x:row>
    <x:row r="709" ht="22" customHeight="1">
      <x:c r="A709" s="17" t="n">
        <x:f>IF(B709="","",IF(B709=B708,A708,A708+1))</x:f>
        <x:v>144</x:v>
      </x:c>
      <x:c r="B709" s="1" t="str">
        <x:f>'Ranking'!C148</x:f>
        <x:v>Braviary</x:v>
      </x:c>
      <x:c r="C709" s="1" t="str">
        <x:f>'Habilidades'!D3584</x:f>
        <x:v>Brave Bird</x:v>
      </x:c>
      <x:c r="D709" s="1" t="str">
        <x:f>'Habilidades'!F3584</x:f>
        <x:v>Física</x:v>
      </x:c>
      <x:c r="E709" s="18" t="n">
        <x:f>'Habilidades'!G3584</x:f>
        <x:v>120</x:v>
      </x:c>
      <x:c r="F709" s="18" t="n">
        <x:f>'Habilidades'!H3584</x:f>
        <x:v>123</x:v>
      </x:c>
      <x:c r="G709" s="18" t="n">
        <x:f>'Habilidades'!I3584</x:f>
        <x:v>243</x:v>
      </x:c>
    </x:row>
    <x:row r="710" ht="22" customHeight="1">
      <x:c r="A710" s="17" t="n">
        <x:f>IF(B710="","",IF(B710=B709,A709,A709+1))</x:f>
        <x:v>144</x:v>
      </x:c>
      <x:c r="B710" s="1" t="str">
        <x:f>'Ranking'!C148</x:f>
        <x:v>Braviary</x:v>
      </x:c>
      <x:c r="C710" s="1" t="str">
        <x:f>'Habilidades'!D3585</x:f>
        <x:v>Crush Claw</x:v>
      </x:c>
      <x:c r="D710" s="1" t="str">
        <x:f>'Habilidades'!F3585</x:f>
        <x:v>Física</x:v>
      </x:c>
      <x:c r="E710" s="18" t="n">
        <x:f>'Habilidades'!G3585</x:f>
        <x:v>75</x:v>
      </x:c>
      <x:c r="F710" s="18" t="n">
        <x:f>'Habilidades'!H3585</x:f>
        <x:v>123</x:v>
      </x:c>
      <x:c r="G710" s="18" t="n">
        <x:f>'Habilidades'!I3585</x:f>
        <x:v>198</x:v>
      </x:c>
    </x:row>
    <x:row r="711" ht="22" customHeight="1">
      <x:c r="A711" s="19" t="n">
        <x:f>IF(B711="","",IF(B711=B710,A710,A710+1))</x:f>
        <x:v>144</x:v>
      </x:c>
      <x:c r="B711" s="20" t="str">
        <x:f>'Ranking'!C148</x:f>
        <x:v>Braviary</x:v>
      </x:c>
      <x:c r="C711" s="20" t="str">
        <x:f>'Habilidades'!D3592</x:f>
        <x:v>Air Slash</x:v>
      </x:c>
      <x:c r="D711" s="20" t="str">
        <x:f>'Habilidades'!F3592</x:f>
        <x:v>Especial</x:v>
      </x:c>
      <x:c r="E711" s="21" t="n">
        <x:f>'Habilidades'!G3592</x:f>
        <x:v>75</x:v>
      </x:c>
      <x:c r="F711" s="21" t="n">
        <x:f>'Habilidades'!H3592</x:f>
        <x:v>57</x:v>
      </x:c>
      <x:c r="G711" s="21" t="n">
        <x:f>'Habilidades'!I3592</x:f>
        <x:v>132</x:v>
      </x:c>
    </x:row>
    <x:row r="712" ht="22" customHeight="1">
      <x:c r="A712" s="17" t="n">
        <x:f>IF(B712="","",IF(B712=B711,A711,A711+1))</x:f>
        <x:v>145</x:v>
      </x:c>
      <x:c r="B712" s="1" t="str">
        <x:f>'Ranking'!C149</x:f>
        <x:v>Exploud</x:v>
      </x:c>
      <x:c r="C712" s="1" t="str">
        <x:f>'Habilidades'!D2593</x:f>
        <x:v>Hyper Beam</x:v>
      </x:c>
      <x:c r="D712" s="1" t="str">
        <x:f>'Habilidades'!F2593</x:f>
        <x:v>Especial</x:v>
      </x:c>
      <x:c r="E712" s="18" t="n">
        <x:f>'Habilidades'!G2593</x:f>
        <x:v>150</x:v>
      </x:c>
      <x:c r="F712" s="18" t="n">
        <x:f>'Habilidades'!H2593</x:f>
        <x:v>91</x:v>
      </x:c>
      <x:c r="G712" s="18" t="n">
        <x:f>'Habilidades'!I2593</x:f>
        <x:v>241</x:v>
      </x:c>
    </x:row>
    <x:row r="713" ht="22" customHeight="1">
      <x:c r="A713" s="17" t="n">
        <x:f>IF(B713="","",IF(B713=B712,A712,A712+1))</x:f>
        <x:v>145</x:v>
      </x:c>
      <x:c r="B713" s="1" t="str">
        <x:f>'Ranking'!C149</x:f>
        <x:v>Exploud</x:v>
      </x:c>
      <x:c r="C713" s="1" t="str">
        <x:f>'Habilidades'!D2594</x:f>
        <x:v>Boomburst</x:v>
      </x:c>
      <x:c r="D713" s="1" t="str">
        <x:f>'Habilidades'!F2594</x:f>
        <x:v>Especial</x:v>
      </x:c>
      <x:c r="E713" s="18" t="n">
        <x:f>'Habilidades'!G2594</x:f>
        <x:v>140</x:v>
      </x:c>
      <x:c r="F713" s="18" t="n">
        <x:f>'Habilidades'!H2594</x:f>
        <x:v>91</x:v>
      </x:c>
      <x:c r="G713" s="18" t="n">
        <x:f>'Habilidades'!I2594</x:f>
        <x:v>231</x:v>
      </x:c>
    </x:row>
    <x:row r="714" ht="22" customHeight="1">
      <x:c r="A714" s="17" t="n">
        <x:f>IF(B714="","",IF(B714=B713,A713,A713+1))</x:f>
        <x:v>145</x:v>
      </x:c>
      <x:c r="B714" s="1" t="str">
        <x:f>'Ranking'!C149</x:f>
        <x:v>Exploud</x:v>
      </x:c>
      <x:c r="C714" s="1" t="str">
        <x:f>'Habilidades'!D2595</x:f>
        <x:v>Synchronoise</x:v>
      </x:c>
      <x:c r="D714" s="1" t="str">
        <x:f>'Habilidades'!F2595</x:f>
        <x:v>Especial</x:v>
      </x:c>
      <x:c r="E714" s="18" t="n">
        <x:f>'Habilidades'!G2595</x:f>
        <x:v>120</x:v>
      </x:c>
      <x:c r="F714" s="18" t="n">
        <x:f>'Habilidades'!H2595</x:f>
        <x:v>91</x:v>
      </x:c>
      <x:c r="G714" s="18" t="n">
        <x:f>'Habilidades'!I2595</x:f>
        <x:v>211</x:v>
      </x:c>
    </x:row>
    <x:row r="715" ht="22" customHeight="1">
      <x:c r="A715" s="17" t="n">
        <x:f>IF(B715="","",IF(B715=B714,A714,A714+1))</x:f>
        <x:v>145</x:v>
      </x:c>
      <x:c r="B715" s="1" t="str">
        <x:f>'Ranking'!C149</x:f>
        <x:v>Exploud</x:v>
      </x:c>
      <x:c r="C715" s="1" t="str">
        <x:f>'Habilidades'!D2596</x:f>
        <x:v>Uproar</x:v>
      </x:c>
      <x:c r="D715" s="1" t="str">
        <x:f>'Habilidades'!F2596</x:f>
        <x:v>Especial</x:v>
      </x:c>
      <x:c r="E715" s="18" t="n">
        <x:f>'Habilidades'!G2596</x:f>
        <x:v>90</x:v>
      </x:c>
      <x:c r="F715" s="18" t="n">
        <x:f>'Habilidades'!H2596</x:f>
        <x:v>91</x:v>
      </x:c>
      <x:c r="G715" s="18" t="n">
        <x:f>'Habilidades'!I2596</x:f>
        <x:v>181</x:v>
      </x:c>
    </x:row>
    <x:row r="716" ht="22" customHeight="1">
      <x:c r="A716" s="19" t="n">
        <x:f>IF(B716="","",IF(B716=B715,A715,A715+1))</x:f>
        <x:v>145</x:v>
      </x:c>
      <x:c r="B716" s="20" t="str">
        <x:f>'Ranking'!C149</x:f>
        <x:v>Exploud</x:v>
      </x:c>
      <x:c r="C716" s="20" t="str">
        <x:f>'Habilidades'!D2597</x:f>
        <x:v>Hyper Voice</x:v>
      </x:c>
      <x:c r="D716" s="20" t="str">
        <x:f>'Habilidades'!F2597</x:f>
        <x:v>Especial</x:v>
      </x:c>
      <x:c r="E716" s="21" t="n">
        <x:f>'Habilidades'!G2597</x:f>
        <x:v>90</x:v>
      </x:c>
      <x:c r="F716" s="21" t="n">
        <x:f>'Habilidades'!H2597</x:f>
        <x:v>91</x:v>
      </x:c>
      <x:c r="G716" s="21" t="n">
        <x:f>'Habilidades'!I2597</x:f>
        <x:v>181</x:v>
      </x:c>
    </x:row>
    <x:row r="717" ht="22" customHeight="1">
      <x:c r="A717" s="17" t="n">
        <x:f>IF(B717="","",IF(B717=B716,A716,A716+1))</x:f>
        <x:v>146</x:v>
      </x:c>
      <x:c r="B717" s="1" t="str">
        <x:f>'Ranking'!C151</x:f>
        <x:v>Granbull</x:v>
      </x:c>
      <x:c r="C717" s="1" t="str">
        <x:f>'Habilidades'!D1950</x:f>
        <x:v>Outrage</x:v>
      </x:c>
      <x:c r="D717" s="1" t="str">
        <x:f>'Habilidades'!F1950</x:f>
        <x:v>Física</x:v>
      </x:c>
      <x:c r="E717" s="18" t="n">
        <x:f>'Habilidades'!G1950</x:f>
        <x:v>120</x:v>
      </x:c>
      <x:c r="F717" s="18" t="n">
        <x:f>'Habilidades'!H1950</x:f>
        <x:v>120</x:v>
      </x:c>
      <x:c r="G717" s="18" t="n">
        <x:f>'Habilidades'!I1950</x:f>
        <x:v>240</x:v>
      </x:c>
    </x:row>
    <x:row r="718" ht="22" customHeight="1">
      <x:c r="A718" s="17" t="n">
        <x:f>IF(B718="","",IF(B718=B717,A717,A717+1))</x:f>
        <x:v>146</x:v>
      </x:c>
      <x:c r="B718" s="1" t="str">
        <x:f>'Ranking'!C151</x:f>
        <x:v>Granbull</x:v>
      </x:c>
      <x:c r="C718" s="1" t="str">
        <x:f>'Habilidades'!D1951</x:f>
        <x:v>Play Rough</x:v>
      </x:c>
      <x:c r="D718" s="1" t="str">
        <x:f>'Habilidades'!F1951</x:f>
        <x:v>Física</x:v>
      </x:c>
      <x:c r="E718" s="18" t="n">
        <x:f>'Habilidades'!G1951</x:f>
        <x:v>90</x:v>
      </x:c>
      <x:c r="F718" s="18" t="n">
        <x:f>'Habilidades'!H1951</x:f>
        <x:v>120</x:v>
      </x:c>
      <x:c r="G718" s="18" t="n">
        <x:f>'Habilidades'!I1951</x:f>
        <x:v>210</x:v>
      </x:c>
    </x:row>
    <x:row r="719" ht="22" customHeight="1">
      <x:c r="A719" s="17" t="n">
        <x:f>IF(B719="","",IF(B719=B718,A718,A718+1))</x:f>
        <x:v>146</x:v>
      </x:c>
      <x:c r="B719" s="1" t="str">
        <x:f>'Ranking'!C151</x:f>
        <x:v>Granbull</x:v>
      </x:c>
      <x:c r="C719" s="1" t="str">
        <x:f>'Habilidades'!D1952</x:f>
        <x:v>Crunch</x:v>
      </x:c>
      <x:c r="D719" s="1" t="str">
        <x:f>'Habilidades'!F1952</x:f>
        <x:v>Física</x:v>
      </x:c>
      <x:c r="E719" s="18" t="n">
        <x:f>'Habilidades'!G1952</x:f>
        <x:v>80</x:v>
      </x:c>
      <x:c r="F719" s="18" t="n">
        <x:f>'Habilidades'!H1952</x:f>
        <x:v>120</x:v>
      </x:c>
      <x:c r="G719" s="18" t="n">
        <x:f>'Habilidades'!I1952</x:f>
        <x:v>200</x:v>
      </x:c>
    </x:row>
    <x:row r="720" ht="22" customHeight="1">
      <x:c r="A720" s="17" t="n">
        <x:f>IF(B720="","",IF(B720=B719,A719,A719+1))</x:f>
        <x:v>146</x:v>
      </x:c>
      <x:c r="B720" s="1" t="str">
        <x:f>'Ranking'!C151</x:f>
        <x:v>Granbull</x:v>
      </x:c>
      <x:c r="C720" s="1" t="str">
        <x:f>'Habilidades'!D1953</x:f>
        <x:v>Headbutt</x:v>
      </x:c>
      <x:c r="D720" s="1" t="str">
        <x:f>'Habilidades'!F1953</x:f>
        <x:v>Física</x:v>
      </x:c>
      <x:c r="E720" s="18" t="n">
        <x:f>'Habilidades'!G1953</x:f>
        <x:v>70</x:v>
      </x:c>
      <x:c r="F720" s="18" t="n">
        <x:f>'Habilidades'!H1953</x:f>
        <x:v>120</x:v>
      </x:c>
      <x:c r="G720" s="18" t="n">
        <x:f>'Habilidades'!I1953</x:f>
        <x:v>190</x:v>
      </x:c>
    </x:row>
    <x:row r="721" ht="22" customHeight="1">
      <x:c r="A721" s="19" t="n">
        <x:f>IF(B721="","",IF(B721=B720,A720,A720+1))</x:f>
        <x:v>146</x:v>
      </x:c>
      <x:c r="B721" s="20" t="str">
        <x:f>'Ranking'!C151</x:f>
        <x:v>Granbull</x:v>
      </x:c>
      <x:c r="C721" s="20" t="str">
        <x:f>'Habilidades'!D1954</x:f>
        <x:v>Thunder Fang</x:v>
      </x:c>
      <x:c r="D721" s="20" t="str">
        <x:f>'Habilidades'!F1954</x:f>
        <x:v>Física</x:v>
      </x:c>
      <x:c r="E721" s="21" t="n">
        <x:f>'Habilidades'!G1954</x:f>
        <x:v>65</x:v>
      </x:c>
      <x:c r="F721" s="21" t="n">
        <x:f>'Habilidades'!H1954</x:f>
        <x:v>120</x:v>
      </x:c>
      <x:c r="G721" s="21" t="n">
        <x:f>'Habilidades'!I1954</x:f>
        <x:v>185</x:v>
      </x:c>
    </x:row>
    <x:row r="722" ht="22" customHeight="1">
      <x:c r="A722" s="17" t="n">
        <x:f>IF(B722="","",IF(B722=B721,A721,A721+1))</x:f>
        <x:v>147</x:v>
      </x:c>
      <x:c r="B722" s="1" t="str">
        <x:f>'Ranking'!C150</x:f>
        <x:v>Kadabra</x:v>
      </x:c>
      <x:c r="C722" s="1" t="str">
        <x:f>'Habilidades'!D560</x:f>
        <x:v>Future Sight</x:v>
      </x:c>
      <x:c r="D722" s="1" t="str">
        <x:f>'Habilidades'!F560</x:f>
        <x:v>Especial</x:v>
      </x:c>
      <x:c r="E722" s="18" t="n">
        <x:f>'Habilidades'!G560</x:f>
        <x:v>120</x:v>
      </x:c>
      <x:c r="F722" s="18" t="n">
        <x:f>'Habilidades'!H560</x:f>
        <x:v>120</x:v>
      </x:c>
      <x:c r="G722" s="18" t="n">
        <x:f>'Habilidades'!I560</x:f>
        <x:v>240</x:v>
      </x:c>
    </x:row>
    <x:row r="723" ht="22" customHeight="1">
      <x:c r="A723" s="17" t="n">
        <x:f>IF(B723="","",IF(B723=B722,A722,A722+1))</x:f>
        <x:v>147</x:v>
      </x:c>
      <x:c r="B723" s="1" t="str">
        <x:f>'Ranking'!C150</x:f>
        <x:v>Kadabra</x:v>
      </x:c>
      <x:c r="C723" s="1" t="str">
        <x:f>'Habilidades'!D561</x:f>
        <x:v>Psychic</x:v>
      </x:c>
      <x:c r="D723" s="1" t="str">
        <x:f>'Habilidades'!F561</x:f>
        <x:v>Especial</x:v>
      </x:c>
      <x:c r="E723" s="18" t="n">
        <x:f>'Habilidades'!G561</x:f>
        <x:v>90</x:v>
      </x:c>
      <x:c r="F723" s="18" t="n">
        <x:f>'Habilidades'!H561</x:f>
        <x:v>120</x:v>
      </x:c>
      <x:c r="G723" s="18" t="n">
        <x:f>'Habilidades'!I561</x:f>
        <x:v>210</x:v>
      </x:c>
    </x:row>
    <x:row r="724" ht="22" customHeight="1">
      <x:c r="A724" s="17" t="n">
        <x:f>IF(B724="","",IF(B724=B723,A723,A723+1))</x:f>
        <x:v>147</x:v>
      </x:c>
      <x:c r="B724" s="1" t="str">
        <x:f>'Ranking'!C150</x:f>
        <x:v>Kadabra</x:v>
      </x:c>
      <x:c r="C724" s="1" t="str">
        <x:f>'Habilidades'!D562</x:f>
        <x:v>Psybeam</x:v>
      </x:c>
      <x:c r="D724" s="1" t="str">
        <x:f>'Habilidades'!F562</x:f>
        <x:v>Especial</x:v>
      </x:c>
      <x:c r="E724" s="18" t="n">
        <x:f>'Habilidades'!G562</x:f>
        <x:v>65</x:v>
      </x:c>
      <x:c r="F724" s="18" t="n">
        <x:f>'Habilidades'!H562</x:f>
        <x:v>120</x:v>
      </x:c>
      <x:c r="G724" s="18" t="n">
        <x:f>'Habilidades'!I562</x:f>
        <x:v>185</x:v>
      </x:c>
    </x:row>
    <x:row r="725" ht="22" customHeight="1">
      <x:c r="A725" s="17" t="n">
        <x:f>IF(B725="","",IF(B725=B724,A724,A724+1))</x:f>
        <x:v>147</x:v>
      </x:c>
      <x:c r="B725" s="1" t="str">
        <x:f>'Ranking'!C150</x:f>
        <x:v>Kadabra</x:v>
      </x:c>
      <x:c r="C725" s="1" t="str">
        <x:f>'Habilidades'!D563</x:f>
        <x:v>Confusion</x:v>
      </x:c>
      <x:c r="D725" s="1" t="str">
        <x:f>'Habilidades'!F563</x:f>
        <x:v>Especial</x:v>
      </x:c>
      <x:c r="E725" s="18" t="n">
        <x:f>'Habilidades'!G563</x:f>
        <x:v>50</x:v>
      </x:c>
      <x:c r="F725" s="18" t="n">
        <x:f>'Habilidades'!H563</x:f>
        <x:v>120</x:v>
      </x:c>
      <x:c r="G725" s="18" t="n">
        <x:f>'Habilidades'!I563</x:f>
        <x:v>170</x:v>
      </x:c>
    </x:row>
    <x:row r="726" ht="22" customHeight="1">
      <x:c r="A726" s="19" t="n">
        <x:f>IF(B726="","",IF(B726=B725,A725,A725+1))</x:f>
        <x:v>147</x:v>
      </x:c>
      <x:c r="B726" s="20" t="str">
        <x:f>'Ranking'!C150</x:f>
        <x:v>Kadabra</x:v>
      </x:c>
      <x:c r="C726" s="20" t="str">
        <x:f>'Habilidades'!D564</x:f>
        <x:v>Psycho Cut</x:v>
      </x:c>
      <x:c r="D726" s="20" t="str">
        <x:f>'Habilidades'!F564</x:f>
        <x:v>Física</x:v>
      </x:c>
      <x:c r="E726" s="21" t="n">
        <x:f>'Habilidades'!G564</x:f>
        <x:v>70</x:v>
      </x:c>
      <x:c r="F726" s="21" t="n">
        <x:f>'Habilidades'!H564</x:f>
        <x:v>35</x:v>
      </x:c>
      <x:c r="G726" s="21" t="n">
        <x:f>'Habilidades'!I564</x:f>
        <x:v>105</x:v>
      </x:c>
    </x:row>
    <x:row r="727" ht="22" customHeight="1">
      <x:c r="A727" s="17" t="n">
        <x:f>IF(B727="","",IF(B727=B726,A726,A726+1))</x:f>
        <x:v>148</x:v>
      </x:c>
      <x:c r="B727" s="1" t="str">
        <x:f>'Ranking'!C153</x:f>
        <x:v>Eelektross</x:v>
      </x:c>
      <x:c r="C727" s="1" t="str">
        <x:f>'Habilidades'!D3541</x:f>
        <x:v>Thrash</x:v>
      </x:c>
      <x:c r="D727" s="1" t="str">
        <x:f>'Habilidades'!F3541</x:f>
        <x:v>Física</x:v>
      </x:c>
      <x:c r="E727" s="18" t="n">
        <x:f>'Habilidades'!G3541</x:f>
        <x:v>120</x:v>
      </x:c>
      <x:c r="F727" s="18" t="n">
        <x:f>'Habilidades'!H3541</x:f>
        <x:v>115</x:v>
      </x:c>
      <x:c r="G727" s="18" t="n">
        <x:f>'Habilidades'!I3541</x:f>
        <x:v>235</x:v>
      </x:c>
    </x:row>
    <x:row r="728" ht="22" customHeight="1">
      <x:c r="A728" s="17" t="n">
        <x:f>IF(B728="","",IF(B728=B727,A727,A727+1))</x:f>
        <x:v>148</x:v>
      </x:c>
      <x:c r="B728" s="1" t="str">
        <x:f>'Ranking'!C153</x:f>
        <x:v>Eelektross</x:v>
      </x:c>
      <x:c r="C728" s="1" t="str">
        <x:f>'Habilidades'!D3542</x:f>
        <x:v>Zap Cannon</x:v>
      </x:c>
      <x:c r="D728" s="1" t="str">
        <x:f>'Habilidades'!F3542</x:f>
        <x:v>Especial</x:v>
      </x:c>
      <x:c r="E728" s="18" t="n">
        <x:f>'Habilidades'!G3542</x:f>
        <x:v>120</x:v>
      </x:c>
      <x:c r="F728" s="18" t="n">
        <x:f>'Habilidades'!H3542</x:f>
        <x:v>105</x:v>
      </x:c>
      <x:c r="G728" s="18" t="n">
        <x:f>'Habilidades'!I3542</x:f>
        <x:v>225</x:v>
      </x:c>
    </x:row>
    <x:row r="729" ht="22" customHeight="1">
      <x:c r="A729" s="17" t="n">
        <x:f>IF(B729="","",IF(B729=B728,A728,A728+1))</x:f>
        <x:v>148</x:v>
      </x:c>
      <x:c r="B729" s="1" t="str">
        <x:f>'Ranking'!C153</x:f>
        <x:v>Eelektross</x:v>
      </x:c>
      <x:c r="C729" s="1" t="str">
        <x:f>'Habilidades'!D3543</x:f>
        <x:v>Crunch</x:v>
      </x:c>
      <x:c r="D729" s="1" t="str">
        <x:f>'Habilidades'!F3543</x:f>
        <x:v>Física</x:v>
      </x:c>
      <x:c r="E729" s="18" t="n">
        <x:f>'Habilidades'!G3543</x:f>
        <x:v>80</x:v>
      </x:c>
      <x:c r="F729" s="18" t="n">
        <x:f>'Habilidades'!H3543</x:f>
        <x:v>115</x:v>
      </x:c>
      <x:c r="G729" s="18" t="n">
        <x:f>'Habilidades'!I3543</x:f>
        <x:v>195</x:v>
      </x:c>
    </x:row>
    <x:row r="730" ht="22" customHeight="1">
      <x:c r="A730" s="17" t="n">
        <x:f>IF(B730="","",IF(B730=B729,A729,A729+1))</x:f>
        <x:v>148</x:v>
      </x:c>
      <x:c r="B730" s="1" t="str">
        <x:f>'Ranking'!C153</x:f>
        <x:v>Eelektross</x:v>
      </x:c>
      <x:c r="C730" s="1" t="str">
        <x:f>'Habilidades'!D3544</x:f>
        <x:v>Crush Claw</x:v>
      </x:c>
      <x:c r="D730" s="1" t="str">
        <x:f>'Habilidades'!F3544</x:f>
        <x:v>Física</x:v>
      </x:c>
      <x:c r="E730" s="18" t="n">
        <x:f>'Habilidades'!G3544</x:f>
        <x:v>75</x:v>
      </x:c>
      <x:c r="F730" s="18" t="n">
        <x:f>'Habilidades'!H3544</x:f>
        <x:v>115</x:v>
      </x:c>
      <x:c r="G730" s="18" t="n">
        <x:f>'Habilidades'!I3544</x:f>
        <x:v>190</x:v>
      </x:c>
    </x:row>
    <x:row r="731" ht="22" customHeight="1">
      <x:c r="A731" s="19" t="n">
        <x:f>IF(B731="","",IF(B731=B730,A730,A730+1))</x:f>
        <x:v>148</x:v>
      </x:c>
      <x:c r="B731" s="20" t="str">
        <x:f>'Ranking'!C153</x:f>
        <x:v>Eelektross</x:v>
      </x:c>
      <x:c r="C731" s="20" t="str">
        <x:f>'Habilidades'!D3545</x:f>
        <x:v>Discharge</x:v>
      </x:c>
      <x:c r="D731" s="20" t="str">
        <x:f>'Habilidades'!F3545</x:f>
        <x:v>Especial</x:v>
      </x:c>
      <x:c r="E731" s="21" t="n">
        <x:f>'Habilidades'!G3545</x:f>
        <x:v>80</x:v>
      </x:c>
      <x:c r="F731" s="21" t="n">
        <x:f>'Habilidades'!H3545</x:f>
        <x:v>105</x:v>
      </x:c>
      <x:c r="G731" s="21" t="n">
        <x:f>'Habilidades'!I3545</x:f>
        <x:v>185</x:v>
      </x:c>
    </x:row>
    <x:row r="732" ht="22" customHeight="1">
      <x:c r="A732" s="17" t="n">
        <x:f>IF(B732="","",IF(B732=B731,A731,A731+1))</x:f>
        <x:v>149</x:v>
      </x:c>
      <x:c r="B732" s="1" t="str">
        <x:f>'Ranking'!C154</x:f>
        <x:v>Sceptile</x:v>
      </x:c>
      <x:c r="C732" s="1" t="str">
        <x:f>'Habilidades'!D2372</x:f>
        <x:v>Leaf Storm</x:v>
      </x:c>
      <x:c r="D732" s="1" t="str">
        <x:f>'Habilidades'!F2372</x:f>
        <x:v>Especial</x:v>
      </x:c>
      <x:c r="E732" s="18" t="n">
        <x:f>'Habilidades'!G2372</x:f>
        <x:v>130</x:v>
      </x:c>
      <x:c r="F732" s="18" t="n">
        <x:f>'Habilidades'!H2372</x:f>
        <x:v>105</x:v>
      </x:c>
      <x:c r="G732" s="18" t="n">
        <x:f>'Habilidades'!I2372</x:f>
        <x:v>235</x:v>
      </x:c>
    </x:row>
    <x:row r="733" ht="22" customHeight="1">
      <x:c r="A733" s="17" t="n">
        <x:f>IF(B733="","",IF(B733=B732,A732,A732+1))</x:f>
        <x:v>149</x:v>
      </x:c>
      <x:c r="B733" s="1" t="str">
        <x:f>'Ranking'!C154</x:f>
        <x:v>Sceptile</x:v>
      </x:c>
      <x:c r="C733" s="1" t="str">
        <x:f>'Habilidades'!D2373</x:f>
        <x:v>Leaf Blade</x:v>
      </x:c>
      <x:c r="D733" s="1" t="str">
        <x:f>'Habilidades'!F2373</x:f>
        <x:v>Física</x:v>
      </x:c>
      <x:c r="E733" s="18" t="n">
        <x:f>'Habilidades'!G2373</x:f>
        <x:v>90</x:v>
      </x:c>
      <x:c r="F733" s="18" t="n">
        <x:f>'Habilidades'!H2373</x:f>
        <x:v>85</x:v>
      </x:c>
      <x:c r="G733" s="18" t="n">
        <x:f>'Habilidades'!I2373</x:f>
        <x:v>175</x:v>
      </x:c>
    </x:row>
    <x:row r="734" ht="22" customHeight="1">
      <x:c r="A734" s="17" t="n">
        <x:f>IF(B734="","",IF(B734=B733,A733,A733+1))</x:f>
        <x:v>149</x:v>
      </x:c>
      <x:c r="B734" s="1" t="str">
        <x:f>'Ranking'!C154</x:f>
        <x:v>Sceptile</x:v>
      </x:c>
      <x:c r="C734" s="1" t="str">
        <x:f>'Habilidades'!D2374</x:f>
        <x:v>Slam</x:v>
      </x:c>
      <x:c r="D734" s="1" t="str">
        <x:f>'Habilidades'!F2374</x:f>
        <x:v>Física</x:v>
      </x:c>
      <x:c r="E734" s="18" t="n">
        <x:f>'Habilidades'!G2374</x:f>
        <x:v>80</x:v>
      </x:c>
      <x:c r="F734" s="18" t="n">
        <x:f>'Habilidades'!H2374</x:f>
        <x:v>85</x:v>
      </x:c>
      <x:c r="G734" s="18" t="n">
        <x:f>'Habilidades'!I2374</x:f>
        <x:v>165</x:v>
      </x:c>
    </x:row>
    <x:row r="735" ht="22" customHeight="1">
      <x:c r="A735" s="17" t="n">
        <x:f>IF(B735="","",IF(B735=B734,A734,A734+1))</x:f>
        <x:v>149</x:v>
      </x:c>
      <x:c r="B735" s="1" t="str">
        <x:f>'Ranking'!C154</x:f>
        <x:v>Sceptile</x:v>
      </x:c>
      <x:c r="C735" s="1" t="str">
        <x:f>'Habilidades'!D2375</x:f>
        <x:v>X-Scissor</x:v>
      </x:c>
      <x:c r="D735" s="1" t="str">
        <x:f>'Habilidades'!F2375</x:f>
        <x:v>Física</x:v>
      </x:c>
      <x:c r="E735" s="18" t="n">
        <x:f>'Habilidades'!G2375</x:f>
        <x:v>80</x:v>
      </x:c>
      <x:c r="F735" s="18" t="n">
        <x:f>'Habilidades'!H2375</x:f>
        <x:v>85</x:v>
      </x:c>
      <x:c r="G735" s="18" t="n">
        <x:f>'Habilidades'!I2375</x:f>
        <x:v>165</x:v>
      </x:c>
    </x:row>
    <x:row r="736" ht="22" customHeight="1">
      <x:c r="A736" s="19" t="n">
        <x:f>IF(B736="","",IF(B736=B735,A735,A735+1))</x:f>
        <x:v>149</x:v>
      </x:c>
      <x:c r="B736" s="20" t="str">
        <x:f>'Ranking'!C154</x:f>
        <x:v>Sceptile</x:v>
      </x:c>
      <x:c r="C736" s="20" t="str">
        <x:f>'Habilidades'!D2376</x:f>
        <x:v>Night Slash</x:v>
      </x:c>
      <x:c r="D736" s="20" t="str">
        <x:f>'Habilidades'!F2376</x:f>
        <x:v>Física</x:v>
      </x:c>
      <x:c r="E736" s="21" t="n">
        <x:f>'Habilidades'!G2376</x:f>
        <x:v>70</x:v>
      </x:c>
      <x:c r="F736" s="21" t="n">
        <x:f>'Habilidades'!H2376</x:f>
        <x:v>85</x:v>
      </x:c>
      <x:c r="G736" s="21" t="n">
        <x:f>'Habilidades'!I2376</x:f>
        <x:v>155</x:v>
      </x:c>
    </x:row>
    <x:row r="737" ht="22" customHeight="1">
      <x:c r="A737" s="17" t="n">
        <x:f>IF(B737="","",IF(B737=B736,A736,A736+1))</x:f>
        <x:v>150</x:v>
      </x:c>
      <x:c r="B737" s="1" t="str">
        <x:f>'Ranking'!C152</x:f>
        <x:v>Zangoose</x:v>
      </x:c>
      <x:c r="C737" s="1" t="str">
        <x:f>'Habilidades'!D2858</x:f>
        <x:v>Close Combat</x:v>
      </x:c>
      <x:c r="D737" s="1" t="str">
        <x:f>'Habilidades'!F2858</x:f>
        <x:v>Física</x:v>
      </x:c>
      <x:c r="E737" s="18" t="n">
        <x:f>'Habilidades'!G2858</x:f>
        <x:v>120</x:v>
      </x:c>
      <x:c r="F737" s="18" t="n">
        <x:f>'Habilidades'!H2858</x:f>
        <x:v>115</x:v>
      </x:c>
      <x:c r="G737" s="18" t="n">
        <x:f>'Habilidades'!I2858</x:f>
        <x:v>235</x:v>
      </x:c>
    </x:row>
    <x:row r="738" ht="22" customHeight="1">
      <x:c r="A738" s="17" t="n">
        <x:f>IF(B738="","",IF(B738=B737,A737,A737+1))</x:f>
        <x:v>150</x:v>
      </x:c>
      <x:c r="B738" s="1" t="str">
        <x:f>'Ranking'!C152</x:f>
        <x:v>Zangoose</x:v>
      </x:c>
      <x:c r="C738" s="1" t="str">
        <x:f>'Habilidades'!D2859</x:f>
        <x:v>X-Scissor</x:v>
      </x:c>
      <x:c r="D738" s="1" t="str">
        <x:f>'Habilidades'!F2859</x:f>
        <x:v>Física</x:v>
      </x:c>
      <x:c r="E738" s="18" t="n">
        <x:f>'Habilidades'!G2859</x:f>
        <x:v>80</x:v>
      </x:c>
      <x:c r="F738" s="18" t="n">
        <x:f>'Habilidades'!H2859</x:f>
        <x:v>115</x:v>
      </x:c>
      <x:c r="G738" s="18" t="n">
        <x:f>'Habilidades'!I2859</x:f>
        <x:v>195</x:v>
      </x:c>
    </x:row>
    <x:row r="739" ht="22" customHeight="1">
      <x:c r="A739" s="17" t="n">
        <x:f>IF(B739="","",IF(B739=B738,A738,A738+1))</x:f>
        <x:v>150</x:v>
      </x:c>
      <x:c r="B739" s="1" t="str">
        <x:f>'Ranking'!C152</x:f>
        <x:v>Zangoose</x:v>
      </x:c>
      <x:c r="C739" s="1" t="str">
        <x:f>'Habilidades'!D2860</x:f>
        <x:v>Crush Claw</x:v>
      </x:c>
      <x:c r="D739" s="1" t="str">
        <x:f>'Habilidades'!F2860</x:f>
        <x:v>Física</x:v>
      </x:c>
      <x:c r="E739" s="18" t="n">
        <x:f>'Habilidades'!G2860</x:f>
        <x:v>75</x:v>
      </x:c>
      <x:c r="F739" s="18" t="n">
        <x:f>'Habilidades'!H2860</x:f>
        <x:v>115</x:v>
      </x:c>
      <x:c r="G739" s="18" t="n">
        <x:f>'Habilidades'!I2860</x:f>
        <x:v>190</x:v>
      </x:c>
    </x:row>
    <x:row r="740" ht="22" customHeight="1">
      <x:c r="A740" s="17" t="n">
        <x:f>IF(B740="","",IF(B740=B739,A739,A739+1))</x:f>
        <x:v>150</x:v>
      </x:c>
      <x:c r="B740" s="1" t="str">
        <x:f>'Ranking'!C152</x:f>
        <x:v>Zangoose</x:v>
      </x:c>
      <x:c r="C740" s="1" t="str">
        <x:f>'Habilidades'!D2861</x:f>
        <x:v>Slash</x:v>
      </x:c>
      <x:c r="D740" s="1" t="str">
        <x:f>'Habilidades'!F2861</x:f>
        <x:v>Física</x:v>
      </x:c>
      <x:c r="E740" s="18" t="n">
        <x:f>'Habilidades'!G2861</x:f>
        <x:v>70</x:v>
      </x:c>
      <x:c r="F740" s="18" t="n">
        <x:f>'Habilidades'!H2861</x:f>
        <x:v>115</x:v>
      </x:c>
      <x:c r="G740" s="18" t="n">
        <x:f>'Habilidades'!I2861</x:f>
        <x:v>185</x:v>
      </x:c>
    </x:row>
    <x:row r="741" ht="22" customHeight="1">
      <x:c r="A741" s="19" t="n">
        <x:f>IF(B741="","",IF(B741=B740,A740,A740+1))</x:f>
        <x:v>150</x:v>
      </x:c>
      <x:c r="B741" s="20" t="str">
        <x:f>'Ranking'!C152</x:f>
        <x:v>Zangoose</x:v>
      </x:c>
      <x:c r="C741" s="20" t="str">
        <x:f>'Habilidades'!D2862</x:f>
        <x:v>Revenge</x:v>
      </x:c>
      <x:c r="D741" s="20" t="str">
        <x:f>'Habilidades'!F2862</x:f>
        <x:v>Física</x:v>
      </x:c>
      <x:c r="E741" s="21" t="n">
        <x:f>'Habilidades'!G2862</x:f>
        <x:v>60</x:v>
      </x:c>
      <x:c r="F741" s="21" t="n">
        <x:f>'Habilidades'!H2862</x:f>
        <x:v>115</x:v>
      </x:c>
      <x:c r="G741" s="21" t="n">
        <x:f>'Habilidades'!I2862</x:f>
        <x:v>175</x:v>
      </x:c>
    </x:row>
    <x:row r="742" ht="22" customHeight="1">
      <x:c r="A742" s="17" t="n">
        <x:f>IF(B742="","",IF(B742=B741,A741,A741+1))</x:f>
        <x:v>151</x:v>
      </x:c>
      <x:c r="B742" s="1" t="str">
        <x:f>'Ranking'!C155</x:f>
        <x:v>Archen</x:v>
      </x:c>
      <x:c r="C742" s="1" t="str">
        <x:f>'Habilidades'!D3464</x:f>
        <x:v>Thrash</x:v>
      </x:c>
      <x:c r="D742" s="1" t="str">
        <x:f>'Habilidades'!F3464</x:f>
        <x:v>Física</x:v>
      </x:c>
      <x:c r="E742" s="18" t="n">
        <x:f>'Habilidades'!G3464</x:f>
        <x:v>120</x:v>
      </x:c>
      <x:c r="F742" s="18" t="n">
        <x:f>'Habilidades'!H3464</x:f>
        <x:v>112</x:v>
      </x:c>
      <x:c r="G742" s="18" t="n">
        <x:f>'Habilidades'!I3464</x:f>
        <x:v>232</x:v>
      </x:c>
    </x:row>
    <x:row r="743" ht="22" customHeight="1">
      <x:c r="A743" s="17" t="n">
        <x:f>IF(B743="","",IF(B743=B742,A742,A742+1))</x:f>
        <x:v>151</x:v>
      </x:c>
      <x:c r="B743" s="1" t="str">
        <x:f>'Ranking'!C155</x:f>
        <x:v>Archen</x:v>
      </x:c>
      <x:c r="C743" s="1" t="str">
        <x:f>'Habilidades'!D3465</x:f>
        <x:v>Crunch</x:v>
      </x:c>
      <x:c r="D743" s="1" t="str">
        <x:f>'Habilidades'!F3465</x:f>
        <x:v>Física</x:v>
      </x:c>
      <x:c r="E743" s="18" t="n">
        <x:f>'Habilidades'!G3465</x:f>
        <x:v>80</x:v>
      </x:c>
      <x:c r="F743" s="18" t="n">
        <x:f>'Habilidades'!H3465</x:f>
        <x:v>112</x:v>
      </x:c>
      <x:c r="G743" s="18" t="n">
        <x:f>'Habilidades'!I3465</x:f>
        <x:v>192</x:v>
      </x:c>
    </x:row>
    <x:row r="744" ht="22" customHeight="1">
      <x:c r="A744" s="17" t="n">
        <x:f>IF(B744="","",IF(B744=B743,A743,A743+1))</x:f>
        <x:v>151</x:v>
      </x:c>
      <x:c r="B744" s="1" t="str">
        <x:f>'Ranking'!C155</x:f>
        <x:v>Archen</x:v>
      </x:c>
      <x:c r="C744" s="1" t="str">
        <x:f>'Habilidades'!D3466</x:f>
        <x:v>Dragon Claw</x:v>
      </x:c>
      <x:c r="D744" s="1" t="str">
        <x:f>'Habilidades'!F3466</x:f>
        <x:v>Física</x:v>
      </x:c>
      <x:c r="E744" s="18" t="n">
        <x:f>'Habilidades'!G3466</x:f>
        <x:v>80</x:v>
      </x:c>
      <x:c r="F744" s="18" t="n">
        <x:f>'Habilidades'!H3466</x:f>
        <x:v>112</x:v>
      </x:c>
      <x:c r="G744" s="18" t="n">
        <x:f>'Habilidades'!I3466</x:f>
        <x:v>192</x:v>
      </x:c>
    </x:row>
    <x:row r="745" ht="22" customHeight="1">
      <x:c r="A745" s="17" t="n">
        <x:f>IF(B745="","",IF(B745=B744,A744,A744+1))</x:f>
        <x:v>151</x:v>
      </x:c>
      <x:c r="B745" s="1" t="str">
        <x:f>'Ranking'!C155</x:f>
        <x:v>Archen</x:v>
      </x:c>
      <x:c r="C745" s="1" t="str">
        <x:f>'Habilidades'!D3467</x:f>
        <x:v>Rock Slide</x:v>
      </x:c>
      <x:c r="D745" s="1" t="str">
        <x:f>'Habilidades'!F3467</x:f>
        <x:v>Física</x:v>
      </x:c>
      <x:c r="E745" s="18" t="n">
        <x:f>'Habilidades'!G3467</x:f>
        <x:v>75</x:v>
      </x:c>
      <x:c r="F745" s="18" t="n">
        <x:f>'Habilidades'!H3467</x:f>
        <x:v>112</x:v>
      </x:c>
      <x:c r="G745" s="18" t="n">
        <x:f>'Habilidades'!I3467</x:f>
        <x:v>187</x:v>
      </x:c>
    </x:row>
    <x:row r="746" ht="22" customHeight="1">
      <x:c r="A746" s="19" t="n">
        <x:f>IF(B746="","",IF(B746=B745,A745,A745+1))</x:f>
        <x:v>151</x:v>
      </x:c>
      <x:c r="B746" s="20" t="str">
        <x:f>'Ranking'!C155</x:f>
        <x:v>Archen</x:v>
      </x:c>
      <x:c r="C746" s="20" t="str">
        <x:f>'Habilidades'!D3468</x:f>
        <x:v>U-turn</x:v>
      </x:c>
      <x:c r="D746" s="20" t="str">
        <x:f>'Habilidades'!F3468</x:f>
        <x:v>Física</x:v>
      </x:c>
      <x:c r="E746" s="21" t="n">
        <x:f>'Habilidades'!G3468</x:f>
        <x:v>70</x:v>
      </x:c>
      <x:c r="F746" s="21" t="n">
        <x:f>'Habilidades'!H3468</x:f>
        <x:v>112</x:v>
      </x:c>
      <x:c r="G746" s="21" t="n">
        <x:f>'Habilidades'!I3468</x:f>
        <x:v>182</x:v>
      </x:c>
    </x:row>
    <x:row r="747" ht="22" customHeight="1">
      <x:c r="A747" s="17" t="n">
        <x:f>IF(B747="","",IF(B747=B746,A746,A746+1))</x:f>
        <x:v>152</x:v>
      </x:c>
      <x:c r="B747" s="1" t="str">
        <x:f>'Ranking'!C156</x:f>
        <x:v>Florges</x:v>
      </x:c>
      <x:c r="C747" s="1" t="str">
        <x:f>'Habilidades'!D3645</x:f>
        <x:v>Petal Dance</x:v>
      </x:c>
      <x:c r="D747" s="1" t="str">
        <x:f>'Habilidades'!F3645</x:f>
        <x:v>Especial</x:v>
      </x:c>
      <x:c r="E747" s="18" t="n">
        <x:f>'Habilidades'!G3645</x:f>
        <x:v>120</x:v>
      </x:c>
      <x:c r="F747" s="18" t="n">
        <x:f>'Habilidades'!H3645</x:f>
        <x:v>112</x:v>
      </x:c>
      <x:c r="G747" s="18" t="n">
        <x:f>'Habilidades'!I3645</x:f>
        <x:v>232</x:v>
      </x:c>
    </x:row>
    <x:row r="748" ht="22" customHeight="1">
      <x:c r="A748" s="17" t="n">
        <x:f>IF(B748="","",IF(B748=B747,A747,A747+1))</x:f>
        <x:v>152</x:v>
      </x:c>
      <x:c r="B748" s="1" t="str">
        <x:f>'Ranking'!C156</x:f>
        <x:v>Florges</x:v>
      </x:c>
      <x:c r="C748" s="1" t="str">
        <x:f>'Habilidades'!D3646</x:f>
        <x:v>Moonblast</x:v>
      </x:c>
      <x:c r="D748" s="1" t="str">
        <x:f>'Habilidades'!F3646</x:f>
        <x:v>Especial</x:v>
      </x:c>
      <x:c r="E748" s="18" t="n">
        <x:f>'Habilidades'!G3646</x:f>
        <x:v>95</x:v>
      </x:c>
      <x:c r="F748" s="18" t="n">
        <x:f>'Habilidades'!H3646</x:f>
        <x:v>112</x:v>
      </x:c>
      <x:c r="G748" s="18" t="n">
        <x:f>'Habilidades'!I3646</x:f>
        <x:v>207</x:v>
      </x:c>
    </x:row>
    <x:row r="749" ht="22" customHeight="1">
      <x:c r="A749" s="17" t="n">
        <x:f>IF(B749="","",IF(B749=B748,A748,A748+1))</x:f>
        <x:v>152</x:v>
      </x:c>
      <x:c r="B749" s="1" t="str">
        <x:f>'Ranking'!C156</x:f>
        <x:v>Florges</x:v>
      </x:c>
      <x:c r="C749" s="1" t="str">
        <x:f>'Habilidades'!D3647</x:f>
        <x:v>Magical Leaf</x:v>
      </x:c>
      <x:c r="D749" s="1" t="str">
        <x:f>'Habilidades'!F3647</x:f>
        <x:v>Especial</x:v>
      </x:c>
      <x:c r="E749" s="18" t="n">
        <x:f>'Habilidades'!G3647</x:f>
        <x:v>60</x:v>
      </x:c>
      <x:c r="F749" s="18" t="n">
        <x:f>'Habilidades'!H3647</x:f>
        <x:v>112</x:v>
      </x:c>
      <x:c r="G749" s="18" t="n">
        <x:f>'Habilidades'!I3647</x:f>
        <x:v>172</x:v>
      </x:c>
    </x:row>
    <x:row r="750" ht="22" customHeight="1">
      <x:c r="A750" s="17" t="n">
        <x:f>IF(B750="","",IF(B750=B749,A749,A749+1))</x:f>
        <x:v>152</x:v>
      </x:c>
      <x:c r="B750" s="1" t="str">
        <x:f>'Ranking'!C156</x:f>
        <x:v>Florges</x:v>
      </x:c>
      <x:c r="C750" s="1" t="str">
        <x:f>'Habilidades'!D3648</x:f>
        <x:v>Petal Blizzard</x:v>
      </x:c>
      <x:c r="D750" s="1" t="str">
        <x:f>'Habilidades'!F3648</x:f>
        <x:v>Física</x:v>
      </x:c>
      <x:c r="E750" s="18" t="n">
        <x:f>'Habilidades'!G3648</x:f>
        <x:v>90</x:v>
      </x:c>
      <x:c r="F750" s="18" t="n">
        <x:f>'Habilidades'!H3648</x:f>
        <x:v>65</x:v>
      </x:c>
      <x:c r="G750" s="18" t="n">
        <x:f>'Habilidades'!I3648</x:f>
        <x:v>155</x:v>
      </x:c>
    </x:row>
    <x:row r="751" ht="22" customHeight="1">
      <x:c r="A751" s="19" t="n">
        <x:f>IF(B751="","",IF(B751=B750,A750,A750+1))</x:f>
        <x:v>152</x:v>
      </x:c>
      <x:c r="B751" s="20" t="str">
        <x:f>'Ranking'!C156</x:f>
        <x:v>Florges</x:v>
      </x:c>
      <x:c r="C751" s="20" t="str">
        <x:f>'Habilidades'!D3649</x:f>
        <x:v>Disarming Voice</x:v>
      </x:c>
      <x:c r="D751" s="20" t="str">
        <x:f>'Habilidades'!F3649</x:f>
        <x:v>Especial</x:v>
      </x:c>
      <x:c r="E751" s="21" t="n">
        <x:f>'Habilidades'!G3649</x:f>
        <x:v>40</x:v>
      </x:c>
      <x:c r="F751" s="21" t="n">
        <x:f>'Habilidades'!H3649</x:f>
        <x:v>112</x:v>
      </x:c>
      <x:c r="G751" s="21" t="n">
        <x:f>'Habilidades'!I3649</x:f>
        <x:v>152</x:v>
      </x:c>
    </x:row>
    <x:row r="752" ht="22" customHeight="1">
      <x:c r="A752" s="17" t="n">
        <x:f>IF(B752="","",IF(B752=B751,A751,A751+1))</x:f>
        <x:v>153</x:v>
      </x:c>
      <x:c r="B752" s="1" t="str">
        <x:f>'Ranking'!C159</x:f>
        <x:v>Aggron</x:v>
      </x:c>
      <x:c r="C752" s="1" t="str">
        <x:f>'Habilidades'!D2664</x:f>
        <x:v>Double-Edge</x:v>
      </x:c>
      <x:c r="D752" s="1" t="str">
        <x:f>'Habilidades'!F2664</x:f>
        <x:v>Física</x:v>
      </x:c>
      <x:c r="E752" s="18" t="n">
        <x:f>'Habilidades'!G2664</x:f>
        <x:v>120</x:v>
      </x:c>
      <x:c r="F752" s="18" t="n">
        <x:f>'Habilidades'!H2664</x:f>
        <x:v>110</x:v>
      </x:c>
      <x:c r="G752" s="18" t="n">
        <x:f>'Habilidades'!I2664</x:f>
        <x:v>230</x:v>
      </x:c>
    </x:row>
    <x:row r="753" ht="22" customHeight="1">
      <x:c r="A753" s="17" t="n">
        <x:f>IF(B753="","",IF(B753=B752,A752,A752+1))</x:f>
        <x:v>153</x:v>
      </x:c>
      <x:c r="B753" s="1" t="str">
        <x:f>'Ranking'!C159</x:f>
        <x:v>Aggron</x:v>
      </x:c>
      <x:c r="C753" s="1" t="str">
        <x:f>'Habilidades'!D2665</x:f>
        <x:v>Metal Burst</x:v>
      </x:c>
      <x:c r="D753" s="1" t="str">
        <x:f>'Habilidades'!F2665</x:f>
        <x:v>Física</x:v>
      </x:c>
      <x:c r="E753" s="18" t="n">
        <x:f>'Habilidades'!G2665</x:f>
        <x:v>120</x:v>
      </x:c>
      <x:c r="F753" s="18" t="n">
        <x:f>'Habilidades'!H2665</x:f>
        <x:v>110</x:v>
      </x:c>
      <x:c r="G753" s="18" t="n">
        <x:f>'Habilidades'!I2665</x:f>
        <x:v>230</x:v>
      </x:c>
    </x:row>
    <x:row r="754" ht="22" customHeight="1">
      <x:c r="A754" s="17" t="n">
        <x:f>IF(B754="","",IF(B754=B753,A753,A753+1))</x:f>
        <x:v>153</x:v>
      </x:c>
      <x:c r="B754" s="1" t="str">
        <x:f>'Ranking'!C159</x:f>
        <x:v>Aggron</x:v>
      </x:c>
      <x:c r="C754" s="1" t="str">
        <x:f>'Habilidades'!D2666</x:f>
        <x:v>Iron Tail</x:v>
      </x:c>
      <x:c r="D754" s="1" t="str">
        <x:f>'Habilidades'!F2666</x:f>
        <x:v>Física</x:v>
      </x:c>
      <x:c r="E754" s="18" t="n">
        <x:f>'Habilidades'!G2666</x:f>
        <x:v>100</x:v>
      </x:c>
      <x:c r="F754" s="18" t="n">
        <x:f>'Habilidades'!H2666</x:f>
        <x:v>110</x:v>
      </x:c>
      <x:c r="G754" s="18" t="n">
        <x:f>'Habilidades'!I2666</x:f>
        <x:v>210</x:v>
      </x:c>
    </x:row>
    <x:row r="755" ht="22" customHeight="1">
      <x:c r="A755" s="17" t="n">
        <x:f>IF(B755="","",IF(B755=B754,A754,A754+1))</x:f>
        <x:v>153</x:v>
      </x:c>
      <x:c r="B755" s="1" t="str">
        <x:f>'Ranking'!C159</x:f>
        <x:v>Aggron</x:v>
      </x:c>
      <x:c r="C755" s="1" t="str">
        <x:f>'Habilidades'!D2667</x:f>
        <x:v>Take Down</x:v>
      </x:c>
      <x:c r="D755" s="1" t="str">
        <x:f>'Habilidades'!F2667</x:f>
        <x:v>Física</x:v>
      </x:c>
      <x:c r="E755" s="18" t="n">
        <x:f>'Habilidades'!G2667</x:f>
        <x:v>90</x:v>
      </x:c>
      <x:c r="F755" s="18" t="n">
        <x:f>'Habilidades'!H2667</x:f>
        <x:v>110</x:v>
      </x:c>
      <x:c r="G755" s="18" t="n">
        <x:f>'Habilidades'!I2667</x:f>
        <x:v>200</x:v>
      </x:c>
    </x:row>
    <x:row r="756" ht="22" customHeight="1">
      <x:c r="A756" s="19" t="n">
        <x:f>IF(B756="","",IF(B756=B755,A755,A755+1))</x:f>
        <x:v>153</x:v>
      </x:c>
      <x:c r="B756" s="20" t="str">
        <x:f>'Ranking'!C159</x:f>
        <x:v>Aggron</x:v>
      </x:c>
      <x:c r="C756" s="20" t="str">
        <x:f>'Habilidades'!D2668</x:f>
        <x:v>Iron Head</x:v>
      </x:c>
      <x:c r="D756" s="20" t="str">
        <x:f>'Habilidades'!F2668</x:f>
        <x:v>Física</x:v>
      </x:c>
      <x:c r="E756" s="21" t="n">
        <x:f>'Habilidades'!G2668</x:f>
        <x:v>80</x:v>
      </x:c>
      <x:c r="F756" s="21" t="n">
        <x:f>'Habilidades'!H2668</x:f>
        <x:v>110</x:v>
      </x:c>
      <x:c r="G756" s="21" t="n">
        <x:f>'Habilidades'!I2668</x:f>
        <x:v>190</x:v>
      </x:c>
    </x:row>
    <x:row r="757" ht="22" customHeight="1">
      <x:c r="A757" s="17" t="n">
        <x:f>IF(B757="","",IF(B757=B756,A756,A756+1))</x:f>
        <x:v>154</x:v>
      </x:c>
      <x:c r="B757" s="1" t="str">
        <x:f>'Ranking'!C157</x:f>
        <x:v>Garchomp</x:v>
      </x:c>
      <x:c r="C757" s="1" t="str">
        <x:f>'Habilidades'!D3231</x:f>
        <x:v>Dragon Rush</x:v>
      </x:c>
      <x:c r="D757" s="1" t="str">
        <x:f>'Habilidades'!F3231</x:f>
        <x:v>Física</x:v>
      </x:c>
      <x:c r="E757" s="18" t="n">
        <x:f>'Habilidades'!G3231</x:f>
        <x:v>100</x:v>
      </x:c>
      <x:c r="F757" s="18" t="n">
        <x:f>'Habilidades'!H3231</x:f>
        <x:v>130</x:v>
      </x:c>
      <x:c r="G757" s="18" t="n">
        <x:f>'Habilidades'!I3231</x:f>
        <x:v>230</x:v>
      </x:c>
    </x:row>
    <x:row r="758" ht="22" customHeight="1">
      <x:c r="A758" s="17" t="n">
        <x:f>IF(B758="","",IF(B758=B757,A757,A757+1))</x:f>
        <x:v>154</x:v>
      </x:c>
      <x:c r="B758" s="1" t="str">
        <x:f>'Ranking'!C157</x:f>
        <x:v>Garchomp</x:v>
      </x:c>
      <x:c r="C758" s="1" t="str">
        <x:f>'Habilidades'!D3232</x:f>
        <x:v>Take Down</x:v>
      </x:c>
      <x:c r="D758" s="1" t="str">
        <x:f>'Habilidades'!F3232</x:f>
        <x:v>Física</x:v>
      </x:c>
      <x:c r="E758" s="18" t="n">
        <x:f>'Habilidades'!G3232</x:f>
        <x:v>90</x:v>
      </x:c>
      <x:c r="F758" s="18" t="n">
        <x:f>'Habilidades'!H3232</x:f>
        <x:v>130</x:v>
      </x:c>
      <x:c r="G758" s="18" t="n">
        <x:f>'Habilidades'!I3232</x:f>
        <x:v>220</x:v>
      </x:c>
    </x:row>
    <x:row r="759" ht="22" customHeight="1">
      <x:c r="A759" s="17" t="n">
        <x:f>IF(B759="","",IF(B759=B758,A758,A758+1))</x:f>
        <x:v>154</x:v>
      </x:c>
      <x:c r="B759" s="1" t="str">
        <x:f>'Ranking'!C157</x:f>
        <x:v>Garchomp</x:v>
      </x:c>
      <x:c r="C759" s="1" t="str">
        <x:f>'Habilidades'!D3233</x:f>
        <x:v>Dragon Claw</x:v>
      </x:c>
      <x:c r="D759" s="1" t="str">
        <x:f>'Habilidades'!F3233</x:f>
        <x:v>Física</x:v>
      </x:c>
      <x:c r="E759" s="18" t="n">
        <x:f>'Habilidades'!G3233</x:f>
        <x:v>80</x:v>
      </x:c>
      <x:c r="F759" s="18" t="n">
        <x:f>'Habilidades'!H3233</x:f>
        <x:v>130</x:v>
      </x:c>
      <x:c r="G759" s="18" t="n">
        <x:f>'Habilidades'!I3233</x:f>
        <x:v>210</x:v>
      </x:c>
    </x:row>
    <x:row r="760" ht="22" customHeight="1">
      <x:c r="A760" s="17" t="n">
        <x:f>IF(B760="","",IF(B760=B759,A759,A759+1))</x:f>
        <x:v>154</x:v>
      </x:c>
      <x:c r="B760" s="1" t="str">
        <x:f>'Ranking'!C157</x:f>
        <x:v>Garchomp</x:v>
      </x:c>
      <x:c r="C760" s="1" t="str">
        <x:f>'Habilidades'!D3234</x:f>
        <x:v>Dig</x:v>
      </x:c>
      <x:c r="D760" s="1" t="str">
        <x:f>'Habilidades'!F3234</x:f>
        <x:v>Física</x:v>
      </x:c>
      <x:c r="E760" s="18" t="n">
        <x:f>'Habilidades'!G3234</x:f>
        <x:v>80</x:v>
      </x:c>
      <x:c r="F760" s="18" t="n">
        <x:f>'Habilidades'!H3234</x:f>
        <x:v>130</x:v>
      </x:c>
      <x:c r="G760" s="18" t="n">
        <x:f>'Habilidades'!I3234</x:f>
        <x:v>210</x:v>
      </x:c>
    </x:row>
    <x:row r="761" ht="22" customHeight="1">
      <x:c r="A761" s="19" t="n">
        <x:f>IF(B761="","",IF(B761=B760,A760,A760+1))</x:f>
        <x:v>154</x:v>
      </x:c>
      <x:c r="B761" s="20" t="str">
        <x:f>'Ranking'!C157</x:f>
        <x:v>Garchomp</x:v>
      </x:c>
      <x:c r="C761" s="20" t="str">
        <x:f>'Habilidades'!D3235</x:f>
        <x:v>Crunch</x:v>
      </x:c>
      <x:c r="D761" s="20" t="str">
        <x:f>'Habilidades'!F3235</x:f>
        <x:v>Física</x:v>
      </x:c>
      <x:c r="E761" s="21" t="n">
        <x:f>'Habilidades'!G3235</x:f>
        <x:v>80</x:v>
      </x:c>
      <x:c r="F761" s="21" t="n">
        <x:f>'Habilidades'!H3235</x:f>
        <x:v>130</x:v>
      </x:c>
      <x:c r="G761" s="21" t="n">
        <x:f>'Habilidades'!I3235</x:f>
        <x:v>210</x:v>
      </x:c>
    </x:row>
    <x:row r="762" ht="22" customHeight="1">
      <x:c r="A762" s="17" t="n">
        <x:f>IF(B762="","",IF(B762=B761,A761,A761+1))</x:f>
        <x:v>155</x:v>
      </x:c>
      <x:c r="B762" s="1" t="str">
        <x:f>'Ranking'!C160</x:f>
        <x:v>Lilligant</x:v>
      </x:c>
      <x:c r="C762" s="1" t="str">
        <x:f>'Habilidades'!D3438</x:f>
        <x:v>Petal Dance</x:v>
      </x:c>
      <x:c r="D762" s="1" t="str">
        <x:f>'Habilidades'!F3438</x:f>
        <x:v>Especial</x:v>
      </x:c>
      <x:c r="E762" s="18" t="n">
        <x:f>'Habilidades'!G3438</x:f>
        <x:v>120</x:v>
      </x:c>
      <x:c r="F762" s="18" t="n">
        <x:f>'Habilidades'!H3438</x:f>
        <x:v>110</x:v>
      </x:c>
      <x:c r="G762" s="18" t="n">
        <x:f>'Habilidades'!I3438</x:f>
        <x:v>230</x:v>
      </x:c>
    </x:row>
    <x:row r="763" ht="22" customHeight="1">
      <x:c r="A763" s="17" t="n">
        <x:f>IF(B763="","",IF(B763=B762,A762,A762+1))</x:f>
        <x:v>155</x:v>
      </x:c>
      <x:c r="B763" s="1" t="str">
        <x:f>'Ranking'!C160</x:f>
        <x:v>Lilligant</x:v>
      </x:c>
      <x:c r="C763" s="1" t="str">
        <x:f>'Habilidades'!D3439</x:f>
        <x:v>Petal Blizzard</x:v>
      </x:c>
      <x:c r="D763" s="1" t="str">
        <x:f>'Habilidades'!F3439</x:f>
        <x:v>Física</x:v>
      </x:c>
      <x:c r="E763" s="18" t="n">
        <x:f>'Habilidades'!G3439</x:f>
        <x:v>90</x:v>
      </x:c>
      <x:c r="F763" s="18" t="n">
        <x:f>'Habilidades'!H3439</x:f>
        <x:v>60</x:v>
      </x:c>
      <x:c r="G763" s="18" t="n">
        <x:f>'Habilidades'!I3439</x:f>
        <x:v>150</x:v>
      </x:c>
    </x:row>
    <x:row r="764" ht="22" customHeight="1">
      <x:c r="A764" s="17" t="n">
        <x:f>IF(B764="","",IF(B764=B763,A763,A763+1))</x:f>
        <x:v>155</x:v>
      </x:c>
      <x:c r="B764" s="1" t="str">
        <x:f>'Ranking'!C160</x:f>
        <x:v>Lilligant</x:v>
      </x:c>
      <x:c r="C764" s="1" t="str">
        <x:f>'Habilidades'!D3440</x:f>
        <x:v>Mega Drain</x:v>
      </x:c>
      <x:c r="D764" s="1" t="str">
        <x:f>'Habilidades'!F3440</x:f>
        <x:v>Especial</x:v>
      </x:c>
      <x:c r="E764" s="18" t="n">
        <x:f>'Habilidades'!G3440</x:f>
        <x:v>40</x:v>
      </x:c>
      <x:c r="F764" s="18" t="n">
        <x:f>'Habilidades'!H3440</x:f>
        <x:v>110</x:v>
      </x:c>
      <x:c r="G764" s="18" t="n">
        <x:f>'Habilidades'!I3440</x:f>
        <x:v>150</x:v>
      </x:c>
    </x:row>
    <x:row r="765" ht="22" customHeight="1">
      <x:c r="A765" s="19" t="n">
        <x:f>IF(B765="","",IF(B765=B764,A764,A764+1))</x:f>
        <x:v>155</x:v>
      </x:c>
      <x:c r="B765" s="20" t="str">
        <x:f>'Ranking'!C160</x:f>
        <x:v>Lilligant</x:v>
      </x:c>
      <x:c r="C765" s="20" t="str">
        <x:f>'Habilidades'!D3441</x:f>
        <x:v>Teeter Dance</x:v>
      </x:c>
      <x:c r="D765" s="20" t="str">
        <x:f>'Habilidades'!F3441</x:f>
        <x:v>Status</x:v>
      </x:c>
      <x:c r="E765" s="21" t="n">
        <x:f>'Habilidades'!G3441</x:f>
        <x:v>0</x:v>
      </x:c>
      <x:c r="F765" s="21" t="str">
        <x:f>'Habilidades'!H3441</x:f>
      </x:c>
      <x:c r="G765" s="21" t="str">
        <x:f>'Habilidades'!I3441</x:f>
      </x:c>
    </x:row>
    <x:row r="766" ht="22" customHeight="1">
      <x:c r="A766" s="17" t="n">
        <x:f>IF(B766="","",IF(B766=B765,A765,A765+1))</x:f>
        <x:v>156</x:v>
      </x:c>
      <x:c r="B766" s="1" t="str">
        <x:f>'Ranking'!C158</x:f>
        <x:v>Lucario</x:v>
      </x:c>
      <x:c r="C766" s="1" t="str">
        <x:f>'Habilidades'!D3244</x:f>
        <x:v>Close Combat</x:v>
      </x:c>
      <x:c r="D766" s="1" t="str">
        <x:f>'Habilidades'!F3244</x:f>
        <x:v>Física</x:v>
      </x:c>
      <x:c r="E766" s="18" t="n">
        <x:f>'Habilidades'!G3244</x:f>
        <x:v>120</x:v>
      </x:c>
      <x:c r="F766" s="18" t="n">
        <x:f>'Habilidades'!H3244</x:f>
        <x:v>110</x:v>
      </x:c>
      <x:c r="G766" s="18" t="n">
        <x:f>'Habilidades'!I3244</x:f>
        <x:v>230</x:v>
      </x:c>
    </x:row>
    <x:row r="767" ht="22" customHeight="1">
      <x:c r="A767" s="17" t="n">
        <x:f>IF(B767="","",IF(B767=B766,A766,A766+1))</x:f>
        <x:v>156</x:v>
      </x:c>
      <x:c r="B767" s="1" t="str">
        <x:f>'Ranking'!C158</x:f>
        <x:v>Lucario</x:v>
      </x:c>
      <x:c r="C767" s="1" t="str">
        <x:f>'Habilidades'!D3245</x:f>
        <x:v>Dragon Pulse</x:v>
      </x:c>
      <x:c r="D767" s="1" t="str">
        <x:f>'Habilidades'!F3245</x:f>
        <x:v>Especial</x:v>
      </x:c>
      <x:c r="E767" s="18" t="n">
        <x:f>'Habilidades'!G3245</x:f>
        <x:v>85</x:v>
      </x:c>
      <x:c r="F767" s="18" t="n">
        <x:f>'Habilidades'!H3245</x:f>
        <x:v>115</x:v>
      </x:c>
      <x:c r="G767" s="18" t="n">
        <x:f>'Habilidades'!I3245</x:f>
        <x:v>200</x:v>
      </x:c>
    </x:row>
    <x:row r="768" ht="22" customHeight="1">
      <x:c r="A768" s="17" t="n">
        <x:f>IF(B768="","",IF(B768=B767,A767,A767+1))</x:f>
        <x:v>156</x:v>
      </x:c>
      <x:c r="B768" s="1" t="str">
        <x:f>'Ranking'!C158</x:f>
        <x:v>Lucario</x:v>
      </x:c>
      <x:c r="C768" s="1" t="str">
        <x:f>'Habilidades'!D3246</x:f>
        <x:v>Aura Sphere</x:v>
      </x:c>
      <x:c r="D768" s="1" t="str">
        <x:f>'Habilidades'!F3246</x:f>
        <x:v>Especial</x:v>
      </x:c>
      <x:c r="E768" s="18" t="n">
        <x:f>'Habilidades'!G3246</x:f>
        <x:v>80</x:v>
      </x:c>
      <x:c r="F768" s="18" t="n">
        <x:f>'Habilidades'!H3246</x:f>
        <x:v>115</x:v>
      </x:c>
      <x:c r="G768" s="18" t="n">
        <x:f>'Habilidades'!I3246</x:f>
        <x:v>195</x:v>
      </x:c>
    </x:row>
    <x:row r="769" ht="22" customHeight="1">
      <x:c r="A769" s="17" t="n">
        <x:f>IF(B769="","",IF(B769=B768,A768,A768+1))</x:f>
        <x:v>156</x:v>
      </x:c>
      <x:c r="B769" s="1" t="str">
        <x:f>'Ranking'!C158</x:f>
        <x:v>Lucario</x:v>
      </x:c>
      <x:c r="C769" s="1" t="str">
        <x:f>'Habilidades'!D3247</x:f>
        <x:v>Extreme Speed</x:v>
      </x:c>
      <x:c r="D769" s="1" t="str">
        <x:f>'Habilidades'!F3247</x:f>
        <x:v>Física</x:v>
      </x:c>
      <x:c r="E769" s="18" t="n">
        <x:f>'Habilidades'!G3247</x:f>
        <x:v>80</x:v>
      </x:c>
      <x:c r="F769" s="18" t="n">
        <x:f>'Habilidades'!H3247</x:f>
        <x:v>110</x:v>
      </x:c>
      <x:c r="G769" s="18" t="n">
        <x:f>'Habilidades'!I3247</x:f>
        <x:v>190</x:v>
      </x:c>
    </x:row>
    <x:row r="770" ht="22" customHeight="1">
      <x:c r="A770" s="19" t="n">
        <x:f>IF(B770="","",IF(B770=B769,A769,A769+1))</x:f>
        <x:v>156</x:v>
      </x:c>
      <x:c r="B770" s="20" t="str">
        <x:f>'Ranking'!C158</x:f>
        <x:v>Lucario</x:v>
      </x:c>
      <x:c r="C770" s="20" t="str">
        <x:f>'Habilidades'!D3248</x:f>
        <x:v>Metal Claw</x:v>
      </x:c>
      <x:c r="D770" s="20" t="str">
        <x:f>'Habilidades'!F3248</x:f>
        <x:v>Física</x:v>
      </x:c>
      <x:c r="E770" s="21" t="n">
        <x:f>'Habilidades'!G3248</x:f>
        <x:v>50</x:v>
      </x:c>
      <x:c r="F770" s="21" t="n">
        <x:f>'Habilidades'!H3248</x:f>
        <x:v>110</x:v>
      </x:c>
      <x:c r="G770" s="21" t="n">
        <x:f>'Habilidades'!I3248</x:f>
        <x:v>160</x:v>
      </x:c>
    </x:row>
    <x:row r="771" ht="22" customHeight="1">
      <x:c r="A771" s="17" t="n">
        <x:f>IF(B771="","",IF(B771=B770,A770,A770+1))</x:f>
        <x:v>157</x:v>
      </x:c>
      <x:c r="B771" s="1" t="str">
        <x:f>'Ranking'!C161</x:f>
        <x:v>Quilava</x:v>
      </x:c>
      <x:c r="C771" s="1" t="str">
        <x:f>'Habilidades'!D1497</x:f>
        <x:v>Eruption</x:v>
      </x:c>
      <x:c r="D771" s="1" t="str">
        <x:f>'Habilidades'!F1497</x:f>
        <x:v>Especial</x:v>
      </x:c>
      <x:c r="E771" s="18" t="n">
        <x:f>'Habilidades'!G1497</x:f>
        <x:v>150</x:v>
      </x:c>
      <x:c r="F771" s="18" t="n">
        <x:f>'Habilidades'!H1497</x:f>
        <x:v>80</x:v>
      </x:c>
      <x:c r="G771" s="18" t="n">
        <x:f>'Habilidades'!I1497</x:f>
        <x:v>230</x:v>
      </x:c>
    </x:row>
    <x:row r="772" ht="22" customHeight="1">
      <x:c r="A772" s="17" t="n">
        <x:f>IF(B772="","",IF(B772=B771,A771,A771+1))</x:f>
        <x:v>157</x:v>
      </x:c>
      <x:c r="B772" s="1" t="str">
        <x:f>'Ranking'!C161</x:f>
        <x:v>Quilava</x:v>
      </x:c>
      <x:c r="C772" s="1" t="str">
        <x:f>'Habilidades'!D1498</x:f>
        <x:v>Double-Edge</x:v>
      </x:c>
      <x:c r="D772" s="1" t="str">
        <x:f>'Habilidades'!F1498</x:f>
        <x:v>Física</x:v>
      </x:c>
      <x:c r="E772" s="18" t="n">
        <x:f>'Habilidades'!G1498</x:f>
        <x:v>120</x:v>
      </x:c>
      <x:c r="F772" s="18" t="n">
        <x:f>'Habilidades'!H1498</x:f>
        <x:v>64</x:v>
      </x:c>
      <x:c r="G772" s="18" t="n">
        <x:f>'Habilidades'!I1498</x:f>
        <x:v>184</x:v>
      </x:c>
    </x:row>
    <x:row r="773" ht="22" customHeight="1">
      <x:c r="A773" s="17" t="n">
        <x:f>IF(B773="","",IF(B773=B772,A772,A772+1))</x:f>
        <x:v>157</x:v>
      </x:c>
      <x:c r="B773" s="1" t="str">
        <x:f>'Ranking'!C161</x:f>
        <x:v>Quilava</x:v>
      </x:c>
      <x:c r="C773" s="1" t="str">
        <x:f>'Habilidades'!D1499</x:f>
        <x:v>Inferno</x:v>
      </x:c>
      <x:c r="D773" s="1" t="str">
        <x:f>'Habilidades'!F1499</x:f>
        <x:v>Especial</x:v>
      </x:c>
      <x:c r="E773" s="18" t="n">
        <x:f>'Habilidades'!G1499</x:f>
        <x:v>100</x:v>
      </x:c>
      <x:c r="F773" s="18" t="n">
        <x:f>'Habilidades'!H1499</x:f>
        <x:v>80</x:v>
      </x:c>
      <x:c r="G773" s="18" t="n">
        <x:f>'Habilidades'!I1499</x:f>
        <x:v>180</x:v>
      </x:c>
    </x:row>
    <x:row r="774" ht="22" customHeight="1">
      <x:c r="A774" s="17" t="n">
        <x:f>IF(B774="","",IF(B774=B773,A773,A773+1))</x:f>
        <x:v>157</x:v>
      </x:c>
      <x:c r="B774" s="1" t="str">
        <x:f>'Ranking'!C161</x:f>
        <x:v>Quilava</x:v>
      </x:c>
      <x:c r="C774" s="1" t="str">
        <x:f>'Habilidades'!D1500</x:f>
        <x:v>Flamethrower</x:v>
      </x:c>
      <x:c r="D774" s="1" t="str">
        <x:f>'Habilidades'!F1500</x:f>
        <x:v>Especial</x:v>
      </x:c>
      <x:c r="E774" s="18" t="n">
        <x:f>'Habilidades'!G1500</x:f>
        <x:v>90</x:v>
      </x:c>
      <x:c r="F774" s="18" t="n">
        <x:f>'Habilidades'!H1500</x:f>
        <x:v>80</x:v>
      </x:c>
      <x:c r="G774" s="18" t="n">
        <x:f>'Habilidades'!I1500</x:f>
        <x:v>170</x:v>
      </x:c>
    </x:row>
    <x:row r="775" ht="22" customHeight="1">
      <x:c r="A775" s="19" t="n">
        <x:f>IF(B775="","",IF(B775=B774,A774,A774+1))</x:f>
        <x:v>157</x:v>
      </x:c>
      <x:c r="B775" s="20" t="str">
        <x:f>'Ranking'!C161</x:f>
        <x:v>Quilava</x:v>
      </x:c>
      <x:c r="C775" s="20" t="str">
        <x:f>'Habilidades'!D1501</x:f>
        <x:v>Lava Plume</x:v>
      </x:c>
      <x:c r="D775" s="20" t="str">
        <x:f>'Habilidades'!F1501</x:f>
        <x:v>Especial</x:v>
      </x:c>
      <x:c r="E775" s="21" t="n">
        <x:f>'Habilidades'!G1501</x:f>
        <x:v>80</x:v>
      </x:c>
      <x:c r="F775" s="21" t="n">
        <x:f>'Habilidades'!H1501</x:f>
        <x:v>80</x:v>
      </x:c>
      <x:c r="G775" s="21" t="n">
        <x:f>'Habilidades'!I1501</x:f>
        <x:v>160</x:v>
      </x:c>
    </x:row>
    <x:row r="776" ht="22" customHeight="1">
      <x:c r="A776" s="17" t="n">
        <x:f>IF(B776="","",IF(B776=B775,A775,A775+1))</x:f>
        <x:v>158</x:v>
      </x:c>
      <x:c r="B776" s="1" t="str">
        <x:f>'Ranking'!C162</x:f>
        <x:v>Vigoroth</x:v>
      </x:c>
      <x:c r="C776" s="1" t="str">
        <x:f>'Habilidades'!D2563</x:f>
        <x:v>Focus Punch</x:v>
      </x:c>
      <x:c r="D776" s="1" t="str">
        <x:f>'Habilidades'!F2563</x:f>
        <x:v>Física</x:v>
      </x:c>
      <x:c r="E776" s="18" t="n">
        <x:f>'Habilidades'!G2563</x:f>
        <x:v>150</x:v>
      </x:c>
      <x:c r="F776" s="18" t="n">
        <x:f>'Habilidades'!H2563</x:f>
        <x:v>80</x:v>
      </x:c>
      <x:c r="G776" s="18" t="n">
        <x:f>'Habilidades'!I2563</x:f>
        <x:v>230</x:v>
      </x:c>
    </x:row>
    <x:row r="777" ht="22" customHeight="1">
      <x:c r="A777" s="17" t="n">
        <x:f>IF(B777="","",IF(B777=B776,A776,A776+1))</x:f>
        <x:v>158</x:v>
      </x:c>
      <x:c r="B777" s="1" t="str">
        <x:f>'Ranking'!C162</x:f>
        <x:v>Vigoroth</x:v>
      </x:c>
      <x:c r="C777" s="1" t="str">
        <x:f>'Habilidades'!D2564</x:f>
        <x:v>Reversal</x:v>
      </x:c>
      <x:c r="D777" s="1" t="str">
        <x:f>'Habilidades'!F2564</x:f>
        <x:v>Física</x:v>
      </x:c>
      <x:c r="E777" s="18" t="n">
        <x:f>'Habilidades'!G2564</x:f>
        <x:v>100</x:v>
      </x:c>
      <x:c r="F777" s="18" t="n">
        <x:f>'Habilidades'!H2564</x:f>
        <x:v>80</x:v>
      </x:c>
      <x:c r="G777" s="18" t="n">
        <x:f>'Habilidades'!I2564</x:f>
        <x:v>180</x:v>
      </x:c>
    </x:row>
    <x:row r="778" ht="22" customHeight="1">
      <x:c r="A778" s="17" t="n">
        <x:f>IF(B778="","",IF(B778=B777,A777,A777+1))</x:f>
        <x:v>158</x:v>
      </x:c>
      <x:c r="B778" s="1" t="str">
        <x:f>'Ranking'!C162</x:f>
        <x:v>Vigoroth</x:v>
      </x:c>
      <x:c r="C778" s="1" t="str">
        <x:f>'Habilidades'!D2565</x:f>
        <x:v>Slash</x:v>
      </x:c>
      <x:c r="D778" s="1" t="str">
        <x:f>'Habilidades'!F2565</x:f>
        <x:v>Física</x:v>
      </x:c>
      <x:c r="E778" s="18" t="n">
        <x:f>'Habilidades'!G2565</x:f>
        <x:v>70</x:v>
      </x:c>
      <x:c r="F778" s="18" t="n">
        <x:f>'Habilidades'!H2565</x:f>
        <x:v>80</x:v>
      </x:c>
      <x:c r="G778" s="18" t="n">
        <x:f>'Habilidades'!I2565</x:f>
        <x:v>150</x:v>
      </x:c>
    </x:row>
    <x:row r="779" ht="22" customHeight="1">
      <x:c r="A779" s="17" t="n">
        <x:f>IF(B779="","",IF(B779=B778,A778,A778+1))</x:f>
        <x:v>158</x:v>
      </x:c>
      <x:c r="B779" s="1" t="str">
        <x:f>'Ranking'!C162</x:f>
        <x:v>Vigoroth</x:v>
      </x:c>
      <x:c r="C779" s="1" t="str">
        <x:f>'Habilidades'!D2566</x:f>
        <x:v>Chip Away</x:v>
      </x:c>
      <x:c r="D779" s="1" t="str">
        <x:f>'Habilidades'!F2566</x:f>
        <x:v>Física</x:v>
      </x:c>
      <x:c r="E779" s="18" t="n">
        <x:f>'Habilidades'!G2566</x:f>
        <x:v>70</x:v>
      </x:c>
      <x:c r="F779" s="18" t="n">
        <x:f>'Habilidades'!H2566</x:f>
        <x:v>80</x:v>
      </x:c>
      <x:c r="G779" s="18" t="n">
        <x:f>'Habilidades'!I2566</x:f>
        <x:v>150</x:v>
      </x:c>
    </x:row>
    <x:row r="780" ht="22" customHeight="1">
      <x:c r="A780" s="19" t="n">
        <x:f>IF(B780="","",IF(B780=B779,A779,A779+1))</x:f>
        <x:v>158</x:v>
      </x:c>
      <x:c r="B780" s="20" t="str">
        <x:f>'Ranking'!C162</x:f>
        <x:v>Vigoroth</x:v>
      </x:c>
      <x:c r="C780" s="20" t="str">
        <x:f>'Habilidades'!D2567</x:f>
        <x:v>Uproar</x:v>
      </x:c>
      <x:c r="D780" s="20" t="str">
        <x:f>'Habilidades'!F2567</x:f>
        <x:v>Especial</x:v>
      </x:c>
      <x:c r="E780" s="21" t="n">
        <x:f>'Habilidades'!G2567</x:f>
        <x:v>90</x:v>
      </x:c>
      <x:c r="F780" s="21" t="n">
        <x:f>'Habilidades'!H2567</x:f>
        <x:v>55</x:v>
      </x:c>
      <x:c r="G780" s="21" t="n">
        <x:f>'Habilidades'!I2567</x:f>
        <x:v>145</x:v>
      </x:c>
    </x:row>
    <x:row r="781" ht="22" customHeight="1">
      <x:c r="A781" s="17" t="n">
        <x:f>IF(B781="","",IF(B781=B780,A780,A780+1))</x:f>
        <x:v>159</x:v>
      </x:c>
      <x:c r="B781" s="1" t="str">
        <x:f>'Ranking'!C163</x:f>
        <x:v>Drampa</x:v>
      </x:c>
      <x:c r="C781" s="1" t="str">
        <x:f>'Habilidades'!D3775</x:f>
        <x:v>Hyper Voice</x:v>
      </x:c>
      <x:c r="D781" s="1" t="str">
        <x:f>'Habilidades'!F3775</x:f>
        <x:v>Especial</x:v>
      </x:c>
      <x:c r="E781" s="18" t="n">
        <x:f>'Habilidades'!G3775</x:f>
        <x:v>90</x:v>
      </x:c>
      <x:c r="F781" s="18" t="n">
        <x:f>'Habilidades'!H3775</x:f>
        <x:v>135</x:v>
      </x:c>
      <x:c r="G781" s="18" t="n">
        <x:f>'Habilidades'!I3775</x:f>
        <x:v>225</x:v>
      </x:c>
    </x:row>
    <x:row r="782" ht="22" customHeight="1">
      <x:c r="A782" s="17" t="n">
        <x:f>IF(B782="","",IF(B782=B781,A781,A781+1))</x:f>
        <x:v>159</x:v>
      </x:c>
      <x:c r="B782" s="1" t="str">
        <x:f>'Ranking'!C163</x:f>
        <x:v>Drampa</x:v>
      </x:c>
      <x:c r="C782" s="1" t="str">
        <x:f>'Habilidades'!D3776</x:f>
        <x:v>Dragon Pulse</x:v>
      </x:c>
      <x:c r="D782" s="1" t="str">
        <x:f>'Habilidades'!F3776</x:f>
        <x:v>Especial</x:v>
      </x:c>
      <x:c r="E782" s="18" t="n">
        <x:f>'Habilidades'!G3776</x:f>
        <x:v>85</x:v>
      </x:c>
      <x:c r="F782" s="18" t="n">
        <x:f>'Habilidades'!H3776</x:f>
        <x:v>135</x:v>
      </x:c>
      <x:c r="G782" s="18" t="n">
        <x:f>'Habilidades'!I3776</x:f>
        <x:v>220</x:v>
      </x:c>
    </x:row>
    <x:row r="783" ht="22" customHeight="1">
      <x:c r="A783" s="17" t="n">
        <x:f>IF(B783="","",IF(B783=B782,A782,A782+1))</x:f>
        <x:v>159</x:v>
      </x:c>
      <x:c r="B783" s="1" t="str">
        <x:f>'Ranking'!C163</x:f>
        <x:v>Drampa</x:v>
      </x:c>
      <x:c r="C783" s="1" t="str">
        <x:f>'Habilidades'!D3777</x:f>
        <x:v>Round</x:v>
      </x:c>
      <x:c r="D783" s="1" t="str">
        <x:f>'Habilidades'!F3777</x:f>
        <x:v>Especial</x:v>
      </x:c>
      <x:c r="E783" s="18" t="n">
        <x:f>'Habilidades'!G3777</x:f>
        <x:v>60</x:v>
      </x:c>
      <x:c r="F783" s="18" t="n">
        <x:f>'Habilidades'!H3777</x:f>
        <x:v>135</x:v>
      </x:c>
      <x:c r="G783" s="18" t="n">
        <x:f>'Habilidades'!I3777</x:f>
        <x:v>195</x:v>
      </x:c>
    </x:row>
    <x:row r="784" ht="22" customHeight="1">
      <x:c r="A784" s="17" t="n">
        <x:f>IF(B784="","",IF(B784=B783,A783,A783+1))</x:f>
        <x:v>159</x:v>
      </x:c>
      <x:c r="B784" s="1" t="str">
        <x:f>'Ranking'!C163</x:f>
        <x:v>Drampa</x:v>
      </x:c>
      <x:c r="C784" s="1" t="str">
        <x:f>'Habilidades'!D3778</x:f>
        <x:v>Dragon Breath</x:v>
      </x:c>
      <x:c r="D784" s="1" t="str">
        <x:f>'Habilidades'!F3778</x:f>
        <x:v>Especial</x:v>
      </x:c>
      <x:c r="E784" s="18" t="n">
        <x:f>'Habilidades'!G3778</x:f>
        <x:v>60</x:v>
      </x:c>
      <x:c r="F784" s="18" t="n">
        <x:f>'Habilidades'!H3778</x:f>
        <x:v>135</x:v>
      </x:c>
      <x:c r="G784" s="18" t="n">
        <x:f>'Habilidades'!I3778</x:f>
        <x:v>195</x:v>
      </x:c>
    </x:row>
    <x:row r="785" ht="22" customHeight="1">
      <x:c r="A785" s="19" t="n">
        <x:f>IF(B785="","",IF(B785=B784,A784,A784+1))</x:f>
        <x:v>159</x:v>
      </x:c>
      <x:c r="B785" s="20" t="str">
        <x:f>'Ranking'!C163</x:f>
        <x:v>Drampa</x:v>
      </x:c>
      <x:c r="C785" s="20" t="str">
        <x:f>'Habilidades'!D3779</x:f>
        <x:v>Icy Wind</x:v>
      </x:c>
      <x:c r="D785" s="20" t="str">
        <x:f>'Habilidades'!F3779</x:f>
        <x:v>Especial</x:v>
      </x:c>
      <x:c r="E785" s="21" t="n">
        <x:f>'Habilidades'!G3779</x:f>
        <x:v>55</x:v>
      </x:c>
      <x:c r="F785" s="21" t="n">
        <x:f>'Habilidades'!H3779</x:f>
        <x:v>135</x:v>
      </x:c>
      <x:c r="G785" s="21" t="n">
        <x:f>'Habilidades'!I3779</x:f>
        <x:v>190</x:v>
      </x:c>
    </x:row>
    <x:row r="786" ht="22" customHeight="1">
      <x:c r="A786" s="17" t="n">
        <x:f>IF(B786="","",IF(B786=B785,A785,A785+1))</x:f>
        <x:v>160</x:v>
      </x:c>
      <x:c r="B786" s="1" t="str">
        <x:f>'Ranking'!C164</x:f>
        <x:v>Lampent</x:v>
      </x:c>
      <x:c r="C786" s="1" t="str">
        <x:f>'Habilidades'!D3559</x:f>
        <x:v>Overheat</x:v>
      </x:c>
      <x:c r="D786" s="1" t="str">
        <x:f>'Habilidades'!F3559</x:f>
        <x:v>Especial</x:v>
      </x:c>
      <x:c r="E786" s="18" t="n">
        <x:f>'Habilidades'!G3559</x:f>
        <x:v>130</x:v>
      </x:c>
      <x:c r="F786" s="18" t="n">
        <x:f>'Habilidades'!H3559</x:f>
        <x:v>95</x:v>
      </x:c>
      <x:c r="G786" s="18" t="n">
        <x:f>'Habilidades'!I3559</x:f>
        <x:v>225</x:v>
      </x:c>
    </x:row>
    <x:row r="787" ht="22" customHeight="1">
      <x:c r="A787" s="17" t="n">
        <x:f>IF(B787="","",IF(B787=B786,A786,A786+1))</x:f>
        <x:v>160</x:v>
      </x:c>
      <x:c r="B787" s="1" t="str">
        <x:f>'Ranking'!C164</x:f>
        <x:v>Lampent</x:v>
      </x:c>
      <x:c r="C787" s="1" t="str">
        <x:f>'Habilidades'!D3560</x:f>
        <x:v>Inferno</x:v>
      </x:c>
      <x:c r="D787" s="1" t="str">
        <x:f>'Habilidades'!F3560</x:f>
        <x:v>Especial</x:v>
      </x:c>
      <x:c r="E787" s="18" t="n">
        <x:f>'Habilidades'!G3560</x:f>
        <x:v>100</x:v>
      </x:c>
      <x:c r="F787" s="18" t="n">
        <x:f>'Habilidades'!H3560</x:f>
        <x:v>95</x:v>
      </x:c>
      <x:c r="G787" s="18" t="n">
        <x:f>'Habilidades'!I3560</x:f>
        <x:v>195</x:v>
      </x:c>
    </x:row>
    <x:row r="788" ht="22" customHeight="1">
      <x:c r="A788" s="17" t="n">
        <x:f>IF(B788="","",IF(B788=B787,A787,A787+1))</x:f>
        <x:v>160</x:v>
      </x:c>
      <x:c r="B788" s="1" t="str">
        <x:f>'Ranking'!C164</x:f>
        <x:v>Lampent</x:v>
      </x:c>
      <x:c r="C788" s="1" t="str">
        <x:f>'Habilidades'!D3561</x:f>
        <x:v>Shadow Ball</x:v>
      </x:c>
      <x:c r="D788" s="1" t="str">
        <x:f>'Habilidades'!F3561</x:f>
        <x:v>Especial</x:v>
      </x:c>
      <x:c r="E788" s="18" t="n">
        <x:f>'Habilidades'!G3561</x:f>
        <x:v>80</x:v>
      </x:c>
      <x:c r="F788" s="18" t="n">
        <x:f>'Habilidades'!H3561</x:f>
        <x:v>95</x:v>
      </x:c>
      <x:c r="G788" s="18" t="n">
        <x:f>'Habilidades'!I3561</x:f>
        <x:v>175</x:v>
      </x:c>
    </x:row>
    <x:row r="789" ht="22" customHeight="1">
      <x:c r="A789" s="17" t="n">
        <x:f>IF(B789="","",IF(B789=B788,A788,A788+1))</x:f>
        <x:v>160</x:v>
      </x:c>
      <x:c r="B789" s="1" t="str">
        <x:f>'Ranking'!C164</x:f>
        <x:v>Lampent</x:v>
      </x:c>
      <x:c r="C789" s="1" t="str">
        <x:f>'Habilidades'!D3562</x:f>
        <x:v>Flame Burst</x:v>
      </x:c>
      <x:c r="D789" s="1" t="str">
        <x:f>'Habilidades'!F3562</x:f>
        <x:v>Especial</x:v>
      </x:c>
      <x:c r="E789" s="18" t="n">
        <x:f>'Habilidades'!G3562</x:f>
        <x:v>70</x:v>
      </x:c>
      <x:c r="F789" s="18" t="n">
        <x:f>'Habilidades'!H3562</x:f>
        <x:v>95</x:v>
      </x:c>
      <x:c r="G789" s="18" t="n">
        <x:f>'Habilidades'!I3562</x:f>
        <x:v>165</x:v>
      </x:c>
    </x:row>
    <x:row r="790" ht="22" customHeight="1">
      <x:c r="A790" s="19" t="n">
        <x:f>IF(B790="","",IF(B790=B789,A789,A789+1))</x:f>
        <x:v>160</x:v>
      </x:c>
      <x:c r="B790" s="20" t="str">
        <x:f>'Ranking'!C164</x:f>
        <x:v>Lampent</x:v>
      </x:c>
      <x:c r="C790" s="20" t="str">
        <x:f>'Habilidades'!D3563</x:f>
        <x:v>Hex</x:v>
      </x:c>
      <x:c r="D790" s="20" t="str">
        <x:f>'Habilidades'!F3563</x:f>
        <x:v>Especial</x:v>
      </x:c>
      <x:c r="E790" s="21" t="n">
        <x:f>'Habilidades'!G3563</x:f>
        <x:v>65</x:v>
      </x:c>
      <x:c r="F790" s="21" t="n">
        <x:f>'Habilidades'!H3563</x:f>
        <x:v>95</x:v>
      </x:c>
      <x:c r="G790" s="21" t="n">
        <x:f>'Habilidades'!I3563</x:f>
        <x:v>160</x:v>
      </x:c>
    </x:row>
    <x:row r="791" ht="22" customHeight="1">
      <x:c r="A791" s="17" t="n">
        <x:f>IF(B791="","",IF(B791=B790,A790,A790+1))</x:f>
        <x:v>161</x:v>
      </x:c>
      <x:c r="B791" s="1" t="str">
        <x:f>'Ranking'!C166</x:f>
        <x:v>Infernape</x:v>
      </x:c>
      <x:c r="C791" s="1" t="str">
        <x:f>'Habilidades'!D3142</x:f>
        <x:v>Flare Blitz</x:v>
      </x:c>
      <x:c r="D791" s="1" t="str">
        <x:f>'Habilidades'!F3142</x:f>
        <x:v>Física</x:v>
      </x:c>
      <x:c r="E791" s="18" t="n">
        <x:f>'Habilidades'!G3142</x:f>
        <x:v>120</x:v>
      </x:c>
      <x:c r="F791" s="18" t="n">
        <x:f>'Habilidades'!H3142</x:f>
        <x:v>104</x:v>
      </x:c>
      <x:c r="G791" s="18" t="n">
        <x:f>'Habilidades'!I3142</x:f>
        <x:v>224</x:v>
      </x:c>
    </x:row>
    <x:row r="792" ht="22" customHeight="1">
      <x:c r="A792" s="17" t="n">
        <x:f>IF(B792="","",IF(B792=B791,A791,A791+1))</x:f>
        <x:v>161</x:v>
      </x:c>
      <x:c r="B792" s="1" t="str">
        <x:f>'Ranking'!C166</x:f>
        <x:v>Infernape</x:v>
      </x:c>
      <x:c r="C792" s="1" t="str">
        <x:f>'Habilidades'!D3143</x:f>
        <x:v>Close Combat</x:v>
      </x:c>
      <x:c r="D792" s="1" t="str">
        <x:f>'Habilidades'!F3143</x:f>
        <x:v>Física</x:v>
      </x:c>
      <x:c r="E792" s="18" t="n">
        <x:f>'Habilidades'!G3143</x:f>
        <x:v>120</x:v>
      </x:c>
      <x:c r="F792" s="18" t="n">
        <x:f>'Habilidades'!H3143</x:f>
        <x:v>104</x:v>
      </x:c>
      <x:c r="G792" s="18" t="n">
        <x:f>'Habilidades'!I3143</x:f>
        <x:v>224</x:v>
      </x:c>
    </x:row>
    <x:row r="793" ht="22" customHeight="1">
      <x:c r="A793" s="17" t="n">
        <x:f>IF(B793="","",IF(B793=B792,A792,A792+1))</x:f>
        <x:v>161</x:v>
      </x:c>
      <x:c r="B793" s="1" t="str">
        <x:f>'Ranking'!C166</x:f>
        <x:v>Infernape</x:v>
      </x:c>
      <x:c r="C793" s="1" t="str">
        <x:f>'Habilidades'!D3144</x:f>
        <x:v>Flame Wheel</x:v>
      </x:c>
      <x:c r="D793" s="1" t="str">
        <x:f>'Habilidades'!F3144</x:f>
        <x:v>Física</x:v>
      </x:c>
      <x:c r="E793" s="18" t="n">
        <x:f>'Habilidades'!G3144</x:f>
        <x:v>60</x:v>
      </x:c>
      <x:c r="F793" s="18" t="n">
        <x:f>'Habilidades'!H3144</x:f>
        <x:v>104</x:v>
      </x:c>
      <x:c r="G793" s="18" t="n">
        <x:f>'Habilidades'!I3144</x:f>
        <x:v>164</x:v>
      </x:c>
    </x:row>
    <x:row r="794" ht="22" customHeight="1">
      <x:c r="A794" s="17" t="n">
        <x:f>IF(B794="","",IF(B794=B793,A793,A793+1))</x:f>
        <x:v>161</x:v>
      </x:c>
      <x:c r="B794" s="1" t="str">
        <x:f>'Ranking'!C166</x:f>
        <x:v>Infernape</x:v>
      </x:c>
      <x:c r="C794" s="1" t="str">
        <x:f>'Habilidades'!D3145</x:f>
        <x:v>Acrobatics</x:v>
      </x:c>
      <x:c r="D794" s="1" t="str">
        <x:f>'Habilidades'!F3145</x:f>
        <x:v>Física</x:v>
      </x:c>
      <x:c r="E794" s="18" t="n">
        <x:f>'Habilidades'!G3145</x:f>
        <x:v>55</x:v>
      </x:c>
      <x:c r="F794" s="18" t="n">
        <x:f>'Habilidades'!H3145</x:f>
        <x:v>104</x:v>
      </x:c>
      <x:c r="G794" s="18" t="n">
        <x:f>'Habilidades'!I3145</x:f>
        <x:v>159</x:v>
      </x:c>
    </x:row>
    <x:row r="795" ht="22" customHeight="1">
      <x:c r="A795" s="19" t="n">
        <x:f>IF(B795="","",IF(B795=B794,A794,A794+1))</x:f>
        <x:v>161</x:v>
      </x:c>
      <x:c r="B795" s="20" t="str">
        <x:f>'Ranking'!C166</x:f>
        <x:v>Infernape</x:v>
      </x:c>
      <x:c r="C795" s="20" t="str">
        <x:f>'Habilidades'!D3146</x:f>
        <x:v>Ember</x:v>
      </x:c>
      <x:c r="D795" s="20" t="str">
        <x:f>'Habilidades'!F3146</x:f>
        <x:v>Especial</x:v>
      </x:c>
      <x:c r="E795" s="21" t="n">
        <x:f>'Habilidades'!G3146</x:f>
        <x:v>40</x:v>
      </x:c>
      <x:c r="F795" s="21" t="n">
        <x:f>'Habilidades'!H3146</x:f>
        <x:v>104</x:v>
      </x:c>
      <x:c r="G795" s="21" t="n">
        <x:f>'Habilidades'!I3146</x:f>
        <x:v>144</x:v>
      </x:c>
    </x:row>
    <x:row r="796" ht="22" customHeight="1">
      <x:c r="A796" s="17" t="n">
        <x:f>IF(B796="","",IF(B796=B795,A795,A795+1))</x:f>
        <x:v>162</x:v>
      </x:c>
      <x:c r="B796" s="1" t="str">
        <x:f>'Ranking'!C165</x:f>
        <x:v>Pangoro</x:v>
      </x:c>
      <x:c r="C796" s="1" t="str">
        <x:f>'Habilidades'!D3680</x:f>
        <x:v>Hammer Arm</x:v>
      </x:c>
      <x:c r="D796" s="1" t="str">
        <x:f>'Habilidades'!F3680</x:f>
        <x:v>Física</x:v>
      </x:c>
      <x:c r="E796" s="18" t="n">
        <x:f>'Habilidades'!G3680</x:f>
        <x:v>100</x:v>
      </x:c>
      <x:c r="F796" s="18" t="n">
        <x:f>'Habilidades'!H3680</x:f>
        <x:v>124</x:v>
      </x:c>
      <x:c r="G796" s="18" t="n">
        <x:f>'Habilidades'!I3680</x:f>
        <x:v>224</x:v>
      </x:c>
    </x:row>
    <x:row r="797" ht="22" customHeight="1">
      <x:c r="A797" s="17" t="n">
        <x:f>IF(B797="","",IF(B797=B796,A796,A796+1))</x:f>
        <x:v>162</x:v>
      </x:c>
      <x:c r="B797" s="1" t="str">
        <x:f>'Ranking'!C165</x:f>
        <x:v>Pangoro</x:v>
      </x:c>
      <x:c r="C797" s="1" t="str">
        <x:f>'Habilidades'!D3681</x:f>
        <x:v>Body Slam</x:v>
      </x:c>
      <x:c r="D797" s="1" t="str">
        <x:f>'Habilidades'!F3681</x:f>
        <x:v>Física</x:v>
      </x:c>
      <x:c r="E797" s="18" t="n">
        <x:f>'Habilidades'!G3681</x:f>
        <x:v>85</x:v>
      </x:c>
      <x:c r="F797" s="18" t="n">
        <x:f>'Habilidades'!H3681</x:f>
        <x:v>124</x:v>
      </x:c>
      <x:c r="G797" s="18" t="n">
        <x:f>'Habilidades'!I3681</x:f>
        <x:v>209</x:v>
      </x:c>
    </x:row>
    <x:row r="798" ht="22" customHeight="1">
      <x:c r="A798" s="17" t="n">
        <x:f>IF(B798="","",IF(B798=B797,A797,A797+1))</x:f>
        <x:v>162</x:v>
      </x:c>
      <x:c r="B798" s="1" t="str">
        <x:f>'Ranking'!C165</x:f>
        <x:v>Pangoro</x:v>
      </x:c>
      <x:c r="C798" s="1" t="str">
        <x:f>'Habilidades'!D3682</x:f>
        <x:v>Sky Uppercut</x:v>
      </x:c>
      <x:c r="D798" s="1" t="str">
        <x:f>'Habilidades'!F3682</x:f>
        <x:v>Física</x:v>
      </x:c>
      <x:c r="E798" s="18" t="n">
        <x:f>'Habilidades'!G3682</x:f>
        <x:v>85</x:v>
      </x:c>
      <x:c r="F798" s="18" t="n">
        <x:f>'Habilidades'!H3682</x:f>
        <x:v>124</x:v>
      </x:c>
      <x:c r="G798" s="18" t="n">
        <x:f>'Habilidades'!I3682</x:f>
        <x:v>209</x:v>
      </x:c>
    </x:row>
    <x:row r="799" ht="22" customHeight="1">
      <x:c r="A799" s="17" t="n">
        <x:f>IF(B799="","",IF(B799=B798,A798,A798+1))</x:f>
        <x:v>162</x:v>
      </x:c>
      <x:c r="B799" s="1" t="str">
        <x:f>'Ranking'!C165</x:f>
        <x:v>Pangoro</x:v>
      </x:c>
      <x:c r="C799" s="1" t="str">
        <x:f>'Habilidades'!D3683</x:f>
        <x:v>Crunch</x:v>
      </x:c>
      <x:c r="D799" s="1" t="str">
        <x:f>'Habilidades'!F3683</x:f>
        <x:v>Física</x:v>
      </x:c>
      <x:c r="E799" s="18" t="n">
        <x:f>'Habilidades'!G3683</x:f>
        <x:v>80</x:v>
      </x:c>
      <x:c r="F799" s="18" t="n">
        <x:f>'Habilidades'!H3683</x:f>
        <x:v>124</x:v>
      </x:c>
      <x:c r="G799" s="18" t="n">
        <x:f>'Habilidades'!I3683</x:f>
        <x:v>204</x:v>
      </x:c>
    </x:row>
    <x:row r="800" ht="22" customHeight="1">
      <x:c r="A800" s="19" t="n">
        <x:f>IF(B800="","",IF(B800=B799,A799,A799+1))</x:f>
        <x:v>162</x:v>
      </x:c>
      <x:c r="B800" s="20" t="str">
        <x:f>'Ranking'!C165</x:f>
        <x:v>Pangoro</x:v>
      </x:c>
      <x:c r="C800" s="20" t="str">
        <x:f>'Habilidades'!D3684</x:f>
        <x:v>Slash</x:v>
      </x:c>
      <x:c r="D800" s="20" t="str">
        <x:f>'Habilidades'!F3684</x:f>
        <x:v>Física</x:v>
      </x:c>
      <x:c r="E800" s="21" t="n">
        <x:f>'Habilidades'!G3684</x:f>
        <x:v>70</x:v>
      </x:c>
      <x:c r="F800" s="21" t="n">
        <x:f>'Habilidades'!H3684</x:f>
        <x:v>124</x:v>
      </x:c>
      <x:c r="G800" s="21" t="n">
        <x:f>'Habilidades'!I3684</x:f>
        <x:v>194</x:v>
      </x:c>
    </x:row>
    <x:row r="801" ht="22" customHeight="1">
      <x:c r="A801" s="17" t="n">
        <x:f>IF(B801="","",IF(B801=B800,A800,A800+1))</x:f>
        <x:v>163</x:v>
      </x:c>
      <x:c r="B801" s="1" t="str">
        <x:f>'Ranking'!C167</x:f>
        <x:v>Turtonator</x:v>
      </x:c>
      <x:c r="C801" s="1" t="str">
        <x:f>'Habilidades'!D3770</x:f>
        <x:v>Overheat</x:v>
      </x:c>
      <x:c r="D801" s="1" t="str">
        <x:f>'Habilidades'!F3770</x:f>
        <x:v>Especial</x:v>
      </x:c>
      <x:c r="E801" s="18" t="n">
        <x:f>'Habilidades'!G3770</x:f>
        <x:v>130</x:v>
      </x:c>
      <x:c r="F801" s="18" t="n">
        <x:f>'Habilidades'!H3770</x:f>
        <x:v>91</x:v>
      </x:c>
      <x:c r="G801" s="18" t="n">
        <x:f>'Habilidades'!I3770</x:f>
        <x:v>221</x:v>
      </x:c>
    </x:row>
    <x:row r="802" ht="22" customHeight="1">
      <x:c r="A802" s="17" t="n">
        <x:f>IF(B802="","",IF(B802=B801,A801,A801+1))</x:f>
        <x:v>163</x:v>
      </x:c>
      <x:c r="B802" s="1" t="str">
        <x:f>'Ranking'!C167</x:f>
        <x:v>Turtonator</x:v>
      </x:c>
      <x:c r="C802" s="1" t="str">
        <x:f>'Habilidades'!D3771</x:f>
        <x:v>Flamethrower</x:v>
      </x:c>
      <x:c r="D802" s="1" t="str">
        <x:f>'Habilidades'!F3771</x:f>
        <x:v>Especial</x:v>
      </x:c>
      <x:c r="E802" s="18" t="n">
        <x:f>'Habilidades'!G3771</x:f>
        <x:v>90</x:v>
      </x:c>
      <x:c r="F802" s="18" t="n">
        <x:f>'Habilidades'!H3771</x:f>
        <x:v>91</x:v>
      </x:c>
      <x:c r="G802" s="18" t="n">
        <x:f>'Habilidades'!I3771</x:f>
        <x:v>181</x:v>
      </x:c>
    </x:row>
    <x:row r="803" ht="22" customHeight="1">
      <x:c r="A803" s="17" t="n">
        <x:f>IF(B803="","",IF(B803=B802,A802,A802+1))</x:f>
        <x:v>163</x:v>
      </x:c>
      <x:c r="B803" s="1" t="str">
        <x:f>'Ranking'!C167</x:f>
        <x:v>Turtonator</x:v>
      </x:c>
      <x:c r="C803" s="1" t="str">
        <x:f>'Habilidades'!D3772</x:f>
        <x:v>Incinerate</x:v>
      </x:c>
      <x:c r="D803" s="1" t="str">
        <x:f>'Habilidades'!F3772</x:f>
        <x:v>Especial</x:v>
      </x:c>
      <x:c r="E803" s="18" t="n">
        <x:f>'Habilidades'!G3772</x:f>
        <x:v>60</x:v>
      </x:c>
      <x:c r="F803" s="18" t="n">
        <x:f>'Habilidades'!H3772</x:f>
        <x:v>91</x:v>
      </x:c>
      <x:c r="G803" s="18" t="n">
        <x:f>'Habilidades'!I3772</x:f>
        <x:v>151</x:v>
      </x:c>
    </x:row>
    <x:row r="804" ht="22" customHeight="1">
      <x:c r="A804" s="17" t="n">
        <x:f>IF(B804="","",IF(B804=B803,A803,A803+1))</x:f>
        <x:v>163</x:v>
      </x:c>
      <x:c r="B804" s="1" t="str">
        <x:f>'Ranking'!C167</x:f>
        <x:v>Turtonator</x:v>
      </x:c>
      <x:c r="C804" s="1" t="str">
        <x:f>'Habilidades'!D3773</x:f>
        <x:v>Ember</x:v>
      </x:c>
      <x:c r="D804" s="1" t="str">
        <x:f>'Habilidades'!F3773</x:f>
        <x:v>Especial</x:v>
      </x:c>
      <x:c r="E804" s="18" t="n">
        <x:f>'Habilidades'!G3773</x:f>
        <x:v>40</x:v>
      </x:c>
      <x:c r="F804" s="18" t="n">
        <x:f>'Habilidades'!H3773</x:f>
        <x:v>91</x:v>
      </x:c>
      <x:c r="G804" s="18" t="n">
        <x:f>'Habilidades'!I3773</x:f>
        <x:v>131</x:v>
      </x:c>
    </x:row>
    <x:row r="805" ht="22" customHeight="1">
      <x:c r="A805" s="19" t="n">
        <x:f>IF(B805="","",IF(B805=B804,A804,A804+1))</x:f>
        <x:v>163</x:v>
      </x:c>
      <x:c r="B805" s="20" t="str">
        <x:f>'Ranking'!C167</x:f>
        <x:v>Turtonator</x:v>
      </x:c>
      <x:c r="C805" s="20" t="str">
        <x:f>'Habilidades'!D3774</x:f>
        <x:v>Fire Spin</x:v>
      </x:c>
      <x:c r="D805" s="20" t="str">
        <x:f>'Habilidades'!F3774</x:f>
        <x:v>Especial</x:v>
      </x:c>
      <x:c r="E805" s="21" t="n">
        <x:f>'Habilidades'!G3774</x:f>
        <x:v>35</x:v>
      </x:c>
      <x:c r="F805" s="21" t="n">
        <x:f>'Habilidades'!H3774</x:f>
        <x:v>91</x:v>
      </x:c>
      <x:c r="G805" s="21" t="n">
        <x:f>'Habilidades'!I3774</x:f>
        <x:v>126</x:v>
      </x:c>
    </x:row>
    <x:row r="806" ht="22" customHeight="1">
      <x:c r="A806" s="17" t="n">
        <x:f>IF(B806="","",IF(B806=B805,A805,A805+1))</x:f>
        <x:v>164</x:v>
      </x:c>
      <x:c r="B806" s="1" t="str">
        <x:f>'Ranking'!C180</x:f>
        <x:v>Claydol</x:v>
      </x:c>
      <x:c r="C806" s="1" t="str">
        <x:f>'Habilidades'!D2947</x:f>
        <x:v>Hyper Beam</x:v>
      </x:c>
      <x:c r="D806" s="1" t="str">
        <x:f>'Habilidades'!F2947</x:f>
        <x:v>Especial</x:v>
      </x:c>
      <x:c r="E806" s="18" t="n">
        <x:f>'Habilidades'!G2947</x:f>
        <x:v>150</x:v>
      </x:c>
      <x:c r="F806" s="18" t="n">
        <x:f>'Habilidades'!H2947</x:f>
        <x:v>70</x:v>
      </x:c>
      <x:c r="G806" s="18" t="n">
        <x:f>'Habilidades'!I2947</x:f>
        <x:v>220</x:v>
      </x:c>
    </x:row>
    <x:row r="807" ht="22" customHeight="1">
      <x:c r="A807" s="17" t="n">
        <x:f>IF(B807="","",IF(B807=B806,A806,A806+1))</x:f>
        <x:v>164</x:v>
      </x:c>
      <x:c r="B807" s="1" t="str">
        <x:f>'Ranking'!C180</x:f>
        <x:v>Claydol</x:v>
      </x:c>
      <x:c r="C807" s="1" t="str">
        <x:f>'Habilidades'!D2948</x:f>
        <x:v>Earth Power</x:v>
      </x:c>
      <x:c r="D807" s="1" t="str">
        <x:f>'Habilidades'!F2948</x:f>
        <x:v>Especial</x:v>
      </x:c>
      <x:c r="E807" s="18" t="n">
        <x:f>'Habilidades'!G2948</x:f>
        <x:v>90</x:v>
      </x:c>
      <x:c r="F807" s="18" t="n">
        <x:f>'Habilidades'!H2948</x:f>
        <x:v>70</x:v>
      </x:c>
      <x:c r="G807" s="18" t="n">
        <x:f>'Habilidades'!I2948</x:f>
        <x:v>160</x:v>
      </x:c>
    </x:row>
    <x:row r="808" ht="22" customHeight="1">
      <x:c r="A808" s="17" t="n">
        <x:f>IF(B808="","",IF(B808=B807,A807,A807+1))</x:f>
        <x:v>164</x:v>
      </x:c>
      <x:c r="B808" s="1" t="str">
        <x:f>'Ranking'!C180</x:f>
        <x:v>Claydol</x:v>
      </x:c>
      <x:c r="C808" s="1" t="str">
        <x:f>'Habilidades'!D2949</x:f>
        <x:v>Extrasensory</x:v>
      </x:c>
      <x:c r="D808" s="1" t="str">
        <x:f>'Habilidades'!F2949</x:f>
        <x:v>Especial</x:v>
      </x:c>
      <x:c r="E808" s="18" t="n">
        <x:f>'Habilidades'!G2949</x:f>
        <x:v>80</x:v>
      </x:c>
      <x:c r="F808" s="18" t="n">
        <x:f>'Habilidades'!H2949</x:f>
        <x:v>70</x:v>
      </x:c>
      <x:c r="G808" s="18" t="n">
        <x:f>'Habilidades'!I2949</x:f>
        <x:v>150</x:v>
      </x:c>
    </x:row>
    <x:row r="809" ht="22" customHeight="1">
      <x:c r="A809" s="17" t="n">
        <x:f>IF(B809="","",IF(B809=B808,A808,A808+1))</x:f>
        <x:v>164</x:v>
      </x:c>
      <x:c r="B809" s="1" t="str">
        <x:f>'Ranking'!C180</x:f>
        <x:v>Claydol</x:v>
      </x:c>
      <x:c r="C809" s="1" t="str">
        <x:f>'Habilidades'!D2950</x:f>
        <x:v>Psybeam</x:v>
      </x:c>
      <x:c r="D809" s="1" t="str">
        <x:f>'Habilidades'!F2950</x:f>
        <x:v>Especial</x:v>
      </x:c>
      <x:c r="E809" s="18" t="n">
        <x:f>'Habilidades'!G2950</x:f>
        <x:v>65</x:v>
      </x:c>
      <x:c r="F809" s="18" t="n">
        <x:f>'Habilidades'!H2950</x:f>
        <x:v>70</x:v>
      </x:c>
      <x:c r="G809" s="18" t="n">
        <x:f>'Habilidades'!I2950</x:f>
        <x:v>135</x:v>
      </x:c>
    </x:row>
    <x:row r="810" ht="22" customHeight="1">
      <x:c r="A810" s="19" t="n">
        <x:f>IF(B810="","",IF(B810=B809,A809,A809+1))</x:f>
        <x:v>164</x:v>
      </x:c>
      <x:c r="B810" s="20" t="str">
        <x:f>'Ranking'!C180</x:f>
        <x:v>Claydol</x:v>
      </x:c>
      <x:c r="C810" s="20" t="str">
        <x:f>'Habilidades'!D2951</x:f>
        <x:v>Rock Tomb</x:v>
      </x:c>
      <x:c r="D810" s="20" t="str">
        <x:f>'Habilidades'!F2951</x:f>
        <x:v>Física</x:v>
      </x:c>
      <x:c r="E810" s="21" t="n">
        <x:f>'Habilidades'!G2951</x:f>
        <x:v>60</x:v>
      </x:c>
      <x:c r="F810" s="21" t="n">
        <x:f>'Habilidades'!H2951</x:f>
        <x:v>70</x:v>
      </x:c>
      <x:c r="G810" s="21" t="n">
        <x:f>'Habilidades'!I2951</x:f>
        <x:v>130</x:v>
      </x:c>
    </x:row>
    <x:row r="811" ht="22" customHeight="1">
      <x:c r="A811" s="17" t="n">
        <x:f>IF(B811="","",IF(B811=B810,A810,A810+1))</x:f>
        <x:v>165</x:v>
      </x:c>
      <x:c r="B811" s="1" t="str">
        <x:f>'Ranking'!C168</x:f>
        <x:v>Crawdaunt</x:v>
      </x:c>
      <x:c r="C811" s="1" t="str">
        <x:f>'Habilidades'!D2927</x:f>
        <x:v>Crabhammer</x:v>
      </x:c>
      <x:c r="D811" s="1" t="str">
        <x:f>'Habilidades'!F2927</x:f>
        <x:v>Física</x:v>
      </x:c>
      <x:c r="E811" s="18" t="n">
        <x:f>'Habilidades'!G2927</x:f>
        <x:v>100</x:v>
      </x:c>
      <x:c r="F811" s="18" t="n">
        <x:f>'Habilidades'!H2927</x:f>
        <x:v>120</x:v>
      </x:c>
      <x:c r="G811" s="18" t="n">
        <x:f>'Habilidades'!I2927</x:f>
        <x:v>220</x:v>
      </x:c>
    </x:row>
    <x:row r="812" ht="22" customHeight="1">
      <x:c r="A812" s="17" t="n">
        <x:f>IF(B812="","",IF(B812=B811,A811,A811+1))</x:f>
        <x:v>165</x:v>
      </x:c>
      <x:c r="B812" s="1" t="str">
        <x:f>'Ranking'!C168</x:f>
        <x:v>Crawdaunt</x:v>
      </x:c>
      <x:c r="C812" s="1" t="str">
        <x:f>'Habilidades'!D2928</x:f>
        <x:v>Crunch</x:v>
      </x:c>
      <x:c r="D812" s="1" t="str">
        <x:f>'Habilidades'!F2928</x:f>
        <x:v>Física</x:v>
      </x:c>
      <x:c r="E812" s="18" t="n">
        <x:f>'Habilidades'!G2928</x:f>
        <x:v>80</x:v>
      </x:c>
      <x:c r="F812" s="18" t="n">
        <x:f>'Habilidades'!H2928</x:f>
        <x:v>120</x:v>
      </x:c>
      <x:c r="G812" s="18" t="n">
        <x:f>'Habilidades'!I2928</x:f>
        <x:v>200</x:v>
      </x:c>
    </x:row>
    <x:row r="813" ht="22" customHeight="1">
      <x:c r="A813" s="17" t="n">
        <x:f>IF(B813="","",IF(B813=B812,A812,A812+1))</x:f>
        <x:v>165</x:v>
      </x:c>
      <x:c r="B813" s="1" t="str">
        <x:f>'Ranking'!C168</x:f>
        <x:v>Crawdaunt</x:v>
      </x:c>
      <x:c r="C813" s="1" t="str">
        <x:f>'Habilidades'!D2929</x:f>
        <x:v>Razor Shell</x:v>
      </x:c>
      <x:c r="D813" s="1" t="str">
        <x:f>'Habilidades'!F2929</x:f>
        <x:v>Física</x:v>
      </x:c>
      <x:c r="E813" s="18" t="n">
        <x:f>'Habilidades'!G2929</x:f>
        <x:v>75</x:v>
      </x:c>
      <x:c r="F813" s="18" t="n">
        <x:f>'Habilidades'!H2929</x:f>
        <x:v>120</x:v>
      </x:c>
      <x:c r="G813" s="18" t="n">
        <x:f>'Habilidades'!I2929</x:f>
        <x:v>195</x:v>
      </x:c>
    </x:row>
    <x:row r="814" ht="22" customHeight="1">
      <x:c r="A814" s="17" t="n">
        <x:f>IF(B814="","",IF(B814=B813,A813,A813+1))</x:f>
        <x:v>165</x:v>
      </x:c>
      <x:c r="B814" s="1" t="str">
        <x:f>'Ranking'!C168</x:f>
        <x:v>Crawdaunt</x:v>
      </x:c>
      <x:c r="C814" s="1" t="str">
        <x:f>'Habilidades'!D2930</x:f>
        <x:v>Night Slash</x:v>
      </x:c>
      <x:c r="D814" s="1" t="str">
        <x:f>'Habilidades'!F2930</x:f>
        <x:v>Física</x:v>
      </x:c>
      <x:c r="E814" s="18" t="n">
        <x:f>'Habilidades'!G2930</x:f>
        <x:v>70</x:v>
      </x:c>
      <x:c r="F814" s="18" t="n">
        <x:f>'Habilidades'!H2930</x:f>
        <x:v>120</x:v>
      </x:c>
      <x:c r="G814" s="18" t="n">
        <x:f>'Habilidades'!I2930</x:f>
        <x:v>190</x:v>
      </x:c>
    </x:row>
    <x:row r="815" ht="22" customHeight="1">
      <x:c r="A815" s="19" t="n">
        <x:f>IF(B815="","",IF(B815=B814,A814,A814+1))</x:f>
        <x:v>165</x:v>
      </x:c>
      <x:c r="B815" s="20" t="str">
        <x:f>'Ranking'!C168</x:f>
        <x:v>Crawdaunt</x:v>
      </x:c>
      <x:c r="C815" s="20" t="str">
        <x:f>'Habilidades'!D2933</x:f>
        <x:v>Bubble Beam</x:v>
      </x:c>
      <x:c r="D815" s="20" t="str">
        <x:f>'Habilidades'!F2933</x:f>
        <x:v>Especial</x:v>
      </x:c>
      <x:c r="E815" s="21" t="n">
        <x:f>'Habilidades'!G2933</x:f>
        <x:v>65</x:v>
      </x:c>
      <x:c r="F815" s="21" t="n">
        <x:f>'Habilidades'!H2933</x:f>
        <x:v>90</x:v>
      </x:c>
      <x:c r="G815" s="21" t="n">
        <x:f>'Habilidades'!I2933</x:f>
        <x:v>155</x:v>
      </x:c>
    </x:row>
    <x:row r="816" ht="22" customHeight="1">
      <x:c r="A816" s="17" t="n">
        <x:f>IF(B816="","",IF(B816=B815,A815,A815+1))</x:f>
        <x:v>166</x:v>
      </x:c>
      <x:c r="B816" s="1" t="str">
        <x:f>'Ranking'!C178</x:f>
        <x:v>Dragonair</x:v>
      </x:c>
      <x:c r="C816" s="1" t="str">
        <x:f>'Habilidades'!D1420</x:f>
        <x:v>Hyper Beam</x:v>
      </x:c>
      <x:c r="D816" s="1" t="str">
        <x:f>'Habilidades'!F1420</x:f>
        <x:v>Especial</x:v>
      </x:c>
      <x:c r="E816" s="18" t="n">
        <x:f>'Habilidades'!G1420</x:f>
        <x:v>150</x:v>
      </x:c>
      <x:c r="F816" s="18" t="n">
        <x:f>'Habilidades'!H1420</x:f>
        <x:v>70</x:v>
      </x:c>
      <x:c r="G816" s="18" t="n">
        <x:f>'Habilidades'!I1420</x:f>
        <x:v>220</x:v>
      </x:c>
    </x:row>
    <x:row r="817" ht="22" customHeight="1">
      <x:c r="A817" s="17" t="n">
        <x:f>IF(B817="","",IF(B817=B816,A816,A816+1))</x:f>
        <x:v>166</x:v>
      </x:c>
      <x:c r="B817" s="1" t="str">
        <x:f>'Ranking'!C178</x:f>
        <x:v>Dragonair</x:v>
      </x:c>
      <x:c r="C817" s="1" t="str">
        <x:f>'Habilidades'!D1421</x:f>
        <x:v>Outrage</x:v>
      </x:c>
      <x:c r="D817" s="1" t="str">
        <x:f>'Habilidades'!F1421</x:f>
        <x:v>Física</x:v>
      </x:c>
      <x:c r="E817" s="18" t="n">
        <x:f>'Habilidades'!G1421</x:f>
        <x:v>120</x:v>
      </x:c>
      <x:c r="F817" s="18" t="n">
        <x:f>'Habilidades'!H1421</x:f>
        <x:v>84</x:v>
      </x:c>
      <x:c r="G817" s="18" t="n">
        <x:f>'Habilidades'!I1421</x:f>
        <x:v>204</x:v>
      </x:c>
    </x:row>
    <x:row r="818" ht="22" customHeight="1">
      <x:c r="A818" s="17" t="n">
        <x:f>IF(B818="","",IF(B818=B817,A817,A817+1))</x:f>
        <x:v>166</x:v>
      </x:c>
      <x:c r="B818" s="1" t="str">
        <x:f>'Ranking'!C178</x:f>
        <x:v>Dragonair</x:v>
      </x:c>
      <x:c r="C818" s="1" t="str">
        <x:f>'Habilidades'!D1422</x:f>
        <x:v>Dragon Rush</x:v>
      </x:c>
      <x:c r="D818" s="1" t="str">
        <x:f>'Habilidades'!F1422</x:f>
        <x:v>Física</x:v>
      </x:c>
      <x:c r="E818" s="18" t="n">
        <x:f>'Habilidades'!G1422</x:f>
        <x:v>100</x:v>
      </x:c>
      <x:c r="F818" s="18" t="n">
        <x:f>'Habilidades'!H1422</x:f>
        <x:v>84</x:v>
      </x:c>
      <x:c r="G818" s="18" t="n">
        <x:f>'Habilidades'!I1422</x:f>
        <x:v>184</x:v>
      </x:c>
    </x:row>
    <x:row r="819" ht="22" customHeight="1">
      <x:c r="A819" s="17" t="n">
        <x:f>IF(B819="","",IF(B819=B818,A818,A818+1))</x:f>
        <x:v>166</x:v>
      </x:c>
      <x:c r="B819" s="1" t="str">
        <x:f>'Ranking'!C178</x:f>
        <x:v>Dragonair</x:v>
      </x:c>
      <x:c r="C819" s="1" t="str">
        <x:f>'Habilidades'!D1423</x:f>
        <x:v>Aqua Tail</x:v>
      </x:c>
      <x:c r="D819" s="1" t="str">
        <x:f>'Habilidades'!F1423</x:f>
        <x:v>Física</x:v>
      </x:c>
      <x:c r="E819" s="18" t="n">
        <x:f>'Habilidades'!G1423</x:f>
        <x:v>90</x:v>
      </x:c>
      <x:c r="F819" s="18" t="n">
        <x:f>'Habilidades'!H1423</x:f>
        <x:v>84</x:v>
      </x:c>
      <x:c r="G819" s="18" t="n">
        <x:f>'Habilidades'!I1423</x:f>
        <x:v>174</x:v>
      </x:c>
    </x:row>
    <x:row r="820" ht="22" customHeight="1">
      <x:c r="A820" s="19" t="n">
        <x:f>IF(B820="","",IF(B820=B819,A819,A819+1))</x:f>
        <x:v>166</x:v>
      </x:c>
      <x:c r="B820" s="20" t="str">
        <x:f>'Ranking'!C178</x:f>
        <x:v>Dragonair</x:v>
      </x:c>
      <x:c r="C820" s="20" t="str">
        <x:f>'Habilidades'!D1424</x:f>
        <x:v>Slam</x:v>
      </x:c>
      <x:c r="D820" s="20" t="str">
        <x:f>'Habilidades'!F1424</x:f>
        <x:v>Física</x:v>
      </x:c>
      <x:c r="E820" s="21" t="n">
        <x:f>'Habilidades'!G1424</x:f>
        <x:v>80</x:v>
      </x:c>
      <x:c r="F820" s="21" t="n">
        <x:f>'Habilidades'!H1424</x:f>
        <x:v>84</x:v>
      </x:c>
      <x:c r="G820" s="21" t="n">
        <x:f>'Habilidades'!I1424</x:f>
        <x:v>164</x:v>
      </x:c>
    </x:row>
    <x:row r="821" ht="22" customHeight="1">
      <x:c r="A821" s="17" t="n">
        <x:f>IF(B821="","",IF(B821=B820,A820,A820+1))</x:f>
        <x:v>167</x:v>
      </x:c>
      <x:c r="B821" s="1" t="str">
        <x:f>'Ranking'!C177</x:f>
        <x:v>Gogoat</x:v>
      </x:c>
      <x:c r="C821" s="1" t="str">
        <x:f>'Habilidades'!D3659</x:f>
        <x:v>Double-Edge</x:v>
      </x:c>
      <x:c r="D821" s="1" t="str">
        <x:f>'Habilidades'!F3659</x:f>
        <x:v>Física</x:v>
      </x:c>
      <x:c r="E821" s="18" t="n">
        <x:f>'Habilidades'!G3659</x:f>
        <x:v>120</x:v>
      </x:c>
      <x:c r="F821" s="18" t="n">
        <x:f>'Habilidades'!H3659</x:f>
        <x:v>100</x:v>
      </x:c>
      <x:c r="G821" s="18" t="n">
        <x:f>'Habilidades'!I3659</x:f>
        <x:v>220</x:v>
      </x:c>
    </x:row>
    <x:row r="822" ht="22" customHeight="1">
      <x:c r="A822" s="17" t="n">
        <x:f>IF(B822="","",IF(B822=B821,A821,A821+1))</x:f>
        <x:v>167</x:v>
      </x:c>
      <x:c r="B822" s="1" t="str">
        <x:f>'Ranking'!C177</x:f>
        <x:v>Gogoat</x:v>
      </x:c>
      <x:c r="C822" s="1" t="str">
        <x:f>'Habilidades'!D3660</x:f>
        <x:v>Earthquake</x:v>
      </x:c>
      <x:c r="D822" s="1" t="str">
        <x:f>'Habilidades'!F3660</x:f>
        <x:v>Física</x:v>
      </x:c>
      <x:c r="E822" s="18" t="n">
        <x:f>'Habilidades'!G3660</x:f>
        <x:v>100</x:v>
      </x:c>
      <x:c r="F822" s="18" t="n">
        <x:f>'Habilidades'!H3660</x:f>
        <x:v>100</x:v>
      </x:c>
      <x:c r="G822" s="18" t="n">
        <x:f>'Habilidades'!I3660</x:f>
        <x:v>200</x:v>
      </x:c>
    </x:row>
    <x:row r="823" ht="22" customHeight="1">
      <x:c r="A823" s="17" t="n">
        <x:f>IF(B823="","",IF(B823=B822,A822,A822+1))</x:f>
        <x:v>167</x:v>
      </x:c>
      <x:c r="B823" s="1" t="str">
        <x:f>'Ranking'!C177</x:f>
        <x:v>Gogoat</x:v>
      </x:c>
      <x:c r="C823" s="1" t="str">
        <x:f>'Habilidades'!D3661</x:f>
        <x:v>Take Down</x:v>
      </x:c>
      <x:c r="D823" s="1" t="str">
        <x:f>'Habilidades'!F3661</x:f>
        <x:v>Física</x:v>
      </x:c>
      <x:c r="E823" s="18" t="n">
        <x:f>'Habilidades'!G3661</x:f>
        <x:v>90</x:v>
      </x:c>
      <x:c r="F823" s="18" t="n">
        <x:f>'Habilidades'!H3661</x:f>
        <x:v>100</x:v>
      </x:c>
      <x:c r="G823" s="18" t="n">
        <x:f>'Habilidades'!I3661</x:f>
        <x:v>190</x:v>
      </x:c>
    </x:row>
    <x:row r="824" ht="22" customHeight="1">
      <x:c r="A824" s="17" t="n">
        <x:f>IF(B824="","",IF(B824=B823,A823,A823+1))</x:f>
        <x:v>167</x:v>
      </x:c>
      <x:c r="B824" s="1" t="str">
        <x:f>'Ranking'!C177</x:f>
        <x:v>Gogoat</x:v>
      </x:c>
      <x:c r="C824" s="1" t="str">
        <x:f>'Habilidades'!D3662</x:f>
        <x:v>Leaf Blade</x:v>
      </x:c>
      <x:c r="D824" s="1" t="str">
        <x:f>'Habilidades'!F3662</x:f>
        <x:v>Física</x:v>
      </x:c>
      <x:c r="E824" s="18" t="n">
        <x:f>'Habilidades'!G3662</x:f>
        <x:v>90</x:v>
      </x:c>
      <x:c r="F824" s="18" t="n">
        <x:f>'Habilidades'!H3662</x:f>
        <x:v>100</x:v>
      </x:c>
      <x:c r="G824" s="18" t="n">
        <x:f>'Habilidades'!I3662</x:f>
        <x:v>190</x:v>
      </x:c>
    </x:row>
    <x:row r="825" ht="22" customHeight="1">
      <x:c r="A825" s="19" t="n">
        <x:f>IF(B825="","",IF(B825=B824,A824,A824+1))</x:f>
        <x:v>167</x:v>
      </x:c>
      <x:c r="B825" s="20" t="str">
        <x:f>'Ranking'!C177</x:f>
        <x:v>Gogoat</x:v>
      </x:c>
      <x:c r="C825" s="20" t="str">
        <x:f>'Habilidades'!D3663</x:f>
        <x:v>Seed Bomb</x:v>
      </x:c>
      <x:c r="D825" s="20" t="str">
        <x:f>'Habilidades'!F3663</x:f>
        <x:v>Física</x:v>
      </x:c>
      <x:c r="E825" s="21" t="n">
        <x:f>'Habilidades'!G3663</x:f>
        <x:v>80</x:v>
      </x:c>
      <x:c r="F825" s="21" t="n">
        <x:f>'Habilidades'!H3663</x:f>
        <x:v>100</x:v>
      </x:c>
      <x:c r="G825" s="21" t="n">
        <x:f>'Habilidades'!I3663</x:f>
        <x:v>180</x:v>
      </x:c>
    </x:row>
    <x:row r="826" ht="22" customHeight="1">
      <x:c r="A826" s="17" t="n">
        <x:f>IF(B826="","",IF(B826=B825,A825,A825+1))</x:f>
        <x:v>168</x:v>
      </x:c>
      <x:c r="B826" s="1" t="str">
        <x:f>'Ranking'!C170</x:f>
        <x:v>Goodra</x:v>
      </x:c>
      <x:c r="C826" s="1" t="str">
        <x:f>'Habilidades'!D3754</x:f>
        <x:v>Outrage</x:v>
      </x:c>
      <x:c r="D826" s="1" t="str">
        <x:f>'Habilidades'!F3754</x:f>
        <x:v>Física</x:v>
      </x:c>
      <x:c r="E826" s="18" t="n">
        <x:f>'Habilidades'!G3754</x:f>
        <x:v>120</x:v>
      </x:c>
      <x:c r="F826" s="18" t="n">
        <x:f>'Habilidades'!H3754</x:f>
        <x:v>100</x:v>
      </x:c>
      <x:c r="G826" s="18" t="n">
        <x:f>'Habilidades'!I3754</x:f>
        <x:v>220</x:v>
      </x:c>
    </x:row>
    <x:row r="827" ht="22" customHeight="1">
      <x:c r="A827" s="17" t="n">
        <x:f>IF(B827="","",IF(B827=B826,A826,A826+1))</x:f>
        <x:v>168</x:v>
      </x:c>
      <x:c r="B827" s="1" t="str">
        <x:f>'Ranking'!C170</x:f>
        <x:v>Goodra</x:v>
      </x:c>
      <x:c r="C827" s="1" t="str">
        <x:f>'Habilidades'!D3755</x:f>
        <x:v>Power Whip</x:v>
      </x:c>
      <x:c r="D827" s="1" t="str">
        <x:f>'Habilidades'!F3755</x:f>
        <x:v>Física</x:v>
      </x:c>
      <x:c r="E827" s="18" t="n">
        <x:f>'Habilidades'!G3755</x:f>
        <x:v>120</x:v>
      </x:c>
      <x:c r="F827" s="18" t="n">
        <x:f>'Habilidades'!H3755</x:f>
        <x:v>100</x:v>
      </x:c>
      <x:c r="G827" s="18" t="n">
        <x:f>'Habilidades'!I3755</x:f>
        <x:v>220</x:v>
      </x:c>
    </x:row>
    <x:row r="828" ht="22" customHeight="1">
      <x:c r="A828" s="17" t="n">
        <x:f>IF(B828="","",IF(B828=B827,A827,A827+1))</x:f>
        <x:v>168</x:v>
      </x:c>
      <x:c r="B828" s="1" t="str">
        <x:f>'Ranking'!C170</x:f>
        <x:v>Goodra</x:v>
      </x:c>
      <x:c r="C828" s="1" t="str">
        <x:f>'Habilidades'!D3756</x:f>
        <x:v>Muddy Water</x:v>
      </x:c>
      <x:c r="D828" s="1" t="str">
        <x:f>'Habilidades'!F3756</x:f>
        <x:v>Especial</x:v>
      </x:c>
      <x:c r="E828" s="18" t="n">
        <x:f>'Habilidades'!G3756</x:f>
        <x:v>90</x:v>
      </x:c>
      <x:c r="F828" s="18" t="n">
        <x:f>'Habilidades'!H3756</x:f>
        <x:v>110</x:v>
      </x:c>
      <x:c r="G828" s="18" t="n">
        <x:f>'Habilidades'!I3756</x:f>
        <x:v>200</x:v>
      </x:c>
    </x:row>
    <x:row r="829" ht="22" customHeight="1">
      <x:c r="A829" s="17" t="n">
        <x:f>IF(B829="","",IF(B829=B828,A828,A828+1))</x:f>
        <x:v>168</x:v>
      </x:c>
      <x:c r="B829" s="1" t="str">
        <x:f>'Ranking'!C170</x:f>
        <x:v>Goodra</x:v>
      </x:c>
      <x:c r="C829" s="1" t="str">
        <x:f>'Habilidades'!D3758</x:f>
        <x:v>Aqua Tail</x:v>
      </x:c>
      <x:c r="D829" s="1" t="str">
        <x:f>'Habilidades'!F3758</x:f>
        <x:v>Física</x:v>
      </x:c>
      <x:c r="E829" s="18" t="n">
        <x:f>'Habilidades'!G3758</x:f>
        <x:v>90</x:v>
      </x:c>
      <x:c r="F829" s="18" t="n">
        <x:f>'Habilidades'!H3758</x:f>
        <x:v>100</x:v>
      </x:c>
      <x:c r="G829" s="18" t="n">
        <x:f>'Habilidades'!I3758</x:f>
        <x:v>190</x:v>
      </x:c>
    </x:row>
    <x:row r="830" ht="22" customHeight="1">
      <x:c r="A830" s="19" t="n">
        <x:f>IF(B830="","",IF(B830=B829,A829,A829+1))</x:f>
        <x:v>168</x:v>
      </x:c>
      <x:c r="B830" s="20" t="str">
        <x:f>'Ranking'!C170</x:f>
        <x:v>Goodra</x:v>
      </x:c>
      <x:c r="C830" s="20" t="str">
        <x:f>'Habilidades'!D3759</x:f>
        <x:v>Body Slam</x:v>
      </x:c>
      <x:c r="D830" s="20" t="str">
        <x:f>'Habilidades'!F3759</x:f>
        <x:v>Física</x:v>
      </x:c>
      <x:c r="E830" s="21" t="n">
        <x:f>'Habilidades'!G3759</x:f>
        <x:v>85</x:v>
      </x:c>
      <x:c r="F830" s="21" t="n">
        <x:f>'Habilidades'!H3759</x:f>
        <x:v>100</x:v>
      </x:c>
      <x:c r="G830" s="21" t="n">
        <x:f>'Habilidades'!I3759</x:f>
        <x:v>185</x:v>
      </x:c>
    </x:row>
    <x:row r="831" ht="22" customHeight="1">
      <x:c r="A831" s="17" t="n">
        <x:f>IF(B831="","",IF(B831=B830,A830,A830+1))</x:f>
        <x:v>169</x:v>
      </x:c>
      <x:c r="B831" s="1" t="str">
        <x:f>'Ranking'!C179</x:f>
        <x:v>Klang</x:v>
      </x:c>
      <x:c r="C831" s="1" t="str">
        <x:f>'Habilidades'!D3505</x:f>
        <x:v>Hyper Beam</x:v>
      </x:c>
      <x:c r="D831" s="1" t="str">
        <x:f>'Habilidades'!F3505</x:f>
        <x:v>Especial</x:v>
      </x:c>
      <x:c r="E831" s="18" t="n">
        <x:f>'Habilidades'!G3505</x:f>
        <x:v>150</x:v>
      </x:c>
      <x:c r="F831" s="18" t="n">
        <x:f>'Habilidades'!H3505</x:f>
        <x:v>70</x:v>
      </x:c>
      <x:c r="G831" s="18" t="n">
        <x:f>'Habilidades'!I3505</x:f>
        <x:v>220</x:v>
      </x:c>
    </x:row>
    <x:row r="832" ht="22" customHeight="1">
      <x:c r="A832" s="17" t="n">
        <x:f>IF(B832="","",IF(B832=B831,A831,A831+1))</x:f>
        <x:v>169</x:v>
      </x:c>
      <x:c r="B832" s="1" t="str">
        <x:f>'Ranking'!C179</x:f>
        <x:v>Klang</x:v>
      </x:c>
      <x:c r="C832" s="1" t="str">
        <x:f>'Habilidades'!D3506</x:f>
        <x:v>Zap Cannon</x:v>
      </x:c>
      <x:c r="D832" s="1" t="str">
        <x:f>'Habilidades'!F3506</x:f>
        <x:v>Especial</x:v>
      </x:c>
      <x:c r="E832" s="18" t="n">
        <x:f>'Habilidades'!G3506</x:f>
        <x:v>120</x:v>
      </x:c>
      <x:c r="F832" s="18" t="n">
        <x:f>'Habilidades'!H3506</x:f>
        <x:v>70</x:v>
      </x:c>
      <x:c r="G832" s="18" t="n">
        <x:f>'Habilidades'!I3506</x:f>
        <x:v>190</x:v>
      </x:c>
    </x:row>
    <x:row r="833" ht="22" customHeight="1">
      <x:c r="A833" s="17" t="n">
        <x:f>IF(B833="","",IF(B833=B832,A832,A832+1))</x:f>
        <x:v>169</x:v>
      </x:c>
      <x:c r="B833" s="1" t="str">
        <x:f>'Ranking'!C179</x:f>
        <x:v>Klang</x:v>
      </x:c>
      <x:c r="C833" s="1" t="str">
        <x:f>'Habilidades'!D3507</x:f>
        <x:v>Discharge</x:v>
      </x:c>
      <x:c r="D833" s="1" t="str">
        <x:f>'Habilidades'!F3507</x:f>
        <x:v>Especial</x:v>
      </x:c>
      <x:c r="E833" s="18" t="n">
        <x:f>'Habilidades'!G3507</x:f>
        <x:v>80</x:v>
      </x:c>
      <x:c r="F833" s="18" t="n">
        <x:f>'Habilidades'!H3507</x:f>
        <x:v>70</x:v>
      </x:c>
      <x:c r="G833" s="18" t="n">
        <x:f>'Habilidades'!I3507</x:f>
        <x:v>150</x:v>
      </x:c>
    </x:row>
    <x:row r="834" ht="22" customHeight="1">
      <x:c r="A834" s="17" t="n">
        <x:f>IF(B834="","",IF(B834=B833,A833,A833+1))</x:f>
        <x:v>169</x:v>
      </x:c>
      <x:c r="B834" s="1" t="str">
        <x:f>'Ranking'!C179</x:f>
        <x:v>Klang</x:v>
      </x:c>
      <x:c r="C834" s="1" t="str">
        <x:f>'Habilidades'!D3508</x:f>
        <x:v>Mirror Shot</x:v>
      </x:c>
      <x:c r="D834" s="1" t="str">
        <x:f>'Habilidades'!F3508</x:f>
        <x:v>Especial</x:v>
      </x:c>
      <x:c r="E834" s="18" t="n">
        <x:f>'Habilidades'!G3508</x:f>
        <x:v>65</x:v>
      </x:c>
      <x:c r="F834" s="18" t="n">
        <x:f>'Habilidades'!H3508</x:f>
        <x:v>70</x:v>
      </x:c>
      <x:c r="G834" s="18" t="n">
        <x:f>'Habilidades'!I3508</x:f>
        <x:v>135</x:v>
      </x:c>
    </x:row>
    <x:row r="835" ht="22" customHeight="1">
      <x:c r="A835" s="19" t="n">
        <x:f>IF(B835="","",IF(B835=B834,A834,A834+1))</x:f>
        <x:v>169</x:v>
      </x:c>
      <x:c r="B835" s="20" t="str">
        <x:f>'Ranking'!C179</x:f>
        <x:v>Klang</x:v>
      </x:c>
      <x:c r="C835" s="20" t="str">
        <x:f>'Habilidades'!D3509</x:f>
        <x:v>Vise Grip</x:v>
      </x:c>
      <x:c r="D835" s="20" t="str">
        <x:f>'Habilidades'!F3509</x:f>
        <x:v>Física</x:v>
      </x:c>
      <x:c r="E835" s="21" t="n">
        <x:f>'Habilidades'!G3509</x:f>
        <x:v>55</x:v>
      </x:c>
      <x:c r="F835" s="21" t="n">
        <x:f>'Habilidades'!H3509</x:f>
        <x:v>80</x:v>
      </x:c>
      <x:c r="G835" s="21" t="n">
        <x:f>'Habilidades'!I3509</x:f>
        <x:v>135</x:v>
      </x:c>
    </x:row>
    <x:row r="836" ht="22" customHeight="1">
      <x:c r="A836" s="17" t="n">
        <x:f>IF(B836="","",IF(B836=B835,A835,A835+1))</x:f>
        <x:v>170</x:v>
      </x:c>
      <x:c r="B836" s="1" t="str">
        <x:f>'Ranking'!C176</x:f>
        <x:v>Klinklang</x:v>
      </x:c>
      <x:c r="C836" s="1" t="str">
        <x:f>'Habilidades'!D3514</x:f>
        <x:v>Hyper Beam</x:v>
      </x:c>
      <x:c r="D836" s="1" t="str">
        <x:f>'Habilidades'!F3514</x:f>
        <x:v>Especial</x:v>
      </x:c>
      <x:c r="E836" s="18" t="n">
        <x:f>'Habilidades'!G3514</x:f>
        <x:v>150</x:v>
      </x:c>
      <x:c r="F836" s="18" t="n">
        <x:f>'Habilidades'!H3514</x:f>
        <x:v>70</x:v>
      </x:c>
      <x:c r="G836" s="18" t="n">
        <x:f>'Habilidades'!I3514</x:f>
        <x:v>220</x:v>
      </x:c>
    </x:row>
    <x:row r="837" ht="22" customHeight="1">
      <x:c r="A837" s="17" t="n">
        <x:f>IF(B837="","",IF(B837=B836,A836,A836+1))</x:f>
        <x:v>170</x:v>
      </x:c>
      <x:c r="B837" s="1" t="str">
        <x:f>'Ranking'!C176</x:f>
        <x:v>Klinklang</x:v>
      </x:c>
      <x:c r="C837" s="1" t="str">
        <x:f>'Habilidades'!D3515</x:f>
        <x:v>Zap Cannon</x:v>
      </x:c>
      <x:c r="D837" s="1" t="str">
        <x:f>'Habilidades'!F3515</x:f>
        <x:v>Especial</x:v>
      </x:c>
      <x:c r="E837" s="18" t="n">
        <x:f>'Habilidades'!G3515</x:f>
        <x:v>120</x:v>
      </x:c>
      <x:c r="F837" s="18" t="n">
        <x:f>'Habilidades'!H3515</x:f>
        <x:v>70</x:v>
      </x:c>
      <x:c r="G837" s="18" t="n">
        <x:f>'Habilidades'!I3515</x:f>
        <x:v>190</x:v>
      </x:c>
    </x:row>
    <x:row r="838" ht="22" customHeight="1">
      <x:c r="A838" s="17" t="n">
        <x:f>IF(B838="","",IF(B838=B837,A837,A837+1))</x:f>
        <x:v>170</x:v>
      </x:c>
      <x:c r="B838" s="1" t="str">
        <x:f>'Ranking'!C176</x:f>
        <x:v>Klinklang</x:v>
      </x:c>
      <x:c r="C838" s="1" t="str">
        <x:f>'Habilidades'!D3516</x:f>
        <x:v>Vise Grip</x:v>
      </x:c>
      <x:c r="D838" s="1" t="str">
        <x:f>'Habilidades'!F3516</x:f>
        <x:v>Física</x:v>
      </x:c>
      <x:c r="E838" s="18" t="n">
        <x:f>'Habilidades'!G3516</x:f>
        <x:v>55</x:v>
      </x:c>
      <x:c r="F838" s="18" t="n">
        <x:f>'Habilidades'!H3516</x:f>
        <x:v>100</x:v>
      </x:c>
      <x:c r="G838" s="18" t="n">
        <x:f>'Habilidades'!I3516</x:f>
        <x:v>155</x:v>
      </x:c>
    </x:row>
    <x:row r="839" ht="22" customHeight="1">
      <x:c r="A839" s="17" t="n">
        <x:f>IF(B839="","",IF(B839=B838,A838,A838+1))</x:f>
        <x:v>170</x:v>
      </x:c>
      <x:c r="B839" s="1" t="str">
        <x:f>'Ranking'!C176</x:f>
        <x:v>Klinklang</x:v>
      </x:c>
      <x:c r="C839" s="1" t="str">
        <x:f>'Habilidades'!D3517</x:f>
        <x:v>Discharge</x:v>
      </x:c>
      <x:c r="D839" s="1" t="str">
        <x:f>'Habilidades'!F3517</x:f>
        <x:v>Especial</x:v>
      </x:c>
      <x:c r="E839" s="18" t="n">
        <x:f>'Habilidades'!G3517</x:f>
        <x:v>80</x:v>
      </x:c>
      <x:c r="F839" s="18" t="n">
        <x:f>'Habilidades'!H3517</x:f>
        <x:v>70</x:v>
      </x:c>
      <x:c r="G839" s="18" t="n">
        <x:f>'Habilidades'!I3517</x:f>
        <x:v>150</x:v>
      </x:c>
    </x:row>
    <x:row r="840" ht="22" customHeight="1">
      <x:c r="A840" s="19" t="n">
        <x:f>IF(B840="","",IF(B840=B839,A839,A839+1))</x:f>
        <x:v>170</x:v>
      </x:c>
      <x:c r="B840" s="20" t="str">
        <x:f>'Ranking'!C176</x:f>
        <x:v>Klinklang</x:v>
      </x:c>
      <x:c r="C840" s="20" t="str">
        <x:f>'Habilidades'!D3519</x:f>
        <x:v>Mirror Shot</x:v>
      </x:c>
      <x:c r="D840" s="20" t="str">
        <x:f>'Habilidades'!F3519</x:f>
        <x:v>Especial</x:v>
      </x:c>
      <x:c r="E840" s="21" t="n">
        <x:f>'Habilidades'!G3519</x:f>
        <x:v>65</x:v>
      </x:c>
      <x:c r="F840" s="21" t="n">
        <x:f>'Habilidades'!H3519</x:f>
        <x:v>70</x:v>
      </x:c>
      <x:c r="G840" s="21" t="n">
        <x:f>'Habilidades'!I3519</x:f>
        <x:v>135</x:v>
      </x:c>
    </x:row>
    <x:row r="841" ht="22" customHeight="1">
      <x:c r="A841" s="17" t="n">
        <x:f>IF(B841="","",IF(B841=B840,A840,A840+1))</x:f>
        <x:v>171</x:v>
      </x:c>
      <x:c r="B841" s="1" t="str">
        <x:f>'Ranking'!C175</x:f>
        <x:v>Scolipede</x:v>
      </x:c>
      <x:c r="C841" s="1" t="str">
        <x:f>'Habilidades'!D3422</x:f>
        <x:v>Megahorn</x:v>
      </x:c>
      <x:c r="D841" s="1" t="str">
        <x:f>'Habilidades'!F3422</x:f>
        <x:v>Física</x:v>
      </x:c>
      <x:c r="E841" s="18" t="n">
        <x:f>'Habilidades'!G3422</x:f>
        <x:v>120</x:v>
      </x:c>
      <x:c r="F841" s="18" t="n">
        <x:f>'Habilidades'!H3422</x:f>
        <x:v>100</x:v>
      </x:c>
      <x:c r="G841" s="18" t="n">
        <x:f>'Habilidades'!I3422</x:f>
        <x:v>220</x:v>
      </x:c>
    </x:row>
    <x:row r="842" ht="22" customHeight="1">
      <x:c r="A842" s="17" t="n">
        <x:f>IF(B842="","",IF(B842=B841,A841,A841+1))</x:f>
        <x:v>171</x:v>
      </x:c>
      <x:c r="B842" s="1" t="str">
        <x:f>'Ranking'!C175</x:f>
        <x:v>Scolipede</x:v>
      </x:c>
      <x:c r="C842" s="1" t="str">
        <x:f>'Habilidades'!D3423</x:f>
        <x:v>Double-Edge</x:v>
      </x:c>
      <x:c r="D842" s="1" t="str">
        <x:f>'Habilidades'!F3423</x:f>
        <x:v>Física</x:v>
      </x:c>
      <x:c r="E842" s="18" t="n">
        <x:f>'Habilidades'!G3423</x:f>
        <x:v>120</x:v>
      </x:c>
      <x:c r="F842" s="18" t="n">
        <x:f>'Habilidades'!H3423</x:f>
        <x:v>100</x:v>
      </x:c>
      <x:c r="G842" s="18" t="n">
        <x:f>'Habilidades'!I3423</x:f>
        <x:v>220</x:v>
      </x:c>
    </x:row>
    <x:row r="843" ht="22" customHeight="1">
      <x:c r="A843" s="17" t="n">
        <x:f>IF(B843="","",IF(B843=B842,A842,A842+1))</x:f>
        <x:v>171</x:v>
      </x:c>
      <x:c r="B843" s="1" t="str">
        <x:f>'Ranking'!C175</x:f>
        <x:v>Scolipede</x:v>
      </x:c>
      <x:c r="C843" s="1" t="str">
        <x:f>'Habilidades'!D3424</x:f>
        <x:v>Rock Climb</x:v>
      </x:c>
      <x:c r="D843" s="1" t="str">
        <x:f>'Habilidades'!F3424</x:f>
        <x:v>Física</x:v>
      </x:c>
      <x:c r="E843" s="18" t="n">
        <x:f>'Habilidades'!G3424</x:f>
        <x:v>90</x:v>
      </x:c>
      <x:c r="F843" s="18" t="n">
        <x:f>'Habilidades'!H3424</x:f>
        <x:v>100</x:v>
      </x:c>
      <x:c r="G843" s="18" t="n">
        <x:f>'Habilidades'!I3424</x:f>
        <x:v>190</x:v>
      </x:c>
    </x:row>
    <x:row r="844" ht="22" customHeight="1">
      <x:c r="A844" s="17" t="n">
        <x:f>IF(B844="","",IF(B844=B843,A843,A843+1))</x:f>
        <x:v>171</x:v>
      </x:c>
      <x:c r="B844" s="1" t="str">
        <x:f>'Ranking'!C175</x:f>
        <x:v>Scolipede</x:v>
      </x:c>
      <x:c r="C844" s="1" t="str">
        <x:f>'Habilidades'!D3425</x:f>
        <x:v>Steamroller</x:v>
      </x:c>
      <x:c r="D844" s="1" t="str">
        <x:f>'Habilidades'!F3425</x:f>
        <x:v>Física</x:v>
      </x:c>
      <x:c r="E844" s="18" t="n">
        <x:f>'Habilidades'!G3425</x:f>
        <x:v>65</x:v>
      </x:c>
      <x:c r="F844" s="18" t="n">
        <x:f>'Habilidades'!H3425</x:f>
        <x:v>100</x:v>
      </x:c>
      <x:c r="G844" s="18" t="n">
        <x:f>'Habilidades'!I3425</x:f>
        <x:v>165</x:v>
      </x:c>
    </x:row>
    <x:row r="845" ht="22" customHeight="1">
      <x:c r="A845" s="19" t="n">
        <x:f>IF(B845="","",IF(B845=B844,A844,A844+1))</x:f>
        <x:v>171</x:v>
      </x:c>
      <x:c r="B845" s="20" t="str">
        <x:f>'Ranking'!C175</x:f>
        <x:v>Scolipede</x:v>
      </x:c>
      <x:c r="C845" s="20" t="str">
        <x:f>'Habilidades'!D3430</x:f>
        <x:v>Venoshock</x:v>
      </x:c>
      <x:c r="D845" s="20" t="str">
        <x:f>'Habilidades'!F3430</x:f>
        <x:v>Especial</x:v>
      </x:c>
      <x:c r="E845" s="21" t="n">
        <x:f>'Habilidades'!G3430</x:f>
        <x:v>65</x:v>
      </x:c>
      <x:c r="F845" s="21" t="n">
        <x:f>'Habilidades'!H3430</x:f>
        <x:v>55</x:v>
      </x:c>
      <x:c r="G845" s="21" t="n">
        <x:f>'Habilidades'!I3430</x:f>
        <x:v>120</x:v>
      </x:c>
    </x:row>
    <x:row r="846" ht="22" customHeight="1">
      <x:c r="A846" s="17" t="n">
        <x:f>IF(B846="","",IF(B846=B845,A845,A845+1))</x:f>
        <x:v>172</x:v>
      </x:c>
      <x:c r="B846" s="1" t="str">
        <x:f>'Ranking'!C173</x:f>
        <x:v>Seviper</x:v>
      </x:c>
      <x:c r="C846" s="1" t="str">
        <x:f>'Habilidades'!D2870</x:f>
        <x:v>Belch</x:v>
      </x:c>
      <x:c r="D846" s="1" t="str">
        <x:f>'Habilidades'!F2870</x:f>
        <x:v>Especial</x:v>
      </x:c>
      <x:c r="E846" s="18" t="n">
        <x:f>'Habilidades'!G2870</x:f>
        <x:v>120</x:v>
      </x:c>
      <x:c r="F846" s="18" t="n">
        <x:f>'Habilidades'!H2870</x:f>
        <x:v>100</x:v>
      </x:c>
      <x:c r="G846" s="18" t="n">
        <x:f>'Habilidades'!I2870</x:f>
        <x:v>220</x:v>
      </x:c>
    </x:row>
    <x:row r="847" ht="22" customHeight="1">
      <x:c r="A847" s="17" t="n">
        <x:f>IF(B847="","",IF(B847=B846,A846,A846+1))</x:f>
        <x:v>172</x:v>
      </x:c>
      <x:c r="B847" s="1" t="str">
        <x:f>'Ranking'!C173</x:f>
        <x:v>Seviper</x:v>
      </x:c>
      <x:c r="C847" s="1" t="str">
        <x:f>'Habilidades'!D2871</x:f>
        <x:v>Poison Jab</x:v>
      </x:c>
      <x:c r="D847" s="1" t="str">
        <x:f>'Habilidades'!F2871</x:f>
        <x:v>Física</x:v>
      </x:c>
      <x:c r="E847" s="18" t="n">
        <x:f>'Habilidades'!G2871</x:f>
        <x:v>80</x:v>
      </x:c>
      <x:c r="F847" s="18" t="n">
        <x:f>'Habilidades'!H2871</x:f>
        <x:v>100</x:v>
      </x:c>
      <x:c r="G847" s="18" t="n">
        <x:f>'Habilidades'!I2871</x:f>
        <x:v>180</x:v>
      </x:c>
    </x:row>
    <x:row r="848" ht="22" customHeight="1">
      <x:c r="A848" s="17" t="n">
        <x:f>IF(B848="","",IF(B848=B847,A847,A847+1))</x:f>
        <x:v>172</x:v>
      </x:c>
      <x:c r="B848" s="1" t="str">
        <x:f>'Ranking'!C173</x:f>
        <x:v>Seviper</x:v>
      </x:c>
      <x:c r="C848" s="1" t="str">
        <x:f>'Habilidades'!D2872</x:f>
        <x:v>Crunch</x:v>
      </x:c>
      <x:c r="D848" s="1" t="str">
        <x:f>'Habilidades'!F2872</x:f>
        <x:v>Física</x:v>
      </x:c>
      <x:c r="E848" s="18" t="n">
        <x:f>'Habilidades'!G2872</x:f>
        <x:v>80</x:v>
      </x:c>
      <x:c r="F848" s="18" t="n">
        <x:f>'Habilidades'!H2872</x:f>
        <x:v>100</x:v>
      </x:c>
      <x:c r="G848" s="18" t="n">
        <x:f>'Habilidades'!I2872</x:f>
        <x:v>180</x:v>
      </x:c>
    </x:row>
    <x:row r="849" ht="22" customHeight="1">
      <x:c r="A849" s="17" t="n">
        <x:f>IF(B849="","",IF(B849=B848,A848,A848+1))</x:f>
        <x:v>172</x:v>
      </x:c>
      <x:c r="B849" s="1" t="str">
        <x:f>'Ranking'!C173</x:f>
        <x:v>Seviper</x:v>
      </x:c>
      <x:c r="C849" s="1" t="str">
        <x:f>'Habilidades'!D2873</x:f>
        <x:v>Night Slash</x:v>
      </x:c>
      <x:c r="D849" s="1" t="str">
        <x:f>'Habilidades'!F2873</x:f>
        <x:v>Física</x:v>
      </x:c>
      <x:c r="E849" s="18" t="n">
        <x:f>'Habilidades'!G2873</x:f>
        <x:v>70</x:v>
      </x:c>
      <x:c r="F849" s="18" t="n">
        <x:f>'Habilidades'!H2873</x:f>
        <x:v>100</x:v>
      </x:c>
      <x:c r="G849" s="18" t="n">
        <x:f>'Habilidades'!I2873</x:f>
        <x:v>170</x:v>
      </x:c>
    </x:row>
    <x:row r="850" ht="22" customHeight="1">
      <x:c r="A850" s="19" t="n">
        <x:f>IF(B850="","",IF(B850=B849,A849,A849+1))</x:f>
        <x:v>172</x:v>
      </x:c>
      <x:c r="B850" s="20" t="str">
        <x:f>'Ranking'!C173</x:f>
        <x:v>Seviper</x:v>
      </x:c>
      <x:c r="C850" s="20" t="str">
        <x:f>'Habilidades'!D2874</x:f>
        <x:v>Venoshock</x:v>
      </x:c>
      <x:c r="D850" s="20" t="str">
        <x:f>'Habilidades'!F2874</x:f>
        <x:v>Especial</x:v>
      </x:c>
      <x:c r="E850" s="21" t="n">
        <x:f>'Habilidades'!G2874</x:f>
        <x:v>65</x:v>
      </x:c>
      <x:c r="F850" s="21" t="n">
        <x:f>'Habilidades'!H2874</x:f>
        <x:v>100</x:v>
      </x:c>
      <x:c r="G850" s="21" t="n">
        <x:f>'Habilidades'!I2874</x:f>
        <x:v>165</x:v>
      </x:c>
    </x:row>
    <x:row r="851" ht="22" customHeight="1">
      <x:c r="A851" s="17" t="n">
        <x:f>IF(B851="","",IF(B851=B850,A850,A850+1))</x:f>
        <x:v>173</x:v>
      </x:c>
      <x:c r="B851" s="1" t="str">
        <x:f>'Ranking'!C171</x:f>
        <x:v>Shiftry</x:v>
      </x:c>
      <x:c r="C851" s="1" t="str">
        <x:f>'Habilidades'!D2489</x:f>
        <x:v>Leaf Storm</x:v>
      </x:c>
      <x:c r="D851" s="1" t="str">
        <x:f>'Habilidades'!F2489</x:f>
        <x:v>Especial</x:v>
      </x:c>
      <x:c r="E851" s="18" t="n">
        <x:f>'Habilidades'!G2489</x:f>
        <x:v>130</x:v>
      </x:c>
      <x:c r="F851" s="18" t="n">
        <x:f>'Habilidades'!H2489</x:f>
        <x:v>90</x:v>
      </x:c>
      <x:c r="G851" s="18" t="n">
        <x:f>'Habilidades'!I2489</x:f>
        <x:v>220</x:v>
      </x:c>
    </x:row>
    <x:row r="852" ht="22" customHeight="1">
      <x:c r="A852" s="17" t="n">
        <x:f>IF(B852="","",IF(B852=B851,A851,A851+1))</x:f>
        <x:v>173</x:v>
      </x:c>
      <x:c r="B852" s="1" t="str">
        <x:f>'Ranking'!C171</x:f>
        <x:v>Shiftry</x:v>
      </x:c>
      <x:c r="C852" s="1" t="str">
        <x:f>'Habilidades'!D2490</x:f>
        <x:v>Hurricane</x:v>
      </x:c>
      <x:c r="D852" s="1" t="str">
        <x:f>'Habilidades'!F2490</x:f>
        <x:v>Especial</x:v>
      </x:c>
      <x:c r="E852" s="18" t="n">
        <x:f>'Habilidades'!G2490</x:f>
        <x:v>110</x:v>
      </x:c>
      <x:c r="F852" s="18" t="n">
        <x:f>'Habilidades'!H2490</x:f>
        <x:v>90</x:v>
      </x:c>
      <x:c r="G852" s="18" t="n">
        <x:f>'Habilidades'!I2490</x:f>
        <x:v>200</x:v>
      </x:c>
    </x:row>
    <x:row r="853" ht="22" customHeight="1">
      <x:c r="A853" s="17" t="n">
        <x:f>IF(B853="","",IF(B853=B852,A852,A852+1))</x:f>
        <x:v>173</x:v>
      </x:c>
      <x:c r="B853" s="1" t="str">
        <x:f>'Ranking'!C171</x:f>
        <x:v>Shiftry</x:v>
      </x:c>
      <x:c r="C853" s="1" t="str">
        <x:f>'Habilidades'!D2491</x:f>
        <x:v>Feint Attack</x:v>
      </x:c>
      <x:c r="D853" s="1" t="str">
        <x:f>'Habilidades'!F2491</x:f>
        <x:v>Física</x:v>
      </x:c>
      <x:c r="E853" s="18" t="n">
        <x:f>'Habilidades'!G2491</x:f>
        <x:v>60</x:v>
      </x:c>
      <x:c r="F853" s="18" t="n">
        <x:f>'Habilidades'!H2491</x:f>
        <x:v>100</x:v>
      </x:c>
      <x:c r="G853" s="18" t="n">
        <x:f>'Habilidades'!I2491</x:f>
        <x:v>160</x:v>
      </x:c>
    </x:row>
    <x:row r="854" ht="22" customHeight="1">
      <x:c r="A854" s="17" t="n">
        <x:f>IF(B854="","",IF(B854=B853,A853,A853+1))</x:f>
        <x:v>173</x:v>
      </x:c>
      <x:c r="B854" s="1" t="str">
        <x:f>'Ranking'!C171</x:f>
        <x:v>Shiftry</x:v>
      </x:c>
      <x:c r="C854" s="1" t="str">
        <x:f>'Habilidades'!D2492</x:f>
        <x:v>Leaf Tornado</x:v>
      </x:c>
      <x:c r="D854" s="1" t="str">
        <x:f>'Habilidades'!F2492</x:f>
        <x:v>Especial</x:v>
      </x:c>
      <x:c r="E854" s="18" t="n">
        <x:f>'Habilidades'!G2492</x:f>
        <x:v>65</x:v>
      </x:c>
      <x:c r="F854" s="18" t="n">
        <x:f>'Habilidades'!H2492</x:f>
        <x:v>90</x:v>
      </x:c>
      <x:c r="G854" s="18" t="n">
        <x:f>'Habilidades'!I2492</x:f>
        <x:v>155</x:v>
      </x:c>
    </x:row>
    <x:row r="855" ht="22" customHeight="1">
      <x:c r="A855" s="19" t="n">
        <x:f>IF(B855="","",IF(B855=B854,A854,A854+1))</x:f>
        <x:v>173</x:v>
      </x:c>
      <x:c r="B855" s="20" t="str">
        <x:f>'Ranking'!C171</x:f>
        <x:v>Shiftry</x:v>
      </x:c>
      <x:c r="C855" s="20" t="str">
        <x:f>'Habilidades'!D2493</x:f>
        <x:v>Razor Leaf</x:v>
      </x:c>
      <x:c r="D855" s="20" t="str">
        <x:f>'Habilidades'!F2493</x:f>
        <x:v>Física</x:v>
      </x:c>
      <x:c r="E855" s="21" t="n">
        <x:f>'Habilidades'!G2493</x:f>
        <x:v>55</x:v>
      </x:c>
      <x:c r="F855" s="21" t="n">
        <x:f>'Habilidades'!H2493</x:f>
        <x:v>100</x:v>
      </x:c>
      <x:c r="G855" s="21" t="n">
        <x:f>'Habilidades'!I2493</x:f>
        <x:v>155</x:v>
      </x:c>
    </x:row>
    <x:row r="856" ht="22" customHeight="1">
      <x:c r="A856" s="17" t="n">
        <x:f>IF(B856="","",IF(B856=B855,A855,A855+1))</x:f>
        <x:v>174</x:v>
      </x:c>
      <x:c r="B856" s="1" t="str">
        <x:f>'Ranking'!C169</x:f>
        <x:v>Tangrowth</x:v>
      </x:c>
      <x:c r="C856" s="1" t="str">
        <x:f>'Habilidades'!D3306</x:f>
        <x:v>Power Whip</x:v>
      </x:c>
      <x:c r="D856" s="1" t="str">
        <x:f>'Habilidades'!F3306</x:f>
        <x:v>Física</x:v>
      </x:c>
      <x:c r="E856" s="18" t="n">
        <x:f>'Habilidades'!G3306</x:f>
        <x:v>120</x:v>
      </x:c>
      <x:c r="F856" s="18" t="n">
        <x:f>'Habilidades'!H3306</x:f>
        <x:v>100</x:v>
      </x:c>
      <x:c r="G856" s="18" t="n">
        <x:f>'Habilidades'!I3306</x:f>
        <x:v>220</x:v>
      </x:c>
    </x:row>
    <x:row r="857" ht="22" customHeight="1">
      <x:c r="A857" s="17" t="n">
        <x:f>IF(B857="","",IF(B857=B856,A856,A856+1))</x:f>
        <x:v>174</x:v>
      </x:c>
      <x:c r="B857" s="1" t="str">
        <x:f>'Ranking'!C169</x:f>
        <x:v>Tangrowth</x:v>
      </x:c>
      <x:c r="C857" s="1" t="str">
        <x:f>'Habilidades'!D3307</x:f>
        <x:v>Giga Drain</x:v>
      </x:c>
      <x:c r="D857" s="1" t="str">
        <x:f>'Habilidades'!F3307</x:f>
        <x:v>Especial</x:v>
      </x:c>
      <x:c r="E857" s="18" t="n">
        <x:f>'Habilidades'!G3307</x:f>
        <x:v>75</x:v>
      </x:c>
      <x:c r="F857" s="18" t="n">
        <x:f>'Habilidades'!H3307</x:f>
        <x:v>110</x:v>
      </x:c>
      <x:c r="G857" s="18" t="n">
        <x:f>'Habilidades'!I3307</x:f>
        <x:v>185</x:v>
      </x:c>
    </x:row>
    <x:row r="858" ht="22" customHeight="1">
      <x:c r="A858" s="17" t="n">
        <x:f>IF(B858="","",IF(B858=B857,A857,A857+1))</x:f>
        <x:v>174</x:v>
      </x:c>
      <x:c r="B858" s="1" t="str">
        <x:f>'Ranking'!C169</x:f>
        <x:v>Tangrowth</x:v>
      </x:c>
      <x:c r="C858" s="1" t="str">
        <x:f>'Habilidades'!D3308</x:f>
        <x:v>Slam</x:v>
      </x:c>
      <x:c r="D858" s="1" t="str">
        <x:f>'Habilidades'!F3308</x:f>
        <x:v>Física</x:v>
      </x:c>
      <x:c r="E858" s="18" t="n">
        <x:f>'Habilidades'!G3308</x:f>
        <x:v>80</x:v>
      </x:c>
      <x:c r="F858" s="18" t="n">
        <x:f>'Habilidades'!H3308</x:f>
        <x:v>100</x:v>
      </x:c>
      <x:c r="G858" s="18" t="n">
        <x:f>'Habilidades'!I3308</x:f>
        <x:v>180</x:v>
      </x:c>
    </x:row>
    <x:row r="859" ht="22" customHeight="1">
      <x:c r="A859" s="17" t="n">
        <x:f>IF(B859="","",IF(B859=B858,A858,A858+1))</x:f>
        <x:v>174</x:v>
      </x:c>
      <x:c r="B859" s="1" t="str">
        <x:f>'Ranking'!C169</x:f>
        <x:v>Tangrowth</x:v>
      </x:c>
      <x:c r="C859" s="1" t="str">
        <x:f>'Habilidades'!D3309</x:f>
        <x:v>Ancient Power</x:v>
      </x:c>
      <x:c r="D859" s="1" t="str">
        <x:f>'Habilidades'!F3309</x:f>
        <x:v>Especial</x:v>
      </x:c>
      <x:c r="E859" s="18" t="n">
        <x:f>'Habilidades'!G3309</x:f>
        <x:v>60</x:v>
      </x:c>
      <x:c r="F859" s="18" t="n">
        <x:f>'Habilidades'!H3309</x:f>
        <x:v>110</x:v>
      </x:c>
      <x:c r="G859" s="18" t="n">
        <x:f>'Habilidades'!I3309</x:f>
        <x:v>170</x:v>
      </x:c>
    </x:row>
    <x:row r="860" ht="22" customHeight="1">
      <x:c r="A860" s="19" t="n">
        <x:f>IF(B860="","",IF(B860=B859,A859,A859+1))</x:f>
        <x:v>174</x:v>
      </x:c>
      <x:c r="B860" s="20" t="str">
        <x:f>'Ranking'!C169</x:f>
        <x:v>Tangrowth</x:v>
      </x:c>
      <x:c r="C860" s="20" t="str">
        <x:f>'Habilidades'!D3310</x:f>
        <x:v>Knock Off</x:v>
      </x:c>
      <x:c r="D860" s="20" t="str">
        <x:f>'Habilidades'!F3310</x:f>
        <x:v>Física</x:v>
      </x:c>
      <x:c r="E860" s="21" t="n">
        <x:f>'Habilidades'!G3310</x:f>
        <x:v>65</x:v>
      </x:c>
      <x:c r="F860" s="21" t="n">
        <x:f>'Habilidades'!H3310</x:f>
        <x:v>100</x:v>
      </x:c>
      <x:c r="G860" s="21" t="n">
        <x:f>'Habilidades'!I3310</x:f>
        <x:v>165</x:v>
      </x:c>
    </x:row>
    <x:row r="861" ht="22" customHeight="1">
      <x:c r="A861" s="17" t="n">
        <x:f>IF(B861="","",IF(B861=B860,A860,A860+1))</x:f>
        <x:v>175</x:v>
      </x:c>
      <x:c r="B861" s="1" t="str">
        <x:f>'Ranking'!C174</x:f>
        <x:v>Throh</x:v>
      </x:c>
      <x:c r="C861" s="1" t="str">
        <x:f>'Habilidades'!D3399</x:f>
        <x:v>Superpower</x:v>
      </x:c>
      <x:c r="D861" s="1" t="str">
        <x:f>'Habilidades'!F3399</x:f>
        <x:v>Física</x:v>
      </x:c>
      <x:c r="E861" s="18" t="n">
        <x:f>'Habilidades'!G3399</x:f>
        <x:v>120</x:v>
      </x:c>
      <x:c r="F861" s="18" t="n">
        <x:f>'Habilidades'!H3399</x:f>
        <x:v>100</x:v>
      </x:c>
      <x:c r="G861" s="18" t="n">
        <x:f>'Habilidades'!I3399</x:f>
        <x:v>220</x:v>
      </x:c>
    </x:row>
    <x:row r="862" ht="22" customHeight="1">
      <x:c r="A862" s="17" t="n">
        <x:f>IF(B862="","",IF(B862=B861,A861,A861+1))</x:f>
        <x:v>175</x:v>
      </x:c>
      <x:c r="B862" s="1" t="str">
        <x:f>'Ranking'!C174</x:f>
        <x:v>Throh</x:v>
      </x:c>
      <x:c r="C862" s="1" t="str">
        <x:f>'Habilidades'!D3400</x:f>
        <x:v>Body Slam</x:v>
      </x:c>
      <x:c r="D862" s="1" t="str">
        <x:f>'Habilidades'!F3400</x:f>
        <x:v>Física</x:v>
      </x:c>
      <x:c r="E862" s="18" t="n">
        <x:f>'Habilidades'!G3400</x:f>
        <x:v>85</x:v>
      </x:c>
      <x:c r="F862" s="18" t="n">
        <x:f>'Habilidades'!H3400</x:f>
        <x:v>100</x:v>
      </x:c>
      <x:c r="G862" s="18" t="n">
        <x:f>'Habilidades'!I3400</x:f>
        <x:v>185</x:v>
      </x:c>
    </x:row>
    <x:row r="863" ht="22" customHeight="1">
      <x:c r="A863" s="17" t="n">
        <x:f>IF(B863="","",IF(B863=B862,A862,A862+1))</x:f>
        <x:v>175</x:v>
      </x:c>
      <x:c r="B863" s="1" t="str">
        <x:f>'Ranking'!C174</x:f>
        <x:v>Throh</x:v>
      </x:c>
      <x:c r="C863" s="1" t="str">
        <x:f>'Habilidades'!D3401</x:f>
        <x:v>Vital Throw</x:v>
      </x:c>
      <x:c r="D863" s="1" t="str">
        <x:f>'Habilidades'!F3401</x:f>
        <x:v>Física</x:v>
      </x:c>
      <x:c r="E863" s="18" t="n">
        <x:f>'Habilidades'!G3401</x:f>
        <x:v>70</x:v>
      </x:c>
      <x:c r="F863" s="18" t="n">
        <x:f>'Habilidades'!H3401</x:f>
        <x:v>100</x:v>
      </x:c>
      <x:c r="G863" s="18" t="n">
        <x:f>'Habilidades'!I3401</x:f>
        <x:v>170</x:v>
      </x:c>
    </x:row>
    <x:row r="864" ht="22" customHeight="1">
      <x:c r="A864" s="17" t="n">
        <x:f>IF(B864="","",IF(B864=B863,A863,A863+1))</x:f>
        <x:v>175</x:v>
      </x:c>
      <x:c r="B864" s="1" t="str">
        <x:f>'Ranking'!C174</x:f>
        <x:v>Throh</x:v>
      </x:c>
      <x:c r="C864" s="1" t="str">
        <x:f>'Habilidades'!D3402</x:f>
        <x:v>Revenge</x:v>
      </x:c>
      <x:c r="D864" s="1" t="str">
        <x:f>'Habilidades'!F3402</x:f>
        <x:v>Física</x:v>
      </x:c>
      <x:c r="E864" s="18" t="n">
        <x:f>'Habilidades'!G3402</x:f>
        <x:v>60</x:v>
      </x:c>
      <x:c r="F864" s="18" t="n">
        <x:f>'Habilidades'!H3402</x:f>
        <x:v>100</x:v>
      </x:c>
      <x:c r="G864" s="18" t="n">
        <x:f>'Habilidades'!I3402</x:f>
        <x:v>160</x:v>
      </x:c>
    </x:row>
    <x:row r="865" ht="22" customHeight="1">
      <x:c r="A865" s="19" t="n">
        <x:f>IF(B865="","",IF(B865=B864,A864,A864+1))</x:f>
        <x:v>175</x:v>
      </x:c>
      <x:c r="B865" s="20" t="str">
        <x:f>'Ranking'!C174</x:f>
        <x:v>Throh</x:v>
      </x:c>
      <x:c r="C865" s="20" t="str">
        <x:f>'Habilidades'!D3403</x:f>
        <x:v>Storm Throw</x:v>
      </x:c>
      <x:c r="D865" s="20" t="str">
        <x:f>'Habilidades'!F3403</x:f>
        <x:v>Física</x:v>
      </x:c>
      <x:c r="E865" s="21" t="n">
        <x:f>'Habilidades'!G3403</x:f>
        <x:v>60</x:v>
      </x:c>
      <x:c r="F865" s="21" t="n">
        <x:f>'Habilidades'!H3403</x:f>
        <x:v>100</x:v>
      </x:c>
      <x:c r="G865" s="21" t="n">
        <x:f>'Habilidades'!I3403</x:f>
        <x:v>160</x:v>
      </x:c>
    </x:row>
    <x:row r="866" ht="22" customHeight="1">
      <x:c r="A866" s="17" t="n">
        <x:f>IF(B866="","",IF(B866=B865,A865,A865+1))</x:f>
        <x:v>176</x:v>
      </x:c>
      <x:c r="B866" s="1" t="str">
        <x:f>'Ranking'!C172</x:f>
        <x:v>Trapinch</x:v>
      </x:c>
      <x:c r="C866" s="1" t="str">
        <x:f>'Habilidades'!D2780</x:f>
        <x:v>Superpower</x:v>
      </x:c>
      <x:c r="D866" s="1" t="str">
        <x:f>'Habilidades'!F2780</x:f>
        <x:v>Física</x:v>
      </x:c>
      <x:c r="E866" s="18" t="n">
        <x:f>'Habilidades'!G2780</x:f>
        <x:v>120</x:v>
      </x:c>
      <x:c r="F866" s="18" t="n">
        <x:f>'Habilidades'!H2780</x:f>
        <x:v>100</x:v>
      </x:c>
      <x:c r="G866" s="18" t="n">
        <x:f>'Habilidades'!I2780</x:f>
        <x:v>220</x:v>
      </x:c>
    </x:row>
    <x:row r="867" ht="22" customHeight="1">
      <x:c r="A867" s="17" t="n">
        <x:f>IF(B867="","",IF(B867=B866,A866,A866+1))</x:f>
        <x:v>176</x:v>
      </x:c>
      <x:c r="B867" s="1" t="str">
        <x:f>'Ranking'!C172</x:f>
        <x:v>Trapinch</x:v>
      </x:c>
      <x:c r="C867" s="1" t="str">
        <x:f>'Habilidades'!D2781</x:f>
        <x:v>Earthquake</x:v>
      </x:c>
      <x:c r="D867" s="1" t="str">
        <x:f>'Habilidades'!F2781</x:f>
        <x:v>Física</x:v>
      </x:c>
      <x:c r="E867" s="18" t="n">
        <x:f>'Habilidades'!G2781</x:f>
        <x:v>100</x:v>
      </x:c>
      <x:c r="F867" s="18" t="n">
        <x:f>'Habilidades'!H2781</x:f>
        <x:v>100</x:v>
      </x:c>
      <x:c r="G867" s="18" t="n">
        <x:f>'Habilidades'!I2781</x:f>
        <x:v>200</x:v>
      </x:c>
    </x:row>
    <x:row r="868" ht="22" customHeight="1">
      <x:c r="A868" s="17" t="n">
        <x:f>IF(B868="","",IF(B868=B867,A867,A867+1))</x:f>
        <x:v>176</x:v>
      </x:c>
      <x:c r="B868" s="1" t="str">
        <x:f>'Ranking'!C172</x:f>
        <x:v>Trapinch</x:v>
      </x:c>
      <x:c r="C868" s="1" t="str">
        <x:f>'Habilidades'!D2782</x:f>
        <x:v>Hyper Beam</x:v>
      </x:c>
      <x:c r="D868" s="1" t="str">
        <x:f>'Habilidades'!F2782</x:f>
        <x:v>Especial</x:v>
      </x:c>
      <x:c r="E868" s="18" t="n">
        <x:f>'Habilidades'!G2782</x:f>
        <x:v>150</x:v>
      </x:c>
      <x:c r="F868" s="18" t="n">
        <x:f>'Habilidades'!H2782</x:f>
        <x:v>45</x:v>
      </x:c>
      <x:c r="G868" s="18" t="n">
        <x:f>'Habilidades'!I2782</x:f>
        <x:v>195</x:v>
      </x:c>
    </x:row>
    <x:row r="869" ht="22" customHeight="1">
      <x:c r="A869" s="17" t="n">
        <x:f>IF(B869="","",IF(B869=B868,A868,A868+1))</x:f>
        <x:v>176</x:v>
      </x:c>
      <x:c r="B869" s="1" t="str">
        <x:f>'Ranking'!C172</x:f>
        <x:v>Trapinch</x:v>
      </x:c>
      <x:c r="C869" s="1" t="str">
        <x:f>'Habilidades'!D2783</x:f>
        <x:v>Dig</x:v>
      </x:c>
      <x:c r="D869" s="1" t="str">
        <x:f>'Habilidades'!F2783</x:f>
        <x:v>Física</x:v>
      </x:c>
      <x:c r="E869" s="18" t="n">
        <x:f>'Habilidades'!G2783</x:f>
        <x:v>80</x:v>
      </x:c>
      <x:c r="F869" s="18" t="n">
        <x:f>'Habilidades'!H2783</x:f>
        <x:v>100</x:v>
      </x:c>
      <x:c r="G869" s="18" t="n">
        <x:f>'Habilidades'!I2783</x:f>
        <x:v>180</x:v>
      </x:c>
    </x:row>
    <x:row r="870" ht="22" customHeight="1">
      <x:c r="A870" s="19" t="n">
        <x:f>IF(B870="","",IF(B870=B869,A869,A869+1))</x:f>
        <x:v>176</x:v>
      </x:c>
      <x:c r="B870" s="20" t="str">
        <x:f>'Ranking'!C172</x:f>
        <x:v>Trapinch</x:v>
      </x:c>
      <x:c r="C870" s="20" t="str">
        <x:f>'Habilidades'!D2789</x:f>
        <x:v>Earth Power</x:v>
      </x:c>
      <x:c r="D870" s="20" t="str">
        <x:f>'Habilidades'!F2789</x:f>
        <x:v>Especial</x:v>
      </x:c>
      <x:c r="E870" s="21" t="n">
        <x:f>'Habilidades'!G2789</x:f>
        <x:v>90</x:v>
      </x:c>
      <x:c r="F870" s="21" t="n">
        <x:f>'Habilidades'!H2789</x:f>
        <x:v>45</x:v>
      </x:c>
      <x:c r="G870" s="21" t="n">
        <x:f>'Habilidades'!I2789</x:f>
        <x:v>135</x:v>
      </x:c>
    </x:row>
    <x:row r="871" ht="22" customHeight="1">
      <x:c r="A871" s="17" t="n">
        <x:f>IF(B871="","",IF(B871=B870,A870,A870+1))</x:f>
        <x:v>177</x:v>
      </x:c>
      <x:c r="B871" s="1" t="str">
        <x:f>'Ranking'!C181</x:f>
        <x:v>Chandelure</x:v>
      </x:c>
      <x:c r="C871" s="1" t="str">
        <x:f>'Habilidades'!D3568</x:f>
        <x:v>Flame Burst</x:v>
      </x:c>
      <x:c r="D871" s="1" t="str">
        <x:f>'Habilidades'!F3568</x:f>
        <x:v>Especial</x:v>
      </x:c>
      <x:c r="E871" s="18" t="n">
        <x:f>'Habilidades'!G3568</x:f>
        <x:v>70</x:v>
      </x:c>
      <x:c r="F871" s="18" t="n">
        <x:f>'Habilidades'!H3568</x:f>
        <x:v>145</x:v>
      </x:c>
      <x:c r="G871" s="18" t="n">
        <x:f>'Habilidades'!I3568</x:f>
        <x:v>215</x:v>
      </x:c>
    </x:row>
    <x:row r="872" ht="22" customHeight="1">
      <x:c r="A872" s="17" t="n">
        <x:f>IF(B872="","",IF(B872=B871,A871,A871+1))</x:f>
        <x:v>177</x:v>
      </x:c>
      <x:c r="B872" s="1" t="str">
        <x:f>'Ranking'!C181</x:f>
        <x:v>Chandelure</x:v>
      </x:c>
      <x:c r="C872" s="1" t="str">
        <x:f>'Habilidades'!D3569</x:f>
        <x:v>Hex</x:v>
      </x:c>
      <x:c r="D872" s="1" t="str">
        <x:f>'Habilidades'!F3569</x:f>
        <x:v>Especial</x:v>
      </x:c>
      <x:c r="E872" s="18" t="n">
        <x:f>'Habilidades'!G3569</x:f>
        <x:v>65</x:v>
      </x:c>
      <x:c r="F872" s="18" t="n">
        <x:f>'Habilidades'!H3569</x:f>
        <x:v>145</x:v>
      </x:c>
      <x:c r="G872" s="18" t="n">
        <x:f>'Habilidades'!I3569</x:f>
        <x:v>210</x:v>
      </x:c>
    </x:row>
    <x:row r="873" ht="22" customHeight="1">
      <x:c r="A873" s="19" t="n">
        <x:f>IF(B873="","",IF(B873=B872,A872,A872+1))</x:f>
        <x:v>177</x:v>
      </x:c>
      <x:c r="B873" s="20" t="str">
        <x:f>'Ranking'!C181</x:f>
        <x:v>Chandelure</x:v>
      </x:c>
      <x:c r="C873" s="20" t="str">
        <x:f>'Habilidades'!D3570</x:f>
        <x:v>Smog</x:v>
      </x:c>
      <x:c r="D873" s="20" t="str">
        <x:f>'Habilidades'!F3570</x:f>
        <x:v>Especial</x:v>
      </x:c>
      <x:c r="E873" s="21" t="n">
        <x:f>'Habilidades'!G3570</x:f>
        <x:v>30</x:v>
      </x:c>
      <x:c r="F873" s="21" t="n">
        <x:f>'Habilidades'!H3570</x:f>
        <x:v>145</x:v>
      </x:c>
      <x:c r="G873" s="21" t="n">
        <x:f>'Habilidades'!I3570</x:f>
        <x:v>175</x:v>
      </x:c>
    </x:row>
    <x:row r="874" ht="22" customHeight="1">
      <x:c r="A874" s="17" t="n">
        <x:f>IF(B874="","",IF(B874=B873,A873,A873+1))</x:f>
        <x:v>178</x:v>
      </x:c>
      <x:c r="B874" s="1" t="str">
        <x:f>'Ranking'!C188</x:f>
        <x:v>Gliscor</x:v>
      </x:c>
      <x:c r="C874" s="1" t="str">
        <x:f>'Habilidades'!D3360</x:f>
        <x:v>Guillotine</x:v>
      </x:c>
      <x:c r="D874" s="1" t="str">
        <x:f>'Habilidades'!F3360</x:f>
        <x:v>Física</x:v>
      </x:c>
      <x:c r="E874" s="18" t="n">
        <x:f>'Habilidades'!G3360</x:f>
        <x:v>120</x:v>
      </x:c>
      <x:c r="F874" s="18" t="n">
        <x:f>'Habilidades'!H3360</x:f>
        <x:v>95</x:v>
      </x:c>
      <x:c r="G874" s="18" t="n">
        <x:f>'Habilidades'!I3360</x:f>
        <x:v>215</x:v>
      </x:c>
    </x:row>
    <x:row r="875" ht="22" customHeight="1">
      <x:c r="A875" s="17" t="n">
        <x:f>IF(B875="","",IF(B875=B874,A874,A874+1))</x:f>
        <x:v>178</x:v>
      </x:c>
      <x:c r="B875" s="1" t="str">
        <x:f>'Ranking'!C188</x:f>
        <x:v>Gliscor</x:v>
      </x:c>
      <x:c r="C875" s="1" t="str">
        <x:f>'Habilidades'!D3361</x:f>
        <x:v>Sky Uppercut</x:v>
      </x:c>
      <x:c r="D875" s="1" t="str">
        <x:f>'Habilidades'!F3361</x:f>
        <x:v>Física</x:v>
      </x:c>
      <x:c r="E875" s="18" t="n">
        <x:f>'Habilidades'!G3361</x:f>
        <x:v>85</x:v>
      </x:c>
      <x:c r="F875" s="18" t="n">
        <x:f>'Habilidades'!H3361</x:f>
        <x:v>95</x:v>
      </x:c>
      <x:c r="G875" s="18" t="n">
        <x:f>'Habilidades'!I3361</x:f>
        <x:v>180</x:v>
      </x:c>
    </x:row>
    <x:row r="876" ht="22" customHeight="1">
      <x:c r="A876" s="17" t="n">
        <x:f>IF(B876="","",IF(B876=B875,A875,A875+1))</x:f>
        <x:v>178</x:v>
      </x:c>
      <x:c r="B876" s="1" t="str">
        <x:f>'Ranking'!C188</x:f>
        <x:v>Gliscor</x:v>
      </x:c>
      <x:c r="C876" s="1" t="str">
        <x:f>'Habilidades'!D3362</x:f>
        <x:v>Poison Jab</x:v>
      </x:c>
      <x:c r="D876" s="1" t="str">
        <x:f>'Habilidades'!F3362</x:f>
        <x:v>Física</x:v>
      </x:c>
      <x:c r="E876" s="18" t="n">
        <x:f>'Habilidades'!G3362</x:f>
        <x:v>80</x:v>
      </x:c>
      <x:c r="F876" s="18" t="n">
        <x:f>'Habilidades'!H3362</x:f>
        <x:v>95</x:v>
      </x:c>
      <x:c r="G876" s="18" t="n">
        <x:f>'Habilidades'!I3362</x:f>
        <x:v>175</x:v>
      </x:c>
    </x:row>
    <x:row r="877" ht="22" customHeight="1">
      <x:c r="A877" s="17" t="n">
        <x:f>IF(B877="","",IF(B877=B876,A876,A876+1))</x:f>
        <x:v>178</x:v>
      </x:c>
      <x:c r="B877" s="1" t="str">
        <x:f>'Ranking'!C188</x:f>
        <x:v>Gliscor</x:v>
      </x:c>
      <x:c r="C877" s="1" t="str">
        <x:f>'Habilidades'!D3363</x:f>
        <x:v>X-Scissor</x:v>
      </x:c>
      <x:c r="D877" s="1" t="str">
        <x:f>'Habilidades'!F3363</x:f>
        <x:v>Física</x:v>
      </x:c>
      <x:c r="E877" s="18" t="n">
        <x:f>'Habilidades'!G3363</x:f>
        <x:v>80</x:v>
      </x:c>
      <x:c r="F877" s="18" t="n">
        <x:f>'Habilidades'!H3363</x:f>
        <x:v>95</x:v>
      </x:c>
      <x:c r="G877" s="18" t="n">
        <x:f>'Habilidades'!I3363</x:f>
        <x:v>175</x:v>
      </x:c>
    </x:row>
    <x:row r="878" ht="22" customHeight="1">
      <x:c r="A878" s="19" t="n">
        <x:f>IF(B878="","",IF(B878=B877,A877,A877+1))</x:f>
        <x:v>178</x:v>
      </x:c>
      <x:c r="B878" s="20" t="str">
        <x:f>'Ranking'!C188</x:f>
        <x:v>Gliscor</x:v>
      </x:c>
      <x:c r="C878" s="20" t="str">
        <x:f>'Habilidades'!D3364</x:f>
        <x:v>Night Slash</x:v>
      </x:c>
      <x:c r="D878" s="20" t="str">
        <x:f>'Habilidades'!F3364</x:f>
        <x:v>Física</x:v>
      </x:c>
      <x:c r="E878" s="21" t="n">
        <x:f>'Habilidades'!G3364</x:f>
        <x:v>70</x:v>
      </x:c>
      <x:c r="F878" s="21" t="n">
        <x:f>'Habilidades'!H3364</x:f>
        <x:v>95</x:v>
      </x:c>
      <x:c r="G878" s="21" t="n">
        <x:f>'Habilidades'!I3364</x:f>
        <x:v>165</x:v>
      </x:c>
    </x:row>
    <x:row r="879" ht="22" customHeight="1">
      <x:c r="A879" s="17" t="n">
        <x:f>IF(B879="","",IF(B879=B878,A878,A878+1))</x:f>
        <x:v>179</x:v>
      </x:c>
      <x:c r="B879" s="1" t="str">
        <x:f>'Ranking'!C184</x:f>
        <x:v>Graveler</x:v>
      </x:c>
      <x:c r="C879" s="1" t="str">
        <x:f>'Habilidades'!D667</x:f>
        <x:v>Double-Edge</x:v>
      </x:c>
      <x:c r="D879" s="1" t="str">
        <x:f>'Habilidades'!F667</x:f>
        <x:v>Física</x:v>
      </x:c>
      <x:c r="E879" s="18" t="n">
        <x:f>'Habilidades'!G667</x:f>
        <x:v>120</x:v>
      </x:c>
      <x:c r="F879" s="18" t="n">
        <x:f>'Habilidades'!H667</x:f>
        <x:v>95</x:v>
      </x:c>
      <x:c r="G879" s="18" t="n">
        <x:f>'Habilidades'!I667</x:f>
        <x:v>215</x:v>
      </x:c>
    </x:row>
    <x:row r="880" ht="22" customHeight="1">
      <x:c r="A880" s="17" t="n">
        <x:f>IF(B880="","",IF(B880=B879,A879,A879+1))</x:f>
        <x:v>179</x:v>
      </x:c>
      <x:c r="B880" s="1" t="str">
        <x:f>'Ranking'!C184</x:f>
        <x:v>Graveler</x:v>
      </x:c>
      <x:c r="C880" s="1" t="str">
        <x:f>'Habilidades'!D668</x:f>
        <x:v>Earthquake</x:v>
      </x:c>
      <x:c r="D880" s="1" t="str">
        <x:f>'Habilidades'!F668</x:f>
        <x:v>Física</x:v>
      </x:c>
      <x:c r="E880" s="18" t="n">
        <x:f>'Habilidades'!G668</x:f>
        <x:v>100</x:v>
      </x:c>
      <x:c r="F880" s="18" t="n">
        <x:f>'Habilidades'!H668</x:f>
        <x:v>95</x:v>
      </x:c>
      <x:c r="G880" s="18" t="n">
        <x:f>'Habilidades'!I668</x:f>
        <x:v>195</x:v>
      </x:c>
    </x:row>
    <x:row r="881" ht="22" customHeight="1">
      <x:c r="A881" s="17" t="n">
        <x:f>IF(B881="","",IF(B881=B880,A880,A880+1))</x:f>
        <x:v>179</x:v>
      </x:c>
      <x:c r="B881" s="1" t="str">
        <x:f>'Ranking'!C184</x:f>
        <x:v>Graveler</x:v>
      </x:c>
      <x:c r="C881" s="1" t="str">
        <x:f>'Habilidades'!D669</x:f>
        <x:v>Stone Edge</x:v>
      </x:c>
      <x:c r="D881" s="1" t="str">
        <x:f>'Habilidades'!F669</x:f>
        <x:v>Física</x:v>
      </x:c>
      <x:c r="E881" s="18" t="n">
        <x:f>'Habilidades'!G669</x:f>
        <x:v>100</x:v>
      </x:c>
      <x:c r="F881" s="18" t="n">
        <x:f>'Habilidades'!H669</x:f>
        <x:v>95</x:v>
      </x:c>
      <x:c r="G881" s="18" t="n">
        <x:f>'Habilidades'!I669</x:f>
        <x:v>195</x:v>
      </x:c>
    </x:row>
    <x:row r="882" ht="22" customHeight="1">
      <x:c r="A882" s="17" t="n">
        <x:f>IF(B882="","",IF(B882=B881,A881,A881+1))</x:f>
        <x:v>179</x:v>
      </x:c>
      <x:c r="B882" s="1" t="str">
        <x:f>'Ranking'!C184</x:f>
        <x:v>Graveler</x:v>
      </x:c>
      <x:c r="C882" s="1" t="str">
        <x:f>'Habilidades'!D670</x:f>
        <x:v>Bulldoze</x:v>
      </x:c>
      <x:c r="D882" s="1" t="str">
        <x:f>'Habilidades'!F670</x:f>
        <x:v>Física</x:v>
      </x:c>
      <x:c r="E882" s="18" t="n">
        <x:f>'Habilidades'!G670</x:f>
        <x:v>60</x:v>
      </x:c>
      <x:c r="F882" s="18" t="n">
        <x:f>'Habilidades'!H670</x:f>
        <x:v>95</x:v>
      </x:c>
      <x:c r="G882" s="18" t="n">
        <x:f>'Habilidades'!I670</x:f>
        <x:v>155</x:v>
      </x:c>
    </x:row>
    <x:row r="883" ht="22" customHeight="1">
      <x:c r="A883" s="19" t="n">
        <x:f>IF(B883="","",IF(B883=B882,A882,A882+1))</x:f>
        <x:v>179</x:v>
      </x:c>
      <x:c r="B883" s="20" t="str">
        <x:f>'Ranking'!C184</x:f>
        <x:v>Graveler</x:v>
      </x:c>
      <x:c r="C883" s="20" t="str">
        <x:f>'Habilidades'!D671</x:f>
        <x:v>Tackle</x:v>
      </x:c>
      <x:c r="D883" s="20" t="str">
        <x:f>'Habilidades'!F671</x:f>
        <x:v>Física</x:v>
      </x:c>
      <x:c r="E883" s="21" t="n">
        <x:f>'Habilidades'!G671</x:f>
        <x:v>50</x:v>
      </x:c>
      <x:c r="F883" s="21" t="n">
        <x:f>'Habilidades'!H671</x:f>
        <x:v>95</x:v>
      </x:c>
      <x:c r="G883" s="21" t="n">
        <x:f>'Habilidades'!I671</x:f>
        <x:v>145</x:v>
      </x:c>
    </x:row>
    <x:row r="884" ht="22" customHeight="1">
      <x:c r="A884" s="17" t="n">
        <x:f>IF(B884="","",IF(B884=B883,A883,A883+1))</x:f>
        <x:v>180</x:v>
      </x:c>
      <x:c r="B884" s="1" t="str">
        <x:f>'Ranking'!C189</x:f>
        <x:v>Grovyle</x:v>
      </x:c>
      <x:c r="C884" s="1" t="str">
        <x:f>'Habilidades'!D2360</x:f>
        <x:v>Leaf Storm</x:v>
      </x:c>
      <x:c r="D884" s="1" t="str">
        <x:f>'Habilidades'!F2360</x:f>
        <x:v>Especial</x:v>
      </x:c>
      <x:c r="E884" s="18" t="n">
        <x:f>'Habilidades'!G2360</x:f>
        <x:v>130</x:v>
      </x:c>
      <x:c r="F884" s="18" t="n">
        <x:f>'Habilidades'!H2360</x:f>
        <x:v>85</x:v>
      </x:c>
      <x:c r="G884" s="18" t="n">
        <x:f>'Habilidades'!I2360</x:f>
        <x:v>215</x:v>
      </x:c>
    </x:row>
    <x:row r="885" ht="22" customHeight="1">
      <x:c r="A885" s="17" t="n">
        <x:f>IF(B885="","",IF(B885=B884,A884,A884+1))</x:f>
        <x:v>180</x:v>
      </x:c>
      <x:c r="B885" s="1" t="str">
        <x:f>'Ranking'!C189</x:f>
        <x:v>Grovyle</x:v>
      </x:c>
      <x:c r="C885" s="1" t="str">
        <x:f>'Habilidades'!D2361</x:f>
        <x:v>Leaf Blade</x:v>
      </x:c>
      <x:c r="D885" s="1" t="str">
        <x:f>'Habilidades'!F2361</x:f>
        <x:v>Física</x:v>
      </x:c>
      <x:c r="E885" s="18" t="n">
        <x:f>'Habilidades'!G2361</x:f>
        <x:v>90</x:v>
      </x:c>
      <x:c r="F885" s="18" t="n">
        <x:f>'Habilidades'!H2361</x:f>
        <x:v>65</x:v>
      </x:c>
      <x:c r="G885" s="18" t="n">
        <x:f>'Habilidades'!I2361</x:f>
        <x:v>155</x:v>
      </x:c>
    </x:row>
    <x:row r="886" ht="22" customHeight="1">
      <x:c r="A886" s="17" t="n">
        <x:f>IF(B886="","",IF(B886=B885,A885,A885+1))</x:f>
        <x:v>180</x:v>
      </x:c>
      <x:c r="B886" s="1" t="str">
        <x:f>'Ranking'!C189</x:f>
        <x:v>Grovyle</x:v>
      </x:c>
      <x:c r="C886" s="1" t="str">
        <x:f>'Habilidades'!D2362</x:f>
        <x:v>Slam</x:v>
      </x:c>
      <x:c r="D886" s="1" t="str">
        <x:f>'Habilidades'!F2362</x:f>
        <x:v>Física</x:v>
      </x:c>
      <x:c r="E886" s="18" t="n">
        <x:f>'Habilidades'!G2362</x:f>
        <x:v>80</x:v>
      </x:c>
      <x:c r="F886" s="18" t="n">
        <x:f>'Habilidades'!H2362</x:f>
        <x:v>65</x:v>
      </x:c>
      <x:c r="G886" s="18" t="n">
        <x:f>'Habilidades'!I2362</x:f>
        <x:v>145</x:v>
      </x:c>
    </x:row>
    <x:row r="887" ht="22" customHeight="1">
      <x:c r="A887" s="17" t="n">
        <x:f>IF(B887="","",IF(B887=B886,A886,A886+1))</x:f>
        <x:v>180</x:v>
      </x:c>
      <x:c r="B887" s="1" t="str">
        <x:f>'Ranking'!C189</x:f>
        <x:v>Grovyle</x:v>
      </x:c>
      <x:c r="C887" s="1" t="str">
        <x:f>'Habilidades'!D2363</x:f>
        <x:v>X-Scissor</x:v>
      </x:c>
      <x:c r="D887" s="1" t="str">
        <x:f>'Habilidades'!F2363</x:f>
        <x:v>Física</x:v>
      </x:c>
      <x:c r="E887" s="18" t="n">
        <x:f>'Habilidades'!G2363</x:f>
        <x:v>80</x:v>
      </x:c>
      <x:c r="F887" s="18" t="n">
        <x:f>'Habilidades'!H2363</x:f>
        <x:v>65</x:v>
      </x:c>
      <x:c r="G887" s="18" t="n">
        <x:f>'Habilidades'!I2363</x:f>
        <x:v>145</x:v>
      </x:c>
    </x:row>
    <x:row r="888" ht="22" customHeight="1">
      <x:c r="A888" s="19" t="n">
        <x:f>IF(B888="","",IF(B888=B887,A887,A887+1))</x:f>
        <x:v>180</x:v>
      </x:c>
      <x:c r="B888" s="20" t="str">
        <x:f>'Ranking'!C189</x:f>
        <x:v>Grovyle</x:v>
      </x:c>
      <x:c r="C888" s="20" t="str">
        <x:f>'Habilidades'!D2365</x:f>
        <x:v>Quick Attack</x:v>
      </x:c>
      <x:c r="D888" s="20" t="str">
        <x:f>'Habilidades'!F2365</x:f>
        <x:v>Física</x:v>
      </x:c>
      <x:c r="E888" s="21" t="n">
        <x:f>'Habilidades'!G2365</x:f>
        <x:v>40</x:v>
      </x:c>
      <x:c r="F888" s="21" t="n">
        <x:f>'Habilidades'!H2365</x:f>
        <x:v>65</x:v>
      </x:c>
      <x:c r="G888" s="21" t="n">
        <x:f>'Habilidades'!I2365</x:f>
        <x:v>105</x:v>
      </x:c>
    </x:row>
    <x:row r="889" ht="22" customHeight="1">
      <x:c r="A889" s="17" t="n">
        <x:f>IF(B889="","",IF(B889=B888,A888,A888+1))</x:f>
        <x:v>181</x:v>
      </x:c>
      <x:c r="B889" s="1" t="str">
        <x:f>'Ranking'!C182</x:f>
        <x:v>Haunter</x:v>
      </x:c>
      <x:c r="C889" s="1" t="str">
        <x:f>'Habilidades'!D860</x:f>
        <x:v>Dream Eater</x:v>
      </x:c>
      <x:c r="D889" s="1" t="str">
        <x:f>'Habilidades'!F860</x:f>
        <x:v>Especial</x:v>
      </x:c>
      <x:c r="E889" s="18" t="n">
        <x:f>'Habilidades'!G860</x:f>
        <x:v>100</x:v>
      </x:c>
      <x:c r="F889" s="18" t="n">
        <x:f>'Habilidades'!H860</x:f>
        <x:v>115</x:v>
      </x:c>
      <x:c r="G889" s="18" t="n">
        <x:f>'Habilidades'!I860</x:f>
        <x:v>215</x:v>
      </x:c>
    </x:row>
    <x:row r="890" ht="22" customHeight="1">
      <x:c r="A890" s="17" t="n">
        <x:f>IF(B890="","",IF(B890=B889,A889,A889+1))</x:f>
        <x:v>181</x:v>
      </x:c>
      <x:c r="B890" s="1" t="str">
        <x:f>'Ranking'!C182</x:f>
        <x:v>Haunter</x:v>
      </x:c>
      <x:c r="C890" s="1" t="str">
        <x:f>'Habilidades'!D861</x:f>
        <x:v>Shadow Ball</x:v>
      </x:c>
      <x:c r="D890" s="1" t="str">
        <x:f>'Habilidades'!F861</x:f>
        <x:v>Especial</x:v>
      </x:c>
      <x:c r="E890" s="18" t="n">
        <x:f>'Habilidades'!G861</x:f>
        <x:v>80</x:v>
      </x:c>
      <x:c r="F890" s="18" t="n">
        <x:f>'Habilidades'!H861</x:f>
        <x:v>115</x:v>
      </x:c>
      <x:c r="G890" s="18" t="n">
        <x:f>'Habilidades'!I861</x:f>
        <x:v>195</x:v>
      </x:c>
    </x:row>
    <x:row r="891" ht="22" customHeight="1">
      <x:c r="A891" s="17" t="n">
        <x:f>IF(B891="","",IF(B891=B890,A890,A890+1))</x:f>
        <x:v>181</x:v>
      </x:c>
      <x:c r="B891" s="1" t="str">
        <x:f>'Ranking'!C182</x:f>
        <x:v>Haunter</x:v>
      </x:c>
      <x:c r="C891" s="1" t="str">
        <x:f>'Habilidades'!D862</x:f>
        <x:v>Dark Pulse</x:v>
      </x:c>
      <x:c r="D891" s="1" t="str">
        <x:f>'Habilidades'!F862</x:f>
        <x:v>Especial</x:v>
      </x:c>
      <x:c r="E891" s="18" t="n">
        <x:f>'Habilidades'!G862</x:f>
        <x:v>80</x:v>
      </x:c>
      <x:c r="F891" s="18" t="n">
        <x:f>'Habilidades'!H862</x:f>
        <x:v>115</x:v>
      </x:c>
      <x:c r="G891" s="18" t="n">
        <x:f>'Habilidades'!I862</x:f>
        <x:v>195</x:v>
      </x:c>
    </x:row>
    <x:row r="892" ht="22" customHeight="1">
      <x:c r="A892" s="17" t="n">
        <x:f>IF(B892="","",IF(B892=B891,A891,A891+1))</x:f>
        <x:v>181</x:v>
      </x:c>
      <x:c r="B892" s="1" t="str">
        <x:f>'Ranking'!C182</x:f>
        <x:v>Haunter</x:v>
      </x:c>
      <x:c r="C892" s="1" t="str">
        <x:f>'Habilidades'!D863</x:f>
        <x:v>Hex</x:v>
      </x:c>
      <x:c r="D892" s="1" t="str">
        <x:f>'Habilidades'!F863</x:f>
        <x:v>Especial</x:v>
      </x:c>
      <x:c r="E892" s="18" t="n">
        <x:f>'Habilidades'!G863</x:f>
        <x:v>65</x:v>
      </x:c>
      <x:c r="F892" s="18" t="n">
        <x:f>'Habilidades'!H863</x:f>
        <x:v>115</x:v>
      </x:c>
      <x:c r="G892" s="18" t="n">
        <x:f>'Habilidades'!I863</x:f>
        <x:v>180</x:v>
      </x:c>
    </x:row>
    <x:row r="893" ht="22" customHeight="1">
      <x:c r="A893" s="19" t="n">
        <x:f>IF(B893="","",IF(B893=B892,A892,A892+1))</x:f>
        <x:v>181</x:v>
      </x:c>
      <x:c r="B893" s="20" t="str">
        <x:f>'Ranking'!C182</x:f>
        <x:v>Haunter</x:v>
      </x:c>
      <x:c r="C893" s="20" t="str">
        <x:f>'Habilidades'!D865</x:f>
        <x:v>Sucker Punch</x:v>
      </x:c>
      <x:c r="D893" s="20" t="str">
        <x:f>'Habilidades'!F865</x:f>
        <x:v>Física</x:v>
      </x:c>
      <x:c r="E893" s="21" t="n">
        <x:f>'Habilidades'!G865</x:f>
        <x:v>80</x:v>
      </x:c>
      <x:c r="F893" s="21" t="n">
        <x:f>'Habilidades'!H865</x:f>
        <x:v>50</x:v>
      </x:c>
      <x:c r="G893" s="21" t="n">
        <x:f>'Habilidades'!I865</x:f>
        <x:v>130</x:v>
      </x:c>
    </x:row>
    <x:row r="894" ht="22" customHeight="1">
      <x:c r="A894" s="17" t="n">
        <x:f>IF(B894="","",IF(B894=B893,A893,A893+1))</x:f>
        <x:v>182</x:v>
      </x:c>
      <x:c r="B894" s="1" t="str">
        <x:f>'Ranking'!C186</x:f>
        <x:v>Kangaskhan</x:v>
      </x:c>
      <x:c r="C894" s="1" t="str">
        <x:f>'Habilidades'!D1096</x:f>
        <x:v>Outrage</x:v>
      </x:c>
      <x:c r="D894" s="1" t="str">
        <x:f>'Habilidades'!F1096</x:f>
        <x:v>Física</x:v>
      </x:c>
      <x:c r="E894" s="18" t="n">
        <x:f>'Habilidades'!G1096</x:f>
        <x:v>120</x:v>
      </x:c>
      <x:c r="F894" s="18" t="n">
        <x:f>'Habilidades'!H1096</x:f>
        <x:v>95</x:v>
      </x:c>
      <x:c r="G894" s="18" t="n">
        <x:f>'Habilidades'!I1096</x:f>
        <x:v>215</x:v>
      </x:c>
    </x:row>
    <x:row r="895" ht="22" customHeight="1">
      <x:c r="A895" s="17" t="n">
        <x:f>IF(B895="","",IF(B895=B894,A894,A894+1))</x:f>
        <x:v>182</x:v>
      </x:c>
      <x:c r="B895" s="1" t="str">
        <x:f>'Ranking'!C186</x:f>
        <x:v>Kangaskhan</x:v>
      </x:c>
      <x:c r="C895" s="1" t="str">
        <x:f>'Habilidades'!D1097</x:f>
        <x:v>Mega Punch</x:v>
      </x:c>
      <x:c r="D895" s="1" t="str">
        <x:f>'Habilidades'!F1097</x:f>
        <x:v>Física</x:v>
      </x:c>
      <x:c r="E895" s="18" t="n">
        <x:f>'Habilidades'!G1097</x:f>
        <x:v>80</x:v>
      </x:c>
      <x:c r="F895" s="18" t="n">
        <x:f>'Habilidades'!H1097</x:f>
        <x:v>95</x:v>
      </x:c>
      <x:c r="G895" s="18" t="n">
        <x:f>'Habilidades'!I1097</x:f>
        <x:v>175</x:v>
      </x:c>
    </x:row>
    <x:row r="896" ht="22" customHeight="1">
      <x:c r="A896" s="17" t="n">
        <x:f>IF(B896="","",IF(B896=B895,A895,A895+1))</x:f>
        <x:v>182</x:v>
      </x:c>
      <x:c r="B896" s="1" t="str">
        <x:f>'Ranking'!C186</x:f>
        <x:v>Kangaskhan</x:v>
      </x:c>
      <x:c r="C896" s="1" t="str">
        <x:f>'Habilidades'!D1098</x:f>
        <x:v>Crunch</x:v>
      </x:c>
      <x:c r="D896" s="1" t="str">
        <x:f>'Habilidades'!F1098</x:f>
        <x:v>Física</x:v>
      </x:c>
      <x:c r="E896" s="18" t="n">
        <x:f>'Habilidades'!G1098</x:f>
        <x:v>80</x:v>
      </x:c>
      <x:c r="F896" s="18" t="n">
        <x:f>'Habilidades'!H1098</x:f>
        <x:v>95</x:v>
      </x:c>
      <x:c r="G896" s="18" t="n">
        <x:f>'Habilidades'!I1098</x:f>
        <x:v>175</x:v>
      </x:c>
    </x:row>
    <x:row r="897" ht="22" customHeight="1">
      <x:c r="A897" s="17" t="n">
        <x:f>IF(B897="","",IF(B897=B896,A896,A896+1))</x:f>
        <x:v>182</x:v>
      </x:c>
      <x:c r="B897" s="1" t="str">
        <x:f>'Ranking'!C186</x:f>
        <x:v>Kangaskhan</x:v>
      </x:c>
      <x:c r="C897" s="1" t="str">
        <x:f>'Habilidades'!D1099</x:f>
        <x:v>Sucker Punch</x:v>
      </x:c>
      <x:c r="D897" s="1" t="str">
        <x:f>'Habilidades'!F1099</x:f>
        <x:v>Física</x:v>
      </x:c>
      <x:c r="E897" s="18" t="n">
        <x:f>'Habilidades'!G1099</x:f>
        <x:v>80</x:v>
      </x:c>
      <x:c r="F897" s="18" t="n">
        <x:f>'Habilidades'!H1099</x:f>
        <x:v>95</x:v>
      </x:c>
      <x:c r="G897" s="18" t="n">
        <x:f>'Habilidades'!I1099</x:f>
        <x:v>175</x:v>
      </x:c>
    </x:row>
    <x:row r="898" ht="22" customHeight="1">
      <x:c r="A898" s="19" t="n">
        <x:f>IF(B898="","",IF(B898=B897,A897,A897+1))</x:f>
        <x:v>182</x:v>
      </x:c>
      <x:c r="B898" s="20" t="str">
        <x:f>'Ranking'!C186</x:f>
        <x:v>Kangaskhan</x:v>
      </x:c>
      <x:c r="C898" s="20" t="str">
        <x:f>'Habilidades'!D1100</x:f>
        <x:v>Chip Away</x:v>
      </x:c>
      <x:c r="D898" s="20" t="str">
        <x:f>'Habilidades'!F1100</x:f>
        <x:v>Física</x:v>
      </x:c>
      <x:c r="E898" s="21" t="n">
        <x:f>'Habilidades'!G1100</x:f>
        <x:v>70</x:v>
      </x:c>
      <x:c r="F898" s="21" t="n">
        <x:f>'Habilidades'!H1100</x:f>
        <x:v>95</x:v>
      </x:c>
      <x:c r="G898" s="21" t="n">
        <x:f>'Habilidades'!I1100</x:f>
        <x:v>165</x:v>
      </x:c>
    </x:row>
    <x:row r="899" ht="22" customHeight="1">
      <x:c r="A899" s="17" t="n">
        <x:f>IF(B899="","",IF(B899=B898,A898,A898+1))</x:f>
        <x:v>183</x:v>
      </x:c>
      <x:c r="B899" s="1" t="str">
        <x:f>'Ranking'!C187</x:f>
        <x:v>Lunatone</x:v>
      </x:c>
      <x:c r="C899" s="1" t="str">
        <x:f>'Habilidades'!D2880</x:f>
        <x:v>Future Sight</x:v>
      </x:c>
      <x:c r="D899" s="1" t="str">
        <x:f>'Habilidades'!F2880</x:f>
        <x:v>Especial</x:v>
      </x:c>
      <x:c r="E899" s="18" t="n">
        <x:f>'Habilidades'!G2880</x:f>
        <x:v>120</x:v>
      </x:c>
      <x:c r="F899" s="18" t="n">
        <x:f>'Habilidades'!H2880</x:f>
        <x:v>95</x:v>
      </x:c>
      <x:c r="G899" s="18" t="n">
        <x:f>'Habilidades'!I2880</x:f>
        <x:v>215</x:v>
      </x:c>
    </x:row>
    <x:row r="900" ht="22" customHeight="1">
      <x:c r="A900" s="17" t="n">
        <x:f>IF(B900="","",IF(B900=B899,A899,A899+1))</x:f>
        <x:v>183</x:v>
      </x:c>
      <x:c r="B900" s="1" t="str">
        <x:f>'Ranking'!C187</x:f>
        <x:v>Lunatone</x:v>
      </x:c>
      <x:c r="C900" s="1" t="str">
        <x:f>'Habilidades'!D2881</x:f>
        <x:v>Moonblast</x:v>
      </x:c>
      <x:c r="D900" s="1" t="str">
        <x:f>'Habilidades'!F2881</x:f>
        <x:v>Especial</x:v>
      </x:c>
      <x:c r="E900" s="18" t="n">
        <x:f>'Habilidades'!G2881</x:f>
        <x:v>95</x:v>
      </x:c>
      <x:c r="F900" s="18" t="n">
        <x:f>'Habilidades'!H2881</x:f>
        <x:v>95</x:v>
      </x:c>
      <x:c r="G900" s="18" t="n">
        <x:f>'Habilidades'!I2881</x:f>
        <x:v>190</x:v>
      </x:c>
    </x:row>
    <x:row r="901" ht="22" customHeight="1">
      <x:c r="A901" s="17" t="n">
        <x:f>IF(B901="","",IF(B901=B900,A900,A900+1))</x:f>
        <x:v>183</x:v>
      </x:c>
      <x:c r="B901" s="1" t="str">
        <x:f>'Ranking'!C187</x:f>
        <x:v>Lunatone</x:v>
      </x:c>
      <x:c r="C901" s="1" t="str">
        <x:f>'Habilidades'!D2882</x:f>
        <x:v>Psychic</x:v>
      </x:c>
      <x:c r="D901" s="1" t="str">
        <x:f>'Habilidades'!F2882</x:f>
        <x:v>Especial</x:v>
      </x:c>
      <x:c r="E901" s="18" t="n">
        <x:f>'Habilidades'!G2882</x:f>
        <x:v>90</x:v>
      </x:c>
      <x:c r="F901" s="18" t="n">
        <x:f>'Habilidades'!H2882</x:f>
        <x:v>95</x:v>
      </x:c>
      <x:c r="G901" s="18" t="n">
        <x:f>'Habilidades'!I2882</x:f>
        <x:v>185</x:v>
      </x:c>
    </x:row>
    <x:row r="902" ht="22" customHeight="1">
      <x:c r="A902" s="17" t="n">
        <x:f>IF(B902="","",IF(B902=B901,A901,A901+1))</x:f>
        <x:v>183</x:v>
      </x:c>
      <x:c r="B902" s="1" t="str">
        <x:f>'Ranking'!C187</x:f>
        <x:v>Lunatone</x:v>
      </x:c>
      <x:c r="C902" s="1" t="str">
        <x:f>'Habilidades'!D2883</x:f>
        <x:v>Stone Edge</x:v>
      </x:c>
      <x:c r="D902" s="1" t="str">
        <x:f>'Habilidades'!F2883</x:f>
        <x:v>Física</x:v>
      </x:c>
      <x:c r="E902" s="18" t="n">
        <x:f>'Habilidades'!G2883</x:f>
        <x:v>100</x:v>
      </x:c>
      <x:c r="F902" s="18" t="n">
        <x:f>'Habilidades'!H2883</x:f>
        <x:v>55</x:v>
      </x:c>
      <x:c r="G902" s="18" t="n">
        <x:f>'Habilidades'!I2883</x:f>
        <x:v>155</x:v>
      </x:c>
    </x:row>
    <x:row r="903" ht="22" customHeight="1">
      <x:c r="A903" s="19" t="n">
        <x:f>IF(B903="","",IF(B903=B902,A902,A902+1))</x:f>
        <x:v>183</x:v>
      </x:c>
      <x:c r="B903" s="20" t="str">
        <x:f>'Ranking'!C187</x:f>
        <x:v>Lunatone</x:v>
      </x:c>
      <x:c r="C903" s="20" t="str">
        <x:f>'Habilidades'!D2885</x:f>
        <x:v>Rock Slide</x:v>
      </x:c>
      <x:c r="D903" s="20" t="str">
        <x:f>'Habilidades'!F2885</x:f>
        <x:v>Física</x:v>
      </x:c>
      <x:c r="E903" s="21" t="n">
        <x:f>'Habilidades'!G2885</x:f>
        <x:v>75</x:v>
      </x:c>
      <x:c r="F903" s="21" t="n">
        <x:f>'Habilidades'!H2885</x:f>
        <x:v>55</x:v>
      </x:c>
      <x:c r="G903" s="21" t="n">
        <x:f>'Habilidades'!I2885</x:f>
        <x:v>130</x:v>
      </x:c>
    </x:row>
    <x:row r="904" ht="22" customHeight="1">
      <x:c r="A904" s="17" t="n">
        <x:f>IF(B904="","",IF(B904=B903,A903,A903+1))</x:f>
        <x:v>184</x:v>
      </x:c>
      <x:c r="B904" s="1" t="str">
        <x:f>'Ranking'!C185</x:f>
        <x:v>Magnemite</x:v>
      </x:c>
      <x:c r="C904" s="1" t="str">
        <x:f>'Habilidades'!D729</x:f>
        <x:v>Zap Cannon</x:v>
      </x:c>
      <x:c r="D904" s="1" t="str">
        <x:f>'Habilidades'!F729</x:f>
        <x:v>Especial</x:v>
      </x:c>
      <x:c r="E904" s="18" t="n">
        <x:f>'Habilidades'!G729</x:f>
        <x:v>120</x:v>
      </x:c>
      <x:c r="F904" s="18" t="n">
        <x:f>'Habilidades'!H729</x:f>
        <x:v>95</x:v>
      </x:c>
      <x:c r="G904" s="18" t="n">
        <x:f>'Habilidades'!I729</x:f>
        <x:v>215</x:v>
      </x:c>
    </x:row>
    <x:row r="905" ht="22" customHeight="1">
      <x:c r="A905" s="17" t="n">
        <x:f>IF(B905="","",IF(B905=B904,A904,A904+1))</x:f>
        <x:v>184</x:v>
      </x:c>
      <x:c r="B905" s="1" t="str">
        <x:f>'Ranking'!C185</x:f>
        <x:v>Magnemite</x:v>
      </x:c>
      <x:c r="C905" s="1" t="str">
        <x:f>'Habilidades'!D730</x:f>
        <x:v>Flash Cannon</x:v>
      </x:c>
      <x:c r="D905" s="1" t="str">
        <x:f>'Habilidades'!F730</x:f>
        <x:v>Especial</x:v>
      </x:c>
      <x:c r="E905" s="18" t="n">
        <x:f>'Habilidades'!G730</x:f>
        <x:v>80</x:v>
      </x:c>
      <x:c r="F905" s="18" t="n">
        <x:f>'Habilidades'!H730</x:f>
        <x:v>95</x:v>
      </x:c>
      <x:c r="G905" s="18" t="n">
        <x:f>'Habilidades'!I730</x:f>
        <x:v>175</x:v>
      </x:c>
    </x:row>
    <x:row r="906" ht="22" customHeight="1">
      <x:c r="A906" s="17" t="n">
        <x:f>IF(B906="","",IF(B906=B905,A905,A905+1))</x:f>
        <x:v>184</x:v>
      </x:c>
      <x:c r="B906" s="1" t="str">
        <x:f>'Ranking'!C185</x:f>
        <x:v>Magnemite</x:v>
      </x:c>
      <x:c r="C906" s="1" t="str">
        <x:f>'Habilidades'!D731</x:f>
        <x:v>Discharge</x:v>
      </x:c>
      <x:c r="D906" s="1" t="str">
        <x:f>'Habilidades'!F731</x:f>
        <x:v>Especial</x:v>
      </x:c>
      <x:c r="E906" s="18" t="n">
        <x:f>'Habilidades'!G731</x:f>
        <x:v>80</x:v>
      </x:c>
      <x:c r="F906" s="18" t="n">
        <x:f>'Habilidades'!H731</x:f>
        <x:v>95</x:v>
      </x:c>
      <x:c r="G906" s="18" t="n">
        <x:f>'Habilidades'!I731</x:f>
        <x:v>175</x:v>
      </x:c>
    </x:row>
    <x:row r="907" ht="22" customHeight="1">
      <x:c r="A907" s="17" t="n">
        <x:f>IF(B907="","",IF(B907=B906,A906,A906+1))</x:f>
        <x:v>184</x:v>
      </x:c>
      <x:c r="B907" s="1" t="str">
        <x:f>'Ranking'!C185</x:f>
        <x:v>Magnemite</x:v>
      </x:c>
      <x:c r="C907" s="1" t="str">
        <x:f>'Habilidades'!D732</x:f>
        <x:v>Mirror Shot</x:v>
      </x:c>
      <x:c r="D907" s="1" t="str">
        <x:f>'Habilidades'!F732</x:f>
        <x:v>Especial</x:v>
      </x:c>
      <x:c r="E907" s="18" t="n">
        <x:f>'Habilidades'!G732</x:f>
        <x:v>65</x:v>
      </x:c>
      <x:c r="F907" s="18" t="n">
        <x:f>'Habilidades'!H732</x:f>
        <x:v>95</x:v>
      </x:c>
      <x:c r="G907" s="18" t="n">
        <x:f>'Habilidades'!I732</x:f>
        <x:v>160</x:v>
      </x:c>
    </x:row>
    <x:row r="908" ht="22" customHeight="1">
      <x:c r="A908" s="19" t="n">
        <x:f>IF(B908="","",IF(B908=B907,A907,A907+1))</x:f>
        <x:v>184</x:v>
      </x:c>
      <x:c r="B908" s="20" t="str">
        <x:f>'Ranking'!C185</x:f>
        <x:v>Magnemite</x:v>
      </x:c>
      <x:c r="C908" s="20" t="str">
        <x:f>'Habilidades'!D736</x:f>
        <x:v>Spark</x:v>
      </x:c>
      <x:c r="D908" s="20" t="str">
        <x:f>'Habilidades'!F736</x:f>
        <x:v>Física</x:v>
      </x:c>
      <x:c r="E908" s="21" t="n">
        <x:f>'Habilidades'!G736</x:f>
        <x:v>65</x:v>
      </x:c>
      <x:c r="F908" s="21" t="n">
        <x:f>'Habilidades'!H736</x:f>
        <x:v>35</x:v>
      </x:c>
      <x:c r="G908" s="21" t="n">
        <x:f>'Habilidades'!I736</x:f>
        <x:v>100</x:v>
      </x:c>
    </x:row>
    <x:row r="909" ht="22" customHeight="1">
      <x:c r="A909" s="17" t="n">
        <x:f>IF(B909="","",IF(B909=B908,A908,A908+1))</x:f>
        <x:v>185</x:v>
      </x:c>
      <x:c r="B909" s="1" t="str">
        <x:f>'Ranking'!C183</x:f>
        <x:v>Manectric</x:v>
      </x:c>
      <x:c r="C909" s="1" t="str">
        <x:f>'Habilidades'!D2701</x:f>
        <x:v>Thunder</x:v>
      </x:c>
      <x:c r="D909" s="1" t="str">
        <x:f>'Habilidades'!F2701</x:f>
        <x:v>Especial</x:v>
      </x:c>
      <x:c r="E909" s="18" t="n">
        <x:f>'Habilidades'!G2701</x:f>
        <x:v>110</x:v>
      </x:c>
      <x:c r="F909" s="18" t="n">
        <x:f>'Habilidades'!H2701</x:f>
        <x:v>105</x:v>
      </x:c>
      <x:c r="G909" s="18" t="n">
        <x:f>'Habilidades'!I2701</x:f>
        <x:v>215</x:v>
      </x:c>
    </x:row>
    <x:row r="910" ht="22" customHeight="1">
      <x:c r="A910" s="17" t="n">
        <x:f>IF(B910="","",IF(B910=B909,A909,A909+1))</x:f>
        <x:v>185</x:v>
      </x:c>
      <x:c r="B910" s="1" t="str">
        <x:f>'Ranking'!C183</x:f>
        <x:v>Manectric</x:v>
      </x:c>
      <x:c r="C910" s="1" t="str">
        <x:f>'Habilidades'!D2702</x:f>
        <x:v>Discharge</x:v>
      </x:c>
      <x:c r="D910" s="1" t="str">
        <x:f>'Habilidades'!F2702</x:f>
        <x:v>Especial</x:v>
      </x:c>
      <x:c r="E910" s="18" t="n">
        <x:f>'Habilidades'!G2702</x:f>
        <x:v>80</x:v>
      </x:c>
      <x:c r="F910" s="18" t="n">
        <x:f>'Habilidades'!H2702</x:f>
        <x:v>105</x:v>
      </x:c>
      <x:c r="G910" s="18" t="n">
        <x:f>'Habilidades'!I2702</x:f>
        <x:v>185</x:v>
      </x:c>
    </x:row>
    <x:row r="911" ht="22" customHeight="1">
      <x:c r="A911" s="17" t="n">
        <x:f>IF(B911="","",IF(B911=B910,A910,A910+1))</x:f>
        <x:v>185</x:v>
      </x:c>
      <x:c r="B911" s="1" t="str">
        <x:f>'Ranking'!C183</x:f>
        <x:v>Manectric</x:v>
      </x:c>
      <x:c r="C911" s="1" t="str">
        <x:f>'Habilidades'!D2703</x:f>
        <x:v>Wild Charge</x:v>
      </x:c>
      <x:c r="D911" s="1" t="str">
        <x:f>'Habilidades'!F2703</x:f>
        <x:v>Física</x:v>
      </x:c>
      <x:c r="E911" s="18" t="n">
        <x:f>'Habilidades'!G2703</x:f>
        <x:v>90</x:v>
      </x:c>
      <x:c r="F911" s="18" t="n">
        <x:f>'Habilidades'!H2703</x:f>
        <x:v>75</x:v>
      </x:c>
      <x:c r="G911" s="18" t="n">
        <x:f>'Habilidades'!I2703</x:f>
        <x:v>165</x:v>
      </x:c>
    </x:row>
    <x:row r="912" ht="22" customHeight="1">
      <x:c r="A912" s="17" t="n">
        <x:f>IF(B912="","",IF(B912=B911,A911,A911+1))</x:f>
        <x:v>185</x:v>
      </x:c>
      <x:c r="B912" s="1" t="str">
        <x:f>'Ranking'!C183</x:f>
        <x:v>Manectric</x:v>
      </x:c>
      <x:c r="C912" s="1" t="str">
        <x:f>'Habilidades'!D2704</x:f>
        <x:v>Fire Fang</x:v>
      </x:c>
      <x:c r="D912" s="1" t="str">
        <x:f>'Habilidades'!F2704</x:f>
        <x:v>Física</x:v>
      </x:c>
      <x:c r="E912" s="18" t="n">
        <x:f>'Habilidades'!G2704</x:f>
        <x:v>65</x:v>
      </x:c>
      <x:c r="F912" s="18" t="n">
        <x:f>'Habilidades'!H2704</x:f>
        <x:v>75</x:v>
      </x:c>
      <x:c r="G912" s="18" t="n">
        <x:f>'Habilidades'!I2704</x:f>
        <x:v>140</x:v>
      </x:c>
    </x:row>
    <x:row r="913" ht="22" customHeight="1">
      <x:c r="A913" s="19" t="n">
        <x:f>IF(B913="","",IF(B913=B912,A912,A912+1))</x:f>
        <x:v>185</x:v>
      </x:c>
      <x:c r="B913" s="20" t="str">
        <x:f>'Ranking'!C183</x:f>
        <x:v>Manectric</x:v>
      </x:c>
      <x:c r="C913" s="20" t="str">
        <x:f>'Habilidades'!D2705</x:f>
        <x:v>Spark</x:v>
      </x:c>
      <x:c r="D913" s="20" t="str">
        <x:f>'Habilidades'!F2705</x:f>
        <x:v>Física</x:v>
      </x:c>
      <x:c r="E913" s="21" t="n">
        <x:f>'Habilidades'!G2705</x:f>
        <x:v>65</x:v>
      </x:c>
      <x:c r="F913" s="21" t="n">
        <x:f>'Habilidades'!H2705</x:f>
        <x:v>75</x:v>
      </x:c>
      <x:c r="G913" s="21" t="n">
        <x:f>'Habilidades'!I2705</x:f>
        <x:v>140</x:v>
      </x:c>
    </x:row>
    <x:row r="914" ht="22" customHeight="1">
      <x:c r="A914" s="17" t="n">
        <x:f>IF(B914="","",IF(B914=B913,A913,A913+1))</x:f>
        <x:v>186</x:v>
      </x:c>
      <x:c r="B914" s="1" t="str">
        <x:f>'Ranking'!C190</x:f>
        <x:v>Pupitar</x:v>
      </x:c>
      <x:c r="C914" s="1" t="str">
        <x:f>'Habilidades'!D2298</x:f>
        <x:v>Hyper Beam</x:v>
      </x:c>
      <x:c r="D914" s="1" t="str">
        <x:f>'Habilidades'!F2298</x:f>
        <x:v>Especial</x:v>
      </x:c>
      <x:c r="E914" s="18" t="n">
        <x:f>'Habilidades'!G2298</x:f>
        <x:v>150</x:v>
      </x:c>
      <x:c r="F914" s="18" t="n">
        <x:f>'Habilidades'!H2298</x:f>
        <x:v>65</x:v>
      </x:c>
      <x:c r="G914" s="18" t="n">
        <x:f>'Habilidades'!I2298</x:f>
        <x:v>215</x:v>
      </x:c>
    </x:row>
    <x:row r="915" ht="22" customHeight="1">
      <x:c r="A915" s="17" t="n">
        <x:f>IF(B915="","",IF(B915=B914,A914,A914+1))</x:f>
        <x:v>186</x:v>
      </x:c>
      <x:c r="B915" s="1" t="str">
        <x:f>'Ranking'!C190</x:f>
        <x:v>Pupitar</x:v>
      </x:c>
      <x:c r="C915" s="1" t="str">
        <x:f>'Habilidades'!D2299</x:f>
        <x:v>Thrash</x:v>
      </x:c>
      <x:c r="D915" s="1" t="str">
        <x:f>'Habilidades'!F2299</x:f>
        <x:v>Física</x:v>
      </x:c>
      <x:c r="E915" s="18" t="n">
        <x:f>'Habilidades'!G2299</x:f>
        <x:v>120</x:v>
      </x:c>
      <x:c r="F915" s="18" t="n">
        <x:f>'Habilidades'!H2299</x:f>
        <x:v>84</x:v>
      </x:c>
      <x:c r="G915" s="18" t="n">
        <x:f>'Habilidades'!I2299</x:f>
        <x:v>204</x:v>
      </x:c>
    </x:row>
    <x:row r="916" ht="22" customHeight="1">
      <x:c r="A916" s="17" t="n">
        <x:f>IF(B916="","",IF(B916=B915,A915,A915+1))</x:f>
        <x:v>186</x:v>
      </x:c>
      <x:c r="B916" s="1" t="str">
        <x:f>'Ranking'!C190</x:f>
        <x:v>Pupitar</x:v>
      </x:c>
      <x:c r="C916" s="1" t="str">
        <x:f>'Habilidades'!D2300</x:f>
        <x:v>Earthquake</x:v>
      </x:c>
      <x:c r="D916" s="1" t="str">
        <x:f>'Habilidades'!F2300</x:f>
        <x:v>Física</x:v>
      </x:c>
      <x:c r="E916" s="18" t="n">
        <x:f>'Habilidades'!G2300</x:f>
        <x:v>100</x:v>
      </x:c>
      <x:c r="F916" s="18" t="n">
        <x:f>'Habilidades'!H2300</x:f>
        <x:v>84</x:v>
      </x:c>
      <x:c r="G916" s="18" t="n">
        <x:f>'Habilidades'!I2300</x:f>
        <x:v>184</x:v>
      </x:c>
    </x:row>
    <x:row r="917" ht="22" customHeight="1">
      <x:c r="A917" s="17" t="n">
        <x:f>IF(B917="","",IF(B917=B916,A916,A916+1))</x:f>
        <x:v>186</x:v>
      </x:c>
      <x:c r="B917" s="1" t="str">
        <x:f>'Ranking'!C190</x:f>
        <x:v>Pupitar</x:v>
      </x:c>
      <x:c r="C917" s="1" t="str">
        <x:f>'Habilidades'!D2301</x:f>
        <x:v>Stone Edge</x:v>
      </x:c>
      <x:c r="D917" s="1" t="str">
        <x:f>'Habilidades'!F2301</x:f>
        <x:v>Física</x:v>
      </x:c>
      <x:c r="E917" s="18" t="n">
        <x:f>'Habilidades'!G2301</x:f>
        <x:v>100</x:v>
      </x:c>
      <x:c r="F917" s="18" t="n">
        <x:f>'Habilidades'!H2301</x:f>
        <x:v>84</x:v>
      </x:c>
      <x:c r="G917" s="18" t="n">
        <x:f>'Habilidades'!I2301</x:f>
        <x:v>184</x:v>
      </x:c>
    </x:row>
    <x:row r="918" ht="22" customHeight="1">
      <x:c r="A918" s="19" t="n">
        <x:f>IF(B918="","",IF(B918=B917,A917,A917+1))</x:f>
        <x:v>186</x:v>
      </x:c>
      <x:c r="B918" s="20" t="str">
        <x:f>'Ranking'!C190</x:f>
        <x:v>Pupitar</x:v>
      </x:c>
      <x:c r="C918" s="20" t="str">
        <x:f>'Habilidades'!D2305</x:f>
        <x:v>Dark Pulse</x:v>
      </x:c>
      <x:c r="D918" s="20" t="str">
        <x:f>'Habilidades'!F2305</x:f>
        <x:v>Especial</x:v>
      </x:c>
      <x:c r="E918" s="21" t="n">
        <x:f>'Habilidades'!G2305</x:f>
        <x:v>80</x:v>
      </x:c>
      <x:c r="F918" s="21" t="n">
        <x:f>'Habilidades'!H2305</x:f>
        <x:v>65</x:v>
      </x:c>
      <x:c r="G918" s="21" t="n">
        <x:f>'Habilidades'!I2305</x:f>
        <x:v>145</x:v>
      </x:c>
    </x:row>
    <x:row r="919" ht="22" customHeight="1">
      <x:c r="A919" s="17" t="n">
        <x:f>IF(B919="","",IF(B919=B918,A918,A918+1))</x:f>
        <x:v>187</x:v>
      </x:c>
      <x:c r="B919" s="1" t="str">
        <x:f>'Ranking'!C191</x:f>
        <x:v>Remoraid</x:v>
      </x:c>
      <x:c r="C919" s="1" t="str">
        <x:f>'Habilidades'!D2096</x:f>
        <x:v>Hyper Beam</x:v>
      </x:c>
      <x:c r="D919" s="1" t="str">
        <x:f>'Habilidades'!F2096</x:f>
        <x:v>Especial</x:v>
      </x:c>
      <x:c r="E919" s="18" t="n">
        <x:f>'Habilidades'!G2096</x:f>
        <x:v>150</x:v>
      </x:c>
      <x:c r="F919" s="18" t="n">
        <x:f>'Habilidades'!H2096</x:f>
        <x:v>65</x:v>
      </x:c>
      <x:c r="G919" s="18" t="n">
        <x:f>'Habilidades'!I2096</x:f>
        <x:v>215</x:v>
      </x:c>
    </x:row>
    <x:row r="920" ht="22" customHeight="1">
      <x:c r="A920" s="17" t="n">
        <x:f>IF(B920="","",IF(B920=B919,A919,A919+1))</x:f>
        <x:v>187</x:v>
      </x:c>
      <x:c r="B920" s="1" t="str">
        <x:f>'Ranking'!C191</x:f>
        <x:v>Remoraid</x:v>
      </x:c>
      <x:c r="C920" s="1" t="str">
        <x:f>'Habilidades'!D2097</x:f>
        <x:v>Hydro Pump</x:v>
      </x:c>
      <x:c r="D920" s="1" t="str">
        <x:f>'Habilidades'!F2097</x:f>
        <x:v>Especial</x:v>
      </x:c>
      <x:c r="E920" s="18" t="n">
        <x:f>'Habilidades'!G2097</x:f>
        <x:v>110</x:v>
      </x:c>
      <x:c r="F920" s="18" t="n">
        <x:f>'Habilidades'!H2097</x:f>
        <x:v>65</x:v>
      </x:c>
      <x:c r="G920" s="18" t="n">
        <x:f>'Habilidades'!I2097</x:f>
        <x:v>175</x:v>
      </x:c>
    </x:row>
    <x:row r="921" ht="22" customHeight="1">
      <x:c r="A921" s="17" t="n">
        <x:f>IF(B921="","",IF(B921=B920,A920,A920+1))</x:f>
        <x:v>187</x:v>
      </x:c>
      <x:c r="B921" s="1" t="str">
        <x:f>'Ranking'!C191</x:f>
        <x:v>Remoraid</x:v>
      </x:c>
      <x:c r="C921" s="1" t="str">
        <x:f>'Habilidades'!D2098</x:f>
        <x:v>Ice Beam</x:v>
      </x:c>
      <x:c r="D921" s="1" t="str">
        <x:f>'Habilidades'!F2098</x:f>
        <x:v>Especial</x:v>
      </x:c>
      <x:c r="E921" s="18" t="n">
        <x:f>'Habilidades'!G2098</x:f>
        <x:v>90</x:v>
      </x:c>
      <x:c r="F921" s="18" t="n">
        <x:f>'Habilidades'!H2098</x:f>
        <x:v>65</x:v>
      </x:c>
      <x:c r="G921" s="18" t="n">
        <x:f>'Habilidades'!I2098</x:f>
        <x:v>155</x:v>
      </x:c>
    </x:row>
    <x:row r="922" ht="22" customHeight="1">
      <x:c r="A922" s="17" t="n">
        <x:f>IF(B922="","",IF(B922=B921,A921,A921+1))</x:f>
        <x:v>187</x:v>
      </x:c>
      <x:c r="B922" s="1" t="str">
        <x:f>'Ranking'!C191</x:f>
        <x:v>Remoraid</x:v>
      </x:c>
      <x:c r="C922" s="1" t="str">
        <x:f>'Habilidades'!D2099</x:f>
        <x:v>Signal Beam</x:v>
      </x:c>
      <x:c r="D922" s="1" t="str">
        <x:f>'Habilidades'!F2099</x:f>
        <x:v>Especial</x:v>
      </x:c>
      <x:c r="E922" s="18" t="n">
        <x:f>'Habilidades'!G2099</x:f>
        <x:v>75</x:v>
      </x:c>
      <x:c r="F922" s="18" t="n">
        <x:f>'Habilidades'!H2099</x:f>
        <x:v>65</x:v>
      </x:c>
      <x:c r="G922" s="18" t="n">
        <x:f>'Habilidades'!I2099</x:f>
        <x:v>140</x:v>
      </x:c>
    </x:row>
    <x:row r="923" ht="22" customHeight="1">
      <x:c r="A923" s="19" t="n">
        <x:f>IF(B923="","",IF(B923=B922,A922,A922+1))</x:f>
        <x:v>187</x:v>
      </x:c>
      <x:c r="B923" s="20" t="str">
        <x:f>'Ranking'!C191</x:f>
        <x:v>Remoraid</x:v>
      </x:c>
      <x:c r="C923" s="20" t="str">
        <x:f>'Habilidades'!D2100</x:f>
        <x:v>Psybeam</x:v>
      </x:c>
      <x:c r="D923" s="20" t="str">
        <x:f>'Habilidades'!F2100</x:f>
        <x:v>Especial</x:v>
      </x:c>
      <x:c r="E923" s="21" t="n">
        <x:f>'Habilidades'!G2100</x:f>
        <x:v>65</x:v>
      </x:c>
      <x:c r="F923" s="21" t="n">
        <x:f>'Habilidades'!H2100</x:f>
        <x:v>65</x:v>
      </x:c>
      <x:c r="G923" s="21" t="n">
        <x:f>'Habilidades'!I2100</x:f>
        <x:v>130</x:v>
      </x:c>
    </x:row>
    <x:row r="924" ht="22" customHeight="1">
      <x:c r="A924" s="17" t="n">
        <x:f>IF(B924="","",IF(B924=B923,A923,A923+1))</x:f>
        <x:v>188</x:v>
      </x:c>
      <x:c r="B924" s="1" t="str">
        <x:f>'Ranking'!C192</x:f>
        <x:v>Abomasnow</x:v>
      </x:c>
      <x:c r="C924" s="1" t="str">
        <x:f>'Habilidades'!D3265</x:f>
        <x:v>Wood Hammer</x:v>
      </x:c>
      <x:c r="D924" s="1" t="str">
        <x:f>'Habilidades'!F3265</x:f>
        <x:v>Física</x:v>
      </x:c>
      <x:c r="E924" s="18" t="n">
        <x:f>'Habilidades'!G3265</x:f>
        <x:v>120</x:v>
      </x:c>
      <x:c r="F924" s="18" t="n">
        <x:f>'Habilidades'!H3265</x:f>
        <x:v>92</x:v>
      </x:c>
      <x:c r="G924" s="18" t="n">
        <x:f>'Habilidades'!I3265</x:f>
        <x:v>212</x:v>
      </x:c>
    </x:row>
    <x:row r="925" ht="22" customHeight="1">
      <x:c r="A925" s="17" t="n">
        <x:f>IF(B925="","",IF(B925=B924,A924,A924+1))</x:f>
        <x:v>188</x:v>
      </x:c>
      <x:c r="B925" s="1" t="str">
        <x:f>'Ranking'!C192</x:f>
        <x:v>Abomasnow</x:v>
      </x:c>
      <x:c r="C925" s="1" t="str">
        <x:f>'Habilidades'!D3266</x:f>
        <x:v>Blizzard</x:v>
      </x:c>
      <x:c r="D925" s="1" t="str">
        <x:f>'Habilidades'!F3266</x:f>
        <x:v>Especial</x:v>
      </x:c>
      <x:c r="E925" s="18" t="n">
        <x:f>'Habilidades'!G3266</x:f>
        <x:v>110</x:v>
      </x:c>
      <x:c r="F925" s="18" t="n">
        <x:f>'Habilidades'!H3266</x:f>
        <x:v>92</x:v>
      </x:c>
      <x:c r="G925" s="18" t="n">
        <x:f>'Habilidades'!I3266</x:f>
        <x:v>202</x:v>
      </x:c>
    </x:row>
    <x:row r="926" ht="22" customHeight="1">
      <x:c r="A926" s="17" t="n">
        <x:f>IF(B926="","",IF(B926=B925,A925,A925+1))</x:f>
        <x:v>188</x:v>
      </x:c>
      <x:c r="B926" s="1" t="str">
        <x:f>'Ranking'!C192</x:f>
        <x:v>Abomasnow</x:v>
      </x:c>
      <x:c r="C926" s="1" t="str">
        <x:f>'Habilidades'!D3267</x:f>
        <x:v>Ice Punch</x:v>
      </x:c>
      <x:c r="D926" s="1" t="str">
        <x:f>'Habilidades'!F3267</x:f>
        <x:v>Física</x:v>
      </x:c>
      <x:c r="E926" s="18" t="n">
        <x:f>'Habilidades'!G3267</x:f>
        <x:v>75</x:v>
      </x:c>
      <x:c r="F926" s="18" t="n">
        <x:f>'Habilidades'!H3267</x:f>
        <x:v>92</x:v>
      </x:c>
      <x:c r="G926" s="18" t="n">
        <x:f>'Habilidades'!I3267</x:f>
        <x:v>167</x:v>
      </x:c>
    </x:row>
    <x:row r="927" ht="22" customHeight="1">
      <x:c r="A927" s="17" t="n">
        <x:f>IF(B927="","",IF(B927=B926,A926,A926+1))</x:f>
        <x:v>188</x:v>
      </x:c>
      <x:c r="B927" s="1" t="str">
        <x:f>'Ranking'!C192</x:f>
        <x:v>Abomasnow</x:v>
      </x:c>
      <x:c r="C927" s="1" t="str">
        <x:f>'Habilidades'!D3268</x:f>
        <x:v>Razor Leaf</x:v>
      </x:c>
      <x:c r="D927" s="1" t="str">
        <x:f>'Habilidades'!F3268</x:f>
        <x:v>Física</x:v>
      </x:c>
      <x:c r="E927" s="18" t="n">
        <x:f>'Habilidades'!G3268</x:f>
        <x:v>55</x:v>
      </x:c>
      <x:c r="F927" s="18" t="n">
        <x:f>'Habilidades'!H3268</x:f>
        <x:v>92</x:v>
      </x:c>
      <x:c r="G927" s="18" t="n">
        <x:f>'Habilidades'!I3268</x:f>
        <x:v>147</x:v>
      </x:c>
    </x:row>
    <x:row r="928" ht="22" customHeight="1">
      <x:c r="A928" s="19" t="n">
        <x:f>IF(B928="","",IF(B928=B927,A927,A927+1))</x:f>
        <x:v>188</x:v>
      </x:c>
      <x:c r="B928" s="20" t="str">
        <x:f>'Ranking'!C192</x:f>
        <x:v>Abomasnow</x:v>
      </x:c>
      <x:c r="C928" s="20" t="str">
        <x:f>'Habilidades'!D3269</x:f>
        <x:v>Icy Wind</x:v>
      </x:c>
      <x:c r="D928" s="20" t="str">
        <x:f>'Habilidades'!F3269</x:f>
        <x:v>Especial</x:v>
      </x:c>
      <x:c r="E928" s="21" t="n">
        <x:f>'Habilidades'!G3269</x:f>
        <x:v>55</x:v>
      </x:c>
      <x:c r="F928" s="21" t="n">
        <x:f>'Habilidades'!H3269</x:f>
        <x:v>92</x:v>
      </x:c>
      <x:c r="G928" s="21" t="n">
        <x:f>'Habilidades'!I3269</x:f>
        <x:v>147</x:v>
      </x:c>
    </x:row>
    <x:row r="929" ht="22" customHeight="1">
      <x:c r="A929" s="17" t="n">
        <x:f>IF(B929="","",IF(B929=B928,A928,A928+1))</x:f>
        <x:v>189</x:v>
      </x:c>
      <x:c r="B929" s="1" t="str">
        <x:f>'Ranking'!C193</x:f>
        <x:v>Absol</x:v>
      </x:c>
      <x:c r="C929" s="1" t="str">
        <x:f>'Habilidades'!D3015</x:f>
        <x:v>Sucker Punch</x:v>
      </x:c>
      <x:c r="D929" s="1" t="str">
        <x:f>'Habilidades'!F3015</x:f>
        <x:v>Física</x:v>
      </x:c>
      <x:c r="E929" s="18" t="n">
        <x:f>'Habilidades'!G3015</x:f>
        <x:v>80</x:v>
      </x:c>
      <x:c r="F929" s="18" t="n">
        <x:f>'Habilidades'!H3015</x:f>
        <x:v>130</x:v>
      </x:c>
      <x:c r="G929" s="18" t="n">
        <x:f>'Habilidades'!I3015</x:f>
        <x:v>210</x:v>
      </x:c>
    </x:row>
    <x:row r="930" ht="22" customHeight="1">
      <x:c r="A930" s="17" t="n">
        <x:f>IF(B930="","",IF(B930=B929,A929,A929+1))</x:f>
        <x:v>189</x:v>
      </x:c>
      <x:c r="B930" s="1" t="str">
        <x:f>'Ranking'!C193</x:f>
        <x:v>Absol</x:v>
      </x:c>
      <x:c r="C930" s="1" t="str">
        <x:f>'Habilidades'!D3016</x:f>
        <x:v>Slash</x:v>
      </x:c>
      <x:c r="D930" s="1" t="str">
        <x:f>'Habilidades'!F3016</x:f>
        <x:v>Física</x:v>
      </x:c>
      <x:c r="E930" s="18" t="n">
        <x:f>'Habilidades'!G3016</x:f>
        <x:v>70</x:v>
      </x:c>
      <x:c r="F930" s="18" t="n">
        <x:f>'Habilidades'!H3016</x:f>
        <x:v>130</x:v>
      </x:c>
      <x:c r="G930" s="18" t="n">
        <x:f>'Habilidades'!I3016</x:f>
        <x:v>200</x:v>
      </x:c>
    </x:row>
    <x:row r="931" ht="22" customHeight="1">
      <x:c r="A931" s="17" t="n">
        <x:f>IF(B931="","",IF(B931=B930,A930,A930+1))</x:f>
        <x:v>189</x:v>
      </x:c>
      <x:c r="B931" s="1" t="str">
        <x:f>'Ranking'!C193</x:f>
        <x:v>Absol</x:v>
      </x:c>
      <x:c r="C931" s="1" t="str">
        <x:f>'Habilidades'!D3017</x:f>
        <x:v>Night Slash</x:v>
      </x:c>
      <x:c r="D931" s="1" t="str">
        <x:f>'Habilidades'!F3017</x:f>
        <x:v>Física</x:v>
      </x:c>
      <x:c r="E931" s="18" t="n">
        <x:f>'Habilidades'!G3017</x:f>
        <x:v>70</x:v>
      </x:c>
      <x:c r="F931" s="18" t="n">
        <x:f>'Habilidades'!H3017</x:f>
        <x:v>130</x:v>
      </x:c>
      <x:c r="G931" s="18" t="n">
        <x:f>'Habilidades'!I3017</x:f>
        <x:v>200</x:v>
      </x:c>
    </x:row>
    <x:row r="932" ht="22" customHeight="1">
      <x:c r="A932" s="17" t="n">
        <x:f>IF(B932="","",IF(B932=B931,A931,A931+1))</x:f>
        <x:v>189</x:v>
      </x:c>
      <x:c r="B932" s="1" t="str">
        <x:f>'Ranking'!C193</x:f>
        <x:v>Absol</x:v>
      </x:c>
      <x:c r="C932" s="1" t="str">
        <x:f>'Habilidades'!D3019</x:f>
        <x:v>Future Sight</x:v>
      </x:c>
      <x:c r="D932" s="1" t="str">
        <x:f>'Habilidades'!F3019</x:f>
        <x:v>Especial</x:v>
      </x:c>
      <x:c r="E932" s="18" t="n">
        <x:f>'Habilidades'!G3019</x:f>
        <x:v>120</x:v>
      </x:c>
      <x:c r="F932" s="18" t="n">
        <x:f>'Habilidades'!H3019</x:f>
        <x:v>75</x:v>
      </x:c>
      <x:c r="G932" s="18" t="n">
        <x:f>'Habilidades'!I3019</x:f>
        <x:v>195</x:v>
      </x:c>
    </x:row>
    <x:row r="933" ht="22" customHeight="1">
      <x:c r="A933" s="19" t="n">
        <x:f>IF(B933="","",IF(B933=B932,A932,A932+1))</x:f>
        <x:v>189</x:v>
      </x:c>
      <x:c r="B933" s="20" t="str">
        <x:f>'Ranking'!C193</x:f>
        <x:v>Absol</x:v>
      </x:c>
      <x:c r="C933" s="20" t="str">
        <x:f>'Habilidades'!D3025</x:f>
        <x:v>Razor Wind</x:v>
      </x:c>
      <x:c r="D933" s="20" t="str">
        <x:f>'Habilidades'!F3025</x:f>
        <x:v>Especial</x:v>
      </x:c>
      <x:c r="E933" s="21" t="n">
        <x:f>'Habilidades'!G3025</x:f>
        <x:v>80</x:v>
      </x:c>
      <x:c r="F933" s="21" t="n">
        <x:f>'Habilidades'!H3025</x:f>
        <x:v>75</x:v>
      </x:c>
      <x:c r="G933" s="21" t="n">
        <x:f>'Habilidades'!I3025</x:f>
        <x:v>155</x:v>
      </x:c>
    </x:row>
    <x:row r="934" ht="22" customHeight="1">
      <x:c r="A934" s="17" t="n">
        <x:f>IF(B934="","",IF(B934=B933,A933,A933+1))</x:f>
        <x:v>190</x:v>
      </x:c>
      <x:c r="B934" s="1" t="str">
        <x:f>'Ranking'!C198</x:f>
        <x:v>Aipom</x:v>
      </x:c>
      <x:c r="C934" s="1" t="str">
        <x:f>'Habilidades'!D1784</x:f>
        <x:v>Last Resort</x:v>
      </x:c>
      <x:c r="D934" s="1" t="str">
        <x:f>'Habilidades'!F1784</x:f>
        <x:v>Física</x:v>
      </x:c>
      <x:c r="E934" s="18" t="n">
        <x:f>'Habilidades'!G1784</x:f>
        <x:v>140</x:v>
      </x:c>
      <x:c r="F934" s="18" t="n">
        <x:f>'Habilidades'!H1784</x:f>
        <x:v>70</x:v>
      </x:c>
      <x:c r="G934" s="18" t="n">
        <x:f>'Habilidades'!I1784</x:f>
        <x:v>210</x:v>
      </x:c>
    </x:row>
    <x:row r="935" ht="22" customHeight="1">
      <x:c r="A935" s="17" t="n">
        <x:f>IF(B935="","",IF(B935=B934,A934,A934+1))</x:f>
        <x:v>190</x:v>
      </x:c>
      <x:c r="B935" s="1" t="str">
        <x:f>'Ranking'!C198</x:f>
        <x:v>Aipom</x:v>
      </x:c>
      <x:c r="C935" s="1" t="str">
        <x:f>'Habilidades'!D1785</x:f>
        <x:v>Scratch</x:v>
      </x:c>
      <x:c r="D935" s="1" t="str">
        <x:f>'Habilidades'!F1785</x:f>
        <x:v>Física</x:v>
      </x:c>
      <x:c r="E935" s="18" t="n">
        <x:f>'Habilidades'!G1785</x:f>
        <x:v>40</x:v>
      </x:c>
      <x:c r="F935" s="18" t="n">
        <x:f>'Habilidades'!H1785</x:f>
        <x:v>70</x:v>
      </x:c>
      <x:c r="G935" s="18" t="n">
        <x:f>'Habilidades'!I1785</x:f>
        <x:v>110</x:v>
      </x:c>
    </x:row>
    <x:row r="936" ht="22" customHeight="1">
      <x:c r="A936" s="17" t="n">
        <x:f>IF(B936="","",IF(B936=B935,A935,A935+1))</x:f>
        <x:v>190</x:v>
      </x:c>
      <x:c r="B936" s="1" t="str">
        <x:f>'Ranking'!C198</x:f>
        <x:v>Aipom</x:v>
      </x:c>
      <x:c r="C936" s="1" t="str">
        <x:f>'Habilidades'!D1786</x:f>
        <x:v>Double Hit</x:v>
      </x:c>
      <x:c r="D936" s="1" t="str">
        <x:f>'Habilidades'!F1786</x:f>
        <x:v>Física</x:v>
      </x:c>
      <x:c r="E936" s="18" t="n">
        <x:f>'Habilidades'!G1786</x:f>
        <x:v>35</x:v>
      </x:c>
      <x:c r="F936" s="18" t="n">
        <x:f>'Habilidades'!H1786</x:f>
        <x:v>70</x:v>
      </x:c>
      <x:c r="G936" s="18" t="n">
        <x:f>'Habilidades'!I1786</x:f>
        <x:v>105</x:v>
      </x:c>
    </x:row>
    <x:row r="937" ht="22" customHeight="1">
      <x:c r="A937" s="17" t="n">
        <x:f>IF(B937="","",IF(B937=B936,A936,A936+1))</x:f>
        <x:v>190</x:v>
      </x:c>
      <x:c r="B937" s="1" t="str">
        <x:f>'Ranking'!C198</x:f>
        <x:v>Aipom</x:v>
      </x:c>
      <x:c r="C937" s="1" t="str">
        <x:f>'Habilidades'!D1787</x:f>
        <x:v>Swift</x:v>
      </x:c>
      <x:c r="D937" s="1" t="str">
        <x:f>'Habilidades'!F1787</x:f>
        <x:v>Especial</x:v>
      </x:c>
      <x:c r="E937" s="18" t="n">
        <x:f>'Habilidades'!G1787</x:f>
        <x:v>60</x:v>
      </x:c>
      <x:c r="F937" s="18" t="n">
        <x:f>'Habilidades'!H1787</x:f>
        <x:v>40</x:v>
      </x:c>
      <x:c r="G937" s="18" t="n">
        <x:f>'Habilidades'!I1787</x:f>
        <x:v>100</x:v>
      </x:c>
    </x:row>
    <x:row r="938" ht="22" customHeight="1">
      <x:c r="A938" s="19" t="n">
        <x:f>IF(B938="","",IF(B938=B937,A937,A937+1))</x:f>
        <x:v>190</x:v>
      </x:c>
      <x:c r="B938" s="20" t="str">
        <x:f>'Ranking'!C198</x:f>
        <x:v>Aipom</x:v>
      </x:c>
      <x:c r="C938" s="20" t="str">
        <x:f>'Habilidades'!D1788</x:f>
        <x:v>Astonish</x:v>
      </x:c>
      <x:c r="D938" s="20" t="str">
        <x:f>'Habilidades'!F1788</x:f>
        <x:v>Física</x:v>
      </x:c>
      <x:c r="E938" s="21" t="n">
        <x:f>'Habilidades'!G1788</x:f>
        <x:v>30</x:v>
      </x:c>
      <x:c r="F938" s="21" t="n">
        <x:f>'Habilidades'!H1788</x:f>
        <x:v>70</x:v>
      </x:c>
      <x:c r="G938" s="21" t="n">
        <x:f>'Habilidades'!I1788</x:f>
        <x:v>100</x:v>
      </x:c>
    </x:row>
    <x:row r="939" ht="22" customHeight="1">
      <x:c r="A939" s="17" t="n">
        <x:f>IF(B939="","",IF(B939=B938,A938,A938+1))</x:f>
        <x:v>191</x:v>
      </x:c>
      <x:c r="B939" s="1" t="str">
        <x:f>'Ranking'!C199</x:f>
        <x:v>Altaria</x:v>
      </x:c>
      <x:c r="C939" s="1" t="str">
        <x:f>'Habilidades'!D2846</x:f>
        <x:v>Sky Attack</x:v>
      </x:c>
      <x:c r="D939" s="1" t="str">
        <x:f>'Habilidades'!F2846</x:f>
        <x:v>Física</x:v>
      </x:c>
      <x:c r="E939" s="18" t="n">
        <x:f>'Habilidades'!G2846</x:f>
        <x:v>140</x:v>
      </x:c>
      <x:c r="F939" s="18" t="n">
        <x:f>'Habilidades'!H2846</x:f>
        <x:v>70</x:v>
      </x:c>
      <x:c r="G939" s="18" t="n">
        <x:f>'Habilidades'!I2846</x:f>
        <x:v>210</x:v>
      </x:c>
    </x:row>
    <x:row r="940" ht="22" customHeight="1">
      <x:c r="A940" s="17" t="n">
        <x:f>IF(B940="","",IF(B940=B939,A939,A939+1))</x:f>
        <x:v>191</x:v>
      </x:c>
      <x:c r="B940" s="1" t="str">
        <x:f>'Ranking'!C199</x:f>
        <x:v>Altaria</x:v>
      </x:c>
      <x:c r="C940" s="1" t="str">
        <x:f>'Habilidades'!D2847</x:f>
        <x:v>Moonblast</x:v>
      </x:c>
      <x:c r="D940" s="1" t="str">
        <x:f>'Habilidades'!F2847</x:f>
        <x:v>Especial</x:v>
      </x:c>
      <x:c r="E940" s="18" t="n">
        <x:f>'Habilidades'!G2847</x:f>
        <x:v>95</x:v>
      </x:c>
      <x:c r="F940" s="18" t="n">
        <x:f>'Habilidades'!H2847</x:f>
        <x:v>70</x:v>
      </x:c>
      <x:c r="G940" s="18" t="n">
        <x:f>'Habilidades'!I2847</x:f>
        <x:v>165</x:v>
      </x:c>
    </x:row>
    <x:row r="941" ht="22" customHeight="1">
      <x:c r="A941" s="17" t="n">
        <x:f>IF(B941="","",IF(B941=B940,A940,A940+1))</x:f>
        <x:v>191</x:v>
      </x:c>
      <x:c r="B941" s="1" t="str">
        <x:f>'Ranking'!C199</x:f>
        <x:v>Altaria</x:v>
      </x:c>
      <x:c r="C941" s="1" t="str">
        <x:f>'Habilidades'!D2848</x:f>
        <x:v>Take Down</x:v>
      </x:c>
      <x:c r="D941" s="1" t="str">
        <x:f>'Habilidades'!F2848</x:f>
        <x:v>Física</x:v>
      </x:c>
      <x:c r="E941" s="18" t="n">
        <x:f>'Habilidades'!G2848</x:f>
        <x:v>90</x:v>
      </x:c>
      <x:c r="F941" s="18" t="n">
        <x:f>'Habilidades'!H2848</x:f>
        <x:v>70</x:v>
      </x:c>
      <x:c r="G941" s="18" t="n">
        <x:f>'Habilidades'!I2848</x:f>
        <x:v>160</x:v>
      </x:c>
    </x:row>
    <x:row r="942" ht="22" customHeight="1">
      <x:c r="A942" s="17" t="n">
        <x:f>IF(B942="","",IF(B942=B941,A941,A941+1))</x:f>
        <x:v>191</x:v>
      </x:c>
      <x:c r="B942" s="1" t="str">
        <x:f>'Ranking'!C199</x:f>
        <x:v>Altaria</x:v>
      </x:c>
      <x:c r="C942" s="1" t="str">
        <x:f>'Habilidades'!D2849</x:f>
        <x:v>Dragon Pulse</x:v>
      </x:c>
      <x:c r="D942" s="1" t="str">
        <x:f>'Habilidades'!F2849</x:f>
        <x:v>Especial</x:v>
      </x:c>
      <x:c r="E942" s="18" t="n">
        <x:f>'Habilidades'!G2849</x:f>
        <x:v>85</x:v>
      </x:c>
      <x:c r="F942" s="18" t="n">
        <x:f>'Habilidades'!H2849</x:f>
        <x:v>70</x:v>
      </x:c>
      <x:c r="G942" s="18" t="n">
        <x:f>'Habilidades'!I2849</x:f>
        <x:v>155</x:v>
      </x:c>
    </x:row>
    <x:row r="943" ht="22" customHeight="1">
      <x:c r="A943" s="19" t="n">
        <x:f>IF(B943="","",IF(B943=B942,A942,A942+1))</x:f>
        <x:v>191</x:v>
      </x:c>
      <x:c r="B943" s="20" t="str">
        <x:f>'Ranking'!C199</x:f>
        <x:v>Altaria</x:v>
      </x:c>
      <x:c r="C943" s="20" t="str">
        <x:f>'Habilidades'!D2850</x:f>
        <x:v>Pluck</x:v>
      </x:c>
      <x:c r="D943" s="20" t="str">
        <x:f>'Habilidades'!F2850</x:f>
        <x:v>Física</x:v>
      </x:c>
      <x:c r="E943" s="21" t="n">
        <x:f>'Habilidades'!G2850</x:f>
        <x:v>60</x:v>
      </x:c>
      <x:c r="F943" s="21" t="n">
        <x:f>'Habilidades'!H2850</x:f>
        <x:v>70</x:v>
      </x:c>
      <x:c r="G943" s="21" t="n">
        <x:f>'Habilidades'!I2850</x:f>
        <x:v>130</x:v>
      </x:c>
    </x:row>
    <x:row r="944" ht="22" customHeight="1">
      <x:c r="A944" s="17" t="n">
        <x:f>IF(B944="","",IF(B944=B943,A943,A943+1))</x:f>
        <x:v>192</x:v>
      </x:c>
      <x:c r="B944" s="1" t="str">
        <x:f>'Ranking'!C200</x:f>
        <x:v>Cyndaquil</x:v>
      </x:c>
      <x:c r="C944" s="1" t="str">
        <x:f>'Habilidades'!D1485</x:f>
        <x:v>Eruption</x:v>
      </x:c>
      <x:c r="D944" s="1" t="str">
        <x:f>'Habilidades'!F1485</x:f>
        <x:v>Especial</x:v>
      </x:c>
      <x:c r="E944" s="18" t="n">
        <x:f>'Habilidades'!G1485</x:f>
        <x:v>150</x:v>
      </x:c>
      <x:c r="F944" s="18" t="n">
        <x:f>'Habilidades'!H1485</x:f>
        <x:v>60</x:v>
      </x:c>
      <x:c r="G944" s="18" t="n">
        <x:f>'Habilidades'!I1485</x:f>
        <x:v>210</x:v>
      </x:c>
    </x:row>
    <x:row r="945" ht="22" customHeight="1">
      <x:c r="A945" s="17" t="n">
        <x:f>IF(B945="","",IF(B945=B944,A944,A944+1))</x:f>
        <x:v>192</x:v>
      </x:c>
      <x:c r="B945" s="1" t="str">
        <x:f>'Ranking'!C200</x:f>
        <x:v>Cyndaquil</x:v>
      </x:c>
      <x:c r="C945" s="1" t="str">
        <x:f>'Habilidades'!D1486</x:f>
        <x:v>Double-Edge</x:v>
      </x:c>
      <x:c r="D945" s="1" t="str">
        <x:f>'Habilidades'!F1486</x:f>
        <x:v>Física</x:v>
      </x:c>
      <x:c r="E945" s="18" t="n">
        <x:f>'Habilidades'!G1486</x:f>
        <x:v>120</x:v>
      </x:c>
      <x:c r="F945" s="18" t="n">
        <x:f>'Habilidades'!H1486</x:f>
        <x:v>52</x:v>
      </x:c>
      <x:c r="G945" s="18" t="n">
        <x:f>'Habilidades'!I1486</x:f>
        <x:v>172</x:v>
      </x:c>
    </x:row>
    <x:row r="946" ht="22" customHeight="1">
      <x:c r="A946" s="17" t="n">
        <x:f>IF(B946="","",IF(B946=B945,A945,A945+1))</x:f>
        <x:v>192</x:v>
      </x:c>
      <x:c r="B946" s="1" t="str">
        <x:f>'Ranking'!C200</x:f>
        <x:v>Cyndaquil</x:v>
      </x:c>
      <x:c r="C946" s="1" t="str">
        <x:f>'Habilidades'!D1487</x:f>
        <x:v>Inferno</x:v>
      </x:c>
      <x:c r="D946" s="1" t="str">
        <x:f>'Habilidades'!F1487</x:f>
        <x:v>Especial</x:v>
      </x:c>
      <x:c r="E946" s="18" t="n">
        <x:f>'Habilidades'!G1487</x:f>
        <x:v>100</x:v>
      </x:c>
      <x:c r="F946" s="18" t="n">
        <x:f>'Habilidades'!H1487</x:f>
        <x:v>60</x:v>
      </x:c>
      <x:c r="G946" s="18" t="n">
        <x:f>'Habilidades'!I1487</x:f>
        <x:v>160</x:v>
      </x:c>
    </x:row>
    <x:row r="947" ht="22" customHeight="1">
      <x:c r="A947" s="17" t="n">
        <x:f>IF(B947="","",IF(B947=B946,A946,A946+1))</x:f>
        <x:v>192</x:v>
      </x:c>
      <x:c r="B947" s="1" t="str">
        <x:f>'Ranking'!C200</x:f>
        <x:v>Cyndaquil</x:v>
      </x:c>
      <x:c r="C947" s="1" t="str">
        <x:f>'Habilidades'!D1488</x:f>
        <x:v>Flamethrower</x:v>
      </x:c>
      <x:c r="D947" s="1" t="str">
        <x:f>'Habilidades'!F1488</x:f>
        <x:v>Especial</x:v>
      </x:c>
      <x:c r="E947" s="18" t="n">
        <x:f>'Habilidades'!G1488</x:f>
        <x:v>90</x:v>
      </x:c>
      <x:c r="F947" s="18" t="n">
        <x:f>'Habilidades'!H1488</x:f>
        <x:v>60</x:v>
      </x:c>
      <x:c r="G947" s="18" t="n">
        <x:f>'Habilidades'!I1488</x:f>
        <x:v>150</x:v>
      </x:c>
    </x:row>
    <x:row r="948" ht="22" customHeight="1">
      <x:c r="A948" s="19" t="n">
        <x:f>IF(B948="","",IF(B948=B947,A947,A947+1))</x:f>
        <x:v>192</x:v>
      </x:c>
      <x:c r="B948" s="20" t="str">
        <x:f>'Ranking'!C200</x:f>
        <x:v>Cyndaquil</x:v>
      </x:c>
      <x:c r="C948" s="20" t="str">
        <x:f>'Habilidades'!D1489</x:f>
        <x:v>Lava Plume</x:v>
      </x:c>
      <x:c r="D948" s="20" t="str">
        <x:f>'Habilidades'!F1489</x:f>
        <x:v>Especial</x:v>
      </x:c>
      <x:c r="E948" s="21" t="n">
        <x:f>'Habilidades'!G1489</x:f>
        <x:v>80</x:v>
      </x:c>
      <x:c r="F948" s="21" t="n">
        <x:f>'Habilidades'!H1489</x:f>
        <x:v>60</x:v>
      </x:c>
      <x:c r="G948" s="21" t="n">
        <x:f>'Habilidades'!I1489</x:f>
        <x:v>140</x:v>
      </x:c>
    </x:row>
    <x:row r="949" ht="22" customHeight="1">
      <x:c r="A949" s="17" t="n">
        <x:f>IF(B949="","",IF(B949=B948,A948,A948+1))</x:f>
        <x:v>193</x:v>
      </x:c>
      <x:c r="B949" s="1" t="str">
        <x:f>'Ranking'!C197</x:f>
        <x:v>Lairon</x:v>
      </x:c>
      <x:c r="C949" s="1" t="str">
        <x:f>'Habilidades'!D2652</x:f>
        <x:v>Double-Edge</x:v>
      </x:c>
      <x:c r="D949" s="1" t="str">
        <x:f>'Habilidades'!F2652</x:f>
        <x:v>Física</x:v>
      </x:c>
      <x:c r="E949" s="18" t="n">
        <x:f>'Habilidades'!G2652</x:f>
        <x:v>120</x:v>
      </x:c>
      <x:c r="F949" s="18" t="n">
        <x:f>'Habilidades'!H2652</x:f>
        <x:v>90</x:v>
      </x:c>
      <x:c r="G949" s="18" t="n">
        <x:f>'Habilidades'!I2652</x:f>
        <x:v>210</x:v>
      </x:c>
    </x:row>
    <x:row r="950" ht="22" customHeight="1">
      <x:c r="A950" s="17" t="n">
        <x:f>IF(B950="","",IF(B950=B949,A949,A949+1))</x:f>
        <x:v>193</x:v>
      </x:c>
      <x:c r="B950" s="1" t="str">
        <x:f>'Ranking'!C197</x:f>
        <x:v>Lairon</x:v>
      </x:c>
      <x:c r="C950" s="1" t="str">
        <x:f>'Habilidades'!D2653</x:f>
        <x:v>Metal Burst</x:v>
      </x:c>
      <x:c r="D950" s="1" t="str">
        <x:f>'Habilidades'!F2653</x:f>
        <x:v>Física</x:v>
      </x:c>
      <x:c r="E950" s="18" t="n">
        <x:f>'Habilidades'!G2653</x:f>
        <x:v>120</x:v>
      </x:c>
      <x:c r="F950" s="18" t="n">
        <x:f>'Habilidades'!H2653</x:f>
        <x:v>90</x:v>
      </x:c>
      <x:c r="G950" s="18" t="n">
        <x:f>'Habilidades'!I2653</x:f>
        <x:v>210</x:v>
      </x:c>
    </x:row>
    <x:row r="951" ht="22" customHeight="1">
      <x:c r="A951" s="17" t="n">
        <x:f>IF(B951="","",IF(B951=B950,A950,A950+1))</x:f>
        <x:v>193</x:v>
      </x:c>
      <x:c r="B951" s="1" t="str">
        <x:f>'Ranking'!C197</x:f>
        <x:v>Lairon</x:v>
      </x:c>
      <x:c r="C951" s="1" t="str">
        <x:f>'Habilidades'!D2654</x:f>
        <x:v>Iron Tail</x:v>
      </x:c>
      <x:c r="D951" s="1" t="str">
        <x:f>'Habilidades'!F2654</x:f>
        <x:v>Física</x:v>
      </x:c>
      <x:c r="E951" s="18" t="n">
        <x:f>'Habilidades'!G2654</x:f>
        <x:v>100</x:v>
      </x:c>
      <x:c r="F951" s="18" t="n">
        <x:f>'Habilidades'!H2654</x:f>
        <x:v>90</x:v>
      </x:c>
      <x:c r="G951" s="18" t="n">
        <x:f>'Habilidades'!I2654</x:f>
        <x:v>190</x:v>
      </x:c>
    </x:row>
    <x:row r="952" ht="22" customHeight="1">
      <x:c r="A952" s="17" t="n">
        <x:f>IF(B952="","",IF(B952=B951,A951,A951+1))</x:f>
        <x:v>193</x:v>
      </x:c>
      <x:c r="B952" s="1" t="str">
        <x:f>'Ranking'!C197</x:f>
        <x:v>Lairon</x:v>
      </x:c>
      <x:c r="C952" s="1" t="str">
        <x:f>'Habilidades'!D2655</x:f>
        <x:v>Take Down</x:v>
      </x:c>
      <x:c r="D952" s="1" t="str">
        <x:f>'Habilidades'!F2655</x:f>
        <x:v>Física</x:v>
      </x:c>
      <x:c r="E952" s="18" t="n">
        <x:f>'Habilidades'!G2655</x:f>
        <x:v>90</x:v>
      </x:c>
      <x:c r="F952" s="18" t="n">
        <x:f>'Habilidades'!H2655</x:f>
        <x:v>90</x:v>
      </x:c>
      <x:c r="G952" s="18" t="n">
        <x:f>'Habilidades'!I2655</x:f>
        <x:v>180</x:v>
      </x:c>
    </x:row>
    <x:row r="953" ht="22" customHeight="1">
      <x:c r="A953" s="19" t="n">
        <x:f>IF(B953="","",IF(B953=B952,A952,A952+1))</x:f>
        <x:v>193</x:v>
      </x:c>
      <x:c r="B953" s="20" t="str">
        <x:f>'Ranking'!C197</x:f>
        <x:v>Lairon</x:v>
      </x:c>
      <x:c r="C953" s="20" t="str">
        <x:f>'Habilidades'!D2656</x:f>
        <x:v>Iron Head</x:v>
      </x:c>
      <x:c r="D953" s="20" t="str">
        <x:f>'Habilidades'!F2656</x:f>
        <x:v>Física</x:v>
      </x:c>
      <x:c r="E953" s="21" t="n">
        <x:f>'Habilidades'!G2656</x:f>
        <x:v>80</x:v>
      </x:c>
      <x:c r="F953" s="21" t="n">
        <x:f>'Habilidades'!H2656</x:f>
        <x:v>90</x:v>
      </x:c>
      <x:c r="G953" s="21" t="n">
        <x:f>'Habilidades'!I2656</x:f>
        <x:v>170</x:v>
      </x:c>
    </x:row>
    <x:row r="954" ht="22" customHeight="1">
      <x:c r="A954" s="17" t="n">
        <x:f>IF(B954="","",IF(B954=B953,A953,A953+1))</x:f>
        <x:v>194</x:v>
      </x:c>
      <x:c r="B954" s="1" t="str">
        <x:f>'Ranking'!C194</x:f>
        <x:v>Luxray</x:v>
      </x:c>
      <x:c r="C954" s="1" t="str">
        <x:f>'Habilidades'!D3152</x:f>
        <x:v>Wild Charge</x:v>
      </x:c>
      <x:c r="D954" s="1" t="str">
        <x:f>'Habilidades'!F3152</x:f>
        <x:v>Física</x:v>
      </x:c>
      <x:c r="E954" s="18" t="n">
        <x:f>'Habilidades'!G3152</x:f>
        <x:v>90</x:v>
      </x:c>
      <x:c r="F954" s="18" t="n">
        <x:f>'Habilidades'!H3152</x:f>
        <x:v>120</x:v>
      </x:c>
      <x:c r="G954" s="18" t="n">
        <x:f>'Habilidades'!I3152</x:f>
        <x:v>210</x:v>
      </x:c>
    </x:row>
    <x:row r="955" ht="22" customHeight="1">
      <x:c r="A955" s="17" t="n">
        <x:f>IF(B955="","",IF(B955=B954,A954,A954+1))</x:f>
        <x:v>194</x:v>
      </x:c>
      <x:c r="B955" s="1" t="str">
        <x:f>'Ranking'!C194</x:f>
        <x:v>Luxray</x:v>
      </x:c>
      <x:c r="C955" s="1" t="str">
        <x:f>'Habilidades'!D3153</x:f>
        <x:v>Crunch</x:v>
      </x:c>
      <x:c r="D955" s="1" t="str">
        <x:f>'Habilidades'!F3153</x:f>
        <x:v>Física</x:v>
      </x:c>
      <x:c r="E955" s="18" t="n">
        <x:f>'Habilidades'!G3153</x:f>
        <x:v>80</x:v>
      </x:c>
      <x:c r="F955" s="18" t="n">
        <x:f>'Habilidades'!H3153</x:f>
        <x:v>120</x:v>
      </x:c>
      <x:c r="G955" s="18" t="n">
        <x:f>'Habilidades'!I3153</x:f>
        <x:v>200</x:v>
      </x:c>
    </x:row>
    <x:row r="956" ht="22" customHeight="1">
      <x:c r="A956" s="17" t="n">
        <x:f>IF(B956="","",IF(B956=B955,A955,A955+1))</x:f>
        <x:v>194</x:v>
      </x:c>
      <x:c r="B956" s="1" t="str">
        <x:f>'Ranking'!C194</x:f>
        <x:v>Luxray</x:v>
      </x:c>
      <x:c r="C956" s="1" t="str">
        <x:f>'Habilidades'!D3154</x:f>
        <x:v>Spark</x:v>
      </x:c>
      <x:c r="D956" s="1" t="str">
        <x:f>'Habilidades'!F3154</x:f>
        <x:v>Física</x:v>
      </x:c>
      <x:c r="E956" s="18" t="n">
        <x:f>'Habilidades'!G3154</x:f>
        <x:v>65</x:v>
      </x:c>
      <x:c r="F956" s="18" t="n">
        <x:f>'Habilidades'!H3154</x:f>
        <x:v>120</x:v>
      </x:c>
      <x:c r="G956" s="18" t="n">
        <x:f>'Habilidades'!I3154</x:f>
        <x:v>185</x:v>
      </x:c>
    </x:row>
    <x:row r="957" ht="22" customHeight="1">
      <x:c r="A957" s="17" t="n">
        <x:f>IF(B957="","",IF(B957=B956,A956,A956+1))</x:f>
        <x:v>194</x:v>
      </x:c>
      <x:c r="B957" s="1" t="str">
        <x:f>'Ranking'!C194</x:f>
        <x:v>Luxray</x:v>
      </x:c>
      <x:c r="C957" s="1" t="str">
        <x:f>'Habilidades'!D3155</x:f>
        <x:v>Thunder Fang</x:v>
      </x:c>
      <x:c r="D957" s="1" t="str">
        <x:f>'Habilidades'!F3155</x:f>
        <x:v>Física</x:v>
      </x:c>
      <x:c r="E957" s="18" t="n">
        <x:f>'Habilidades'!G3155</x:f>
        <x:v>65</x:v>
      </x:c>
      <x:c r="F957" s="18" t="n">
        <x:f>'Habilidades'!H3155</x:f>
        <x:v>120</x:v>
      </x:c>
      <x:c r="G957" s="18" t="n">
        <x:f>'Habilidades'!I3155</x:f>
        <x:v>185</x:v>
      </x:c>
    </x:row>
    <x:row r="958" ht="22" customHeight="1">
      <x:c r="A958" s="19" t="n">
        <x:f>IF(B958="","",IF(B958=B957,A957,A957+1))</x:f>
        <x:v>194</x:v>
      </x:c>
      <x:c r="B958" s="20" t="str">
        <x:f>'Ranking'!C194</x:f>
        <x:v>Luxray</x:v>
      </x:c>
      <x:c r="C958" s="20" t="str">
        <x:f>'Habilidades'!D3157</x:f>
        <x:v>Discharge</x:v>
      </x:c>
      <x:c r="D958" s="20" t="str">
        <x:f>'Habilidades'!F3157</x:f>
        <x:v>Especial</x:v>
      </x:c>
      <x:c r="E958" s="21" t="n">
        <x:f>'Habilidades'!G3157</x:f>
        <x:v>80</x:v>
      </x:c>
      <x:c r="F958" s="21" t="n">
        <x:f>'Habilidades'!H3157</x:f>
        <x:v>95</x:v>
      </x:c>
      <x:c r="G958" s="21" t="n">
        <x:f>'Habilidades'!I3157</x:f>
        <x:v>175</x:v>
      </x:c>
    </x:row>
    <x:row r="959" ht="22" customHeight="1">
      <x:c r="A959" s="17" t="n">
        <x:f>IF(B959="","",IF(B959=B958,A958,A958+1))</x:f>
        <x:v>195</x:v>
      </x:c>
      <x:c r="B959" s="1" t="str">
        <x:f>'Ranking'!C196</x:f>
        <x:v>Milotic</x:v>
      </x:c>
      <x:c r="C959" s="1" t="str">
        <x:f>'Habilidades'!D2960</x:f>
        <x:v>Hydro Pump</x:v>
      </x:c>
      <x:c r="D959" s="1" t="str">
        <x:f>'Habilidades'!F2960</x:f>
        <x:v>Especial</x:v>
      </x:c>
      <x:c r="E959" s="18" t="n">
        <x:f>'Habilidades'!G2960</x:f>
        <x:v>110</x:v>
      </x:c>
      <x:c r="F959" s="18" t="n">
        <x:f>'Habilidades'!H2960</x:f>
        <x:v>100</x:v>
      </x:c>
      <x:c r="G959" s="18" t="n">
        <x:f>'Habilidades'!I2960</x:f>
        <x:v>210</x:v>
      </x:c>
    </x:row>
    <x:row r="960" ht="22" customHeight="1">
      <x:c r="A960" s="17" t="n">
        <x:f>IF(B960="","",IF(B960=B959,A959,A959+1))</x:f>
        <x:v>195</x:v>
      </x:c>
      <x:c r="B960" s="1" t="str">
        <x:f>'Ranking'!C196</x:f>
        <x:v>Milotic</x:v>
      </x:c>
      <x:c r="C960" s="1" t="str">
        <x:f>'Habilidades'!D2961</x:f>
        <x:v>Water Pulse</x:v>
      </x:c>
      <x:c r="D960" s="1" t="str">
        <x:f>'Habilidades'!F2961</x:f>
        <x:v>Especial</x:v>
      </x:c>
      <x:c r="E960" s="18" t="n">
        <x:f>'Habilidades'!G2961</x:f>
        <x:v>60</x:v>
      </x:c>
      <x:c r="F960" s="18" t="n">
        <x:f>'Habilidades'!H2961</x:f>
        <x:v>100</x:v>
      </x:c>
      <x:c r="G960" s="18" t="n">
        <x:f>'Habilidades'!I2961</x:f>
        <x:v>160</x:v>
      </x:c>
    </x:row>
    <x:row r="961" ht="22" customHeight="1">
      <x:c r="A961" s="17" t="n">
        <x:f>IF(B961="","",IF(B961=B960,A960,A960+1))</x:f>
        <x:v>195</x:v>
      </x:c>
      <x:c r="B961" s="1" t="str">
        <x:f>'Ranking'!C196</x:f>
        <x:v>Milotic</x:v>
      </x:c>
      <x:c r="C961" s="1" t="str">
        <x:f>'Habilidades'!D2962</x:f>
        <x:v>Aqua Tail</x:v>
      </x:c>
      <x:c r="D961" s="1" t="str">
        <x:f>'Habilidades'!F2962</x:f>
        <x:v>Física</x:v>
      </x:c>
      <x:c r="E961" s="18" t="n">
        <x:f>'Habilidades'!G2962</x:f>
        <x:v>90</x:v>
      </x:c>
      <x:c r="F961" s="18" t="n">
        <x:f>'Habilidades'!H2962</x:f>
        <x:v>60</x:v>
      </x:c>
      <x:c r="G961" s="18" t="n">
        <x:f>'Habilidades'!I2962</x:f>
        <x:v>150</x:v>
      </x:c>
    </x:row>
    <x:row r="962" ht="22" customHeight="1">
      <x:c r="A962" s="17" t="n">
        <x:f>IF(B962="","",IF(B962=B961,A961,A961+1))</x:f>
        <x:v>195</x:v>
      </x:c>
      <x:c r="B962" s="1" t="str">
        <x:f>'Ranking'!C196</x:f>
        <x:v>Milotic</x:v>
      </x:c>
      <x:c r="C962" s="1" t="str">
        <x:f>'Habilidades'!D2963</x:f>
        <x:v>Water Gun</x:v>
      </x:c>
      <x:c r="D962" s="1" t="str">
        <x:f>'Habilidades'!F2963</x:f>
        <x:v>Especial</x:v>
      </x:c>
      <x:c r="E962" s="18" t="n">
        <x:f>'Habilidades'!G2963</x:f>
        <x:v>40</x:v>
      </x:c>
      <x:c r="F962" s="18" t="n">
        <x:f>'Habilidades'!H2963</x:f>
        <x:v>100</x:v>
      </x:c>
      <x:c r="G962" s="18" t="n">
        <x:f>'Habilidades'!I2963</x:f>
        <x:v>140</x:v>
      </x:c>
    </x:row>
    <x:row r="963" ht="22" customHeight="1">
      <x:c r="A963" s="19" t="n">
        <x:f>IF(B963="","",IF(B963=B962,A962,A962+1))</x:f>
        <x:v>195</x:v>
      </x:c>
      <x:c r="B963" s="20" t="str">
        <x:f>'Ranking'!C196</x:f>
        <x:v>Milotic</x:v>
      </x:c>
      <x:c r="C963" s="20" t="str">
        <x:f>'Habilidades'!D2966</x:f>
        <x:v>Dragon Tail</x:v>
      </x:c>
      <x:c r="D963" s="20" t="str">
        <x:f>'Habilidades'!F2966</x:f>
        <x:v>Física</x:v>
      </x:c>
      <x:c r="E963" s="21" t="n">
        <x:f>'Habilidades'!G2966</x:f>
        <x:v>60</x:v>
      </x:c>
      <x:c r="F963" s="21" t="n">
        <x:f>'Habilidades'!H2966</x:f>
        <x:v>60</x:v>
      </x:c>
      <x:c r="G963" s="21" t="n">
        <x:f>'Habilidades'!I2966</x:f>
        <x:v>120</x:v>
      </x:c>
    </x:row>
    <x:row r="964" ht="22" customHeight="1">
      <x:c r="A964" s="17" t="n">
        <x:f>IF(B964="","",IF(B964=B963,A963,A963+1))</x:f>
        <x:v>196</x:v>
      </x:c>
      <x:c r="B964" s="1" t="str">
        <x:f>'Ranking'!C195</x:f>
        <x:v>Swampert</x:v>
      </x:c>
      <x:c r="C964" s="1" t="str">
        <x:f>'Habilidades'!D2434</x:f>
        <x:v>Hammer Arm</x:v>
      </x:c>
      <x:c r="D964" s="1" t="str">
        <x:f>'Habilidades'!F2434</x:f>
        <x:v>Física</x:v>
      </x:c>
      <x:c r="E964" s="18" t="n">
        <x:f>'Habilidades'!G2434</x:f>
        <x:v>100</x:v>
      </x:c>
      <x:c r="F964" s="18" t="n">
        <x:f>'Habilidades'!H2434</x:f>
        <x:v>110</x:v>
      </x:c>
      <x:c r="G964" s="18" t="n">
        <x:f>'Habilidades'!I2434</x:f>
        <x:v>210</x:v>
      </x:c>
    </x:row>
    <x:row r="965" ht="22" customHeight="1">
      <x:c r="A965" s="17" t="n">
        <x:f>IF(B965="","",IF(B965=B964,A964,A964+1))</x:f>
        <x:v>196</x:v>
      </x:c>
      <x:c r="B965" s="1" t="str">
        <x:f>'Ranking'!C195</x:f>
        <x:v>Swampert</x:v>
      </x:c>
      <x:c r="C965" s="1" t="str">
        <x:f>'Habilidades'!D2435</x:f>
        <x:v>Earthquake</x:v>
      </x:c>
      <x:c r="D965" s="1" t="str">
        <x:f>'Habilidades'!F2435</x:f>
        <x:v>Física</x:v>
      </x:c>
      <x:c r="E965" s="18" t="n">
        <x:f>'Habilidades'!G2435</x:f>
        <x:v>100</x:v>
      </x:c>
      <x:c r="F965" s="18" t="n">
        <x:f>'Habilidades'!H2435</x:f>
        <x:v>110</x:v>
      </x:c>
      <x:c r="G965" s="18" t="n">
        <x:f>'Habilidades'!I2435</x:f>
        <x:v>210</x:v>
      </x:c>
    </x:row>
    <x:row r="966" ht="22" customHeight="1">
      <x:c r="A966" s="17" t="n">
        <x:f>IF(B966="","",IF(B966=B965,A965,A965+1))</x:f>
        <x:v>196</x:v>
      </x:c>
      <x:c r="B966" s="1" t="str">
        <x:f>'Ranking'!C195</x:f>
        <x:v>Swampert</x:v>
      </x:c>
      <x:c r="C966" s="1" t="str">
        <x:f>'Habilidades'!D2436</x:f>
        <x:v>Take Down</x:v>
      </x:c>
      <x:c r="D966" s="1" t="str">
        <x:f>'Habilidades'!F2436</x:f>
        <x:v>Física</x:v>
      </x:c>
      <x:c r="E966" s="18" t="n">
        <x:f>'Habilidades'!G2436</x:f>
        <x:v>90</x:v>
      </x:c>
      <x:c r="F966" s="18" t="n">
        <x:f>'Habilidades'!H2436</x:f>
        <x:v>110</x:v>
      </x:c>
      <x:c r="G966" s="18" t="n">
        <x:f>'Habilidades'!I2436</x:f>
        <x:v>200</x:v>
      </x:c>
    </x:row>
    <x:row r="967" ht="22" customHeight="1">
      <x:c r="A967" s="17" t="n">
        <x:f>IF(B967="","",IF(B967=B966,A966,A966+1))</x:f>
        <x:v>196</x:v>
      </x:c>
      <x:c r="B967" s="1" t="str">
        <x:f>'Ranking'!C195</x:f>
        <x:v>Swampert</x:v>
      </x:c>
      <x:c r="C967" s="1" t="str">
        <x:f>'Habilidades'!D2437</x:f>
        <x:v>Rock Slide</x:v>
      </x:c>
      <x:c r="D967" s="1" t="str">
        <x:f>'Habilidades'!F2437</x:f>
        <x:v>Física</x:v>
      </x:c>
      <x:c r="E967" s="18" t="n">
        <x:f>'Habilidades'!G2437</x:f>
        <x:v>75</x:v>
      </x:c>
      <x:c r="F967" s="18" t="n">
        <x:f>'Habilidades'!H2437</x:f>
        <x:v>110</x:v>
      </x:c>
      <x:c r="G967" s="18" t="n">
        <x:f>'Habilidades'!I2437</x:f>
        <x:v>185</x:v>
      </x:c>
    </x:row>
    <x:row r="968" ht="22" customHeight="1">
      <x:c r="A968" s="19" t="n">
        <x:f>IF(B968="","",IF(B968=B967,A967,A967+1))</x:f>
        <x:v>196</x:v>
      </x:c>
      <x:c r="B968" s="20" t="str">
        <x:f>'Ranking'!C195</x:f>
        <x:v>Swampert</x:v>
      </x:c>
      <x:c r="C968" s="20" t="str">
        <x:f>'Habilidades'!D2438</x:f>
        <x:v>Muddy Water</x:v>
      </x:c>
      <x:c r="D968" s="20" t="str">
        <x:f>'Habilidades'!F2438</x:f>
        <x:v>Especial</x:v>
      </x:c>
      <x:c r="E968" s="21" t="n">
        <x:f>'Habilidades'!G2438</x:f>
        <x:v>90</x:v>
      </x:c>
      <x:c r="F968" s="21" t="n">
        <x:f>'Habilidades'!H2438</x:f>
        <x:v>85</x:v>
      </x:c>
      <x:c r="G968" s="21" t="n">
        <x:f>'Habilidades'!I2438</x:f>
        <x:v>175</x:v>
      </x:c>
    </x:row>
    <x:row r="969" ht="22" customHeight="1">
      <x:c r="A969" s="17" t="n">
        <x:f>IF(B969="","",IF(B969=B968,A968,A968+1))</x:f>
        <x:v>197</x:v>
      </x:c>
      <x:c r="B969" s="1" t="str">
        <x:f>'Ranking'!C201</x:f>
        <x:v>Wormadam</x:v>
      </x:c>
      <x:c r="C969" s="1" t="str">
        <x:f>'Habilidades'!D3184</x:f>
        <x:v>Leaf Storm</x:v>
      </x:c>
      <x:c r="D969" s="1" t="str">
        <x:f>'Habilidades'!F3184</x:f>
        <x:v>Especial</x:v>
      </x:c>
      <x:c r="E969" s="18" t="n">
        <x:f>'Habilidades'!G3184</x:f>
        <x:v>130</x:v>
      </x:c>
      <x:c r="F969" s="18" t="n">
        <x:f>'Habilidades'!H3184</x:f>
        <x:v>79</x:v>
      </x:c>
      <x:c r="G969" s="18" t="n">
        <x:f>'Habilidades'!I3184</x:f>
        <x:v>209</x:v>
      </x:c>
    </x:row>
    <x:row r="970" ht="22" customHeight="1">
      <x:c r="A970" s="17" t="n">
        <x:f>IF(B970="","",IF(B970=B969,A969,A969+1))</x:f>
        <x:v>197</x:v>
      </x:c>
      <x:c r="B970" s="1" t="str">
        <x:f>'Ranking'!C201</x:f>
        <x:v>Wormadam</x:v>
      </x:c>
      <x:c r="C970" s="1" t="str">
        <x:f>'Habilidades'!D3185</x:f>
        <x:v>Psychic</x:v>
      </x:c>
      <x:c r="D970" s="1" t="str">
        <x:f>'Habilidades'!F3185</x:f>
        <x:v>Especial</x:v>
      </x:c>
      <x:c r="E970" s="18" t="n">
        <x:f>'Habilidades'!G3185</x:f>
        <x:v>90</x:v>
      </x:c>
      <x:c r="F970" s="18" t="n">
        <x:f>'Habilidades'!H3185</x:f>
        <x:v>79</x:v>
      </x:c>
      <x:c r="G970" s="18" t="n">
        <x:f>'Habilidades'!I3185</x:f>
        <x:v>169</x:v>
      </x:c>
    </x:row>
    <x:row r="971" ht="22" customHeight="1">
      <x:c r="A971" s="17" t="n">
        <x:f>IF(B971="","",IF(B971=B970,A970,A970+1))</x:f>
        <x:v>197</x:v>
      </x:c>
      <x:c r="B971" s="1" t="str">
        <x:f>'Ranking'!C201</x:f>
        <x:v>Wormadam</x:v>
      </x:c>
      <x:c r="C971" s="1" t="str">
        <x:f>'Habilidades'!D3186</x:f>
        <x:v>Psybeam</x:v>
      </x:c>
      <x:c r="D971" s="1" t="str">
        <x:f>'Habilidades'!F3186</x:f>
        <x:v>Especial</x:v>
      </x:c>
      <x:c r="E971" s="18" t="n">
        <x:f>'Habilidades'!G3186</x:f>
        <x:v>65</x:v>
      </x:c>
      <x:c r="F971" s="18" t="n">
        <x:f>'Habilidades'!H3186</x:f>
        <x:v>79</x:v>
      </x:c>
      <x:c r="G971" s="18" t="n">
        <x:f>'Habilidades'!I3186</x:f>
        <x:v>144</x:v>
      </x:c>
    </x:row>
    <x:row r="972" ht="22" customHeight="1">
      <x:c r="A972" s="17" t="n">
        <x:f>IF(B972="","",IF(B972=B971,A971,A971+1))</x:f>
        <x:v>197</x:v>
      </x:c>
      <x:c r="B972" s="1" t="str">
        <x:f>'Ranking'!C201</x:f>
        <x:v>Wormadam</x:v>
      </x:c>
      <x:c r="C972" s="1" t="str">
        <x:f>'Habilidades'!D3187</x:f>
        <x:v>Hidden Power</x:v>
      </x:c>
      <x:c r="D972" s="1" t="str">
        <x:f>'Habilidades'!F3187</x:f>
        <x:v>Especial</x:v>
      </x:c>
      <x:c r="E972" s="18" t="n">
        <x:f>'Habilidades'!G3187</x:f>
        <x:v>60</x:v>
      </x:c>
      <x:c r="F972" s="18" t="n">
        <x:f>'Habilidades'!H3187</x:f>
        <x:v>79</x:v>
      </x:c>
      <x:c r="G972" s="18" t="n">
        <x:f>'Habilidades'!I3187</x:f>
        <x:v>139</x:v>
      </x:c>
    </x:row>
    <x:row r="973" ht="22" customHeight="1">
      <x:c r="A973" s="19" t="n">
        <x:f>IF(B973="","",IF(B973=B972,A972,A972+1))</x:f>
        <x:v>197</x:v>
      </x:c>
      <x:c r="B973" s="20" t="str">
        <x:f>'Ranking'!C201</x:f>
        <x:v>Wormadam</x:v>
      </x:c>
      <x:c r="C973" s="20" t="str">
        <x:f>'Habilidades'!D3189</x:f>
        <x:v>Bug Bite</x:v>
      </x:c>
      <x:c r="D973" s="20" t="str">
        <x:f>'Habilidades'!F3189</x:f>
        <x:v>Física</x:v>
      </x:c>
      <x:c r="E973" s="21" t="n">
        <x:f>'Habilidades'!G3189</x:f>
        <x:v>60</x:v>
      </x:c>
      <x:c r="F973" s="21" t="n">
        <x:f>'Habilidades'!H3189</x:f>
        <x:v>59</x:v>
      </x:c>
      <x:c r="G973" s="21" t="n">
        <x:f>'Habilidades'!I3189</x:f>
        <x:v>119</x:v>
      </x:c>
    </x:row>
    <x:row r="974" ht="22" customHeight="1">
      <x:c r="A974" s="17" t="n">
        <x:f>IF(B974="","",IF(B974=B973,A973,A973+1))</x:f>
        <x:v>198</x:v>
      </x:c>
      <x:c r="B974" s="1" t="str">
        <x:f>'Ranking'!C202</x:f>
        <x:v>Dragalge</x:v>
      </x:c>
      <x:c r="C974" s="1" t="str">
        <x:f>'Habilidades'!D3719</x:f>
        <x:v>Hydro Pump</x:v>
      </x:c>
      <x:c r="D974" s="1" t="str">
        <x:f>'Habilidades'!F3719</x:f>
        <x:v>Especial</x:v>
      </x:c>
      <x:c r="E974" s="18" t="n">
        <x:f>'Habilidades'!G3719</x:f>
        <x:v>110</x:v>
      </x:c>
      <x:c r="F974" s="18" t="n">
        <x:f>'Habilidades'!H3719</x:f>
        <x:v>97</x:v>
      </x:c>
      <x:c r="G974" s="18" t="n">
        <x:f>'Habilidades'!I3719</x:f>
        <x:v>207</x:v>
      </x:c>
    </x:row>
    <x:row r="975" ht="22" customHeight="1">
      <x:c r="A975" s="17" t="n">
        <x:f>IF(B975="","",IF(B975=B974,A974,A974+1))</x:f>
        <x:v>198</x:v>
      </x:c>
      <x:c r="B975" s="1" t="str">
        <x:f>'Ranking'!C202</x:f>
        <x:v>Dragalge</x:v>
      </x:c>
      <x:c r="C975" s="1" t="str">
        <x:f>'Habilidades'!D3720</x:f>
        <x:v>Sludge Bomb</x:v>
      </x:c>
      <x:c r="D975" s="1" t="str">
        <x:f>'Habilidades'!F3720</x:f>
        <x:v>Especial</x:v>
      </x:c>
      <x:c r="E975" s="18" t="n">
        <x:f>'Habilidades'!G3720</x:f>
        <x:v>90</x:v>
      </x:c>
      <x:c r="F975" s="18" t="n">
        <x:f>'Habilidades'!H3720</x:f>
        <x:v>97</x:v>
      </x:c>
      <x:c r="G975" s="18" t="n">
        <x:f>'Habilidades'!I3720</x:f>
        <x:v>187</x:v>
      </x:c>
    </x:row>
    <x:row r="976" ht="22" customHeight="1">
      <x:c r="A976" s="17" t="n">
        <x:f>IF(B976="","",IF(B976=B975,A975,A975+1))</x:f>
        <x:v>198</x:v>
      </x:c>
      <x:c r="B976" s="1" t="str">
        <x:f>'Ranking'!C202</x:f>
        <x:v>Dragalge</x:v>
      </x:c>
      <x:c r="C976" s="1" t="str">
        <x:f>'Habilidades'!D3721</x:f>
        <x:v>Dragon Pulse</x:v>
      </x:c>
      <x:c r="D976" s="1" t="str">
        <x:f>'Habilidades'!F3721</x:f>
        <x:v>Especial</x:v>
      </x:c>
      <x:c r="E976" s="18" t="n">
        <x:f>'Habilidades'!G3721</x:f>
        <x:v>85</x:v>
      </x:c>
      <x:c r="F976" s="18" t="n">
        <x:f>'Habilidades'!H3721</x:f>
        <x:v>97</x:v>
      </x:c>
      <x:c r="G976" s="18" t="n">
        <x:f>'Habilidades'!I3721</x:f>
        <x:v>182</x:v>
      </x:c>
    </x:row>
    <x:row r="977" ht="22" customHeight="1">
      <x:c r="A977" s="17" t="n">
        <x:f>IF(B977="","",IF(B977=B976,A976,A976+1))</x:f>
        <x:v>198</x:v>
      </x:c>
      <x:c r="B977" s="1" t="str">
        <x:f>'Ranking'!C202</x:f>
        <x:v>Dragalge</x:v>
      </x:c>
      <x:c r="C977" s="1" t="str">
        <x:f>'Habilidades'!D3722</x:f>
        <x:v>Aqua Tail</x:v>
      </x:c>
      <x:c r="D977" s="1" t="str">
        <x:f>'Habilidades'!F3722</x:f>
        <x:v>Física</x:v>
      </x:c>
      <x:c r="E977" s="18" t="n">
        <x:f>'Habilidades'!G3722</x:f>
        <x:v>90</x:v>
      </x:c>
      <x:c r="F977" s="18" t="n">
        <x:f>'Habilidades'!H3722</x:f>
        <x:v>75</x:v>
      </x:c>
      <x:c r="G977" s="18" t="n">
        <x:f>'Habilidades'!I3722</x:f>
        <x:v>165</x:v>
      </x:c>
    </x:row>
    <x:row r="978" ht="22" customHeight="1">
      <x:c r="A978" s="19" t="n">
        <x:f>IF(B978="","",IF(B978=B977,A977,A977+1))</x:f>
        <x:v>198</x:v>
      </x:c>
      <x:c r="B978" s="20" t="str">
        <x:f>'Ranking'!C202</x:f>
        <x:v>Dragalge</x:v>
      </x:c>
      <x:c r="C978" s="20" t="str">
        <x:f>'Habilidades'!D3728</x:f>
        <x:v>Dragon Tail</x:v>
      </x:c>
      <x:c r="D978" s="20" t="str">
        <x:f>'Habilidades'!F3728</x:f>
        <x:v>Física</x:v>
      </x:c>
      <x:c r="E978" s="21" t="n">
        <x:f>'Habilidades'!G3728</x:f>
        <x:v>60</x:v>
      </x:c>
      <x:c r="F978" s="21" t="n">
        <x:f>'Habilidades'!H3728</x:f>
        <x:v>75</x:v>
      </x:c>
      <x:c r="G978" s="21" t="n">
        <x:f>'Habilidades'!I3728</x:f>
        <x:v>135</x:v>
      </x:c>
    </x:row>
    <x:row r="979" ht="22" customHeight="1">
      <x:c r="A979" s="17" t="n">
        <x:f>IF(B979="","",IF(B979=B978,A978,A978+1))</x:f>
        <x:v>199</x:v>
      </x:c>
      <x:c r="B979" s="1" t="str">
        <x:f>'Ranking'!C203</x:f>
        <x:v>Lopunny</x:v>
      </x:c>
      <x:c r="C979" s="1" t="str">
        <x:f>'Habilidades'!D3210</x:f>
        <x:v>High Jump Kick</x:v>
      </x:c>
      <x:c r="D979" s="1" t="str">
        <x:f>'Habilidades'!F3210</x:f>
        <x:v>Física</x:v>
      </x:c>
      <x:c r="E979" s="18" t="n">
        <x:f>'Habilidades'!G3210</x:f>
        <x:v>130</x:v>
      </x:c>
      <x:c r="F979" s="18" t="n">
        <x:f>'Habilidades'!H3210</x:f>
        <x:v>76</x:v>
      </x:c>
      <x:c r="G979" s="18" t="n">
        <x:f>'Habilidades'!I3210</x:f>
        <x:v>206</x:v>
      </x:c>
    </x:row>
    <x:row r="980" ht="22" customHeight="1">
      <x:c r="A980" s="17" t="n">
        <x:f>IF(B980="","",IF(B980=B979,A979,A979+1))</x:f>
        <x:v>199</x:v>
      </x:c>
      <x:c r="B980" s="1" t="str">
        <x:f>'Ranking'!C203</x:f>
        <x:v>Lopunny</x:v>
      </x:c>
      <x:c r="C980" s="1" t="str">
        <x:f>'Habilidades'!D3211</x:f>
        <x:v>Jump Kick</x:v>
      </x:c>
      <x:c r="D980" s="1" t="str">
        <x:f>'Habilidades'!F3211</x:f>
        <x:v>Física</x:v>
      </x:c>
      <x:c r="E980" s="18" t="n">
        <x:f>'Habilidades'!G3211</x:f>
        <x:v>100</x:v>
      </x:c>
      <x:c r="F980" s="18" t="n">
        <x:f>'Habilidades'!H3211</x:f>
        <x:v>76</x:v>
      </x:c>
      <x:c r="G980" s="18" t="n">
        <x:f>'Habilidades'!I3211</x:f>
        <x:v>176</x:v>
      </x:c>
    </x:row>
    <x:row r="981" ht="22" customHeight="1">
      <x:c r="A981" s="17" t="n">
        <x:f>IF(B981="","",IF(B981=B980,A980,A980+1))</x:f>
        <x:v>199</x:v>
      </x:c>
      <x:c r="B981" s="1" t="str">
        <x:f>'Ranking'!C203</x:f>
        <x:v>Lopunny</x:v>
      </x:c>
      <x:c r="C981" s="1" t="str">
        <x:f>'Habilidades'!D3212</x:f>
        <x:v>Bounce</x:v>
      </x:c>
      <x:c r="D981" s="1" t="str">
        <x:f>'Habilidades'!F3212</x:f>
        <x:v>Física</x:v>
      </x:c>
      <x:c r="E981" s="18" t="n">
        <x:f>'Habilidades'!G3212</x:f>
        <x:v>85</x:v>
      </x:c>
      <x:c r="F981" s="18" t="n">
        <x:f>'Habilidades'!H3212</x:f>
        <x:v>76</x:v>
      </x:c>
      <x:c r="G981" s="18" t="n">
        <x:f>'Habilidades'!I3212</x:f>
        <x:v>161</x:v>
      </x:c>
    </x:row>
    <x:row r="982" ht="22" customHeight="1">
      <x:c r="A982" s="17" t="n">
        <x:f>IF(B982="","",IF(B982=B981,A981,A981+1))</x:f>
        <x:v>199</x:v>
      </x:c>
      <x:c r="B982" s="1" t="str">
        <x:f>'Ranking'!C203</x:f>
        <x:v>Lopunny</x:v>
      </x:c>
      <x:c r="C982" s="1" t="str">
        <x:f>'Habilidades'!D3213</x:f>
        <x:v>Dizzy Punch</x:v>
      </x:c>
      <x:c r="D982" s="1" t="str">
        <x:f>'Habilidades'!F3213</x:f>
        <x:v>Física</x:v>
      </x:c>
      <x:c r="E982" s="18" t="n">
        <x:f>'Habilidades'!G3213</x:f>
        <x:v>70</x:v>
      </x:c>
      <x:c r="F982" s="18" t="n">
        <x:f>'Habilidades'!H3213</x:f>
        <x:v>76</x:v>
      </x:c>
      <x:c r="G982" s="18" t="n">
        <x:f>'Habilidades'!I3213</x:f>
        <x:v>146</x:v>
      </x:c>
    </x:row>
    <x:row r="983" ht="22" customHeight="1">
      <x:c r="A983" s="19" t="n">
        <x:f>IF(B983="","",IF(B983=B982,A982,A982+1))</x:f>
        <x:v>199</x:v>
      </x:c>
      <x:c r="B983" s="20" t="str">
        <x:f>'Ranking'!C203</x:f>
        <x:v>Lopunny</x:v>
      </x:c>
      <x:c r="C983" s="20" t="str">
        <x:f>'Habilidades'!D3214</x:f>
        <x:v>Pound</x:v>
      </x:c>
      <x:c r="D983" s="20" t="str">
        <x:f>'Habilidades'!F3214</x:f>
        <x:v>Física</x:v>
      </x:c>
      <x:c r="E983" s="21" t="n">
        <x:f>'Habilidades'!G3214</x:f>
        <x:v>40</x:v>
      </x:c>
      <x:c r="F983" s="21" t="n">
        <x:f>'Habilidades'!H3214</x:f>
        <x:v>76</x:v>
      </x:c>
      <x:c r="G983" s="21" t="n">
        <x:f>'Habilidades'!I3214</x:f>
        <x:v>116</x:v>
      </x:c>
    </x:row>
    <x:row r="984" ht="22" customHeight="1">
      <x:c r="A984" s="17" t="n">
        <x:f>IF(B984="","",IF(B984=B983,A983,A983+1))</x:f>
        <x:v>200</x:v>
      </x:c>
      <x:c r="B984" s="1" t="str">
        <x:f>'Ranking'!C206</x:f>
        <x:v>Banette</x:v>
      </x:c>
      <x:c r="C984" s="1" t="str">
        <x:f>'Habilidades'!D2976</x:f>
        <x:v>Phantom Force</x:v>
      </x:c>
      <x:c r="D984" s="1" t="str">
        <x:f>'Habilidades'!F2976</x:f>
        <x:v>Física</x:v>
      </x:c>
      <x:c r="E984" s="18" t="n">
        <x:f>'Habilidades'!G2976</x:f>
        <x:v>90</x:v>
      </x:c>
      <x:c r="F984" s="18" t="n">
        <x:f>'Habilidades'!H2976</x:f>
        <x:v>115</x:v>
      </x:c>
      <x:c r="G984" s="18" t="n">
        <x:f>'Habilidades'!I2976</x:f>
        <x:v>205</x:v>
      </x:c>
    </x:row>
    <x:row r="985" ht="22" customHeight="1">
      <x:c r="A985" s="17" t="n">
        <x:f>IF(B985="","",IF(B985=B984,A984,A984+1))</x:f>
        <x:v>200</x:v>
      </x:c>
      <x:c r="B985" s="1" t="str">
        <x:f>'Ranking'!C206</x:f>
        <x:v>Banette</x:v>
      </x:c>
      <x:c r="C985" s="1" t="str">
        <x:f>'Habilidades'!D2977</x:f>
        <x:v>Sucker Punch</x:v>
      </x:c>
      <x:c r="D985" s="1" t="str">
        <x:f>'Habilidades'!F2977</x:f>
        <x:v>Física</x:v>
      </x:c>
      <x:c r="E985" s="18" t="n">
        <x:f>'Habilidades'!G2977</x:f>
        <x:v>80</x:v>
      </x:c>
      <x:c r="F985" s="18" t="n">
        <x:f>'Habilidades'!H2977</x:f>
        <x:v>115</x:v>
      </x:c>
      <x:c r="G985" s="18" t="n">
        <x:f>'Habilidades'!I2977</x:f>
        <x:v>195</x:v>
      </x:c>
    </x:row>
    <x:row r="986" ht="22" customHeight="1">
      <x:c r="A986" s="17" t="n">
        <x:f>IF(B986="","",IF(B986=B985,A985,A985+1))</x:f>
        <x:v>200</x:v>
      </x:c>
      <x:c r="B986" s="1" t="str">
        <x:f>'Ranking'!C206</x:f>
        <x:v>Banette</x:v>
      </x:c>
      <x:c r="C986" s="1" t="str">
        <x:f>'Habilidades'!D2978</x:f>
        <x:v>Knock Off</x:v>
      </x:c>
      <x:c r="D986" s="1" t="str">
        <x:f>'Habilidades'!F2978</x:f>
        <x:v>Física</x:v>
      </x:c>
      <x:c r="E986" s="18" t="n">
        <x:f>'Habilidades'!G2978</x:f>
        <x:v>65</x:v>
      </x:c>
      <x:c r="F986" s="18" t="n">
        <x:f>'Habilidades'!H2978</x:f>
        <x:v>115</x:v>
      </x:c>
      <x:c r="G986" s="18" t="n">
        <x:f>'Habilidades'!I2978</x:f>
        <x:v>180</x:v>
      </x:c>
    </x:row>
    <x:row r="987" ht="22" customHeight="1">
      <x:c r="A987" s="17" t="n">
        <x:f>IF(B987="","",IF(B987=B986,A986,A986+1))</x:f>
        <x:v>200</x:v>
      </x:c>
      <x:c r="B987" s="1" t="str">
        <x:f>'Ranking'!C206</x:f>
        <x:v>Banette</x:v>
      </x:c>
      <x:c r="C987" s="1" t="str">
        <x:f>'Habilidades'!D2980</x:f>
        <x:v>Shadow Ball</x:v>
      </x:c>
      <x:c r="D987" s="1" t="str">
        <x:f>'Habilidades'!F2980</x:f>
        <x:v>Especial</x:v>
      </x:c>
      <x:c r="E987" s="18" t="n">
        <x:f>'Habilidades'!G2980</x:f>
        <x:v>80</x:v>
      </x:c>
      <x:c r="F987" s="18" t="n">
        <x:f>'Habilidades'!H2980</x:f>
        <x:v>83</x:v>
      </x:c>
      <x:c r="G987" s="18" t="n">
        <x:f>'Habilidades'!I2980</x:f>
        <x:v>163</x:v>
      </x:c>
    </x:row>
    <x:row r="988" ht="22" customHeight="1">
      <x:c r="A988" s="19" t="n">
        <x:f>IF(B988="","",IF(B988=B987,A987,A987+1))</x:f>
        <x:v>200</x:v>
      </x:c>
      <x:c r="B988" s="20" t="str">
        <x:f>'Ranking'!C206</x:f>
        <x:v>Banette</x:v>
      </x:c>
      <x:c r="C988" s="20" t="str">
        <x:f>'Habilidades'!D2982</x:f>
        <x:v>Hex</x:v>
      </x:c>
      <x:c r="D988" s="20" t="str">
        <x:f>'Habilidades'!F2982</x:f>
        <x:v>Especial</x:v>
      </x:c>
      <x:c r="E988" s="21" t="n">
        <x:f>'Habilidades'!G2982</x:f>
        <x:v>65</x:v>
      </x:c>
      <x:c r="F988" s="21" t="n">
        <x:f>'Habilidades'!H2982</x:f>
        <x:v>83</x:v>
      </x:c>
      <x:c r="G988" s="21" t="n">
        <x:f>'Habilidades'!I2982</x:f>
        <x:v>148</x:v>
      </x:c>
    </x:row>
    <x:row r="989" ht="22" customHeight="1">
      <x:c r="A989" s="17" t="n">
        <x:f>IF(B989="","",IF(B989=B988,A988,A988+1))</x:f>
        <x:v>201</x:v>
      </x:c>
      <x:c r="B989" s="1" t="str">
        <x:f>'Ranking'!C205</x:f>
        <x:v>Cacturne</x:v>
      </x:c>
      <x:c r="C989" s="1" t="str">
        <x:f>'Habilidades'!D2826</x:f>
        <x:v>Energy Ball</x:v>
      </x:c>
      <x:c r="D989" s="1" t="str">
        <x:f>'Habilidades'!F2826</x:f>
        <x:v>Especial</x:v>
      </x:c>
      <x:c r="E989" s="18" t="n">
        <x:f>'Habilidades'!G2826</x:f>
        <x:v>90</x:v>
      </x:c>
      <x:c r="F989" s="18" t="n">
        <x:f>'Habilidades'!H2826</x:f>
        <x:v>115</x:v>
      </x:c>
      <x:c r="G989" s="18" t="n">
        <x:f>'Habilidades'!I2826</x:f>
        <x:v>205</x:v>
      </x:c>
    </x:row>
    <x:row r="990" ht="22" customHeight="1">
      <x:c r="A990" s="17" t="n">
        <x:f>IF(B990="","",IF(B990=B989,A989,A989+1))</x:f>
        <x:v>201</x:v>
      </x:c>
      <x:c r="B990" s="1" t="str">
        <x:f>'Ranking'!C205</x:f>
        <x:v>Cacturne</x:v>
      </x:c>
      <x:c r="C990" s="1" t="str">
        <x:f>'Habilidades'!D2827</x:f>
        <x:v>Sucker Punch</x:v>
      </x:c>
      <x:c r="D990" s="1" t="str">
        <x:f>'Habilidades'!F2827</x:f>
        <x:v>Física</x:v>
      </x:c>
      <x:c r="E990" s="18" t="n">
        <x:f>'Habilidades'!G2827</x:f>
        <x:v>80</x:v>
      </x:c>
      <x:c r="F990" s="18" t="n">
        <x:f>'Habilidades'!H2827</x:f>
        <x:v>115</x:v>
      </x:c>
      <x:c r="G990" s="18" t="n">
        <x:f>'Habilidades'!I2827</x:f>
        <x:v>195</x:v>
      </x:c>
    </x:row>
    <x:row r="991" ht="22" customHeight="1">
      <x:c r="A991" s="17" t="n">
        <x:f>IF(B991="","",IF(B991=B990,A990,A990+1))</x:f>
        <x:v>201</x:v>
      </x:c>
      <x:c r="B991" s="1" t="str">
        <x:f>'Ranking'!C205</x:f>
        <x:v>Cacturne</x:v>
      </x:c>
      <x:c r="C991" s="1" t="str">
        <x:f>'Habilidades'!D2828</x:f>
        <x:v>Revenge</x:v>
      </x:c>
      <x:c r="D991" s="1" t="str">
        <x:f>'Habilidades'!F2828</x:f>
        <x:v>Física</x:v>
      </x:c>
      <x:c r="E991" s="18" t="n">
        <x:f>'Habilidades'!G2828</x:f>
        <x:v>60</x:v>
      </x:c>
      <x:c r="F991" s="18" t="n">
        <x:f>'Habilidades'!H2828</x:f>
        <x:v>115</x:v>
      </x:c>
      <x:c r="G991" s="18" t="n">
        <x:f>'Habilidades'!I2828</x:f>
        <x:v>175</x:v>
      </x:c>
    </x:row>
    <x:row r="992" ht="22" customHeight="1">
      <x:c r="A992" s="17" t="n">
        <x:f>IF(B992="","",IF(B992=B991,A991,A991+1))</x:f>
        <x:v>201</x:v>
      </x:c>
      <x:c r="B992" s="1" t="str">
        <x:f>'Ranking'!C205</x:f>
        <x:v>Cacturne</x:v>
      </x:c>
      <x:c r="C992" s="1" t="str">
        <x:f>'Habilidades'!D2829</x:f>
        <x:v>Needle Arm</x:v>
      </x:c>
      <x:c r="D992" s="1" t="str">
        <x:f>'Habilidades'!F2829</x:f>
        <x:v>Física</x:v>
      </x:c>
      <x:c r="E992" s="18" t="n">
        <x:f>'Habilidades'!G2829</x:f>
        <x:v>60</x:v>
      </x:c>
      <x:c r="F992" s="18" t="n">
        <x:f>'Habilidades'!H2829</x:f>
        <x:v>115</x:v>
      </x:c>
      <x:c r="G992" s="18" t="n">
        <x:f>'Habilidades'!I2829</x:f>
        <x:v>175</x:v>
      </x:c>
    </x:row>
    <x:row r="993" ht="22" customHeight="1">
      <x:c r="A993" s="19" t="n">
        <x:f>IF(B993="","",IF(B993=B992,A992,A992+1))</x:f>
        <x:v>201</x:v>
      </x:c>
      <x:c r="B993" s="20" t="str">
        <x:f>'Ranking'!C205</x:f>
        <x:v>Cacturne</x:v>
      </x:c>
      <x:c r="C993" s="20" t="str">
        <x:f>'Habilidades'!D2830</x:f>
        <x:v>Feint Attack</x:v>
      </x:c>
      <x:c r="D993" s="20" t="str">
        <x:f>'Habilidades'!F2830</x:f>
        <x:v>Física</x:v>
      </x:c>
      <x:c r="E993" s="21" t="n">
        <x:f>'Habilidades'!G2830</x:f>
        <x:v>60</x:v>
      </x:c>
      <x:c r="F993" s="21" t="n">
        <x:f>'Habilidades'!H2830</x:f>
        <x:v>115</x:v>
      </x:c>
      <x:c r="G993" s="21" t="n">
        <x:f>'Habilidades'!I2830</x:f>
        <x:v>175</x:v>
      </x:c>
    </x:row>
    <x:row r="994" ht="22" customHeight="1">
      <x:c r="A994" s="17" t="n">
        <x:f>IF(B994="","",IF(B994=B993,A993,A993+1))</x:f>
        <x:v>202</x:v>
      </x:c>
      <x:c r="B994" s="1" t="str">
        <x:f>'Ranking'!C216</x:f>
        <x:v>Combusken</x:v>
      </x:c>
      <x:c r="C994" s="1" t="str">
        <x:f>'Habilidades'!D2393</x:f>
        <x:v>Flare Blitz</x:v>
      </x:c>
      <x:c r="D994" s="1" t="str">
        <x:f>'Habilidades'!F2393</x:f>
        <x:v>Física</x:v>
      </x:c>
      <x:c r="E994" s="18" t="n">
        <x:f>'Habilidades'!G2393</x:f>
        <x:v>120</x:v>
      </x:c>
      <x:c r="F994" s="18" t="n">
        <x:f>'Habilidades'!H2393</x:f>
        <x:v>85</x:v>
      </x:c>
      <x:c r="G994" s="18" t="n">
        <x:f>'Habilidades'!I2393</x:f>
        <x:v>205</x:v>
      </x:c>
    </x:row>
    <x:row r="995" ht="22" customHeight="1">
      <x:c r="A995" s="17" t="n">
        <x:f>IF(B995="","",IF(B995=B994,A994,A994+1))</x:f>
        <x:v>202</x:v>
      </x:c>
      <x:c r="B995" s="1" t="str">
        <x:f>'Ranking'!C216</x:f>
        <x:v>Combusken</x:v>
      </x:c>
      <x:c r="C995" s="1" t="str">
        <x:f>'Habilidades'!D2394</x:f>
        <x:v>Sky Uppercut</x:v>
      </x:c>
      <x:c r="D995" s="1" t="str">
        <x:f>'Habilidades'!F2394</x:f>
        <x:v>Física</x:v>
      </x:c>
      <x:c r="E995" s="18" t="n">
        <x:f>'Habilidades'!G2394</x:f>
        <x:v>85</x:v>
      </x:c>
      <x:c r="F995" s="18" t="n">
        <x:f>'Habilidades'!H2394</x:f>
        <x:v>85</x:v>
      </x:c>
      <x:c r="G995" s="18" t="n">
        <x:f>'Habilidades'!I2394</x:f>
        <x:v>170</x:v>
      </x:c>
    </x:row>
    <x:row r="996" ht="22" customHeight="1">
      <x:c r="A996" s="17" t="n">
        <x:f>IF(B996="","",IF(B996=B995,A995,A995+1))</x:f>
        <x:v>202</x:v>
      </x:c>
      <x:c r="B996" s="1" t="str">
        <x:f>'Ranking'!C216</x:f>
        <x:v>Combusken</x:v>
      </x:c>
      <x:c r="C996" s="1" t="str">
        <x:f>'Habilidades'!D2395</x:f>
        <x:v>Slash</x:v>
      </x:c>
      <x:c r="D996" s="1" t="str">
        <x:f>'Habilidades'!F2395</x:f>
        <x:v>Física</x:v>
      </x:c>
      <x:c r="E996" s="18" t="n">
        <x:f>'Habilidades'!G2395</x:f>
        <x:v>70</x:v>
      </x:c>
      <x:c r="F996" s="18" t="n">
        <x:f>'Habilidades'!H2395</x:f>
        <x:v>85</x:v>
      </x:c>
      <x:c r="G996" s="18" t="n">
        <x:f>'Habilidades'!I2395</x:f>
        <x:v>155</x:v>
      </x:c>
    </x:row>
    <x:row r="997" ht="22" customHeight="1">
      <x:c r="A997" s="17" t="n">
        <x:f>IF(B997="","",IF(B997=B996,A996,A996+1))</x:f>
        <x:v>202</x:v>
      </x:c>
      <x:c r="B997" s="1" t="str">
        <x:f>'Ranking'!C216</x:f>
        <x:v>Combusken</x:v>
      </x:c>
      <x:c r="C997" s="1" t="str">
        <x:f>'Habilidades'!D2396</x:f>
        <x:v>Flame Charge</x:v>
      </x:c>
      <x:c r="D997" s="1" t="str">
        <x:f>'Habilidades'!F2396</x:f>
        <x:v>Física</x:v>
      </x:c>
      <x:c r="E997" s="18" t="n">
        <x:f>'Habilidades'!G2396</x:f>
        <x:v>50</x:v>
      </x:c>
      <x:c r="F997" s="18" t="n">
        <x:f>'Habilidades'!H2396</x:f>
        <x:v>85</x:v>
      </x:c>
      <x:c r="G997" s="18" t="n">
        <x:f>'Habilidades'!I2396</x:f>
        <x:v>135</x:v>
      </x:c>
    </x:row>
    <x:row r="998" ht="22" customHeight="1">
      <x:c r="A998" s="19" t="n">
        <x:f>IF(B998="","",IF(B998=B997,A997,A997+1))</x:f>
        <x:v>202</x:v>
      </x:c>
      <x:c r="B998" s="20" t="str">
        <x:f>'Ranking'!C216</x:f>
        <x:v>Combusken</x:v>
      </x:c>
      <x:c r="C998" s="20" t="str">
        <x:f>'Habilidades'!D2397</x:f>
        <x:v>Ember</x:v>
      </x:c>
      <x:c r="D998" s="20" t="str">
        <x:f>'Habilidades'!F2397</x:f>
        <x:v>Especial</x:v>
      </x:c>
      <x:c r="E998" s="21" t="n">
        <x:f>'Habilidades'!G2397</x:f>
        <x:v>40</x:v>
      </x:c>
      <x:c r="F998" s="21" t="n">
        <x:f>'Habilidades'!H2397</x:f>
        <x:v>85</x:v>
      </x:c>
      <x:c r="G998" s="21" t="n">
        <x:f>'Habilidades'!I2397</x:f>
        <x:v>125</x:v>
      </x:c>
    </x:row>
    <x:row r="999" ht="22" customHeight="1">
      <x:c r="A999" s="17" t="n">
        <x:f>IF(B999="","",IF(B999=B998,A998,A998+1))</x:f>
        <x:v>203</x:v>
      </x:c>
      <x:c r="B999" s="1" t="str">
        <x:f>'Ranking'!C213</x:f>
        <x:v>Doduo</x:v>
      </x:c>
      <x:c r="C999" s="1" t="str">
        <x:f>'Habilidades'!D768</x:f>
        <x:v>Thrash</x:v>
      </x:c>
      <x:c r="D999" s="1" t="str">
        <x:f>'Habilidades'!F768</x:f>
        <x:v>Física</x:v>
      </x:c>
      <x:c r="E999" s="18" t="n">
        <x:f>'Habilidades'!G768</x:f>
        <x:v>120</x:v>
      </x:c>
      <x:c r="F999" s="18" t="n">
        <x:f>'Habilidades'!H768</x:f>
        <x:v>85</x:v>
      </x:c>
      <x:c r="G999" s="18" t="n">
        <x:f>'Habilidades'!I768</x:f>
        <x:v>205</x:v>
      </x:c>
    </x:row>
    <x:row r="1000" ht="22" customHeight="1">
      <x:c r="A1000" s="17" t="n">
        <x:f>IF(B1000="","",IF(B1000=B999,A999,A999+1))</x:f>
        <x:v>203</x:v>
      </x:c>
      <x:c r="B1000" s="1" t="str">
        <x:f>'Ranking'!C213</x:f>
        <x:v>Doduo</x:v>
      </x:c>
      <x:c r="C1000" s="1" t="str">
        <x:f>'Habilidades'!D769</x:f>
        <x:v>Drill Peck</x:v>
      </x:c>
      <x:c r="D1000" s="1" t="str">
        <x:f>'Habilidades'!F769</x:f>
        <x:v>Física</x:v>
      </x:c>
      <x:c r="E1000" s="18" t="n">
        <x:f>'Habilidades'!G769</x:f>
        <x:v>80</x:v>
      </x:c>
      <x:c r="F1000" s="18" t="n">
        <x:f>'Habilidades'!H769</x:f>
        <x:v>85</x:v>
      </x:c>
      <x:c r="G1000" s="18" t="n">
        <x:f>'Habilidades'!I769</x:f>
        <x:v>165</x:v>
      </x:c>
    </x:row>
    <x:row r="1001" ht="22" customHeight="1">
      <x:c r="A1001" s="17" t="n">
        <x:f>IF(B1001="","",IF(B1001=B1000,A1000,A1000+1))</x:f>
        <x:v>203</x:v>
      </x:c>
      <x:c r="B1001" s="1" t="str">
        <x:f>'Ranking'!C213</x:f>
        <x:v>Doduo</x:v>
      </x:c>
      <x:c r="C1001" s="1" t="str">
        <x:f>'Habilidades'!D770</x:f>
        <x:v>Pluck</x:v>
      </x:c>
      <x:c r="D1001" s="1" t="str">
        <x:f>'Habilidades'!F770</x:f>
        <x:v>Física</x:v>
      </x:c>
      <x:c r="E1001" s="18" t="n">
        <x:f>'Habilidades'!G770</x:f>
        <x:v>60</x:v>
      </x:c>
      <x:c r="F1001" s="18" t="n">
        <x:f>'Habilidades'!H770</x:f>
        <x:v>85</x:v>
      </x:c>
      <x:c r="G1001" s="18" t="n">
        <x:f>'Habilidades'!I770</x:f>
        <x:v>145</x:v>
      </x:c>
    </x:row>
    <x:row r="1002" ht="22" customHeight="1">
      <x:c r="A1002" s="17" t="n">
        <x:f>IF(B1002="","",IF(B1002=B1001,A1001,A1001+1))</x:f>
        <x:v>203</x:v>
      </x:c>
      <x:c r="B1002" s="1" t="str">
        <x:f>'Ranking'!C213</x:f>
        <x:v>Doduo</x:v>
      </x:c>
      <x:c r="C1002" s="1" t="str">
        <x:f>'Habilidades'!D771</x:f>
        <x:v>Uproar</x:v>
      </x:c>
      <x:c r="D1002" s="1" t="str">
        <x:f>'Habilidades'!F771</x:f>
        <x:v>Especial</x:v>
      </x:c>
      <x:c r="E1002" s="18" t="n">
        <x:f>'Habilidades'!G771</x:f>
        <x:v>90</x:v>
      </x:c>
      <x:c r="F1002" s="18" t="n">
        <x:f>'Habilidades'!H771</x:f>
        <x:v>35</x:v>
      </x:c>
      <x:c r="G1002" s="18" t="n">
        <x:f>'Habilidades'!I771</x:f>
        <x:v>125</x:v>
      </x:c>
    </x:row>
    <x:row r="1003" ht="22" customHeight="1">
      <x:c r="A1003" s="19" t="n">
        <x:f>IF(B1003="","",IF(B1003=B1002,A1002,A1002+1))</x:f>
        <x:v>203</x:v>
      </x:c>
      <x:c r="B1003" s="20" t="str">
        <x:f>'Ranking'!C213</x:f>
        <x:v>Doduo</x:v>
      </x:c>
      <x:c r="C1003" s="20" t="str">
        <x:f>'Habilidades'!D772</x:f>
        <x:v>Quick Attack</x:v>
      </x:c>
      <x:c r="D1003" s="20" t="str">
        <x:f>'Habilidades'!F772</x:f>
        <x:v>Física</x:v>
      </x:c>
      <x:c r="E1003" s="21" t="n">
        <x:f>'Habilidades'!G772</x:f>
        <x:v>40</x:v>
      </x:c>
      <x:c r="F1003" s="21" t="n">
        <x:f>'Habilidades'!H772</x:f>
        <x:v>85</x:v>
      </x:c>
      <x:c r="G1003" s="21" t="n">
        <x:f>'Habilidades'!I772</x:f>
        <x:v>125</x:v>
      </x:c>
    </x:row>
    <x:row r="1004" ht="22" customHeight="1">
      <x:c r="A1004" s="17" t="n">
        <x:f>IF(B1004="","",IF(B1004=B1003,A1003,A1003+1))</x:f>
        <x:v>204</x:v>
      </x:c>
      <x:c r="B1004" s="1" t="str">
        <x:f>'Ranking'!C218</x:f>
        <x:v>Eelektrik</x:v>
      </x:c>
      <x:c r="C1004" s="1" t="str">
        <x:f>'Habilidades'!D3528</x:f>
        <x:v>Thrash</x:v>
      </x:c>
      <x:c r="D1004" s="1" t="str">
        <x:f>'Habilidades'!F3528</x:f>
        <x:v>Física</x:v>
      </x:c>
      <x:c r="E1004" s="18" t="n">
        <x:f>'Habilidades'!G3528</x:f>
        <x:v>120</x:v>
      </x:c>
      <x:c r="F1004" s="18" t="n">
        <x:f>'Habilidades'!H3528</x:f>
        <x:v>85</x:v>
      </x:c>
      <x:c r="G1004" s="18" t="n">
        <x:f>'Habilidades'!I3528</x:f>
        <x:v>205</x:v>
      </x:c>
    </x:row>
    <x:row r="1005" ht="22" customHeight="1">
      <x:c r="A1005" s="17" t="n">
        <x:f>IF(B1005="","",IF(B1005=B1004,A1004,A1004+1))</x:f>
        <x:v>204</x:v>
      </x:c>
      <x:c r="B1005" s="1" t="str">
        <x:f>'Ranking'!C218</x:f>
        <x:v>Eelektrik</x:v>
      </x:c>
      <x:c r="C1005" s="1" t="str">
        <x:f>'Habilidades'!D3529</x:f>
        <x:v>Zap Cannon</x:v>
      </x:c>
      <x:c r="D1005" s="1" t="str">
        <x:f>'Habilidades'!F3529</x:f>
        <x:v>Especial</x:v>
      </x:c>
      <x:c r="E1005" s="18" t="n">
        <x:f>'Habilidades'!G3529</x:f>
        <x:v>120</x:v>
      </x:c>
      <x:c r="F1005" s="18" t="n">
        <x:f>'Habilidades'!H3529</x:f>
        <x:v>75</x:v>
      </x:c>
      <x:c r="G1005" s="18" t="n">
        <x:f>'Habilidades'!I3529</x:f>
        <x:v>195</x:v>
      </x:c>
    </x:row>
    <x:row r="1006" ht="22" customHeight="1">
      <x:c r="A1006" s="17" t="n">
        <x:f>IF(B1006="","",IF(B1006=B1005,A1005,A1005+1))</x:f>
        <x:v>204</x:v>
      </x:c>
      <x:c r="B1006" s="1" t="str">
        <x:f>'Ranking'!C218</x:f>
        <x:v>Eelektrik</x:v>
      </x:c>
      <x:c r="C1006" s="1" t="str">
        <x:f>'Habilidades'!D3530</x:f>
        <x:v>Wild Charge</x:v>
      </x:c>
      <x:c r="D1006" s="1" t="str">
        <x:f>'Habilidades'!F3530</x:f>
        <x:v>Física</x:v>
      </x:c>
      <x:c r="E1006" s="18" t="n">
        <x:f>'Habilidades'!G3530</x:f>
        <x:v>90</x:v>
      </x:c>
      <x:c r="F1006" s="18" t="n">
        <x:f>'Habilidades'!H3530</x:f>
        <x:v>85</x:v>
      </x:c>
      <x:c r="G1006" s="18" t="n">
        <x:f>'Habilidades'!I3530</x:f>
        <x:v>175</x:v>
      </x:c>
    </x:row>
    <x:row r="1007" ht="22" customHeight="1">
      <x:c r="A1007" s="17" t="n">
        <x:f>IF(B1007="","",IF(B1007=B1006,A1006,A1006+1))</x:f>
        <x:v>204</x:v>
      </x:c>
      <x:c r="B1007" s="1" t="str">
        <x:f>'Ranking'!C218</x:f>
        <x:v>Eelektrik</x:v>
      </x:c>
      <x:c r="C1007" s="1" t="str">
        <x:f>'Habilidades'!D3531</x:f>
        <x:v>Thunderbolt</x:v>
      </x:c>
      <x:c r="D1007" s="1" t="str">
        <x:f>'Habilidades'!F3531</x:f>
        <x:v>Especial</x:v>
      </x:c>
      <x:c r="E1007" s="18" t="n">
        <x:f>'Habilidades'!G3531</x:f>
        <x:v>90</x:v>
      </x:c>
      <x:c r="F1007" s="18" t="n">
        <x:f>'Habilidades'!H3531</x:f>
        <x:v>75</x:v>
      </x:c>
      <x:c r="G1007" s="18" t="n">
        <x:f>'Habilidades'!I3531</x:f>
        <x:v>165</x:v>
      </x:c>
    </x:row>
    <x:row r="1008" ht="22" customHeight="1">
      <x:c r="A1008" s="19" t="n">
        <x:f>IF(B1008="","",IF(B1008=B1007,A1007,A1007+1))</x:f>
        <x:v>204</x:v>
      </x:c>
      <x:c r="B1008" s="20" t="str">
        <x:f>'Ranking'!C218</x:f>
        <x:v>Eelektrik</x:v>
      </x:c>
      <x:c r="C1008" s="20" t="str">
        <x:f>'Habilidades'!D3533</x:f>
        <x:v>Discharge</x:v>
      </x:c>
      <x:c r="D1008" s="20" t="str">
        <x:f>'Habilidades'!F3533</x:f>
        <x:v>Especial</x:v>
      </x:c>
      <x:c r="E1008" s="21" t="n">
        <x:f>'Habilidades'!G3533</x:f>
        <x:v>80</x:v>
      </x:c>
      <x:c r="F1008" s="21" t="n">
        <x:f>'Habilidades'!H3533</x:f>
        <x:v>75</x:v>
      </x:c>
      <x:c r="G1008" s="21" t="n">
        <x:f>'Habilidades'!I3533</x:f>
        <x:v>155</x:v>
      </x:c>
    </x:row>
    <x:row r="1009" ht="22" customHeight="1">
      <x:c r="A1009" s="17" t="n">
        <x:f>IF(B1009="","",IF(B1009=B1008,A1008,A1008+1))</x:f>
        <x:v>205</x:v>
      </x:c>
      <x:c r="B1009" s="1" t="str">
        <x:f>'Ranking'!C211</x:f>
        <x:v>Gloom</x:v>
      </x:c>
      <x:c r="C1009" s="1" t="str">
        <x:f>'Habilidades'!D371</x:f>
        <x:v>Petal Dance</x:v>
      </x:c>
      <x:c r="D1009" s="1" t="str">
        <x:f>'Habilidades'!F371</x:f>
        <x:v>Especial</x:v>
      </x:c>
      <x:c r="E1009" s="18" t="n">
        <x:f>'Habilidades'!G371</x:f>
        <x:v>120</x:v>
      </x:c>
      <x:c r="F1009" s="18" t="n">
        <x:f>'Habilidades'!H371</x:f>
        <x:v>85</x:v>
      </x:c>
      <x:c r="G1009" s="18" t="n">
        <x:f>'Habilidades'!I371</x:f>
        <x:v>205</x:v>
      </x:c>
    </x:row>
    <x:row r="1010" ht="22" customHeight="1">
      <x:c r="A1010" s="17" t="n">
        <x:f>IF(B1010="","",IF(B1010=B1009,A1009,A1009+1))</x:f>
        <x:v>205</x:v>
      </x:c>
      <x:c r="B1010" s="1" t="str">
        <x:f>'Ranking'!C211</x:f>
        <x:v>Gloom</x:v>
      </x:c>
      <x:c r="C1010" s="1" t="str">
        <x:f>'Habilidades'!D372</x:f>
        <x:v>Giga Drain</x:v>
      </x:c>
      <x:c r="D1010" s="1" t="str">
        <x:f>'Habilidades'!F372</x:f>
        <x:v>Especial</x:v>
      </x:c>
      <x:c r="E1010" s="18" t="n">
        <x:f>'Habilidades'!G372</x:f>
        <x:v>75</x:v>
      </x:c>
      <x:c r="F1010" s="18" t="n">
        <x:f>'Habilidades'!H372</x:f>
        <x:v>85</x:v>
      </x:c>
      <x:c r="G1010" s="18" t="n">
        <x:f>'Habilidades'!I372</x:f>
        <x:v>160</x:v>
      </x:c>
    </x:row>
    <x:row r="1011" ht="22" customHeight="1">
      <x:c r="A1011" s="17" t="n">
        <x:f>IF(B1011="","",IF(B1011=B1010,A1010,A1010+1))</x:f>
        <x:v>205</x:v>
      </x:c>
      <x:c r="B1011" s="1" t="str">
        <x:f>'Ranking'!C211</x:f>
        <x:v>Gloom</x:v>
      </x:c>
      <x:c r="C1011" s="1" t="str">
        <x:f>'Habilidades'!D373</x:f>
        <x:v>Petal Blizzard</x:v>
      </x:c>
      <x:c r="D1011" s="1" t="str">
        <x:f>'Habilidades'!F373</x:f>
        <x:v>Física</x:v>
      </x:c>
      <x:c r="E1011" s="18" t="n">
        <x:f>'Habilidades'!G373</x:f>
        <x:v>90</x:v>
      </x:c>
      <x:c r="F1011" s="18" t="n">
        <x:f>'Habilidades'!H373</x:f>
        <x:v>65</x:v>
      </x:c>
      <x:c r="G1011" s="18" t="n">
        <x:f>'Habilidades'!I373</x:f>
        <x:v>155</x:v>
      </x:c>
    </x:row>
    <x:row r="1012" ht="22" customHeight="1">
      <x:c r="A1012" s="17" t="n">
        <x:f>IF(B1012="","",IF(B1012=B1011,A1011,A1011+1))</x:f>
        <x:v>205</x:v>
      </x:c>
      <x:c r="B1012" s="1" t="str">
        <x:f>'Ranking'!C211</x:f>
        <x:v>Gloom</x:v>
      </x:c>
      <x:c r="C1012" s="1" t="str">
        <x:f>'Habilidades'!D374</x:f>
        <x:v>Acid</x:v>
      </x:c>
      <x:c r="D1012" s="1" t="str">
        <x:f>'Habilidades'!F374</x:f>
        <x:v>Especial</x:v>
      </x:c>
      <x:c r="E1012" s="18" t="n">
        <x:f>'Habilidades'!G374</x:f>
        <x:v>40</x:v>
      </x:c>
      <x:c r="F1012" s="18" t="n">
        <x:f>'Habilidades'!H374</x:f>
        <x:v>85</x:v>
      </x:c>
      <x:c r="G1012" s="18" t="n">
        <x:f>'Habilidades'!I374</x:f>
        <x:v>125</x:v>
      </x:c>
    </x:row>
    <x:row r="1013" ht="22" customHeight="1">
      <x:c r="A1013" s="19" t="n">
        <x:f>IF(B1013="","",IF(B1013=B1012,A1012,A1012+1))</x:f>
        <x:v>205</x:v>
      </x:c>
      <x:c r="B1013" s="20" t="str">
        <x:f>'Ranking'!C211</x:f>
        <x:v>Gloom</x:v>
      </x:c>
      <x:c r="C1013" s="20" t="str">
        <x:f>'Habilidades'!D375</x:f>
        <x:v>Mega Drain</x:v>
      </x:c>
      <x:c r="D1013" s="20" t="str">
        <x:f>'Habilidades'!F375</x:f>
        <x:v>Especial</x:v>
      </x:c>
      <x:c r="E1013" s="21" t="n">
        <x:f>'Habilidades'!G375</x:f>
        <x:v>40</x:v>
      </x:c>
      <x:c r="F1013" s="21" t="n">
        <x:f>'Habilidades'!H375</x:f>
        <x:v>85</x:v>
      </x:c>
      <x:c r="G1013" s="21" t="n">
        <x:f>'Habilidades'!I375</x:f>
        <x:v>125</x:v>
      </x:c>
    </x:row>
    <x:row r="1014" ht="22" customHeight="1">
      <x:c r="A1014" s="17" t="n">
        <x:f>IF(B1014="","",IF(B1014=B1013,A1013,A1013+1))</x:f>
        <x:v>206</x:v>
      </x:c>
      <x:c r="B1014" s="1" t="str">
        <x:f>'Ranking'!C208</x:f>
        <x:v>Krabby</x:v>
      </x:c>
      <x:c r="C1014" s="1" t="str">
        <x:f>'Habilidades'!D921</x:f>
        <x:v>Crabhammer</x:v>
      </x:c>
      <x:c r="D1014" s="1" t="str">
        <x:f>'Habilidades'!F921</x:f>
        <x:v>Física</x:v>
      </x:c>
      <x:c r="E1014" s="18" t="n">
        <x:f>'Habilidades'!G921</x:f>
        <x:v>100</x:v>
      </x:c>
      <x:c r="F1014" s="18" t="n">
        <x:f>'Habilidades'!H921</x:f>
        <x:v>105</x:v>
      </x:c>
      <x:c r="G1014" s="18" t="n">
        <x:f>'Habilidades'!I921</x:f>
        <x:v>205</x:v>
      </x:c>
    </x:row>
    <x:row r="1015" ht="22" customHeight="1">
      <x:c r="A1015" s="17" t="n">
        <x:f>IF(B1015="","",IF(B1015=B1014,A1014,A1014+1))</x:f>
        <x:v>206</x:v>
      </x:c>
      <x:c r="B1015" s="1" t="str">
        <x:f>'Ranking'!C208</x:f>
        <x:v>Krabby</x:v>
      </x:c>
      <x:c r="C1015" s="1" t="str">
        <x:f>'Habilidades'!D922</x:f>
        <x:v>Slam</x:v>
      </x:c>
      <x:c r="D1015" s="1" t="str">
        <x:f>'Habilidades'!F922</x:f>
        <x:v>Física</x:v>
      </x:c>
      <x:c r="E1015" s="18" t="n">
        <x:f>'Habilidades'!G922</x:f>
        <x:v>80</x:v>
      </x:c>
      <x:c r="F1015" s="18" t="n">
        <x:f>'Habilidades'!H922</x:f>
        <x:v>105</x:v>
      </x:c>
      <x:c r="G1015" s="18" t="n">
        <x:f>'Habilidades'!I922</x:f>
        <x:v>185</x:v>
      </x:c>
    </x:row>
    <x:row r="1016" ht="22" customHeight="1">
      <x:c r="A1016" s="17" t="n">
        <x:f>IF(B1016="","",IF(B1016=B1015,A1015,A1015+1))</x:f>
        <x:v>206</x:v>
      </x:c>
      <x:c r="B1016" s="1" t="str">
        <x:f>'Ranking'!C208</x:f>
        <x:v>Krabby</x:v>
      </x:c>
      <x:c r="C1016" s="1" t="str">
        <x:f>'Habilidades'!D923</x:f>
        <x:v>Stomp</x:v>
      </x:c>
      <x:c r="D1016" s="1" t="str">
        <x:f>'Habilidades'!F923</x:f>
        <x:v>Física</x:v>
      </x:c>
      <x:c r="E1016" s="18" t="n">
        <x:f>'Habilidades'!G923</x:f>
        <x:v>65</x:v>
      </x:c>
      <x:c r="F1016" s="18" t="n">
        <x:f>'Habilidades'!H923</x:f>
        <x:v>105</x:v>
      </x:c>
      <x:c r="G1016" s="18" t="n">
        <x:f>'Habilidades'!I923</x:f>
        <x:v>170</x:v>
      </x:c>
    </x:row>
    <x:row r="1017" ht="22" customHeight="1">
      <x:c r="A1017" s="17" t="n">
        <x:f>IF(B1017="","",IF(B1017=B1016,A1016,A1016+1))</x:f>
        <x:v>206</x:v>
      </x:c>
      <x:c r="B1017" s="1" t="str">
        <x:f>'Ranking'!C208</x:f>
        <x:v>Krabby</x:v>
      </x:c>
      <x:c r="C1017" s="1" t="str">
        <x:f>'Habilidades'!D926</x:f>
        <x:v>Bubble Beam</x:v>
      </x:c>
      <x:c r="D1017" s="1" t="str">
        <x:f>'Habilidades'!F926</x:f>
        <x:v>Especial</x:v>
      </x:c>
      <x:c r="E1017" s="18" t="n">
        <x:f>'Habilidades'!G926</x:f>
        <x:v>65</x:v>
      </x:c>
      <x:c r="F1017" s="18" t="n">
        <x:f>'Habilidades'!H926</x:f>
        <x:v>25</x:v>
      </x:c>
      <x:c r="G1017" s="18" t="n">
        <x:f>'Habilidades'!I926</x:f>
        <x:v>90</x:v>
      </x:c>
    </x:row>
    <x:row r="1018" ht="22" customHeight="1">
      <x:c r="A1018" s="19" t="n">
        <x:f>IF(B1018="","",IF(B1018=B1017,A1017,A1017+1))</x:f>
        <x:v>206</x:v>
      </x:c>
      <x:c r="B1018" s="20" t="str">
        <x:f>'Ranking'!C208</x:f>
        <x:v>Krabby</x:v>
      </x:c>
      <x:c r="C1018" s="20" t="str">
        <x:f>'Habilidades'!D927</x:f>
        <x:v>Brine</x:v>
      </x:c>
      <x:c r="D1018" s="20" t="str">
        <x:f>'Habilidades'!F927</x:f>
        <x:v>Especial</x:v>
      </x:c>
      <x:c r="E1018" s="21" t="n">
        <x:f>'Habilidades'!G927</x:f>
        <x:v>65</x:v>
      </x:c>
      <x:c r="F1018" s="21" t="n">
        <x:f>'Habilidades'!H927</x:f>
        <x:v>25</x:v>
      </x:c>
      <x:c r="G1018" s="21" t="n">
        <x:f>'Habilidades'!I927</x:f>
        <x:v>90</x:v>
      </x:c>
    </x:row>
    <x:row r="1019" ht="22" customHeight="1">
      <x:c r="A1019" s="17" t="n">
        <x:f>IF(B1019="","",IF(B1019=B1018,A1018,A1018+1))</x:f>
        <x:v>207</x:v>
      </x:c>
      <x:c r="B1019" s="1" t="str">
        <x:f>'Ranking'!C219</x:f>
        <x:v>Larvesta</x:v>
      </x:c>
      <x:c r="C1019" s="1" t="str">
        <x:f>'Habilidades'!D3594</x:f>
        <x:v>Double-Edge</x:v>
      </x:c>
      <x:c r="D1019" s="1" t="str">
        <x:f>'Habilidades'!F3594</x:f>
        <x:v>Física</x:v>
      </x:c>
      <x:c r="E1019" s="18" t="n">
        <x:f>'Habilidades'!G3594</x:f>
        <x:v>120</x:v>
      </x:c>
      <x:c r="F1019" s="18" t="n">
        <x:f>'Habilidades'!H3594</x:f>
        <x:v>85</x:v>
      </x:c>
      <x:c r="G1019" s="18" t="n">
        <x:f>'Habilidades'!I3594</x:f>
        <x:v>205</x:v>
      </x:c>
    </x:row>
    <x:row r="1020" ht="22" customHeight="1">
      <x:c r="A1020" s="17" t="n">
        <x:f>IF(B1020="","",IF(B1020=B1019,A1019,A1019+1))</x:f>
        <x:v>207</x:v>
      </x:c>
      <x:c r="B1020" s="1" t="str">
        <x:f>'Ranking'!C219</x:f>
        <x:v>Larvesta</x:v>
      </x:c>
      <x:c r="C1020" s="1" t="str">
        <x:f>'Habilidades'!D3595</x:f>
        <x:v>Thrash</x:v>
      </x:c>
      <x:c r="D1020" s="1" t="str">
        <x:f>'Habilidades'!F3595</x:f>
        <x:v>Física</x:v>
      </x:c>
      <x:c r="E1020" s="18" t="n">
        <x:f>'Habilidades'!G3595</x:f>
        <x:v>120</x:v>
      </x:c>
      <x:c r="F1020" s="18" t="n">
        <x:f>'Habilidades'!H3595</x:f>
        <x:v>85</x:v>
      </x:c>
      <x:c r="G1020" s="18" t="n">
        <x:f>'Habilidades'!I3595</x:f>
        <x:v>205</x:v>
      </x:c>
    </x:row>
    <x:row r="1021" ht="22" customHeight="1">
      <x:c r="A1021" s="17" t="n">
        <x:f>IF(B1021="","",IF(B1021=B1020,A1020,A1020+1))</x:f>
        <x:v>207</x:v>
      </x:c>
      <x:c r="B1021" s="1" t="str">
        <x:f>'Ranking'!C219</x:f>
        <x:v>Larvesta</x:v>
      </x:c>
      <x:c r="C1021" s="1" t="str">
        <x:f>'Habilidades'!D3596</x:f>
        <x:v>Flare Blitz</x:v>
      </x:c>
      <x:c r="D1021" s="1" t="str">
        <x:f>'Habilidades'!F3596</x:f>
        <x:v>Física</x:v>
      </x:c>
      <x:c r="E1021" s="18" t="n">
        <x:f>'Habilidades'!G3596</x:f>
        <x:v>120</x:v>
      </x:c>
      <x:c r="F1021" s="18" t="n">
        <x:f>'Habilidades'!H3596</x:f>
        <x:v>85</x:v>
      </x:c>
      <x:c r="G1021" s="18" t="n">
        <x:f>'Habilidades'!I3596</x:f>
        <x:v>205</x:v>
      </x:c>
    </x:row>
    <x:row r="1022" ht="22" customHeight="1">
      <x:c r="A1022" s="17" t="n">
        <x:f>IF(B1022="","",IF(B1022=B1021,A1021,A1021+1))</x:f>
        <x:v>207</x:v>
      </x:c>
      <x:c r="B1022" s="1" t="str">
        <x:f>'Ranking'!C219</x:f>
        <x:v>Larvesta</x:v>
      </x:c>
      <x:c r="C1022" s="1" t="str">
        <x:f>'Habilidades'!D3597</x:f>
        <x:v>Take Down</x:v>
      </x:c>
      <x:c r="D1022" s="1" t="str">
        <x:f>'Habilidades'!F3597</x:f>
        <x:v>Física</x:v>
      </x:c>
      <x:c r="E1022" s="18" t="n">
        <x:f>'Habilidades'!G3597</x:f>
        <x:v>90</x:v>
      </x:c>
      <x:c r="F1022" s="18" t="n">
        <x:f>'Habilidades'!H3597</x:f>
        <x:v>85</x:v>
      </x:c>
      <x:c r="G1022" s="18" t="n">
        <x:f>'Habilidades'!I3597</x:f>
        <x:v>175</x:v>
      </x:c>
    </x:row>
    <x:row r="1023" ht="22" customHeight="1">
      <x:c r="A1023" s="19" t="n">
        <x:f>IF(B1023="","",IF(B1023=B1022,A1022,A1022+1))</x:f>
        <x:v>207</x:v>
      </x:c>
      <x:c r="B1023" s="20" t="str">
        <x:f>'Ranking'!C219</x:f>
        <x:v>Larvesta</x:v>
      </x:c>
      <x:c r="C1023" s="20" t="str">
        <x:f>'Habilidades'!D3600</x:f>
        <x:v>Bug Buzz</x:v>
      </x:c>
      <x:c r="D1023" s="20" t="str">
        <x:f>'Habilidades'!F3600</x:f>
        <x:v>Especial</x:v>
      </x:c>
      <x:c r="E1023" s="21" t="n">
        <x:f>'Habilidades'!G3600</x:f>
        <x:v>90</x:v>
      </x:c>
      <x:c r="F1023" s="21" t="n">
        <x:f>'Habilidades'!H3600</x:f>
        <x:v>50</x:v>
      </x:c>
      <x:c r="G1023" s="21" t="n">
        <x:f>'Habilidades'!I3600</x:f>
        <x:v>140</x:v>
      </x:c>
    </x:row>
    <x:row r="1024" ht="22" customHeight="1">
      <x:c r="A1024" s="17" t="n">
        <x:f>IF(B1024="","",IF(B1024=B1023,A1023,A1023+1))</x:f>
        <x:v>208</x:v>
      </x:c>
      <x:c r="B1024" s="1" t="str">
        <x:f>'Ranking'!C220</x:f>
        <x:v>Metang</x:v>
      </x:c>
      <x:c r="C1024" s="1" t="str">
        <x:f>'Habilidades'!D3123</x:f>
        <x:v>Hyper Beam</x:v>
      </x:c>
      <x:c r="D1024" s="1" t="str">
        <x:f>'Habilidades'!F3123</x:f>
        <x:v>Especial</x:v>
      </x:c>
      <x:c r="E1024" s="18" t="n">
        <x:f>'Habilidades'!G3123</x:f>
        <x:v>150</x:v>
      </x:c>
      <x:c r="F1024" s="18" t="n">
        <x:f>'Habilidades'!H3123</x:f>
        <x:v>55</x:v>
      </x:c>
      <x:c r="G1024" s="18" t="n">
        <x:f>'Habilidades'!I3123</x:f>
        <x:v>205</x:v>
      </x:c>
    </x:row>
    <x:row r="1025" ht="22" customHeight="1">
      <x:c r="A1025" s="17" t="n">
        <x:f>IF(B1025="","",IF(B1025=B1024,A1024,A1024+1))</x:f>
        <x:v>208</x:v>
      </x:c>
      <x:c r="B1025" s="1" t="str">
        <x:f>'Ranking'!C220</x:f>
        <x:v>Metang</x:v>
      </x:c>
      <x:c r="C1025" s="1" t="str">
        <x:f>'Habilidades'!D3124</x:f>
        <x:v>Take Down</x:v>
      </x:c>
      <x:c r="D1025" s="1" t="str">
        <x:f>'Habilidades'!F3124</x:f>
        <x:v>Física</x:v>
      </x:c>
      <x:c r="E1025" s="18" t="n">
        <x:f>'Habilidades'!G3124</x:f>
        <x:v>90</x:v>
      </x:c>
      <x:c r="F1025" s="18" t="n">
        <x:f>'Habilidades'!H3124</x:f>
        <x:v>75</x:v>
      </x:c>
      <x:c r="G1025" s="18" t="n">
        <x:f>'Habilidades'!I3124</x:f>
        <x:v>165</x:v>
      </x:c>
    </x:row>
    <x:row r="1026" ht="22" customHeight="1">
      <x:c r="A1026" s="17" t="n">
        <x:f>IF(B1026="","",IF(B1026=B1025,A1025,A1025+1))</x:f>
        <x:v>208</x:v>
      </x:c>
      <x:c r="B1026" s="1" t="str">
        <x:f>'Ranking'!C220</x:f>
        <x:v>Metang</x:v>
      </x:c>
      <x:c r="C1026" s="1" t="str">
        <x:f>'Habilidades'!D3125</x:f>
        <x:v>Meteor Mash</x:v>
      </x:c>
      <x:c r="D1026" s="1" t="str">
        <x:f>'Habilidades'!F3125</x:f>
        <x:v>Física</x:v>
      </x:c>
      <x:c r="E1026" s="18" t="n">
        <x:f>'Habilidades'!G3125</x:f>
        <x:v>90</x:v>
      </x:c>
      <x:c r="F1026" s="18" t="n">
        <x:f>'Habilidades'!H3125</x:f>
        <x:v>75</x:v>
      </x:c>
      <x:c r="G1026" s="18" t="n">
        <x:f>'Habilidades'!I3125</x:f>
        <x:v>165</x:v>
      </x:c>
    </x:row>
    <x:row r="1027" ht="22" customHeight="1">
      <x:c r="A1027" s="17" t="n">
        <x:f>IF(B1027="","",IF(B1027=B1026,A1026,A1026+1))</x:f>
        <x:v>208</x:v>
      </x:c>
      <x:c r="B1027" s="1" t="str">
        <x:f>'Ranking'!C220</x:f>
        <x:v>Metang</x:v>
      </x:c>
      <x:c r="C1027" s="1" t="str">
        <x:f>'Habilidades'!D3126</x:f>
        <x:v>Zen Headbutt</x:v>
      </x:c>
      <x:c r="D1027" s="1" t="str">
        <x:f>'Habilidades'!F3126</x:f>
        <x:v>Física</x:v>
      </x:c>
      <x:c r="E1027" s="18" t="n">
        <x:f>'Habilidades'!G3126</x:f>
        <x:v>80</x:v>
      </x:c>
      <x:c r="F1027" s="18" t="n">
        <x:f>'Habilidades'!H3126</x:f>
        <x:v>75</x:v>
      </x:c>
      <x:c r="G1027" s="18" t="n">
        <x:f>'Habilidades'!I3126</x:f>
        <x:v>155</x:v>
      </x:c>
    </x:row>
    <x:row r="1028" ht="22" customHeight="1">
      <x:c r="A1028" s="19" t="n">
        <x:f>IF(B1028="","",IF(B1028=B1027,A1027,A1027+1))</x:f>
        <x:v>208</x:v>
      </x:c>
      <x:c r="B1028" s="20" t="str">
        <x:f>'Ranking'!C220</x:f>
        <x:v>Metang</x:v>
      </x:c>
      <x:c r="C1028" s="20" t="str">
        <x:f>'Habilidades'!D3127</x:f>
        <x:v>Psychic</x:v>
      </x:c>
      <x:c r="D1028" s="20" t="str">
        <x:f>'Habilidades'!F3127</x:f>
        <x:v>Especial</x:v>
      </x:c>
      <x:c r="E1028" s="21" t="n">
        <x:f>'Habilidades'!G3127</x:f>
        <x:v>90</x:v>
      </x:c>
      <x:c r="F1028" s="21" t="n">
        <x:f>'Habilidades'!H3127</x:f>
        <x:v>55</x:v>
      </x:c>
      <x:c r="G1028" s="21" t="n">
        <x:f>'Habilidades'!I3127</x:f>
        <x:v>145</x:v>
      </x:c>
    </x:row>
    <x:row r="1029" ht="22" customHeight="1">
      <x:c r="A1029" s="17" t="n">
        <x:f>IF(B1029="","",IF(B1029=B1028,A1028,A1028+1))</x:f>
        <x:v>209</x:v>
      </x:c>
      <x:c r="B1029" s="1" t="str">
        <x:f>'Ranking'!C212</x:f>
        <x:v>Ponyta</x:v>
      </x:c>
      <x:c r="C1029" s="1" t="str">
        <x:f>'Habilidades'!D686</x:f>
        <x:v>Flare Blitz</x:v>
      </x:c>
      <x:c r="D1029" s="1" t="str">
        <x:f>'Habilidades'!F686</x:f>
        <x:v>Física</x:v>
      </x:c>
      <x:c r="E1029" s="18" t="n">
        <x:f>'Habilidades'!G686</x:f>
        <x:v>120</x:v>
      </x:c>
      <x:c r="F1029" s="18" t="n">
        <x:f>'Habilidades'!H686</x:f>
        <x:v>85</x:v>
      </x:c>
      <x:c r="G1029" s="18" t="n">
        <x:f>'Habilidades'!I686</x:f>
        <x:v>205</x:v>
      </x:c>
    </x:row>
    <x:row r="1030" ht="22" customHeight="1">
      <x:c r="A1030" s="17" t="n">
        <x:f>IF(B1030="","",IF(B1030=B1029,A1029,A1029+1))</x:f>
        <x:v>209</x:v>
      </x:c>
      <x:c r="B1030" s="1" t="str">
        <x:f>'Ranking'!C212</x:f>
        <x:v>Ponyta</x:v>
      </x:c>
      <x:c r="C1030" s="1" t="str">
        <x:f>'Habilidades'!D687</x:f>
        <x:v>Fire Blast</x:v>
      </x:c>
      <x:c r="D1030" s="1" t="str">
        <x:f>'Habilidades'!F687</x:f>
        <x:v>Especial</x:v>
      </x:c>
      <x:c r="E1030" s="18" t="n">
        <x:f>'Habilidades'!G687</x:f>
        <x:v>110</x:v>
      </x:c>
      <x:c r="F1030" s="18" t="n">
        <x:f>'Habilidades'!H687</x:f>
        <x:v>65</x:v>
      </x:c>
      <x:c r="G1030" s="18" t="n">
        <x:f>'Habilidades'!I687</x:f>
        <x:v>175</x:v>
      </x:c>
    </x:row>
    <x:row r="1031" ht="22" customHeight="1">
      <x:c r="A1031" s="17" t="n">
        <x:f>IF(B1031="","",IF(B1031=B1030,A1030,A1030+1))</x:f>
        <x:v>209</x:v>
      </x:c>
      <x:c r="B1031" s="1" t="str">
        <x:f>'Ranking'!C212</x:f>
        <x:v>Ponyta</x:v>
      </x:c>
      <x:c r="C1031" s="1" t="str">
        <x:f>'Habilidades'!D688</x:f>
        <x:v>Take Down</x:v>
      </x:c>
      <x:c r="D1031" s="1" t="str">
        <x:f>'Habilidades'!F688</x:f>
        <x:v>Física</x:v>
      </x:c>
      <x:c r="E1031" s="18" t="n">
        <x:f>'Habilidades'!G688</x:f>
        <x:v>90</x:v>
      </x:c>
      <x:c r="F1031" s="18" t="n">
        <x:f>'Habilidades'!H688</x:f>
        <x:v>85</x:v>
      </x:c>
      <x:c r="G1031" s="18" t="n">
        <x:f>'Habilidades'!I688</x:f>
        <x:v>175</x:v>
      </x:c>
    </x:row>
    <x:row r="1032" ht="22" customHeight="1">
      <x:c r="A1032" s="17" t="n">
        <x:f>IF(B1032="","",IF(B1032=B1031,A1031,A1031+1))</x:f>
        <x:v>209</x:v>
      </x:c>
      <x:c r="B1032" s="1" t="str">
        <x:f>'Ranking'!C212</x:f>
        <x:v>Ponyta</x:v>
      </x:c>
      <x:c r="C1032" s="1" t="str">
        <x:f>'Habilidades'!D689</x:f>
        <x:v>Bounce</x:v>
      </x:c>
      <x:c r="D1032" s="1" t="str">
        <x:f>'Habilidades'!F689</x:f>
        <x:v>Física</x:v>
      </x:c>
      <x:c r="E1032" s="18" t="n">
        <x:f>'Habilidades'!G689</x:f>
        <x:v>85</x:v>
      </x:c>
      <x:c r="F1032" s="18" t="n">
        <x:f>'Habilidades'!H689</x:f>
        <x:v>85</x:v>
      </x:c>
      <x:c r="G1032" s="18" t="n">
        <x:f>'Habilidades'!I689</x:f>
        <x:v>170</x:v>
      </x:c>
    </x:row>
    <x:row r="1033" ht="22" customHeight="1">
      <x:c r="A1033" s="19" t="n">
        <x:f>IF(B1033="","",IF(B1033=B1032,A1032,A1032+1))</x:f>
        <x:v>209</x:v>
      </x:c>
      <x:c r="B1033" s="20" t="str">
        <x:f>'Ranking'!C212</x:f>
        <x:v>Ponyta</x:v>
      </x:c>
      <x:c r="C1033" s="20" t="str">
        <x:f>'Habilidades'!D690</x:f>
        <x:v>Inferno</x:v>
      </x:c>
      <x:c r="D1033" s="20" t="str">
        <x:f>'Habilidades'!F690</x:f>
        <x:v>Especial</x:v>
      </x:c>
      <x:c r="E1033" s="21" t="n">
        <x:f>'Habilidades'!G690</x:f>
        <x:v>100</x:v>
      </x:c>
      <x:c r="F1033" s="21" t="n">
        <x:f>'Habilidades'!H690</x:f>
        <x:v>65</x:v>
      </x:c>
      <x:c r="G1033" s="21" t="n">
        <x:f>'Habilidades'!I690</x:f>
        <x:v>165</x:v>
      </x:c>
    </x:row>
    <x:row r="1034" ht="22" customHeight="1">
      <x:c r="A1034" s="17" t="n">
        <x:f>IF(B1034="","",IF(B1034=B1033,A1033,A1033+1))</x:f>
        <x:v>210</x:v>
      </x:c>
      <x:c r="B1034" s="1" t="str">
        <x:f>'Ranking'!C215</x:f>
        <x:v>Porygon</x:v>
      </x:c>
      <x:c r="C1034" s="1" t="str">
        <x:f>'Habilidades'!D1307</x:f>
        <x:v>Zap Cannon</x:v>
      </x:c>
      <x:c r="D1034" s="1" t="str">
        <x:f>'Habilidades'!F1307</x:f>
        <x:v>Especial</x:v>
      </x:c>
      <x:c r="E1034" s="18" t="n">
        <x:f>'Habilidades'!G1307</x:f>
        <x:v>120</x:v>
      </x:c>
      <x:c r="F1034" s="18" t="n">
        <x:f>'Habilidades'!H1307</x:f>
        <x:v>85</x:v>
      </x:c>
      <x:c r="G1034" s="18" t="n">
        <x:f>'Habilidades'!I1307</x:f>
        <x:v>205</x:v>
      </x:c>
    </x:row>
    <x:row r="1035" ht="22" customHeight="1">
      <x:c r="A1035" s="17" t="n">
        <x:f>IF(B1035="","",IF(B1035=B1034,A1034,A1034+1))</x:f>
        <x:v>210</x:v>
      </x:c>
      <x:c r="B1035" s="1" t="str">
        <x:f>'Ranking'!C215</x:f>
        <x:v>Porygon</x:v>
      </x:c>
      <x:c r="C1035" s="1" t="str">
        <x:f>'Habilidades'!D1308</x:f>
        <x:v>Discharge</x:v>
      </x:c>
      <x:c r="D1035" s="1" t="str">
        <x:f>'Habilidades'!F1308</x:f>
        <x:v>Especial</x:v>
      </x:c>
      <x:c r="E1035" s="18" t="n">
        <x:f>'Habilidades'!G1308</x:f>
        <x:v>80</x:v>
      </x:c>
      <x:c r="F1035" s="18" t="n">
        <x:f>'Habilidades'!H1308</x:f>
        <x:v>85</x:v>
      </x:c>
      <x:c r="G1035" s="18" t="n">
        <x:f>'Habilidades'!I1308</x:f>
        <x:v>165</x:v>
      </x:c>
    </x:row>
    <x:row r="1036" ht="22" customHeight="1">
      <x:c r="A1036" s="17" t="n">
        <x:f>IF(B1036="","",IF(B1036=B1035,A1035,A1035+1))</x:f>
        <x:v>210</x:v>
      </x:c>
      <x:c r="B1036" s="1" t="str">
        <x:f>'Ranking'!C215</x:f>
        <x:v>Porygon</x:v>
      </x:c>
      <x:c r="C1036" s="1" t="str">
        <x:f>'Habilidades'!D1309</x:f>
        <x:v>Tri Attack</x:v>
      </x:c>
      <x:c r="D1036" s="1" t="str">
        <x:f>'Habilidades'!F1309</x:f>
        <x:v>Especial</x:v>
      </x:c>
      <x:c r="E1036" s="18" t="n">
        <x:f>'Habilidades'!G1309</x:f>
        <x:v>80</x:v>
      </x:c>
      <x:c r="F1036" s="18" t="n">
        <x:f>'Habilidades'!H1309</x:f>
        <x:v>85</x:v>
      </x:c>
      <x:c r="G1036" s="18" t="n">
        <x:f>'Habilidades'!I1309</x:f>
        <x:v>165</x:v>
      </x:c>
    </x:row>
    <x:row r="1037" ht="22" customHeight="1">
      <x:c r="A1037" s="17" t="n">
        <x:f>IF(B1037="","",IF(B1037=B1036,A1036,A1036+1))</x:f>
        <x:v>210</x:v>
      </x:c>
      <x:c r="B1037" s="1" t="str">
        <x:f>'Ranking'!C215</x:f>
        <x:v>Porygon</x:v>
      </x:c>
      <x:c r="C1037" s="1" t="str">
        <x:f>'Habilidades'!D1310</x:f>
        <x:v>Signal Beam</x:v>
      </x:c>
      <x:c r="D1037" s="1" t="str">
        <x:f>'Habilidades'!F1310</x:f>
        <x:v>Especial</x:v>
      </x:c>
      <x:c r="E1037" s="18" t="n">
        <x:f>'Habilidades'!G1310</x:f>
        <x:v>75</x:v>
      </x:c>
      <x:c r="F1037" s="18" t="n">
        <x:f>'Habilidades'!H1310</x:f>
        <x:v>85</x:v>
      </x:c>
      <x:c r="G1037" s="18" t="n">
        <x:f>'Habilidades'!I1310</x:f>
        <x:v>160</x:v>
      </x:c>
    </x:row>
    <x:row r="1038" ht="22" customHeight="1">
      <x:c r="A1038" s="19" t="n">
        <x:f>IF(B1038="","",IF(B1038=B1037,A1037,A1037+1))</x:f>
        <x:v>210</x:v>
      </x:c>
      <x:c r="B1038" s="20" t="str">
        <x:f>'Ranking'!C215</x:f>
        <x:v>Porygon</x:v>
      </x:c>
      <x:c r="C1038" s="20" t="str">
        <x:f>'Habilidades'!D1311</x:f>
        <x:v>Psybeam</x:v>
      </x:c>
      <x:c r="D1038" s="20" t="str">
        <x:f>'Habilidades'!F1311</x:f>
        <x:v>Especial</x:v>
      </x:c>
      <x:c r="E1038" s="21" t="n">
        <x:f>'Habilidades'!G1311</x:f>
        <x:v>65</x:v>
      </x:c>
      <x:c r="F1038" s="21" t="n">
        <x:f>'Habilidades'!H1311</x:f>
        <x:v>85</x:v>
      </x:c>
      <x:c r="G1038" s="21" t="n">
        <x:f>'Habilidades'!I1311</x:f>
        <x:v>150</x:v>
      </x:c>
    </x:row>
    <x:row r="1039" ht="22" customHeight="1">
      <x:c r="A1039" s="17" t="n">
        <x:f>IF(B1039="","",IF(B1039=B1038,A1038,A1038+1))</x:f>
        <x:v>211</x:v>
      </x:c>
      <x:c r="B1039" s="1" t="str">
        <x:f>'Ranking'!C214</x:f>
        <x:v>Rhyhorn</x:v>
      </x:c>
      <x:c r="C1039" s="1" t="str">
        <x:f>'Habilidades'!D1048</x:f>
        <x:v>Megahorn</x:v>
      </x:c>
      <x:c r="D1039" s="1" t="str">
        <x:f>'Habilidades'!F1048</x:f>
        <x:v>Física</x:v>
      </x:c>
      <x:c r="E1039" s="18" t="n">
        <x:f>'Habilidades'!G1048</x:f>
        <x:v>120</x:v>
      </x:c>
      <x:c r="F1039" s="18" t="n">
        <x:f>'Habilidades'!H1048</x:f>
        <x:v>85</x:v>
      </x:c>
      <x:c r="G1039" s="18" t="n">
        <x:f>'Habilidades'!I1048</x:f>
        <x:v>205</x:v>
      </x:c>
    </x:row>
    <x:row r="1040" ht="22" customHeight="1">
      <x:c r="A1040" s="17" t="n">
        <x:f>IF(B1040="","",IF(B1040=B1039,A1039,A1039+1))</x:f>
        <x:v>211</x:v>
      </x:c>
      <x:c r="B1040" s="1" t="str">
        <x:f>'Ranking'!C214</x:f>
        <x:v>Rhyhorn</x:v>
      </x:c>
      <x:c r="C1040" s="1" t="str">
        <x:f>'Habilidades'!D1049</x:f>
        <x:v>Stone Edge</x:v>
      </x:c>
      <x:c r="D1040" s="1" t="str">
        <x:f>'Habilidades'!F1049</x:f>
        <x:v>Física</x:v>
      </x:c>
      <x:c r="E1040" s="18" t="n">
        <x:f>'Habilidades'!G1049</x:f>
        <x:v>100</x:v>
      </x:c>
      <x:c r="F1040" s="18" t="n">
        <x:f>'Habilidades'!H1049</x:f>
        <x:v>85</x:v>
      </x:c>
      <x:c r="G1040" s="18" t="n">
        <x:f>'Habilidades'!I1049</x:f>
        <x:v>185</x:v>
      </x:c>
    </x:row>
    <x:row r="1041" ht="22" customHeight="1">
      <x:c r="A1041" s="17" t="n">
        <x:f>IF(B1041="","",IF(B1041=B1040,A1040,A1040+1))</x:f>
        <x:v>211</x:v>
      </x:c>
      <x:c r="B1041" s="1" t="str">
        <x:f>'Ranking'!C214</x:f>
        <x:v>Rhyhorn</x:v>
      </x:c>
      <x:c r="C1041" s="1" t="str">
        <x:f>'Habilidades'!D1050</x:f>
        <x:v>Earthquake</x:v>
      </x:c>
      <x:c r="D1041" s="1" t="str">
        <x:f>'Habilidades'!F1050</x:f>
        <x:v>Física</x:v>
      </x:c>
      <x:c r="E1041" s="18" t="n">
        <x:f>'Habilidades'!G1050</x:f>
        <x:v>100</x:v>
      </x:c>
      <x:c r="F1041" s="18" t="n">
        <x:f>'Habilidades'!H1050</x:f>
        <x:v>85</x:v>
      </x:c>
      <x:c r="G1041" s="18" t="n">
        <x:f>'Habilidades'!I1050</x:f>
        <x:v>185</x:v>
      </x:c>
    </x:row>
    <x:row r="1042" ht="22" customHeight="1">
      <x:c r="A1042" s="17" t="n">
        <x:f>IF(B1042="","",IF(B1042=B1041,A1041,A1041+1))</x:f>
        <x:v>211</x:v>
      </x:c>
      <x:c r="B1042" s="1" t="str">
        <x:f>'Ranking'!C214</x:f>
        <x:v>Rhyhorn</x:v>
      </x:c>
      <x:c r="C1042" s="1" t="str">
        <x:f>'Habilidades'!D1051</x:f>
        <x:v>Take Down</x:v>
      </x:c>
      <x:c r="D1042" s="1" t="str">
        <x:f>'Habilidades'!F1051</x:f>
        <x:v>Física</x:v>
      </x:c>
      <x:c r="E1042" s="18" t="n">
        <x:f>'Habilidades'!G1051</x:f>
        <x:v>90</x:v>
      </x:c>
      <x:c r="F1042" s="18" t="n">
        <x:f>'Habilidades'!H1051</x:f>
        <x:v>85</x:v>
      </x:c>
      <x:c r="G1042" s="18" t="n">
        <x:f>'Habilidades'!I1051</x:f>
        <x:v>175</x:v>
      </x:c>
    </x:row>
    <x:row r="1043" ht="22" customHeight="1">
      <x:c r="A1043" s="19" t="n">
        <x:f>IF(B1043="","",IF(B1043=B1042,A1042,A1042+1))</x:f>
        <x:v>211</x:v>
      </x:c>
      <x:c r="B1043" s="20" t="str">
        <x:f>'Ranking'!C214</x:f>
        <x:v>Rhyhorn</x:v>
      </x:c>
      <x:c r="C1043" s="20" t="str">
        <x:f>'Habilidades'!D1052</x:f>
        <x:v>Drill Run</x:v>
      </x:c>
      <x:c r="D1043" s="20" t="str">
        <x:f>'Habilidades'!F1052</x:f>
        <x:v>Física</x:v>
      </x:c>
      <x:c r="E1043" s="21" t="n">
        <x:f>'Habilidades'!G1052</x:f>
        <x:v>80</x:v>
      </x:c>
      <x:c r="F1043" s="21" t="n">
        <x:f>'Habilidades'!H1052</x:f>
        <x:v>85</x:v>
      </x:c>
      <x:c r="G1043" s="21" t="n">
        <x:f>'Habilidades'!I1052</x:f>
        <x:v>165</x:v>
      </x:c>
    </x:row>
    <x:row r="1044" ht="22" customHeight="1">
      <x:c r="A1044" s="17" t="n">
        <x:f>IF(B1044="","",IF(B1044=B1043,A1043,A1043+1))</x:f>
        <x:v>212</x:v>
      </x:c>
      <x:c r="B1044" s="1" t="str">
        <x:f>'Ranking'!C209</x:f>
        <x:v>Seadra</x:v>
      </x:c>
      <x:c r="C1044" s="1" t="str">
        <x:f>'Habilidades'!D1114</x:f>
        <x:v>Hydro Pump</x:v>
      </x:c>
      <x:c r="D1044" s="1" t="str">
        <x:f>'Habilidades'!F1114</x:f>
        <x:v>Especial</x:v>
      </x:c>
      <x:c r="E1044" s="18" t="n">
        <x:f>'Habilidades'!G1114</x:f>
        <x:v>110</x:v>
      </x:c>
      <x:c r="F1044" s="18" t="n">
        <x:f>'Habilidades'!H1114</x:f>
        <x:v>95</x:v>
      </x:c>
      <x:c r="G1044" s="18" t="n">
        <x:f>'Habilidades'!I1114</x:f>
        <x:v>205</x:v>
      </x:c>
    </x:row>
    <x:row r="1045" ht="22" customHeight="1">
      <x:c r="A1045" s="17" t="n">
        <x:f>IF(B1045="","",IF(B1045=B1044,A1044,A1044+1))</x:f>
        <x:v>212</x:v>
      </x:c>
      <x:c r="B1045" s="1" t="str">
        <x:f>'Ranking'!C209</x:f>
        <x:v>Seadra</x:v>
      </x:c>
      <x:c r="C1045" s="1" t="str">
        <x:f>'Habilidades'!D1115</x:f>
        <x:v>Dragon Pulse</x:v>
      </x:c>
      <x:c r="D1045" s="1" t="str">
        <x:f>'Habilidades'!F1115</x:f>
        <x:v>Especial</x:v>
      </x:c>
      <x:c r="E1045" s="18" t="n">
        <x:f>'Habilidades'!G1115</x:f>
        <x:v>85</x:v>
      </x:c>
      <x:c r="F1045" s="18" t="n">
        <x:f>'Habilidades'!H1115</x:f>
        <x:v>95</x:v>
      </x:c>
      <x:c r="G1045" s="18" t="n">
        <x:f>'Habilidades'!I1115</x:f>
        <x:v>180</x:v>
      </x:c>
    </x:row>
    <x:row r="1046" ht="22" customHeight="1">
      <x:c r="A1046" s="17" t="n">
        <x:f>IF(B1046="","",IF(B1046=B1045,A1045,A1045+1))</x:f>
        <x:v>212</x:v>
      </x:c>
      <x:c r="B1046" s="1" t="str">
        <x:f>'Ranking'!C209</x:f>
        <x:v>Seadra</x:v>
      </x:c>
      <x:c r="C1046" s="1" t="str">
        <x:f>'Habilidades'!D1116</x:f>
        <x:v>Bubble Beam</x:v>
      </x:c>
      <x:c r="D1046" s="1" t="str">
        <x:f>'Habilidades'!F1116</x:f>
        <x:v>Especial</x:v>
      </x:c>
      <x:c r="E1046" s="18" t="n">
        <x:f>'Habilidades'!G1116</x:f>
        <x:v>65</x:v>
      </x:c>
      <x:c r="F1046" s="18" t="n">
        <x:f>'Habilidades'!H1116</x:f>
        <x:v>95</x:v>
      </x:c>
      <x:c r="G1046" s="18" t="n">
        <x:f>'Habilidades'!I1116</x:f>
        <x:v>160</x:v>
      </x:c>
    </x:row>
    <x:row r="1047" ht="22" customHeight="1">
      <x:c r="A1047" s="17" t="n">
        <x:f>IF(B1047="","",IF(B1047=B1046,A1046,A1046+1))</x:f>
        <x:v>212</x:v>
      </x:c>
      <x:c r="B1047" s="1" t="str">
        <x:f>'Ranking'!C209</x:f>
        <x:v>Seadra</x:v>
      </x:c>
      <x:c r="C1047" s="1" t="str">
        <x:f>'Habilidades'!D1117</x:f>
        <x:v>Brine</x:v>
      </x:c>
      <x:c r="D1047" s="1" t="str">
        <x:f>'Habilidades'!F1117</x:f>
        <x:v>Especial</x:v>
      </x:c>
      <x:c r="E1047" s="18" t="n">
        <x:f>'Habilidades'!G1117</x:f>
        <x:v>65</x:v>
      </x:c>
      <x:c r="F1047" s="18" t="n">
        <x:f>'Habilidades'!H1117</x:f>
        <x:v>95</x:v>
      </x:c>
      <x:c r="G1047" s="18" t="n">
        <x:f>'Habilidades'!I1117</x:f>
        <x:v>160</x:v>
      </x:c>
    </x:row>
    <x:row r="1048" ht="22" customHeight="1">
      <x:c r="A1048" s="19" t="n">
        <x:f>IF(B1048="","",IF(B1048=B1047,A1047,A1047+1))</x:f>
        <x:v>212</x:v>
      </x:c>
      <x:c r="B1048" s="20" t="str">
        <x:f>'Ranking'!C209</x:f>
        <x:v>Seadra</x:v>
      </x:c>
      <x:c r="C1048" s="20" t="str">
        <x:f>'Habilidades'!D1118</x:f>
        <x:v>Water Gun</x:v>
      </x:c>
      <x:c r="D1048" s="20" t="str">
        <x:f>'Habilidades'!F1118</x:f>
        <x:v>Especial</x:v>
      </x:c>
      <x:c r="E1048" s="21" t="n">
        <x:f>'Habilidades'!G1118</x:f>
        <x:v>40</x:v>
      </x:c>
      <x:c r="F1048" s="21" t="n">
        <x:f>'Habilidades'!H1118</x:f>
        <x:v>95</x:v>
      </x:c>
      <x:c r="G1048" s="21" t="n">
        <x:f>'Habilidades'!I1118</x:f>
        <x:v>135</x:v>
      </x:c>
    </x:row>
    <x:row r="1049" ht="22" customHeight="1">
      <x:c r="A1049" s="17" t="n">
        <x:f>IF(B1049="","",IF(B1049=B1048,A1048,A1048+1))</x:f>
        <x:v>213</x:v>
      </x:c>
      <x:c r="B1049" s="1" t="str">
        <x:f>'Ranking'!C217</x:f>
        <x:v>Swellow</x:v>
      </x:c>
      <x:c r="C1049" s="1" t="str">
        <x:f>'Habilidades'!D2500</x:f>
        <x:v>Brave Bird</x:v>
      </x:c>
      <x:c r="D1049" s="1" t="str">
        <x:f>'Habilidades'!F2500</x:f>
        <x:v>Física</x:v>
      </x:c>
      <x:c r="E1049" s="18" t="n">
        <x:f>'Habilidades'!G2500</x:f>
        <x:v>120</x:v>
      </x:c>
      <x:c r="F1049" s="18" t="n">
        <x:f>'Habilidades'!H2500</x:f>
        <x:v>85</x:v>
      </x:c>
      <x:c r="G1049" s="18" t="n">
        <x:f>'Habilidades'!I2500</x:f>
        <x:v>205</x:v>
      </x:c>
    </x:row>
    <x:row r="1050" ht="22" customHeight="1">
      <x:c r="A1050" s="17" t="n">
        <x:f>IF(B1050="","",IF(B1050=B1049,A1049,A1049+1))</x:f>
        <x:v>213</x:v>
      </x:c>
      <x:c r="B1050" s="1" t="str">
        <x:f>'Ranking'!C217</x:f>
        <x:v>Swellow</x:v>
      </x:c>
      <x:c r="C1050" s="1" t="str">
        <x:f>'Habilidades'!D2501</x:f>
        <x:v>Pluck</x:v>
      </x:c>
      <x:c r="D1050" s="1" t="str">
        <x:f>'Habilidades'!F2501</x:f>
        <x:v>Física</x:v>
      </x:c>
      <x:c r="E1050" s="18" t="n">
        <x:f>'Habilidades'!G2501</x:f>
        <x:v>60</x:v>
      </x:c>
      <x:c r="F1050" s="18" t="n">
        <x:f>'Habilidades'!H2501</x:f>
        <x:v>85</x:v>
      </x:c>
      <x:c r="G1050" s="18" t="n">
        <x:f>'Habilidades'!I2501</x:f>
        <x:v>145</x:v>
      </x:c>
    </x:row>
    <x:row r="1051" ht="22" customHeight="1">
      <x:c r="A1051" s="17" t="n">
        <x:f>IF(B1051="","",IF(B1051=B1050,A1050,A1050+1))</x:f>
        <x:v>213</x:v>
      </x:c>
      <x:c r="B1051" s="1" t="str">
        <x:f>'Ranking'!C217</x:f>
        <x:v>Swellow</x:v>
      </x:c>
      <x:c r="C1051" s="1" t="str">
        <x:f>'Habilidades'!D2502</x:f>
        <x:v>Wing Attack</x:v>
      </x:c>
      <x:c r="D1051" s="1" t="str">
        <x:f>'Habilidades'!F2502</x:f>
        <x:v>Física</x:v>
      </x:c>
      <x:c r="E1051" s="18" t="n">
        <x:f>'Habilidades'!G2502</x:f>
        <x:v>60</x:v>
      </x:c>
      <x:c r="F1051" s="18" t="n">
        <x:f>'Habilidades'!H2502</x:f>
        <x:v>85</x:v>
      </x:c>
      <x:c r="G1051" s="18" t="n">
        <x:f>'Habilidades'!I2502</x:f>
        <x:v>145</x:v>
      </x:c>
    </x:row>
    <x:row r="1052" ht="22" customHeight="1">
      <x:c r="A1052" s="17" t="n">
        <x:f>IF(B1052="","",IF(B1052=B1051,A1051,A1051+1))</x:f>
        <x:v>213</x:v>
      </x:c>
      <x:c r="B1052" s="1" t="str">
        <x:f>'Ranking'!C217</x:f>
        <x:v>Swellow</x:v>
      </x:c>
      <x:c r="C1052" s="1" t="str">
        <x:f>'Habilidades'!D2503</x:f>
        <x:v>Aerial Ace</x:v>
      </x:c>
      <x:c r="D1052" s="1" t="str">
        <x:f>'Habilidades'!F2503</x:f>
        <x:v>Física</x:v>
      </x:c>
      <x:c r="E1052" s="18" t="n">
        <x:f>'Habilidades'!G2503</x:f>
        <x:v>60</x:v>
      </x:c>
      <x:c r="F1052" s="18" t="n">
        <x:f>'Habilidades'!H2503</x:f>
        <x:v>85</x:v>
      </x:c>
      <x:c r="G1052" s="18" t="n">
        <x:f>'Habilidades'!I2503</x:f>
        <x:v>145</x:v>
      </x:c>
    </x:row>
    <x:row r="1053" ht="22" customHeight="1">
      <x:c r="A1053" s="19" t="n">
        <x:f>IF(B1053="","",IF(B1053=B1052,A1052,A1052+1))</x:f>
        <x:v>213</x:v>
      </x:c>
      <x:c r="B1053" s="20" t="str">
        <x:f>'Ranking'!C217</x:f>
        <x:v>Swellow</x:v>
      </x:c>
      <x:c r="C1053" s="20" t="str">
        <x:f>'Habilidades'!D2504</x:f>
        <x:v>Air Slash</x:v>
      </x:c>
      <x:c r="D1053" s="20" t="str">
        <x:f>'Habilidades'!F2504</x:f>
        <x:v>Especial</x:v>
      </x:c>
      <x:c r="E1053" s="21" t="n">
        <x:f>'Habilidades'!G2504</x:f>
        <x:v>75</x:v>
      </x:c>
      <x:c r="F1053" s="21" t="n">
        <x:f>'Habilidades'!H2504</x:f>
        <x:v>50</x:v>
      </x:c>
      <x:c r="G1053" s="21" t="n">
        <x:f>'Habilidades'!I2504</x:f>
        <x:v>125</x:v>
      </x:c>
    </x:row>
    <x:row r="1054" ht="22" customHeight="1">
      <x:c r="A1054" s="17" t="n">
        <x:f>IF(B1054="","",IF(B1054=B1053,A1053,A1053+1))</x:f>
        <x:v>214</x:v>
      </x:c>
      <x:c r="B1054" s="1" t="str">
        <x:f>'Ranking'!C207</x:f>
        <x:v>Sylveon</x:v>
      </x:c>
      <x:c r="C1054" s="1" t="str">
        <x:f>'Habilidades'!D3732</x:f>
        <x:v>Last Resort</x:v>
      </x:c>
      <x:c r="D1054" s="1" t="str">
        <x:f>'Habilidades'!F3732</x:f>
        <x:v>Física</x:v>
      </x:c>
      <x:c r="E1054" s="18" t="n">
        <x:f>'Habilidades'!G3732</x:f>
        <x:v>140</x:v>
      </x:c>
      <x:c r="F1054" s="18" t="n">
        <x:f>'Habilidades'!H3732</x:f>
        <x:v>65</x:v>
      </x:c>
      <x:c r="G1054" s="18" t="n">
        <x:f>'Habilidades'!I3732</x:f>
        <x:v>205</x:v>
      </x:c>
    </x:row>
    <x:row r="1055" ht="22" customHeight="1">
      <x:c r="A1055" s="17" t="n">
        <x:f>IF(B1055="","",IF(B1055=B1054,A1054,A1054+1))</x:f>
        <x:v>214</x:v>
      </x:c>
      <x:c r="B1055" s="1" t="str">
        <x:f>'Ranking'!C207</x:f>
        <x:v>Sylveon</x:v>
      </x:c>
      <x:c r="C1055" s="1" t="str">
        <x:f>'Habilidades'!D3733</x:f>
        <x:v>Moonblast</x:v>
      </x:c>
      <x:c r="D1055" s="1" t="str">
        <x:f>'Habilidades'!F3733</x:f>
        <x:v>Especial</x:v>
      </x:c>
      <x:c r="E1055" s="18" t="n">
        <x:f>'Habilidades'!G3733</x:f>
        <x:v>95</x:v>
      </x:c>
      <x:c r="F1055" s="18" t="n">
        <x:f>'Habilidades'!H3733</x:f>
        <x:v>110</x:v>
      </x:c>
      <x:c r="G1055" s="18" t="n">
        <x:f>'Habilidades'!I3733</x:f>
        <x:v>205</x:v>
      </x:c>
    </x:row>
    <x:row r="1056" ht="22" customHeight="1">
      <x:c r="A1056" s="17" t="n">
        <x:f>IF(B1056="","",IF(B1056=B1055,A1055,A1055+1))</x:f>
        <x:v>214</x:v>
      </x:c>
      <x:c r="B1056" s="1" t="str">
        <x:f>'Ranking'!C207</x:f>
        <x:v>Sylveon</x:v>
      </x:c>
      <x:c r="C1056" s="1" t="str">
        <x:f>'Habilidades'!D3734</x:f>
        <x:v>Swift</x:v>
      </x:c>
      <x:c r="D1056" s="1" t="str">
        <x:f>'Habilidades'!F3734</x:f>
        <x:v>Especial</x:v>
      </x:c>
      <x:c r="E1056" s="18" t="n">
        <x:f>'Habilidades'!G3734</x:f>
        <x:v>60</x:v>
      </x:c>
      <x:c r="F1056" s="18" t="n">
        <x:f>'Habilidades'!H3734</x:f>
        <x:v>110</x:v>
      </x:c>
      <x:c r="G1056" s="18" t="n">
        <x:f>'Habilidades'!I3734</x:f>
        <x:v>170</x:v>
      </x:c>
    </x:row>
    <x:row r="1057" ht="22" customHeight="1">
      <x:c r="A1057" s="17" t="n">
        <x:f>IF(B1057="","",IF(B1057=B1056,A1056,A1056+1))</x:f>
        <x:v>214</x:v>
      </x:c>
      <x:c r="B1057" s="1" t="str">
        <x:f>'Ranking'!C207</x:f>
        <x:v>Sylveon</x:v>
      </x:c>
      <x:c r="C1057" s="1" t="str">
        <x:f>'Habilidades'!D3735</x:f>
        <x:v>Draining Kiss</x:v>
      </x:c>
      <x:c r="D1057" s="1" t="str">
        <x:f>'Habilidades'!F3735</x:f>
        <x:v>Especial</x:v>
      </x:c>
      <x:c r="E1057" s="18" t="n">
        <x:f>'Habilidades'!G3735</x:f>
        <x:v>50</x:v>
      </x:c>
      <x:c r="F1057" s="18" t="n">
        <x:f>'Habilidades'!H3735</x:f>
        <x:v>110</x:v>
      </x:c>
      <x:c r="G1057" s="18" t="n">
        <x:f>'Habilidades'!I3735</x:f>
        <x:v>160</x:v>
      </x:c>
    </x:row>
    <x:row r="1058" ht="22" customHeight="1">
      <x:c r="A1058" s="19" t="n">
        <x:f>IF(B1058="","",IF(B1058=B1057,A1057,A1057+1))</x:f>
        <x:v>214</x:v>
      </x:c>
      <x:c r="B1058" s="20" t="str">
        <x:f>'Ranking'!C207</x:f>
        <x:v>Sylveon</x:v>
      </x:c>
      <x:c r="C1058" s="20" t="str">
        <x:f>'Habilidades'!D3738</x:f>
        <x:v>Tackle</x:v>
      </x:c>
      <x:c r="D1058" s="20" t="str">
        <x:f>'Habilidades'!F3738</x:f>
        <x:v>Física</x:v>
      </x:c>
      <x:c r="E1058" s="21" t="n">
        <x:f>'Habilidades'!G3738</x:f>
        <x:v>50</x:v>
      </x:c>
      <x:c r="F1058" s="21" t="n">
        <x:f>'Habilidades'!H3738</x:f>
        <x:v>65</x:v>
      </x:c>
      <x:c r="G1058" s="21" t="n">
        <x:f>'Habilidades'!I3738</x:f>
        <x:v>115</x:v>
      </x:c>
    </x:row>
    <x:row r="1059" ht="22" customHeight="1">
      <x:c r="A1059" s="17" t="n">
        <x:f>IF(B1059="","",IF(B1059=B1058,A1058,A1058+1))</x:f>
        <x:v>215</x:v>
      </x:c>
      <x:c r="B1059" s="1" t="str">
        <x:f>'Ranking'!C210</x:f>
        <x:v>Walrein</x:v>
      </x:c>
      <x:c r="C1059" s="1" t="str">
        <x:f>'Habilidades'!D3070</x:f>
        <x:v>Blizzard</x:v>
      </x:c>
      <x:c r="D1059" s="1" t="str">
        <x:f>'Habilidades'!F3070</x:f>
        <x:v>Especial</x:v>
      </x:c>
      <x:c r="E1059" s="18" t="n">
        <x:f>'Habilidades'!G3070</x:f>
        <x:v>110</x:v>
      </x:c>
      <x:c r="F1059" s="18" t="n">
        <x:f>'Habilidades'!H3070</x:f>
        <x:v>95</x:v>
      </x:c>
      <x:c r="G1059" s="18" t="n">
        <x:f>'Habilidades'!I3070</x:f>
        <x:v>205</x:v>
      </x:c>
    </x:row>
    <x:row r="1060" ht="22" customHeight="1">
      <x:c r="A1060" s="17" t="n">
        <x:f>IF(B1060="","",IF(B1060=B1059,A1059,A1059+1))</x:f>
        <x:v>215</x:v>
      </x:c>
      <x:c r="B1060" s="1" t="str">
        <x:f>'Ranking'!C210</x:f>
        <x:v>Walrein</x:v>
      </x:c>
      <x:c r="C1060" s="1" t="str">
        <x:f>'Habilidades'!D3071</x:f>
        <x:v>Body Slam</x:v>
      </x:c>
      <x:c r="D1060" s="1" t="str">
        <x:f>'Habilidades'!F3071</x:f>
        <x:v>Física</x:v>
      </x:c>
      <x:c r="E1060" s="18" t="n">
        <x:f>'Habilidades'!G3071</x:f>
        <x:v>85</x:v>
      </x:c>
      <x:c r="F1060" s="18" t="n">
        <x:f>'Habilidades'!H3071</x:f>
        <x:v>80</x:v>
      </x:c>
      <x:c r="G1060" s="18" t="n">
        <x:f>'Habilidades'!I3071</x:f>
        <x:v>165</x:v>
      </x:c>
    </x:row>
    <x:row r="1061" ht="22" customHeight="1">
      <x:c r="A1061" s="17" t="n">
        <x:f>IF(B1061="","",IF(B1061=B1060,A1060,A1060+1))</x:f>
        <x:v>215</x:v>
      </x:c>
      <x:c r="B1061" s="1" t="str">
        <x:f>'Ranking'!C210</x:f>
        <x:v>Walrein</x:v>
      </x:c>
      <x:c r="C1061" s="1" t="str">
        <x:f>'Habilidades'!D3072</x:f>
        <x:v>Crunch</x:v>
      </x:c>
      <x:c r="D1061" s="1" t="str">
        <x:f>'Habilidades'!F3072</x:f>
        <x:v>Física</x:v>
      </x:c>
      <x:c r="E1061" s="18" t="n">
        <x:f>'Habilidades'!G3072</x:f>
        <x:v>80</x:v>
      </x:c>
      <x:c r="F1061" s="18" t="n">
        <x:f>'Habilidades'!H3072</x:f>
        <x:v>80</x:v>
      </x:c>
      <x:c r="G1061" s="18" t="n">
        <x:f>'Habilidades'!I3072</x:f>
        <x:v>160</x:v>
      </x:c>
    </x:row>
    <x:row r="1062" ht="22" customHeight="1">
      <x:c r="A1062" s="17" t="n">
        <x:f>IF(B1062="","",IF(B1062=B1061,A1061,A1061+1))</x:f>
        <x:v>215</x:v>
      </x:c>
      <x:c r="B1062" s="1" t="str">
        <x:f>'Ranking'!C210</x:f>
        <x:v>Walrein</x:v>
      </x:c>
      <x:c r="C1062" s="1" t="str">
        <x:f>'Habilidades'!D3073</x:f>
        <x:v>Aurora Beam</x:v>
      </x:c>
      <x:c r="D1062" s="1" t="str">
        <x:f>'Habilidades'!F3073</x:f>
        <x:v>Especial</x:v>
      </x:c>
      <x:c r="E1062" s="18" t="n">
        <x:f>'Habilidades'!G3073</x:f>
        <x:v>65</x:v>
      </x:c>
      <x:c r="F1062" s="18" t="n">
        <x:f>'Habilidades'!H3073</x:f>
        <x:v>95</x:v>
      </x:c>
      <x:c r="G1062" s="18" t="n">
        <x:f>'Habilidades'!I3073</x:f>
        <x:v>160</x:v>
      </x:c>
    </x:row>
    <x:row r="1063" ht="22" customHeight="1">
      <x:c r="A1063" s="19" t="n">
        <x:f>IF(B1063="","",IF(B1063=B1062,A1062,A1062+1))</x:f>
        <x:v>215</x:v>
      </x:c>
      <x:c r="B1063" s="20" t="str">
        <x:f>'Ranking'!C210</x:f>
        <x:v>Walrein</x:v>
      </x:c>
      <x:c r="C1063" s="20" t="str">
        <x:f>'Habilidades'!D3074</x:f>
        <x:v>Brine</x:v>
      </x:c>
      <x:c r="D1063" s="20" t="str">
        <x:f>'Habilidades'!F3074</x:f>
        <x:v>Especial</x:v>
      </x:c>
      <x:c r="E1063" s="21" t="n">
        <x:f>'Habilidades'!G3074</x:f>
        <x:v>65</x:v>
      </x:c>
      <x:c r="F1063" s="21" t="n">
        <x:f>'Habilidades'!H3074</x:f>
        <x:v>95</x:v>
      </x:c>
      <x:c r="G1063" s="21" t="n">
        <x:f>'Habilidades'!I3074</x:f>
        <x:v>160</x:v>
      </x:c>
    </x:row>
    <x:row r="1064" ht="22" customHeight="1">
      <x:c r="A1064" s="17" t="n">
        <x:f>IF(B1064="","",IF(B1064=B1063,A1063,A1063+1))</x:f>
        <x:v>216</x:v>
      </x:c>
      <x:c r="B1064" s="1" t="str">
        <x:f>'Ranking'!C204</x:f>
        <x:v>Zoroark</x:v>
      </x:c>
      <x:c r="C1064" s="1" t="str">
        <x:f>'Habilidades'!D3488</x:f>
        <x:v>Night Daze</x:v>
      </x:c>
      <x:c r="D1064" s="1" t="str">
        <x:f>'Habilidades'!F3488</x:f>
        <x:v>Especial</x:v>
      </x:c>
      <x:c r="E1064" s="18" t="n">
        <x:f>'Habilidades'!G3488</x:f>
        <x:v>85</x:v>
      </x:c>
      <x:c r="F1064" s="18" t="n">
        <x:f>'Habilidades'!H3488</x:f>
        <x:v>120</x:v>
      </x:c>
      <x:c r="G1064" s="18" t="n">
        <x:f>'Habilidades'!I3488</x:f>
        <x:v>205</x:v>
      </x:c>
    </x:row>
    <x:row r="1065" ht="22" customHeight="1">
      <x:c r="A1065" s="17" t="n">
        <x:f>IF(B1065="","",IF(B1065=B1064,A1064,A1064+1))</x:f>
        <x:v>216</x:v>
      </x:c>
      <x:c r="B1065" s="1" t="str">
        <x:f>'Ranking'!C204</x:f>
        <x:v>Zoroark</x:v>
      </x:c>
      <x:c r="C1065" s="1" t="str">
        <x:f>'Habilidades'!D3489</x:f>
        <x:v>Foul Play</x:v>
      </x:c>
      <x:c r="D1065" s="1" t="str">
        <x:f>'Habilidades'!F3489</x:f>
        <x:v>Física</x:v>
      </x:c>
      <x:c r="E1065" s="18" t="n">
        <x:f>'Habilidades'!G3489</x:f>
        <x:v>95</x:v>
      </x:c>
      <x:c r="F1065" s="18" t="n">
        <x:f>'Habilidades'!H3489</x:f>
        <x:v>105</x:v>
      </x:c>
      <x:c r="G1065" s="18" t="n">
        <x:f>'Habilidades'!I3489</x:f>
        <x:v>200</x:v>
      </x:c>
    </x:row>
    <x:row r="1066" ht="22" customHeight="1">
      <x:c r="A1066" s="17" t="n">
        <x:f>IF(B1066="","",IF(B1066=B1065,A1065,A1065+1))</x:f>
        <x:v>216</x:v>
      </x:c>
      <x:c r="B1066" s="1" t="str">
        <x:f>'Ranking'!C204</x:f>
        <x:v>Zoroark</x:v>
      </x:c>
      <x:c r="C1066" s="1" t="str">
        <x:f>'Habilidades'!D3490</x:f>
        <x:v>U-turn</x:v>
      </x:c>
      <x:c r="D1066" s="1" t="str">
        <x:f>'Habilidades'!F3490</x:f>
        <x:v>Física</x:v>
      </x:c>
      <x:c r="E1066" s="18" t="n">
        <x:f>'Habilidades'!G3490</x:f>
        <x:v>70</x:v>
      </x:c>
      <x:c r="F1066" s="18" t="n">
        <x:f>'Habilidades'!H3490</x:f>
        <x:v>105</x:v>
      </x:c>
      <x:c r="G1066" s="18" t="n">
        <x:f>'Habilidades'!I3490</x:f>
        <x:v>175</x:v>
      </x:c>
    </x:row>
    <x:row r="1067" ht="22" customHeight="1">
      <x:c r="A1067" s="17" t="n">
        <x:f>IF(B1067="","",IF(B1067=B1066,A1066,A1066+1))</x:f>
        <x:v>216</x:v>
      </x:c>
      <x:c r="B1067" s="1" t="str">
        <x:f>'Ranking'!C204</x:f>
        <x:v>Zoroark</x:v>
      </x:c>
      <x:c r="C1067" s="1" t="str">
        <x:f>'Habilidades'!D3491</x:f>
        <x:v>Night Slash</x:v>
      </x:c>
      <x:c r="D1067" s="1" t="str">
        <x:f>'Habilidades'!F3491</x:f>
        <x:v>Física</x:v>
      </x:c>
      <x:c r="E1067" s="18" t="n">
        <x:f>'Habilidades'!G3491</x:f>
        <x:v>70</x:v>
      </x:c>
      <x:c r="F1067" s="18" t="n">
        <x:f>'Habilidades'!H3491</x:f>
        <x:v>105</x:v>
      </x:c>
      <x:c r="G1067" s="18" t="n">
        <x:f>'Habilidades'!I3491</x:f>
        <x:v>175</x:v>
      </x:c>
    </x:row>
    <x:row r="1068" ht="22" customHeight="1">
      <x:c r="A1068" s="19" t="n">
        <x:f>IF(B1068="","",IF(B1068=B1067,A1067,A1067+1))</x:f>
        <x:v>216</x:v>
      </x:c>
      <x:c r="B1068" s="20" t="str">
        <x:f>'Ranking'!C204</x:f>
        <x:v>Zoroark</x:v>
      </x:c>
      <x:c r="C1068" s="20" t="str">
        <x:f>'Habilidades'!D3492</x:f>
        <x:v>Feint Attack</x:v>
      </x:c>
      <x:c r="D1068" s="20" t="str">
        <x:f>'Habilidades'!F3492</x:f>
        <x:v>Física</x:v>
      </x:c>
      <x:c r="E1068" s="21" t="n">
        <x:f>'Habilidades'!G3492</x:f>
        <x:v>60</x:v>
      </x:c>
      <x:c r="F1068" s="21" t="n">
        <x:f>'Habilidades'!H3492</x:f>
        <x:v>105</x:v>
      </x:c>
      <x:c r="G1068" s="21" t="n">
        <x:f>'Habilidades'!I3492</x:f>
        <x:v>165</x:v>
      </x:c>
    </x:row>
    <x:row r="1069" ht="22" customHeight="1">
      <x:c r="A1069" s="17" t="n">
        <x:f>IF(B1069="","",IF(B1069=B1068,A1068,A1068+1))</x:f>
        <x:v>217</x:v>
      </x:c>
      <x:c r="B1069" s="1" t="str">
        <x:f>'Ranking'!C223</x:f>
        <x:v>Litleo</x:v>
      </x:c>
      <x:c r="C1069" s="1" t="str">
        <x:f>'Habilidades'!D3616</x:f>
        <x:v>Overheat</x:v>
      </x:c>
      <x:c r="D1069" s="1" t="str">
        <x:f>'Habilidades'!F3616</x:f>
        <x:v>Especial</x:v>
      </x:c>
      <x:c r="E1069" s="18" t="n">
        <x:f>'Habilidades'!G3616</x:f>
        <x:v>130</x:v>
      </x:c>
      <x:c r="F1069" s="18" t="n">
        <x:f>'Habilidades'!H3616</x:f>
        <x:v>73</x:v>
      </x:c>
      <x:c r="G1069" s="18" t="n">
        <x:f>'Habilidades'!I3616</x:f>
        <x:v>203</x:v>
      </x:c>
    </x:row>
    <x:row r="1070" ht="22" customHeight="1">
      <x:c r="A1070" s="17" t="n">
        <x:f>IF(B1070="","",IF(B1070=B1069,A1069,A1069+1))</x:f>
        <x:v>217</x:v>
      </x:c>
      <x:c r="B1070" s="1" t="str">
        <x:f>'Ranking'!C223</x:f>
        <x:v>Litleo</x:v>
      </x:c>
      <x:c r="C1070" s="1" t="str">
        <x:f>'Habilidades'!D3617</x:f>
        <x:v>Flamethrower</x:v>
      </x:c>
      <x:c r="D1070" s="1" t="str">
        <x:f>'Habilidades'!F3617</x:f>
        <x:v>Especial</x:v>
      </x:c>
      <x:c r="E1070" s="18" t="n">
        <x:f>'Habilidades'!G3617</x:f>
        <x:v>90</x:v>
      </x:c>
      <x:c r="F1070" s="18" t="n">
        <x:f>'Habilidades'!H3617</x:f>
        <x:v>73</x:v>
      </x:c>
      <x:c r="G1070" s="18" t="n">
        <x:f>'Habilidades'!I3617</x:f>
        <x:v>163</x:v>
      </x:c>
    </x:row>
    <x:row r="1071" ht="22" customHeight="1">
      <x:c r="A1071" s="17" t="n">
        <x:f>IF(B1071="","",IF(B1071=B1070,A1070,A1070+1))</x:f>
        <x:v>217</x:v>
      </x:c>
      <x:c r="B1071" s="1" t="str">
        <x:f>'Ranking'!C223</x:f>
        <x:v>Litleo</x:v>
      </x:c>
      <x:c r="C1071" s="1" t="str">
        <x:f>'Habilidades'!D3618</x:f>
        <x:v>Hyper Voice</x:v>
      </x:c>
      <x:c r="D1071" s="1" t="str">
        <x:f>'Habilidades'!F3618</x:f>
        <x:v>Especial</x:v>
      </x:c>
      <x:c r="E1071" s="18" t="n">
        <x:f>'Habilidades'!G3618</x:f>
        <x:v>90</x:v>
      </x:c>
      <x:c r="F1071" s="18" t="n">
        <x:f>'Habilidades'!H3618</x:f>
        <x:v>73</x:v>
      </x:c>
      <x:c r="G1071" s="18" t="n">
        <x:f>'Habilidades'!I3618</x:f>
        <x:v>163</x:v>
      </x:c>
    </x:row>
    <x:row r="1072" ht="22" customHeight="1">
      <x:c r="A1072" s="17" t="n">
        <x:f>IF(B1072="","",IF(B1072=B1071,A1071,A1071+1))</x:f>
        <x:v>217</x:v>
      </x:c>
      <x:c r="B1072" s="1" t="str">
        <x:f>'Ranking'!C223</x:f>
        <x:v>Litleo</x:v>
      </x:c>
      <x:c r="C1072" s="1" t="str">
        <x:f>'Habilidades'!D3619</x:f>
        <x:v>Take Down</x:v>
      </x:c>
      <x:c r="D1072" s="1" t="str">
        <x:f>'Habilidades'!F3619</x:f>
        <x:v>Física</x:v>
      </x:c>
      <x:c r="E1072" s="18" t="n">
        <x:f>'Habilidades'!G3619</x:f>
        <x:v>90</x:v>
      </x:c>
      <x:c r="F1072" s="18" t="n">
        <x:f>'Habilidades'!H3619</x:f>
        <x:v>50</x:v>
      </x:c>
      <x:c r="G1072" s="18" t="n">
        <x:f>'Habilidades'!I3619</x:f>
        <x:v>140</x:v>
      </x:c>
    </x:row>
    <x:row r="1073" ht="22" customHeight="1">
      <x:c r="A1073" s="19" t="n">
        <x:f>IF(B1073="","",IF(B1073=B1072,A1072,A1072+1))</x:f>
        <x:v>217</x:v>
      </x:c>
      <x:c r="B1073" s="20" t="str">
        <x:f>'Ranking'!C223</x:f>
        <x:v>Litleo</x:v>
      </x:c>
      <x:c r="C1073" s="20" t="str">
        <x:f>'Habilidades'!D3621</x:f>
        <x:v>Crunch</x:v>
      </x:c>
      <x:c r="D1073" s="20" t="str">
        <x:f>'Habilidades'!F3621</x:f>
        <x:v>Física</x:v>
      </x:c>
      <x:c r="E1073" s="21" t="n">
        <x:f>'Habilidades'!G3621</x:f>
        <x:v>80</x:v>
      </x:c>
      <x:c r="F1073" s="21" t="n">
        <x:f>'Habilidades'!H3621</x:f>
        <x:v>50</x:v>
      </x:c>
      <x:c r="G1073" s="21" t="n">
        <x:f>'Habilidades'!I3621</x:f>
        <x:v>130</x:v>
      </x:c>
    </x:row>
    <x:row r="1074" ht="22" customHeight="1">
      <x:c r="A1074" s="17" t="n">
        <x:f>IF(B1074="","",IF(B1074=B1073,A1073,A1073+1))</x:f>
        <x:v>218</x:v>
      </x:c>
      <x:c r="B1074" s="1" t="str">
        <x:f>'Ranking'!C221</x:f>
        <x:v>Rufflet</x:v>
      </x:c>
      <x:c r="C1074" s="1" t="str">
        <x:f>'Habilidades'!D3571</x:f>
        <x:v>Brave Bird</x:v>
      </x:c>
      <x:c r="D1074" s="1" t="str">
        <x:f>'Habilidades'!F3571</x:f>
        <x:v>Física</x:v>
      </x:c>
      <x:c r="E1074" s="18" t="n">
        <x:f>'Habilidades'!G3571</x:f>
        <x:v>120</x:v>
      </x:c>
      <x:c r="F1074" s="18" t="n">
        <x:f>'Habilidades'!H3571</x:f>
        <x:v>83</x:v>
      </x:c>
      <x:c r="G1074" s="18" t="n">
        <x:f>'Habilidades'!I3571</x:f>
        <x:v>203</x:v>
      </x:c>
    </x:row>
    <x:row r="1075" ht="22" customHeight="1">
      <x:c r="A1075" s="17" t="n">
        <x:f>IF(B1075="","",IF(B1075=B1074,A1074,A1074+1))</x:f>
        <x:v>218</x:v>
      </x:c>
      <x:c r="B1075" s="1" t="str">
        <x:f>'Ranking'!C221</x:f>
        <x:v>Rufflet</x:v>
      </x:c>
      <x:c r="C1075" s="1" t="str">
        <x:f>'Habilidades'!D3572</x:f>
        <x:v>Thrash</x:v>
      </x:c>
      <x:c r="D1075" s="1" t="str">
        <x:f>'Habilidades'!F3572</x:f>
        <x:v>Física</x:v>
      </x:c>
      <x:c r="E1075" s="18" t="n">
        <x:f>'Habilidades'!G3572</x:f>
        <x:v>120</x:v>
      </x:c>
      <x:c r="F1075" s="18" t="n">
        <x:f>'Habilidades'!H3572</x:f>
        <x:v>83</x:v>
      </x:c>
      <x:c r="G1075" s="18" t="n">
        <x:f>'Habilidades'!I3572</x:f>
        <x:v>203</x:v>
      </x:c>
    </x:row>
    <x:row r="1076" ht="22" customHeight="1">
      <x:c r="A1076" s="17" t="n">
        <x:f>IF(B1076="","",IF(B1076=B1075,A1075,A1075+1))</x:f>
        <x:v>218</x:v>
      </x:c>
      <x:c r="B1076" s="1" t="str">
        <x:f>'Ranking'!C221</x:f>
        <x:v>Rufflet</x:v>
      </x:c>
      <x:c r="C1076" s="1" t="str">
        <x:f>'Habilidades'!D3573</x:f>
        <x:v>Crush Claw</x:v>
      </x:c>
      <x:c r="D1076" s="1" t="str">
        <x:f>'Habilidades'!F3573</x:f>
        <x:v>Física</x:v>
      </x:c>
      <x:c r="E1076" s="18" t="n">
        <x:f>'Habilidades'!G3573</x:f>
        <x:v>75</x:v>
      </x:c>
      <x:c r="F1076" s="18" t="n">
        <x:f>'Habilidades'!H3573</x:f>
        <x:v>83</x:v>
      </x:c>
      <x:c r="G1076" s="18" t="n">
        <x:f>'Habilidades'!I3573</x:f>
        <x:v>158</x:v>
      </x:c>
    </x:row>
    <x:row r="1077" ht="22" customHeight="1">
      <x:c r="A1077" s="17" t="n">
        <x:f>IF(B1077="","",IF(B1077=B1076,A1076,A1076+1))</x:f>
        <x:v>218</x:v>
      </x:c>
      <x:c r="B1077" s="1" t="str">
        <x:f>'Ranking'!C221</x:f>
        <x:v>Rufflet</x:v>
      </x:c>
      <x:c r="C1077" s="1" t="str">
        <x:f>'Habilidades'!D3574</x:f>
        <x:v>Slash</x:v>
      </x:c>
      <x:c r="D1077" s="1" t="str">
        <x:f>'Habilidades'!F3574</x:f>
        <x:v>Física</x:v>
      </x:c>
      <x:c r="E1077" s="18" t="n">
        <x:f>'Habilidades'!G3574</x:f>
        <x:v>70</x:v>
      </x:c>
      <x:c r="F1077" s="18" t="n">
        <x:f>'Habilidades'!H3574</x:f>
        <x:v>83</x:v>
      </x:c>
      <x:c r="G1077" s="18" t="n">
        <x:f>'Habilidades'!I3574</x:f>
        <x:v>153</x:v>
      </x:c>
    </x:row>
    <x:row r="1078" ht="22" customHeight="1">
      <x:c r="A1078" s="19" t="n">
        <x:f>IF(B1078="","",IF(B1078=B1077,A1077,A1077+1))</x:f>
        <x:v>218</x:v>
      </x:c>
      <x:c r="B1078" s="20" t="str">
        <x:f>'Ranking'!C221</x:f>
        <x:v>Rufflet</x:v>
      </x:c>
      <x:c r="C1078" s="20" t="str">
        <x:f>'Habilidades'!D3579</x:f>
        <x:v>Air Slash</x:v>
      </x:c>
      <x:c r="D1078" s="20" t="str">
        <x:f>'Habilidades'!F3579</x:f>
        <x:v>Especial</x:v>
      </x:c>
      <x:c r="E1078" s="21" t="n">
        <x:f>'Habilidades'!G3579</x:f>
        <x:v>75</x:v>
      </x:c>
      <x:c r="F1078" s="21" t="n">
        <x:f>'Habilidades'!H3579</x:f>
        <x:v>37</x:v>
      </x:c>
      <x:c r="G1078" s="21" t="n">
        <x:f>'Habilidades'!I3579</x:f>
        <x:v>112</x:v>
      </x:c>
    </x:row>
    <x:row r="1079" ht="22" customHeight="1">
      <x:c r="A1079" s="17" t="n">
        <x:f>IF(B1079="","",IF(B1079=B1078,A1078,A1078+1))</x:f>
        <x:v>219</x:v>
      </x:c>
      <x:c r="B1079" s="1" t="str">
        <x:f>'Ranking'!C222</x:f>
        <x:v>Shuppet</x:v>
      </x:c>
      <x:c r="C1079" s="1" t="str">
        <x:f>'Habilidades'!D2968</x:f>
        <x:v>Night Shade</x:v>
      </x:c>
      <x:c r="D1079" s="1" t="str">
        <x:f>'Habilidades'!F2968</x:f>
        <x:v>Especial</x:v>
      </x:c>
      <x:c r="E1079" s="18" t="n">
        <x:f>'Habilidades'!G2968</x:f>
        <x:v>140</x:v>
      </x:c>
      <x:c r="F1079" s="18" t="n">
        <x:f>'Habilidades'!H2968</x:f>
        <x:v>63</x:v>
      </x:c>
      <x:c r="G1079" s="18" t="n">
        <x:f>'Habilidades'!I2968</x:f>
        <x:v>203</x:v>
      </x:c>
    </x:row>
    <x:row r="1080" ht="22" customHeight="1">
      <x:c r="A1080" s="17" t="n">
        <x:f>IF(B1080="","",IF(B1080=B1079,A1079,A1079+1))</x:f>
        <x:v>219</x:v>
      </x:c>
      <x:c r="B1080" s="1" t="str">
        <x:f>'Ranking'!C222</x:f>
        <x:v>Shuppet</x:v>
      </x:c>
      <x:c r="C1080" s="1" t="str">
        <x:f>'Habilidades'!D2969</x:f>
        <x:v>Phantom Force</x:v>
      </x:c>
      <x:c r="D1080" s="1" t="str">
        <x:f>'Habilidades'!F2969</x:f>
        <x:v>Física</x:v>
      </x:c>
      <x:c r="E1080" s="18" t="n">
        <x:f>'Habilidades'!G2969</x:f>
        <x:v>90</x:v>
      </x:c>
      <x:c r="F1080" s="18" t="n">
        <x:f>'Habilidades'!H2969</x:f>
        <x:v>75</x:v>
      </x:c>
      <x:c r="G1080" s="18" t="n">
        <x:f>'Habilidades'!I2969</x:f>
        <x:v>165</x:v>
      </x:c>
    </x:row>
    <x:row r="1081" ht="22" customHeight="1">
      <x:c r="A1081" s="17" t="n">
        <x:f>IF(B1081="","",IF(B1081=B1080,A1080,A1080+1))</x:f>
        <x:v>219</x:v>
      </x:c>
      <x:c r="B1081" s="1" t="str">
        <x:f>'Ranking'!C222</x:f>
        <x:v>Shuppet</x:v>
      </x:c>
      <x:c r="C1081" s="1" t="str">
        <x:f>'Habilidades'!D2970</x:f>
        <x:v>Sucker Punch</x:v>
      </x:c>
      <x:c r="D1081" s="1" t="str">
        <x:f>'Habilidades'!F2970</x:f>
        <x:v>Física</x:v>
      </x:c>
      <x:c r="E1081" s="18" t="n">
        <x:f>'Habilidades'!G2970</x:f>
        <x:v>80</x:v>
      </x:c>
      <x:c r="F1081" s="18" t="n">
        <x:f>'Habilidades'!H2970</x:f>
        <x:v>75</x:v>
      </x:c>
      <x:c r="G1081" s="18" t="n">
        <x:f>'Habilidades'!I2970</x:f>
        <x:v>155</x:v>
      </x:c>
    </x:row>
    <x:row r="1082" ht="22" customHeight="1">
      <x:c r="A1082" s="17" t="n">
        <x:f>IF(B1082="","",IF(B1082=B1081,A1081,A1081+1))</x:f>
        <x:v>219</x:v>
      </x:c>
      <x:c r="B1082" s="1" t="str">
        <x:f>'Ranking'!C222</x:f>
        <x:v>Shuppet</x:v>
      </x:c>
      <x:c r="C1082" s="1" t="str">
        <x:f>'Habilidades'!D2971</x:f>
        <x:v>Shadow Ball</x:v>
      </x:c>
      <x:c r="D1082" s="1" t="str">
        <x:f>'Habilidades'!F2971</x:f>
        <x:v>Especial</x:v>
      </x:c>
      <x:c r="E1082" s="18" t="n">
        <x:f>'Habilidades'!G2971</x:f>
        <x:v>80</x:v>
      </x:c>
      <x:c r="F1082" s="18" t="n">
        <x:f>'Habilidades'!H2971</x:f>
        <x:v>63</x:v>
      </x:c>
      <x:c r="G1082" s="18" t="n">
        <x:f>'Habilidades'!I2971</x:f>
        <x:v>143</x:v>
      </x:c>
    </x:row>
    <x:row r="1083" ht="22" customHeight="1">
      <x:c r="A1083" s="19" t="n">
        <x:f>IF(B1083="","",IF(B1083=B1082,A1082,A1082+1))</x:f>
        <x:v>219</x:v>
      </x:c>
      <x:c r="B1083" s="20" t="str">
        <x:f>'Ranking'!C222</x:f>
        <x:v>Shuppet</x:v>
      </x:c>
      <x:c r="C1083" s="20" t="str">
        <x:f>'Habilidades'!D2972</x:f>
        <x:v>Knock Off</x:v>
      </x:c>
      <x:c r="D1083" s="20" t="str">
        <x:f>'Habilidades'!F2972</x:f>
        <x:v>Física</x:v>
      </x:c>
      <x:c r="E1083" s="21" t="n">
        <x:f>'Habilidades'!G2972</x:f>
        <x:v>65</x:v>
      </x:c>
      <x:c r="F1083" s="21" t="n">
        <x:f>'Habilidades'!H2972</x:f>
        <x:v>75</x:v>
      </x:c>
      <x:c r="G1083" s="21" t="n">
        <x:f>'Habilidades'!I2972</x:f>
        <x:v>140</x:v>
      </x:c>
    </x:row>
    <x:row r="1084" ht="22" customHeight="1">
      <x:c r="A1084" s="17" t="n">
        <x:f>IF(B1084="","",IF(B1084=B1083,A1083,A1083+1))</x:f>
        <x:v>220</x:v>
      </x:c>
      <x:c r="B1084" s="1" t="str">
        <x:f>'Ranking'!C224</x:f>
        <x:v>Tropius</x:v>
      </x:c>
      <x:c r="C1084" s="1" t="str">
        <x:f>'Habilidades'!D3005</x:f>
        <x:v>Leaf Storm</x:v>
      </x:c>
      <x:c r="D1084" s="1" t="str">
        <x:f>'Habilidades'!F3005</x:f>
        <x:v>Especial</x:v>
      </x:c>
      <x:c r="E1084" s="18" t="n">
        <x:f>'Habilidades'!G3005</x:f>
        <x:v>130</x:v>
      </x:c>
      <x:c r="F1084" s="18" t="n">
        <x:f>'Habilidades'!H3005</x:f>
        <x:v>72</x:v>
      </x:c>
      <x:c r="G1084" s="18" t="n">
        <x:f>'Habilidades'!I3005</x:f>
        <x:v>202</x:v>
      </x:c>
    </x:row>
    <x:row r="1085" ht="22" customHeight="1">
      <x:c r="A1085" s="17" t="n">
        <x:f>IF(B1085="","",IF(B1085=B1084,A1084,A1084+1))</x:f>
        <x:v>220</x:v>
      </x:c>
      <x:c r="B1085" s="1" t="str">
        <x:f>'Ranking'!C224</x:f>
        <x:v>Tropius</x:v>
      </x:c>
      <x:c r="C1085" s="1" t="str">
        <x:f>'Habilidades'!D3006</x:f>
        <x:v>Solar Beam</x:v>
      </x:c>
      <x:c r="D1085" s="1" t="str">
        <x:f>'Habilidades'!F3006</x:f>
        <x:v>Especial</x:v>
      </x:c>
      <x:c r="E1085" s="18" t="n">
        <x:f>'Habilidades'!G3006</x:f>
        <x:v>120</x:v>
      </x:c>
      <x:c r="F1085" s="18" t="n">
        <x:f>'Habilidades'!H3006</x:f>
        <x:v>72</x:v>
      </x:c>
      <x:c r="G1085" s="18" t="n">
        <x:f>'Habilidades'!I3006</x:f>
        <x:v>192</x:v>
      </x:c>
    </x:row>
    <x:row r="1086" ht="22" customHeight="1">
      <x:c r="A1086" s="17" t="n">
        <x:f>IF(B1086="","",IF(B1086=B1085,A1085,A1085+1))</x:f>
        <x:v>220</x:v>
      </x:c>
      <x:c r="B1086" s="1" t="str">
        <x:f>'Ranking'!C224</x:f>
        <x:v>Tropius</x:v>
      </x:c>
      <x:c r="C1086" s="1" t="str">
        <x:f>'Habilidades'!D3007</x:f>
        <x:v>Body Slam</x:v>
      </x:c>
      <x:c r="D1086" s="1" t="str">
        <x:f>'Habilidades'!F3007</x:f>
        <x:v>Física</x:v>
      </x:c>
      <x:c r="E1086" s="18" t="n">
        <x:f>'Habilidades'!G3007</x:f>
        <x:v>85</x:v>
      </x:c>
      <x:c r="F1086" s="18" t="n">
        <x:f>'Habilidades'!H3007</x:f>
        <x:v>68</x:v>
      </x:c>
      <x:c r="G1086" s="18" t="n">
        <x:f>'Habilidades'!I3007</x:f>
        <x:v>153</x:v>
      </x:c>
    </x:row>
    <x:row r="1087" ht="22" customHeight="1">
      <x:c r="A1087" s="17" t="n">
        <x:f>IF(B1087="","",IF(B1087=B1086,A1086,A1086+1))</x:f>
        <x:v>220</x:v>
      </x:c>
      <x:c r="B1087" s="1" t="str">
        <x:f>'Ranking'!C224</x:f>
        <x:v>Tropius</x:v>
      </x:c>
      <x:c r="C1087" s="1" t="str">
        <x:f>'Habilidades'!D3008</x:f>
        <x:v>Air Slash</x:v>
      </x:c>
      <x:c r="D1087" s="1" t="str">
        <x:f>'Habilidades'!F3008</x:f>
        <x:v>Especial</x:v>
      </x:c>
      <x:c r="E1087" s="18" t="n">
        <x:f>'Habilidades'!G3008</x:f>
        <x:v>75</x:v>
      </x:c>
      <x:c r="F1087" s="18" t="n">
        <x:f>'Habilidades'!H3008</x:f>
        <x:v>72</x:v>
      </x:c>
      <x:c r="G1087" s="18" t="n">
        <x:f>'Habilidades'!I3008</x:f>
        <x:v>147</x:v>
      </x:c>
    </x:row>
    <x:row r="1088" ht="22" customHeight="1">
      <x:c r="A1088" s="19" t="n">
        <x:f>IF(B1088="","",IF(B1088=B1087,A1087,A1087+1))</x:f>
        <x:v>220</x:v>
      </x:c>
      <x:c r="B1088" s="20" t="str">
        <x:f>'Ranking'!C224</x:f>
        <x:v>Tropius</x:v>
      </x:c>
      <x:c r="C1088" s="20" t="str">
        <x:f>'Habilidades'!D3010</x:f>
        <x:v>Stomp</x:v>
      </x:c>
      <x:c r="D1088" s="20" t="str">
        <x:f>'Habilidades'!F3010</x:f>
        <x:v>Física</x:v>
      </x:c>
      <x:c r="E1088" s="21" t="n">
        <x:f>'Habilidades'!G3010</x:f>
        <x:v>65</x:v>
      </x:c>
      <x:c r="F1088" s="21" t="n">
        <x:f>'Habilidades'!H3010</x:f>
        <x:v>68</x:v>
      </x:c>
      <x:c r="G1088" s="21" t="n">
        <x:f>'Habilidades'!I3010</x:f>
        <x:v>133</x:v>
      </x:c>
    </x:row>
    <x:row r="1089" ht="22" customHeight="1">
      <x:c r="A1089" s="17" t="n">
        <x:f>IF(B1089="","",IF(B1089=B1088,A1088,A1088+1))</x:f>
        <x:v>221</x:v>
      </x:c>
      <x:c r="B1089" s="1" t="str">
        <x:f>'Ranking'!C225</x:f>
        <x:v>Raticate</x:v>
      </x:c>
      <x:c r="C1089" s="1" t="str">
        <x:f>'Habilidades'!D162</x:f>
        <x:v>Double-Edge</x:v>
      </x:c>
      <x:c r="D1089" s="1" t="str">
        <x:f>'Habilidades'!F162</x:f>
        <x:v>Física</x:v>
      </x:c>
      <x:c r="E1089" s="18" t="n">
        <x:f>'Habilidades'!G162</x:f>
        <x:v>120</x:v>
      </x:c>
      <x:c r="F1089" s="18" t="n">
        <x:f>'Habilidades'!H162</x:f>
        <x:v>81</x:v>
      </x:c>
      <x:c r="G1089" s="18" t="n">
        <x:f>'Habilidades'!I162</x:f>
        <x:v>201</x:v>
      </x:c>
    </x:row>
    <x:row r="1090" ht="22" customHeight="1">
      <x:c r="A1090" s="17" t="n">
        <x:f>IF(B1090="","",IF(B1090=B1089,A1089,A1089+1))</x:f>
        <x:v>221</x:v>
      </x:c>
      <x:c r="B1090" s="1" t="str">
        <x:f>'Ranking'!C225</x:f>
        <x:v>Raticate</x:v>
      </x:c>
      <x:c r="C1090" s="1" t="str">
        <x:f>'Habilidades'!D163</x:f>
        <x:v>Hyper Fang</x:v>
      </x:c>
      <x:c r="D1090" s="1" t="str">
        <x:f>'Habilidades'!F163</x:f>
        <x:v>Física</x:v>
      </x:c>
      <x:c r="E1090" s="18" t="n">
        <x:f>'Habilidades'!G163</x:f>
        <x:v>80</x:v>
      </x:c>
      <x:c r="F1090" s="18" t="n">
        <x:f>'Habilidades'!H163</x:f>
        <x:v>81</x:v>
      </x:c>
      <x:c r="G1090" s="18" t="n">
        <x:f>'Habilidades'!I163</x:f>
        <x:v>161</x:v>
      </x:c>
    </x:row>
    <x:row r="1091" ht="22" customHeight="1">
      <x:c r="A1091" s="17" t="n">
        <x:f>IF(B1091="","",IF(B1091=B1090,A1090,A1090+1))</x:f>
        <x:v>221</x:v>
      </x:c>
      <x:c r="B1091" s="1" t="str">
        <x:f>'Ranking'!C225</x:f>
        <x:v>Raticate</x:v>
      </x:c>
      <x:c r="C1091" s="1" t="str">
        <x:f>'Habilidades'!D164</x:f>
        <x:v>Sucker Punch</x:v>
      </x:c>
      <x:c r="D1091" s="1" t="str">
        <x:f>'Habilidades'!F164</x:f>
        <x:v>Física</x:v>
      </x:c>
      <x:c r="E1091" s="18" t="n">
        <x:f>'Habilidades'!G164</x:f>
        <x:v>80</x:v>
      </x:c>
      <x:c r="F1091" s="18" t="n">
        <x:f>'Habilidades'!H164</x:f>
        <x:v>81</x:v>
      </x:c>
      <x:c r="G1091" s="18" t="n">
        <x:f>'Habilidades'!I164</x:f>
        <x:v>161</x:v>
      </x:c>
    </x:row>
    <x:row r="1092" ht="22" customHeight="1">
      <x:c r="A1092" s="17" t="n">
        <x:f>IF(B1092="","",IF(B1092=B1091,A1091,A1091+1))</x:f>
        <x:v>221</x:v>
      </x:c>
      <x:c r="B1092" s="1" t="str">
        <x:f>'Ranking'!C225</x:f>
        <x:v>Raticate</x:v>
      </x:c>
      <x:c r="C1092" s="1" t="str">
        <x:f>'Habilidades'!D165</x:f>
        <x:v>Crunch</x:v>
      </x:c>
      <x:c r="D1092" s="1" t="str">
        <x:f>'Habilidades'!F165</x:f>
        <x:v>Física</x:v>
      </x:c>
      <x:c r="E1092" s="18" t="n">
        <x:f>'Habilidades'!G165</x:f>
        <x:v>80</x:v>
      </x:c>
      <x:c r="F1092" s="18" t="n">
        <x:f>'Habilidades'!H165</x:f>
        <x:v>81</x:v>
      </x:c>
      <x:c r="G1092" s="18" t="n">
        <x:f>'Habilidades'!I165</x:f>
        <x:v>161</x:v>
      </x:c>
    </x:row>
    <x:row r="1093" ht="22" customHeight="1">
      <x:c r="A1093" s="19" t="n">
        <x:f>IF(B1093="","",IF(B1093=B1092,A1092,A1092+1))</x:f>
        <x:v>221</x:v>
      </x:c>
      <x:c r="B1093" s="20" t="str">
        <x:f>'Ranking'!C225</x:f>
        <x:v>Raticate</x:v>
      </x:c>
      <x:c r="C1093" s="20" t="str">
        <x:f>'Habilidades'!D166</x:f>
        <x:v>Bite</x:v>
      </x:c>
      <x:c r="D1093" s="20" t="str">
        <x:f>'Habilidades'!F166</x:f>
        <x:v>Física</x:v>
      </x:c>
      <x:c r="E1093" s="21" t="n">
        <x:f>'Habilidades'!G166</x:f>
        <x:v>60</x:v>
      </x:c>
      <x:c r="F1093" s="21" t="n">
        <x:f>'Habilidades'!H166</x:f>
        <x:v>81</x:v>
      </x:c>
      <x:c r="G1093" s="21" t="n">
        <x:f>'Habilidades'!I166</x:f>
        <x:v>141</x:v>
      </x:c>
    </x:row>
    <x:row r="1094" ht="22" customHeight="1">
      <x:c r="A1094" s="17" t="n">
        <x:f>IF(B1094="","",IF(B1094=B1093,A1093,A1093+1))</x:f>
        <x:v>222</x:v>
      </x:c>
      <x:c r="B1094" s="1" t="str">
        <x:f>'Ranking'!C240</x:f>
        <x:v>Aegislash</x:v>
      </x:c>
      <x:c r="C1094" s="1" t="str">
        <x:f>'Habilidades'!D3699</x:f>
        <x:v>Head Smash</x:v>
      </x:c>
      <x:c r="D1094" s="1" t="str">
        <x:f>'Habilidades'!F3699</x:f>
        <x:v>Física</x:v>
      </x:c>
      <x:c r="E1094" s="18" t="n">
        <x:f>'Habilidades'!G3699</x:f>
        <x:v>150</x:v>
      </x:c>
      <x:c r="F1094" s="18" t="n">
        <x:f>'Habilidades'!H3699</x:f>
        <x:v>50</x:v>
      </x:c>
      <x:c r="G1094" s="18" t="n">
        <x:f>'Habilidades'!I3699</x:f>
        <x:v>200</x:v>
      </x:c>
    </x:row>
    <x:row r="1095" ht="22" customHeight="1">
      <x:c r="A1095" s="17" t="n">
        <x:f>IF(B1095="","",IF(B1095=B1094,A1094,A1094+1))</x:f>
        <x:v>222</x:v>
      </x:c>
      <x:c r="B1095" s="1" t="str">
        <x:f>'Ranking'!C240</x:f>
        <x:v>Aegislash</x:v>
      </x:c>
      <x:c r="C1095" s="1" t="str">
        <x:f>'Habilidades'!D3700</x:f>
        <x:v>Sacred Sword</x:v>
      </x:c>
      <x:c r="D1095" s="1" t="str">
        <x:f>'Habilidades'!F3700</x:f>
        <x:v>Física</x:v>
      </x:c>
      <x:c r="E1095" s="18" t="n">
        <x:f>'Habilidades'!G3700</x:f>
        <x:v>90</x:v>
      </x:c>
      <x:c r="F1095" s="18" t="n">
        <x:f>'Habilidades'!H3700</x:f>
        <x:v>50</x:v>
      </x:c>
      <x:c r="G1095" s="18" t="n">
        <x:f>'Habilidades'!I3700</x:f>
        <x:v>140</x:v>
      </x:c>
    </x:row>
    <x:row r="1096" ht="22" customHeight="1">
      <x:c r="A1096" s="17" t="n">
        <x:f>IF(B1096="","",IF(B1096=B1095,A1095,A1095+1))</x:f>
        <x:v>222</x:v>
      </x:c>
      <x:c r="B1096" s="1" t="str">
        <x:f>'Ranking'!C240</x:f>
        <x:v>Aegislash</x:v>
      </x:c>
      <x:c r="C1096" s="1" t="str">
        <x:f>'Habilidades'!D3701</x:f>
        <x:v>Iron Head</x:v>
      </x:c>
      <x:c r="D1096" s="1" t="str">
        <x:f>'Habilidades'!F3701</x:f>
        <x:v>Física</x:v>
      </x:c>
      <x:c r="E1096" s="18" t="n">
        <x:f>'Habilidades'!G3701</x:f>
        <x:v>80</x:v>
      </x:c>
      <x:c r="F1096" s="18" t="n">
        <x:f>'Habilidades'!H3701</x:f>
        <x:v>50</x:v>
      </x:c>
      <x:c r="G1096" s="18" t="n">
        <x:f>'Habilidades'!I3701</x:f>
        <x:v>130</x:v>
      </x:c>
    </x:row>
    <x:row r="1097" ht="22" customHeight="1">
      <x:c r="A1097" s="17" t="n">
        <x:f>IF(B1097="","",IF(B1097=B1096,A1096,A1096+1))</x:f>
        <x:v>222</x:v>
      </x:c>
      <x:c r="B1097" s="1" t="str">
        <x:f>'Ranking'!C240</x:f>
        <x:v>Aegislash</x:v>
      </x:c>
      <x:c r="C1097" s="1" t="str">
        <x:f>'Habilidades'!D3702</x:f>
        <x:v>Slash</x:v>
      </x:c>
      <x:c r="D1097" s="1" t="str">
        <x:f>'Habilidades'!F3702</x:f>
        <x:v>Física</x:v>
      </x:c>
      <x:c r="E1097" s="18" t="n">
        <x:f>'Habilidades'!G3702</x:f>
        <x:v>70</x:v>
      </x:c>
      <x:c r="F1097" s="18" t="n">
        <x:f>'Habilidades'!H3702</x:f>
        <x:v>50</x:v>
      </x:c>
      <x:c r="G1097" s="18" t="n">
        <x:f>'Habilidades'!I3702</x:f>
        <x:v>120</x:v>
      </x:c>
    </x:row>
    <x:row r="1098" ht="22" customHeight="1">
      <x:c r="A1098" s="19" t="n">
        <x:f>IF(B1098="","",IF(B1098=B1097,A1097,A1097+1))</x:f>
        <x:v>222</x:v>
      </x:c>
      <x:c r="B1098" s="20" t="str">
        <x:f>'Ranking'!C240</x:f>
        <x:v>Aegislash</x:v>
      </x:c>
      <x:c r="C1098" s="20" t="str">
        <x:f>'Habilidades'!D3703</x:f>
        <x:v>Night Slash</x:v>
      </x:c>
      <x:c r="D1098" s="20" t="str">
        <x:f>'Habilidades'!F3703</x:f>
        <x:v>Física</x:v>
      </x:c>
      <x:c r="E1098" s="21" t="n">
        <x:f>'Habilidades'!G3703</x:f>
        <x:v>70</x:v>
      </x:c>
      <x:c r="F1098" s="21" t="n">
        <x:f>'Habilidades'!H3703</x:f>
        <x:v>50</x:v>
      </x:c>
      <x:c r="G1098" s="21" t="n">
        <x:f>'Habilidades'!I3703</x:f>
        <x:v>120</x:v>
      </x:c>
    </x:row>
    <x:row r="1099" ht="22" customHeight="1">
      <x:c r="A1099" s="17" t="n">
        <x:f>IF(B1099="","",IF(B1099=B1098,A1098,A1098+1))</x:f>
        <x:v>223</x:v>
      </x:c>
      <x:c r="B1099" s="1" t="str">
        <x:f>'Ranking'!C234</x:f>
        <x:v>Croconaw</x:v>
      </x:c>
      <x:c r="C1099" s="1" t="str">
        <x:f>'Habilidades'!D1534</x:f>
        <x:v>Thrash</x:v>
      </x:c>
      <x:c r="D1099" s="1" t="str">
        <x:f>'Habilidades'!F1534</x:f>
        <x:v>Física</x:v>
      </x:c>
      <x:c r="E1099" s="18" t="n">
        <x:f>'Habilidades'!G1534</x:f>
        <x:v>120</x:v>
      </x:c>
      <x:c r="F1099" s="18" t="n">
        <x:f>'Habilidades'!H1534</x:f>
        <x:v>80</x:v>
      </x:c>
      <x:c r="G1099" s="18" t="n">
        <x:f>'Habilidades'!I1534</x:f>
        <x:v>200</x:v>
      </x:c>
    </x:row>
    <x:row r="1100" ht="22" customHeight="1">
      <x:c r="A1100" s="17" t="n">
        <x:f>IF(B1100="","",IF(B1100=B1099,A1099,A1099+1))</x:f>
        <x:v>223</x:v>
      </x:c>
      <x:c r="B1100" s="1" t="str">
        <x:f>'Ranking'!C234</x:f>
        <x:v>Croconaw</x:v>
      </x:c>
      <x:c r="C1100" s="1" t="str">
        <x:f>'Habilidades'!D1535</x:f>
        <x:v>Superpower</x:v>
      </x:c>
      <x:c r="D1100" s="1" t="str">
        <x:f>'Habilidades'!F1535</x:f>
        <x:v>Física</x:v>
      </x:c>
      <x:c r="E1100" s="18" t="n">
        <x:f>'Habilidades'!G1535</x:f>
        <x:v>120</x:v>
      </x:c>
      <x:c r="F1100" s="18" t="n">
        <x:f>'Habilidades'!H1535</x:f>
        <x:v>80</x:v>
      </x:c>
      <x:c r="G1100" s="18" t="n">
        <x:f>'Habilidades'!I1535</x:f>
        <x:v>200</x:v>
      </x:c>
    </x:row>
    <x:row r="1101" ht="22" customHeight="1">
      <x:c r="A1101" s="17" t="n">
        <x:f>IF(B1101="","",IF(B1101=B1100,A1100,A1100+1))</x:f>
        <x:v>223</x:v>
      </x:c>
      <x:c r="B1101" s="1" t="str">
        <x:f>'Ranking'!C234</x:f>
        <x:v>Croconaw</x:v>
      </x:c>
      <x:c r="C1101" s="1" t="str">
        <x:f>'Habilidades'!D1536</x:f>
        <x:v>Aqua Tail</x:v>
      </x:c>
      <x:c r="D1101" s="1" t="str">
        <x:f>'Habilidades'!F1536</x:f>
        <x:v>Física</x:v>
      </x:c>
      <x:c r="E1101" s="18" t="n">
        <x:f>'Habilidades'!G1536</x:f>
        <x:v>90</x:v>
      </x:c>
      <x:c r="F1101" s="18" t="n">
        <x:f>'Habilidades'!H1536</x:f>
        <x:v>80</x:v>
      </x:c>
      <x:c r="G1101" s="18" t="n">
        <x:f>'Habilidades'!I1536</x:f>
        <x:v>170</x:v>
      </x:c>
    </x:row>
    <x:row r="1102" ht="22" customHeight="1">
      <x:c r="A1102" s="17" t="n">
        <x:f>IF(B1102="","",IF(B1102=B1101,A1101,A1101+1))</x:f>
        <x:v>223</x:v>
      </x:c>
      <x:c r="B1102" s="1" t="str">
        <x:f>'Ranking'!C234</x:f>
        <x:v>Croconaw</x:v>
      </x:c>
      <x:c r="C1102" s="1" t="str">
        <x:f>'Habilidades'!D1537</x:f>
        <x:v>Hydro Pump</x:v>
      </x:c>
      <x:c r="D1102" s="1" t="str">
        <x:f>'Habilidades'!F1537</x:f>
        <x:v>Especial</x:v>
      </x:c>
      <x:c r="E1102" s="18" t="n">
        <x:f>'Habilidades'!G1537</x:f>
        <x:v>110</x:v>
      </x:c>
      <x:c r="F1102" s="18" t="n">
        <x:f>'Habilidades'!H1537</x:f>
        <x:v>59</x:v>
      </x:c>
      <x:c r="G1102" s="18" t="n">
        <x:f>'Habilidades'!I1537</x:f>
        <x:v>169</x:v>
      </x:c>
    </x:row>
    <x:row r="1103" ht="22" customHeight="1">
      <x:c r="A1103" s="19" t="n">
        <x:f>IF(B1103="","",IF(B1103=B1102,A1102,A1102+1))</x:f>
        <x:v>223</x:v>
      </x:c>
      <x:c r="B1103" s="20" t="str">
        <x:f>'Ranking'!C234</x:f>
        <x:v>Croconaw</x:v>
      </x:c>
      <x:c r="C1103" s="20" t="str">
        <x:f>'Habilidades'!D1538</x:f>
        <x:v>Crunch</x:v>
      </x:c>
      <x:c r="D1103" s="20" t="str">
        <x:f>'Habilidades'!F1538</x:f>
        <x:v>Física</x:v>
      </x:c>
      <x:c r="E1103" s="21" t="n">
        <x:f>'Habilidades'!G1538</x:f>
        <x:v>80</x:v>
      </x:c>
      <x:c r="F1103" s="21" t="n">
        <x:f>'Habilidades'!H1538</x:f>
        <x:v>80</x:v>
      </x:c>
      <x:c r="G1103" s="21" t="n">
        <x:f>'Habilidades'!I1538</x:f>
        <x:v>160</x:v>
      </x:c>
    </x:row>
    <x:row r="1104" ht="22" customHeight="1">
      <x:c r="A1104" s="17" t="n">
        <x:f>IF(B1104="","",IF(B1104=B1103,A1103,A1103+1))</x:f>
        <x:v>224</x:v>
      </x:c>
      <x:c r="B1104" s="1" t="str">
        <x:f>'Ranking'!C238</x:f>
        <x:v>Dratini</x:v>
      </x:c>
      <x:c r="C1104" s="1" t="str">
        <x:f>'Habilidades'!D1411</x:f>
        <x:v>Hyper Beam</x:v>
      </x:c>
      <x:c r="D1104" s="1" t="str">
        <x:f>'Habilidades'!F1411</x:f>
        <x:v>Especial</x:v>
      </x:c>
      <x:c r="E1104" s="18" t="n">
        <x:f>'Habilidades'!G1411</x:f>
        <x:v>150</x:v>
      </x:c>
      <x:c r="F1104" s="18" t="n">
        <x:f>'Habilidades'!H1411</x:f>
        <x:v>50</x:v>
      </x:c>
      <x:c r="G1104" s="18" t="n">
        <x:f>'Habilidades'!I1411</x:f>
        <x:v>200</x:v>
      </x:c>
    </x:row>
    <x:row r="1105" ht="22" customHeight="1">
      <x:c r="A1105" s="17" t="n">
        <x:f>IF(B1105="","",IF(B1105=B1104,A1104,A1104+1))</x:f>
        <x:v>224</x:v>
      </x:c>
      <x:c r="B1105" s="1" t="str">
        <x:f>'Ranking'!C238</x:f>
        <x:v>Dratini</x:v>
      </x:c>
      <x:c r="C1105" s="1" t="str">
        <x:f>'Habilidades'!D1412</x:f>
        <x:v>Outrage</x:v>
      </x:c>
      <x:c r="D1105" s="1" t="str">
        <x:f>'Habilidades'!F1412</x:f>
        <x:v>Física</x:v>
      </x:c>
      <x:c r="E1105" s="18" t="n">
        <x:f>'Habilidades'!G1412</x:f>
        <x:v>120</x:v>
      </x:c>
      <x:c r="F1105" s="18" t="n">
        <x:f>'Habilidades'!H1412</x:f>
        <x:v>64</x:v>
      </x:c>
      <x:c r="G1105" s="18" t="n">
        <x:f>'Habilidades'!I1412</x:f>
        <x:v>184</x:v>
      </x:c>
    </x:row>
    <x:row r="1106" ht="22" customHeight="1">
      <x:c r="A1106" s="17" t="n">
        <x:f>IF(B1106="","",IF(B1106=B1105,A1105,A1105+1))</x:f>
        <x:v>224</x:v>
      </x:c>
      <x:c r="B1106" s="1" t="str">
        <x:f>'Ranking'!C238</x:f>
        <x:v>Dratini</x:v>
      </x:c>
      <x:c r="C1106" s="1" t="str">
        <x:f>'Habilidades'!D1413</x:f>
        <x:v>Dragon Rush</x:v>
      </x:c>
      <x:c r="D1106" s="1" t="str">
        <x:f>'Habilidades'!F1413</x:f>
        <x:v>Física</x:v>
      </x:c>
      <x:c r="E1106" s="18" t="n">
        <x:f>'Habilidades'!G1413</x:f>
        <x:v>100</x:v>
      </x:c>
      <x:c r="F1106" s="18" t="n">
        <x:f>'Habilidades'!H1413</x:f>
        <x:v>64</x:v>
      </x:c>
      <x:c r="G1106" s="18" t="n">
        <x:f>'Habilidades'!I1413</x:f>
        <x:v>164</x:v>
      </x:c>
    </x:row>
    <x:row r="1107" ht="22" customHeight="1">
      <x:c r="A1107" s="17" t="n">
        <x:f>IF(B1107="","",IF(B1107=B1106,A1106,A1106+1))</x:f>
        <x:v>224</x:v>
      </x:c>
      <x:c r="B1107" s="1" t="str">
        <x:f>'Ranking'!C238</x:f>
        <x:v>Dratini</x:v>
      </x:c>
      <x:c r="C1107" s="1" t="str">
        <x:f>'Habilidades'!D1414</x:f>
        <x:v>Aqua Tail</x:v>
      </x:c>
      <x:c r="D1107" s="1" t="str">
        <x:f>'Habilidades'!F1414</x:f>
        <x:v>Física</x:v>
      </x:c>
      <x:c r="E1107" s="18" t="n">
        <x:f>'Habilidades'!G1414</x:f>
        <x:v>90</x:v>
      </x:c>
      <x:c r="F1107" s="18" t="n">
        <x:f>'Habilidades'!H1414</x:f>
        <x:v>64</x:v>
      </x:c>
      <x:c r="G1107" s="18" t="n">
        <x:f>'Habilidades'!I1414</x:f>
        <x:v>154</x:v>
      </x:c>
    </x:row>
    <x:row r="1108" ht="22" customHeight="1">
      <x:c r="A1108" s="19" t="n">
        <x:f>IF(B1108="","",IF(B1108=B1107,A1107,A1107+1))</x:f>
        <x:v>224</x:v>
      </x:c>
      <x:c r="B1108" s="20" t="str">
        <x:f>'Ranking'!C238</x:f>
        <x:v>Dratini</x:v>
      </x:c>
      <x:c r="C1108" s="20" t="str">
        <x:f>'Habilidades'!D1415</x:f>
        <x:v>Slam</x:v>
      </x:c>
      <x:c r="D1108" s="20" t="str">
        <x:f>'Habilidades'!F1415</x:f>
        <x:v>Física</x:v>
      </x:c>
      <x:c r="E1108" s="21" t="n">
        <x:f>'Habilidades'!G1415</x:f>
        <x:v>80</x:v>
      </x:c>
      <x:c r="F1108" s="21" t="n">
        <x:f>'Habilidades'!H1415</x:f>
        <x:v>64</x:v>
      </x:c>
      <x:c r="G1108" s="21" t="n">
        <x:f>'Habilidades'!I1415</x:f>
        <x:v>144</x:v>
      </x:c>
    </x:row>
    <x:row r="1109" ht="22" customHeight="1">
      <x:c r="A1109" s="17" t="n">
        <x:f>IF(B1109="","",IF(B1109=B1108,A1108,A1108+1))</x:f>
        <x:v>225</x:v>
      </x:c>
      <x:c r="B1109" s="1" t="str">
        <x:f>'Ranking'!C228</x:f>
        <x:v>Gastly</x:v>
      </x:c>
      <x:c r="C1109" s="1" t="str">
        <x:f>'Habilidades'!D851</x:f>
        <x:v>Dream Eater</x:v>
      </x:c>
      <x:c r="D1109" s="1" t="str">
        <x:f>'Habilidades'!F851</x:f>
        <x:v>Especial</x:v>
      </x:c>
      <x:c r="E1109" s="18" t="n">
        <x:f>'Habilidades'!G851</x:f>
        <x:v>100</x:v>
      </x:c>
      <x:c r="F1109" s="18" t="n">
        <x:f>'Habilidades'!H851</x:f>
        <x:v>100</x:v>
      </x:c>
      <x:c r="G1109" s="18" t="n">
        <x:f>'Habilidades'!I851</x:f>
        <x:v>200</x:v>
      </x:c>
    </x:row>
    <x:row r="1110" ht="22" customHeight="1">
      <x:c r="A1110" s="17" t="n">
        <x:f>IF(B1110="","",IF(B1110=B1109,A1109,A1109+1))</x:f>
        <x:v>225</x:v>
      </x:c>
      <x:c r="B1110" s="1" t="str">
        <x:f>'Ranking'!C228</x:f>
        <x:v>Gastly</x:v>
      </x:c>
      <x:c r="C1110" s="1" t="str">
        <x:f>'Habilidades'!D852</x:f>
        <x:v>Shadow Ball</x:v>
      </x:c>
      <x:c r="D1110" s="1" t="str">
        <x:f>'Habilidades'!F852</x:f>
        <x:v>Especial</x:v>
      </x:c>
      <x:c r="E1110" s="18" t="n">
        <x:f>'Habilidades'!G852</x:f>
        <x:v>80</x:v>
      </x:c>
      <x:c r="F1110" s="18" t="n">
        <x:f>'Habilidades'!H852</x:f>
        <x:v>100</x:v>
      </x:c>
      <x:c r="G1110" s="18" t="n">
        <x:f>'Habilidades'!I852</x:f>
        <x:v>180</x:v>
      </x:c>
    </x:row>
    <x:row r="1111" ht="22" customHeight="1">
      <x:c r="A1111" s="17" t="n">
        <x:f>IF(B1111="","",IF(B1111=B1110,A1110,A1110+1))</x:f>
        <x:v>225</x:v>
      </x:c>
      <x:c r="B1111" s="1" t="str">
        <x:f>'Ranking'!C228</x:f>
        <x:v>Gastly</x:v>
      </x:c>
      <x:c r="C1111" s="1" t="str">
        <x:f>'Habilidades'!D853</x:f>
        <x:v>Dark Pulse</x:v>
      </x:c>
      <x:c r="D1111" s="1" t="str">
        <x:f>'Habilidades'!F853</x:f>
        <x:v>Especial</x:v>
      </x:c>
      <x:c r="E1111" s="18" t="n">
        <x:f>'Habilidades'!G853</x:f>
        <x:v>80</x:v>
      </x:c>
      <x:c r="F1111" s="18" t="n">
        <x:f>'Habilidades'!H853</x:f>
        <x:v>100</x:v>
      </x:c>
      <x:c r="G1111" s="18" t="n">
        <x:f>'Habilidades'!I853</x:f>
        <x:v>180</x:v>
      </x:c>
    </x:row>
    <x:row r="1112" ht="22" customHeight="1">
      <x:c r="A1112" s="17" t="n">
        <x:f>IF(B1112="","",IF(B1112=B1111,A1111,A1111+1))</x:f>
        <x:v>225</x:v>
      </x:c>
      <x:c r="B1112" s="1" t="str">
        <x:f>'Ranking'!C228</x:f>
        <x:v>Gastly</x:v>
      </x:c>
      <x:c r="C1112" s="1" t="str">
        <x:f>'Habilidades'!D854</x:f>
        <x:v>Hex</x:v>
      </x:c>
      <x:c r="D1112" s="1" t="str">
        <x:f>'Habilidades'!F854</x:f>
        <x:v>Especial</x:v>
      </x:c>
      <x:c r="E1112" s="18" t="n">
        <x:f>'Habilidades'!G854</x:f>
        <x:v>65</x:v>
      </x:c>
      <x:c r="F1112" s="18" t="n">
        <x:f>'Habilidades'!H854</x:f>
        <x:v>100</x:v>
      </x:c>
      <x:c r="G1112" s="18" t="n">
        <x:f>'Habilidades'!I854</x:f>
        <x:v>165</x:v>
      </x:c>
    </x:row>
    <x:row r="1113" ht="22" customHeight="1">
      <x:c r="A1113" s="19" t="n">
        <x:f>IF(B1113="","",IF(B1113=B1112,A1112,A1112+1))</x:f>
        <x:v>225</x:v>
      </x:c>
      <x:c r="B1113" s="20" t="str">
        <x:f>'Ranking'!C228</x:f>
        <x:v>Gastly</x:v>
      </x:c>
      <x:c r="C1113" s="20" t="str">
        <x:f>'Habilidades'!D856</x:f>
        <x:v>Sucker Punch</x:v>
      </x:c>
      <x:c r="D1113" s="20" t="str">
        <x:f>'Habilidades'!F856</x:f>
        <x:v>Física</x:v>
      </x:c>
      <x:c r="E1113" s="21" t="n">
        <x:f>'Habilidades'!G856</x:f>
        <x:v>80</x:v>
      </x:c>
      <x:c r="F1113" s="21" t="n">
        <x:f>'Habilidades'!H856</x:f>
        <x:v>35</x:v>
      </x:c>
      <x:c r="G1113" s="21" t="n">
        <x:f>'Habilidades'!I856</x:f>
        <x:v>115</x:v>
      </x:c>
    </x:row>
    <x:row r="1114" ht="22" customHeight="1">
      <x:c r="A1114" s="17" t="n">
        <x:f>IF(B1114="","",IF(B1114=B1113,A1113,A1113+1))</x:f>
        <x:v>226</x:v>
      </x:c>
      <x:c r="B1114" s="1" t="str">
        <x:f>'Ranking'!C232</x:f>
        <x:v>Geodude</x:v>
      </x:c>
      <x:c r="C1114" s="1" t="str">
        <x:f>'Habilidades'!D658</x:f>
        <x:v>Double-Edge</x:v>
      </x:c>
      <x:c r="D1114" s="1" t="str">
        <x:f>'Habilidades'!F658</x:f>
        <x:v>Física</x:v>
      </x:c>
      <x:c r="E1114" s="18" t="n">
        <x:f>'Habilidades'!G658</x:f>
        <x:v>120</x:v>
      </x:c>
      <x:c r="F1114" s="18" t="n">
        <x:f>'Habilidades'!H658</x:f>
        <x:v>80</x:v>
      </x:c>
      <x:c r="G1114" s="18" t="n">
        <x:f>'Habilidades'!I658</x:f>
        <x:v>200</x:v>
      </x:c>
    </x:row>
    <x:row r="1115" ht="22" customHeight="1">
      <x:c r="A1115" s="17" t="n">
        <x:f>IF(B1115="","",IF(B1115=B1114,A1114,A1114+1))</x:f>
        <x:v>226</x:v>
      </x:c>
      <x:c r="B1115" s="1" t="str">
        <x:f>'Ranking'!C232</x:f>
        <x:v>Geodude</x:v>
      </x:c>
      <x:c r="C1115" s="1" t="str">
        <x:f>'Habilidades'!D659</x:f>
        <x:v>Earthquake</x:v>
      </x:c>
      <x:c r="D1115" s="1" t="str">
        <x:f>'Habilidades'!F659</x:f>
        <x:v>Física</x:v>
      </x:c>
      <x:c r="E1115" s="18" t="n">
        <x:f>'Habilidades'!G659</x:f>
        <x:v>100</x:v>
      </x:c>
      <x:c r="F1115" s="18" t="n">
        <x:f>'Habilidades'!H659</x:f>
        <x:v>80</x:v>
      </x:c>
      <x:c r="G1115" s="18" t="n">
        <x:f>'Habilidades'!I659</x:f>
        <x:v>180</x:v>
      </x:c>
    </x:row>
    <x:row r="1116" ht="22" customHeight="1">
      <x:c r="A1116" s="17" t="n">
        <x:f>IF(B1116="","",IF(B1116=B1115,A1115,A1115+1))</x:f>
        <x:v>226</x:v>
      </x:c>
      <x:c r="B1116" s="1" t="str">
        <x:f>'Ranking'!C232</x:f>
        <x:v>Geodude</x:v>
      </x:c>
      <x:c r="C1116" s="1" t="str">
        <x:f>'Habilidades'!D660</x:f>
        <x:v>Stone Edge</x:v>
      </x:c>
      <x:c r="D1116" s="1" t="str">
        <x:f>'Habilidades'!F660</x:f>
        <x:v>Física</x:v>
      </x:c>
      <x:c r="E1116" s="18" t="n">
        <x:f>'Habilidades'!G660</x:f>
        <x:v>100</x:v>
      </x:c>
      <x:c r="F1116" s="18" t="n">
        <x:f>'Habilidades'!H660</x:f>
        <x:v>80</x:v>
      </x:c>
      <x:c r="G1116" s="18" t="n">
        <x:f>'Habilidades'!I660</x:f>
        <x:v>180</x:v>
      </x:c>
    </x:row>
    <x:row r="1117" ht="22" customHeight="1">
      <x:c r="A1117" s="17" t="n">
        <x:f>IF(B1117="","",IF(B1117=B1116,A1116,A1116+1))</x:f>
        <x:v>226</x:v>
      </x:c>
      <x:c r="B1117" s="1" t="str">
        <x:f>'Ranking'!C232</x:f>
        <x:v>Geodude</x:v>
      </x:c>
      <x:c r="C1117" s="1" t="str">
        <x:f>'Habilidades'!D661</x:f>
        <x:v>Bulldoze</x:v>
      </x:c>
      <x:c r="D1117" s="1" t="str">
        <x:f>'Habilidades'!F661</x:f>
        <x:v>Física</x:v>
      </x:c>
      <x:c r="E1117" s="18" t="n">
        <x:f>'Habilidades'!G661</x:f>
        <x:v>60</x:v>
      </x:c>
      <x:c r="F1117" s="18" t="n">
        <x:f>'Habilidades'!H661</x:f>
        <x:v>80</x:v>
      </x:c>
      <x:c r="G1117" s="18" t="n">
        <x:f>'Habilidades'!I661</x:f>
        <x:v>140</x:v>
      </x:c>
    </x:row>
    <x:row r="1118" ht="22" customHeight="1">
      <x:c r="A1118" s="19" t="n">
        <x:f>IF(B1118="","",IF(B1118=B1117,A1117,A1117+1))</x:f>
        <x:v>226</x:v>
      </x:c>
      <x:c r="B1118" s="20" t="str">
        <x:f>'Ranking'!C232</x:f>
        <x:v>Geodude</x:v>
      </x:c>
      <x:c r="C1118" s="20" t="str">
        <x:f>'Habilidades'!D662</x:f>
        <x:v>Tackle</x:v>
      </x:c>
      <x:c r="D1118" s="20" t="str">
        <x:f>'Habilidades'!F662</x:f>
        <x:v>Física</x:v>
      </x:c>
      <x:c r="E1118" s="21" t="n">
        <x:f>'Habilidades'!G662</x:f>
        <x:v>50</x:v>
      </x:c>
      <x:c r="F1118" s="21" t="n">
        <x:f>'Habilidades'!H662</x:f>
        <x:v>80</x:v>
      </x:c>
      <x:c r="G1118" s="21" t="n">
        <x:f>'Habilidades'!I662</x:f>
        <x:v>130</x:v>
      </x:c>
    </x:row>
    <x:row r="1119" ht="22" customHeight="1">
      <x:c r="A1119" s="17" t="n">
        <x:f>IF(B1119="","",IF(B1119=B1118,A1118,A1118+1))</x:f>
        <x:v>227</x:v>
      </x:c>
      <x:c r="B1119" s="1" t="str">
        <x:f>'Ranking'!C233</x:f>
        <x:v>Grimer</x:v>
      </x:c>
      <x:c r="C1119" s="1" t="str">
        <x:f>'Habilidades'!D815</x:f>
        <x:v>Gunk Shot</x:v>
      </x:c>
      <x:c r="D1119" s="1" t="str">
        <x:f>'Habilidades'!F815</x:f>
        <x:v>Física</x:v>
      </x:c>
      <x:c r="E1119" s="18" t="n">
        <x:f>'Habilidades'!G815</x:f>
        <x:v>120</x:v>
      </x:c>
      <x:c r="F1119" s="18" t="n">
        <x:f>'Habilidades'!H815</x:f>
        <x:v>80</x:v>
      </x:c>
      <x:c r="G1119" s="18" t="n">
        <x:f>'Habilidades'!I815</x:f>
        <x:v>200</x:v>
      </x:c>
    </x:row>
    <x:row r="1120" ht="22" customHeight="1">
      <x:c r="A1120" s="17" t="n">
        <x:f>IF(B1120="","",IF(B1120=B1119,A1119,A1119+1))</x:f>
        <x:v>227</x:v>
      </x:c>
      <x:c r="B1120" s="1" t="str">
        <x:f>'Ranking'!C233</x:f>
        <x:v>Grimer</x:v>
      </x:c>
      <x:c r="C1120" s="1" t="str">
        <x:f>'Habilidades'!D816</x:f>
        <x:v>Belch</x:v>
      </x:c>
      <x:c r="D1120" s="1" t="str">
        <x:f>'Habilidades'!F816</x:f>
        <x:v>Especial</x:v>
      </x:c>
      <x:c r="E1120" s="18" t="n">
        <x:f>'Habilidades'!G816</x:f>
        <x:v>120</x:v>
      </x:c>
      <x:c r="F1120" s="18" t="n">
        <x:f>'Habilidades'!H816</x:f>
        <x:v>40</x:v>
      </x:c>
      <x:c r="G1120" s="18" t="n">
        <x:f>'Habilidades'!I816</x:f>
        <x:v>160</x:v>
      </x:c>
    </x:row>
    <x:row r="1121" ht="22" customHeight="1">
      <x:c r="A1121" s="17" t="n">
        <x:f>IF(B1121="","",IF(B1121=B1120,A1120,A1120+1))</x:f>
        <x:v>227</x:v>
      </x:c>
      <x:c r="B1121" s="1" t="str">
        <x:f>'Ranking'!C233</x:f>
        <x:v>Grimer</x:v>
      </x:c>
      <x:c r="C1121" s="1" t="str">
        <x:f>'Habilidades'!D817</x:f>
        <x:v>Sludge Wave</x:v>
      </x:c>
      <x:c r="D1121" s="1" t="str">
        <x:f>'Habilidades'!F817</x:f>
        <x:v>Especial</x:v>
      </x:c>
      <x:c r="E1121" s="18" t="n">
        <x:f>'Habilidades'!G817</x:f>
        <x:v>95</x:v>
      </x:c>
      <x:c r="F1121" s="18" t="n">
        <x:f>'Habilidades'!H817</x:f>
        <x:v>40</x:v>
      </x:c>
      <x:c r="G1121" s="18" t="n">
        <x:f>'Habilidades'!I817</x:f>
        <x:v>135</x:v>
      </x:c>
    </x:row>
    <x:row r="1122" ht="22" customHeight="1">
      <x:c r="A1122" s="17" t="n">
        <x:f>IF(B1122="","",IF(B1122=B1121,A1121,A1121+1))</x:f>
        <x:v>227</x:v>
      </x:c>
      <x:c r="B1122" s="1" t="str">
        <x:f>'Ranking'!C233</x:f>
        <x:v>Grimer</x:v>
      </x:c>
      <x:c r="C1122" s="1" t="str">
        <x:f>'Habilidades'!D818</x:f>
        <x:v>Sludge Bomb</x:v>
      </x:c>
      <x:c r="D1122" s="1" t="str">
        <x:f>'Habilidades'!F818</x:f>
        <x:v>Especial</x:v>
      </x:c>
      <x:c r="E1122" s="18" t="n">
        <x:f>'Habilidades'!G818</x:f>
        <x:v>90</x:v>
      </x:c>
      <x:c r="F1122" s="18" t="n">
        <x:f>'Habilidades'!H818</x:f>
        <x:v>40</x:v>
      </x:c>
      <x:c r="G1122" s="18" t="n">
        <x:f>'Habilidades'!I818</x:f>
        <x:v>130</x:v>
      </x:c>
    </x:row>
    <x:row r="1123" ht="22" customHeight="1">
      <x:c r="A1123" s="19" t="n">
        <x:f>IF(B1123="","",IF(B1123=B1122,A1122,A1122+1))</x:f>
        <x:v>227</x:v>
      </x:c>
      <x:c r="B1123" s="20" t="str">
        <x:f>'Ranking'!C233</x:f>
        <x:v>Grimer</x:v>
      </x:c>
      <x:c r="C1123" s="20" t="str">
        <x:f>'Habilidades'!D820</x:f>
        <x:v>Sludge</x:v>
      </x:c>
      <x:c r="D1123" s="20" t="str">
        <x:f>'Habilidades'!F820</x:f>
        <x:v>Especial</x:v>
      </x:c>
      <x:c r="E1123" s="21" t="n">
        <x:f>'Habilidades'!G820</x:f>
        <x:v>65</x:v>
      </x:c>
      <x:c r="F1123" s="21" t="n">
        <x:f>'Habilidades'!H820</x:f>
        <x:v>40</x:v>
      </x:c>
      <x:c r="G1123" s="21" t="n">
        <x:f>'Habilidades'!I820</x:f>
        <x:v>105</x:v>
      </x:c>
    </x:row>
    <x:row r="1124" ht="22" customHeight="1">
      <x:c r="A1124" s="17" t="n">
        <x:f>IF(B1124="","",IF(B1124=B1123,A1123,A1123+1))</x:f>
        <x:v>228</x:v>
      </x:c>
      <x:c r="B1124" s="1" t="str">
        <x:f>'Ranking'!C230</x:f>
        <x:v>Ivysaur</x:v>
      </x:c>
      <x:c r="C1124" s="1" t="str">
        <x:f>'Habilidades'!D14</x:f>
        <x:v>Solar Beam</x:v>
      </x:c>
      <x:c r="D1124" s="1" t="str">
        <x:f>'Habilidades'!F14</x:f>
        <x:v>Especial</x:v>
      </x:c>
      <x:c r="E1124" s="18" t="n">
        <x:f>'Habilidades'!G14</x:f>
        <x:v>120</x:v>
      </x:c>
      <x:c r="F1124" s="18" t="n">
        <x:f>'Habilidades'!H14</x:f>
        <x:v>80</x:v>
      </x:c>
      <x:c r="G1124" s="18" t="n">
        <x:f>'Habilidades'!I14</x:f>
        <x:v>200</x:v>
      </x:c>
    </x:row>
    <x:row r="1125" ht="22" customHeight="1">
      <x:c r="A1125" s="17" t="n">
        <x:f>IF(B1125="","",IF(B1125=B1124,A1124,A1124+1))</x:f>
        <x:v>228</x:v>
      </x:c>
      <x:c r="B1125" s="1" t="str">
        <x:f>'Ranking'!C230</x:f>
        <x:v>Ivysaur</x:v>
      </x:c>
      <x:c r="C1125" s="1" t="str">
        <x:f>'Habilidades'!D15</x:f>
        <x:v>Double-Edge</x:v>
      </x:c>
      <x:c r="D1125" s="1" t="str">
        <x:f>'Habilidades'!F15</x:f>
        <x:v>Física</x:v>
      </x:c>
      <x:c r="E1125" s="18" t="n">
        <x:f>'Habilidades'!G15</x:f>
        <x:v>120</x:v>
      </x:c>
      <x:c r="F1125" s="18" t="n">
        <x:f>'Habilidades'!H15</x:f>
        <x:v>62</x:v>
      </x:c>
      <x:c r="G1125" s="18" t="n">
        <x:f>'Habilidades'!I15</x:f>
        <x:v>182</x:v>
      </x:c>
    </x:row>
    <x:row r="1126" ht="22" customHeight="1">
      <x:c r="A1126" s="17" t="n">
        <x:f>IF(B1126="","",IF(B1126=B1125,A1125,A1125+1))</x:f>
        <x:v>228</x:v>
      </x:c>
      <x:c r="B1126" s="1" t="str">
        <x:f>'Ranking'!C230</x:f>
        <x:v>Ivysaur</x:v>
      </x:c>
      <x:c r="C1126" s="1" t="str">
        <x:f>'Habilidades'!D16</x:f>
        <x:v>Take Down</x:v>
      </x:c>
      <x:c r="D1126" s="1" t="str">
        <x:f>'Habilidades'!F16</x:f>
        <x:v>Física</x:v>
      </x:c>
      <x:c r="E1126" s="18" t="n">
        <x:f>'Habilidades'!G16</x:f>
        <x:v>90</x:v>
      </x:c>
      <x:c r="F1126" s="18" t="n">
        <x:f>'Habilidades'!H16</x:f>
        <x:v>62</x:v>
      </x:c>
      <x:c r="G1126" s="18" t="n">
        <x:f>'Habilidades'!I16</x:f>
        <x:v>152</x:v>
      </x:c>
    </x:row>
    <x:row r="1127" ht="22" customHeight="1">
      <x:c r="A1127" s="17" t="n">
        <x:f>IF(B1127="","",IF(B1127=B1126,A1126,A1126+1))</x:f>
        <x:v>228</x:v>
      </x:c>
      <x:c r="B1127" s="1" t="str">
        <x:f>'Ranking'!C230</x:f>
        <x:v>Ivysaur</x:v>
      </x:c>
      <x:c r="C1127" s="1" t="str">
        <x:f>'Habilidades'!D17</x:f>
        <x:v>Razor Leaf</x:v>
      </x:c>
      <x:c r="D1127" s="1" t="str">
        <x:f>'Habilidades'!F17</x:f>
        <x:v>Física</x:v>
      </x:c>
      <x:c r="E1127" s="18" t="n">
        <x:f>'Habilidades'!G17</x:f>
        <x:v>55</x:v>
      </x:c>
      <x:c r="F1127" s="18" t="n">
        <x:f>'Habilidades'!H17</x:f>
        <x:v>62</x:v>
      </x:c>
      <x:c r="G1127" s="18" t="n">
        <x:f>'Habilidades'!I17</x:f>
        <x:v>117</x:v>
      </x:c>
    </x:row>
    <x:row r="1128" ht="22" customHeight="1">
      <x:c r="A1128" s="19" t="n">
        <x:f>IF(B1128="","",IF(B1128=B1127,A1127,A1127+1))</x:f>
        <x:v>228</x:v>
      </x:c>
      <x:c r="B1128" s="20" t="str">
        <x:f>'Ranking'!C230</x:f>
        <x:v>Ivysaur</x:v>
      </x:c>
      <x:c r="C1128" s="20" t="str">
        <x:f>'Habilidades'!D18</x:f>
        <x:v>Tackle</x:v>
      </x:c>
      <x:c r="D1128" s="20" t="str">
        <x:f>'Habilidades'!F18</x:f>
        <x:v>Física</x:v>
      </x:c>
      <x:c r="E1128" s="21" t="n">
        <x:f>'Habilidades'!G18</x:f>
        <x:v>50</x:v>
      </x:c>
      <x:c r="F1128" s="21" t="n">
        <x:f>'Habilidades'!H18</x:f>
        <x:v>62</x:v>
      </x:c>
      <x:c r="G1128" s="21" t="n">
        <x:f>'Habilidades'!I18</x:f>
        <x:v>112</x:v>
      </x:c>
    </x:row>
    <x:row r="1129" ht="22" customHeight="1">
      <x:c r="A1129" s="17" t="n">
        <x:f>IF(B1129="","",IF(B1129=B1128,A1128,A1128+1))</x:f>
        <x:v>229</x:v>
      </x:c>
      <x:c r="B1129" s="1" t="str">
        <x:f>'Ranking'!C227</x:f>
        <x:v>Machoke</x:v>
      </x:c>
      <x:c r="C1129" s="1" t="str">
        <x:f>'Habilidades'!D586</x:f>
        <x:v>Cross Chop</x:v>
      </x:c>
      <x:c r="D1129" s="1" t="str">
        <x:f>'Habilidades'!F586</x:f>
        <x:v>Física</x:v>
      </x:c>
      <x:c r="E1129" s="18" t="n">
        <x:f>'Habilidades'!G586</x:f>
        <x:v>100</x:v>
      </x:c>
      <x:c r="F1129" s="18" t="n">
        <x:f>'Habilidades'!H586</x:f>
        <x:v>100</x:v>
      </x:c>
      <x:c r="G1129" s="18" t="n">
        <x:f>'Habilidades'!I586</x:f>
        <x:v>200</x:v>
      </x:c>
    </x:row>
    <x:row r="1130" ht="22" customHeight="1">
      <x:c r="A1130" s="17" t="n">
        <x:f>IF(B1130="","",IF(B1130=B1129,A1129,A1129+1))</x:f>
        <x:v>229</x:v>
      </x:c>
      <x:c r="B1130" s="1" t="str">
        <x:f>'Ranking'!C227</x:f>
        <x:v>Machoke</x:v>
      </x:c>
      <x:c r="C1130" s="1" t="str">
        <x:f>'Habilidades'!D587</x:f>
        <x:v>Dynamic Punch</x:v>
      </x:c>
      <x:c r="D1130" s="1" t="str">
        <x:f>'Habilidades'!F587</x:f>
        <x:v>Física</x:v>
      </x:c>
      <x:c r="E1130" s="18" t="n">
        <x:f>'Habilidades'!G587</x:f>
        <x:v>100</x:v>
      </x:c>
      <x:c r="F1130" s="18" t="n">
        <x:f>'Habilidades'!H587</x:f>
        <x:v>100</x:v>
      </x:c>
      <x:c r="G1130" s="18" t="n">
        <x:f>'Habilidades'!I587</x:f>
        <x:v>200</x:v>
      </x:c>
    </x:row>
    <x:row r="1131" ht="22" customHeight="1">
      <x:c r="A1131" s="17" t="n">
        <x:f>IF(B1131="","",IF(B1131=B1130,A1130,A1130+1))</x:f>
        <x:v>229</x:v>
      </x:c>
      <x:c r="B1131" s="1" t="str">
        <x:f>'Ranking'!C227</x:f>
        <x:v>Machoke</x:v>
      </x:c>
      <x:c r="C1131" s="1" t="str">
        <x:f>'Habilidades'!D588</x:f>
        <x:v>Submission</x:v>
      </x:c>
      <x:c r="D1131" s="1" t="str">
        <x:f>'Habilidades'!F588</x:f>
        <x:v>Física</x:v>
      </x:c>
      <x:c r="E1131" s="18" t="n">
        <x:f>'Habilidades'!G588</x:f>
        <x:v>80</x:v>
      </x:c>
      <x:c r="F1131" s="18" t="n">
        <x:f>'Habilidades'!H588</x:f>
        <x:v>100</x:v>
      </x:c>
      <x:c r="G1131" s="18" t="n">
        <x:f>'Habilidades'!I588</x:f>
        <x:v>180</x:v>
      </x:c>
    </x:row>
    <x:row r="1132" ht="22" customHeight="1">
      <x:c r="A1132" s="17" t="n">
        <x:f>IF(B1132="","",IF(B1132=B1131,A1131,A1131+1))</x:f>
        <x:v>229</x:v>
      </x:c>
      <x:c r="B1132" s="1" t="str">
        <x:f>'Ranking'!C227</x:f>
        <x:v>Machoke</x:v>
      </x:c>
      <x:c r="C1132" s="1" t="str">
        <x:f>'Habilidades'!D589</x:f>
        <x:v>Vital Throw</x:v>
      </x:c>
      <x:c r="D1132" s="1" t="str">
        <x:f>'Habilidades'!F589</x:f>
        <x:v>Física</x:v>
      </x:c>
      <x:c r="E1132" s="18" t="n">
        <x:f>'Habilidades'!G589</x:f>
        <x:v>70</x:v>
      </x:c>
      <x:c r="F1132" s="18" t="n">
        <x:f>'Habilidades'!H589</x:f>
        <x:v>100</x:v>
      </x:c>
      <x:c r="G1132" s="18" t="n">
        <x:f>'Habilidades'!I589</x:f>
        <x:v>170</x:v>
      </x:c>
    </x:row>
    <x:row r="1133" ht="22" customHeight="1">
      <x:c r="A1133" s="19" t="n">
        <x:f>IF(B1133="","",IF(B1133=B1132,A1132,A1132+1))</x:f>
        <x:v>229</x:v>
      </x:c>
      <x:c r="B1133" s="20" t="str">
        <x:f>'Ranking'!C227</x:f>
        <x:v>Machoke</x:v>
      </x:c>
      <x:c r="C1133" s="20" t="str">
        <x:f>'Habilidades'!D590</x:f>
        <x:v>Wake-Up Slap</x:v>
      </x:c>
      <x:c r="D1133" s="20" t="str">
        <x:f>'Habilidades'!F590</x:f>
        <x:v>Física</x:v>
      </x:c>
      <x:c r="E1133" s="21" t="n">
        <x:f>'Habilidades'!G590</x:f>
        <x:v>70</x:v>
      </x:c>
      <x:c r="F1133" s="21" t="n">
        <x:f>'Habilidades'!H590</x:f>
        <x:v>100</x:v>
      </x:c>
      <x:c r="G1133" s="21" t="n">
        <x:f>'Habilidades'!I590</x:f>
        <x:v>170</x:v>
      </x:c>
    </x:row>
    <x:row r="1134" ht="22" customHeight="1">
      <x:c r="A1134" s="17" t="n">
        <x:f>IF(B1134="","",IF(B1134=B1133,A1133,A1133+1))</x:f>
        <x:v>230</x:v>
      </x:c>
      <x:c r="B1134" s="1" t="str">
        <x:f>'Ranking'!C231</x:f>
        <x:v>Mankey</x:v>
      </x:c>
      <x:c r="C1134" s="1" t="str">
        <x:f>'Habilidades'!D498</x:f>
        <x:v>Thrash</x:v>
      </x:c>
      <x:c r="D1134" s="1" t="str">
        <x:f>'Habilidades'!F498</x:f>
        <x:v>Física</x:v>
      </x:c>
      <x:c r="E1134" s="18" t="n">
        <x:f>'Habilidades'!G498</x:f>
        <x:v>120</x:v>
      </x:c>
      <x:c r="F1134" s="18" t="n">
        <x:f>'Habilidades'!H498</x:f>
        <x:v>80</x:v>
      </x:c>
      <x:c r="G1134" s="18" t="n">
        <x:f>'Habilidades'!I498</x:f>
        <x:v>200</x:v>
      </x:c>
    </x:row>
    <x:row r="1135" ht="22" customHeight="1">
      <x:c r="A1135" s="17" t="n">
        <x:f>IF(B1135="","",IF(B1135=B1134,A1134,A1134+1))</x:f>
        <x:v>230</x:v>
      </x:c>
      <x:c r="B1135" s="1" t="str">
        <x:f>'Ranking'!C231</x:f>
        <x:v>Mankey</x:v>
      </x:c>
      <x:c r="C1135" s="1" t="str">
        <x:f>'Habilidades'!D499</x:f>
        <x:v>Close Combat</x:v>
      </x:c>
      <x:c r="D1135" s="1" t="str">
        <x:f>'Habilidades'!F499</x:f>
        <x:v>Física</x:v>
      </x:c>
      <x:c r="E1135" s="18" t="n">
        <x:f>'Habilidades'!G499</x:f>
        <x:v>120</x:v>
      </x:c>
      <x:c r="F1135" s="18" t="n">
        <x:f>'Habilidades'!H499</x:f>
        <x:v>80</x:v>
      </x:c>
      <x:c r="G1135" s="18" t="n">
        <x:f>'Habilidades'!I499</x:f>
        <x:v>200</x:v>
      </x:c>
    </x:row>
    <x:row r="1136" ht="22" customHeight="1">
      <x:c r="A1136" s="17" t="n">
        <x:f>IF(B1136="","",IF(B1136=B1135,A1135,A1135+1))</x:f>
        <x:v>230</x:v>
      </x:c>
      <x:c r="B1136" s="1" t="str">
        <x:f>'Ranking'!C231</x:f>
        <x:v>Mankey</x:v>
      </x:c>
      <x:c r="C1136" s="1" t="str">
        <x:f>'Habilidades'!D500</x:f>
        <x:v>Cross Chop</x:v>
      </x:c>
      <x:c r="D1136" s="1" t="str">
        <x:f>'Habilidades'!F500</x:f>
        <x:v>Física</x:v>
      </x:c>
      <x:c r="E1136" s="18" t="n">
        <x:f>'Habilidades'!G500</x:f>
        <x:v>100</x:v>
      </x:c>
      <x:c r="F1136" s="18" t="n">
        <x:f>'Habilidades'!H500</x:f>
        <x:v>80</x:v>
      </x:c>
      <x:c r="G1136" s="18" t="n">
        <x:f>'Habilidades'!I500</x:f>
        <x:v>180</x:v>
      </x:c>
    </x:row>
    <x:row r="1137" ht="22" customHeight="1">
      <x:c r="A1137" s="17" t="n">
        <x:f>IF(B1137="","",IF(B1137=B1136,A1136,A1136+1))</x:f>
        <x:v>230</x:v>
      </x:c>
      <x:c r="B1137" s="1" t="str">
        <x:f>'Ranking'!C231</x:f>
        <x:v>Mankey</x:v>
      </x:c>
      <x:c r="C1137" s="1" t="str">
        <x:f>'Habilidades'!D501</x:f>
        <x:v>Covet</x:v>
      </x:c>
      <x:c r="D1137" s="1" t="str">
        <x:f>'Habilidades'!F501</x:f>
        <x:v>Física</x:v>
      </x:c>
      <x:c r="E1137" s="18" t="n">
        <x:f>'Habilidades'!G501</x:f>
        <x:v>60</x:v>
      </x:c>
      <x:c r="F1137" s="18" t="n">
        <x:f>'Habilidades'!H501</x:f>
        <x:v>80</x:v>
      </x:c>
      <x:c r="G1137" s="18" t="n">
        <x:f>'Habilidades'!I501</x:f>
        <x:v>140</x:v>
      </x:c>
    </x:row>
    <x:row r="1138" ht="22" customHeight="1">
      <x:c r="A1138" s="19" t="n">
        <x:f>IF(B1138="","",IF(B1138=B1137,A1137,A1137+1))</x:f>
        <x:v>230</x:v>
      </x:c>
      <x:c r="B1138" s="20" t="str">
        <x:f>'Ranking'!C231</x:f>
        <x:v>Mankey</x:v>
      </x:c>
      <x:c r="C1138" s="20" t="str">
        <x:f>'Habilidades'!D502</x:f>
        <x:v>Assurance</x:v>
      </x:c>
      <x:c r="D1138" s="20" t="str">
        <x:f>'Habilidades'!F502</x:f>
        <x:v>Física</x:v>
      </x:c>
      <x:c r="E1138" s="21" t="n">
        <x:f>'Habilidades'!G502</x:f>
        <x:v>60</x:v>
      </x:c>
      <x:c r="F1138" s="21" t="n">
        <x:f>'Habilidades'!H502</x:f>
        <x:v>80</x:v>
      </x:c>
      <x:c r="G1138" s="21" t="n">
        <x:f>'Habilidades'!I502</x:f>
        <x:v>140</x:v>
      </x:c>
    </x:row>
    <x:row r="1139" ht="22" customHeight="1">
      <x:c r="A1139" s="17" t="n">
        <x:f>IF(B1139="","",IF(B1139=B1138,A1138,A1138+1))</x:f>
        <x:v>231</x:v>
      </x:c>
      <x:c r="B1139" s="1" t="str">
        <x:f>'Ranking'!C229</x:f>
        <x:v>Omanyte</x:v>
      </x:c>
      <x:c r="C1139" s="1" t="str">
        <x:f>'Habilidades'!D1315</x:f>
        <x:v>Hydro Pump</x:v>
      </x:c>
      <x:c r="D1139" s="1" t="str">
        <x:f>'Habilidades'!F1315</x:f>
        <x:v>Especial</x:v>
      </x:c>
      <x:c r="E1139" s="18" t="n">
        <x:f>'Habilidades'!G1315</x:f>
        <x:v>110</x:v>
      </x:c>
      <x:c r="F1139" s="18" t="n">
        <x:f>'Habilidades'!H1315</x:f>
        <x:v>90</x:v>
      </x:c>
      <x:c r="G1139" s="18" t="n">
        <x:f>'Habilidades'!I1315</x:f>
        <x:v>200</x:v>
      </x:c>
    </x:row>
    <x:row r="1140" ht="22" customHeight="1">
      <x:c r="A1140" s="17" t="n">
        <x:f>IF(B1140="","",IF(B1140=B1139,A1139,A1139+1))</x:f>
        <x:v>231</x:v>
      </x:c>
      <x:c r="B1140" s="1" t="str">
        <x:f>'Ranking'!C229</x:f>
        <x:v>Omanyte</x:v>
      </x:c>
      <x:c r="C1140" s="1" t="str">
        <x:f>'Habilidades'!D1316</x:f>
        <x:v>Brine</x:v>
      </x:c>
      <x:c r="D1140" s="1" t="str">
        <x:f>'Habilidades'!F1316</x:f>
        <x:v>Especial</x:v>
      </x:c>
      <x:c r="E1140" s="18" t="n">
        <x:f>'Habilidades'!G1316</x:f>
        <x:v>65</x:v>
      </x:c>
      <x:c r="F1140" s="18" t="n">
        <x:f>'Habilidades'!H1316</x:f>
        <x:v>90</x:v>
      </x:c>
      <x:c r="G1140" s="18" t="n">
        <x:f>'Habilidades'!I1316</x:f>
        <x:v>155</x:v>
      </x:c>
    </x:row>
    <x:row r="1141" ht="22" customHeight="1">
      <x:c r="A1141" s="17" t="n">
        <x:f>IF(B1141="","",IF(B1141=B1140,A1140,A1140+1))</x:f>
        <x:v>231</x:v>
      </x:c>
      <x:c r="B1141" s="1" t="str">
        <x:f>'Ranking'!C229</x:f>
        <x:v>Omanyte</x:v>
      </x:c>
      <x:c r="C1141" s="1" t="str">
        <x:f>'Habilidades'!D1317</x:f>
        <x:v>Ancient Power</x:v>
      </x:c>
      <x:c r="D1141" s="1" t="str">
        <x:f>'Habilidades'!F1317</x:f>
        <x:v>Especial</x:v>
      </x:c>
      <x:c r="E1141" s="18" t="n">
        <x:f>'Habilidades'!G1317</x:f>
        <x:v>60</x:v>
      </x:c>
      <x:c r="F1141" s="18" t="n">
        <x:f>'Habilidades'!H1317</x:f>
        <x:v>90</x:v>
      </x:c>
      <x:c r="G1141" s="18" t="n">
        <x:f>'Habilidades'!I1317</x:f>
        <x:v>150</x:v>
      </x:c>
    </x:row>
    <x:row r="1142" ht="22" customHeight="1">
      <x:c r="A1142" s="17" t="n">
        <x:f>IF(B1142="","",IF(B1142=B1141,A1141,A1141+1))</x:f>
        <x:v>231</x:v>
      </x:c>
      <x:c r="B1142" s="1" t="str">
        <x:f>'Ranking'!C229</x:f>
        <x:v>Omanyte</x:v>
      </x:c>
      <x:c r="C1142" s="1" t="str">
        <x:f>'Habilidades'!D1318</x:f>
        <x:v>Mud Shot</x:v>
      </x:c>
      <x:c r="D1142" s="1" t="str">
        <x:f>'Habilidades'!F1318</x:f>
        <x:v>Especial</x:v>
      </x:c>
      <x:c r="E1142" s="18" t="n">
        <x:f>'Habilidades'!G1318</x:f>
        <x:v>55</x:v>
      </x:c>
      <x:c r="F1142" s="18" t="n">
        <x:f>'Habilidades'!H1318</x:f>
        <x:v>90</x:v>
      </x:c>
      <x:c r="G1142" s="18" t="n">
        <x:f>'Habilidades'!I1318</x:f>
        <x:v>145</x:v>
      </x:c>
    </x:row>
    <x:row r="1143" ht="22" customHeight="1">
      <x:c r="A1143" s="19" t="n">
        <x:f>IF(B1143="","",IF(B1143=B1142,A1142,A1142+1))</x:f>
        <x:v>231</x:v>
      </x:c>
      <x:c r="B1143" s="20" t="str">
        <x:f>'Ranking'!C229</x:f>
        <x:v>Omanyte</x:v>
      </x:c>
      <x:c r="C1143" s="20" t="str">
        <x:f>'Habilidades'!D1320</x:f>
        <x:v>Bite</x:v>
      </x:c>
      <x:c r="D1143" s="20" t="str">
        <x:f>'Habilidades'!F1320</x:f>
        <x:v>Física</x:v>
      </x:c>
      <x:c r="E1143" s="21" t="n">
        <x:f>'Habilidades'!G1320</x:f>
        <x:v>60</x:v>
      </x:c>
      <x:c r="F1143" s="21" t="n">
        <x:f>'Habilidades'!H1320</x:f>
        <x:v>40</x:v>
      </x:c>
      <x:c r="G1143" s="21" t="n">
        <x:f>'Habilidades'!I1320</x:f>
        <x:v>100</x:v>
      </x:c>
    </x:row>
    <x:row r="1144" ht="22" customHeight="1">
      <x:c r="A1144" s="17" t="n">
        <x:f>IF(B1144="","",IF(B1144=B1143,A1143,A1143+1))</x:f>
        <x:v>232</x:v>
      </x:c>
      <x:c r="B1144" s="1" t="str">
        <x:f>'Ranking'!C237</x:f>
        <x:v>Petilil</x:v>
      </x:c>
      <x:c r="C1144" s="1" t="str">
        <x:f>'Habilidades'!D3432</x:f>
        <x:v>Leaf Storm</x:v>
      </x:c>
      <x:c r="D1144" s="1" t="str">
        <x:f>'Habilidades'!F3432</x:f>
        <x:v>Especial</x:v>
      </x:c>
      <x:c r="E1144" s="18" t="n">
        <x:f>'Habilidades'!G3432</x:f>
        <x:v>130</x:v>
      </x:c>
      <x:c r="F1144" s="18" t="n">
        <x:f>'Habilidades'!H3432</x:f>
        <x:v>70</x:v>
      </x:c>
      <x:c r="G1144" s="18" t="n">
        <x:f>'Habilidades'!I3432</x:f>
        <x:v>200</x:v>
      </x:c>
    </x:row>
    <x:row r="1145" ht="22" customHeight="1">
      <x:c r="A1145" s="17" t="n">
        <x:f>IF(B1145="","",IF(B1145=B1144,A1144,A1144+1))</x:f>
        <x:v>232</x:v>
      </x:c>
      <x:c r="B1145" s="1" t="str">
        <x:f>'Ranking'!C237</x:f>
        <x:v>Petilil</x:v>
      </x:c>
      <x:c r="C1145" s="1" t="str">
        <x:f>'Habilidades'!D3433</x:f>
        <x:v>Energy Ball</x:v>
      </x:c>
      <x:c r="D1145" s="1" t="str">
        <x:f>'Habilidades'!F3433</x:f>
        <x:v>Especial</x:v>
      </x:c>
      <x:c r="E1145" s="18" t="n">
        <x:f>'Habilidades'!G3433</x:f>
        <x:v>90</x:v>
      </x:c>
      <x:c r="F1145" s="18" t="n">
        <x:f>'Habilidades'!H3433</x:f>
        <x:v>70</x:v>
      </x:c>
      <x:c r="G1145" s="18" t="n">
        <x:f>'Habilidades'!I3433</x:f>
        <x:v>160</x:v>
      </x:c>
    </x:row>
    <x:row r="1146" ht="22" customHeight="1">
      <x:c r="A1146" s="17" t="n">
        <x:f>IF(B1146="","",IF(B1146=B1145,A1145,A1145+1))</x:f>
        <x:v>232</x:v>
      </x:c>
      <x:c r="B1146" s="1" t="str">
        <x:f>'Ranking'!C237</x:f>
        <x:v>Petilil</x:v>
      </x:c>
      <x:c r="C1146" s="1" t="str">
        <x:f>'Habilidades'!D3434</x:f>
        <x:v>Giga Drain</x:v>
      </x:c>
      <x:c r="D1146" s="1" t="str">
        <x:f>'Habilidades'!F3434</x:f>
        <x:v>Especial</x:v>
      </x:c>
      <x:c r="E1146" s="18" t="n">
        <x:f>'Habilidades'!G3434</x:f>
        <x:v>75</x:v>
      </x:c>
      <x:c r="F1146" s="18" t="n">
        <x:f>'Habilidades'!H3434</x:f>
        <x:v>70</x:v>
      </x:c>
      <x:c r="G1146" s="18" t="n">
        <x:f>'Habilidades'!I3434</x:f>
        <x:v>145</x:v>
      </x:c>
    </x:row>
    <x:row r="1147" ht="22" customHeight="1">
      <x:c r="A1147" s="17" t="n">
        <x:f>IF(B1147="","",IF(B1147=B1146,A1146,A1146+1))</x:f>
        <x:v>232</x:v>
      </x:c>
      <x:c r="B1147" s="1" t="str">
        <x:f>'Ranking'!C237</x:f>
        <x:v>Petilil</x:v>
      </x:c>
      <x:c r="C1147" s="1" t="str">
        <x:f>'Habilidades'!D3435</x:f>
        <x:v>Magical Leaf</x:v>
      </x:c>
      <x:c r="D1147" s="1" t="str">
        <x:f>'Habilidades'!F3435</x:f>
        <x:v>Especial</x:v>
      </x:c>
      <x:c r="E1147" s="18" t="n">
        <x:f>'Habilidades'!G3435</x:f>
        <x:v>60</x:v>
      </x:c>
      <x:c r="F1147" s="18" t="n">
        <x:f>'Habilidades'!H3435</x:f>
        <x:v>70</x:v>
      </x:c>
      <x:c r="G1147" s="18" t="n">
        <x:f>'Habilidades'!I3435</x:f>
        <x:v>130</x:v>
      </x:c>
    </x:row>
    <x:row r="1148" ht="22" customHeight="1">
      <x:c r="A1148" s="19" t="n">
        <x:f>IF(B1148="","",IF(B1148=B1147,A1147,A1147+1))</x:f>
        <x:v>232</x:v>
      </x:c>
      <x:c r="B1148" s="20" t="str">
        <x:f>'Ranking'!C237</x:f>
        <x:v>Petilil</x:v>
      </x:c>
      <x:c r="C1148" s="20" t="str">
        <x:f>'Habilidades'!D3436</x:f>
        <x:v>Mega Drain</x:v>
      </x:c>
      <x:c r="D1148" s="20" t="str">
        <x:f>'Habilidades'!F3436</x:f>
        <x:v>Especial</x:v>
      </x:c>
      <x:c r="E1148" s="21" t="n">
        <x:f>'Habilidades'!G3436</x:f>
        <x:v>40</x:v>
      </x:c>
      <x:c r="F1148" s="21" t="n">
        <x:f>'Habilidades'!H3436</x:f>
        <x:v>70</x:v>
      </x:c>
      <x:c r="G1148" s="21" t="n">
        <x:f>'Habilidades'!I3436</x:f>
        <x:v>110</x:v>
      </x:c>
    </x:row>
    <x:row r="1149" ht="22" customHeight="1">
      <x:c r="A1149" s="17" t="n">
        <x:f>IF(B1149="","",IF(B1149=B1148,A1148,A1148+1))</x:f>
        <x:v>233</x:v>
      </x:c>
      <x:c r="B1149" s="1" t="str">
        <x:f>'Ranking'!C239</x:f>
        <x:v>Phanpy</x:v>
      </x:c>
      <x:c r="C1149" s="1" t="str">
        <x:f>'Habilidades'!D2177</x:f>
        <x:v>Last Resort</x:v>
      </x:c>
      <x:c r="D1149" s="1" t="str">
        <x:f>'Habilidades'!F2177</x:f>
        <x:v>Física</x:v>
      </x:c>
      <x:c r="E1149" s="18" t="n">
        <x:f>'Habilidades'!G2177</x:f>
        <x:v>140</x:v>
      </x:c>
      <x:c r="F1149" s="18" t="n">
        <x:f>'Habilidades'!H2177</x:f>
        <x:v>60</x:v>
      </x:c>
      <x:c r="G1149" s="18" t="n">
        <x:f>'Habilidades'!I2177</x:f>
        <x:v>200</x:v>
      </x:c>
    </x:row>
    <x:row r="1150" ht="22" customHeight="1">
      <x:c r="A1150" s="17" t="n">
        <x:f>IF(B1150="","",IF(B1150=B1149,A1149,A1149+1))</x:f>
        <x:v>233</x:v>
      </x:c>
      <x:c r="B1150" s="1" t="str">
        <x:f>'Ranking'!C239</x:f>
        <x:v>Phanpy</x:v>
      </x:c>
      <x:c r="C1150" s="1" t="str">
        <x:f>'Habilidades'!D2178</x:f>
        <x:v>Double-Edge</x:v>
      </x:c>
      <x:c r="D1150" s="1" t="str">
        <x:f>'Habilidades'!F2178</x:f>
        <x:v>Física</x:v>
      </x:c>
      <x:c r="E1150" s="18" t="n">
        <x:f>'Habilidades'!G2178</x:f>
        <x:v>120</x:v>
      </x:c>
      <x:c r="F1150" s="18" t="n">
        <x:f>'Habilidades'!H2178</x:f>
        <x:v>60</x:v>
      </x:c>
      <x:c r="G1150" s="18" t="n">
        <x:f>'Habilidades'!I2178</x:f>
        <x:v>180</x:v>
      </x:c>
    </x:row>
    <x:row r="1151" ht="22" customHeight="1">
      <x:c r="A1151" s="17" t="n">
        <x:f>IF(B1151="","",IF(B1151=B1150,A1150,A1150+1))</x:f>
        <x:v>233</x:v>
      </x:c>
      <x:c r="B1151" s="1" t="str">
        <x:f>'Ranking'!C239</x:f>
        <x:v>Phanpy</x:v>
      </x:c>
      <x:c r="C1151" s="1" t="str">
        <x:f>'Habilidades'!D2179</x:f>
        <x:v>Take Down</x:v>
      </x:c>
      <x:c r="D1151" s="1" t="str">
        <x:f>'Habilidades'!F2179</x:f>
        <x:v>Física</x:v>
      </x:c>
      <x:c r="E1151" s="18" t="n">
        <x:f>'Habilidades'!G2179</x:f>
        <x:v>90</x:v>
      </x:c>
      <x:c r="F1151" s="18" t="n">
        <x:f>'Habilidades'!H2179</x:f>
        <x:v>60</x:v>
      </x:c>
      <x:c r="G1151" s="18" t="n">
        <x:f>'Habilidades'!I2179</x:f>
        <x:v>150</x:v>
      </x:c>
    </x:row>
    <x:row r="1152" ht="22" customHeight="1">
      <x:c r="A1152" s="17" t="n">
        <x:f>IF(B1152="","",IF(B1152=B1151,A1151,A1151+1))</x:f>
        <x:v>233</x:v>
      </x:c>
      <x:c r="B1152" s="1" t="str">
        <x:f>'Ranking'!C239</x:f>
        <x:v>Phanpy</x:v>
      </x:c>
      <x:c r="C1152" s="1" t="str">
        <x:f>'Habilidades'!D2180</x:f>
        <x:v>Slam</x:v>
      </x:c>
      <x:c r="D1152" s="1" t="str">
        <x:f>'Habilidades'!F2180</x:f>
        <x:v>Física</x:v>
      </x:c>
      <x:c r="E1152" s="18" t="n">
        <x:f>'Habilidades'!G2180</x:f>
        <x:v>80</x:v>
      </x:c>
      <x:c r="F1152" s="18" t="n">
        <x:f>'Habilidades'!H2180</x:f>
        <x:v>60</x:v>
      </x:c>
      <x:c r="G1152" s="18" t="n">
        <x:f>'Habilidades'!I2180</x:f>
        <x:v>140</x:v>
      </x:c>
    </x:row>
    <x:row r="1153" ht="22" customHeight="1">
      <x:c r="A1153" s="19" t="n">
        <x:f>IF(B1153="","",IF(B1153=B1152,A1152,A1152+1))</x:f>
        <x:v>233</x:v>
      </x:c>
      <x:c r="B1153" s="20" t="str">
        <x:f>'Ranking'!C239</x:f>
        <x:v>Phanpy</x:v>
      </x:c>
      <x:c r="C1153" s="20" t="str">
        <x:f>'Habilidades'!D2181</x:f>
        <x:v>Tackle</x:v>
      </x:c>
      <x:c r="D1153" s="20" t="str">
        <x:f>'Habilidades'!F2181</x:f>
        <x:v>Física</x:v>
      </x:c>
      <x:c r="E1153" s="21" t="n">
        <x:f>'Habilidades'!G2181</x:f>
        <x:v>50</x:v>
      </x:c>
      <x:c r="F1153" s="21" t="n">
        <x:f>'Habilidades'!H2181</x:f>
        <x:v>60</x:v>
      </x:c>
      <x:c r="G1153" s="21" t="n">
        <x:f>'Habilidades'!I2181</x:f>
        <x:v>110</x:v>
      </x:c>
    </x:row>
    <x:row r="1154" ht="22" customHeight="1">
      <x:c r="A1154" s="17" t="n">
        <x:f>IF(B1154="","",IF(B1154=B1153,A1153,A1153+1))</x:f>
        <x:v>234</x:v>
      </x:c>
      <x:c r="B1154" s="1" t="str">
        <x:f>'Ranking'!C235</x:f>
        <x:v>Teddiursa</x:v>
      </x:c>
      <x:c r="C1154" s="1" t="str">
        <x:f>'Habilidades'!D2022</x:f>
        <x:v>Thrash</x:v>
      </x:c>
      <x:c r="D1154" s="1" t="str">
        <x:f>'Habilidades'!F2022</x:f>
        <x:v>Física</x:v>
      </x:c>
      <x:c r="E1154" s="18" t="n">
        <x:f>'Habilidades'!G2022</x:f>
        <x:v>120</x:v>
      </x:c>
      <x:c r="F1154" s="18" t="n">
        <x:f>'Habilidades'!H2022</x:f>
        <x:v>80</x:v>
      </x:c>
      <x:c r="G1154" s="18" t="n">
        <x:f>'Habilidades'!I2022</x:f>
        <x:v>200</x:v>
      </x:c>
    </x:row>
    <x:row r="1155" ht="22" customHeight="1">
      <x:c r="A1155" s="17" t="n">
        <x:f>IF(B1155="","",IF(B1155=B1154,A1154,A1154+1))</x:f>
        <x:v>234</x:v>
      </x:c>
      <x:c r="B1155" s="1" t="str">
        <x:f>'Ranking'!C235</x:f>
        <x:v>Teddiursa</x:v>
      </x:c>
      <x:c r="C1155" s="1" t="str">
        <x:f>'Habilidades'!D2023</x:f>
        <x:v>Slash</x:v>
      </x:c>
      <x:c r="D1155" s="1" t="str">
        <x:f>'Habilidades'!F2023</x:f>
        <x:v>Física</x:v>
      </x:c>
      <x:c r="E1155" s="18" t="n">
        <x:f>'Habilidades'!G2023</x:f>
        <x:v>70</x:v>
      </x:c>
      <x:c r="F1155" s="18" t="n">
        <x:f>'Habilidades'!H2023</x:f>
        <x:v>80</x:v>
      </x:c>
      <x:c r="G1155" s="18" t="n">
        <x:f>'Habilidades'!I2023</x:f>
        <x:v>150</x:v>
      </x:c>
    </x:row>
    <x:row r="1156" ht="22" customHeight="1">
      <x:c r="A1156" s="17" t="n">
        <x:f>IF(B1156="","",IF(B1156=B1155,A1155,A1155+1))</x:f>
        <x:v>234</x:v>
      </x:c>
      <x:c r="B1156" s="1" t="str">
        <x:f>'Ranking'!C235</x:f>
        <x:v>Teddiursa</x:v>
      </x:c>
      <x:c r="C1156" s="1" t="str">
        <x:f>'Habilidades'!D2024</x:f>
        <x:v>Covet</x:v>
      </x:c>
      <x:c r="D1156" s="1" t="str">
        <x:f>'Habilidades'!F2024</x:f>
        <x:v>Física</x:v>
      </x:c>
      <x:c r="E1156" s="18" t="n">
        <x:f>'Habilidades'!G2024</x:f>
        <x:v>60</x:v>
      </x:c>
      <x:c r="F1156" s="18" t="n">
        <x:f>'Habilidades'!H2024</x:f>
        <x:v>80</x:v>
      </x:c>
      <x:c r="G1156" s="18" t="n">
        <x:f>'Habilidades'!I2024</x:f>
        <x:v>140</x:v>
      </x:c>
    </x:row>
    <x:row r="1157" ht="22" customHeight="1">
      <x:c r="A1157" s="17" t="n">
        <x:f>IF(B1157="","",IF(B1157=B1156,A1156,A1156+1))</x:f>
        <x:v>234</x:v>
      </x:c>
      <x:c r="B1157" s="1" t="str">
        <x:f>'Ranking'!C235</x:f>
        <x:v>Teddiursa</x:v>
      </x:c>
      <x:c r="C1157" s="1" t="str">
        <x:f>'Habilidades'!D2025</x:f>
        <x:v>Feint Attack</x:v>
      </x:c>
      <x:c r="D1157" s="1" t="str">
        <x:f>'Habilidades'!F2025</x:f>
        <x:v>Física</x:v>
      </x:c>
      <x:c r="E1157" s="18" t="n">
        <x:f>'Habilidades'!G2025</x:f>
        <x:v>60</x:v>
      </x:c>
      <x:c r="F1157" s="18" t="n">
        <x:f>'Habilidades'!H2025</x:f>
        <x:v>80</x:v>
      </x:c>
      <x:c r="G1157" s="18" t="n">
        <x:f>'Habilidades'!I2025</x:f>
        <x:v>140</x:v>
      </x:c>
    </x:row>
    <x:row r="1158" ht="22" customHeight="1">
      <x:c r="A1158" s="19" t="n">
        <x:f>IF(B1158="","",IF(B1158=B1157,A1157,A1157+1))</x:f>
        <x:v>234</x:v>
      </x:c>
      <x:c r="B1158" s="20" t="str">
        <x:f>'Ranking'!C235</x:f>
        <x:v>Teddiursa</x:v>
      </x:c>
      <x:c r="C1158" s="20" t="str">
        <x:f>'Habilidades'!D2028</x:f>
        <x:v>Snore</x:v>
      </x:c>
      <x:c r="D1158" s="20" t="str">
        <x:f>'Habilidades'!F2028</x:f>
        <x:v>Especial</x:v>
      </x:c>
      <x:c r="E1158" s="21" t="n">
        <x:f>'Habilidades'!G2028</x:f>
        <x:v>50</x:v>
      </x:c>
      <x:c r="F1158" s="21" t="n">
        <x:f>'Habilidades'!H2028</x:f>
        <x:v>50</x:v>
      </x:c>
      <x:c r="G1158" s="21" t="n">
        <x:f>'Habilidades'!I2028</x:f>
        <x:v>100</x:v>
      </x:c>
    </x:row>
    <x:row r="1159" ht="22" customHeight="1">
      <x:c r="A1159" s="17" t="n">
        <x:f>IF(B1159="","",IF(B1159=B1158,A1158,A1158+1))</x:f>
        <x:v>235</x:v>
      </x:c>
      <x:c r="B1159" s="1" t="str">
        <x:f>'Ranking'!C226</x:f>
        <x:v>Togekiss</x:v>
      </x:c>
      <x:c r="C1159" s="1" t="str">
        <x:f>'Habilidades'!D3339</x:f>
        <x:v>Aura Sphere</x:v>
      </x:c>
      <x:c r="D1159" s="1" t="str">
        <x:f>'Habilidades'!F3339</x:f>
        <x:v>Especial</x:v>
      </x:c>
      <x:c r="E1159" s="18" t="n">
        <x:f>'Habilidades'!G3339</x:f>
        <x:v>80</x:v>
      </x:c>
      <x:c r="F1159" s="18" t="n">
        <x:f>'Habilidades'!H3339</x:f>
        <x:v>120</x:v>
      </x:c>
      <x:c r="G1159" s="18" t="n">
        <x:f>'Habilidades'!I3339</x:f>
        <x:v>200</x:v>
      </x:c>
    </x:row>
    <x:row r="1160" ht="22" customHeight="1">
      <x:c r="A1160" s="17" t="n">
        <x:f>IF(B1160="","",IF(B1160=B1159,A1159,A1159+1))</x:f>
        <x:v>235</x:v>
      </x:c>
      <x:c r="B1160" s="1" t="str">
        <x:f>'Ranking'!C226</x:f>
        <x:v>Togekiss</x:v>
      </x:c>
      <x:c r="C1160" s="1" t="str">
        <x:f>'Habilidades'!D3340</x:f>
        <x:v>Air Slash</x:v>
      </x:c>
      <x:c r="D1160" s="1" t="str">
        <x:f>'Habilidades'!F3340</x:f>
        <x:v>Especial</x:v>
      </x:c>
      <x:c r="E1160" s="18" t="n">
        <x:f>'Habilidades'!G3340</x:f>
        <x:v>75</x:v>
      </x:c>
      <x:c r="F1160" s="18" t="n">
        <x:f>'Habilidades'!H3340</x:f>
        <x:v>120</x:v>
      </x:c>
      <x:c r="G1160" s="18" t="n">
        <x:f>'Habilidades'!I3340</x:f>
        <x:v>195</x:v>
      </x:c>
    </x:row>
    <x:row r="1161" ht="22" customHeight="1">
      <x:c r="A1161" s="17" t="n">
        <x:f>IF(B1161="","",IF(B1161=B1160,A1160,A1160+1))</x:f>
        <x:v>235</x:v>
      </x:c>
      <x:c r="B1161" s="1" t="str">
        <x:f>'Ranking'!C226</x:f>
        <x:v>Togekiss</x:v>
      </x:c>
      <x:c r="C1161" s="1" t="str">
        <x:f>'Habilidades'!D3341</x:f>
        <x:v>Sky Attack</x:v>
      </x:c>
      <x:c r="D1161" s="1" t="str">
        <x:f>'Habilidades'!F3341</x:f>
        <x:v>Física</x:v>
      </x:c>
      <x:c r="E1161" s="18" t="n">
        <x:f>'Habilidades'!G3341</x:f>
        <x:v>140</x:v>
      </x:c>
      <x:c r="F1161" s="18" t="n">
        <x:f>'Habilidades'!H3341</x:f>
        <x:v>50</x:v>
      </x:c>
      <x:c r="G1161" s="18" t="n">
        <x:f>'Habilidades'!I3341</x:f>
        <x:v>190</x:v>
      </x:c>
    </x:row>
    <x:row r="1162" ht="22" customHeight="1">
      <x:c r="A1162" s="19" t="n">
        <x:f>IF(B1162="","",IF(B1162=B1161,A1161,A1161+1))</x:f>
        <x:v>235</x:v>
      </x:c>
      <x:c r="B1162" s="20" t="str">
        <x:f>'Ranking'!C226</x:f>
        <x:v>Togekiss</x:v>
      </x:c>
      <x:c r="C1162" s="20" t="str">
        <x:f>'Habilidades'!D3342</x:f>
        <x:v>Extreme Speed</x:v>
      </x:c>
      <x:c r="D1162" s="20" t="str">
        <x:f>'Habilidades'!F3342</x:f>
        <x:v>Física</x:v>
      </x:c>
      <x:c r="E1162" s="21" t="n">
        <x:f>'Habilidades'!G3342</x:f>
        <x:v>80</x:v>
      </x:c>
      <x:c r="F1162" s="21" t="n">
        <x:f>'Habilidades'!H3342</x:f>
        <x:v>50</x:v>
      </x:c>
      <x:c r="G1162" s="21" t="n">
        <x:f>'Habilidades'!I3342</x:f>
        <x:v>130</x:v>
      </x:c>
    </x:row>
    <x:row r="1163" ht="22" customHeight="1">
      <x:c r="A1163" s="17" t="n">
        <x:f>IF(B1163="","",IF(B1163=B1162,A1162,A1162+1))</x:f>
        <x:v>236</x:v>
      </x:c>
      <x:c r="B1163" s="1" t="str">
        <x:f>'Ranking'!C236</x:f>
        <x:v>Vibrava</x:v>
      </x:c>
      <x:c r="C1163" s="1" t="str">
        <x:f>'Habilidades'!D2794</x:f>
        <x:v>Hyper Beam</x:v>
      </x:c>
      <x:c r="D1163" s="1" t="str">
        <x:f>'Habilidades'!F2794</x:f>
        <x:v>Especial</x:v>
      </x:c>
      <x:c r="E1163" s="18" t="n">
        <x:f>'Habilidades'!G2794</x:f>
        <x:v>150</x:v>
      </x:c>
      <x:c r="F1163" s="18" t="n">
        <x:f>'Habilidades'!H2794</x:f>
        <x:v>50</x:v>
      </x:c>
      <x:c r="G1163" s="18" t="n">
        <x:f>'Habilidades'!I2794</x:f>
        <x:v>200</x:v>
      </x:c>
    </x:row>
    <x:row r="1164" ht="22" customHeight="1">
      <x:c r="A1164" s="17" t="n">
        <x:f>IF(B1164="","",IF(B1164=B1163,A1163,A1163+1))</x:f>
        <x:v>236</x:v>
      </x:c>
      <x:c r="B1164" s="1" t="str">
        <x:f>'Ranking'!C236</x:f>
        <x:v>Vibrava</x:v>
      </x:c>
      <x:c r="C1164" s="1" t="str">
        <x:f>'Habilidades'!D2795</x:f>
        <x:v>Boomburst</x:v>
      </x:c>
      <x:c r="D1164" s="1" t="str">
        <x:f>'Habilidades'!F2795</x:f>
        <x:v>Especial</x:v>
      </x:c>
      <x:c r="E1164" s="18" t="n">
        <x:f>'Habilidades'!G2795</x:f>
        <x:v>140</x:v>
      </x:c>
      <x:c r="F1164" s="18" t="n">
        <x:f>'Habilidades'!H2795</x:f>
        <x:v>50</x:v>
      </x:c>
      <x:c r="G1164" s="18" t="n">
        <x:f>'Habilidades'!I2795</x:f>
        <x:v>190</x:v>
      </x:c>
    </x:row>
    <x:row r="1165" ht="22" customHeight="1">
      <x:c r="A1165" s="17" t="n">
        <x:f>IF(B1165="","",IF(B1165=B1164,A1164,A1164+1))</x:f>
        <x:v>236</x:v>
      </x:c>
      <x:c r="B1165" s="1" t="str">
        <x:f>'Ranking'!C236</x:f>
        <x:v>Vibrava</x:v>
      </x:c>
      <x:c r="C1165" s="1" t="str">
        <x:f>'Habilidades'!D2796</x:f>
        <x:v>Earthquake</x:v>
      </x:c>
      <x:c r="D1165" s="1" t="str">
        <x:f>'Habilidades'!F2796</x:f>
        <x:v>Física</x:v>
      </x:c>
      <x:c r="E1165" s="18" t="n">
        <x:f>'Habilidades'!G2796</x:f>
        <x:v>100</x:v>
      </x:c>
      <x:c r="F1165" s="18" t="n">
        <x:f>'Habilidades'!H2796</x:f>
        <x:v>70</x:v>
      </x:c>
      <x:c r="G1165" s="18" t="n">
        <x:f>'Habilidades'!I2796</x:f>
        <x:v>170</x:v>
      </x:c>
    </x:row>
    <x:row r="1166" ht="22" customHeight="1">
      <x:c r="A1166" s="17" t="n">
        <x:f>IF(B1166="","",IF(B1166=B1165,A1165,A1165+1))</x:f>
        <x:v>236</x:v>
      </x:c>
      <x:c r="B1166" s="1" t="str">
        <x:f>'Ranking'!C236</x:f>
        <x:v>Vibrava</x:v>
      </x:c>
      <x:c r="C1166" s="1" t="str">
        <x:f>'Habilidades'!D2798</x:f>
        <x:v>Earth Power</x:v>
      </x:c>
      <x:c r="D1166" s="1" t="str">
        <x:f>'Habilidades'!F2798</x:f>
        <x:v>Especial</x:v>
      </x:c>
      <x:c r="E1166" s="18" t="n">
        <x:f>'Habilidades'!G2798</x:f>
        <x:v>90</x:v>
      </x:c>
      <x:c r="F1166" s="18" t="n">
        <x:f>'Habilidades'!H2798</x:f>
        <x:v>50</x:v>
      </x:c>
      <x:c r="G1166" s="18" t="n">
        <x:f>'Habilidades'!I2798</x:f>
        <x:v>140</x:v>
      </x:c>
    </x:row>
    <x:row r="1167" ht="22" customHeight="1">
      <x:c r="A1167" s="19" t="n">
        <x:f>IF(B1167="","",IF(B1167=B1166,A1166,A1166+1))</x:f>
        <x:v>236</x:v>
      </x:c>
      <x:c r="B1167" s="20" t="str">
        <x:f>'Ranking'!C236</x:f>
        <x:v>Vibrava</x:v>
      </x:c>
      <x:c r="C1167" s="20" t="str">
        <x:f>'Habilidades'!D2799</x:f>
        <x:v>Bug Buzz</x:v>
      </x:c>
      <x:c r="D1167" s="20" t="str">
        <x:f>'Habilidades'!F2799</x:f>
        <x:v>Especial</x:v>
      </x:c>
      <x:c r="E1167" s="21" t="n">
        <x:f>'Habilidades'!G2799</x:f>
        <x:v>90</x:v>
      </x:c>
      <x:c r="F1167" s="21" t="n">
        <x:f>'Habilidades'!H2799</x:f>
        <x:v>50</x:v>
      </x:c>
      <x:c r="G1167" s="21" t="n">
        <x:f>'Habilidades'!I2799</x:f>
        <x:v>140</x:v>
      </x:c>
    </x:row>
    <x:row r="1168" ht="22" customHeight="1">
      <x:c r="A1168" s="17" t="n">
        <x:f>IF(B1168="","",IF(B1168=B1167,A1167,A1167+1))</x:f>
        <x:v>237</x:v>
      </x:c>
      <x:c r="B1168" s="1" t="str">
        <x:f>'Ranking'!C241</x:f>
        <x:v>Carracosta</x:v>
      </x:c>
      <x:c r="C1168" s="1" t="str">
        <x:f>'Habilidades'!D3453</x:f>
        <x:v>Aqua Tail</x:v>
      </x:c>
      <x:c r="D1168" s="1" t="str">
        <x:f>'Habilidades'!F3453</x:f>
        <x:v>Física</x:v>
      </x:c>
      <x:c r="E1168" s="18" t="n">
        <x:f>'Habilidades'!G3453</x:f>
        <x:v>90</x:v>
      </x:c>
      <x:c r="F1168" s="18" t="n">
        <x:f>'Habilidades'!H3453</x:f>
        <x:v>108</x:v>
      </x:c>
      <x:c r="G1168" s="18" t="n">
        <x:f>'Habilidades'!I3453</x:f>
        <x:v>198</x:v>
      </x:c>
    </x:row>
    <x:row r="1169" ht="22" customHeight="1">
      <x:c r="A1169" s="17" t="n">
        <x:f>IF(B1169="","",IF(B1169=B1168,A1168,A1168+1))</x:f>
        <x:v>237</x:v>
      </x:c>
      <x:c r="B1169" s="1" t="str">
        <x:f>'Ranking'!C241</x:f>
        <x:v>Carracosta</x:v>
      </x:c>
      <x:c r="C1169" s="1" t="str">
        <x:f>'Habilidades'!D3454</x:f>
        <x:v>Hydro Pump</x:v>
      </x:c>
      <x:c r="D1169" s="1" t="str">
        <x:f>'Habilidades'!F3454</x:f>
        <x:v>Especial</x:v>
      </x:c>
      <x:c r="E1169" s="18" t="n">
        <x:f>'Habilidades'!G3454</x:f>
        <x:v>110</x:v>
      </x:c>
      <x:c r="F1169" s="18" t="n">
        <x:f>'Habilidades'!H3454</x:f>
        <x:v>83</x:v>
      </x:c>
      <x:c r="G1169" s="18" t="n">
        <x:f>'Habilidades'!I3454</x:f>
        <x:v>193</x:v>
      </x:c>
    </x:row>
    <x:row r="1170" ht="22" customHeight="1">
      <x:c r="A1170" s="17" t="n">
        <x:f>IF(B1170="","",IF(B1170=B1169,A1169,A1169+1))</x:f>
        <x:v>237</x:v>
      </x:c>
      <x:c r="B1170" s="1" t="str">
        <x:f>'Ranking'!C241</x:f>
        <x:v>Carracosta</x:v>
      </x:c>
      <x:c r="C1170" s="1" t="str">
        <x:f>'Habilidades'!D3455</x:f>
        <x:v>Crunch</x:v>
      </x:c>
      <x:c r="D1170" s="1" t="str">
        <x:f>'Habilidades'!F3455</x:f>
        <x:v>Física</x:v>
      </x:c>
      <x:c r="E1170" s="18" t="n">
        <x:f>'Habilidades'!G3455</x:f>
        <x:v>80</x:v>
      </x:c>
      <x:c r="F1170" s="18" t="n">
        <x:f>'Habilidades'!H3455</x:f>
        <x:v>108</x:v>
      </x:c>
      <x:c r="G1170" s="18" t="n">
        <x:f>'Habilidades'!I3455</x:f>
        <x:v>188</x:v>
      </x:c>
    </x:row>
    <x:row r="1171" ht="22" customHeight="1">
      <x:c r="A1171" s="17" t="n">
        <x:f>IF(B1171="","",IF(B1171=B1170,A1170,A1170+1))</x:f>
        <x:v>237</x:v>
      </x:c>
      <x:c r="B1171" s="1" t="str">
        <x:f>'Ranking'!C241</x:f>
        <x:v>Carracosta</x:v>
      </x:c>
      <x:c r="C1171" s="1" t="str">
        <x:f>'Habilidades'!D3456</x:f>
        <x:v>Rock Slide</x:v>
      </x:c>
      <x:c r="D1171" s="1" t="str">
        <x:f>'Habilidades'!F3456</x:f>
        <x:v>Física</x:v>
      </x:c>
      <x:c r="E1171" s="18" t="n">
        <x:f>'Habilidades'!G3456</x:f>
        <x:v>75</x:v>
      </x:c>
      <x:c r="F1171" s="18" t="n">
        <x:f>'Habilidades'!H3456</x:f>
        <x:v>108</x:v>
      </x:c>
      <x:c r="G1171" s="18" t="n">
        <x:f>'Habilidades'!I3456</x:f>
        <x:v>183</x:v>
      </x:c>
    </x:row>
    <x:row r="1172" ht="22" customHeight="1">
      <x:c r="A1172" s="19" t="n">
        <x:f>IF(B1172="","",IF(B1172=B1171,A1171,A1171+1))</x:f>
        <x:v>237</x:v>
      </x:c>
      <x:c r="B1172" s="20" t="str">
        <x:f>'Ranking'!C241</x:f>
        <x:v>Carracosta</x:v>
      </x:c>
      <x:c r="C1172" s="20" t="str">
        <x:f>'Habilidades'!D3459</x:f>
        <x:v>Brine</x:v>
      </x:c>
      <x:c r="D1172" s="20" t="str">
        <x:f>'Habilidades'!F3459</x:f>
        <x:v>Especial</x:v>
      </x:c>
      <x:c r="E1172" s="21" t="n">
        <x:f>'Habilidades'!G3459</x:f>
        <x:v>65</x:v>
      </x:c>
      <x:c r="F1172" s="21" t="n">
        <x:f>'Habilidades'!H3459</x:f>
        <x:v>83</x:v>
      </x:c>
      <x:c r="G1172" s="21" t="n">
        <x:f>'Habilidades'!I3459</x:f>
        <x:v>148</x:v>
      </x:c>
    </x:row>
    <x:row r="1173" ht="22" customHeight="1">
      <x:c r="A1173" s="17" t="n">
        <x:f>IF(B1173="","",IF(B1173=B1172,A1172,A1172+1))</x:f>
        <x:v>238</x:v>
      </x:c>
      <x:c r="B1173" s="1" t="str">
        <x:f>'Ranking'!C242</x:f>
        <x:v>Appletun</x:v>
      </x:c>
      <x:c r="C1173" s="1" t="str">
        <x:f>'Habilidades'!D3781</x:f>
        <x:v>Grass Knot</x:v>
      </x:c>
      <x:c r="D1173" s="1" t="str">
        <x:f>'Habilidades'!F3781</x:f>
        <x:v>Especial</x:v>
      </x:c>
      <x:c r="E1173" s="18" t="n">
        <x:f>'Habilidades'!G3781</x:f>
        <x:v>96</x:v>
      </x:c>
      <x:c r="F1173" s="18" t="n">
        <x:f>'Habilidades'!H3781</x:f>
        <x:v>100</x:v>
      </x:c>
      <x:c r="G1173" s="18" t="n">
        <x:f>'Habilidades'!I3781</x:f>
        <x:v>196</x:v>
      </x:c>
    </x:row>
    <x:row r="1174" ht="22" customHeight="1">
      <x:c r="A1174" s="17" t="n">
        <x:f>IF(B1174="","",IF(B1174=B1173,A1173,A1173+1))</x:f>
        <x:v>238</x:v>
      </x:c>
      <x:c r="B1174" s="1" t="str">
        <x:f>'Ranking'!C242</x:f>
        <x:v>Appletun</x:v>
      </x:c>
      <x:c r="C1174" s="1" t="str">
        <x:f>'Habilidades'!D3782</x:f>
        <x:v>Body Slam</x:v>
      </x:c>
      <x:c r="D1174" s="1" t="str">
        <x:f>'Habilidades'!F3782</x:f>
        <x:v>Física</x:v>
      </x:c>
      <x:c r="E1174" s="18" t="n">
        <x:f>'Habilidades'!G3782</x:f>
        <x:v>85</x:v>
      </x:c>
      <x:c r="F1174" s="18" t="n">
        <x:f>'Habilidades'!H3782</x:f>
        <x:v>85</x:v>
      </x:c>
      <x:c r="G1174" s="18" t="n">
        <x:f>'Habilidades'!I3782</x:f>
        <x:v>170</x:v>
      </x:c>
    </x:row>
    <x:row r="1175" ht="22" customHeight="1">
      <x:c r="A1175" s="17" t="n">
        <x:f>IF(B1175="","",IF(B1175=B1174,A1174,A1174+1))</x:f>
        <x:v>238</x:v>
      </x:c>
      <x:c r="B1175" s="1" t="str">
        <x:f>'Ranking'!C242</x:f>
        <x:v>Appletun</x:v>
      </x:c>
      <x:c r="C1175" s="1" t="str">
        <x:f>'Habilidades'!D3783</x:f>
        <x:v>Magical Leaf</x:v>
      </x:c>
      <x:c r="D1175" s="1" t="str">
        <x:f>'Habilidades'!F3783</x:f>
        <x:v>Especial</x:v>
      </x:c>
      <x:c r="E1175" s="18" t="n">
        <x:f>'Habilidades'!G3783</x:f>
        <x:v>60</x:v>
      </x:c>
      <x:c r="F1175" s="18" t="n">
        <x:f>'Habilidades'!H3783</x:f>
        <x:v>100</x:v>
      </x:c>
      <x:c r="G1175" s="18" t="n">
        <x:f>'Habilidades'!I3783</x:f>
        <x:v>160</x:v>
      </x:c>
    </x:row>
    <x:row r="1176" ht="22" customHeight="1">
      <x:c r="A1176" s="19" t="n">
        <x:f>IF(B1176="","",IF(B1176=B1175,A1175,A1175+1))</x:f>
        <x:v>238</x:v>
      </x:c>
      <x:c r="B1176" s="20" t="str">
        <x:f>'Ranking'!C242</x:f>
        <x:v>Appletun</x:v>
      </x:c>
      <x:c r="C1176" s="20" t="str">
        <x:f>'Habilidades'!D3784</x:f>
        <x:v>Bullet Seed</x:v>
      </x:c>
      <x:c r="D1176" s="20" t="str">
        <x:f>'Habilidades'!F3784</x:f>
        <x:v>Física</x:v>
      </x:c>
      <x:c r="E1176" s="21" t="n">
        <x:f>'Habilidades'!G3784</x:f>
        <x:v>25</x:v>
      </x:c>
      <x:c r="F1176" s="21" t="n">
        <x:f>'Habilidades'!H3784</x:f>
        <x:v>85</x:v>
      </x:c>
      <x:c r="G1176" s="21" t="n">
        <x:f>'Habilidades'!I3784</x:f>
        <x:v>110</x:v>
      </x:c>
    </x:row>
    <x:row r="1177" ht="22" customHeight="1">
      <x:c r="A1177" s="17" t="n">
        <x:f>IF(B1177="","",IF(B1177=B1176,A1176,A1176+1))</x:f>
        <x:v>239</x:v>
      </x:c>
      <x:c r="B1177" s="1" t="str">
        <x:f>'Ranking'!C243</x:f>
        <x:v>Whiscash</x:v>
      </x:c>
      <x:c r="C1177" s="1" t="str">
        <x:f>'Habilidades'!D2906</x:f>
        <x:v>Future Sight</x:v>
      </x:c>
      <x:c r="D1177" s="1" t="str">
        <x:f>'Habilidades'!F2906</x:f>
        <x:v>Especial</x:v>
      </x:c>
      <x:c r="E1177" s="18" t="n">
        <x:f>'Habilidades'!G2906</x:f>
        <x:v>120</x:v>
      </x:c>
      <x:c r="F1177" s="18" t="n">
        <x:f>'Habilidades'!H2906</x:f>
        <x:v>76</x:v>
      </x:c>
      <x:c r="G1177" s="18" t="n">
        <x:f>'Habilidades'!I2906</x:f>
        <x:v>196</x:v>
      </x:c>
    </x:row>
    <x:row r="1178" ht="22" customHeight="1">
      <x:c r="A1178" s="17" t="n">
        <x:f>IF(B1178="","",IF(B1178=B1177,A1177,A1177+1))</x:f>
        <x:v>239</x:v>
      </x:c>
      <x:c r="B1178" s="1" t="str">
        <x:f>'Ranking'!C243</x:f>
        <x:v>Whiscash</x:v>
      </x:c>
      <x:c r="C1178" s="1" t="str">
        <x:f>'Habilidades'!D2907</x:f>
        <x:v>Earthquake</x:v>
      </x:c>
      <x:c r="D1178" s="1" t="str">
        <x:f>'Habilidades'!F2907</x:f>
        <x:v>Física</x:v>
      </x:c>
      <x:c r="E1178" s="18" t="n">
        <x:f>'Habilidades'!G2907</x:f>
        <x:v>100</x:v>
      </x:c>
      <x:c r="F1178" s="18" t="n">
        <x:f>'Habilidades'!H2907</x:f>
        <x:v>78</x:v>
      </x:c>
      <x:c r="G1178" s="18" t="n">
        <x:f>'Habilidades'!I2907</x:f>
        <x:v>178</x:v>
      </x:c>
    </x:row>
    <x:row r="1179" ht="22" customHeight="1">
      <x:c r="A1179" s="17" t="n">
        <x:f>IF(B1179="","",IF(B1179=B1178,A1178,A1178+1))</x:f>
        <x:v>239</x:v>
      </x:c>
      <x:c r="B1179" s="1" t="str">
        <x:f>'Ranking'!C243</x:f>
        <x:v>Whiscash</x:v>
      </x:c>
      <x:c r="C1179" s="1" t="str">
        <x:f>'Habilidades'!D2908</x:f>
        <x:v>Aqua Tail</x:v>
      </x:c>
      <x:c r="D1179" s="1" t="str">
        <x:f>'Habilidades'!F2908</x:f>
        <x:v>Física</x:v>
      </x:c>
      <x:c r="E1179" s="18" t="n">
        <x:f>'Habilidades'!G2908</x:f>
        <x:v>90</x:v>
      </x:c>
      <x:c r="F1179" s="18" t="n">
        <x:f>'Habilidades'!H2908</x:f>
        <x:v>78</x:v>
      </x:c>
      <x:c r="G1179" s="18" t="n">
        <x:f>'Habilidades'!I2908</x:f>
        <x:v>168</x:v>
      </x:c>
    </x:row>
    <x:row r="1180" ht="22" customHeight="1">
      <x:c r="A1180" s="17" t="n">
        <x:f>IF(B1180="","",IF(B1180=B1179,A1179,A1179+1))</x:f>
        <x:v>239</x:v>
      </x:c>
      <x:c r="B1180" s="1" t="str">
        <x:f>'Ranking'!C243</x:f>
        <x:v>Whiscash</x:v>
      </x:c>
      <x:c r="C1180" s="1" t="str">
        <x:f>'Habilidades'!D2909</x:f>
        <x:v>Muddy Water</x:v>
      </x:c>
      <x:c r="D1180" s="1" t="str">
        <x:f>'Habilidades'!F2909</x:f>
        <x:v>Especial</x:v>
      </x:c>
      <x:c r="E1180" s="18" t="n">
        <x:f>'Habilidades'!G2909</x:f>
        <x:v>90</x:v>
      </x:c>
      <x:c r="F1180" s="18" t="n">
        <x:f>'Habilidades'!H2909</x:f>
        <x:v>76</x:v>
      </x:c>
      <x:c r="G1180" s="18" t="n">
        <x:f>'Habilidades'!I2909</x:f>
        <x:v>166</x:v>
      </x:c>
    </x:row>
    <x:row r="1181" ht="22" customHeight="1">
      <x:c r="A1181" s="19" t="n">
        <x:f>IF(B1181="","",IF(B1181=B1180,A1180,A1180+1))</x:f>
        <x:v>239</x:v>
      </x:c>
      <x:c r="B1181" s="20" t="str">
        <x:f>'Ranking'!C243</x:f>
        <x:v>Whiscash</x:v>
      </x:c>
      <x:c r="C1181" s="20" t="str">
        <x:f>'Habilidades'!D2910</x:f>
        <x:v>Zen Headbutt</x:v>
      </x:c>
      <x:c r="D1181" s="20" t="str">
        <x:f>'Habilidades'!F2910</x:f>
        <x:v>Física</x:v>
      </x:c>
      <x:c r="E1181" s="21" t="n">
        <x:f>'Habilidades'!G2910</x:f>
        <x:v>80</x:v>
      </x:c>
      <x:c r="F1181" s="21" t="n">
        <x:f>'Habilidades'!H2910</x:f>
        <x:v>78</x:v>
      </x:c>
      <x:c r="G1181" s="21" t="n">
        <x:f>'Habilidades'!I2910</x:f>
        <x:v>158</x:v>
      </x:c>
    </x:row>
    <x:row r="1182" ht="22" customHeight="1">
      <x:c r="A1182" s="17" t="n">
        <x:f>IF(B1182="","",IF(B1182=B1181,A1181,A1181+1))</x:f>
        <x:v>240</x:v>
      </x:c>
      <x:c r="B1182" s="1" t="str">
        <x:f>'Ranking'!C249</x:f>
        <x:v>Bagon</x:v>
      </x:c>
      <x:c r="C1182" s="1" t="str">
        <x:f>'Habilidades'!D3083</x:f>
        <x:v>Double-Edge</x:v>
      </x:c>
      <x:c r="D1182" s="1" t="str">
        <x:f>'Habilidades'!F3083</x:f>
        <x:v>Física</x:v>
      </x:c>
      <x:c r="E1182" s="18" t="n">
        <x:f>'Habilidades'!G3083</x:f>
        <x:v>120</x:v>
      </x:c>
      <x:c r="F1182" s="18" t="n">
        <x:f>'Habilidades'!H3083</x:f>
        <x:v>75</x:v>
      </x:c>
      <x:c r="G1182" s="18" t="n">
        <x:f>'Habilidades'!I3083</x:f>
        <x:v>195</x:v>
      </x:c>
    </x:row>
    <x:row r="1183" ht="22" customHeight="1">
      <x:c r="A1183" s="17" t="n">
        <x:f>IF(B1183="","",IF(B1183=B1182,A1182,A1182+1))</x:f>
        <x:v>240</x:v>
      </x:c>
      <x:c r="B1183" s="1" t="str">
        <x:f>'Ranking'!C249</x:f>
        <x:v>Bagon</x:v>
      </x:c>
      <x:c r="C1183" s="1" t="str">
        <x:f>'Habilidades'!D3084</x:f>
        <x:v>Crunch</x:v>
      </x:c>
      <x:c r="D1183" s="1" t="str">
        <x:f>'Habilidades'!F3084</x:f>
        <x:v>Física</x:v>
      </x:c>
      <x:c r="E1183" s="18" t="n">
        <x:f>'Habilidades'!G3084</x:f>
        <x:v>80</x:v>
      </x:c>
      <x:c r="F1183" s="18" t="n">
        <x:f>'Habilidades'!H3084</x:f>
        <x:v>75</x:v>
      </x:c>
      <x:c r="G1183" s="18" t="n">
        <x:f>'Habilidades'!I3084</x:f>
        <x:v>155</x:v>
      </x:c>
    </x:row>
    <x:row r="1184" ht="22" customHeight="1">
      <x:c r="A1184" s="17" t="n">
        <x:f>IF(B1184="","",IF(B1184=B1183,A1183,A1183+1))</x:f>
        <x:v>240</x:v>
      </x:c>
      <x:c r="B1184" s="1" t="str">
        <x:f>'Ranking'!C249</x:f>
        <x:v>Bagon</x:v>
      </x:c>
      <x:c r="C1184" s="1" t="str">
        <x:f>'Habilidades'!D3085</x:f>
        <x:v>Dragon Claw</x:v>
      </x:c>
      <x:c r="D1184" s="1" t="str">
        <x:f>'Habilidades'!F3085</x:f>
        <x:v>Física</x:v>
      </x:c>
      <x:c r="E1184" s="18" t="n">
        <x:f>'Habilidades'!G3085</x:f>
        <x:v>80</x:v>
      </x:c>
      <x:c r="F1184" s="18" t="n">
        <x:f>'Habilidades'!H3085</x:f>
        <x:v>75</x:v>
      </x:c>
      <x:c r="G1184" s="18" t="n">
        <x:f>'Habilidades'!I3085</x:f>
        <x:v>155</x:v>
      </x:c>
    </x:row>
    <x:row r="1185" ht="22" customHeight="1">
      <x:c r="A1185" s="17" t="n">
        <x:f>IF(B1185="","",IF(B1185=B1184,A1184,A1184+1))</x:f>
        <x:v>240</x:v>
      </x:c>
      <x:c r="B1185" s="1" t="str">
        <x:f>'Ranking'!C249</x:f>
        <x:v>Bagon</x:v>
      </x:c>
      <x:c r="C1185" s="1" t="str">
        <x:f>'Habilidades'!D3086</x:f>
        <x:v>Zen Headbutt</x:v>
      </x:c>
      <x:c r="D1185" s="1" t="str">
        <x:f>'Habilidades'!F3086</x:f>
        <x:v>Física</x:v>
      </x:c>
      <x:c r="E1185" s="18" t="n">
        <x:f>'Habilidades'!G3086</x:f>
        <x:v>80</x:v>
      </x:c>
      <x:c r="F1185" s="18" t="n">
        <x:f>'Habilidades'!H3086</x:f>
        <x:v>75</x:v>
      </x:c>
      <x:c r="G1185" s="18" t="n">
        <x:f>'Habilidades'!I3086</x:f>
        <x:v>155</x:v>
      </x:c>
    </x:row>
    <x:row r="1186" ht="22" customHeight="1">
      <x:c r="A1186" s="19" t="n">
        <x:f>IF(B1186="","",IF(B1186=B1185,A1185,A1185+1))</x:f>
        <x:v>240</x:v>
      </x:c>
      <x:c r="B1186" s="20" t="str">
        <x:f>'Ranking'!C249</x:f>
        <x:v>Bagon</x:v>
      </x:c>
      <x:c r="C1186" s="20" t="str">
        <x:f>'Habilidades'!D3089</x:f>
        <x:v>Flamethrower</x:v>
      </x:c>
      <x:c r="D1186" s="20" t="str">
        <x:f>'Habilidades'!F3089</x:f>
        <x:v>Especial</x:v>
      </x:c>
      <x:c r="E1186" s="21" t="n">
        <x:f>'Habilidades'!G3089</x:f>
        <x:v>90</x:v>
      </x:c>
      <x:c r="F1186" s="21" t="n">
        <x:f>'Habilidades'!H3089</x:f>
        <x:v>40</x:v>
      </x:c>
      <x:c r="G1186" s="21" t="n">
        <x:f>'Habilidades'!I3089</x:f>
        <x:v>130</x:v>
      </x:c>
    </x:row>
    <x:row r="1187" ht="22" customHeight="1">
      <x:c r="A1187" s="17" t="n">
        <x:f>IF(B1187="","",IF(B1187=B1186,A1186,A1186+1))</x:f>
        <x:v>241</x:v>
      </x:c>
      <x:c r="B1187" s="1" t="str">
        <x:f>'Ranking'!C253</x:f>
        <x:v>Eevee</x:v>
      </x:c>
      <x:c r="C1187" s="1" t="str">
        <x:f>'Habilidades'!D1267</x:f>
        <x:v>Last Resort</x:v>
      </x:c>
      <x:c r="D1187" s="1" t="str">
        <x:f>'Habilidades'!F1267</x:f>
        <x:v>Física</x:v>
      </x:c>
      <x:c r="E1187" s="18" t="n">
        <x:f>'Habilidades'!G1267</x:f>
        <x:v>140</x:v>
      </x:c>
      <x:c r="F1187" s="18" t="n">
        <x:f>'Habilidades'!H1267</x:f>
        <x:v>55</x:v>
      </x:c>
      <x:c r="G1187" s="18" t="n">
        <x:f>'Habilidades'!I1267</x:f>
        <x:v>195</x:v>
      </x:c>
    </x:row>
    <x:row r="1188" ht="22" customHeight="1">
      <x:c r="A1188" s="17" t="n">
        <x:f>IF(B1188="","",IF(B1188=B1187,A1187,A1187+1))</x:f>
        <x:v>241</x:v>
      </x:c>
      <x:c r="B1188" s="1" t="str">
        <x:f>'Ranking'!C253</x:f>
        <x:v>Eevee</x:v>
      </x:c>
      <x:c r="C1188" s="1" t="str">
        <x:f>'Habilidades'!D1268</x:f>
        <x:v>Double-Edge</x:v>
      </x:c>
      <x:c r="D1188" s="1" t="str">
        <x:f>'Habilidades'!F1268</x:f>
        <x:v>Física</x:v>
      </x:c>
      <x:c r="E1188" s="18" t="n">
        <x:f>'Habilidades'!G1268</x:f>
        <x:v>120</x:v>
      </x:c>
      <x:c r="F1188" s="18" t="n">
        <x:f>'Habilidades'!H1268</x:f>
        <x:v>55</x:v>
      </x:c>
      <x:c r="G1188" s="18" t="n">
        <x:f>'Habilidades'!I1268</x:f>
        <x:v>175</x:v>
      </x:c>
    </x:row>
    <x:row r="1189" ht="22" customHeight="1">
      <x:c r="A1189" s="17" t="n">
        <x:f>IF(B1189="","",IF(B1189=B1188,A1188,A1188+1))</x:f>
        <x:v>241</x:v>
      </x:c>
      <x:c r="B1189" s="1" t="str">
        <x:f>'Ranking'!C253</x:f>
        <x:v>Eevee</x:v>
      </x:c>
      <x:c r="C1189" s="1" t="str">
        <x:f>'Habilidades'!D1269</x:f>
        <x:v>Take Down</x:v>
      </x:c>
      <x:c r="D1189" s="1" t="str">
        <x:f>'Habilidades'!F1269</x:f>
        <x:v>Física</x:v>
      </x:c>
      <x:c r="E1189" s="18" t="n">
        <x:f>'Habilidades'!G1269</x:f>
        <x:v>90</x:v>
      </x:c>
      <x:c r="F1189" s="18" t="n">
        <x:f>'Habilidades'!H1269</x:f>
        <x:v>55</x:v>
      </x:c>
      <x:c r="G1189" s="18" t="n">
        <x:f>'Habilidades'!I1269</x:f>
        <x:v>145</x:v>
      </x:c>
    </x:row>
    <x:row r="1190" ht="22" customHeight="1">
      <x:c r="A1190" s="17" t="n">
        <x:f>IF(B1190="","",IF(B1190=B1189,A1189,A1189+1))</x:f>
        <x:v>241</x:v>
      </x:c>
      <x:c r="B1190" s="1" t="str">
        <x:f>'Ranking'!C253</x:f>
        <x:v>Eevee</x:v>
      </x:c>
      <x:c r="C1190" s="1" t="str">
        <x:f>'Habilidades'!D1270</x:f>
        <x:v>Bite</x:v>
      </x:c>
      <x:c r="D1190" s="1" t="str">
        <x:f>'Habilidades'!F1270</x:f>
        <x:v>Física</x:v>
      </x:c>
      <x:c r="E1190" s="18" t="n">
        <x:f>'Habilidades'!G1270</x:f>
        <x:v>60</x:v>
      </x:c>
      <x:c r="F1190" s="18" t="n">
        <x:f>'Habilidades'!H1270</x:f>
        <x:v>55</x:v>
      </x:c>
      <x:c r="G1190" s="18" t="n">
        <x:f>'Habilidades'!I1270</x:f>
        <x:v>115</x:v>
      </x:c>
    </x:row>
    <x:row r="1191" ht="22" customHeight="1">
      <x:c r="A1191" s="19" t="n">
        <x:f>IF(B1191="","",IF(B1191=B1190,A1190,A1190+1))</x:f>
        <x:v>241</x:v>
      </x:c>
      <x:c r="B1191" s="20" t="str">
        <x:f>'Ranking'!C253</x:f>
        <x:v>Eevee</x:v>
      </x:c>
      <x:c r="C1191" s="20" t="str">
        <x:f>'Habilidades'!D1272</x:f>
        <x:v>Swift</x:v>
      </x:c>
      <x:c r="D1191" s="20" t="str">
        <x:f>'Habilidades'!F1272</x:f>
        <x:v>Especial</x:v>
      </x:c>
      <x:c r="E1191" s="21" t="n">
        <x:f>'Habilidades'!G1272</x:f>
        <x:v>60</x:v>
      </x:c>
      <x:c r="F1191" s="21" t="n">
        <x:f>'Habilidades'!H1272</x:f>
        <x:v>45</x:v>
      </x:c>
      <x:c r="G1191" s="21" t="n">
        <x:f>'Habilidades'!I1272</x:f>
        <x:v>105</x:v>
      </x:c>
    </x:row>
    <x:row r="1192" ht="22" customHeight="1">
      <x:c r="A1192" s="17" t="n">
        <x:f>IF(B1192="","",IF(B1192=B1191,A1191,A1191+1))</x:f>
        <x:v>242</x:v>
      </x:c>
      <x:c r="B1192" s="1" t="str">
        <x:f>'Ranking'!C250</x:f>
        <x:v>Floette</x:v>
      </x:c>
      <x:c r="C1192" s="1" t="str">
        <x:f>'Habilidades'!D3636</x:f>
        <x:v>Petal Dance</x:v>
      </x:c>
      <x:c r="D1192" s="1" t="str">
        <x:f>'Habilidades'!F3636</x:f>
        <x:v>Especial</x:v>
      </x:c>
      <x:c r="E1192" s="18" t="n">
        <x:f>'Habilidades'!G3636</x:f>
        <x:v>120</x:v>
      </x:c>
      <x:c r="F1192" s="18" t="n">
        <x:f>'Habilidades'!H3636</x:f>
        <x:v>75</x:v>
      </x:c>
      <x:c r="G1192" s="18" t="n">
        <x:f>'Habilidades'!I3636</x:f>
        <x:v>195</x:v>
      </x:c>
    </x:row>
    <x:row r="1193" ht="22" customHeight="1">
      <x:c r="A1193" s="17" t="n">
        <x:f>IF(B1193="","",IF(B1193=B1192,A1192,A1192+1))</x:f>
        <x:v>242</x:v>
      </x:c>
      <x:c r="B1193" s="1" t="str">
        <x:f>'Ranking'!C250</x:f>
        <x:v>Floette</x:v>
      </x:c>
      <x:c r="C1193" s="1" t="str">
        <x:f>'Habilidades'!D3637</x:f>
        <x:v>Solar Beam</x:v>
      </x:c>
      <x:c r="D1193" s="1" t="str">
        <x:f>'Habilidades'!F3637</x:f>
        <x:v>Especial</x:v>
      </x:c>
      <x:c r="E1193" s="18" t="n">
        <x:f>'Habilidades'!G3637</x:f>
        <x:v>120</x:v>
      </x:c>
      <x:c r="F1193" s="18" t="n">
        <x:f>'Habilidades'!H3637</x:f>
        <x:v>75</x:v>
      </x:c>
      <x:c r="G1193" s="18" t="n">
        <x:f>'Habilidades'!I3637</x:f>
        <x:v>195</x:v>
      </x:c>
    </x:row>
    <x:row r="1194" ht="22" customHeight="1">
      <x:c r="A1194" s="17" t="n">
        <x:f>IF(B1194="","",IF(B1194=B1193,A1193,A1193+1))</x:f>
        <x:v>242</x:v>
      </x:c>
      <x:c r="B1194" s="1" t="str">
        <x:f>'Ranking'!C250</x:f>
        <x:v>Floette</x:v>
      </x:c>
      <x:c r="C1194" s="1" t="str">
        <x:f>'Habilidades'!D3638</x:f>
        <x:v>Moonblast</x:v>
      </x:c>
      <x:c r="D1194" s="1" t="str">
        <x:f>'Habilidades'!F3638</x:f>
        <x:v>Especial</x:v>
      </x:c>
      <x:c r="E1194" s="18" t="n">
        <x:f>'Habilidades'!G3638</x:f>
        <x:v>95</x:v>
      </x:c>
      <x:c r="F1194" s="18" t="n">
        <x:f>'Habilidades'!H3638</x:f>
        <x:v>75</x:v>
      </x:c>
      <x:c r="G1194" s="18" t="n">
        <x:f>'Habilidades'!I3638</x:f>
        <x:v>170</x:v>
      </x:c>
    </x:row>
    <x:row r="1195" ht="22" customHeight="1">
      <x:c r="A1195" s="17" t="n">
        <x:f>IF(B1195="","",IF(B1195=B1194,A1194,A1194+1))</x:f>
        <x:v>242</x:v>
      </x:c>
      <x:c r="B1195" s="1" t="str">
        <x:f>'Ranking'!C250</x:f>
        <x:v>Floette</x:v>
      </x:c>
      <x:c r="C1195" s="1" t="str">
        <x:f>'Habilidades'!D3639</x:f>
        <x:v>Petal Blizzard</x:v>
      </x:c>
      <x:c r="D1195" s="1" t="str">
        <x:f>'Habilidades'!F3639</x:f>
        <x:v>Física</x:v>
      </x:c>
      <x:c r="E1195" s="18" t="n">
        <x:f>'Habilidades'!G3639</x:f>
        <x:v>90</x:v>
      </x:c>
      <x:c r="F1195" s="18" t="n">
        <x:f>'Habilidades'!H3639</x:f>
        <x:v>45</x:v>
      </x:c>
      <x:c r="G1195" s="18" t="n">
        <x:f>'Habilidades'!I3639</x:f>
        <x:v>135</x:v>
      </x:c>
    </x:row>
    <x:row r="1196" ht="22" customHeight="1">
      <x:c r="A1196" s="19" t="n">
        <x:f>IF(B1196="","",IF(B1196=B1195,A1195,A1195+1))</x:f>
        <x:v>242</x:v>
      </x:c>
      <x:c r="B1196" s="20" t="str">
        <x:f>'Ranking'!C250</x:f>
        <x:v>Floette</x:v>
      </x:c>
      <x:c r="C1196" s="20" t="str">
        <x:f>'Habilidades'!D3640</x:f>
        <x:v>Magical Leaf</x:v>
      </x:c>
      <x:c r="D1196" s="20" t="str">
        <x:f>'Habilidades'!F3640</x:f>
        <x:v>Especial</x:v>
      </x:c>
      <x:c r="E1196" s="21" t="n">
        <x:f>'Habilidades'!G3640</x:f>
        <x:v>60</x:v>
      </x:c>
      <x:c r="F1196" s="21" t="n">
        <x:f>'Habilidades'!H3640</x:f>
        <x:v>75</x:v>
      </x:c>
      <x:c r="G1196" s="21" t="n">
        <x:f>'Habilidades'!I3640</x:f>
        <x:v>135</x:v>
      </x:c>
    </x:row>
    <x:row r="1197" ht="22" customHeight="1">
      <x:c r="A1197" s="17" t="n">
        <x:f>IF(B1197="","",IF(B1197=B1196,A1196,A1196+1))</x:f>
        <x:v>243</x:v>
      </x:c>
      <x:c r="B1197" s="1" t="str">
        <x:f>'Ranking'!C254</x:f>
        <x:v>Klink</x:v>
      </x:c>
      <x:c r="C1197" s="1" t="str">
        <x:f>'Habilidades'!D3496</x:f>
        <x:v>Hyper Beam</x:v>
      </x:c>
      <x:c r="D1197" s="1" t="str">
        <x:f>'Habilidades'!F3496</x:f>
        <x:v>Especial</x:v>
      </x:c>
      <x:c r="E1197" s="18" t="n">
        <x:f>'Habilidades'!G3496</x:f>
        <x:v>150</x:v>
      </x:c>
      <x:c r="F1197" s="18" t="n">
        <x:f>'Habilidades'!H3496</x:f>
        <x:v>45</x:v>
      </x:c>
      <x:c r="G1197" s="18" t="n">
        <x:f>'Habilidades'!I3496</x:f>
        <x:v>195</x:v>
      </x:c>
    </x:row>
    <x:row r="1198" ht="22" customHeight="1">
      <x:c r="A1198" s="17" t="n">
        <x:f>IF(B1198="","",IF(B1198=B1197,A1197,A1197+1))</x:f>
        <x:v>243</x:v>
      </x:c>
      <x:c r="B1198" s="1" t="str">
        <x:f>'Ranking'!C254</x:f>
        <x:v>Klink</x:v>
      </x:c>
      <x:c r="C1198" s="1" t="str">
        <x:f>'Habilidades'!D3497</x:f>
        <x:v>Zap Cannon</x:v>
      </x:c>
      <x:c r="D1198" s="1" t="str">
        <x:f>'Habilidades'!F3497</x:f>
        <x:v>Especial</x:v>
      </x:c>
      <x:c r="E1198" s="18" t="n">
        <x:f>'Habilidades'!G3497</x:f>
        <x:v>120</x:v>
      </x:c>
      <x:c r="F1198" s="18" t="n">
        <x:f>'Habilidades'!H3497</x:f>
        <x:v>45</x:v>
      </x:c>
      <x:c r="G1198" s="18" t="n">
        <x:f>'Habilidades'!I3497</x:f>
        <x:v>165</x:v>
      </x:c>
    </x:row>
    <x:row r="1199" ht="22" customHeight="1">
      <x:c r="A1199" s="17" t="n">
        <x:f>IF(B1199="","",IF(B1199=B1198,A1198,A1198+1))</x:f>
        <x:v>243</x:v>
      </x:c>
      <x:c r="B1199" s="1" t="str">
        <x:f>'Ranking'!C254</x:f>
        <x:v>Klink</x:v>
      </x:c>
      <x:c r="C1199" s="1" t="str">
        <x:f>'Habilidades'!D3498</x:f>
        <x:v>Discharge</x:v>
      </x:c>
      <x:c r="D1199" s="1" t="str">
        <x:f>'Habilidades'!F3498</x:f>
        <x:v>Especial</x:v>
      </x:c>
      <x:c r="E1199" s="18" t="n">
        <x:f>'Habilidades'!G3498</x:f>
        <x:v>80</x:v>
      </x:c>
      <x:c r="F1199" s="18" t="n">
        <x:f>'Habilidades'!H3498</x:f>
        <x:v>45</x:v>
      </x:c>
      <x:c r="G1199" s="18" t="n">
        <x:f>'Habilidades'!I3498</x:f>
        <x:v>125</x:v>
      </x:c>
    </x:row>
    <x:row r="1200" ht="22" customHeight="1">
      <x:c r="A1200" s="17" t="n">
        <x:f>IF(B1200="","",IF(B1200=B1199,A1199,A1199+1))</x:f>
        <x:v>243</x:v>
      </x:c>
      <x:c r="B1200" s="1" t="str">
        <x:f>'Ranking'!C254</x:f>
        <x:v>Klink</x:v>
      </x:c>
      <x:c r="C1200" s="1" t="str">
        <x:f>'Habilidades'!D3499</x:f>
        <x:v>Mirror Shot</x:v>
      </x:c>
      <x:c r="D1200" s="1" t="str">
        <x:f>'Habilidades'!F3499</x:f>
        <x:v>Especial</x:v>
      </x:c>
      <x:c r="E1200" s="18" t="n">
        <x:f>'Habilidades'!G3499</x:f>
        <x:v>65</x:v>
      </x:c>
      <x:c r="F1200" s="18" t="n">
        <x:f>'Habilidades'!H3499</x:f>
        <x:v>45</x:v>
      </x:c>
      <x:c r="G1200" s="18" t="n">
        <x:f>'Habilidades'!I3499</x:f>
        <x:v>110</x:v>
      </x:c>
    </x:row>
    <x:row r="1201" ht="22" customHeight="1">
      <x:c r="A1201" s="19" t="n">
        <x:f>IF(B1201="","",IF(B1201=B1200,A1200,A1200+1))</x:f>
        <x:v>243</x:v>
      </x:c>
      <x:c r="B1201" s="20" t="str">
        <x:f>'Ranking'!C254</x:f>
        <x:v>Klink</x:v>
      </x:c>
      <x:c r="C1201" s="20" t="str">
        <x:f>'Habilidades'!D3500</x:f>
        <x:v>Vise Grip</x:v>
      </x:c>
      <x:c r="D1201" s="20" t="str">
        <x:f>'Habilidades'!F3500</x:f>
        <x:v>Física</x:v>
      </x:c>
      <x:c r="E1201" s="21" t="n">
        <x:f>'Habilidades'!G3500</x:f>
        <x:v>55</x:v>
      </x:c>
      <x:c r="F1201" s="21" t="n">
        <x:f>'Habilidades'!H3500</x:f>
        <x:v>55</x:v>
      </x:c>
      <x:c r="G1201" s="21" t="n">
        <x:f>'Habilidades'!I3500</x:f>
        <x:v>110</x:v>
      </x:c>
    </x:row>
    <x:row r="1202" ht="22" customHeight="1">
      <x:c r="A1202" s="17" t="n">
        <x:f>IF(B1202="","",IF(B1202=B1201,A1201,A1201+1))</x:f>
        <x:v>244</x:v>
      </x:c>
      <x:c r="B1202" s="1" t="str">
        <x:f>'Ranking'!C252</x:f>
        <x:v>Larvitar</x:v>
      </x:c>
      <x:c r="C1202" s="1" t="str">
        <x:f>'Habilidades'!D2288</x:f>
        <x:v>Hyper Beam</x:v>
      </x:c>
      <x:c r="D1202" s="1" t="str">
        <x:f>'Habilidades'!F2288</x:f>
        <x:v>Especial</x:v>
      </x:c>
      <x:c r="E1202" s="18" t="n">
        <x:f>'Habilidades'!G2288</x:f>
        <x:v>150</x:v>
      </x:c>
      <x:c r="F1202" s="18" t="n">
        <x:f>'Habilidades'!H2288</x:f>
        <x:v>45</x:v>
      </x:c>
      <x:c r="G1202" s="18" t="n">
        <x:f>'Habilidades'!I2288</x:f>
        <x:v>195</x:v>
      </x:c>
    </x:row>
    <x:row r="1203" ht="22" customHeight="1">
      <x:c r="A1203" s="17" t="n">
        <x:f>IF(B1203="","",IF(B1203=B1202,A1202,A1202+1))</x:f>
        <x:v>244</x:v>
      </x:c>
      <x:c r="B1203" s="1" t="str">
        <x:f>'Ranking'!C252</x:f>
        <x:v>Larvitar</x:v>
      </x:c>
      <x:c r="C1203" s="1" t="str">
        <x:f>'Habilidades'!D2289</x:f>
        <x:v>Thrash</x:v>
      </x:c>
      <x:c r="D1203" s="1" t="str">
        <x:f>'Habilidades'!F2289</x:f>
        <x:v>Física</x:v>
      </x:c>
      <x:c r="E1203" s="18" t="n">
        <x:f>'Habilidades'!G2289</x:f>
        <x:v>120</x:v>
      </x:c>
      <x:c r="F1203" s="18" t="n">
        <x:f>'Habilidades'!H2289</x:f>
        <x:v>64</x:v>
      </x:c>
      <x:c r="G1203" s="18" t="n">
        <x:f>'Habilidades'!I2289</x:f>
        <x:v>184</x:v>
      </x:c>
    </x:row>
    <x:row r="1204" ht="22" customHeight="1">
      <x:c r="A1204" s="17" t="n">
        <x:f>IF(B1204="","",IF(B1204=B1203,A1203,A1203+1))</x:f>
        <x:v>244</x:v>
      </x:c>
      <x:c r="B1204" s="1" t="str">
        <x:f>'Ranking'!C252</x:f>
        <x:v>Larvitar</x:v>
      </x:c>
      <x:c r="C1204" s="1" t="str">
        <x:f>'Habilidades'!D2290</x:f>
        <x:v>Earthquake</x:v>
      </x:c>
      <x:c r="D1204" s="1" t="str">
        <x:f>'Habilidades'!F2290</x:f>
        <x:v>Física</x:v>
      </x:c>
      <x:c r="E1204" s="18" t="n">
        <x:f>'Habilidades'!G2290</x:f>
        <x:v>100</x:v>
      </x:c>
      <x:c r="F1204" s="18" t="n">
        <x:f>'Habilidades'!H2290</x:f>
        <x:v>64</x:v>
      </x:c>
      <x:c r="G1204" s="18" t="n">
        <x:f>'Habilidades'!I2290</x:f>
        <x:v>164</x:v>
      </x:c>
    </x:row>
    <x:row r="1205" ht="22" customHeight="1">
      <x:c r="A1205" s="17" t="n">
        <x:f>IF(B1205="","",IF(B1205=B1204,A1204,A1204+1))</x:f>
        <x:v>244</x:v>
      </x:c>
      <x:c r="B1205" s="1" t="str">
        <x:f>'Ranking'!C252</x:f>
        <x:v>Larvitar</x:v>
      </x:c>
      <x:c r="C1205" s="1" t="str">
        <x:f>'Habilidades'!D2291</x:f>
        <x:v>Stone Edge</x:v>
      </x:c>
      <x:c r="D1205" s="1" t="str">
        <x:f>'Habilidades'!F2291</x:f>
        <x:v>Física</x:v>
      </x:c>
      <x:c r="E1205" s="18" t="n">
        <x:f>'Habilidades'!G2291</x:f>
        <x:v>100</x:v>
      </x:c>
      <x:c r="F1205" s="18" t="n">
        <x:f>'Habilidades'!H2291</x:f>
        <x:v>64</x:v>
      </x:c>
      <x:c r="G1205" s="18" t="n">
        <x:f>'Habilidades'!I2291</x:f>
        <x:v>164</x:v>
      </x:c>
    </x:row>
    <x:row r="1206" ht="22" customHeight="1">
      <x:c r="A1206" s="19" t="n">
        <x:f>IF(B1206="","",IF(B1206=B1205,A1205,A1205+1))</x:f>
        <x:v>244</x:v>
      </x:c>
      <x:c r="B1206" s="20" t="str">
        <x:f>'Ranking'!C252</x:f>
        <x:v>Larvitar</x:v>
      </x:c>
      <x:c r="C1206" s="20" t="str">
        <x:f>'Habilidades'!D2295</x:f>
        <x:v>Dark Pulse</x:v>
      </x:c>
      <x:c r="D1206" s="20" t="str">
        <x:f>'Habilidades'!F2295</x:f>
        <x:v>Especial</x:v>
      </x:c>
      <x:c r="E1206" s="21" t="n">
        <x:f>'Habilidades'!G2295</x:f>
        <x:v>80</x:v>
      </x:c>
      <x:c r="F1206" s="21" t="n">
        <x:f>'Habilidades'!H2295</x:f>
        <x:v>45</x:v>
      </x:c>
      <x:c r="G1206" s="21" t="n">
        <x:f>'Habilidades'!I2295</x:f>
        <x:v>125</x:v>
      </x:c>
    </x:row>
    <x:row r="1207" ht="22" customHeight="1">
      <x:c r="A1207" s="17" t="n">
        <x:f>IF(B1207="","",IF(B1207=B1206,A1206,A1206+1))</x:f>
        <x:v>245</x:v>
      </x:c>
      <x:c r="B1207" s="1" t="str">
        <x:f>'Ranking'!C251</x:f>
        <x:v>Litwick</x:v>
      </x:c>
      <x:c r="C1207" s="1" t="str">
        <x:f>'Habilidades'!D3549</x:f>
        <x:v>Overheat</x:v>
      </x:c>
      <x:c r="D1207" s="1" t="str">
        <x:f>'Habilidades'!F3549</x:f>
        <x:v>Especial</x:v>
      </x:c>
      <x:c r="E1207" s="18" t="n">
        <x:f>'Habilidades'!G3549</x:f>
        <x:v>130</x:v>
      </x:c>
      <x:c r="F1207" s="18" t="n">
        <x:f>'Habilidades'!H3549</x:f>
        <x:v>65</x:v>
      </x:c>
      <x:c r="G1207" s="18" t="n">
        <x:f>'Habilidades'!I3549</x:f>
        <x:v>195</x:v>
      </x:c>
    </x:row>
    <x:row r="1208" ht="22" customHeight="1">
      <x:c r="A1208" s="17" t="n">
        <x:f>IF(B1208="","",IF(B1208=B1207,A1207,A1207+1))</x:f>
        <x:v>245</x:v>
      </x:c>
      <x:c r="B1208" s="1" t="str">
        <x:f>'Ranking'!C251</x:f>
        <x:v>Litwick</x:v>
      </x:c>
      <x:c r="C1208" s="1" t="str">
        <x:f>'Habilidades'!D3550</x:f>
        <x:v>Inferno</x:v>
      </x:c>
      <x:c r="D1208" s="1" t="str">
        <x:f>'Habilidades'!F3550</x:f>
        <x:v>Especial</x:v>
      </x:c>
      <x:c r="E1208" s="18" t="n">
        <x:f>'Habilidades'!G3550</x:f>
        <x:v>100</x:v>
      </x:c>
      <x:c r="F1208" s="18" t="n">
        <x:f>'Habilidades'!H3550</x:f>
        <x:v>65</x:v>
      </x:c>
      <x:c r="G1208" s="18" t="n">
        <x:f>'Habilidades'!I3550</x:f>
        <x:v>165</x:v>
      </x:c>
    </x:row>
    <x:row r="1209" ht="22" customHeight="1">
      <x:c r="A1209" s="17" t="n">
        <x:f>IF(B1209="","",IF(B1209=B1208,A1208,A1208+1))</x:f>
        <x:v>245</x:v>
      </x:c>
      <x:c r="B1209" s="1" t="str">
        <x:f>'Ranking'!C251</x:f>
        <x:v>Litwick</x:v>
      </x:c>
      <x:c r="C1209" s="1" t="str">
        <x:f>'Habilidades'!D3551</x:f>
        <x:v>Shadow Ball</x:v>
      </x:c>
      <x:c r="D1209" s="1" t="str">
        <x:f>'Habilidades'!F3551</x:f>
        <x:v>Especial</x:v>
      </x:c>
      <x:c r="E1209" s="18" t="n">
        <x:f>'Habilidades'!G3551</x:f>
        <x:v>80</x:v>
      </x:c>
      <x:c r="F1209" s="18" t="n">
        <x:f>'Habilidades'!H3551</x:f>
        <x:v>65</x:v>
      </x:c>
      <x:c r="G1209" s="18" t="n">
        <x:f>'Habilidades'!I3551</x:f>
        <x:v>145</x:v>
      </x:c>
    </x:row>
    <x:row r="1210" ht="22" customHeight="1">
      <x:c r="A1210" s="17" t="n">
        <x:f>IF(B1210="","",IF(B1210=B1209,A1209,A1209+1))</x:f>
        <x:v>245</x:v>
      </x:c>
      <x:c r="B1210" s="1" t="str">
        <x:f>'Ranking'!C251</x:f>
        <x:v>Litwick</x:v>
      </x:c>
      <x:c r="C1210" s="1" t="str">
        <x:f>'Habilidades'!D3552</x:f>
        <x:v>Flame Burst</x:v>
      </x:c>
      <x:c r="D1210" s="1" t="str">
        <x:f>'Habilidades'!F3552</x:f>
        <x:v>Especial</x:v>
      </x:c>
      <x:c r="E1210" s="18" t="n">
        <x:f>'Habilidades'!G3552</x:f>
        <x:v>70</x:v>
      </x:c>
      <x:c r="F1210" s="18" t="n">
        <x:f>'Habilidades'!H3552</x:f>
        <x:v>65</x:v>
      </x:c>
      <x:c r="G1210" s="18" t="n">
        <x:f>'Habilidades'!I3552</x:f>
        <x:v>135</x:v>
      </x:c>
    </x:row>
    <x:row r="1211" ht="22" customHeight="1">
      <x:c r="A1211" s="19" t="n">
        <x:f>IF(B1211="","",IF(B1211=B1210,A1210,A1210+1))</x:f>
        <x:v>245</x:v>
      </x:c>
      <x:c r="B1211" s="20" t="str">
        <x:f>'Ranking'!C251</x:f>
        <x:v>Litwick</x:v>
      </x:c>
      <x:c r="C1211" s="20" t="str">
        <x:f>'Habilidades'!D3553</x:f>
        <x:v>Hex</x:v>
      </x:c>
      <x:c r="D1211" s="20" t="str">
        <x:f>'Habilidades'!F3553</x:f>
        <x:v>Especial</x:v>
      </x:c>
      <x:c r="E1211" s="21" t="n">
        <x:f>'Habilidades'!G3553</x:f>
        <x:v>65</x:v>
      </x:c>
      <x:c r="F1211" s="21" t="n">
        <x:f>'Habilidades'!H3553</x:f>
        <x:v>65</x:v>
      </x:c>
      <x:c r="G1211" s="21" t="n">
        <x:f>'Habilidades'!I3553</x:f>
        <x:v>130</x:v>
      </x:c>
    </x:row>
    <x:row r="1212" ht="22" customHeight="1">
      <x:c r="A1212" s="17" t="n">
        <x:f>IF(B1212="","",IF(B1212=B1211,A1211,A1211+1))</x:f>
        <x:v>246</x:v>
      </x:c>
      <x:c r="B1212" s="1" t="str">
        <x:f>'Ranking'!C248</x:f>
        <x:v>Oddish</x:v>
      </x:c>
      <x:c r="C1212" s="1" t="str">
        <x:f>'Habilidades'!D362</x:f>
        <x:v>Petal Dance</x:v>
      </x:c>
      <x:c r="D1212" s="1" t="str">
        <x:f>'Habilidades'!F362</x:f>
        <x:v>Especial</x:v>
      </x:c>
      <x:c r="E1212" s="18" t="n">
        <x:f>'Habilidades'!G362</x:f>
        <x:v>120</x:v>
      </x:c>
      <x:c r="F1212" s="18" t="n">
        <x:f>'Habilidades'!H362</x:f>
        <x:v>75</x:v>
      </x:c>
      <x:c r="G1212" s="18" t="n">
        <x:f>'Habilidades'!I362</x:f>
        <x:v>195</x:v>
      </x:c>
    </x:row>
    <x:row r="1213" ht="22" customHeight="1">
      <x:c r="A1213" s="17" t="n">
        <x:f>IF(B1213="","",IF(B1213=B1212,A1212,A1212+1))</x:f>
        <x:v>246</x:v>
      </x:c>
      <x:c r="B1213" s="1" t="str">
        <x:f>'Ranking'!C248</x:f>
        <x:v>Oddish</x:v>
      </x:c>
      <x:c r="C1213" s="1" t="str">
        <x:f>'Habilidades'!D363</x:f>
        <x:v>Moonblast</x:v>
      </x:c>
      <x:c r="D1213" s="1" t="str">
        <x:f>'Habilidades'!F363</x:f>
        <x:v>Especial</x:v>
      </x:c>
      <x:c r="E1213" s="18" t="n">
        <x:f>'Habilidades'!G363</x:f>
        <x:v>95</x:v>
      </x:c>
      <x:c r="F1213" s="18" t="n">
        <x:f>'Habilidades'!H363</x:f>
        <x:v>75</x:v>
      </x:c>
      <x:c r="G1213" s="18" t="n">
        <x:f>'Habilidades'!I363</x:f>
        <x:v>170</x:v>
      </x:c>
    </x:row>
    <x:row r="1214" ht="22" customHeight="1">
      <x:c r="A1214" s="17" t="n">
        <x:f>IF(B1214="","",IF(B1214=B1213,A1213,A1213+1))</x:f>
        <x:v>246</x:v>
      </x:c>
      <x:c r="B1214" s="1" t="str">
        <x:f>'Ranking'!C248</x:f>
        <x:v>Oddish</x:v>
      </x:c>
      <x:c r="C1214" s="1" t="str">
        <x:f>'Habilidades'!D364</x:f>
        <x:v>Giga Drain</x:v>
      </x:c>
      <x:c r="D1214" s="1" t="str">
        <x:f>'Habilidades'!F364</x:f>
        <x:v>Especial</x:v>
      </x:c>
      <x:c r="E1214" s="18" t="n">
        <x:f>'Habilidades'!G364</x:f>
        <x:v>75</x:v>
      </x:c>
      <x:c r="F1214" s="18" t="n">
        <x:f>'Habilidades'!H364</x:f>
        <x:v>75</x:v>
      </x:c>
      <x:c r="G1214" s="18" t="n">
        <x:f>'Habilidades'!I364</x:f>
        <x:v>150</x:v>
      </x:c>
    </x:row>
    <x:row r="1215" ht="22" customHeight="1">
      <x:c r="A1215" s="17" t="n">
        <x:f>IF(B1215="","",IF(B1215=B1214,A1214,A1214+1))</x:f>
        <x:v>246</x:v>
      </x:c>
      <x:c r="B1215" s="1" t="str">
        <x:f>'Ranking'!C248</x:f>
        <x:v>Oddish</x:v>
      </x:c>
      <x:c r="C1215" s="1" t="str">
        <x:f>'Habilidades'!D365</x:f>
        <x:v>Acid</x:v>
      </x:c>
      <x:c r="D1215" s="1" t="str">
        <x:f>'Habilidades'!F365</x:f>
        <x:v>Especial</x:v>
      </x:c>
      <x:c r="E1215" s="18" t="n">
        <x:f>'Habilidades'!G365</x:f>
        <x:v>40</x:v>
      </x:c>
      <x:c r="F1215" s="18" t="n">
        <x:f>'Habilidades'!H365</x:f>
        <x:v>75</x:v>
      </x:c>
      <x:c r="G1215" s="18" t="n">
        <x:f>'Habilidades'!I365</x:f>
        <x:v>115</x:v>
      </x:c>
    </x:row>
    <x:row r="1216" ht="22" customHeight="1">
      <x:c r="A1216" s="19" t="n">
        <x:f>IF(B1216="","",IF(B1216=B1215,A1215,A1215+1))</x:f>
        <x:v>246</x:v>
      </x:c>
      <x:c r="B1216" s="20" t="str">
        <x:f>'Ranking'!C248</x:f>
        <x:v>Oddish</x:v>
      </x:c>
      <x:c r="C1216" s="20" t="str">
        <x:f>'Habilidades'!D366</x:f>
        <x:v>Mega Drain</x:v>
      </x:c>
      <x:c r="D1216" s="20" t="str">
        <x:f>'Habilidades'!F366</x:f>
        <x:v>Especial</x:v>
      </x:c>
      <x:c r="E1216" s="21" t="n">
        <x:f>'Habilidades'!G366</x:f>
        <x:v>40</x:v>
      </x:c>
      <x:c r="F1216" s="21" t="n">
        <x:f>'Habilidades'!H366</x:f>
        <x:v>75</x:v>
      </x:c>
      <x:c r="G1216" s="21" t="n">
        <x:f>'Habilidades'!I366</x:f>
        <x:v>115</x:v>
      </x:c>
    </x:row>
    <x:row r="1217" ht="22" customHeight="1">
      <x:c r="A1217" s="17" t="n">
        <x:f>IF(B1217="","",IF(B1217=B1216,A1216,A1216+1))</x:f>
        <x:v>247</x:v>
      </x:c>
      <x:c r="B1217" s="1" t="str">
        <x:f>'Ranking'!C247</x:f>
        <x:v>Pelipper</x:v>
      </x:c>
      <x:c r="C1217" s="1" t="str">
        <x:f>'Habilidades'!D2518</x:f>
        <x:v>Hurricane</x:v>
      </x:c>
      <x:c r="D1217" s="1" t="str">
        <x:f>'Habilidades'!F2518</x:f>
        <x:v>Especial</x:v>
      </x:c>
      <x:c r="E1217" s="18" t="n">
        <x:f>'Habilidades'!G2518</x:f>
        <x:v>110</x:v>
      </x:c>
      <x:c r="F1217" s="18" t="n">
        <x:f>'Habilidades'!H2518</x:f>
        <x:v>85</x:v>
      </x:c>
      <x:c r="G1217" s="18" t="n">
        <x:f>'Habilidades'!I2518</x:f>
        <x:v>195</x:v>
      </x:c>
    </x:row>
    <x:row r="1218" ht="22" customHeight="1">
      <x:c r="A1218" s="17" t="n">
        <x:f>IF(B1218="","",IF(B1218=B1217,A1217,A1217+1))</x:f>
        <x:v>247</x:v>
      </x:c>
      <x:c r="B1218" s="1" t="str">
        <x:f>'Ranking'!C247</x:f>
        <x:v>Pelipper</x:v>
      </x:c>
      <x:c r="C1218" s="1" t="str">
        <x:f>'Habilidades'!D2519</x:f>
        <x:v>Hydro Pump</x:v>
      </x:c>
      <x:c r="D1218" s="1" t="str">
        <x:f>'Habilidades'!F2519</x:f>
        <x:v>Especial</x:v>
      </x:c>
      <x:c r="E1218" s="18" t="n">
        <x:f>'Habilidades'!G2519</x:f>
        <x:v>110</x:v>
      </x:c>
      <x:c r="F1218" s="18" t="n">
        <x:f>'Habilidades'!H2519</x:f>
        <x:v>85</x:v>
      </x:c>
      <x:c r="G1218" s="18" t="n">
        <x:f>'Habilidades'!I2519</x:f>
        <x:v>195</x:v>
      </x:c>
    </x:row>
    <x:row r="1219" ht="22" customHeight="1">
      <x:c r="A1219" s="17" t="n">
        <x:f>IF(B1219="","",IF(B1219=B1218,A1218,A1218+1))</x:f>
        <x:v>247</x:v>
      </x:c>
      <x:c r="B1219" s="1" t="str">
        <x:f>'Ranking'!C247</x:f>
        <x:v>Pelipper</x:v>
      </x:c>
      <x:c r="C1219" s="1" t="str">
        <x:f>'Habilidades'!D2520</x:f>
        <x:v>Brine</x:v>
      </x:c>
      <x:c r="D1219" s="1" t="str">
        <x:f>'Habilidades'!F2520</x:f>
        <x:v>Especial</x:v>
      </x:c>
      <x:c r="E1219" s="18" t="n">
        <x:f>'Habilidades'!G2520</x:f>
        <x:v>65</x:v>
      </x:c>
      <x:c r="F1219" s="18" t="n">
        <x:f>'Habilidades'!H2520</x:f>
        <x:v>85</x:v>
      </x:c>
      <x:c r="G1219" s="18" t="n">
        <x:f>'Habilidades'!I2520</x:f>
        <x:v>150</x:v>
      </x:c>
    </x:row>
    <x:row r="1220" ht="22" customHeight="1">
      <x:c r="A1220" s="17" t="n">
        <x:f>IF(B1220="","",IF(B1220=B1219,A1219,A1219+1))</x:f>
        <x:v>247</x:v>
      </x:c>
      <x:c r="B1220" s="1" t="str">
        <x:f>'Ranking'!C247</x:f>
        <x:v>Pelipper</x:v>
      </x:c>
      <x:c r="C1220" s="1" t="str">
        <x:f>'Habilidades'!D2521</x:f>
        <x:v>Water Pulse</x:v>
      </x:c>
      <x:c r="D1220" s="1" t="str">
        <x:f>'Habilidades'!F2521</x:f>
        <x:v>Especial</x:v>
      </x:c>
      <x:c r="E1220" s="18" t="n">
        <x:f>'Habilidades'!G2521</x:f>
        <x:v>60</x:v>
      </x:c>
      <x:c r="F1220" s="18" t="n">
        <x:f>'Habilidades'!H2521</x:f>
        <x:v>85</x:v>
      </x:c>
      <x:c r="G1220" s="18" t="n">
        <x:f>'Habilidades'!I2521</x:f>
        <x:v>145</x:v>
      </x:c>
    </x:row>
    <x:row r="1221" ht="22" customHeight="1">
      <x:c r="A1221" s="19" t="n">
        <x:f>IF(B1221="","",IF(B1221=B1220,A1220,A1220+1))</x:f>
        <x:v>247</x:v>
      </x:c>
      <x:c r="B1221" s="20" t="str">
        <x:f>'Ranking'!C247</x:f>
        <x:v>Pelipper</x:v>
      </x:c>
      <x:c r="C1221" s="20" t="str">
        <x:f>'Habilidades'!D2523</x:f>
        <x:v>Wing Attack</x:v>
      </x:c>
      <x:c r="D1221" s="20" t="str">
        <x:f>'Habilidades'!F2523</x:f>
        <x:v>Física</x:v>
      </x:c>
      <x:c r="E1221" s="21" t="n">
        <x:f>'Habilidades'!G2523</x:f>
        <x:v>60</x:v>
      </x:c>
      <x:c r="F1221" s="21" t="n">
        <x:f>'Habilidades'!H2523</x:f>
        <x:v>50</x:v>
      </x:c>
      <x:c r="G1221" s="21" t="n">
        <x:f>'Habilidades'!I2523</x:f>
        <x:v>110</x:v>
      </x:c>
    </x:row>
    <x:row r="1222" ht="22" customHeight="1">
      <x:c r="A1222" s="17" t="n">
        <x:f>IF(B1222="","",IF(B1222=B1221,A1221,A1221+1))</x:f>
        <x:v>248</x:v>
      </x:c>
      <x:c r="B1222" s="1" t="str">
        <x:f>'Ranking'!C246</x:f>
        <x:v>Smoochum</x:v>
      </x:c>
      <x:c r="C1222" s="1" t="str">
        <x:f>'Habilidades'!D2220</x:f>
        <x:v>Blizzard</x:v>
      </x:c>
      <x:c r="D1222" s="1" t="str">
        <x:f>'Habilidades'!F2220</x:f>
        <x:v>Especial</x:v>
      </x:c>
      <x:c r="E1222" s="18" t="n">
        <x:f>'Habilidades'!G2220</x:f>
        <x:v>110</x:v>
      </x:c>
      <x:c r="F1222" s="18" t="n">
        <x:f>'Habilidades'!H2220</x:f>
        <x:v>85</x:v>
      </x:c>
      <x:c r="G1222" s="18" t="n">
        <x:f>'Habilidades'!I2220</x:f>
        <x:v>195</x:v>
      </x:c>
    </x:row>
    <x:row r="1223" ht="22" customHeight="1">
      <x:c r="A1223" s="17" t="n">
        <x:f>IF(B1223="","",IF(B1223=B1222,A1222,A1222+1))</x:f>
        <x:v>248</x:v>
      </x:c>
      <x:c r="B1223" s="1" t="str">
        <x:f>'Ranking'!C246</x:f>
        <x:v>Smoochum</x:v>
      </x:c>
      <x:c r="C1223" s="1" t="str">
        <x:f>'Habilidades'!D2221</x:f>
        <x:v>Psychic</x:v>
      </x:c>
      <x:c r="D1223" s="1" t="str">
        <x:f>'Habilidades'!F2221</x:f>
        <x:v>Especial</x:v>
      </x:c>
      <x:c r="E1223" s="18" t="n">
        <x:f>'Habilidades'!G2221</x:f>
        <x:v>90</x:v>
      </x:c>
      <x:c r="F1223" s="18" t="n">
        <x:f>'Habilidades'!H2221</x:f>
        <x:v>85</x:v>
      </x:c>
      <x:c r="G1223" s="18" t="n">
        <x:f>'Habilidades'!I2221</x:f>
        <x:v>175</x:v>
      </x:c>
    </x:row>
    <x:row r="1224" ht="22" customHeight="1">
      <x:c r="A1224" s="17" t="n">
        <x:f>IF(B1224="","",IF(B1224=B1223,A1223,A1223+1))</x:f>
        <x:v>248</x:v>
      </x:c>
      <x:c r="B1224" s="1" t="str">
        <x:f>'Ranking'!C246</x:f>
        <x:v>Smoochum</x:v>
      </x:c>
      <x:c r="C1224" s="1" t="str">
        <x:f>'Habilidades'!D2222</x:f>
        <x:v>Confusion</x:v>
      </x:c>
      <x:c r="D1224" s="1" t="str">
        <x:f>'Habilidades'!F2222</x:f>
        <x:v>Especial</x:v>
      </x:c>
      <x:c r="E1224" s="18" t="n">
        <x:f>'Habilidades'!G2222</x:f>
        <x:v>50</x:v>
      </x:c>
      <x:c r="F1224" s="18" t="n">
        <x:f>'Habilidades'!H2222</x:f>
        <x:v>85</x:v>
      </x:c>
      <x:c r="G1224" s="18" t="n">
        <x:f>'Habilidades'!I2222</x:f>
        <x:v>135</x:v>
      </x:c>
    </x:row>
    <x:row r="1225" ht="22" customHeight="1">
      <x:c r="A1225" s="17" t="n">
        <x:f>IF(B1225="","",IF(B1225=B1224,A1224,A1224+1))</x:f>
        <x:v>248</x:v>
      </x:c>
      <x:c r="B1225" s="1" t="str">
        <x:f>'Ranking'!C246</x:f>
        <x:v>Smoochum</x:v>
      </x:c>
      <x:c r="C1225" s="1" t="str">
        <x:f>'Habilidades'!D2224</x:f>
        <x:v>Heart Stamp</x:v>
      </x:c>
      <x:c r="D1225" s="1" t="str">
        <x:f>'Habilidades'!F2224</x:f>
        <x:v>Física</x:v>
      </x:c>
      <x:c r="E1225" s="18" t="n">
        <x:f>'Habilidades'!G2224</x:f>
        <x:v>60</x:v>
      </x:c>
      <x:c r="F1225" s="18" t="n">
        <x:f>'Habilidades'!H2224</x:f>
        <x:v>30</x:v>
      </x:c>
      <x:c r="G1225" s="18" t="n">
        <x:f>'Habilidades'!I2224</x:f>
        <x:v>90</x:v>
      </x:c>
    </x:row>
    <x:row r="1226" ht="22" customHeight="1">
      <x:c r="A1226" s="19" t="n">
        <x:f>IF(B1226="","",IF(B1226=B1225,A1225,A1225+1))</x:f>
        <x:v>248</x:v>
      </x:c>
      <x:c r="B1226" s="20" t="str">
        <x:f>'Ranking'!C246</x:f>
        <x:v>Smoochum</x:v>
      </x:c>
      <x:c r="C1226" s="20" t="str">
        <x:f>'Habilidades'!D2225</x:f>
        <x:v>Avalanche</x:v>
      </x:c>
      <x:c r="D1226" s="20" t="str">
        <x:f>'Habilidades'!F2225</x:f>
        <x:v>Física</x:v>
      </x:c>
      <x:c r="E1226" s="21" t="n">
        <x:f>'Habilidades'!G2225</x:f>
        <x:v>60</x:v>
      </x:c>
      <x:c r="F1226" s="21" t="n">
        <x:f>'Habilidades'!H2225</x:f>
        <x:v>30</x:v>
      </x:c>
      <x:c r="G1226" s="21" t="n">
        <x:f>'Habilidades'!I2225</x:f>
        <x:v>90</x:v>
      </x:c>
    </x:row>
    <x:row r="1227" ht="22" customHeight="1">
      <x:c r="A1227" s="17" t="n">
        <x:f>IF(B1227="","",IF(B1227=B1226,A1226,A1226+1))</x:f>
        <x:v>249</x:v>
      </x:c>
      <x:c r="B1227" s="1" t="str">
        <x:f>'Ranking'!C245</x:f>
        <x:v>Solrock</x:v>
      </x:c>
      <x:c r="C1227" s="1" t="str">
        <x:f>'Habilidades'!D2889</x:f>
        <x:v>Stone Edge</x:v>
      </x:c>
      <x:c r="D1227" s="1" t="str">
        <x:f>'Habilidades'!F2889</x:f>
        <x:v>Física</x:v>
      </x:c>
      <x:c r="E1227" s="18" t="n">
        <x:f>'Habilidades'!G2889</x:f>
        <x:v>100</x:v>
      </x:c>
      <x:c r="F1227" s="18" t="n">
        <x:f>'Habilidades'!H2889</x:f>
        <x:v>95</x:v>
      </x:c>
      <x:c r="G1227" s="18" t="n">
        <x:f>'Habilidades'!I2889</x:f>
        <x:v>195</x:v>
      </x:c>
    </x:row>
    <x:row r="1228" ht="22" customHeight="1">
      <x:c r="A1228" s="17" t="n">
        <x:f>IF(B1228="","",IF(B1228=B1227,A1227,A1227+1))</x:f>
        <x:v>249</x:v>
      </x:c>
      <x:c r="B1228" s="1" t="str">
        <x:f>'Ranking'!C245</x:f>
        <x:v>Solrock</x:v>
      </x:c>
      <x:c r="C1228" s="1" t="str">
        <x:f>'Habilidades'!D2890</x:f>
        <x:v>Solar Beam</x:v>
      </x:c>
      <x:c r="D1228" s="1" t="str">
        <x:f>'Habilidades'!F2890</x:f>
        <x:v>Especial</x:v>
      </x:c>
      <x:c r="E1228" s="18" t="n">
        <x:f>'Habilidades'!G2890</x:f>
        <x:v>120</x:v>
      </x:c>
      <x:c r="F1228" s="18" t="n">
        <x:f>'Habilidades'!H2890</x:f>
        <x:v>55</x:v>
      </x:c>
      <x:c r="G1228" s="18" t="n">
        <x:f>'Habilidades'!I2890</x:f>
        <x:v>175</x:v>
      </x:c>
    </x:row>
    <x:row r="1229" ht="22" customHeight="1">
      <x:c r="A1229" s="17" t="n">
        <x:f>IF(B1229="","",IF(B1229=B1228,A1228,A1228+1))</x:f>
        <x:v>249</x:v>
      </x:c>
      <x:c r="B1229" s="1" t="str">
        <x:f>'Ranking'!C245</x:f>
        <x:v>Solrock</x:v>
      </x:c>
      <x:c r="C1229" s="1" t="str">
        <x:f>'Habilidades'!D2891</x:f>
        <x:v>Rock Slide</x:v>
      </x:c>
      <x:c r="D1229" s="1" t="str">
        <x:f>'Habilidades'!F2891</x:f>
        <x:v>Física</x:v>
      </x:c>
      <x:c r="E1229" s="18" t="n">
        <x:f>'Habilidades'!G2891</x:f>
        <x:v>75</x:v>
      </x:c>
      <x:c r="F1229" s="18" t="n">
        <x:f>'Habilidades'!H2891</x:f>
        <x:v>95</x:v>
      </x:c>
      <x:c r="G1229" s="18" t="n">
        <x:f>'Habilidades'!I2891</x:f>
        <x:v>170</x:v>
      </x:c>
    </x:row>
    <x:row r="1230" ht="22" customHeight="1">
      <x:c r="A1230" s="17" t="n">
        <x:f>IF(B1230="","",IF(B1230=B1229,A1229,A1229+1))</x:f>
        <x:v>249</x:v>
      </x:c>
      <x:c r="B1230" s="1" t="str">
        <x:f>'Ranking'!C245</x:f>
        <x:v>Solrock</x:v>
      </x:c>
      <x:c r="C1230" s="1" t="str">
        <x:f>'Habilidades'!D2892</x:f>
        <x:v>Psychic</x:v>
      </x:c>
      <x:c r="D1230" s="1" t="str">
        <x:f>'Habilidades'!F2892</x:f>
        <x:v>Especial</x:v>
      </x:c>
      <x:c r="E1230" s="18" t="n">
        <x:f>'Habilidades'!G2892</x:f>
        <x:v>90</x:v>
      </x:c>
      <x:c r="F1230" s="18" t="n">
        <x:f>'Habilidades'!H2892</x:f>
        <x:v>55</x:v>
      </x:c>
      <x:c r="G1230" s="18" t="n">
        <x:f>'Habilidades'!I2892</x:f>
        <x:v>145</x:v>
      </x:c>
    </x:row>
    <x:row r="1231" ht="22" customHeight="1">
      <x:c r="A1231" s="19" t="n">
        <x:f>IF(B1231="","",IF(B1231=B1230,A1230,A1230+1))</x:f>
        <x:v>249</x:v>
      </x:c>
      <x:c r="B1231" s="20" t="str">
        <x:f>'Ranking'!C245</x:f>
        <x:v>Solrock</x:v>
      </x:c>
      <x:c r="C1231" s="20" t="str">
        <x:f>'Habilidades'!D2893</x:f>
        <x:v>Rock Throw</x:v>
      </x:c>
      <x:c r="D1231" s="20" t="str">
        <x:f>'Habilidades'!F2893</x:f>
        <x:v>Física</x:v>
      </x:c>
      <x:c r="E1231" s="21" t="n">
        <x:f>'Habilidades'!G2893</x:f>
        <x:v>50</x:v>
      </x:c>
      <x:c r="F1231" s="21" t="n">
        <x:f>'Habilidades'!H2893</x:f>
        <x:v>95</x:v>
      </x:c>
      <x:c r="G1231" s="21" t="n">
        <x:f>'Habilidades'!I2893</x:f>
        <x:v>145</x:v>
      </x:c>
    </x:row>
    <x:row r="1232" ht="22" customHeight="1">
      <x:c r="A1232" s="17" t="n">
        <x:f>IF(B1232="","",IF(B1232=B1231,A1231,A1231+1))</x:f>
        <x:v>250</x:v>
      </x:c>
      <x:c r="B1232" s="1" t="str">
        <x:f>'Ranking'!C244</x:f>
        <x:v>Stantler</x:v>
      </x:c>
      <x:c r="C1232" s="1" t="str">
        <x:f>'Habilidades'!D2203</x:f>
        <x:v>Jump Kick</x:v>
      </x:c>
      <x:c r="D1232" s="1" t="str">
        <x:f>'Habilidades'!F2203</x:f>
        <x:v>Física</x:v>
      </x:c>
      <x:c r="E1232" s="18" t="n">
        <x:f>'Habilidades'!G2203</x:f>
        <x:v>100</x:v>
      </x:c>
      <x:c r="F1232" s="18" t="n">
        <x:f>'Habilidades'!H2203</x:f>
        <x:v>95</x:v>
      </x:c>
      <x:c r="G1232" s="18" t="n">
        <x:f>'Habilidades'!I2203</x:f>
        <x:v>195</x:v>
      </x:c>
    </x:row>
    <x:row r="1233" ht="22" customHeight="1">
      <x:c r="A1233" s="17" t="n">
        <x:f>IF(B1233="","",IF(B1233=B1232,A1232,A1232+1))</x:f>
        <x:v>250</x:v>
      </x:c>
      <x:c r="B1233" s="1" t="str">
        <x:f>'Ranking'!C244</x:f>
        <x:v>Stantler</x:v>
      </x:c>
      <x:c r="C1233" s="1" t="str">
        <x:f>'Habilidades'!D2204</x:f>
        <x:v>Take Down</x:v>
      </x:c>
      <x:c r="D1233" s="1" t="str">
        <x:f>'Habilidades'!F2204</x:f>
        <x:v>Física</x:v>
      </x:c>
      <x:c r="E1233" s="18" t="n">
        <x:f>'Habilidades'!G2204</x:f>
        <x:v>90</x:v>
      </x:c>
      <x:c r="F1233" s="18" t="n">
        <x:f>'Habilidades'!H2204</x:f>
        <x:v>95</x:v>
      </x:c>
      <x:c r="G1233" s="18" t="n">
        <x:f>'Habilidades'!I2204</x:f>
        <x:v>185</x:v>
      </x:c>
    </x:row>
    <x:row r="1234" ht="22" customHeight="1">
      <x:c r="A1234" s="17" t="n">
        <x:f>IF(B1234="","",IF(B1234=B1233,A1233,A1233+1))</x:f>
        <x:v>250</x:v>
      </x:c>
      <x:c r="B1234" s="1" t="str">
        <x:f>'Ranking'!C244</x:f>
        <x:v>Stantler</x:v>
      </x:c>
      <x:c r="C1234" s="1" t="str">
        <x:f>'Habilidades'!D2205</x:f>
        <x:v>Zen Headbutt</x:v>
      </x:c>
      <x:c r="D1234" s="1" t="str">
        <x:f>'Habilidades'!F2205</x:f>
        <x:v>Física</x:v>
      </x:c>
      <x:c r="E1234" s="18" t="n">
        <x:f>'Habilidades'!G2205</x:f>
        <x:v>80</x:v>
      </x:c>
      <x:c r="F1234" s="18" t="n">
        <x:f>'Habilidades'!H2205</x:f>
        <x:v>95</x:v>
      </x:c>
      <x:c r="G1234" s="18" t="n">
        <x:f>'Habilidades'!I2205</x:f>
        <x:v>175</x:v>
      </x:c>
    </x:row>
    <x:row r="1235" ht="22" customHeight="1">
      <x:c r="A1235" s="17" t="n">
        <x:f>IF(B1235="","",IF(B1235=B1234,A1234,A1234+1))</x:f>
        <x:v>250</x:v>
      </x:c>
      <x:c r="B1235" s="1" t="str">
        <x:f>'Ranking'!C244</x:f>
        <x:v>Stantler</x:v>
      </x:c>
      <x:c r="C1235" s="1" t="str">
        <x:f>'Habilidades'!D2206</x:f>
        <x:v>Stomp</x:v>
      </x:c>
      <x:c r="D1235" s="1" t="str">
        <x:f>'Habilidades'!F2206</x:f>
        <x:v>Física</x:v>
      </x:c>
      <x:c r="E1235" s="18" t="n">
        <x:f>'Habilidades'!G2206</x:f>
        <x:v>65</x:v>
      </x:c>
      <x:c r="F1235" s="18" t="n">
        <x:f>'Habilidades'!H2206</x:f>
        <x:v>95</x:v>
      </x:c>
      <x:c r="G1235" s="18" t="n">
        <x:f>'Habilidades'!I2206</x:f>
        <x:v>160</x:v>
      </x:c>
    </x:row>
    <x:row r="1236" ht="22" customHeight="1">
      <x:c r="A1236" s="19" t="n">
        <x:f>IF(B1236="","",IF(B1236=B1235,A1235,A1235+1))</x:f>
        <x:v>250</x:v>
      </x:c>
      <x:c r="B1236" s="20" t="str">
        <x:f>'Ranking'!C244</x:f>
        <x:v>Stantler</x:v>
      </x:c>
      <x:c r="C1236" s="20" t="str">
        <x:f>'Habilidades'!D2207</x:f>
        <x:v>Tackle</x:v>
      </x:c>
      <x:c r="D1236" s="20" t="str">
        <x:f>'Habilidades'!F2207</x:f>
        <x:v>Física</x:v>
      </x:c>
      <x:c r="E1236" s="21" t="n">
        <x:f>'Habilidades'!G2207</x:f>
        <x:v>50</x:v>
      </x:c>
      <x:c r="F1236" s="21" t="n">
        <x:f>'Habilidades'!H2207</x:f>
        <x:v>95</x:v>
      </x:c>
      <x:c r="G1236" s="21" t="n">
        <x:f>'Habilidades'!I2207</x:f>
        <x:v>145</x:v>
      </x:c>
    </x:row>
    <x:row r="1237" ht="22" customHeight="1">
      <x:c r="A1237" s="17" t="n">
        <x:f>IF(B1237="","",IF(B1237=B1236,A1236,A1236+1))</x:f>
        <x:v>251</x:v>
      </x:c>
      <x:c r="B1237" s="1" t="str">
        <x:f>'Ranking'!C255</x:f>
        <x:v>Wartortle</x:v>
      </x:c>
      <x:c r="C1237" s="1" t="str">
        <x:f>'Habilidades'!D76</x:f>
        <x:v>Skull Bash</x:v>
      </x:c>
      <x:c r="D1237" s="1" t="str">
        <x:f>'Habilidades'!F76</x:f>
        <x:v>Física</x:v>
      </x:c>
      <x:c r="E1237" s="18" t="n">
        <x:f>'Habilidades'!G76</x:f>
        <x:v>130</x:v>
      </x:c>
      <x:c r="F1237" s="18" t="n">
        <x:f>'Habilidades'!H76</x:f>
        <x:v>63</x:v>
      </x:c>
      <x:c r="G1237" s="18" t="n">
        <x:f>'Habilidades'!I76</x:f>
        <x:v>193</x:v>
      </x:c>
    </x:row>
    <x:row r="1238" ht="22" customHeight="1">
      <x:c r="A1238" s="17" t="n">
        <x:f>IF(B1238="","",IF(B1238=B1237,A1237,A1237+1))</x:f>
        <x:v>251</x:v>
      </x:c>
      <x:c r="B1238" s="1" t="str">
        <x:f>'Ranking'!C255</x:f>
        <x:v>Wartortle</x:v>
      </x:c>
      <x:c r="C1238" s="1" t="str">
        <x:f>'Habilidades'!D77</x:f>
        <x:v>Hydro Pump</x:v>
      </x:c>
      <x:c r="D1238" s="1" t="str">
        <x:f>'Habilidades'!F77</x:f>
        <x:v>Especial</x:v>
      </x:c>
      <x:c r="E1238" s="18" t="n">
        <x:f>'Habilidades'!G77</x:f>
        <x:v>110</x:v>
      </x:c>
      <x:c r="F1238" s="18" t="n">
        <x:f>'Habilidades'!H77</x:f>
        <x:v>65</x:v>
      </x:c>
      <x:c r="G1238" s="18" t="n">
        <x:f>'Habilidades'!I77</x:f>
        <x:v>175</x:v>
      </x:c>
    </x:row>
    <x:row r="1239" ht="22" customHeight="1">
      <x:c r="A1239" s="17" t="n">
        <x:f>IF(B1239="","",IF(B1239=B1238,A1238,A1238+1))</x:f>
        <x:v>251</x:v>
      </x:c>
      <x:c r="B1239" s="1" t="str">
        <x:f>'Ranking'!C255</x:f>
        <x:v>Wartortle</x:v>
      </x:c>
      <x:c r="C1239" s="1" t="str">
        <x:f>'Habilidades'!D78</x:f>
        <x:v>Aqua Tail</x:v>
      </x:c>
      <x:c r="D1239" s="1" t="str">
        <x:f>'Habilidades'!F78</x:f>
        <x:v>Física</x:v>
      </x:c>
      <x:c r="E1239" s="18" t="n">
        <x:f>'Habilidades'!G78</x:f>
        <x:v>90</x:v>
      </x:c>
      <x:c r="F1239" s="18" t="n">
        <x:f>'Habilidades'!H78</x:f>
        <x:v>63</x:v>
      </x:c>
      <x:c r="G1239" s="18" t="n">
        <x:f>'Habilidades'!I78</x:f>
        <x:v>153</x:v>
      </x:c>
    </x:row>
    <x:row r="1240" ht="22" customHeight="1">
      <x:c r="A1240" s="17" t="n">
        <x:f>IF(B1240="","",IF(B1240=B1239,A1239,A1239+1))</x:f>
        <x:v>251</x:v>
      </x:c>
      <x:c r="B1240" s="1" t="str">
        <x:f>'Ranking'!C255</x:f>
        <x:v>Wartortle</x:v>
      </x:c>
      <x:c r="C1240" s="1" t="str">
        <x:f>'Habilidades'!D79</x:f>
        <x:v>Water Pulse</x:v>
      </x:c>
      <x:c r="D1240" s="1" t="str">
        <x:f>'Habilidades'!F79</x:f>
        <x:v>Especial</x:v>
      </x:c>
      <x:c r="E1240" s="18" t="n">
        <x:f>'Habilidades'!G79</x:f>
        <x:v>60</x:v>
      </x:c>
      <x:c r="F1240" s="18" t="n">
        <x:f>'Habilidades'!H79</x:f>
        <x:v>65</x:v>
      </x:c>
      <x:c r="G1240" s="18" t="n">
        <x:f>'Habilidades'!I79</x:f>
        <x:v>125</x:v>
      </x:c>
    </x:row>
    <x:row r="1241" ht="22" customHeight="1">
      <x:c r="A1241" s="19" t="n">
        <x:f>IF(B1241="","",IF(B1241=B1240,A1240,A1240+1))</x:f>
        <x:v>251</x:v>
      </x:c>
      <x:c r="B1241" s="20" t="str">
        <x:f>'Ranking'!C255</x:f>
        <x:v>Wartortle</x:v>
      </x:c>
      <x:c r="C1241" s="20" t="str">
        <x:f>'Habilidades'!D80</x:f>
        <x:v>Bite</x:v>
      </x:c>
      <x:c r="D1241" s="20" t="str">
        <x:f>'Habilidades'!F80</x:f>
        <x:v>Física</x:v>
      </x:c>
      <x:c r="E1241" s="21" t="n">
        <x:f>'Habilidades'!G80</x:f>
        <x:v>60</x:v>
      </x:c>
      <x:c r="F1241" s="21" t="n">
        <x:f>'Habilidades'!H80</x:f>
        <x:v>63</x:v>
      </x:c>
      <x:c r="G1241" s="21" t="n">
        <x:f>'Habilidades'!I80</x:f>
        <x:v>123</x:v>
      </x:c>
    </x:row>
    <x:row r="1242" ht="22" customHeight="1">
      <x:c r="A1242" s="17" t="n">
        <x:f>IF(B1242="","",IF(B1242=B1241,A1241,A1241+1))</x:f>
        <x:v>252</x:v>
      </x:c>
      <x:c r="B1242" s="1" t="str">
        <x:f>'Ranking'!C256</x:f>
        <x:v>Loudred</x:v>
      </x:c>
      <x:c r="C1242" s="1" t="str">
        <x:f>'Habilidades'!D2584</x:f>
        <x:v>Synchronoise</x:v>
      </x:c>
      <x:c r="D1242" s="1" t="str">
        <x:f>'Habilidades'!F2584</x:f>
        <x:v>Especial</x:v>
      </x:c>
      <x:c r="E1242" s="18" t="n">
        <x:f>'Habilidades'!G2584</x:f>
        <x:v>120</x:v>
      </x:c>
      <x:c r="F1242" s="18" t="n">
        <x:f>'Habilidades'!H2584</x:f>
        <x:v>71</x:v>
      </x:c>
      <x:c r="G1242" s="18" t="n">
        <x:f>'Habilidades'!I2584</x:f>
        <x:v>191</x:v>
      </x:c>
    </x:row>
    <x:row r="1243" ht="22" customHeight="1">
      <x:c r="A1243" s="17" t="n">
        <x:f>IF(B1243="","",IF(B1243=B1242,A1242,A1242+1))</x:f>
        <x:v>252</x:v>
      </x:c>
      <x:c r="B1243" s="1" t="str">
        <x:f>'Ranking'!C256</x:f>
        <x:v>Loudred</x:v>
      </x:c>
      <x:c r="C1243" s="1" t="str">
        <x:f>'Habilidades'!D2585</x:f>
        <x:v>Uproar</x:v>
      </x:c>
      <x:c r="D1243" s="1" t="str">
        <x:f>'Habilidades'!F2585</x:f>
        <x:v>Especial</x:v>
      </x:c>
      <x:c r="E1243" s="18" t="n">
        <x:f>'Habilidades'!G2585</x:f>
        <x:v>90</x:v>
      </x:c>
      <x:c r="F1243" s="18" t="n">
        <x:f>'Habilidades'!H2585</x:f>
        <x:v>71</x:v>
      </x:c>
      <x:c r="G1243" s="18" t="n">
        <x:f>'Habilidades'!I2585</x:f>
        <x:v>161</x:v>
      </x:c>
    </x:row>
    <x:row r="1244" ht="22" customHeight="1">
      <x:c r="A1244" s="17" t="n">
        <x:f>IF(B1244="","",IF(B1244=B1243,A1243,A1243+1))</x:f>
        <x:v>252</x:v>
      </x:c>
      <x:c r="B1244" s="1" t="str">
        <x:f>'Ranking'!C256</x:f>
        <x:v>Loudred</x:v>
      </x:c>
      <x:c r="C1244" s="1" t="str">
        <x:f>'Habilidades'!D2586</x:f>
        <x:v>Hyper Voice</x:v>
      </x:c>
      <x:c r="D1244" s="1" t="str">
        <x:f>'Habilidades'!F2586</x:f>
        <x:v>Especial</x:v>
      </x:c>
      <x:c r="E1244" s="18" t="n">
        <x:f>'Habilidades'!G2586</x:f>
        <x:v>90</x:v>
      </x:c>
      <x:c r="F1244" s="18" t="n">
        <x:f>'Habilidades'!H2586</x:f>
        <x:v>71</x:v>
      </x:c>
      <x:c r="G1244" s="18" t="n">
        <x:f>'Habilidades'!I2586</x:f>
        <x:v>161</x:v>
      </x:c>
    </x:row>
    <x:row r="1245" ht="22" customHeight="1">
      <x:c r="A1245" s="17" t="n">
        <x:f>IF(B1245="","",IF(B1245=B1244,A1244,A1244+1))</x:f>
        <x:v>252</x:v>
      </x:c>
      <x:c r="B1245" s="1" t="str">
        <x:f>'Ranking'!C256</x:f>
        <x:v>Loudred</x:v>
      </x:c>
      <x:c r="C1245" s="1" t="str">
        <x:f>'Habilidades'!D2587</x:f>
        <x:v>Stomp</x:v>
      </x:c>
      <x:c r="D1245" s="1" t="str">
        <x:f>'Habilidades'!F2587</x:f>
        <x:v>Física</x:v>
      </x:c>
      <x:c r="E1245" s="18" t="n">
        <x:f>'Habilidades'!G2587</x:f>
        <x:v>65</x:v>
      </x:c>
      <x:c r="F1245" s="18" t="n">
        <x:f>'Habilidades'!H2587</x:f>
        <x:v>71</x:v>
      </x:c>
      <x:c r="G1245" s="18" t="n">
        <x:f>'Habilidades'!I2587</x:f>
        <x:v>136</x:v>
      </x:c>
    </x:row>
    <x:row r="1246" ht="22" customHeight="1">
      <x:c r="A1246" s="19" t="n">
        <x:f>IF(B1246="","",IF(B1246=B1245,A1245,A1245+1))</x:f>
        <x:v>252</x:v>
      </x:c>
      <x:c r="B1246" s="20" t="str">
        <x:f>'Ranking'!C256</x:f>
        <x:v>Loudred</x:v>
      </x:c>
      <x:c r="C1246" s="20" t="str">
        <x:f>'Habilidades'!D2588</x:f>
        <x:v>Bite</x:v>
      </x:c>
      <x:c r="D1246" s="20" t="str">
        <x:f>'Habilidades'!F2588</x:f>
        <x:v>Física</x:v>
      </x:c>
      <x:c r="E1246" s="21" t="n">
        <x:f>'Habilidades'!G2588</x:f>
        <x:v>60</x:v>
      </x:c>
      <x:c r="F1246" s="21" t="n">
        <x:f>'Habilidades'!H2588</x:f>
        <x:v>71</x:v>
      </x:c>
      <x:c r="G1246" s="21" t="n">
        <x:f>'Habilidades'!I2588</x:f>
        <x:v>131</x:v>
      </x:c>
    </x:row>
    <x:row r="1247" ht="22" customHeight="1">
      <x:c r="A1247" s="17" t="n">
        <x:f>IF(B1247="","",IF(B1247=B1246,A1246,A1246+1))</x:f>
        <x:v>253</x:v>
      </x:c>
      <x:c r="B1247" s="1" t="str">
        <x:f>'Ranking'!C264</x:f>
        <x:v>Aron</x:v>
      </x:c>
      <x:c r="C1247" s="1" t="str">
        <x:f>'Habilidades'!D2640</x:f>
        <x:v>Double-Edge</x:v>
      </x:c>
      <x:c r="D1247" s="1" t="str">
        <x:f>'Habilidades'!F2640</x:f>
        <x:v>Física</x:v>
      </x:c>
      <x:c r="E1247" s="18" t="n">
        <x:f>'Habilidades'!G2640</x:f>
        <x:v>120</x:v>
      </x:c>
      <x:c r="F1247" s="18" t="n">
        <x:f>'Habilidades'!H2640</x:f>
        <x:v>70</x:v>
      </x:c>
      <x:c r="G1247" s="18" t="n">
        <x:f>'Habilidades'!I2640</x:f>
        <x:v>190</x:v>
      </x:c>
    </x:row>
    <x:row r="1248" ht="22" customHeight="1">
      <x:c r="A1248" s="17" t="n">
        <x:f>IF(B1248="","",IF(B1248=B1247,A1247,A1247+1))</x:f>
        <x:v>253</x:v>
      </x:c>
      <x:c r="B1248" s="1" t="str">
        <x:f>'Ranking'!C264</x:f>
        <x:v>Aron</x:v>
      </x:c>
      <x:c r="C1248" s="1" t="str">
        <x:f>'Habilidades'!D2641</x:f>
        <x:v>Metal Burst</x:v>
      </x:c>
      <x:c r="D1248" s="1" t="str">
        <x:f>'Habilidades'!F2641</x:f>
        <x:v>Física</x:v>
      </x:c>
      <x:c r="E1248" s="18" t="n">
        <x:f>'Habilidades'!G2641</x:f>
        <x:v>120</x:v>
      </x:c>
      <x:c r="F1248" s="18" t="n">
        <x:f>'Habilidades'!H2641</x:f>
        <x:v>70</x:v>
      </x:c>
      <x:c r="G1248" s="18" t="n">
        <x:f>'Habilidades'!I2641</x:f>
        <x:v>190</x:v>
      </x:c>
    </x:row>
    <x:row r="1249" ht="22" customHeight="1">
      <x:c r="A1249" s="17" t="n">
        <x:f>IF(B1249="","",IF(B1249=B1248,A1248,A1248+1))</x:f>
        <x:v>253</x:v>
      </x:c>
      <x:c r="B1249" s="1" t="str">
        <x:f>'Ranking'!C264</x:f>
        <x:v>Aron</x:v>
      </x:c>
      <x:c r="C1249" s="1" t="str">
        <x:f>'Habilidades'!D2642</x:f>
        <x:v>Iron Tail</x:v>
      </x:c>
      <x:c r="D1249" s="1" t="str">
        <x:f>'Habilidades'!F2642</x:f>
        <x:v>Física</x:v>
      </x:c>
      <x:c r="E1249" s="18" t="n">
        <x:f>'Habilidades'!G2642</x:f>
        <x:v>100</x:v>
      </x:c>
      <x:c r="F1249" s="18" t="n">
        <x:f>'Habilidades'!H2642</x:f>
        <x:v>70</x:v>
      </x:c>
      <x:c r="G1249" s="18" t="n">
        <x:f>'Habilidades'!I2642</x:f>
        <x:v>170</x:v>
      </x:c>
    </x:row>
    <x:row r="1250" ht="22" customHeight="1">
      <x:c r="A1250" s="17" t="n">
        <x:f>IF(B1250="","",IF(B1250=B1249,A1249,A1249+1))</x:f>
        <x:v>253</x:v>
      </x:c>
      <x:c r="B1250" s="1" t="str">
        <x:f>'Ranking'!C264</x:f>
        <x:v>Aron</x:v>
      </x:c>
      <x:c r="C1250" s="1" t="str">
        <x:f>'Habilidades'!D2643</x:f>
        <x:v>Take Down</x:v>
      </x:c>
      <x:c r="D1250" s="1" t="str">
        <x:f>'Habilidades'!F2643</x:f>
        <x:v>Física</x:v>
      </x:c>
      <x:c r="E1250" s="18" t="n">
        <x:f>'Habilidades'!G2643</x:f>
        <x:v>90</x:v>
      </x:c>
      <x:c r="F1250" s="18" t="n">
        <x:f>'Habilidades'!H2643</x:f>
        <x:v>70</x:v>
      </x:c>
      <x:c r="G1250" s="18" t="n">
        <x:f>'Habilidades'!I2643</x:f>
        <x:v>160</x:v>
      </x:c>
    </x:row>
    <x:row r="1251" ht="22" customHeight="1">
      <x:c r="A1251" s="19" t="n">
        <x:f>IF(B1251="","",IF(B1251=B1250,A1250,A1250+1))</x:f>
        <x:v>253</x:v>
      </x:c>
      <x:c r="B1251" s="20" t="str">
        <x:f>'Ranking'!C264</x:f>
        <x:v>Aron</x:v>
      </x:c>
      <x:c r="C1251" s="20" t="str">
        <x:f>'Habilidades'!D2644</x:f>
        <x:v>Iron Head</x:v>
      </x:c>
      <x:c r="D1251" s="20" t="str">
        <x:f>'Habilidades'!F2644</x:f>
        <x:v>Física</x:v>
      </x:c>
      <x:c r="E1251" s="21" t="n">
        <x:f>'Habilidades'!G2644</x:f>
        <x:v>80</x:v>
      </x:c>
      <x:c r="F1251" s="21" t="n">
        <x:f>'Habilidades'!H2644</x:f>
        <x:v>70</x:v>
      </x:c>
      <x:c r="G1251" s="21" t="n">
        <x:f>'Habilidades'!I2644</x:f>
        <x:v>150</x:v>
      </x:c>
    </x:row>
    <x:row r="1252" ht="22" customHeight="1">
      <x:c r="A1252" s="17" t="n">
        <x:f>IF(B1252="","",IF(B1252=B1251,A1251,A1251+1))</x:f>
        <x:v>254</x:v>
      </x:c>
      <x:c r="B1252" s="1" t="str">
        <x:f>'Ranking'!C263</x:f>
        <x:v>Dunsparce</x:v>
      </x:c>
      <x:c r="C1252" s="1" t="str">
        <x:f>'Habilidades'!D1901</x:f>
        <x:v>Double-Edge</x:v>
      </x:c>
      <x:c r="D1252" s="1" t="str">
        <x:f>'Habilidades'!F1901</x:f>
        <x:v>Física</x:v>
      </x:c>
      <x:c r="E1252" s="18" t="n">
        <x:f>'Habilidades'!G1901</x:f>
        <x:v>120</x:v>
      </x:c>
      <x:c r="F1252" s="18" t="n">
        <x:f>'Habilidades'!H1901</x:f>
        <x:v>70</x:v>
      </x:c>
      <x:c r="G1252" s="18" t="n">
        <x:f>'Habilidades'!I1901</x:f>
        <x:v>190</x:v>
      </x:c>
    </x:row>
    <x:row r="1253" ht="22" customHeight="1">
      <x:c r="A1253" s="17" t="n">
        <x:f>IF(B1253="","",IF(B1253=B1252,A1252,A1252+1))</x:f>
        <x:v>254</x:v>
      </x:c>
      <x:c r="B1253" s="1" t="str">
        <x:f>'Ranking'!C263</x:f>
        <x:v>Dunsparce</x:v>
      </x:c>
      <x:c r="C1253" s="1" t="str">
        <x:f>'Habilidades'!D1902</x:f>
        <x:v>Take Down</x:v>
      </x:c>
      <x:c r="D1253" s="1" t="str">
        <x:f>'Habilidades'!F1902</x:f>
        <x:v>Física</x:v>
      </x:c>
      <x:c r="E1253" s="18" t="n">
        <x:f>'Habilidades'!G1902</x:f>
        <x:v>90</x:v>
      </x:c>
      <x:c r="F1253" s="18" t="n">
        <x:f>'Habilidades'!H1902</x:f>
        <x:v>70</x:v>
      </x:c>
      <x:c r="G1253" s="18" t="n">
        <x:f>'Habilidades'!I1902</x:f>
        <x:v>160</x:v>
      </x:c>
    </x:row>
    <x:row r="1254" ht="22" customHeight="1">
      <x:c r="A1254" s="17" t="n">
        <x:f>IF(B1254="","",IF(B1254=B1253,A1253,A1253+1))</x:f>
        <x:v>254</x:v>
      </x:c>
      <x:c r="B1254" s="1" t="str">
        <x:f>'Ranking'!C263</x:f>
        <x:v>Dunsparce</x:v>
      </x:c>
      <x:c r="C1254" s="1" t="str">
        <x:f>'Habilidades'!D1903</x:f>
        <x:v>Dig</x:v>
      </x:c>
      <x:c r="D1254" s="1" t="str">
        <x:f>'Habilidades'!F1903</x:f>
        <x:v>Física</x:v>
      </x:c>
      <x:c r="E1254" s="18" t="n">
        <x:f>'Habilidades'!G1903</x:f>
        <x:v>80</x:v>
      </x:c>
      <x:c r="F1254" s="18" t="n">
        <x:f>'Habilidades'!H1903</x:f>
        <x:v>70</x:v>
      </x:c>
      <x:c r="G1254" s="18" t="n">
        <x:f>'Habilidades'!I1903</x:f>
        <x:v>150</x:v>
      </x:c>
    </x:row>
    <x:row r="1255" ht="22" customHeight="1">
      <x:c r="A1255" s="17" t="n">
        <x:f>IF(B1255="","",IF(B1255=B1254,A1254,A1254+1))</x:f>
        <x:v>254</x:v>
      </x:c>
      <x:c r="B1255" s="1" t="str">
        <x:f>'Ranking'!C263</x:f>
        <x:v>Dunsparce</x:v>
      </x:c>
      <x:c r="C1255" s="1" t="str">
        <x:f>'Habilidades'!D1904</x:f>
        <x:v>Drill Run</x:v>
      </x:c>
      <x:c r="D1255" s="1" t="str">
        <x:f>'Habilidades'!F1904</x:f>
        <x:v>Física</x:v>
      </x:c>
      <x:c r="E1255" s="18" t="n">
        <x:f>'Habilidades'!G1904</x:f>
        <x:v>80</x:v>
      </x:c>
      <x:c r="F1255" s="18" t="n">
        <x:f>'Habilidades'!H1904</x:f>
        <x:v>70</x:v>
      </x:c>
      <x:c r="G1255" s="18" t="n">
        <x:f>'Habilidades'!I1904</x:f>
        <x:v>150</x:v>
      </x:c>
    </x:row>
    <x:row r="1256" ht="22" customHeight="1">
      <x:c r="A1256" s="19" t="n">
        <x:f>IF(B1256="","",IF(B1256=B1255,A1255,A1255+1))</x:f>
        <x:v>254</x:v>
      </x:c>
      <x:c r="B1256" s="20" t="str">
        <x:f>'Ranking'!C263</x:f>
        <x:v>Dunsparce</x:v>
      </x:c>
      <x:c r="C1256" s="20" t="str">
        <x:f>'Habilidades'!D1905</x:f>
        <x:v>Ancient Power</x:v>
      </x:c>
      <x:c r="D1256" s="20" t="str">
        <x:f>'Habilidades'!F1905</x:f>
        <x:v>Especial</x:v>
      </x:c>
      <x:c r="E1256" s="21" t="n">
        <x:f>'Habilidades'!G1905</x:f>
        <x:v>60</x:v>
      </x:c>
      <x:c r="F1256" s="21" t="n">
        <x:f>'Habilidades'!H1905</x:f>
        <x:v>65</x:v>
      </x:c>
      <x:c r="G1256" s="21" t="n">
        <x:f>'Habilidades'!I1905</x:f>
        <x:v>125</x:v>
      </x:c>
    </x:row>
    <x:row r="1257" ht="22" customHeight="1">
      <x:c r="A1257" s="17" t="n">
        <x:f>IF(B1257="","",IF(B1257=B1256,A1256,A1256+1))</x:f>
        <x:v>255</x:v>
      </x:c>
      <x:c r="B1257" s="1" t="str">
        <x:f>'Ranking'!C260</x:f>
        <x:v>Flaaffy</x:v>
      </x:c>
      <x:c r="C1257" s="1" t="str">
        <x:f>'Habilidades'!D1696</x:f>
        <x:v>Thunder</x:v>
      </x:c>
      <x:c r="D1257" s="1" t="str">
        <x:f>'Habilidades'!F1696</x:f>
        <x:v>Especial</x:v>
      </x:c>
      <x:c r="E1257" s="18" t="n">
        <x:f>'Habilidades'!G1696</x:f>
        <x:v>110</x:v>
      </x:c>
      <x:c r="F1257" s="18" t="n">
        <x:f>'Habilidades'!H1696</x:f>
        <x:v>80</x:v>
      </x:c>
      <x:c r="G1257" s="18" t="n">
        <x:f>'Habilidades'!I1696</x:f>
        <x:v>190</x:v>
      </x:c>
    </x:row>
    <x:row r="1258" ht="22" customHeight="1">
      <x:c r="A1258" s="17" t="n">
        <x:f>IF(B1258="","",IF(B1258=B1257,A1257,A1257+1))</x:f>
        <x:v>255</x:v>
      </x:c>
      <x:c r="B1258" s="1" t="str">
        <x:f>'Ranking'!C260</x:f>
        <x:v>Flaaffy</x:v>
      </x:c>
      <x:c r="C1258" s="1" t="str">
        <x:f>'Habilidades'!D1697</x:f>
        <x:v>Power Gem</x:v>
      </x:c>
      <x:c r="D1258" s="1" t="str">
        <x:f>'Habilidades'!F1697</x:f>
        <x:v>Especial</x:v>
      </x:c>
      <x:c r="E1258" s="18" t="n">
        <x:f>'Habilidades'!G1697</x:f>
        <x:v>80</x:v>
      </x:c>
      <x:c r="F1258" s="18" t="n">
        <x:f>'Habilidades'!H1697</x:f>
        <x:v>80</x:v>
      </x:c>
      <x:c r="G1258" s="18" t="n">
        <x:f>'Habilidades'!I1697</x:f>
        <x:v>160</x:v>
      </x:c>
    </x:row>
    <x:row r="1259" ht="22" customHeight="1">
      <x:c r="A1259" s="17" t="n">
        <x:f>IF(B1259="","",IF(B1259=B1258,A1258,A1258+1))</x:f>
        <x:v>255</x:v>
      </x:c>
      <x:c r="B1259" s="1" t="str">
        <x:f>'Ranking'!C260</x:f>
        <x:v>Flaaffy</x:v>
      </x:c>
      <x:c r="C1259" s="1" t="str">
        <x:f>'Habilidades'!D1698</x:f>
        <x:v>Discharge</x:v>
      </x:c>
      <x:c r="D1259" s="1" t="str">
        <x:f>'Habilidades'!F1698</x:f>
        <x:v>Especial</x:v>
      </x:c>
      <x:c r="E1259" s="18" t="n">
        <x:f>'Habilidades'!G1698</x:f>
        <x:v>80</x:v>
      </x:c>
      <x:c r="F1259" s="18" t="n">
        <x:f>'Habilidades'!H1698</x:f>
        <x:v>80</x:v>
      </x:c>
      <x:c r="G1259" s="18" t="n">
        <x:f>'Habilidades'!I1698</x:f>
        <x:v>160</x:v>
      </x:c>
    </x:row>
    <x:row r="1260" ht="22" customHeight="1">
      <x:c r="A1260" s="17" t="n">
        <x:f>IF(B1260="","",IF(B1260=B1259,A1259,A1259+1))</x:f>
        <x:v>255</x:v>
      </x:c>
      <x:c r="B1260" s="1" t="str">
        <x:f>'Ranking'!C260</x:f>
        <x:v>Flaaffy</x:v>
      </x:c>
      <x:c r="C1260" s="1" t="str">
        <x:f>'Habilidades'!D1699</x:f>
        <x:v>Signal Beam</x:v>
      </x:c>
      <x:c r="D1260" s="1" t="str">
        <x:f>'Habilidades'!F1699</x:f>
        <x:v>Especial</x:v>
      </x:c>
      <x:c r="E1260" s="18" t="n">
        <x:f>'Habilidades'!G1699</x:f>
        <x:v>75</x:v>
      </x:c>
      <x:c r="F1260" s="18" t="n">
        <x:f>'Habilidades'!H1699</x:f>
        <x:v>80</x:v>
      </x:c>
      <x:c r="G1260" s="18" t="n">
        <x:f>'Habilidades'!I1699</x:f>
        <x:v>155</x:v>
      </x:c>
    </x:row>
    <x:row r="1261" ht="22" customHeight="1">
      <x:c r="A1261" s="19" t="n">
        <x:f>IF(B1261="","",IF(B1261=B1260,A1260,A1260+1))</x:f>
        <x:v>255</x:v>
      </x:c>
      <x:c r="B1261" s="20" t="str">
        <x:f>'Ranking'!C260</x:f>
        <x:v>Flaaffy</x:v>
      </x:c>
      <x:c r="C1261" s="20" t="str">
        <x:f>'Habilidades'!D1700</x:f>
        <x:v>Take Down</x:v>
      </x:c>
      <x:c r="D1261" s="20" t="str">
        <x:f>'Habilidades'!F1700</x:f>
        <x:v>Física</x:v>
      </x:c>
      <x:c r="E1261" s="21" t="n">
        <x:f>'Habilidades'!G1700</x:f>
        <x:v>90</x:v>
      </x:c>
      <x:c r="F1261" s="21" t="n">
        <x:f>'Habilidades'!H1700</x:f>
        <x:v>55</x:v>
      </x:c>
      <x:c r="G1261" s="21" t="n">
        <x:f>'Habilidades'!I1700</x:f>
        <x:v>145</x:v>
      </x:c>
    </x:row>
    <x:row r="1262" ht="22" customHeight="1">
      <x:c r="A1262" s="17" t="n">
        <x:f>IF(B1262="","",IF(B1262=B1261,A1261,A1261+1))</x:f>
        <x:v>256</x:v>
      </x:c>
      <x:c r="B1262" s="1" t="str">
        <x:f>'Ranking'!C258</x:f>
        <x:v>Gabite</x:v>
      </x:c>
      <x:c r="C1262" s="1" t="str">
        <x:f>'Habilidades'!D3223</x:f>
        <x:v>Dragon Rush</x:v>
      </x:c>
      <x:c r="D1262" s="1" t="str">
        <x:f>'Habilidades'!F3223</x:f>
        <x:v>Física</x:v>
      </x:c>
      <x:c r="E1262" s="18" t="n">
        <x:f>'Habilidades'!G3223</x:f>
        <x:v>100</x:v>
      </x:c>
      <x:c r="F1262" s="18" t="n">
        <x:f>'Habilidades'!H3223</x:f>
        <x:v>90</x:v>
      </x:c>
      <x:c r="G1262" s="18" t="n">
        <x:f>'Habilidades'!I3223</x:f>
        <x:v>190</x:v>
      </x:c>
    </x:row>
    <x:row r="1263" ht="22" customHeight="1">
      <x:c r="A1263" s="17" t="n">
        <x:f>IF(B1263="","",IF(B1263=B1262,A1262,A1262+1))</x:f>
        <x:v>256</x:v>
      </x:c>
      <x:c r="B1263" s="1" t="str">
        <x:f>'Ranking'!C258</x:f>
        <x:v>Gabite</x:v>
      </x:c>
      <x:c r="C1263" s="1" t="str">
        <x:f>'Habilidades'!D3224</x:f>
        <x:v>Take Down</x:v>
      </x:c>
      <x:c r="D1263" s="1" t="str">
        <x:f>'Habilidades'!F3224</x:f>
        <x:v>Física</x:v>
      </x:c>
      <x:c r="E1263" s="18" t="n">
        <x:f>'Habilidades'!G3224</x:f>
        <x:v>90</x:v>
      </x:c>
      <x:c r="F1263" s="18" t="n">
        <x:f>'Habilidades'!H3224</x:f>
        <x:v>90</x:v>
      </x:c>
      <x:c r="G1263" s="18" t="n">
        <x:f>'Habilidades'!I3224</x:f>
        <x:v>180</x:v>
      </x:c>
    </x:row>
    <x:row r="1264" ht="22" customHeight="1">
      <x:c r="A1264" s="17" t="n">
        <x:f>IF(B1264="","",IF(B1264=B1263,A1263,A1263+1))</x:f>
        <x:v>256</x:v>
      </x:c>
      <x:c r="B1264" s="1" t="str">
        <x:f>'Ranking'!C258</x:f>
        <x:v>Gabite</x:v>
      </x:c>
      <x:c r="C1264" s="1" t="str">
        <x:f>'Habilidades'!D3225</x:f>
        <x:v>Dragon Claw</x:v>
      </x:c>
      <x:c r="D1264" s="1" t="str">
        <x:f>'Habilidades'!F3225</x:f>
        <x:v>Física</x:v>
      </x:c>
      <x:c r="E1264" s="18" t="n">
        <x:f>'Habilidades'!G3225</x:f>
        <x:v>80</x:v>
      </x:c>
      <x:c r="F1264" s="18" t="n">
        <x:f>'Habilidades'!H3225</x:f>
        <x:v>90</x:v>
      </x:c>
      <x:c r="G1264" s="18" t="n">
        <x:f>'Habilidades'!I3225</x:f>
        <x:v>170</x:v>
      </x:c>
    </x:row>
    <x:row r="1265" ht="22" customHeight="1">
      <x:c r="A1265" s="17" t="n">
        <x:f>IF(B1265="","",IF(B1265=B1264,A1264,A1264+1))</x:f>
        <x:v>256</x:v>
      </x:c>
      <x:c r="B1265" s="1" t="str">
        <x:f>'Ranking'!C258</x:f>
        <x:v>Gabite</x:v>
      </x:c>
      <x:c r="C1265" s="1" t="str">
        <x:f>'Habilidades'!D3226</x:f>
        <x:v>Dig</x:v>
      </x:c>
      <x:c r="D1265" s="1" t="str">
        <x:f>'Habilidades'!F3226</x:f>
        <x:v>Física</x:v>
      </x:c>
      <x:c r="E1265" s="18" t="n">
        <x:f>'Habilidades'!G3226</x:f>
        <x:v>80</x:v>
      </x:c>
      <x:c r="F1265" s="18" t="n">
        <x:f>'Habilidades'!H3226</x:f>
        <x:v>90</x:v>
      </x:c>
      <x:c r="G1265" s="18" t="n">
        <x:f>'Habilidades'!I3226</x:f>
        <x:v>170</x:v>
      </x:c>
    </x:row>
    <x:row r="1266" ht="22" customHeight="1">
      <x:c r="A1266" s="19" t="n">
        <x:f>IF(B1266="","",IF(B1266=B1265,A1265,A1265+1))</x:f>
        <x:v>256</x:v>
      </x:c>
      <x:c r="B1266" s="20" t="str">
        <x:f>'Ranking'!C258</x:f>
        <x:v>Gabite</x:v>
      </x:c>
      <x:c r="C1266" s="20" t="str">
        <x:f>'Habilidades'!D3227</x:f>
        <x:v>Slash</x:v>
      </x:c>
      <x:c r="D1266" s="20" t="str">
        <x:f>'Habilidades'!F3227</x:f>
        <x:v>Física</x:v>
      </x:c>
      <x:c r="E1266" s="21" t="n">
        <x:f>'Habilidades'!G3227</x:f>
        <x:v>70</x:v>
      </x:c>
      <x:c r="F1266" s="21" t="n">
        <x:f>'Habilidades'!H3227</x:f>
        <x:v>90</x:v>
      </x:c>
      <x:c r="G1266" s="21" t="n">
        <x:f>'Habilidades'!I3227</x:f>
        <x:v>160</x:v>
      </x:c>
    </x:row>
    <x:row r="1267" ht="22" customHeight="1">
      <x:c r="A1267" s="17" t="n">
        <x:f>IF(B1267="","",IF(B1267=B1266,A1266,A1266+1))</x:f>
        <x:v>257</x:v>
      </x:c>
      <x:c r="B1267" s="1" t="str">
        <x:f>'Ranking'!C261</x:f>
        <x:v>Growlithe</x:v>
      </x:c>
      <x:c r="C1267" s="1" t="str">
        <x:f>'Habilidades'!D515</x:f>
        <x:v>Outrage</x:v>
      </x:c>
      <x:c r="D1267" s="1" t="str">
        <x:f>'Habilidades'!F515</x:f>
        <x:v>Física</x:v>
      </x:c>
      <x:c r="E1267" s="18" t="n">
        <x:f>'Habilidades'!G515</x:f>
        <x:v>120</x:v>
      </x:c>
      <x:c r="F1267" s="18" t="n">
        <x:f>'Habilidades'!H515</x:f>
        <x:v>70</x:v>
      </x:c>
      <x:c r="G1267" s="18" t="n">
        <x:f>'Habilidades'!I515</x:f>
        <x:v>190</x:v>
      </x:c>
    </x:row>
    <x:row r="1268" ht="22" customHeight="1">
      <x:c r="A1268" s="17" t="n">
        <x:f>IF(B1268="","",IF(B1268=B1267,A1267,A1267+1))</x:f>
        <x:v>257</x:v>
      </x:c>
      <x:c r="B1268" s="1" t="str">
        <x:f>'Ranking'!C261</x:f>
        <x:v>Growlithe</x:v>
      </x:c>
      <x:c r="C1268" s="1" t="str">
        <x:f>'Habilidades'!D516</x:f>
        <x:v>Flare Blitz</x:v>
      </x:c>
      <x:c r="D1268" s="1" t="str">
        <x:f>'Habilidades'!F516</x:f>
        <x:v>Física</x:v>
      </x:c>
      <x:c r="E1268" s="18" t="n">
        <x:f>'Habilidades'!G516</x:f>
        <x:v>120</x:v>
      </x:c>
      <x:c r="F1268" s="18" t="n">
        <x:f>'Habilidades'!H516</x:f>
        <x:v>70</x:v>
      </x:c>
      <x:c r="G1268" s="18" t="n">
        <x:f>'Habilidades'!I516</x:f>
        <x:v>190</x:v>
      </x:c>
    </x:row>
    <x:row r="1269" ht="22" customHeight="1">
      <x:c r="A1269" s="17" t="n">
        <x:f>IF(B1269="","",IF(B1269=B1268,A1268,A1268+1))</x:f>
        <x:v>257</x:v>
      </x:c>
      <x:c r="B1269" s="1" t="str">
        <x:f>'Ranking'!C261</x:f>
        <x:v>Growlithe</x:v>
      </x:c>
      <x:c r="C1269" s="1" t="str">
        <x:f>'Habilidades'!D517</x:f>
        <x:v>Heat Wave</x:v>
      </x:c>
      <x:c r="D1269" s="1" t="str">
        <x:f>'Habilidades'!F517</x:f>
        <x:v>Especial</x:v>
      </x:c>
      <x:c r="E1269" s="18" t="n">
        <x:f>'Habilidades'!G517</x:f>
        <x:v>95</x:v>
      </x:c>
      <x:c r="F1269" s="18" t="n">
        <x:f>'Habilidades'!H517</x:f>
        <x:v>70</x:v>
      </x:c>
      <x:c r="G1269" s="18" t="n">
        <x:f>'Habilidades'!I517</x:f>
        <x:v>165</x:v>
      </x:c>
    </x:row>
    <x:row r="1270" ht="22" customHeight="1">
      <x:c r="A1270" s="17" t="n">
        <x:f>IF(B1270="","",IF(B1270=B1269,A1269,A1269+1))</x:f>
        <x:v>257</x:v>
      </x:c>
      <x:c r="B1270" s="1" t="str">
        <x:f>'Ranking'!C261</x:f>
        <x:v>Growlithe</x:v>
      </x:c>
      <x:c r="C1270" s="1" t="str">
        <x:f>'Habilidades'!D518</x:f>
        <x:v>Take Down</x:v>
      </x:c>
      <x:c r="D1270" s="1" t="str">
        <x:f>'Habilidades'!F518</x:f>
        <x:v>Física</x:v>
      </x:c>
      <x:c r="E1270" s="18" t="n">
        <x:f>'Habilidades'!G518</x:f>
        <x:v>90</x:v>
      </x:c>
      <x:c r="F1270" s="18" t="n">
        <x:f>'Habilidades'!H518</x:f>
        <x:v>70</x:v>
      </x:c>
      <x:c r="G1270" s="18" t="n">
        <x:f>'Habilidades'!I518</x:f>
        <x:v>160</x:v>
      </x:c>
    </x:row>
    <x:row r="1271" ht="22" customHeight="1">
      <x:c r="A1271" s="19" t="n">
        <x:f>IF(B1271="","",IF(B1271=B1270,A1270,A1270+1))</x:f>
        <x:v>257</x:v>
      </x:c>
      <x:c r="B1271" s="20" t="str">
        <x:f>'Ranking'!C261</x:f>
        <x:v>Growlithe</x:v>
      </x:c>
      <x:c r="C1271" s="20" t="str">
        <x:f>'Habilidades'!D519</x:f>
        <x:v>Flamethrower</x:v>
      </x:c>
      <x:c r="D1271" s="20" t="str">
        <x:f>'Habilidades'!F519</x:f>
        <x:v>Especial</x:v>
      </x:c>
      <x:c r="E1271" s="21" t="n">
        <x:f>'Habilidades'!G519</x:f>
        <x:v>90</x:v>
      </x:c>
      <x:c r="F1271" s="21" t="n">
        <x:f>'Habilidades'!H519</x:f>
        <x:v>70</x:v>
      </x:c>
      <x:c r="G1271" s="21" t="n">
        <x:f>'Habilidades'!I519</x:f>
        <x:v>160</x:v>
      </x:c>
    </x:row>
    <x:row r="1272" ht="22" customHeight="1">
      <x:c r="A1272" s="17" t="n">
        <x:f>IF(B1272="","",IF(B1272=B1271,A1271,A1271+1))</x:f>
        <x:v>258</x:v>
      </x:c>
      <x:c r="B1272" s="1" t="str">
        <x:f>'Ranking'!C265</x:f>
        <x:v>Medicham</x:v>
      </x:c>
      <x:c r="C1272" s="1" t="str">
        <x:f>'Habilidades'!D2681</x:f>
        <x:v>High Jump Kick</x:v>
      </x:c>
      <x:c r="D1272" s="1" t="str">
        <x:f>'Habilidades'!F2681</x:f>
        <x:v>Física</x:v>
      </x:c>
      <x:c r="E1272" s="18" t="n">
        <x:f>'Habilidades'!G2681</x:f>
        <x:v>130</x:v>
      </x:c>
      <x:c r="F1272" s="18" t="n">
        <x:f>'Habilidades'!H2681</x:f>
        <x:v>60</x:v>
      </x:c>
      <x:c r="G1272" s="18" t="n">
        <x:f>'Habilidades'!I2681</x:f>
        <x:v>190</x:v>
      </x:c>
    </x:row>
    <x:row r="1273" ht="22" customHeight="1">
      <x:c r="A1273" s="17" t="n">
        <x:f>IF(B1273="","",IF(B1273=B1272,A1272,A1272+1))</x:f>
        <x:v>258</x:v>
      </x:c>
      <x:c r="B1273" s="1" t="str">
        <x:f>'Ranking'!C265</x:f>
        <x:v>Medicham</x:v>
      </x:c>
      <x:c r="C1273" s="1" t="str">
        <x:f>'Habilidades'!D2682</x:f>
        <x:v>Zen Headbutt</x:v>
      </x:c>
      <x:c r="D1273" s="1" t="str">
        <x:f>'Habilidades'!F2682</x:f>
        <x:v>Física</x:v>
      </x:c>
      <x:c r="E1273" s="18" t="n">
        <x:f>'Habilidades'!G2682</x:f>
        <x:v>80</x:v>
      </x:c>
      <x:c r="F1273" s="18" t="n">
        <x:f>'Habilidades'!H2682</x:f>
        <x:v>60</x:v>
      </x:c>
      <x:c r="G1273" s="18" t="n">
        <x:f>'Habilidades'!I2682</x:f>
        <x:v>140</x:v>
      </x:c>
    </x:row>
    <x:row r="1274" ht="22" customHeight="1">
      <x:c r="A1274" s="17" t="n">
        <x:f>IF(B1274="","",IF(B1274=B1273,A1273,A1273+1))</x:f>
        <x:v>258</x:v>
      </x:c>
      <x:c r="B1274" s="1" t="str">
        <x:f>'Ranking'!C265</x:f>
        <x:v>Medicham</x:v>
      </x:c>
      <x:c r="C1274" s="1" t="str">
        <x:f>'Habilidades'!D2683</x:f>
        <x:v>Thunder Punch</x:v>
      </x:c>
      <x:c r="D1274" s="1" t="str">
        <x:f>'Habilidades'!F2683</x:f>
        <x:v>Física</x:v>
      </x:c>
      <x:c r="E1274" s="18" t="n">
        <x:f>'Habilidades'!G2683</x:f>
        <x:v>75</x:v>
      </x:c>
      <x:c r="F1274" s="18" t="n">
        <x:f>'Habilidades'!H2683</x:f>
        <x:v>60</x:v>
      </x:c>
      <x:c r="G1274" s="18" t="n">
        <x:f>'Habilidades'!I2683</x:f>
        <x:v>135</x:v>
      </x:c>
    </x:row>
    <x:row r="1275" ht="22" customHeight="1">
      <x:c r="A1275" s="17" t="n">
        <x:f>IF(B1275="","",IF(B1275=B1274,A1274,A1274+1))</x:f>
        <x:v>258</x:v>
      </x:c>
      <x:c r="B1275" s="1" t="str">
        <x:f>'Ranking'!C265</x:f>
        <x:v>Medicham</x:v>
      </x:c>
      <x:c r="C1275" s="1" t="str">
        <x:f>'Habilidades'!D2684</x:f>
        <x:v>Fire Punch</x:v>
      </x:c>
      <x:c r="D1275" s="1" t="str">
        <x:f>'Habilidades'!F2684</x:f>
        <x:v>Física</x:v>
      </x:c>
      <x:c r="E1275" s="18" t="n">
        <x:f>'Habilidades'!G2684</x:f>
        <x:v>75</x:v>
      </x:c>
      <x:c r="F1275" s="18" t="n">
        <x:f>'Habilidades'!H2684</x:f>
        <x:v>60</x:v>
      </x:c>
      <x:c r="G1275" s="18" t="n">
        <x:f>'Habilidades'!I2684</x:f>
        <x:v>135</x:v>
      </x:c>
    </x:row>
    <x:row r="1276" ht="22" customHeight="1">
      <x:c r="A1276" s="19" t="n">
        <x:f>IF(B1276="","",IF(B1276=B1275,A1275,A1275+1))</x:f>
        <x:v>258</x:v>
      </x:c>
      <x:c r="B1276" s="20" t="str">
        <x:f>'Ranking'!C265</x:f>
        <x:v>Medicham</x:v>
      </x:c>
      <x:c r="C1276" s="20" t="str">
        <x:f>'Habilidades'!D2685</x:f>
        <x:v>Ice Punch</x:v>
      </x:c>
      <x:c r="D1276" s="20" t="str">
        <x:f>'Habilidades'!F2685</x:f>
        <x:v>Física</x:v>
      </x:c>
      <x:c r="E1276" s="21" t="n">
        <x:f>'Habilidades'!G2685</x:f>
        <x:v>75</x:v>
      </x:c>
      <x:c r="F1276" s="21" t="n">
        <x:f>'Habilidades'!H2685</x:f>
        <x:v>60</x:v>
      </x:c>
      <x:c r="G1276" s="21" t="n">
        <x:f>'Habilidades'!I2685</x:f>
        <x:v>135</x:v>
      </x:c>
    </x:row>
    <x:row r="1277" ht="22" customHeight="1">
      <x:c r="A1277" s="17" t="n">
        <x:f>IF(B1277="","",IF(B1277=B1276,A1276,A1276+1))</x:f>
        <x:v>259</x:v>
      </x:c>
      <x:c r="B1277" s="1" t="str">
        <x:f>'Ranking'!C262</x:f>
        <x:v>Natu</x:v>
      </x:c>
      <x:c r="C1277" s="1" t="str">
        <x:f>'Habilidades'!D1676</x:f>
        <x:v>Future Sight</x:v>
      </x:c>
      <x:c r="D1277" s="1" t="str">
        <x:f>'Habilidades'!F1676</x:f>
        <x:v>Especial</x:v>
      </x:c>
      <x:c r="E1277" s="18" t="n">
        <x:f>'Habilidades'!G1676</x:f>
        <x:v>120</x:v>
      </x:c>
      <x:c r="F1277" s="18" t="n">
        <x:f>'Habilidades'!H1676</x:f>
        <x:v>70</x:v>
      </x:c>
      <x:c r="G1277" s="18" t="n">
        <x:f>'Habilidades'!I1676</x:f>
        <x:v>190</x:v>
      </x:c>
    </x:row>
    <x:row r="1278" ht="22" customHeight="1">
      <x:c r="A1278" s="17" t="n">
        <x:f>IF(B1278="","",IF(B1278=B1277,A1277,A1277+1))</x:f>
        <x:v>259</x:v>
      </x:c>
      <x:c r="B1278" s="1" t="str">
        <x:f>'Ranking'!C262</x:f>
        <x:v>Natu</x:v>
      </x:c>
      <x:c r="C1278" s="1" t="str">
        <x:f>'Habilidades'!D1677</x:f>
        <x:v>Psychic</x:v>
      </x:c>
      <x:c r="D1278" s="1" t="str">
        <x:f>'Habilidades'!F1677</x:f>
        <x:v>Especial</x:v>
      </x:c>
      <x:c r="E1278" s="18" t="n">
        <x:f>'Habilidades'!G1677</x:f>
        <x:v>90</x:v>
      </x:c>
      <x:c r="F1278" s="18" t="n">
        <x:f>'Habilidades'!H1677</x:f>
        <x:v>70</x:v>
      </x:c>
      <x:c r="G1278" s="18" t="n">
        <x:f>'Habilidades'!I1677</x:f>
        <x:v>160</x:v>
      </x:c>
    </x:row>
    <x:row r="1279" ht="22" customHeight="1">
      <x:c r="A1279" s="17" t="n">
        <x:f>IF(B1279="","",IF(B1279=B1278,A1278,A1278+1))</x:f>
        <x:v>259</x:v>
      </x:c>
      <x:c r="B1279" s="1" t="str">
        <x:f>'Ranking'!C262</x:f>
        <x:v>Natu</x:v>
      </x:c>
      <x:c r="C1279" s="1" t="str">
        <x:f>'Habilidades'!D1678</x:f>
        <x:v>Ominous Wind</x:v>
      </x:c>
      <x:c r="D1279" s="1" t="str">
        <x:f>'Habilidades'!F1678</x:f>
        <x:v>Especial</x:v>
      </x:c>
      <x:c r="E1279" s="18" t="n">
        <x:f>'Habilidades'!G1678</x:f>
        <x:v>60</x:v>
      </x:c>
      <x:c r="F1279" s="18" t="n">
        <x:f>'Habilidades'!H1678</x:f>
        <x:v>70</x:v>
      </x:c>
      <x:c r="G1279" s="18" t="n">
        <x:f>'Habilidades'!I1678</x:f>
        <x:v>130</x:v>
      </x:c>
    </x:row>
    <x:row r="1280" ht="22" customHeight="1">
      <x:c r="A1280" s="17" t="n">
        <x:f>IF(B1280="","",IF(B1280=B1279,A1279,A1279+1))</x:f>
        <x:v>259</x:v>
      </x:c>
      <x:c r="B1280" s="1" t="str">
        <x:f>'Ranking'!C262</x:f>
        <x:v>Natu</x:v>
      </x:c>
      <x:c r="C1280" s="1" t="str">
        <x:f>'Habilidades'!D1679</x:f>
        <x:v>Stored Power</x:v>
      </x:c>
      <x:c r="D1280" s="1" t="str">
        <x:f>'Habilidades'!F1679</x:f>
        <x:v>Especial</x:v>
      </x:c>
      <x:c r="E1280" s="18" t="n">
        <x:f>'Habilidades'!G1679</x:f>
        <x:v>20</x:v>
      </x:c>
      <x:c r="F1280" s="18" t="n">
        <x:f>'Habilidades'!H1679</x:f>
        <x:v>70</x:v>
      </x:c>
      <x:c r="G1280" s="18" t="n">
        <x:f>'Habilidades'!I1679</x:f>
        <x:v>90</x:v>
      </x:c>
    </x:row>
    <x:row r="1281" ht="22" customHeight="1">
      <x:c r="A1281" s="19" t="n">
        <x:f>IF(B1281="","",IF(B1281=B1280,A1280,A1280+1))</x:f>
        <x:v>259</x:v>
      </x:c>
      <x:c r="B1281" s="20" t="str">
        <x:f>'Ranking'!C262</x:f>
        <x:v>Natu</x:v>
      </x:c>
      <x:c r="C1281" s="20" t="str">
        <x:f>'Habilidades'!D1680</x:f>
        <x:v>Peck</x:v>
      </x:c>
      <x:c r="D1281" s="20" t="str">
        <x:f>'Habilidades'!F1680</x:f>
        <x:v>Física</x:v>
      </x:c>
      <x:c r="E1281" s="21" t="n">
        <x:f>'Habilidades'!G1680</x:f>
        <x:v>35</x:v>
      </x:c>
      <x:c r="F1281" s="21" t="n">
        <x:f>'Habilidades'!H1680</x:f>
        <x:v>50</x:v>
      </x:c>
      <x:c r="G1281" s="21" t="n">
        <x:f>'Habilidades'!I1680</x:f>
        <x:v>85</x:v>
      </x:c>
    </x:row>
    <x:row r="1282" ht="22" customHeight="1">
      <x:c r="A1282" s="17" t="n">
        <x:f>IF(B1282="","",IF(B1282=B1281,A1281,A1281+1))</x:f>
        <x:v>260</x:v>
      </x:c>
      <x:c r="B1282" s="1" t="str">
        <x:f>'Ranking'!C257</x:f>
        <x:v>Weavile</x:v>
      </x:c>
      <x:c r="C1282" s="1" t="str">
        <x:f>'Habilidades'!D3272</x:f>
        <x:v>Night Slash</x:v>
      </x:c>
      <x:c r="D1282" s="1" t="str">
        <x:f>'Habilidades'!F3272</x:f>
        <x:v>Física</x:v>
      </x:c>
      <x:c r="E1282" s="18" t="n">
        <x:f>'Habilidades'!G3272</x:f>
        <x:v>70</x:v>
      </x:c>
      <x:c r="F1282" s="18" t="n">
        <x:f>'Habilidades'!H3272</x:f>
        <x:v>120</x:v>
      </x:c>
      <x:c r="G1282" s="18" t="n">
        <x:f>'Habilidades'!I3272</x:f>
        <x:v>190</x:v>
      </x:c>
    </x:row>
    <x:row r="1283" ht="22" customHeight="1">
      <x:c r="A1283" s="17" t="n">
        <x:f>IF(B1283="","",IF(B1283=B1282,A1282,A1282+1))</x:f>
        <x:v>260</x:v>
      </x:c>
      <x:c r="B1283" s="1" t="str">
        <x:f>'Ranking'!C257</x:f>
        <x:v>Weavile</x:v>
      </x:c>
      <x:c r="C1283" s="1" t="str">
        <x:f>'Habilidades'!D3273</x:f>
        <x:v>Revenge</x:v>
      </x:c>
      <x:c r="D1283" s="1" t="str">
        <x:f>'Habilidades'!F3273</x:f>
        <x:v>Física</x:v>
      </x:c>
      <x:c r="E1283" s="18" t="n">
        <x:f>'Habilidades'!G3273</x:f>
        <x:v>60</x:v>
      </x:c>
      <x:c r="F1283" s="18" t="n">
        <x:f>'Habilidades'!H3273</x:f>
        <x:v>120</x:v>
      </x:c>
      <x:c r="G1283" s="18" t="n">
        <x:f>'Habilidades'!I3273</x:f>
        <x:v>180</x:v>
      </x:c>
    </x:row>
    <x:row r="1284" ht="22" customHeight="1">
      <x:c r="A1284" s="17" t="n">
        <x:f>IF(B1284="","",IF(B1284=B1283,A1283,A1283+1))</x:f>
        <x:v>260</x:v>
      </x:c>
      <x:c r="B1284" s="1" t="str">
        <x:f>'Ranking'!C257</x:f>
        <x:v>Weavile</x:v>
      </x:c>
      <x:c r="C1284" s="1" t="str">
        <x:f>'Habilidades'!D3274</x:f>
        <x:v>Assurance</x:v>
      </x:c>
      <x:c r="D1284" s="1" t="str">
        <x:f>'Habilidades'!F3274</x:f>
        <x:v>Física</x:v>
      </x:c>
      <x:c r="E1284" s="18" t="n">
        <x:f>'Habilidades'!G3274</x:f>
        <x:v>60</x:v>
      </x:c>
      <x:c r="F1284" s="18" t="n">
        <x:f>'Habilidades'!H3274</x:f>
        <x:v>120</x:v>
      </x:c>
      <x:c r="G1284" s="18" t="n">
        <x:f>'Habilidades'!I3274</x:f>
        <x:v>180</x:v>
      </x:c>
    </x:row>
    <x:row r="1285" ht="22" customHeight="1">
      <x:c r="A1285" s="17" t="n">
        <x:f>IF(B1285="","",IF(B1285=B1284,A1284,A1284+1))</x:f>
        <x:v>260</x:v>
      </x:c>
      <x:c r="B1285" s="1" t="str">
        <x:f>'Ranking'!C257</x:f>
        <x:v>Weavile</x:v>
      </x:c>
      <x:c r="C1285" s="1" t="str">
        <x:f>'Habilidades'!D3275</x:f>
        <x:v>Feint Attack</x:v>
      </x:c>
      <x:c r="D1285" s="1" t="str">
        <x:f>'Habilidades'!F3275</x:f>
        <x:v>Física</x:v>
      </x:c>
      <x:c r="E1285" s="18" t="n">
        <x:f>'Habilidades'!G3275</x:f>
        <x:v>60</x:v>
      </x:c>
      <x:c r="F1285" s="18" t="n">
        <x:f>'Habilidades'!H3275</x:f>
        <x:v>120</x:v>
      </x:c>
      <x:c r="G1285" s="18" t="n">
        <x:f>'Habilidades'!I3275</x:f>
        <x:v>180</x:v>
      </x:c>
    </x:row>
    <x:row r="1286" ht="22" customHeight="1">
      <x:c r="A1286" s="19" t="n">
        <x:f>IF(B1286="","",IF(B1286=B1285,A1285,A1285+1))</x:f>
        <x:v>260</x:v>
      </x:c>
      <x:c r="B1286" s="20" t="str">
        <x:f>'Ranking'!C257</x:f>
        <x:v>Weavile</x:v>
      </x:c>
      <x:c r="C1286" s="20" t="str">
        <x:f>'Habilidades'!D3280</x:f>
        <x:v>Dark Pulse</x:v>
      </x:c>
      <x:c r="D1286" s="20" t="str">
        <x:f>'Habilidades'!F3280</x:f>
        <x:v>Especial</x:v>
      </x:c>
      <x:c r="E1286" s="21" t="n">
        <x:f>'Habilidades'!G3280</x:f>
        <x:v>80</x:v>
      </x:c>
      <x:c r="F1286" s="21" t="n">
        <x:f>'Habilidades'!H3280</x:f>
        <x:v>45</x:v>
      </x:c>
      <x:c r="G1286" s="21" t="n">
        <x:f>'Habilidades'!I3280</x:f>
        <x:v>125</x:v>
      </x:c>
    </x:row>
    <x:row r="1287" ht="22" customHeight="1">
      <x:c r="A1287" s="17" t="n">
        <x:f>IF(B1287="","",IF(B1287=B1286,A1286,A1286+1))</x:f>
        <x:v>261</x:v>
      </x:c>
      <x:c r="B1287" s="1" t="str">
        <x:f>'Ranking'!C259</x:f>
        <x:v>Wigglytuff</x:v>
      </x:c>
      <x:c r="C1287" s="1" t="str">
        <x:f>'Habilidades'!D335</x:f>
        <x:v>Double-Edge</x:v>
      </x:c>
      <x:c r="D1287" s="1" t="str">
        <x:f>'Habilidades'!F335</x:f>
        <x:v>Física</x:v>
      </x:c>
      <x:c r="E1287" s="18" t="n">
        <x:f>'Habilidades'!G335</x:f>
        <x:v>120</x:v>
      </x:c>
      <x:c r="F1287" s="18" t="n">
        <x:f>'Habilidades'!H335</x:f>
        <x:v>70</x:v>
      </x:c>
      <x:c r="G1287" s="18" t="n">
        <x:f>'Habilidades'!I335</x:f>
        <x:v>190</x:v>
      </x:c>
    </x:row>
    <x:row r="1288" ht="22" customHeight="1">
      <x:c r="A1288" s="17" t="n">
        <x:f>IF(B1288="","",IF(B1288=B1287,A1287,A1287+1))</x:f>
        <x:v>261</x:v>
      </x:c>
      <x:c r="B1288" s="1" t="str">
        <x:f>'Ranking'!C259</x:f>
        <x:v>Wigglytuff</x:v>
      </x:c>
      <x:c r="C1288" s="1" t="str">
        <x:f>'Habilidades'!D336</x:f>
        <x:v>Play Rough</x:v>
      </x:c>
      <x:c r="D1288" s="1" t="str">
        <x:f>'Habilidades'!F336</x:f>
        <x:v>Física</x:v>
      </x:c>
      <x:c r="E1288" s="18" t="n">
        <x:f>'Habilidades'!G336</x:f>
        <x:v>90</x:v>
      </x:c>
      <x:c r="F1288" s="18" t="n">
        <x:f>'Habilidades'!H336</x:f>
        <x:v>70</x:v>
      </x:c>
      <x:c r="G1288" s="18" t="n">
        <x:f>'Habilidades'!I336</x:f>
        <x:v>160</x:v>
      </x:c>
    </x:row>
    <x:row r="1289" ht="22" customHeight="1">
      <x:c r="A1289" s="17" t="n">
        <x:f>IF(B1289="","",IF(B1289=B1288,A1288,A1288+1))</x:f>
        <x:v>261</x:v>
      </x:c>
      <x:c r="B1289" s="1" t="str">
        <x:f>'Ranking'!C259</x:f>
        <x:v>Wigglytuff</x:v>
      </x:c>
      <x:c r="C1289" s="1" t="str">
        <x:f>'Habilidades'!D337</x:f>
        <x:v>Double Slap</x:v>
      </x:c>
      <x:c r="D1289" s="1" t="str">
        <x:f>'Habilidades'!F337</x:f>
        <x:v>Física</x:v>
      </x:c>
      <x:c r="E1289" s="18" t="n">
        <x:f>'Habilidades'!G337</x:f>
        <x:v>15</x:v>
      </x:c>
      <x:c r="F1289" s="18" t="n">
        <x:f>'Habilidades'!H337</x:f>
        <x:v>70</x:v>
      </x:c>
      <x:c r="G1289" s="18" t="n">
        <x:f>'Habilidades'!I337</x:f>
        <x:v>85</x:v>
      </x:c>
    </x:row>
    <x:row r="1290" ht="22" customHeight="1">
      <x:c r="A1290" s="17" t="n">
        <x:f>IF(B1290="","",IF(B1290=B1289,A1289,A1289+1))</x:f>
        <x:v>261</x:v>
      </x:c>
      <x:c r="B1290" s="1" t="str">
        <x:f>'Ranking'!C259</x:f>
        <x:v>Wigglytuff</x:v>
      </x:c>
      <x:c r="C1290" s="1" t="str">
        <x:f>'Habilidades'!D338</x:f>
        <x:v>Defense Curl</x:v>
      </x:c>
      <x:c r="D1290" s="1" t="str">
        <x:f>'Habilidades'!F338</x:f>
        <x:v>Status</x:v>
      </x:c>
      <x:c r="E1290" s="18" t="n">
        <x:f>'Habilidades'!G338</x:f>
        <x:v>0</x:v>
      </x:c>
      <x:c r="F1290" s="18" t="str">
        <x:f>'Habilidades'!H338</x:f>
      </x:c>
      <x:c r="G1290" s="18" t="str">
        <x:f>'Habilidades'!I338</x:f>
      </x:c>
    </x:row>
    <x:row r="1291" ht="22" customHeight="1">
      <x:c r="A1291" s="19" t="n">
        <x:f>IF(B1291="","",IF(B1291=B1290,A1290,A1290+1))</x:f>
        <x:v>261</x:v>
      </x:c>
      <x:c r="B1291" s="20" t="str">
        <x:f>'Ranking'!C259</x:f>
        <x:v>Wigglytuff</x:v>
      </x:c>
      <x:c r="C1291" s="20" t="str">
        <x:f>'Habilidades'!D339</x:f>
        <x:v>Sing</x:v>
      </x:c>
      <x:c r="D1291" s="20" t="str">
        <x:f>'Habilidades'!F339</x:f>
        <x:v>Status</x:v>
      </x:c>
      <x:c r="E1291" s="21" t="n">
        <x:f>'Habilidades'!G339</x:f>
        <x:v>0</x:v>
      </x:c>
      <x:c r="F1291" s="21" t="str">
        <x:f>'Habilidades'!H339</x:f>
      </x:c>
      <x:c r="G1291" s="21" t="str">
        <x:f>'Habilidades'!I339</x:f>
      </x:c>
    </x:row>
    <x:row r="1292" ht="22" customHeight="1">
      <x:c r="A1292" s="17" t="n">
        <x:f>IF(B1292="","",IF(B1292=B1291,A1291,A1291+1))</x:f>
        <x:v>262</x:v>
      </x:c>
      <x:c r="B1292" s="1" t="str">
        <x:f>'Ranking'!C267</x:f>
        <x:v>Goldeen</x:v>
      </x:c>
      <x:c r="C1292" s="1" t="str">
        <x:f>'Habilidades'!D1122</x:f>
        <x:v>Megahorn</x:v>
      </x:c>
      <x:c r="D1292" s="1" t="str">
        <x:f>'Habilidades'!F1122</x:f>
        <x:v>Física</x:v>
      </x:c>
      <x:c r="E1292" s="18" t="n">
        <x:f>'Habilidades'!G1122</x:f>
        <x:v>120</x:v>
      </x:c>
      <x:c r="F1292" s="18" t="n">
        <x:f>'Habilidades'!H1122</x:f>
        <x:v>67</x:v>
      </x:c>
      <x:c r="G1292" s="18" t="n">
        <x:f>'Habilidades'!I1122</x:f>
        <x:v>187</x:v>
      </x:c>
    </x:row>
    <x:row r="1293" ht="22" customHeight="1">
      <x:c r="A1293" s="17" t="n">
        <x:f>IF(B1293="","",IF(B1293=B1292,A1292,A1292+1))</x:f>
        <x:v>262</x:v>
      </x:c>
      <x:c r="B1293" s="1" t="str">
        <x:f>'Ranking'!C267</x:f>
        <x:v>Goldeen</x:v>
      </x:c>
      <x:c r="C1293" s="1" t="str">
        <x:f>'Habilidades'!D1123</x:f>
        <x:v>Waterfall</x:v>
      </x:c>
      <x:c r="D1293" s="1" t="str">
        <x:f>'Habilidades'!F1123</x:f>
        <x:v>Física</x:v>
      </x:c>
      <x:c r="E1293" s="18" t="n">
        <x:f>'Habilidades'!G1123</x:f>
        <x:v>80</x:v>
      </x:c>
      <x:c r="F1293" s="18" t="n">
        <x:f>'Habilidades'!H1123</x:f>
        <x:v>67</x:v>
      </x:c>
      <x:c r="G1293" s="18" t="n">
        <x:f>'Habilidades'!I1123</x:f>
        <x:v>147</x:v>
      </x:c>
    </x:row>
    <x:row r="1294" ht="22" customHeight="1">
      <x:c r="A1294" s="17" t="n">
        <x:f>IF(B1294="","",IF(B1294=B1293,A1293,A1293+1))</x:f>
        <x:v>262</x:v>
      </x:c>
      <x:c r="B1294" s="1" t="str">
        <x:f>'Ranking'!C267</x:f>
        <x:v>Goldeen</x:v>
      </x:c>
      <x:c r="C1294" s="1" t="str">
        <x:f>'Habilidades'!D1124</x:f>
        <x:v>Horn Attack</x:v>
      </x:c>
      <x:c r="D1294" s="1" t="str">
        <x:f>'Habilidades'!F1124</x:f>
        <x:v>Física</x:v>
      </x:c>
      <x:c r="E1294" s="18" t="n">
        <x:f>'Habilidades'!G1124</x:f>
        <x:v>65</x:v>
      </x:c>
      <x:c r="F1294" s="18" t="n">
        <x:f>'Habilidades'!H1124</x:f>
        <x:v>67</x:v>
      </x:c>
      <x:c r="G1294" s="18" t="n">
        <x:f>'Habilidades'!I1124</x:f>
        <x:v>132</x:v>
      </x:c>
    </x:row>
    <x:row r="1295" ht="22" customHeight="1">
      <x:c r="A1295" s="17" t="n">
        <x:f>IF(B1295="","",IF(B1295=B1294,A1294,A1294+1))</x:f>
        <x:v>262</x:v>
      </x:c>
      <x:c r="B1295" s="1" t="str">
        <x:f>'Ranking'!C267</x:f>
        <x:v>Goldeen</x:v>
      </x:c>
      <x:c r="C1295" s="1" t="str">
        <x:f>'Habilidades'!D1125</x:f>
        <x:v>Peck</x:v>
      </x:c>
      <x:c r="D1295" s="1" t="str">
        <x:f>'Habilidades'!F1125</x:f>
        <x:v>Física</x:v>
      </x:c>
      <x:c r="E1295" s="18" t="n">
        <x:f>'Habilidades'!G1125</x:f>
        <x:v>35</x:v>
      </x:c>
      <x:c r="F1295" s="18" t="n">
        <x:f>'Habilidades'!H1125</x:f>
        <x:v>67</x:v>
      </x:c>
      <x:c r="G1295" s="18" t="n">
        <x:f>'Habilidades'!I1125</x:f>
        <x:v>102</x:v>
      </x:c>
    </x:row>
    <x:row r="1296" ht="22" customHeight="1">
      <x:c r="A1296" s="19" t="n">
        <x:f>IF(B1296="","",IF(B1296=B1295,A1295,A1295+1))</x:f>
        <x:v>262</x:v>
      </x:c>
      <x:c r="B1296" s="20" t="str">
        <x:f>'Ranking'!C267</x:f>
        <x:v>Goldeen</x:v>
      </x:c>
      <x:c r="C1296" s="20" t="str">
        <x:f>'Habilidades'!D1126</x:f>
        <x:v>Water Pulse</x:v>
      </x:c>
      <x:c r="D1296" s="20" t="str">
        <x:f>'Habilidades'!F1126</x:f>
        <x:v>Especial</x:v>
      </x:c>
      <x:c r="E1296" s="21" t="n">
        <x:f>'Habilidades'!G1126</x:f>
        <x:v>60</x:v>
      </x:c>
      <x:c r="F1296" s="21" t="n">
        <x:f>'Habilidades'!H1126</x:f>
        <x:v>35</x:v>
      </x:c>
      <x:c r="G1296" s="21" t="n">
        <x:f>'Habilidades'!I1126</x:f>
        <x:v>95</x:v>
      </x:c>
    </x:row>
    <x:row r="1297" ht="22" customHeight="1">
      <x:c r="A1297" s="17" t="n">
        <x:f>IF(B1297="","",IF(B1297=B1296,A1296,A1296+1))</x:f>
        <x:v>263</x:v>
      </x:c>
      <x:c r="B1297" s="1" t="str">
        <x:f>'Ranking'!C266</x:f>
        <x:v>Sandaconda</x:v>
      </x:c>
      <x:c r="C1297" s="1" t="str">
        <x:f>'Habilidades'!D3789</x:f>
        <x:v>Iron Head</x:v>
      </x:c>
      <x:c r="D1297" s="1" t="str">
        <x:f>'Habilidades'!F3789</x:f>
        <x:v>Física</x:v>
      </x:c>
      <x:c r="E1297" s="18" t="n">
        <x:f>'Habilidades'!G3789</x:f>
        <x:v>80</x:v>
      </x:c>
      <x:c r="F1297" s="18" t="n">
        <x:f>'Habilidades'!H3789</x:f>
        <x:v>107</x:v>
      </x:c>
      <x:c r="G1297" s="18" t="n">
        <x:f>'Habilidades'!I3789</x:f>
        <x:v>187</x:v>
      </x:c>
    </x:row>
    <x:row r="1298" ht="22" customHeight="1">
      <x:c r="A1298" s="17" t="n">
        <x:f>IF(B1298="","",IF(B1298=B1297,A1297,A1297+1))</x:f>
        <x:v>263</x:v>
      </x:c>
      <x:c r="B1298" s="1" t="str">
        <x:f>'Ranking'!C266</x:f>
        <x:v>Sandaconda</x:v>
      </x:c>
      <x:c r="C1298" s="1" t="str">
        <x:f>'Habilidades'!D3790</x:f>
        <x:v>Headbutt</x:v>
      </x:c>
      <x:c r="D1298" s="1" t="str">
        <x:f>'Habilidades'!F3790</x:f>
        <x:v>Física</x:v>
      </x:c>
      <x:c r="E1298" s="18" t="n">
        <x:f>'Habilidades'!G3790</x:f>
        <x:v>70</x:v>
      </x:c>
      <x:c r="F1298" s="18" t="n">
        <x:f>'Habilidades'!H3790</x:f>
        <x:v>107</x:v>
      </x:c>
      <x:c r="G1298" s="18" t="n">
        <x:f>'Habilidades'!I3790</x:f>
        <x:v>177</x:v>
      </x:c>
    </x:row>
    <x:row r="1299" ht="22" customHeight="1">
      <x:c r="A1299" s="17" t="n">
        <x:f>IF(B1299="","",IF(B1299=B1298,A1298,A1298+1))</x:f>
        <x:v>263</x:v>
      </x:c>
      <x:c r="B1299" s="1" t="str">
        <x:f>'Ranking'!C266</x:f>
        <x:v>Sandaconda</x:v>
      </x:c>
      <x:c r="C1299" s="1" t="str">
        <x:f>'Habilidades'!D3791</x:f>
        <x:v>Earth Power</x:v>
      </x:c>
      <x:c r="D1299" s="1" t="str">
        <x:f>'Habilidades'!F3791</x:f>
        <x:v>Especial</x:v>
      </x:c>
      <x:c r="E1299" s="18" t="n">
        <x:f>'Habilidades'!G3791</x:f>
        <x:v>90</x:v>
      </x:c>
      <x:c r="F1299" s="18" t="n">
        <x:f>'Habilidades'!H3791</x:f>
        <x:v>65</x:v>
      </x:c>
      <x:c r="G1299" s="18" t="n">
        <x:f>'Habilidades'!I3791</x:f>
        <x:v>155</x:v>
      </x:c>
    </x:row>
    <x:row r="1300" ht="22" customHeight="1">
      <x:c r="A1300" s="19" t="n">
        <x:f>IF(B1300="","",IF(B1300=B1299,A1299,A1299+1))</x:f>
        <x:v>263</x:v>
      </x:c>
      <x:c r="B1300" s="20" t="str">
        <x:f>'Ranking'!C266</x:f>
        <x:v>Sandaconda</x:v>
      </x:c>
      <x:c r="C1300" s="20" t="str">
        <x:f>'Habilidades'!D3792</x:f>
        <x:v>Sand Attack</x:v>
      </x:c>
      <x:c r="D1300" s="20" t="str">
        <x:f>'Habilidades'!F3792</x:f>
        <x:v>Status</x:v>
      </x:c>
      <x:c r="E1300" s="21" t="n">
        <x:f>'Habilidades'!G3792</x:f>
        <x:v>0</x:v>
      </x:c>
      <x:c r="F1300" s="21" t="str">
        <x:f>'Habilidades'!H3792</x:f>
      </x:c>
      <x:c r="G1300" s="21" t="str">
        <x:f>'Habilidades'!I3792</x:f>
      </x:c>
    </x:row>
    <x:row r="1301" ht="22" customHeight="1">
      <x:c r="A1301" s="17" t="n">
        <x:f>IF(B1301="","",IF(B1301=B1300,A1300,A1300+1))</x:f>
        <x:v>264</x:v>
      </x:c>
      <x:c r="B1301" s="1" t="str">
        <x:f>'Ranking'!C268</x:f>
        <x:v>Dusknoir</x:v>
      </x:c>
      <x:c r="C1301" s="1" t="str">
        <x:f>'Habilidades'!D3384</x:f>
        <x:v>Future Sight</x:v>
      </x:c>
      <x:c r="D1301" s="1" t="str">
        <x:f>'Habilidades'!F3384</x:f>
        <x:v>Especial</x:v>
      </x:c>
      <x:c r="E1301" s="18" t="n">
        <x:f>'Habilidades'!G3384</x:f>
        <x:v>120</x:v>
      </x:c>
      <x:c r="F1301" s="18" t="n">
        <x:f>'Habilidades'!H3384</x:f>
        <x:v>65</x:v>
      </x:c>
      <x:c r="G1301" s="18" t="n">
        <x:f>'Habilidades'!I3384</x:f>
        <x:v>185</x:v>
      </x:c>
    </x:row>
    <x:row r="1302" ht="22" customHeight="1">
      <x:c r="A1302" s="17" t="n">
        <x:f>IF(B1302="","",IF(B1302=B1301,A1301,A1301+1))</x:f>
        <x:v>264</x:v>
      </x:c>
      <x:c r="B1302" s="1" t="str">
        <x:f>'Ranking'!C268</x:f>
        <x:v>Dusknoir</x:v>
      </x:c>
      <x:c r="C1302" s="1" t="str">
        <x:f>'Habilidades'!D3385</x:f>
        <x:v>Fire Punch</x:v>
      </x:c>
      <x:c r="D1302" s="1" t="str">
        <x:f>'Habilidades'!F3385</x:f>
        <x:v>Física</x:v>
      </x:c>
      <x:c r="E1302" s="18" t="n">
        <x:f>'Habilidades'!G3385</x:f>
        <x:v>75</x:v>
      </x:c>
      <x:c r="F1302" s="18" t="n">
        <x:f>'Habilidades'!H3385</x:f>
        <x:v>100</x:v>
      </x:c>
      <x:c r="G1302" s="18" t="n">
        <x:f>'Habilidades'!I3385</x:f>
        <x:v>175</x:v>
      </x:c>
    </x:row>
    <x:row r="1303" ht="22" customHeight="1">
      <x:c r="A1303" s="17" t="n">
        <x:f>IF(B1303="","",IF(B1303=B1302,A1302,A1302+1))</x:f>
        <x:v>264</x:v>
      </x:c>
      <x:c r="B1303" s="1" t="str">
        <x:f>'Ranking'!C268</x:f>
        <x:v>Dusknoir</x:v>
      </x:c>
      <x:c r="C1303" s="1" t="str">
        <x:f>'Habilidades'!D3386</x:f>
        <x:v>Ice Punch</x:v>
      </x:c>
      <x:c r="D1303" s="1" t="str">
        <x:f>'Habilidades'!F3386</x:f>
        <x:v>Física</x:v>
      </x:c>
      <x:c r="E1303" s="18" t="n">
        <x:f>'Habilidades'!G3386</x:f>
        <x:v>75</x:v>
      </x:c>
      <x:c r="F1303" s="18" t="n">
        <x:f>'Habilidades'!H3386</x:f>
        <x:v>100</x:v>
      </x:c>
      <x:c r="G1303" s="18" t="n">
        <x:f>'Habilidades'!I3386</x:f>
        <x:v>175</x:v>
      </x:c>
    </x:row>
    <x:row r="1304" ht="22" customHeight="1">
      <x:c r="A1304" s="17" t="n">
        <x:f>IF(B1304="","",IF(B1304=B1303,A1303,A1303+1))</x:f>
        <x:v>264</x:v>
      </x:c>
      <x:c r="B1304" s="1" t="str">
        <x:f>'Ranking'!C268</x:f>
        <x:v>Dusknoir</x:v>
      </x:c>
      <x:c r="C1304" s="1" t="str">
        <x:f>'Habilidades'!D3387</x:f>
        <x:v>Thunder Punch</x:v>
      </x:c>
      <x:c r="D1304" s="1" t="str">
        <x:f>'Habilidades'!F3387</x:f>
        <x:v>Física</x:v>
      </x:c>
      <x:c r="E1304" s="18" t="n">
        <x:f>'Habilidades'!G3387</x:f>
        <x:v>75</x:v>
      </x:c>
      <x:c r="F1304" s="18" t="n">
        <x:f>'Habilidades'!H3387</x:f>
        <x:v>100</x:v>
      </x:c>
      <x:c r="G1304" s="18" t="n">
        <x:f>'Habilidades'!I3387</x:f>
        <x:v>175</x:v>
      </x:c>
    </x:row>
    <x:row r="1305" ht="22" customHeight="1">
      <x:c r="A1305" s="19" t="n">
        <x:f>IF(B1305="","",IF(B1305=B1304,A1304,A1304+1))</x:f>
        <x:v>264</x:v>
      </x:c>
      <x:c r="B1305" s="20" t="str">
        <x:f>'Ranking'!C268</x:f>
        <x:v>Dusknoir</x:v>
      </x:c>
      <x:c r="C1305" s="20" t="str">
        <x:f>'Habilidades'!D3390</x:f>
        <x:v>Shadow Ball</x:v>
      </x:c>
      <x:c r="D1305" s="20" t="str">
        <x:f>'Habilidades'!F3390</x:f>
        <x:v>Especial</x:v>
      </x:c>
      <x:c r="E1305" s="21" t="n">
        <x:f>'Habilidades'!G3390</x:f>
        <x:v>80</x:v>
      </x:c>
      <x:c r="F1305" s="21" t="n">
        <x:f>'Habilidades'!H3390</x:f>
        <x:v>65</x:v>
      </x:c>
      <x:c r="G1305" s="21" t="n">
        <x:f>'Habilidades'!I3390</x:f>
        <x:v>145</x:v>
      </x:c>
    </x:row>
    <x:row r="1306" ht="22" customHeight="1">
      <x:c r="A1306" s="17" t="n">
        <x:f>IF(B1306="","",IF(B1306=B1305,A1305,A1305+1))</x:f>
        <x:v>265</x:v>
      </x:c>
      <x:c r="B1306" s="1" t="str">
        <x:f>'Ranking'!C274</x:f>
        <x:v>Kirlia</x:v>
      </x:c>
      <x:c r="C1306" s="1" t="str">
        <x:f>'Habilidades'!D2537</x:f>
        <x:v>Future Sight</x:v>
      </x:c>
      <x:c r="D1306" s="1" t="str">
        <x:f>'Habilidades'!F2537</x:f>
        <x:v>Especial</x:v>
      </x:c>
      <x:c r="E1306" s="18" t="n">
        <x:f>'Habilidades'!G2537</x:f>
        <x:v>120</x:v>
      </x:c>
      <x:c r="F1306" s="18" t="n">
        <x:f>'Habilidades'!H2537</x:f>
        <x:v>65</x:v>
      </x:c>
      <x:c r="G1306" s="18" t="n">
        <x:f>'Habilidades'!I2537</x:f>
        <x:v>185</x:v>
      </x:c>
    </x:row>
    <x:row r="1307" ht="22" customHeight="1">
      <x:c r="A1307" s="17" t="n">
        <x:f>IF(B1307="","",IF(B1307=B1306,A1306,A1306+1))</x:f>
        <x:v>265</x:v>
      </x:c>
      <x:c r="B1307" s="1" t="str">
        <x:f>'Ranking'!C274</x:f>
        <x:v>Kirlia</x:v>
      </x:c>
      <x:c r="C1307" s="1" t="str">
        <x:f>'Habilidades'!D2538</x:f>
        <x:v>Dream Eater</x:v>
      </x:c>
      <x:c r="D1307" s="1" t="str">
        <x:f>'Habilidades'!F2538</x:f>
        <x:v>Especial</x:v>
      </x:c>
      <x:c r="E1307" s="18" t="n">
        <x:f>'Habilidades'!G2538</x:f>
        <x:v>100</x:v>
      </x:c>
      <x:c r="F1307" s="18" t="n">
        <x:f>'Habilidades'!H2538</x:f>
        <x:v>65</x:v>
      </x:c>
      <x:c r="G1307" s="18" t="n">
        <x:f>'Habilidades'!I2538</x:f>
        <x:v>165</x:v>
      </x:c>
    </x:row>
    <x:row r="1308" ht="22" customHeight="1">
      <x:c r="A1308" s="17" t="n">
        <x:f>IF(B1308="","",IF(B1308=B1307,A1307,A1307+1))</x:f>
        <x:v>265</x:v>
      </x:c>
      <x:c r="B1308" s="1" t="str">
        <x:f>'Ranking'!C274</x:f>
        <x:v>Kirlia</x:v>
      </x:c>
      <x:c r="C1308" s="1" t="str">
        <x:f>'Habilidades'!D2539</x:f>
        <x:v>Psychic</x:v>
      </x:c>
      <x:c r="D1308" s="1" t="str">
        <x:f>'Habilidades'!F2539</x:f>
        <x:v>Especial</x:v>
      </x:c>
      <x:c r="E1308" s="18" t="n">
        <x:f>'Habilidades'!G2539</x:f>
        <x:v>90</x:v>
      </x:c>
      <x:c r="F1308" s="18" t="n">
        <x:f>'Habilidades'!H2539</x:f>
        <x:v>65</x:v>
      </x:c>
      <x:c r="G1308" s="18" t="n">
        <x:f>'Habilidades'!I2539</x:f>
        <x:v>155</x:v>
      </x:c>
    </x:row>
    <x:row r="1309" ht="22" customHeight="1">
      <x:c r="A1309" s="17" t="n">
        <x:f>IF(B1309="","",IF(B1309=B1308,A1308,A1308+1))</x:f>
        <x:v>265</x:v>
      </x:c>
      <x:c r="B1309" s="1" t="str">
        <x:f>'Ranking'!C274</x:f>
        <x:v>Kirlia</x:v>
      </x:c>
      <x:c r="C1309" s="1" t="str">
        <x:f>'Habilidades'!D2540</x:f>
        <x:v>Magical Leaf</x:v>
      </x:c>
      <x:c r="D1309" s="1" t="str">
        <x:f>'Habilidades'!F2540</x:f>
        <x:v>Especial</x:v>
      </x:c>
      <x:c r="E1309" s="18" t="n">
        <x:f>'Habilidades'!G2540</x:f>
        <x:v>60</x:v>
      </x:c>
      <x:c r="F1309" s="18" t="n">
        <x:f>'Habilidades'!H2540</x:f>
        <x:v>65</x:v>
      </x:c>
      <x:c r="G1309" s="18" t="n">
        <x:f>'Habilidades'!I2540</x:f>
        <x:v>125</x:v>
      </x:c>
    </x:row>
    <x:row r="1310" ht="22" customHeight="1">
      <x:c r="A1310" s="19" t="n">
        <x:f>IF(B1310="","",IF(B1310=B1309,A1309,A1309+1))</x:f>
        <x:v>265</x:v>
      </x:c>
      <x:c r="B1310" s="20" t="str">
        <x:f>'Ranking'!C274</x:f>
        <x:v>Kirlia</x:v>
      </x:c>
      <x:c r="C1310" s="20" t="str">
        <x:f>'Habilidades'!D2541</x:f>
        <x:v>Confusion</x:v>
      </x:c>
      <x:c r="D1310" s="20" t="str">
        <x:f>'Habilidades'!F2541</x:f>
        <x:v>Especial</x:v>
      </x:c>
      <x:c r="E1310" s="21" t="n">
        <x:f>'Habilidades'!G2541</x:f>
        <x:v>50</x:v>
      </x:c>
      <x:c r="F1310" s="21" t="n">
        <x:f>'Habilidades'!H2541</x:f>
        <x:v>65</x:v>
      </x:c>
      <x:c r="G1310" s="21" t="n">
        <x:f>'Habilidades'!I2541</x:f>
        <x:v>115</x:v>
      </x:c>
    </x:row>
    <x:row r="1311" ht="22" customHeight="1">
      <x:c r="A1311" s="17" t="n">
        <x:f>IF(B1311="","",IF(B1311=B1310,A1310,A1310+1))</x:f>
        <x:v>266</x:v>
      </x:c>
      <x:c r="B1311" s="1" t="str">
        <x:f>'Ranking'!C269</x:f>
        <x:v>Marshtomp</x:v>
      </x:c>
      <x:c r="C1311" s="1" t="str">
        <x:f>'Habilidades'!D2424</x:f>
        <x:v>Earthquake</x:v>
      </x:c>
      <x:c r="D1311" s="1" t="str">
        <x:f>'Habilidades'!F2424</x:f>
        <x:v>Física</x:v>
      </x:c>
      <x:c r="E1311" s="18" t="n">
        <x:f>'Habilidades'!G2424</x:f>
        <x:v>100</x:v>
      </x:c>
      <x:c r="F1311" s="18" t="n">
        <x:f>'Habilidades'!H2424</x:f>
        <x:v>85</x:v>
      </x:c>
      <x:c r="G1311" s="18" t="n">
        <x:f>'Habilidades'!I2424</x:f>
        <x:v>185</x:v>
      </x:c>
    </x:row>
    <x:row r="1312" ht="22" customHeight="1">
      <x:c r="A1312" s="17" t="n">
        <x:f>IF(B1312="","",IF(B1312=B1311,A1311,A1311+1))</x:f>
        <x:v>266</x:v>
      </x:c>
      <x:c r="B1312" s="1" t="str">
        <x:f>'Ranking'!C269</x:f>
        <x:v>Marshtomp</x:v>
      </x:c>
      <x:c r="C1312" s="1" t="str">
        <x:f>'Habilidades'!D2425</x:f>
        <x:v>Take Down</x:v>
      </x:c>
      <x:c r="D1312" s="1" t="str">
        <x:f>'Habilidades'!F2425</x:f>
        <x:v>Física</x:v>
      </x:c>
      <x:c r="E1312" s="18" t="n">
        <x:f>'Habilidades'!G2425</x:f>
        <x:v>90</x:v>
      </x:c>
      <x:c r="F1312" s="18" t="n">
        <x:f>'Habilidades'!H2425</x:f>
        <x:v>85</x:v>
      </x:c>
      <x:c r="G1312" s="18" t="n">
        <x:f>'Habilidades'!I2425</x:f>
        <x:v>175</x:v>
      </x:c>
    </x:row>
    <x:row r="1313" ht="22" customHeight="1">
      <x:c r="A1313" s="17" t="n">
        <x:f>IF(B1313="","",IF(B1313=B1312,A1312,A1312+1))</x:f>
        <x:v>266</x:v>
      </x:c>
      <x:c r="B1313" s="1" t="str">
        <x:f>'Ranking'!C269</x:f>
        <x:v>Marshtomp</x:v>
      </x:c>
      <x:c r="C1313" s="1" t="str">
        <x:f>'Habilidades'!D2426</x:f>
        <x:v>Rock Slide</x:v>
      </x:c>
      <x:c r="D1313" s="1" t="str">
        <x:f>'Habilidades'!F2426</x:f>
        <x:v>Física</x:v>
      </x:c>
      <x:c r="E1313" s="18" t="n">
        <x:f>'Habilidades'!G2426</x:f>
        <x:v>75</x:v>
      </x:c>
      <x:c r="F1313" s="18" t="n">
        <x:f>'Habilidades'!H2426</x:f>
        <x:v>85</x:v>
      </x:c>
      <x:c r="G1313" s="18" t="n">
        <x:f>'Habilidades'!I2426</x:f>
        <x:v>160</x:v>
      </x:c>
    </x:row>
    <x:row r="1314" ht="22" customHeight="1">
      <x:c r="A1314" s="17" t="n">
        <x:f>IF(B1314="","",IF(B1314=B1313,A1313,A1313+1))</x:f>
        <x:v>266</x:v>
      </x:c>
      <x:c r="B1314" s="1" t="str">
        <x:f>'Ranking'!C269</x:f>
        <x:v>Marshtomp</x:v>
      </x:c>
      <x:c r="C1314" s="1" t="str">
        <x:f>'Habilidades'!D2427</x:f>
        <x:v>Muddy Water</x:v>
      </x:c>
      <x:c r="D1314" s="1" t="str">
        <x:f>'Habilidades'!F2427</x:f>
        <x:v>Especial</x:v>
      </x:c>
      <x:c r="E1314" s="18" t="n">
        <x:f>'Habilidades'!G2427</x:f>
        <x:v>90</x:v>
      </x:c>
      <x:c r="F1314" s="18" t="n">
        <x:f>'Habilidades'!H2427</x:f>
        <x:v>60</x:v>
      </x:c>
      <x:c r="G1314" s="18" t="n">
        <x:f>'Habilidades'!I2427</x:f>
        <x:v>150</x:v>
      </x:c>
    </x:row>
    <x:row r="1315" ht="22" customHeight="1">
      <x:c r="A1315" s="19" t="n">
        <x:f>IF(B1315="","",IF(B1315=B1314,A1314,A1314+1))</x:f>
        <x:v>266</x:v>
      </x:c>
      <x:c r="B1315" s="20" t="str">
        <x:f>'Ranking'!C269</x:f>
        <x:v>Marshtomp</x:v>
      </x:c>
      <x:c r="C1315" s="20" t="str">
        <x:f>'Habilidades'!D2429</x:f>
        <x:v>Mud Bomb</x:v>
      </x:c>
      <x:c r="D1315" s="20" t="str">
        <x:f>'Habilidades'!F2429</x:f>
        <x:v>Especial</x:v>
      </x:c>
      <x:c r="E1315" s="21" t="n">
        <x:f>'Habilidades'!G2429</x:f>
        <x:v>65</x:v>
      </x:c>
      <x:c r="F1315" s="21" t="n">
        <x:f>'Habilidades'!H2429</x:f>
        <x:v>60</x:v>
      </x:c>
      <x:c r="G1315" s="21" t="n">
        <x:f>'Habilidades'!I2429</x:f>
        <x:v>125</x:v>
      </x:c>
    </x:row>
    <x:row r="1316" ht="22" customHeight="1">
      <x:c r="A1316" s="17" t="n">
        <x:f>IF(B1316="","",IF(B1316=B1315,A1315,A1315+1))</x:f>
        <x:v>267</x:v>
      </x:c>
      <x:c r="B1316" s="1" t="str">
        <x:f>'Ranking'!C276</x:f>
        <x:v>Pachirisu</x:v>
      </x:c>
      <x:c r="C1316" s="1" t="str">
        <x:f>'Habilidades'!D3202</x:f>
        <x:v>Last Resort</x:v>
      </x:c>
      <x:c r="D1316" s="1" t="str">
        <x:f>'Habilidades'!F3202</x:f>
        <x:v>Física</x:v>
      </x:c>
      <x:c r="E1316" s="18" t="n">
        <x:f>'Habilidades'!G3202</x:f>
        <x:v>140</x:v>
      </x:c>
      <x:c r="F1316" s="18" t="n">
        <x:f>'Habilidades'!H3202</x:f>
        <x:v>45</x:v>
      </x:c>
      <x:c r="G1316" s="18" t="n">
        <x:f>'Habilidades'!I3202</x:f>
        <x:v>185</x:v>
      </x:c>
    </x:row>
    <x:row r="1317" ht="22" customHeight="1">
      <x:c r="A1317" s="17" t="n">
        <x:f>IF(B1317="","",IF(B1317=B1316,A1316,A1316+1))</x:f>
        <x:v>267</x:v>
      </x:c>
      <x:c r="B1317" s="1" t="str">
        <x:f>'Ranking'!C276</x:f>
        <x:v>Pachirisu</x:v>
      </x:c>
      <x:c r="C1317" s="1" t="str">
        <x:f>'Habilidades'!D3203</x:f>
        <x:v>Super Fang</x:v>
      </x:c>
      <x:c r="D1317" s="1" t="str">
        <x:f>'Habilidades'!F3203</x:f>
        <x:v>Física</x:v>
      </x:c>
      <x:c r="E1317" s="18" t="n">
        <x:f>'Habilidades'!G3203</x:f>
        <x:v>96</x:v>
      </x:c>
      <x:c r="F1317" s="18" t="n">
        <x:f>'Habilidades'!H3203</x:f>
        <x:v>45</x:v>
      </x:c>
      <x:c r="G1317" s="18" t="n">
        <x:f>'Habilidades'!I3203</x:f>
        <x:v>141</x:v>
      </x:c>
    </x:row>
    <x:row r="1318" ht="22" customHeight="1">
      <x:c r="A1318" s="17" t="n">
        <x:f>IF(B1318="","",IF(B1318=B1317,A1317,A1317+1))</x:f>
        <x:v>267</x:v>
      </x:c>
      <x:c r="B1318" s="1" t="str">
        <x:f>'Ranking'!C276</x:f>
        <x:v>Pachirisu</x:v>
      </x:c>
      <x:c r="C1318" s="1" t="str">
        <x:f>'Habilidades'!D3204</x:f>
        <x:v>Discharge</x:v>
      </x:c>
      <x:c r="D1318" s="1" t="str">
        <x:f>'Habilidades'!F3204</x:f>
        <x:v>Especial</x:v>
      </x:c>
      <x:c r="E1318" s="18" t="n">
        <x:f>'Habilidades'!G3204</x:f>
        <x:v>80</x:v>
      </x:c>
      <x:c r="F1318" s="18" t="n">
        <x:f>'Habilidades'!H3204</x:f>
        <x:v>45</x:v>
      </x:c>
      <x:c r="G1318" s="18" t="n">
        <x:f>'Habilidades'!I3204</x:f>
        <x:v>125</x:v>
      </x:c>
    </x:row>
    <x:row r="1319" ht="22" customHeight="1">
      <x:c r="A1319" s="17" t="n">
        <x:f>IF(B1319="","",IF(B1319=B1318,A1318,A1318+1))</x:f>
        <x:v>267</x:v>
      </x:c>
      <x:c r="B1319" s="1" t="str">
        <x:f>'Ranking'!C276</x:f>
        <x:v>Pachirisu</x:v>
      </x:c>
      <x:c r="C1319" s="1" t="str">
        <x:f>'Habilidades'!D3205</x:f>
        <x:v>Hyper Fang</x:v>
      </x:c>
      <x:c r="D1319" s="1" t="str">
        <x:f>'Habilidades'!F3205</x:f>
        <x:v>Física</x:v>
      </x:c>
      <x:c r="E1319" s="18" t="n">
        <x:f>'Habilidades'!G3205</x:f>
        <x:v>80</x:v>
      </x:c>
      <x:c r="F1319" s="18" t="n">
        <x:f>'Habilidades'!H3205</x:f>
        <x:v>45</x:v>
      </x:c>
      <x:c r="G1319" s="18" t="n">
        <x:f>'Habilidades'!I3205</x:f>
        <x:v>125</x:v>
      </x:c>
    </x:row>
    <x:row r="1320" ht="22" customHeight="1">
      <x:c r="A1320" s="19" t="n">
        <x:f>IF(B1320="","",IF(B1320=B1319,A1319,A1319+1))</x:f>
        <x:v>267</x:v>
      </x:c>
      <x:c r="B1320" s="20" t="str">
        <x:f>'Ranking'!C276</x:f>
        <x:v>Pachirisu</x:v>
      </x:c>
      <x:c r="C1320" s="20" t="str">
        <x:f>'Habilidades'!D3206</x:f>
        <x:v>Spark</x:v>
      </x:c>
      <x:c r="D1320" s="20" t="str">
        <x:f>'Habilidades'!F3206</x:f>
        <x:v>Física</x:v>
      </x:c>
      <x:c r="E1320" s="21" t="n">
        <x:f>'Habilidades'!G3206</x:f>
        <x:v>65</x:v>
      </x:c>
      <x:c r="F1320" s="21" t="n">
        <x:f>'Habilidades'!H3206</x:f>
        <x:v>45</x:v>
      </x:c>
      <x:c r="G1320" s="21" t="n">
        <x:f>'Habilidades'!I3206</x:f>
        <x:v>110</x:v>
      </x:c>
    </x:row>
    <x:row r="1321" ht="22" customHeight="1">
      <x:c r="A1321" s="17" t="n">
        <x:f>IF(B1321="","",IF(B1321=B1320,A1320,A1320+1))</x:f>
        <x:v>268</x:v>
      </x:c>
      <x:c r="B1321" s="1" t="str">
        <x:f>'Ranking'!C273</x:f>
        <x:v>Pineco</x:v>
      </x:c>
      <x:c r="C1321" s="1" t="str">
        <x:f>'Habilidades'!D1886</x:f>
        <x:v>Double-Edge</x:v>
      </x:c>
      <x:c r="D1321" s="1" t="str">
        <x:f>'Habilidades'!F1886</x:f>
        <x:v>Física</x:v>
      </x:c>
      <x:c r="E1321" s="18" t="n">
        <x:f>'Habilidades'!G1886</x:f>
        <x:v>120</x:v>
      </x:c>
      <x:c r="F1321" s="18" t="n">
        <x:f>'Habilidades'!H1886</x:f>
        <x:v>65</x:v>
      </x:c>
      <x:c r="G1321" s="18" t="n">
        <x:f>'Habilidades'!I1886</x:f>
        <x:v>185</x:v>
      </x:c>
    </x:row>
    <x:row r="1322" ht="22" customHeight="1">
      <x:c r="A1322" s="17" t="n">
        <x:f>IF(B1322="","",IF(B1322=B1321,A1321,A1321+1))</x:f>
        <x:v>268</x:v>
      </x:c>
      <x:c r="B1322" s="1" t="str">
        <x:f>'Ranking'!C273</x:f>
        <x:v>Pineco</x:v>
      </x:c>
      <x:c r="C1322" s="1" t="str">
        <x:f>'Habilidades'!D1887</x:f>
        <x:v>Take Down</x:v>
      </x:c>
      <x:c r="D1322" s="1" t="str">
        <x:f>'Habilidades'!F1887</x:f>
        <x:v>Física</x:v>
      </x:c>
      <x:c r="E1322" s="18" t="n">
        <x:f>'Habilidades'!G1887</x:f>
        <x:v>90</x:v>
      </x:c>
      <x:c r="F1322" s="18" t="n">
        <x:f>'Habilidades'!H1887</x:f>
        <x:v>65</x:v>
      </x:c>
      <x:c r="G1322" s="18" t="n">
        <x:f>'Habilidades'!I1887</x:f>
        <x:v>155</x:v>
      </x:c>
    </x:row>
    <x:row r="1323" ht="22" customHeight="1">
      <x:c r="A1323" s="17" t="n">
        <x:f>IF(B1323="","",IF(B1323=B1322,A1322,A1322+1))</x:f>
        <x:v>268</x:v>
      </x:c>
      <x:c r="B1323" s="1" t="str">
        <x:f>'Ranking'!C273</x:f>
        <x:v>Pineco</x:v>
      </x:c>
      <x:c r="C1323" s="1" t="str">
        <x:f>'Habilidades'!D1888</x:f>
        <x:v>Bug Bite</x:v>
      </x:c>
      <x:c r="D1323" s="1" t="str">
        <x:f>'Habilidades'!F1888</x:f>
        <x:v>Física</x:v>
      </x:c>
      <x:c r="E1323" s="18" t="n">
        <x:f>'Habilidades'!G1888</x:f>
        <x:v>60</x:v>
      </x:c>
      <x:c r="F1323" s="18" t="n">
        <x:f>'Habilidades'!H1888</x:f>
        <x:v>65</x:v>
      </x:c>
      <x:c r="G1323" s="18" t="n">
        <x:f>'Habilidades'!I1888</x:f>
        <x:v>125</x:v>
      </x:c>
    </x:row>
    <x:row r="1324" ht="22" customHeight="1">
      <x:c r="A1324" s="17" t="n">
        <x:f>IF(B1324="","",IF(B1324=B1323,A1323,A1323+1))</x:f>
        <x:v>268</x:v>
      </x:c>
      <x:c r="B1324" s="1" t="str">
        <x:f>'Ranking'!C273</x:f>
        <x:v>Pineco</x:v>
      </x:c>
      <x:c r="C1324" s="1" t="str">
        <x:f>'Habilidades'!D1889</x:f>
        <x:v>Tackle</x:v>
      </x:c>
      <x:c r="D1324" s="1" t="str">
        <x:f>'Habilidades'!F1889</x:f>
        <x:v>Física</x:v>
      </x:c>
      <x:c r="E1324" s="18" t="n">
        <x:f>'Habilidades'!G1889</x:f>
        <x:v>50</x:v>
      </x:c>
      <x:c r="F1324" s="18" t="n">
        <x:f>'Habilidades'!H1889</x:f>
        <x:v>65</x:v>
      </x:c>
      <x:c r="G1324" s="18" t="n">
        <x:f>'Habilidades'!I1889</x:f>
        <x:v>115</x:v>
      </x:c>
    </x:row>
    <x:row r="1325" ht="22" customHeight="1">
      <x:c r="A1325" s="19" t="n">
        <x:f>IF(B1325="","",IF(B1325=B1324,A1324,A1324+1))</x:f>
        <x:v>268</x:v>
      </x:c>
      <x:c r="B1325" s="20" t="str">
        <x:f>'Ranking'!C273</x:f>
        <x:v>Pineco</x:v>
      </x:c>
      <x:c r="C1325" s="20" t="str">
        <x:f>'Habilidades'!D1890</x:f>
        <x:v>Payback</x:v>
      </x:c>
      <x:c r="D1325" s="20" t="str">
        <x:f>'Habilidades'!F1890</x:f>
        <x:v>Física</x:v>
      </x:c>
      <x:c r="E1325" s="21" t="n">
        <x:f>'Habilidades'!G1890</x:f>
        <x:v>50</x:v>
      </x:c>
      <x:c r="F1325" s="21" t="n">
        <x:f>'Habilidades'!H1890</x:f>
        <x:v>65</x:v>
      </x:c>
      <x:c r="G1325" s="21" t="n">
        <x:f>'Habilidades'!I1890</x:f>
        <x:v>115</x:v>
      </x:c>
    </x:row>
    <x:row r="1326" ht="22" customHeight="1">
      <x:c r="A1326" s="17" t="n">
        <x:f>IF(B1326="","",IF(B1326=B1325,A1325,A1325+1))</x:f>
        <x:v>269</x:v>
      </x:c>
      <x:c r="B1326" s="1" t="str">
        <x:f>'Ranking'!C271</x:f>
        <x:v>Sealeo</x:v>
      </x:c>
      <x:c r="C1326" s="1" t="str">
        <x:f>'Habilidades'!D3059</x:f>
        <x:v>Blizzard</x:v>
      </x:c>
      <x:c r="D1326" s="1" t="str">
        <x:f>'Habilidades'!F3059</x:f>
        <x:v>Especial</x:v>
      </x:c>
      <x:c r="E1326" s="18" t="n">
        <x:f>'Habilidades'!G3059</x:f>
        <x:v>110</x:v>
      </x:c>
      <x:c r="F1326" s="18" t="n">
        <x:f>'Habilidades'!H3059</x:f>
        <x:v>75</x:v>
      </x:c>
      <x:c r="G1326" s="18" t="n">
        <x:f>'Habilidades'!I3059</x:f>
        <x:v>185</x:v>
      </x:c>
    </x:row>
    <x:row r="1327" ht="22" customHeight="1">
      <x:c r="A1327" s="17" t="n">
        <x:f>IF(B1327="","",IF(B1327=B1326,A1326,A1326+1))</x:f>
        <x:v>269</x:v>
      </x:c>
      <x:c r="B1327" s="1" t="str">
        <x:f>'Ranking'!C271</x:f>
        <x:v>Sealeo</x:v>
      </x:c>
      <x:c r="C1327" s="1" t="str">
        <x:f>'Habilidades'!D3060</x:f>
        <x:v>Body Slam</x:v>
      </x:c>
      <x:c r="D1327" s="1" t="str">
        <x:f>'Habilidades'!F3060</x:f>
        <x:v>Física</x:v>
      </x:c>
      <x:c r="E1327" s="18" t="n">
        <x:f>'Habilidades'!G3060</x:f>
        <x:v>85</x:v>
      </x:c>
      <x:c r="F1327" s="18" t="n">
        <x:f>'Habilidades'!H3060</x:f>
        <x:v>60</x:v>
      </x:c>
      <x:c r="G1327" s="18" t="n">
        <x:f>'Habilidades'!I3060</x:f>
        <x:v>145</x:v>
      </x:c>
    </x:row>
    <x:row r="1328" ht="22" customHeight="1">
      <x:c r="A1328" s="17" t="n">
        <x:f>IF(B1328="","",IF(B1328=B1327,A1327,A1327+1))</x:f>
        <x:v>269</x:v>
      </x:c>
      <x:c r="B1328" s="1" t="str">
        <x:f>'Ranking'!C271</x:f>
        <x:v>Sealeo</x:v>
      </x:c>
      <x:c r="C1328" s="1" t="str">
        <x:f>'Habilidades'!D3061</x:f>
        <x:v>Brine</x:v>
      </x:c>
      <x:c r="D1328" s="1" t="str">
        <x:f>'Habilidades'!F3061</x:f>
        <x:v>Especial</x:v>
      </x:c>
      <x:c r="E1328" s="18" t="n">
        <x:f>'Habilidades'!G3061</x:f>
        <x:v>65</x:v>
      </x:c>
      <x:c r="F1328" s="18" t="n">
        <x:f>'Habilidades'!H3061</x:f>
        <x:v>75</x:v>
      </x:c>
      <x:c r="G1328" s="18" t="n">
        <x:f>'Habilidades'!I3061</x:f>
        <x:v>140</x:v>
      </x:c>
    </x:row>
    <x:row r="1329" ht="22" customHeight="1">
      <x:c r="A1329" s="17" t="n">
        <x:f>IF(B1329="","",IF(B1329=B1328,A1328,A1328+1))</x:f>
        <x:v>269</x:v>
      </x:c>
      <x:c r="B1329" s="1" t="str">
        <x:f>'Ranking'!C271</x:f>
        <x:v>Sealeo</x:v>
      </x:c>
      <x:c r="C1329" s="1" t="str">
        <x:f>'Habilidades'!D3062</x:f>
        <x:v>Aurora Beam</x:v>
      </x:c>
      <x:c r="D1329" s="1" t="str">
        <x:f>'Habilidades'!F3062</x:f>
        <x:v>Especial</x:v>
      </x:c>
      <x:c r="E1329" s="18" t="n">
        <x:f>'Habilidades'!G3062</x:f>
        <x:v>65</x:v>
      </x:c>
      <x:c r="F1329" s="18" t="n">
        <x:f>'Habilidades'!H3062</x:f>
        <x:v>75</x:v>
      </x:c>
      <x:c r="G1329" s="18" t="n">
        <x:f>'Habilidades'!I3062</x:f>
        <x:v>140</x:v>
      </x:c>
    </x:row>
    <x:row r="1330" ht="22" customHeight="1">
      <x:c r="A1330" s="19" t="n">
        <x:f>IF(B1330="","",IF(B1330=B1329,A1329,A1329+1))</x:f>
        <x:v>269</x:v>
      </x:c>
      <x:c r="B1330" s="20" t="str">
        <x:f>'Ranking'!C271</x:f>
        <x:v>Sealeo</x:v>
      </x:c>
      <x:c r="C1330" s="20" t="str">
        <x:f>'Habilidades'!D3063</x:f>
        <x:v>Snore</x:v>
      </x:c>
      <x:c r="D1330" s="20" t="str">
        <x:f>'Habilidades'!F3063</x:f>
        <x:v>Especial</x:v>
      </x:c>
      <x:c r="E1330" s="21" t="n">
        <x:f>'Habilidades'!G3063</x:f>
        <x:v>50</x:v>
      </x:c>
      <x:c r="F1330" s="21" t="n">
        <x:f>'Habilidades'!H3063</x:f>
        <x:v>75</x:v>
      </x:c>
      <x:c r="G1330" s="21" t="n">
        <x:f>'Habilidades'!I3063</x:f>
        <x:v>125</x:v>
      </x:c>
    </x:row>
    <x:row r="1331" ht="22" customHeight="1">
      <x:c r="A1331" s="17" t="n">
        <x:f>IF(B1331="","",IF(B1331=B1330,A1330,A1330+1))</x:f>
        <x:v>270</x:v>
      </x:c>
      <x:c r="B1331" s="1" t="str">
        <x:f>'Ranking'!C275</x:f>
        <x:v>Skiddo</x:v>
      </x:c>
      <x:c r="C1331" s="1" t="str">
        <x:f>'Habilidades'!D3650</x:f>
        <x:v>Double-Edge</x:v>
      </x:c>
      <x:c r="D1331" s="1" t="str">
        <x:f>'Habilidades'!F3650</x:f>
        <x:v>Física</x:v>
      </x:c>
      <x:c r="E1331" s="18" t="n">
        <x:f>'Habilidades'!G3650</x:f>
        <x:v>120</x:v>
      </x:c>
      <x:c r="F1331" s="18" t="n">
        <x:f>'Habilidades'!H3650</x:f>
        <x:v>65</x:v>
      </x:c>
      <x:c r="G1331" s="18" t="n">
        <x:f>'Habilidades'!I3650</x:f>
        <x:v>185</x:v>
      </x:c>
    </x:row>
    <x:row r="1332" ht="22" customHeight="1">
      <x:c r="A1332" s="17" t="n">
        <x:f>IF(B1332="","",IF(B1332=B1331,A1331,A1331+1))</x:f>
        <x:v>270</x:v>
      </x:c>
      <x:c r="B1332" s="1" t="str">
        <x:f>'Ranking'!C275</x:f>
        <x:v>Skiddo</x:v>
      </x:c>
      <x:c r="C1332" s="1" t="str">
        <x:f>'Habilidades'!D3651</x:f>
        <x:v>Take Down</x:v>
      </x:c>
      <x:c r="D1332" s="1" t="str">
        <x:f>'Habilidades'!F3651</x:f>
        <x:v>Física</x:v>
      </x:c>
      <x:c r="E1332" s="18" t="n">
        <x:f>'Habilidades'!G3651</x:f>
        <x:v>90</x:v>
      </x:c>
      <x:c r="F1332" s="18" t="n">
        <x:f>'Habilidades'!H3651</x:f>
        <x:v>65</x:v>
      </x:c>
      <x:c r="G1332" s="18" t="n">
        <x:f>'Habilidades'!I3651</x:f>
        <x:v>155</x:v>
      </x:c>
    </x:row>
    <x:row r="1333" ht="22" customHeight="1">
      <x:c r="A1333" s="17" t="n">
        <x:f>IF(B1333="","",IF(B1333=B1332,A1332,A1332+1))</x:f>
        <x:v>270</x:v>
      </x:c>
      <x:c r="B1333" s="1" t="str">
        <x:f>'Ranking'!C275</x:f>
        <x:v>Skiddo</x:v>
      </x:c>
      <x:c r="C1333" s="1" t="str">
        <x:f>'Habilidades'!D3652</x:f>
        <x:v>Leaf Blade</x:v>
      </x:c>
      <x:c r="D1333" s="1" t="str">
        <x:f>'Habilidades'!F3652</x:f>
        <x:v>Física</x:v>
      </x:c>
      <x:c r="E1333" s="18" t="n">
        <x:f>'Habilidades'!G3652</x:f>
        <x:v>90</x:v>
      </x:c>
      <x:c r="F1333" s="18" t="n">
        <x:f>'Habilidades'!H3652</x:f>
        <x:v>65</x:v>
      </x:c>
      <x:c r="G1333" s="18" t="n">
        <x:f>'Habilidades'!I3652</x:f>
        <x:v>155</x:v>
      </x:c>
    </x:row>
    <x:row r="1334" ht="22" customHeight="1">
      <x:c r="A1334" s="17" t="n">
        <x:f>IF(B1334="","",IF(B1334=B1333,A1333,A1333+1))</x:f>
        <x:v>270</x:v>
      </x:c>
      <x:c r="B1334" s="1" t="str">
        <x:f>'Ranking'!C275</x:f>
        <x:v>Skiddo</x:v>
      </x:c>
      <x:c r="C1334" s="1" t="str">
        <x:f>'Habilidades'!D3653</x:f>
        <x:v>Seed Bomb</x:v>
      </x:c>
      <x:c r="D1334" s="1" t="str">
        <x:f>'Habilidades'!F3653</x:f>
        <x:v>Física</x:v>
      </x:c>
      <x:c r="E1334" s="18" t="n">
        <x:f>'Habilidades'!G3653</x:f>
        <x:v>80</x:v>
      </x:c>
      <x:c r="F1334" s="18" t="n">
        <x:f>'Habilidades'!H3653</x:f>
        <x:v>65</x:v>
      </x:c>
      <x:c r="G1334" s="18" t="n">
        <x:f>'Habilidades'!I3653</x:f>
        <x:v>145</x:v>
      </x:c>
    </x:row>
    <x:row r="1335" ht="22" customHeight="1">
      <x:c r="A1335" s="19" t="n">
        <x:f>IF(B1335="","",IF(B1335=B1334,A1334,A1334+1))</x:f>
        <x:v>270</x:v>
      </x:c>
      <x:c r="B1335" s="20" t="str">
        <x:f>'Ranking'!C275</x:f>
        <x:v>Skiddo</x:v>
      </x:c>
      <x:c r="C1335" s="20" t="str">
        <x:f>'Habilidades'!D3654</x:f>
        <x:v>Horn Leech</x:v>
      </x:c>
      <x:c r="D1335" s="20" t="str">
        <x:f>'Habilidades'!F3654</x:f>
        <x:v>Física</x:v>
      </x:c>
      <x:c r="E1335" s="21" t="n">
        <x:f>'Habilidades'!G3654</x:f>
        <x:v>75</x:v>
      </x:c>
      <x:c r="F1335" s="21" t="n">
        <x:f>'Habilidades'!H3654</x:f>
        <x:v>65</x:v>
      </x:c>
      <x:c r="G1335" s="21" t="n">
        <x:f>'Habilidades'!I3654</x:f>
        <x:v>140</x:v>
      </x:c>
    </x:row>
    <x:row r="1336" ht="22" customHeight="1">
      <x:c r="A1336" s="17" t="n">
        <x:f>IF(B1336="","",IF(B1336=B1335,A1335,A1335+1))</x:f>
        <x:v>271</x:v>
      </x:c>
      <x:c r="B1336" s="1" t="str">
        <x:f>'Ranking'!C270</x:f>
        <x:v>Torkoal</x:v>
      </x:c>
      <x:c r="C1336" s="1" t="str">
        <x:f>'Habilidades'!D2747</x:f>
        <x:v>Inferno</x:v>
      </x:c>
      <x:c r="D1336" s="1" t="str">
        <x:f>'Habilidades'!F2747</x:f>
        <x:v>Especial</x:v>
      </x:c>
      <x:c r="E1336" s="18" t="n">
        <x:f>'Habilidades'!G2747</x:f>
        <x:v>100</x:v>
      </x:c>
      <x:c r="F1336" s="18" t="n">
        <x:f>'Habilidades'!H2747</x:f>
        <x:v>85</x:v>
      </x:c>
      <x:c r="G1336" s="18" t="n">
        <x:f>'Habilidades'!I2747</x:f>
        <x:v>185</x:v>
      </x:c>
    </x:row>
    <x:row r="1337" ht="22" customHeight="1">
      <x:c r="A1337" s="17" t="n">
        <x:f>IF(B1337="","",IF(B1337=B1336,A1336,A1336+1))</x:f>
        <x:v>271</x:v>
      </x:c>
      <x:c r="B1337" s="1" t="str">
        <x:f>'Ranking'!C270</x:f>
        <x:v>Torkoal</x:v>
      </x:c>
      <x:c r="C1337" s="1" t="str">
        <x:f>'Habilidades'!D2748</x:f>
        <x:v>Heat Wave</x:v>
      </x:c>
      <x:c r="D1337" s="1" t="str">
        <x:f>'Habilidades'!F2748</x:f>
        <x:v>Especial</x:v>
      </x:c>
      <x:c r="E1337" s="18" t="n">
        <x:f>'Habilidades'!G2748</x:f>
        <x:v>95</x:v>
      </x:c>
      <x:c r="F1337" s="18" t="n">
        <x:f>'Habilidades'!H2748</x:f>
        <x:v>85</x:v>
      </x:c>
      <x:c r="G1337" s="18" t="n">
        <x:f>'Habilidades'!I2748</x:f>
        <x:v>180</x:v>
      </x:c>
    </x:row>
    <x:row r="1338" ht="22" customHeight="1">
      <x:c r="A1338" s="17" t="n">
        <x:f>IF(B1338="","",IF(B1338=B1337,A1337,A1337+1))</x:f>
        <x:v>271</x:v>
      </x:c>
      <x:c r="B1338" s="1" t="str">
        <x:f>'Ranking'!C270</x:f>
        <x:v>Torkoal</x:v>
      </x:c>
      <x:c r="C1338" s="1" t="str">
        <x:f>'Habilidades'!D2749</x:f>
        <x:v>Flamethrower</x:v>
      </x:c>
      <x:c r="D1338" s="1" t="str">
        <x:f>'Habilidades'!F2749</x:f>
        <x:v>Especial</x:v>
      </x:c>
      <x:c r="E1338" s="18" t="n">
        <x:f>'Habilidades'!G2749</x:f>
        <x:v>90</x:v>
      </x:c>
      <x:c r="F1338" s="18" t="n">
        <x:f>'Habilidades'!H2749</x:f>
        <x:v>85</x:v>
      </x:c>
      <x:c r="G1338" s="18" t="n">
        <x:f>'Habilidades'!I2749</x:f>
        <x:v>175</x:v>
      </x:c>
    </x:row>
    <x:row r="1339" ht="22" customHeight="1">
      <x:c r="A1339" s="17" t="n">
        <x:f>IF(B1339="","",IF(B1339=B1338,A1338,A1338+1))</x:f>
        <x:v>271</x:v>
      </x:c>
      <x:c r="B1339" s="1" t="str">
        <x:f>'Ranking'!C270</x:f>
        <x:v>Torkoal</x:v>
      </x:c>
      <x:c r="C1339" s="1" t="str">
        <x:f>'Habilidades'!D2750</x:f>
        <x:v>Body Slam</x:v>
      </x:c>
      <x:c r="D1339" s="1" t="str">
        <x:f>'Habilidades'!F2750</x:f>
        <x:v>Física</x:v>
      </x:c>
      <x:c r="E1339" s="18" t="n">
        <x:f>'Habilidades'!G2750</x:f>
        <x:v>85</x:v>
      </x:c>
      <x:c r="F1339" s="18" t="n">
        <x:f>'Habilidades'!H2750</x:f>
        <x:v>85</x:v>
      </x:c>
      <x:c r="G1339" s="18" t="n">
        <x:f>'Habilidades'!I2750</x:f>
        <x:v>170</x:v>
      </x:c>
    </x:row>
    <x:row r="1340" ht="22" customHeight="1">
      <x:c r="A1340" s="19" t="n">
        <x:f>IF(B1340="","",IF(B1340=B1339,A1339,A1339+1))</x:f>
        <x:v>271</x:v>
      </x:c>
      <x:c r="B1340" s="20" t="str">
        <x:f>'Ranking'!C270</x:f>
        <x:v>Torkoal</x:v>
      </x:c>
      <x:c r="C1340" s="20" t="str">
        <x:f>'Habilidades'!D2751</x:f>
        <x:v>Lava Plume</x:v>
      </x:c>
      <x:c r="D1340" s="20" t="str">
        <x:f>'Habilidades'!F2751</x:f>
        <x:v>Especial</x:v>
      </x:c>
      <x:c r="E1340" s="21" t="n">
        <x:f>'Habilidades'!G2751</x:f>
        <x:v>80</x:v>
      </x:c>
      <x:c r="F1340" s="21" t="n">
        <x:f>'Habilidades'!H2751</x:f>
        <x:v>85</x:v>
      </x:c>
      <x:c r="G1340" s="21" t="n">
        <x:f>'Habilidades'!I2751</x:f>
        <x:v>165</x:v>
      </x:c>
    </x:row>
    <x:row r="1341" ht="22" customHeight="1">
      <x:c r="A1341" s="17" t="n">
        <x:f>IF(B1341="","",IF(B1341=B1340,A1340,A1340+1))</x:f>
        <x:v>272</x:v>
      </x:c>
      <x:c r="B1341" s="1" t="str">
        <x:f>'Ranking'!C272</x:f>
        <x:v>Totodile</x:v>
      </x:c>
      <x:c r="C1341" s="1" t="str">
        <x:f>'Habilidades'!D1522</x:f>
        <x:v>Thrash</x:v>
      </x:c>
      <x:c r="D1341" s="1" t="str">
        <x:f>'Habilidades'!F1522</x:f>
        <x:v>Física</x:v>
      </x:c>
      <x:c r="E1341" s="18" t="n">
        <x:f>'Habilidades'!G1522</x:f>
        <x:v>120</x:v>
      </x:c>
      <x:c r="F1341" s="18" t="n">
        <x:f>'Habilidades'!H1522</x:f>
        <x:v>65</x:v>
      </x:c>
      <x:c r="G1341" s="18" t="n">
        <x:f>'Habilidades'!I1522</x:f>
        <x:v>185</x:v>
      </x:c>
    </x:row>
    <x:row r="1342" ht="22" customHeight="1">
      <x:c r="A1342" s="17" t="n">
        <x:f>IF(B1342="","",IF(B1342=B1341,A1341,A1341+1))</x:f>
        <x:v>272</x:v>
      </x:c>
      <x:c r="B1342" s="1" t="str">
        <x:f>'Ranking'!C272</x:f>
        <x:v>Totodile</x:v>
      </x:c>
      <x:c r="C1342" s="1" t="str">
        <x:f>'Habilidades'!D1523</x:f>
        <x:v>Superpower</x:v>
      </x:c>
      <x:c r="D1342" s="1" t="str">
        <x:f>'Habilidades'!F1523</x:f>
        <x:v>Física</x:v>
      </x:c>
      <x:c r="E1342" s="18" t="n">
        <x:f>'Habilidades'!G1523</x:f>
        <x:v>120</x:v>
      </x:c>
      <x:c r="F1342" s="18" t="n">
        <x:f>'Habilidades'!H1523</x:f>
        <x:v>65</x:v>
      </x:c>
      <x:c r="G1342" s="18" t="n">
        <x:f>'Habilidades'!I1523</x:f>
        <x:v>185</x:v>
      </x:c>
    </x:row>
    <x:row r="1343" ht="22" customHeight="1">
      <x:c r="A1343" s="17" t="n">
        <x:f>IF(B1343="","",IF(B1343=B1342,A1342,A1342+1))</x:f>
        <x:v>272</x:v>
      </x:c>
      <x:c r="B1343" s="1" t="str">
        <x:f>'Ranking'!C272</x:f>
        <x:v>Totodile</x:v>
      </x:c>
      <x:c r="C1343" s="1" t="str">
        <x:f>'Habilidades'!D1524</x:f>
        <x:v>Aqua Tail</x:v>
      </x:c>
      <x:c r="D1343" s="1" t="str">
        <x:f>'Habilidades'!F1524</x:f>
        <x:v>Física</x:v>
      </x:c>
      <x:c r="E1343" s="18" t="n">
        <x:f>'Habilidades'!G1524</x:f>
        <x:v>90</x:v>
      </x:c>
      <x:c r="F1343" s="18" t="n">
        <x:f>'Habilidades'!H1524</x:f>
        <x:v>65</x:v>
      </x:c>
      <x:c r="G1343" s="18" t="n">
        <x:f>'Habilidades'!I1524</x:f>
        <x:v>155</x:v>
      </x:c>
    </x:row>
    <x:row r="1344" ht="22" customHeight="1">
      <x:c r="A1344" s="17" t="n">
        <x:f>IF(B1344="","",IF(B1344=B1343,A1343,A1343+1))</x:f>
        <x:v>272</x:v>
      </x:c>
      <x:c r="B1344" s="1" t="str">
        <x:f>'Ranking'!C272</x:f>
        <x:v>Totodile</x:v>
      </x:c>
      <x:c r="C1344" s="1" t="str">
        <x:f>'Habilidades'!D1525</x:f>
        <x:v>Hydro Pump</x:v>
      </x:c>
      <x:c r="D1344" s="1" t="str">
        <x:f>'Habilidades'!F1525</x:f>
        <x:v>Especial</x:v>
      </x:c>
      <x:c r="E1344" s="18" t="n">
        <x:f>'Habilidades'!G1525</x:f>
        <x:v>110</x:v>
      </x:c>
      <x:c r="F1344" s="18" t="n">
        <x:f>'Habilidades'!H1525</x:f>
        <x:v>44</x:v>
      </x:c>
      <x:c r="G1344" s="18" t="n">
        <x:f>'Habilidades'!I1525</x:f>
        <x:v>154</x:v>
      </x:c>
    </x:row>
    <x:row r="1345" ht="22" customHeight="1">
      <x:c r="A1345" s="19" t="n">
        <x:f>IF(B1345="","",IF(B1345=B1344,A1344,A1344+1))</x:f>
        <x:v>272</x:v>
      </x:c>
      <x:c r="B1345" s="20" t="str">
        <x:f>'Ranking'!C272</x:f>
        <x:v>Totodile</x:v>
      </x:c>
      <x:c r="C1345" s="20" t="str">
        <x:f>'Habilidades'!D1526</x:f>
        <x:v>Crunch</x:v>
      </x:c>
      <x:c r="D1345" s="20" t="str">
        <x:f>'Habilidades'!F1526</x:f>
        <x:v>Física</x:v>
      </x:c>
      <x:c r="E1345" s="21" t="n">
        <x:f>'Habilidades'!G1526</x:f>
        <x:v>80</x:v>
      </x:c>
      <x:c r="F1345" s="21" t="n">
        <x:f>'Habilidades'!H1526</x:f>
        <x:v>65</x:v>
      </x:c>
      <x:c r="G1345" s="21" t="n">
        <x:f>'Habilidades'!I1526</x:f>
        <x:v>145</x:v>
      </x:c>
    </x:row>
    <x:row r="1346" ht="22" customHeight="1">
      <x:c r="A1346" s="17" t="n">
        <x:f>IF(B1346="","",IF(B1346=B1345,A1345,A1345+1))</x:f>
        <x:v>273</x:v>
      </x:c>
      <x:c r="B1346" s="1" t="str">
        <x:f>'Ranking'!C277</x:f>
        <x:v>Bayleef</x:v>
      </x:c>
      <x:c r="C1346" s="1" t="str">
        <x:f>'Habilidades'!D1472</x:f>
        <x:v>Solar Beam</x:v>
      </x:c>
      <x:c r="D1346" s="1" t="str">
        <x:f>'Habilidades'!F1472</x:f>
        <x:v>Especial</x:v>
      </x:c>
      <x:c r="E1346" s="18" t="n">
        <x:f>'Habilidades'!G1472</x:f>
        <x:v>120</x:v>
      </x:c>
      <x:c r="F1346" s="18" t="n">
        <x:f>'Habilidades'!H1472</x:f>
        <x:v>63</x:v>
      </x:c>
      <x:c r="G1346" s="18" t="n">
        <x:f>'Habilidades'!I1472</x:f>
        <x:v>183</x:v>
      </x:c>
    </x:row>
    <x:row r="1347" ht="22" customHeight="1">
      <x:c r="A1347" s="17" t="n">
        <x:f>IF(B1347="","",IF(B1347=B1346,A1346,A1346+1))</x:f>
        <x:v>273</x:v>
      </x:c>
      <x:c r="B1347" s="1" t="str">
        <x:f>'Ranking'!C277</x:f>
        <x:v>Bayleef</x:v>
      </x:c>
      <x:c r="C1347" s="1" t="str">
        <x:f>'Habilidades'!D1473</x:f>
        <x:v>Body Slam</x:v>
      </x:c>
      <x:c r="D1347" s="1" t="str">
        <x:f>'Habilidades'!F1473</x:f>
        <x:v>Física</x:v>
      </x:c>
      <x:c r="E1347" s="18" t="n">
        <x:f>'Habilidades'!G1473</x:f>
        <x:v>85</x:v>
      </x:c>
      <x:c r="F1347" s="18" t="n">
        <x:f>'Habilidades'!H1473</x:f>
        <x:v>62</x:v>
      </x:c>
      <x:c r="G1347" s="18" t="n">
        <x:f>'Habilidades'!I1473</x:f>
        <x:v>147</x:v>
      </x:c>
    </x:row>
    <x:row r="1348" ht="22" customHeight="1">
      <x:c r="A1348" s="17" t="n">
        <x:f>IF(B1348="","",IF(B1348=B1347,A1347,A1347+1))</x:f>
        <x:v>273</x:v>
      </x:c>
      <x:c r="B1348" s="1" t="str">
        <x:f>'Ranking'!C277</x:f>
        <x:v>Bayleef</x:v>
      </x:c>
      <x:c r="C1348" s="1" t="str">
        <x:f>'Habilidades'!D1474</x:f>
        <x:v>Magical Leaf</x:v>
      </x:c>
      <x:c r="D1348" s="1" t="str">
        <x:f>'Habilidades'!F1474</x:f>
        <x:v>Especial</x:v>
      </x:c>
      <x:c r="E1348" s="18" t="n">
        <x:f>'Habilidades'!G1474</x:f>
        <x:v>60</x:v>
      </x:c>
      <x:c r="F1348" s="18" t="n">
        <x:f>'Habilidades'!H1474</x:f>
        <x:v>63</x:v>
      </x:c>
      <x:c r="G1348" s="18" t="n">
        <x:f>'Habilidades'!I1474</x:f>
        <x:v>123</x:v>
      </x:c>
    </x:row>
    <x:row r="1349" ht="22" customHeight="1">
      <x:c r="A1349" s="17" t="n">
        <x:f>IF(B1349="","",IF(B1349=B1348,A1348,A1348+1))</x:f>
        <x:v>273</x:v>
      </x:c>
      <x:c r="B1349" s="1" t="str">
        <x:f>'Ranking'!C277</x:f>
        <x:v>Bayleef</x:v>
      </x:c>
      <x:c r="C1349" s="1" t="str">
        <x:f>'Habilidades'!D1475</x:f>
        <x:v>Razor Leaf</x:v>
      </x:c>
      <x:c r="D1349" s="1" t="str">
        <x:f>'Habilidades'!F1475</x:f>
        <x:v>Física</x:v>
      </x:c>
      <x:c r="E1349" s="18" t="n">
        <x:f>'Habilidades'!G1475</x:f>
        <x:v>55</x:v>
      </x:c>
      <x:c r="F1349" s="18" t="n">
        <x:f>'Habilidades'!H1475</x:f>
        <x:v>62</x:v>
      </x:c>
      <x:c r="G1349" s="18" t="n">
        <x:f>'Habilidades'!I1475</x:f>
        <x:v>117</x:v>
      </x:c>
    </x:row>
    <x:row r="1350" ht="22" customHeight="1">
      <x:c r="A1350" s="19" t="n">
        <x:f>IF(B1350="","",IF(B1350=B1349,A1349,A1349+1))</x:f>
        <x:v>273</x:v>
      </x:c>
      <x:c r="B1350" s="20" t="str">
        <x:f>'Ranking'!C277</x:f>
        <x:v>Bayleef</x:v>
      </x:c>
      <x:c r="C1350" s="20" t="str">
        <x:f>'Habilidades'!D1476</x:f>
        <x:v>Tackle</x:v>
      </x:c>
      <x:c r="D1350" s="20" t="str">
        <x:f>'Habilidades'!F1476</x:f>
        <x:v>Física</x:v>
      </x:c>
      <x:c r="E1350" s="21" t="n">
        <x:f>'Habilidades'!G1476</x:f>
        <x:v>50</x:v>
      </x:c>
      <x:c r="F1350" s="21" t="n">
        <x:f>'Habilidades'!H1476</x:f>
        <x:v>62</x:v>
      </x:c>
      <x:c r="G1350" s="21" t="n">
        <x:f>'Habilidades'!I1476</x:f>
        <x:v>112</x:v>
      </x:c>
    </x:row>
    <x:row r="1351" ht="22" customHeight="1">
      <x:c r="A1351" s="17" t="n">
        <x:f>IF(B1351="","",IF(B1351=B1350,A1350,A1350+1))</x:f>
        <x:v>274</x:v>
      </x:c>
      <x:c r="B1351" s="1" t="str">
        <x:f>'Ranking'!C278</x:f>
        <x:v>Flabebe</x:v>
      </x:c>
      <x:c r="C1351" s="1" t="str">
        <x:f>'Habilidades'!D3627</x:f>
        <x:v>Petal Dance</x:v>
      </x:c>
      <x:c r="D1351" s="1" t="str">
        <x:f>'Habilidades'!F3627</x:f>
        <x:v>Especial</x:v>
      </x:c>
      <x:c r="E1351" s="18" t="n">
        <x:f>'Habilidades'!G3627</x:f>
        <x:v>120</x:v>
      </x:c>
      <x:c r="F1351" s="18" t="n">
        <x:f>'Habilidades'!H3627</x:f>
        <x:v>61</x:v>
      </x:c>
      <x:c r="G1351" s="18" t="n">
        <x:f>'Habilidades'!I3627</x:f>
        <x:v>181</x:v>
      </x:c>
    </x:row>
    <x:row r="1352" ht="22" customHeight="1">
      <x:c r="A1352" s="17" t="n">
        <x:f>IF(B1352="","",IF(B1352=B1351,A1351,A1351+1))</x:f>
        <x:v>274</x:v>
      </x:c>
      <x:c r="B1352" s="1" t="str">
        <x:f>'Ranking'!C278</x:f>
        <x:v>Flabebe</x:v>
      </x:c>
      <x:c r="C1352" s="1" t="str">
        <x:f>'Habilidades'!D3628</x:f>
        <x:v>Solar Beam</x:v>
      </x:c>
      <x:c r="D1352" s="1" t="str">
        <x:f>'Habilidades'!F3628</x:f>
        <x:v>Especial</x:v>
      </x:c>
      <x:c r="E1352" s="18" t="n">
        <x:f>'Habilidades'!G3628</x:f>
        <x:v>120</x:v>
      </x:c>
      <x:c r="F1352" s="18" t="n">
        <x:f>'Habilidades'!H3628</x:f>
        <x:v>61</x:v>
      </x:c>
      <x:c r="G1352" s="18" t="n">
        <x:f>'Habilidades'!I3628</x:f>
        <x:v>181</x:v>
      </x:c>
    </x:row>
    <x:row r="1353" ht="22" customHeight="1">
      <x:c r="A1353" s="17" t="n">
        <x:f>IF(B1353="","",IF(B1353=B1352,A1352,A1352+1))</x:f>
        <x:v>274</x:v>
      </x:c>
      <x:c r="B1353" s="1" t="str">
        <x:f>'Ranking'!C278</x:f>
        <x:v>Flabebe</x:v>
      </x:c>
      <x:c r="C1353" s="1" t="str">
        <x:f>'Habilidades'!D3629</x:f>
        <x:v>Moonblast</x:v>
      </x:c>
      <x:c r="D1353" s="1" t="str">
        <x:f>'Habilidades'!F3629</x:f>
        <x:v>Especial</x:v>
      </x:c>
      <x:c r="E1353" s="18" t="n">
        <x:f>'Habilidades'!G3629</x:f>
        <x:v>95</x:v>
      </x:c>
      <x:c r="F1353" s="18" t="n">
        <x:f>'Habilidades'!H3629</x:f>
        <x:v>61</x:v>
      </x:c>
      <x:c r="G1353" s="18" t="n">
        <x:f>'Habilidades'!I3629</x:f>
        <x:v>156</x:v>
      </x:c>
    </x:row>
    <x:row r="1354" ht="22" customHeight="1">
      <x:c r="A1354" s="17" t="n">
        <x:f>IF(B1354="","",IF(B1354=B1353,A1353,A1353+1))</x:f>
        <x:v>274</x:v>
      </x:c>
      <x:c r="B1354" s="1" t="str">
        <x:f>'Ranking'!C278</x:f>
        <x:v>Flabebe</x:v>
      </x:c>
      <x:c r="C1354" s="1" t="str">
        <x:f>'Habilidades'!D3630</x:f>
        <x:v>Petal Blizzard</x:v>
      </x:c>
      <x:c r="D1354" s="1" t="str">
        <x:f>'Habilidades'!F3630</x:f>
        <x:v>Física</x:v>
      </x:c>
      <x:c r="E1354" s="18" t="n">
        <x:f>'Habilidades'!G3630</x:f>
        <x:v>90</x:v>
      </x:c>
      <x:c r="F1354" s="18" t="n">
        <x:f>'Habilidades'!H3630</x:f>
        <x:v>38</x:v>
      </x:c>
      <x:c r="G1354" s="18" t="n">
        <x:f>'Habilidades'!I3630</x:f>
        <x:v>128</x:v>
      </x:c>
    </x:row>
    <x:row r="1355" ht="22" customHeight="1">
      <x:c r="A1355" s="19" t="n">
        <x:f>IF(B1355="","",IF(B1355=B1354,A1354,A1354+1))</x:f>
        <x:v>274</x:v>
      </x:c>
      <x:c r="B1355" s="20" t="str">
        <x:f>'Ranking'!C278</x:f>
        <x:v>Flabebe</x:v>
      </x:c>
      <x:c r="C1355" s="20" t="str">
        <x:f>'Habilidades'!D3631</x:f>
        <x:v>Magical Leaf</x:v>
      </x:c>
      <x:c r="D1355" s="20" t="str">
        <x:f>'Habilidades'!F3631</x:f>
        <x:v>Especial</x:v>
      </x:c>
      <x:c r="E1355" s="21" t="n">
        <x:f>'Habilidades'!G3631</x:f>
        <x:v>60</x:v>
      </x:c>
      <x:c r="F1355" s="21" t="n">
        <x:f>'Habilidades'!H3631</x:f>
        <x:v>61</x:v>
      </x:c>
      <x:c r="G1355" s="21" t="n">
        <x:f>'Habilidades'!I3631</x:f>
        <x:v>121</x:v>
      </x:c>
    </x:row>
    <x:row r="1356" ht="22" customHeight="1">
      <x:c r="A1356" s="17" t="n">
        <x:f>IF(B1356="","",IF(B1356=B1355,A1355,A1355+1))</x:f>
        <x:v>275</x:v>
      </x:c>
      <x:c r="B1356" s="1" t="str">
        <x:f>'Ranking'!C281</x:f>
        <x:v>Carvanha</x:v>
      </x:c>
      <x:c r="C1356" s="1" t="str">
        <x:f>'Habilidades'!D2710</x:f>
        <x:v>Take Down</x:v>
      </x:c>
      <x:c r="D1356" s="1" t="str">
        <x:f>'Habilidades'!F2710</x:f>
        <x:v>Física</x:v>
      </x:c>
      <x:c r="E1356" s="18" t="n">
        <x:f>'Habilidades'!G2710</x:f>
        <x:v>90</x:v>
      </x:c>
      <x:c r="F1356" s="18" t="n">
        <x:f>'Habilidades'!H2710</x:f>
        <x:v>90</x:v>
      </x:c>
      <x:c r="G1356" s="18" t="n">
        <x:f>'Habilidades'!I2710</x:f>
        <x:v>180</x:v>
      </x:c>
    </x:row>
    <x:row r="1357" ht="22" customHeight="1">
      <x:c r="A1357" s="17" t="n">
        <x:f>IF(B1357="","",IF(B1357=B1356,A1356,A1356+1))</x:f>
        <x:v>275</x:v>
      </x:c>
      <x:c r="B1357" s="1" t="str">
        <x:f>'Ranking'!C281</x:f>
        <x:v>Carvanha</x:v>
      </x:c>
      <x:c r="C1357" s="1" t="str">
        <x:f>'Habilidades'!D2711</x:f>
        <x:v>Crunch</x:v>
      </x:c>
      <x:c r="D1357" s="1" t="str">
        <x:f>'Habilidades'!F2711</x:f>
        <x:v>Física</x:v>
      </x:c>
      <x:c r="E1357" s="18" t="n">
        <x:f>'Habilidades'!G2711</x:f>
        <x:v>80</x:v>
      </x:c>
      <x:c r="F1357" s="18" t="n">
        <x:f>'Habilidades'!H2711</x:f>
        <x:v>90</x:v>
      </x:c>
      <x:c r="G1357" s="18" t="n">
        <x:f>'Habilidades'!I2711</x:f>
        <x:v>170</x:v>
      </x:c>
    </x:row>
    <x:row r="1358" ht="22" customHeight="1">
      <x:c r="A1358" s="17" t="n">
        <x:f>IF(B1358="","",IF(B1358=B1357,A1357,A1357+1))</x:f>
        <x:v>275</x:v>
      </x:c>
      <x:c r="B1358" s="1" t="str">
        <x:f>'Ranking'!C281</x:f>
        <x:v>Carvanha</x:v>
      </x:c>
      <x:c r="C1358" s="1" t="str">
        <x:f>'Habilidades'!D2712</x:f>
        <x:v>Ice Fang</x:v>
      </x:c>
      <x:c r="D1358" s="1" t="str">
        <x:f>'Habilidades'!F2712</x:f>
        <x:v>Física</x:v>
      </x:c>
      <x:c r="E1358" s="18" t="n">
        <x:f>'Habilidades'!G2712</x:f>
        <x:v>65</x:v>
      </x:c>
      <x:c r="F1358" s="18" t="n">
        <x:f>'Habilidades'!H2712</x:f>
        <x:v>90</x:v>
      </x:c>
      <x:c r="G1358" s="18" t="n">
        <x:f>'Habilidades'!I2712</x:f>
        <x:v>155</x:v>
      </x:c>
    </x:row>
    <x:row r="1359" ht="22" customHeight="1">
      <x:c r="A1359" s="17" t="n">
        <x:f>IF(B1359="","",IF(B1359=B1358,A1358,A1358+1))</x:f>
        <x:v>275</x:v>
      </x:c>
      <x:c r="B1359" s="1" t="str">
        <x:f>'Ranking'!C281</x:f>
        <x:v>Carvanha</x:v>
      </x:c>
      <x:c r="C1359" s="1" t="str">
        <x:f>'Habilidades'!D2713</x:f>
        <x:v>Bite</x:v>
      </x:c>
      <x:c r="D1359" s="1" t="str">
        <x:f>'Habilidades'!F2713</x:f>
        <x:v>Física</x:v>
      </x:c>
      <x:c r="E1359" s="18" t="n">
        <x:f>'Habilidades'!G2713</x:f>
        <x:v>60</x:v>
      </x:c>
      <x:c r="F1359" s="18" t="n">
        <x:f>'Habilidades'!H2713</x:f>
        <x:v>90</x:v>
      </x:c>
      <x:c r="G1359" s="18" t="n">
        <x:f>'Habilidades'!I2713</x:f>
        <x:v>150</x:v>
      </x:c>
    </x:row>
    <x:row r="1360" ht="22" customHeight="1">
      <x:c r="A1360" s="19" t="n">
        <x:f>IF(B1360="","",IF(B1360=B1359,A1359,A1359+1))</x:f>
        <x:v>275</x:v>
      </x:c>
      <x:c r="B1360" s="20" t="str">
        <x:f>'Ranking'!C281</x:f>
        <x:v>Carvanha</x:v>
      </x:c>
      <x:c r="C1360" s="20" t="str">
        <x:f>'Habilidades'!D2714</x:f>
        <x:v>Assurance</x:v>
      </x:c>
      <x:c r="D1360" s="20" t="str">
        <x:f>'Habilidades'!F2714</x:f>
        <x:v>Física</x:v>
      </x:c>
      <x:c r="E1360" s="21" t="n">
        <x:f>'Habilidades'!G2714</x:f>
        <x:v>60</x:v>
      </x:c>
      <x:c r="F1360" s="21" t="n">
        <x:f>'Habilidades'!H2714</x:f>
        <x:v>90</x:v>
      </x:c>
      <x:c r="G1360" s="21" t="n">
        <x:f>'Habilidades'!I2714</x:f>
        <x:v>150</x:v>
      </x:c>
    </x:row>
    <x:row r="1361" ht="22" customHeight="1">
      <x:c r="A1361" s="17" t="n">
        <x:f>IF(B1361="","",IF(B1361=B1360,A1360,A1360+1))</x:f>
        <x:v>276</x:v>
      </x:c>
      <x:c r="B1361" s="1" t="str">
        <x:f>'Ranking'!C283</x:f>
        <x:v>Charmeleon</x:v>
      </x:c>
      <x:c r="C1361" s="1" t="str">
        <x:f>'Habilidades'!D43</x:f>
        <x:v>Inferno</x:v>
      </x:c>
      <x:c r="D1361" s="1" t="str">
        <x:f>'Habilidades'!F43</x:f>
        <x:v>Especial</x:v>
      </x:c>
      <x:c r="E1361" s="18" t="n">
        <x:f>'Habilidades'!G43</x:f>
        <x:v>100</x:v>
      </x:c>
      <x:c r="F1361" s="18" t="n">
        <x:f>'Habilidades'!H43</x:f>
        <x:v>80</x:v>
      </x:c>
      <x:c r="G1361" s="18" t="n">
        <x:f>'Habilidades'!I43</x:f>
        <x:v>180</x:v>
      </x:c>
    </x:row>
    <x:row r="1362" ht="22" customHeight="1">
      <x:c r="A1362" s="17" t="n">
        <x:f>IF(B1362="","",IF(B1362=B1361,A1361,A1361+1))</x:f>
        <x:v>276</x:v>
      </x:c>
      <x:c r="B1362" s="1" t="str">
        <x:f>'Ranking'!C283</x:f>
        <x:v>Charmeleon</x:v>
      </x:c>
      <x:c r="C1362" s="1" t="str">
        <x:f>'Habilidades'!D44</x:f>
        <x:v>Flamethrower</x:v>
      </x:c>
      <x:c r="D1362" s="1" t="str">
        <x:f>'Habilidades'!F44</x:f>
        <x:v>Especial</x:v>
      </x:c>
      <x:c r="E1362" s="18" t="n">
        <x:f>'Habilidades'!G44</x:f>
        <x:v>90</x:v>
      </x:c>
      <x:c r="F1362" s="18" t="n">
        <x:f>'Habilidades'!H44</x:f>
        <x:v>80</x:v>
      </x:c>
      <x:c r="G1362" s="18" t="n">
        <x:f>'Habilidades'!I44</x:f>
        <x:v>170</x:v>
      </x:c>
    </x:row>
    <x:row r="1363" ht="22" customHeight="1">
      <x:c r="A1363" s="17" t="n">
        <x:f>IF(B1363="","",IF(B1363=B1362,A1362,A1362+1))</x:f>
        <x:v>276</x:v>
      </x:c>
      <x:c r="B1363" s="1" t="str">
        <x:f>'Ranking'!C283</x:f>
        <x:v>Charmeleon</x:v>
      </x:c>
      <x:c r="C1363" s="1" t="str">
        <x:f>'Habilidades'!D45</x:f>
        <x:v>Flame Burst</x:v>
      </x:c>
      <x:c r="D1363" s="1" t="str">
        <x:f>'Habilidades'!F45</x:f>
        <x:v>Especial</x:v>
      </x:c>
      <x:c r="E1363" s="18" t="n">
        <x:f>'Habilidades'!G45</x:f>
        <x:v>70</x:v>
      </x:c>
      <x:c r="F1363" s="18" t="n">
        <x:f>'Habilidades'!H45</x:f>
        <x:v>80</x:v>
      </x:c>
      <x:c r="G1363" s="18" t="n">
        <x:f>'Habilidades'!I45</x:f>
        <x:v>150</x:v>
      </x:c>
    </x:row>
    <x:row r="1364" ht="22" customHeight="1">
      <x:c r="A1364" s="17" t="n">
        <x:f>IF(B1364="","",IF(B1364=B1363,A1363,A1363+1))</x:f>
        <x:v>276</x:v>
      </x:c>
      <x:c r="B1364" s="1" t="str">
        <x:f>'Ranking'!C283</x:f>
        <x:v>Charmeleon</x:v>
      </x:c>
      <x:c r="C1364" s="1" t="str">
        <x:f>'Habilidades'!D46</x:f>
        <x:v>Slash</x:v>
      </x:c>
      <x:c r="D1364" s="1" t="str">
        <x:f>'Habilidades'!F46</x:f>
        <x:v>Física</x:v>
      </x:c>
      <x:c r="E1364" s="18" t="n">
        <x:f>'Habilidades'!G46</x:f>
        <x:v>70</x:v>
      </x:c>
      <x:c r="F1364" s="18" t="n">
        <x:f>'Habilidades'!H46</x:f>
        <x:v>64</x:v>
      </x:c>
      <x:c r="G1364" s="18" t="n">
        <x:f>'Habilidades'!I46</x:f>
        <x:v>134</x:v>
      </x:c>
    </x:row>
    <x:row r="1365" ht="22" customHeight="1">
      <x:c r="A1365" s="19" t="n">
        <x:f>IF(B1365="","",IF(B1365=B1364,A1364,A1364+1))</x:f>
        <x:v>276</x:v>
      </x:c>
      <x:c r="B1365" s="20" t="str">
        <x:f>'Ranking'!C283</x:f>
        <x:v>Charmeleon</x:v>
      </x:c>
      <x:c r="C1365" s="20" t="str">
        <x:f>'Habilidades'!D47</x:f>
        <x:v>Fire Fang</x:v>
      </x:c>
      <x:c r="D1365" s="20" t="str">
        <x:f>'Habilidades'!F47</x:f>
        <x:v>Física</x:v>
      </x:c>
      <x:c r="E1365" s="21" t="n">
        <x:f>'Habilidades'!G47</x:f>
        <x:v>65</x:v>
      </x:c>
      <x:c r="F1365" s="21" t="n">
        <x:f>'Habilidades'!H47</x:f>
        <x:v>64</x:v>
      </x:c>
      <x:c r="G1365" s="21" t="n">
        <x:f>'Habilidades'!I47</x:f>
        <x:v>129</x:v>
      </x:c>
    </x:row>
    <x:row r="1366" ht="22" customHeight="1">
      <x:c r="A1366" s="17" t="n">
        <x:f>IF(B1366="","",IF(B1366=B1365,A1365,A1365+1))</x:f>
        <x:v>277</x:v>
      </x:c>
      <x:c r="B1366" s="1" t="str">
        <x:f>'Ranking'!C287</x:f>
        <x:v>Corphish</x:v>
      </x:c>
      <x:c r="C1366" s="1" t="str">
        <x:f>'Habilidades'!D2916</x:f>
        <x:v>Crabhammer</x:v>
      </x:c>
      <x:c r="D1366" s="1" t="str">
        <x:f>'Habilidades'!F2916</x:f>
        <x:v>Física</x:v>
      </x:c>
      <x:c r="E1366" s="18" t="n">
        <x:f>'Habilidades'!G2916</x:f>
        <x:v>100</x:v>
      </x:c>
      <x:c r="F1366" s="18" t="n">
        <x:f>'Habilidades'!H2916</x:f>
        <x:v>80</x:v>
      </x:c>
      <x:c r="G1366" s="18" t="n">
        <x:f>'Habilidades'!I2916</x:f>
        <x:v>180</x:v>
      </x:c>
    </x:row>
    <x:row r="1367" ht="22" customHeight="1">
      <x:c r="A1367" s="17" t="n">
        <x:f>IF(B1367="","",IF(B1367=B1366,A1366,A1366+1))</x:f>
        <x:v>277</x:v>
      </x:c>
      <x:c r="B1367" s="1" t="str">
        <x:f>'Ranking'!C287</x:f>
        <x:v>Corphish</x:v>
      </x:c>
      <x:c r="C1367" s="1" t="str">
        <x:f>'Habilidades'!D2917</x:f>
        <x:v>Crunch</x:v>
      </x:c>
      <x:c r="D1367" s="1" t="str">
        <x:f>'Habilidades'!F2917</x:f>
        <x:v>Física</x:v>
      </x:c>
      <x:c r="E1367" s="18" t="n">
        <x:f>'Habilidades'!G2917</x:f>
        <x:v>80</x:v>
      </x:c>
      <x:c r="F1367" s="18" t="n">
        <x:f>'Habilidades'!H2917</x:f>
        <x:v>80</x:v>
      </x:c>
      <x:c r="G1367" s="18" t="n">
        <x:f>'Habilidades'!I2917</x:f>
        <x:v>160</x:v>
      </x:c>
    </x:row>
    <x:row r="1368" ht="22" customHeight="1">
      <x:c r="A1368" s="17" t="n">
        <x:f>IF(B1368="","",IF(B1368=B1367,A1367,A1367+1))</x:f>
        <x:v>277</x:v>
      </x:c>
      <x:c r="B1368" s="1" t="str">
        <x:f>'Ranking'!C287</x:f>
        <x:v>Corphish</x:v>
      </x:c>
      <x:c r="C1368" s="1" t="str">
        <x:f>'Habilidades'!D2918</x:f>
        <x:v>Razor Shell</x:v>
      </x:c>
      <x:c r="D1368" s="1" t="str">
        <x:f>'Habilidades'!F2918</x:f>
        <x:v>Física</x:v>
      </x:c>
      <x:c r="E1368" s="18" t="n">
        <x:f>'Habilidades'!G2918</x:f>
        <x:v>75</x:v>
      </x:c>
      <x:c r="F1368" s="18" t="n">
        <x:f>'Habilidades'!H2918</x:f>
        <x:v>80</x:v>
      </x:c>
      <x:c r="G1368" s="18" t="n">
        <x:f>'Habilidades'!I2918</x:f>
        <x:v>155</x:v>
      </x:c>
    </x:row>
    <x:row r="1369" ht="22" customHeight="1">
      <x:c r="A1369" s="17" t="n">
        <x:f>IF(B1369="","",IF(B1369=B1368,A1368,A1368+1))</x:f>
        <x:v>277</x:v>
      </x:c>
      <x:c r="B1369" s="1" t="str">
        <x:f>'Ranking'!C287</x:f>
        <x:v>Corphish</x:v>
      </x:c>
      <x:c r="C1369" s="1" t="str">
        <x:f>'Habilidades'!D2919</x:f>
        <x:v>Night Slash</x:v>
      </x:c>
      <x:c r="D1369" s="1" t="str">
        <x:f>'Habilidades'!F2919</x:f>
        <x:v>Física</x:v>
      </x:c>
      <x:c r="E1369" s="18" t="n">
        <x:f>'Habilidades'!G2919</x:f>
        <x:v>70</x:v>
      </x:c>
      <x:c r="F1369" s="18" t="n">
        <x:f>'Habilidades'!H2919</x:f>
        <x:v>80</x:v>
      </x:c>
      <x:c r="G1369" s="18" t="n">
        <x:f>'Habilidades'!I2919</x:f>
        <x:v>150</x:v>
      </x:c>
    </x:row>
    <x:row r="1370" ht="22" customHeight="1">
      <x:c r="A1370" s="19" t="n">
        <x:f>IF(B1370="","",IF(B1370=B1369,A1369,A1369+1))</x:f>
        <x:v>277</x:v>
      </x:c>
      <x:c r="B1370" s="20" t="str">
        <x:f>'Ranking'!C287</x:f>
        <x:v>Corphish</x:v>
      </x:c>
      <x:c r="C1370" s="20" t="str">
        <x:f>'Habilidades'!D2922</x:f>
        <x:v>Bubble Beam</x:v>
      </x:c>
      <x:c r="D1370" s="20" t="str">
        <x:f>'Habilidades'!F2922</x:f>
        <x:v>Especial</x:v>
      </x:c>
      <x:c r="E1370" s="21" t="n">
        <x:f>'Habilidades'!G2922</x:f>
        <x:v>65</x:v>
      </x:c>
      <x:c r="F1370" s="21" t="n">
        <x:f>'Habilidades'!H2922</x:f>
        <x:v>50</x:v>
      </x:c>
      <x:c r="G1370" s="21" t="n">
        <x:f>'Habilidades'!I2922</x:f>
        <x:v>115</x:v>
      </x:c>
    </x:row>
    <x:row r="1371" ht="22" customHeight="1">
      <x:c r="A1371" s="17" t="n">
        <x:f>IF(B1371="","",IF(B1371=B1370,A1370,A1370+1))</x:f>
        <x:v>278</x:v>
      </x:c>
      <x:c r="B1371" s="1" t="str">
        <x:f>'Ranking'!C291</x:f>
        <x:v>Dusclops</x:v>
      </x:c>
      <x:c r="C1371" s="1" t="str">
        <x:f>'Habilidades'!D2992</x:f>
        <x:v>Future Sight</x:v>
      </x:c>
      <x:c r="D1371" s="1" t="str">
        <x:f>'Habilidades'!F2992</x:f>
        <x:v>Especial</x:v>
      </x:c>
      <x:c r="E1371" s="18" t="n">
        <x:f>'Habilidades'!G2992</x:f>
        <x:v>120</x:v>
      </x:c>
      <x:c r="F1371" s="18" t="n">
        <x:f>'Habilidades'!H2992</x:f>
        <x:v>60</x:v>
      </x:c>
      <x:c r="G1371" s="18" t="n">
        <x:f>'Habilidades'!I2992</x:f>
        <x:v>180</x:v>
      </x:c>
    </x:row>
    <x:row r="1372" ht="22" customHeight="1">
      <x:c r="A1372" s="17" t="n">
        <x:f>IF(B1372="","",IF(B1372=B1371,A1371,A1371+1))</x:f>
        <x:v>278</x:v>
      </x:c>
      <x:c r="B1372" s="1" t="str">
        <x:f>'Ranking'!C291</x:f>
        <x:v>Dusclops</x:v>
      </x:c>
      <x:c r="C1372" s="1" t="str">
        <x:f>'Habilidades'!D2993</x:f>
        <x:v>Fire Punch</x:v>
      </x:c>
      <x:c r="D1372" s="1" t="str">
        <x:f>'Habilidades'!F2993</x:f>
        <x:v>Física</x:v>
      </x:c>
      <x:c r="E1372" s="18" t="n">
        <x:f>'Habilidades'!G2993</x:f>
        <x:v>75</x:v>
      </x:c>
      <x:c r="F1372" s="18" t="n">
        <x:f>'Habilidades'!H2993</x:f>
        <x:v>70</x:v>
      </x:c>
      <x:c r="G1372" s="18" t="n">
        <x:f>'Habilidades'!I2993</x:f>
        <x:v>145</x:v>
      </x:c>
    </x:row>
    <x:row r="1373" ht="22" customHeight="1">
      <x:c r="A1373" s="17" t="n">
        <x:f>IF(B1373="","",IF(B1373=B1372,A1372,A1372+1))</x:f>
        <x:v>278</x:v>
      </x:c>
      <x:c r="B1373" s="1" t="str">
        <x:f>'Ranking'!C291</x:f>
        <x:v>Dusclops</x:v>
      </x:c>
      <x:c r="C1373" s="1" t="str">
        <x:f>'Habilidades'!D2994</x:f>
        <x:v>Ice Punch</x:v>
      </x:c>
      <x:c r="D1373" s="1" t="str">
        <x:f>'Habilidades'!F2994</x:f>
        <x:v>Física</x:v>
      </x:c>
      <x:c r="E1373" s="18" t="n">
        <x:f>'Habilidades'!G2994</x:f>
        <x:v>75</x:v>
      </x:c>
      <x:c r="F1373" s="18" t="n">
        <x:f>'Habilidades'!H2994</x:f>
        <x:v>70</x:v>
      </x:c>
      <x:c r="G1373" s="18" t="n">
        <x:f>'Habilidades'!I2994</x:f>
        <x:v>145</x:v>
      </x:c>
    </x:row>
    <x:row r="1374" ht="22" customHeight="1">
      <x:c r="A1374" s="17" t="n">
        <x:f>IF(B1374="","",IF(B1374=B1373,A1373,A1373+1))</x:f>
        <x:v>278</x:v>
      </x:c>
      <x:c r="B1374" s="1" t="str">
        <x:f>'Ranking'!C291</x:f>
        <x:v>Dusclops</x:v>
      </x:c>
      <x:c r="C1374" s="1" t="str">
        <x:f>'Habilidades'!D2995</x:f>
        <x:v>Thunder Punch</x:v>
      </x:c>
      <x:c r="D1374" s="1" t="str">
        <x:f>'Habilidades'!F2995</x:f>
        <x:v>Física</x:v>
      </x:c>
      <x:c r="E1374" s="18" t="n">
        <x:f>'Habilidades'!G2995</x:f>
        <x:v>75</x:v>
      </x:c>
      <x:c r="F1374" s="18" t="n">
        <x:f>'Habilidades'!H2995</x:f>
        <x:v>70</x:v>
      </x:c>
      <x:c r="G1374" s="18" t="n">
        <x:f>'Habilidades'!I2995</x:f>
        <x:v>145</x:v>
      </x:c>
    </x:row>
    <x:row r="1375" ht="22" customHeight="1">
      <x:c r="A1375" s="19" t="n">
        <x:f>IF(B1375="","",IF(B1375=B1374,A1374,A1374+1))</x:f>
        <x:v>278</x:v>
      </x:c>
      <x:c r="B1375" s="20" t="str">
        <x:f>'Ranking'!C291</x:f>
        <x:v>Dusclops</x:v>
      </x:c>
      <x:c r="C1375" s="20" t="str">
        <x:f>'Habilidades'!D2996</x:f>
        <x:v>Shadow Ball</x:v>
      </x:c>
      <x:c r="D1375" s="20" t="str">
        <x:f>'Habilidades'!F2996</x:f>
        <x:v>Especial</x:v>
      </x:c>
      <x:c r="E1375" s="21" t="n">
        <x:f>'Habilidades'!G2996</x:f>
        <x:v>80</x:v>
      </x:c>
      <x:c r="F1375" s="21" t="n">
        <x:f>'Habilidades'!H2996</x:f>
        <x:v>60</x:v>
      </x:c>
      <x:c r="G1375" s="21" t="n">
        <x:f>'Habilidades'!I2996</x:f>
        <x:v>140</x:v>
      </x:c>
    </x:row>
    <x:row r="1376" ht="22" customHeight="1">
      <x:c r="A1376" s="17" t="n">
        <x:f>IF(B1376="","",IF(B1376=B1375,A1375,A1375+1))</x:f>
        <x:v>279</x:v>
      </x:c>
      <x:c r="B1376" s="1" t="str">
        <x:f>'Ranking'!C294</x:f>
        <x:v>Ekans</x:v>
      </x:c>
      <x:c r="C1376" s="1" t="str">
        <x:f>'Habilidades'!D189</x:f>
        <x:v>Gunk Shot</x:v>
      </x:c>
      <x:c r="D1376" s="1" t="str">
        <x:f>'Habilidades'!F189</x:f>
        <x:v>Física</x:v>
      </x:c>
      <x:c r="E1376" s="18" t="n">
        <x:f>'Habilidades'!G189</x:f>
        <x:v>120</x:v>
      </x:c>
      <x:c r="F1376" s="18" t="n">
        <x:f>'Habilidades'!H189</x:f>
        <x:v>60</x:v>
      </x:c>
      <x:c r="G1376" s="18" t="n">
        <x:f>'Habilidades'!I189</x:f>
        <x:v>180</x:v>
      </x:c>
    </x:row>
    <x:row r="1377" ht="22" customHeight="1">
      <x:c r="A1377" s="17" t="n">
        <x:f>IF(B1377="","",IF(B1377=B1376,A1376,A1376+1))</x:f>
        <x:v>279</x:v>
      </x:c>
      <x:c r="B1377" s="1" t="str">
        <x:f>'Ranking'!C294</x:f>
        <x:v>Ekans</x:v>
      </x:c>
      <x:c r="C1377" s="1" t="str">
        <x:f>'Habilidades'!D190</x:f>
        <x:v>Belch</x:v>
      </x:c>
      <x:c r="D1377" s="1" t="str">
        <x:f>'Habilidades'!F190</x:f>
        <x:v>Especial</x:v>
      </x:c>
      <x:c r="E1377" s="18" t="n">
        <x:f>'Habilidades'!G190</x:f>
        <x:v>120</x:v>
      </x:c>
      <x:c r="F1377" s="18" t="n">
        <x:f>'Habilidades'!H190</x:f>
        <x:v>40</x:v>
      </x:c>
      <x:c r="G1377" s="18" t="n">
        <x:f>'Habilidades'!I190</x:f>
        <x:v>160</x:v>
      </x:c>
    </x:row>
    <x:row r="1378" ht="22" customHeight="1">
      <x:c r="A1378" s="17" t="n">
        <x:f>IF(B1378="","",IF(B1378=B1377,A1377,A1377+1))</x:f>
        <x:v>279</x:v>
      </x:c>
      <x:c r="B1378" s="1" t="str">
        <x:f>'Ranking'!C294</x:f>
        <x:v>Ekans</x:v>
      </x:c>
      <x:c r="C1378" s="1" t="str">
        <x:f>'Habilidades'!D191</x:f>
        <x:v>Bite</x:v>
      </x:c>
      <x:c r="D1378" s="1" t="str">
        <x:f>'Habilidades'!F191</x:f>
        <x:v>Física</x:v>
      </x:c>
      <x:c r="E1378" s="18" t="n">
        <x:f>'Habilidades'!G191</x:f>
        <x:v>60</x:v>
      </x:c>
      <x:c r="F1378" s="18" t="n">
        <x:f>'Habilidades'!H191</x:f>
        <x:v>60</x:v>
      </x:c>
      <x:c r="G1378" s="18" t="n">
        <x:f>'Habilidades'!I191</x:f>
        <x:v>120</x:v>
      </x:c>
    </x:row>
    <x:row r="1379" ht="22" customHeight="1">
      <x:c r="A1379" s="17" t="n">
        <x:f>IF(B1379="","",IF(B1379=B1378,A1378,A1378+1))</x:f>
        <x:v>279</x:v>
      </x:c>
      <x:c r="B1379" s="1" t="str">
        <x:f>'Ranking'!C294</x:f>
        <x:v>Ekans</x:v>
      </x:c>
      <x:c r="C1379" s="1" t="str">
        <x:f>'Habilidades'!D192</x:f>
        <x:v>Mud Bomb</x:v>
      </x:c>
      <x:c r="D1379" s="1" t="str">
        <x:f>'Habilidades'!F192</x:f>
        <x:v>Especial</x:v>
      </x:c>
      <x:c r="E1379" s="18" t="n">
        <x:f>'Habilidades'!G192</x:f>
        <x:v>65</x:v>
      </x:c>
      <x:c r="F1379" s="18" t="n">
        <x:f>'Habilidades'!H192</x:f>
        <x:v>40</x:v>
      </x:c>
      <x:c r="G1379" s="18" t="n">
        <x:f>'Habilidades'!I192</x:f>
        <x:v>105</x:v>
      </x:c>
    </x:row>
    <x:row r="1380" ht="22" customHeight="1">
      <x:c r="A1380" s="19" t="n">
        <x:f>IF(B1380="","",IF(B1380=B1379,A1379,A1379+1))</x:f>
        <x:v>279</x:v>
      </x:c>
      <x:c r="B1380" s="20" t="str">
        <x:f>'Ranking'!C294</x:f>
        <x:v>Ekans</x:v>
      </x:c>
      <x:c r="C1380" s="20" t="str">
        <x:f>'Habilidades'!D193</x:f>
        <x:v>Acid</x:v>
      </x:c>
      <x:c r="D1380" s="20" t="str">
        <x:f>'Habilidades'!F193</x:f>
        <x:v>Especial</x:v>
      </x:c>
      <x:c r="E1380" s="21" t="n">
        <x:f>'Habilidades'!G193</x:f>
        <x:v>40</x:v>
      </x:c>
      <x:c r="F1380" s="21" t="n">
        <x:f>'Habilidades'!H193</x:f>
        <x:v>40</x:v>
      </x:c>
      <x:c r="G1380" s="21" t="n">
        <x:f>'Habilidades'!I193</x:f>
        <x:v>80</x:v>
      </x:c>
    </x:row>
    <x:row r="1381" ht="22" customHeight="1">
      <x:c r="A1381" s="17" t="n">
        <x:f>IF(B1381="","",IF(B1381=B1380,A1380,A1380+1))</x:f>
        <x:v>280</x:v>
      </x:c>
      <x:c r="B1381" s="1" t="str">
        <x:f>'Ranking'!C295</x:f>
        <x:v>Exeggcute</x:v>
      </x:c>
      <x:c r="C1381" s="1" t="str">
        <x:f>'Habilidades'!D956</x:f>
        <x:v>Solar Beam</x:v>
      </x:c>
      <x:c r="D1381" s="1" t="str">
        <x:f>'Habilidades'!F956</x:f>
        <x:v>Especial</x:v>
      </x:c>
      <x:c r="E1381" s="18" t="n">
        <x:f>'Habilidades'!G956</x:f>
        <x:v>120</x:v>
      </x:c>
      <x:c r="F1381" s="18" t="n">
        <x:f>'Habilidades'!H956</x:f>
        <x:v>60</x:v>
      </x:c>
      <x:c r="G1381" s="18" t="n">
        <x:f>'Habilidades'!I956</x:f>
        <x:v>180</x:v>
      </x:c>
    </x:row>
    <x:row r="1382" ht="22" customHeight="1">
      <x:c r="A1382" s="17" t="n">
        <x:f>IF(B1382="","",IF(B1382=B1381,A1381,A1381+1))</x:f>
        <x:v>280</x:v>
      </x:c>
      <x:c r="B1382" s="1" t="str">
        <x:f>'Ranking'!C295</x:f>
        <x:v>Exeggcute</x:v>
      </x:c>
      <x:c r="C1382" s="1" t="str">
        <x:f>'Habilidades'!D957</x:f>
        <x:v>Uproar</x:v>
      </x:c>
      <x:c r="D1382" s="1" t="str">
        <x:f>'Habilidades'!F957</x:f>
        <x:v>Especial</x:v>
      </x:c>
      <x:c r="E1382" s="18" t="n">
        <x:f>'Habilidades'!G957</x:f>
        <x:v>90</x:v>
      </x:c>
      <x:c r="F1382" s="18" t="n">
        <x:f>'Habilidades'!H957</x:f>
        <x:v>60</x:v>
      </x:c>
      <x:c r="G1382" s="18" t="n">
        <x:f>'Habilidades'!I957</x:f>
        <x:v>150</x:v>
      </x:c>
    </x:row>
    <x:row r="1383" ht="22" customHeight="1">
      <x:c r="A1383" s="17" t="n">
        <x:f>IF(B1383="","",IF(B1383=B1382,A1382,A1382+1))</x:f>
        <x:v>280</x:v>
      </x:c>
      <x:c r="B1383" s="1" t="str">
        <x:f>'Ranking'!C295</x:f>
        <x:v>Exeggcute</x:v>
      </x:c>
      <x:c r="C1383" s="1" t="str">
        <x:f>'Habilidades'!D958</x:f>
        <x:v>Extrasensory</x:v>
      </x:c>
      <x:c r="D1383" s="1" t="str">
        <x:f>'Habilidades'!F958</x:f>
        <x:v>Especial</x:v>
      </x:c>
      <x:c r="E1383" s="18" t="n">
        <x:f>'Habilidades'!G958</x:f>
        <x:v>80</x:v>
      </x:c>
      <x:c r="F1383" s="18" t="n">
        <x:f>'Habilidades'!H958</x:f>
        <x:v>60</x:v>
      </x:c>
      <x:c r="G1383" s="18" t="n">
        <x:f>'Habilidades'!I958</x:f>
        <x:v>140</x:v>
      </x:c>
    </x:row>
    <x:row r="1384" ht="22" customHeight="1">
      <x:c r="A1384" s="17" t="n">
        <x:f>IF(B1384="","",IF(B1384=B1383,A1383,A1383+1))</x:f>
        <x:v>280</x:v>
      </x:c>
      <x:c r="B1384" s="1" t="str">
        <x:f>'Ranking'!C295</x:f>
        <x:v>Exeggcute</x:v>
      </x:c>
      <x:c r="C1384" s="1" t="str">
        <x:f>'Habilidades'!D959</x:f>
        <x:v>Confusion</x:v>
      </x:c>
      <x:c r="D1384" s="1" t="str">
        <x:f>'Habilidades'!F959</x:f>
        <x:v>Especial</x:v>
      </x:c>
      <x:c r="E1384" s="18" t="n">
        <x:f>'Habilidades'!G959</x:f>
        <x:v>50</x:v>
      </x:c>
      <x:c r="F1384" s="18" t="n">
        <x:f>'Habilidades'!H959</x:f>
        <x:v>60</x:v>
      </x:c>
      <x:c r="G1384" s="18" t="n">
        <x:f>'Habilidades'!I959</x:f>
        <x:v>110</x:v>
      </x:c>
    </x:row>
    <x:row r="1385" ht="22" customHeight="1">
      <x:c r="A1385" s="19" t="n">
        <x:f>IF(B1385="","",IF(B1385=B1384,A1384,A1384+1))</x:f>
        <x:v>280</x:v>
      </x:c>
      <x:c r="B1385" s="20" t="str">
        <x:f>'Ranking'!C295</x:f>
        <x:v>Exeggcute</x:v>
      </x:c>
      <x:c r="C1385" s="20" t="str">
        <x:f>'Habilidades'!D960</x:f>
        <x:v>Bullet Seed</x:v>
      </x:c>
      <x:c r="D1385" s="20" t="str">
        <x:f>'Habilidades'!F960</x:f>
        <x:v>Física</x:v>
      </x:c>
      <x:c r="E1385" s="21" t="n">
        <x:f>'Habilidades'!G960</x:f>
        <x:v>25</x:v>
      </x:c>
      <x:c r="F1385" s="21" t="n">
        <x:f>'Habilidades'!H960</x:f>
        <x:v>40</x:v>
      </x:c>
      <x:c r="G1385" s="21" t="n">
        <x:f>'Habilidades'!I960</x:f>
        <x:v>65</x:v>
      </x:c>
    </x:row>
    <x:row r="1386" ht="22" customHeight="1">
      <x:c r="A1386" s="17" t="n">
        <x:f>IF(B1386="","",IF(B1386=B1385,A1385,A1385+1))</x:f>
        <x:v>281</x:v>
      </x:c>
      <x:c r="B1386" s="1" t="str">
        <x:f>'Ranking'!C279</x:f>
        <x:v>Girafarig</x:v>
      </x:c>
      <x:c r="C1386" s="1" t="str">
        <x:f>'Habilidades'!D1876</x:f>
        <x:v>Psychic</x:v>
      </x:c>
      <x:c r="D1386" s="1" t="str">
        <x:f>'Habilidades'!F1876</x:f>
        <x:v>Especial</x:v>
      </x:c>
      <x:c r="E1386" s="18" t="n">
        <x:f>'Habilidades'!G1876</x:f>
        <x:v>90</x:v>
      </x:c>
      <x:c r="F1386" s="18" t="n">
        <x:f>'Habilidades'!H1876</x:f>
        <x:v>90</x:v>
      </x:c>
      <x:c r="G1386" s="18" t="n">
        <x:f>'Habilidades'!I1876</x:f>
        <x:v>180</x:v>
      </x:c>
    </x:row>
    <x:row r="1387" ht="22" customHeight="1">
      <x:c r="A1387" s="17" t="n">
        <x:f>IF(B1387="","",IF(B1387=B1386,A1386,A1386+1))</x:f>
        <x:v>281</x:v>
      </x:c>
      <x:c r="B1387" s="1" t="str">
        <x:f>'Ranking'!C279</x:f>
        <x:v>Girafarig</x:v>
      </x:c>
      <x:c r="C1387" s="1" t="str">
        <x:f>'Habilidades'!D1877</x:f>
        <x:v>Zen Headbutt</x:v>
      </x:c>
      <x:c r="D1387" s="1" t="str">
        <x:f>'Habilidades'!F1877</x:f>
        <x:v>Física</x:v>
      </x:c>
      <x:c r="E1387" s="18" t="n">
        <x:f>'Habilidades'!G1877</x:f>
        <x:v>80</x:v>
      </x:c>
      <x:c r="F1387" s="18" t="n">
        <x:f>'Habilidades'!H1877</x:f>
        <x:v>80</x:v>
      </x:c>
      <x:c r="G1387" s="18" t="n">
        <x:f>'Habilidades'!I1877</x:f>
        <x:v>160</x:v>
      </x:c>
    </x:row>
    <x:row r="1388" ht="22" customHeight="1">
      <x:c r="A1388" s="17" t="n">
        <x:f>IF(B1388="","",IF(B1388=B1387,A1387,A1387+1))</x:f>
        <x:v>281</x:v>
      </x:c>
      <x:c r="B1388" s="1" t="str">
        <x:f>'Ranking'!C279</x:f>
        <x:v>Girafarig</x:v>
      </x:c>
      <x:c r="C1388" s="1" t="str">
        <x:f>'Habilidades'!D1878</x:f>
        <x:v>Crunch</x:v>
      </x:c>
      <x:c r="D1388" s="1" t="str">
        <x:f>'Habilidades'!F1878</x:f>
        <x:v>Física</x:v>
      </x:c>
      <x:c r="E1388" s="18" t="n">
        <x:f>'Habilidades'!G1878</x:f>
        <x:v>80</x:v>
      </x:c>
      <x:c r="F1388" s="18" t="n">
        <x:f>'Habilidades'!H1878</x:f>
        <x:v>80</x:v>
      </x:c>
      <x:c r="G1388" s="18" t="n">
        <x:f>'Habilidades'!I1878</x:f>
        <x:v>160</x:v>
      </x:c>
    </x:row>
    <x:row r="1389" ht="22" customHeight="1">
      <x:c r="A1389" s="17" t="n">
        <x:f>IF(B1389="","",IF(B1389=B1388,A1388,A1388+1))</x:f>
        <x:v>281</x:v>
      </x:c>
      <x:c r="B1389" s="1" t="str">
        <x:f>'Ranking'!C279</x:f>
        <x:v>Girafarig</x:v>
      </x:c>
      <x:c r="C1389" s="1" t="str">
        <x:f>'Habilidades'!D1879</x:f>
        <x:v>Psybeam</x:v>
      </x:c>
      <x:c r="D1389" s="1" t="str">
        <x:f>'Habilidades'!F1879</x:f>
        <x:v>Especial</x:v>
      </x:c>
      <x:c r="E1389" s="18" t="n">
        <x:f>'Habilidades'!G1879</x:f>
        <x:v>65</x:v>
      </x:c>
      <x:c r="F1389" s="18" t="n">
        <x:f>'Habilidades'!H1879</x:f>
        <x:v>90</x:v>
      </x:c>
      <x:c r="G1389" s="18" t="n">
        <x:f>'Habilidades'!I1879</x:f>
        <x:v>155</x:v>
      </x:c>
    </x:row>
    <x:row r="1390" ht="22" customHeight="1">
      <x:c r="A1390" s="19" t="n">
        <x:f>IF(B1390="","",IF(B1390=B1389,A1389,A1389+1))</x:f>
        <x:v>281</x:v>
      </x:c>
      <x:c r="B1390" s="20" t="str">
        <x:f>'Ranking'!C279</x:f>
        <x:v>Girafarig</x:v>
      </x:c>
      <x:c r="C1390" s="20" t="str">
        <x:f>'Habilidades'!D1880</x:f>
        <x:v>Stomp</x:v>
      </x:c>
      <x:c r="D1390" s="20" t="str">
        <x:f>'Habilidades'!F1880</x:f>
        <x:v>Física</x:v>
      </x:c>
      <x:c r="E1390" s="21" t="n">
        <x:f>'Habilidades'!G1880</x:f>
        <x:v>65</x:v>
      </x:c>
      <x:c r="F1390" s="21" t="n">
        <x:f>'Habilidades'!H1880</x:f>
        <x:v>80</x:v>
      </x:c>
      <x:c r="G1390" s="21" t="n">
        <x:f>'Habilidades'!I1880</x:f>
        <x:v>145</x:v>
      </x:c>
    </x:row>
    <x:row r="1391" ht="22" customHeight="1">
      <x:c r="A1391" s="17" t="n">
        <x:f>IF(B1391="","",IF(B1391=B1390,A1390,A1390+1))</x:f>
        <x:v>282</x:v>
      </x:c>
      <x:c r="B1391" s="1" t="str">
        <x:f>'Ranking'!C282</x:f>
        <x:v>Grumpig</x:v>
      </x:c>
      <x:c r="C1391" s="1" t="str">
        <x:f>'Habilidades'!D2770</x:f>
        <x:v>Psychic</x:v>
      </x:c>
      <x:c r="D1391" s="1" t="str">
        <x:f>'Habilidades'!F2770</x:f>
        <x:v>Especial</x:v>
      </x:c>
      <x:c r="E1391" s="18" t="n">
        <x:f>'Habilidades'!G2770</x:f>
        <x:v>90</x:v>
      </x:c>
      <x:c r="F1391" s="18" t="n">
        <x:f>'Habilidades'!H2770</x:f>
        <x:v>90</x:v>
      </x:c>
      <x:c r="G1391" s="18" t="n">
        <x:f>'Habilidades'!I2770</x:f>
        <x:v>180</x:v>
      </x:c>
    </x:row>
    <x:row r="1392" ht="22" customHeight="1">
      <x:c r="A1392" s="17" t="n">
        <x:f>IF(B1392="","",IF(B1392=B1391,A1391,A1391+1))</x:f>
        <x:v>282</x:v>
      </x:c>
      <x:c r="B1392" s="1" t="str">
        <x:f>'Ranking'!C282</x:f>
        <x:v>Grumpig</x:v>
      </x:c>
      <x:c r="C1392" s="1" t="str">
        <x:f>'Habilidades'!D2771</x:f>
        <x:v>Power Gem</x:v>
      </x:c>
      <x:c r="D1392" s="1" t="str">
        <x:f>'Habilidades'!F2771</x:f>
        <x:v>Especial</x:v>
      </x:c>
      <x:c r="E1392" s="18" t="n">
        <x:f>'Habilidades'!G2771</x:f>
        <x:v>80</x:v>
      </x:c>
      <x:c r="F1392" s="18" t="n">
        <x:f>'Habilidades'!H2771</x:f>
        <x:v>90</x:v>
      </x:c>
      <x:c r="G1392" s="18" t="n">
        <x:f>'Habilidades'!I2771</x:f>
        <x:v>170</x:v>
      </x:c>
    </x:row>
    <x:row r="1393" ht="22" customHeight="1">
      <x:c r="A1393" s="17" t="n">
        <x:f>IF(B1393="","",IF(B1393=B1392,A1392,A1392+1))</x:f>
        <x:v>282</x:v>
      </x:c>
      <x:c r="B1393" s="1" t="str">
        <x:f>'Ranking'!C282</x:f>
        <x:v>Grumpig</x:v>
      </x:c>
      <x:c r="C1393" s="1" t="str">
        <x:f>'Habilidades'!D2772</x:f>
        <x:v>Psyshock</x:v>
      </x:c>
      <x:c r="D1393" s="1" t="str">
        <x:f>'Habilidades'!F2772</x:f>
        <x:v>Especial</x:v>
      </x:c>
      <x:c r="E1393" s="18" t="n">
        <x:f>'Habilidades'!G2772</x:f>
        <x:v>80</x:v>
      </x:c>
      <x:c r="F1393" s="18" t="n">
        <x:f>'Habilidades'!H2772</x:f>
        <x:v>90</x:v>
      </x:c>
      <x:c r="G1393" s="18" t="n">
        <x:f>'Habilidades'!I2772</x:f>
        <x:v>170</x:v>
      </x:c>
    </x:row>
    <x:row r="1394" ht="22" customHeight="1">
      <x:c r="A1394" s="17" t="n">
        <x:f>IF(B1394="","",IF(B1394=B1393,A1393,A1393+1))</x:f>
        <x:v>282</x:v>
      </x:c>
      <x:c r="B1394" s="1" t="str">
        <x:f>'Ranking'!C282</x:f>
        <x:v>Grumpig</x:v>
      </x:c>
      <x:c r="C1394" s="1" t="str">
        <x:f>'Habilidades'!D2775</x:f>
        <x:v>Bounce</x:v>
      </x:c>
      <x:c r="D1394" s="1" t="str">
        <x:f>'Habilidades'!F2775</x:f>
        <x:v>Física</x:v>
      </x:c>
      <x:c r="E1394" s="18" t="n">
        <x:f>'Habilidades'!G2775</x:f>
        <x:v>85</x:v>
      </x:c>
      <x:c r="F1394" s="18" t="n">
        <x:f>'Habilidades'!H2775</x:f>
        <x:v>45</x:v>
      </x:c>
      <x:c r="G1394" s="18" t="n">
        <x:f>'Habilidades'!I2775</x:f>
        <x:v>130</x:v>
      </x:c>
    </x:row>
    <x:row r="1395" ht="22" customHeight="1">
      <x:c r="A1395" s="19" t="n">
        <x:f>IF(B1395="","",IF(B1395=B1394,A1394,A1394+1))</x:f>
        <x:v>282</x:v>
      </x:c>
      <x:c r="B1395" s="20" t="str">
        <x:f>'Ranking'!C282</x:f>
        <x:v>Grumpig</x:v>
      </x:c>
      <x:c r="C1395" s="20" t="str">
        <x:f>'Habilidades'!D2776</x:f>
        <x:v>Zen Headbutt</x:v>
      </x:c>
      <x:c r="D1395" s="20" t="str">
        <x:f>'Habilidades'!F2776</x:f>
        <x:v>Física</x:v>
      </x:c>
      <x:c r="E1395" s="21" t="n">
        <x:f>'Habilidades'!G2776</x:f>
        <x:v>80</x:v>
      </x:c>
      <x:c r="F1395" s="21" t="n">
        <x:f>'Habilidades'!H2776</x:f>
        <x:v>45</x:v>
      </x:c>
      <x:c r="G1395" s="21" t="n">
        <x:f>'Habilidades'!I2776</x:f>
        <x:v>125</x:v>
      </x:c>
    </x:row>
    <x:row r="1396" ht="22" customHeight="1">
      <x:c r="A1396" s="17" t="n">
        <x:f>IF(B1396="","",IF(B1396=B1395,A1395,A1395+1))</x:f>
        <x:v>283</x:v>
      </x:c>
      <x:c r="B1396" s="1" t="str">
        <x:f>'Ranking'!C289</x:f>
        <x:v>Horsea</x:v>
      </x:c>
      <x:c r="C1396" s="1" t="str">
        <x:f>'Habilidades'!D1107</x:f>
        <x:v>Hydro Pump</x:v>
      </x:c>
      <x:c r="D1396" s="1" t="str">
        <x:f>'Habilidades'!F1107</x:f>
        <x:v>Especial</x:v>
      </x:c>
      <x:c r="E1396" s="18" t="n">
        <x:f>'Habilidades'!G1107</x:f>
        <x:v>110</x:v>
      </x:c>
      <x:c r="F1396" s="18" t="n">
        <x:f>'Habilidades'!H1107</x:f>
        <x:v>70</x:v>
      </x:c>
      <x:c r="G1396" s="18" t="n">
        <x:f>'Habilidades'!I1107</x:f>
        <x:v>180</x:v>
      </x:c>
    </x:row>
    <x:row r="1397" ht="22" customHeight="1">
      <x:c r="A1397" s="17" t="n">
        <x:f>IF(B1397="","",IF(B1397=B1396,A1396,A1396+1))</x:f>
        <x:v>283</x:v>
      </x:c>
      <x:c r="B1397" s="1" t="str">
        <x:f>'Ranking'!C289</x:f>
        <x:v>Horsea</x:v>
      </x:c>
      <x:c r="C1397" s="1" t="str">
        <x:f>'Habilidades'!D1108</x:f>
        <x:v>Dragon Pulse</x:v>
      </x:c>
      <x:c r="D1397" s="1" t="str">
        <x:f>'Habilidades'!F1108</x:f>
        <x:v>Especial</x:v>
      </x:c>
      <x:c r="E1397" s="18" t="n">
        <x:f>'Habilidades'!G1108</x:f>
        <x:v>85</x:v>
      </x:c>
      <x:c r="F1397" s="18" t="n">
        <x:f>'Habilidades'!H1108</x:f>
        <x:v>70</x:v>
      </x:c>
      <x:c r="G1397" s="18" t="n">
        <x:f>'Habilidades'!I1108</x:f>
        <x:v>155</x:v>
      </x:c>
    </x:row>
    <x:row r="1398" ht="22" customHeight="1">
      <x:c r="A1398" s="17" t="n">
        <x:f>IF(B1398="","",IF(B1398=B1397,A1397,A1397+1))</x:f>
        <x:v>283</x:v>
      </x:c>
      <x:c r="B1398" s="1" t="str">
        <x:f>'Ranking'!C289</x:f>
        <x:v>Horsea</x:v>
      </x:c>
      <x:c r="C1398" s="1" t="str">
        <x:f>'Habilidades'!D1109</x:f>
        <x:v>Bubble Beam</x:v>
      </x:c>
      <x:c r="D1398" s="1" t="str">
        <x:f>'Habilidades'!F1109</x:f>
        <x:v>Especial</x:v>
      </x:c>
      <x:c r="E1398" s="18" t="n">
        <x:f>'Habilidades'!G1109</x:f>
        <x:v>65</x:v>
      </x:c>
      <x:c r="F1398" s="18" t="n">
        <x:f>'Habilidades'!H1109</x:f>
        <x:v>70</x:v>
      </x:c>
      <x:c r="G1398" s="18" t="n">
        <x:f>'Habilidades'!I1109</x:f>
        <x:v>135</x:v>
      </x:c>
    </x:row>
    <x:row r="1399" ht="22" customHeight="1">
      <x:c r="A1399" s="17" t="n">
        <x:f>IF(B1399="","",IF(B1399=B1398,A1398,A1398+1))</x:f>
        <x:v>283</x:v>
      </x:c>
      <x:c r="B1399" s="1" t="str">
        <x:f>'Ranking'!C289</x:f>
        <x:v>Horsea</x:v>
      </x:c>
      <x:c r="C1399" s="1" t="str">
        <x:f>'Habilidades'!D1110</x:f>
        <x:v>Brine</x:v>
      </x:c>
      <x:c r="D1399" s="1" t="str">
        <x:f>'Habilidades'!F1110</x:f>
        <x:v>Especial</x:v>
      </x:c>
      <x:c r="E1399" s="18" t="n">
        <x:f>'Habilidades'!G1110</x:f>
        <x:v>65</x:v>
      </x:c>
      <x:c r="F1399" s="18" t="n">
        <x:f>'Habilidades'!H1110</x:f>
        <x:v>70</x:v>
      </x:c>
      <x:c r="G1399" s="18" t="n">
        <x:f>'Habilidades'!I1110</x:f>
        <x:v>135</x:v>
      </x:c>
    </x:row>
    <x:row r="1400" ht="22" customHeight="1">
      <x:c r="A1400" s="19" t="n">
        <x:f>IF(B1400="","",IF(B1400=B1399,A1399,A1399+1))</x:f>
        <x:v>283</x:v>
      </x:c>
      <x:c r="B1400" s="20" t="str">
        <x:f>'Ranking'!C289</x:f>
        <x:v>Horsea</x:v>
      </x:c>
      <x:c r="C1400" s="20" t="str">
        <x:f>'Habilidades'!D1111</x:f>
        <x:v>Bubble</x:v>
      </x:c>
      <x:c r="D1400" s="20" t="str">
        <x:f>'Habilidades'!F1111</x:f>
        <x:v>Especial</x:v>
      </x:c>
      <x:c r="E1400" s="21" t="n">
        <x:f>'Habilidades'!G1111</x:f>
        <x:v>40</x:v>
      </x:c>
      <x:c r="F1400" s="21" t="n">
        <x:f>'Habilidades'!H1111</x:f>
        <x:v>70</x:v>
      </x:c>
      <x:c r="G1400" s="21" t="n">
        <x:f>'Habilidades'!I1111</x:f>
        <x:v>110</x:v>
      </x:c>
    </x:row>
    <x:row r="1401" ht="22" customHeight="1">
      <x:c r="A1401" s="17" t="n">
        <x:f>IF(B1401="","",IF(B1401=B1400,A1400,A1400+1))</x:f>
        <x:v>284</x:v>
      </x:c>
      <x:c r="B1401" s="1" t="str">
        <x:f>'Ranking'!C286</x:f>
        <x:v>Houndour</x:v>
      </x:c>
      <x:c r="C1401" s="1" t="str">
        <x:f>'Habilidades'!D2148</x:f>
        <x:v>Inferno</x:v>
      </x:c>
      <x:c r="D1401" s="1" t="str">
        <x:f>'Habilidades'!F2148</x:f>
        <x:v>Especial</x:v>
      </x:c>
      <x:c r="E1401" s="18" t="n">
        <x:f>'Habilidades'!G2148</x:f>
        <x:v>100</x:v>
      </x:c>
      <x:c r="F1401" s="18" t="n">
        <x:f>'Habilidades'!H2148</x:f>
        <x:v>80</x:v>
      </x:c>
      <x:c r="G1401" s="18" t="n">
        <x:f>'Habilidades'!I2148</x:f>
        <x:v>180</x:v>
      </x:c>
    </x:row>
    <x:row r="1402" ht="22" customHeight="1">
      <x:c r="A1402" s="17" t="n">
        <x:f>IF(B1402="","",IF(B1402=B1401,A1401,A1401+1))</x:f>
        <x:v>284</x:v>
      </x:c>
      <x:c r="B1402" s="1" t="str">
        <x:f>'Ranking'!C286</x:f>
        <x:v>Houndour</x:v>
      </x:c>
      <x:c r="C1402" s="1" t="str">
        <x:f>'Habilidades'!D2149</x:f>
        <x:v>Flamethrower</x:v>
      </x:c>
      <x:c r="D1402" s="1" t="str">
        <x:f>'Habilidades'!F2149</x:f>
        <x:v>Especial</x:v>
      </x:c>
      <x:c r="E1402" s="18" t="n">
        <x:f>'Habilidades'!G2149</x:f>
        <x:v>90</x:v>
      </x:c>
      <x:c r="F1402" s="18" t="n">
        <x:f>'Habilidades'!H2149</x:f>
        <x:v>80</x:v>
      </x:c>
      <x:c r="G1402" s="18" t="n">
        <x:f>'Habilidades'!I2149</x:f>
        <x:v>170</x:v>
      </x:c>
    </x:row>
    <x:row r="1403" ht="22" customHeight="1">
      <x:c r="A1403" s="17" t="n">
        <x:f>IF(B1403="","",IF(B1403=B1402,A1402,A1402+1))</x:f>
        <x:v>284</x:v>
      </x:c>
      <x:c r="B1403" s="1" t="str">
        <x:f>'Ranking'!C286</x:f>
        <x:v>Houndour</x:v>
      </x:c>
      <x:c r="C1403" s="1" t="str">
        <x:f>'Habilidades'!D2150</x:f>
        <x:v>Foul Play</x:v>
      </x:c>
      <x:c r="D1403" s="1" t="str">
        <x:f>'Habilidades'!F2150</x:f>
        <x:v>Física</x:v>
      </x:c>
      <x:c r="E1403" s="18" t="n">
        <x:f>'Habilidades'!G2150</x:f>
        <x:v>95</x:v>
      </x:c>
      <x:c r="F1403" s="18" t="n">
        <x:f>'Habilidades'!H2150</x:f>
        <x:v>60</x:v>
      </x:c>
      <x:c r="G1403" s="18" t="n">
        <x:f>'Habilidades'!I2150</x:f>
        <x:v>155</x:v>
      </x:c>
    </x:row>
    <x:row r="1404" ht="22" customHeight="1">
      <x:c r="A1404" s="17" t="n">
        <x:f>IF(B1404="","",IF(B1404=B1403,A1403,A1403+1))</x:f>
        <x:v>284</x:v>
      </x:c>
      <x:c r="B1404" s="1" t="str">
        <x:f>'Ranking'!C286</x:f>
        <x:v>Houndour</x:v>
      </x:c>
      <x:c r="C1404" s="1" t="str">
        <x:f>'Habilidades'!D2151</x:f>
        <x:v>Crunch</x:v>
      </x:c>
      <x:c r="D1404" s="1" t="str">
        <x:f>'Habilidades'!F2151</x:f>
        <x:v>Física</x:v>
      </x:c>
      <x:c r="E1404" s="18" t="n">
        <x:f>'Habilidades'!G2151</x:f>
        <x:v>80</x:v>
      </x:c>
      <x:c r="F1404" s="18" t="n">
        <x:f>'Habilidades'!H2151</x:f>
        <x:v>60</x:v>
      </x:c>
      <x:c r="G1404" s="18" t="n">
        <x:f>'Habilidades'!I2151</x:f>
        <x:v>140</x:v>
      </x:c>
    </x:row>
    <x:row r="1405" ht="22" customHeight="1">
      <x:c r="A1405" s="19" t="n">
        <x:f>IF(B1405="","",IF(B1405=B1404,A1404,A1404+1))</x:f>
        <x:v>284</x:v>
      </x:c>
      <x:c r="B1405" s="20" t="str">
        <x:f>'Ranking'!C286</x:f>
        <x:v>Houndour</x:v>
      </x:c>
      <x:c r="C1405" s="20" t="str">
        <x:f>'Habilidades'!D2152</x:f>
        <x:v>Fire Fang</x:v>
      </x:c>
      <x:c r="D1405" s="20" t="str">
        <x:f>'Habilidades'!F2152</x:f>
        <x:v>Física</x:v>
      </x:c>
      <x:c r="E1405" s="21" t="n">
        <x:f>'Habilidades'!G2152</x:f>
        <x:v>65</x:v>
      </x:c>
      <x:c r="F1405" s="21" t="n">
        <x:f>'Habilidades'!H2152</x:f>
        <x:v>60</x:v>
      </x:c>
      <x:c r="G1405" s="21" t="n">
        <x:f>'Habilidades'!I2152</x:f>
        <x:v>125</x:v>
      </x:c>
    </x:row>
    <x:row r="1406" ht="22" customHeight="1">
      <x:c r="A1406" s="17" t="n">
        <x:f>IF(B1406="","",IF(B1406=B1405,A1405,A1405+1))</x:f>
        <x:v>285</x:v>
      </x:c>
      <x:c r="B1406" s="1" t="str">
        <x:f>'Ranking'!C292</x:f>
        <x:v>Koffing</x:v>
      </x:c>
      <x:c r="C1406" s="1" t="str">
        <x:f>'Habilidades'!D1030</x:f>
        <x:v>Belch</x:v>
      </x:c>
      <x:c r="D1406" s="1" t="str">
        <x:f>'Habilidades'!F1030</x:f>
        <x:v>Especial</x:v>
      </x:c>
      <x:c r="E1406" s="18" t="n">
        <x:f>'Habilidades'!G1030</x:f>
        <x:v>120</x:v>
      </x:c>
      <x:c r="F1406" s="18" t="n">
        <x:f>'Habilidades'!H1030</x:f>
        <x:v>60</x:v>
      </x:c>
      <x:c r="G1406" s="18" t="n">
        <x:f>'Habilidades'!I1030</x:f>
        <x:v>180</x:v>
      </x:c>
    </x:row>
    <x:row r="1407" ht="22" customHeight="1">
      <x:c r="A1407" s="17" t="n">
        <x:f>IF(B1407="","",IF(B1407=B1406,A1406,A1406+1))</x:f>
        <x:v>285</x:v>
      </x:c>
      <x:c r="B1407" s="1" t="str">
        <x:f>'Ranking'!C292</x:f>
        <x:v>Koffing</x:v>
      </x:c>
      <x:c r="C1407" s="1" t="str">
        <x:f>'Habilidades'!D1031</x:f>
        <x:v>Sludge Bomb</x:v>
      </x:c>
      <x:c r="D1407" s="1" t="str">
        <x:f>'Habilidades'!F1031</x:f>
        <x:v>Especial</x:v>
      </x:c>
      <x:c r="E1407" s="18" t="n">
        <x:f>'Habilidades'!G1031</x:f>
        <x:v>90</x:v>
      </x:c>
      <x:c r="F1407" s="18" t="n">
        <x:f>'Habilidades'!H1031</x:f>
        <x:v>60</x:v>
      </x:c>
      <x:c r="G1407" s="18" t="n">
        <x:f>'Habilidades'!I1031</x:f>
        <x:v>150</x:v>
      </x:c>
    </x:row>
    <x:row r="1408" ht="22" customHeight="1">
      <x:c r="A1408" s="17" t="n">
        <x:f>IF(B1408="","",IF(B1408=B1407,A1407,A1407+1))</x:f>
        <x:v>285</x:v>
      </x:c>
      <x:c r="B1408" s="1" t="str">
        <x:f>'Ranking'!C292</x:f>
        <x:v>Koffing</x:v>
      </x:c>
      <x:c r="C1408" s="1" t="str">
        <x:f>'Habilidades'!D1032</x:f>
        <x:v>Sludge</x:v>
      </x:c>
      <x:c r="D1408" s="1" t="str">
        <x:f>'Habilidades'!F1032</x:f>
        <x:v>Especial</x:v>
      </x:c>
      <x:c r="E1408" s="18" t="n">
        <x:f>'Habilidades'!G1032</x:f>
        <x:v>65</x:v>
      </x:c>
      <x:c r="F1408" s="18" t="n">
        <x:f>'Habilidades'!H1032</x:f>
        <x:v>60</x:v>
      </x:c>
      <x:c r="G1408" s="18" t="n">
        <x:f>'Habilidades'!I1032</x:f>
        <x:v>125</x:v>
      </x:c>
    </x:row>
    <x:row r="1409" ht="22" customHeight="1">
      <x:c r="A1409" s="17" t="n">
        <x:f>IF(B1409="","",IF(B1409=B1408,A1408,A1408+1))</x:f>
        <x:v>285</x:v>
      </x:c>
      <x:c r="B1409" s="1" t="str">
        <x:f>'Ranking'!C292</x:f>
        <x:v>Koffing</x:v>
      </x:c>
      <x:c r="C1409" s="1" t="str">
        <x:f>'Habilidades'!D1033</x:f>
        <x:v>Assurance</x:v>
      </x:c>
      <x:c r="D1409" s="1" t="str">
        <x:f>'Habilidades'!F1033</x:f>
        <x:v>Física</x:v>
      </x:c>
      <x:c r="E1409" s="18" t="n">
        <x:f>'Habilidades'!G1033</x:f>
        <x:v>60</x:v>
      </x:c>
      <x:c r="F1409" s="18" t="n">
        <x:f>'Habilidades'!H1033</x:f>
        <x:v>65</x:v>
      </x:c>
      <x:c r="G1409" s="18" t="n">
        <x:f>'Habilidades'!I1033</x:f>
        <x:v>125</x:v>
      </x:c>
    </x:row>
    <x:row r="1410" ht="22" customHeight="1">
      <x:c r="A1410" s="19" t="n">
        <x:f>IF(B1410="","",IF(B1410=B1409,A1409,A1409+1))</x:f>
        <x:v>285</x:v>
      </x:c>
      <x:c r="B1410" s="20" t="str">
        <x:f>'Ranking'!C292</x:f>
        <x:v>Koffing</x:v>
      </x:c>
      <x:c r="C1410" s="20" t="str">
        <x:f>'Habilidades'!D1034</x:f>
        <x:v>Tackle</x:v>
      </x:c>
      <x:c r="D1410" s="20" t="str">
        <x:f>'Habilidades'!F1034</x:f>
        <x:v>Física</x:v>
      </x:c>
      <x:c r="E1410" s="21" t="n">
        <x:f>'Habilidades'!G1034</x:f>
        <x:v>50</x:v>
      </x:c>
      <x:c r="F1410" s="21" t="n">
        <x:f>'Habilidades'!H1034</x:f>
        <x:v>65</x:v>
      </x:c>
      <x:c r="G1410" s="21" t="n">
        <x:f>'Habilidades'!I1034</x:f>
        <x:v>115</x:v>
      </x:c>
    </x:row>
    <x:row r="1411" ht="22" customHeight="1">
      <x:c r="A1411" s="17" t="n">
        <x:f>IF(B1411="","",IF(B1411=B1410,A1410,A1410+1))</x:f>
        <x:v>286</x:v>
      </x:c>
      <x:c r="B1411" s="1" t="str">
        <x:f>'Ranking'!C284</x:f>
        <x:v>Machop</x:v>
      </x:c>
      <x:c r="C1411" s="1" t="str">
        <x:f>'Habilidades'!D576</x:f>
        <x:v>Cross Chop</x:v>
      </x:c>
      <x:c r="D1411" s="1" t="str">
        <x:f>'Habilidades'!F576</x:f>
        <x:v>Física</x:v>
      </x:c>
      <x:c r="E1411" s="18" t="n">
        <x:f>'Habilidades'!G576</x:f>
        <x:v>100</x:v>
      </x:c>
      <x:c r="F1411" s="18" t="n">
        <x:f>'Habilidades'!H576</x:f>
        <x:v>80</x:v>
      </x:c>
      <x:c r="G1411" s="18" t="n">
        <x:f>'Habilidades'!I576</x:f>
        <x:v>180</x:v>
      </x:c>
    </x:row>
    <x:row r="1412" ht="22" customHeight="1">
      <x:c r="A1412" s="17" t="n">
        <x:f>IF(B1412="","",IF(B1412=B1411,A1411,A1411+1))</x:f>
        <x:v>286</x:v>
      </x:c>
      <x:c r="B1412" s="1" t="str">
        <x:f>'Ranking'!C284</x:f>
        <x:v>Machop</x:v>
      </x:c>
      <x:c r="C1412" s="1" t="str">
        <x:f>'Habilidades'!D577</x:f>
        <x:v>Dynamic Punch</x:v>
      </x:c>
      <x:c r="D1412" s="1" t="str">
        <x:f>'Habilidades'!F577</x:f>
        <x:v>Física</x:v>
      </x:c>
      <x:c r="E1412" s="18" t="n">
        <x:f>'Habilidades'!G577</x:f>
        <x:v>100</x:v>
      </x:c>
      <x:c r="F1412" s="18" t="n">
        <x:f>'Habilidades'!H577</x:f>
        <x:v>80</x:v>
      </x:c>
      <x:c r="G1412" s="18" t="n">
        <x:f>'Habilidades'!I577</x:f>
        <x:v>180</x:v>
      </x:c>
    </x:row>
    <x:row r="1413" ht="22" customHeight="1">
      <x:c r="A1413" s="17" t="n">
        <x:f>IF(B1413="","",IF(B1413=B1412,A1412,A1412+1))</x:f>
        <x:v>286</x:v>
      </x:c>
      <x:c r="B1413" s="1" t="str">
        <x:f>'Ranking'!C284</x:f>
        <x:v>Machop</x:v>
      </x:c>
      <x:c r="C1413" s="1" t="str">
        <x:f>'Habilidades'!D578</x:f>
        <x:v>Submission</x:v>
      </x:c>
      <x:c r="D1413" s="1" t="str">
        <x:f>'Habilidades'!F578</x:f>
        <x:v>Física</x:v>
      </x:c>
      <x:c r="E1413" s="18" t="n">
        <x:f>'Habilidades'!G578</x:f>
        <x:v>80</x:v>
      </x:c>
      <x:c r="F1413" s="18" t="n">
        <x:f>'Habilidades'!H578</x:f>
        <x:v>80</x:v>
      </x:c>
      <x:c r="G1413" s="18" t="n">
        <x:f>'Habilidades'!I578</x:f>
        <x:v>160</x:v>
      </x:c>
    </x:row>
    <x:row r="1414" ht="22" customHeight="1">
      <x:c r="A1414" s="17" t="n">
        <x:f>IF(B1414="","",IF(B1414=B1413,A1413,A1413+1))</x:f>
        <x:v>286</x:v>
      </x:c>
      <x:c r="B1414" s="1" t="str">
        <x:f>'Ranking'!C284</x:f>
        <x:v>Machop</x:v>
      </x:c>
      <x:c r="C1414" s="1" t="str">
        <x:f>'Habilidades'!D579</x:f>
        <x:v>Vital Throw</x:v>
      </x:c>
      <x:c r="D1414" s="1" t="str">
        <x:f>'Habilidades'!F579</x:f>
        <x:v>Física</x:v>
      </x:c>
      <x:c r="E1414" s="18" t="n">
        <x:f>'Habilidades'!G579</x:f>
        <x:v>70</x:v>
      </x:c>
      <x:c r="F1414" s="18" t="n">
        <x:f>'Habilidades'!H579</x:f>
        <x:v>80</x:v>
      </x:c>
      <x:c r="G1414" s="18" t="n">
        <x:f>'Habilidades'!I579</x:f>
        <x:v>150</x:v>
      </x:c>
    </x:row>
    <x:row r="1415" ht="22" customHeight="1">
      <x:c r="A1415" s="19" t="n">
        <x:f>IF(B1415="","",IF(B1415=B1414,A1414,A1414+1))</x:f>
        <x:v>286</x:v>
      </x:c>
      <x:c r="B1415" s="20" t="str">
        <x:f>'Ranking'!C284</x:f>
        <x:v>Machop</x:v>
      </x:c>
      <x:c r="C1415" s="20" t="str">
        <x:f>'Habilidades'!D580</x:f>
        <x:v>Wake-Up Slap</x:v>
      </x:c>
      <x:c r="D1415" s="20" t="str">
        <x:f>'Habilidades'!F580</x:f>
        <x:v>Física</x:v>
      </x:c>
      <x:c r="E1415" s="21" t="n">
        <x:f>'Habilidades'!G580</x:f>
        <x:v>70</x:v>
      </x:c>
      <x:c r="F1415" s="21" t="n">
        <x:f>'Habilidades'!H580</x:f>
        <x:v>80</x:v>
      </x:c>
      <x:c r="G1415" s="21" t="n">
        <x:f>'Habilidades'!I580</x:f>
        <x:v>150</x:v>
      </x:c>
    </x:row>
    <x:row r="1416" ht="22" customHeight="1">
      <x:c r="A1416" s="17" t="n">
        <x:f>IF(B1416="","",IF(B1416=B1415,A1415,A1415+1))</x:f>
        <x:v>287</x:v>
      </x:c>
      <x:c r="B1416" s="1" t="str">
        <x:f>'Ranking'!C288</x:f>
        <x:v>Magby</x:v>
      </x:c>
      <x:c r="C1416" s="1" t="str">
        <x:f>'Habilidades'!D2236</x:f>
        <x:v>Fire Blast</x:v>
      </x:c>
      <x:c r="D1416" s="1" t="str">
        <x:f>'Habilidades'!F2236</x:f>
        <x:v>Especial</x:v>
      </x:c>
      <x:c r="E1416" s="18" t="n">
        <x:f>'Habilidades'!G2236</x:f>
        <x:v>110</x:v>
      </x:c>
      <x:c r="F1416" s="18" t="n">
        <x:f>'Habilidades'!H2236</x:f>
        <x:v>70</x:v>
      </x:c>
      <x:c r="G1416" s="18" t="n">
        <x:f>'Habilidades'!I2236</x:f>
        <x:v>180</x:v>
      </x:c>
    </x:row>
    <x:row r="1417" ht="22" customHeight="1">
      <x:c r="A1417" s="17" t="n">
        <x:f>IF(B1417="","",IF(B1417=B1416,A1416,A1416+1))</x:f>
        <x:v>287</x:v>
      </x:c>
      <x:c r="B1417" s="1" t="str">
        <x:f>'Ranking'!C288</x:f>
        <x:v>Magby</x:v>
      </x:c>
      <x:c r="C1417" s="1" t="str">
        <x:f>'Habilidades'!D2237</x:f>
        <x:v>Flamethrower</x:v>
      </x:c>
      <x:c r="D1417" s="1" t="str">
        <x:f>'Habilidades'!F2237</x:f>
        <x:v>Especial</x:v>
      </x:c>
      <x:c r="E1417" s="18" t="n">
        <x:f>'Habilidades'!G2237</x:f>
        <x:v>90</x:v>
      </x:c>
      <x:c r="F1417" s="18" t="n">
        <x:f>'Habilidades'!H2237</x:f>
        <x:v>70</x:v>
      </x:c>
      <x:c r="G1417" s="18" t="n">
        <x:f>'Habilidades'!I2237</x:f>
        <x:v>160</x:v>
      </x:c>
    </x:row>
    <x:row r="1418" ht="22" customHeight="1">
      <x:c r="A1418" s="17" t="n">
        <x:f>IF(B1418="","",IF(B1418=B1417,A1417,A1417+1))</x:f>
        <x:v>287</x:v>
      </x:c>
      <x:c r="B1418" s="1" t="str">
        <x:f>'Ranking'!C288</x:f>
        <x:v>Magby</x:v>
      </x:c>
      <x:c r="C1418" s="1" t="str">
        <x:f>'Habilidades'!D2238</x:f>
        <x:v>Lava Plume</x:v>
      </x:c>
      <x:c r="D1418" s="1" t="str">
        <x:f>'Habilidades'!F2238</x:f>
        <x:v>Especial</x:v>
      </x:c>
      <x:c r="E1418" s="18" t="n">
        <x:f>'Habilidades'!G2238</x:f>
        <x:v>80</x:v>
      </x:c>
      <x:c r="F1418" s="18" t="n">
        <x:f>'Habilidades'!H2238</x:f>
        <x:v>70</x:v>
      </x:c>
      <x:c r="G1418" s="18" t="n">
        <x:f>'Habilidades'!I2238</x:f>
        <x:v>150</x:v>
      </x:c>
    </x:row>
    <x:row r="1419" ht="22" customHeight="1">
      <x:c r="A1419" s="17" t="n">
        <x:f>IF(B1419="","",IF(B1419=B1418,A1418,A1418+1))</x:f>
        <x:v>287</x:v>
      </x:c>
      <x:c r="B1419" s="1" t="str">
        <x:f>'Ranking'!C288</x:f>
        <x:v>Magby</x:v>
      </x:c>
      <x:c r="C1419" s="1" t="str">
        <x:f>'Habilidades'!D2239</x:f>
        <x:v>Fire Punch</x:v>
      </x:c>
      <x:c r="D1419" s="1" t="str">
        <x:f>'Habilidades'!F2239</x:f>
        <x:v>Física</x:v>
      </x:c>
      <x:c r="E1419" s="18" t="n">
        <x:f>'Habilidades'!G2239</x:f>
        <x:v>75</x:v>
      </x:c>
      <x:c r="F1419" s="18" t="n">
        <x:f>'Habilidades'!H2239</x:f>
        <x:v>75</x:v>
      </x:c>
      <x:c r="G1419" s="18" t="n">
        <x:f>'Habilidades'!I2239</x:f>
        <x:v>150</x:v>
      </x:c>
    </x:row>
    <x:row r="1420" ht="22" customHeight="1">
      <x:c r="A1420" s="19" t="n">
        <x:f>IF(B1420="","",IF(B1420=B1419,A1419,A1419+1))</x:f>
        <x:v>287</x:v>
      </x:c>
      <x:c r="B1420" s="20" t="str">
        <x:f>'Ranking'!C288</x:f>
        <x:v>Magby</x:v>
      </x:c>
      <x:c r="C1420" s="20" t="str">
        <x:f>'Habilidades'!D2240</x:f>
        <x:v>Flame Burst</x:v>
      </x:c>
      <x:c r="D1420" s="20" t="str">
        <x:f>'Habilidades'!F2240</x:f>
        <x:v>Especial</x:v>
      </x:c>
      <x:c r="E1420" s="21" t="n">
        <x:f>'Habilidades'!G2240</x:f>
        <x:v>70</x:v>
      </x:c>
      <x:c r="F1420" s="21" t="n">
        <x:f>'Habilidades'!H2240</x:f>
        <x:v>70</x:v>
      </x:c>
      <x:c r="G1420" s="21" t="n">
        <x:f>'Habilidades'!I2240</x:f>
        <x:v>140</x:v>
      </x:c>
    </x:row>
    <x:row r="1421" ht="22" customHeight="1">
      <x:c r="A1421" s="17" t="n">
        <x:f>IF(B1421="","",IF(B1421=B1420,A1420,A1420+1))</x:f>
        <x:v>288</x:v>
      </x:c>
      <x:c r="B1421" s="1" t="str">
        <x:f>'Ranking'!C296</x:f>
        <x:v>Makuhita</x:v>
      </x:c>
      <x:c r="C1421" s="1" t="str">
        <x:f>'Habilidades'!D2607</x:f>
        <x:v>Close Combat</x:v>
      </x:c>
      <x:c r="D1421" s="1" t="str">
        <x:f>'Habilidades'!F2607</x:f>
        <x:v>Física</x:v>
      </x:c>
      <x:c r="E1421" s="18" t="n">
        <x:f>'Habilidades'!G2607</x:f>
        <x:v>120</x:v>
      </x:c>
      <x:c r="F1421" s="18" t="n">
        <x:f>'Habilidades'!H2607</x:f>
        <x:v>60</x:v>
      </x:c>
      <x:c r="G1421" s="18" t="n">
        <x:f>'Habilidades'!I2607</x:f>
        <x:v>180</x:v>
      </x:c>
    </x:row>
    <x:row r="1422" ht="22" customHeight="1">
      <x:c r="A1422" s="17" t="n">
        <x:f>IF(B1422="","",IF(B1422=B1421,A1421,A1421+1))</x:f>
        <x:v>288</x:v>
      </x:c>
      <x:c r="B1422" s="1" t="str">
        <x:f>'Ranking'!C296</x:f>
        <x:v>Makuhita</x:v>
      </x:c>
      <x:c r="C1422" s="1" t="str">
        <x:f>'Habilidades'!D2608</x:f>
        <x:v>Vital Throw</x:v>
      </x:c>
      <x:c r="D1422" s="1" t="str">
        <x:f>'Habilidades'!F2608</x:f>
        <x:v>Física</x:v>
      </x:c>
      <x:c r="E1422" s="18" t="n">
        <x:f>'Habilidades'!G2608</x:f>
        <x:v>70</x:v>
      </x:c>
      <x:c r="F1422" s="18" t="n">
        <x:f>'Habilidades'!H2608</x:f>
        <x:v>60</x:v>
      </x:c>
      <x:c r="G1422" s="18" t="n">
        <x:f>'Habilidades'!I2608</x:f>
        <x:v>130</x:v>
      </x:c>
    </x:row>
    <x:row r="1423" ht="22" customHeight="1">
      <x:c r="A1423" s="17" t="n">
        <x:f>IF(B1423="","",IF(B1423=B1422,A1422,A1422+1))</x:f>
        <x:v>288</x:v>
      </x:c>
      <x:c r="B1423" s="1" t="str">
        <x:f>'Ranking'!C296</x:f>
        <x:v>Makuhita</x:v>
      </x:c>
      <x:c r="C1423" s="1" t="str">
        <x:f>'Habilidades'!D2609</x:f>
        <x:v>Smelling Salts</x:v>
      </x:c>
      <x:c r="D1423" s="1" t="str">
        <x:f>'Habilidades'!F2609</x:f>
        <x:v>Física</x:v>
      </x:c>
      <x:c r="E1423" s="18" t="n">
        <x:f>'Habilidades'!G2609</x:f>
        <x:v>70</x:v>
      </x:c>
      <x:c r="F1423" s="18" t="n">
        <x:f>'Habilidades'!H2609</x:f>
        <x:v>60</x:v>
      </x:c>
      <x:c r="G1423" s="18" t="n">
        <x:f>'Habilidades'!I2609</x:f>
        <x:v>130</x:v>
      </x:c>
    </x:row>
    <x:row r="1424" ht="22" customHeight="1">
      <x:c r="A1424" s="17" t="n">
        <x:f>IF(B1424="","",IF(B1424=B1423,A1423,A1423+1))</x:f>
        <x:v>288</x:v>
      </x:c>
      <x:c r="B1424" s="1" t="str">
        <x:f>'Ranking'!C296</x:f>
        <x:v>Makuhita</x:v>
      </x:c>
      <x:c r="C1424" s="1" t="str">
        <x:f>'Habilidades'!D2610</x:f>
        <x:v>Wake-Up Slap</x:v>
      </x:c>
      <x:c r="D1424" s="1" t="str">
        <x:f>'Habilidades'!F2610</x:f>
        <x:v>Física</x:v>
      </x:c>
      <x:c r="E1424" s="18" t="n">
        <x:f>'Habilidades'!G2610</x:f>
        <x:v>70</x:v>
      </x:c>
      <x:c r="F1424" s="18" t="n">
        <x:f>'Habilidades'!H2610</x:f>
        <x:v>60</x:v>
      </x:c>
      <x:c r="G1424" s="18" t="n">
        <x:f>'Habilidades'!I2610</x:f>
        <x:v>130</x:v>
      </x:c>
    </x:row>
    <x:row r="1425" ht="22" customHeight="1">
      <x:c r="A1425" s="19" t="n">
        <x:f>IF(B1425="","",IF(B1425=B1424,A1424,A1424+1))</x:f>
        <x:v>288</x:v>
      </x:c>
      <x:c r="B1425" s="20" t="str">
        <x:f>'Ranking'!C296</x:f>
        <x:v>Makuhita</x:v>
      </x:c>
      <x:c r="C1425" s="20" t="str">
        <x:f>'Habilidades'!D2611</x:f>
        <x:v>Knock Off</x:v>
      </x:c>
      <x:c r="D1425" s="20" t="str">
        <x:f>'Habilidades'!F2611</x:f>
        <x:v>Física</x:v>
      </x:c>
      <x:c r="E1425" s="21" t="n">
        <x:f>'Habilidades'!G2611</x:f>
        <x:v>65</x:v>
      </x:c>
      <x:c r="F1425" s="21" t="n">
        <x:f>'Habilidades'!H2611</x:f>
        <x:v>60</x:v>
      </x:c>
      <x:c r="G1425" s="21" t="n">
        <x:f>'Habilidades'!I2611</x:f>
        <x:v>125</x:v>
      </x:c>
    </x:row>
    <x:row r="1426" ht="22" customHeight="1">
      <x:c r="A1426" s="17" t="n">
        <x:f>IF(B1426="","",IF(B1426=B1425,A1425,A1425+1))</x:f>
        <x:v>289</x:v>
      </x:c>
      <x:c r="B1426" s="1" t="str">
        <x:f>'Ranking'!C280</x:f>
        <x:v>Mightyena</x:v>
      </x:c>
      <x:c r="C1426" s="1" t="str">
        <x:f>'Habilidades'!D2452</x:f>
        <x:v>Take Down</x:v>
      </x:c>
      <x:c r="D1426" s="1" t="str">
        <x:f>'Habilidades'!F2452</x:f>
        <x:v>Física</x:v>
      </x:c>
      <x:c r="E1426" s="18" t="n">
        <x:f>'Habilidades'!G2452</x:f>
        <x:v>90</x:v>
      </x:c>
      <x:c r="F1426" s="18" t="n">
        <x:f>'Habilidades'!H2452</x:f>
        <x:v>90</x:v>
      </x:c>
      <x:c r="G1426" s="18" t="n">
        <x:f>'Habilidades'!I2452</x:f>
        <x:v>180</x:v>
      </x:c>
    </x:row>
    <x:row r="1427" ht="22" customHeight="1">
      <x:c r="A1427" s="17" t="n">
        <x:f>IF(B1427="","",IF(B1427=B1426,A1426,A1426+1))</x:f>
        <x:v>289</x:v>
      </x:c>
      <x:c r="B1427" s="1" t="str">
        <x:f>'Ranking'!C280</x:f>
        <x:v>Mightyena</x:v>
      </x:c>
      <x:c r="C1427" s="1" t="str">
        <x:f>'Habilidades'!D2453</x:f>
        <x:v>Crunch</x:v>
      </x:c>
      <x:c r="D1427" s="1" t="str">
        <x:f>'Habilidades'!F2453</x:f>
        <x:v>Física</x:v>
      </x:c>
      <x:c r="E1427" s="18" t="n">
        <x:f>'Habilidades'!G2453</x:f>
        <x:v>80</x:v>
      </x:c>
      <x:c r="F1427" s="18" t="n">
        <x:f>'Habilidades'!H2453</x:f>
        <x:v>90</x:v>
      </x:c>
      <x:c r="G1427" s="18" t="n">
        <x:f>'Habilidades'!I2453</x:f>
        <x:v>170</x:v>
      </x:c>
    </x:row>
    <x:row r="1428" ht="22" customHeight="1">
      <x:c r="A1428" s="17" t="n">
        <x:f>IF(B1428="","",IF(B1428=B1427,A1427,A1427+1))</x:f>
        <x:v>289</x:v>
      </x:c>
      <x:c r="B1428" s="1" t="str">
        <x:f>'Ranking'!C280</x:f>
        <x:v>Mightyena</x:v>
      </x:c>
      <x:c r="C1428" s="1" t="str">
        <x:f>'Habilidades'!D2454</x:f>
        <x:v>Sucker Punch</x:v>
      </x:c>
      <x:c r="D1428" s="1" t="str">
        <x:f>'Habilidades'!F2454</x:f>
        <x:v>Física</x:v>
      </x:c>
      <x:c r="E1428" s="18" t="n">
        <x:f>'Habilidades'!G2454</x:f>
        <x:v>80</x:v>
      </x:c>
      <x:c r="F1428" s="18" t="n">
        <x:f>'Habilidades'!H2454</x:f>
        <x:v>90</x:v>
      </x:c>
      <x:c r="G1428" s="18" t="n">
        <x:f>'Habilidades'!I2454</x:f>
        <x:v>170</x:v>
      </x:c>
    </x:row>
    <x:row r="1429" ht="22" customHeight="1">
      <x:c r="A1429" s="17" t="n">
        <x:f>IF(B1429="","",IF(B1429=B1428,A1428,A1428+1))</x:f>
        <x:v>289</x:v>
      </x:c>
      <x:c r="B1429" s="1" t="str">
        <x:f>'Ranking'!C280</x:f>
        <x:v>Mightyena</x:v>
      </x:c>
      <x:c r="C1429" s="1" t="str">
        <x:f>'Habilidades'!D2455</x:f>
        <x:v>Bite</x:v>
      </x:c>
      <x:c r="D1429" s="1" t="str">
        <x:f>'Habilidades'!F2455</x:f>
        <x:v>Física</x:v>
      </x:c>
      <x:c r="E1429" s="18" t="n">
        <x:f>'Habilidades'!G2455</x:f>
        <x:v>60</x:v>
      </x:c>
      <x:c r="F1429" s="18" t="n">
        <x:f>'Habilidades'!H2455</x:f>
        <x:v>90</x:v>
      </x:c>
      <x:c r="G1429" s="18" t="n">
        <x:f>'Habilidades'!I2455</x:f>
        <x:v>150</x:v>
      </x:c>
    </x:row>
    <x:row r="1430" ht="22" customHeight="1">
      <x:c r="A1430" s="19" t="n">
        <x:f>IF(B1430="","",IF(B1430=B1429,A1429,A1429+1))</x:f>
        <x:v>289</x:v>
      </x:c>
      <x:c r="B1430" s="20" t="str">
        <x:f>'Ranking'!C280</x:f>
        <x:v>Mightyena</x:v>
      </x:c>
      <x:c r="C1430" s="20" t="str">
        <x:f>'Habilidades'!D2456</x:f>
        <x:v>Thief</x:v>
      </x:c>
      <x:c r="D1430" s="20" t="str">
        <x:f>'Habilidades'!F2456</x:f>
        <x:v>Física</x:v>
      </x:c>
      <x:c r="E1430" s="21" t="n">
        <x:f>'Habilidades'!G2456</x:f>
        <x:v>60</x:v>
      </x:c>
      <x:c r="F1430" s="21" t="n">
        <x:f>'Habilidades'!H2456</x:f>
        <x:v>90</x:v>
      </x:c>
      <x:c r="G1430" s="21" t="n">
        <x:f>'Habilidades'!I2456</x:f>
        <x:v>150</x:v>
      </x:c>
    </x:row>
    <x:row r="1431" ht="22" customHeight="1">
      <x:c r="A1431" s="17" t="n">
        <x:f>IF(B1431="","",IF(B1431=B1430,A1430,A1430+1))</x:f>
        <x:v>290</x:v>
      </x:c>
      <x:c r="B1431" s="1" t="str">
        <x:f>'Ranking'!C293</x:f>
        <x:v>Numel</x:v>
      </x:c>
      <x:c r="C1431" s="1" t="str">
        <x:f>'Habilidades'!D2729</x:f>
        <x:v>Double-Edge</x:v>
      </x:c>
      <x:c r="D1431" s="1" t="str">
        <x:f>'Habilidades'!F2729</x:f>
        <x:v>Física</x:v>
      </x:c>
      <x:c r="E1431" s="18" t="n">
        <x:f>'Habilidades'!G2729</x:f>
        <x:v>120</x:v>
      </x:c>
      <x:c r="F1431" s="18" t="n">
        <x:f>'Habilidades'!H2729</x:f>
        <x:v>60</x:v>
      </x:c>
      <x:c r="G1431" s="18" t="n">
        <x:f>'Habilidades'!I2729</x:f>
        <x:v>180</x:v>
      </x:c>
    </x:row>
    <x:row r="1432" ht="22" customHeight="1">
      <x:c r="A1432" s="17" t="n">
        <x:f>IF(B1432="","",IF(B1432=B1431,A1431,A1431+1))</x:f>
        <x:v>290</x:v>
      </x:c>
      <x:c r="B1432" s="1" t="str">
        <x:f>'Ranking'!C293</x:f>
        <x:v>Numel</x:v>
      </x:c>
      <x:c r="C1432" s="1" t="str">
        <x:f>'Habilidades'!D2730</x:f>
        <x:v>Earthquake</x:v>
      </x:c>
      <x:c r="D1432" s="1" t="str">
        <x:f>'Habilidades'!F2730</x:f>
        <x:v>Física</x:v>
      </x:c>
      <x:c r="E1432" s="18" t="n">
        <x:f>'Habilidades'!G2730</x:f>
        <x:v>100</x:v>
      </x:c>
      <x:c r="F1432" s="18" t="n">
        <x:f>'Habilidades'!H2730</x:f>
        <x:v>60</x:v>
      </x:c>
      <x:c r="G1432" s="18" t="n">
        <x:f>'Habilidades'!I2730</x:f>
        <x:v>160</x:v>
      </x:c>
    </x:row>
    <x:row r="1433" ht="22" customHeight="1">
      <x:c r="A1433" s="17" t="n">
        <x:f>IF(B1433="","",IF(B1433=B1432,A1432,A1432+1))</x:f>
        <x:v>290</x:v>
      </x:c>
      <x:c r="B1433" s="1" t="str">
        <x:f>'Ranking'!C293</x:f>
        <x:v>Numel</x:v>
      </x:c>
      <x:c r="C1433" s="1" t="str">
        <x:f>'Habilidades'!D2731</x:f>
        <x:v>Earth Power</x:v>
      </x:c>
      <x:c r="D1433" s="1" t="str">
        <x:f>'Habilidades'!F2731</x:f>
        <x:v>Especial</x:v>
      </x:c>
      <x:c r="E1433" s="18" t="n">
        <x:f>'Habilidades'!G2731</x:f>
        <x:v>90</x:v>
      </x:c>
      <x:c r="F1433" s="18" t="n">
        <x:f>'Habilidades'!H2731</x:f>
        <x:v>65</x:v>
      </x:c>
      <x:c r="G1433" s="18" t="n">
        <x:f>'Habilidades'!I2731</x:f>
        <x:v>155</x:v>
      </x:c>
    </x:row>
    <x:row r="1434" ht="22" customHeight="1">
      <x:c r="A1434" s="17" t="n">
        <x:f>IF(B1434="","",IF(B1434=B1433,A1433,A1433+1))</x:f>
        <x:v>290</x:v>
      </x:c>
      <x:c r="B1434" s="1" t="str">
        <x:f>'Ranking'!C293</x:f>
        <x:v>Numel</x:v>
      </x:c>
      <x:c r="C1434" s="1" t="str">
        <x:f>'Habilidades'!D2732</x:f>
        <x:v>Flamethrower</x:v>
      </x:c>
      <x:c r="D1434" s="1" t="str">
        <x:f>'Habilidades'!F2732</x:f>
        <x:v>Especial</x:v>
      </x:c>
      <x:c r="E1434" s="18" t="n">
        <x:f>'Habilidades'!G2732</x:f>
        <x:v>90</x:v>
      </x:c>
      <x:c r="F1434" s="18" t="n">
        <x:f>'Habilidades'!H2732</x:f>
        <x:v>65</x:v>
      </x:c>
      <x:c r="G1434" s="18" t="n">
        <x:f>'Habilidades'!I2732</x:f>
        <x:v>155</x:v>
      </x:c>
    </x:row>
    <x:row r="1435" ht="22" customHeight="1">
      <x:c r="A1435" s="19" t="n">
        <x:f>IF(B1435="","",IF(B1435=B1434,A1434,A1434+1))</x:f>
        <x:v>290</x:v>
      </x:c>
      <x:c r="B1435" s="20" t="str">
        <x:f>'Ranking'!C293</x:f>
        <x:v>Numel</x:v>
      </x:c>
      <x:c r="C1435" s="20" t="str">
        <x:f>'Habilidades'!D2733</x:f>
        <x:v>Take Down</x:v>
      </x:c>
      <x:c r="D1435" s="20" t="str">
        <x:f>'Habilidades'!F2733</x:f>
        <x:v>Física</x:v>
      </x:c>
      <x:c r="E1435" s="21" t="n">
        <x:f>'Habilidades'!G2733</x:f>
        <x:v>90</x:v>
      </x:c>
      <x:c r="F1435" s="21" t="n">
        <x:f>'Habilidades'!H2733</x:f>
        <x:v>60</x:v>
      </x:c>
      <x:c r="G1435" s="21" t="n">
        <x:f>'Habilidades'!I2733</x:f>
        <x:v>150</x:v>
      </x:c>
    </x:row>
    <x:row r="1436" ht="22" customHeight="1">
      <x:c r="A1436" s="17" t="n">
        <x:f>IF(B1436="","",IF(B1436=B1435,A1435,A1435+1))</x:f>
        <x:v>291</x:v>
      </x:c>
      <x:c r="B1436" s="1" t="str">
        <x:f>'Ranking'!C290</x:f>
        <x:v>Staryu</x:v>
      </x:c>
      <x:c r="C1436" s="1" t="str">
        <x:f>'Habilidades'!D1140</x:f>
        <x:v>Hydro Pump</x:v>
      </x:c>
      <x:c r="D1436" s="1" t="str">
        <x:f>'Habilidades'!F1140</x:f>
        <x:v>Especial</x:v>
      </x:c>
      <x:c r="E1436" s="18" t="n">
        <x:f>'Habilidades'!G1140</x:f>
        <x:v>110</x:v>
      </x:c>
      <x:c r="F1436" s="18" t="n">
        <x:f>'Habilidades'!H1140</x:f>
        <x:v>70</x:v>
      </x:c>
      <x:c r="G1436" s="18" t="n">
        <x:f>'Habilidades'!I1140</x:f>
        <x:v>180</x:v>
      </x:c>
    </x:row>
    <x:row r="1437" ht="22" customHeight="1">
      <x:c r="A1437" s="17" t="n">
        <x:f>IF(B1437="","",IF(B1437=B1436,A1436,A1436+1))</x:f>
        <x:v>291</x:v>
      </x:c>
      <x:c r="B1437" s="1" t="str">
        <x:f>'Ranking'!C290</x:f>
        <x:v>Staryu</x:v>
      </x:c>
      <x:c r="C1437" s="1" t="str">
        <x:f>'Habilidades'!D1141</x:f>
        <x:v>Psychic</x:v>
      </x:c>
      <x:c r="D1437" s="1" t="str">
        <x:f>'Habilidades'!F1141</x:f>
        <x:v>Especial</x:v>
      </x:c>
      <x:c r="E1437" s="18" t="n">
        <x:f>'Habilidades'!G1141</x:f>
        <x:v>90</x:v>
      </x:c>
      <x:c r="F1437" s="18" t="n">
        <x:f>'Habilidades'!H1141</x:f>
        <x:v>70</x:v>
      </x:c>
      <x:c r="G1437" s="18" t="n">
        <x:f>'Habilidades'!I1141</x:f>
        <x:v>160</x:v>
      </x:c>
    </x:row>
    <x:row r="1438" ht="22" customHeight="1">
      <x:c r="A1438" s="17" t="n">
        <x:f>IF(B1438="","",IF(B1438=B1437,A1437,A1437+1))</x:f>
        <x:v>291</x:v>
      </x:c>
      <x:c r="B1438" s="1" t="str">
        <x:f>'Ranking'!C290</x:f>
        <x:v>Staryu</x:v>
      </x:c>
      <x:c r="C1438" s="1" t="str">
        <x:f>'Habilidades'!D1142</x:f>
        <x:v>Power Gem</x:v>
      </x:c>
      <x:c r="D1438" s="1" t="str">
        <x:f>'Habilidades'!F1142</x:f>
        <x:v>Especial</x:v>
      </x:c>
      <x:c r="E1438" s="18" t="n">
        <x:f>'Habilidades'!G1142</x:f>
        <x:v>80</x:v>
      </x:c>
      <x:c r="F1438" s="18" t="n">
        <x:f>'Habilidades'!H1142</x:f>
        <x:v>70</x:v>
      </x:c>
      <x:c r="G1438" s="18" t="n">
        <x:f>'Habilidades'!I1142</x:f>
        <x:v>150</x:v>
      </x:c>
    </x:row>
    <x:row r="1439" ht="22" customHeight="1">
      <x:c r="A1439" s="17" t="n">
        <x:f>IF(B1439="","",IF(B1439=B1438,A1438,A1438+1))</x:f>
        <x:v>291</x:v>
      </x:c>
      <x:c r="B1439" s="1" t="str">
        <x:f>'Ranking'!C290</x:f>
        <x:v>Staryu</x:v>
      </x:c>
      <x:c r="C1439" s="1" t="str">
        <x:f>'Habilidades'!D1143</x:f>
        <x:v>Bubble Beam</x:v>
      </x:c>
      <x:c r="D1439" s="1" t="str">
        <x:f>'Habilidades'!F1143</x:f>
        <x:v>Especial</x:v>
      </x:c>
      <x:c r="E1439" s="18" t="n">
        <x:f>'Habilidades'!G1143</x:f>
        <x:v>65</x:v>
      </x:c>
      <x:c r="F1439" s="18" t="n">
        <x:f>'Habilidades'!H1143</x:f>
        <x:v>70</x:v>
      </x:c>
      <x:c r="G1439" s="18" t="n">
        <x:f>'Habilidades'!I1143</x:f>
        <x:v>135</x:v>
      </x:c>
    </x:row>
    <x:row r="1440" ht="22" customHeight="1">
      <x:c r="A1440" s="19" t="n">
        <x:f>IF(B1440="","",IF(B1440=B1439,A1439,A1439+1))</x:f>
        <x:v>291</x:v>
      </x:c>
      <x:c r="B1440" s="20" t="str">
        <x:f>'Ranking'!C290</x:f>
        <x:v>Staryu</x:v>
      </x:c>
      <x:c r="C1440" s="20" t="str">
        <x:f>'Habilidades'!D1144</x:f>
        <x:v>Brine</x:v>
      </x:c>
      <x:c r="D1440" s="20" t="str">
        <x:f>'Habilidades'!F1144</x:f>
        <x:v>Especial</x:v>
      </x:c>
      <x:c r="E1440" s="21" t="n">
        <x:f>'Habilidades'!G1144</x:f>
        <x:v>65</x:v>
      </x:c>
      <x:c r="F1440" s="21" t="n">
        <x:f>'Habilidades'!H1144</x:f>
        <x:v>70</x:v>
      </x:c>
      <x:c r="G1440" s="21" t="n">
        <x:f>'Habilidades'!I1144</x:f>
        <x:v>135</x:v>
      </x:c>
    </x:row>
    <x:row r="1441" ht="22" customHeight="1">
      <x:c r="A1441" s="17" t="n">
        <x:f>IF(B1441="","",IF(B1441=B1440,A1440,A1440+1))</x:f>
        <x:v>292</x:v>
      </x:c>
      <x:c r="B1441" s="1" t="str">
        <x:f>'Ranking'!C285</x:f>
        <x:v>Togetic</x:v>
      </x:c>
      <x:c r="C1441" s="1" t="str">
        <x:f>'Habilidades'!D1671</x:f>
        <x:v>Last Resort</x:v>
      </x:c>
      <x:c r="D1441" s="1" t="str">
        <x:f>'Habilidades'!F1671</x:f>
        <x:v>Física</x:v>
      </x:c>
      <x:c r="E1441" s="18" t="n">
        <x:f>'Habilidades'!G1671</x:f>
        <x:v>140</x:v>
      </x:c>
      <x:c r="F1441" s="18" t="n">
        <x:f>'Habilidades'!H1671</x:f>
        <x:v>40</x:v>
      </x:c>
      <x:c r="G1441" s="18" t="n">
        <x:f>'Habilidades'!I1671</x:f>
        <x:v>180</x:v>
      </x:c>
    </x:row>
    <x:row r="1442" ht="22" customHeight="1">
      <x:c r="A1442" s="17" t="n">
        <x:f>IF(B1442="","",IF(B1442=B1441,A1441,A1441+1))</x:f>
        <x:v>292</x:v>
      </x:c>
      <x:c r="B1442" s="1" t="str">
        <x:f>'Ranking'!C285</x:f>
        <x:v>Togetic</x:v>
      </x:c>
      <x:c r="C1442" s="1" t="str">
        <x:f>'Habilidades'!D1672</x:f>
        <x:v>Double-Edge</x:v>
      </x:c>
      <x:c r="D1442" s="1" t="str">
        <x:f>'Habilidades'!F1672</x:f>
        <x:v>Física</x:v>
      </x:c>
      <x:c r="E1442" s="18" t="n">
        <x:f>'Habilidades'!G1672</x:f>
        <x:v>120</x:v>
      </x:c>
      <x:c r="F1442" s="18" t="n">
        <x:f>'Habilidades'!H1672</x:f>
        <x:v>40</x:v>
      </x:c>
      <x:c r="G1442" s="18" t="n">
        <x:f>'Habilidades'!I1672</x:f>
        <x:v>160</x:v>
      </x:c>
    </x:row>
    <x:row r="1443" ht="22" customHeight="1">
      <x:c r="A1443" s="17" t="n">
        <x:f>IF(B1443="","",IF(B1443=B1442,A1442,A1442+1))</x:f>
        <x:v>292</x:v>
      </x:c>
      <x:c r="B1443" s="1" t="str">
        <x:f>'Ranking'!C285</x:f>
        <x:v>Togetic</x:v>
      </x:c>
      <x:c r="C1443" s="1" t="str">
        <x:f>'Habilidades'!D1673</x:f>
        <x:v>Magical Leaf</x:v>
      </x:c>
      <x:c r="D1443" s="1" t="str">
        <x:f>'Habilidades'!F1673</x:f>
        <x:v>Especial</x:v>
      </x:c>
      <x:c r="E1443" s="18" t="n">
        <x:f>'Habilidades'!G1673</x:f>
        <x:v>60</x:v>
      </x:c>
      <x:c r="F1443" s="18" t="n">
        <x:f>'Habilidades'!H1673</x:f>
        <x:v>80</x:v>
      </x:c>
      <x:c r="G1443" s="18" t="n">
        <x:f>'Habilidades'!I1673</x:f>
        <x:v>140</x:v>
      </x:c>
    </x:row>
    <x:row r="1444" ht="22" customHeight="1">
      <x:c r="A1444" s="17" t="n">
        <x:f>IF(B1444="","",IF(B1444=B1443,A1443,A1443+1))</x:f>
        <x:v>292</x:v>
      </x:c>
      <x:c r="B1444" s="1" t="str">
        <x:f>'Ranking'!C285</x:f>
        <x:v>Togetic</x:v>
      </x:c>
      <x:c r="C1444" s="1" t="str">
        <x:f>'Habilidades'!D1674</x:f>
        <x:v>Ancient Power</x:v>
      </x:c>
      <x:c r="D1444" s="1" t="str">
        <x:f>'Habilidades'!F1674</x:f>
        <x:v>Especial</x:v>
      </x:c>
      <x:c r="E1444" s="18" t="n">
        <x:f>'Habilidades'!G1674</x:f>
        <x:v>60</x:v>
      </x:c>
      <x:c r="F1444" s="18" t="n">
        <x:f>'Habilidades'!H1674</x:f>
        <x:v>80</x:v>
      </x:c>
      <x:c r="G1444" s="18" t="n">
        <x:f>'Habilidades'!I1674</x:f>
        <x:v>140</x:v>
      </x:c>
    </x:row>
    <x:row r="1445" ht="22" customHeight="1">
      <x:c r="A1445" s="19" t="n">
        <x:f>IF(B1445="","",IF(B1445=B1444,A1444,A1444+1))</x:f>
        <x:v>292</x:v>
      </x:c>
      <x:c r="B1445" s="20" t="str">
        <x:f>'Ranking'!C285</x:f>
        <x:v>Togetic</x:v>
      </x:c>
      <x:c r="C1445" s="20" t="str">
        <x:f>'Habilidades'!D1675</x:f>
        <x:v>Fairy Wind</x:v>
      </x:c>
      <x:c r="D1445" s="20" t="str">
        <x:f>'Habilidades'!F1675</x:f>
        <x:v>Especial</x:v>
      </x:c>
      <x:c r="E1445" s="21" t="n">
        <x:f>'Habilidades'!G1675</x:f>
        <x:v>40</x:v>
      </x:c>
      <x:c r="F1445" s="21" t="n">
        <x:f>'Habilidades'!H1675</x:f>
        <x:v>80</x:v>
      </x:c>
      <x:c r="G1445" s="21" t="n">
        <x:f>'Habilidades'!I1675</x:f>
        <x:v>120</x:v>
      </x:c>
    </x:row>
    <x:row r="1446" ht="22" customHeight="1">
      <x:c r="A1446" s="17" t="n">
        <x:f>IF(B1446="","",IF(B1446=B1445,A1445,A1445+1))</x:f>
        <x:v>293</x:v>
      </x:c>
      <x:c r="B1446" s="1" t="str">
        <x:f>'Ranking'!C297</x:f>
        <x:v>Squirtle</x:v>
      </x:c>
      <x:c r="C1446" s="1" t="str">
        <x:f>'Habilidades'!D67</x:f>
        <x:v>Skull Bash</x:v>
      </x:c>
      <x:c r="D1446" s="1" t="str">
        <x:f>'Habilidades'!F67</x:f>
        <x:v>Física</x:v>
      </x:c>
      <x:c r="E1446" s="18" t="n">
        <x:f>'Habilidades'!G67</x:f>
        <x:v>130</x:v>
      </x:c>
      <x:c r="F1446" s="18" t="n">
        <x:f>'Habilidades'!H67</x:f>
        <x:v>48</x:v>
      </x:c>
      <x:c r="G1446" s="18" t="n">
        <x:f>'Habilidades'!I67</x:f>
        <x:v>178</x:v>
      </x:c>
    </x:row>
    <x:row r="1447" ht="22" customHeight="1">
      <x:c r="A1447" s="17" t="n">
        <x:f>IF(B1447="","",IF(B1447=B1446,A1446,A1446+1))</x:f>
        <x:v>293</x:v>
      </x:c>
      <x:c r="B1447" s="1" t="str">
        <x:f>'Ranking'!C297</x:f>
        <x:v>Squirtle</x:v>
      </x:c>
      <x:c r="C1447" s="1" t="str">
        <x:f>'Habilidades'!D68</x:f>
        <x:v>Hydro Pump</x:v>
      </x:c>
      <x:c r="D1447" s="1" t="str">
        <x:f>'Habilidades'!F68</x:f>
        <x:v>Especial</x:v>
      </x:c>
      <x:c r="E1447" s="18" t="n">
        <x:f>'Habilidades'!G68</x:f>
        <x:v>110</x:v>
      </x:c>
      <x:c r="F1447" s="18" t="n">
        <x:f>'Habilidades'!H68</x:f>
        <x:v>50</x:v>
      </x:c>
      <x:c r="G1447" s="18" t="n">
        <x:f>'Habilidades'!I68</x:f>
        <x:v>160</x:v>
      </x:c>
    </x:row>
    <x:row r="1448" ht="22" customHeight="1">
      <x:c r="A1448" s="17" t="n">
        <x:f>IF(B1448="","",IF(B1448=B1447,A1447,A1447+1))</x:f>
        <x:v>293</x:v>
      </x:c>
      <x:c r="B1448" s="1" t="str">
        <x:f>'Ranking'!C297</x:f>
        <x:v>Squirtle</x:v>
      </x:c>
      <x:c r="C1448" s="1" t="str">
        <x:f>'Habilidades'!D69</x:f>
        <x:v>Aqua Tail</x:v>
      </x:c>
      <x:c r="D1448" s="1" t="str">
        <x:f>'Habilidades'!F69</x:f>
        <x:v>Física</x:v>
      </x:c>
      <x:c r="E1448" s="18" t="n">
        <x:f>'Habilidades'!G69</x:f>
        <x:v>90</x:v>
      </x:c>
      <x:c r="F1448" s="18" t="n">
        <x:f>'Habilidades'!H69</x:f>
        <x:v>48</x:v>
      </x:c>
      <x:c r="G1448" s="18" t="n">
        <x:f>'Habilidades'!I69</x:f>
        <x:v>138</x:v>
      </x:c>
    </x:row>
    <x:row r="1449" ht="22" customHeight="1">
      <x:c r="A1449" s="17" t="n">
        <x:f>IF(B1449="","",IF(B1449=B1448,A1448,A1448+1))</x:f>
        <x:v>293</x:v>
      </x:c>
      <x:c r="B1449" s="1" t="str">
        <x:f>'Ranking'!C297</x:f>
        <x:v>Squirtle</x:v>
      </x:c>
      <x:c r="C1449" s="1" t="str">
        <x:f>'Habilidades'!D70</x:f>
        <x:v>Water Pulse</x:v>
      </x:c>
      <x:c r="D1449" s="1" t="str">
        <x:f>'Habilidades'!F70</x:f>
        <x:v>Especial</x:v>
      </x:c>
      <x:c r="E1449" s="18" t="n">
        <x:f>'Habilidades'!G70</x:f>
        <x:v>60</x:v>
      </x:c>
      <x:c r="F1449" s="18" t="n">
        <x:f>'Habilidades'!H70</x:f>
        <x:v>50</x:v>
      </x:c>
      <x:c r="G1449" s="18" t="n">
        <x:f>'Habilidades'!I70</x:f>
        <x:v>110</x:v>
      </x:c>
    </x:row>
    <x:row r="1450" ht="22" customHeight="1">
      <x:c r="A1450" s="19" t="n">
        <x:f>IF(B1450="","",IF(B1450=B1449,A1449,A1449+1))</x:f>
        <x:v>293</x:v>
      </x:c>
      <x:c r="B1450" s="20" t="str">
        <x:f>'Ranking'!C297</x:f>
        <x:v>Squirtle</x:v>
      </x:c>
      <x:c r="C1450" s="20" t="str">
        <x:f>'Habilidades'!D71</x:f>
        <x:v>Bite</x:v>
      </x:c>
      <x:c r="D1450" s="20" t="str">
        <x:f>'Habilidades'!F71</x:f>
        <x:v>Física</x:v>
      </x:c>
      <x:c r="E1450" s="21" t="n">
        <x:f>'Habilidades'!G71</x:f>
        <x:v>60</x:v>
      </x:c>
      <x:c r="F1450" s="21" t="n">
        <x:f>'Habilidades'!H71</x:f>
        <x:v>48</x:v>
      </x:c>
      <x:c r="G1450" s="21" t="n">
        <x:f>'Habilidades'!I71</x:f>
        <x:v>108</x:v>
      </x:c>
    </x:row>
    <x:row r="1451" ht="22" customHeight="1">
      <x:c r="A1451" s="17" t="n">
        <x:f>IF(B1451="","",IF(B1451=B1450,A1450,A1450+1))</x:f>
        <x:v>294</x:v>
      </x:c>
      <x:c r="B1451" s="1" t="str">
        <x:f>'Ranking'!C298</x:f>
        <x:v>Rattata</x:v>
      </x:c>
      <x:c r="C1451" s="1" t="str">
        <x:f>'Habilidades'!D152</x:f>
        <x:v>Double-Edge</x:v>
      </x:c>
      <x:c r="D1451" s="1" t="str">
        <x:f>'Habilidades'!F152</x:f>
        <x:v>Física</x:v>
      </x:c>
      <x:c r="E1451" s="18" t="n">
        <x:f>'Habilidades'!G152</x:f>
        <x:v>120</x:v>
      </x:c>
      <x:c r="F1451" s="18" t="n">
        <x:f>'Habilidades'!H152</x:f>
        <x:v>56</x:v>
      </x:c>
      <x:c r="G1451" s="18" t="n">
        <x:f>'Habilidades'!I152</x:f>
        <x:v>176</x:v>
      </x:c>
    </x:row>
    <x:row r="1452" ht="22" customHeight="1">
      <x:c r="A1452" s="17" t="n">
        <x:f>IF(B1452="","",IF(B1452=B1451,A1451,A1451+1))</x:f>
        <x:v>294</x:v>
      </x:c>
      <x:c r="B1452" s="1" t="str">
        <x:f>'Ranking'!C298</x:f>
        <x:v>Rattata</x:v>
      </x:c>
      <x:c r="C1452" s="1" t="str">
        <x:f>'Habilidades'!D153</x:f>
        <x:v>Hyper Fang</x:v>
      </x:c>
      <x:c r="D1452" s="1" t="str">
        <x:f>'Habilidades'!F153</x:f>
        <x:v>Física</x:v>
      </x:c>
      <x:c r="E1452" s="18" t="n">
        <x:f>'Habilidades'!G153</x:f>
        <x:v>80</x:v>
      </x:c>
      <x:c r="F1452" s="18" t="n">
        <x:f>'Habilidades'!H153</x:f>
        <x:v>56</x:v>
      </x:c>
      <x:c r="G1452" s="18" t="n">
        <x:f>'Habilidades'!I153</x:f>
        <x:v>136</x:v>
      </x:c>
    </x:row>
    <x:row r="1453" ht="22" customHeight="1">
      <x:c r="A1453" s="17" t="n">
        <x:f>IF(B1453="","",IF(B1453=B1452,A1452,A1452+1))</x:f>
        <x:v>294</x:v>
      </x:c>
      <x:c r="B1453" s="1" t="str">
        <x:f>'Ranking'!C298</x:f>
        <x:v>Rattata</x:v>
      </x:c>
      <x:c r="C1453" s="1" t="str">
        <x:f>'Habilidades'!D154</x:f>
        <x:v>Sucker Punch</x:v>
      </x:c>
      <x:c r="D1453" s="1" t="str">
        <x:f>'Habilidades'!F154</x:f>
        <x:v>Física</x:v>
      </x:c>
      <x:c r="E1453" s="18" t="n">
        <x:f>'Habilidades'!G154</x:f>
        <x:v>80</x:v>
      </x:c>
      <x:c r="F1453" s="18" t="n">
        <x:f>'Habilidades'!H154</x:f>
        <x:v>56</x:v>
      </x:c>
      <x:c r="G1453" s="18" t="n">
        <x:f>'Habilidades'!I154</x:f>
        <x:v>136</x:v>
      </x:c>
    </x:row>
    <x:row r="1454" ht="22" customHeight="1">
      <x:c r="A1454" s="17" t="n">
        <x:f>IF(B1454="","",IF(B1454=B1453,A1453,A1453+1))</x:f>
        <x:v>294</x:v>
      </x:c>
      <x:c r="B1454" s="1" t="str">
        <x:f>'Ranking'!C298</x:f>
        <x:v>Rattata</x:v>
      </x:c>
      <x:c r="C1454" s="1" t="str">
        <x:f>'Habilidades'!D155</x:f>
        <x:v>Crunch</x:v>
      </x:c>
      <x:c r="D1454" s="1" t="str">
        <x:f>'Habilidades'!F155</x:f>
        <x:v>Física</x:v>
      </x:c>
      <x:c r="E1454" s="18" t="n">
        <x:f>'Habilidades'!G155</x:f>
        <x:v>80</x:v>
      </x:c>
      <x:c r="F1454" s="18" t="n">
        <x:f>'Habilidades'!H155</x:f>
        <x:v>56</x:v>
      </x:c>
      <x:c r="G1454" s="18" t="n">
        <x:f>'Habilidades'!I155</x:f>
        <x:v>136</x:v>
      </x:c>
    </x:row>
    <x:row r="1455" ht="22" customHeight="1">
      <x:c r="A1455" s="19" t="n">
        <x:f>IF(B1455="","",IF(B1455=B1454,A1454,A1454+1))</x:f>
        <x:v>294</x:v>
      </x:c>
      <x:c r="B1455" s="20" t="str">
        <x:f>'Ranking'!C298</x:f>
        <x:v>Rattata</x:v>
      </x:c>
      <x:c r="C1455" s="20" t="str">
        <x:f>'Habilidades'!D156</x:f>
        <x:v>Bite</x:v>
      </x:c>
      <x:c r="D1455" s="20" t="str">
        <x:f>'Habilidades'!F156</x:f>
        <x:v>Física</x:v>
      </x:c>
      <x:c r="E1455" s="21" t="n">
        <x:f>'Habilidades'!G156</x:f>
        <x:v>60</x:v>
      </x:c>
      <x:c r="F1455" s="21" t="n">
        <x:f>'Habilidades'!H156</x:f>
        <x:v>56</x:v>
      </x:c>
      <x:c r="G1455" s="21" t="n">
        <x:f>'Habilidades'!I156</x:f>
        <x:v>116</x:v>
      </x:c>
    </x:row>
    <x:row r="1456" ht="22" customHeight="1">
      <x:c r="A1456" s="17" t="n">
        <x:f>IF(B1456="","",IF(B1456=B1455,A1455,A1455+1))</x:f>
        <x:v>295</x:v>
      </x:c>
      <x:c r="B1456" s="1" t="str">
        <x:f>'Ranking'!C304</x:f>
        <x:v>Electrike</x:v>
      </x:c>
      <x:c r="C1456" s="1" t="str">
        <x:f>'Habilidades'!D2691</x:f>
        <x:v>Thunder</x:v>
      </x:c>
      <x:c r="D1456" s="1" t="str">
        <x:f>'Habilidades'!F2691</x:f>
        <x:v>Especial</x:v>
      </x:c>
      <x:c r="E1456" s="18" t="n">
        <x:f>'Habilidades'!G2691</x:f>
        <x:v>110</x:v>
      </x:c>
      <x:c r="F1456" s="18" t="n">
        <x:f>'Habilidades'!H2691</x:f>
        <x:v>65</x:v>
      </x:c>
      <x:c r="G1456" s="18" t="n">
        <x:f>'Habilidades'!I2691</x:f>
        <x:v>175</x:v>
      </x:c>
    </x:row>
    <x:row r="1457" ht="22" customHeight="1">
      <x:c r="A1457" s="17" t="n">
        <x:f>IF(B1457="","",IF(B1457=B1456,A1456,A1456+1))</x:f>
        <x:v>295</x:v>
      </x:c>
      <x:c r="B1457" s="1" t="str">
        <x:f>'Ranking'!C304</x:f>
        <x:v>Electrike</x:v>
      </x:c>
      <x:c r="C1457" s="1" t="str">
        <x:f>'Habilidades'!D2692</x:f>
        <x:v>Discharge</x:v>
      </x:c>
      <x:c r="D1457" s="1" t="str">
        <x:f>'Habilidades'!F2692</x:f>
        <x:v>Especial</x:v>
      </x:c>
      <x:c r="E1457" s="18" t="n">
        <x:f>'Habilidades'!G2692</x:f>
        <x:v>80</x:v>
      </x:c>
      <x:c r="F1457" s="18" t="n">
        <x:f>'Habilidades'!H2692</x:f>
        <x:v>65</x:v>
      </x:c>
      <x:c r="G1457" s="18" t="n">
        <x:f>'Habilidades'!I2692</x:f>
        <x:v>145</x:v>
      </x:c>
    </x:row>
    <x:row r="1458" ht="22" customHeight="1">
      <x:c r="A1458" s="17" t="n">
        <x:f>IF(B1458="","",IF(B1458=B1457,A1457,A1457+1))</x:f>
        <x:v>295</x:v>
      </x:c>
      <x:c r="B1458" s="1" t="str">
        <x:f>'Ranking'!C304</x:f>
        <x:v>Electrike</x:v>
      </x:c>
      <x:c r="C1458" s="1" t="str">
        <x:f>'Habilidades'!D2693</x:f>
        <x:v>Wild Charge</x:v>
      </x:c>
      <x:c r="D1458" s="1" t="str">
        <x:f>'Habilidades'!F2693</x:f>
        <x:v>Física</x:v>
      </x:c>
      <x:c r="E1458" s="18" t="n">
        <x:f>'Habilidades'!G2693</x:f>
        <x:v>90</x:v>
      </x:c>
      <x:c r="F1458" s="18" t="n">
        <x:f>'Habilidades'!H2693</x:f>
        <x:v>45</x:v>
      </x:c>
      <x:c r="G1458" s="18" t="n">
        <x:f>'Habilidades'!I2693</x:f>
        <x:v>135</x:v>
      </x:c>
    </x:row>
    <x:row r="1459" ht="22" customHeight="1">
      <x:c r="A1459" s="17" t="n">
        <x:f>IF(B1459="","",IF(B1459=B1458,A1458,A1458+1))</x:f>
        <x:v>295</x:v>
      </x:c>
      <x:c r="B1459" s="1" t="str">
        <x:f>'Ranking'!C304</x:f>
        <x:v>Electrike</x:v>
      </x:c>
      <x:c r="C1459" s="1" t="str">
        <x:f>'Habilidades'!D2694</x:f>
        <x:v>Spark</x:v>
      </x:c>
      <x:c r="D1459" s="1" t="str">
        <x:f>'Habilidades'!F2694</x:f>
        <x:v>Física</x:v>
      </x:c>
      <x:c r="E1459" s="18" t="n">
        <x:f>'Habilidades'!G2694</x:f>
        <x:v>65</x:v>
      </x:c>
      <x:c r="F1459" s="18" t="n">
        <x:f>'Habilidades'!H2694</x:f>
        <x:v>45</x:v>
      </x:c>
      <x:c r="G1459" s="18" t="n">
        <x:f>'Habilidades'!I2694</x:f>
        <x:v>110</x:v>
      </x:c>
    </x:row>
    <x:row r="1460" ht="22" customHeight="1">
      <x:c r="A1460" s="19" t="n">
        <x:f>IF(B1460="","",IF(B1460=B1459,A1459,A1459+1))</x:f>
        <x:v>295</x:v>
      </x:c>
      <x:c r="B1460" s="20" t="str">
        <x:f>'Ranking'!C304</x:f>
        <x:v>Electrike</x:v>
      </x:c>
      <x:c r="C1460" s="20" t="str">
        <x:f>'Habilidades'!D2695</x:f>
        <x:v>Thunder Fang</x:v>
      </x:c>
      <x:c r="D1460" s="20" t="str">
        <x:f>'Habilidades'!F2695</x:f>
        <x:v>Física</x:v>
      </x:c>
      <x:c r="E1460" s="21" t="n">
        <x:f>'Habilidades'!G2695</x:f>
        <x:v>65</x:v>
      </x:c>
      <x:c r="F1460" s="21" t="n">
        <x:f>'Habilidades'!H2695</x:f>
        <x:v>45</x:v>
      </x:c>
      <x:c r="G1460" s="21" t="n">
        <x:f>'Habilidades'!I2695</x:f>
        <x:v>110</x:v>
      </x:c>
    </x:row>
    <x:row r="1461" ht="22" customHeight="1">
      <x:c r="A1461" s="17" t="n">
        <x:f>IF(B1461="","",IF(B1461=B1460,A1460,A1460+1))</x:f>
        <x:v>296</x:v>
      </x:c>
      <x:c r="B1461" s="1" t="str">
        <x:f>'Ranking'!C303</x:f>
        <x:v>Elekid</x:v>
      </x:c>
      <x:c r="C1461" s="1" t="str">
        <x:f>'Habilidades'!D2228</x:f>
        <x:v>Thunder</x:v>
      </x:c>
      <x:c r="D1461" s="1" t="str">
        <x:f>'Habilidades'!F2228</x:f>
        <x:v>Especial</x:v>
      </x:c>
      <x:c r="E1461" s="18" t="n">
        <x:f>'Habilidades'!G2228</x:f>
        <x:v>110</x:v>
      </x:c>
      <x:c r="F1461" s="18" t="n">
        <x:f>'Habilidades'!H2228</x:f>
        <x:v>65</x:v>
      </x:c>
      <x:c r="G1461" s="18" t="n">
        <x:f>'Habilidades'!I2228</x:f>
        <x:v>175</x:v>
      </x:c>
    </x:row>
    <x:row r="1462" ht="22" customHeight="1">
      <x:c r="A1462" s="17" t="n">
        <x:f>IF(B1462="","",IF(B1462=B1461,A1461,A1461+1))</x:f>
        <x:v>296</x:v>
      </x:c>
      <x:c r="B1462" s="1" t="str">
        <x:f>'Ranking'!C303</x:f>
        <x:v>Elekid</x:v>
      </x:c>
      <x:c r="C1462" s="1" t="str">
        <x:f>'Habilidades'!D2229</x:f>
        <x:v>Thunderbolt</x:v>
      </x:c>
      <x:c r="D1462" s="1" t="str">
        <x:f>'Habilidades'!F2229</x:f>
        <x:v>Especial</x:v>
      </x:c>
      <x:c r="E1462" s="18" t="n">
        <x:f>'Habilidades'!G2229</x:f>
        <x:v>90</x:v>
      </x:c>
      <x:c r="F1462" s="18" t="n">
        <x:f>'Habilidades'!H2229</x:f>
        <x:v>65</x:v>
      </x:c>
      <x:c r="G1462" s="18" t="n">
        <x:f>'Habilidades'!I2229</x:f>
        <x:v>155</x:v>
      </x:c>
    </x:row>
    <x:row r="1463" ht="22" customHeight="1">
      <x:c r="A1463" s="17" t="n">
        <x:f>IF(B1463="","",IF(B1463=B1462,A1462,A1462+1))</x:f>
        <x:v>296</x:v>
      </x:c>
      <x:c r="B1463" s="1" t="str">
        <x:f>'Ranking'!C303</x:f>
        <x:v>Elekid</x:v>
      </x:c>
      <x:c r="C1463" s="1" t="str">
        <x:f>'Habilidades'!D2230</x:f>
        <x:v>Discharge</x:v>
      </x:c>
      <x:c r="D1463" s="1" t="str">
        <x:f>'Habilidades'!F2230</x:f>
        <x:v>Especial</x:v>
      </x:c>
      <x:c r="E1463" s="18" t="n">
        <x:f>'Habilidades'!G2230</x:f>
        <x:v>80</x:v>
      </x:c>
      <x:c r="F1463" s="18" t="n">
        <x:f>'Habilidades'!H2230</x:f>
        <x:v>65</x:v>
      </x:c>
      <x:c r="G1463" s="18" t="n">
        <x:f>'Habilidades'!I2230</x:f>
        <x:v>145</x:v>
      </x:c>
    </x:row>
    <x:row r="1464" ht="22" customHeight="1">
      <x:c r="A1464" s="17" t="n">
        <x:f>IF(B1464="","",IF(B1464=B1463,A1463,A1463+1))</x:f>
        <x:v>296</x:v>
      </x:c>
      <x:c r="B1464" s="1" t="str">
        <x:f>'Ranking'!C303</x:f>
        <x:v>Elekid</x:v>
      </x:c>
      <x:c r="C1464" s="1" t="str">
        <x:f>'Habilidades'!D2231</x:f>
        <x:v>Thunder Punch</x:v>
      </x:c>
      <x:c r="D1464" s="1" t="str">
        <x:f>'Habilidades'!F2231</x:f>
        <x:v>Física</x:v>
      </x:c>
      <x:c r="E1464" s="18" t="n">
        <x:f>'Habilidades'!G2231</x:f>
        <x:v>75</x:v>
      </x:c>
      <x:c r="F1464" s="18" t="n">
        <x:f>'Habilidades'!H2231</x:f>
        <x:v>63</x:v>
      </x:c>
      <x:c r="G1464" s="18" t="n">
        <x:f>'Habilidades'!I2231</x:f>
        <x:v>138</x:v>
      </x:c>
    </x:row>
    <x:row r="1465" ht="22" customHeight="1">
      <x:c r="A1465" s="19" t="n">
        <x:f>IF(B1465="","",IF(B1465=B1464,A1464,A1464+1))</x:f>
        <x:v>296</x:v>
      </x:c>
      <x:c r="B1465" s="20" t="str">
        <x:f>'Ranking'!C303</x:f>
        <x:v>Elekid</x:v>
      </x:c>
      <x:c r="C1465" s="20" t="str">
        <x:f>'Habilidades'!D2232</x:f>
        <x:v>Swift</x:v>
      </x:c>
      <x:c r="D1465" s="20" t="str">
        <x:f>'Habilidades'!F2232</x:f>
        <x:v>Especial</x:v>
      </x:c>
      <x:c r="E1465" s="21" t="n">
        <x:f>'Habilidades'!G2232</x:f>
        <x:v>60</x:v>
      </x:c>
      <x:c r="F1465" s="21" t="n">
        <x:f>'Habilidades'!H2232</x:f>
        <x:v>65</x:v>
      </x:c>
      <x:c r="G1465" s="21" t="n">
        <x:f>'Habilidades'!I2232</x:f>
        <x:v>125</x:v>
      </x:c>
    </x:row>
    <x:row r="1466" ht="22" customHeight="1">
      <x:c r="A1466" s="17" t="n">
        <x:f>IF(B1466="","",IF(B1466=B1465,A1465,A1465+1))</x:f>
        <x:v>297</x:v>
      </x:c>
      <x:c r="B1466" s="1" t="str">
        <x:f>'Ranking'!C305</x:f>
        <x:v>Lickitung</x:v>
      </x:c>
      <x:c r="C1466" s="1" t="str">
        <x:f>'Habilidades'!D1020</x:f>
        <x:v>Power Whip</x:v>
      </x:c>
      <x:c r="D1466" s="1" t="str">
        <x:f>'Habilidades'!F1020</x:f>
        <x:v>Física</x:v>
      </x:c>
      <x:c r="E1466" s="18" t="n">
        <x:f>'Habilidades'!G1020</x:f>
        <x:v>120</x:v>
      </x:c>
      <x:c r="F1466" s="18" t="n">
        <x:f>'Habilidades'!H1020</x:f>
        <x:v>55</x:v>
      </x:c>
      <x:c r="G1466" s="18" t="n">
        <x:f>'Habilidades'!I1020</x:f>
        <x:v>175</x:v>
      </x:c>
    </x:row>
    <x:row r="1467" ht="22" customHeight="1">
      <x:c r="A1467" s="17" t="n">
        <x:f>IF(B1467="","",IF(B1467=B1466,A1466,A1466+1))</x:f>
        <x:v>297</x:v>
      </x:c>
      <x:c r="B1467" s="1" t="str">
        <x:f>'Ranking'!C305</x:f>
        <x:v>Lickitung</x:v>
      </x:c>
      <x:c r="C1467" s="1" t="str">
        <x:f>'Habilidades'!D1021</x:f>
        <x:v>Slam</x:v>
      </x:c>
      <x:c r="D1467" s="1" t="str">
        <x:f>'Habilidades'!F1021</x:f>
        <x:v>Física</x:v>
      </x:c>
      <x:c r="E1467" s="18" t="n">
        <x:f>'Habilidades'!G1021</x:f>
        <x:v>80</x:v>
      </x:c>
      <x:c r="F1467" s="18" t="n">
        <x:f>'Habilidades'!H1021</x:f>
        <x:v>55</x:v>
      </x:c>
      <x:c r="G1467" s="18" t="n">
        <x:f>'Habilidades'!I1021</x:f>
        <x:v>135</x:v>
      </x:c>
    </x:row>
    <x:row r="1468" ht="22" customHeight="1">
      <x:c r="A1468" s="17" t="n">
        <x:f>IF(B1468="","",IF(B1468=B1467,A1467,A1467+1))</x:f>
        <x:v>297</x:v>
      </x:c>
      <x:c r="B1468" s="1" t="str">
        <x:f>'Ranking'!C305</x:f>
        <x:v>Lickitung</x:v>
      </x:c>
      <x:c r="C1468" s="1" t="str">
        <x:f>'Habilidades'!D1022</x:f>
        <x:v>Chip Away</x:v>
      </x:c>
      <x:c r="D1468" s="1" t="str">
        <x:f>'Habilidades'!F1022</x:f>
        <x:v>Física</x:v>
      </x:c>
      <x:c r="E1468" s="18" t="n">
        <x:f>'Habilidades'!G1022</x:f>
        <x:v>70</x:v>
      </x:c>
      <x:c r="F1468" s="18" t="n">
        <x:f>'Habilidades'!H1022</x:f>
        <x:v>55</x:v>
      </x:c>
      <x:c r="G1468" s="18" t="n">
        <x:f>'Habilidades'!I1022</x:f>
        <x:v>125</x:v>
      </x:c>
    </x:row>
    <x:row r="1469" ht="22" customHeight="1">
      <x:c r="A1469" s="17" t="n">
        <x:f>IF(B1469="","",IF(B1469=B1468,A1468,A1468+1))</x:f>
        <x:v>297</x:v>
      </x:c>
      <x:c r="B1469" s="1" t="str">
        <x:f>'Ranking'!C305</x:f>
        <x:v>Lickitung</x:v>
      </x:c>
      <x:c r="C1469" s="1" t="str">
        <x:f>'Habilidades'!D1023</x:f>
        <x:v>Knock Off</x:v>
      </x:c>
      <x:c r="D1469" s="1" t="str">
        <x:f>'Habilidades'!F1023</x:f>
        <x:v>Física</x:v>
      </x:c>
      <x:c r="E1469" s="18" t="n">
        <x:f>'Habilidades'!G1023</x:f>
        <x:v>65</x:v>
      </x:c>
      <x:c r="F1469" s="18" t="n">
        <x:f>'Habilidades'!H1023</x:f>
        <x:v>55</x:v>
      </x:c>
      <x:c r="G1469" s="18" t="n">
        <x:f>'Habilidades'!I1023</x:f>
        <x:v>120</x:v>
      </x:c>
    </x:row>
    <x:row r="1470" ht="22" customHeight="1">
      <x:c r="A1470" s="19" t="n">
        <x:f>IF(B1470="","",IF(B1470=B1469,A1469,A1469+1))</x:f>
        <x:v>297</x:v>
      </x:c>
      <x:c r="B1470" s="20" t="str">
        <x:f>'Ranking'!C305</x:f>
        <x:v>Lickitung</x:v>
      </x:c>
      <x:c r="C1470" s="20" t="str">
        <x:f>'Habilidades'!D1024</x:f>
        <x:v>Stomp</x:v>
      </x:c>
      <x:c r="D1470" s="20" t="str">
        <x:f>'Habilidades'!F1024</x:f>
        <x:v>Física</x:v>
      </x:c>
      <x:c r="E1470" s="21" t="n">
        <x:f>'Habilidades'!G1024</x:f>
        <x:v>65</x:v>
      </x:c>
      <x:c r="F1470" s="21" t="n">
        <x:f>'Habilidades'!H1024</x:f>
        <x:v>55</x:v>
      </x:c>
      <x:c r="G1470" s="21" t="n">
        <x:f>'Habilidades'!I1024</x:f>
        <x:v>120</x:v>
      </x:c>
    </x:row>
    <x:row r="1471" ht="22" customHeight="1">
      <x:c r="A1471" s="17" t="n">
        <x:f>IF(B1471="","",IF(B1471=B1470,A1470,A1470+1))</x:f>
        <x:v>298</x:v>
      </x:c>
      <x:c r="B1471" s="1" t="str">
        <x:f>'Ranking'!C302</x:f>
        <x:v>Mareep</x:v>
      </x:c>
      <x:c r="C1471" s="1" t="str">
        <x:f>'Habilidades'!D1689</x:f>
        <x:v>Thunder</x:v>
      </x:c>
      <x:c r="D1471" s="1" t="str">
        <x:f>'Habilidades'!F1689</x:f>
        <x:v>Especial</x:v>
      </x:c>
      <x:c r="E1471" s="18" t="n">
        <x:f>'Habilidades'!G1689</x:f>
        <x:v>110</x:v>
      </x:c>
      <x:c r="F1471" s="18" t="n">
        <x:f>'Habilidades'!H1689</x:f>
        <x:v>65</x:v>
      </x:c>
      <x:c r="G1471" s="18" t="n">
        <x:f>'Habilidades'!I1689</x:f>
        <x:v>175</x:v>
      </x:c>
    </x:row>
    <x:row r="1472" ht="22" customHeight="1">
      <x:c r="A1472" s="17" t="n">
        <x:f>IF(B1472="","",IF(B1472=B1471,A1471,A1471+1))</x:f>
        <x:v>298</x:v>
      </x:c>
      <x:c r="B1472" s="1" t="str">
        <x:f>'Ranking'!C302</x:f>
        <x:v>Mareep</x:v>
      </x:c>
      <x:c r="C1472" s="1" t="str">
        <x:f>'Habilidades'!D1690</x:f>
        <x:v>Power Gem</x:v>
      </x:c>
      <x:c r="D1472" s="1" t="str">
        <x:f>'Habilidades'!F1690</x:f>
        <x:v>Especial</x:v>
      </x:c>
      <x:c r="E1472" s="18" t="n">
        <x:f>'Habilidades'!G1690</x:f>
        <x:v>80</x:v>
      </x:c>
      <x:c r="F1472" s="18" t="n">
        <x:f>'Habilidades'!H1690</x:f>
        <x:v>65</x:v>
      </x:c>
      <x:c r="G1472" s="18" t="n">
        <x:f>'Habilidades'!I1690</x:f>
        <x:v>145</x:v>
      </x:c>
    </x:row>
    <x:row r="1473" ht="22" customHeight="1">
      <x:c r="A1473" s="17" t="n">
        <x:f>IF(B1473="","",IF(B1473=B1472,A1472,A1472+1))</x:f>
        <x:v>298</x:v>
      </x:c>
      <x:c r="B1473" s="1" t="str">
        <x:f>'Ranking'!C302</x:f>
        <x:v>Mareep</x:v>
      </x:c>
      <x:c r="C1473" s="1" t="str">
        <x:f>'Habilidades'!D1691</x:f>
        <x:v>Discharge</x:v>
      </x:c>
      <x:c r="D1473" s="1" t="str">
        <x:f>'Habilidades'!F1691</x:f>
        <x:v>Especial</x:v>
      </x:c>
      <x:c r="E1473" s="18" t="n">
        <x:f>'Habilidades'!G1691</x:f>
        <x:v>80</x:v>
      </x:c>
      <x:c r="F1473" s="18" t="n">
        <x:f>'Habilidades'!H1691</x:f>
        <x:v>65</x:v>
      </x:c>
      <x:c r="G1473" s="18" t="n">
        <x:f>'Habilidades'!I1691</x:f>
        <x:v>145</x:v>
      </x:c>
    </x:row>
    <x:row r="1474" ht="22" customHeight="1">
      <x:c r="A1474" s="17" t="n">
        <x:f>IF(B1474="","",IF(B1474=B1473,A1473,A1473+1))</x:f>
        <x:v>298</x:v>
      </x:c>
      <x:c r="B1474" s="1" t="str">
        <x:f>'Ranking'!C302</x:f>
        <x:v>Mareep</x:v>
      </x:c>
      <x:c r="C1474" s="1" t="str">
        <x:f>'Habilidades'!D1692</x:f>
        <x:v>Signal Beam</x:v>
      </x:c>
      <x:c r="D1474" s="1" t="str">
        <x:f>'Habilidades'!F1692</x:f>
        <x:v>Especial</x:v>
      </x:c>
      <x:c r="E1474" s="18" t="n">
        <x:f>'Habilidades'!G1692</x:f>
        <x:v>75</x:v>
      </x:c>
      <x:c r="F1474" s="18" t="n">
        <x:f>'Habilidades'!H1692</x:f>
        <x:v>65</x:v>
      </x:c>
      <x:c r="G1474" s="18" t="n">
        <x:f>'Habilidades'!I1692</x:f>
        <x:v>140</x:v>
      </x:c>
    </x:row>
    <x:row r="1475" ht="22" customHeight="1">
      <x:c r="A1475" s="19" t="n">
        <x:f>IF(B1475="","",IF(B1475=B1474,A1474,A1474+1))</x:f>
        <x:v>298</x:v>
      </x:c>
      <x:c r="B1475" s="20" t="str">
        <x:f>'Ranking'!C302</x:f>
        <x:v>Mareep</x:v>
      </x:c>
      <x:c r="C1475" s="20" t="str">
        <x:f>'Habilidades'!D1693</x:f>
        <x:v>Take Down</x:v>
      </x:c>
      <x:c r="D1475" s="20" t="str">
        <x:f>'Habilidades'!F1693</x:f>
        <x:v>Física</x:v>
      </x:c>
      <x:c r="E1475" s="21" t="n">
        <x:f>'Habilidades'!G1693</x:f>
        <x:v>90</x:v>
      </x:c>
      <x:c r="F1475" s="21" t="n">
        <x:f>'Habilidades'!H1693</x:f>
        <x:v>40</x:v>
      </x:c>
      <x:c r="G1475" s="21" t="n">
        <x:f>'Habilidades'!I1693</x:f>
        <x:v>130</x:v>
      </x:c>
    </x:row>
    <x:row r="1476" ht="22" customHeight="1">
      <x:c r="A1476" s="17" t="n">
        <x:f>IF(B1476="","",IF(B1476=B1475,A1475,A1475+1))</x:f>
        <x:v>299</x:v>
      </x:c>
      <x:c r="B1476" s="1" t="str">
        <x:f>'Ranking'!C299</x:f>
        <x:v>Mawile</x:v>
      </x:c>
      <x:c r="C1476" s="1" t="str">
        <x:f>'Habilidades'!D2630</x:f>
        <x:v>Play Rough</x:v>
      </x:c>
      <x:c r="D1476" s="1" t="str">
        <x:f>'Habilidades'!F2630</x:f>
        <x:v>Física</x:v>
      </x:c>
      <x:c r="E1476" s="18" t="n">
        <x:f>'Habilidades'!G2630</x:f>
        <x:v>90</x:v>
      </x:c>
      <x:c r="F1476" s="18" t="n">
        <x:f>'Habilidades'!H2630</x:f>
        <x:v>85</x:v>
      </x:c>
      <x:c r="G1476" s="18" t="n">
        <x:f>'Habilidades'!I2630</x:f>
        <x:v>175</x:v>
      </x:c>
    </x:row>
    <x:row r="1477" ht="22" customHeight="1">
      <x:c r="A1477" s="17" t="n">
        <x:f>IF(B1477="","",IF(B1477=B1476,A1476,A1476+1))</x:f>
        <x:v>299</x:v>
      </x:c>
      <x:c r="B1477" s="1" t="str">
        <x:f>'Ranking'!C299</x:f>
        <x:v>Mawile</x:v>
      </x:c>
      <x:c r="C1477" s="1" t="str">
        <x:f>'Habilidades'!D2631</x:f>
        <x:v>Iron Head</x:v>
      </x:c>
      <x:c r="D1477" s="1" t="str">
        <x:f>'Habilidades'!F2631</x:f>
        <x:v>Física</x:v>
      </x:c>
      <x:c r="E1477" s="18" t="n">
        <x:f>'Habilidades'!G2631</x:f>
        <x:v>80</x:v>
      </x:c>
      <x:c r="F1477" s="18" t="n">
        <x:f>'Habilidades'!H2631</x:f>
        <x:v>85</x:v>
      </x:c>
      <x:c r="G1477" s="18" t="n">
        <x:f>'Habilidades'!I2631</x:f>
        <x:v>165</x:v>
      </x:c>
    </x:row>
    <x:row r="1478" ht="22" customHeight="1">
      <x:c r="A1478" s="17" t="n">
        <x:f>IF(B1478="","",IF(B1478=B1477,A1477,A1477+1))</x:f>
        <x:v>299</x:v>
      </x:c>
      <x:c r="B1478" s="1" t="str">
        <x:f>'Ranking'!C299</x:f>
        <x:v>Mawile</x:v>
      </x:c>
      <x:c r="C1478" s="1" t="str">
        <x:f>'Habilidades'!D2632</x:f>
        <x:v>Crunch</x:v>
      </x:c>
      <x:c r="D1478" s="1" t="str">
        <x:f>'Habilidades'!F2632</x:f>
        <x:v>Física</x:v>
      </x:c>
      <x:c r="E1478" s="18" t="n">
        <x:f>'Habilidades'!G2632</x:f>
        <x:v>80</x:v>
      </x:c>
      <x:c r="F1478" s="18" t="n">
        <x:f>'Habilidades'!H2632</x:f>
        <x:v>85</x:v>
      </x:c>
      <x:c r="G1478" s="18" t="n">
        <x:f>'Habilidades'!I2632</x:f>
        <x:v>165</x:v>
      </x:c>
    </x:row>
    <x:row r="1479" ht="22" customHeight="1">
      <x:c r="A1479" s="17" t="n">
        <x:f>IF(B1479="","",IF(B1479=B1478,A1478,A1478+1))</x:f>
        <x:v>299</x:v>
      </x:c>
      <x:c r="B1479" s="1" t="str">
        <x:f>'Ranking'!C299</x:f>
        <x:v>Mawile</x:v>
      </x:c>
      <x:c r="C1479" s="1" t="str">
        <x:f>'Habilidades'!D2633</x:f>
        <x:v>Sucker Punch</x:v>
      </x:c>
      <x:c r="D1479" s="1" t="str">
        <x:f>'Habilidades'!F2633</x:f>
        <x:v>Física</x:v>
      </x:c>
      <x:c r="E1479" s="18" t="n">
        <x:f>'Habilidades'!G2633</x:f>
        <x:v>80</x:v>
      </x:c>
      <x:c r="F1479" s="18" t="n">
        <x:f>'Habilidades'!H2633</x:f>
        <x:v>85</x:v>
      </x:c>
      <x:c r="G1479" s="18" t="n">
        <x:f>'Habilidades'!I2633</x:f>
        <x:v>165</x:v>
      </x:c>
    </x:row>
    <x:row r="1480" ht="22" customHeight="1">
      <x:c r="A1480" s="19" t="n">
        <x:f>IF(B1480="","",IF(B1480=B1479,A1479,A1479+1))</x:f>
        <x:v>299</x:v>
      </x:c>
      <x:c r="B1480" s="20" t="str">
        <x:f>'Ranking'!C299</x:f>
        <x:v>Mawile</x:v>
      </x:c>
      <x:c r="C1480" s="20" t="str">
        <x:f>'Habilidades'!D2634</x:f>
        <x:v>Bite</x:v>
      </x:c>
      <x:c r="D1480" s="20" t="str">
        <x:f>'Habilidades'!F2634</x:f>
        <x:v>Física</x:v>
      </x:c>
      <x:c r="E1480" s="21" t="n">
        <x:f>'Habilidades'!G2634</x:f>
        <x:v>60</x:v>
      </x:c>
      <x:c r="F1480" s="21" t="n">
        <x:f>'Habilidades'!H2634</x:f>
        <x:v>85</x:v>
      </x:c>
      <x:c r="G1480" s="21" t="n">
        <x:f>'Habilidades'!I2634</x:f>
        <x:v>145</x:v>
      </x:c>
    </x:row>
    <x:row r="1481" ht="22" customHeight="1">
      <x:c r="A1481" s="17" t="n">
        <x:f>IF(B1481="","",IF(B1481=B1480,A1480,A1480+1))</x:f>
        <x:v>300</x:v>
      </x:c>
      <x:c r="B1481" s="1" t="str">
        <x:f>'Ranking'!C301</x:f>
        <x:v>Psyduck</x:v>
      </x:c>
      <x:c r="C1481" s="1" t="str">
        <x:f>'Habilidades'!D480</x:f>
        <x:v>Hydro Pump</x:v>
      </x:c>
      <x:c r="D1481" s="1" t="str">
        <x:f>'Habilidades'!F480</x:f>
        <x:v>Especial</x:v>
      </x:c>
      <x:c r="E1481" s="18" t="n">
        <x:f>'Habilidades'!G480</x:f>
        <x:v>110</x:v>
      </x:c>
      <x:c r="F1481" s="18" t="n">
        <x:f>'Habilidades'!H480</x:f>
        <x:v>65</x:v>
      </x:c>
      <x:c r="G1481" s="18" t="n">
        <x:f>'Habilidades'!I480</x:f>
        <x:v>175</x:v>
      </x:c>
    </x:row>
    <x:row r="1482" ht="22" customHeight="1">
      <x:c r="A1482" s="17" t="n">
        <x:f>IF(B1482="","",IF(B1482=B1481,A1481,A1481+1))</x:f>
        <x:v>300</x:v>
      </x:c>
      <x:c r="B1482" s="1" t="str">
        <x:f>'Ranking'!C301</x:f>
        <x:v>Psyduck</x:v>
      </x:c>
      <x:c r="C1482" s="1" t="str">
        <x:f>'Habilidades'!D481</x:f>
        <x:v>Aqua Tail</x:v>
      </x:c>
      <x:c r="D1482" s="1" t="str">
        <x:f>'Habilidades'!F481</x:f>
        <x:v>Física</x:v>
      </x:c>
      <x:c r="E1482" s="18" t="n">
        <x:f>'Habilidades'!G481</x:f>
        <x:v>90</x:v>
      </x:c>
      <x:c r="F1482" s="18" t="n">
        <x:f>'Habilidades'!H481</x:f>
        <x:v>52</x:v>
      </x:c>
      <x:c r="G1482" s="18" t="n">
        <x:f>'Habilidades'!I481</x:f>
        <x:v>142</x:v>
      </x:c>
    </x:row>
    <x:row r="1483" ht="22" customHeight="1">
      <x:c r="A1483" s="17" t="n">
        <x:f>IF(B1483="","",IF(B1483=B1482,A1482,A1482+1))</x:f>
        <x:v>300</x:v>
      </x:c>
      <x:c r="B1483" s="1" t="str">
        <x:f>'Ranking'!C301</x:f>
        <x:v>Psyduck</x:v>
      </x:c>
      <x:c r="C1483" s="1" t="str">
        <x:f>'Habilidades'!D482</x:f>
        <x:v>Zen Headbutt</x:v>
      </x:c>
      <x:c r="D1483" s="1" t="str">
        <x:f>'Habilidades'!F482</x:f>
        <x:v>Física</x:v>
      </x:c>
      <x:c r="E1483" s="18" t="n">
        <x:f>'Habilidades'!G482</x:f>
        <x:v>80</x:v>
      </x:c>
      <x:c r="F1483" s="18" t="n">
        <x:f>'Habilidades'!H482</x:f>
        <x:v>52</x:v>
      </x:c>
      <x:c r="G1483" s="18" t="n">
        <x:f>'Habilidades'!I482</x:f>
        <x:v>132</x:v>
      </x:c>
    </x:row>
    <x:row r="1484" ht="22" customHeight="1">
      <x:c r="A1484" s="17" t="n">
        <x:f>IF(B1484="","",IF(B1484=B1483,A1483,A1483+1))</x:f>
        <x:v>300</x:v>
      </x:c>
      <x:c r="B1484" s="1" t="str">
        <x:f>'Ranking'!C301</x:f>
        <x:v>Psyduck</x:v>
      </x:c>
      <x:c r="C1484" s="1" t="str">
        <x:f>'Habilidades'!D483</x:f>
        <x:v>Water Pulse</x:v>
      </x:c>
      <x:c r="D1484" s="1" t="str">
        <x:f>'Habilidades'!F483</x:f>
        <x:v>Especial</x:v>
      </x:c>
      <x:c r="E1484" s="18" t="n">
        <x:f>'Habilidades'!G483</x:f>
        <x:v>60</x:v>
      </x:c>
      <x:c r="F1484" s="18" t="n">
        <x:f>'Habilidades'!H483</x:f>
        <x:v>65</x:v>
      </x:c>
      <x:c r="G1484" s="18" t="n">
        <x:f>'Habilidades'!I483</x:f>
        <x:v>125</x:v>
      </x:c>
    </x:row>
    <x:row r="1485" ht="22" customHeight="1">
      <x:c r="A1485" s="19" t="n">
        <x:f>IF(B1485="","",IF(B1485=B1484,A1484,A1484+1))</x:f>
        <x:v>300</x:v>
      </x:c>
      <x:c r="B1485" s="20" t="str">
        <x:f>'Ranking'!C301</x:f>
        <x:v>Psyduck</x:v>
      </x:c>
      <x:c r="C1485" s="20" t="str">
        <x:f>'Habilidades'!D484</x:f>
        <x:v>Confusion</x:v>
      </x:c>
      <x:c r="D1485" s="20" t="str">
        <x:f>'Habilidades'!F484</x:f>
        <x:v>Especial</x:v>
      </x:c>
      <x:c r="E1485" s="21" t="n">
        <x:f>'Habilidades'!G484</x:f>
        <x:v>50</x:v>
      </x:c>
      <x:c r="F1485" s="21" t="n">
        <x:f>'Habilidades'!H484</x:f>
        <x:v>65</x:v>
      </x:c>
      <x:c r="G1485" s="21" t="n">
        <x:f>'Habilidades'!I484</x:f>
        <x:v>115</x:v>
      </x:c>
    </x:row>
    <x:row r="1486" ht="22" customHeight="1">
      <x:c r="A1486" s="17" t="n">
        <x:f>IF(B1486="","",IF(B1486=B1485,A1485,A1485+1))</x:f>
        <x:v>301</x:v>
      </x:c>
      <x:c r="B1486" s="1" t="str">
        <x:f>'Ranking'!C300</x:f>
        <x:v>Sandshrew</x:v>
      </x:c>
      <x:c r="C1486" s="1" t="str">
        <x:f>'Habilidades'!D225</x:f>
        <x:v>Earthquake</x:v>
      </x:c>
      <x:c r="D1486" s="1" t="str">
        <x:f>'Habilidades'!F225</x:f>
        <x:v>Física</x:v>
      </x:c>
      <x:c r="E1486" s="18" t="n">
        <x:f>'Habilidades'!G225</x:f>
        <x:v>100</x:v>
      </x:c>
      <x:c r="F1486" s="18" t="n">
        <x:f>'Habilidades'!H225</x:f>
        <x:v>75</x:v>
      </x:c>
      <x:c r="G1486" s="18" t="n">
        <x:f>'Habilidades'!I225</x:f>
        <x:v>175</x:v>
      </x:c>
    </x:row>
    <x:row r="1487" ht="22" customHeight="1">
      <x:c r="A1487" s="17" t="n">
        <x:f>IF(B1487="","",IF(B1487=B1486,A1486,A1486+1))</x:f>
        <x:v>301</x:v>
      </x:c>
      <x:c r="B1487" s="1" t="str">
        <x:f>'Ranking'!C300</x:f>
        <x:v>Sandshrew</x:v>
      </x:c>
      <x:c r="C1487" s="1" t="str">
        <x:f>'Habilidades'!D226</x:f>
        <x:v>Dig</x:v>
      </x:c>
      <x:c r="D1487" s="1" t="str">
        <x:f>'Habilidades'!F226</x:f>
        <x:v>Física</x:v>
      </x:c>
      <x:c r="E1487" s="18" t="n">
        <x:f>'Habilidades'!G226</x:f>
        <x:v>80</x:v>
      </x:c>
      <x:c r="F1487" s="18" t="n">
        <x:f>'Habilidades'!H226</x:f>
        <x:v>75</x:v>
      </x:c>
      <x:c r="G1487" s="18" t="n">
        <x:f>'Habilidades'!I226</x:f>
        <x:v>155</x:v>
      </x:c>
    </x:row>
    <x:row r="1488" ht="22" customHeight="1">
      <x:c r="A1488" s="17" t="n">
        <x:f>IF(B1488="","",IF(B1488=B1487,A1487,A1487+1))</x:f>
        <x:v>301</x:v>
      </x:c>
      <x:c r="B1488" s="1" t="str">
        <x:f>'Ranking'!C300</x:f>
        <x:v>Sandshrew</x:v>
      </x:c>
      <x:c r="C1488" s="1" t="str">
        <x:f>'Habilidades'!D227</x:f>
        <x:v>Slash</x:v>
      </x:c>
      <x:c r="D1488" s="1" t="str">
        <x:f>'Habilidades'!F227</x:f>
        <x:v>Física</x:v>
      </x:c>
      <x:c r="E1488" s="18" t="n">
        <x:f>'Habilidades'!G227</x:f>
        <x:v>70</x:v>
      </x:c>
      <x:c r="F1488" s="18" t="n">
        <x:f>'Habilidades'!H227</x:f>
        <x:v>75</x:v>
      </x:c>
      <x:c r="G1488" s="18" t="n">
        <x:f>'Habilidades'!I227</x:f>
        <x:v>145</x:v>
      </x:c>
    </x:row>
    <x:row r="1489" ht="22" customHeight="1">
      <x:c r="A1489" s="17" t="n">
        <x:f>IF(B1489="","",IF(B1489=B1488,A1488,A1488+1))</x:f>
        <x:v>301</x:v>
      </x:c>
      <x:c r="B1489" s="1" t="str">
        <x:f>'Ranking'!C300</x:f>
        <x:v>Sandshrew</x:v>
      </x:c>
      <x:c r="C1489" s="1" t="str">
        <x:f>'Habilidades'!D228</x:f>
        <x:v>Scratch</x:v>
      </x:c>
      <x:c r="D1489" s="1" t="str">
        <x:f>'Habilidades'!F228</x:f>
        <x:v>Física</x:v>
      </x:c>
      <x:c r="E1489" s="18" t="n">
        <x:f>'Habilidades'!G228</x:f>
        <x:v>40</x:v>
      </x:c>
      <x:c r="F1489" s="18" t="n">
        <x:f>'Habilidades'!H228</x:f>
        <x:v>75</x:v>
      </x:c>
      <x:c r="G1489" s="18" t="n">
        <x:f>'Habilidades'!I228</x:f>
        <x:v>115</x:v>
      </x:c>
    </x:row>
    <x:row r="1490" ht="22" customHeight="1">
      <x:c r="A1490" s="19" t="n">
        <x:f>IF(B1490="","",IF(B1490=B1489,A1489,A1489+1))</x:f>
        <x:v>301</x:v>
      </x:c>
      <x:c r="B1490" s="20" t="str">
        <x:f>'Ranking'!C300</x:f>
        <x:v>Sandshrew</x:v>
      </x:c>
      <x:c r="C1490" s="20" t="str">
        <x:f>'Habilidades'!D235</x:f>
        <x:v>Swift</x:v>
      </x:c>
      <x:c r="D1490" s="20" t="str">
        <x:f>'Habilidades'!F235</x:f>
        <x:v>Especial</x:v>
      </x:c>
      <x:c r="E1490" s="21" t="n">
        <x:f>'Habilidades'!G235</x:f>
        <x:v>60</x:v>
      </x:c>
      <x:c r="F1490" s="21" t="n">
        <x:f>'Habilidades'!H235</x:f>
        <x:v>20</x:v>
      </x:c>
      <x:c r="G1490" s="21" t="n">
        <x:f>'Habilidades'!I235</x:f>
        <x:v>80</x:v>
      </x:c>
    </x:row>
    <x:row r="1491" ht="22" customHeight="1">
      <x:c r="A1491" s="17" t="n">
        <x:f>IF(B1491="","",IF(B1491=B1490,A1490,A1490+1))</x:f>
        <x:v>302</x:v>
      </x:c>
      <x:c r="B1491" s="1" t="str">
        <x:f>'Ranking'!C306</x:f>
        <x:v>Taillow</x:v>
      </x:c>
      <x:c r="C1491" s="1" t="str">
        <x:f>'Habilidades'!D2494</x:f>
        <x:v>Brave Bird</x:v>
      </x:c>
      <x:c r="D1491" s="1" t="str">
        <x:f>'Habilidades'!F2494</x:f>
        <x:v>Física</x:v>
      </x:c>
      <x:c r="E1491" s="18" t="n">
        <x:f>'Habilidades'!G2494</x:f>
        <x:v>120</x:v>
      </x:c>
      <x:c r="F1491" s="18" t="n">
        <x:f>'Habilidades'!H2494</x:f>
        <x:v>55</x:v>
      </x:c>
      <x:c r="G1491" s="18" t="n">
        <x:f>'Habilidades'!I2494</x:f>
        <x:v>175</x:v>
      </x:c>
    </x:row>
    <x:row r="1492" ht="22" customHeight="1">
      <x:c r="A1492" s="17" t="n">
        <x:f>IF(B1492="","",IF(B1492=B1491,A1491,A1491+1))</x:f>
        <x:v>302</x:v>
      </x:c>
      <x:c r="B1492" s="1" t="str">
        <x:f>'Ranking'!C306</x:f>
        <x:v>Taillow</x:v>
      </x:c>
      <x:c r="C1492" s="1" t="str">
        <x:f>'Habilidades'!D2495</x:f>
        <x:v>Wing Attack</x:v>
      </x:c>
      <x:c r="D1492" s="1" t="str">
        <x:f>'Habilidades'!F2495</x:f>
        <x:v>Física</x:v>
      </x:c>
      <x:c r="E1492" s="18" t="n">
        <x:f>'Habilidades'!G2495</x:f>
        <x:v>60</x:v>
      </x:c>
      <x:c r="F1492" s="18" t="n">
        <x:f>'Habilidades'!H2495</x:f>
        <x:v>55</x:v>
      </x:c>
      <x:c r="G1492" s="18" t="n">
        <x:f>'Habilidades'!I2495</x:f>
        <x:v>115</x:v>
      </x:c>
    </x:row>
    <x:row r="1493" ht="22" customHeight="1">
      <x:c r="A1493" s="17" t="n">
        <x:f>IF(B1493="","",IF(B1493=B1492,A1492,A1492+1))</x:f>
        <x:v>302</x:v>
      </x:c>
      <x:c r="B1493" s="1" t="str">
        <x:f>'Ranking'!C306</x:f>
        <x:v>Taillow</x:v>
      </x:c>
      <x:c r="C1493" s="1" t="str">
        <x:f>'Habilidades'!D2496</x:f>
        <x:v>Aerial Ace</x:v>
      </x:c>
      <x:c r="D1493" s="1" t="str">
        <x:f>'Habilidades'!F2496</x:f>
        <x:v>Física</x:v>
      </x:c>
      <x:c r="E1493" s="18" t="n">
        <x:f>'Habilidades'!G2496</x:f>
        <x:v>60</x:v>
      </x:c>
      <x:c r="F1493" s="18" t="n">
        <x:f>'Habilidades'!H2496</x:f>
        <x:v>55</x:v>
      </x:c>
      <x:c r="G1493" s="18" t="n">
        <x:f>'Habilidades'!I2496</x:f>
        <x:v>115</x:v>
      </x:c>
    </x:row>
    <x:row r="1494" ht="22" customHeight="1">
      <x:c r="A1494" s="17" t="n">
        <x:f>IF(B1494="","",IF(B1494=B1493,A1493,A1493+1))</x:f>
        <x:v>302</x:v>
      </x:c>
      <x:c r="B1494" s="1" t="str">
        <x:f>'Ranking'!C306</x:f>
        <x:v>Taillow</x:v>
      </x:c>
      <x:c r="C1494" s="1" t="str">
        <x:f>'Habilidades'!D2497</x:f>
        <x:v>Air Slash</x:v>
      </x:c>
      <x:c r="D1494" s="1" t="str">
        <x:f>'Habilidades'!F2497</x:f>
        <x:v>Especial</x:v>
      </x:c>
      <x:c r="E1494" s="18" t="n">
        <x:f>'Habilidades'!G2497</x:f>
        <x:v>75</x:v>
      </x:c>
      <x:c r="F1494" s="18" t="n">
        <x:f>'Habilidades'!H2497</x:f>
        <x:v>30</x:v>
      </x:c>
      <x:c r="G1494" s="18" t="n">
        <x:f>'Habilidades'!I2497</x:f>
        <x:v>105</x:v>
      </x:c>
    </x:row>
    <x:row r="1495" ht="22" customHeight="1">
      <x:c r="A1495" s="19" t="n">
        <x:f>IF(B1495="","",IF(B1495=B1494,A1494,A1494+1))</x:f>
        <x:v>302</x:v>
      </x:c>
      <x:c r="B1495" s="20" t="str">
        <x:f>'Ranking'!C306</x:f>
        <x:v>Taillow</x:v>
      </x:c>
      <x:c r="C1495" s="20" t="str">
        <x:f>'Habilidades'!D2498</x:f>
        <x:v>Quick Attack</x:v>
      </x:c>
      <x:c r="D1495" s="20" t="str">
        <x:f>'Habilidades'!F2498</x:f>
        <x:v>Física</x:v>
      </x:c>
      <x:c r="E1495" s="21" t="n">
        <x:f>'Habilidades'!G2498</x:f>
        <x:v>40</x:v>
      </x:c>
      <x:c r="F1495" s="21" t="n">
        <x:f>'Habilidades'!H2498</x:f>
        <x:v>55</x:v>
      </x:c>
      <x:c r="G1495" s="21" t="n">
        <x:f>'Habilidades'!I2498</x:f>
        <x:v>95</x:v>
      </x:c>
    </x:row>
    <x:row r="1496" ht="22" customHeight="1">
      <x:c r="A1496" s="17" t="n">
        <x:f>IF(B1496="","",IF(B1496=B1495,A1495,A1495+1))</x:f>
        <x:v>303</x:v>
      </x:c>
      <x:c r="B1496" s="1" t="str">
        <x:f>'Ranking'!C307</x:f>
        <x:v>Sliggoo</x:v>
      </x:c>
      <x:c r="C1496" s="1" t="str">
        <x:f>'Habilidades'!D3747</x:f>
        <x:v>Muddy Water</x:v>
      </x:c>
      <x:c r="D1496" s="1" t="str">
        <x:f>'Habilidades'!F3747</x:f>
        <x:v>Especial</x:v>
      </x:c>
      <x:c r="E1496" s="18" t="n">
        <x:f>'Habilidades'!G3747</x:f>
        <x:v>90</x:v>
      </x:c>
      <x:c r="F1496" s="18" t="n">
        <x:f>'Habilidades'!H3747</x:f>
        <x:v>83</x:v>
      </x:c>
      <x:c r="G1496" s="18" t="n">
        <x:f>'Habilidades'!I3747</x:f>
        <x:v>173</x:v>
      </x:c>
    </x:row>
    <x:row r="1497" ht="22" customHeight="1">
      <x:c r="A1497" s="17" t="n">
        <x:f>IF(B1497="","",IF(B1497=B1496,A1496,A1496+1))</x:f>
        <x:v>303</x:v>
      </x:c>
      <x:c r="B1497" s="1" t="str">
        <x:f>'Ranking'!C307</x:f>
        <x:v>Sliggoo</x:v>
      </x:c>
      <x:c r="C1497" s="1" t="str">
        <x:f>'Habilidades'!D3748</x:f>
        <x:v>Dragon Pulse</x:v>
      </x:c>
      <x:c r="D1497" s="1" t="str">
        <x:f>'Habilidades'!F3748</x:f>
        <x:v>Especial</x:v>
      </x:c>
      <x:c r="E1497" s="18" t="n">
        <x:f>'Habilidades'!G3748</x:f>
        <x:v>85</x:v>
      </x:c>
      <x:c r="F1497" s="18" t="n">
        <x:f>'Habilidades'!H3748</x:f>
        <x:v>83</x:v>
      </x:c>
      <x:c r="G1497" s="18" t="n">
        <x:f>'Habilidades'!I3748</x:f>
        <x:v>168</x:v>
      </x:c>
    </x:row>
    <x:row r="1498" ht="22" customHeight="1">
      <x:c r="A1498" s="17" t="n">
        <x:f>IF(B1498="","",IF(B1498=B1497,A1497,A1497+1))</x:f>
        <x:v>303</x:v>
      </x:c>
      <x:c r="B1498" s="1" t="str">
        <x:f>'Ranking'!C307</x:f>
        <x:v>Sliggoo</x:v>
      </x:c>
      <x:c r="C1498" s="1" t="str">
        <x:f>'Habilidades'!D3749</x:f>
        <x:v>Body Slam</x:v>
      </x:c>
      <x:c r="D1498" s="1" t="str">
        <x:f>'Habilidades'!F3749</x:f>
        <x:v>Física</x:v>
      </x:c>
      <x:c r="E1498" s="18" t="n">
        <x:f>'Habilidades'!G3749</x:f>
        <x:v>85</x:v>
      </x:c>
      <x:c r="F1498" s="18" t="n">
        <x:f>'Habilidades'!H3749</x:f>
        <x:v>75</x:v>
      </x:c>
      <x:c r="G1498" s="18" t="n">
        <x:f>'Habilidades'!I3749</x:f>
        <x:v>160</x:v>
      </x:c>
    </x:row>
    <x:row r="1499" ht="22" customHeight="1">
      <x:c r="A1499" s="17" t="n">
        <x:f>IF(B1499="","",IF(B1499=B1498,A1498,A1498+1))</x:f>
        <x:v>303</x:v>
      </x:c>
      <x:c r="B1499" s="1" t="str">
        <x:f>'Ranking'!C307</x:f>
        <x:v>Sliggoo</x:v>
      </x:c>
      <x:c r="C1499" s="1" t="str">
        <x:f>'Habilidades'!D3750</x:f>
        <x:v>Dragon Breath</x:v>
      </x:c>
      <x:c r="D1499" s="1" t="str">
        <x:f>'Habilidades'!F3750</x:f>
        <x:v>Especial</x:v>
      </x:c>
      <x:c r="E1499" s="18" t="n">
        <x:f>'Habilidades'!G3750</x:f>
        <x:v>60</x:v>
      </x:c>
      <x:c r="F1499" s="18" t="n">
        <x:f>'Habilidades'!H3750</x:f>
        <x:v>83</x:v>
      </x:c>
      <x:c r="G1499" s="18" t="n">
        <x:f>'Habilidades'!I3750</x:f>
        <x:v>143</x:v>
      </x:c>
    </x:row>
    <x:row r="1500" ht="22" customHeight="1">
      <x:c r="A1500" s="19" t="n">
        <x:f>IF(B1500="","",IF(B1500=B1499,A1499,A1499+1))</x:f>
        <x:v>303</x:v>
      </x:c>
      <x:c r="B1500" s="20" t="str">
        <x:f>'Ranking'!C307</x:f>
        <x:v>Sliggoo</x:v>
      </x:c>
      <x:c r="C1500" s="20" t="str">
        <x:f>'Habilidades'!D3751</x:f>
        <x:v>Tackle</x:v>
      </x:c>
      <x:c r="D1500" s="20" t="str">
        <x:f>'Habilidades'!F3751</x:f>
        <x:v>Física</x:v>
      </x:c>
      <x:c r="E1500" s="21" t="n">
        <x:f>'Habilidades'!G3751</x:f>
        <x:v>50</x:v>
      </x:c>
      <x:c r="F1500" s="21" t="n">
        <x:f>'Habilidades'!H3751</x:f>
        <x:v>75</x:v>
      </x:c>
      <x:c r="G1500" s="21" t="n">
        <x:f>'Habilidades'!I3751</x:f>
        <x:v>125</x:v>
      </x:c>
    </x:row>
    <x:row r="1501" ht="22" customHeight="1">
      <x:c r="A1501" s="17" t="n">
        <x:f>IF(B1501="","",IF(B1501=B1500,A1500,A1500+1))</x:f>
        <x:v>304</x:v>
      </x:c>
      <x:c r="B1501" s="1" t="str">
        <x:f>'Ranking'!C308</x:f>
        <x:v>Whismur</x:v>
      </x:c>
      <x:c r="C1501" s="1" t="str">
        <x:f>'Habilidades'!D2576</x:f>
        <x:v>Synchronoise</x:v>
      </x:c>
      <x:c r="D1501" s="1" t="str">
        <x:f>'Habilidades'!F2576</x:f>
        <x:v>Especial</x:v>
      </x:c>
      <x:c r="E1501" s="18" t="n">
        <x:f>'Habilidades'!G2576</x:f>
        <x:v>120</x:v>
      </x:c>
      <x:c r="F1501" s="18" t="n">
        <x:f>'Habilidades'!H2576</x:f>
        <x:v>51</x:v>
      </x:c>
      <x:c r="G1501" s="18" t="n">
        <x:f>'Habilidades'!I2576</x:f>
        <x:v>171</x:v>
      </x:c>
    </x:row>
    <x:row r="1502" ht="22" customHeight="1">
      <x:c r="A1502" s="17" t="n">
        <x:f>IF(B1502="","",IF(B1502=B1501,A1501,A1501+1))</x:f>
        <x:v>304</x:v>
      </x:c>
      <x:c r="B1502" s="1" t="str">
        <x:f>'Ranking'!C308</x:f>
        <x:v>Whismur</x:v>
      </x:c>
      <x:c r="C1502" s="1" t="str">
        <x:f>'Habilidades'!D2577</x:f>
        <x:v>Uproar</x:v>
      </x:c>
      <x:c r="D1502" s="1" t="str">
        <x:f>'Habilidades'!F2577</x:f>
        <x:v>Especial</x:v>
      </x:c>
      <x:c r="E1502" s="18" t="n">
        <x:f>'Habilidades'!G2577</x:f>
        <x:v>90</x:v>
      </x:c>
      <x:c r="F1502" s="18" t="n">
        <x:f>'Habilidades'!H2577</x:f>
        <x:v>51</x:v>
      </x:c>
      <x:c r="G1502" s="18" t="n">
        <x:f>'Habilidades'!I2577</x:f>
        <x:v>141</x:v>
      </x:c>
    </x:row>
    <x:row r="1503" ht="22" customHeight="1">
      <x:c r="A1503" s="17" t="n">
        <x:f>IF(B1503="","",IF(B1503=B1502,A1502,A1502+1))</x:f>
        <x:v>304</x:v>
      </x:c>
      <x:c r="B1503" s="1" t="str">
        <x:f>'Ranking'!C308</x:f>
        <x:v>Whismur</x:v>
      </x:c>
      <x:c r="C1503" s="1" t="str">
        <x:f>'Habilidades'!D2578</x:f>
        <x:v>Hyper Voice</x:v>
      </x:c>
      <x:c r="D1503" s="1" t="str">
        <x:f>'Habilidades'!F2578</x:f>
        <x:v>Especial</x:v>
      </x:c>
      <x:c r="E1503" s="18" t="n">
        <x:f>'Habilidades'!G2578</x:f>
        <x:v>90</x:v>
      </x:c>
      <x:c r="F1503" s="18" t="n">
        <x:f>'Habilidades'!H2578</x:f>
        <x:v>51</x:v>
      </x:c>
      <x:c r="G1503" s="18" t="n">
        <x:f>'Habilidades'!I2578</x:f>
        <x:v>141</x:v>
      </x:c>
    </x:row>
    <x:row r="1504" ht="22" customHeight="1">
      <x:c r="A1504" s="17" t="n">
        <x:f>IF(B1504="","",IF(B1504=B1503,A1503,A1503+1))</x:f>
        <x:v>304</x:v>
      </x:c>
      <x:c r="B1504" s="1" t="str">
        <x:f>'Ranking'!C308</x:f>
        <x:v>Whismur</x:v>
      </x:c>
      <x:c r="C1504" s="1" t="str">
        <x:f>'Habilidades'!D2579</x:f>
        <x:v>Stomp</x:v>
      </x:c>
      <x:c r="D1504" s="1" t="str">
        <x:f>'Habilidades'!F2579</x:f>
        <x:v>Física</x:v>
      </x:c>
      <x:c r="E1504" s="18" t="n">
        <x:f>'Habilidades'!G2579</x:f>
        <x:v>65</x:v>
      </x:c>
      <x:c r="F1504" s="18" t="n">
        <x:f>'Habilidades'!H2579</x:f>
        <x:v>51</x:v>
      </x:c>
      <x:c r="G1504" s="18" t="n">
        <x:f>'Habilidades'!I2579</x:f>
        <x:v>116</x:v>
      </x:c>
    </x:row>
    <x:row r="1505" ht="22" customHeight="1">
      <x:c r="A1505" s="19" t="n">
        <x:f>IF(B1505="","",IF(B1505=B1504,A1504,A1504+1))</x:f>
        <x:v>304</x:v>
      </x:c>
      <x:c r="B1505" s="20" t="str">
        <x:f>'Ranking'!C308</x:f>
        <x:v>Whismur</x:v>
      </x:c>
      <x:c r="C1505" s="20" t="str">
        <x:f>'Habilidades'!D2580</x:f>
        <x:v>Pound</x:v>
      </x:c>
      <x:c r="D1505" s="20" t="str">
        <x:f>'Habilidades'!F2580</x:f>
        <x:v>Física</x:v>
      </x:c>
      <x:c r="E1505" s="21" t="n">
        <x:f>'Habilidades'!G2580</x:f>
        <x:v>40</x:v>
      </x:c>
      <x:c r="F1505" s="21" t="n">
        <x:f>'Habilidades'!H2580</x:f>
        <x:v>51</x:v>
      </x:c>
      <x:c r="G1505" s="21" t="n">
        <x:f>'Habilidades'!I2580</x:f>
        <x:v>91</x:v>
      </x:c>
    </x:row>
    <x:row r="1506" ht="22" customHeight="1">
      <x:c r="A1506" s="17" t="n">
        <x:f>IF(B1506="","",IF(B1506=B1505,A1505,A1505+1))</x:f>
        <x:v>305</x:v>
      </x:c>
      <x:c r="B1506" s="1" t="str">
        <x:f>'Ranking'!C316</x:f>
        <x:v>Cubone</x:v>
      </x:c>
      <x:c r="C1506" s="1" t="str">
        <x:f>'Habilidades'!D974</x:f>
        <x:v>Thrash</x:v>
      </x:c>
      <x:c r="D1506" s="1" t="str">
        <x:f>'Habilidades'!F974</x:f>
        <x:v>Física</x:v>
      </x:c>
      <x:c r="E1506" s="18" t="n">
        <x:f>'Habilidades'!G974</x:f>
        <x:v>120</x:v>
      </x:c>
      <x:c r="F1506" s="18" t="n">
        <x:f>'Habilidades'!H974</x:f>
        <x:v>50</x:v>
      </x:c>
      <x:c r="G1506" s="18" t="n">
        <x:f>'Habilidades'!I974</x:f>
        <x:v>170</x:v>
      </x:c>
    </x:row>
    <x:row r="1507" ht="22" customHeight="1">
      <x:c r="A1507" s="17" t="n">
        <x:f>IF(B1507="","",IF(B1507=B1506,A1506,A1506+1))</x:f>
        <x:v>305</x:v>
      </x:c>
      <x:c r="B1507" s="1" t="str">
        <x:f>'Ranking'!C316</x:f>
        <x:v>Cubone</x:v>
      </x:c>
      <x:c r="C1507" s="1" t="str">
        <x:f>'Habilidades'!D975</x:f>
        <x:v>Double-Edge</x:v>
      </x:c>
      <x:c r="D1507" s="1" t="str">
        <x:f>'Habilidades'!F975</x:f>
        <x:v>Física</x:v>
      </x:c>
      <x:c r="E1507" s="18" t="n">
        <x:f>'Habilidades'!G975</x:f>
        <x:v>120</x:v>
      </x:c>
      <x:c r="F1507" s="18" t="n">
        <x:f>'Habilidades'!H975</x:f>
        <x:v>50</x:v>
      </x:c>
      <x:c r="G1507" s="18" t="n">
        <x:f>'Habilidades'!I975</x:f>
        <x:v>170</x:v>
      </x:c>
    </x:row>
    <x:row r="1508" ht="22" customHeight="1">
      <x:c r="A1508" s="17" t="n">
        <x:f>IF(B1508="","",IF(B1508=B1507,A1507,A1507+1))</x:f>
        <x:v>305</x:v>
      </x:c>
      <x:c r="B1508" s="1" t="str">
        <x:f>'Ranking'!C316</x:f>
        <x:v>Cubone</x:v>
      </x:c>
      <x:c r="C1508" s="1" t="str">
        <x:f>'Habilidades'!D976</x:f>
        <x:v>Headbutt</x:v>
      </x:c>
      <x:c r="D1508" s="1" t="str">
        <x:f>'Habilidades'!F976</x:f>
        <x:v>Física</x:v>
      </x:c>
      <x:c r="E1508" s="18" t="n">
        <x:f>'Habilidades'!G976</x:f>
        <x:v>70</x:v>
      </x:c>
      <x:c r="F1508" s="18" t="n">
        <x:f>'Habilidades'!H976</x:f>
        <x:v>50</x:v>
      </x:c>
      <x:c r="G1508" s="18" t="n">
        <x:f>'Habilidades'!I976</x:f>
        <x:v>120</x:v>
      </x:c>
    </x:row>
    <x:row r="1509" ht="22" customHeight="1">
      <x:c r="A1509" s="17" t="n">
        <x:f>IF(B1509="","",IF(B1509=B1508,A1508,A1508+1))</x:f>
        <x:v>305</x:v>
      </x:c>
      <x:c r="B1509" s="1" t="str">
        <x:f>'Ranking'!C316</x:f>
        <x:v>Cubone</x:v>
      </x:c>
      <x:c r="C1509" s="1" t="str">
        <x:f>'Habilidades'!D977</x:f>
        <x:v>Retaliate</x:v>
      </x:c>
      <x:c r="D1509" s="1" t="str">
        <x:f>'Habilidades'!F977</x:f>
        <x:v>Física</x:v>
      </x:c>
      <x:c r="E1509" s="18" t="n">
        <x:f>'Habilidades'!G977</x:f>
        <x:v>70</x:v>
      </x:c>
      <x:c r="F1509" s="18" t="n">
        <x:f>'Habilidades'!H977</x:f>
        <x:v>50</x:v>
      </x:c>
      <x:c r="G1509" s="18" t="n">
        <x:f>'Habilidades'!I977</x:f>
        <x:v>120</x:v>
      </x:c>
    </x:row>
    <x:row r="1510" ht="22" customHeight="1">
      <x:c r="A1510" s="19" t="n">
        <x:f>IF(B1510="","",IF(B1510=B1509,A1509,A1509+1))</x:f>
        <x:v>305</x:v>
      </x:c>
      <x:c r="B1510" s="20" t="str">
        <x:f>'Ranking'!C316</x:f>
        <x:v>Cubone</x:v>
      </x:c>
      <x:c r="C1510" s="20" t="str">
        <x:f>'Habilidades'!D978</x:f>
        <x:v>Bone club</x:v>
      </x:c>
      <x:c r="D1510" s="20" t="str">
        <x:f>'Habilidades'!F978</x:f>
        <x:v>Física</x:v>
      </x:c>
      <x:c r="E1510" s="21" t="n">
        <x:f>'Habilidades'!G978</x:f>
        <x:v>65</x:v>
      </x:c>
      <x:c r="F1510" s="21" t="n">
        <x:f>'Habilidades'!H978</x:f>
        <x:v>50</x:v>
      </x:c>
      <x:c r="G1510" s="21" t="n">
        <x:f>'Habilidades'!I978</x:f>
        <x:v>115</x:v>
      </x:c>
    </x:row>
    <x:row r="1511" ht="22" customHeight="1">
      <x:c r="A1511" s="17" t="n">
        <x:f>IF(B1511="","",IF(B1511=B1510,A1510,A1510+1))</x:f>
        <x:v>306</x:v>
      </x:c>
      <x:c r="B1511" s="1" t="str">
        <x:f>'Ranking'!C312</x:f>
        <x:v>Gible</x:v>
      </x:c>
      <x:c r="C1511" s="1" t="str">
        <x:f>'Habilidades'!D3216</x:f>
        <x:v>Dragon Rush</x:v>
      </x:c>
      <x:c r="D1511" s="1" t="str">
        <x:f>'Habilidades'!F3216</x:f>
        <x:v>Física</x:v>
      </x:c>
      <x:c r="E1511" s="18" t="n">
        <x:f>'Habilidades'!G3216</x:f>
        <x:v>100</x:v>
      </x:c>
      <x:c r="F1511" s="18" t="n">
        <x:f>'Habilidades'!H3216</x:f>
        <x:v>70</x:v>
      </x:c>
      <x:c r="G1511" s="18" t="n">
        <x:f>'Habilidades'!I3216</x:f>
        <x:v>170</x:v>
      </x:c>
    </x:row>
    <x:row r="1512" ht="22" customHeight="1">
      <x:c r="A1512" s="17" t="n">
        <x:f>IF(B1512="","",IF(B1512=B1511,A1511,A1511+1))</x:f>
        <x:v>306</x:v>
      </x:c>
      <x:c r="B1512" s="1" t="str">
        <x:f>'Ranking'!C312</x:f>
        <x:v>Gible</x:v>
      </x:c>
      <x:c r="C1512" s="1" t="str">
        <x:f>'Habilidades'!D3217</x:f>
        <x:v>Take Down</x:v>
      </x:c>
      <x:c r="D1512" s="1" t="str">
        <x:f>'Habilidades'!F3217</x:f>
        <x:v>Física</x:v>
      </x:c>
      <x:c r="E1512" s="18" t="n">
        <x:f>'Habilidades'!G3217</x:f>
        <x:v>90</x:v>
      </x:c>
      <x:c r="F1512" s="18" t="n">
        <x:f>'Habilidades'!H3217</x:f>
        <x:v>70</x:v>
      </x:c>
      <x:c r="G1512" s="18" t="n">
        <x:f>'Habilidades'!I3217</x:f>
        <x:v>160</x:v>
      </x:c>
    </x:row>
    <x:row r="1513" ht="22" customHeight="1">
      <x:c r="A1513" s="17" t="n">
        <x:f>IF(B1513="","",IF(B1513=B1512,A1512,A1512+1))</x:f>
        <x:v>306</x:v>
      </x:c>
      <x:c r="B1513" s="1" t="str">
        <x:f>'Ranking'!C312</x:f>
        <x:v>Gible</x:v>
      </x:c>
      <x:c r="C1513" s="1" t="str">
        <x:f>'Habilidades'!D3218</x:f>
        <x:v>Dragon Claw</x:v>
      </x:c>
      <x:c r="D1513" s="1" t="str">
        <x:f>'Habilidades'!F3218</x:f>
        <x:v>Física</x:v>
      </x:c>
      <x:c r="E1513" s="18" t="n">
        <x:f>'Habilidades'!G3218</x:f>
        <x:v>80</x:v>
      </x:c>
      <x:c r="F1513" s="18" t="n">
        <x:f>'Habilidades'!H3218</x:f>
        <x:v>70</x:v>
      </x:c>
      <x:c r="G1513" s="18" t="n">
        <x:f>'Habilidades'!I3218</x:f>
        <x:v>150</x:v>
      </x:c>
    </x:row>
    <x:row r="1514" ht="22" customHeight="1">
      <x:c r="A1514" s="17" t="n">
        <x:f>IF(B1514="","",IF(B1514=B1513,A1513,A1513+1))</x:f>
        <x:v>306</x:v>
      </x:c>
      <x:c r="B1514" s="1" t="str">
        <x:f>'Ranking'!C312</x:f>
        <x:v>Gible</x:v>
      </x:c>
      <x:c r="C1514" s="1" t="str">
        <x:f>'Habilidades'!D3219</x:f>
        <x:v>Dig</x:v>
      </x:c>
      <x:c r="D1514" s="1" t="str">
        <x:f>'Habilidades'!F3219</x:f>
        <x:v>Física</x:v>
      </x:c>
      <x:c r="E1514" s="18" t="n">
        <x:f>'Habilidades'!G3219</x:f>
        <x:v>80</x:v>
      </x:c>
      <x:c r="F1514" s="18" t="n">
        <x:f>'Habilidades'!H3219</x:f>
        <x:v>70</x:v>
      </x:c>
      <x:c r="G1514" s="18" t="n">
        <x:f>'Habilidades'!I3219</x:f>
        <x:v>150</x:v>
      </x:c>
    </x:row>
    <x:row r="1515" ht="22" customHeight="1">
      <x:c r="A1515" s="19" t="n">
        <x:f>IF(B1515="","",IF(B1515=B1514,A1514,A1514+1))</x:f>
        <x:v>306</x:v>
      </x:c>
      <x:c r="B1515" s="20" t="str">
        <x:f>'Ranking'!C312</x:f>
        <x:v>Gible</x:v>
      </x:c>
      <x:c r="C1515" s="20" t="str">
        <x:f>'Habilidades'!D3220</x:f>
        <x:v>Slash</x:v>
      </x:c>
      <x:c r="D1515" s="20" t="str">
        <x:f>'Habilidades'!F3220</x:f>
        <x:v>Física</x:v>
      </x:c>
      <x:c r="E1515" s="21" t="n">
        <x:f>'Habilidades'!G3220</x:f>
        <x:v>70</x:v>
      </x:c>
      <x:c r="F1515" s="21" t="n">
        <x:f>'Habilidades'!H3220</x:f>
        <x:v>70</x:v>
      </x:c>
      <x:c r="G1515" s="21" t="n">
        <x:f>'Habilidades'!I3220</x:f>
        <x:v>140</x:v>
      </x:c>
    </x:row>
    <x:row r="1516" ht="22" customHeight="1">
      <x:c r="A1516" s="17" t="n">
        <x:f>IF(B1516="","",IF(B1516=B1515,A1515,A1515+1))</x:f>
        <x:v>307</x:v>
      </x:c>
      <x:c r="B1516" s="1" t="str">
        <x:f>'Ranking'!C313</x:f>
        <x:v>Lombre</x:v>
      </x:c>
      <x:c r="C1516" s="1" t="str">
        <x:f>'Habilidades'!D2470</x:f>
        <x:v>Hydro Pump</x:v>
      </x:c>
      <x:c r="D1516" s="1" t="str">
        <x:f>'Habilidades'!F2470</x:f>
        <x:v>Especial</x:v>
      </x:c>
      <x:c r="E1516" s="18" t="n">
        <x:f>'Habilidades'!G2470</x:f>
        <x:v>110</x:v>
      </x:c>
      <x:c r="F1516" s="18" t="n">
        <x:f>'Habilidades'!H2470</x:f>
        <x:v>60</x:v>
      </x:c>
      <x:c r="G1516" s="18" t="n">
        <x:f>'Habilidades'!I2470</x:f>
        <x:v>170</x:v>
      </x:c>
    </x:row>
    <x:row r="1517" ht="22" customHeight="1">
      <x:c r="A1517" s="17" t="n">
        <x:f>IF(B1517="","",IF(B1517=B1516,A1516,A1516+1))</x:f>
        <x:v>307</x:v>
      </x:c>
      <x:c r="B1517" s="1" t="str">
        <x:f>'Ranking'!C313</x:f>
        <x:v>Lombre</x:v>
      </x:c>
      <x:c r="C1517" s="1" t="str">
        <x:f>'Habilidades'!D2471</x:f>
        <x:v>Uproar</x:v>
      </x:c>
      <x:c r="D1517" s="1" t="str">
        <x:f>'Habilidades'!F2471</x:f>
        <x:v>Especial</x:v>
      </x:c>
      <x:c r="E1517" s="18" t="n">
        <x:f>'Habilidades'!G2471</x:f>
        <x:v>90</x:v>
      </x:c>
      <x:c r="F1517" s="18" t="n">
        <x:f>'Habilidades'!H2471</x:f>
        <x:v>60</x:v>
      </x:c>
      <x:c r="G1517" s="18" t="n">
        <x:f>'Habilidades'!I2471</x:f>
        <x:v>150</x:v>
      </x:c>
    </x:row>
    <x:row r="1518" ht="22" customHeight="1">
      <x:c r="A1518" s="17" t="n">
        <x:f>IF(B1518="","",IF(B1518=B1517,A1517,A1517+1))</x:f>
        <x:v>307</x:v>
      </x:c>
      <x:c r="B1518" s="1" t="str">
        <x:f>'Ranking'!C313</x:f>
        <x:v>Lombre</x:v>
      </x:c>
      <x:c r="C1518" s="1" t="str">
        <x:f>'Habilidades'!D2472</x:f>
        <x:v>Zen Headbutt</x:v>
      </x:c>
      <x:c r="D1518" s="1" t="str">
        <x:f>'Habilidades'!F2472</x:f>
        <x:v>Física</x:v>
      </x:c>
      <x:c r="E1518" s="18" t="n">
        <x:f>'Habilidades'!G2472</x:f>
        <x:v>80</x:v>
      </x:c>
      <x:c r="F1518" s="18" t="n">
        <x:f>'Habilidades'!H2472</x:f>
        <x:v>50</x:v>
      </x:c>
      <x:c r="G1518" s="18" t="n">
        <x:f>'Habilidades'!I2472</x:f>
        <x:v>130</x:v>
      </x:c>
    </x:row>
    <x:row r="1519" ht="22" customHeight="1">
      <x:c r="A1519" s="17" t="n">
        <x:f>IF(B1519="","",IF(B1519=B1518,A1518,A1518+1))</x:f>
        <x:v>307</x:v>
      </x:c>
      <x:c r="B1519" s="1" t="str">
        <x:f>'Ranking'!C313</x:f>
        <x:v>Lombre</x:v>
      </x:c>
      <x:c r="C1519" s="1" t="str">
        <x:f>'Habilidades'!D2473</x:f>
        <x:v>Bubble Beam</x:v>
      </x:c>
      <x:c r="D1519" s="1" t="str">
        <x:f>'Habilidades'!F2473</x:f>
        <x:v>Especial</x:v>
      </x:c>
      <x:c r="E1519" s="18" t="n">
        <x:f>'Habilidades'!G2473</x:f>
        <x:v>65</x:v>
      </x:c>
      <x:c r="F1519" s="18" t="n">
        <x:f>'Habilidades'!H2473</x:f>
        <x:v>60</x:v>
      </x:c>
      <x:c r="G1519" s="18" t="n">
        <x:f>'Habilidades'!I2473</x:f>
        <x:v>125</x:v>
      </x:c>
    </x:row>
    <x:row r="1520" ht="22" customHeight="1">
      <x:c r="A1520" s="19" t="n">
        <x:f>IF(B1520="","",IF(B1520=B1519,A1519,A1519+1))</x:f>
        <x:v>307</x:v>
      </x:c>
      <x:c r="B1520" s="20" t="str">
        <x:f>'Ranking'!C313</x:f>
        <x:v>Lombre</x:v>
      </x:c>
      <x:c r="C1520" s="20" t="str">
        <x:f>'Habilidades'!D2474</x:f>
        <x:v>Knock Off</x:v>
      </x:c>
      <x:c r="D1520" s="20" t="str">
        <x:f>'Habilidades'!F2474</x:f>
        <x:v>Física</x:v>
      </x:c>
      <x:c r="E1520" s="21" t="n">
        <x:f>'Habilidades'!G2474</x:f>
        <x:v>65</x:v>
      </x:c>
      <x:c r="F1520" s="21" t="n">
        <x:f>'Habilidades'!H2474</x:f>
        <x:v>50</x:v>
      </x:c>
      <x:c r="G1520" s="21" t="n">
        <x:f>'Habilidades'!I2474</x:f>
        <x:v>115</x:v>
      </x:c>
    </x:row>
    <x:row r="1521" ht="22" customHeight="1">
      <x:c r="A1521" s="17" t="n">
        <x:f>IF(B1521="","",IF(B1521=B1520,A1520,A1520+1))</x:f>
        <x:v>308</x:v>
      </x:c>
      <x:c r="B1521" s="1" t="str">
        <x:f>'Ranking'!C314</x:f>
        <x:v>Mantyke</x:v>
      </x:c>
      <x:c r="C1521" s="1" t="str">
        <x:f>'Habilidades'!D3255</x:f>
        <x:v>Hydro Pump</x:v>
      </x:c>
      <x:c r="D1521" s="1" t="str">
        <x:f>'Habilidades'!F3255</x:f>
        <x:v>Especial</x:v>
      </x:c>
      <x:c r="E1521" s="18" t="n">
        <x:f>'Habilidades'!G3255</x:f>
        <x:v>110</x:v>
      </x:c>
      <x:c r="F1521" s="18" t="n">
        <x:f>'Habilidades'!H3255</x:f>
        <x:v>60</x:v>
      </x:c>
      <x:c r="G1521" s="18" t="n">
        <x:f>'Habilidades'!I3255</x:f>
        <x:v>170</x:v>
      </x:c>
    </x:row>
    <x:row r="1522" ht="22" customHeight="1">
      <x:c r="A1522" s="17" t="n">
        <x:f>IF(B1522="","",IF(B1522=B1521,A1521,A1521+1))</x:f>
        <x:v>308</x:v>
      </x:c>
      <x:c r="B1522" s="1" t="str">
        <x:f>'Ranking'!C314</x:f>
        <x:v>Mantyke</x:v>
      </x:c>
      <x:c r="C1522" s="1" t="str">
        <x:f>'Habilidades'!D3256</x:f>
        <x:v>Air Slash</x:v>
      </x:c>
      <x:c r="D1522" s="1" t="str">
        <x:f>'Habilidades'!F3256</x:f>
        <x:v>Especial</x:v>
      </x:c>
      <x:c r="E1522" s="18" t="n">
        <x:f>'Habilidades'!G3256</x:f>
        <x:v>75</x:v>
      </x:c>
      <x:c r="F1522" s="18" t="n">
        <x:f>'Habilidades'!H3256</x:f>
        <x:v>60</x:v>
      </x:c>
      <x:c r="G1522" s="18" t="n">
        <x:f>'Habilidades'!I3256</x:f>
        <x:v>135</x:v>
      </x:c>
    </x:row>
    <x:row r="1523" ht="22" customHeight="1">
      <x:c r="A1523" s="17" t="n">
        <x:f>IF(B1523="","",IF(B1523=B1522,A1522,A1522+1))</x:f>
        <x:v>308</x:v>
      </x:c>
      <x:c r="B1523" s="1" t="str">
        <x:f>'Ranking'!C314</x:f>
        <x:v>Mantyke</x:v>
      </x:c>
      <x:c r="C1523" s="1" t="str">
        <x:f>'Habilidades'!D3259</x:f>
        <x:v>Take Down</x:v>
      </x:c>
      <x:c r="D1523" s="1" t="str">
        <x:f>'Habilidades'!F3259</x:f>
        <x:v>Física</x:v>
      </x:c>
      <x:c r="E1523" s="18" t="n">
        <x:f>'Habilidades'!G3259</x:f>
        <x:v>90</x:v>
      </x:c>
      <x:c r="F1523" s="18" t="n">
        <x:f>'Habilidades'!H3259</x:f>
        <x:v>20</x:v>
      </x:c>
      <x:c r="G1523" s="18" t="n">
        <x:f>'Habilidades'!I3259</x:f>
        <x:v>110</x:v>
      </x:c>
    </x:row>
    <x:row r="1524" ht="22" customHeight="1">
      <x:c r="A1524" s="17" t="n">
        <x:f>IF(B1524="","",IF(B1524=B1523,A1523,A1523+1))</x:f>
        <x:v>308</x:v>
      </x:c>
      <x:c r="B1524" s="1" t="str">
        <x:f>'Ranking'!C314</x:f>
        <x:v>Mantyke</x:v>
      </x:c>
      <x:c r="C1524" s="1" t="str">
        <x:f>'Habilidades'!D3260</x:f>
        <x:v>Bounce</x:v>
      </x:c>
      <x:c r="D1524" s="1" t="str">
        <x:f>'Habilidades'!F3260</x:f>
        <x:v>Física</x:v>
      </x:c>
      <x:c r="E1524" s="18" t="n">
        <x:f>'Habilidades'!G3260</x:f>
        <x:v>85</x:v>
      </x:c>
      <x:c r="F1524" s="18" t="n">
        <x:f>'Habilidades'!H3260</x:f>
        <x:v>20</x:v>
      </x:c>
      <x:c r="G1524" s="18" t="n">
        <x:f>'Habilidades'!I3260</x:f>
        <x:v>105</x:v>
      </x:c>
    </x:row>
    <x:row r="1525" ht="22" customHeight="1">
      <x:c r="A1525" s="19" t="n">
        <x:f>IF(B1525="","",IF(B1525=B1524,A1524,A1524+1))</x:f>
        <x:v>308</x:v>
      </x:c>
      <x:c r="B1525" s="20" t="str">
        <x:f>'Ranking'!C314</x:f>
        <x:v>Mantyke</x:v>
      </x:c>
      <x:c r="C1525" s="20" t="str">
        <x:f>'Habilidades'!D3262</x:f>
        <x:v>Headbutt</x:v>
      </x:c>
      <x:c r="D1525" s="20" t="str">
        <x:f>'Habilidades'!F3262</x:f>
        <x:v>Física</x:v>
      </x:c>
      <x:c r="E1525" s="21" t="n">
        <x:f>'Habilidades'!G3262</x:f>
        <x:v>70</x:v>
      </x:c>
      <x:c r="F1525" s="21" t="n">
        <x:f>'Habilidades'!H3262</x:f>
        <x:v>20</x:v>
      </x:c>
      <x:c r="G1525" s="21" t="n">
        <x:f>'Habilidades'!I3262</x:f>
        <x:v>90</x:v>
      </x:c>
    </x:row>
    <x:row r="1526" ht="22" customHeight="1">
      <x:c r="A1526" s="17" t="n">
        <x:f>IF(B1526="","",IF(B1526=B1525,A1525,A1525+1))</x:f>
        <x:v>309</x:v>
      </x:c>
      <x:c r="B1526" s="1" t="str">
        <x:f>'Ranking'!C317</x:f>
        <x:v>Meditite</x:v>
      </x:c>
      <x:c r="C1526" s="1" t="str">
        <x:f>'Habilidades'!D2676</x:f>
        <x:v>High Jump Kick</x:v>
      </x:c>
      <x:c r="D1526" s="1" t="str">
        <x:f>'Habilidades'!F2676</x:f>
        <x:v>Física</x:v>
      </x:c>
      <x:c r="E1526" s="18" t="n">
        <x:f>'Habilidades'!G2676</x:f>
        <x:v>130</x:v>
      </x:c>
      <x:c r="F1526" s="18" t="n">
        <x:f>'Habilidades'!H2676</x:f>
        <x:v>40</x:v>
      </x:c>
      <x:c r="G1526" s="18" t="n">
        <x:f>'Habilidades'!I2676</x:f>
        <x:v>170</x:v>
      </x:c>
    </x:row>
    <x:row r="1527" ht="22" customHeight="1">
      <x:c r="A1527" s="17" t="n">
        <x:f>IF(B1527="","",IF(B1527=B1526,A1526,A1526+1))</x:f>
        <x:v>309</x:v>
      </x:c>
      <x:c r="B1527" s="1" t="str">
        <x:f>'Ranking'!C317</x:f>
        <x:v>Meditite</x:v>
      </x:c>
      <x:c r="C1527" s="1" t="str">
        <x:f>'Habilidades'!D2677</x:f>
        <x:v>Force Palm</x:v>
      </x:c>
      <x:c r="D1527" s="1" t="str">
        <x:f>'Habilidades'!F2677</x:f>
        <x:v>Física</x:v>
      </x:c>
      <x:c r="E1527" s="18" t="n">
        <x:f>'Habilidades'!G2677</x:f>
        <x:v>60</x:v>
      </x:c>
      <x:c r="F1527" s="18" t="n">
        <x:f>'Habilidades'!H2677</x:f>
        <x:v>40</x:v>
      </x:c>
      <x:c r="G1527" s="18" t="n">
        <x:f>'Habilidades'!I2677</x:f>
        <x:v>100</x:v>
      </x:c>
    </x:row>
    <x:row r="1528" ht="22" customHeight="1">
      <x:c r="A1528" s="17" t="n">
        <x:f>IF(B1528="","",IF(B1528=B1527,A1527,A1527+1))</x:f>
        <x:v>309</x:v>
      </x:c>
      <x:c r="B1528" s="1" t="str">
        <x:f>'Ranking'!C317</x:f>
        <x:v>Meditite</x:v>
      </x:c>
      <x:c r="C1528" s="1" t="str">
        <x:f>'Habilidades'!D2678</x:f>
        <x:v>Hidden Power</x:v>
      </x:c>
      <x:c r="D1528" s="1" t="str">
        <x:f>'Habilidades'!F2678</x:f>
        <x:v>Especial</x:v>
      </x:c>
      <x:c r="E1528" s="18" t="n">
        <x:f>'Habilidades'!G2678</x:f>
        <x:v>60</x:v>
      </x:c>
      <x:c r="F1528" s="18" t="n">
        <x:f>'Habilidades'!H2678</x:f>
        <x:v>40</x:v>
      </x:c>
      <x:c r="G1528" s="18" t="n">
        <x:f>'Habilidades'!I2678</x:f>
        <x:v>100</x:v>
      </x:c>
    </x:row>
    <x:row r="1529" ht="22" customHeight="1">
      <x:c r="A1529" s="17" t="n">
        <x:f>IF(B1529="","",IF(B1529=B1528,A1528,A1528+1))</x:f>
        <x:v>309</x:v>
      </x:c>
      <x:c r="B1529" s="1" t="str">
        <x:f>'Ranking'!C317</x:f>
        <x:v>Meditite</x:v>
      </x:c>
      <x:c r="C1529" s="1" t="str">
        <x:f>'Habilidades'!D2679</x:f>
        <x:v>Confusion</x:v>
      </x:c>
      <x:c r="D1529" s="1" t="str">
        <x:f>'Habilidades'!F2679</x:f>
        <x:v>Especial</x:v>
      </x:c>
      <x:c r="E1529" s="18" t="n">
        <x:f>'Habilidades'!G2679</x:f>
        <x:v>50</x:v>
      </x:c>
      <x:c r="F1529" s="18" t="n">
        <x:f>'Habilidades'!H2679</x:f>
        <x:v>40</x:v>
      </x:c>
      <x:c r="G1529" s="18" t="n">
        <x:f>'Habilidades'!I2679</x:f>
        <x:v>90</x:v>
      </x:c>
    </x:row>
    <x:row r="1530" ht="22" customHeight="1">
      <x:c r="A1530" s="19" t="n">
        <x:f>IF(B1530="","",IF(B1530=B1529,A1529,A1529+1))</x:f>
        <x:v>309</x:v>
      </x:c>
      <x:c r="B1530" s="20" t="str">
        <x:f>'Ranking'!C317</x:f>
        <x:v>Meditite</x:v>
      </x:c>
      <x:c r="C1530" s="20" t="str">
        <x:f>'Habilidades'!D2680</x:f>
        <x:v>Feint</x:v>
      </x:c>
      <x:c r="D1530" s="20" t="str">
        <x:f>'Habilidades'!F2680</x:f>
        <x:v>Física</x:v>
      </x:c>
      <x:c r="E1530" s="21" t="n">
        <x:f>'Habilidades'!G2680</x:f>
        <x:v>30</x:v>
      </x:c>
      <x:c r="F1530" s="21" t="n">
        <x:f>'Habilidades'!H2680</x:f>
        <x:v>40</x:v>
      </x:c>
      <x:c r="G1530" s="21" t="n">
        <x:f>'Habilidades'!I2680</x:f>
        <x:v>70</x:v>
      </x:c>
    </x:row>
    <x:row r="1531" ht="22" customHeight="1">
      <x:c r="A1531" s="17" t="n">
        <x:f>IF(B1531="","",IF(B1531=B1530,A1530,A1530+1))</x:f>
        <x:v>310</x:v>
      </x:c>
      <x:c r="B1531" s="1" t="str">
        <x:f>'Ranking'!C315</x:f>
        <x:v>Skrelp</x:v>
      </x:c>
      <x:c r="C1531" s="1" t="str">
        <x:f>'Habilidades'!D3708</x:f>
        <x:v>Hydro Pump</x:v>
      </x:c>
      <x:c r="D1531" s="1" t="str">
        <x:f>'Habilidades'!F3708</x:f>
        <x:v>Especial</x:v>
      </x:c>
      <x:c r="E1531" s="18" t="n">
        <x:f>'Habilidades'!G3708</x:f>
        <x:v>110</x:v>
      </x:c>
      <x:c r="F1531" s="18" t="n">
        <x:f>'Habilidades'!H3708</x:f>
        <x:v>60</x:v>
      </x:c>
      <x:c r="G1531" s="18" t="n">
        <x:f>'Habilidades'!I3708</x:f>
        <x:v>170</x:v>
      </x:c>
    </x:row>
    <x:row r="1532" ht="22" customHeight="1">
      <x:c r="A1532" s="17" t="n">
        <x:f>IF(B1532="","",IF(B1532=B1531,A1531,A1531+1))</x:f>
        <x:v>310</x:v>
      </x:c>
      <x:c r="B1532" s="1" t="str">
        <x:f>'Ranking'!C315</x:f>
        <x:v>Skrelp</x:v>
      </x:c>
      <x:c r="C1532" s="1" t="str">
        <x:f>'Habilidades'!D3709</x:f>
        <x:v>Aqua Tail</x:v>
      </x:c>
      <x:c r="D1532" s="1" t="str">
        <x:f>'Habilidades'!F3709</x:f>
        <x:v>Física</x:v>
      </x:c>
      <x:c r="E1532" s="18" t="n">
        <x:f>'Habilidades'!G3709</x:f>
        <x:v>90</x:v>
      </x:c>
      <x:c r="F1532" s="18" t="n">
        <x:f>'Habilidades'!H3709</x:f>
        <x:v>60</x:v>
      </x:c>
      <x:c r="G1532" s="18" t="n">
        <x:f>'Habilidades'!I3709</x:f>
        <x:v>150</x:v>
      </x:c>
    </x:row>
    <x:row r="1533" ht="22" customHeight="1">
      <x:c r="A1533" s="17" t="n">
        <x:f>IF(B1533="","",IF(B1533=B1532,A1532,A1532+1))</x:f>
        <x:v>310</x:v>
      </x:c>
      <x:c r="B1533" s="1" t="str">
        <x:f>'Ranking'!C315</x:f>
        <x:v>Skrelp</x:v>
      </x:c>
      <x:c r="C1533" s="1" t="str">
        <x:f>'Habilidades'!D3710</x:f>
        <x:v>Sludge Bomb</x:v>
      </x:c>
      <x:c r="D1533" s="1" t="str">
        <x:f>'Habilidades'!F3710</x:f>
        <x:v>Especial</x:v>
      </x:c>
      <x:c r="E1533" s="18" t="n">
        <x:f>'Habilidades'!G3710</x:f>
        <x:v>90</x:v>
      </x:c>
      <x:c r="F1533" s="18" t="n">
        <x:f>'Habilidades'!H3710</x:f>
        <x:v>60</x:v>
      </x:c>
      <x:c r="G1533" s="18" t="n">
        <x:f>'Habilidades'!I3710</x:f>
        <x:v>150</x:v>
      </x:c>
    </x:row>
    <x:row r="1534" ht="22" customHeight="1">
      <x:c r="A1534" s="17" t="n">
        <x:f>IF(B1534="","",IF(B1534=B1533,A1533,A1533+1))</x:f>
        <x:v>310</x:v>
      </x:c>
      <x:c r="B1534" s="1" t="str">
        <x:f>'Ranking'!C315</x:f>
        <x:v>Skrelp</x:v>
      </x:c>
      <x:c r="C1534" s="1" t="str">
        <x:f>'Habilidades'!D3711</x:f>
        <x:v>Dragon Pulse</x:v>
      </x:c>
      <x:c r="D1534" s="1" t="str">
        <x:f>'Habilidades'!F3711</x:f>
        <x:v>Especial</x:v>
      </x:c>
      <x:c r="E1534" s="18" t="n">
        <x:f>'Habilidades'!G3711</x:f>
        <x:v>85</x:v>
      </x:c>
      <x:c r="F1534" s="18" t="n">
        <x:f>'Habilidades'!H3711</x:f>
        <x:v>60</x:v>
      </x:c>
      <x:c r="G1534" s="18" t="n">
        <x:f>'Habilidades'!I3711</x:f>
        <x:v>145</x:v>
      </x:c>
    </x:row>
    <x:row r="1535" ht="22" customHeight="1">
      <x:c r="A1535" s="19" t="n">
        <x:f>IF(B1535="","",IF(B1535=B1534,A1534,A1534+1))</x:f>
        <x:v>310</x:v>
      </x:c>
      <x:c r="B1535" s="20" t="str">
        <x:f>'Ranking'!C315</x:f>
        <x:v>Skrelp</x:v>
      </x:c>
      <x:c r="C1535" s="20" t="str">
        <x:f>'Habilidades'!D3712</x:f>
        <x:v>Feint Attack</x:v>
      </x:c>
      <x:c r="D1535" s="20" t="str">
        <x:f>'Habilidades'!F3712</x:f>
        <x:v>Física</x:v>
      </x:c>
      <x:c r="E1535" s="21" t="n">
        <x:f>'Habilidades'!G3712</x:f>
        <x:v>60</x:v>
      </x:c>
      <x:c r="F1535" s="21" t="n">
        <x:f>'Habilidades'!H3712</x:f>
        <x:v>60</x:v>
      </x:c>
      <x:c r="G1535" s="21" t="n">
        <x:f>'Habilidades'!I3712</x:f>
        <x:v>120</x:v>
      </x:c>
    </x:row>
    <x:row r="1536" ht="22" customHeight="1">
      <x:c r="A1536" s="17" t="n">
        <x:f>IF(B1536="","",IF(B1536=B1535,A1535,A1535+1))</x:f>
        <x:v>311</x:v>
      </x:c>
      <x:c r="B1536" s="1" t="str">
        <x:f>'Ranking'!C310</x:f>
        <x:v>Snubbull</x:v>
      </x:c>
      <x:c r="C1536" s="1" t="str">
        <x:f>'Habilidades'!D1939</x:f>
        <x:v>Play Rough</x:v>
      </x:c>
      <x:c r="D1536" s="1" t="str">
        <x:f>'Habilidades'!F1939</x:f>
        <x:v>Física</x:v>
      </x:c>
      <x:c r="E1536" s="18" t="n">
        <x:f>'Habilidades'!G1939</x:f>
        <x:v>90</x:v>
      </x:c>
      <x:c r="F1536" s="18" t="n">
        <x:f>'Habilidades'!H1939</x:f>
        <x:v>80</x:v>
      </x:c>
      <x:c r="G1536" s="18" t="n">
        <x:f>'Habilidades'!I1939</x:f>
        <x:v>170</x:v>
      </x:c>
    </x:row>
    <x:row r="1537" ht="22" customHeight="1">
      <x:c r="A1537" s="17" t="n">
        <x:f>IF(B1537="","",IF(B1537=B1536,A1536,A1536+1))</x:f>
        <x:v>311</x:v>
      </x:c>
      <x:c r="B1537" s="1" t="str">
        <x:f>'Ranking'!C310</x:f>
        <x:v>Snubbull</x:v>
      </x:c>
      <x:c r="C1537" s="1" t="str">
        <x:f>'Habilidades'!D1940</x:f>
        <x:v>Crunch</x:v>
      </x:c>
      <x:c r="D1537" s="1" t="str">
        <x:f>'Habilidades'!F1940</x:f>
        <x:v>Física</x:v>
      </x:c>
      <x:c r="E1537" s="18" t="n">
        <x:f>'Habilidades'!G1940</x:f>
        <x:v>80</x:v>
      </x:c>
      <x:c r="F1537" s="18" t="n">
        <x:f>'Habilidades'!H1940</x:f>
        <x:v>80</x:v>
      </x:c>
      <x:c r="G1537" s="18" t="n">
        <x:f>'Habilidades'!I1940</x:f>
        <x:v>160</x:v>
      </x:c>
    </x:row>
    <x:row r="1538" ht="22" customHeight="1">
      <x:c r="A1538" s="17" t="n">
        <x:f>IF(B1538="","",IF(B1538=B1537,A1537,A1537+1))</x:f>
        <x:v>311</x:v>
      </x:c>
      <x:c r="B1538" s="1" t="str">
        <x:f>'Ranking'!C310</x:f>
        <x:v>Snubbull</x:v>
      </x:c>
      <x:c r="C1538" s="1" t="str">
        <x:f>'Habilidades'!D1941</x:f>
        <x:v>Headbutt</x:v>
      </x:c>
      <x:c r="D1538" s="1" t="str">
        <x:f>'Habilidades'!F1941</x:f>
        <x:v>Física</x:v>
      </x:c>
      <x:c r="E1538" s="18" t="n">
        <x:f>'Habilidades'!G1941</x:f>
        <x:v>70</x:v>
      </x:c>
      <x:c r="F1538" s="18" t="n">
        <x:f>'Habilidades'!H1941</x:f>
        <x:v>80</x:v>
      </x:c>
      <x:c r="G1538" s="18" t="n">
        <x:f>'Habilidades'!I1941</x:f>
        <x:v>150</x:v>
      </x:c>
    </x:row>
    <x:row r="1539" ht="22" customHeight="1">
      <x:c r="A1539" s="17" t="n">
        <x:f>IF(B1539="","",IF(B1539=B1538,A1538,A1538+1))</x:f>
        <x:v>311</x:v>
      </x:c>
      <x:c r="B1539" s="1" t="str">
        <x:f>'Ranking'!C310</x:f>
        <x:v>Snubbull</x:v>
      </x:c>
      <x:c r="C1539" s="1" t="str">
        <x:f>'Habilidades'!D1942</x:f>
        <x:v>Thunder Fang</x:v>
      </x:c>
      <x:c r="D1539" s="1" t="str">
        <x:f>'Habilidades'!F1942</x:f>
        <x:v>Física</x:v>
      </x:c>
      <x:c r="E1539" s="18" t="n">
        <x:f>'Habilidades'!G1942</x:f>
        <x:v>65</x:v>
      </x:c>
      <x:c r="F1539" s="18" t="n">
        <x:f>'Habilidades'!H1942</x:f>
        <x:v>80</x:v>
      </x:c>
      <x:c r="G1539" s="18" t="n">
        <x:f>'Habilidades'!I1942</x:f>
        <x:v>145</x:v>
      </x:c>
    </x:row>
    <x:row r="1540" ht="22" customHeight="1">
      <x:c r="A1540" s="19" t="n">
        <x:f>IF(B1540="","",IF(B1540=B1539,A1539,A1539+1))</x:f>
        <x:v>311</x:v>
      </x:c>
      <x:c r="B1540" s="20" t="str">
        <x:f>'Ranking'!C310</x:f>
        <x:v>Snubbull</x:v>
      </x:c>
      <x:c r="C1540" s="20" t="str">
        <x:f>'Habilidades'!D1943</x:f>
        <x:v>Ice Fang</x:v>
      </x:c>
      <x:c r="D1540" s="20" t="str">
        <x:f>'Habilidades'!F1943</x:f>
        <x:v>Física</x:v>
      </x:c>
      <x:c r="E1540" s="21" t="n">
        <x:f>'Habilidades'!G1943</x:f>
        <x:v>65</x:v>
      </x:c>
      <x:c r="F1540" s="21" t="n">
        <x:f>'Habilidades'!H1943</x:f>
        <x:v>80</x:v>
      </x:c>
      <x:c r="G1540" s="21" t="n">
        <x:f>'Habilidades'!I1943</x:f>
        <x:v>145</x:v>
      </x:c>
    </x:row>
    <x:row r="1541" ht="22" customHeight="1">
      <x:c r="A1541" s="17" t="n">
        <x:f>IF(B1541="","",IF(B1541=B1540,A1540,A1540+1))</x:f>
        <x:v>312</x:v>
      </x:c>
      <x:c r="B1541" s="1" t="str">
        <x:f>'Ranking'!C311</x:f>
        <x:v>Vespiquen</x:v>
      </x:c>
      <x:c r="C1541" s="1" t="str">
        <x:f>'Habilidades'!D3192</x:f>
        <x:v>Attack Order</x:v>
      </x:c>
      <x:c r="D1541" s="1" t="str">
        <x:f>'Habilidades'!F3192</x:f>
        <x:v>Física</x:v>
      </x:c>
      <x:c r="E1541" s="18" t="n">
        <x:f>'Habilidades'!G3192</x:f>
        <x:v>90</x:v>
      </x:c>
      <x:c r="F1541" s="18" t="n">
        <x:f>'Habilidades'!H3192</x:f>
        <x:v>80</x:v>
      </x:c>
      <x:c r="G1541" s="18" t="n">
        <x:f>'Habilidades'!I3192</x:f>
        <x:v>170</x:v>
      </x:c>
    </x:row>
    <x:row r="1542" ht="22" customHeight="1">
      <x:c r="A1542" s="17" t="n">
        <x:f>IF(B1542="","",IF(B1542=B1541,A1541,A1541+1))</x:f>
        <x:v>312</x:v>
      </x:c>
      <x:c r="B1542" s="1" t="str">
        <x:f>'Ranking'!C311</x:f>
        <x:v>Vespiquen</x:v>
      </x:c>
      <x:c r="C1542" s="1" t="str">
        <x:f>'Habilidades'!D3193</x:f>
        <x:v>Power Gem</x:v>
      </x:c>
      <x:c r="D1542" s="1" t="str">
        <x:f>'Habilidades'!F3193</x:f>
        <x:v>Especial</x:v>
      </x:c>
      <x:c r="E1542" s="18" t="n">
        <x:f>'Habilidades'!G3193</x:f>
        <x:v>80</x:v>
      </x:c>
      <x:c r="F1542" s="18" t="n">
        <x:f>'Habilidades'!H3193</x:f>
        <x:v>80</x:v>
      </x:c>
      <x:c r="G1542" s="18" t="n">
        <x:f>'Habilidades'!I3193</x:f>
        <x:v>160</x:v>
      </x:c>
    </x:row>
    <x:row r="1543" ht="22" customHeight="1">
      <x:c r="A1543" s="17" t="n">
        <x:f>IF(B1543="","",IF(B1543=B1542,A1542,A1542+1))</x:f>
        <x:v>312</x:v>
      </x:c>
      <x:c r="B1543" s="1" t="str">
        <x:f>'Ranking'!C311</x:f>
        <x:v>Vespiquen</x:v>
      </x:c>
      <x:c r="C1543" s="1" t="str">
        <x:f>'Habilidades'!D3194</x:f>
        <x:v>Air Slash</x:v>
      </x:c>
      <x:c r="D1543" s="1" t="str">
        <x:f>'Habilidades'!F3194</x:f>
        <x:v>Especial</x:v>
      </x:c>
      <x:c r="E1543" s="18" t="n">
        <x:f>'Habilidades'!G3194</x:f>
        <x:v>75</x:v>
      </x:c>
      <x:c r="F1543" s="18" t="n">
        <x:f>'Habilidades'!H3194</x:f>
        <x:v>80</x:v>
      </x:c>
      <x:c r="G1543" s="18" t="n">
        <x:f>'Habilidades'!I3194</x:f>
        <x:v>155</x:v>
      </x:c>
    </x:row>
    <x:row r="1544" ht="22" customHeight="1">
      <x:c r="A1544" s="17" t="n">
        <x:f>IF(B1544="","",IF(B1544=B1543,A1543,A1543+1))</x:f>
        <x:v>312</x:v>
      </x:c>
      <x:c r="B1544" s="1" t="str">
        <x:f>'Ranking'!C311</x:f>
        <x:v>Vespiquen</x:v>
      </x:c>
      <x:c r="C1544" s="1" t="str">
        <x:f>'Habilidades'!D3195</x:f>
        <x:v>Slash</x:v>
      </x:c>
      <x:c r="D1544" s="1" t="str">
        <x:f>'Habilidades'!F3195</x:f>
        <x:v>Física</x:v>
      </x:c>
      <x:c r="E1544" s="18" t="n">
        <x:f>'Habilidades'!G3195</x:f>
        <x:v>70</x:v>
      </x:c>
      <x:c r="F1544" s="18" t="n">
        <x:f>'Habilidades'!H3195</x:f>
        <x:v>80</x:v>
      </x:c>
      <x:c r="G1544" s="18" t="n">
        <x:f>'Habilidades'!I3195</x:f>
        <x:v>150</x:v>
      </x:c>
    </x:row>
    <x:row r="1545" ht="22" customHeight="1">
      <x:c r="A1545" s="19" t="n">
        <x:f>IF(B1545="","",IF(B1545=B1544,A1544,A1544+1))</x:f>
        <x:v>312</x:v>
      </x:c>
      <x:c r="B1545" s="20" t="str">
        <x:f>'Ranking'!C311</x:f>
        <x:v>Vespiquen</x:v>
      </x:c>
      <x:c r="C1545" s="20" t="str">
        <x:f>'Habilidades'!D3196</x:f>
        <x:v>Gust</x:v>
      </x:c>
      <x:c r="D1545" s="20" t="str">
        <x:f>'Habilidades'!F3196</x:f>
        <x:v>Especial</x:v>
      </x:c>
      <x:c r="E1545" s="21" t="n">
        <x:f>'Habilidades'!G3196</x:f>
        <x:v>40</x:v>
      </x:c>
      <x:c r="F1545" s="21" t="n">
        <x:f>'Habilidades'!H3196</x:f>
        <x:v>80</x:v>
      </x:c>
      <x:c r="G1545" s="21" t="n">
        <x:f>'Habilidades'!I3196</x:f>
        <x:v>120</x:v>
      </x:c>
    </x:row>
    <x:row r="1546" ht="22" customHeight="1">
      <x:c r="A1546" s="17" t="n">
        <x:f>IF(B1546="","",IF(B1546=B1545,A1545,A1545+1))</x:f>
        <x:v>313</x:v>
      </x:c>
      <x:c r="B1546" s="1" t="str">
        <x:f>'Ranking'!C309</x:f>
        <x:v>Weepinbell</x:v>
      </x:c>
      <x:c r="C1546" s="1" t="str">
        <x:f>'Habilidades'!D614</x:f>
        <x:v>Slam</x:v>
      </x:c>
      <x:c r="D1546" s="1" t="str">
        <x:f>'Habilidades'!F614</x:f>
        <x:v>Física</x:v>
      </x:c>
      <x:c r="E1546" s="18" t="n">
        <x:f>'Habilidades'!G614</x:f>
        <x:v>80</x:v>
      </x:c>
      <x:c r="F1546" s="18" t="n">
        <x:f>'Habilidades'!H614</x:f>
        <x:v>90</x:v>
      </x:c>
      <x:c r="G1546" s="18" t="n">
        <x:f>'Habilidades'!I614</x:f>
        <x:v>170</x:v>
      </x:c>
    </x:row>
    <x:row r="1547" ht="22" customHeight="1">
      <x:c r="A1547" s="17" t="n">
        <x:f>IF(B1547="","",IF(B1547=B1546,A1546,A1546+1))</x:f>
        <x:v>313</x:v>
      </x:c>
      <x:c r="B1547" s="1" t="str">
        <x:f>'Ranking'!C309</x:f>
        <x:v>Weepinbell</x:v>
      </x:c>
      <x:c r="C1547" s="1" t="str">
        <x:f>'Habilidades'!D615</x:f>
        <x:v>Knock Off</x:v>
      </x:c>
      <x:c r="D1547" s="1" t="str">
        <x:f>'Habilidades'!F615</x:f>
        <x:v>Física</x:v>
      </x:c>
      <x:c r="E1547" s="18" t="n">
        <x:f>'Habilidades'!G615</x:f>
        <x:v>65</x:v>
      </x:c>
      <x:c r="F1547" s="18" t="n">
        <x:f>'Habilidades'!H615</x:f>
        <x:v>90</x:v>
      </x:c>
      <x:c r="G1547" s="18" t="n">
        <x:f>'Habilidades'!I615</x:f>
        <x:v>155</x:v>
      </x:c>
    </x:row>
    <x:row r="1548" ht="22" customHeight="1">
      <x:c r="A1548" s="17" t="n">
        <x:f>IF(B1548="","",IF(B1548=B1547,A1547,A1547+1))</x:f>
        <x:v>313</x:v>
      </x:c>
      <x:c r="B1548" s="1" t="str">
        <x:f>'Ranking'!C309</x:f>
        <x:v>Weepinbell</x:v>
      </x:c>
      <x:c r="C1548" s="1" t="str">
        <x:f>'Habilidades'!D616</x:f>
        <x:v>Razor Leaf</x:v>
      </x:c>
      <x:c r="D1548" s="1" t="str">
        <x:f>'Habilidades'!F616</x:f>
        <x:v>Física</x:v>
      </x:c>
      <x:c r="E1548" s="18" t="n">
        <x:f>'Habilidades'!G616</x:f>
        <x:v>55</x:v>
      </x:c>
      <x:c r="F1548" s="18" t="n">
        <x:f>'Habilidades'!H616</x:f>
        <x:v>90</x:v>
      </x:c>
      <x:c r="G1548" s="18" t="n">
        <x:f>'Habilidades'!I616</x:f>
        <x:v>145</x:v>
      </x:c>
    </x:row>
    <x:row r="1549" ht="22" customHeight="1">
      <x:c r="A1549" s="17" t="n">
        <x:f>IF(B1549="","",IF(B1549=B1548,A1548,A1548+1))</x:f>
        <x:v>313</x:v>
      </x:c>
      <x:c r="B1549" s="1" t="str">
        <x:f>'Ranking'!C309</x:f>
        <x:v>Weepinbell</x:v>
      </x:c>
      <x:c r="C1549" s="1" t="str">
        <x:f>'Habilidades'!D617</x:f>
        <x:v>Vine Whip</x:v>
      </x:c>
      <x:c r="D1549" s="1" t="str">
        <x:f>'Habilidades'!F617</x:f>
        <x:v>Física</x:v>
      </x:c>
      <x:c r="E1549" s="18" t="n">
        <x:f>'Habilidades'!G617</x:f>
        <x:v>45</x:v>
      </x:c>
      <x:c r="F1549" s="18" t="n">
        <x:f>'Habilidades'!H617</x:f>
        <x:v>90</x:v>
      </x:c>
      <x:c r="G1549" s="18" t="n">
        <x:f>'Habilidades'!I617</x:f>
        <x:v>135</x:v>
      </x:c>
    </x:row>
    <x:row r="1550" ht="22" customHeight="1">
      <x:c r="A1550" s="19" t="n">
        <x:f>IF(B1550="","",IF(B1550=B1549,A1549,A1549+1))</x:f>
        <x:v>313</x:v>
      </x:c>
      <x:c r="B1550" s="20" t="str">
        <x:f>'Ranking'!C309</x:f>
        <x:v>Weepinbell</x:v>
      </x:c>
      <x:c r="C1550" s="20" t="str">
        <x:f>'Habilidades'!D618</x:f>
        <x:v>Acid</x:v>
      </x:c>
      <x:c r="D1550" s="20" t="str">
        <x:f>'Habilidades'!F618</x:f>
        <x:v>Especial</x:v>
      </x:c>
      <x:c r="E1550" s="21" t="n">
        <x:f>'Habilidades'!G618</x:f>
        <x:v>40</x:v>
      </x:c>
      <x:c r="F1550" s="21" t="n">
        <x:f>'Habilidades'!H618</x:f>
        <x:v>85</x:v>
      </x:c>
      <x:c r="G1550" s="21" t="n">
        <x:f>'Habilidades'!I618</x:f>
        <x:v>125</x:v>
      </x:c>
    </x:row>
    <x:row r="1551" ht="22" customHeight="1">
      <x:c r="A1551" s="17" t="n">
        <x:f>IF(B1551="","",IF(B1551=B1550,A1550,A1550+1))</x:f>
        <x:v>314</x:v>
      </x:c>
      <x:c r="B1551" s="1" t="str">
        <x:f>'Ranking'!C318</x:f>
        <x:v>Bulbasaur</x:v>
      </x:c>
      <x:c r="C1551" s="1" t="str">
        <x:f>'Habilidades'!D5</x:f>
        <x:v>Double-Edge</x:v>
      </x:c>
      <x:c r="D1551" s="1" t="str">
        <x:f>'Habilidades'!F5</x:f>
        <x:v>Física</x:v>
      </x:c>
      <x:c r="E1551" s="18" t="n">
        <x:f>'Habilidades'!G5</x:f>
        <x:v>120</x:v>
      </x:c>
      <x:c r="F1551" s="18" t="n">
        <x:f>'Habilidades'!H5</x:f>
        <x:v>49</x:v>
      </x:c>
      <x:c r="G1551" s="18" t="n">
        <x:f>'Habilidades'!I5</x:f>
        <x:v>169</x:v>
      </x:c>
    </x:row>
    <x:row r="1552" ht="22" customHeight="1">
      <x:c r="A1552" s="17" t="n">
        <x:f>IF(B1552="","",IF(B1552=B1551,A1551,A1551+1))</x:f>
        <x:v>314</x:v>
      </x:c>
      <x:c r="B1552" s="1" t="str">
        <x:f>'Ranking'!C318</x:f>
        <x:v>Bulbasaur</x:v>
      </x:c>
      <x:c r="C1552" s="1" t="str">
        <x:f>'Habilidades'!D6</x:f>
        <x:v>Take Down</x:v>
      </x:c>
      <x:c r="D1552" s="1" t="str">
        <x:f>'Habilidades'!F6</x:f>
        <x:v>Física</x:v>
      </x:c>
      <x:c r="E1552" s="18" t="n">
        <x:f>'Habilidades'!G6</x:f>
        <x:v>90</x:v>
      </x:c>
      <x:c r="F1552" s="18" t="n">
        <x:f>'Habilidades'!H6</x:f>
        <x:v>49</x:v>
      </x:c>
      <x:c r="G1552" s="18" t="n">
        <x:f>'Habilidades'!I6</x:f>
        <x:v>139</x:v>
      </x:c>
    </x:row>
    <x:row r="1553" ht="22" customHeight="1">
      <x:c r="A1553" s="17" t="n">
        <x:f>IF(B1553="","",IF(B1553=B1552,A1552,A1552+1))</x:f>
        <x:v>314</x:v>
      </x:c>
      <x:c r="B1553" s="1" t="str">
        <x:f>'Ranking'!C318</x:f>
        <x:v>Bulbasaur</x:v>
      </x:c>
      <x:c r="C1553" s="1" t="str">
        <x:f>'Habilidades'!D7</x:f>
        <x:v>Seed Bomb</x:v>
      </x:c>
      <x:c r="D1553" s="1" t="str">
        <x:f>'Habilidades'!F7</x:f>
        <x:v>Física</x:v>
      </x:c>
      <x:c r="E1553" s="18" t="n">
        <x:f>'Habilidades'!G7</x:f>
        <x:v>80</x:v>
      </x:c>
      <x:c r="F1553" s="18" t="n">
        <x:f>'Habilidades'!H7</x:f>
        <x:v>49</x:v>
      </x:c>
      <x:c r="G1553" s="18" t="n">
        <x:f>'Habilidades'!I7</x:f>
        <x:v>129</x:v>
      </x:c>
    </x:row>
    <x:row r="1554" ht="22" customHeight="1">
      <x:c r="A1554" s="17" t="n">
        <x:f>IF(B1554="","",IF(B1554=B1553,A1553,A1553+1))</x:f>
        <x:v>314</x:v>
      </x:c>
      <x:c r="B1554" s="1" t="str">
        <x:f>'Ranking'!C318</x:f>
        <x:v>Bulbasaur</x:v>
      </x:c>
      <x:c r="C1554" s="1" t="str">
        <x:f>'Habilidades'!D8</x:f>
        <x:v>Razor Leaf</x:v>
      </x:c>
      <x:c r="D1554" s="1" t="str">
        <x:f>'Habilidades'!F8</x:f>
        <x:v>Física</x:v>
      </x:c>
      <x:c r="E1554" s="18" t="n">
        <x:f>'Habilidades'!G8</x:f>
        <x:v>55</x:v>
      </x:c>
      <x:c r="F1554" s="18" t="n">
        <x:f>'Habilidades'!H8</x:f>
        <x:v>49</x:v>
      </x:c>
      <x:c r="G1554" s="18" t="n">
        <x:f>'Habilidades'!I8</x:f>
        <x:v>104</x:v>
      </x:c>
    </x:row>
    <x:row r="1555" ht="22" customHeight="1">
      <x:c r="A1555" s="19" t="n">
        <x:f>IF(B1555="","",IF(B1555=B1554,A1554,A1554+1))</x:f>
        <x:v>314</x:v>
      </x:c>
      <x:c r="B1555" s="20" t="str">
        <x:f>'Ranking'!C318</x:f>
        <x:v>Bulbasaur</x:v>
      </x:c>
      <x:c r="C1555" s="20" t="str">
        <x:f>'Habilidades'!D9</x:f>
        <x:v>Tackle</x:v>
      </x:c>
      <x:c r="D1555" s="20" t="str">
        <x:f>'Habilidades'!F9</x:f>
        <x:v>Física</x:v>
      </x:c>
      <x:c r="E1555" s="21" t="n">
        <x:f>'Habilidades'!G9</x:f>
        <x:v>50</x:v>
      </x:c>
      <x:c r="F1555" s="21" t="n">
        <x:f>'Habilidades'!H9</x:f>
        <x:v>49</x:v>
      </x:c>
      <x:c r="G1555" s="21" t="n">
        <x:f>'Habilidades'!I9</x:f>
        <x:v>99</x:v>
      </x:c>
    </x:row>
    <x:row r="1556" ht="22" customHeight="1">
      <x:c r="A1556" s="17" t="n">
        <x:f>IF(B1556="","",IF(B1556=B1555,A1555,A1555+1))</x:f>
        <x:v>315</x:v>
      </x:c>
      <x:c r="B1556" s="1" t="str">
        <x:f>'Ranking'!C319</x:f>
        <x:v>Chikorita</x:v>
      </x:c>
      <x:c r="C1556" s="1" t="str">
        <x:f>'Habilidades'!D1467</x:f>
        <x:v>Solar Beam</x:v>
      </x:c>
      <x:c r="D1556" s="1" t="str">
        <x:f>'Habilidades'!F1467</x:f>
        <x:v>Especial</x:v>
      </x:c>
      <x:c r="E1556" s="18" t="n">
        <x:f>'Habilidades'!G1467</x:f>
        <x:v>120</x:v>
      </x:c>
      <x:c r="F1556" s="18" t="n">
        <x:f>'Habilidades'!H1467</x:f>
        <x:v>49</x:v>
      </x:c>
      <x:c r="G1556" s="18" t="n">
        <x:f>'Habilidades'!I1467</x:f>
        <x:v>169</x:v>
      </x:c>
    </x:row>
    <x:row r="1557" ht="22" customHeight="1">
      <x:c r="A1557" s="17" t="n">
        <x:f>IF(B1557="","",IF(B1557=B1556,A1556,A1556+1))</x:f>
        <x:v>315</x:v>
      </x:c>
      <x:c r="B1557" s="1" t="str">
        <x:f>'Ranking'!C319</x:f>
        <x:v>Chikorita</x:v>
      </x:c>
      <x:c r="C1557" s="1" t="str">
        <x:f>'Habilidades'!D1468</x:f>
        <x:v>Body Slam</x:v>
      </x:c>
      <x:c r="D1557" s="1" t="str">
        <x:f>'Habilidades'!F1468</x:f>
        <x:v>Física</x:v>
      </x:c>
      <x:c r="E1557" s="18" t="n">
        <x:f>'Habilidades'!G1468</x:f>
        <x:v>85</x:v>
      </x:c>
      <x:c r="F1557" s="18" t="n">
        <x:f>'Habilidades'!H1468</x:f>
        <x:v>49</x:v>
      </x:c>
      <x:c r="G1557" s="18" t="n">
        <x:f>'Habilidades'!I1468</x:f>
        <x:v>134</x:v>
      </x:c>
    </x:row>
    <x:row r="1558" ht="22" customHeight="1">
      <x:c r="A1558" s="17" t="n">
        <x:f>IF(B1558="","",IF(B1558=B1557,A1557,A1557+1))</x:f>
        <x:v>315</x:v>
      </x:c>
      <x:c r="B1558" s="1" t="str">
        <x:f>'Ranking'!C319</x:f>
        <x:v>Chikorita</x:v>
      </x:c>
      <x:c r="C1558" s="1" t="str">
        <x:f>'Habilidades'!D1469</x:f>
        <x:v>Magical Leaf</x:v>
      </x:c>
      <x:c r="D1558" s="1" t="str">
        <x:f>'Habilidades'!F1469</x:f>
        <x:v>Especial</x:v>
      </x:c>
      <x:c r="E1558" s="18" t="n">
        <x:f>'Habilidades'!G1469</x:f>
        <x:v>60</x:v>
      </x:c>
      <x:c r="F1558" s="18" t="n">
        <x:f>'Habilidades'!H1469</x:f>
        <x:v>49</x:v>
      </x:c>
      <x:c r="G1558" s="18" t="n">
        <x:f>'Habilidades'!I1469</x:f>
        <x:v>109</x:v>
      </x:c>
    </x:row>
    <x:row r="1559" ht="22" customHeight="1">
      <x:c r="A1559" s="17" t="n">
        <x:f>IF(B1559="","",IF(B1559=B1558,A1558,A1558+1))</x:f>
        <x:v>315</x:v>
      </x:c>
      <x:c r="B1559" s="1" t="str">
        <x:f>'Ranking'!C319</x:f>
        <x:v>Chikorita</x:v>
      </x:c>
      <x:c r="C1559" s="1" t="str">
        <x:f>'Habilidades'!D1470</x:f>
        <x:v>Razor Leaf</x:v>
      </x:c>
      <x:c r="D1559" s="1" t="str">
        <x:f>'Habilidades'!F1470</x:f>
        <x:v>Física</x:v>
      </x:c>
      <x:c r="E1559" s="18" t="n">
        <x:f>'Habilidades'!G1470</x:f>
        <x:v>55</x:v>
      </x:c>
      <x:c r="F1559" s="18" t="n">
        <x:f>'Habilidades'!H1470</x:f>
        <x:v>49</x:v>
      </x:c>
      <x:c r="G1559" s="18" t="n">
        <x:f>'Habilidades'!I1470</x:f>
        <x:v>104</x:v>
      </x:c>
    </x:row>
    <x:row r="1560" ht="22" customHeight="1">
      <x:c r="A1560" s="19" t="n">
        <x:f>IF(B1560="","",IF(B1560=B1559,A1559,A1559+1))</x:f>
        <x:v>315</x:v>
      </x:c>
      <x:c r="B1560" s="20" t="str">
        <x:f>'Ranking'!C319</x:f>
        <x:v>Chikorita</x:v>
      </x:c>
      <x:c r="C1560" s="20" t="str">
        <x:f>'Habilidades'!D1471</x:f>
        <x:v>Tackle</x:v>
      </x:c>
      <x:c r="D1560" s="20" t="str">
        <x:f>'Habilidades'!F1471</x:f>
        <x:v>Física</x:v>
      </x:c>
      <x:c r="E1560" s="21" t="n">
        <x:f>'Habilidades'!G1471</x:f>
        <x:v>50</x:v>
      </x:c>
      <x:c r="F1560" s="21" t="n">
        <x:f>'Habilidades'!H1471</x:f>
        <x:v>49</x:v>
      </x:c>
      <x:c r="G1560" s="21" t="n">
        <x:f>'Habilidades'!I1471</x:f>
        <x:v>99</x:v>
      </x:c>
    </x:row>
    <x:row r="1561" ht="22" customHeight="1">
      <x:c r="A1561" s="17" t="n">
        <x:f>IF(B1561="","",IF(B1561=B1560,A1560,A1560+1))</x:f>
        <x:v>316</x:v>
      </x:c>
      <x:c r="B1561" s="1" t="str">
        <x:f>'Ranking'!C320</x:f>
        <x:v>Simisear</x:v>
      </x:c>
      <x:c r="C1561" s="1" t="str">
        <x:f>'Habilidades'!D3396</x:f>
        <x:v>Flame Burst</x:v>
      </x:c>
      <x:c r="D1561" s="1" t="str">
        <x:f>'Habilidades'!F3396</x:f>
        <x:v>Especial</x:v>
      </x:c>
      <x:c r="E1561" s="18" t="n">
        <x:f>'Habilidades'!G3396</x:f>
        <x:v>70</x:v>
      </x:c>
      <x:c r="F1561" s="18" t="n">
        <x:f>'Habilidades'!H3396</x:f>
        <x:v>98</x:v>
      </x:c>
      <x:c r="G1561" s="18" t="n">
        <x:f>'Habilidades'!I3396</x:f>
        <x:v>168</x:v>
      </x:c>
    </x:row>
    <x:row r="1562" ht="22" customHeight="1">
      <x:c r="A1562" s="17" t="n">
        <x:f>IF(B1562="","",IF(B1562=B1561,A1561,A1561+1))</x:f>
        <x:v>316</x:v>
      </x:c>
      <x:c r="B1562" s="1" t="str">
        <x:f>'Ranking'!C320</x:f>
        <x:v>Simisear</x:v>
      </x:c>
      <x:c r="C1562" s="1" t="str">
        <x:f>'Habilidades'!D3397</x:f>
        <x:v>Lick</x:v>
      </x:c>
      <x:c r="D1562" s="1" t="str">
        <x:f>'Habilidades'!F3397</x:f>
        <x:v>Física</x:v>
      </x:c>
      <x:c r="E1562" s="18" t="n">
        <x:f>'Habilidades'!G3397</x:f>
        <x:v>30</x:v>
      </x:c>
      <x:c r="F1562" s="18" t="n">
        <x:f>'Habilidades'!H3397</x:f>
        <x:v>98</x:v>
      </x:c>
      <x:c r="G1562" s="18" t="n">
        <x:f>'Habilidades'!I3397</x:f>
        <x:v>128</x:v>
      </x:c>
    </x:row>
    <x:row r="1563" ht="22" customHeight="1">
      <x:c r="A1563" s="19" t="n">
        <x:f>IF(B1563="","",IF(B1563=B1562,A1562,A1562+1))</x:f>
        <x:v>316</x:v>
      </x:c>
      <x:c r="B1563" s="20" t="str">
        <x:f>'Ranking'!C320</x:f>
        <x:v>Simisear</x:v>
      </x:c>
      <x:c r="C1563" s="20" t="str">
        <x:f>'Habilidades'!D3398</x:f>
        <x:v>Fury Swipes</x:v>
      </x:c>
      <x:c r="D1563" s="20" t="str">
        <x:f>'Habilidades'!F3398</x:f>
        <x:v>Física</x:v>
      </x:c>
      <x:c r="E1563" s="21" t="n">
        <x:f>'Habilidades'!G3398</x:f>
        <x:v>18</x:v>
      </x:c>
      <x:c r="F1563" s="21" t="n">
        <x:f>'Habilidades'!H3398</x:f>
        <x:v>98</x:v>
      </x:c>
      <x:c r="G1563" s="21" t="n">
        <x:f>'Habilidades'!I3398</x:f>
        <x:v>116</x:v>
      </x:c>
    </x:row>
    <x:row r="1564" ht="22" customHeight="1">
      <x:c r="A1564" s="17" t="n">
        <x:f>IF(B1564="","",IF(B1564=B1563,A1563,A1563+1))</x:f>
        <x:v>317</x:v>
      </x:c>
      <x:c r="B1564" s="1" t="str">
        <x:f>'Ranking'!C321</x:f>
        <x:v>Tirtouga</x:v>
      </x:c>
      <x:c r="C1564" s="1" t="str">
        <x:f>'Habilidades'!D3442</x:f>
        <x:v>Aqua Tail</x:v>
      </x:c>
      <x:c r="D1564" s="1" t="str">
        <x:f>'Habilidades'!F3442</x:f>
        <x:v>Física</x:v>
      </x:c>
      <x:c r="E1564" s="18" t="n">
        <x:f>'Habilidades'!G3442</x:f>
        <x:v>90</x:v>
      </x:c>
      <x:c r="F1564" s="18" t="n">
        <x:f>'Habilidades'!H3442</x:f>
        <x:v>78</x:v>
      </x:c>
      <x:c r="G1564" s="18" t="n">
        <x:f>'Habilidades'!I3442</x:f>
        <x:v>168</x:v>
      </x:c>
    </x:row>
    <x:row r="1565" ht="22" customHeight="1">
      <x:c r="A1565" s="17" t="n">
        <x:f>IF(B1565="","",IF(B1565=B1564,A1564,A1564+1))</x:f>
        <x:v>317</x:v>
      </x:c>
      <x:c r="B1565" s="1" t="str">
        <x:f>'Ranking'!C321</x:f>
        <x:v>Tirtouga</x:v>
      </x:c>
      <x:c r="C1565" s="1" t="str">
        <x:f>'Habilidades'!D3443</x:f>
        <x:v>Hydro Pump</x:v>
      </x:c>
      <x:c r="D1565" s="1" t="str">
        <x:f>'Habilidades'!F3443</x:f>
        <x:v>Especial</x:v>
      </x:c>
      <x:c r="E1565" s="18" t="n">
        <x:f>'Habilidades'!G3443</x:f>
        <x:v>110</x:v>
      </x:c>
      <x:c r="F1565" s="18" t="n">
        <x:f>'Habilidades'!H3443</x:f>
        <x:v>53</x:v>
      </x:c>
      <x:c r="G1565" s="18" t="n">
        <x:f>'Habilidades'!I3443</x:f>
        <x:v>163</x:v>
      </x:c>
    </x:row>
    <x:row r="1566" ht="22" customHeight="1">
      <x:c r="A1566" s="17" t="n">
        <x:f>IF(B1566="","",IF(B1566=B1565,A1565,A1565+1))</x:f>
        <x:v>317</x:v>
      </x:c>
      <x:c r="B1566" s="1" t="str">
        <x:f>'Ranking'!C321</x:f>
        <x:v>Tirtouga</x:v>
      </x:c>
      <x:c r="C1566" s="1" t="str">
        <x:f>'Habilidades'!D3444</x:f>
        <x:v>Crunch</x:v>
      </x:c>
      <x:c r="D1566" s="1" t="str">
        <x:f>'Habilidades'!F3444</x:f>
        <x:v>Física</x:v>
      </x:c>
      <x:c r="E1566" s="18" t="n">
        <x:f>'Habilidades'!G3444</x:f>
        <x:v>80</x:v>
      </x:c>
      <x:c r="F1566" s="18" t="n">
        <x:f>'Habilidades'!H3444</x:f>
        <x:v>78</x:v>
      </x:c>
      <x:c r="G1566" s="18" t="n">
        <x:f>'Habilidades'!I3444</x:f>
        <x:v>158</x:v>
      </x:c>
    </x:row>
    <x:row r="1567" ht="22" customHeight="1">
      <x:c r="A1567" s="17" t="n">
        <x:f>IF(B1567="","",IF(B1567=B1566,A1566,A1566+1))</x:f>
        <x:v>317</x:v>
      </x:c>
      <x:c r="B1567" s="1" t="str">
        <x:f>'Ranking'!C321</x:f>
        <x:v>Tirtouga</x:v>
      </x:c>
      <x:c r="C1567" s="1" t="str">
        <x:f>'Habilidades'!D3445</x:f>
        <x:v>Rock Slide</x:v>
      </x:c>
      <x:c r="D1567" s="1" t="str">
        <x:f>'Habilidades'!F3445</x:f>
        <x:v>Física</x:v>
      </x:c>
      <x:c r="E1567" s="18" t="n">
        <x:f>'Habilidades'!G3445</x:f>
        <x:v>75</x:v>
      </x:c>
      <x:c r="F1567" s="18" t="n">
        <x:f>'Habilidades'!H3445</x:f>
        <x:v>78</x:v>
      </x:c>
      <x:c r="G1567" s="18" t="n">
        <x:f>'Habilidades'!I3445</x:f>
        <x:v>153</x:v>
      </x:c>
    </x:row>
    <x:row r="1568" ht="22" customHeight="1">
      <x:c r="A1568" s="19" t="n">
        <x:f>IF(B1568="","",IF(B1568=B1567,A1567,A1567+1))</x:f>
        <x:v>317</x:v>
      </x:c>
      <x:c r="B1568" s="20" t="str">
        <x:f>'Ranking'!C321</x:f>
        <x:v>Tirtouga</x:v>
      </x:c>
      <x:c r="C1568" s="20" t="str">
        <x:f>'Habilidades'!D3448</x:f>
        <x:v>Brine</x:v>
      </x:c>
      <x:c r="D1568" s="20" t="str">
        <x:f>'Habilidades'!F3448</x:f>
        <x:v>Especial</x:v>
      </x:c>
      <x:c r="E1568" s="21" t="n">
        <x:f>'Habilidades'!G3448</x:f>
        <x:v>65</x:v>
      </x:c>
      <x:c r="F1568" s="21" t="n">
        <x:f>'Habilidades'!H3448</x:f>
        <x:v>53</x:v>
      </x:c>
      <x:c r="G1568" s="21" t="n">
        <x:f>'Habilidades'!I3448</x:f>
        <x:v>118</x:v>
      </x:c>
    </x:row>
    <x:row r="1569" ht="22" customHeight="1">
      <x:c r="A1569" s="17" t="n">
        <x:f>IF(B1569="","",IF(B1569=B1568,A1568,A1568+1))</x:f>
        <x:v>318</x:v>
      </x:c>
      <x:c r="B1569" s="1" t="str">
        <x:f>'Ranking'!C322</x:f>
        <x:v>Pancham</x:v>
      </x:c>
      <x:c r="C1569" s="1" t="str">
        <x:f>'Habilidades'!D3670</x:f>
        <x:v>Body Slam</x:v>
      </x:c>
      <x:c r="D1569" s="1" t="str">
        <x:f>'Habilidades'!F3670</x:f>
        <x:v>Física</x:v>
      </x:c>
      <x:c r="E1569" s="18" t="n">
        <x:f>'Habilidades'!G3670</x:f>
        <x:v>85</x:v>
      </x:c>
      <x:c r="F1569" s="18" t="n">
        <x:f>'Habilidades'!H3670</x:f>
        <x:v>82</x:v>
      </x:c>
      <x:c r="G1569" s="18" t="n">
        <x:f>'Habilidades'!I3670</x:f>
        <x:v>167</x:v>
      </x:c>
    </x:row>
    <x:row r="1570" ht="22" customHeight="1">
      <x:c r="A1570" s="17" t="n">
        <x:f>IF(B1570="","",IF(B1570=B1569,A1569,A1569+1))</x:f>
        <x:v>318</x:v>
      </x:c>
      <x:c r="B1570" s="1" t="str">
        <x:f>'Ranking'!C322</x:f>
        <x:v>Pancham</x:v>
      </x:c>
      <x:c r="C1570" s="1" t="str">
        <x:f>'Habilidades'!D3671</x:f>
        <x:v>Sky Uppercut</x:v>
      </x:c>
      <x:c r="D1570" s="1" t="str">
        <x:f>'Habilidades'!F3671</x:f>
        <x:v>Física</x:v>
      </x:c>
      <x:c r="E1570" s="18" t="n">
        <x:f>'Habilidades'!G3671</x:f>
        <x:v>85</x:v>
      </x:c>
      <x:c r="F1570" s="18" t="n">
        <x:f>'Habilidades'!H3671</x:f>
        <x:v>82</x:v>
      </x:c>
      <x:c r="G1570" s="18" t="n">
        <x:f>'Habilidades'!I3671</x:f>
        <x:v>167</x:v>
      </x:c>
    </x:row>
    <x:row r="1571" ht="22" customHeight="1">
      <x:c r="A1571" s="17" t="n">
        <x:f>IF(B1571="","",IF(B1571=B1570,A1570,A1570+1))</x:f>
        <x:v>318</x:v>
      </x:c>
      <x:c r="B1571" s="1" t="str">
        <x:f>'Ranking'!C322</x:f>
        <x:v>Pancham</x:v>
      </x:c>
      <x:c r="C1571" s="1" t="str">
        <x:f>'Habilidades'!D3672</x:f>
        <x:v>Crunch</x:v>
      </x:c>
      <x:c r="D1571" s="1" t="str">
        <x:f>'Habilidades'!F3672</x:f>
        <x:v>Física</x:v>
      </x:c>
      <x:c r="E1571" s="18" t="n">
        <x:f>'Habilidades'!G3672</x:f>
        <x:v>80</x:v>
      </x:c>
      <x:c r="F1571" s="18" t="n">
        <x:f>'Habilidades'!H3672</x:f>
        <x:v>82</x:v>
      </x:c>
      <x:c r="G1571" s="18" t="n">
        <x:f>'Habilidades'!I3672</x:f>
        <x:v>162</x:v>
      </x:c>
    </x:row>
    <x:row r="1572" ht="22" customHeight="1">
      <x:c r="A1572" s="17" t="n">
        <x:f>IF(B1572="","",IF(B1572=B1571,A1571,A1571+1))</x:f>
        <x:v>318</x:v>
      </x:c>
      <x:c r="B1572" s="1" t="str">
        <x:f>'Ranking'!C322</x:f>
        <x:v>Pancham</x:v>
      </x:c>
      <x:c r="C1572" s="1" t="str">
        <x:f>'Habilidades'!D3673</x:f>
        <x:v>Slash</x:v>
      </x:c>
      <x:c r="D1572" s="1" t="str">
        <x:f>'Habilidades'!F3673</x:f>
        <x:v>Física</x:v>
      </x:c>
      <x:c r="E1572" s="18" t="n">
        <x:f>'Habilidades'!G3673</x:f>
        <x:v>70</x:v>
      </x:c>
      <x:c r="F1572" s="18" t="n">
        <x:f>'Habilidades'!H3673</x:f>
        <x:v>82</x:v>
      </x:c>
      <x:c r="G1572" s="18" t="n">
        <x:f>'Habilidades'!I3673</x:f>
        <x:v>152</x:v>
      </x:c>
    </x:row>
    <x:row r="1573" ht="22" customHeight="1">
      <x:c r="A1573" s="19" t="n">
        <x:f>IF(B1573="","",IF(B1573=B1572,A1572,A1572+1))</x:f>
        <x:v>318</x:v>
      </x:c>
      <x:c r="B1573" s="20" t="str">
        <x:f>'Ranking'!C322</x:f>
        <x:v>Pancham</x:v>
      </x:c>
      <x:c r="C1573" s="20" t="str">
        <x:f>'Habilidades'!D3674</x:f>
        <x:v>Vital Throw</x:v>
      </x:c>
      <x:c r="D1573" s="20" t="str">
        <x:f>'Habilidades'!F3674</x:f>
        <x:v>Física</x:v>
      </x:c>
      <x:c r="E1573" s="21" t="n">
        <x:f>'Habilidades'!G3674</x:f>
        <x:v>70</x:v>
      </x:c>
      <x:c r="F1573" s="21" t="n">
        <x:f>'Habilidades'!H3674</x:f>
        <x:v>82</x:v>
      </x:c>
      <x:c r="G1573" s="21" t="n">
        <x:f>'Habilidades'!I3674</x:f>
        <x:v>152</x:v>
      </x:c>
    </x:row>
    <x:row r="1574" ht="22" customHeight="1">
      <x:c r="A1574" s="17" t="n">
        <x:f>IF(B1574="","",IF(B1574=B1573,A1573,A1573+1))</x:f>
        <x:v>319</x:v>
      </x:c>
      <x:c r="B1574" s="1" t="str">
        <x:f>'Ranking'!C324</x:f>
        <x:v>Barboach</x:v>
      </x:c>
      <x:c r="C1574" s="1" t="str">
        <x:f>'Habilidades'!D2897</x:f>
        <x:v>Future Sight</x:v>
      </x:c>
      <x:c r="D1574" s="1" t="str">
        <x:f>'Habilidades'!F2897</x:f>
        <x:v>Especial</x:v>
      </x:c>
      <x:c r="E1574" s="18" t="n">
        <x:f>'Habilidades'!G2897</x:f>
        <x:v>120</x:v>
      </x:c>
      <x:c r="F1574" s="18" t="n">
        <x:f>'Habilidades'!H2897</x:f>
        <x:v>46</x:v>
      </x:c>
      <x:c r="G1574" s="18" t="n">
        <x:f>'Habilidades'!I2897</x:f>
        <x:v>166</x:v>
      </x:c>
    </x:row>
    <x:row r="1575" ht="22" customHeight="1">
      <x:c r="A1575" s="17" t="n">
        <x:f>IF(B1575="","",IF(B1575=B1574,A1574,A1574+1))</x:f>
        <x:v>319</x:v>
      </x:c>
      <x:c r="B1575" s="1" t="str">
        <x:f>'Ranking'!C324</x:f>
        <x:v>Barboach</x:v>
      </x:c>
      <x:c r="C1575" s="1" t="str">
        <x:f>'Habilidades'!D2898</x:f>
        <x:v>Earthquake</x:v>
      </x:c>
      <x:c r="D1575" s="1" t="str">
        <x:f>'Habilidades'!F2898</x:f>
        <x:v>Física</x:v>
      </x:c>
      <x:c r="E1575" s="18" t="n">
        <x:f>'Habilidades'!G2898</x:f>
        <x:v>100</x:v>
      </x:c>
      <x:c r="F1575" s="18" t="n">
        <x:f>'Habilidades'!H2898</x:f>
        <x:v>48</x:v>
      </x:c>
      <x:c r="G1575" s="18" t="n">
        <x:f>'Habilidades'!I2898</x:f>
        <x:v>148</x:v>
      </x:c>
    </x:row>
    <x:row r="1576" ht="22" customHeight="1">
      <x:c r="A1576" s="17" t="n">
        <x:f>IF(B1576="","",IF(B1576=B1575,A1575,A1575+1))</x:f>
        <x:v>319</x:v>
      </x:c>
      <x:c r="B1576" s="1" t="str">
        <x:f>'Ranking'!C324</x:f>
        <x:v>Barboach</x:v>
      </x:c>
      <x:c r="C1576" s="1" t="str">
        <x:f>'Habilidades'!D2899</x:f>
        <x:v>Aqua Tail</x:v>
      </x:c>
      <x:c r="D1576" s="1" t="str">
        <x:f>'Habilidades'!F2899</x:f>
        <x:v>Física</x:v>
      </x:c>
      <x:c r="E1576" s="18" t="n">
        <x:f>'Habilidades'!G2899</x:f>
        <x:v>90</x:v>
      </x:c>
      <x:c r="F1576" s="18" t="n">
        <x:f>'Habilidades'!H2899</x:f>
        <x:v>48</x:v>
      </x:c>
      <x:c r="G1576" s="18" t="n">
        <x:f>'Habilidades'!I2899</x:f>
        <x:v>138</x:v>
      </x:c>
    </x:row>
    <x:row r="1577" ht="22" customHeight="1">
      <x:c r="A1577" s="17" t="n">
        <x:f>IF(B1577="","",IF(B1577=B1576,A1576,A1576+1))</x:f>
        <x:v>319</x:v>
      </x:c>
      <x:c r="B1577" s="1" t="str">
        <x:f>'Ranking'!C324</x:f>
        <x:v>Barboach</x:v>
      </x:c>
      <x:c r="C1577" s="1" t="str">
        <x:f>'Habilidades'!D2900</x:f>
        <x:v>Muddy Water</x:v>
      </x:c>
      <x:c r="D1577" s="1" t="str">
        <x:f>'Habilidades'!F2900</x:f>
        <x:v>Especial</x:v>
      </x:c>
      <x:c r="E1577" s="18" t="n">
        <x:f>'Habilidades'!G2900</x:f>
        <x:v>90</x:v>
      </x:c>
      <x:c r="F1577" s="18" t="n">
        <x:f>'Habilidades'!H2900</x:f>
        <x:v>46</x:v>
      </x:c>
      <x:c r="G1577" s="18" t="n">
        <x:f>'Habilidades'!I2900</x:f>
        <x:v>136</x:v>
      </x:c>
    </x:row>
    <x:row r="1578" ht="22" customHeight="1">
      <x:c r="A1578" s="19" t="n">
        <x:f>IF(B1578="","",IF(B1578=B1577,A1577,A1577+1))</x:f>
        <x:v>319</x:v>
      </x:c>
      <x:c r="B1578" s="20" t="str">
        <x:f>'Ranking'!C324</x:f>
        <x:v>Barboach</x:v>
      </x:c>
      <x:c r="C1578" s="20" t="str">
        <x:f>'Habilidades'!D2901</x:f>
        <x:v>Mud Bomb</x:v>
      </x:c>
      <x:c r="D1578" s="20" t="str">
        <x:f>'Habilidades'!F2901</x:f>
        <x:v>Especial</x:v>
      </x:c>
      <x:c r="E1578" s="21" t="n">
        <x:f>'Habilidades'!G2901</x:f>
        <x:v>65</x:v>
      </x:c>
      <x:c r="F1578" s="21" t="n">
        <x:f>'Habilidades'!H2901</x:f>
        <x:v>46</x:v>
      </x:c>
      <x:c r="G1578" s="21" t="n">
        <x:f>'Habilidades'!I2901</x:f>
        <x:v>111</x:v>
      </x:c>
    </x:row>
    <x:row r="1579" ht="22" customHeight="1">
      <x:c r="A1579" s="17" t="n">
        <x:f>IF(B1579="","",IF(B1579=B1578,A1578,A1578+1))</x:f>
        <x:v>320</x:v>
      </x:c>
      <x:c r="B1579" s="1" t="str">
        <x:f>'Ranking'!C323</x:f>
        <x:v>Chinchou</x:v>
      </x:c>
      <x:c r="C1579" s="1" t="str">
        <x:f>'Habilidades'!D1647</x:f>
        <x:v>Hydro Pump</x:v>
      </x:c>
      <x:c r="D1579" s="1" t="str">
        <x:f>'Habilidades'!F1647</x:f>
        <x:v>Especial</x:v>
      </x:c>
      <x:c r="E1579" s="18" t="n">
        <x:f>'Habilidades'!G1647</x:f>
        <x:v>110</x:v>
      </x:c>
      <x:c r="F1579" s="18" t="n">
        <x:f>'Habilidades'!H1647</x:f>
        <x:v>56</x:v>
      </x:c>
      <x:c r="G1579" s="18" t="n">
        <x:f>'Habilidades'!I1647</x:f>
        <x:v>166</x:v>
      </x:c>
    </x:row>
    <x:row r="1580" ht="22" customHeight="1">
      <x:c r="A1580" s="17" t="n">
        <x:f>IF(B1580="","",IF(B1580=B1579,A1579,A1579+1))</x:f>
        <x:v>320</x:v>
      </x:c>
      <x:c r="B1580" s="1" t="str">
        <x:f>'Ranking'!C323</x:f>
        <x:v>Chinchou</x:v>
      </x:c>
      <x:c r="C1580" s="1" t="str">
        <x:f>'Habilidades'!D1648</x:f>
        <x:v>Discharge</x:v>
      </x:c>
      <x:c r="D1580" s="1" t="str">
        <x:f>'Habilidades'!F1648</x:f>
        <x:v>Especial</x:v>
      </x:c>
      <x:c r="E1580" s="18" t="n">
        <x:f>'Habilidades'!G1648</x:f>
        <x:v>80</x:v>
      </x:c>
      <x:c r="F1580" s="18" t="n">
        <x:f>'Habilidades'!H1648</x:f>
        <x:v>56</x:v>
      </x:c>
      <x:c r="G1580" s="18" t="n">
        <x:f>'Habilidades'!I1648</x:f>
        <x:v>136</x:v>
      </x:c>
    </x:row>
    <x:row r="1581" ht="22" customHeight="1">
      <x:c r="A1581" s="17" t="n">
        <x:f>IF(B1581="","",IF(B1581=B1580,A1580,A1580+1))</x:f>
        <x:v>320</x:v>
      </x:c>
      <x:c r="B1581" s="1" t="str">
        <x:f>'Ranking'!C323</x:f>
        <x:v>Chinchou</x:v>
      </x:c>
      <x:c r="C1581" s="1" t="str">
        <x:f>'Habilidades'!D1649</x:f>
        <x:v>Signal Beam</x:v>
      </x:c>
      <x:c r="D1581" s="1" t="str">
        <x:f>'Habilidades'!F1649</x:f>
        <x:v>Especial</x:v>
      </x:c>
      <x:c r="E1581" s="18" t="n">
        <x:f>'Habilidades'!G1649</x:f>
        <x:v>75</x:v>
      </x:c>
      <x:c r="F1581" s="18" t="n">
        <x:f>'Habilidades'!H1649</x:f>
        <x:v>56</x:v>
      </x:c>
      <x:c r="G1581" s="18" t="n">
        <x:f>'Habilidades'!I1649</x:f>
        <x:v>131</x:v>
      </x:c>
    </x:row>
    <x:row r="1582" ht="22" customHeight="1">
      <x:c r="A1582" s="17" t="n">
        <x:f>IF(B1582="","",IF(B1582=B1581,A1581,A1581+1))</x:f>
        <x:v>320</x:v>
      </x:c>
      <x:c r="B1582" s="1" t="str">
        <x:f>'Ranking'!C323</x:f>
        <x:v>Chinchou</x:v>
      </x:c>
      <x:c r="C1582" s="1" t="str">
        <x:f>'Habilidades'!D1650</x:f>
        <x:v>Take Down</x:v>
      </x:c>
      <x:c r="D1582" s="1" t="str">
        <x:f>'Habilidades'!F1650</x:f>
        <x:v>Física</x:v>
      </x:c>
      <x:c r="E1582" s="18" t="n">
        <x:f>'Habilidades'!G1650</x:f>
        <x:v>90</x:v>
      </x:c>
      <x:c r="F1582" s="18" t="n">
        <x:f>'Habilidades'!H1650</x:f>
        <x:v>38</x:v>
      </x:c>
      <x:c r="G1582" s="18" t="n">
        <x:f>'Habilidades'!I1650</x:f>
        <x:v>128</x:v>
      </x:c>
    </x:row>
    <x:row r="1583" ht="22" customHeight="1">
      <x:c r="A1583" s="19" t="n">
        <x:f>IF(B1583="","",IF(B1583=B1582,A1582,A1582+1))</x:f>
        <x:v>320</x:v>
      </x:c>
      <x:c r="B1583" s="20" t="str">
        <x:f>'Ranking'!C323</x:f>
        <x:v>Chinchou</x:v>
      </x:c>
      <x:c r="C1583" s="20" t="str">
        <x:f>'Habilidades'!D1651</x:f>
        <x:v>Bubble Beam</x:v>
      </x:c>
      <x:c r="D1583" s="20" t="str">
        <x:f>'Habilidades'!F1651</x:f>
        <x:v>Especial</x:v>
      </x:c>
      <x:c r="E1583" s="21" t="n">
        <x:f>'Habilidades'!G1651</x:f>
        <x:v>65</x:v>
      </x:c>
      <x:c r="F1583" s="21" t="n">
        <x:f>'Habilidades'!H1651</x:f>
        <x:v>56</x:v>
      </x:c>
      <x:c r="G1583" s="21" t="n">
        <x:f>'Habilidades'!I1651</x:f>
        <x:v>121</x:v>
      </x:c>
    </x:row>
    <x:row r="1584" ht="22" customHeight="1">
      <x:c r="A1584" s="17" t="n">
        <x:f>IF(B1584="","",IF(B1584=B1583,A1583,A1583+1))</x:f>
        <x:v>321</x:v>
      </x:c>
      <x:c r="B1584" s="1" t="str">
        <x:f>'Ranking'!C331</x:f>
        <x:v>Jigglypuff</x:v>
      </x:c>
      <x:c r="C1584" s="1" t="str">
        <x:f>'Habilidades'!D325</x:f>
        <x:v>Double-Edge</x:v>
      </x:c>
      <x:c r="D1584" s="1" t="str">
        <x:f>'Habilidades'!F325</x:f>
        <x:v>Física</x:v>
      </x:c>
      <x:c r="E1584" s="18" t="n">
        <x:f>'Habilidades'!G325</x:f>
        <x:v>120</x:v>
      </x:c>
      <x:c r="F1584" s="18" t="n">
        <x:f>'Habilidades'!H325</x:f>
        <x:v>45</x:v>
      </x:c>
      <x:c r="G1584" s="18" t="n">
        <x:f>'Habilidades'!I325</x:f>
        <x:v>165</x:v>
      </x:c>
    </x:row>
    <x:row r="1585" ht="22" customHeight="1">
      <x:c r="A1585" s="17" t="n">
        <x:f>IF(B1585="","",IF(B1585=B1584,A1584,A1584+1))</x:f>
        <x:v>321</x:v>
      </x:c>
      <x:c r="B1585" s="1" t="str">
        <x:f>'Ranking'!C331</x:f>
        <x:v>Jigglypuff</x:v>
      </x:c>
      <x:c r="C1585" s="1" t="str">
        <x:f>'Habilidades'!D326</x:f>
        <x:v>Hyper Voice</x:v>
      </x:c>
      <x:c r="D1585" s="1" t="str">
        <x:f>'Habilidades'!F326</x:f>
        <x:v>Especial</x:v>
      </x:c>
      <x:c r="E1585" s="18" t="n">
        <x:f>'Habilidades'!G326</x:f>
        <x:v>90</x:v>
      </x:c>
      <x:c r="F1585" s="18" t="n">
        <x:f>'Habilidades'!H326</x:f>
        <x:v>45</x:v>
      </x:c>
      <x:c r="G1585" s="18" t="n">
        <x:f>'Habilidades'!I326</x:f>
        <x:v>135</x:v>
      </x:c>
    </x:row>
    <x:row r="1586" ht="22" customHeight="1">
      <x:c r="A1586" s="17" t="n">
        <x:f>IF(B1586="","",IF(B1586=B1585,A1585,A1585+1))</x:f>
        <x:v>321</x:v>
      </x:c>
      <x:c r="B1586" s="1" t="str">
        <x:f>'Ranking'!C331</x:f>
        <x:v>Jigglypuff</x:v>
      </x:c>
      <x:c r="C1586" s="1" t="str">
        <x:f>'Habilidades'!D327</x:f>
        <x:v>Body Slam</x:v>
      </x:c>
      <x:c r="D1586" s="1" t="str">
        <x:f>'Habilidades'!F327</x:f>
        <x:v>Física</x:v>
      </x:c>
      <x:c r="E1586" s="18" t="n">
        <x:f>'Habilidades'!G327</x:f>
        <x:v>85</x:v>
      </x:c>
      <x:c r="F1586" s="18" t="n">
        <x:f>'Habilidades'!H327</x:f>
        <x:v>45</x:v>
      </x:c>
      <x:c r="G1586" s="18" t="n">
        <x:f>'Habilidades'!I327</x:f>
        <x:v>130</x:v>
      </x:c>
    </x:row>
    <x:row r="1587" ht="22" customHeight="1">
      <x:c r="A1587" s="17" t="n">
        <x:f>IF(B1587="","",IF(B1587=B1586,A1586,A1586+1))</x:f>
        <x:v>321</x:v>
      </x:c>
      <x:c r="B1587" s="1" t="str">
        <x:f>'Ranking'!C331</x:f>
        <x:v>Jigglypuff</x:v>
      </x:c>
      <x:c r="C1587" s="1" t="str">
        <x:f>'Habilidades'!D328</x:f>
        <x:v>Wake-Up Slap</x:v>
      </x:c>
      <x:c r="D1587" s="1" t="str">
        <x:f>'Habilidades'!F328</x:f>
        <x:v>Física</x:v>
      </x:c>
      <x:c r="E1587" s="18" t="n">
        <x:f>'Habilidades'!G328</x:f>
        <x:v>70</x:v>
      </x:c>
      <x:c r="F1587" s="18" t="n">
        <x:f>'Habilidades'!H328</x:f>
        <x:v>45</x:v>
      </x:c>
      <x:c r="G1587" s="18" t="n">
        <x:f>'Habilidades'!I328</x:f>
        <x:v>115</x:v>
      </x:c>
    </x:row>
    <x:row r="1588" ht="22" customHeight="1">
      <x:c r="A1588" s="19" t="n">
        <x:f>IF(B1588="","",IF(B1588=B1587,A1587,A1587+1))</x:f>
        <x:v>321</x:v>
      </x:c>
      <x:c r="B1588" s="20" t="str">
        <x:f>'Ranking'!C331</x:f>
        <x:v>Jigglypuff</x:v>
      </x:c>
      <x:c r="C1588" s="20" t="str">
        <x:f>'Habilidades'!D329</x:f>
        <x:v>Round</x:v>
      </x:c>
      <x:c r="D1588" s="20" t="str">
        <x:f>'Habilidades'!F329</x:f>
        <x:v>Especial</x:v>
      </x:c>
      <x:c r="E1588" s="21" t="n">
        <x:f>'Habilidades'!G329</x:f>
        <x:v>60</x:v>
      </x:c>
      <x:c r="F1588" s="21" t="n">
        <x:f>'Habilidades'!H329</x:f>
        <x:v>45</x:v>
      </x:c>
      <x:c r="G1588" s="21" t="n">
        <x:f>'Habilidades'!I329</x:f>
        <x:v>105</x:v>
      </x:c>
    </x:row>
    <x:row r="1589" ht="22" customHeight="1">
      <x:c r="A1589" s="17" t="n">
        <x:f>IF(B1589="","",IF(B1589=B1588,A1588,A1588+1))</x:f>
        <x:v>322</x:v>
      </x:c>
      <x:c r="B1589" s="1" t="str">
        <x:f>'Ranking'!C327</x:f>
        <x:v>Miltank</x:v>
      </x:c>
      <x:c r="C1589" s="1" t="str">
        <x:f>'Habilidades'!D2246</x:f>
        <x:v>Body Slam</x:v>
      </x:c>
      <x:c r="D1589" s="1" t="str">
        <x:f>'Habilidades'!F2246</x:f>
        <x:v>Física</x:v>
      </x:c>
      <x:c r="E1589" s="18" t="n">
        <x:f>'Habilidades'!G2246</x:f>
        <x:v>85</x:v>
      </x:c>
      <x:c r="F1589" s="18" t="n">
        <x:f>'Habilidades'!H2246</x:f>
        <x:v>80</x:v>
      </x:c>
      <x:c r="G1589" s="18" t="n">
        <x:f>'Habilidades'!I2246</x:f>
        <x:v>165</x:v>
      </x:c>
    </x:row>
    <x:row r="1590" ht="22" customHeight="1">
      <x:c r="A1590" s="17" t="n">
        <x:f>IF(B1590="","",IF(B1590=B1589,A1589,A1589+1))</x:f>
        <x:v>322</x:v>
      </x:c>
      <x:c r="B1590" s="1" t="str">
        <x:f>'Ranking'!C327</x:f>
        <x:v>Miltank</x:v>
      </x:c>
      <x:c r="C1590" s="1" t="str">
        <x:f>'Habilidades'!D2247</x:f>
        <x:v>Zen Headbutt</x:v>
      </x:c>
      <x:c r="D1590" s="1" t="str">
        <x:f>'Habilidades'!F2247</x:f>
        <x:v>Física</x:v>
      </x:c>
      <x:c r="E1590" s="18" t="n">
        <x:f>'Habilidades'!G2247</x:f>
        <x:v>80</x:v>
      </x:c>
      <x:c r="F1590" s="18" t="n">
        <x:f>'Habilidades'!H2247</x:f>
        <x:v>80</x:v>
      </x:c>
      <x:c r="G1590" s="18" t="n">
        <x:f>'Habilidades'!I2247</x:f>
        <x:v>160</x:v>
      </x:c>
    </x:row>
    <x:row r="1591" ht="22" customHeight="1">
      <x:c r="A1591" s="17" t="n">
        <x:f>IF(B1591="","",IF(B1591=B1590,A1590,A1590+1))</x:f>
        <x:v>322</x:v>
      </x:c>
      <x:c r="B1591" s="1" t="str">
        <x:f>'Ranking'!C327</x:f>
        <x:v>Miltank</x:v>
      </x:c>
      <x:c r="C1591" s="1" t="str">
        <x:f>'Habilidades'!D2248</x:f>
        <x:v>Wake-Up Slap</x:v>
      </x:c>
      <x:c r="D1591" s="1" t="str">
        <x:f>'Habilidades'!F2248</x:f>
        <x:v>Física</x:v>
      </x:c>
      <x:c r="E1591" s="18" t="n">
        <x:f>'Habilidades'!G2248</x:f>
        <x:v>70</x:v>
      </x:c>
      <x:c r="F1591" s="18" t="n">
        <x:f>'Habilidades'!H2248</x:f>
        <x:v>80</x:v>
      </x:c>
      <x:c r="G1591" s="18" t="n">
        <x:f>'Habilidades'!I2248</x:f>
        <x:v>150</x:v>
      </x:c>
    </x:row>
    <x:row r="1592" ht="22" customHeight="1">
      <x:c r="A1592" s="17" t="n">
        <x:f>IF(B1592="","",IF(B1592=B1591,A1591,A1591+1))</x:f>
        <x:v>322</x:v>
      </x:c>
      <x:c r="B1592" s="1" t="str">
        <x:f>'Ranking'!C327</x:f>
        <x:v>Miltank</x:v>
      </x:c>
      <x:c r="C1592" s="1" t="str">
        <x:f>'Habilidades'!D2249</x:f>
        <x:v>Stomp</x:v>
      </x:c>
      <x:c r="D1592" s="1" t="str">
        <x:f>'Habilidades'!F2249</x:f>
        <x:v>Física</x:v>
      </x:c>
      <x:c r="E1592" s="18" t="n">
        <x:f>'Habilidades'!G2249</x:f>
        <x:v>65</x:v>
      </x:c>
      <x:c r="F1592" s="18" t="n">
        <x:f>'Habilidades'!H2249</x:f>
        <x:v>80</x:v>
      </x:c>
      <x:c r="G1592" s="18" t="n">
        <x:f>'Habilidades'!I2249</x:f>
        <x:v>145</x:v>
      </x:c>
    </x:row>
    <x:row r="1593" ht="22" customHeight="1">
      <x:c r="A1593" s="19" t="n">
        <x:f>IF(B1593="","",IF(B1593=B1592,A1592,A1592+1))</x:f>
        <x:v>322</x:v>
      </x:c>
      <x:c r="B1593" s="20" t="str">
        <x:f>'Ranking'!C327</x:f>
        <x:v>Miltank</x:v>
      </x:c>
      <x:c r="C1593" s="20" t="str">
        <x:f>'Habilidades'!D2250</x:f>
        <x:v>Tackle</x:v>
      </x:c>
      <x:c r="D1593" s="20" t="str">
        <x:f>'Habilidades'!F2250</x:f>
        <x:v>Física</x:v>
      </x:c>
      <x:c r="E1593" s="21" t="n">
        <x:f>'Habilidades'!G2250</x:f>
        <x:v>50</x:v>
      </x:c>
      <x:c r="F1593" s="21" t="n">
        <x:f>'Habilidades'!H2250</x:f>
        <x:v>80</x:v>
      </x:c>
      <x:c r="G1593" s="21" t="n">
        <x:f>'Habilidades'!I2250</x:f>
        <x:v>130</x:v>
      </x:c>
    </x:row>
    <x:row r="1594" ht="22" customHeight="1">
      <x:c r="A1594" s="17" t="n">
        <x:f>IF(B1594="","",IF(B1594=B1593,A1593,A1593+1))</x:f>
        <x:v>323</x:v>
      </x:c>
      <x:c r="B1594" s="1" t="str">
        <x:f>'Ranking'!C326</x:f>
        <x:v>Misdreavus</x:v>
      </x:c>
      <x:c r="C1594" s="1" t="str">
        <x:f>'Habilidades'!D1869</x:f>
        <x:v>Shadow Ball</x:v>
      </x:c>
      <x:c r="D1594" s="1" t="str">
        <x:f>'Habilidades'!F1869</x:f>
        <x:v>Especial</x:v>
      </x:c>
      <x:c r="E1594" s="18" t="n">
        <x:f>'Habilidades'!G1869</x:f>
        <x:v>80</x:v>
      </x:c>
      <x:c r="F1594" s="18" t="n">
        <x:f>'Habilidades'!H1869</x:f>
        <x:v>85</x:v>
      </x:c>
      <x:c r="G1594" s="18" t="n">
        <x:f>'Habilidades'!I1869</x:f>
        <x:v>165</x:v>
      </x:c>
    </x:row>
    <x:row r="1595" ht="22" customHeight="1">
      <x:c r="A1595" s="17" t="n">
        <x:f>IF(B1595="","",IF(B1595=B1594,A1594,A1594+1))</x:f>
        <x:v>323</x:v>
      </x:c>
      <x:c r="B1595" s="1" t="str">
        <x:f>'Ranking'!C326</x:f>
        <x:v>Misdreavus</x:v>
      </x:c>
      <x:c r="C1595" s="1" t="str">
        <x:f>'Habilidades'!D1870</x:f>
        <x:v>Power Gem</x:v>
      </x:c>
      <x:c r="D1595" s="1" t="str">
        <x:f>'Habilidades'!F1870</x:f>
        <x:v>Especial</x:v>
      </x:c>
      <x:c r="E1595" s="18" t="n">
        <x:f>'Habilidades'!G1870</x:f>
        <x:v>80</x:v>
      </x:c>
      <x:c r="F1595" s="18" t="n">
        <x:f>'Habilidades'!H1870</x:f>
        <x:v>85</x:v>
      </x:c>
      <x:c r="G1595" s="18" t="n">
        <x:f>'Habilidades'!I1870</x:f>
        <x:v>165</x:v>
      </x:c>
    </x:row>
    <x:row r="1596" ht="22" customHeight="1">
      <x:c r="A1596" s="17" t="n">
        <x:f>IF(B1596="","",IF(B1596=B1595,A1595,A1595+1))</x:f>
        <x:v>323</x:v>
      </x:c>
      <x:c r="B1596" s="1" t="str">
        <x:f>'Ranking'!C326</x:f>
        <x:v>Misdreavus</x:v>
      </x:c>
      <x:c r="C1596" s="1" t="str">
        <x:f>'Habilidades'!D1871</x:f>
        <x:v>Hex</x:v>
      </x:c>
      <x:c r="D1596" s="1" t="str">
        <x:f>'Habilidades'!F1871</x:f>
        <x:v>Especial</x:v>
      </x:c>
      <x:c r="E1596" s="18" t="n">
        <x:f>'Habilidades'!G1871</x:f>
        <x:v>65</x:v>
      </x:c>
      <x:c r="F1596" s="18" t="n">
        <x:f>'Habilidades'!H1871</x:f>
        <x:v>85</x:v>
      </x:c>
      <x:c r="G1596" s="18" t="n">
        <x:f>'Habilidades'!I1871</x:f>
        <x:v>150</x:v>
      </x:c>
    </x:row>
    <x:row r="1597" ht="22" customHeight="1">
      <x:c r="A1597" s="17" t="n">
        <x:f>IF(B1597="","",IF(B1597=B1596,A1596,A1596+1))</x:f>
        <x:v>323</x:v>
      </x:c>
      <x:c r="B1597" s="1" t="str">
        <x:f>'Ranking'!C326</x:f>
        <x:v>Misdreavus</x:v>
      </x:c>
      <x:c r="C1597" s="1" t="str">
        <x:f>'Habilidades'!D1872</x:f>
        <x:v>Psybeam</x:v>
      </x:c>
      <x:c r="D1597" s="1" t="str">
        <x:f>'Habilidades'!F1872</x:f>
        <x:v>Especial</x:v>
      </x:c>
      <x:c r="E1597" s="18" t="n">
        <x:f>'Habilidades'!G1872</x:f>
        <x:v>65</x:v>
      </x:c>
      <x:c r="F1597" s="18" t="n">
        <x:f>'Habilidades'!H1872</x:f>
        <x:v>85</x:v>
      </x:c>
      <x:c r="G1597" s="18" t="n">
        <x:f>'Habilidades'!I1872</x:f>
        <x:v>150</x:v>
      </x:c>
    </x:row>
    <x:row r="1598" ht="22" customHeight="1">
      <x:c r="A1598" s="19" t="n">
        <x:f>IF(B1598="","",IF(B1598=B1597,A1597,A1597+1))</x:f>
        <x:v>323</x:v>
      </x:c>
      <x:c r="B1598" s="20" t="str">
        <x:f>'Ranking'!C326</x:f>
        <x:v>Misdreavus</x:v>
      </x:c>
      <x:c r="C1598" s="20" t="str">
        <x:f>'Habilidades'!D1873</x:f>
        <x:v>Payback</x:v>
      </x:c>
      <x:c r="D1598" s="20" t="str">
        <x:f>'Habilidades'!F1873</x:f>
        <x:v>Física</x:v>
      </x:c>
      <x:c r="E1598" s="21" t="n">
        <x:f>'Habilidades'!G1873</x:f>
        <x:v>50</x:v>
      </x:c>
      <x:c r="F1598" s="21" t="n">
        <x:f>'Habilidades'!H1873</x:f>
        <x:v>60</x:v>
      </x:c>
      <x:c r="G1598" s="21" t="n">
        <x:f>'Habilidades'!I1873</x:f>
        <x:v>110</x:v>
      </x:c>
    </x:row>
    <x:row r="1599" ht="22" customHeight="1">
      <x:c r="A1599" s="17" t="n">
        <x:f>IF(B1599="","",IF(B1599=B1598,A1598,A1598+1))</x:f>
        <x:v>324</x:v>
      </x:c>
      <x:c r="B1599" s="1" t="str">
        <x:f>'Ranking'!C332</x:f>
        <x:v>Onix</x:v>
      </x:c>
      <x:c r="C1599" s="1" t="str">
        <x:f>'Habilidades'!D882</x:f>
        <x:v>Double-Edge</x:v>
      </x:c>
      <x:c r="D1599" s="1" t="str">
        <x:f>'Habilidades'!F882</x:f>
        <x:v>Física</x:v>
      </x:c>
      <x:c r="E1599" s="18" t="n">
        <x:f>'Habilidades'!G882</x:f>
        <x:v>120</x:v>
      </x:c>
      <x:c r="F1599" s="18" t="n">
        <x:f>'Habilidades'!H882</x:f>
        <x:v>45</x:v>
      </x:c>
      <x:c r="G1599" s="18" t="n">
        <x:f>'Habilidades'!I882</x:f>
        <x:v>165</x:v>
      </x:c>
    </x:row>
    <x:row r="1600" ht="22" customHeight="1">
      <x:c r="A1600" s="17" t="n">
        <x:f>IF(B1600="","",IF(B1600=B1599,A1599,A1599+1))</x:f>
        <x:v>324</x:v>
      </x:c>
      <x:c r="B1600" s="1" t="str">
        <x:f>'Ranking'!C332</x:f>
        <x:v>Onix</x:v>
      </x:c>
      <x:c r="C1600" s="1" t="str">
        <x:f>'Habilidades'!D883</x:f>
        <x:v>Iron Tail</x:v>
      </x:c>
      <x:c r="D1600" s="1" t="str">
        <x:f>'Habilidades'!F883</x:f>
        <x:v>Física</x:v>
      </x:c>
      <x:c r="E1600" s="18" t="n">
        <x:f>'Habilidades'!G883</x:f>
        <x:v>100</x:v>
      </x:c>
      <x:c r="F1600" s="18" t="n">
        <x:f>'Habilidades'!H883</x:f>
        <x:v>45</x:v>
      </x:c>
      <x:c r="G1600" s="18" t="n">
        <x:f>'Habilidades'!I883</x:f>
        <x:v>145</x:v>
      </x:c>
    </x:row>
    <x:row r="1601" ht="22" customHeight="1">
      <x:c r="A1601" s="17" t="n">
        <x:f>IF(B1601="","",IF(B1601=B1600,A1600,A1600+1))</x:f>
        <x:v>324</x:v>
      </x:c>
      <x:c r="B1601" s="1" t="str">
        <x:f>'Ranking'!C332</x:f>
        <x:v>Onix</x:v>
      </x:c>
      <x:c r="C1601" s="1" t="str">
        <x:f>'Habilidades'!D884</x:f>
        <x:v>Stone Edge</x:v>
      </x:c>
      <x:c r="D1601" s="1" t="str">
        <x:f>'Habilidades'!F884</x:f>
        <x:v>Física</x:v>
      </x:c>
      <x:c r="E1601" s="18" t="n">
        <x:f>'Habilidades'!G884</x:f>
        <x:v>100</x:v>
      </x:c>
      <x:c r="F1601" s="18" t="n">
        <x:f>'Habilidades'!H884</x:f>
        <x:v>45</x:v>
      </x:c>
      <x:c r="G1601" s="18" t="n">
        <x:f>'Habilidades'!I884</x:f>
        <x:v>145</x:v>
      </x:c>
    </x:row>
    <x:row r="1602" ht="22" customHeight="1">
      <x:c r="A1602" s="17" t="n">
        <x:f>IF(B1602="","",IF(B1602=B1601,A1601,A1601+1))</x:f>
        <x:v>324</x:v>
      </x:c>
      <x:c r="B1602" s="1" t="str">
        <x:f>'Ranking'!C332</x:f>
        <x:v>Onix</x:v>
      </x:c>
      <x:c r="C1602" s="1" t="str">
        <x:f>'Habilidades'!D885</x:f>
        <x:v>Slam</x:v>
      </x:c>
      <x:c r="D1602" s="1" t="str">
        <x:f>'Habilidades'!F885</x:f>
        <x:v>Física</x:v>
      </x:c>
      <x:c r="E1602" s="18" t="n">
        <x:f>'Habilidades'!G885</x:f>
        <x:v>80</x:v>
      </x:c>
      <x:c r="F1602" s="18" t="n">
        <x:f>'Habilidades'!H885</x:f>
        <x:v>45</x:v>
      </x:c>
      <x:c r="G1602" s="18" t="n">
        <x:f>'Habilidades'!I885</x:f>
        <x:v>125</x:v>
      </x:c>
    </x:row>
    <x:row r="1603" ht="22" customHeight="1">
      <x:c r="A1603" s="19" t="n">
        <x:f>IF(B1603="","",IF(B1603=B1602,A1602,A1602+1))</x:f>
        <x:v>324</x:v>
      </x:c>
      <x:c r="B1603" s="20" t="str">
        <x:f>'Ranking'!C332</x:f>
        <x:v>Onix</x:v>
      </x:c>
      <x:c r="C1603" s="20" t="str">
        <x:f>'Habilidades'!D886</x:f>
        <x:v>Dig</x:v>
      </x:c>
      <x:c r="D1603" s="20" t="str">
        <x:f>'Habilidades'!F886</x:f>
        <x:v>Física</x:v>
      </x:c>
      <x:c r="E1603" s="21" t="n">
        <x:f>'Habilidades'!G886</x:f>
        <x:v>80</x:v>
      </x:c>
      <x:c r="F1603" s="21" t="n">
        <x:f>'Habilidades'!H886</x:f>
        <x:v>45</x:v>
      </x:c>
      <x:c r="G1603" s="21" t="n">
        <x:f>'Habilidades'!I886</x:f>
        <x:v>125</x:v>
      </x:c>
    </x:row>
    <x:row r="1604" ht="22" customHeight="1">
      <x:c r="A1604" s="17" t="n">
        <x:f>IF(B1604="","",IF(B1604=B1603,A1603,A1603+1))</x:f>
        <x:v>325</x:v>
      </x:c>
      <x:c r="B1604" s="1" t="str">
        <x:f>'Ranking'!C333</x:f>
        <x:v>Ralts</x:v>
      </x:c>
      <x:c r="C1604" s="1" t="str">
        <x:f>'Habilidades'!D2528</x:f>
        <x:v>Future Sight</x:v>
      </x:c>
      <x:c r="D1604" s="1" t="str">
        <x:f>'Habilidades'!F2528</x:f>
        <x:v>Especial</x:v>
      </x:c>
      <x:c r="E1604" s="18" t="n">
        <x:f>'Habilidades'!G2528</x:f>
        <x:v>120</x:v>
      </x:c>
      <x:c r="F1604" s="18" t="n">
        <x:f>'Habilidades'!H2528</x:f>
        <x:v>45</x:v>
      </x:c>
      <x:c r="G1604" s="18" t="n">
        <x:f>'Habilidades'!I2528</x:f>
        <x:v>165</x:v>
      </x:c>
    </x:row>
    <x:row r="1605" ht="22" customHeight="1">
      <x:c r="A1605" s="17" t="n">
        <x:f>IF(B1605="","",IF(B1605=B1604,A1604,A1604+1))</x:f>
        <x:v>325</x:v>
      </x:c>
      <x:c r="B1605" s="1" t="str">
        <x:f>'Ranking'!C333</x:f>
        <x:v>Ralts</x:v>
      </x:c>
      <x:c r="C1605" s="1" t="str">
        <x:f>'Habilidades'!D2529</x:f>
        <x:v>Dream Eater</x:v>
      </x:c>
      <x:c r="D1605" s="1" t="str">
        <x:f>'Habilidades'!F2529</x:f>
        <x:v>Especial</x:v>
      </x:c>
      <x:c r="E1605" s="18" t="n">
        <x:f>'Habilidades'!G2529</x:f>
        <x:v>100</x:v>
      </x:c>
      <x:c r="F1605" s="18" t="n">
        <x:f>'Habilidades'!H2529</x:f>
        <x:v>45</x:v>
      </x:c>
      <x:c r="G1605" s="18" t="n">
        <x:f>'Habilidades'!I2529</x:f>
        <x:v>145</x:v>
      </x:c>
    </x:row>
    <x:row r="1606" ht="22" customHeight="1">
      <x:c r="A1606" s="17" t="n">
        <x:f>IF(B1606="","",IF(B1606=B1605,A1605,A1605+1))</x:f>
        <x:v>325</x:v>
      </x:c>
      <x:c r="B1606" s="1" t="str">
        <x:f>'Ranking'!C333</x:f>
        <x:v>Ralts</x:v>
      </x:c>
      <x:c r="C1606" s="1" t="str">
        <x:f>'Habilidades'!D2530</x:f>
        <x:v>Psychic</x:v>
      </x:c>
      <x:c r="D1606" s="1" t="str">
        <x:f>'Habilidades'!F2530</x:f>
        <x:v>Especial</x:v>
      </x:c>
      <x:c r="E1606" s="18" t="n">
        <x:f>'Habilidades'!G2530</x:f>
        <x:v>90</x:v>
      </x:c>
      <x:c r="F1606" s="18" t="n">
        <x:f>'Habilidades'!H2530</x:f>
        <x:v>45</x:v>
      </x:c>
      <x:c r="G1606" s="18" t="n">
        <x:f>'Habilidades'!I2530</x:f>
        <x:v>135</x:v>
      </x:c>
    </x:row>
    <x:row r="1607" ht="22" customHeight="1">
      <x:c r="A1607" s="17" t="n">
        <x:f>IF(B1607="","",IF(B1607=B1606,A1606,A1606+1))</x:f>
        <x:v>325</x:v>
      </x:c>
      <x:c r="B1607" s="1" t="str">
        <x:f>'Ranking'!C333</x:f>
        <x:v>Ralts</x:v>
      </x:c>
      <x:c r="C1607" s="1" t="str">
        <x:f>'Habilidades'!D2531</x:f>
        <x:v>Magical Leaf</x:v>
      </x:c>
      <x:c r="D1607" s="1" t="str">
        <x:f>'Habilidades'!F2531</x:f>
        <x:v>Especial</x:v>
      </x:c>
      <x:c r="E1607" s="18" t="n">
        <x:f>'Habilidades'!G2531</x:f>
        <x:v>60</x:v>
      </x:c>
      <x:c r="F1607" s="18" t="n">
        <x:f>'Habilidades'!H2531</x:f>
        <x:v>45</x:v>
      </x:c>
      <x:c r="G1607" s="18" t="n">
        <x:f>'Habilidades'!I2531</x:f>
        <x:v>105</x:v>
      </x:c>
    </x:row>
    <x:row r="1608" ht="22" customHeight="1">
      <x:c r="A1608" s="19" t="n">
        <x:f>IF(B1608="","",IF(B1608=B1607,A1607,A1607+1))</x:f>
        <x:v>325</x:v>
      </x:c>
      <x:c r="B1608" s="20" t="str">
        <x:f>'Ranking'!C333</x:f>
        <x:v>Ralts</x:v>
      </x:c>
      <x:c r="C1608" s="20" t="str">
        <x:f>'Habilidades'!D2532</x:f>
        <x:v>Confusion</x:v>
      </x:c>
      <x:c r="D1608" s="20" t="str">
        <x:f>'Habilidades'!F2532</x:f>
        <x:v>Especial</x:v>
      </x:c>
      <x:c r="E1608" s="21" t="n">
        <x:f>'Habilidades'!G2532</x:f>
        <x:v>50</x:v>
      </x:c>
      <x:c r="F1608" s="21" t="n">
        <x:f>'Habilidades'!H2532</x:f>
        <x:v>45</x:v>
      </x:c>
      <x:c r="G1608" s="21" t="n">
        <x:f>'Habilidades'!I2532</x:f>
        <x:v>95</x:v>
      </x:c>
    </x:row>
    <x:row r="1609" ht="22" customHeight="1">
      <x:c r="A1609" s="17" t="n">
        <x:f>IF(B1609="","",IF(B1609=B1608,A1608,A1608+1))</x:f>
        <x:v>326</x:v>
      </x:c>
      <x:c r="B1609" s="1" t="str">
        <x:f>'Ranking'!C328</x:f>
        <x:v>Rockruff</x:v>
      </x:c>
      <x:c r="C1609" s="1" t="str">
        <x:f>'Habilidades'!D3765</x:f>
        <x:v>Stone Edge</x:v>
      </x:c>
      <x:c r="D1609" s="1" t="str">
        <x:f>'Habilidades'!F3765</x:f>
        <x:v>Física</x:v>
      </x:c>
      <x:c r="E1609" s="18" t="n">
        <x:f>'Habilidades'!G3765</x:f>
        <x:v>100</x:v>
      </x:c>
      <x:c r="F1609" s="18" t="n">
        <x:f>'Habilidades'!H3765</x:f>
        <x:v>65</x:v>
      </x:c>
      <x:c r="G1609" s="18" t="n">
        <x:f>'Habilidades'!I3765</x:f>
        <x:v>165</x:v>
      </x:c>
    </x:row>
    <x:row r="1610" ht="22" customHeight="1">
      <x:c r="A1610" s="17" t="n">
        <x:f>IF(B1610="","",IF(B1610=B1609,A1609,A1609+1))</x:f>
        <x:v>326</x:v>
      </x:c>
      <x:c r="B1610" s="1" t="str">
        <x:f>'Ranking'!C328</x:f>
        <x:v>Rockruff</x:v>
      </x:c>
      <x:c r="C1610" s="1" t="str">
        <x:f>'Habilidades'!D3766</x:f>
        <x:v>Crunch</x:v>
      </x:c>
      <x:c r="D1610" s="1" t="str">
        <x:f>'Habilidades'!F3766</x:f>
        <x:v>Física</x:v>
      </x:c>
      <x:c r="E1610" s="18" t="n">
        <x:f>'Habilidades'!G3766</x:f>
        <x:v>80</x:v>
      </x:c>
      <x:c r="F1610" s="18" t="n">
        <x:f>'Habilidades'!H3766</x:f>
        <x:v>65</x:v>
      </x:c>
      <x:c r="G1610" s="18" t="n">
        <x:f>'Habilidades'!I3766</x:f>
        <x:v>145</x:v>
      </x:c>
    </x:row>
    <x:row r="1611" ht="22" customHeight="1">
      <x:c r="A1611" s="17" t="n">
        <x:f>IF(B1611="","",IF(B1611=B1610,A1610,A1610+1))</x:f>
        <x:v>326</x:v>
      </x:c>
      <x:c r="B1611" s="1" t="str">
        <x:f>'Ranking'!C328</x:f>
        <x:v>Rockruff</x:v>
      </x:c>
      <x:c r="C1611" s="1" t="str">
        <x:f>'Habilidades'!D3767</x:f>
        <x:v>Rock Slide</x:v>
      </x:c>
      <x:c r="D1611" s="1" t="str">
        <x:f>'Habilidades'!F3767</x:f>
        <x:v>Física</x:v>
      </x:c>
      <x:c r="E1611" s="18" t="n">
        <x:f>'Habilidades'!G3767</x:f>
        <x:v>75</x:v>
      </x:c>
      <x:c r="F1611" s="18" t="n">
        <x:f>'Habilidades'!H3767</x:f>
        <x:v>65</x:v>
      </x:c>
      <x:c r="G1611" s="18" t="n">
        <x:f>'Habilidades'!I3767</x:f>
        <x:v>140</x:v>
      </x:c>
    </x:row>
    <x:row r="1612" ht="22" customHeight="1">
      <x:c r="A1612" s="17" t="n">
        <x:f>IF(B1612="","",IF(B1612=B1611,A1611,A1611+1))</x:f>
        <x:v>326</x:v>
      </x:c>
      <x:c r="B1612" s="1" t="str">
        <x:f>'Ranking'!C328</x:f>
        <x:v>Rockruff</x:v>
      </x:c>
      <x:c r="C1612" s="1" t="str">
        <x:f>'Habilidades'!D3768</x:f>
        <x:v>Rock Tomb</x:v>
      </x:c>
      <x:c r="D1612" s="1" t="str">
        <x:f>'Habilidades'!F3768</x:f>
        <x:v>Física</x:v>
      </x:c>
      <x:c r="E1612" s="18" t="n">
        <x:f>'Habilidades'!G3768</x:f>
        <x:v>60</x:v>
      </x:c>
      <x:c r="F1612" s="18" t="n">
        <x:f>'Habilidades'!H3768</x:f>
        <x:v>65</x:v>
      </x:c>
      <x:c r="G1612" s="18" t="n">
        <x:f>'Habilidades'!I3768</x:f>
        <x:v>125</x:v>
      </x:c>
    </x:row>
    <x:row r="1613" ht="22" customHeight="1">
      <x:c r="A1613" s="19" t="n">
        <x:f>IF(B1613="","",IF(B1613=B1612,A1612,A1612+1))</x:f>
        <x:v>326</x:v>
      </x:c>
      <x:c r="B1613" s="20" t="str">
        <x:f>'Ranking'!C328</x:f>
        <x:v>Rockruff</x:v>
      </x:c>
      <x:c r="C1613" s="20" t="str">
        <x:f>'Habilidades'!D3769</x:f>
        <x:v>Rock Throw</x:v>
      </x:c>
      <x:c r="D1613" s="20" t="str">
        <x:f>'Habilidades'!F3769</x:f>
        <x:v>Física</x:v>
      </x:c>
      <x:c r="E1613" s="21" t="n">
        <x:f>'Habilidades'!G3769</x:f>
        <x:v>50</x:v>
      </x:c>
      <x:c r="F1613" s="21" t="n">
        <x:f>'Habilidades'!H3769</x:f>
        <x:v>65</x:v>
      </x:c>
      <x:c r="G1613" s="21" t="n">
        <x:f>'Habilidades'!I3769</x:f>
        <x:v>115</x:v>
      </x:c>
    </x:row>
    <x:row r="1614" ht="22" customHeight="1">
      <x:c r="A1614" s="17" t="n">
        <x:f>IF(B1614="","",IF(B1614=B1613,A1613,A1613+1))</x:f>
        <x:v>327</x:v>
      </x:c>
      <x:c r="B1614" s="1" t="str">
        <x:f>'Ranking'!C325</x:f>
        <x:v>Sneasel</x:v>
      </x:c>
      <x:c r="C1614" s="1" t="str">
        <x:f>'Habilidades'!D2014</x:f>
        <x:v>Slash</x:v>
      </x:c>
      <x:c r="D1614" s="1" t="str">
        <x:f>'Habilidades'!F2014</x:f>
        <x:v>Física</x:v>
      </x:c>
      <x:c r="E1614" s="18" t="n">
        <x:f>'Habilidades'!G2014</x:f>
        <x:v>70</x:v>
      </x:c>
      <x:c r="F1614" s="18" t="n">
        <x:f>'Habilidades'!H2014</x:f>
        <x:v>95</x:v>
      </x:c>
      <x:c r="G1614" s="18" t="n">
        <x:f>'Habilidades'!I2014</x:f>
        <x:v>165</x:v>
      </x:c>
    </x:row>
    <x:row r="1615" ht="22" customHeight="1">
      <x:c r="A1615" s="17" t="n">
        <x:f>IF(B1615="","",IF(B1615=B1614,A1614,A1614+1))</x:f>
        <x:v>327</x:v>
      </x:c>
      <x:c r="B1615" s="1" t="str">
        <x:f>'Ranking'!C325</x:f>
        <x:v>Sneasel</x:v>
      </x:c>
      <x:c r="C1615" s="1" t="str">
        <x:f>'Habilidades'!D2015</x:f>
        <x:v>Feint Attack</x:v>
      </x:c>
      <x:c r="D1615" s="1" t="str">
        <x:f>'Habilidades'!F2015</x:f>
        <x:v>Física</x:v>
      </x:c>
      <x:c r="E1615" s="18" t="n">
        <x:f>'Habilidades'!G2015</x:f>
        <x:v>60</x:v>
      </x:c>
      <x:c r="F1615" s="18" t="n">
        <x:f>'Habilidades'!H2015</x:f>
        <x:v>95</x:v>
      </x:c>
      <x:c r="G1615" s="18" t="n">
        <x:f>'Habilidades'!I2015</x:f>
        <x:v>155</x:v>
      </x:c>
    </x:row>
    <x:row r="1616" ht="22" customHeight="1">
      <x:c r="A1616" s="17" t="n">
        <x:f>IF(B1616="","",IF(B1616=B1615,A1615,A1615+1))</x:f>
        <x:v>327</x:v>
      </x:c>
      <x:c r="B1616" s="1" t="str">
        <x:f>'Ranking'!C325</x:f>
        <x:v>Sneasel</x:v>
      </x:c>
      <x:c r="C1616" s="1" t="str">
        <x:f>'Habilidades'!D2016</x:f>
        <x:v>Metal Claw</x:v>
      </x:c>
      <x:c r="D1616" s="1" t="str">
        <x:f>'Habilidades'!F2016</x:f>
        <x:v>Física</x:v>
      </x:c>
      <x:c r="E1616" s="18" t="n">
        <x:f>'Habilidades'!G2016</x:f>
        <x:v>50</x:v>
      </x:c>
      <x:c r="F1616" s="18" t="n">
        <x:f>'Habilidades'!H2016</x:f>
        <x:v>95</x:v>
      </x:c>
      <x:c r="G1616" s="18" t="n">
        <x:f>'Habilidades'!I2016</x:f>
        <x:v>145</x:v>
      </x:c>
    </x:row>
    <x:row r="1617" ht="22" customHeight="1">
      <x:c r="A1617" s="17" t="n">
        <x:f>IF(B1617="","",IF(B1617=B1616,A1616,A1616+1))</x:f>
        <x:v>327</x:v>
      </x:c>
      <x:c r="B1617" s="1" t="str">
        <x:f>'Ranking'!C325</x:f>
        <x:v>Sneasel</x:v>
      </x:c>
      <x:c r="C1617" s="1" t="str">
        <x:f>'Habilidades'!D2017</x:f>
        <x:v>Scratch</x:v>
      </x:c>
      <x:c r="D1617" s="1" t="str">
        <x:f>'Habilidades'!F2017</x:f>
        <x:v>Física</x:v>
      </x:c>
      <x:c r="E1617" s="18" t="n">
        <x:f>'Habilidades'!G2017</x:f>
        <x:v>40</x:v>
      </x:c>
      <x:c r="F1617" s="18" t="n">
        <x:f>'Habilidades'!H2017</x:f>
        <x:v>95</x:v>
      </x:c>
      <x:c r="G1617" s="18" t="n">
        <x:f>'Habilidades'!I2017</x:f>
        <x:v>135</x:v>
      </x:c>
    </x:row>
    <x:row r="1618" ht="22" customHeight="1">
      <x:c r="A1618" s="19" t="n">
        <x:f>IF(B1618="","",IF(B1618=B1617,A1617,A1617+1))</x:f>
        <x:v>327</x:v>
      </x:c>
      <x:c r="B1618" s="20" t="str">
        <x:f>'Ranking'!C325</x:f>
        <x:v>Sneasel</x:v>
      </x:c>
      <x:c r="C1618" s="20" t="str">
        <x:f>'Habilidades'!D2021</x:f>
        <x:v>Icy Wind</x:v>
      </x:c>
      <x:c r="D1618" s="20" t="str">
        <x:f>'Habilidades'!F2021</x:f>
        <x:v>Especial</x:v>
      </x:c>
      <x:c r="E1618" s="21" t="n">
        <x:f>'Habilidades'!G2021</x:f>
        <x:v>55</x:v>
      </x:c>
      <x:c r="F1618" s="21" t="n">
        <x:f>'Habilidades'!H2021</x:f>
        <x:v>35</x:v>
      </x:c>
      <x:c r="G1618" s="21" t="n">
        <x:f>'Habilidades'!I2021</x:f>
        <x:v>90</x:v>
      </x:c>
    </x:row>
    <x:row r="1619" ht="22" customHeight="1">
      <x:c r="A1619" s="17" t="n">
        <x:f>IF(B1619="","",IF(B1619=B1618,A1618,A1618+1))</x:f>
        <x:v>328</x:v>
      </x:c>
      <x:c r="B1619" s="1" t="str">
        <x:f>'Ranking'!C330</x:f>
        <x:v>Spheal</x:v>
      </x:c>
      <x:c r="C1619" s="1" t="str">
        <x:f>'Habilidades'!D3049</x:f>
        <x:v>Blizzard</x:v>
      </x:c>
      <x:c r="D1619" s="1" t="str">
        <x:f>'Habilidades'!F3049</x:f>
        <x:v>Especial</x:v>
      </x:c>
      <x:c r="E1619" s="18" t="n">
        <x:f>'Habilidades'!G3049</x:f>
        <x:v>110</x:v>
      </x:c>
      <x:c r="F1619" s="18" t="n">
        <x:f>'Habilidades'!H3049</x:f>
        <x:v>55</x:v>
      </x:c>
      <x:c r="G1619" s="18" t="n">
        <x:f>'Habilidades'!I3049</x:f>
        <x:v>165</x:v>
      </x:c>
    </x:row>
    <x:row r="1620" ht="22" customHeight="1">
      <x:c r="A1620" s="17" t="n">
        <x:f>IF(B1620="","",IF(B1620=B1619,A1619,A1619+1))</x:f>
        <x:v>328</x:v>
      </x:c>
      <x:c r="B1620" s="1" t="str">
        <x:f>'Ranking'!C330</x:f>
        <x:v>Spheal</x:v>
      </x:c>
      <x:c r="C1620" s="1" t="str">
        <x:f>'Habilidades'!D3050</x:f>
        <x:v>Body Slam</x:v>
      </x:c>
      <x:c r="D1620" s="1" t="str">
        <x:f>'Habilidades'!F3050</x:f>
        <x:v>Física</x:v>
      </x:c>
      <x:c r="E1620" s="18" t="n">
        <x:f>'Habilidades'!G3050</x:f>
        <x:v>85</x:v>
      </x:c>
      <x:c r="F1620" s="18" t="n">
        <x:f>'Habilidades'!H3050</x:f>
        <x:v>40</x:v>
      </x:c>
      <x:c r="G1620" s="18" t="n">
        <x:f>'Habilidades'!I3050</x:f>
        <x:v>125</x:v>
      </x:c>
    </x:row>
    <x:row r="1621" ht="22" customHeight="1">
      <x:c r="A1621" s="17" t="n">
        <x:f>IF(B1621="","",IF(B1621=B1620,A1620,A1620+1))</x:f>
        <x:v>328</x:v>
      </x:c>
      <x:c r="B1621" s="1" t="str">
        <x:f>'Ranking'!C330</x:f>
        <x:v>Spheal</x:v>
      </x:c>
      <x:c r="C1621" s="1" t="str">
        <x:f>'Habilidades'!D3051</x:f>
        <x:v>Brine</x:v>
      </x:c>
      <x:c r="D1621" s="1" t="str">
        <x:f>'Habilidades'!F3051</x:f>
        <x:v>Especial</x:v>
      </x:c>
      <x:c r="E1621" s="18" t="n">
        <x:f>'Habilidades'!G3051</x:f>
        <x:v>65</x:v>
      </x:c>
      <x:c r="F1621" s="18" t="n">
        <x:f>'Habilidades'!H3051</x:f>
        <x:v>55</x:v>
      </x:c>
      <x:c r="G1621" s="18" t="n">
        <x:f>'Habilidades'!I3051</x:f>
        <x:v>120</x:v>
      </x:c>
    </x:row>
    <x:row r="1622" ht="22" customHeight="1">
      <x:c r="A1622" s="17" t="n">
        <x:f>IF(B1622="","",IF(B1622=B1621,A1621,A1621+1))</x:f>
        <x:v>328</x:v>
      </x:c>
      <x:c r="B1622" s="1" t="str">
        <x:f>'Ranking'!C330</x:f>
        <x:v>Spheal</x:v>
      </x:c>
      <x:c r="C1622" s="1" t="str">
        <x:f>'Habilidades'!D3052</x:f>
        <x:v>Aurora Beam</x:v>
      </x:c>
      <x:c r="D1622" s="1" t="str">
        <x:f>'Habilidades'!F3052</x:f>
        <x:v>Especial</x:v>
      </x:c>
      <x:c r="E1622" s="18" t="n">
        <x:f>'Habilidades'!G3052</x:f>
        <x:v>65</x:v>
      </x:c>
      <x:c r="F1622" s="18" t="n">
        <x:f>'Habilidades'!H3052</x:f>
        <x:v>55</x:v>
      </x:c>
      <x:c r="G1622" s="18" t="n">
        <x:f>'Habilidades'!I3052</x:f>
        <x:v>120</x:v>
      </x:c>
    </x:row>
    <x:row r="1623" ht="22" customHeight="1">
      <x:c r="A1623" s="19" t="n">
        <x:f>IF(B1623="","",IF(B1623=B1622,A1622,A1622+1))</x:f>
        <x:v>328</x:v>
      </x:c>
      <x:c r="B1623" s="20" t="str">
        <x:f>'Ranking'!C330</x:f>
        <x:v>Spheal</x:v>
      </x:c>
      <x:c r="C1623" s="20" t="str">
        <x:f>'Habilidades'!D3053</x:f>
        <x:v>Snore</x:v>
      </x:c>
      <x:c r="D1623" s="20" t="str">
        <x:f>'Habilidades'!F3053</x:f>
        <x:v>Especial</x:v>
      </x:c>
      <x:c r="E1623" s="21" t="n">
        <x:f>'Habilidades'!G3053</x:f>
        <x:v>50</x:v>
      </x:c>
      <x:c r="F1623" s="21" t="n">
        <x:f>'Habilidades'!H3053</x:f>
        <x:v>55</x:v>
      </x:c>
      <x:c r="G1623" s="21" t="n">
        <x:f>'Habilidades'!I3053</x:f>
        <x:v>105</x:v>
      </x:c>
    </x:row>
    <x:row r="1624" ht="22" customHeight="1">
      <x:c r="A1624" s="17" t="n">
        <x:f>IF(B1624="","",IF(B1624=B1623,A1623,A1623+1))</x:f>
        <x:v>329</x:v>
      </x:c>
      <x:c r="B1624" s="1" t="str">
        <x:f>'Ranking'!C334</x:f>
        <x:v>Venipede</x:v>
      </x:c>
      <x:c r="C1624" s="1" t="str">
        <x:f>'Habilidades'!D3413</x:f>
        <x:v>Double-Edge</x:v>
      </x:c>
      <x:c r="D1624" s="1" t="str">
        <x:f>'Habilidades'!F3413</x:f>
        <x:v>Física</x:v>
      </x:c>
      <x:c r="E1624" s="18" t="n">
        <x:f>'Habilidades'!G3413</x:f>
        <x:v>120</x:v>
      </x:c>
      <x:c r="F1624" s="18" t="n">
        <x:f>'Habilidades'!H3413</x:f>
        <x:v>45</x:v>
      </x:c>
      <x:c r="G1624" s="18" t="n">
        <x:f>'Habilidades'!I3413</x:f>
        <x:v>165</x:v>
      </x:c>
    </x:row>
    <x:row r="1625" ht="22" customHeight="1">
      <x:c r="A1625" s="17" t="n">
        <x:f>IF(B1625="","",IF(B1625=B1624,A1624,A1624+1))</x:f>
        <x:v>329</x:v>
      </x:c>
      <x:c r="B1625" s="1" t="str">
        <x:f>'Ranking'!C334</x:f>
        <x:v>Venipede</x:v>
      </x:c>
      <x:c r="C1625" s="1" t="str">
        <x:f>'Habilidades'!D3414</x:f>
        <x:v>Rock Climb</x:v>
      </x:c>
      <x:c r="D1625" s="1" t="str">
        <x:f>'Habilidades'!F3414</x:f>
        <x:v>Física</x:v>
      </x:c>
      <x:c r="E1625" s="18" t="n">
        <x:f>'Habilidades'!G3414</x:f>
        <x:v>90</x:v>
      </x:c>
      <x:c r="F1625" s="18" t="n">
        <x:f>'Habilidades'!H3414</x:f>
        <x:v>45</x:v>
      </x:c>
      <x:c r="G1625" s="18" t="n">
        <x:f>'Habilidades'!I3414</x:f>
        <x:v>135</x:v>
      </x:c>
    </x:row>
    <x:row r="1626" ht="22" customHeight="1">
      <x:c r="A1626" s="17" t="n">
        <x:f>IF(B1626="","",IF(B1626=B1625,A1625,A1625+1))</x:f>
        <x:v>329</x:v>
      </x:c>
      <x:c r="B1626" s="1" t="str">
        <x:f>'Ranking'!C334</x:f>
        <x:v>Venipede</x:v>
      </x:c>
      <x:c r="C1626" s="1" t="str">
        <x:f>'Habilidades'!D3415</x:f>
        <x:v>Steamroller</x:v>
      </x:c>
      <x:c r="D1626" s="1" t="str">
        <x:f>'Habilidades'!F3415</x:f>
        <x:v>Física</x:v>
      </x:c>
      <x:c r="E1626" s="18" t="n">
        <x:f>'Habilidades'!G3415</x:f>
        <x:v>65</x:v>
      </x:c>
      <x:c r="F1626" s="18" t="n">
        <x:f>'Habilidades'!H3415</x:f>
        <x:v>45</x:v>
      </x:c>
      <x:c r="G1626" s="18" t="n">
        <x:f>'Habilidades'!I3415</x:f>
        <x:v>110</x:v>
      </x:c>
    </x:row>
    <x:row r="1627" ht="22" customHeight="1">
      <x:c r="A1627" s="17" t="n">
        <x:f>IF(B1627="","",IF(B1627=B1626,A1626,A1626+1))</x:f>
        <x:v>329</x:v>
      </x:c>
      <x:c r="B1627" s="1" t="str">
        <x:f>'Ranking'!C334</x:f>
        <x:v>Venipede</x:v>
      </x:c>
      <x:c r="C1627" s="1" t="str">
        <x:f>'Habilidades'!D3416</x:f>
        <x:v>Bug Bite</x:v>
      </x:c>
      <x:c r="D1627" s="1" t="str">
        <x:f>'Habilidades'!F3416</x:f>
        <x:v>Física</x:v>
      </x:c>
      <x:c r="E1627" s="18" t="n">
        <x:f>'Habilidades'!G3416</x:f>
        <x:v>60</x:v>
      </x:c>
      <x:c r="F1627" s="18" t="n">
        <x:f>'Habilidades'!H3416</x:f>
        <x:v>45</x:v>
      </x:c>
      <x:c r="G1627" s="18" t="n">
        <x:f>'Habilidades'!I3416</x:f>
        <x:v>105</x:v>
      </x:c>
    </x:row>
    <x:row r="1628" ht="22" customHeight="1">
      <x:c r="A1628" s="19" t="n">
        <x:f>IF(B1628="","",IF(B1628=B1627,A1627,A1627+1))</x:f>
        <x:v>329</x:v>
      </x:c>
      <x:c r="B1628" s="20" t="str">
        <x:f>'Ranking'!C334</x:f>
        <x:v>Venipede</x:v>
      </x:c>
      <x:c r="C1628" s="20" t="str">
        <x:f>'Habilidades'!D3417</x:f>
        <x:v>Venoshock</x:v>
      </x:c>
      <x:c r="D1628" s="20" t="str">
        <x:f>'Habilidades'!F3417</x:f>
        <x:v>Especial</x:v>
      </x:c>
      <x:c r="E1628" s="21" t="n">
        <x:f>'Habilidades'!G3417</x:f>
        <x:v>65</x:v>
      </x:c>
      <x:c r="F1628" s="21" t="n">
        <x:f>'Habilidades'!H3417</x:f>
        <x:v>30</x:v>
      </x:c>
      <x:c r="G1628" s="21" t="n">
        <x:f>'Habilidades'!I3417</x:f>
        <x:v>95</x:v>
      </x:c>
    </x:row>
    <x:row r="1629" ht="22" customHeight="1">
      <x:c r="A1629" s="17" t="n">
        <x:f>IF(B1629="","",IF(B1629=B1628,A1628,A1628+1))</x:f>
        <x:v>330</x:v>
      </x:c>
      <x:c r="B1629" s="1" t="str">
        <x:f>'Ranking'!C329</x:f>
        <x:v>Wingull</x:v>
      </x:c>
      <x:c r="C1629" s="1" t="str">
        <x:f>'Habilidades'!D2508</x:f>
        <x:v>Hurricane</x:v>
      </x:c>
      <x:c r="D1629" s="1" t="str">
        <x:f>'Habilidades'!F2508</x:f>
        <x:v>Especial</x:v>
      </x:c>
      <x:c r="E1629" s="18" t="n">
        <x:f>'Habilidades'!G2508</x:f>
        <x:v>110</x:v>
      </x:c>
      <x:c r="F1629" s="18" t="n">
        <x:f>'Habilidades'!H2508</x:f>
        <x:v>55</x:v>
      </x:c>
      <x:c r="G1629" s="18" t="n">
        <x:f>'Habilidades'!I2508</x:f>
        <x:v>165</x:v>
      </x:c>
    </x:row>
    <x:row r="1630" ht="22" customHeight="1">
      <x:c r="A1630" s="17" t="n">
        <x:f>IF(B1630="","",IF(B1630=B1629,A1629,A1629+1))</x:f>
        <x:v>330</x:v>
      </x:c>
      <x:c r="B1630" s="1" t="str">
        <x:f>'Ranking'!C329</x:f>
        <x:v>Wingull</x:v>
      </x:c>
      <x:c r="C1630" s="1" t="str">
        <x:f>'Habilidades'!D2509</x:f>
        <x:v>Air Slash</x:v>
      </x:c>
      <x:c r="D1630" s="1" t="str">
        <x:f>'Habilidades'!F2509</x:f>
        <x:v>Especial</x:v>
      </x:c>
      <x:c r="E1630" s="18" t="n">
        <x:f>'Habilidades'!G2509</x:f>
        <x:v>75</x:v>
      </x:c>
      <x:c r="F1630" s="18" t="n">
        <x:f>'Habilidades'!H2509</x:f>
        <x:v>55</x:v>
      </x:c>
      <x:c r="G1630" s="18" t="n">
        <x:f>'Habilidades'!I2509</x:f>
        <x:v>130</x:v>
      </x:c>
    </x:row>
    <x:row r="1631" ht="22" customHeight="1">
      <x:c r="A1631" s="17" t="n">
        <x:f>IF(B1631="","",IF(B1631=B1630,A1630,A1630+1))</x:f>
        <x:v>330</x:v>
      </x:c>
      <x:c r="B1631" s="1" t="str">
        <x:f>'Ranking'!C329</x:f>
        <x:v>Wingull</x:v>
      </x:c>
      <x:c r="C1631" s="1" t="str">
        <x:f>'Habilidades'!D2510</x:f>
        <x:v>Water Pulse</x:v>
      </x:c>
      <x:c r="D1631" s="1" t="str">
        <x:f>'Habilidades'!F2510</x:f>
        <x:v>Especial</x:v>
      </x:c>
      <x:c r="E1631" s="18" t="n">
        <x:f>'Habilidades'!G2510</x:f>
        <x:v>60</x:v>
      </x:c>
      <x:c r="F1631" s="18" t="n">
        <x:f>'Habilidades'!H2510</x:f>
        <x:v>55</x:v>
      </x:c>
      <x:c r="G1631" s="18" t="n">
        <x:f>'Habilidades'!I2510</x:f>
        <x:v>115</x:v>
      </x:c>
    </x:row>
    <x:row r="1632" ht="22" customHeight="1">
      <x:c r="A1632" s="17" t="n">
        <x:f>IF(B1632="","",IF(B1632=B1631,A1631,A1631+1))</x:f>
        <x:v>330</x:v>
      </x:c>
      <x:c r="B1632" s="1" t="str">
        <x:f>'Ranking'!C329</x:f>
        <x:v>Wingull</x:v>
      </x:c>
      <x:c r="C1632" s="1" t="str">
        <x:f>'Habilidades'!D2511</x:f>
        <x:v>Air Cutter</x:v>
      </x:c>
      <x:c r="D1632" s="1" t="str">
        <x:f>'Habilidades'!F2511</x:f>
        <x:v>Especial</x:v>
      </x:c>
      <x:c r="E1632" s="18" t="n">
        <x:f>'Habilidades'!G2511</x:f>
        <x:v>60</x:v>
      </x:c>
      <x:c r="F1632" s="18" t="n">
        <x:f>'Habilidades'!H2511</x:f>
        <x:v>55</x:v>
      </x:c>
      <x:c r="G1632" s="18" t="n">
        <x:f>'Habilidades'!I2511</x:f>
        <x:v>115</x:v>
      </x:c>
    </x:row>
    <x:row r="1633" ht="22" customHeight="1">
      <x:c r="A1633" s="19" t="n">
        <x:f>IF(B1633="","",IF(B1633=B1632,A1632,A1632+1))</x:f>
        <x:v>330</x:v>
      </x:c>
      <x:c r="B1633" s="20" t="str">
        <x:f>'Ranking'!C329</x:f>
        <x:v>Wingull</x:v>
      </x:c>
      <x:c r="C1633" s="20" t="str">
        <x:f>'Habilidades'!D2513</x:f>
        <x:v>Wing Attack</x:v>
      </x:c>
      <x:c r="D1633" s="20" t="str">
        <x:f>'Habilidades'!F2513</x:f>
        <x:v>Física</x:v>
      </x:c>
      <x:c r="E1633" s="21" t="n">
        <x:f>'Habilidades'!G2513</x:f>
        <x:v>60</x:v>
      </x:c>
      <x:c r="F1633" s="21" t="n">
        <x:f>'Habilidades'!H2513</x:f>
        <x:v>30</x:v>
      </x:c>
      <x:c r="G1633" s="21" t="n">
        <x:f>'Habilidades'!I2513</x:f>
        <x:v>90</x:v>
      </x:c>
    </x:row>
    <x:row r="1634" ht="22" customHeight="1">
      <x:c r="A1634" s="17" t="n">
        <x:f>IF(B1634="","",IF(B1634=B1633,A1633,A1633+1))</x:f>
        <x:v>331</x:v>
      </x:c>
      <x:c r="B1634" s="1" t="str">
        <x:f>'Ranking'!C335</x:f>
        <x:v>Drowzee</x:v>
      </x:c>
      <x:c r="C1634" s="1" t="str">
        <x:f>'Habilidades'!D898</x:f>
        <x:v>Synchronoise</x:v>
      </x:c>
      <x:c r="D1634" s="1" t="str">
        <x:f>'Habilidades'!F898</x:f>
        <x:v>Especial</x:v>
      </x:c>
      <x:c r="E1634" s="18" t="n">
        <x:f>'Habilidades'!G898</x:f>
        <x:v>120</x:v>
      </x:c>
      <x:c r="F1634" s="18" t="n">
        <x:f>'Habilidades'!H898</x:f>
        <x:v>43</x:v>
      </x:c>
      <x:c r="G1634" s="18" t="n">
        <x:f>'Habilidades'!I898</x:f>
        <x:v>163</x:v>
      </x:c>
    </x:row>
    <x:row r="1635" ht="22" customHeight="1">
      <x:c r="A1635" s="17" t="n">
        <x:f>IF(B1635="","",IF(B1635=B1634,A1634,A1634+1))</x:f>
        <x:v>331</x:v>
      </x:c>
      <x:c r="B1635" s="1" t="str">
        <x:f>'Ranking'!C335</x:f>
        <x:v>Drowzee</x:v>
      </x:c>
      <x:c r="C1635" s="1" t="str">
        <x:f>'Habilidades'!D899</x:f>
        <x:v>Future Sight</x:v>
      </x:c>
      <x:c r="D1635" s="1" t="str">
        <x:f>'Habilidades'!F899</x:f>
        <x:v>Especial</x:v>
      </x:c>
      <x:c r="E1635" s="18" t="n">
        <x:f>'Habilidades'!G899</x:f>
        <x:v>120</x:v>
      </x:c>
      <x:c r="F1635" s="18" t="n">
        <x:f>'Habilidades'!H899</x:f>
        <x:v>43</x:v>
      </x:c>
      <x:c r="G1635" s="18" t="n">
        <x:f>'Habilidades'!I899</x:f>
        <x:v>163</x:v>
      </x:c>
    </x:row>
    <x:row r="1636" ht="22" customHeight="1">
      <x:c r="A1636" s="17" t="n">
        <x:f>IF(B1636="","",IF(B1636=B1635,A1635,A1635+1))</x:f>
        <x:v>331</x:v>
      </x:c>
      <x:c r="B1636" s="1" t="str">
        <x:f>'Ranking'!C335</x:f>
        <x:v>Drowzee</x:v>
      </x:c>
      <x:c r="C1636" s="1" t="str">
        <x:f>'Habilidades'!D900</x:f>
        <x:v>Psychic</x:v>
      </x:c>
      <x:c r="D1636" s="1" t="str">
        <x:f>'Habilidades'!F900</x:f>
        <x:v>Especial</x:v>
      </x:c>
      <x:c r="E1636" s="18" t="n">
        <x:f>'Habilidades'!G900</x:f>
        <x:v>90</x:v>
      </x:c>
      <x:c r="F1636" s="18" t="n">
        <x:f>'Habilidades'!H900</x:f>
        <x:v>43</x:v>
      </x:c>
      <x:c r="G1636" s="18" t="n">
        <x:f>'Habilidades'!I900</x:f>
        <x:v>133</x:v>
      </x:c>
    </x:row>
    <x:row r="1637" ht="22" customHeight="1">
      <x:c r="A1637" s="17" t="n">
        <x:f>IF(B1637="","",IF(B1637=B1636,A1636,A1636+1))</x:f>
        <x:v>331</x:v>
      </x:c>
      <x:c r="B1637" s="1" t="str">
        <x:f>'Ranking'!C335</x:f>
        <x:v>Drowzee</x:v>
      </x:c>
      <x:c r="C1637" s="1" t="str">
        <x:f>'Habilidades'!D901</x:f>
        <x:v>Zen Headbutt</x:v>
      </x:c>
      <x:c r="D1637" s="1" t="str">
        <x:f>'Habilidades'!F901</x:f>
        <x:v>Física</x:v>
      </x:c>
      <x:c r="E1637" s="18" t="n">
        <x:f>'Habilidades'!G901</x:f>
        <x:v>80</x:v>
      </x:c>
      <x:c r="F1637" s="18" t="n">
        <x:f>'Habilidades'!H901</x:f>
        <x:v>48</x:v>
      </x:c>
      <x:c r="G1637" s="18" t="n">
        <x:f>'Habilidades'!I901</x:f>
        <x:v>128</x:v>
      </x:c>
    </x:row>
    <x:row r="1638" ht="22" customHeight="1">
      <x:c r="A1638" s="19" t="n">
        <x:f>IF(B1638="","",IF(B1638=B1637,A1637,A1637+1))</x:f>
        <x:v>331</x:v>
      </x:c>
      <x:c r="B1638" s="20" t="str">
        <x:f>'Ranking'!C335</x:f>
        <x:v>Drowzee</x:v>
      </x:c>
      <x:c r="C1638" s="20" t="str">
        <x:f>'Habilidades'!D902</x:f>
        <x:v>Psyshock</x:v>
      </x:c>
      <x:c r="D1638" s="20" t="str">
        <x:f>'Habilidades'!F902</x:f>
        <x:v>Especial</x:v>
      </x:c>
      <x:c r="E1638" s="21" t="n">
        <x:f>'Habilidades'!G902</x:f>
        <x:v>80</x:v>
      </x:c>
      <x:c r="F1638" s="21" t="n">
        <x:f>'Habilidades'!H902</x:f>
        <x:v>43</x:v>
      </x:c>
      <x:c r="G1638" s="21" t="n">
        <x:f>'Habilidades'!I902</x:f>
        <x:v>123</x:v>
      </x:c>
    </x:row>
    <x:row r="1639" ht="22" customHeight="1">
      <x:c r="A1639" s="17" t="n">
        <x:f>IF(B1639="","",IF(B1639=B1638,A1638,A1638+1))</x:f>
        <x:v>332</x:v>
      </x:c>
      <x:c r="B1639" s="1" t="str">
        <x:f>'Ranking'!C336</x:f>
        <x:v>Shieldon</x:v>
      </x:c>
      <x:c r="C1639" s="1" t="str">
        <x:f>'Habilidades'!D3175</x:f>
        <x:v>Heavy Slam</x:v>
      </x:c>
      <x:c r="D1639" s="1" t="str">
        <x:f>'Habilidades'!F3175</x:f>
        <x:v>Física</x:v>
      </x:c>
      <x:c r="E1639" s="18" t="n">
        <x:f>'Habilidades'!G3175</x:f>
        <x:v>120</x:v>
      </x:c>
      <x:c r="F1639" s="18" t="n">
        <x:f>'Habilidades'!H3175</x:f>
        <x:v>42</x:v>
      </x:c>
      <x:c r="G1639" s="18" t="n">
        <x:f>'Habilidades'!I3175</x:f>
        <x:v>162</x:v>
      </x:c>
    </x:row>
    <x:row r="1640" ht="22" customHeight="1">
      <x:c r="A1640" s="17" t="n">
        <x:f>IF(B1640="","",IF(B1640=B1639,A1639,A1639+1))</x:f>
        <x:v>332</x:v>
      </x:c>
      <x:c r="B1640" s="1" t="str">
        <x:f>'Ranking'!C336</x:f>
        <x:v>Shieldon</x:v>
      </x:c>
      <x:c r="C1640" s="1" t="str">
        <x:f>'Habilidades'!D3176</x:f>
        <x:v>Take Down</x:v>
      </x:c>
      <x:c r="D1640" s="1" t="str">
        <x:f>'Habilidades'!F3176</x:f>
        <x:v>Física</x:v>
      </x:c>
      <x:c r="E1640" s="18" t="n">
        <x:f>'Habilidades'!G3176</x:f>
        <x:v>90</x:v>
      </x:c>
      <x:c r="F1640" s="18" t="n">
        <x:f>'Habilidades'!H3176</x:f>
        <x:v>42</x:v>
      </x:c>
      <x:c r="G1640" s="18" t="n">
        <x:f>'Habilidades'!I3176</x:f>
        <x:v>132</x:v>
      </x:c>
    </x:row>
    <x:row r="1641" ht="22" customHeight="1">
      <x:c r="A1641" s="17" t="n">
        <x:f>IF(B1641="","",IF(B1641=B1640,A1640,A1640+1))</x:f>
        <x:v>332</x:v>
      </x:c>
      <x:c r="B1641" s="1" t="str">
        <x:f>'Ranking'!C336</x:f>
        <x:v>Shieldon</x:v>
      </x:c>
      <x:c r="C1641" s="1" t="str">
        <x:f>'Habilidades'!D3177</x:f>
        <x:v>Iron Head</x:v>
      </x:c>
      <x:c r="D1641" s="1" t="str">
        <x:f>'Habilidades'!F3177</x:f>
        <x:v>Física</x:v>
      </x:c>
      <x:c r="E1641" s="18" t="n">
        <x:f>'Habilidades'!G3177</x:f>
        <x:v>80</x:v>
      </x:c>
      <x:c r="F1641" s="18" t="n">
        <x:f>'Habilidades'!H3177</x:f>
        <x:v>42</x:v>
      </x:c>
      <x:c r="G1641" s="18" t="n">
        <x:f>'Habilidades'!I3177</x:f>
        <x:v>122</x:v>
      </x:c>
    </x:row>
    <x:row r="1642" ht="22" customHeight="1">
      <x:c r="A1642" s="17" t="n">
        <x:f>IF(B1642="","",IF(B1642=B1641,A1641,A1641+1))</x:f>
        <x:v>332</x:v>
      </x:c>
      <x:c r="B1642" s="1" t="str">
        <x:f>'Ranking'!C336</x:f>
        <x:v>Shieldon</x:v>
      </x:c>
      <x:c r="C1642" s="1" t="str">
        <x:f>'Habilidades'!D3178</x:f>
        <x:v>Ancient Power</x:v>
      </x:c>
      <x:c r="D1642" s="1" t="str">
        <x:f>'Habilidades'!F3178</x:f>
        <x:v>Especial</x:v>
      </x:c>
      <x:c r="E1642" s="18" t="n">
        <x:f>'Habilidades'!G3178</x:f>
        <x:v>60</x:v>
      </x:c>
      <x:c r="F1642" s="18" t="n">
        <x:f>'Habilidades'!H3178</x:f>
        <x:v>42</x:v>
      </x:c>
      <x:c r="G1642" s="18" t="n">
        <x:f>'Habilidades'!I3178</x:f>
        <x:v>102</x:v>
      </x:c>
    </x:row>
    <x:row r="1643" ht="22" customHeight="1">
      <x:c r="A1643" s="19" t="n">
        <x:f>IF(B1643="","",IF(B1643=B1642,A1642,A1642+1))</x:f>
        <x:v>332</x:v>
      </x:c>
      <x:c r="B1643" s="20" t="str">
        <x:f>'Ranking'!C336</x:f>
        <x:v>Shieldon</x:v>
      </x:c>
      <x:c r="C1643" s="20" t="str">
        <x:f>'Habilidades'!D3179</x:f>
        <x:v>Tackle</x:v>
      </x:c>
      <x:c r="D1643" s="20" t="str">
        <x:f>'Habilidades'!F3179</x:f>
        <x:v>Física</x:v>
      </x:c>
      <x:c r="E1643" s="21" t="n">
        <x:f>'Habilidades'!G3179</x:f>
        <x:v>50</x:v>
      </x:c>
      <x:c r="F1643" s="21" t="n">
        <x:f>'Habilidades'!H3179</x:f>
        <x:v>42</x:v>
      </x:c>
      <x:c r="G1643" s="21" t="n">
        <x:f>'Habilidades'!I3179</x:f>
        <x:v>92</x:v>
      </x:c>
    </x:row>
    <x:row r="1644" ht="22" customHeight="1">
      <x:c r="A1644" s="17" t="n">
        <x:f>IF(B1644="","",IF(B1644=B1643,A1643,A1643+1))</x:f>
        <x:v>333</x:v>
      </x:c>
      <x:c r="B1644" s="1" t="str">
        <x:f>'Ranking'!C344</x:f>
        <x:v>Charmander</x:v>
      </x:c>
      <x:c r="C1644" s="1" t="str">
        <x:f>'Habilidades'!D35</x:f>
        <x:v>Inferno</x:v>
      </x:c>
      <x:c r="D1644" s="1" t="str">
        <x:f>'Habilidades'!F35</x:f>
        <x:v>Especial</x:v>
      </x:c>
      <x:c r="E1644" s="18" t="n">
        <x:f>'Habilidades'!G35</x:f>
        <x:v>100</x:v>
      </x:c>
      <x:c r="F1644" s="18" t="n">
        <x:f>'Habilidades'!H35</x:f>
        <x:v>60</x:v>
      </x:c>
      <x:c r="G1644" s="18" t="n">
        <x:f>'Habilidades'!I35</x:f>
        <x:v>160</x:v>
      </x:c>
    </x:row>
    <x:row r="1645" ht="22" customHeight="1">
      <x:c r="A1645" s="17" t="n">
        <x:f>IF(B1645="","",IF(B1645=B1644,A1644,A1644+1))</x:f>
        <x:v>333</x:v>
      </x:c>
      <x:c r="B1645" s="1" t="str">
        <x:f>'Ranking'!C344</x:f>
        <x:v>Charmander</x:v>
      </x:c>
      <x:c r="C1645" s="1" t="str">
        <x:f>'Habilidades'!D36</x:f>
        <x:v>Flamethrower</x:v>
      </x:c>
      <x:c r="D1645" s="1" t="str">
        <x:f>'Habilidades'!F36</x:f>
        <x:v>Especial</x:v>
      </x:c>
      <x:c r="E1645" s="18" t="n">
        <x:f>'Habilidades'!G36</x:f>
        <x:v>90</x:v>
      </x:c>
      <x:c r="F1645" s="18" t="n">
        <x:f>'Habilidades'!H36</x:f>
        <x:v>60</x:v>
      </x:c>
      <x:c r="G1645" s="18" t="n">
        <x:f>'Habilidades'!I36</x:f>
        <x:v>150</x:v>
      </x:c>
    </x:row>
    <x:row r="1646" ht="22" customHeight="1">
      <x:c r="A1646" s="17" t="n">
        <x:f>IF(B1646="","",IF(B1646=B1645,A1645,A1645+1))</x:f>
        <x:v>333</x:v>
      </x:c>
      <x:c r="B1646" s="1" t="str">
        <x:f>'Ranking'!C344</x:f>
        <x:v>Charmander</x:v>
      </x:c>
      <x:c r="C1646" s="1" t="str">
        <x:f>'Habilidades'!D37</x:f>
        <x:v>Flame Burst</x:v>
      </x:c>
      <x:c r="D1646" s="1" t="str">
        <x:f>'Habilidades'!F37</x:f>
        <x:v>Especial</x:v>
      </x:c>
      <x:c r="E1646" s="18" t="n">
        <x:f>'Habilidades'!G37</x:f>
        <x:v>70</x:v>
      </x:c>
      <x:c r="F1646" s="18" t="n">
        <x:f>'Habilidades'!H37</x:f>
        <x:v>60</x:v>
      </x:c>
      <x:c r="G1646" s="18" t="n">
        <x:f>'Habilidades'!I37</x:f>
        <x:v>130</x:v>
      </x:c>
    </x:row>
    <x:row r="1647" ht="22" customHeight="1">
      <x:c r="A1647" s="17" t="n">
        <x:f>IF(B1647="","",IF(B1647=B1646,A1646,A1646+1))</x:f>
        <x:v>333</x:v>
      </x:c>
      <x:c r="B1647" s="1" t="str">
        <x:f>'Ranking'!C344</x:f>
        <x:v>Charmander</x:v>
      </x:c>
      <x:c r="C1647" s="1" t="str">
        <x:f>'Habilidades'!D38</x:f>
        <x:v>Slash</x:v>
      </x:c>
      <x:c r="D1647" s="1" t="str">
        <x:f>'Habilidades'!F38</x:f>
        <x:v>Física</x:v>
      </x:c>
      <x:c r="E1647" s="18" t="n">
        <x:f>'Habilidades'!G38</x:f>
        <x:v>70</x:v>
      </x:c>
      <x:c r="F1647" s="18" t="n">
        <x:f>'Habilidades'!H38</x:f>
        <x:v>52</x:v>
      </x:c>
      <x:c r="G1647" s="18" t="n">
        <x:f>'Habilidades'!I38</x:f>
        <x:v>122</x:v>
      </x:c>
    </x:row>
    <x:row r="1648" ht="22" customHeight="1">
      <x:c r="A1648" s="19" t="n">
        <x:f>IF(B1648="","",IF(B1648=B1647,A1647,A1647+1))</x:f>
        <x:v>333</x:v>
      </x:c>
      <x:c r="B1648" s="20" t="str">
        <x:f>'Ranking'!C344</x:f>
        <x:v>Charmander</x:v>
      </x:c>
      <x:c r="C1648" s="20" t="str">
        <x:f>'Habilidades'!D39</x:f>
        <x:v>Fire Fang</x:v>
      </x:c>
      <x:c r="D1648" s="20" t="str">
        <x:f>'Habilidades'!F39</x:f>
        <x:v>Física</x:v>
      </x:c>
      <x:c r="E1648" s="21" t="n">
        <x:f>'Habilidades'!G39</x:f>
        <x:v>65</x:v>
      </x:c>
      <x:c r="F1648" s="21" t="n">
        <x:f>'Habilidades'!H39</x:f>
        <x:v>52</x:v>
      </x:c>
      <x:c r="G1648" s="21" t="n">
        <x:f>'Habilidades'!I39</x:f>
        <x:v>117</x:v>
      </x:c>
    </x:row>
    <x:row r="1649" ht="22" customHeight="1">
      <x:c r="A1649" s="17" t="n">
        <x:f>IF(B1649="","",IF(B1649=B1648,A1648,A1648+1))</x:f>
        <x:v>334</x:v>
      </x:c>
      <x:c r="B1649" s="1" t="str">
        <x:f>'Ranking'!C340</x:f>
        <x:v>Mudkip</x:v>
      </x:c>
      <x:c r="C1649" s="1" t="str">
        <x:f>'Habilidades'!D2417</x:f>
        <x:v>Hydro Pump</x:v>
      </x:c>
      <x:c r="D1649" s="1" t="str">
        <x:f>'Habilidades'!F2417</x:f>
        <x:v>Especial</x:v>
      </x:c>
      <x:c r="E1649" s="18" t="n">
        <x:f>'Habilidades'!G2417</x:f>
        <x:v>110</x:v>
      </x:c>
      <x:c r="F1649" s="18" t="n">
        <x:f>'Habilidades'!H2417</x:f>
        <x:v>50</x:v>
      </x:c>
      <x:c r="G1649" s="18" t="n">
        <x:f>'Habilidades'!I2417</x:f>
        <x:v>160</x:v>
      </x:c>
    </x:row>
    <x:row r="1650" ht="22" customHeight="1">
      <x:c r="A1650" s="17" t="n">
        <x:f>IF(B1650="","",IF(B1650=B1649,A1649,A1649+1))</x:f>
        <x:v>334</x:v>
      </x:c>
      <x:c r="B1650" s="1" t="str">
        <x:f>'Ranking'!C340</x:f>
        <x:v>Mudkip</x:v>
      </x:c>
      <x:c r="C1650" s="1" t="str">
        <x:f>'Habilidades'!D2418</x:f>
        <x:v>Take Down</x:v>
      </x:c>
      <x:c r="D1650" s="1" t="str">
        <x:f>'Habilidades'!F2418</x:f>
        <x:v>Física</x:v>
      </x:c>
      <x:c r="E1650" s="18" t="n">
        <x:f>'Habilidades'!G2418</x:f>
        <x:v>90</x:v>
      </x:c>
      <x:c r="F1650" s="18" t="n">
        <x:f>'Habilidades'!H2418</x:f>
        <x:v>70</x:v>
      </x:c>
      <x:c r="G1650" s="18" t="n">
        <x:f>'Habilidades'!I2418</x:f>
        <x:v>160</x:v>
      </x:c>
    </x:row>
    <x:row r="1651" ht="22" customHeight="1">
      <x:c r="A1651" s="17" t="n">
        <x:f>IF(B1651="","",IF(B1651=B1650,A1650,A1650+1))</x:f>
        <x:v>334</x:v>
      </x:c>
      <x:c r="B1651" s="1" t="str">
        <x:f>'Ranking'!C340</x:f>
        <x:v>Mudkip</x:v>
      </x:c>
      <x:c r="C1651" s="1" t="str">
        <x:f>'Habilidades'!D2419</x:f>
        <x:v>Tackle</x:v>
      </x:c>
      <x:c r="D1651" s="1" t="str">
        <x:f>'Habilidades'!F2419</x:f>
        <x:v>Física</x:v>
      </x:c>
      <x:c r="E1651" s="18" t="n">
        <x:f>'Habilidades'!G2419</x:f>
        <x:v>50</x:v>
      </x:c>
      <x:c r="F1651" s="18" t="n">
        <x:f>'Habilidades'!H2419</x:f>
        <x:v>70</x:v>
      </x:c>
      <x:c r="G1651" s="18" t="n">
        <x:f>'Habilidades'!I2419</x:f>
        <x:v>120</x:v>
      </x:c>
    </x:row>
    <x:row r="1652" ht="22" customHeight="1">
      <x:c r="A1652" s="17" t="n">
        <x:f>IF(B1652="","",IF(B1652=B1651,A1651,A1651+1))</x:f>
        <x:v>334</x:v>
      </x:c>
      <x:c r="B1652" s="1" t="str">
        <x:f>'Ranking'!C340</x:f>
        <x:v>Mudkip</x:v>
      </x:c>
      <x:c r="C1652" s="1" t="str">
        <x:f>'Habilidades'!D2420</x:f>
        <x:v>Rock Throw</x:v>
      </x:c>
      <x:c r="D1652" s="1" t="str">
        <x:f>'Habilidades'!F2420</x:f>
        <x:v>Física</x:v>
      </x:c>
      <x:c r="E1652" s="18" t="n">
        <x:f>'Habilidades'!G2420</x:f>
        <x:v>50</x:v>
      </x:c>
      <x:c r="F1652" s="18" t="n">
        <x:f>'Habilidades'!H2420</x:f>
        <x:v>70</x:v>
      </x:c>
      <x:c r="G1652" s="18" t="n">
        <x:f>'Habilidades'!I2420</x:f>
        <x:v>120</x:v>
      </x:c>
    </x:row>
    <x:row r="1653" ht="22" customHeight="1">
      <x:c r="A1653" s="19" t="n">
        <x:f>IF(B1653="","",IF(B1653=B1652,A1652,A1652+1))</x:f>
        <x:v>334</x:v>
      </x:c>
      <x:c r="B1653" s="20" t="str">
        <x:f>'Ranking'!C340</x:f>
        <x:v>Mudkip</x:v>
      </x:c>
      <x:c r="C1653" s="20" t="str">
        <x:f>'Habilidades'!D2421</x:f>
        <x:v>Water Gun</x:v>
      </x:c>
      <x:c r="D1653" s="20" t="str">
        <x:f>'Habilidades'!F2421</x:f>
        <x:v>Especial</x:v>
      </x:c>
      <x:c r="E1653" s="21" t="n">
        <x:f>'Habilidades'!G2421</x:f>
        <x:v>40</x:v>
      </x:c>
      <x:c r="F1653" s="21" t="n">
        <x:f>'Habilidades'!H2421</x:f>
        <x:v>50</x:v>
      </x:c>
      <x:c r="G1653" s="21" t="n">
        <x:f>'Habilidades'!I2421</x:f>
        <x:v>90</x:v>
      </x:c>
    </x:row>
    <x:row r="1654" ht="22" customHeight="1">
      <x:c r="A1654" s="17" t="n">
        <x:f>IF(B1654="","",IF(B1654=B1653,A1653,A1653+1))</x:f>
        <x:v>335</x:v>
      </x:c>
      <x:c r="B1654" s="1" t="str">
        <x:f>'Ranking'!C341</x:f>
        <x:v>Nuzleaf</x:v>
      </x:c>
      <x:c r="C1654" s="1" t="str">
        <x:f>'Habilidades'!D2482</x:f>
        <x:v>Leaf Blade</x:v>
      </x:c>
      <x:c r="D1654" s="1" t="str">
        <x:f>'Habilidades'!F2482</x:f>
        <x:v>Física</x:v>
      </x:c>
      <x:c r="E1654" s="18" t="n">
        <x:f>'Habilidades'!G2482</x:f>
        <x:v>90</x:v>
      </x:c>
      <x:c r="F1654" s="18" t="n">
        <x:f>'Habilidades'!H2482</x:f>
        <x:v>70</x:v>
      </x:c>
      <x:c r="G1654" s="18" t="n">
        <x:f>'Habilidades'!I2482</x:f>
        <x:v>160</x:v>
      </x:c>
    </x:row>
    <x:row r="1655" ht="22" customHeight="1">
      <x:c r="A1655" s="17" t="n">
        <x:f>IF(B1655="","",IF(B1655=B1654,A1654,A1654+1))</x:f>
        <x:v>335</x:v>
      </x:c>
      <x:c r="B1655" s="1" t="str">
        <x:f>'Ranking'!C341</x:f>
        <x:v>Nuzleaf</x:v>
      </x:c>
      <x:c r="C1655" s="1" t="str">
        <x:f>'Habilidades'!D2483</x:f>
        <x:v>Razor Wind</x:v>
      </x:c>
      <x:c r="D1655" s="1" t="str">
        <x:f>'Habilidades'!F2483</x:f>
        <x:v>Especial</x:v>
      </x:c>
      <x:c r="E1655" s="18" t="n">
        <x:f>'Habilidades'!G2483</x:f>
        <x:v>80</x:v>
      </x:c>
      <x:c r="F1655" s="18" t="n">
        <x:f>'Habilidades'!H2483</x:f>
        <x:v>60</x:v>
      </x:c>
      <x:c r="G1655" s="18" t="n">
        <x:f>'Habilidades'!I2483</x:f>
        <x:v>140</x:v>
      </x:c>
    </x:row>
    <x:row r="1656" ht="22" customHeight="1">
      <x:c r="A1656" s="17" t="n">
        <x:f>IF(B1656="","",IF(B1656=B1655,A1655,A1655+1))</x:f>
        <x:v>335</x:v>
      </x:c>
      <x:c r="B1656" s="1" t="str">
        <x:f>'Ranking'!C341</x:f>
        <x:v>Nuzleaf</x:v>
      </x:c>
      <x:c r="C1656" s="1" t="str">
        <x:f>'Habilidades'!D2484</x:f>
        <x:v>Extrasensory</x:v>
      </x:c>
      <x:c r="D1656" s="1" t="str">
        <x:f>'Habilidades'!F2484</x:f>
        <x:v>Especial</x:v>
      </x:c>
      <x:c r="E1656" s="18" t="n">
        <x:f>'Habilidades'!G2484</x:f>
        <x:v>80</x:v>
      </x:c>
      <x:c r="F1656" s="18" t="n">
        <x:f>'Habilidades'!H2484</x:f>
        <x:v>60</x:v>
      </x:c>
      <x:c r="G1656" s="18" t="n">
        <x:f>'Habilidades'!I2484</x:f>
        <x:v>140</x:v>
      </x:c>
    </x:row>
    <x:row r="1657" ht="22" customHeight="1">
      <x:c r="A1657" s="17" t="n">
        <x:f>IF(B1657="","",IF(B1657=B1656,A1656,A1656+1))</x:f>
        <x:v>335</x:v>
      </x:c>
      <x:c r="B1657" s="1" t="str">
        <x:f>'Ranking'!C341</x:f>
        <x:v>Nuzleaf</x:v>
      </x:c>
      <x:c r="C1657" s="1" t="str">
        <x:f>'Habilidades'!D2485</x:f>
        <x:v>Feint Attack</x:v>
      </x:c>
      <x:c r="D1657" s="1" t="str">
        <x:f>'Habilidades'!F2485</x:f>
        <x:v>Física</x:v>
      </x:c>
      <x:c r="E1657" s="18" t="n">
        <x:f>'Habilidades'!G2485</x:f>
        <x:v>60</x:v>
      </x:c>
      <x:c r="F1657" s="18" t="n">
        <x:f>'Habilidades'!H2485</x:f>
        <x:v>70</x:v>
      </x:c>
      <x:c r="G1657" s="18" t="n">
        <x:f>'Habilidades'!I2485</x:f>
        <x:v>130</x:v>
      </x:c>
    </x:row>
    <x:row r="1658" ht="22" customHeight="1">
      <x:c r="A1658" s="19" t="n">
        <x:f>IF(B1658="","",IF(B1658=B1657,A1657,A1657+1))</x:f>
        <x:v>335</x:v>
      </x:c>
      <x:c r="B1658" s="20" t="str">
        <x:f>'Ranking'!C341</x:f>
        <x:v>Nuzleaf</x:v>
      </x:c>
      <x:c r="C1658" s="20" t="str">
        <x:f>'Habilidades'!D2486</x:f>
        <x:v>Razor Leaf</x:v>
      </x:c>
      <x:c r="D1658" s="20" t="str">
        <x:f>'Habilidades'!F2486</x:f>
        <x:v>Física</x:v>
      </x:c>
      <x:c r="E1658" s="21" t="n">
        <x:f>'Habilidades'!G2486</x:f>
        <x:v>55</x:v>
      </x:c>
      <x:c r="F1658" s="21" t="n">
        <x:f>'Habilidades'!H2486</x:f>
        <x:v>70</x:v>
      </x:c>
      <x:c r="G1658" s="21" t="n">
        <x:f>'Habilidades'!I2486</x:f>
        <x:v>125</x:v>
      </x:c>
    </x:row>
    <x:row r="1659" ht="22" customHeight="1">
      <x:c r="A1659" s="17" t="n">
        <x:f>IF(B1659="","",IF(B1659=B1658,A1658,A1658+1))</x:f>
        <x:v>336</x:v>
      </x:c>
      <x:c r="B1659" s="1" t="str">
        <x:f>'Ranking'!C337</x:f>
        <x:v>Persian</x:v>
      </x:c>
      <x:c r="C1659" s="1" t="str">
        <x:f>'Habilidades'!D468</x:f>
        <x:v>Play Rough</x:v>
      </x:c>
      <x:c r="D1659" s="1" t="str">
        <x:f>'Habilidades'!F468</x:f>
        <x:v>Física</x:v>
      </x:c>
      <x:c r="E1659" s="18" t="n">
        <x:f>'Habilidades'!G468</x:f>
        <x:v>90</x:v>
      </x:c>
      <x:c r="F1659" s="18" t="n">
        <x:f>'Habilidades'!H468</x:f>
        <x:v>70</x:v>
      </x:c>
      <x:c r="G1659" s="18" t="n">
        <x:f>'Habilidades'!I468</x:f>
        <x:v>160</x:v>
      </x:c>
    </x:row>
    <x:row r="1660" ht="22" customHeight="1">
      <x:c r="A1660" s="17" t="n">
        <x:f>IF(B1660="","",IF(B1660=B1659,A1659,A1659+1))</x:f>
        <x:v>336</x:v>
      </x:c>
      <x:c r="B1660" s="1" t="str">
        <x:f>'Ranking'!C337</x:f>
        <x:v>Persian</x:v>
      </x:c>
      <x:c r="C1660" s="1" t="str">
        <x:f>'Habilidades'!D469</x:f>
        <x:v>Power Gem</x:v>
      </x:c>
      <x:c r="D1660" s="1" t="str">
        <x:f>'Habilidades'!F469</x:f>
        <x:v>Especial</x:v>
      </x:c>
      <x:c r="E1660" s="18" t="n">
        <x:f>'Habilidades'!G469</x:f>
        <x:v>80</x:v>
      </x:c>
      <x:c r="F1660" s="18" t="n">
        <x:f>'Habilidades'!H469</x:f>
        <x:v>65</x:v>
      </x:c>
      <x:c r="G1660" s="18" t="n">
        <x:f>'Habilidades'!I469</x:f>
        <x:v>145</x:v>
      </x:c>
    </x:row>
    <x:row r="1661" ht="22" customHeight="1">
      <x:c r="A1661" s="17" t="n">
        <x:f>IF(B1661="","",IF(B1661=B1660,A1660,A1660+1))</x:f>
        <x:v>336</x:v>
      </x:c>
      <x:c r="B1661" s="1" t="str">
        <x:f>'Ranking'!C337</x:f>
        <x:v>Persian</x:v>
      </x:c>
      <x:c r="C1661" s="1" t="str">
        <x:f>'Habilidades'!D470</x:f>
        <x:v>Slash</x:v>
      </x:c>
      <x:c r="D1661" s="1" t="str">
        <x:f>'Habilidades'!F470</x:f>
        <x:v>Física</x:v>
      </x:c>
      <x:c r="E1661" s="18" t="n">
        <x:f>'Habilidades'!G470</x:f>
        <x:v>70</x:v>
      </x:c>
      <x:c r="F1661" s="18" t="n">
        <x:f>'Habilidades'!H470</x:f>
        <x:v>70</x:v>
      </x:c>
      <x:c r="G1661" s="18" t="n">
        <x:f>'Habilidades'!I470</x:f>
        <x:v>140</x:v>
      </x:c>
    </x:row>
    <x:row r="1662" ht="22" customHeight="1">
      <x:c r="A1662" s="17" t="n">
        <x:f>IF(B1662="","",IF(B1662=B1661,A1661,A1661+1))</x:f>
        <x:v>336</x:v>
      </x:c>
      <x:c r="B1662" s="1" t="str">
        <x:f>'Ranking'!C337</x:f>
        <x:v>Persian</x:v>
      </x:c>
      <x:c r="C1662" s="1" t="str">
        <x:f>'Habilidades'!D471</x:f>
        <x:v>Night Slash</x:v>
      </x:c>
      <x:c r="D1662" s="1" t="str">
        <x:f>'Habilidades'!F471</x:f>
        <x:v>Física</x:v>
      </x:c>
      <x:c r="E1662" s="18" t="n">
        <x:f>'Habilidades'!G471</x:f>
        <x:v>70</x:v>
      </x:c>
      <x:c r="F1662" s="18" t="n">
        <x:f>'Habilidades'!H471</x:f>
        <x:v>70</x:v>
      </x:c>
      <x:c r="G1662" s="18" t="n">
        <x:f>'Habilidades'!I471</x:f>
        <x:v>140</x:v>
      </x:c>
    </x:row>
    <x:row r="1663" ht="22" customHeight="1">
      <x:c r="A1663" s="19" t="n">
        <x:f>IF(B1663="","",IF(B1663=B1662,A1662,A1662+1))</x:f>
        <x:v>336</x:v>
      </x:c>
      <x:c r="B1663" s="20" t="str">
        <x:f>'Ranking'!C337</x:f>
        <x:v>Persian</x:v>
      </x:c>
      <x:c r="C1663" s="20" t="str">
        <x:f>'Habilidades'!D472</x:f>
        <x:v>Bite</x:v>
      </x:c>
      <x:c r="D1663" s="20" t="str">
        <x:f>'Habilidades'!F472</x:f>
        <x:v>Física</x:v>
      </x:c>
      <x:c r="E1663" s="21" t="n">
        <x:f>'Habilidades'!G472</x:f>
        <x:v>60</x:v>
      </x:c>
      <x:c r="F1663" s="21" t="n">
        <x:f>'Habilidades'!H472</x:f>
        <x:v>70</x:v>
      </x:c>
      <x:c r="G1663" s="21" t="n">
        <x:f>'Habilidades'!I472</x:f>
        <x:v>130</x:v>
      </x:c>
    </x:row>
    <x:row r="1664" ht="22" customHeight="1">
      <x:c r="A1664" s="17" t="n">
        <x:f>IF(B1664="","",IF(B1664=B1663,A1663,A1663+1))</x:f>
        <x:v>337</x:v>
      </x:c>
      <x:c r="B1664" s="1" t="str">
        <x:f>'Ranking'!C345</x:f>
        <x:v>Pidgeotto</x:v>
      </x:c>
      <x:c r="C1664" s="1" t="str">
        <x:f>'Habilidades'!D133</x:f>
        <x:v>Hurricane</x:v>
      </x:c>
      <x:c r="D1664" s="1" t="str">
        <x:f>'Habilidades'!F133</x:f>
        <x:v>Especial</x:v>
      </x:c>
      <x:c r="E1664" s="18" t="n">
        <x:f>'Habilidades'!G133</x:f>
        <x:v>110</x:v>
      </x:c>
      <x:c r="F1664" s="18" t="n">
        <x:f>'Habilidades'!H133</x:f>
        <x:v>50</x:v>
      </x:c>
      <x:c r="G1664" s="18" t="n">
        <x:f>'Habilidades'!I133</x:f>
        <x:v>160</x:v>
      </x:c>
    </x:row>
    <x:row r="1665" ht="22" customHeight="1">
      <x:c r="A1665" s="17" t="n">
        <x:f>IF(B1665="","",IF(B1665=B1664,A1664,A1664+1))</x:f>
        <x:v>337</x:v>
      </x:c>
      <x:c r="B1665" s="1" t="str">
        <x:f>'Ranking'!C345</x:f>
        <x:v>Pidgeotto</x:v>
      </x:c>
      <x:c r="C1665" s="1" t="str">
        <x:f>'Habilidades'!D134</x:f>
        <x:v>Air Slash</x:v>
      </x:c>
      <x:c r="D1665" s="1" t="str">
        <x:f>'Habilidades'!F134</x:f>
        <x:v>Especial</x:v>
      </x:c>
      <x:c r="E1665" s="18" t="n">
        <x:f>'Habilidades'!G134</x:f>
        <x:v>75</x:v>
      </x:c>
      <x:c r="F1665" s="18" t="n">
        <x:f>'Habilidades'!H134</x:f>
        <x:v>50</x:v>
      </x:c>
      <x:c r="G1665" s="18" t="n">
        <x:f>'Habilidades'!I134</x:f>
        <x:v>125</x:v>
      </x:c>
    </x:row>
    <x:row r="1666" ht="22" customHeight="1">
      <x:c r="A1666" s="17" t="n">
        <x:f>IF(B1666="","",IF(B1666=B1665,A1665,A1665+1))</x:f>
        <x:v>337</x:v>
      </x:c>
      <x:c r="B1666" s="1" t="str">
        <x:f>'Ranking'!C345</x:f>
        <x:v>Pidgeotto</x:v>
      </x:c>
      <x:c r="C1666" s="1" t="str">
        <x:f>'Habilidades'!D135</x:f>
        <x:v>Wing Attack</x:v>
      </x:c>
      <x:c r="D1666" s="1" t="str">
        <x:f>'Habilidades'!F135</x:f>
        <x:v>Física</x:v>
      </x:c>
      <x:c r="E1666" s="18" t="n">
        <x:f>'Habilidades'!G135</x:f>
        <x:v>60</x:v>
      </x:c>
      <x:c r="F1666" s="18" t="n">
        <x:f>'Habilidades'!H135</x:f>
        <x:v>60</x:v>
      </x:c>
      <x:c r="G1666" s="18" t="n">
        <x:f>'Habilidades'!I135</x:f>
        <x:v>120</x:v>
      </x:c>
    </x:row>
    <x:row r="1667" ht="22" customHeight="1">
      <x:c r="A1667" s="17" t="n">
        <x:f>IF(B1667="","",IF(B1667=B1666,A1666,A1666+1))</x:f>
        <x:v>337</x:v>
      </x:c>
      <x:c r="B1667" s="1" t="str">
        <x:f>'Ranking'!C345</x:f>
        <x:v>Pidgeotto</x:v>
      </x:c>
      <x:c r="C1667" s="1" t="str">
        <x:f>'Habilidades'!D136</x:f>
        <x:v>Tackle</x:v>
      </x:c>
      <x:c r="D1667" s="1" t="str">
        <x:f>'Habilidades'!F136</x:f>
        <x:v>Física</x:v>
      </x:c>
      <x:c r="E1667" s="18" t="n">
        <x:f>'Habilidades'!G136</x:f>
        <x:v>50</x:v>
      </x:c>
      <x:c r="F1667" s="18" t="n">
        <x:f>'Habilidades'!H136</x:f>
        <x:v>60</x:v>
      </x:c>
      <x:c r="G1667" s="18" t="n">
        <x:f>'Habilidades'!I136</x:f>
        <x:v>110</x:v>
      </x:c>
    </x:row>
    <x:row r="1668" ht="22" customHeight="1">
      <x:c r="A1668" s="19" t="n">
        <x:f>IF(B1668="","",IF(B1668=B1667,A1667,A1667+1))</x:f>
        <x:v>337</x:v>
      </x:c>
      <x:c r="B1668" s="20" t="str">
        <x:f>'Ranking'!C345</x:f>
        <x:v>Pidgeotto</x:v>
      </x:c>
      <x:c r="C1668" s="20" t="str">
        <x:f>'Habilidades'!D138</x:f>
        <x:v>Gust</x:v>
      </x:c>
      <x:c r="D1668" s="20" t="str">
        <x:f>'Habilidades'!F138</x:f>
        <x:v>Especial</x:v>
      </x:c>
      <x:c r="E1668" s="21" t="n">
        <x:f>'Habilidades'!G138</x:f>
        <x:v>40</x:v>
      </x:c>
      <x:c r="F1668" s="21" t="n">
        <x:f>'Habilidades'!H138</x:f>
        <x:v>50</x:v>
      </x:c>
      <x:c r="G1668" s="21" t="n">
        <x:f>'Habilidades'!I138</x:f>
        <x:v>90</x:v>
      </x:c>
    </x:row>
    <x:row r="1669" ht="22" customHeight="1">
      <x:c r="A1669" s="17" t="n">
        <x:f>IF(B1669="","",IF(B1669=B1668,A1668,A1668+1))</x:f>
        <x:v>338</x:v>
      </x:c>
      <x:c r="B1669" s="1" t="str">
        <x:f>'Ranking'!C346</x:f>
        <x:v>Pikachu</x:v>
      </x:c>
      <x:c r="C1669" s="1" t="str">
        <x:f>'Habilidades'!D210</x:f>
        <x:v>Thunder</x:v>
      </x:c>
      <x:c r="D1669" s="1" t="str">
        <x:f>'Habilidades'!F210</x:f>
        <x:v>Especial</x:v>
      </x:c>
      <x:c r="E1669" s="18" t="n">
        <x:f>'Habilidades'!G210</x:f>
        <x:v>110</x:v>
      </x:c>
      <x:c r="F1669" s="18" t="n">
        <x:f>'Habilidades'!H210</x:f>
        <x:v>50</x:v>
      </x:c>
      <x:c r="G1669" s="18" t="n">
        <x:f>'Habilidades'!I210</x:f>
        <x:v>160</x:v>
      </x:c>
    </x:row>
    <x:row r="1670" ht="22" customHeight="1">
      <x:c r="A1670" s="17" t="n">
        <x:f>IF(B1670="","",IF(B1670=B1669,A1669,A1669+1))</x:f>
        <x:v>338</x:v>
      </x:c>
      <x:c r="B1670" s="1" t="str">
        <x:f>'Ranking'!C346</x:f>
        <x:v>Pikachu</x:v>
      </x:c>
      <x:c r="C1670" s="1" t="str">
        <x:f>'Habilidades'!D211</x:f>
        <x:v>Wild Charge</x:v>
      </x:c>
      <x:c r="D1670" s="1" t="str">
        <x:f>'Habilidades'!F211</x:f>
        <x:v>Física</x:v>
      </x:c>
      <x:c r="E1670" s="18" t="n">
        <x:f>'Habilidades'!G211</x:f>
        <x:v>90</x:v>
      </x:c>
      <x:c r="F1670" s="18" t="n">
        <x:f>'Habilidades'!H211</x:f>
        <x:v>55</x:v>
      </x:c>
      <x:c r="G1670" s="18" t="n">
        <x:f>'Habilidades'!I211</x:f>
        <x:v>145</x:v>
      </x:c>
    </x:row>
    <x:row r="1671" ht="22" customHeight="1">
      <x:c r="A1671" s="17" t="n">
        <x:f>IF(B1671="","",IF(B1671=B1670,A1670,A1670+1))</x:f>
        <x:v>338</x:v>
      </x:c>
      <x:c r="B1671" s="1" t="str">
        <x:f>'Ranking'!C346</x:f>
        <x:v>Pikachu</x:v>
      </x:c>
      <x:c r="C1671" s="1" t="str">
        <x:f>'Habilidades'!D212</x:f>
        <x:v>Thunderbolt</x:v>
      </x:c>
      <x:c r="D1671" s="1" t="str">
        <x:f>'Habilidades'!F212</x:f>
        <x:v>Especial</x:v>
      </x:c>
      <x:c r="E1671" s="18" t="n">
        <x:f>'Habilidades'!G212</x:f>
        <x:v>90</x:v>
      </x:c>
      <x:c r="F1671" s="18" t="n">
        <x:f>'Habilidades'!H212</x:f>
        <x:v>50</x:v>
      </x:c>
      <x:c r="G1671" s="18" t="n">
        <x:f>'Habilidades'!I212</x:f>
        <x:v>140</x:v>
      </x:c>
    </x:row>
    <x:row r="1672" ht="22" customHeight="1">
      <x:c r="A1672" s="17" t="n">
        <x:f>IF(B1672="","",IF(B1672=B1671,A1671,A1671+1))</x:f>
        <x:v>338</x:v>
      </x:c>
      <x:c r="B1672" s="1" t="str">
        <x:f>'Ranking'!C346</x:f>
        <x:v>Pikachu</x:v>
      </x:c>
      <x:c r="C1672" s="1" t="str">
        <x:f>'Habilidades'!D213</x:f>
        <x:v>Slam</x:v>
      </x:c>
      <x:c r="D1672" s="1" t="str">
        <x:f>'Habilidades'!F213</x:f>
        <x:v>Física</x:v>
      </x:c>
      <x:c r="E1672" s="18" t="n">
        <x:f>'Habilidades'!G213</x:f>
        <x:v>80</x:v>
      </x:c>
      <x:c r="F1672" s="18" t="n">
        <x:f>'Habilidades'!H213</x:f>
        <x:v>55</x:v>
      </x:c>
      <x:c r="G1672" s="18" t="n">
        <x:f>'Habilidades'!I213</x:f>
        <x:v>135</x:v>
      </x:c>
    </x:row>
    <x:row r="1673" ht="22" customHeight="1">
      <x:c r="A1673" s="19" t="n">
        <x:f>IF(B1673="","",IF(B1673=B1672,A1672,A1672+1))</x:f>
        <x:v>338</x:v>
      </x:c>
      <x:c r="B1673" s="20" t="str">
        <x:f>'Ranking'!C346</x:f>
        <x:v>Pikachu</x:v>
      </x:c>
      <x:c r="C1673" s="20" t="str">
        <x:f>'Habilidades'!D214</x:f>
        <x:v>Discharge</x:v>
      </x:c>
      <x:c r="D1673" s="20" t="str">
        <x:f>'Habilidades'!F214</x:f>
        <x:v>Especial</x:v>
      </x:c>
      <x:c r="E1673" s="21" t="n">
        <x:f>'Habilidades'!G214</x:f>
        <x:v>80</x:v>
      </x:c>
      <x:c r="F1673" s="21" t="n">
        <x:f>'Habilidades'!H214</x:f>
        <x:v>50</x:v>
      </x:c>
      <x:c r="G1673" s="21" t="n">
        <x:f>'Habilidades'!I214</x:f>
        <x:v>130</x:v>
      </x:c>
    </x:row>
    <x:row r="1674" ht="22" customHeight="1">
      <x:c r="A1674" s="17" t="n">
        <x:f>IF(B1674="","",IF(B1674=B1673,A1673,A1673+1))</x:f>
        <x:v>339</x:v>
      </x:c>
      <x:c r="B1674" s="1" t="str">
        <x:f>'Ranking'!C343</x:f>
        <x:v>Poliwhirl</x:v>
      </x:c>
      <x:c r="C1674" s="1" t="str">
        <x:f>'Habilidades'!D543</x:f>
        <x:v>Hydro Pump</x:v>
      </x:c>
      <x:c r="D1674" s="1" t="str">
        <x:f>'Habilidades'!F543</x:f>
        <x:v>Especial</x:v>
      </x:c>
      <x:c r="E1674" s="18" t="n">
        <x:f>'Habilidades'!G543</x:f>
        <x:v>110</x:v>
      </x:c>
      <x:c r="F1674" s="18" t="n">
        <x:f>'Habilidades'!H543</x:f>
        <x:v>50</x:v>
      </x:c>
      <x:c r="G1674" s="18" t="n">
        <x:f>'Habilidades'!I543</x:f>
        <x:v>160</x:v>
      </x:c>
    </x:row>
    <x:row r="1675" ht="22" customHeight="1">
      <x:c r="A1675" s="17" t="n">
        <x:f>IF(B1675="","",IF(B1675=B1674,A1674,A1674+1))</x:f>
        <x:v>339</x:v>
      </x:c>
      <x:c r="B1675" s="1" t="str">
        <x:f>'Ranking'!C343</x:f>
        <x:v>Poliwhirl</x:v>
      </x:c>
      <x:c r="C1675" s="1" t="str">
        <x:f>'Habilidades'!D544</x:f>
        <x:v>Body Slam</x:v>
      </x:c>
      <x:c r="D1675" s="1" t="str">
        <x:f>'Habilidades'!F544</x:f>
        <x:v>Física</x:v>
      </x:c>
      <x:c r="E1675" s="18" t="n">
        <x:f>'Habilidades'!G544</x:f>
        <x:v>85</x:v>
      </x:c>
      <x:c r="F1675" s="18" t="n">
        <x:f>'Habilidades'!H544</x:f>
        <x:v>65</x:v>
      </x:c>
      <x:c r="G1675" s="18" t="n">
        <x:f>'Habilidades'!I544</x:f>
        <x:v>150</x:v>
      </x:c>
    </x:row>
    <x:row r="1676" ht="22" customHeight="1">
      <x:c r="A1676" s="17" t="n">
        <x:f>IF(B1676="","",IF(B1676=B1675,A1675,A1675+1))</x:f>
        <x:v>339</x:v>
      </x:c>
      <x:c r="B1676" s="1" t="str">
        <x:f>'Ranking'!C343</x:f>
        <x:v>Poliwhirl</x:v>
      </x:c>
      <x:c r="C1676" s="1" t="str">
        <x:f>'Habilidades'!D545</x:f>
        <x:v>Wake-Up Slap</x:v>
      </x:c>
      <x:c r="D1676" s="1" t="str">
        <x:f>'Habilidades'!F545</x:f>
        <x:v>Física</x:v>
      </x:c>
      <x:c r="E1676" s="18" t="n">
        <x:f>'Habilidades'!G545</x:f>
        <x:v>70</x:v>
      </x:c>
      <x:c r="F1676" s="18" t="n">
        <x:f>'Habilidades'!H545</x:f>
        <x:v>65</x:v>
      </x:c>
      <x:c r="G1676" s="18" t="n">
        <x:f>'Habilidades'!I545</x:f>
        <x:v>135</x:v>
      </x:c>
    </x:row>
    <x:row r="1677" ht="22" customHeight="1">
      <x:c r="A1677" s="17" t="n">
        <x:f>IF(B1677="","",IF(B1677=B1676,A1676,A1676+1))</x:f>
        <x:v>339</x:v>
      </x:c>
      <x:c r="B1677" s="1" t="str">
        <x:f>'Ranking'!C343</x:f>
        <x:v>Poliwhirl</x:v>
      </x:c>
      <x:c r="C1677" s="1" t="str">
        <x:f>'Habilidades'!D546</x:f>
        <x:v>Bubble Beam</x:v>
      </x:c>
      <x:c r="D1677" s="1" t="str">
        <x:f>'Habilidades'!F546</x:f>
        <x:v>Especial</x:v>
      </x:c>
      <x:c r="E1677" s="18" t="n">
        <x:f>'Habilidades'!G546</x:f>
        <x:v>65</x:v>
      </x:c>
      <x:c r="F1677" s="18" t="n">
        <x:f>'Habilidades'!H546</x:f>
        <x:v>50</x:v>
      </x:c>
      <x:c r="G1677" s="18" t="n">
        <x:f>'Habilidades'!I546</x:f>
        <x:v>115</x:v>
      </x:c>
    </x:row>
    <x:row r="1678" ht="22" customHeight="1">
      <x:c r="A1678" s="19" t="n">
        <x:f>IF(B1678="","",IF(B1678=B1677,A1677,A1677+1))</x:f>
        <x:v>339</x:v>
      </x:c>
      <x:c r="B1678" s="20" t="str">
        <x:f>'Ranking'!C343</x:f>
        <x:v>Poliwhirl</x:v>
      </x:c>
      <x:c r="C1678" s="20" t="str">
        <x:f>'Habilidades'!D547</x:f>
        <x:v>Mud Bomb</x:v>
      </x:c>
      <x:c r="D1678" s="20" t="str">
        <x:f>'Habilidades'!F547</x:f>
        <x:v>Especial</x:v>
      </x:c>
      <x:c r="E1678" s="21" t="n">
        <x:f>'Habilidades'!G547</x:f>
        <x:v>65</x:v>
      </x:c>
      <x:c r="F1678" s="21" t="n">
        <x:f>'Habilidades'!H547</x:f>
        <x:v>50</x:v>
      </x:c>
      <x:c r="G1678" s="21" t="n">
        <x:f>'Habilidades'!I547</x:f>
        <x:v>115</x:v>
      </x:c>
    </x:row>
    <x:row r="1679" ht="22" customHeight="1">
      <x:c r="A1679" s="17" t="n">
        <x:f>IF(B1679="","",IF(B1679=B1678,A1678,A1678+1))</x:f>
        <x:v>340</x:v>
      </x:c>
      <x:c r="B1679" s="1" t="str">
        <x:f>'Ranking'!C338</x:f>
        <x:v>Slugma</x:v>
      </x:c>
      <x:c r="C1679" s="1" t="str">
        <x:f>'Habilidades'!D2039</x:f>
        <x:v>Flamethrower</x:v>
      </x:c>
      <x:c r="D1679" s="1" t="str">
        <x:f>'Habilidades'!F2039</x:f>
        <x:v>Especial</x:v>
      </x:c>
      <x:c r="E1679" s="18" t="n">
        <x:f>'Habilidades'!G2039</x:f>
        <x:v>90</x:v>
      </x:c>
      <x:c r="F1679" s="18" t="n">
        <x:f>'Habilidades'!H2039</x:f>
        <x:v>70</x:v>
      </x:c>
      <x:c r="G1679" s="18" t="n">
        <x:f>'Habilidades'!I2039</x:f>
        <x:v>160</x:v>
      </x:c>
    </x:row>
    <x:row r="1680" ht="22" customHeight="1">
      <x:c r="A1680" s="17" t="n">
        <x:f>IF(B1680="","",IF(B1680=B1679,A1679,A1679+1))</x:f>
        <x:v>340</x:v>
      </x:c>
      <x:c r="B1680" s="1" t="str">
        <x:f>'Ranking'!C338</x:f>
        <x:v>Slugma</x:v>
      </x:c>
      <x:c r="C1680" s="1" t="str">
        <x:f>'Habilidades'!D2040</x:f>
        <x:v>Earth Power</x:v>
      </x:c>
      <x:c r="D1680" s="1" t="str">
        <x:f>'Habilidades'!F2040</x:f>
        <x:v>Especial</x:v>
      </x:c>
      <x:c r="E1680" s="18" t="n">
        <x:f>'Habilidades'!G2040</x:f>
        <x:v>90</x:v>
      </x:c>
      <x:c r="F1680" s="18" t="n">
        <x:f>'Habilidades'!H2040</x:f>
        <x:v>70</x:v>
      </x:c>
      <x:c r="G1680" s="18" t="n">
        <x:f>'Habilidades'!I2040</x:f>
        <x:v>160</x:v>
      </x:c>
    </x:row>
    <x:row r="1681" ht="22" customHeight="1">
      <x:c r="A1681" s="17" t="n">
        <x:f>IF(B1681="","",IF(B1681=B1680,A1680,A1680+1))</x:f>
        <x:v>340</x:v>
      </x:c>
      <x:c r="B1681" s="1" t="str">
        <x:f>'Ranking'!C338</x:f>
        <x:v>Slugma</x:v>
      </x:c>
      <x:c r="C1681" s="1" t="str">
        <x:f>'Habilidades'!D2041</x:f>
        <x:v>Lava Plume</x:v>
      </x:c>
      <x:c r="D1681" s="1" t="str">
        <x:f>'Habilidades'!F2041</x:f>
        <x:v>Especial</x:v>
      </x:c>
      <x:c r="E1681" s="18" t="n">
        <x:f>'Habilidades'!G2041</x:f>
        <x:v>80</x:v>
      </x:c>
      <x:c r="F1681" s="18" t="n">
        <x:f>'Habilidades'!H2041</x:f>
        <x:v>70</x:v>
      </x:c>
      <x:c r="G1681" s="18" t="n">
        <x:f>'Habilidades'!I2041</x:f>
        <x:v>150</x:v>
      </x:c>
    </x:row>
    <x:row r="1682" ht="22" customHeight="1">
      <x:c r="A1682" s="17" t="n">
        <x:f>IF(B1682="","",IF(B1682=B1681,A1681,A1681+1))</x:f>
        <x:v>340</x:v>
      </x:c>
      <x:c r="B1682" s="1" t="str">
        <x:f>'Ranking'!C338</x:f>
        <x:v>Slugma</x:v>
      </x:c>
      <x:c r="C1682" s="1" t="str">
        <x:f>'Habilidades'!D2045</x:f>
        <x:v>Body Slam</x:v>
      </x:c>
      <x:c r="D1682" s="1" t="str">
        <x:f>'Habilidades'!F2045</x:f>
        <x:v>Física</x:v>
      </x:c>
      <x:c r="E1682" s="18" t="n">
        <x:f>'Habilidades'!G2045</x:f>
        <x:v>85</x:v>
      </x:c>
      <x:c r="F1682" s="18" t="n">
        <x:f>'Habilidades'!H2045</x:f>
        <x:v>40</x:v>
      </x:c>
      <x:c r="G1682" s="18" t="n">
        <x:f>'Habilidades'!I2045</x:f>
        <x:v>125</x:v>
      </x:c>
    </x:row>
    <x:row r="1683" ht="22" customHeight="1">
      <x:c r="A1683" s="19" t="n">
        <x:f>IF(B1683="","",IF(B1683=B1682,A1682,A1682+1))</x:f>
        <x:v>340</x:v>
      </x:c>
      <x:c r="B1683" s="20" t="str">
        <x:f>'Ranking'!C338</x:f>
        <x:v>Slugma</x:v>
      </x:c>
      <x:c r="C1683" s="20" t="str">
        <x:f>'Habilidades'!D2047</x:f>
        <x:v>Rock Slide</x:v>
      </x:c>
      <x:c r="D1683" s="20" t="str">
        <x:f>'Habilidades'!F2047</x:f>
        <x:v>Física</x:v>
      </x:c>
      <x:c r="E1683" s="21" t="n">
        <x:f>'Habilidades'!G2047</x:f>
        <x:v>75</x:v>
      </x:c>
      <x:c r="F1683" s="21" t="n">
        <x:f>'Habilidades'!H2047</x:f>
        <x:v>40</x:v>
      </x:c>
      <x:c r="G1683" s="21" t="n">
        <x:f>'Habilidades'!I2047</x:f>
        <x:v>115</x:v>
      </x:c>
    </x:row>
    <x:row r="1684" ht="22" customHeight="1">
      <x:c r="A1684" s="17" t="n">
        <x:f>IF(B1684="","",IF(B1684=B1683,A1683,A1683+1))</x:f>
        <x:v>341</x:v>
      </x:c>
      <x:c r="B1684" s="1" t="str">
        <x:f>'Ranking'!C349</x:f>
        <x:v>Snorunt</x:v>
      </x:c>
      <x:c r="C1684" s="1" t="str">
        <x:f>'Habilidades'!D3028</x:f>
        <x:v>Blizzard</x:v>
      </x:c>
      <x:c r="D1684" s="1" t="str">
        <x:f>'Habilidades'!F3028</x:f>
        <x:v>Especial</x:v>
      </x:c>
      <x:c r="E1684" s="18" t="n">
        <x:f>'Habilidades'!G3028</x:f>
        <x:v>110</x:v>
      </x:c>
      <x:c r="F1684" s="18" t="n">
        <x:f>'Habilidades'!H3028</x:f>
        <x:v>50</x:v>
      </x:c>
      <x:c r="G1684" s="18" t="n">
        <x:f>'Habilidades'!I3028</x:f>
        <x:v>160</x:v>
      </x:c>
    </x:row>
    <x:row r="1685" ht="22" customHeight="1">
      <x:c r="A1685" s="17" t="n">
        <x:f>IF(B1685="","",IF(B1685=B1684,A1684,A1684+1))</x:f>
        <x:v>341</x:v>
      </x:c>
      <x:c r="B1685" s="1" t="str">
        <x:f>'Ranking'!C349</x:f>
        <x:v>Snorunt</x:v>
      </x:c>
      <x:c r="C1685" s="1" t="str">
        <x:f>'Habilidades'!D3029</x:f>
        <x:v>Crunch</x:v>
      </x:c>
      <x:c r="D1685" s="1" t="str">
        <x:f>'Habilidades'!F3029</x:f>
        <x:v>Física</x:v>
      </x:c>
      <x:c r="E1685" s="18" t="n">
        <x:f>'Habilidades'!G3029</x:f>
        <x:v>80</x:v>
      </x:c>
      <x:c r="F1685" s="18" t="n">
        <x:f>'Habilidades'!H3029</x:f>
        <x:v>50</x:v>
      </x:c>
      <x:c r="G1685" s="18" t="n">
        <x:f>'Habilidades'!I3029</x:f>
        <x:v>130</x:v>
      </x:c>
    </x:row>
    <x:row r="1686" ht="22" customHeight="1">
      <x:c r="A1686" s="17" t="n">
        <x:f>IF(B1686="","",IF(B1686=B1685,A1685,A1685+1))</x:f>
        <x:v>341</x:v>
      </x:c>
      <x:c r="B1686" s="1" t="str">
        <x:f>'Ranking'!C349</x:f>
        <x:v>Snorunt</x:v>
      </x:c>
      <x:c r="C1686" s="1" t="str">
        <x:f>'Habilidades'!D3030</x:f>
        <x:v>Headbutt</x:v>
      </x:c>
      <x:c r="D1686" s="1" t="str">
        <x:f>'Habilidades'!F3030</x:f>
        <x:v>Física</x:v>
      </x:c>
      <x:c r="E1686" s="18" t="n">
        <x:f>'Habilidades'!G3030</x:f>
        <x:v>70</x:v>
      </x:c>
      <x:c r="F1686" s="18" t="n">
        <x:f>'Habilidades'!H3030</x:f>
        <x:v>50</x:v>
      </x:c>
      <x:c r="G1686" s="18" t="n">
        <x:f>'Habilidades'!I3030</x:f>
        <x:v>120</x:v>
      </x:c>
    </x:row>
    <x:row r="1687" ht="22" customHeight="1">
      <x:c r="A1687" s="17" t="n">
        <x:f>IF(B1687="","",IF(B1687=B1686,A1686,A1686+1))</x:f>
        <x:v>341</x:v>
      </x:c>
      <x:c r="B1687" s="1" t="str">
        <x:f>'Ranking'!C349</x:f>
        <x:v>Snorunt</x:v>
      </x:c>
      <x:c r="C1687" s="1" t="str">
        <x:f>'Habilidades'!D3031</x:f>
        <x:v>Ice Fang</x:v>
      </x:c>
      <x:c r="D1687" s="1" t="str">
        <x:f>'Habilidades'!F3031</x:f>
        <x:v>Física</x:v>
      </x:c>
      <x:c r="E1687" s="18" t="n">
        <x:f>'Habilidades'!G3031</x:f>
        <x:v>65</x:v>
      </x:c>
      <x:c r="F1687" s="18" t="n">
        <x:f>'Habilidades'!H3031</x:f>
        <x:v>50</x:v>
      </x:c>
      <x:c r="G1687" s="18" t="n">
        <x:f>'Habilidades'!I3031</x:f>
        <x:v>115</x:v>
      </x:c>
    </x:row>
    <x:row r="1688" ht="22" customHeight="1">
      <x:c r="A1688" s="19" t="n">
        <x:f>IF(B1688="","",IF(B1688=B1687,A1687,A1687+1))</x:f>
        <x:v>341</x:v>
      </x:c>
      <x:c r="B1688" s="20" t="str">
        <x:f>'Ranking'!C349</x:f>
        <x:v>Snorunt</x:v>
      </x:c>
      <x:c r="C1688" s="20" t="str">
        <x:f>'Habilidades'!D3032</x:f>
        <x:v>Bite</x:v>
      </x:c>
      <x:c r="D1688" s="20" t="str">
        <x:f>'Habilidades'!F3032</x:f>
        <x:v>Física</x:v>
      </x:c>
      <x:c r="E1688" s="21" t="n">
        <x:f>'Habilidades'!G3032</x:f>
        <x:v>60</x:v>
      </x:c>
      <x:c r="F1688" s="21" t="n">
        <x:f>'Habilidades'!H3032</x:f>
        <x:v>50</x:v>
      </x:c>
      <x:c r="G1688" s="21" t="n">
        <x:f>'Habilidades'!I3032</x:f>
        <x:v>110</x:v>
      </x:c>
    </x:row>
    <x:row r="1689" ht="22" customHeight="1">
      <x:c r="A1689" s="17" t="n">
        <x:f>IF(B1689="","",IF(B1689=B1688,A1688,A1688+1))</x:f>
        <x:v>342</x:v>
      </x:c>
      <x:c r="B1689" s="1" t="str">
        <x:f>'Ranking'!C342</x:f>
        <x:v>Spoink</x:v>
      </x:c>
      <x:c r="C1689" s="1" t="str">
        <x:f>'Habilidades'!D2759</x:f>
        <x:v>Psychic</x:v>
      </x:c>
      <x:c r="D1689" s="1" t="str">
        <x:f>'Habilidades'!F2759</x:f>
        <x:v>Especial</x:v>
      </x:c>
      <x:c r="E1689" s="18" t="n">
        <x:f>'Habilidades'!G2759</x:f>
        <x:v>90</x:v>
      </x:c>
      <x:c r="F1689" s="18" t="n">
        <x:f>'Habilidades'!H2759</x:f>
        <x:v>70</x:v>
      </x:c>
      <x:c r="G1689" s="18" t="n">
        <x:f>'Habilidades'!I2759</x:f>
        <x:v>160</x:v>
      </x:c>
    </x:row>
    <x:row r="1690" ht="22" customHeight="1">
      <x:c r="A1690" s="17" t="n">
        <x:f>IF(B1690="","",IF(B1690=B1689,A1689,A1689+1))</x:f>
        <x:v>342</x:v>
      </x:c>
      <x:c r="B1690" s="1" t="str">
        <x:f>'Ranking'!C342</x:f>
        <x:v>Spoink</x:v>
      </x:c>
      <x:c r="C1690" s="1" t="str">
        <x:f>'Habilidades'!D2760</x:f>
        <x:v>Power Gem</x:v>
      </x:c>
      <x:c r="D1690" s="1" t="str">
        <x:f>'Habilidades'!F2760</x:f>
        <x:v>Especial</x:v>
      </x:c>
      <x:c r="E1690" s="18" t="n">
        <x:f>'Habilidades'!G2760</x:f>
        <x:v>80</x:v>
      </x:c>
      <x:c r="F1690" s="18" t="n">
        <x:f>'Habilidades'!H2760</x:f>
        <x:v>70</x:v>
      </x:c>
      <x:c r="G1690" s="18" t="n">
        <x:f>'Habilidades'!I2760</x:f>
        <x:v>150</x:v>
      </x:c>
    </x:row>
    <x:row r="1691" ht="22" customHeight="1">
      <x:c r="A1691" s="17" t="n">
        <x:f>IF(B1691="","",IF(B1691=B1690,A1690,A1690+1))</x:f>
        <x:v>342</x:v>
      </x:c>
      <x:c r="B1691" s="1" t="str">
        <x:f>'Ranking'!C342</x:f>
        <x:v>Spoink</x:v>
      </x:c>
      <x:c r="C1691" s="1" t="str">
        <x:f>'Habilidades'!D2761</x:f>
        <x:v>Psyshock</x:v>
      </x:c>
      <x:c r="D1691" s="1" t="str">
        <x:f>'Habilidades'!F2761</x:f>
        <x:v>Especial</x:v>
      </x:c>
      <x:c r="E1691" s="18" t="n">
        <x:f>'Habilidades'!G2761</x:f>
        <x:v>80</x:v>
      </x:c>
      <x:c r="F1691" s="18" t="n">
        <x:f>'Habilidades'!H2761</x:f>
        <x:v>70</x:v>
      </x:c>
      <x:c r="G1691" s="18" t="n">
        <x:f>'Habilidades'!I2761</x:f>
        <x:v>150</x:v>
      </x:c>
    </x:row>
    <x:row r="1692" ht="22" customHeight="1">
      <x:c r="A1692" s="17" t="n">
        <x:f>IF(B1692="","",IF(B1692=B1691,A1691,A1691+1))</x:f>
        <x:v>342</x:v>
      </x:c>
      <x:c r="B1692" s="1" t="str">
        <x:f>'Ranking'!C342</x:f>
        <x:v>Spoink</x:v>
      </x:c>
      <x:c r="C1692" s="1" t="str">
        <x:f>'Habilidades'!D2765</x:f>
        <x:v>Bounce</x:v>
      </x:c>
      <x:c r="D1692" s="1" t="str">
        <x:f>'Habilidades'!F2765</x:f>
        <x:v>Física</x:v>
      </x:c>
      <x:c r="E1692" s="18" t="n">
        <x:f>'Habilidades'!G2765</x:f>
        <x:v>85</x:v>
      </x:c>
      <x:c r="F1692" s="18" t="n">
        <x:f>'Habilidades'!H2765</x:f>
        <x:v>25</x:v>
      </x:c>
      <x:c r="G1692" s="18" t="n">
        <x:f>'Habilidades'!I2765</x:f>
        <x:v>110</x:v>
      </x:c>
    </x:row>
    <x:row r="1693" ht="22" customHeight="1">
      <x:c r="A1693" s="19" t="n">
        <x:f>IF(B1693="","",IF(B1693=B1692,A1692,A1692+1))</x:f>
        <x:v>342</x:v>
      </x:c>
      <x:c r="B1693" s="20" t="str">
        <x:f>'Ranking'!C342</x:f>
        <x:v>Spoink</x:v>
      </x:c>
      <x:c r="C1693" s="20" t="str">
        <x:f>'Habilidades'!D2766</x:f>
        <x:v>Zen Headbutt</x:v>
      </x:c>
      <x:c r="D1693" s="20" t="str">
        <x:f>'Habilidades'!F2766</x:f>
        <x:v>Física</x:v>
      </x:c>
      <x:c r="E1693" s="21" t="n">
        <x:f>'Habilidades'!G2766</x:f>
        <x:v>80</x:v>
      </x:c>
      <x:c r="F1693" s="21" t="n">
        <x:f>'Habilidades'!H2766</x:f>
        <x:v>25</x:v>
      </x:c>
      <x:c r="G1693" s="21" t="n">
        <x:f>'Habilidades'!I2766</x:f>
        <x:v>105</x:v>
      </x:c>
    </x:row>
    <x:row r="1694" ht="22" customHeight="1">
      <x:c r="A1694" s="17" t="n">
        <x:f>IF(B1694="","",IF(B1694=B1693,A1693,A1693+1))</x:f>
        <x:v>343</x:v>
      </x:c>
      <x:c r="B1694" s="1" t="str">
        <x:f>'Ranking'!C348</x:f>
        <x:v>Tentacool</x:v>
      </x:c>
      <x:c r="C1694" s="1" t="str">
        <x:f>'Habilidades'!D631</x:f>
        <x:v>Hydro Pump</x:v>
      </x:c>
      <x:c r="D1694" s="1" t="str">
        <x:f>'Habilidades'!F631</x:f>
        <x:v>Especial</x:v>
      </x:c>
      <x:c r="E1694" s="18" t="n">
        <x:f>'Habilidades'!G631</x:f>
        <x:v>110</x:v>
      </x:c>
      <x:c r="F1694" s="18" t="n">
        <x:f>'Habilidades'!H631</x:f>
        <x:v>50</x:v>
      </x:c>
      <x:c r="G1694" s="18" t="n">
        <x:f>'Habilidades'!I631</x:f>
        <x:v>160</x:v>
      </x:c>
    </x:row>
    <x:row r="1695" ht="22" customHeight="1">
      <x:c r="A1695" s="17" t="n">
        <x:f>IF(B1695="","",IF(B1695=B1694,A1694,A1694+1))</x:f>
        <x:v>343</x:v>
      </x:c>
      <x:c r="B1695" s="1" t="str">
        <x:f>'Ranking'!C348</x:f>
        <x:v>Tentacool</x:v>
      </x:c>
      <x:c r="C1695" s="1" t="str">
        <x:f>'Habilidades'!D632</x:f>
        <x:v>Sludge Wave</x:v>
      </x:c>
      <x:c r="D1695" s="1" t="str">
        <x:f>'Habilidades'!F632</x:f>
        <x:v>Especial</x:v>
      </x:c>
      <x:c r="E1695" s="18" t="n">
        <x:f>'Habilidades'!G632</x:f>
        <x:v>95</x:v>
      </x:c>
      <x:c r="F1695" s="18" t="n">
        <x:f>'Habilidades'!H632</x:f>
        <x:v>50</x:v>
      </x:c>
      <x:c r="G1695" s="18" t="n">
        <x:f>'Habilidades'!I632</x:f>
        <x:v>145</x:v>
      </x:c>
    </x:row>
    <x:row r="1696" ht="22" customHeight="1">
      <x:c r="A1696" s="17" t="n">
        <x:f>IF(B1696="","",IF(B1696=B1695,A1695,A1695+1))</x:f>
        <x:v>343</x:v>
      </x:c>
      <x:c r="B1696" s="1" t="str">
        <x:f>'Ranking'!C348</x:f>
        <x:v>Tentacool</x:v>
      </x:c>
      <x:c r="C1696" s="1" t="str">
        <x:f>'Habilidades'!D633</x:f>
        <x:v>Poison Jab</x:v>
      </x:c>
      <x:c r="D1696" s="1" t="str">
        <x:f>'Habilidades'!F633</x:f>
        <x:v>Física</x:v>
      </x:c>
      <x:c r="E1696" s="18" t="n">
        <x:f>'Habilidades'!G633</x:f>
        <x:v>80</x:v>
      </x:c>
      <x:c r="F1696" s="18" t="n">
        <x:f>'Habilidades'!H633</x:f>
        <x:v>40</x:v>
      </x:c>
      <x:c r="G1696" s="18" t="n">
        <x:f>'Habilidades'!I633</x:f>
        <x:v>120</x:v>
      </x:c>
    </x:row>
    <x:row r="1697" ht="22" customHeight="1">
      <x:c r="A1697" s="17" t="n">
        <x:f>IF(B1697="","",IF(B1697=B1696,A1696,A1696+1))</x:f>
        <x:v>343</x:v>
      </x:c>
      <x:c r="B1697" s="1" t="str">
        <x:f>'Ranking'!C348</x:f>
        <x:v>Tentacool</x:v>
      </x:c>
      <x:c r="C1697" s="1" t="str">
        <x:f>'Habilidades'!D634</x:f>
        <x:v>Bubble Beam</x:v>
      </x:c>
      <x:c r="D1697" s="1" t="str">
        <x:f>'Habilidades'!F634</x:f>
        <x:v>Especial</x:v>
      </x:c>
      <x:c r="E1697" s="18" t="n">
        <x:f>'Habilidades'!G634</x:f>
        <x:v>65</x:v>
      </x:c>
      <x:c r="F1697" s="18" t="n">
        <x:f>'Habilidades'!H634</x:f>
        <x:v>50</x:v>
      </x:c>
      <x:c r="G1697" s="18" t="n">
        <x:f>'Habilidades'!I634</x:f>
        <x:v>115</x:v>
      </x:c>
    </x:row>
    <x:row r="1698" ht="22" customHeight="1">
      <x:c r="A1698" s="19" t="n">
        <x:f>IF(B1698="","",IF(B1698=B1697,A1697,A1697+1))</x:f>
        <x:v>343</x:v>
      </x:c>
      <x:c r="B1698" s="20" t="str">
        <x:f>'Ranking'!C348</x:f>
        <x:v>Tentacool</x:v>
      </x:c>
      <x:c r="C1698" s="20" t="str">
        <x:f>'Habilidades'!D635</x:f>
        <x:v>Brine</x:v>
      </x:c>
      <x:c r="D1698" s="20" t="str">
        <x:f>'Habilidades'!F635</x:f>
        <x:v>Especial</x:v>
      </x:c>
      <x:c r="E1698" s="21" t="n">
        <x:f>'Habilidades'!G635</x:f>
        <x:v>65</x:v>
      </x:c>
      <x:c r="F1698" s="21" t="n">
        <x:f>'Habilidades'!H635</x:f>
        <x:v>50</x:v>
      </x:c>
      <x:c r="G1698" s="21" t="n">
        <x:f>'Habilidades'!I635</x:f>
        <x:v>115</x:v>
      </x:c>
    </x:row>
    <x:row r="1699" ht="22" customHeight="1">
      <x:c r="A1699" s="17" t="n">
        <x:f>IF(B1699="","",IF(B1699=B1698,A1698,A1698+1))</x:f>
        <x:v>344</x:v>
      </x:c>
      <x:c r="B1699" s="1" t="str">
        <x:f>'Ranking'!C350</x:f>
        <x:v>Togepi</x:v>
      </x:c>
      <x:c r="C1699" s="1" t="str">
        <x:f>'Habilidades'!D1668</x:f>
        <x:v>Last Resort</x:v>
      </x:c>
      <x:c r="D1699" s="1" t="str">
        <x:f>'Habilidades'!F1668</x:f>
        <x:v>Física</x:v>
      </x:c>
      <x:c r="E1699" s="18" t="n">
        <x:f>'Habilidades'!G1668</x:f>
        <x:v>140</x:v>
      </x:c>
      <x:c r="F1699" s="18" t="n">
        <x:f>'Habilidades'!H1668</x:f>
        <x:v>20</x:v>
      </x:c>
      <x:c r="G1699" s="18" t="n">
        <x:f>'Habilidades'!I1668</x:f>
        <x:v>160</x:v>
      </x:c>
    </x:row>
    <x:row r="1700" ht="22" customHeight="1">
      <x:c r="A1700" s="17" t="n">
        <x:f>IF(B1700="","",IF(B1700=B1699,A1699,A1699+1))</x:f>
        <x:v>344</x:v>
      </x:c>
      <x:c r="B1700" s="1" t="str">
        <x:f>'Ranking'!C350</x:f>
        <x:v>Togepi</x:v>
      </x:c>
      <x:c r="C1700" s="1" t="str">
        <x:f>'Habilidades'!D1669</x:f>
        <x:v>Double-Edge</x:v>
      </x:c>
      <x:c r="D1700" s="1" t="str">
        <x:f>'Habilidades'!F1669</x:f>
        <x:v>Física</x:v>
      </x:c>
      <x:c r="E1700" s="18" t="n">
        <x:f>'Habilidades'!G1669</x:f>
        <x:v>120</x:v>
      </x:c>
      <x:c r="F1700" s="18" t="n">
        <x:f>'Habilidades'!H1669</x:f>
        <x:v>20</x:v>
      </x:c>
      <x:c r="G1700" s="18" t="n">
        <x:f>'Habilidades'!I1669</x:f>
        <x:v>140</x:v>
      </x:c>
    </x:row>
    <x:row r="1701" ht="22" customHeight="1">
      <x:c r="A1701" s="19" t="n">
        <x:f>IF(B1701="","",IF(B1701=B1700,A1700,A1700+1))</x:f>
        <x:v>344</x:v>
      </x:c>
      <x:c r="B1701" s="20" t="str">
        <x:f>'Ranking'!C350</x:f>
        <x:v>Togepi</x:v>
      </x:c>
      <x:c r="C1701" s="20" t="str">
        <x:f>'Habilidades'!D1670</x:f>
        <x:v>Ancient Power</x:v>
      </x:c>
      <x:c r="D1701" s="20" t="str">
        <x:f>'Habilidades'!F1670</x:f>
        <x:v>Especial</x:v>
      </x:c>
      <x:c r="E1701" s="21" t="n">
        <x:f>'Habilidades'!G1670</x:f>
        <x:v>60</x:v>
      </x:c>
      <x:c r="F1701" s="21" t="n">
        <x:f>'Habilidades'!H1670</x:f>
        <x:v>40</x:v>
      </x:c>
      <x:c r="G1701" s="21" t="n">
        <x:f>'Habilidades'!I1670</x:f>
        <x:v>100</x:v>
      </x:c>
    </x:row>
    <x:row r="1702" ht="22" customHeight="1">
      <x:c r="A1702" s="17" t="n">
        <x:f>IF(B1702="","",IF(B1702=B1701,A1701,A1701+1))</x:f>
        <x:v>345</x:v>
      </x:c>
      <x:c r="B1702" s="1" t="str">
        <x:f>'Ranking'!C339</x:f>
        <x:v>Torchic</x:v>
      </x:c>
      <x:c r="C1702" s="1" t="str">
        <x:f>'Habilidades'!D2385</x:f>
        <x:v>Flamethrower</x:v>
      </x:c>
      <x:c r="D1702" s="1" t="str">
        <x:f>'Habilidades'!F2385</x:f>
        <x:v>Especial</x:v>
      </x:c>
      <x:c r="E1702" s="18" t="n">
        <x:f>'Habilidades'!G2385</x:f>
        <x:v>90</x:v>
      </x:c>
      <x:c r="F1702" s="18" t="n">
        <x:f>'Habilidades'!H2385</x:f>
        <x:v>70</x:v>
      </x:c>
      <x:c r="G1702" s="18" t="n">
        <x:f>'Habilidades'!I2385</x:f>
        <x:v>160</x:v>
      </x:c>
    </x:row>
    <x:row r="1703" ht="22" customHeight="1">
      <x:c r="A1703" s="17" t="n">
        <x:f>IF(B1703="","",IF(B1703=B1702,A1702,A1702+1))</x:f>
        <x:v>345</x:v>
      </x:c>
      <x:c r="B1703" s="1" t="str">
        <x:f>'Ranking'!C339</x:f>
        <x:v>Torchic</x:v>
      </x:c>
      <x:c r="C1703" s="1" t="str">
        <x:f>'Habilidades'!D2386</x:f>
        <x:v>Flame Burst</x:v>
      </x:c>
      <x:c r="D1703" s="1" t="str">
        <x:f>'Habilidades'!F2386</x:f>
        <x:v>Especial</x:v>
      </x:c>
      <x:c r="E1703" s="18" t="n">
        <x:f>'Habilidades'!G2386</x:f>
        <x:v>70</x:v>
      </x:c>
      <x:c r="F1703" s="18" t="n">
        <x:f>'Habilidades'!H2386</x:f>
        <x:v>70</x:v>
      </x:c>
      <x:c r="G1703" s="18" t="n">
        <x:f>'Habilidades'!I2386</x:f>
        <x:v>140</x:v>
      </x:c>
    </x:row>
    <x:row r="1704" ht="22" customHeight="1">
      <x:c r="A1704" s="17" t="n">
        <x:f>IF(B1704="","",IF(B1704=B1703,A1703,A1703+1))</x:f>
        <x:v>345</x:v>
      </x:c>
      <x:c r="B1704" s="1" t="str">
        <x:f>'Ranking'!C339</x:f>
        <x:v>Torchic</x:v>
      </x:c>
      <x:c r="C1704" s="1" t="str">
        <x:f>'Habilidades'!D2387</x:f>
        <x:v>Slash</x:v>
      </x:c>
      <x:c r="D1704" s="1" t="str">
        <x:f>'Habilidades'!F2387</x:f>
        <x:v>Física</x:v>
      </x:c>
      <x:c r="E1704" s="18" t="n">
        <x:f>'Habilidades'!G2387</x:f>
        <x:v>70</x:v>
      </x:c>
      <x:c r="F1704" s="18" t="n">
        <x:f>'Habilidades'!H2387</x:f>
        <x:v>60</x:v>
      </x:c>
      <x:c r="G1704" s="18" t="n">
        <x:f>'Habilidades'!I2387</x:f>
        <x:v>130</x:v>
      </x:c>
    </x:row>
    <x:row r="1705" ht="22" customHeight="1">
      <x:c r="A1705" s="17" t="n">
        <x:f>IF(B1705="","",IF(B1705=B1704,A1704,A1704+1))</x:f>
        <x:v>345</x:v>
      </x:c>
      <x:c r="B1705" s="1" t="str">
        <x:f>'Ranking'!C339</x:f>
        <x:v>Torchic</x:v>
      </x:c>
      <x:c r="C1705" s="1" t="str">
        <x:f>'Habilidades'!D2388</x:f>
        <x:v>Ember</x:v>
      </x:c>
      <x:c r="D1705" s="1" t="str">
        <x:f>'Habilidades'!F2388</x:f>
        <x:v>Especial</x:v>
      </x:c>
      <x:c r="E1705" s="18" t="n">
        <x:f>'Habilidades'!G2388</x:f>
        <x:v>40</x:v>
      </x:c>
      <x:c r="F1705" s="18" t="n">
        <x:f>'Habilidades'!H2388</x:f>
        <x:v>70</x:v>
      </x:c>
      <x:c r="G1705" s="18" t="n">
        <x:f>'Habilidades'!I2388</x:f>
        <x:v>110</x:v>
      </x:c>
    </x:row>
    <x:row r="1706" ht="22" customHeight="1">
      <x:c r="A1706" s="19" t="n">
        <x:f>IF(B1706="","",IF(B1706=B1705,A1705,A1705+1))</x:f>
        <x:v>345</x:v>
      </x:c>
      <x:c r="B1706" s="20" t="str">
        <x:f>'Ranking'!C339</x:f>
        <x:v>Torchic</x:v>
      </x:c>
      <x:c r="C1706" s="20" t="str">
        <x:f>'Habilidades'!D2390</x:f>
        <x:v>Scratch</x:v>
      </x:c>
      <x:c r="D1706" s="20" t="str">
        <x:f>'Habilidades'!F2390</x:f>
        <x:v>Física</x:v>
      </x:c>
      <x:c r="E1706" s="21" t="n">
        <x:f>'Habilidades'!G2390</x:f>
        <x:v>40</x:v>
      </x:c>
      <x:c r="F1706" s="21" t="n">
        <x:f>'Habilidades'!H2390</x:f>
        <x:v>60</x:v>
      </x:c>
      <x:c r="G1706" s="21" t="n">
        <x:f>'Habilidades'!I2390</x:f>
        <x:v>100</x:v>
      </x:c>
    </x:row>
    <x:row r="1707" ht="22" customHeight="1">
      <x:c r="A1707" s="17" t="n">
        <x:f>IF(B1707="","",IF(B1707=B1706,A1706,A1706+1))</x:f>
        <x:v>346</x:v>
      </x:c>
      <x:c r="B1707" s="1" t="str">
        <x:f>'Ranking'!C347</x:f>
        <x:v>Vulpix</x:v>
      </x:c>
      <x:c r="C1707" s="1" t="str">
        <x:f>'Habilidades'!D310</x:f>
        <x:v>Fire Blast</x:v>
      </x:c>
      <x:c r="D1707" s="1" t="str">
        <x:f>'Habilidades'!F310</x:f>
        <x:v>Especial</x:v>
      </x:c>
      <x:c r="E1707" s="18" t="n">
        <x:f>'Habilidades'!G310</x:f>
        <x:v>110</x:v>
      </x:c>
      <x:c r="F1707" s="18" t="n">
        <x:f>'Habilidades'!H310</x:f>
        <x:v>50</x:v>
      </x:c>
      <x:c r="G1707" s="18" t="n">
        <x:f>'Habilidades'!I310</x:f>
        <x:v>160</x:v>
      </x:c>
    </x:row>
    <x:row r="1708" ht="22" customHeight="1">
      <x:c r="A1708" s="17" t="n">
        <x:f>IF(B1708="","",IF(B1708=B1707,A1707,A1707+1))</x:f>
        <x:v>346</x:v>
      </x:c>
      <x:c r="B1708" s="1" t="str">
        <x:f>'Ranking'!C347</x:f>
        <x:v>Vulpix</x:v>
      </x:c>
      <x:c r="C1708" s="1" t="str">
        <x:f>'Habilidades'!D311</x:f>
        <x:v>Inferno</x:v>
      </x:c>
      <x:c r="D1708" s="1" t="str">
        <x:f>'Habilidades'!F311</x:f>
        <x:v>Especial</x:v>
      </x:c>
      <x:c r="E1708" s="18" t="n">
        <x:f>'Habilidades'!G311</x:f>
        <x:v>100</x:v>
      </x:c>
      <x:c r="F1708" s="18" t="n">
        <x:f>'Habilidades'!H311</x:f>
        <x:v>50</x:v>
      </x:c>
      <x:c r="G1708" s="18" t="n">
        <x:f>'Habilidades'!I311</x:f>
        <x:v>150</x:v>
      </x:c>
    </x:row>
    <x:row r="1709" ht="22" customHeight="1">
      <x:c r="A1709" s="17" t="n">
        <x:f>IF(B1709="","",IF(B1709=B1708,A1708,A1708+1))</x:f>
        <x:v>346</x:v>
      </x:c>
      <x:c r="B1709" s="1" t="str">
        <x:f>'Ranking'!C347</x:f>
        <x:v>Vulpix</x:v>
      </x:c>
      <x:c r="C1709" s="1" t="str">
        <x:f>'Habilidades'!D312</x:f>
        <x:v>Flamethrower</x:v>
      </x:c>
      <x:c r="D1709" s="1" t="str">
        <x:f>'Habilidades'!F312</x:f>
        <x:v>Especial</x:v>
      </x:c>
      <x:c r="E1709" s="18" t="n">
        <x:f>'Habilidades'!G312</x:f>
        <x:v>90</x:v>
      </x:c>
      <x:c r="F1709" s="18" t="n">
        <x:f>'Habilidades'!H312</x:f>
        <x:v>50</x:v>
      </x:c>
      <x:c r="G1709" s="18" t="n">
        <x:f>'Habilidades'!I312</x:f>
        <x:v>140</x:v>
      </x:c>
    </x:row>
    <x:row r="1710" ht="22" customHeight="1">
      <x:c r="A1710" s="17" t="n">
        <x:f>IF(B1710="","",IF(B1710=B1709,A1709,A1709+1))</x:f>
        <x:v>346</x:v>
      </x:c>
      <x:c r="B1710" s="1" t="str">
        <x:f>'Ranking'!C347</x:f>
        <x:v>Vulpix</x:v>
      </x:c>
      <x:c r="C1710" s="1" t="str">
        <x:f>'Habilidades'!D313</x:f>
        <x:v>Extrasensory</x:v>
      </x:c>
      <x:c r="D1710" s="1" t="str">
        <x:f>'Habilidades'!F313</x:f>
        <x:v>Especial</x:v>
      </x:c>
      <x:c r="E1710" s="18" t="n">
        <x:f>'Habilidades'!G313</x:f>
        <x:v>80</x:v>
      </x:c>
      <x:c r="F1710" s="18" t="n">
        <x:f>'Habilidades'!H313</x:f>
        <x:v>50</x:v>
      </x:c>
      <x:c r="G1710" s="18" t="n">
        <x:f>'Habilidades'!I313</x:f>
        <x:v>130</x:v>
      </x:c>
    </x:row>
    <x:row r="1711" ht="22" customHeight="1">
      <x:c r="A1711" s="19" t="n">
        <x:f>IF(B1711="","",IF(B1711=B1710,A1710,A1710+1))</x:f>
        <x:v>346</x:v>
      </x:c>
      <x:c r="B1711" s="20" t="str">
        <x:f>'Ranking'!C347</x:f>
        <x:v>Vulpix</x:v>
      </x:c>
      <x:c r="C1711" s="20" t="str">
        <x:f>'Habilidades'!D314</x:f>
        <x:v>Flame Burst</x:v>
      </x:c>
      <x:c r="D1711" s="20" t="str">
        <x:f>'Habilidades'!F314</x:f>
        <x:v>Especial</x:v>
      </x:c>
      <x:c r="E1711" s="21" t="n">
        <x:f>'Habilidades'!G314</x:f>
        <x:v>70</x:v>
      </x:c>
      <x:c r="F1711" s="21" t="n">
        <x:f>'Habilidades'!H314</x:f>
        <x:v>50</x:v>
      </x:c>
      <x:c r="G1711" s="21" t="n">
        <x:f>'Habilidades'!I314</x:f>
        <x:v>120</x:v>
      </x:c>
    </x:row>
    <x:row r="1712" ht="22" customHeight="1">
      <x:c r="A1712" s="17" t="n">
        <x:f>IF(B1712="","",IF(B1712=B1711,A1711,A1711+1))</x:f>
        <x:v>347</x:v>
      </x:c>
      <x:c r="B1712" s="1" t="str">
        <x:f>'Ranking'!C351</x:f>
        <x:v>Furret</x:v>
      </x:c>
      <x:c r="C1712" s="1" t="str">
        <x:f>'Habilidades'!D1565</x:f>
        <x:v>Slam</x:v>
      </x:c>
      <x:c r="D1712" s="1" t="str">
        <x:f>'Habilidades'!F1565</x:f>
        <x:v>Física</x:v>
      </x:c>
      <x:c r="E1712" s="18" t="n">
        <x:f>'Habilidades'!G1565</x:f>
        <x:v>80</x:v>
      </x:c>
      <x:c r="F1712" s="18" t="n">
        <x:f>'Habilidades'!H1565</x:f>
        <x:v>76</x:v>
      </x:c>
      <x:c r="G1712" s="18" t="n">
        <x:f>'Habilidades'!I1565</x:f>
        <x:v>156</x:v>
      </x:c>
    </x:row>
    <x:row r="1713" ht="22" customHeight="1">
      <x:c r="A1713" s="17" t="n">
        <x:f>IF(B1713="","",IF(B1713=B1712,A1712,A1712+1))</x:f>
        <x:v>347</x:v>
      </x:c>
      <x:c r="B1713" s="1" t="str">
        <x:f>'Ranking'!C351</x:f>
        <x:v>Furret</x:v>
      </x:c>
      <x:c r="C1713" s="1" t="str">
        <x:f>'Habilidades'!D1566</x:f>
        <x:v>Sucker Punch</x:v>
      </x:c>
      <x:c r="D1713" s="1" t="str">
        <x:f>'Habilidades'!F1566</x:f>
        <x:v>Física</x:v>
      </x:c>
      <x:c r="E1713" s="18" t="n">
        <x:f>'Habilidades'!G1566</x:f>
        <x:v>80</x:v>
      </x:c>
      <x:c r="F1713" s="18" t="n">
        <x:f>'Habilidades'!H1566</x:f>
        <x:v>76</x:v>
      </x:c>
      <x:c r="G1713" s="18" t="n">
        <x:f>'Habilidades'!I1566</x:f>
        <x:v>156</x:v>
      </x:c>
    </x:row>
    <x:row r="1714" ht="22" customHeight="1">
      <x:c r="A1714" s="17" t="n">
        <x:f>IF(B1714="","",IF(B1714=B1713,A1713,A1713+1))</x:f>
        <x:v>347</x:v>
      </x:c>
      <x:c r="B1714" s="1" t="str">
        <x:f>'Ranking'!C351</x:f>
        <x:v>Furret</x:v>
      </x:c>
      <x:c r="C1714" s="1" t="str">
        <x:f>'Habilidades'!D1567</x:f>
        <x:v>Hyper Voice</x:v>
      </x:c>
      <x:c r="D1714" s="1" t="str">
        <x:f>'Habilidades'!F1567</x:f>
        <x:v>Especial</x:v>
      </x:c>
      <x:c r="E1714" s="18" t="n">
        <x:f>'Habilidades'!G1567</x:f>
        <x:v>90</x:v>
      </x:c>
      <x:c r="F1714" s="18" t="n">
        <x:f>'Habilidades'!H1567</x:f>
        <x:v>45</x:v>
      </x:c>
      <x:c r="G1714" s="18" t="n">
        <x:f>'Habilidades'!I1567</x:f>
        <x:v>135</x:v>
      </x:c>
    </x:row>
    <x:row r="1715" ht="22" customHeight="1">
      <x:c r="A1715" s="17" t="n">
        <x:f>IF(B1715="","",IF(B1715=B1714,A1714,A1714+1))</x:f>
        <x:v>347</x:v>
      </x:c>
      <x:c r="B1715" s="1" t="str">
        <x:f>'Ranking'!C351</x:f>
        <x:v>Furret</x:v>
      </x:c>
      <x:c r="C1715" s="1" t="str">
        <x:f>'Habilidades'!D1568</x:f>
        <x:v>Scratch</x:v>
      </x:c>
      <x:c r="D1715" s="1" t="str">
        <x:f>'Habilidades'!F1568</x:f>
        <x:v>Física</x:v>
      </x:c>
      <x:c r="E1715" s="18" t="n">
        <x:f>'Habilidades'!G1568</x:f>
        <x:v>40</x:v>
      </x:c>
      <x:c r="F1715" s="18" t="n">
        <x:f>'Habilidades'!H1568</x:f>
        <x:v>76</x:v>
      </x:c>
      <x:c r="G1715" s="18" t="n">
        <x:f>'Habilidades'!I1568</x:f>
        <x:v>116</x:v>
      </x:c>
    </x:row>
    <x:row r="1716" ht="22" customHeight="1">
      <x:c r="A1716" s="19" t="n">
        <x:f>IF(B1716="","",IF(B1716=B1715,A1715,A1715+1))</x:f>
        <x:v>347</x:v>
      </x:c>
      <x:c r="B1716" s="20" t="str">
        <x:f>'Ranking'!C351</x:f>
        <x:v>Furret</x:v>
      </x:c>
      <x:c r="C1716" s="20" t="str">
        <x:f>'Habilidades'!D1569</x:f>
        <x:v>Quick Attack</x:v>
      </x:c>
      <x:c r="D1716" s="20" t="str">
        <x:f>'Habilidades'!F1569</x:f>
        <x:v>Física</x:v>
      </x:c>
      <x:c r="E1716" s="21" t="n">
        <x:f>'Habilidades'!G1569</x:f>
        <x:v>40</x:v>
      </x:c>
      <x:c r="F1716" s="21" t="n">
        <x:f>'Habilidades'!H1569</x:f>
        <x:v>76</x:v>
      </x:c>
      <x:c r="G1716" s="21" t="n">
        <x:f>'Habilidades'!I1569</x:f>
        <x:v>116</x:v>
      </x:c>
    </x:row>
    <x:row r="1717" ht="22" customHeight="1">
      <x:c r="A1717" s="17" t="n">
        <x:f>IF(B1717="","",IF(B1717=B1716,A1716,A1716+1))</x:f>
        <x:v>348</x:v>
      </x:c>
      <x:c r="B1717" s="1" t="str">
        <x:f>'Ranking'!C352</x:f>
        <x:v>Hoothoot</x:v>
      </x:c>
      <x:c r="C1717" s="1" t="str">
        <x:f>'Habilidades'!D1571</x:f>
        <x:v>Synchronoise</x:v>
      </x:c>
      <x:c r="D1717" s="1" t="str">
        <x:f>'Habilidades'!F1571</x:f>
        <x:v>Especial</x:v>
      </x:c>
      <x:c r="E1717" s="18" t="n">
        <x:f>'Habilidades'!G1571</x:f>
        <x:v>120</x:v>
      </x:c>
      <x:c r="F1717" s="18" t="n">
        <x:f>'Habilidades'!H1571</x:f>
        <x:v>36</x:v>
      </x:c>
      <x:c r="G1717" s="18" t="n">
        <x:f>'Habilidades'!I1571</x:f>
        <x:v>156</x:v>
      </x:c>
    </x:row>
    <x:row r="1718" ht="22" customHeight="1">
      <x:c r="A1718" s="17" t="n">
        <x:f>IF(B1718="","",IF(B1718=B1717,A1717,A1717+1))</x:f>
        <x:v>348</x:v>
      </x:c>
      <x:c r="B1718" s="1" t="str">
        <x:f>'Ranking'!C352</x:f>
        <x:v>Hoothoot</x:v>
      </x:c>
      <x:c r="C1718" s="1" t="str">
        <x:f>'Habilidades'!D1572</x:f>
        <x:v>Dream Eater</x:v>
      </x:c>
      <x:c r="D1718" s="1" t="str">
        <x:f>'Habilidades'!F1572</x:f>
        <x:v>Especial</x:v>
      </x:c>
      <x:c r="E1718" s="18" t="n">
        <x:f>'Habilidades'!G1572</x:f>
        <x:v>100</x:v>
      </x:c>
      <x:c r="F1718" s="18" t="n">
        <x:f>'Habilidades'!H1572</x:f>
        <x:v>36</x:v>
      </x:c>
      <x:c r="G1718" s="18" t="n">
        <x:f>'Habilidades'!I1572</x:f>
        <x:v>136</x:v>
      </x:c>
    </x:row>
    <x:row r="1719" ht="22" customHeight="1">
      <x:c r="A1719" s="17" t="n">
        <x:f>IF(B1719="","",IF(B1719=B1718,A1718,A1718+1))</x:f>
        <x:v>348</x:v>
      </x:c>
      <x:c r="B1719" s="1" t="str">
        <x:f>'Ranking'!C352</x:f>
        <x:v>Hoothoot</x:v>
      </x:c>
      <x:c r="C1719" s="1" t="str">
        <x:f>'Habilidades'!D1573</x:f>
        <x:v>Uproar</x:v>
      </x:c>
      <x:c r="D1719" s="1" t="str">
        <x:f>'Habilidades'!F1573</x:f>
        <x:v>Especial</x:v>
      </x:c>
      <x:c r="E1719" s="18" t="n">
        <x:f>'Habilidades'!G1573</x:f>
        <x:v>90</x:v>
      </x:c>
      <x:c r="F1719" s="18" t="n">
        <x:f>'Habilidades'!H1573</x:f>
        <x:v>36</x:v>
      </x:c>
      <x:c r="G1719" s="18" t="n">
        <x:f>'Habilidades'!I1573</x:f>
        <x:v>126</x:v>
      </x:c>
    </x:row>
    <x:row r="1720" ht="22" customHeight="1">
      <x:c r="A1720" s="17" t="n">
        <x:f>IF(B1720="","",IF(B1720=B1719,A1719,A1719+1))</x:f>
        <x:v>348</x:v>
      </x:c>
      <x:c r="B1720" s="1" t="str">
        <x:f>'Ranking'!C352</x:f>
        <x:v>Hoothoot</x:v>
      </x:c>
      <x:c r="C1720" s="1" t="str">
        <x:f>'Habilidades'!D1574</x:f>
        <x:v>Take Down</x:v>
      </x:c>
      <x:c r="D1720" s="1" t="str">
        <x:f>'Habilidades'!F1574</x:f>
        <x:v>Física</x:v>
      </x:c>
      <x:c r="E1720" s="18" t="n">
        <x:f>'Habilidades'!G1574</x:f>
        <x:v>90</x:v>
      </x:c>
      <x:c r="F1720" s="18" t="n">
        <x:f>'Habilidades'!H1574</x:f>
        <x:v>30</x:v>
      </x:c>
      <x:c r="G1720" s="18" t="n">
        <x:f>'Habilidades'!I1574</x:f>
        <x:v>120</x:v>
      </x:c>
    </x:row>
    <x:row r="1721" ht="22" customHeight="1">
      <x:c r="A1721" s="19" t="n">
        <x:f>IF(B1721="","",IF(B1721=B1720,A1720,A1720+1))</x:f>
        <x:v>348</x:v>
      </x:c>
      <x:c r="B1721" s="20" t="str">
        <x:f>'Ranking'!C352</x:f>
        <x:v>Hoothoot</x:v>
      </x:c>
      <x:c r="C1721" s="20" t="str">
        <x:f>'Habilidades'!D1577</x:f>
        <x:v>Zen Headbutt</x:v>
      </x:c>
      <x:c r="D1721" s="20" t="str">
        <x:f>'Habilidades'!F1577</x:f>
        <x:v>Física</x:v>
      </x:c>
      <x:c r="E1721" s="21" t="n">
        <x:f>'Habilidades'!G1577</x:f>
        <x:v>80</x:v>
      </x:c>
      <x:c r="F1721" s="21" t="n">
        <x:f>'Habilidades'!H1577</x:f>
        <x:v>30</x:v>
      </x:c>
      <x:c r="G1721" s="21" t="n">
        <x:f>'Habilidades'!I1577</x:f>
        <x:v>110</x:v>
      </x:c>
    </x:row>
    <x:row r="1722" ht="22" customHeight="1">
      <x:c r="A1722" s="17" t="n">
        <x:f>IF(B1722="","",IF(B1722=B1721,A1721,A1721+1))</x:f>
        <x:v>349</x:v>
      </x:c>
      <x:c r="B1722" s="1" t="str">
        <x:f>'Ranking'!C353</x:f>
        <x:v>Bellsprout</x:v>
      </x:c>
      <x:c r="C1722" s="1" t="str">
        <x:f>'Habilidades'!D608</x:f>
        <x:v>Slam</x:v>
      </x:c>
      <x:c r="D1722" s="1" t="str">
        <x:f>'Habilidades'!F608</x:f>
        <x:v>Física</x:v>
      </x:c>
      <x:c r="E1722" s="18" t="n">
        <x:f>'Habilidades'!G608</x:f>
        <x:v>80</x:v>
      </x:c>
      <x:c r="F1722" s="18" t="n">
        <x:f>'Habilidades'!H608</x:f>
        <x:v>75</x:v>
      </x:c>
      <x:c r="G1722" s="18" t="n">
        <x:f>'Habilidades'!I608</x:f>
        <x:v>155</x:v>
      </x:c>
    </x:row>
    <x:row r="1723" ht="22" customHeight="1">
      <x:c r="A1723" s="17" t="n">
        <x:f>IF(B1723="","",IF(B1723=B1722,A1722,A1722+1))</x:f>
        <x:v>349</x:v>
      </x:c>
      <x:c r="B1723" s="1" t="str">
        <x:f>'Ranking'!C353</x:f>
        <x:v>Bellsprout</x:v>
      </x:c>
      <x:c r="C1723" s="1" t="str">
        <x:f>'Habilidades'!D609</x:f>
        <x:v>Knock Off</x:v>
      </x:c>
      <x:c r="D1723" s="1" t="str">
        <x:f>'Habilidades'!F609</x:f>
        <x:v>Física</x:v>
      </x:c>
      <x:c r="E1723" s="18" t="n">
        <x:f>'Habilidades'!G609</x:f>
        <x:v>65</x:v>
      </x:c>
      <x:c r="F1723" s="18" t="n">
        <x:f>'Habilidades'!H609</x:f>
        <x:v>75</x:v>
      </x:c>
      <x:c r="G1723" s="18" t="n">
        <x:f>'Habilidades'!I609</x:f>
        <x:v>140</x:v>
      </x:c>
    </x:row>
    <x:row r="1724" ht="22" customHeight="1">
      <x:c r="A1724" s="17" t="n">
        <x:f>IF(B1724="","",IF(B1724=B1723,A1723,A1723+1))</x:f>
        <x:v>349</x:v>
      </x:c>
      <x:c r="B1724" s="1" t="str">
        <x:f>'Ranking'!C353</x:f>
        <x:v>Bellsprout</x:v>
      </x:c>
      <x:c r="C1724" s="1" t="str">
        <x:f>'Habilidades'!D610</x:f>
        <x:v>Razor Leaf</x:v>
      </x:c>
      <x:c r="D1724" s="1" t="str">
        <x:f>'Habilidades'!F610</x:f>
        <x:v>Física</x:v>
      </x:c>
      <x:c r="E1724" s="18" t="n">
        <x:f>'Habilidades'!G610</x:f>
        <x:v>55</x:v>
      </x:c>
      <x:c r="F1724" s="18" t="n">
        <x:f>'Habilidades'!H610</x:f>
        <x:v>75</x:v>
      </x:c>
      <x:c r="G1724" s="18" t="n">
        <x:f>'Habilidades'!I610</x:f>
        <x:v>130</x:v>
      </x:c>
    </x:row>
    <x:row r="1725" ht="22" customHeight="1">
      <x:c r="A1725" s="17" t="n">
        <x:f>IF(B1725="","",IF(B1725=B1724,A1724,A1724+1))</x:f>
        <x:v>349</x:v>
      </x:c>
      <x:c r="B1725" s="1" t="str">
        <x:f>'Ranking'!C353</x:f>
        <x:v>Bellsprout</x:v>
      </x:c>
      <x:c r="C1725" s="1" t="str">
        <x:f>'Habilidades'!D611</x:f>
        <x:v>Vine Whip</x:v>
      </x:c>
      <x:c r="D1725" s="1" t="str">
        <x:f>'Habilidades'!F611</x:f>
        <x:v>Física</x:v>
      </x:c>
      <x:c r="E1725" s="18" t="n">
        <x:f>'Habilidades'!G611</x:f>
        <x:v>45</x:v>
      </x:c>
      <x:c r="F1725" s="18" t="n">
        <x:f>'Habilidades'!H611</x:f>
        <x:v>75</x:v>
      </x:c>
      <x:c r="G1725" s="18" t="n">
        <x:f>'Habilidades'!I611</x:f>
        <x:v>120</x:v>
      </x:c>
    </x:row>
    <x:row r="1726" ht="22" customHeight="1">
      <x:c r="A1726" s="19" t="n">
        <x:f>IF(B1726="","",IF(B1726=B1725,A1725,A1725+1))</x:f>
        <x:v>349</x:v>
      </x:c>
      <x:c r="B1726" s="20" t="str">
        <x:f>'Ranking'!C353</x:f>
        <x:v>Bellsprout</x:v>
      </x:c>
      <x:c r="C1726" s="20" t="str">
        <x:f>'Habilidades'!D612</x:f>
        <x:v>Acid</x:v>
      </x:c>
      <x:c r="D1726" s="20" t="str">
        <x:f>'Habilidades'!F612</x:f>
        <x:v>Especial</x:v>
      </x:c>
      <x:c r="E1726" s="21" t="n">
        <x:f>'Habilidades'!G612</x:f>
        <x:v>40</x:v>
      </x:c>
      <x:c r="F1726" s="21" t="n">
        <x:f>'Habilidades'!H612</x:f>
        <x:v>70</x:v>
      </x:c>
      <x:c r="G1726" s="21" t="n">
        <x:f>'Habilidades'!I612</x:f>
        <x:v>110</x:v>
      </x:c>
    </x:row>
    <x:row r="1727" ht="22" customHeight="1">
      <x:c r="A1727" s="17" t="n">
        <x:f>IF(B1727="","",IF(B1727=B1726,A1726,A1726+1))</x:f>
        <x:v>350</x:v>
      </x:c>
      <x:c r="B1727" s="1" t="str">
        <x:f>'Ranking'!C356</x:f>
        <x:v>Clefairy</x:v>
      </x:c>
      <x:c r="C1727" s="1" t="str">
        <x:f>'Habilidades'!D296</x:f>
        <x:v>Moonblast</x:v>
      </x:c>
      <x:c r="D1727" s="1" t="str">
        <x:f>'Habilidades'!F296</x:f>
        <x:v>Especial</x:v>
      </x:c>
      <x:c r="E1727" s="18" t="n">
        <x:f>'Habilidades'!G296</x:f>
        <x:v>95</x:v>
      </x:c>
      <x:c r="F1727" s="18" t="n">
        <x:f>'Habilidades'!H296</x:f>
        <x:v>60</x:v>
      </x:c>
      <x:c r="G1727" s="18" t="n">
        <x:f>'Habilidades'!I296</x:f>
        <x:v>155</x:v>
      </x:c>
    </x:row>
    <x:row r="1728" ht="22" customHeight="1">
      <x:c r="A1728" s="17" t="n">
        <x:f>IF(B1728="","",IF(B1728=B1727,A1727,A1727+1))</x:f>
        <x:v>350</x:v>
      </x:c>
      <x:c r="B1728" s="1" t="str">
        <x:f>'Ranking'!C356</x:f>
        <x:v>Clefairy</x:v>
      </x:c>
      <x:c r="C1728" s="1" t="str">
        <x:f>'Habilidades'!D297</x:f>
        <x:v>Meteor Mash</x:v>
      </x:c>
      <x:c r="D1728" s="1" t="str">
        <x:f>'Habilidades'!F297</x:f>
        <x:v>Física</x:v>
      </x:c>
      <x:c r="E1728" s="18" t="n">
        <x:f>'Habilidades'!G297</x:f>
        <x:v>90</x:v>
      </x:c>
      <x:c r="F1728" s="18" t="n">
        <x:f>'Habilidades'!H297</x:f>
        <x:v>45</x:v>
      </x:c>
      <x:c r="G1728" s="18" t="n">
        <x:f>'Habilidades'!I297</x:f>
        <x:v>135</x:v>
      </x:c>
    </x:row>
    <x:row r="1729" ht="22" customHeight="1">
      <x:c r="A1729" s="17" t="n">
        <x:f>IF(B1729="","",IF(B1729=B1728,A1728,A1728+1))</x:f>
        <x:v>350</x:v>
      </x:c>
      <x:c r="B1729" s="1" t="str">
        <x:f>'Ranking'!C356</x:f>
        <x:v>Clefairy</x:v>
      </x:c>
      <x:c r="C1729" s="1" t="str">
        <x:f>'Habilidades'!D298</x:f>
        <x:v>Body Slam</x:v>
      </x:c>
      <x:c r="D1729" s="1" t="str">
        <x:f>'Habilidades'!F298</x:f>
        <x:v>Física</x:v>
      </x:c>
      <x:c r="E1729" s="18" t="n">
        <x:f>'Habilidades'!G298</x:f>
        <x:v>85</x:v>
      </x:c>
      <x:c r="F1729" s="18" t="n">
        <x:f>'Habilidades'!H298</x:f>
        <x:v>45</x:v>
      </x:c>
      <x:c r="G1729" s="18" t="n">
        <x:f>'Habilidades'!I298</x:f>
        <x:v>130</x:v>
      </x:c>
    </x:row>
    <x:row r="1730" ht="22" customHeight="1">
      <x:c r="A1730" s="17" t="n">
        <x:f>IF(B1730="","",IF(B1730=B1729,A1729,A1729+1))</x:f>
        <x:v>350</x:v>
      </x:c>
      <x:c r="B1730" s="1" t="str">
        <x:f>'Ranking'!C356</x:f>
        <x:v>Clefairy</x:v>
      </x:c>
      <x:c r="C1730" s="1" t="str">
        <x:f>'Habilidades'!D299</x:f>
        <x:v>Wake-Up Slap</x:v>
      </x:c>
      <x:c r="D1730" s="1" t="str">
        <x:f>'Habilidades'!F299</x:f>
        <x:v>Física</x:v>
      </x:c>
      <x:c r="E1730" s="18" t="n">
        <x:f>'Habilidades'!G299</x:f>
        <x:v>70</x:v>
      </x:c>
      <x:c r="F1730" s="18" t="n">
        <x:f>'Habilidades'!H299</x:f>
        <x:v>45</x:v>
      </x:c>
      <x:c r="G1730" s="18" t="n">
        <x:f>'Habilidades'!I299</x:f>
        <x:v>115</x:v>
      </x:c>
    </x:row>
    <x:row r="1731" ht="22" customHeight="1">
      <x:c r="A1731" s="19" t="n">
        <x:f>IF(B1731="","",IF(B1731=B1730,A1730,A1730+1))</x:f>
        <x:v>350</x:v>
      </x:c>
      <x:c r="B1731" s="20" t="str">
        <x:f>'Ranking'!C356</x:f>
        <x:v>Clefairy</x:v>
      </x:c>
      <x:c r="C1731" s="20" t="str">
        <x:f>'Habilidades'!D301</x:f>
        <x:v>Pound</x:v>
      </x:c>
      <x:c r="D1731" s="20" t="str">
        <x:f>'Habilidades'!F301</x:f>
        <x:v>Física</x:v>
      </x:c>
      <x:c r="E1731" s="21" t="n">
        <x:f>'Habilidades'!G301</x:f>
        <x:v>40</x:v>
      </x:c>
      <x:c r="F1731" s="21" t="n">
        <x:f>'Habilidades'!H301</x:f>
        <x:v>45</x:v>
      </x:c>
      <x:c r="G1731" s="21" t="n">
        <x:f>'Habilidades'!I301</x:f>
        <x:v>85</x:v>
      </x:c>
    </x:row>
    <x:row r="1732" ht="22" customHeight="1">
      <x:c r="A1732" s="17" t="n">
        <x:f>IF(B1732="","",IF(B1732=B1731,A1731,A1731+1))</x:f>
        <x:v>351</x:v>
      </x:c>
      <x:c r="B1732" s="1" t="str">
        <x:f>'Ranking'!C357</x:f>
        <x:v>Diglett</x:v>
      </x:c>
      <x:c r="C1732" s="1" t="str">
        <x:f>'Habilidades'!D432</x:f>
        <x:v>Earthquake</x:v>
      </x:c>
      <x:c r="D1732" s="1" t="str">
        <x:f>'Habilidades'!F432</x:f>
        <x:v>Física</x:v>
      </x:c>
      <x:c r="E1732" s="18" t="n">
        <x:f>'Habilidades'!G432</x:f>
        <x:v>100</x:v>
      </x:c>
      <x:c r="F1732" s="18" t="n">
        <x:f>'Habilidades'!H432</x:f>
        <x:v>55</x:v>
      </x:c>
      <x:c r="G1732" s="18" t="n">
        <x:f>'Habilidades'!I432</x:f>
        <x:v>155</x:v>
      </x:c>
    </x:row>
    <x:row r="1733" ht="22" customHeight="1">
      <x:c r="A1733" s="17" t="n">
        <x:f>IF(B1733="","",IF(B1733=B1732,A1732,A1732+1))</x:f>
        <x:v>351</x:v>
      </x:c>
      <x:c r="B1733" s="1" t="str">
        <x:f>'Ranking'!C357</x:f>
        <x:v>Diglett</x:v>
      </x:c>
      <x:c r="C1733" s="1" t="str">
        <x:f>'Habilidades'!D433</x:f>
        <x:v>Sucker Punch</x:v>
      </x:c>
      <x:c r="D1733" s="1" t="str">
        <x:f>'Habilidades'!F433</x:f>
        <x:v>Física</x:v>
      </x:c>
      <x:c r="E1733" s="18" t="n">
        <x:f>'Habilidades'!G433</x:f>
        <x:v>80</x:v>
      </x:c>
      <x:c r="F1733" s="18" t="n">
        <x:f>'Habilidades'!H433</x:f>
        <x:v>55</x:v>
      </x:c>
      <x:c r="G1733" s="18" t="n">
        <x:f>'Habilidades'!I433</x:f>
        <x:v>135</x:v>
      </x:c>
    </x:row>
    <x:row r="1734" ht="22" customHeight="1">
      <x:c r="A1734" s="17" t="n">
        <x:f>IF(B1734="","",IF(B1734=B1733,A1733,A1733+1))</x:f>
        <x:v>351</x:v>
      </x:c>
      <x:c r="B1734" s="1" t="str">
        <x:f>'Ranking'!C357</x:f>
        <x:v>Diglett</x:v>
      </x:c>
      <x:c r="C1734" s="1" t="str">
        <x:f>'Habilidades'!D434</x:f>
        <x:v>Dig</x:v>
      </x:c>
      <x:c r="D1734" s="1" t="str">
        <x:f>'Habilidades'!F434</x:f>
        <x:v>Física</x:v>
      </x:c>
      <x:c r="E1734" s="18" t="n">
        <x:f>'Habilidades'!G434</x:f>
        <x:v>80</x:v>
      </x:c>
      <x:c r="F1734" s="18" t="n">
        <x:f>'Habilidades'!H434</x:f>
        <x:v>55</x:v>
      </x:c>
      <x:c r="G1734" s="18" t="n">
        <x:f>'Habilidades'!I434</x:f>
        <x:v>135</x:v>
      </x:c>
    </x:row>
    <x:row r="1735" ht="22" customHeight="1">
      <x:c r="A1735" s="17" t="n">
        <x:f>IF(B1735="","",IF(B1735=B1734,A1734,A1734+1))</x:f>
        <x:v>351</x:v>
      </x:c>
      <x:c r="B1735" s="1" t="str">
        <x:f>'Ranking'!C357</x:f>
        <x:v>Diglett</x:v>
      </x:c>
      <x:c r="C1735" s="1" t="str">
        <x:f>'Habilidades'!D435</x:f>
        <x:v>Earth Power</x:v>
      </x:c>
      <x:c r="D1735" s="1" t="str">
        <x:f>'Habilidades'!F435</x:f>
        <x:v>Especial</x:v>
      </x:c>
      <x:c r="E1735" s="18" t="n">
        <x:f>'Habilidades'!G435</x:f>
        <x:v>90</x:v>
      </x:c>
      <x:c r="F1735" s="18" t="n">
        <x:f>'Habilidades'!H435</x:f>
        <x:v>35</x:v>
      </x:c>
      <x:c r="G1735" s="18" t="n">
        <x:f>'Habilidades'!I435</x:f>
        <x:v>125</x:v>
      </x:c>
    </x:row>
    <x:row r="1736" ht="22" customHeight="1">
      <x:c r="A1736" s="19" t="n">
        <x:f>IF(B1736="","",IF(B1736=B1735,A1735,A1735+1))</x:f>
        <x:v>351</x:v>
      </x:c>
      <x:c r="B1736" s="20" t="str">
        <x:f>'Ranking'!C357</x:f>
        <x:v>Diglett</x:v>
      </x:c>
      <x:c r="C1736" s="20" t="str">
        <x:f>'Habilidades'!D436</x:f>
        <x:v>Slash</x:v>
      </x:c>
      <x:c r="D1736" s="20" t="str">
        <x:f>'Habilidades'!F436</x:f>
        <x:v>Física</x:v>
      </x:c>
      <x:c r="E1736" s="21" t="n">
        <x:f>'Habilidades'!G436</x:f>
        <x:v>70</x:v>
      </x:c>
      <x:c r="F1736" s="21" t="n">
        <x:f>'Habilidades'!H436</x:f>
        <x:v>55</x:v>
      </x:c>
      <x:c r="G1736" s="21" t="n">
        <x:f>'Habilidades'!I436</x:f>
        <x:v>125</x:v>
      </x:c>
    </x:row>
    <x:row r="1737" ht="22" customHeight="1">
      <x:c r="A1737" s="17" t="n">
        <x:f>IF(B1737="","",IF(B1737=B1736,A1736,A1736+1))</x:f>
        <x:v>352</x:v>
      </x:c>
      <x:c r="B1737" s="1" t="str">
        <x:f>'Ranking'!C354</x:f>
        <x:v>Shellder</x:v>
      </x:c>
      <x:c r="C1737" s="1" t="str">
        <x:f>'Habilidades'!D834</x:f>
        <x:v>Hydro Pump</x:v>
      </x:c>
      <x:c r="D1737" s="1" t="str">
        <x:f>'Habilidades'!F834</x:f>
        <x:v>Especial</x:v>
      </x:c>
      <x:c r="E1737" s="18" t="n">
        <x:f>'Habilidades'!G834</x:f>
        <x:v>110</x:v>
      </x:c>
      <x:c r="F1737" s="18" t="n">
        <x:f>'Habilidades'!H834</x:f>
        <x:v>45</x:v>
      </x:c>
      <x:c r="G1737" s="18" t="n">
        <x:f>'Habilidades'!I834</x:f>
        <x:v>155</x:v>
      </x:c>
    </x:row>
    <x:row r="1738" ht="22" customHeight="1">
      <x:c r="A1738" s="17" t="n">
        <x:f>IF(B1738="","",IF(B1738=B1737,A1737,A1737+1))</x:f>
        <x:v>352</x:v>
      </x:c>
      <x:c r="B1738" s="1" t="str">
        <x:f>'Ranking'!C354</x:f>
        <x:v>Shellder</x:v>
      </x:c>
      <x:c r="C1738" s="1" t="str">
        <x:f>'Habilidades'!D835</x:f>
        <x:v>Razor Shell</x:v>
      </x:c>
      <x:c r="D1738" s="1" t="str">
        <x:f>'Habilidades'!F835</x:f>
        <x:v>Física</x:v>
      </x:c>
      <x:c r="E1738" s="18" t="n">
        <x:f>'Habilidades'!G835</x:f>
        <x:v>75</x:v>
      </x:c>
      <x:c r="F1738" s="18" t="n">
        <x:f>'Habilidades'!H835</x:f>
        <x:v>65</x:v>
      </x:c>
      <x:c r="G1738" s="18" t="n">
        <x:f>'Habilidades'!I835</x:f>
        <x:v>140</x:v>
      </x:c>
    </x:row>
    <x:row r="1739" ht="22" customHeight="1">
      <x:c r="A1739" s="17" t="n">
        <x:f>IF(B1739="","",IF(B1739=B1738,A1738,A1738+1))</x:f>
        <x:v>352</x:v>
      </x:c>
      <x:c r="B1739" s="1" t="str">
        <x:f>'Ranking'!C354</x:f>
        <x:v>Shellder</x:v>
      </x:c>
      <x:c r="C1739" s="1" t="str">
        <x:f>'Habilidades'!D836</x:f>
        <x:v>Ice Beam</x:v>
      </x:c>
      <x:c r="D1739" s="1" t="str">
        <x:f>'Habilidades'!F836</x:f>
        <x:v>Especial</x:v>
      </x:c>
      <x:c r="E1739" s="18" t="n">
        <x:f>'Habilidades'!G836</x:f>
        <x:v>90</x:v>
      </x:c>
      <x:c r="F1739" s="18" t="n">
        <x:f>'Habilidades'!H836</x:f>
        <x:v>45</x:v>
      </x:c>
      <x:c r="G1739" s="18" t="n">
        <x:f>'Habilidades'!I836</x:f>
        <x:v>135</x:v>
      </x:c>
    </x:row>
    <x:row r="1740" ht="22" customHeight="1">
      <x:c r="A1740" s="17" t="n">
        <x:f>IF(B1740="","",IF(B1740=B1739,A1739,A1739+1))</x:f>
        <x:v>352</x:v>
      </x:c>
      <x:c r="B1740" s="1" t="str">
        <x:f>'Ranking'!C354</x:f>
        <x:v>Shellder</x:v>
      </x:c>
      <x:c r="C1740" s="1" t="str">
        <x:f>'Habilidades'!D838</x:f>
        <x:v>Aurora Beam</x:v>
      </x:c>
      <x:c r="D1740" s="1" t="str">
        <x:f>'Habilidades'!F838</x:f>
        <x:v>Especial</x:v>
      </x:c>
      <x:c r="E1740" s="18" t="n">
        <x:f>'Habilidades'!G838</x:f>
        <x:v>65</x:v>
      </x:c>
      <x:c r="F1740" s="18" t="n">
        <x:f>'Habilidades'!H838</x:f>
        <x:v>45</x:v>
      </x:c>
      <x:c r="G1740" s="18" t="n">
        <x:f>'Habilidades'!I838</x:f>
        <x:v>110</x:v>
      </x:c>
    </x:row>
    <x:row r="1741" ht="22" customHeight="1">
      <x:c r="A1741" s="19" t="n">
        <x:f>IF(B1741="","",IF(B1741=B1740,A1740,A1740+1))</x:f>
        <x:v>352</x:v>
      </x:c>
      <x:c r="B1741" s="20" t="str">
        <x:f>'Ranking'!C354</x:f>
        <x:v>Shellder</x:v>
      </x:c>
      <x:c r="C1741" s="20" t="str">
        <x:f>'Habilidades'!D839</x:f>
        <x:v>Brine</x:v>
      </x:c>
      <x:c r="D1741" s="20" t="str">
        <x:f>'Habilidades'!F839</x:f>
        <x:v>Especial</x:v>
      </x:c>
      <x:c r="E1741" s="21" t="n">
        <x:f>'Habilidades'!G839</x:f>
        <x:v>65</x:v>
      </x:c>
      <x:c r="F1741" s="21" t="n">
        <x:f>'Habilidades'!H839</x:f>
        <x:v>45</x:v>
      </x:c>
      <x:c r="G1741" s="21" t="n">
        <x:f>'Habilidades'!I839</x:f>
        <x:v>110</x:v>
      </x:c>
    </x:row>
    <x:row r="1742" ht="22" customHeight="1">
      <x:c r="A1742" s="17" t="n">
        <x:f>IF(B1742="","",IF(B1742=B1741,A1741,A1741+1))</x:f>
        <x:v>353</x:v>
      </x:c>
      <x:c r="B1742" s="1" t="str">
        <x:f>'Ranking'!C355</x:f>
        <x:v>Treecko</x:v>
      </x:c>
      <x:c r="C1742" s="1" t="str">
        <x:f>'Habilidades'!D2351</x:f>
        <x:v>Energy Ball</x:v>
      </x:c>
      <x:c r="D1742" s="1" t="str">
        <x:f>'Habilidades'!F2351</x:f>
        <x:v>Especial</x:v>
      </x:c>
      <x:c r="E1742" s="18" t="n">
        <x:f>'Habilidades'!G2351</x:f>
        <x:v>90</x:v>
      </x:c>
      <x:c r="F1742" s="18" t="n">
        <x:f>'Habilidades'!H2351</x:f>
        <x:v>65</x:v>
      </x:c>
      <x:c r="G1742" s="18" t="n">
        <x:f>'Habilidades'!I2351</x:f>
        <x:v>155</x:v>
      </x:c>
    </x:row>
    <x:row r="1743" ht="22" customHeight="1">
      <x:c r="A1743" s="17" t="n">
        <x:f>IF(B1743="","",IF(B1743=B1742,A1742,A1742+1))</x:f>
        <x:v>353</x:v>
      </x:c>
      <x:c r="B1743" s="1" t="str">
        <x:f>'Ranking'!C355</x:f>
        <x:v>Treecko</x:v>
      </x:c>
      <x:c r="C1743" s="1" t="str">
        <x:f>'Habilidades'!D2352</x:f>
        <x:v>Giga Drain</x:v>
      </x:c>
      <x:c r="D1743" s="1" t="str">
        <x:f>'Habilidades'!F2352</x:f>
        <x:v>Especial</x:v>
      </x:c>
      <x:c r="E1743" s="18" t="n">
        <x:f>'Habilidades'!G2352</x:f>
        <x:v>75</x:v>
      </x:c>
      <x:c r="F1743" s="18" t="n">
        <x:f>'Habilidades'!H2352</x:f>
        <x:v>65</x:v>
      </x:c>
      <x:c r="G1743" s="18" t="n">
        <x:f>'Habilidades'!I2352</x:f>
        <x:v>140</x:v>
      </x:c>
    </x:row>
    <x:row r="1744" ht="22" customHeight="1">
      <x:c r="A1744" s="17" t="n">
        <x:f>IF(B1744="","",IF(B1744=B1743,A1743,A1743+1))</x:f>
        <x:v>353</x:v>
      </x:c>
      <x:c r="B1744" s="1" t="str">
        <x:f>'Ranking'!C355</x:f>
        <x:v>Treecko</x:v>
      </x:c>
      <x:c r="C1744" s="1" t="str">
        <x:f>'Habilidades'!D2353</x:f>
        <x:v>Slam</x:v>
      </x:c>
      <x:c r="D1744" s="1" t="str">
        <x:f>'Habilidades'!F2353</x:f>
        <x:v>Física</x:v>
      </x:c>
      <x:c r="E1744" s="18" t="n">
        <x:f>'Habilidades'!G2353</x:f>
        <x:v>80</x:v>
      </x:c>
      <x:c r="F1744" s="18" t="n">
        <x:f>'Habilidades'!H2353</x:f>
        <x:v>45</x:v>
      </x:c>
      <x:c r="G1744" s="18" t="n">
        <x:f>'Habilidades'!I2353</x:f>
        <x:v>125</x:v>
      </x:c>
    </x:row>
    <x:row r="1745" ht="22" customHeight="1">
      <x:c r="A1745" s="17" t="n">
        <x:f>IF(B1745="","",IF(B1745=B1744,A1744,A1744+1))</x:f>
        <x:v>353</x:v>
      </x:c>
      <x:c r="B1745" s="1" t="str">
        <x:f>'Ranking'!C355</x:f>
        <x:v>Treecko</x:v>
      </x:c>
      <x:c r="C1745" s="1" t="str">
        <x:f>'Habilidades'!D2355</x:f>
        <x:v>Pound</x:v>
      </x:c>
      <x:c r="D1745" s="1" t="str">
        <x:f>'Habilidades'!F2355</x:f>
        <x:v>Física</x:v>
      </x:c>
      <x:c r="E1745" s="18" t="n">
        <x:f>'Habilidades'!G2355</x:f>
        <x:v>40</x:v>
      </x:c>
      <x:c r="F1745" s="18" t="n">
        <x:f>'Habilidades'!H2355</x:f>
        <x:v>45</x:v>
      </x:c>
      <x:c r="G1745" s="18" t="n">
        <x:f>'Habilidades'!I2355</x:f>
        <x:v>85</x:v>
      </x:c>
    </x:row>
    <x:row r="1746" ht="22" customHeight="1">
      <x:c r="A1746" s="19" t="n">
        <x:f>IF(B1746="","",IF(B1746=B1745,A1745,A1745+1))</x:f>
        <x:v>353</x:v>
      </x:c>
      <x:c r="B1746" s="20" t="str">
        <x:f>'Ranking'!C355</x:f>
        <x:v>Treecko</x:v>
      </x:c>
      <x:c r="C1746" s="20" t="str">
        <x:f>'Habilidades'!D2356</x:f>
        <x:v>Quick Attack</x:v>
      </x:c>
      <x:c r="D1746" s="20" t="str">
        <x:f>'Habilidades'!F2356</x:f>
        <x:v>Física</x:v>
      </x:c>
      <x:c r="E1746" s="21" t="n">
        <x:f>'Habilidades'!G2356</x:f>
        <x:v>40</x:v>
      </x:c>
      <x:c r="F1746" s="21" t="n">
        <x:f>'Habilidades'!H2356</x:f>
        <x:v>45</x:v>
      </x:c>
      <x:c r="G1746" s="21" t="n">
        <x:f>'Habilidades'!I2356</x:f>
        <x:v>85</x:v>
      </x:c>
    </x:row>
    <x:row r="1747" ht="22" customHeight="1">
      <x:c r="A1747" s="17" t="n">
        <x:f>IF(B1747="","",IF(B1747=B1746,A1746,A1746+1))</x:f>
        <x:v>354</x:v>
      </x:c>
      <x:c r="B1747" s="1" t="str">
        <x:f>'Ranking'!C358</x:f>
        <x:v>Nidorino</x:v>
      </x:c>
      <x:c r="C1747" s="1" t="str">
        <x:f>'Habilidades'!D280</x:f>
        <x:v>Poison Jab</x:v>
      </x:c>
      <x:c r="D1747" s="1" t="str">
        <x:f>'Habilidades'!F280</x:f>
        <x:v>Física</x:v>
      </x:c>
      <x:c r="E1747" s="18" t="n">
        <x:f>'Habilidades'!G280</x:f>
        <x:v>80</x:v>
      </x:c>
      <x:c r="F1747" s="18" t="n">
        <x:f>'Habilidades'!H280</x:f>
        <x:v>72</x:v>
      </x:c>
      <x:c r="G1747" s="18" t="n">
        <x:f>'Habilidades'!I280</x:f>
        <x:v>152</x:v>
      </x:c>
    </x:row>
    <x:row r="1748" ht="22" customHeight="1">
      <x:c r="A1748" s="17" t="n">
        <x:f>IF(B1748="","",IF(B1748=B1747,A1747,A1747+1))</x:f>
        <x:v>354</x:v>
      </x:c>
      <x:c r="B1748" s="1" t="str">
        <x:f>'Ranking'!C358</x:f>
        <x:v>Nidorino</x:v>
      </x:c>
      <x:c r="C1748" s="1" t="str">
        <x:f>'Habilidades'!D281</x:f>
        <x:v>Horn Attack</x:v>
      </x:c>
      <x:c r="D1748" s="1" t="str">
        <x:f>'Habilidades'!F281</x:f>
        <x:v>Física</x:v>
      </x:c>
      <x:c r="E1748" s="18" t="n">
        <x:f>'Habilidades'!G281</x:f>
        <x:v>65</x:v>
      </x:c>
      <x:c r="F1748" s="18" t="n">
        <x:f>'Habilidades'!H281</x:f>
        <x:v>72</x:v>
      </x:c>
      <x:c r="G1748" s="18" t="n">
        <x:f>'Habilidades'!I281</x:f>
        <x:v>137</x:v>
      </x:c>
    </x:row>
    <x:row r="1749" ht="22" customHeight="1">
      <x:c r="A1749" s="17" t="n">
        <x:f>IF(B1749="","",IF(B1749=B1748,A1748,A1748+1))</x:f>
        <x:v>354</x:v>
      </x:c>
      <x:c r="B1749" s="1" t="str">
        <x:f>'Ranking'!C358</x:f>
        <x:v>Nidorino</x:v>
      </x:c>
      <x:c r="C1749" s="1" t="str">
        <x:f>'Habilidades'!D282</x:f>
        <x:v>Peck</x:v>
      </x:c>
      <x:c r="D1749" s="1" t="str">
        <x:f>'Habilidades'!F282</x:f>
        <x:v>Física</x:v>
      </x:c>
      <x:c r="E1749" s="18" t="n">
        <x:f>'Habilidades'!G282</x:f>
        <x:v>35</x:v>
      </x:c>
      <x:c r="F1749" s="18" t="n">
        <x:f>'Habilidades'!H282</x:f>
        <x:v>72</x:v>
      </x:c>
      <x:c r="G1749" s="18" t="n">
        <x:f>'Habilidades'!I282</x:f>
        <x:v>107</x:v>
      </x:c>
    </x:row>
    <x:row r="1750" ht="22" customHeight="1">
      <x:c r="A1750" s="17" t="n">
        <x:f>IF(B1750="","",IF(B1750=B1749,A1749,A1749+1))</x:f>
        <x:v>354</x:v>
      </x:c>
      <x:c r="B1750" s="1" t="str">
        <x:f>'Ranking'!C358</x:f>
        <x:v>Nidorino</x:v>
      </x:c>
      <x:c r="C1750" s="1" t="str">
        <x:f>'Habilidades'!D283</x:f>
        <x:v>Double Kick</x:v>
      </x:c>
      <x:c r="D1750" s="1" t="str">
        <x:f>'Habilidades'!F283</x:f>
        <x:v>Física</x:v>
      </x:c>
      <x:c r="E1750" s="18" t="n">
        <x:f>'Habilidades'!G283</x:f>
        <x:v>30</x:v>
      </x:c>
      <x:c r="F1750" s="18" t="n">
        <x:f>'Habilidades'!H283</x:f>
        <x:v>72</x:v>
      </x:c>
      <x:c r="G1750" s="18" t="n">
        <x:f>'Habilidades'!I283</x:f>
        <x:v>102</x:v>
      </x:c>
    </x:row>
    <x:row r="1751" ht="22" customHeight="1">
      <x:c r="A1751" s="19" t="n">
        <x:f>IF(B1751="","",IF(B1751=B1750,A1750,A1750+1))</x:f>
        <x:v>354</x:v>
      </x:c>
      <x:c r="B1751" s="20" t="str">
        <x:f>'Ranking'!C358</x:f>
        <x:v>Nidorino</x:v>
      </x:c>
      <x:c r="C1751" s="20" t="str">
        <x:f>'Habilidades'!D284</x:f>
        <x:v>Poison Sting</x:v>
      </x:c>
      <x:c r="D1751" s="20" t="str">
        <x:f>'Habilidades'!F284</x:f>
        <x:v>Física</x:v>
      </x:c>
      <x:c r="E1751" s="21" t="n">
        <x:f>'Habilidades'!G284</x:f>
        <x:v>15</x:v>
      </x:c>
      <x:c r="F1751" s="21" t="n">
        <x:f>'Habilidades'!H284</x:f>
        <x:v>72</x:v>
      </x:c>
      <x:c r="G1751" s="21" t="n">
        <x:f>'Habilidades'!I284</x:f>
        <x:v>87</x:v>
      </x:c>
    </x:row>
    <x:row r="1752" ht="22" customHeight="1">
      <x:c r="A1752" s="17" t="n">
        <x:f>IF(B1752="","",IF(B1752=B1751,A1751,A1751+1))</x:f>
        <x:v>355</x:v>
      </x:c>
      <x:c r="B1752" s="1" t="str">
        <x:f>'Ranking'!C363</x:f>
        <x:v>Duskull</x:v>
      </x:c>
      <x:c r="C1752" s="1" t="str">
        <x:f>'Habilidades'!D2983</x:f>
        <x:v>Future Sight</x:v>
      </x:c>
      <x:c r="D1752" s="1" t="str">
        <x:f>'Habilidades'!F2983</x:f>
        <x:v>Especial</x:v>
      </x:c>
      <x:c r="E1752" s="18" t="n">
        <x:f>'Habilidades'!G2983</x:f>
        <x:v>120</x:v>
      </x:c>
      <x:c r="F1752" s="18" t="n">
        <x:f>'Habilidades'!H2983</x:f>
        <x:v>30</x:v>
      </x:c>
      <x:c r="G1752" s="18" t="n">
        <x:f>'Habilidades'!I2983</x:f>
        <x:v>150</x:v>
      </x:c>
    </x:row>
    <x:row r="1753" ht="22" customHeight="1">
      <x:c r="A1753" s="17" t="n">
        <x:f>IF(B1753="","",IF(B1753=B1752,A1752,A1752+1))</x:f>
        <x:v>355</x:v>
      </x:c>
      <x:c r="B1753" s="1" t="str">
        <x:f>'Ranking'!C363</x:f>
        <x:v>Duskull</x:v>
      </x:c>
      <x:c r="C1753" s="1" t="str">
        <x:f>'Habilidades'!D2984</x:f>
        <x:v>Shadow Ball</x:v>
      </x:c>
      <x:c r="D1753" s="1" t="str">
        <x:f>'Habilidades'!F2984</x:f>
        <x:v>Especial</x:v>
      </x:c>
      <x:c r="E1753" s="18" t="n">
        <x:f>'Habilidades'!G2984</x:f>
        <x:v>80</x:v>
      </x:c>
      <x:c r="F1753" s="18" t="n">
        <x:f>'Habilidades'!H2984</x:f>
        <x:v>30</x:v>
      </x:c>
      <x:c r="G1753" s="18" t="n">
        <x:f>'Habilidades'!I2984</x:f>
        <x:v>110</x:v>
      </x:c>
    </x:row>
    <x:row r="1754" ht="22" customHeight="1">
      <x:c r="A1754" s="17" t="n">
        <x:f>IF(B1754="","",IF(B1754=B1753,A1753,A1753+1))</x:f>
        <x:v>355</x:v>
      </x:c>
      <x:c r="B1754" s="1" t="str">
        <x:f>'Ranking'!C363</x:f>
        <x:v>Duskull</x:v>
      </x:c>
      <x:c r="C1754" s="1" t="str">
        <x:f>'Habilidades'!D2985</x:f>
        <x:v>Hex</x:v>
      </x:c>
      <x:c r="D1754" s="1" t="str">
        <x:f>'Habilidades'!F2985</x:f>
        <x:v>Especial</x:v>
      </x:c>
      <x:c r="E1754" s="18" t="n">
        <x:f>'Habilidades'!G2985</x:f>
        <x:v>65</x:v>
      </x:c>
      <x:c r="F1754" s="18" t="n">
        <x:f>'Habilidades'!H2985</x:f>
        <x:v>30</x:v>
      </x:c>
      <x:c r="G1754" s="18" t="n">
        <x:f>'Habilidades'!I2985</x:f>
        <x:v>95</x:v>
      </x:c>
    </x:row>
    <x:row r="1755" ht="22" customHeight="1">
      <x:c r="A1755" s="17" t="n">
        <x:f>IF(B1755="","",IF(B1755=B1754,A1754,A1754+1))</x:f>
        <x:v>355</x:v>
      </x:c>
      <x:c r="B1755" s="1" t="str">
        <x:f>'Ranking'!C363</x:f>
        <x:v>Duskull</x:v>
      </x:c>
      <x:c r="C1755" s="1" t="str">
        <x:f>'Habilidades'!D2986</x:f>
        <x:v>Payback</x:v>
      </x:c>
      <x:c r="D1755" s="1" t="str">
        <x:f>'Habilidades'!F2986</x:f>
        <x:v>Física</x:v>
      </x:c>
      <x:c r="E1755" s="18" t="n">
        <x:f>'Habilidades'!G2986</x:f>
        <x:v>50</x:v>
      </x:c>
      <x:c r="F1755" s="18" t="n">
        <x:f>'Habilidades'!H2986</x:f>
        <x:v>40</x:v>
      </x:c>
      <x:c r="G1755" s="18" t="n">
        <x:f>'Habilidades'!I2986</x:f>
        <x:v>90</x:v>
      </x:c>
    </x:row>
    <x:row r="1756" ht="22" customHeight="1">
      <x:c r="A1756" s="19" t="n">
        <x:f>IF(B1756="","",IF(B1756=B1755,A1755,A1755+1))</x:f>
        <x:v>355</x:v>
      </x:c>
      <x:c r="B1756" s="20" t="str">
        <x:f>'Ranking'!C363</x:f>
        <x:v>Duskull</x:v>
      </x:c>
      <x:c r="C1756" s="20" t="str">
        <x:f>'Habilidades'!D2987</x:f>
        <x:v>Night Shade</x:v>
      </x:c>
      <x:c r="D1756" s="20" t="str">
        <x:f>'Habilidades'!F2987</x:f>
        <x:v>Especial</x:v>
      </x:c>
      <x:c r="E1756" s="21" t="n">
        <x:f>'Habilidades'!G2987</x:f>
        <x:v>56</x:v>
      </x:c>
      <x:c r="F1756" s="21" t="n">
        <x:f>'Habilidades'!H2987</x:f>
        <x:v>30</x:v>
      </x:c>
      <x:c r="G1756" s="21" t="n">
        <x:f>'Habilidades'!I2987</x:f>
        <x:v>86</x:v>
      </x:c>
    </x:row>
    <x:row r="1757" ht="22" customHeight="1">
      <x:c r="A1757" s="17" t="n">
        <x:f>IF(B1757="","",IF(B1757=B1756,A1756,A1756+1))</x:f>
        <x:v>356</x:v>
      </x:c>
      <x:c r="B1757" s="1" t="str">
        <x:f>'Ranking'!C359</x:f>
        <x:v>Paras</x:v>
      </x:c>
      <x:c r="C1757" s="1" t="str">
        <x:f>'Habilidades'!D387</x:f>
        <x:v>X-Scissor</x:v>
      </x:c>
      <x:c r="D1757" s="1" t="str">
        <x:f>'Habilidades'!F387</x:f>
        <x:v>Física</x:v>
      </x:c>
      <x:c r="E1757" s="18" t="n">
        <x:f>'Habilidades'!G387</x:f>
        <x:v>80</x:v>
      </x:c>
      <x:c r="F1757" s="18" t="n">
        <x:f>'Habilidades'!H387</x:f>
        <x:v>70</x:v>
      </x:c>
      <x:c r="G1757" s="18" t="n">
        <x:f>'Habilidades'!I387</x:f>
        <x:v>150</x:v>
      </x:c>
    </x:row>
    <x:row r="1758" ht="22" customHeight="1">
      <x:c r="A1758" s="17" t="n">
        <x:f>IF(B1758="","",IF(B1758=B1757,A1757,A1757+1))</x:f>
        <x:v>356</x:v>
      </x:c>
      <x:c r="B1758" s="1" t="str">
        <x:f>'Ranking'!C359</x:f>
        <x:v>Paras</x:v>
      </x:c>
      <x:c r="C1758" s="1" t="str">
        <x:f>'Habilidades'!D388</x:f>
        <x:v>Slash</x:v>
      </x:c>
      <x:c r="D1758" s="1" t="str">
        <x:f>'Habilidades'!F388</x:f>
        <x:v>Física</x:v>
      </x:c>
      <x:c r="E1758" s="18" t="n">
        <x:f>'Habilidades'!G388</x:f>
        <x:v>70</x:v>
      </x:c>
      <x:c r="F1758" s="18" t="n">
        <x:f>'Habilidades'!H388</x:f>
        <x:v>70</x:v>
      </x:c>
      <x:c r="G1758" s="18" t="n">
        <x:f>'Habilidades'!I388</x:f>
        <x:v>140</x:v>
      </x:c>
    </x:row>
    <x:row r="1759" ht="22" customHeight="1">
      <x:c r="A1759" s="17" t="n">
        <x:f>IF(B1759="","",IF(B1759=B1758,A1758,A1758+1))</x:f>
        <x:v>356</x:v>
      </x:c>
      <x:c r="B1759" s="1" t="str">
        <x:f>'Ranking'!C359</x:f>
        <x:v>Paras</x:v>
      </x:c>
      <x:c r="C1759" s="1" t="str">
        <x:f>'Habilidades'!D389</x:f>
        <x:v>Giga Drain</x:v>
      </x:c>
      <x:c r="D1759" s="1" t="str">
        <x:f>'Habilidades'!F389</x:f>
        <x:v>Especial</x:v>
      </x:c>
      <x:c r="E1759" s="18" t="n">
        <x:f>'Habilidades'!G389</x:f>
        <x:v>75</x:v>
      </x:c>
      <x:c r="F1759" s="18" t="n">
        <x:f>'Habilidades'!H389</x:f>
        <x:v>45</x:v>
      </x:c>
      <x:c r="G1759" s="18" t="n">
        <x:f>'Habilidades'!I389</x:f>
        <x:v>120</x:v>
      </x:c>
    </x:row>
    <x:row r="1760" ht="22" customHeight="1">
      <x:c r="A1760" s="17" t="n">
        <x:f>IF(B1760="","",IF(B1760=B1759,A1759,A1759+1))</x:f>
        <x:v>356</x:v>
      </x:c>
      <x:c r="B1760" s="1" t="str">
        <x:f>'Ranking'!C359</x:f>
        <x:v>Paras</x:v>
      </x:c>
      <x:c r="C1760" s="1" t="str">
        <x:f>'Habilidades'!D390</x:f>
        <x:v>Scratch</x:v>
      </x:c>
      <x:c r="D1760" s="1" t="str">
        <x:f>'Habilidades'!F390</x:f>
        <x:v>Física</x:v>
      </x:c>
      <x:c r="E1760" s="18" t="n">
        <x:f>'Habilidades'!G390</x:f>
        <x:v>40</x:v>
      </x:c>
      <x:c r="F1760" s="18" t="n">
        <x:f>'Habilidades'!H390</x:f>
        <x:v>70</x:v>
      </x:c>
      <x:c r="G1760" s="18" t="n">
        <x:f>'Habilidades'!I390</x:f>
        <x:v>110</x:v>
      </x:c>
    </x:row>
    <x:row r="1761" ht="22" customHeight="1">
      <x:c r="A1761" s="19" t="n">
        <x:f>IF(B1761="","",IF(B1761=B1760,A1760,A1760+1))</x:f>
        <x:v>356</x:v>
      </x:c>
      <x:c r="B1761" s="20" t="str">
        <x:f>'Ranking'!C359</x:f>
        <x:v>Paras</x:v>
      </x:c>
      <x:c r="C1761" s="20" t="str">
        <x:f>'Habilidades'!D391</x:f>
        <x:v>Fury Cutter</x:v>
      </x:c>
      <x:c r="D1761" s="20" t="str">
        <x:f>'Habilidades'!F391</x:f>
        <x:v>Física</x:v>
      </x:c>
      <x:c r="E1761" s="21" t="n">
        <x:f>'Habilidades'!G391</x:f>
        <x:v>40</x:v>
      </x:c>
      <x:c r="F1761" s="21" t="n">
        <x:f>'Habilidades'!H391</x:f>
        <x:v>70</x:v>
      </x:c>
      <x:c r="G1761" s="21" t="n">
        <x:f>'Habilidades'!I391</x:f>
        <x:v>110</x:v>
      </x:c>
    </x:row>
    <x:row r="1762" ht="22" customHeight="1">
      <x:c r="A1762" s="17" t="n">
        <x:f>IF(B1762="","",IF(B1762=B1761,A1761,A1761+1))</x:f>
        <x:v>357</x:v>
      </x:c>
      <x:c r="B1762" s="1" t="str">
        <x:f>'Ranking'!C361</x:f>
        <x:v>Poliwag</x:v>
      </x:c>
      <x:c r="C1762" s="1" t="str">
        <x:f>'Habilidades'!D533</x:f>
        <x:v>Hydro Pump</x:v>
      </x:c>
      <x:c r="D1762" s="1" t="str">
        <x:f>'Habilidades'!F533</x:f>
        <x:v>Especial</x:v>
      </x:c>
      <x:c r="E1762" s="18" t="n">
        <x:f>'Habilidades'!G533</x:f>
        <x:v>110</x:v>
      </x:c>
      <x:c r="F1762" s="18" t="n">
        <x:f>'Habilidades'!H533</x:f>
        <x:v>40</x:v>
      </x:c>
      <x:c r="G1762" s="18" t="n">
        <x:f>'Habilidades'!I533</x:f>
        <x:v>150</x:v>
      </x:c>
    </x:row>
    <x:row r="1763" ht="22" customHeight="1">
      <x:c r="A1763" s="17" t="n">
        <x:f>IF(B1763="","",IF(B1763=B1762,A1762,A1762+1))</x:f>
        <x:v>357</x:v>
      </x:c>
      <x:c r="B1763" s="1" t="str">
        <x:f>'Ranking'!C361</x:f>
        <x:v>Poliwag</x:v>
      </x:c>
      <x:c r="C1763" s="1" t="str">
        <x:f>'Habilidades'!D534</x:f>
        <x:v>Body Slam</x:v>
      </x:c>
      <x:c r="D1763" s="1" t="str">
        <x:f>'Habilidades'!F534</x:f>
        <x:v>Física</x:v>
      </x:c>
      <x:c r="E1763" s="18" t="n">
        <x:f>'Habilidades'!G534</x:f>
        <x:v>85</x:v>
      </x:c>
      <x:c r="F1763" s="18" t="n">
        <x:f>'Habilidades'!H534</x:f>
        <x:v>50</x:v>
      </x:c>
      <x:c r="G1763" s="18" t="n">
        <x:f>'Habilidades'!I534</x:f>
        <x:v>135</x:v>
      </x:c>
    </x:row>
    <x:row r="1764" ht="22" customHeight="1">
      <x:c r="A1764" s="17" t="n">
        <x:f>IF(B1764="","",IF(B1764=B1763,A1763,A1763+1))</x:f>
        <x:v>357</x:v>
      </x:c>
      <x:c r="B1764" s="1" t="str">
        <x:f>'Ranking'!C361</x:f>
        <x:v>Poliwag</x:v>
      </x:c>
      <x:c r="C1764" s="1" t="str">
        <x:f>'Habilidades'!D535</x:f>
        <x:v>Wake-Up Slap</x:v>
      </x:c>
      <x:c r="D1764" s="1" t="str">
        <x:f>'Habilidades'!F535</x:f>
        <x:v>Física</x:v>
      </x:c>
      <x:c r="E1764" s="18" t="n">
        <x:f>'Habilidades'!G535</x:f>
        <x:v>70</x:v>
      </x:c>
      <x:c r="F1764" s="18" t="n">
        <x:f>'Habilidades'!H535</x:f>
        <x:v>50</x:v>
      </x:c>
      <x:c r="G1764" s="18" t="n">
        <x:f>'Habilidades'!I535</x:f>
        <x:v>120</x:v>
      </x:c>
    </x:row>
    <x:row r="1765" ht="22" customHeight="1">
      <x:c r="A1765" s="17" t="n">
        <x:f>IF(B1765="","",IF(B1765=B1764,A1764,A1764+1))</x:f>
        <x:v>357</x:v>
      </x:c>
      <x:c r="B1765" s="1" t="str">
        <x:f>'Ranking'!C361</x:f>
        <x:v>Poliwag</x:v>
      </x:c>
      <x:c r="C1765" s="1" t="str">
        <x:f>'Habilidades'!D536</x:f>
        <x:v>Bubble Beam</x:v>
      </x:c>
      <x:c r="D1765" s="1" t="str">
        <x:f>'Habilidades'!F536</x:f>
        <x:v>Especial</x:v>
      </x:c>
      <x:c r="E1765" s="18" t="n">
        <x:f>'Habilidades'!G536</x:f>
        <x:v>65</x:v>
      </x:c>
      <x:c r="F1765" s="18" t="n">
        <x:f>'Habilidades'!H536</x:f>
        <x:v>40</x:v>
      </x:c>
      <x:c r="G1765" s="18" t="n">
        <x:f>'Habilidades'!I536</x:f>
        <x:v>105</x:v>
      </x:c>
    </x:row>
    <x:row r="1766" ht="22" customHeight="1">
      <x:c r="A1766" s="19" t="n">
        <x:f>IF(B1766="","",IF(B1766=B1765,A1765,A1765+1))</x:f>
        <x:v>357</x:v>
      </x:c>
      <x:c r="B1766" s="20" t="str">
        <x:f>'Ranking'!C361</x:f>
        <x:v>Poliwag</x:v>
      </x:c>
      <x:c r="C1766" s="20" t="str">
        <x:f>'Habilidades'!D537</x:f>
        <x:v>Mud Bomb</x:v>
      </x:c>
      <x:c r="D1766" s="20" t="str">
        <x:f>'Habilidades'!F537</x:f>
        <x:v>Especial</x:v>
      </x:c>
      <x:c r="E1766" s="21" t="n">
        <x:f>'Habilidades'!G537</x:f>
        <x:v>65</x:v>
      </x:c>
      <x:c r="F1766" s="21" t="n">
        <x:f>'Habilidades'!H537</x:f>
        <x:v>40</x:v>
      </x:c>
      <x:c r="G1766" s="21" t="n">
        <x:f>'Habilidades'!I537</x:f>
        <x:v>105</x:v>
      </x:c>
    </x:row>
    <x:row r="1767" ht="22" customHeight="1">
      <x:c r="A1767" s="17" t="n">
        <x:f>IF(B1767="","",IF(B1767=B1766,A1766,A1766+1))</x:f>
        <x:v>358</x:v>
      </x:c>
      <x:c r="B1767" s="1" t="str">
        <x:f>'Ranking'!C360</x:f>
        <x:v>Slakoth</x:v>
      </x:c>
      <x:c r="C1767" s="1" t="str">
        <x:f>'Habilidades'!D2556</x:f>
        <x:v>Play Rough</x:v>
      </x:c>
      <x:c r="D1767" s="1" t="str">
        <x:f>'Habilidades'!F2556</x:f>
        <x:v>Física</x:v>
      </x:c>
      <x:c r="E1767" s="18" t="n">
        <x:f>'Habilidades'!G2556</x:f>
        <x:v>90</x:v>
      </x:c>
      <x:c r="F1767" s="18" t="n">
        <x:f>'Habilidades'!H2556</x:f>
        <x:v>60</x:v>
      </x:c>
      <x:c r="G1767" s="18" t="n">
        <x:f>'Habilidades'!I2556</x:f>
        <x:v>150</x:v>
      </x:c>
    </x:row>
    <x:row r="1768" ht="22" customHeight="1">
      <x:c r="A1768" s="17" t="n">
        <x:f>IF(B1768="","",IF(B1768=B1767,A1767,A1767+1))</x:f>
        <x:v>358</x:v>
      </x:c>
      <x:c r="B1768" s="1" t="str">
        <x:f>'Ranking'!C360</x:f>
        <x:v>Slakoth</x:v>
      </x:c>
      <x:c r="C1768" s="1" t="str">
        <x:f>'Habilidades'!D2557</x:f>
        <x:v>Chip Away</x:v>
      </x:c>
      <x:c r="D1768" s="1" t="str">
        <x:f>'Habilidades'!F2557</x:f>
        <x:v>Física</x:v>
      </x:c>
      <x:c r="E1768" s="18" t="n">
        <x:f>'Habilidades'!G2557</x:f>
        <x:v>70</x:v>
      </x:c>
      <x:c r="F1768" s="18" t="n">
        <x:f>'Habilidades'!H2557</x:f>
        <x:v>60</x:v>
      </x:c>
      <x:c r="G1768" s="18" t="n">
        <x:f>'Habilidades'!I2557</x:f>
        <x:v>130</x:v>
      </x:c>
    </x:row>
    <x:row r="1769" ht="22" customHeight="1">
      <x:c r="A1769" s="17" t="n">
        <x:f>IF(B1769="","",IF(B1769=B1768,A1768,A1768+1))</x:f>
        <x:v>358</x:v>
      </x:c>
      <x:c r="B1769" s="1" t="str">
        <x:f>'Ranking'!C360</x:f>
        <x:v>Slakoth</x:v>
      </x:c>
      <x:c r="C1769" s="1" t="str">
        <x:f>'Habilidades'!D2558</x:f>
        <x:v>Feint Attack</x:v>
      </x:c>
      <x:c r="D1769" s="1" t="str">
        <x:f>'Habilidades'!F2558</x:f>
        <x:v>Física</x:v>
      </x:c>
      <x:c r="E1769" s="18" t="n">
        <x:f>'Habilidades'!G2558</x:f>
        <x:v>60</x:v>
      </x:c>
      <x:c r="F1769" s="18" t="n">
        <x:f>'Habilidades'!H2558</x:f>
        <x:v>60</x:v>
      </x:c>
      <x:c r="G1769" s="18" t="n">
        <x:f>'Habilidades'!I2558</x:f>
        <x:v>120</x:v>
      </x:c>
    </x:row>
    <x:row r="1770" ht="22" customHeight="1">
      <x:c r="A1770" s="17" t="n">
        <x:f>IF(B1770="","",IF(B1770=B1769,A1769,A1769+1))</x:f>
        <x:v>358</x:v>
      </x:c>
      <x:c r="B1770" s="1" t="str">
        <x:f>'Ranking'!C360</x:f>
        <x:v>Slakoth</x:v>
      </x:c>
      <x:c r="C1770" s="1" t="str">
        <x:f>'Habilidades'!D2559</x:f>
        <x:v>Covet</x:v>
      </x:c>
      <x:c r="D1770" s="1" t="str">
        <x:f>'Habilidades'!F2559</x:f>
        <x:v>Física</x:v>
      </x:c>
      <x:c r="E1770" s="18" t="n">
        <x:f>'Habilidades'!G2559</x:f>
        <x:v>60</x:v>
      </x:c>
      <x:c r="F1770" s="18" t="n">
        <x:f>'Habilidades'!H2559</x:f>
        <x:v>60</x:v>
      </x:c>
      <x:c r="G1770" s="18" t="n">
        <x:f>'Habilidades'!I2559</x:f>
        <x:v>120</x:v>
      </x:c>
    </x:row>
    <x:row r="1771" ht="22" customHeight="1">
      <x:c r="A1771" s="19" t="n">
        <x:f>IF(B1771="","",IF(B1771=B1770,A1770,A1770+1))</x:f>
        <x:v>358</x:v>
      </x:c>
      <x:c r="B1771" s="20" t="str">
        <x:f>'Ranking'!C360</x:f>
        <x:v>Slakoth</x:v>
      </x:c>
      <x:c r="C1771" s="20" t="str">
        <x:f>'Habilidades'!D2560</x:f>
        <x:v>Scratch</x:v>
      </x:c>
      <x:c r="D1771" s="20" t="str">
        <x:f>'Habilidades'!F2560</x:f>
        <x:v>Física</x:v>
      </x:c>
      <x:c r="E1771" s="21" t="n">
        <x:f>'Habilidades'!G2560</x:f>
        <x:v>40</x:v>
      </x:c>
      <x:c r="F1771" s="21" t="n">
        <x:f>'Habilidades'!H2560</x:f>
        <x:v>60</x:v>
      </x:c>
      <x:c r="G1771" s="21" t="n">
        <x:f>'Habilidades'!I2560</x:f>
        <x:v>100</x:v>
      </x:c>
    </x:row>
    <x:row r="1772" ht="22" customHeight="1">
      <x:c r="A1772" s="17" t="n">
        <x:f>IF(B1772="","",IF(B1772=B1771,A1771,A1771+1))</x:f>
        <x:v>359</x:v>
      </x:c>
      <x:c r="B1772" s="1" t="str">
        <x:f>'Ranking'!C364</x:f>
        <x:v>Sunkern</x:v>
      </x:c>
      <x:c r="C1772" s="1" t="str">
        <x:f>'Habilidades'!D1790</x:f>
        <x:v>Solar Beam</x:v>
      </x:c>
      <x:c r="D1772" s="1" t="str">
        <x:f>'Habilidades'!F1790</x:f>
        <x:v>Especial</x:v>
      </x:c>
      <x:c r="E1772" s="18" t="n">
        <x:f>'Habilidades'!G1790</x:f>
        <x:v>120</x:v>
      </x:c>
      <x:c r="F1772" s="18" t="n">
        <x:f>'Habilidades'!H1790</x:f>
        <x:v>30</x:v>
      </x:c>
      <x:c r="G1772" s="18" t="n">
        <x:f>'Habilidades'!I1790</x:f>
        <x:v>150</x:v>
      </x:c>
    </x:row>
    <x:row r="1773" ht="22" customHeight="1">
      <x:c r="A1773" s="17" t="n">
        <x:f>IF(B1773="","",IF(B1773=B1772,A1772,A1772+1))</x:f>
        <x:v>359</x:v>
      </x:c>
      <x:c r="B1773" s="1" t="str">
        <x:f>'Ranking'!C364</x:f>
        <x:v>Sunkern</x:v>
      </x:c>
      <x:c r="C1773" s="1" t="str">
        <x:f>'Habilidades'!D1791</x:f>
        <x:v>Double-Edge</x:v>
      </x:c>
      <x:c r="D1773" s="1" t="str">
        <x:f>'Habilidades'!F1791</x:f>
        <x:v>Física</x:v>
      </x:c>
      <x:c r="E1773" s="18" t="n">
        <x:f>'Habilidades'!G1791</x:f>
        <x:v>120</x:v>
      </x:c>
      <x:c r="F1773" s="18" t="n">
        <x:f>'Habilidades'!H1791</x:f>
        <x:v>30</x:v>
      </x:c>
      <x:c r="G1773" s="18" t="n">
        <x:f>'Habilidades'!I1791</x:f>
        <x:v>150</x:v>
      </x:c>
    </x:row>
    <x:row r="1774" ht="22" customHeight="1">
      <x:c r="A1774" s="17" t="n">
        <x:f>IF(B1774="","",IF(B1774=B1773,A1773,A1773+1))</x:f>
        <x:v>359</x:v>
      </x:c>
      <x:c r="B1774" s="1" t="str">
        <x:f>'Ranking'!C364</x:f>
        <x:v>Sunkern</x:v>
      </x:c>
      <x:c r="C1774" s="1" t="str">
        <x:f>'Habilidades'!D1792</x:f>
        <x:v>Seed Bomb</x:v>
      </x:c>
      <x:c r="D1774" s="1" t="str">
        <x:f>'Habilidades'!F1792</x:f>
        <x:v>Física</x:v>
      </x:c>
      <x:c r="E1774" s="18" t="n">
        <x:f>'Habilidades'!G1792</x:f>
        <x:v>80</x:v>
      </x:c>
      <x:c r="F1774" s="18" t="n">
        <x:f>'Habilidades'!H1792</x:f>
        <x:v>30</x:v>
      </x:c>
      <x:c r="G1774" s="18" t="n">
        <x:f>'Habilidades'!I1792</x:f>
        <x:v>110</x:v>
      </x:c>
    </x:row>
    <x:row r="1775" ht="22" customHeight="1">
      <x:c r="A1775" s="17" t="n">
        <x:f>IF(B1775="","",IF(B1775=B1774,A1774,A1774+1))</x:f>
        <x:v>359</x:v>
      </x:c>
      <x:c r="B1775" s="1" t="str">
        <x:f>'Ranking'!C364</x:f>
        <x:v>Sunkern</x:v>
      </x:c>
      <x:c r="C1775" s="1" t="str">
        <x:f>'Habilidades'!D1793</x:f>
        <x:v>Giga Drain</x:v>
      </x:c>
      <x:c r="D1775" s="1" t="str">
        <x:f>'Habilidades'!F1793</x:f>
        <x:v>Especial</x:v>
      </x:c>
      <x:c r="E1775" s="18" t="n">
        <x:f>'Habilidades'!G1793</x:f>
        <x:v>75</x:v>
      </x:c>
      <x:c r="F1775" s="18" t="n">
        <x:f>'Habilidades'!H1793</x:f>
        <x:v>30</x:v>
      </x:c>
      <x:c r="G1775" s="18" t="n">
        <x:f>'Habilidades'!I1793</x:f>
        <x:v>105</x:v>
      </x:c>
    </x:row>
    <x:row r="1776" ht="22" customHeight="1">
      <x:c r="A1776" s="19" t="n">
        <x:f>IF(B1776="","",IF(B1776=B1775,A1775,A1775+1))</x:f>
        <x:v>359</x:v>
      </x:c>
      <x:c r="B1776" s="20" t="str">
        <x:f>'Ranking'!C364</x:f>
        <x:v>Sunkern</x:v>
      </x:c>
      <x:c r="C1776" s="20" t="str">
        <x:f>'Habilidades'!D1794</x:f>
        <x:v>Razor Leaf</x:v>
      </x:c>
      <x:c r="D1776" s="20" t="str">
        <x:f>'Habilidades'!F1794</x:f>
        <x:v>Física</x:v>
      </x:c>
      <x:c r="E1776" s="21" t="n">
        <x:f>'Habilidades'!G1794</x:f>
        <x:v>55</x:v>
      </x:c>
      <x:c r="F1776" s="21" t="n">
        <x:f>'Habilidades'!H1794</x:f>
        <x:v>30</x:v>
      </x:c>
      <x:c r="G1776" s="21" t="n">
        <x:f>'Habilidades'!I1794</x:f>
        <x:v>85</x:v>
      </x:c>
    </x:row>
    <x:row r="1777" ht="22" customHeight="1">
      <x:c r="A1777" s="17" t="n">
        <x:f>IF(B1777="","",IF(B1777=B1776,A1776,A1776+1))</x:f>
        <x:v>360</x:v>
      </x:c>
      <x:c r="B1777" s="1" t="str">
        <x:f>'Ranking'!C362</x:f>
        <x:v>Swinub</x:v>
      </x:c>
      <x:c r="C1777" s="1" t="str">
        <x:f>'Habilidades'!D2064</x:f>
        <x:v>Earthquake</x:v>
      </x:c>
      <x:c r="D1777" s="1" t="str">
        <x:f>'Habilidades'!F2064</x:f>
        <x:v>Física</x:v>
      </x:c>
      <x:c r="E1777" s="18" t="n">
        <x:f>'Habilidades'!G2064</x:f>
        <x:v>100</x:v>
      </x:c>
      <x:c r="F1777" s="18" t="n">
        <x:f>'Habilidades'!H2064</x:f>
        <x:v>50</x:v>
      </x:c>
      <x:c r="G1777" s="18" t="n">
        <x:f>'Habilidades'!I2064</x:f>
        <x:v>150</x:v>
      </x:c>
    </x:row>
    <x:row r="1778" ht="22" customHeight="1">
      <x:c r="A1778" s="17" t="n">
        <x:f>IF(B1778="","",IF(B1778=B1777,A1777,A1777+1))</x:f>
        <x:v>360</x:v>
      </x:c>
      <x:c r="B1778" s="1" t="str">
        <x:f>'Ranking'!C362</x:f>
        <x:v>Swinub</x:v>
      </x:c>
      <x:c r="C1778" s="1" t="str">
        <x:f>'Habilidades'!D2065</x:f>
        <x:v>Blizzard</x:v>
      </x:c>
      <x:c r="D1778" s="1" t="str">
        <x:f>'Habilidades'!F2065</x:f>
        <x:v>Especial</x:v>
      </x:c>
      <x:c r="E1778" s="18" t="n">
        <x:f>'Habilidades'!G2065</x:f>
        <x:v>110</x:v>
      </x:c>
      <x:c r="F1778" s="18" t="n">
        <x:f>'Habilidades'!H2065</x:f>
        <x:v>30</x:v>
      </x:c>
      <x:c r="G1778" s="18" t="n">
        <x:f>'Habilidades'!I2065</x:f>
        <x:v>140</x:v>
      </x:c>
    </x:row>
    <x:row r="1779" ht="22" customHeight="1">
      <x:c r="A1779" s="17" t="n">
        <x:f>IF(B1779="","",IF(B1779=B1778,A1778,A1778+1))</x:f>
        <x:v>360</x:v>
      </x:c>
      <x:c r="B1779" s="1" t="str">
        <x:f>'Ranking'!C362</x:f>
        <x:v>Swinub</x:v>
      </x:c>
      <x:c r="C1779" s="1" t="str">
        <x:f>'Habilidades'!D2066</x:f>
        <x:v>Take Down</x:v>
      </x:c>
      <x:c r="D1779" s="1" t="str">
        <x:f>'Habilidades'!F2066</x:f>
        <x:v>Física</x:v>
      </x:c>
      <x:c r="E1779" s="18" t="n">
        <x:f>'Habilidades'!G2066</x:f>
        <x:v>90</x:v>
      </x:c>
      <x:c r="F1779" s="18" t="n">
        <x:f>'Habilidades'!H2066</x:f>
        <x:v>50</x:v>
      </x:c>
      <x:c r="G1779" s="18" t="n">
        <x:f>'Habilidades'!I2066</x:f>
        <x:v>140</x:v>
      </x:c>
    </x:row>
    <x:row r="1780" ht="22" customHeight="1">
      <x:c r="A1780" s="17" t="n">
        <x:f>IF(B1780="","",IF(B1780=B1779,A1779,A1779+1))</x:f>
        <x:v>360</x:v>
      </x:c>
      <x:c r="B1780" s="1" t="str">
        <x:f>'Ranking'!C362</x:f>
        <x:v>Swinub</x:v>
      </x:c>
      <x:c r="C1780" s="1" t="str">
        <x:f>'Habilidades'!D2068</x:f>
        <x:v>Mud Bomb</x:v>
      </x:c>
      <x:c r="D1780" s="1" t="str">
        <x:f>'Habilidades'!F2068</x:f>
        <x:v>Especial</x:v>
      </x:c>
      <x:c r="E1780" s="18" t="n">
        <x:f>'Habilidades'!G2068</x:f>
        <x:v>65</x:v>
      </x:c>
      <x:c r="F1780" s="18" t="n">
        <x:f>'Habilidades'!H2068</x:f>
        <x:v>30</x:v>
      </x:c>
      <x:c r="G1780" s="18" t="n">
        <x:f>'Habilidades'!I2068</x:f>
        <x:v>95</x:v>
      </x:c>
    </x:row>
    <x:row r="1781" ht="22" customHeight="1">
      <x:c r="A1781" s="19" t="n">
        <x:f>IF(B1781="","",IF(B1781=B1780,A1780,A1780+1))</x:f>
        <x:v>360</x:v>
      </x:c>
      <x:c r="B1781" s="20" t="str">
        <x:f>'Ranking'!C362</x:f>
        <x:v>Swinub</x:v>
      </x:c>
      <x:c r="C1781" s="20" t="str">
        <x:f>'Habilidades'!D2070</x:f>
        <x:v>Icy Wind</x:v>
      </x:c>
      <x:c r="D1781" s="20" t="str">
        <x:f>'Habilidades'!F2070</x:f>
        <x:v>Especial</x:v>
      </x:c>
      <x:c r="E1781" s="21" t="n">
        <x:f>'Habilidades'!G2070</x:f>
        <x:v>55</x:v>
      </x:c>
      <x:c r="F1781" s="21" t="n">
        <x:f>'Habilidades'!H2070</x:f>
        <x:v>30</x:v>
      </x:c>
      <x:c r="G1781" s="21" t="n">
        <x:f>'Habilidades'!I2070</x:f>
        <x:v>85</x:v>
      </x:c>
    </x:row>
    <x:row r="1782" ht="22" customHeight="1">
      <x:c r="A1782" s="19" t="n">
        <x:f>IF(B1782="","",IF(B1782=B1781,A1781,A1781+1))</x:f>
        <x:v>361</x:v>
      </x:c>
      <x:c r="B1782" s="20" t="str">
        <x:f>'Ranking'!C367</x:f>
        <x:v>Beldum</x:v>
      </x:c>
      <x:c r="C1782" s="20" t="str">
        <x:f>'Habilidades'!D3122</x:f>
        <x:v>Take Down</x:v>
      </x:c>
      <x:c r="D1782" s="20" t="str">
        <x:f>'Habilidades'!F3122</x:f>
        <x:v>Física</x:v>
      </x:c>
      <x:c r="E1782" s="21" t="n">
        <x:f>'Habilidades'!G3122</x:f>
        <x:v>90</x:v>
      </x:c>
      <x:c r="F1782" s="21" t="n">
        <x:f>'Habilidades'!H3122</x:f>
        <x:v>55</x:v>
      </x:c>
      <x:c r="G1782" s="21" t="n">
        <x:f>'Habilidades'!I3122</x:f>
        <x:v>145</x:v>
      </x:c>
    </x:row>
    <x:row r="1783" ht="22" customHeight="1">
      <x:c r="A1783" s="17" t="n">
        <x:f>IF(B1783="","",IF(B1783=B1782,A1782,A1782+1))</x:f>
        <x:v>362</x:v>
      </x:c>
      <x:c r="B1783" s="1" t="str">
        <x:f>'Ranking'!C368</x:f>
        <x:v>Goomy</x:v>
      </x:c>
      <x:c r="C1783" s="1" t="str">
        <x:f>'Habilidades'!D3740</x:f>
        <x:v>Muddy Water</x:v>
      </x:c>
      <x:c r="D1783" s="1" t="str">
        <x:f>'Habilidades'!F3740</x:f>
        <x:v>Especial</x:v>
      </x:c>
      <x:c r="E1783" s="18" t="n">
        <x:f>'Habilidades'!G3740</x:f>
        <x:v>90</x:v>
      </x:c>
      <x:c r="F1783" s="18" t="n">
        <x:f>'Habilidades'!H3740</x:f>
        <x:v>55</x:v>
      </x:c>
      <x:c r="G1783" s="18" t="n">
        <x:f>'Habilidades'!I3740</x:f>
        <x:v>145</x:v>
      </x:c>
    </x:row>
    <x:row r="1784" ht="22" customHeight="1">
      <x:c r="A1784" s="17" t="n">
        <x:f>IF(B1784="","",IF(B1784=B1783,A1783,A1783+1))</x:f>
        <x:v>362</x:v>
      </x:c>
      <x:c r="B1784" s="1" t="str">
        <x:f>'Ranking'!C368</x:f>
        <x:v>Goomy</x:v>
      </x:c>
      <x:c r="C1784" s="1" t="str">
        <x:f>'Habilidades'!D3741</x:f>
        <x:v>Dragon Pulse</x:v>
      </x:c>
      <x:c r="D1784" s="1" t="str">
        <x:f>'Habilidades'!F3741</x:f>
        <x:v>Especial</x:v>
      </x:c>
      <x:c r="E1784" s="18" t="n">
        <x:f>'Habilidades'!G3741</x:f>
        <x:v>85</x:v>
      </x:c>
      <x:c r="F1784" s="18" t="n">
        <x:f>'Habilidades'!H3741</x:f>
        <x:v>55</x:v>
      </x:c>
      <x:c r="G1784" s="18" t="n">
        <x:f>'Habilidades'!I3741</x:f>
        <x:v>140</x:v>
      </x:c>
    </x:row>
    <x:row r="1785" ht="22" customHeight="1">
      <x:c r="A1785" s="17" t="n">
        <x:f>IF(B1785="","",IF(B1785=B1784,A1784,A1784+1))</x:f>
        <x:v>362</x:v>
      </x:c>
      <x:c r="B1785" s="1" t="str">
        <x:f>'Ranking'!C368</x:f>
        <x:v>Goomy</x:v>
      </x:c>
      <x:c r="C1785" s="1" t="str">
        <x:f>'Habilidades'!D3742</x:f>
        <x:v>Body Slam</x:v>
      </x:c>
      <x:c r="D1785" s="1" t="str">
        <x:f>'Habilidades'!F3742</x:f>
        <x:v>Física</x:v>
      </x:c>
      <x:c r="E1785" s="18" t="n">
        <x:f>'Habilidades'!G3742</x:f>
        <x:v>85</x:v>
      </x:c>
      <x:c r="F1785" s="18" t="n">
        <x:f>'Habilidades'!H3742</x:f>
        <x:v>50</x:v>
      </x:c>
      <x:c r="G1785" s="18" t="n">
        <x:f>'Habilidades'!I3742</x:f>
        <x:v>135</x:v>
      </x:c>
    </x:row>
    <x:row r="1786" ht="22" customHeight="1">
      <x:c r="A1786" s="17" t="n">
        <x:f>IF(B1786="","",IF(B1786=B1785,A1785,A1785+1))</x:f>
        <x:v>362</x:v>
      </x:c>
      <x:c r="B1786" s="1" t="str">
        <x:f>'Ranking'!C368</x:f>
        <x:v>Goomy</x:v>
      </x:c>
      <x:c r="C1786" s="1" t="str">
        <x:f>'Habilidades'!D3743</x:f>
        <x:v>Dragon Breath</x:v>
      </x:c>
      <x:c r="D1786" s="1" t="str">
        <x:f>'Habilidades'!F3743</x:f>
        <x:v>Especial</x:v>
      </x:c>
      <x:c r="E1786" s="18" t="n">
        <x:f>'Habilidades'!G3743</x:f>
        <x:v>60</x:v>
      </x:c>
      <x:c r="F1786" s="18" t="n">
        <x:f>'Habilidades'!H3743</x:f>
        <x:v>55</x:v>
      </x:c>
      <x:c r="G1786" s="18" t="n">
        <x:f>'Habilidades'!I3743</x:f>
        <x:v>115</x:v>
      </x:c>
    </x:row>
    <x:row r="1787" ht="22" customHeight="1">
      <x:c r="A1787" s="19" t="n">
        <x:f>IF(B1787="","",IF(B1787=B1786,A1786,A1786+1))</x:f>
        <x:v>362</x:v>
      </x:c>
      <x:c r="B1787" s="20" t="str">
        <x:f>'Ranking'!C368</x:f>
        <x:v>Goomy</x:v>
      </x:c>
      <x:c r="C1787" s="20" t="str">
        <x:f>'Habilidades'!D3744</x:f>
        <x:v>Tackle</x:v>
      </x:c>
      <x:c r="D1787" s="20" t="str">
        <x:f>'Habilidades'!F3744</x:f>
        <x:v>Física</x:v>
      </x:c>
      <x:c r="E1787" s="21" t="n">
        <x:f>'Habilidades'!G3744</x:f>
        <x:v>50</x:v>
      </x:c>
      <x:c r="F1787" s="21" t="n">
        <x:f>'Habilidades'!H3744</x:f>
        <x:v>50</x:v>
      </x:c>
      <x:c r="G1787" s="21" t="n">
        <x:f>'Habilidades'!I3744</x:f>
        <x:v>100</x:v>
      </x:c>
    </x:row>
    <x:row r="1788" ht="22" customHeight="1">
      <x:c r="A1788" s="17" t="n">
        <x:f>IF(B1788="","",IF(B1788=B1787,A1787,A1787+1))</x:f>
        <x:v>363</x:v>
      </x:c>
      <x:c r="B1788" s="1" t="str">
        <x:f>'Ranking'!C369</x:f>
        <x:v>Pidgey</x:v>
      </x:c>
      <x:c r="C1788" s="1" t="str">
        <x:f>'Habilidades'!D125</x:f>
        <x:v>Hurricane</x:v>
      </x:c>
      <x:c r="D1788" s="1" t="str">
        <x:f>'Habilidades'!F125</x:f>
        <x:v>Especial</x:v>
      </x:c>
      <x:c r="E1788" s="18" t="n">
        <x:f>'Habilidades'!G125</x:f>
        <x:v>110</x:v>
      </x:c>
      <x:c r="F1788" s="18" t="n">
        <x:f>'Habilidades'!H125</x:f>
        <x:v>35</x:v>
      </x:c>
      <x:c r="G1788" s="18" t="n">
        <x:f>'Habilidades'!I125</x:f>
        <x:v>145</x:v>
      </x:c>
    </x:row>
    <x:row r="1789" ht="22" customHeight="1">
      <x:c r="A1789" s="17" t="n">
        <x:f>IF(B1789="","",IF(B1789=B1788,A1788,A1788+1))</x:f>
        <x:v>363</x:v>
      </x:c>
      <x:c r="B1789" s="1" t="str">
        <x:f>'Ranking'!C369</x:f>
        <x:v>Pidgey</x:v>
      </x:c>
      <x:c r="C1789" s="1" t="str">
        <x:f>'Habilidades'!D126</x:f>
        <x:v>Air Slash</x:v>
      </x:c>
      <x:c r="D1789" s="1" t="str">
        <x:f>'Habilidades'!F126</x:f>
        <x:v>Especial</x:v>
      </x:c>
      <x:c r="E1789" s="18" t="n">
        <x:f>'Habilidades'!G126</x:f>
        <x:v>75</x:v>
      </x:c>
      <x:c r="F1789" s="18" t="n">
        <x:f>'Habilidades'!H126</x:f>
        <x:v>35</x:v>
      </x:c>
      <x:c r="G1789" s="18" t="n">
        <x:f>'Habilidades'!I126</x:f>
        <x:v>110</x:v>
      </x:c>
    </x:row>
    <x:row r="1790" ht="22" customHeight="1">
      <x:c r="A1790" s="17" t="n">
        <x:f>IF(B1790="","",IF(B1790=B1789,A1789,A1789+1))</x:f>
        <x:v>363</x:v>
      </x:c>
      <x:c r="B1790" s="1" t="str">
        <x:f>'Ranking'!C369</x:f>
        <x:v>Pidgey</x:v>
      </x:c>
      <x:c r="C1790" s="1" t="str">
        <x:f>'Habilidades'!D127</x:f>
        <x:v>Wing Attack</x:v>
      </x:c>
      <x:c r="D1790" s="1" t="str">
        <x:f>'Habilidades'!F127</x:f>
        <x:v>Física</x:v>
      </x:c>
      <x:c r="E1790" s="18" t="n">
        <x:f>'Habilidades'!G127</x:f>
        <x:v>60</x:v>
      </x:c>
      <x:c r="F1790" s="18" t="n">
        <x:f>'Habilidades'!H127</x:f>
        <x:v>45</x:v>
      </x:c>
      <x:c r="G1790" s="18" t="n">
        <x:f>'Habilidades'!I127</x:f>
        <x:v>105</x:v>
      </x:c>
    </x:row>
    <x:row r="1791" ht="22" customHeight="1">
      <x:c r="A1791" s="17" t="n">
        <x:f>IF(B1791="","",IF(B1791=B1790,A1790,A1790+1))</x:f>
        <x:v>363</x:v>
      </x:c>
      <x:c r="B1791" s="1" t="str">
        <x:f>'Ranking'!C369</x:f>
        <x:v>Pidgey</x:v>
      </x:c>
      <x:c r="C1791" s="1" t="str">
        <x:f>'Habilidades'!D128</x:f>
        <x:v>Tackle</x:v>
      </x:c>
      <x:c r="D1791" s="1" t="str">
        <x:f>'Habilidades'!F128</x:f>
        <x:v>Física</x:v>
      </x:c>
      <x:c r="E1791" s="18" t="n">
        <x:f>'Habilidades'!G128</x:f>
        <x:v>50</x:v>
      </x:c>
      <x:c r="F1791" s="18" t="n">
        <x:f>'Habilidades'!H128</x:f>
        <x:v>45</x:v>
      </x:c>
      <x:c r="G1791" s="18" t="n">
        <x:f>'Habilidades'!I128</x:f>
        <x:v>95</x:v>
      </x:c>
    </x:row>
    <x:row r="1792" ht="22" customHeight="1">
      <x:c r="A1792" s="19" t="n">
        <x:f>IF(B1792="","",IF(B1792=B1791,A1791,A1791+1))</x:f>
        <x:v>363</x:v>
      </x:c>
      <x:c r="B1792" s="20" t="str">
        <x:f>'Ranking'!C369</x:f>
        <x:v>Pidgey</x:v>
      </x:c>
      <x:c r="C1792" s="20" t="str">
        <x:f>'Habilidades'!D130</x:f>
        <x:v>Gust</x:v>
      </x:c>
      <x:c r="D1792" s="20" t="str">
        <x:f>'Habilidades'!F130</x:f>
        <x:v>Especial</x:v>
      </x:c>
      <x:c r="E1792" s="21" t="n">
        <x:f>'Habilidades'!G130</x:f>
        <x:v>40</x:v>
      </x:c>
      <x:c r="F1792" s="21" t="n">
        <x:f>'Habilidades'!H130</x:f>
        <x:v>35</x:v>
      </x:c>
      <x:c r="G1792" s="21" t="n">
        <x:f>'Habilidades'!I130</x:f>
        <x:v>75</x:v>
      </x:c>
    </x:row>
    <x:row r="1793" ht="22" customHeight="1">
      <x:c r="A1793" s="17" t="n">
        <x:f>IF(B1793="","",IF(B1793=B1792,A1792,A1792+1))</x:f>
        <x:v>364</x:v>
      </x:c>
      <x:c r="B1793" s="1" t="str">
        <x:f>'Ranking'!C366</x:f>
        <x:v>Poochyena</x:v>
      </x:c>
      <x:c r="C1793" s="1" t="str">
        <x:f>'Habilidades'!D2445</x:f>
        <x:v>Take Down</x:v>
      </x:c>
      <x:c r="D1793" s="1" t="str">
        <x:f>'Habilidades'!F2445</x:f>
        <x:v>Física</x:v>
      </x:c>
      <x:c r="E1793" s="18" t="n">
        <x:f>'Habilidades'!G2445</x:f>
        <x:v>90</x:v>
      </x:c>
      <x:c r="F1793" s="18" t="n">
        <x:f>'Habilidades'!H2445</x:f>
        <x:v>55</x:v>
      </x:c>
      <x:c r="G1793" s="18" t="n">
        <x:f>'Habilidades'!I2445</x:f>
        <x:v>145</x:v>
      </x:c>
    </x:row>
    <x:row r="1794" ht="22" customHeight="1">
      <x:c r="A1794" s="17" t="n">
        <x:f>IF(B1794="","",IF(B1794=B1793,A1793,A1793+1))</x:f>
        <x:v>364</x:v>
      </x:c>
      <x:c r="B1794" s="1" t="str">
        <x:f>'Ranking'!C366</x:f>
        <x:v>Poochyena</x:v>
      </x:c>
      <x:c r="C1794" s="1" t="str">
        <x:f>'Habilidades'!D2446</x:f>
        <x:v>Crunch</x:v>
      </x:c>
      <x:c r="D1794" s="1" t="str">
        <x:f>'Habilidades'!F2446</x:f>
        <x:v>Física</x:v>
      </x:c>
      <x:c r="E1794" s="18" t="n">
        <x:f>'Habilidades'!G2446</x:f>
        <x:v>80</x:v>
      </x:c>
      <x:c r="F1794" s="18" t="n">
        <x:f>'Habilidades'!H2446</x:f>
        <x:v>55</x:v>
      </x:c>
      <x:c r="G1794" s="18" t="n">
        <x:f>'Habilidades'!I2446</x:f>
        <x:v>135</x:v>
      </x:c>
    </x:row>
    <x:row r="1795" ht="22" customHeight="1">
      <x:c r="A1795" s="17" t="n">
        <x:f>IF(B1795="","",IF(B1795=B1794,A1794,A1794+1))</x:f>
        <x:v>364</x:v>
      </x:c>
      <x:c r="B1795" s="1" t="str">
        <x:f>'Ranking'!C366</x:f>
        <x:v>Poochyena</x:v>
      </x:c>
      <x:c r="C1795" s="1" t="str">
        <x:f>'Habilidades'!D2447</x:f>
        <x:v>Sucker Punch</x:v>
      </x:c>
      <x:c r="D1795" s="1" t="str">
        <x:f>'Habilidades'!F2447</x:f>
        <x:v>Física</x:v>
      </x:c>
      <x:c r="E1795" s="18" t="n">
        <x:f>'Habilidades'!G2447</x:f>
        <x:v>80</x:v>
      </x:c>
      <x:c r="F1795" s="18" t="n">
        <x:f>'Habilidades'!H2447</x:f>
        <x:v>55</x:v>
      </x:c>
      <x:c r="G1795" s="18" t="n">
        <x:f>'Habilidades'!I2447</x:f>
        <x:v>135</x:v>
      </x:c>
    </x:row>
    <x:row r="1796" ht="22" customHeight="1">
      <x:c r="A1796" s="17" t="n">
        <x:f>IF(B1796="","",IF(B1796=B1795,A1795,A1795+1))</x:f>
        <x:v>364</x:v>
      </x:c>
      <x:c r="B1796" s="1" t="str">
        <x:f>'Ranking'!C366</x:f>
        <x:v>Poochyena</x:v>
      </x:c>
      <x:c r="C1796" s="1" t="str">
        <x:f>'Habilidades'!D2448</x:f>
        <x:v>Bite</x:v>
      </x:c>
      <x:c r="D1796" s="1" t="str">
        <x:f>'Habilidades'!F2448</x:f>
        <x:v>Física</x:v>
      </x:c>
      <x:c r="E1796" s="18" t="n">
        <x:f>'Habilidades'!G2448</x:f>
        <x:v>60</x:v>
      </x:c>
      <x:c r="F1796" s="18" t="n">
        <x:f>'Habilidades'!H2448</x:f>
        <x:v>55</x:v>
      </x:c>
      <x:c r="G1796" s="18" t="n">
        <x:f>'Habilidades'!I2448</x:f>
        <x:v>115</x:v>
      </x:c>
    </x:row>
    <x:row r="1797" ht="22" customHeight="1">
      <x:c r="A1797" s="19" t="n">
        <x:f>IF(B1797="","",IF(B1797=B1796,A1796,A1796+1))</x:f>
        <x:v>364</x:v>
      </x:c>
      <x:c r="B1797" s="20" t="str">
        <x:f>'Ranking'!C366</x:f>
        <x:v>Poochyena</x:v>
      </x:c>
      <x:c r="C1797" s="20" t="str">
        <x:f>'Habilidades'!D2449</x:f>
        <x:v>Assurance</x:v>
      </x:c>
      <x:c r="D1797" s="20" t="str">
        <x:f>'Habilidades'!F2449</x:f>
        <x:v>Física</x:v>
      </x:c>
      <x:c r="E1797" s="21" t="n">
        <x:f>'Habilidades'!G2449</x:f>
        <x:v>60</x:v>
      </x:c>
      <x:c r="F1797" s="21" t="n">
        <x:f>'Habilidades'!H2449</x:f>
        <x:v>55</x:v>
      </x:c>
      <x:c r="G1797" s="21" t="n">
        <x:f>'Habilidades'!I2449</x:f>
        <x:v>115</x:v>
      </x:c>
    </x:row>
    <x:row r="1798" ht="22" customHeight="1">
      <x:c r="A1798" s="17" t="n">
        <x:f>IF(B1798="","",IF(B1798=B1797,A1797,A1797+1))</x:f>
        <x:v>365</x:v>
      </x:c>
      <x:c r="B1798" s="1" t="str">
        <x:f>'Ranking'!C365</x:f>
        <x:v>Slowpoke</x:v>
      </x:c>
      <x:c r="C1798" s="1" t="str">
        <x:f>'Habilidades'!D713</x:f>
        <x:v>Zen Headbutt</x:v>
      </x:c>
      <x:c r="D1798" s="1" t="str">
        <x:f>'Habilidades'!F713</x:f>
        <x:v>Física</x:v>
      </x:c>
      <x:c r="E1798" s="18" t="n">
        <x:f>'Habilidades'!G713</x:f>
        <x:v>80</x:v>
      </x:c>
      <x:c r="F1798" s="18" t="n">
        <x:f>'Habilidades'!H713</x:f>
        <x:v>65</x:v>
      </x:c>
      <x:c r="G1798" s="18" t="n">
        <x:f>'Habilidades'!I713</x:f>
        <x:v>145</x:v>
      </x:c>
    </x:row>
    <x:row r="1799" ht="22" customHeight="1">
      <x:c r="A1799" s="17" t="n">
        <x:f>IF(B1799="","",IF(B1799=B1798,A1798,A1798+1))</x:f>
        <x:v>365</x:v>
      </x:c>
      <x:c r="B1799" s="1" t="str">
        <x:f>'Ranking'!C365</x:f>
        <x:v>Slowpoke</x:v>
      </x:c>
      <x:c r="C1799" s="1" t="str">
        <x:f>'Habilidades'!D714</x:f>
        <x:v>Headbutt</x:v>
      </x:c>
      <x:c r="D1799" s="1" t="str">
        <x:f>'Habilidades'!F714</x:f>
        <x:v>Física</x:v>
      </x:c>
      <x:c r="E1799" s="18" t="n">
        <x:f>'Habilidades'!G714</x:f>
        <x:v>70</x:v>
      </x:c>
      <x:c r="F1799" s="18" t="n">
        <x:f>'Habilidades'!H714</x:f>
        <x:v>65</x:v>
      </x:c>
      <x:c r="G1799" s="18" t="n">
        <x:f>'Habilidades'!I714</x:f>
        <x:v>135</x:v>
      </x:c>
    </x:row>
    <x:row r="1800" ht="22" customHeight="1">
      <x:c r="A1800" s="17" t="n">
        <x:f>IF(B1800="","",IF(B1800=B1799,A1799,A1799+1))</x:f>
        <x:v>365</x:v>
      </x:c>
      <x:c r="B1800" s="1" t="str">
        <x:f>'Ranking'!C365</x:f>
        <x:v>Slowpoke</x:v>
      </x:c>
      <x:c r="C1800" s="1" t="str">
        <x:f>'Habilidades'!D715</x:f>
        <x:v>Psychic</x:v>
      </x:c>
      <x:c r="D1800" s="1" t="str">
        <x:f>'Habilidades'!F715</x:f>
        <x:v>Especial</x:v>
      </x:c>
      <x:c r="E1800" s="18" t="n">
        <x:f>'Habilidades'!G715</x:f>
        <x:v>90</x:v>
      </x:c>
      <x:c r="F1800" s="18" t="n">
        <x:f>'Habilidades'!H715</x:f>
        <x:v>40</x:v>
      </x:c>
      <x:c r="G1800" s="18" t="n">
        <x:f>'Habilidades'!I715</x:f>
        <x:v>130</x:v>
      </x:c>
    </x:row>
    <x:row r="1801" ht="22" customHeight="1">
      <x:c r="A1801" s="17" t="n">
        <x:f>IF(B1801="","",IF(B1801=B1800,A1800,A1800+1))</x:f>
        <x:v>365</x:v>
      </x:c>
      <x:c r="B1801" s="1" t="str">
        <x:f>'Ranking'!C365</x:f>
        <x:v>Slowpoke</x:v>
      </x:c>
      <x:c r="C1801" s="1" t="str">
        <x:f>'Habilidades'!D716</x:f>
        <x:v>Tackle</x:v>
      </x:c>
      <x:c r="D1801" s="1" t="str">
        <x:f>'Habilidades'!F716</x:f>
        <x:v>Física</x:v>
      </x:c>
      <x:c r="E1801" s="18" t="n">
        <x:f>'Habilidades'!G716</x:f>
        <x:v>50</x:v>
      </x:c>
      <x:c r="F1801" s="18" t="n">
        <x:f>'Habilidades'!H716</x:f>
        <x:v>65</x:v>
      </x:c>
      <x:c r="G1801" s="18" t="n">
        <x:f>'Habilidades'!I716</x:f>
        <x:v>115</x:v>
      </x:c>
    </x:row>
    <x:row r="1802" ht="22" customHeight="1">
      <x:c r="A1802" s="19" t="n">
        <x:f>IF(B1802="","",IF(B1802=B1801,A1801,A1801+1))</x:f>
        <x:v>365</x:v>
      </x:c>
      <x:c r="B1802" s="20" t="str">
        <x:f>'Ranking'!C365</x:f>
        <x:v>Slowpoke</x:v>
      </x:c>
      <x:c r="C1802" s="20" t="str">
        <x:f>'Habilidades'!D717</x:f>
        <x:v>Water Pulse</x:v>
      </x:c>
      <x:c r="D1802" s="20" t="str">
        <x:f>'Habilidades'!F717</x:f>
        <x:v>Especial</x:v>
      </x:c>
      <x:c r="E1802" s="21" t="n">
        <x:f>'Habilidades'!G717</x:f>
        <x:v>60</x:v>
      </x:c>
      <x:c r="F1802" s="21" t="n">
        <x:f>'Habilidades'!H717</x:f>
        <x:v>40</x:v>
      </x:c>
      <x:c r="G1802" s="21" t="n">
        <x:f>'Habilidades'!I717</x:f>
        <x:v>100</x:v>
      </x:c>
    </x:row>
    <x:row r="1803" ht="22" customHeight="1">
      <x:c r="A1803" s="17" t="n">
        <x:f>IF(B1803="","",IF(B1803=B1802,A1802,A1802+1))</x:f>
        <x:v>366</x:v>
      </x:c>
      <x:c r="B1803" s="1" t="str">
        <x:f>'Ranking'!C370</x:f>
        <x:v>Wooper</x:v>
      </x:c>
      <x:c r="C1803" s="1" t="str">
        <x:f>'Habilidades'!D1820</x:f>
        <x:v>Earthquake</x:v>
      </x:c>
      <x:c r="D1803" s="1" t="str">
        <x:f>'Habilidades'!F1820</x:f>
        <x:v>Física</x:v>
      </x:c>
      <x:c r="E1803" s="18" t="n">
        <x:f>'Habilidades'!G1820</x:f>
        <x:v>100</x:v>
      </x:c>
      <x:c r="F1803" s="18" t="n">
        <x:f>'Habilidades'!H1820</x:f>
        <x:v>45</x:v>
      </x:c>
      <x:c r="G1803" s="18" t="n">
        <x:f>'Habilidades'!I1820</x:f>
        <x:v>145</x:v>
      </x:c>
    </x:row>
    <x:row r="1804" ht="22" customHeight="1">
      <x:c r="A1804" s="17" t="n">
        <x:f>IF(B1804="","",IF(B1804=B1803,A1803,A1803+1))</x:f>
        <x:v>366</x:v>
      </x:c>
      <x:c r="B1804" s="1" t="str">
        <x:f>'Ranking'!C370</x:f>
        <x:v>Wooper</x:v>
      </x:c>
      <x:c r="C1804" s="1" t="str">
        <x:f>'Habilidades'!D1821</x:f>
        <x:v>Slam</x:v>
      </x:c>
      <x:c r="D1804" s="1" t="str">
        <x:f>'Habilidades'!F1821</x:f>
        <x:v>Física</x:v>
      </x:c>
      <x:c r="E1804" s="18" t="n">
        <x:f>'Habilidades'!G1821</x:f>
        <x:v>80</x:v>
      </x:c>
      <x:c r="F1804" s="18" t="n">
        <x:f>'Habilidades'!H1821</x:f>
        <x:v>45</x:v>
      </x:c>
      <x:c r="G1804" s="18" t="n">
        <x:f>'Habilidades'!I1821</x:f>
        <x:v>125</x:v>
      </x:c>
    </x:row>
    <x:row r="1805" ht="22" customHeight="1">
      <x:c r="A1805" s="17" t="n">
        <x:f>IF(B1805="","",IF(B1805=B1804,A1804,A1804+1))</x:f>
        <x:v>366</x:v>
      </x:c>
      <x:c r="B1805" s="1" t="str">
        <x:f>'Ranking'!C370</x:f>
        <x:v>Wooper</x:v>
      </x:c>
      <x:c r="C1805" s="1" t="str">
        <x:f>'Habilidades'!D1822</x:f>
        <x:v>Muddy Water</x:v>
      </x:c>
      <x:c r="D1805" s="1" t="str">
        <x:f>'Habilidades'!F1822</x:f>
        <x:v>Especial</x:v>
      </x:c>
      <x:c r="E1805" s="18" t="n">
        <x:f>'Habilidades'!G1822</x:f>
        <x:v>90</x:v>
      </x:c>
      <x:c r="F1805" s="18" t="n">
        <x:f>'Habilidades'!H1822</x:f>
        <x:v>25</x:v>
      </x:c>
      <x:c r="G1805" s="18" t="n">
        <x:f>'Habilidades'!I1822</x:f>
        <x:v>115</x:v>
      </x:c>
    </x:row>
    <x:row r="1806" ht="22" customHeight="1">
      <x:c r="A1806" s="17" t="n">
        <x:f>IF(B1806="","",IF(B1806=B1805,A1805,A1805+1))</x:f>
        <x:v>366</x:v>
      </x:c>
      <x:c r="B1806" s="1" t="str">
        <x:f>'Ranking'!C370</x:f>
        <x:v>Wooper</x:v>
      </x:c>
      <x:c r="C1806" s="1" t="str">
        <x:f>'Habilidades'!D1823</x:f>
        <x:v>Mud Bomb</x:v>
      </x:c>
      <x:c r="D1806" s="1" t="str">
        <x:f>'Habilidades'!F1823</x:f>
        <x:v>Especial</x:v>
      </x:c>
      <x:c r="E1806" s="18" t="n">
        <x:f>'Habilidades'!G1823</x:f>
        <x:v>65</x:v>
      </x:c>
      <x:c r="F1806" s="18" t="n">
        <x:f>'Habilidades'!H1823</x:f>
        <x:v>25</x:v>
      </x:c>
      <x:c r="G1806" s="18" t="n">
        <x:f>'Habilidades'!I1823</x:f>
        <x:v>90</x:v>
      </x:c>
    </x:row>
    <x:row r="1807" ht="22" customHeight="1">
      <x:c r="A1807" s="19" t="n">
        <x:f>IF(B1807="","",IF(B1807=B1806,A1806,A1806+1))</x:f>
        <x:v>366</x:v>
      </x:c>
      <x:c r="B1807" s="20" t="str">
        <x:f>'Ranking'!C370</x:f>
        <x:v>Wooper</x:v>
      </x:c>
      <x:c r="C1807" s="20" t="str">
        <x:f>'Habilidades'!D1824</x:f>
        <x:v>Mud Shot</x:v>
      </x:c>
      <x:c r="D1807" s="20" t="str">
        <x:f>'Habilidades'!F1824</x:f>
        <x:v>Especial</x:v>
      </x:c>
      <x:c r="E1807" s="21" t="n">
        <x:f>'Habilidades'!G1824</x:f>
        <x:v>55</x:v>
      </x:c>
      <x:c r="F1807" s="21" t="n">
        <x:f>'Habilidades'!H1824</x:f>
        <x:v>25</x:v>
      </x:c>
      <x:c r="G1807" s="21" t="n">
        <x:f>'Habilidades'!I1824</x:f>
        <x:v>80</x:v>
      </x:c>
    </x:row>
    <x:row r="1808" ht="22" customHeight="1">
      <x:c r="A1808" s="17" t="n">
        <x:f>IF(B1808="","",IF(B1808=B1807,A1807,A1807+1))</x:f>
        <x:v>367</x:v>
      </x:c>
      <x:c r="B1808" s="1" t="str">
        <x:f>'Ranking'!C371</x:f>
        <x:v>Espurr</x:v>
      </x:c>
      <x:c r="C1808" s="1" t="str">
        <x:f>'Habilidades'!D3692</x:f>
        <x:v>Psyshock</x:v>
      </x:c>
      <x:c r="D1808" s="1" t="str">
        <x:f>'Habilidades'!F3692</x:f>
        <x:v>Especial</x:v>
      </x:c>
      <x:c r="E1808" s="18" t="n">
        <x:f>'Habilidades'!G3692</x:f>
        <x:v>80</x:v>
      </x:c>
      <x:c r="F1808" s="18" t="n">
        <x:f>'Habilidades'!H3692</x:f>
        <x:v>63</x:v>
      </x:c>
      <x:c r="G1808" s="18" t="n">
        <x:f>'Habilidades'!I3692</x:f>
        <x:v>143</x:v>
      </x:c>
    </x:row>
    <x:row r="1809" ht="22" customHeight="1">
      <x:c r="A1809" s="17" t="n">
        <x:f>IF(B1809="","",IF(B1809=B1808,A1808,A1808+1))</x:f>
        <x:v>367</x:v>
      </x:c>
      <x:c r="B1809" s="1" t="str">
        <x:f>'Ranking'!C371</x:f>
        <x:v>Espurr</x:v>
      </x:c>
      <x:c r="C1809" s="1" t="str">
        <x:f>'Habilidades'!D3693</x:f>
        <x:v>Psybeam</x:v>
      </x:c>
      <x:c r="D1809" s="1" t="str">
        <x:f>'Habilidades'!F3693</x:f>
        <x:v>Especial</x:v>
      </x:c>
      <x:c r="E1809" s="18" t="n">
        <x:f>'Habilidades'!G3693</x:f>
        <x:v>65</x:v>
      </x:c>
      <x:c r="F1809" s="18" t="n">
        <x:f>'Habilidades'!H3693</x:f>
        <x:v>63</x:v>
      </x:c>
      <x:c r="G1809" s="18" t="n">
        <x:f>'Habilidades'!I3693</x:f>
        <x:v>128</x:v>
      </x:c>
    </x:row>
    <x:row r="1810" ht="22" customHeight="1">
      <x:c r="A1810" s="17" t="n">
        <x:f>IF(B1810="","",IF(B1810=B1809,A1809,A1809+1))</x:f>
        <x:v>367</x:v>
      </x:c>
      <x:c r="B1810" s="1" t="str">
        <x:f>'Ranking'!C371</x:f>
        <x:v>Espurr</x:v>
      </x:c>
      <x:c r="C1810" s="1" t="str">
        <x:f>'Habilidades'!D3694</x:f>
        <x:v>Confusion</x:v>
      </x:c>
      <x:c r="D1810" s="1" t="str">
        <x:f>'Habilidades'!F3694</x:f>
        <x:v>Especial</x:v>
      </x:c>
      <x:c r="E1810" s="18" t="n">
        <x:f>'Habilidades'!G3694</x:f>
        <x:v>50</x:v>
      </x:c>
      <x:c r="F1810" s="18" t="n">
        <x:f>'Habilidades'!H3694</x:f>
        <x:v>63</x:v>
      </x:c>
      <x:c r="G1810" s="18" t="n">
        <x:f>'Habilidades'!I3694</x:f>
        <x:v>113</x:v>
      </x:c>
    </x:row>
    <x:row r="1811" ht="22" customHeight="1">
      <x:c r="A1811" s="17" t="n">
        <x:f>IF(B1811="","",IF(B1811=B1810,A1810,A1810+1))</x:f>
        <x:v>367</x:v>
      </x:c>
      <x:c r="B1811" s="1" t="str">
        <x:f>'Ranking'!C371</x:f>
        <x:v>Espurr</x:v>
      </x:c>
      <x:c r="C1811" s="1" t="str">
        <x:f>'Habilidades'!D3695</x:f>
        <x:v>Covet</x:v>
      </x:c>
      <x:c r="D1811" s="1" t="str">
        <x:f>'Habilidades'!F3695</x:f>
        <x:v>Física</x:v>
      </x:c>
      <x:c r="E1811" s="18" t="n">
        <x:f>'Habilidades'!G3695</x:f>
        <x:v>60</x:v>
      </x:c>
      <x:c r="F1811" s="18" t="n">
        <x:f>'Habilidades'!H3695</x:f>
        <x:v>48</x:v>
      </x:c>
      <x:c r="G1811" s="18" t="n">
        <x:f>'Habilidades'!I3695</x:f>
        <x:v>108</x:v>
      </x:c>
    </x:row>
    <x:row r="1812" ht="22" customHeight="1">
      <x:c r="A1812" s="19" t="n">
        <x:f>IF(B1812="","",IF(B1812=B1811,A1811,A1811+1))</x:f>
        <x:v>367</x:v>
      </x:c>
      <x:c r="B1812" s="20" t="str">
        <x:f>'Ranking'!C371</x:f>
        <x:v>Espurr</x:v>
      </x:c>
      <x:c r="C1812" s="20" t="str">
        <x:f>'Habilidades'!D3697</x:f>
        <x:v>Scratch</x:v>
      </x:c>
      <x:c r="D1812" s="20" t="str">
        <x:f>'Habilidades'!F3697</x:f>
        <x:v>Física</x:v>
      </x:c>
      <x:c r="E1812" s="21" t="n">
        <x:f>'Habilidades'!G3697</x:f>
        <x:v>40</x:v>
      </x:c>
      <x:c r="F1812" s="21" t="n">
        <x:f>'Habilidades'!H3697</x:f>
        <x:v>48</x:v>
      </x:c>
      <x:c r="G1812" s="21" t="n">
        <x:f>'Habilidades'!I3697</x:f>
        <x:v>88</x:v>
      </x:c>
    </x:row>
    <x:row r="1813" ht="22" customHeight="1">
      <x:c r="A1813" s="17" t="n">
        <x:f>IF(B1813="","",IF(B1813=B1812,A1812,A1812+1))</x:f>
        <x:v>368</x:v>
      </x:c>
      <x:c r="B1813" s="1" t="str">
        <x:f>'Ranking'!C373</x:f>
        <x:v>Bastiodon</x:v>
      </x:c>
      <x:c r="C1813" s="1" t="str">
        <x:f>'Habilidades'!D3180</x:f>
        <x:v>Take Down</x:v>
      </x:c>
      <x:c r="D1813" s="1" t="str">
        <x:f>'Habilidades'!F3180</x:f>
        <x:v>Física</x:v>
      </x:c>
      <x:c r="E1813" s="18" t="n">
        <x:f>'Habilidades'!G3180</x:f>
        <x:v>90</x:v>
      </x:c>
      <x:c r="F1813" s="18" t="n">
        <x:f>'Habilidades'!H3180</x:f>
        <x:v>52</x:v>
      </x:c>
      <x:c r="G1813" s="18" t="n">
        <x:f>'Habilidades'!I3180</x:f>
        <x:v>142</x:v>
      </x:c>
    </x:row>
    <x:row r="1814" ht="22" customHeight="1">
      <x:c r="A1814" s="17" t="n">
        <x:f>IF(B1814="","",IF(B1814=B1813,A1813,A1813+1))</x:f>
        <x:v>368</x:v>
      </x:c>
      <x:c r="B1814" s="1" t="str">
        <x:f>'Ranking'!C373</x:f>
        <x:v>Bastiodon</x:v>
      </x:c>
      <x:c r="C1814" s="1" t="str">
        <x:f>'Habilidades'!D3181</x:f>
        <x:v>Iron Head</x:v>
      </x:c>
      <x:c r="D1814" s="1" t="str">
        <x:f>'Habilidades'!F3181</x:f>
        <x:v>Física</x:v>
      </x:c>
      <x:c r="E1814" s="18" t="n">
        <x:f>'Habilidades'!G3181</x:f>
        <x:v>80</x:v>
      </x:c>
      <x:c r="F1814" s="18" t="n">
        <x:f>'Habilidades'!H3181</x:f>
        <x:v>52</x:v>
      </x:c>
      <x:c r="G1814" s="18" t="n">
        <x:f>'Habilidades'!I3181</x:f>
        <x:v>132</x:v>
      </x:c>
    </x:row>
    <x:row r="1815" ht="22" customHeight="1">
      <x:c r="A1815" s="17" t="n">
        <x:f>IF(B1815="","",IF(B1815=B1814,A1814,A1814+1))</x:f>
        <x:v>368</x:v>
      </x:c>
      <x:c r="B1815" s="1" t="str">
        <x:f>'Ranking'!C373</x:f>
        <x:v>Bastiodon</x:v>
      </x:c>
      <x:c r="C1815" s="1" t="str">
        <x:f>'Habilidades'!D3182</x:f>
        <x:v>Ancient Power</x:v>
      </x:c>
      <x:c r="D1815" s="1" t="str">
        <x:f>'Habilidades'!F3182</x:f>
        <x:v>Especial</x:v>
      </x:c>
      <x:c r="E1815" s="18" t="n">
        <x:f>'Habilidades'!G3182</x:f>
        <x:v>60</x:v>
      </x:c>
      <x:c r="F1815" s="18" t="n">
        <x:f>'Habilidades'!H3182</x:f>
        <x:v>47</x:v>
      </x:c>
      <x:c r="G1815" s="18" t="n">
        <x:f>'Habilidades'!I3182</x:f>
        <x:v>107</x:v>
      </x:c>
    </x:row>
    <x:row r="1816" ht="22" customHeight="1">
      <x:c r="A1816" s="19" t="n">
        <x:f>IF(B1816="","",IF(B1816=B1815,A1815,A1815+1))</x:f>
        <x:v>368</x:v>
      </x:c>
      <x:c r="B1816" s="20" t="str">
        <x:f>'Ranking'!C373</x:f>
        <x:v>Bastiodon</x:v>
      </x:c>
      <x:c r="C1816" s="20" t="str">
        <x:f>'Habilidades'!D3183</x:f>
        <x:v>Tackle</x:v>
      </x:c>
      <x:c r="D1816" s="20" t="str">
        <x:f>'Habilidades'!F3183</x:f>
        <x:v>Física</x:v>
      </x:c>
      <x:c r="E1816" s="21" t="n">
        <x:f>'Habilidades'!G3183</x:f>
        <x:v>50</x:v>
      </x:c>
      <x:c r="F1816" s="21" t="n">
        <x:f>'Habilidades'!H3183</x:f>
        <x:v>52</x:v>
      </x:c>
      <x:c r="G1816" s="21" t="n">
        <x:f>'Habilidades'!I3183</x:f>
        <x:v>102</x:v>
      </x:c>
    </x:row>
    <x:row r="1817" ht="22" customHeight="1">
      <x:c r="A1817" s="17" t="n">
        <x:f>IF(B1817="","",IF(B1817=B1816,A1816,A1816+1))</x:f>
        <x:v>369</x:v>
      </x:c>
      <x:c r="B1817" s="1" t="str">
        <x:f>'Ranking'!C372</x:f>
        <x:v>Nidorina</x:v>
      </x:c>
      <x:c r="C1817" s="1" t="str">
        <x:f>'Habilidades'!D258</x:f>
        <x:v>Crunch</x:v>
      </x:c>
      <x:c r="D1817" s="1" t="str">
        <x:f>'Habilidades'!F258</x:f>
        <x:v>Física</x:v>
      </x:c>
      <x:c r="E1817" s="18" t="n">
        <x:f>'Habilidades'!G258</x:f>
        <x:v>80</x:v>
      </x:c>
      <x:c r="F1817" s="18" t="n">
        <x:f>'Habilidades'!H258</x:f>
        <x:v>62</x:v>
      </x:c>
      <x:c r="G1817" s="18" t="n">
        <x:f>'Habilidades'!I258</x:f>
        <x:v>142</x:v>
      </x:c>
    </x:row>
    <x:row r="1818" ht="22" customHeight="1">
      <x:c r="A1818" s="17" t="n">
        <x:f>IF(B1818="","",IF(B1818=B1817,A1817,A1817+1))</x:f>
        <x:v>369</x:v>
      </x:c>
      <x:c r="B1818" s="1" t="str">
        <x:f>'Ranking'!C372</x:f>
        <x:v>Nidorina</x:v>
      </x:c>
      <x:c r="C1818" s="1" t="str">
        <x:f>'Habilidades'!D259</x:f>
        <x:v>Bite</x:v>
      </x:c>
      <x:c r="D1818" s="1" t="str">
        <x:f>'Habilidades'!F259</x:f>
        <x:v>Física</x:v>
      </x:c>
      <x:c r="E1818" s="18" t="n">
        <x:f>'Habilidades'!G259</x:f>
        <x:v>60</x:v>
      </x:c>
      <x:c r="F1818" s="18" t="n">
        <x:f>'Habilidades'!H259</x:f>
        <x:v>62</x:v>
      </x:c>
      <x:c r="G1818" s="18" t="n">
        <x:f>'Habilidades'!I259</x:f>
        <x:v>122</x:v>
      </x:c>
    </x:row>
    <x:row r="1819" ht="22" customHeight="1">
      <x:c r="A1819" s="17" t="n">
        <x:f>IF(B1819="","",IF(B1819=B1818,A1818,A1818+1))</x:f>
        <x:v>369</x:v>
      </x:c>
      <x:c r="B1819" s="1" t="str">
        <x:f>'Ranking'!C372</x:f>
        <x:v>Nidorina</x:v>
      </x:c>
      <x:c r="C1819" s="1" t="str">
        <x:f>'Habilidades'!D260</x:f>
        <x:v>Poison Fang</x:v>
      </x:c>
      <x:c r="D1819" s="1" t="str">
        <x:f>'Habilidades'!F260</x:f>
        <x:v>Física</x:v>
      </x:c>
      <x:c r="E1819" s="18" t="n">
        <x:f>'Habilidades'!G260</x:f>
        <x:v>50</x:v>
      </x:c>
      <x:c r="F1819" s="18" t="n">
        <x:f>'Habilidades'!H260</x:f>
        <x:v>62</x:v>
      </x:c>
      <x:c r="G1819" s="18" t="n">
        <x:f>'Habilidades'!I260</x:f>
        <x:v>112</x:v>
      </x:c>
    </x:row>
    <x:row r="1820" ht="22" customHeight="1">
      <x:c r="A1820" s="17" t="n">
        <x:f>IF(B1820="","",IF(B1820=B1819,A1819,A1819+1))</x:f>
        <x:v>369</x:v>
      </x:c>
      <x:c r="B1820" s="1" t="str">
        <x:f>'Ranking'!C372</x:f>
        <x:v>Nidorina</x:v>
      </x:c>
      <x:c r="C1820" s="1" t="str">
        <x:f>'Habilidades'!D261</x:f>
        <x:v>Scratch</x:v>
      </x:c>
      <x:c r="D1820" s="1" t="str">
        <x:f>'Habilidades'!F261</x:f>
        <x:v>Física</x:v>
      </x:c>
      <x:c r="E1820" s="18" t="n">
        <x:f>'Habilidades'!G261</x:f>
        <x:v>40</x:v>
      </x:c>
      <x:c r="F1820" s="18" t="n">
        <x:f>'Habilidades'!H261</x:f>
        <x:v>62</x:v>
      </x:c>
      <x:c r="G1820" s="18" t="n">
        <x:f>'Habilidades'!I261</x:f>
        <x:v>102</x:v>
      </x:c>
    </x:row>
    <x:row r="1821" ht="22" customHeight="1">
      <x:c r="A1821" s="19" t="n">
        <x:f>IF(B1821="","",IF(B1821=B1820,A1820,A1820+1))</x:f>
        <x:v>369</x:v>
      </x:c>
      <x:c r="B1821" s="20" t="str">
        <x:f>'Ranking'!C372</x:f>
        <x:v>Nidorina</x:v>
      </x:c>
      <x:c r="C1821" s="20" t="str">
        <x:f>'Habilidades'!D262</x:f>
        <x:v>Double Kick</x:v>
      </x:c>
      <x:c r="D1821" s="20" t="str">
        <x:f>'Habilidades'!F262</x:f>
        <x:v>Física</x:v>
      </x:c>
      <x:c r="E1821" s="21" t="n">
        <x:f>'Habilidades'!G262</x:f>
        <x:v>30</x:v>
      </x:c>
      <x:c r="F1821" s="21" t="n">
        <x:f>'Habilidades'!H262</x:f>
        <x:v>62</x:v>
      </x:c>
      <x:c r="G1821" s="21" t="n">
        <x:f>'Habilidades'!I262</x:f>
        <x:v>92</x:v>
      </x:c>
    </x:row>
    <x:row r="1822" ht="22" customHeight="1">
      <x:c r="A1822" s="17" t="n">
        <x:f>IF(B1822="","",IF(B1822=B1821,A1821,A1821+1))</x:f>
        <x:v>370</x:v>
      </x:c>
      <x:c r="B1822" s="1" t="str">
        <x:f>'Ranking'!C374</x:f>
        <x:v>Golbat</x:v>
      </x:c>
      <x:c r="C1822" s="1" t="str">
        <x:f>'Habilidades'!D351</x:f>
        <x:v>Air Slash</x:v>
      </x:c>
      <x:c r="D1822" s="1" t="str">
        <x:f>'Habilidades'!F351</x:f>
        <x:v>Especial</x:v>
      </x:c>
      <x:c r="E1822" s="18" t="n">
        <x:f>'Habilidades'!G351</x:f>
        <x:v>75</x:v>
      </x:c>
      <x:c r="F1822" s="18" t="n">
        <x:f>'Habilidades'!H351</x:f>
        <x:v>65</x:v>
      </x:c>
      <x:c r="G1822" s="18" t="n">
        <x:f>'Habilidades'!I351</x:f>
        <x:v>140</x:v>
      </x:c>
    </x:row>
    <x:row r="1823" ht="22" customHeight="1">
      <x:c r="A1823" s="17" t="n">
        <x:f>IF(B1823="","",IF(B1823=B1822,A1822,A1822+1))</x:f>
        <x:v>370</x:v>
      </x:c>
      <x:c r="B1823" s="1" t="str">
        <x:f>'Ranking'!C374</x:f>
        <x:v>Golbat</x:v>
      </x:c>
      <x:c r="C1823" s="1" t="str">
        <x:f>'Habilidades'!D352</x:f>
        <x:v>Bite</x:v>
      </x:c>
      <x:c r="D1823" s="1" t="str">
        <x:f>'Habilidades'!F352</x:f>
        <x:v>Física</x:v>
      </x:c>
      <x:c r="E1823" s="18" t="n">
        <x:f>'Habilidades'!G352</x:f>
        <x:v>60</x:v>
      </x:c>
      <x:c r="F1823" s="18" t="n">
        <x:f>'Habilidades'!H352</x:f>
        <x:v>80</x:v>
      </x:c>
      <x:c r="G1823" s="18" t="n">
        <x:f>'Habilidades'!I352</x:f>
        <x:v>140</x:v>
      </x:c>
    </x:row>
    <x:row r="1824" ht="22" customHeight="1">
      <x:c r="A1824" s="17" t="n">
        <x:f>IF(B1824="","",IF(B1824=B1823,A1823,A1823+1))</x:f>
        <x:v>370</x:v>
      </x:c>
      <x:c r="B1824" s="1" t="str">
        <x:f>'Ranking'!C374</x:f>
        <x:v>Golbat</x:v>
      </x:c>
      <x:c r="C1824" s="1" t="str">
        <x:f>'Habilidades'!D353</x:f>
        <x:v>Wing Attack</x:v>
      </x:c>
      <x:c r="D1824" s="1" t="str">
        <x:f>'Habilidades'!F353</x:f>
        <x:v>Física</x:v>
      </x:c>
      <x:c r="E1824" s="18" t="n">
        <x:f>'Habilidades'!G353</x:f>
        <x:v>60</x:v>
      </x:c>
      <x:c r="F1824" s="18" t="n">
        <x:f>'Habilidades'!H353</x:f>
        <x:v>80</x:v>
      </x:c>
      <x:c r="G1824" s="18" t="n">
        <x:f>'Habilidades'!I353</x:f>
        <x:v>140</x:v>
      </x:c>
    </x:row>
    <x:row r="1825" ht="22" customHeight="1">
      <x:c r="A1825" s="17" t="n">
        <x:f>IF(B1825="","",IF(B1825=B1824,A1824,A1824+1))</x:f>
        <x:v>370</x:v>
      </x:c>
      <x:c r="B1825" s="1" t="str">
        <x:f>'Ranking'!C374</x:f>
        <x:v>Golbat</x:v>
      </x:c>
      <x:c r="C1825" s="1" t="str">
        <x:f>'Habilidades'!D355</x:f>
        <x:v>Venoshock</x:v>
      </x:c>
      <x:c r="D1825" s="1" t="str">
        <x:f>'Habilidades'!F355</x:f>
        <x:v>Especial</x:v>
      </x:c>
      <x:c r="E1825" s="18" t="n">
        <x:f>'Habilidades'!G355</x:f>
        <x:v>65</x:v>
      </x:c>
      <x:c r="F1825" s="18" t="n">
        <x:f>'Habilidades'!H355</x:f>
        <x:v>65</x:v>
      </x:c>
      <x:c r="G1825" s="18" t="n">
        <x:f>'Habilidades'!I355</x:f>
        <x:v>130</x:v>
      </x:c>
    </x:row>
    <x:row r="1826" ht="22" customHeight="1">
      <x:c r="A1826" s="19" t="n">
        <x:f>IF(B1826="","",IF(B1826=B1825,A1825,A1825+1))</x:f>
        <x:v>370</x:v>
      </x:c>
      <x:c r="B1826" s="20" t="str">
        <x:f>'Ranking'!C374</x:f>
        <x:v>Golbat</x:v>
      </x:c>
      <x:c r="C1826" s="20" t="str">
        <x:f>'Habilidades'!D357</x:f>
        <x:v>Air Cutter</x:v>
      </x:c>
      <x:c r="D1826" s="20" t="str">
        <x:f>'Habilidades'!F357</x:f>
        <x:v>Especial</x:v>
      </x:c>
      <x:c r="E1826" s="21" t="n">
        <x:f>'Habilidades'!G357</x:f>
        <x:v>60</x:v>
      </x:c>
      <x:c r="F1826" s="21" t="n">
        <x:f>'Habilidades'!H357</x:f>
        <x:v>65</x:v>
      </x:c>
      <x:c r="G1826" s="21" t="n">
        <x:f>'Habilidades'!I357</x:f>
        <x:v>125</x:v>
      </x:c>
    </x:row>
    <x:row r="1827" ht="22" customHeight="1">
      <x:c r="A1827" s="17" t="n">
        <x:f>IF(B1827="","",IF(B1827=B1826,A1826,A1826+1))</x:f>
        <x:v>371</x:v>
      </x:c>
      <x:c r="B1827" s="1" t="str">
        <x:f>'Ranking'!C377</x:f>
        <x:v>Ledyba</x:v>
      </x:c>
      <x:c r="C1827" s="1" t="str">
        <x:f>'Habilidades'!D1595</x:f>
        <x:v>Double-Edge</x:v>
      </x:c>
      <x:c r="D1827" s="1" t="str">
        <x:f>'Habilidades'!F1595</x:f>
        <x:v>Física</x:v>
      </x:c>
      <x:c r="E1827" s="18" t="n">
        <x:f>'Habilidades'!G1595</x:f>
        <x:v>120</x:v>
      </x:c>
      <x:c r="F1827" s="18" t="n">
        <x:f>'Habilidades'!H1595</x:f>
        <x:v>20</x:v>
      </x:c>
      <x:c r="G1827" s="18" t="n">
        <x:f>'Habilidades'!I1595</x:f>
        <x:v>140</x:v>
      </x:c>
    </x:row>
    <x:row r="1828" ht="22" customHeight="1">
      <x:c r="A1828" s="17" t="n">
        <x:f>IF(B1828="","",IF(B1828=B1827,A1827,A1827+1))</x:f>
        <x:v>371</x:v>
      </x:c>
      <x:c r="B1828" s="1" t="str">
        <x:f>'Ranking'!C377</x:f>
        <x:v>Ledyba</x:v>
      </x:c>
      <x:c r="C1828" s="1" t="str">
        <x:f>'Habilidades'!D1596</x:f>
        <x:v>Bug Buzz</x:v>
      </x:c>
      <x:c r="D1828" s="1" t="str">
        <x:f>'Habilidades'!F1596</x:f>
        <x:v>Especial</x:v>
      </x:c>
      <x:c r="E1828" s="18" t="n">
        <x:f>'Habilidades'!G1596</x:f>
        <x:v>90</x:v>
      </x:c>
      <x:c r="F1828" s="18" t="n">
        <x:f>'Habilidades'!H1596</x:f>
        <x:v>40</x:v>
      </x:c>
      <x:c r="G1828" s="18" t="n">
        <x:f>'Habilidades'!I1596</x:f>
        <x:v>130</x:v>
      </x:c>
    </x:row>
    <x:row r="1829" ht="22" customHeight="1">
      <x:c r="A1829" s="17" t="n">
        <x:f>IF(B1829="","",IF(B1829=B1828,A1828,A1828+1))</x:f>
        <x:v>371</x:v>
      </x:c>
      <x:c r="B1829" s="1" t="str">
        <x:f>'Ranking'!C377</x:f>
        <x:v>Ledyba</x:v>
      </x:c>
      <x:c r="C1829" s="1" t="str">
        <x:f>'Habilidades'!D1597</x:f>
        <x:v>Silver Wind</x:v>
      </x:c>
      <x:c r="D1829" s="1" t="str">
        <x:f>'Habilidades'!F1597</x:f>
        <x:v>Especial</x:v>
      </x:c>
      <x:c r="E1829" s="18" t="n">
        <x:f>'Habilidades'!G1597</x:f>
        <x:v>60</x:v>
      </x:c>
      <x:c r="F1829" s="18" t="n">
        <x:f>'Habilidades'!H1597</x:f>
        <x:v>40</x:v>
      </x:c>
      <x:c r="G1829" s="18" t="n">
        <x:f>'Habilidades'!I1597</x:f>
        <x:v>100</x:v>
      </x:c>
    </x:row>
    <x:row r="1830" ht="22" customHeight="1">
      <x:c r="A1830" s="17" t="n">
        <x:f>IF(B1830="","",IF(B1830=B1829,A1829,A1829+1))</x:f>
        <x:v>371</x:v>
      </x:c>
      <x:c r="B1830" s="1" t="str">
        <x:f>'Ranking'!C377</x:f>
        <x:v>Ledyba</x:v>
      </x:c>
      <x:c r="C1830" s="1" t="str">
        <x:f>'Habilidades'!D1598</x:f>
        <x:v>Swift</x:v>
      </x:c>
      <x:c r="D1830" s="1" t="str">
        <x:f>'Habilidades'!F1598</x:f>
        <x:v>Especial</x:v>
      </x:c>
      <x:c r="E1830" s="18" t="n">
        <x:f>'Habilidades'!G1598</x:f>
        <x:v>60</x:v>
      </x:c>
      <x:c r="F1830" s="18" t="n">
        <x:f>'Habilidades'!H1598</x:f>
        <x:v>40</x:v>
      </x:c>
      <x:c r="G1830" s="18" t="n">
        <x:f>'Habilidades'!I1598</x:f>
        <x:v>100</x:v>
      </x:c>
    </x:row>
    <x:row r="1831" ht="22" customHeight="1">
      <x:c r="A1831" s="19" t="n">
        <x:f>IF(B1831="","",IF(B1831=B1830,A1830,A1830+1))</x:f>
        <x:v>371</x:v>
      </x:c>
      <x:c r="B1831" s="20" t="str">
        <x:f>'Ranking'!C377</x:f>
        <x:v>Ledyba</x:v>
      </x:c>
      <x:c r="C1831" s="20" t="str">
        <x:f>'Habilidades'!D1599</x:f>
        <x:v>Tackle</x:v>
      </x:c>
      <x:c r="D1831" s="20" t="str">
        <x:f>'Habilidades'!F1599</x:f>
        <x:v>Física</x:v>
      </x:c>
      <x:c r="E1831" s="21" t="n">
        <x:f>'Habilidades'!G1599</x:f>
        <x:v>50</x:v>
      </x:c>
      <x:c r="F1831" s="21" t="n">
        <x:f>'Habilidades'!H1599</x:f>
        <x:v>20</x:v>
      </x:c>
      <x:c r="G1831" s="21" t="n">
        <x:f>'Habilidades'!I1599</x:f>
        <x:v>70</x:v>
      </x:c>
    </x:row>
    <x:row r="1832" ht="22" customHeight="1">
      <x:c r="A1832" s="17" t="n">
        <x:f>IF(B1832="","",IF(B1832=B1831,A1831,A1831+1))</x:f>
        <x:v>372</x:v>
      </x:c>
      <x:c r="B1832" s="1" t="str">
        <x:f>'Ranking'!C378</x:f>
        <x:v>Marill</x:v>
      </x:c>
      <x:c r="C1832" s="1" t="str">
        <x:f>'Habilidades'!D1721</x:f>
        <x:v>Double-Edge</x:v>
      </x:c>
      <x:c r="D1832" s="1" t="str">
        <x:f>'Habilidades'!F1721</x:f>
        <x:v>Física</x:v>
      </x:c>
      <x:c r="E1832" s="18" t="n">
        <x:f>'Habilidades'!G1721</x:f>
        <x:v>120</x:v>
      </x:c>
      <x:c r="F1832" s="18" t="n">
        <x:f>'Habilidades'!H1721</x:f>
        <x:v>20</x:v>
      </x:c>
      <x:c r="G1832" s="18" t="n">
        <x:f>'Habilidades'!I1721</x:f>
        <x:v>140</x:v>
      </x:c>
    </x:row>
    <x:row r="1833" ht="22" customHeight="1">
      <x:c r="A1833" s="17" t="n">
        <x:f>IF(B1833="","",IF(B1833=B1832,A1832,A1832+1))</x:f>
        <x:v>372</x:v>
      </x:c>
      <x:c r="B1833" s="1" t="str">
        <x:f>'Ranking'!C378</x:f>
        <x:v>Marill</x:v>
      </x:c>
      <x:c r="C1833" s="1" t="str">
        <x:f>'Habilidades'!D1722</x:f>
        <x:v>Superpower</x:v>
      </x:c>
      <x:c r="D1833" s="1" t="str">
        <x:f>'Habilidades'!F1722</x:f>
        <x:v>Física</x:v>
      </x:c>
      <x:c r="E1833" s="18" t="n">
        <x:f>'Habilidades'!G1722</x:f>
        <x:v>120</x:v>
      </x:c>
      <x:c r="F1833" s="18" t="n">
        <x:f>'Habilidades'!H1722</x:f>
        <x:v>20</x:v>
      </x:c>
      <x:c r="G1833" s="18" t="n">
        <x:f>'Habilidades'!I1722</x:f>
        <x:v>140</x:v>
      </x:c>
    </x:row>
    <x:row r="1834" ht="22" customHeight="1">
      <x:c r="A1834" s="17" t="n">
        <x:f>IF(B1834="","",IF(B1834=B1833,A1833,A1833+1))</x:f>
        <x:v>372</x:v>
      </x:c>
      <x:c r="B1834" s="1" t="str">
        <x:f>'Ranking'!C378</x:f>
        <x:v>Marill</x:v>
      </x:c>
      <x:c r="C1834" s="1" t="str">
        <x:f>'Habilidades'!D1723</x:f>
        <x:v>Hydro Pump</x:v>
      </x:c>
      <x:c r="D1834" s="1" t="str">
        <x:f>'Habilidades'!F1723</x:f>
        <x:v>Especial</x:v>
      </x:c>
      <x:c r="E1834" s="18" t="n">
        <x:f>'Habilidades'!G1723</x:f>
        <x:v>110</x:v>
      </x:c>
      <x:c r="F1834" s="18" t="n">
        <x:f>'Habilidades'!H1723</x:f>
        <x:v>20</x:v>
      </x:c>
      <x:c r="G1834" s="18" t="n">
        <x:f>'Habilidades'!I1723</x:f>
        <x:v>130</x:v>
      </x:c>
    </x:row>
    <x:row r="1835" ht="22" customHeight="1">
      <x:c r="A1835" s="17" t="n">
        <x:f>IF(B1835="","",IF(B1835=B1834,A1834,A1834+1))</x:f>
        <x:v>372</x:v>
      </x:c>
      <x:c r="B1835" s="1" t="str">
        <x:f>'Ranking'!C378</x:f>
        <x:v>Marill</x:v>
      </x:c>
      <x:c r="C1835" s="1" t="str">
        <x:f>'Habilidades'!D1724</x:f>
        <x:v>Aqua Tail</x:v>
      </x:c>
      <x:c r="D1835" s="1" t="str">
        <x:f>'Habilidades'!F1724</x:f>
        <x:v>Física</x:v>
      </x:c>
      <x:c r="E1835" s="18" t="n">
        <x:f>'Habilidades'!G1724</x:f>
        <x:v>90</x:v>
      </x:c>
      <x:c r="F1835" s="18" t="n">
        <x:f>'Habilidades'!H1724</x:f>
        <x:v>20</x:v>
      </x:c>
      <x:c r="G1835" s="18" t="n">
        <x:f>'Habilidades'!I1724</x:f>
        <x:v>110</x:v>
      </x:c>
    </x:row>
    <x:row r="1836" ht="22" customHeight="1">
      <x:c r="A1836" s="19" t="n">
        <x:f>IF(B1836="","",IF(B1836=B1835,A1835,A1835+1))</x:f>
        <x:v>372</x:v>
      </x:c>
      <x:c r="B1836" s="20" t="str">
        <x:f>'Ranking'!C378</x:f>
        <x:v>Marill</x:v>
      </x:c>
      <x:c r="C1836" s="20" t="str">
        <x:f>'Habilidades'!D1725</x:f>
        <x:v>Play Rough</x:v>
      </x:c>
      <x:c r="D1836" s="20" t="str">
        <x:f>'Habilidades'!F1725</x:f>
        <x:v>Física</x:v>
      </x:c>
      <x:c r="E1836" s="21" t="n">
        <x:f>'Habilidades'!G1725</x:f>
        <x:v>90</x:v>
      </x:c>
      <x:c r="F1836" s="21" t="n">
        <x:f>'Habilidades'!H1725</x:f>
        <x:v>20</x:v>
      </x:c>
      <x:c r="G1836" s="21" t="n">
        <x:f>'Habilidades'!I1725</x:f>
        <x:v>110</x:v>
      </x:c>
    </x:row>
    <x:row r="1837" ht="22" customHeight="1">
      <x:c r="A1837" s="17" t="n">
        <x:f>IF(B1837="","",IF(B1837=B1836,A1836,A1836+1))</x:f>
        <x:v>373</x:v>
      </x:c>
      <x:c r="B1837" s="1" t="str">
        <x:f>'Ranking'!C375</x:f>
        <x:v>Spearow</x:v>
      </x:c>
      <x:c r="C1837" s="1" t="str">
        <x:f>'Habilidades'!D173</x:f>
        <x:v>Drill Peck</x:v>
      </x:c>
      <x:c r="D1837" s="1" t="str">
        <x:f>'Habilidades'!F173</x:f>
        <x:v>Física</x:v>
      </x:c>
      <x:c r="E1837" s="18" t="n">
        <x:f>'Habilidades'!G173</x:f>
        <x:v>80</x:v>
      </x:c>
      <x:c r="F1837" s="18" t="n">
        <x:f>'Habilidades'!H173</x:f>
        <x:v>60</x:v>
      </x:c>
      <x:c r="G1837" s="18" t="n">
        <x:f>'Habilidades'!I173</x:f>
        <x:v>140</x:v>
      </x:c>
    </x:row>
    <x:row r="1838" ht="22" customHeight="1">
      <x:c r="A1838" s="17" t="n">
        <x:f>IF(B1838="","",IF(B1838=B1837,A1837,A1837+1))</x:f>
        <x:v>373</x:v>
      </x:c>
      <x:c r="B1838" s="1" t="str">
        <x:f>'Ranking'!C375</x:f>
        <x:v>Spearow</x:v>
      </x:c>
      <x:c r="C1838" s="1" t="str">
        <x:f>'Habilidades'!D174</x:f>
        <x:v>Aerial Ace</x:v>
      </x:c>
      <x:c r="D1838" s="1" t="str">
        <x:f>'Habilidades'!F174</x:f>
        <x:v>Física</x:v>
      </x:c>
      <x:c r="E1838" s="18" t="n">
        <x:f>'Habilidades'!G174</x:f>
        <x:v>60</x:v>
      </x:c>
      <x:c r="F1838" s="18" t="n">
        <x:f>'Habilidades'!H174</x:f>
        <x:v>60</x:v>
      </x:c>
      <x:c r="G1838" s="18" t="n">
        <x:f>'Habilidades'!I174</x:f>
        <x:v>120</x:v>
      </x:c>
    </x:row>
    <x:row r="1839" ht="22" customHeight="1">
      <x:c r="A1839" s="17" t="n">
        <x:f>IF(B1839="","",IF(B1839=B1838,A1838,A1838+1))</x:f>
        <x:v>373</x:v>
      </x:c>
      <x:c r="B1839" s="1" t="str">
        <x:f>'Ranking'!C375</x:f>
        <x:v>Spearow</x:v>
      </x:c>
      <x:c r="C1839" s="1" t="str">
        <x:f>'Habilidades'!D175</x:f>
        <x:v>Assurance</x:v>
      </x:c>
      <x:c r="D1839" s="1" t="str">
        <x:f>'Habilidades'!F175</x:f>
        <x:v>Física</x:v>
      </x:c>
      <x:c r="E1839" s="18" t="n">
        <x:f>'Habilidades'!G175</x:f>
        <x:v>60</x:v>
      </x:c>
      <x:c r="F1839" s="18" t="n">
        <x:f>'Habilidades'!H175</x:f>
        <x:v>60</x:v>
      </x:c>
      <x:c r="G1839" s="18" t="n">
        <x:f>'Habilidades'!I175</x:f>
        <x:v>120</x:v>
      </x:c>
    </x:row>
    <x:row r="1840" ht="22" customHeight="1">
      <x:c r="A1840" s="17" t="n">
        <x:f>IF(B1840="","",IF(B1840=B1839,A1839,A1839+1))</x:f>
        <x:v>373</x:v>
      </x:c>
      <x:c r="B1840" s="1" t="str">
        <x:f>'Ranking'!C375</x:f>
        <x:v>Spearow</x:v>
      </x:c>
      <x:c r="C1840" s="1" t="str">
        <x:f>'Habilidades'!D176</x:f>
        <x:v>Pursuit</x:v>
      </x:c>
      <x:c r="D1840" s="1" t="str">
        <x:f>'Habilidades'!F176</x:f>
        <x:v>Física</x:v>
      </x:c>
      <x:c r="E1840" s="18" t="n">
        <x:f>'Habilidades'!G176</x:f>
        <x:v>40</x:v>
      </x:c>
      <x:c r="F1840" s="18" t="n">
        <x:f>'Habilidades'!H176</x:f>
        <x:v>60</x:v>
      </x:c>
      <x:c r="G1840" s="18" t="n">
        <x:f>'Habilidades'!I176</x:f>
        <x:v>100</x:v>
      </x:c>
    </x:row>
    <x:row r="1841" ht="22" customHeight="1">
      <x:c r="A1841" s="19" t="n">
        <x:f>IF(B1841="","",IF(B1841=B1840,A1840,A1840+1))</x:f>
        <x:v>373</x:v>
      </x:c>
      <x:c r="B1841" s="20" t="str">
        <x:f>'Ranking'!C375</x:f>
        <x:v>Spearow</x:v>
      </x:c>
      <x:c r="C1841" s="20" t="str">
        <x:f>'Habilidades'!D177</x:f>
        <x:v>Peck</x:v>
      </x:c>
      <x:c r="D1841" s="20" t="str">
        <x:f>'Habilidades'!F177</x:f>
        <x:v>Física</x:v>
      </x:c>
      <x:c r="E1841" s="21" t="n">
        <x:f>'Habilidades'!G177</x:f>
        <x:v>35</x:v>
      </x:c>
      <x:c r="F1841" s="21" t="n">
        <x:f>'Habilidades'!H177</x:f>
        <x:v>60</x:v>
      </x:c>
      <x:c r="G1841" s="21" t="n">
        <x:f>'Habilidades'!I177</x:f>
        <x:v>95</x:v>
      </x:c>
    </x:row>
    <x:row r="1842" ht="22" customHeight="1">
      <x:c r="A1842" s="17" t="n">
        <x:f>IF(B1842="","",IF(B1842=B1841,A1841,A1841+1))</x:f>
        <x:v>374</x:v>
      </x:c>
      <x:c r="B1842" s="1" t="str">
        <x:f>'Ranking'!C376</x:f>
        <x:v>Spinarak</x:v>
      </x:c>
      <x:c r="C1842" s="1" t="str">
        <x:f>'Habilidades'!D1611</x:f>
        <x:v>Sucker Punch</x:v>
      </x:c>
      <x:c r="D1842" s="1" t="str">
        <x:f>'Habilidades'!F1611</x:f>
        <x:v>Física</x:v>
      </x:c>
      <x:c r="E1842" s="18" t="n">
        <x:f>'Habilidades'!G1611</x:f>
        <x:v>80</x:v>
      </x:c>
      <x:c r="F1842" s="18" t="n">
        <x:f>'Habilidades'!H1611</x:f>
        <x:v>60</x:v>
      </x:c>
      <x:c r="G1842" s="18" t="n">
        <x:f>'Habilidades'!I1611</x:f>
        <x:v>140</x:v>
      </x:c>
    </x:row>
    <x:row r="1843" ht="22" customHeight="1">
      <x:c r="A1843" s="17" t="n">
        <x:f>IF(B1843="","",IF(B1843=B1842,A1842,A1842+1))</x:f>
        <x:v>374</x:v>
      </x:c>
      <x:c r="B1843" s="1" t="str">
        <x:f>'Ranking'!C376</x:f>
        <x:v>Spinarak</x:v>
      </x:c>
      <x:c r="C1843" s="1" t="str">
        <x:f>'Habilidades'!D1612</x:f>
        <x:v>Poison Jab</x:v>
      </x:c>
      <x:c r="D1843" s="1" t="str">
        <x:f>'Habilidades'!F1612</x:f>
        <x:v>Física</x:v>
      </x:c>
      <x:c r="E1843" s="18" t="n">
        <x:f>'Habilidades'!G1612</x:f>
        <x:v>80</x:v>
      </x:c>
      <x:c r="F1843" s="18" t="n">
        <x:f>'Habilidades'!H1612</x:f>
        <x:v>60</x:v>
      </x:c>
      <x:c r="G1843" s="18" t="n">
        <x:f>'Habilidades'!I1612</x:f>
        <x:v>140</x:v>
      </x:c>
    </x:row>
    <x:row r="1844" ht="22" customHeight="1">
      <x:c r="A1844" s="17" t="n">
        <x:f>IF(B1844="","",IF(B1844=B1843,A1843,A1843+1))</x:f>
        <x:v>374</x:v>
      </x:c>
      <x:c r="B1844" s="1" t="str">
        <x:f>'Ranking'!C376</x:f>
        <x:v>Spinarak</x:v>
      </x:c>
      <x:c r="C1844" s="1" t="str">
        <x:f>'Habilidades'!D1613</x:f>
        <x:v>Psychic</x:v>
      </x:c>
      <x:c r="D1844" s="1" t="str">
        <x:f>'Habilidades'!F1613</x:f>
        <x:v>Especial</x:v>
      </x:c>
      <x:c r="E1844" s="18" t="n">
        <x:f>'Habilidades'!G1613</x:f>
        <x:v>90</x:v>
      </x:c>
      <x:c r="F1844" s="18" t="n">
        <x:f>'Habilidades'!H1613</x:f>
        <x:v>40</x:v>
      </x:c>
      <x:c r="G1844" s="18" t="n">
        <x:f>'Habilidades'!I1613</x:f>
        <x:v>130</x:v>
      </x:c>
    </x:row>
    <x:row r="1845" ht="22" customHeight="1">
      <x:c r="A1845" s="17" t="n">
        <x:f>IF(B1845="","",IF(B1845=B1844,A1844,A1844+1))</x:f>
        <x:v>374</x:v>
      </x:c>
      <x:c r="B1845" s="1" t="str">
        <x:f>'Ranking'!C376</x:f>
        <x:v>Spinarak</x:v>
      </x:c>
      <x:c r="C1845" s="1" t="str">
        <x:f>'Habilidades'!D1614</x:f>
        <x:v>Cross Poison</x:v>
      </x:c>
      <x:c r="D1845" s="1" t="str">
        <x:f>'Habilidades'!F1614</x:f>
        <x:v>Física</x:v>
      </x:c>
      <x:c r="E1845" s="18" t="n">
        <x:f>'Habilidades'!G1614</x:f>
        <x:v>70</x:v>
      </x:c>
      <x:c r="F1845" s="18" t="n">
        <x:f>'Habilidades'!H1614</x:f>
        <x:v>60</x:v>
      </x:c>
      <x:c r="G1845" s="18" t="n">
        <x:f>'Habilidades'!I1614</x:f>
        <x:v>130</x:v>
      </x:c>
    </x:row>
    <x:row r="1846" ht="22" customHeight="1">
      <x:c r="A1846" s="19" t="n">
        <x:f>IF(B1846="","",IF(B1846=B1845,A1845,A1845+1))</x:f>
        <x:v>374</x:v>
      </x:c>
      <x:c r="B1846" s="20" t="str">
        <x:f>'Ranking'!C376</x:f>
        <x:v>Spinarak</x:v>
      </x:c>
      <x:c r="C1846" s="20" t="str">
        <x:f>'Habilidades'!D1615</x:f>
        <x:v>Shadow Sneak</x:v>
      </x:c>
      <x:c r="D1846" s="20" t="str">
        <x:f>'Habilidades'!F1615</x:f>
        <x:v>Física</x:v>
      </x:c>
      <x:c r="E1846" s="21" t="n">
        <x:f>'Habilidades'!G1615</x:f>
        <x:v>40</x:v>
      </x:c>
      <x:c r="F1846" s="21" t="n">
        <x:f>'Habilidades'!H1615</x:f>
        <x:v>60</x:v>
      </x:c>
      <x:c r="G1846" s="21" t="n">
        <x:f>'Habilidades'!I1615</x:f>
        <x:v>100</x:v>
      </x:c>
    </x:row>
    <x:row r="1847" ht="22" customHeight="1">
      <x:c r="A1847" s="17" t="n">
        <x:f>IF(B1847="","",IF(B1847=B1846,A1846,A1846+1))</x:f>
        <x:v>375</x:v>
      </x:c>
      <x:c r="B1847" s="1" t="str">
        <x:f>'Ranking'!C379</x:f>
        <x:v>Nidoran Male</x:v>
      </x:c>
      <x:c r="C1847" s="1" t="str">
        <x:f>'Habilidades'!D274</x:f>
        <x:v>Poison Jab</x:v>
      </x:c>
      <x:c r="D1847" s="1" t="str">
        <x:f>'Habilidades'!F274</x:f>
        <x:v>Física</x:v>
      </x:c>
      <x:c r="E1847" s="18" t="n">
        <x:f>'Habilidades'!G274</x:f>
        <x:v>80</x:v>
      </x:c>
      <x:c r="F1847" s="18" t="n">
        <x:f>'Habilidades'!H274</x:f>
        <x:v>57</x:v>
      </x:c>
      <x:c r="G1847" s="18" t="n">
        <x:f>'Habilidades'!I274</x:f>
        <x:v>137</x:v>
      </x:c>
    </x:row>
    <x:row r="1848" ht="22" customHeight="1">
      <x:c r="A1848" s="17" t="n">
        <x:f>IF(B1848="","",IF(B1848=B1847,A1847,A1847+1))</x:f>
        <x:v>375</x:v>
      </x:c>
      <x:c r="B1848" s="1" t="str">
        <x:f>'Ranking'!C379</x:f>
        <x:v>Nidoran Male</x:v>
      </x:c>
      <x:c r="C1848" s="1" t="str">
        <x:f>'Habilidades'!D275</x:f>
        <x:v>Horn Attack</x:v>
      </x:c>
      <x:c r="D1848" s="1" t="str">
        <x:f>'Habilidades'!F275</x:f>
        <x:v>Física</x:v>
      </x:c>
      <x:c r="E1848" s="18" t="n">
        <x:f>'Habilidades'!G275</x:f>
        <x:v>65</x:v>
      </x:c>
      <x:c r="F1848" s="18" t="n">
        <x:f>'Habilidades'!H275</x:f>
        <x:v>57</x:v>
      </x:c>
      <x:c r="G1848" s="18" t="n">
        <x:f>'Habilidades'!I275</x:f>
        <x:v>122</x:v>
      </x:c>
    </x:row>
    <x:row r="1849" ht="22" customHeight="1">
      <x:c r="A1849" s="17" t="n">
        <x:f>IF(B1849="","",IF(B1849=B1848,A1848,A1848+1))</x:f>
        <x:v>375</x:v>
      </x:c>
      <x:c r="B1849" s="1" t="str">
        <x:f>'Ranking'!C379</x:f>
        <x:v>Nidoran Male</x:v>
      </x:c>
      <x:c r="C1849" s="1" t="str">
        <x:f>'Habilidades'!D276</x:f>
        <x:v>Peck</x:v>
      </x:c>
      <x:c r="D1849" s="1" t="str">
        <x:f>'Habilidades'!F276</x:f>
        <x:v>Física</x:v>
      </x:c>
      <x:c r="E1849" s="18" t="n">
        <x:f>'Habilidades'!G276</x:f>
        <x:v>35</x:v>
      </x:c>
      <x:c r="F1849" s="18" t="n">
        <x:f>'Habilidades'!H276</x:f>
        <x:v>57</x:v>
      </x:c>
      <x:c r="G1849" s="18" t="n">
        <x:f>'Habilidades'!I276</x:f>
        <x:v>92</x:v>
      </x:c>
    </x:row>
    <x:row r="1850" ht="22" customHeight="1">
      <x:c r="A1850" s="17" t="n">
        <x:f>IF(B1850="","",IF(B1850=B1849,A1849,A1849+1))</x:f>
        <x:v>375</x:v>
      </x:c>
      <x:c r="B1850" s="1" t="str">
        <x:f>'Ranking'!C379</x:f>
        <x:v>Nidoran Male</x:v>
      </x:c>
      <x:c r="C1850" s="1" t="str">
        <x:f>'Habilidades'!D277</x:f>
        <x:v>Double Kick</x:v>
      </x:c>
      <x:c r="D1850" s="1" t="str">
        <x:f>'Habilidades'!F277</x:f>
        <x:v>Física</x:v>
      </x:c>
      <x:c r="E1850" s="18" t="n">
        <x:f>'Habilidades'!G277</x:f>
        <x:v>30</x:v>
      </x:c>
      <x:c r="F1850" s="18" t="n">
        <x:f>'Habilidades'!H277</x:f>
        <x:v>57</x:v>
      </x:c>
      <x:c r="G1850" s="18" t="n">
        <x:f>'Habilidades'!I277</x:f>
        <x:v>87</x:v>
      </x:c>
    </x:row>
    <x:row r="1851" ht="22" customHeight="1">
      <x:c r="A1851" s="19" t="n">
        <x:f>IF(B1851="","",IF(B1851=B1850,A1850,A1850+1))</x:f>
        <x:v>375</x:v>
      </x:c>
      <x:c r="B1851" s="20" t="str">
        <x:f>'Ranking'!C379</x:f>
        <x:v>Nidoran Male</x:v>
      </x:c>
      <x:c r="C1851" s="20" t="str">
        <x:f>'Habilidades'!D278</x:f>
        <x:v>Poison Sting</x:v>
      </x:c>
      <x:c r="D1851" s="20" t="str">
        <x:f>'Habilidades'!F278</x:f>
        <x:v>Física</x:v>
      </x:c>
      <x:c r="E1851" s="21" t="n">
        <x:f>'Habilidades'!G278</x:f>
        <x:v>15</x:v>
      </x:c>
      <x:c r="F1851" s="21" t="n">
        <x:f>'Habilidades'!H278</x:f>
        <x:v>57</x:v>
      </x:c>
      <x:c r="G1851" s="21" t="n">
        <x:f>'Habilidades'!I278</x:f>
        <x:v>72</x:v>
      </x:c>
    </x:row>
    <x:row r="1852" ht="22" customHeight="1">
      <x:c r="A1852" s="17" t="n">
        <x:f>IF(B1852="","",IF(B1852=B1851,A1851,A1851+1))</x:f>
        <x:v>376</x:v>
      </x:c>
      <x:c r="B1852" s="1" t="str">
        <x:f>'Ranking'!C380</x:f>
        <x:v>Silicobra</x:v>
      </x:c>
      <x:c r="C1852" s="1" t="str">
        <x:f>'Habilidades'!D3785</x:f>
        <x:v>Iron Head</x:v>
      </x:c>
      <x:c r="D1852" s="1" t="str">
        <x:f>'Habilidades'!F3785</x:f>
        <x:v>Física</x:v>
      </x:c>
      <x:c r="E1852" s="18" t="n">
        <x:f>'Habilidades'!G3785</x:f>
        <x:v>80</x:v>
      </x:c>
      <x:c r="F1852" s="18" t="n">
        <x:f>'Habilidades'!H3785</x:f>
        <x:v>57</x:v>
      </x:c>
      <x:c r="G1852" s="18" t="n">
        <x:f>'Habilidades'!I3785</x:f>
        <x:v>137</x:v>
      </x:c>
    </x:row>
    <x:row r="1853" ht="22" customHeight="1">
      <x:c r="A1853" s="17" t="n">
        <x:f>IF(B1853="","",IF(B1853=B1852,A1852,A1852+1))</x:f>
        <x:v>376</x:v>
      </x:c>
      <x:c r="B1853" s="1" t="str">
        <x:f>'Ranking'!C380</x:f>
        <x:v>Silicobra</x:v>
      </x:c>
      <x:c r="C1853" s="1" t="str">
        <x:f>'Habilidades'!D3786</x:f>
        <x:v>Headbutt</x:v>
      </x:c>
      <x:c r="D1853" s="1" t="str">
        <x:f>'Habilidades'!F3786</x:f>
        <x:v>Física</x:v>
      </x:c>
      <x:c r="E1853" s="18" t="n">
        <x:f>'Habilidades'!G3786</x:f>
        <x:v>70</x:v>
      </x:c>
      <x:c r="F1853" s="18" t="n">
        <x:f>'Habilidades'!H3786</x:f>
        <x:v>57</x:v>
      </x:c>
      <x:c r="G1853" s="18" t="n">
        <x:f>'Habilidades'!I3786</x:f>
        <x:v>127</x:v>
      </x:c>
    </x:row>
    <x:row r="1854" ht="22" customHeight="1">
      <x:c r="A1854" s="17" t="n">
        <x:f>IF(B1854="","",IF(B1854=B1853,A1853,A1853+1))</x:f>
        <x:v>376</x:v>
      </x:c>
      <x:c r="B1854" s="1" t="str">
        <x:f>'Ranking'!C380</x:f>
        <x:v>Silicobra</x:v>
      </x:c>
      <x:c r="C1854" s="1" t="str">
        <x:f>'Habilidades'!D3787</x:f>
        <x:v>Earth Power</x:v>
      </x:c>
      <x:c r="D1854" s="1" t="str">
        <x:f>'Habilidades'!F3787</x:f>
        <x:v>Especial</x:v>
      </x:c>
      <x:c r="E1854" s="18" t="n">
        <x:f>'Habilidades'!G3787</x:f>
        <x:v>90</x:v>
      </x:c>
      <x:c r="F1854" s="18" t="n">
        <x:f>'Habilidades'!H3787</x:f>
        <x:v>35</x:v>
      </x:c>
      <x:c r="G1854" s="18" t="n">
        <x:f>'Habilidades'!I3787</x:f>
        <x:v>125</x:v>
      </x:c>
    </x:row>
    <x:row r="1855" ht="22" customHeight="1">
      <x:c r="A1855" s="19" t="n">
        <x:f>IF(B1855="","",IF(B1855=B1854,A1854,A1854+1))</x:f>
        <x:v>376</x:v>
      </x:c>
      <x:c r="B1855" s="20" t="str">
        <x:f>'Ranking'!C380</x:f>
        <x:v>Silicobra</x:v>
      </x:c>
      <x:c r="C1855" s="20" t="str">
        <x:f>'Habilidades'!D3788</x:f>
        <x:v>Sand Attack</x:v>
      </x:c>
      <x:c r="D1855" s="20" t="str">
        <x:f>'Habilidades'!F3788</x:f>
        <x:v>Status</x:v>
      </x:c>
      <x:c r="E1855" s="21" t="n">
        <x:f>'Habilidades'!G3788</x:f>
        <x:v>0</x:v>
      </x:c>
      <x:c r="F1855" s="21" t="str">
        <x:f>'Habilidades'!H3788</x:f>
      </x:c>
      <x:c r="G1855" s="21" t="str">
        <x:f>'Habilidades'!I3788</x:f>
      </x:c>
    </x:row>
    <x:row r="1856" ht="22" customHeight="1">
      <x:c r="A1856" s="17" t="n">
        <x:f>IF(B1856="","",IF(B1856=B1855,A1855,A1855+1))</x:f>
        <x:v>377</x:v>
      </x:c>
      <x:c r="B1856" s="1" t="str">
        <x:f>'Ranking'!C381</x:f>
        <x:v>Clefable</x:v>
      </x:c>
      <x:c r="C1856" s="1" t="str">
        <x:f>'Habilidades'!D307</x:f>
        <x:v>Disarming Voice</x:v>
      </x:c>
      <x:c r="D1856" s="1" t="str">
        <x:f>'Habilidades'!F307</x:f>
        <x:v>Especial</x:v>
      </x:c>
      <x:c r="E1856" s="18" t="n">
        <x:f>'Habilidades'!G307</x:f>
        <x:v>40</x:v>
      </x:c>
      <x:c r="F1856" s="18" t="n">
        <x:f>'Habilidades'!H307</x:f>
        <x:v>95</x:v>
      </x:c>
      <x:c r="G1856" s="18" t="n">
        <x:f>'Habilidades'!I307</x:f>
        <x:v>135</x:v>
      </x:c>
    </x:row>
    <x:row r="1857" ht="22" customHeight="1">
      <x:c r="A1857" s="17" t="n">
        <x:f>IF(B1857="","",IF(B1857=B1856,A1856,A1856+1))</x:f>
        <x:v>377</x:v>
      </x:c>
      <x:c r="B1857" s="1" t="str">
        <x:f>'Ranking'!C381</x:f>
        <x:v>Clefable</x:v>
      </x:c>
      <x:c r="C1857" s="1" t="str">
        <x:f>'Habilidades'!D308</x:f>
        <x:v>Doubleslap</x:v>
      </x:c>
      <x:c r="D1857" s="1" t="str">
        <x:f>'Habilidades'!F308</x:f>
        <x:v>Física</x:v>
      </x:c>
      <x:c r="E1857" s="18" t="n">
        <x:f>'Habilidades'!G308</x:f>
        <x:v>15</x:v>
      </x:c>
      <x:c r="F1857" s="18" t="n">
        <x:f>'Habilidades'!H308</x:f>
        <x:v>70</x:v>
      </x:c>
      <x:c r="G1857" s="18" t="n">
        <x:f>'Habilidades'!I308</x:f>
        <x:v>85</x:v>
      </x:c>
    </x:row>
    <x:row r="1858" ht="22" customHeight="1">
      <x:c r="A1858" s="19" t="n">
        <x:f>IF(B1858="","",IF(B1858=B1857,A1857,A1857+1))</x:f>
        <x:v>377</x:v>
      </x:c>
      <x:c r="B1858" s="20" t="str">
        <x:f>'Ranking'!C381</x:f>
        <x:v>Clefable</x:v>
      </x:c>
      <x:c r="C1858" s="20" t="str">
        <x:f>'Habilidades'!D309</x:f>
        <x:v>Metronome</x:v>
      </x:c>
      <x:c r="D1858" s="20" t="str">
        <x:f>'Habilidades'!F309</x:f>
        <x:v>Status</x:v>
      </x:c>
      <x:c r="E1858" s="21" t="n">
        <x:f>'Habilidades'!G309</x:f>
        <x:v>0</x:v>
      </x:c>
      <x:c r="F1858" s="21" t="str">
        <x:f>'Habilidades'!H309</x:f>
      </x:c>
      <x:c r="G1858" s="21" t="str">
        <x:f>'Habilidades'!I309</x:f>
      </x:c>
    </x:row>
    <x:row r="1859" ht="22" customHeight="1">
      <x:c r="A1859" s="17" t="n">
        <x:f>IF(B1859="","",IF(B1859=B1858,A1858,A1858+1))</x:f>
        <x:v>378</x:v>
      </x:c>
      <x:c r="B1859" s="1" t="str">
        <x:f>'Ranking'!C384</x:f>
        <x:v>Seel</x:v>
      </x:c>
      <x:c r="C1859" s="1" t="str">
        <x:f>'Habilidades'!D791</x:f>
        <x:v>Take Down</x:v>
      </x:c>
      <x:c r="D1859" s="1" t="str">
        <x:f>'Habilidades'!F791</x:f>
        <x:v>Física</x:v>
      </x:c>
      <x:c r="E1859" s="18" t="n">
        <x:f>'Habilidades'!G791</x:f>
        <x:v>90</x:v>
      </x:c>
      <x:c r="F1859" s="18" t="n">
        <x:f>'Habilidades'!H791</x:f>
        <x:v>45</x:v>
      </x:c>
      <x:c r="G1859" s="18" t="n">
        <x:f>'Habilidades'!I791</x:f>
        <x:v>135</x:v>
      </x:c>
    </x:row>
    <x:row r="1860" ht="22" customHeight="1">
      <x:c r="A1860" s="17" t="n">
        <x:f>IF(B1860="","",IF(B1860=B1859,A1859,A1859+1))</x:f>
        <x:v>378</x:v>
      </x:c>
      <x:c r="B1860" s="1" t="str">
        <x:f>'Ranking'!C384</x:f>
        <x:v>Seel</x:v>
      </x:c>
      <x:c r="C1860" s="1" t="str">
        <x:f>'Habilidades'!D792</x:f>
        <x:v>Aqua Tail</x:v>
      </x:c>
      <x:c r="D1860" s="1" t="str">
        <x:f>'Habilidades'!F792</x:f>
        <x:v>Física</x:v>
      </x:c>
      <x:c r="E1860" s="18" t="n">
        <x:f>'Habilidades'!G792</x:f>
        <x:v>90</x:v>
      </x:c>
      <x:c r="F1860" s="18" t="n">
        <x:f>'Habilidades'!H792</x:f>
        <x:v>45</x:v>
      </x:c>
      <x:c r="G1860" s="18" t="n">
        <x:f>'Habilidades'!I792</x:f>
        <x:v>135</x:v>
      </x:c>
    </x:row>
    <x:row r="1861" ht="22" customHeight="1">
      <x:c r="A1861" s="17" t="n">
        <x:f>IF(B1861="","",IF(B1861=B1860,A1860,A1860+1))</x:f>
        <x:v>378</x:v>
      </x:c>
      <x:c r="B1861" s="1" t="str">
        <x:f>'Ranking'!C384</x:f>
        <x:v>Seel</x:v>
      </x:c>
      <x:c r="C1861" s="1" t="str">
        <x:f>'Habilidades'!D793</x:f>
        <x:v>Ice Beam</x:v>
      </x:c>
      <x:c r="D1861" s="1" t="str">
        <x:f>'Habilidades'!F793</x:f>
        <x:v>Especial</x:v>
      </x:c>
      <x:c r="E1861" s="18" t="n">
        <x:f>'Habilidades'!G793</x:f>
        <x:v>90</x:v>
      </x:c>
      <x:c r="F1861" s="18" t="n">
        <x:f>'Habilidades'!H793</x:f>
        <x:v>45</x:v>
      </x:c>
      <x:c r="G1861" s="18" t="n">
        <x:f>'Habilidades'!I793</x:f>
        <x:v>135</x:v>
      </x:c>
    </x:row>
    <x:row r="1862" ht="22" customHeight="1">
      <x:c r="A1862" s="17" t="n">
        <x:f>IF(B1862="","",IF(B1862=B1861,A1861,A1861+1))</x:f>
        <x:v>378</x:v>
      </x:c>
      <x:c r="B1862" s="1" t="str">
        <x:f>'Ranking'!C384</x:f>
        <x:v>Seel</x:v>
      </x:c>
      <x:c r="C1862" s="1" t="str">
        <x:f>'Habilidades'!D794</x:f>
        <x:v>Dive</x:v>
      </x:c>
      <x:c r="D1862" s="1" t="str">
        <x:f>'Habilidades'!F794</x:f>
        <x:v>Física</x:v>
      </x:c>
      <x:c r="E1862" s="18" t="n">
        <x:f>'Habilidades'!G794</x:f>
        <x:v>80</x:v>
      </x:c>
      <x:c r="F1862" s="18" t="n">
        <x:f>'Habilidades'!H794</x:f>
        <x:v>45</x:v>
      </x:c>
      <x:c r="G1862" s="18" t="n">
        <x:f>'Habilidades'!I794</x:f>
        <x:v>125</x:v>
      </x:c>
    </x:row>
    <x:row r="1863" ht="22" customHeight="1">
      <x:c r="A1863" s="19" t="n">
        <x:f>IF(B1863="","",IF(B1863=B1862,A1862,A1862+1))</x:f>
        <x:v>378</x:v>
      </x:c>
      <x:c r="B1863" s="20" t="str">
        <x:f>'Ranking'!C384</x:f>
        <x:v>Seel</x:v>
      </x:c>
      <x:c r="C1863" s="20" t="str">
        <x:f>'Habilidades'!D795</x:f>
        <x:v>Headbutt</x:v>
      </x:c>
      <x:c r="D1863" s="20" t="str">
        <x:f>'Habilidades'!F795</x:f>
        <x:v>Física</x:v>
      </x:c>
      <x:c r="E1863" s="21" t="n">
        <x:f>'Habilidades'!G795</x:f>
        <x:v>70</x:v>
      </x:c>
      <x:c r="F1863" s="21" t="n">
        <x:f>'Habilidades'!H795</x:f>
        <x:v>45</x:v>
      </x:c>
      <x:c r="G1863" s="21" t="n">
        <x:f>'Habilidades'!I795</x:f>
        <x:v>115</x:v>
      </x:c>
    </x:row>
    <x:row r="1864" ht="22" customHeight="1">
      <x:c r="A1864" s="17" t="n">
        <x:f>IF(B1864="","",IF(B1864=B1863,A1863,A1863+1))</x:f>
        <x:v>379</x:v>
      </x:c>
      <x:c r="B1864" s="1" t="str">
        <x:f>'Ranking'!C385</x:f>
        <x:v>Swablu</x:v>
      </x:c>
      <x:c r="C1864" s="1" t="str">
        <x:f>'Habilidades'!D2837</x:f>
        <x:v>Moonblast</x:v>
      </x:c>
      <x:c r="D1864" s="1" t="str">
        <x:f>'Habilidades'!F2837</x:f>
        <x:v>Especial</x:v>
      </x:c>
      <x:c r="E1864" s="18" t="n">
        <x:f>'Habilidades'!G2837</x:f>
        <x:v>95</x:v>
      </x:c>
      <x:c r="F1864" s="18" t="n">
        <x:f>'Habilidades'!H2837</x:f>
        <x:v>40</x:v>
      </x:c>
      <x:c r="G1864" s="18" t="n">
        <x:f>'Habilidades'!I2837</x:f>
        <x:v>135</x:v>
      </x:c>
    </x:row>
    <x:row r="1865" ht="22" customHeight="1">
      <x:c r="A1865" s="17" t="n">
        <x:f>IF(B1865="","",IF(B1865=B1864,A1864,A1864+1))</x:f>
        <x:v>379</x:v>
      </x:c>
      <x:c r="B1865" s="1" t="str">
        <x:f>'Ranking'!C385</x:f>
        <x:v>Swablu</x:v>
      </x:c>
      <x:c r="C1865" s="1" t="str">
        <x:f>'Habilidades'!D2838</x:f>
        <x:v>Take Down</x:v>
      </x:c>
      <x:c r="D1865" s="1" t="str">
        <x:f>'Habilidades'!F2838</x:f>
        <x:v>Física</x:v>
      </x:c>
      <x:c r="E1865" s="18" t="n">
        <x:f>'Habilidades'!G2838</x:f>
        <x:v>90</x:v>
      </x:c>
      <x:c r="F1865" s="18" t="n">
        <x:f>'Habilidades'!H2838</x:f>
        <x:v>40</x:v>
      </x:c>
      <x:c r="G1865" s="18" t="n">
        <x:f>'Habilidades'!I2838</x:f>
        <x:v>130</x:v>
      </x:c>
    </x:row>
    <x:row r="1866" ht="22" customHeight="1">
      <x:c r="A1866" s="17" t="n">
        <x:f>IF(B1866="","",IF(B1866=B1865,A1865,A1865+1))</x:f>
        <x:v>379</x:v>
      </x:c>
      <x:c r="B1866" s="1" t="str">
        <x:f>'Ranking'!C385</x:f>
        <x:v>Swablu</x:v>
      </x:c>
      <x:c r="C1866" s="1" t="str">
        <x:f>'Habilidades'!D2839</x:f>
        <x:v>Dragon Pulse</x:v>
      </x:c>
      <x:c r="D1866" s="1" t="str">
        <x:f>'Habilidades'!F2839</x:f>
        <x:v>Especial</x:v>
      </x:c>
      <x:c r="E1866" s="18" t="n">
        <x:f>'Habilidades'!G2839</x:f>
        <x:v>85</x:v>
      </x:c>
      <x:c r="F1866" s="18" t="n">
        <x:f>'Habilidades'!H2839</x:f>
        <x:v>40</x:v>
      </x:c>
      <x:c r="G1866" s="18" t="n">
        <x:f>'Habilidades'!I2839</x:f>
        <x:v>125</x:v>
      </x:c>
    </x:row>
    <x:row r="1867" ht="22" customHeight="1">
      <x:c r="A1867" s="17" t="n">
        <x:f>IF(B1867="","",IF(B1867=B1866,A1866,A1866+1))</x:f>
        <x:v>379</x:v>
      </x:c>
      <x:c r="B1867" s="1" t="str">
        <x:f>'Ranking'!C385</x:f>
        <x:v>Swablu</x:v>
      </x:c>
      <x:c r="C1867" s="1" t="str">
        <x:f>'Habilidades'!D2840</x:f>
        <x:v>Round</x:v>
      </x:c>
      <x:c r="D1867" s="1" t="str">
        <x:f>'Habilidades'!F2840</x:f>
        <x:v>Especial</x:v>
      </x:c>
      <x:c r="E1867" s="18" t="n">
        <x:f>'Habilidades'!G2840</x:f>
        <x:v>60</x:v>
      </x:c>
      <x:c r="F1867" s="18" t="n">
        <x:f>'Habilidades'!H2840</x:f>
        <x:v>40</x:v>
      </x:c>
      <x:c r="G1867" s="18" t="n">
        <x:f>'Habilidades'!I2840</x:f>
        <x:v>100</x:v>
      </x:c>
    </x:row>
    <x:row r="1868" ht="22" customHeight="1">
      <x:c r="A1868" s="19" t="n">
        <x:f>IF(B1868="","",IF(B1868=B1867,A1867,A1867+1))</x:f>
        <x:v>379</x:v>
      </x:c>
      <x:c r="B1868" s="20" t="str">
        <x:f>'Ranking'!C385</x:f>
        <x:v>Swablu</x:v>
      </x:c>
      <x:c r="C1868" s="20" t="str">
        <x:f>'Habilidades'!D2841</x:f>
        <x:v>Disarming Voice</x:v>
      </x:c>
      <x:c r="D1868" s="20" t="str">
        <x:f>'Habilidades'!F2841</x:f>
        <x:v>Especial</x:v>
      </x:c>
      <x:c r="E1868" s="21" t="n">
        <x:f>'Habilidades'!G2841</x:f>
        <x:v>40</x:v>
      </x:c>
      <x:c r="F1868" s="21" t="n">
        <x:f>'Habilidades'!H2841</x:f>
        <x:v>40</x:v>
      </x:c>
      <x:c r="G1868" s="21" t="n">
        <x:f>'Habilidades'!I2841</x:f>
        <x:v>80</x:v>
      </x:c>
    </x:row>
    <x:row r="1869" ht="22" customHeight="1">
      <x:c r="A1869" s="17" t="n">
        <x:f>IF(B1869="","",IF(B1869=B1868,A1868,A1868+1))</x:f>
        <x:v>380</x:v>
      </x:c>
      <x:c r="B1869" s="1" t="str">
        <x:f>'Ranking'!C382</x:f>
        <x:v>Venonat</x:v>
      </x:c>
      <x:c r="C1869" s="1" t="str">
        <x:f>'Habilidades'!D405</x:f>
        <x:v>Zen Headbutt</x:v>
      </x:c>
      <x:c r="D1869" s="1" t="str">
        <x:f>'Habilidades'!F405</x:f>
        <x:v>Física</x:v>
      </x:c>
      <x:c r="E1869" s="18" t="n">
        <x:f>'Habilidades'!G405</x:f>
        <x:v>80</x:v>
      </x:c>
      <x:c r="F1869" s="18" t="n">
        <x:f>'Habilidades'!H405</x:f>
        <x:v>55</x:v>
      </x:c>
      <x:c r="G1869" s="18" t="n">
        <x:f>'Habilidades'!I405</x:f>
        <x:v>135</x:v>
      </x:c>
    </x:row>
    <x:row r="1870" ht="22" customHeight="1">
      <x:c r="A1870" s="17" t="n">
        <x:f>IF(B1870="","",IF(B1870=B1869,A1869,A1869+1))</x:f>
        <x:v>380</x:v>
      </x:c>
      <x:c r="B1870" s="1" t="str">
        <x:f>'Ranking'!C382</x:f>
        <x:v>Venonat</x:v>
      </x:c>
      <x:c r="C1870" s="1" t="str">
        <x:f>'Habilidades'!D406</x:f>
        <x:v>Psychic</x:v>
      </x:c>
      <x:c r="D1870" s="1" t="str">
        <x:f>'Habilidades'!F406</x:f>
        <x:v>Especial</x:v>
      </x:c>
      <x:c r="E1870" s="18" t="n">
        <x:f>'Habilidades'!G406</x:f>
        <x:v>90</x:v>
      </x:c>
      <x:c r="F1870" s="18" t="n">
        <x:f>'Habilidades'!H406</x:f>
        <x:v>40</x:v>
      </x:c>
      <x:c r="G1870" s="18" t="n">
        <x:f>'Habilidades'!I406</x:f>
        <x:v>130</x:v>
      </x:c>
    </x:row>
    <x:row r="1871" ht="22" customHeight="1">
      <x:c r="A1871" s="17" t="n">
        <x:f>IF(B1871="","",IF(B1871=B1870,A1870,A1870+1))</x:f>
        <x:v>380</x:v>
      </x:c>
      <x:c r="B1871" s="1" t="str">
        <x:f>'Ranking'!C382</x:f>
        <x:v>Venonat</x:v>
      </x:c>
      <x:c r="C1871" s="1" t="str">
        <x:f>'Habilidades'!D407</x:f>
        <x:v>Signal Beam</x:v>
      </x:c>
      <x:c r="D1871" s="1" t="str">
        <x:f>'Habilidades'!F407</x:f>
        <x:v>Especial</x:v>
      </x:c>
      <x:c r="E1871" s="18" t="n">
        <x:f>'Habilidades'!G407</x:f>
        <x:v>75</x:v>
      </x:c>
      <x:c r="F1871" s="18" t="n">
        <x:f>'Habilidades'!H407</x:f>
        <x:v>40</x:v>
      </x:c>
      <x:c r="G1871" s="18" t="n">
        <x:f>'Habilidades'!I407</x:f>
        <x:v>115</x:v>
      </x:c>
    </x:row>
    <x:row r="1872" ht="22" customHeight="1">
      <x:c r="A1872" s="17" t="n">
        <x:f>IF(B1872="","",IF(B1872=B1871,A1871,A1871+1))</x:f>
        <x:v>380</x:v>
      </x:c>
      <x:c r="B1872" s="1" t="str">
        <x:f>'Ranking'!C382</x:f>
        <x:v>Venonat</x:v>
      </x:c>
      <x:c r="C1872" s="1" t="str">
        <x:f>'Habilidades'!D408</x:f>
        <x:v>Psybeam</x:v>
      </x:c>
      <x:c r="D1872" s="1" t="str">
        <x:f>'Habilidades'!F408</x:f>
        <x:v>Especial</x:v>
      </x:c>
      <x:c r="E1872" s="18" t="n">
        <x:f>'Habilidades'!G408</x:f>
        <x:v>65</x:v>
      </x:c>
      <x:c r="F1872" s="18" t="n">
        <x:f>'Habilidades'!H408</x:f>
        <x:v>40</x:v>
      </x:c>
      <x:c r="G1872" s="18" t="n">
        <x:f>'Habilidades'!I408</x:f>
        <x:v>105</x:v>
      </x:c>
    </x:row>
    <x:row r="1873" ht="22" customHeight="1">
      <x:c r="A1873" s="19" t="n">
        <x:f>IF(B1873="","",IF(B1873=B1872,A1872,A1872+1))</x:f>
        <x:v>380</x:v>
      </x:c>
      <x:c r="B1873" s="20" t="str">
        <x:f>'Ranking'!C382</x:f>
        <x:v>Venonat</x:v>
      </x:c>
      <x:c r="C1873" s="20" t="str">
        <x:f>'Habilidades'!D409</x:f>
        <x:v>Tackle</x:v>
      </x:c>
      <x:c r="D1873" s="20" t="str">
        <x:f>'Habilidades'!F409</x:f>
        <x:v>Física</x:v>
      </x:c>
      <x:c r="E1873" s="21" t="n">
        <x:f>'Habilidades'!G409</x:f>
        <x:v>50</x:v>
      </x:c>
      <x:c r="F1873" s="21" t="n">
        <x:f>'Habilidades'!H409</x:f>
        <x:v>55</x:v>
      </x:c>
      <x:c r="G1873" s="21" t="n">
        <x:f>'Habilidades'!I409</x:f>
        <x:v>105</x:v>
      </x:c>
    </x:row>
    <x:row r="1874" ht="22" customHeight="1">
      <x:c r="A1874" s="17" t="n">
        <x:f>IF(B1874="","",IF(B1874=B1873,A1873,A1873+1))</x:f>
        <x:v>381</x:v>
      </x:c>
      <x:c r="B1874" s="1" t="str">
        <x:f>'Ranking'!C383</x:f>
        <x:v>Voltorb</x:v>
      </x:c>
      <x:c r="C1874" s="1" t="str">
        <x:f>'Habilidades'!D943</x:f>
        <x:v>Discharge</x:v>
      </x:c>
      <x:c r="D1874" s="1" t="str">
        <x:f>'Habilidades'!F943</x:f>
        <x:v>Especial</x:v>
      </x:c>
      <x:c r="E1874" s="18" t="n">
        <x:f>'Habilidades'!G943</x:f>
        <x:v>80</x:v>
      </x:c>
      <x:c r="F1874" s="18" t="n">
        <x:f>'Habilidades'!H943</x:f>
        <x:v>55</x:v>
      </x:c>
      <x:c r="G1874" s="18" t="n">
        <x:f>'Habilidades'!I943</x:f>
        <x:v>135</x:v>
      </x:c>
    </x:row>
    <x:row r="1875" ht="22" customHeight="1">
      <x:c r="A1875" s="17" t="n">
        <x:f>IF(B1875="","",IF(B1875=B1874,A1874,A1874+1))</x:f>
        <x:v>381</x:v>
      </x:c>
      <x:c r="B1875" s="1" t="str">
        <x:f>'Ranking'!C383</x:f>
        <x:v>Voltorb</x:v>
      </x:c>
      <x:c r="C1875" s="1" t="str">
        <x:f>'Habilidades'!D944</x:f>
        <x:v>Swift</x:v>
      </x:c>
      <x:c r="D1875" s="1" t="str">
        <x:f>'Habilidades'!F944</x:f>
        <x:v>Especial</x:v>
      </x:c>
      <x:c r="E1875" s="18" t="n">
        <x:f>'Habilidades'!G944</x:f>
        <x:v>60</x:v>
      </x:c>
      <x:c r="F1875" s="18" t="n">
        <x:f>'Habilidades'!H944</x:f>
        <x:v>55</x:v>
      </x:c>
      <x:c r="G1875" s="18" t="n">
        <x:f>'Habilidades'!I944</x:f>
        <x:v>115</x:v>
      </x:c>
    </x:row>
    <x:row r="1876" ht="22" customHeight="1">
      <x:c r="A1876" s="17" t="n">
        <x:f>IF(B1876="","",IF(B1876=B1875,A1875,A1875+1))</x:f>
        <x:v>381</x:v>
      </x:c>
      <x:c r="B1876" s="1" t="str">
        <x:f>'Ranking'!C383</x:f>
        <x:v>Voltorb</x:v>
      </x:c>
      <x:c r="C1876" s="1" t="str">
        <x:f>'Habilidades'!D945</x:f>
        <x:v>Charge Beam</x:v>
      </x:c>
      <x:c r="D1876" s="1" t="str">
        <x:f>'Habilidades'!F945</x:f>
        <x:v>Especial</x:v>
      </x:c>
      <x:c r="E1876" s="18" t="n">
        <x:f>'Habilidades'!G945</x:f>
        <x:v>50</x:v>
      </x:c>
      <x:c r="F1876" s="18" t="n">
        <x:f>'Habilidades'!H945</x:f>
        <x:v>55</x:v>
      </x:c>
      <x:c r="G1876" s="18" t="n">
        <x:f>'Habilidades'!I945</x:f>
        <x:v>105</x:v>
      </x:c>
    </x:row>
    <x:row r="1877" ht="22" customHeight="1">
      <x:c r="A1877" s="17" t="n">
        <x:f>IF(B1877="","",IF(B1877=B1876,A1876,A1876+1))</x:f>
        <x:v>381</x:v>
      </x:c>
      <x:c r="B1877" s="1" t="str">
        <x:f>'Ranking'!C383</x:f>
        <x:v>Voltorb</x:v>
      </x:c>
      <x:c r="C1877" s="1" t="str">
        <x:f>'Habilidades'!D946</x:f>
        <x:v>Spark</x:v>
      </x:c>
      <x:c r="D1877" s="1" t="str">
        <x:f>'Habilidades'!F946</x:f>
        <x:v>Física</x:v>
      </x:c>
      <x:c r="E1877" s="18" t="n">
        <x:f>'Habilidades'!G946</x:f>
        <x:v>65</x:v>
      </x:c>
      <x:c r="F1877" s="18" t="n">
        <x:f>'Habilidades'!H946</x:f>
        <x:v>30</x:v>
      </x:c>
      <x:c r="G1877" s="18" t="n">
        <x:f>'Habilidades'!I946</x:f>
        <x:v>95</x:v>
      </x:c>
    </x:row>
    <x:row r="1878" ht="22" customHeight="1">
      <x:c r="A1878" s="19" t="n">
        <x:f>IF(B1878="","",IF(B1878=B1877,A1877,A1877+1))</x:f>
        <x:v>381</x:v>
      </x:c>
      <x:c r="B1878" s="20" t="str">
        <x:f>'Ranking'!C383</x:f>
        <x:v>Voltorb</x:v>
      </x:c>
      <x:c r="C1878" s="20" t="str">
        <x:f>'Habilidades'!D947</x:f>
        <x:v>Tackle</x:v>
      </x:c>
      <x:c r="D1878" s="20" t="str">
        <x:f>'Habilidades'!F947</x:f>
        <x:v>Física</x:v>
      </x:c>
      <x:c r="E1878" s="21" t="n">
        <x:f>'Habilidades'!G947</x:f>
        <x:v>50</x:v>
      </x:c>
      <x:c r="F1878" s="21" t="n">
        <x:f>'Habilidades'!H947</x:f>
        <x:v>30</x:v>
      </x:c>
      <x:c r="G1878" s="21" t="n">
        <x:f>'Habilidades'!I947</x:f>
        <x:v>80</x:v>
      </x:c>
    </x:row>
    <x:row r="1879" ht="22" customHeight="1">
      <x:c r="A1879" s="17" t="n">
        <x:f>IF(B1879="","",IF(B1879=B1878,A1878,A1878+1))</x:f>
        <x:v>382</x:v>
      </x:c>
      <x:c r="B1879" s="1" t="str">
        <x:f>'Ranking'!C391</x:f>
        <x:v>Baltoy</x:v>
      </x:c>
      <x:c r="C1879" s="1" t="str">
        <x:f>'Habilidades'!D2938</x:f>
        <x:v>Earth Power</x:v>
      </x:c>
      <x:c r="D1879" s="1" t="str">
        <x:f>'Habilidades'!F2938</x:f>
        <x:v>Especial</x:v>
      </x:c>
      <x:c r="E1879" s="18" t="n">
        <x:f>'Habilidades'!G2938</x:f>
        <x:v>90</x:v>
      </x:c>
      <x:c r="F1879" s="18" t="n">
        <x:f>'Habilidades'!H2938</x:f>
        <x:v>40</x:v>
      </x:c>
      <x:c r="G1879" s="18" t="n">
        <x:f>'Habilidades'!I2938</x:f>
        <x:v>130</x:v>
      </x:c>
    </x:row>
    <x:row r="1880" ht="22" customHeight="1">
      <x:c r="A1880" s="17" t="n">
        <x:f>IF(B1880="","",IF(B1880=B1879,A1879,A1879+1))</x:f>
        <x:v>382</x:v>
      </x:c>
      <x:c r="B1880" s="1" t="str">
        <x:f>'Ranking'!C391</x:f>
        <x:v>Baltoy</x:v>
      </x:c>
      <x:c r="C1880" s="1" t="str">
        <x:f>'Habilidades'!D2939</x:f>
        <x:v>Extrasensory</x:v>
      </x:c>
      <x:c r="D1880" s="1" t="str">
        <x:f>'Habilidades'!F2939</x:f>
        <x:v>Especial</x:v>
      </x:c>
      <x:c r="E1880" s="18" t="n">
        <x:f>'Habilidades'!G2939</x:f>
        <x:v>80</x:v>
      </x:c>
      <x:c r="F1880" s="18" t="n">
        <x:f>'Habilidades'!H2939</x:f>
        <x:v>40</x:v>
      </x:c>
      <x:c r="G1880" s="18" t="n">
        <x:f>'Habilidades'!I2939</x:f>
        <x:v>120</x:v>
      </x:c>
    </x:row>
    <x:row r="1881" ht="22" customHeight="1">
      <x:c r="A1881" s="17" t="n">
        <x:f>IF(B1881="","",IF(B1881=B1880,A1880,A1880+1))</x:f>
        <x:v>382</x:v>
      </x:c>
      <x:c r="B1881" s="1" t="str">
        <x:f>'Ranking'!C391</x:f>
        <x:v>Baltoy</x:v>
      </x:c>
      <x:c r="C1881" s="1" t="str">
        <x:f>'Habilidades'!D2940</x:f>
        <x:v>Psybeam</x:v>
      </x:c>
      <x:c r="D1881" s="1" t="str">
        <x:f>'Habilidades'!F2940</x:f>
        <x:v>Especial</x:v>
      </x:c>
      <x:c r="E1881" s="18" t="n">
        <x:f>'Habilidades'!G2940</x:f>
        <x:v>65</x:v>
      </x:c>
      <x:c r="F1881" s="18" t="n">
        <x:f>'Habilidades'!H2940</x:f>
        <x:v>40</x:v>
      </x:c>
      <x:c r="G1881" s="18" t="n">
        <x:f>'Habilidades'!I2940</x:f>
        <x:v>105</x:v>
      </x:c>
    </x:row>
    <x:row r="1882" ht="22" customHeight="1">
      <x:c r="A1882" s="17" t="n">
        <x:f>IF(B1882="","",IF(B1882=B1881,A1881,A1881+1))</x:f>
        <x:v>382</x:v>
      </x:c>
      <x:c r="B1882" s="1" t="str">
        <x:f>'Ranking'!C391</x:f>
        <x:v>Baltoy</x:v>
      </x:c>
      <x:c r="C1882" s="1" t="str">
        <x:f>'Habilidades'!D2941</x:f>
        <x:v>Rock Tomb</x:v>
      </x:c>
      <x:c r="D1882" s="1" t="str">
        <x:f>'Habilidades'!F2941</x:f>
        <x:v>Física</x:v>
      </x:c>
      <x:c r="E1882" s="18" t="n">
        <x:f>'Habilidades'!G2941</x:f>
        <x:v>60</x:v>
      </x:c>
      <x:c r="F1882" s="18" t="n">
        <x:f>'Habilidades'!H2941</x:f>
        <x:v>40</x:v>
      </x:c>
      <x:c r="G1882" s="18" t="n">
        <x:f>'Habilidades'!I2941</x:f>
        <x:v>100</x:v>
      </x:c>
    </x:row>
    <x:row r="1883" ht="22" customHeight="1">
      <x:c r="A1883" s="19" t="n">
        <x:f>IF(B1883="","",IF(B1883=B1882,A1882,A1882+1))</x:f>
        <x:v>382</x:v>
      </x:c>
      <x:c r="B1883" s="20" t="str">
        <x:f>'Ranking'!C391</x:f>
        <x:v>Baltoy</x:v>
      </x:c>
      <x:c r="C1883" s="20" t="str">
        <x:f>'Habilidades'!D2942</x:f>
        <x:v>Ancient Power</x:v>
      </x:c>
      <x:c r="D1883" s="20" t="str">
        <x:f>'Habilidades'!F2942</x:f>
        <x:v>Especial</x:v>
      </x:c>
      <x:c r="E1883" s="21" t="n">
        <x:f>'Habilidades'!G2942</x:f>
        <x:v>60</x:v>
      </x:c>
      <x:c r="F1883" s="21" t="n">
        <x:f>'Habilidades'!H2942</x:f>
        <x:v>40</x:v>
      </x:c>
      <x:c r="G1883" s="21" t="n">
        <x:f>'Habilidades'!I2942</x:f>
        <x:v>100</x:v>
      </x:c>
    </x:row>
    <x:row r="1884" ht="22" customHeight="1">
      <x:c r="A1884" s="17" t="n">
        <x:f>IF(B1884="","",IF(B1884=B1883,A1883,A1883+1))</x:f>
        <x:v>383</x:v>
      </x:c>
      <x:c r="B1884" s="1" t="str">
        <x:f>'Ranking'!C387</x:f>
        <x:v>Blissey</x:v>
      </x:c>
      <x:c r="C1884" s="1" t="str">
        <x:f>'Habilidades'!D2252</x:f>
        <x:v>Double-Edge</x:v>
      </x:c>
      <x:c r="D1884" s="1" t="str">
        <x:f>'Habilidades'!F2252</x:f>
        <x:v>Física</x:v>
      </x:c>
      <x:c r="E1884" s="18" t="n">
        <x:f>'Habilidades'!G2252</x:f>
        <x:v>120</x:v>
      </x:c>
      <x:c r="F1884" s="18" t="n">
        <x:f>'Habilidades'!H2252</x:f>
        <x:v>10</x:v>
      </x:c>
      <x:c r="G1884" s="18" t="n">
        <x:f>'Habilidades'!I2252</x:f>
        <x:v>130</x:v>
      </x:c>
    </x:row>
    <x:row r="1885" ht="22" customHeight="1">
      <x:c r="A1885" s="17" t="n">
        <x:f>IF(B1885="","",IF(B1885=B1884,A1884,A1884+1))</x:f>
        <x:v>383</x:v>
      </x:c>
      <x:c r="B1885" s="1" t="str">
        <x:f>'Ranking'!C387</x:f>
        <x:v>Blissey</x:v>
      </x:c>
      <x:c r="C1885" s="1" t="str">
        <x:f>'Habilidades'!D2253</x:f>
        <x:v>Egg Bomb</x:v>
      </x:c>
      <x:c r="D1885" s="1" t="str">
        <x:f>'Habilidades'!F2253</x:f>
        <x:v>Física</x:v>
      </x:c>
      <x:c r="E1885" s="18" t="n">
        <x:f>'Habilidades'!G2253</x:f>
        <x:v>100</x:v>
      </x:c>
      <x:c r="F1885" s="18" t="n">
        <x:f>'Habilidades'!H2253</x:f>
        <x:v>10</x:v>
      </x:c>
      <x:c r="G1885" s="18" t="n">
        <x:f>'Habilidades'!I2253</x:f>
        <x:v>110</x:v>
      </x:c>
    </x:row>
    <x:row r="1886" ht="22" customHeight="1">
      <x:c r="A1886" s="17" t="n">
        <x:f>IF(B1886="","",IF(B1886=B1885,A1885,A1885+1))</x:f>
        <x:v>383</x:v>
      </x:c>
      <x:c r="B1886" s="1" t="str">
        <x:f>'Ranking'!C387</x:f>
        <x:v>Blissey</x:v>
      </x:c>
      <x:c r="C1886" s="1" t="str">
        <x:f>'Habilidades'!D2254</x:f>
        <x:v>Take Down</x:v>
      </x:c>
      <x:c r="D1886" s="1" t="str">
        <x:f>'Habilidades'!F2254</x:f>
        <x:v>Física</x:v>
      </x:c>
      <x:c r="E1886" s="18" t="n">
        <x:f>'Habilidades'!G2254</x:f>
        <x:v>90</x:v>
      </x:c>
      <x:c r="F1886" s="18" t="n">
        <x:f>'Habilidades'!H2254</x:f>
        <x:v>10</x:v>
      </x:c>
      <x:c r="G1886" s="18" t="n">
        <x:f>'Habilidades'!I2254</x:f>
        <x:v>100</x:v>
      </x:c>
    </x:row>
    <x:row r="1887" ht="22" customHeight="1">
      <x:c r="A1887" s="17" t="n">
        <x:f>IF(B1887="","",IF(B1887=B1886,A1886,A1886+1))</x:f>
        <x:v>383</x:v>
      </x:c>
      <x:c r="B1887" s="1" t="str">
        <x:f>'Ranking'!C387</x:f>
        <x:v>Blissey</x:v>
      </x:c>
      <x:c r="C1887" s="1" t="str">
        <x:f>'Habilidades'!D2255</x:f>
        <x:v>Pound</x:v>
      </x:c>
      <x:c r="D1887" s="1" t="str">
        <x:f>'Habilidades'!F2255</x:f>
        <x:v>Física</x:v>
      </x:c>
      <x:c r="E1887" s="18" t="n">
        <x:f>'Habilidades'!G2255</x:f>
        <x:v>40</x:v>
      </x:c>
      <x:c r="F1887" s="18" t="n">
        <x:f>'Habilidades'!H2255</x:f>
        <x:v>10</x:v>
      </x:c>
      <x:c r="G1887" s="18" t="n">
        <x:f>'Habilidades'!I2255</x:f>
        <x:v>50</x:v>
      </x:c>
    </x:row>
    <x:row r="1888" ht="22" customHeight="1">
      <x:c r="A1888" s="19" t="n">
        <x:f>IF(B1888="","",IF(B1888=B1887,A1887,A1887+1))</x:f>
        <x:v>383</x:v>
      </x:c>
      <x:c r="B1888" s="20" t="str">
        <x:f>'Ranking'!C387</x:f>
        <x:v>Blissey</x:v>
      </x:c>
      <x:c r="C1888" s="20" t="str">
        <x:f>'Habilidades'!D2256</x:f>
        <x:v>Double Slap</x:v>
      </x:c>
      <x:c r="D1888" s="20" t="str">
        <x:f>'Habilidades'!F2256</x:f>
        <x:v>Física</x:v>
      </x:c>
      <x:c r="E1888" s="21" t="n">
        <x:f>'Habilidades'!G2256</x:f>
        <x:v>15</x:v>
      </x:c>
      <x:c r="F1888" s="21" t="n">
        <x:f>'Habilidades'!H2256</x:f>
        <x:v>10</x:v>
      </x:c>
      <x:c r="G1888" s="21" t="n">
        <x:f>'Habilidades'!I2256</x:f>
        <x:v>25</x:v>
      </x:c>
    </x:row>
    <x:row r="1889" ht="22" customHeight="1">
      <x:c r="A1889" s="17" t="n">
        <x:f>IF(B1889="","",IF(B1889=B1888,A1888,A1888+1))</x:f>
        <x:v>384</x:v>
      </x:c>
      <x:c r="B1889" s="1" t="str">
        <x:f>'Ranking'!C390</x:f>
        <x:v>Lotad</x:v>
      </x:c>
      <x:c r="C1889" s="1" t="str">
        <x:f>'Habilidades'!D2461</x:f>
        <x:v>Energy Ball</x:v>
      </x:c>
      <x:c r="D1889" s="1" t="str">
        <x:f>'Habilidades'!F2461</x:f>
        <x:v>Especial</x:v>
      </x:c>
      <x:c r="E1889" s="18" t="n">
        <x:f>'Habilidades'!G2461</x:f>
        <x:v>90</x:v>
      </x:c>
      <x:c r="F1889" s="18" t="n">
        <x:f>'Habilidades'!H2461</x:f>
        <x:v>40</x:v>
      </x:c>
      <x:c r="G1889" s="18" t="n">
        <x:f>'Habilidades'!I2461</x:f>
        <x:v>130</x:v>
      </x:c>
    </x:row>
    <x:row r="1890" ht="22" customHeight="1">
      <x:c r="A1890" s="17" t="n">
        <x:f>IF(B1890="","",IF(B1890=B1889,A1889,A1889+1))</x:f>
        <x:v>384</x:v>
      </x:c>
      <x:c r="B1890" s="1" t="str">
        <x:f>'Ranking'!C390</x:f>
        <x:v>Lotad</x:v>
      </x:c>
      <x:c r="C1890" s="1" t="str">
        <x:f>'Habilidades'!D2462</x:f>
        <x:v>Giga Drain</x:v>
      </x:c>
      <x:c r="D1890" s="1" t="str">
        <x:f>'Habilidades'!F2462</x:f>
        <x:v>Especial</x:v>
      </x:c>
      <x:c r="E1890" s="18" t="n">
        <x:f>'Habilidades'!G2462</x:f>
        <x:v>75</x:v>
      </x:c>
      <x:c r="F1890" s="18" t="n">
        <x:f>'Habilidades'!H2462</x:f>
        <x:v>40</x:v>
      </x:c>
      <x:c r="G1890" s="18" t="n">
        <x:f>'Habilidades'!I2462</x:f>
        <x:v>115</x:v>
      </x:c>
    </x:row>
    <x:row r="1891" ht="22" customHeight="1">
      <x:c r="A1891" s="17" t="n">
        <x:f>IF(B1891="","",IF(B1891=B1890,A1890,A1890+1))</x:f>
        <x:v>384</x:v>
      </x:c>
      <x:c r="B1891" s="1" t="str">
        <x:f>'Ranking'!C390</x:f>
        <x:v>Lotad</x:v>
      </x:c>
      <x:c r="C1891" s="1" t="str">
        <x:f>'Habilidades'!D2463</x:f>
        <x:v>Zen Headbutt</x:v>
      </x:c>
      <x:c r="D1891" s="1" t="str">
        <x:f>'Habilidades'!F2463</x:f>
        <x:v>Física</x:v>
      </x:c>
      <x:c r="E1891" s="18" t="n">
        <x:f>'Habilidades'!G2463</x:f>
        <x:v>80</x:v>
      </x:c>
      <x:c r="F1891" s="18" t="n">
        <x:f>'Habilidades'!H2463</x:f>
        <x:v>30</x:v>
      </x:c>
      <x:c r="G1891" s="18" t="n">
        <x:f>'Habilidades'!I2463</x:f>
        <x:v>110</x:v>
      </x:c>
    </x:row>
    <x:row r="1892" ht="22" customHeight="1">
      <x:c r="A1892" s="17" t="n">
        <x:f>IF(B1892="","",IF(B1892=B1891,A1891,A1891+1))</x:f>
        <x:v>384</x:v>
      </x:c>
      <x:c r="B1892" s="1" t="str">
        <x:f>'Ranking'!C390</x:f>
        <x:v>Lotad</x:v>
      </x:c>
      <x:c r="C1892" s="1" t="str">
        <x:f>'Habilidades'!D2464</x:f>
        <x:v>Bubble Beam</x:v>
      </x:c>
      <x:c r="D1892" s="1" t="str">
        <x:f>'Habilidades'!F2464</x:f>
        <x:v>Especial</x:v>
      </x:c>
      <x:c r="E1892" s="18" t="n">
        <x:f>'Habilidades'!G2464</x:f>
        <x:v>65</x:v>
      </x:c>
      <x:c r="F1892" s="18" t="n">
        <x:f>'Habilidades'!H2464</x:f>
        <x:v>40</x:v>
      </x:c>
      <x:c r="G1892" s="18" t="n">
        <x:f>'Habilidades'!I2464</x:f>
        <x:v>105</x:v>
      </x:c>
    </x:row>
    <x:row r="1893" ht="22" customHeight="1">
      <x:c r="A1893" s="19" t="n">
        <x:f>IF(B1893="","",IF(B1893=B1892,A1892,A1892+1))</x:f>
        <x:v>384</x:v>
      </x:c>
      <x:c r="B1893" s="20" t="str">
        <x:f>'Ranking'!C390</x:f>
        <x:v>Lotad</x:v>
      </x:c>
      <x:c r="C1893" s="20" t="str">
        <x:f>'Habilidades'!D2465</x:f>
        <x:v>Bubble</x:v>
      </x:c>
      <x:c r="D1893" s="20" t="str">
        <x:f>'Habilidades'!F2465</x:f>
        <x:v>Especial</x:v>
      </x:c>
      <x:c r="E1893" s="21" t="n">
        <x:f>'Habilidades'!G2465</x:f>
        <x:v>40</x:v>
      </x:c>
      <x:c r="F1893" s="21" t="n">
        <x:f>'Habilidades'!H2465</x:f>
        <x:v>40</x:v>
      </x:c>
      <x:c r="G1893" s="21" t="n">
        <x:f>'Habilidades'!I2465</x:f>
        <x:v>80</x:v>
      </x:c>
    </x:row>
    <x:row r="1894" ht="22" customHeight="1">
      <x:c r="A1894" s="17" t="n">
        <x:f>IF(B1894="","",IF(B1894=B1893,A1893,A1893+1))</x:f>
        <x:v>385</x:v>
      </x:c>
      <x:c r="B1894" s="1" t="str">
        <x:f>'Ranking'!C386</x:f>
        <x:v>Ludicolo</x:v>
      </x:c>
      <x:c r="C1894" s="1" t="str">
        <x:f>'Habilidades'!D2480</x:f>
        <x:v>Mega Drain</x:v>
      </x:c>
      <x:c r="D1894" s="1" t="str">
        <x:f>'Habilidades'!F2480</x:f>
        <x:v>Especial</x:v>
      </x:c>
      <x:c r="E1894" s="18" t="n">
        <x:f>'Habilidades'!G2480</x:f>
        <x:v>40</x:v>
      </x:c>
      <x:c r="F1894" s="18" t="n">
        <x:f>'Habilidades'!H2480</x:f>
        <x:v>90</x:v>
      </x:c>
      <x:c r="G1894" s="18" t="n">
        <x:f>'Habilidades'!I2480</x:f>
        <x:v>130</x:v>
      </x:c>
    </x:row>
    <x:row r="1895" ht="22" customHeight="1">
      <x:c r="A1895" s="19" t="n">
        <x:f>IF(B1895="","",IF(B1895=B1894,A1894,A1894+1))</x:f>
        <x:v>385</x:v>
      </x:c>
      <x:c r="B1895" s="20" t="str">
        <x:f>'Ranking'!C386</x:f>
        <x:v>Ludicolo</x:v>
      </x:c>
      <x:c r="C1895" s="20" t="str">
        <x:f>'Habilidades'!D2481</x:f>
        <x:v>Astonish</x:v>
      </x:c>
      <x:c r="D1895" s="20" t="str">
        <x:f>'Habilidades'!F2481</x:f>
        <x:v>Física</x:v>
      </x:c>
      <x:c r="E1895" s="21" t="n">
        <x:f>'Habilidades'!G2481</x:f>
        <x:v>30</x:v>
      </x:c>
      <x:c r="F1895" s="21" t="n">
        <x:f>'Habilidades'!H2481</x:f>
        <x:v>70</x:v>
      </x:c>
      <x:c r="G1895" s="21" t="n">
        <x:f>'Habilidades'!I2481</x:f>
        <x:v>100</x:v>
      </x:c>
    </x:row>
    <x:row r="1896" ht="22" customHeight="1">
      <x:c r="A1896" s="17" t="n">
        <x:f>IF(B1896="","",IF(B1896=B1895,A1895,A1895+1))</x:f>
        <x:v>386</x:v>
      </x:c>
      <x:c r="B1896" s="1" t="str">
        <x:f>'Ranking'!C388</x:f>
        <x:v>Riolu</x:v>
      </x:c>
      <x:c r="C1896" s="1" t="str">
        <x:f>'Habilidades'!D3241</x:f>
        <x:v>Force Palm</x:v>
      </x:c>
      <x:c r="D1896" s="1" t="str">
        <x:f>'Habilidades'!F3241</x:f>
        <x:v>Física</x:v>
      </x:c>
      <x:c r="E1896" s="18" t="n">
        <x:f>'Habilidades'!G3241</x:f>
        <x:v>60</x:v>
      </x:c>
      <x:c r="F1896" s="18" t="n">
        <x:f>'Habilidades'!H3241</x:f>
        <x:v>70</x:v>
      </x:c>
      <x:c r="G1896" s="18" t="n">
        <x:f>'Habilidades'!I3241</x:f>
        <x:v>130</x:v>
      </x:c>
    </x:row>
    <x:row r="1897" ht="22" customHeight="1">
      <x:c r="A1897" s="17" t="n">
        <x:f>IF(B1897="","",IF(B1897=B1896,A1896,A1896+1))</x:f>
        <x:v>386</x:v>
      </x:c>
      <x:c r="B1897" s="1" t="str">
        <x:f>'Ranking'!C388</x:f>
        <x:v>Riolu</x:v>
      </x:c>
      <x:c r="C1897" s="1" t="str">
        <x:f>'Habilidades'!D3242</x:f>
        <x:v>Quick Attack</x:v>
      </x:c>
      <x:c r="D1897" s="1" t="str">
        <x:f>'Habilidades'!F3242</x:f>
        <x:v>Física</x:v>
      </x:c>
      <x:c r="E1897" s="18" t="n">
        <x:f>'Habilidades'!G3242</x:f>
        <x:v>40</x:v>
      </x:c>
      <x:c r="F1897" s="18" t="n">
        <x:f>'Habilidades'!H3242</x:f>
        <x:v>70</x:v>
      </x:c>
      <x:c r="G1897" s="18" t="n">
        <x:f>'Habilidades'!I3242</x:f>
        <x:v>110</x:v>
      </x:c>
    </x:row>
    <x:row r="1898" ht="22" customHeight="1">
      <x:c r="A1898" s="19" t="n">
        <x:f>IF(B1898="","",IF(B1898=B1897,A1897,A1897+1))</x:f>
        <x:v>386</x:v>
      </x:c>
      <x:c r="B1898" s="20" t="str">
        <x:f>'Ranking'!C388</x:f>
        <x:v>Riolu</x:v>
      </x:c>
      <x:c r="C1898" s="20" t="str">
        <x:f>'Habilidades'!D3243</x:f>
        <x:v>Feint</x:v>
      </x:c>
      <x:c r="D1898" s="20" t="str">
        <x:f>'Habilidades'!F3243</x:f>
        <x:v>Física</x:v>
      </x:c>
      <x:c r="E1898" s="21" t="n">
        <x:f>'Habilidades'!G3243</x:f>
        <x:v>30</x:v>
      </x:c>
      <x:c r="F1898" s="21" t="n">
        <x:f>'Habilidades'!H3243</x:f>
        <x:v>70</x:v>
      </x:c>
      <x:c r="G1898" s="21" t="n">
        <x:f>'Habilidades'!I3243</x:f>
        <x:v>100</x:v>
      </x:c>
    </x:row>
    <x:row r="1899" ht="22" customHeight="1">
      <x:c r="A1899" s="17" t="n">
        <x:f>IF(B1899="","",IF(B1899=B1898,A1898,A1898+1))</x:f>
        <x:v>387</x:v>
      </x:c>
      <x:c r="B1899" s="1" t="str">
        <x:f>'Ranking'!C389</x:f>
        <x:v>Skiploom</x:v>
      </x:c>
      <x:c r="C1899" s="1" t="str">
        <x:f>'Habilidades'!D1766</x:f>
        <x:v>Bounce</x:v>
      </x:c>
      <x:c r="D1899" s="1" t="str">
        <x:f>'Habilidades'!F1766</x:f>
        <x:v>Física</x:v>
      </x:c>
      <x:c r="E1899" s="18" t="n">
        <x:f>'Habilidades'!G1766</x:f>
        <x:v>85</x:v>
      </x:c>
      <x:c r="F1899" s="18" t="n">
        <x:f>'Habilidades'!H1766</x:f>
        <x:v>45</x:v>
      </x:c>
      <x:c r="G1899" s="18" t="n">
        <x:f>'Habilidades'!I1766</x:f>
        <x:v>130</x:v>
      </x:c>
    </x:row>
    <x:row r="1900" ht="22" customHeight="1">
      <x:c r="A1900" s="17" t="n">
        <x:f>IF(B1900="","",IF(B1900=B1899,A1899,A1899+1))</x:f>
        <x:v>387</x:v>
      </x:c>
      <x:c r="B1900" s="1" t="str">
        <x:f>'Ranking'!C389</x:f>
        <x:v>Skiploom</x:v>
      </x:c>
      <x:c r="C1900" s="1" t="str">
        <x:f>'Habilidades'!D1767</x:f>
        <x:v>Giga Drain</x:v>
      </x:c>
      <x:c r="D1900" s="1" t="str">
        <x:f>'Habilidades'!F1767</x:f>
        <x:v>Especial</x:v>
      </x:c>
      <x:c r="E1900" s="18" t="n">
        <x:f>'Habilidades'!G1767</x:f>
        <x:v>75</x:v>
      </x:c>
      <x:c r="F1900" s="18" t="n">
        <x:f>'Habilidades'!H1767</x:f>
        <x:v>45</x:v>
      </x:c>
      <x:c r="G1900" s="18" t="n">
        <x:f>'Habilidades'!I1767</x:f>
        <x:v>120</x:v>
      </x:c>
    </x:row>
    <x:row r="1901" ht="22" customHeight="1">
      <x:c r="A1901" s="17" t="n">
        <x:f>IF(B1901="","",IF(B1901=B1900,A1900,A1900+1))</x:f>
        <x:v>387</x:v>
      </x:c>
      <x:c r="B1901" s="1" t="str">
        <x:f>'Ranking'!C389</x:f>
        <x:v>Skiploom</x:v>
      </x:c>
      <x:c r="C1901" s="1" t="str">
        <x:f>'Habilidades'!D1768</x:f>
        <x:v>U-turn</x:v>
      </x:c>
      <x:c r="D1901" s="1" t="str">
        <x:f>'Habilidades'!F1768</x:f>
        <x:v>Física</x:v>
      </x:c>
      <x:c r="E1901" s="18" t="n">
        <x:f>'Habilidades'!G1768</x:f>
        <x:v>70</x:v>
      </x:c>
      <x:c r="F1901" s="18" t="n">
        <x:f>'Habilidades'!H1768</x:f>
        <x:v>45</x:v>
      </x:c>
      <x:c r="G1901" s="18" t="n">
        <x:f>'Habilidades'!I1768</x:f>
        <x:v>115</x:v>
      </x:c>
    </x:row>
    <x:row r="1902" ht="22" customHeight="1">
      <x:c r="A1902" s="17" t="n">
        <x:f>IF(B1902="","",IF(B1902=B1901,A1901,A1901+1))</x:f>
        <x:v>387</x:v>
      </x:c>
      <x:c r="B1902" s="1" t="str">
        <x:f>'Ranking'!C389</x:f>
        <x:v>Skiploom</x:v>
      </x:c>
      <x:c r="C1902" s="1" t="str">
        <x:f>'Habilidades'!D1769</x:f>
        <x:v>Acrobatics</x:v>
      </x:c>
      <x:c r="D1902" s="1" t="str">
        <x:f>'Habilidades'!F1769</x:f>
        <x:v>Física</x:v>
      </x:c>
      <x:c r="E1902" s="18" t="n">
        <x:f>'Habilidades'!G1769</x:f>
        <x:v>55</x:v>
      </x:c>
      <x:c r="F1902" s="18" t="n">
        <x:f>'Habilidades'!H1769</x:f>
        <x:v>45</x:v>
      </x:c>
      <x:c r="G1902" s="18" t="n">
        <x:f>'Habilidades'!I1769</x:f>
        <x:v>100</x:v>
      </x:c>
    </x:row>
    <x:row r="1903" ht="22" customHeight="1">
      <x:c r="A1903" s="19" t="n">
        <x:f>IF(B1903="","",IF(B1903=B1902,A1902,A1902+1))</x:f>
        <x:v>387</x:v>
      </x:c>
      <x:c r="B1903" s="20" t="str">
        <x:f>'Ranking'!C389</x:f>
        <x:v>Skiploom</x:v>
      </x:c>
      <x:c r="C1903" s="20" t="str">
        <x:f>'Habilidades'!D1770</x:f>
        <x:v>Tackle</x:v>
      </x:c>
      <x:c r="D1903" s="20" t="str">
        <x:f>'Habilidades'!F1770</x:f>
        <x:v>Física</x:v>
      </x:c>
      <x:c r="E1903" s="21" t="n">
        <x:f>'Habilidades'!G1770</x:f>
        <x:v>50</x:v>
      </x:c>
      <x:c r="F1903" s="21" t="n">
        <x:f>'Habilidades'!H1770</x:f>
        <x:v>45</x:v>
      </x:c>
      <x:c r="G1903" s="21" t="n">
        <x:f>'Habilidades'!I1770</x:f>
        <x:v>95</x:v>
      </x:c>
    </x:row>
    <x:row r="1904" ht="22" customHeight="1">
      <x:c r="A1904" s="17" t="n">
        <x:f>IF(B1904="","",IF(B1904=B1903,A1903,A1903+1))</x:f>
        <x:v>388</x:v>
      </x:c>
      <x:c r="B1904" s="1" t="str">
        <x:f>'Ranking'!C392</x:f>
        <x:v>Nidoran Female</x:v>
      </x:c>
      <x:c r="C1904" s="1" t="str">
        <x:f>'Habilidades'!D251</x:f>
        <x:v>Crunch</x:v>
      </x:c>
      <x:c r="D1904" s="1" t="str">
        <x:f>'Habilidades'!F251</x:f>
        <x:v>Física</x:v>
      </x:c>
      <x:c r="E1904" s="18" t="n">
        <x:f>'Habilidades'!G251</x:f>
        <x:v>80</x:v>
      </x:c>
      <x:c r="F1904" s="18" t="n">
        <x:f>'Habilidades'!H251</x:f>
        <x:v>47</x:v>
      </x:c>
      <x:c r="G1904" s="18" t="n">
        <x:f>'Habilidades'!I251</x:f>
        <x:v>127</x:v>
      </x:c>
    </x:row>
    <x:row r="1905" ht="22" customHeight="1">
      <x:c r="A1905" s="17" t="n">
        <x:f>IF(B1905="","",IF(B1905=B1904,A1904,A1904+1))</x:f>
        <x:v>388</x:v>
      </x:c>
      <x:c r="B1905" s="1" t="str">
        <x:f>'Ranking'!C392</x:f>
        <x:v>Nidoran Female</x:v>
      </x:c>
      <x:c r="C1905" s="1" t="str">
        <x:f>'Habilidades'!D252</x:f>
        <x:v>Bite</x:v>
      </x:c>
      <x:c r="D1905" s="1" t="str">
        <x:f>'Habilidades'!F252</x:f>
        <x:v>Física</x:v>
      </x:c>
      <x:c r="E1905" s="18" t="n">
        <x:f>'Habilidades'!G252</x:f>
        <x:v>60</x:v>
      </x:c>
      <x:c r="F1905" s="18" t="n">
        <x:f>'Habilidades'!H252</x:f>
        <x:v>47</x:v>
      </x:c>
      <x:c r="G1905" s="18" t="n">
        <x:f>'Habilidades'!I252</x:f>
        <x:v>107</x:v>
      </x:c>
    </x:row>
    <x:row r="1906" ht="22" customHeight="1">
      <x:c r="A1906" s="17" t="n">
        <x:f>IF(B1906="","",IF(B1906=B1905,A1905,A1905+1))</x:f>
        <x:v>388</x:v>
      </x:c>
      <x:c r="B1906" s="1" t="str">
        <x:f>'Ranking'!C392</x:f>
        <x:v>Nidoran Female</x:v>
      </x:c>
      <x:c r="C1906" s="1" t="str">
        <x:f>'Habilidades'!D253</x:f>
        <x:v>Poison Fang</x:v>
      </x:c>
      <x:c r="D1906" s="1" t="str">
        <x:f>'Habilidades'!F253</x:f>
        <x:v>Física</x:v>
      </x:c>
      <x:c r="E1906" s="18" t="n">
        <x:f>'Habilidades'!G253</x:f>
        <x:v>50</x:v>
      </x:c>
      <x:c r="F1906" s="18" t="n">
        <x:f>'Habilidades'!H253</x:f>
        <x:v>47</x:v>
      </x:c>
      <x:c r="G1906" s="18" t="n">
        <x:f>'Habilidades'!I253</x:f>
        <x:v>97</x:v>
      </x:c>
    </x:row>
    <x:row r="1907" ht="22" customHeight="1">
      <x:c r="A1907" s="17" t="n">
        <x:f>IF(B1907="","",IF(B1907=B1906,A1906,A1906+1))</x:f>
        <x:v>388</x:v>
      </x:c>
      <x:c r="B1907" s="1" t="str">
        <x:f>'Ranking'!C392</x:f>
        <x:v>Nidoran Female</x:v>
      </x:c>
      <x:c r="C1907" s="1" t="str">
        <x:f>'Habilidades'!D254</x:f>
        <x:v>Scratch</x:v>
      </x:c>
      <x:c r="D1907" s="1" t="str">
        <x:f>'Habilidades'!F254</x:f>
        <x:v>Física</x:v>
      </x:c>
      <x:c r="E1907" s="18" t="n">
        <x:f>'Habilidades'!G254</x:f>
        <x:v>40</x:v>
      </x:c>
      <x:c r="F1907" s="18" t="n">
        <x:f>'Habilidades'!H254</x:f>
        <x:v>47</x:v>
      </x:c>
      <x:c r="G1907" s="18" t="n">
        <x:f>'Habilidades'!I254</x:f>
        <x:v>87</x:v>
      </x:c>
    </x:row>
    <x:row r="1908" ht="22" customHeight="1">
      <x:c r="A1908" s="19" t="n">
        <x:f>IF(B1908="","",IF(B1908=B1907,A1907,A1907+1))</x:f>
        <x:v>388</x:v>
      </x:c>
      <x:c r="B1908" s="20" t="str">
        <x:f>'Ranking'!C392</x:f>
        <x:v>Nidoran Female</x:v>
      </x:c>
      <x:c r="C1908" s="20" t="str">
        <x:f>'Habilidades'!D255</x:f>
        <x:v>Double Kick</x:v>
      </x:c>
      <x:c r="D1908" s="20" t="str">
        <x:f>'Habilidades'!F255</x:f>
        <x:v>Física</x:v>
      </x:c>
      <x:c r="E1908" s="21" t="n">
        <x:f>'Habilidades'!G255</x:f>
        <x:v>30</x:v>
      </x:c>
      <x:c r="F1908" s="21" t="n">
        <x:f>'Habilidades'!H255</x:f>
        <x:v>47</x:v>
      </x:c>
      <x:c r="G1908" s="21" t="n">
        <x:f>'Habilidades'!I255</x:f>
        <x:v>77</x:v>
      </x:c>
    </x:row>
    <x:row r="1909" ht="22" customHeight="1">
      <x:c r="A1909" s="17" t="n">
        <x:f>IF(B1909="","",IF(B1909=B1908,A1908,A1908+1))</x:f>
        <x:v>389</x:v>
      </x:c>
      <x:c r="B1909" s="1" t="str">
        <x:f>'Ranking'!C393</x:f>
        <x:v>Sentret</x:v>
      </x:c>
      <x:c r="C1909" s="1" t="str">
        <x:f>'Habilidades'!D1559</x:f>
        <x:v>Slam</x:v>
      </x:c>
      <x:c r="D1909" s="1" t="str">
        <x:f>'Habilidades'!F1559</x:f>
        <x:v>Física</x:v>
      </x:c>
      <x:c r="E1909" s="18" t="n">
        <x:f>'Habilidades'!G1559</x:f>
        <x:v>80</x:v>
      </x:c>
      <x:c r="F1909" s="18" t="n">
        <x:f>'Habilidades'!H1559</x:f>
        <x:v>46</x:v>
      </x:c>
      <x:c r="G1909" s="18" t="n">
        <x:f>'Habilidades'!I1559</x:f>
        <x:v>126</x:v>
      </x:c>
    </x:row>
    <x:row r="1910" ht="22" customHeight="1">
      <x:c r="A1910" s="17" t="n">
        <x:f>IF(B1910="","",IF(B1910=B1909,A1909,A1909+1))</x:f>
        <x:v>389</x:v>
      </x:c>
      <x:c r="B1910" s="1" t="str">
        <x:f>'Ranking'!C393</x:f>
        <x:v>Sentret</x:v>
      </x:c>
      <x:c r="C1910" s="1" t="str">
        <x:f>'Habilidades'!D1560</x:f>
        <x:v>Sucker Punch</x:v>
      </x:c>
      <x:c r="D1910" s="1" t="str">
        <x:f>'Habilidades'!F1560</x:f>
        <x:v>Física</x:v>
      </x:c>
      <x:c r="E1910" s="18" t="n">
        <x:f>'Habilidades'!G1560</x:f>
        <x:v>80</x:v>
      </x:c>
      <x:c r="F1910" s="18" t="n">
        <x:f>'Habilidades'!H1560</x:f>
        <x:v>46</x:v>
      </x:c>
      <x:c r="G1910" s="18" t="n">
        <x:f>'Habilidades'!I1560</x:f>
        <x:v>126</x:v>
      </x:c>
    </x:row>
    <x:row r="1911" ht="22" customHeight="1">
      <x:c r="A1911" s="17" t="n">
        <x:f>IF(B1911="","",IF(B1911=B1910,A1910,A1910+1))</x:f>
        <x:v>389</x:v>
      </x:c>
      <x:c r="B1911" s="1" t="str">
        <x:f>'Ranking'!C393</x:f>
        <x:v>Sentret</x:v>
      </x:c>
      <x:c r="C1911" s="1" t="str">
        <x:f>'Habilidades'!D1561</x:f>
        <x:v>Hyper Voice</x:v>
      </x:c>
      <x:c r="D1911" s="1" t="str">
        <x:f>'Habilidades'!F1561</x:f>
        <x:v>Especial</x:v>
      </x:c>
      <x:c r="E1911" s="18" t="n">
        <x:f>'Habilidades'!G1561</x:f>
        <x:v>90</x:v>
      </x:c>
      <x:c r="F1911" s="18" t="n">
        <x:f>'Habilidades'!H1561</x:f>
        <x:v>35</x:v>
      </x:c>
      <x:c r="G1911" s="18" t="n">
        <x:f>'Habilidades'!I1561</x:f>
        <x:v>125</x:v>
      </x:c>
    </x:row>
    <x:row r="1912" ht="22" customHeight="1">
      <x:c r="A1912" s="17" t="n">
        <x:f>IF(B1912="","",IF(B1912=B1911,A1911,A1911+1))</x:f>
        <x:v>389</x:v>
      </x:c>
      <x:c r="B1912" s="1" t="str">
        <x:f>'Ranking'!C393</x:f>
        <x:v>Sentret</x:v>
      </x:c>
      <x:c r="C1912" s="1" t="str">
        <x:f>'Habilidades'!D1562</x:f>
        <x:v>Scratch</x:v>
      </x:c>
      <x:c r="D1912" s="1" t="str">
        <x:f>'Habilidades'!F1562</x:f>
        <x:v>Física</x:v>
      </x:c>
      <x:c r="E1912" s="18" t="n">
        <x:f>'Habilidades'!G1562</x:f>
        <x:v>40</x:v>
      </x:c>
      <x:c r="F1912" s="18" t="n">
        <x:f>'Habilidades'!H1562</x:f>
        <x:v>46</x:v>
      </x:c>
      <x:c r="G1912" s="18" t="n">
        <x:f>'Habilidades'!I1562</x:f>
        <x:v>86</x:v>
      </x:c>
    </x:row>
    <x:row r="1913" ht="22" customHeight="1">
      <x:c r="A1913" s="19" t="n">
        <x:f>IF(B1913="","",IF(B1913=B1912,A1912,A1912+1))</x:f>
        <x:v>389</x:v>
      </x:c>
      <x:c r="B1913" s="20" t="str">
        <x:f>'Ranking'!C393</x:f>
        <x:v>Sentret</x:v>
      </x:c>
      <x:c r="C1913" s="20" t="str">
        <x:f>'Habilidades'!D1563</x:f>
        <x:v>Quick Attack</x:v>
      </x:c>
      <x:c r="D1913" s="20" t="str">
        <x:f>'Habilidades'!F1563</x:f>
        <x:v>Física</x:v>
      </x:c>
      <x:c r="E1913" s="21" t="n">
        <x:f>'Habilidades'!G1563</x:f>
        <x:v>40</x:v>
      </x:c>
      <x:c r="F1913" s="21" t="n">
        <x:f>'Habilidades'!H1563</x:f>
        <x:v>46</x:v>
      </x:c>
      <x:c r="G1913" s="21" t="n">
        <x:f>'Habilidades'!I1563</x:f>
        <x:v>86</x:v>
      </x:c>
    </x:row>
    <x:row r="1914" ht="22" customHeight="1">
      <x:c r="A1914" s="17" t="n">
        <x:f>IF(B1914="","",IF(B1914=B1913,A1913,A1913+1))</x:f>
        <x:v>390</x:v>
      </x:c>
      <x:c r="B1914" s="1" t="str">
        <x:f>'Ranking'!C394</x:f>
        <x:v>Chansey</x:v>
      </x:c>
      <x:c r="C1914" s="1" t="str">
        <x:f>'Habilidades'!D1076</x:f>
        <x:v>Double-Edge</x:v>
      </x:c>
      <x:c r="D1914" s="1" t="str">
        <x:f>'Habilidades'!F1076</x:f>
        <x:v>Física</x:v>
      </x:c>
      <x:c r="E1914" s="18" t="n">
        <x:f>'Habilidades'!G1076</x:f>
        <x:v>120</x:v>
      </x:c>
      <x:c r="F1914" s="18" t="n">
        <x:f>'Habilidades'!H1076</x:f>
        <x:v>5</x:v>
      </x:c>
      <x:c r="G1914" s="18" t="n">
        <x:f>'Habilidades'!I1076</x:f>
        <x:v>125</x:v>
      </x:c>
    </x:row>
    <x:row r="1915" ht="22" customHeight="1">
      <x:c r="A1915" s="17" t="n">
        <x:f>IF(B1915="","",IF(B1915=B1914,A1914,A1914+1))</x:f>
        <x:v>390</x:v>
      </x:c>
      <x:c r="B1915" s="1" t="str">
        <x:f>'Ranking'!C394</x:f>
        <x:v>Chansey</x:v>
      </x:c>
      <x:c r="C1915" s="1" t="str">
        <x:f>'Habilidades'!D1077</x:f>
        <x:v>Egg Bomb</x:v>
      </x:c>
      <x:c r="D1915" s="1" t="str">
        <x:f>'Habilidades'!F1077</x:f>
        <x:v>Física</x:v>
      </x:c>
      <x:c r="E1915" s="18" t="n">
        <x:f>'Habilidades'!G1077</x:f>
        <x:v>100</x:v>
      </x:c>
      <x:c r="F1915" s="18" t="n">
        <x:f>'Habilidades'!H1077</x:f>
        <x:v>5</x:v>
      </x:c>
      <x:c r="G1915" s="18" t="n">
        <x:f>'Habilidades'!I1077</x:f>
        <x:v>105</x:v>
      </x:c>
    </x:row>
    <x:row r="1916" ht="22" customHeight="1">
      <x:c r="A1916" s="17" t="n">
        <x:f>IF(B1916="","",IF(B1916=B1915,A1915,A1915+1))</x:f>
        <x:v>390</x:v>
      </x:c>
      <x:c r="B1916" s="1" t="str">
        <x:f>'Ranking'!C394</x:f>
        <x:v>Chansey</x:v>
      </x:c>
      <x:c r="C1916" s="1" t="str">
        <x:f>'Habilidades'!D1078</x:f>
        <x:v>Take Down</x:v>
      </x:c>
      <x:c r="D1916" s="1" t="str">
        <x:f>'Habilidades'!F1078</x:f>
        <x:v>Física</x:v>
      </x:c>
      <x:c r="E1916" s="18" t="n">
        <x:f>'Habilidades'!G1078</x:f>
        <x:v>90</x:v>
      </x:c>
      <x:c r="F1916" s="18" t="n">
        <x:f>'Habilidades'!H1078</x:f>
        <x:v>5</x:v>
      </x:c>
      <x:c r="G1916" s="18" t="n">
        <x:f>'Habilidades'!I1078</x:f>
        <x:v>95</x:v>
      </x:c>
    </x:row>
    <x:row r="1917" ht="22" customHeight="1">
      <x:c r="A1917" s="17" t="n">
        <x:f>IF(B1917="","",IF(B1917=B1916,A1916,A1916+1))</x:f>
        <x:v>390</x:v>
      </x:c>
      <x:c r="B1917" s="1" t="str">
        <x:f>'Ranking'!C394</x:f>
        <x:v>Chansey</x:v>
      </x:c>
      <x:c r="C1917" s="1" t="str">
        <x:f>'Habilidades'!D1079</x:f>
        <x:v>Pound</x:v>
      </x:c>
      <x:c r="D1917" s="1" t="str">
        <x:f>'Habilidades'!F1079</x:f>
        <x:v>Física</x:v>
      </x:c>
      <x:c r="E1917" s="18" t="n">
        <x:f>'Habilidades'!G1079</x:f>
        <x:v>40</x:v>
      </x:c>
      <x:c r="F1917" s="18" t="n">
        <x:f>'Habilidades'!H1079</x:f>
        <x:v>5</x:v>
      </x:c>
      <x:c r="G1917" s="18" t="n">
        <x:f>'Habilidades'!I1079</x:f>
        <x:v>45</x:v>
      </x:c>
    </x:row>
    <x:row r="1918" ht="22" customHeight="1">
      <x:c r="A1918" s="19" t="n">
        <x:f>IF(B1918="","",IF(B1918=B1917,A1917,A1917+1))</x:f>
        <x:v>390</x:v>
      </x:c>
      <x:c r="B1918" s="20" t="str">
        <x:f>'Ranking'!C394</x:f>
        <x:v>Chansey</x:v>
      </x:c>
      <x:c r="C1918" s="20" t="str">
        <x:f>'Habilidades'!D1080</x:f>
        <x:v>Doubleslap</x:v>
      </x:c>
      <x:c r="D1918" s="20" t="str">
        <x:f>'Habilidades'!F1080</x:f>
        <x:v>Física</x:v>
      </x:c>
      <x:c r="E1918" s="21" t="n">
        <x:f>'Habilidades'!G1080</x:f>
        <x:v>15</x:v>
      </x:c>
      <x:c r="F1918" s="21" t="n">
        <x:f>'Habilidades'!H1080</x:f>
        <x:v>5</x:v>
      </x:c>
      <x:c r="G1918" s="21" t="n">
        <x:f>'Habilidades'!I1080</x:f>
        <x:v>20</x:v>
      </x:c>
    </x:row>
    <x:row r="1919" ht="22" customHeight="1">
      <x:c r="A1919" s="17" t="n">
        <x:f>IF(B1919="","",IF(B1919=B1918,A1918,A1918+1))</x:f>
        <x:v>391</x:v>
      </x:c>
      <x:c r="B1919" s="1" t="str">
        <x:f>'Ranking'!C397</x:f>
        <x:v>Hoppip</x:v>
      </x:c>
      <x:c r="C1919" s="1" t="str">
        <x:f>'Habilidades'!D1758</x:f>
        <x:v>Bounce</x:v>
      </x:c>
      <x:c r="D1919" s="1" t="str">
        <x:f>'Habilidades'!F1758</x:f>
        <x:v>Física</x:v>
      </x:c>
      <x:c r="E1919" s="18" t="n">
        <x:f>'Habilidades'!G1758</x:f>
        <x:v>85</x:v>
      </x:c>
      <x:c r="F1919" s="18" t="n">
        <x:f>'Habilidades'!H1758</x:f>
        <x:v>35</x:v>
      </x:c>
      <x:c r="G1919" s="18" t="n">
        <x:f>'Habilidades'!I1758</x:f>
        <x:v>120</x:v>
      </x:c>
    </x:row>
    <x:row r="1920" ht="22" customHeight="1">
      <x:c r="A1920" s="17" t="n">
        <x:f>IF(B1920="","",IF(B1920=B1919,A1919,A1919+1))</x:f>
        <x:v>391</x:v>
      </x:c>
      <x:c r="B1920" s="1" t="str">
        <x:f>'Ranking'!C397</x:f>
        <x:v>Hoppip</x:v>
      </x:c>
      <x:c r="C1920" s="1" t="str">
        <x:f>'Habilidades'!D1759</x:f>
        <x:v>Giga Drain</x:v>
      </x:c>
      <x:c r="D1920" s="1" t="str">
        <x:f>'Habilidades'!F1759</x:f>
        <x:v>Especial</x:v>
      </x:c>
      <x:c r="E1920" s="18" t="n">
        <x:f>'Habilidades'!G1759</x:f>
        <x:v>75</x:v>
      </x:c>
      <x:c r="F1920" s="18" t="n">
        <x:f>'Habilidades'!H1759</x:f>
        <x:v>35</x:v>
      </x:c>
      <x:c r="G1920" s="18" t="n">
        <x:f>'Habilidades'!I1759</x:f>
        <x:v>110</x:v>
      </x:c>
    </x:row>
    <x:row r="1921" ht="22" customHeight="1">
      <x:c r="A1921" s="17" t="n">
        <x:f>IF(B1921="","",IF(B1921=B1920,A1920,A1920+1))</x:f>
        <x:v>391</x:v>
      </x:c>
      <x:c r="B1921" s="1" t="str">
        <x:f>'Ranking'!C397</x:f>
        <x:v>Hoppip</x:v>
      </x:c>
      <x:c r="C1921" s="1" t="str">
        <x:f>'Habilidades'!D1760</x:f>
        <x:v>U-turn</x:v>
      </x:c>
      <x:c r="D1921" s="1" t="str">
        <x:f>'Habilidades'!F1760</x:f>
        <x:v>Física</x:v>
      </x:c>
      <x:c r="E1921" s="18" t="n">
        <x:f>'Habilidades'!G1760</x:f>
        <x:v>70</x:v>
      </x:c>
      <x:c r="F1921" s="18" t="n">
        <x:f>'Habilidades'!H1760</x:f>
        <x:v>35</x:v>
      </x:c>
      <x:c r="G1921" s="18" t="n">
        <x:f>'Habilidades'!I1760</x:f>
        <x:v>105</x:v>
      </x:c>
    </x:row>
    <x:row r="1922" ht="22" customHeight="1">
      <x:c r="A1922" s="17" t="n">
        <x:f>IF(B1922="","",IF(B1922=B1921,A1921,A1921+1))</x:f>
        <x:v>391</x:v>
      </x:c>
      <x:c r="B1922" s="1" t="str">
        <x:f>'Ranking'!C397</x:f>
        <x:v>Hoppip</x:v>
      </x:c>
      <x:c r="C1922" s="1" t="str">
        <x:f>'Habilidades'!D1761</x:f>
        <x:v>Acrobatics</x:v>
      </x:c>
      <x:c r="D1922" s="1" t="str">
        <x:f>'Habilidades'!F1761</x:f>
        <x:v>Física</x:v>
      </x:c>
      <x:c r="E1922" s="18" t="n">
        <x:f>'Habilidades'!G1761</x:f>
        <x:v>55</x:v>
      </x:c>
      <x:c r="F1922" s="18" t="n">
        <x:f>'Habilidades'!H1761</x:f>
        <x:v>35</x:v>
      </x:c>
      <x:c r="G1922" s="18" t="n">
        <x:f>'Habilidades'!I1761</x:f>
        <x:v>90</x:v>
      </x:c>
    </x:row>
    <x:row r="1923" ht="22" customHeight="1">
      <x:c r="A1923" s="19" t="n">
        <x:f>IF(B1923="","",IF(B1923=B1922,A1922,A1922+1))</x:f>
        <x:v>391</x:v>
      </x:c>
      <x:c r="B1923" s="20" t="str">
        <x:f>'Ranking'!C397</x:f>
        <x:v>Hoppip</x:v>
      </x:c>
      <x:c r="C1923" s="20" t="str">
        <x:f>'Habilidades'!D1762</x:f>
        <x:v>Tackle</x:v>
      </x:c>
      <x:c r="D1923" s="20" t="str">
        <x:f>'Habilidades'!F1762</x:f>
        <x:v>Física</x:v>
      </x:c>
      <x:c r="E1923" s="21" t="n">
        <x:f>'Habilidades'!G1762</x:f>
        <x:v>50</x:v>
      </x:c>
      <x:c r="F1923" s="21" t="n">
        <x:f>'Habilidades'!H1762</x:f>
        <x:v>35</x:v>
      </x:c>
      <x:c r="G1923" s="21" t="n">
        <x:f>'Habilidades'!I1762</x:f>
        <x:v>85</x:v>
      </x:c>
    </x:row>
    <x:row r="1924" ht="22" customHeight="1">
      <x:c r="A1924" s="17" t="n">
        <x:f>IF(B1924="","",IF(B1924=B1923,A1923,A1923+1))</x:f>
        <x:v>392</x:v>
      </x:c>
      <x:c r="B1924" s="1" t="str">
        <x:f>'Ranking'!C395</x:f>
        <x:v>Kabuto</x:v>
      </x:c>
      <x:c r="C1924" s="1" t="str">
        <x:f>'Habilidades'!D1335</x:f>
        <x:v>Scratch</x:v>
      </x:c>
      <x:c r="D1924" s="1" t="str">
        <x:f>'Habilidades'!F1335</x:f>
        <x:v>Física</x:v>
      </x:c>
      <x:c r="E1924" s="18" t="n">
        <x:f>'Habilidades'!G1335</x:f>
        <x:v>40</x:v>
      </x:c>
      <x:c r="F1924" s="18" t="n">
        <x:f>'Habilidades'!H1335</x:f>
        <x:v>80</x:v>
      </x:c>
      <x:c r="G1924" s="18" t="n">
        <x:f>'Habilidades'!I1335</x:f>
        <x:v>120</x:v>
      </x:c>
    </x:row>
    <x:row r="1925" ht="22" customHeight="1">
      <x:c r="A1925" s="17" t="n">
        <x:f>IF(B1925="","",IF(B1925=B1924,A1924,A1924+1))</x:f>
        <x:v>392</x:v>
      </x:c>
      <x:c r="B1925" s="1" t="str">
        <x:f>'Ranking'!C395</x:f>
        <x:v>Kabuto</x:v>
      </x:c>
      <x:c r="C1925" s="1" t="str">
        <x:f>'Habilidades'!D1336</x:f>
        <x:v>Aqua Jet</x:v>
      </x:c>
      <x:c r="D1925" s="1" t="str">
        <x:f>'Habilidades'!F1336</x:f>
        <x:v>Física</x:v>
      </x:c>
      <x:c r="E1925" s="18" t="n">
        <x:f>'Habilidades'!G1336</x:f>
        <x:v>40</x:v>
      </x:c>
      <x:c r="F1925" s="18" t="n">
        <x:f>'Habilidades'!H1336</x:f>
        <x:v>80</x:v>
      </x:c>
      <x:c r="G1925" s="18" t="n">
        <x:f>'Habilidades'!I1336</x:f>
        <x:v>120</x:v>
      </x:c>
    </x:row>
    <x:row r="1926" ht="22" customHeight="1">
      <x:c r="A1926" s="17" t="n">
        <x:f>IF(B1926="","",IF(B1926=B1925,A1925,A1925+1))</x:f>
        <x:v>392</x:v>
      </x:c>
      <x:c r="B1926" s="1" t="str">
        <x:f>'Ranking'!C395</x:f>
        <x:v>Kabuto</x:v>
      </x:c>
      <x:c r="C1926" s="1" t="str">
        <x:f>'Habilidades'!D1337</x:f>
        <x:v>Ancient Power</x:v>
      </x:c>
      <x:c r="D1926" s="1" t="str">
        <x:f>'Habilidades'!F1337</x:f>
        <x:v>Especial</x:v>
      </x:c>
      <x:c r="E1926" s="18" t="n">
        <x:f>'Habilidades'!G1337</x:f>
        <x:v>60</x:v>
      </x:c>
      <x:c r="F1926" s="18" t="n">
        <x:f>'Habilidades'!H1337</x:f>
        <x:v>55</x:v>
      </x:c>
      <x:c r="G1926" s="18" t="n">
        <x:f>'Habilidades'!I1337</x:f>
        <x:v>115</x:v>
      </x:c>
    </x:row>
    <x:row r="1927" ht="22" customHeight="1">
      <x:c r="A1927" s="17" t="n">
        <x:f>IF(B1927="","",IF(B1927=B1926,A1926,A1926+1))</x:f>
        <x:v>392</x:v>
      </x:c>
      <x:c r="B1927" s="1" t="str">
        <x:f>'Ranking'!C395</x:f>
        <x:v>Kabuto</x:v>
      </x:c>
      <x:c r="C1927" s="1" t="str">
        <x:f>'Habilidades'!D1338</x:f>
        <x:v>Mud Shot</x:v>
      </x:c>
      <x:c r="D1927" s="1" t="str">
        <x:f>'Habilidades'!F1338</x:f>
        <x:v>Especial</x:v>
      </x:c>
      <x:c r="E1927" s="18" t="n">
        <x:f>'Habilidades'!G1338</x:f>
        <x:v>55</x:v>
      </x:c>
      <x:c r="F1927" s="18" t="n">
        <x:f>'Habilidades'!H1338</x:f>
        <x:v>55</x:v>
      </x:c>
      <x:c r="G1927" s="18" t="n">
        <x:f>'Habilidades'!I1338</x:f>
        <x:v>110</x:v>
      </x:c>
    </x:row>
    <x:row r="1928" ht="22" customHeight="1">
      <x:c r="A1928" s="19" t="n">
        <x:f>IF(B1928="","",IF(B1928=B1927,A1927,A1927+1))</x:f>
        <x:v>392</x:v>
      </x:c>
      <x:c r="B1928" s="20" t="str">
        <x:f>'Ranking'!C395</x:f>
        <x:v>Kabuto</x:v>
      </x:c>
      <x:c r="C1928" s="20" t="str">
        <x:f>'Habilidades'!D1339</x:f>
        <x:v>Mega Drain</x:v>
      </x:c>
      <x:c r="D1928" s="20" t="str">
        <x:f>'Habilidades'!F1339</x:f>
        <x:v>Especial</x:v>
      </x:c>
      <x:c r="E1928" s="21" t="n">
        <x:f>'Habilidades'!G1339</x:f>
        <x:v>40</x:v>
      </x:c>
      <x:c r="F1928" s="21" t="n">
        <x:f>'Habilidades'!H1339</x:f>
        <x:v>55</x:v>
      </x:c>
      <x:c r="G1928" s="21" t="n">
        <x:f>'Habilidades'!I1339</x:f>
        <x:v>95</x:v>
      </x:c>
    </x:row>
    <x:row r="1929" ht="22" customHeight="1">
      <x:c r="A1929" s="17" t="n">
        <x:f>IF(B1929="","",IF(B1929=B1928,A1928,A1928+1))</x:f>
        <x:v>393</x:v>
      </x:c>
      <x:c r="B1929" s="1" t="str">
        <x:f>'Ranking'!C396</x:f>
        <x:v>Tynamo</x:v>
      </x:c>
      <x:c r="C1929" s="1" t="str">
        <x:f>'Habilidades'!D3524</x:f>
        <x:v>Spark</x:v>
      </x:c>
      <x:c r="D1929" s="1" t="str">
        <x:f>'Habilidades'!F3524</x:f>
        <x:v>Física</x:v>
      </x:c>
      <x:c r="E1929" s="18" t="n">
        <x:f>'Habilidades'!G3524</x:f>
        <x:v>65</x:v>
      </x:c>
      <x:c r="F1929" s="18" t="n">
        <x:f>'Habilidades'!H3524</x:f>
        <x:v>55</x:v>
      </x:c>
      <x:c r="G1929" s="18" t="n">
        <x:f>'Habilidades'!I3524</x:f>
        <x:v>120</x:v>
      </x:c>
    </x:row>
    <x:row r="1930" ht="22" customHeight="1">
      <x:c r="A1930" s="17" t="n">
        <x:f>IF(B1930="","",IF(B1930=B1929,A1929,A1929+1))</x:f>
        <x:v>393</x:v>
      </x:c>
      <x:c r="B1930" s="1" t="str">
        <x:f>'Ranking'!C396</x:f>
        <x:v>Tynamo</x:v>
      </x:c>
      <x:c r="C1930" s="1" t="str">
        <x:f>'Habilidades'!D3525</x:f>
        <x:v>Tackle</x:v>
      </x:c>
      <x:c r="D1930" s="1" t="str">
        <x:f>'Habilidades'!F3525</x:f>
        <x:v>Física</x:v>
      </x:c>
      <x:c r="E1930" s="18" t="n">
        <x:f>'Habilidades'!G3525</x:f>
        <x:v>50</x:v>
      </x:c>
      <x:c r="F1930" s="18" t="n">
        <x:f>'Habilidades'!H3525</x:f>
        <x:v>55</x:v>
      </x:c>
      <x:c r="G1930" s="18" t="n">
        <x:f>'Habilidades'!I3525</x:f>
        <x:v>105</x:v>
      </x:c>
    </x:row>
    <x:row r="1931" ht="22" customHeight="1">
      <x:c r="A1931" s="17" t="n">
        <x:f>IF(B1931="","",IF(B1931=B1930,A1930,A1930+1))</x:f>
        <x:v>393</x:v>
      </x:c>
      <x:c r="B1931" s="1" t="str">
        <x:f>'Ranking'!C396</x:f>
        <x:v>Tynamo</x:v>
      </x:c>
      <x:c r="C1931" s="1" t="str">
        <x:f>'Habilidades'!D3526</x:f>
        <x:v>Charge Beam</x:v>
      </x:c>
      <x:c r="D1931" s="1" t="str">
        <x:f>'Habilidades'!F3526</x:f>
        <x:v>Especial</x:v>
      </x:c>
      <x:c r="E1931" s="18" t="n">
        <x:f>'Habilidades'!G3526</x:f>
        <x:v>50</x:v>
      </x:c>
      <x:c r="F1931" s="18" t="n">
        <x:f>'Habilidades'!H3526</x:f>
        <x:v>45</x:v>
      </x:c>
      <x:c r="G1931" s="18" t="n">
        <x:f>'Habilidades'!I3526</x:f>
        <x:v>95</x:v>
      </x:c>
    </x:row>
    <x:row r="1932" ht="22" customHeight="1">
      <x:c r="A1932" s="19" t="n">
        <x:f>IF(B1932="","",IF(B1932=B1931,A1931,A1931+1))</x:f>
        <x:v>393</x:v>
      </x:c>
      <x:c r="B1932" s="20" t="str">
        <x:f>'Ranking'!C396</x:f>
        <x:v>Tynamo</x:v>
      </x:c>
      <x:c r="C1932" s="20" t="str">
        <x:f>'Habilidades'!D3527</x:f>
        <x:v>Thunder Wave</x:v>
      </x:c>
      <x:c r="D1932" s="20" t="str">
        <x:f>'Habilidades'!F3527</x:f>
        <x:v>Status</x:v>
      </x:c>
      <x:c r="E1932" s="21" t="n">
        <x:f>'Habilidades'!G3527</x:f>
        <x:v>0</x:v>
      </x:c>
      <x:c r="F1932" s="21" t="str">
        <x:f>'Habilidades'!H3527</x:f>
      </x:c>
      <x:c r="G1932" s="21" t="str">
        <x:f>'Habilidades'!I3527</x:f>
      </x:c>
    </x:row>
    <x:row r="1933" ht="22" customHeight="1">
      <x:c r="A1933" s="17" t="n">
        <x:f>IF(B1933="","",IF(B1933=B1932,A1932,A1932+1))</x:f>
        <x:v>394</x:v>
      </x:c>
      <x:c r="B1933" s="1" t="str">
        <x:f>'Ranking'!C398</x:f>
        <x:v>Meowth</x:v>
      </x:c>
      <x:c r="C1933" s="1" t="str">
        <x:f>'Habilidades'!D458</x:f>
        <x:v>Slash</x:v>
      </x:c>
      <x:c r="D1933" s="1" t="str">
        <x:f>'Habilidades'!F458</x:f>
        <x:v>Física</x:v>
      </x:c>
      <x:c r="E1933" s="18" t="n">
        <x:f>'Habilidades'!G458</x:f>
        <x:v>70</x:v>
      </x:c>
      <x:c r="F1933" s="18" t="n">
        <x:f>'Habilidades'!H458</x:f>
        <x:v>45</x:v>
      </x:c>
      <x:c r="G1933" s="18" t="n">
        <x:f>'Habilidades'!I458</x:f>
        <x:v>115</x:v>
      </x:c>
    </x:row>
    <x:row r="1934" ht="22" customHeight="1">
      <x:c r="A1934" s="17" t="n">
        <x:f>IF(B1934="","",IF(B1934=B1933,A1933,A1933+1))</x:f>
        <x:v>394</x:v>
      </x:c>
      <x:c r="B1934" s="1" t="str">
        <x:f>'Ranking'!C398</x:f>
        <x:v>Meowth</x:v>
      </x:c>
      <x:c r="C1934" s="1" t="str">
        <x:f>'Habilidades'!D459</x:f>
        <x:v>Night Slash</x:v>
      </x:c>
      <x:c r="D1934" s="1" t="str">
        <x:f>'Habilidades'!F459</x:f>
        <x:v>Física</x:v>
      </x:c>
      <x:c r="E1934" s="18" t="n">
        <x:f>'Habilidades'!G459</x:f>
        <x:v>70</x:v>
      </x:c>
      <x:c r="F1934" s="18" t="n">
        <x:f>'Habilidades'!H459</x:f>
        <x:v>45</x:v>
      </x:c>
      <x:c r="G1934" s="18" t="n">
        <x:f>'Habilidades'!I459</x:f>
        <x:v>115</x:v>
      </x:c>
    </x:row>
    <x:row r="1935" ht="22" customHeight="1">
      <x:c r="A1935" s="17" t="n">
        <x:f>IF(B1935="","",IF(B1935=B1934,A1934,A1934+1))</x:f>
        <x:v>394</x:v>
      </x:c>
      <x:c r="B1935" s="1" t="str">
        <x:f>'Ranking'!C398</x:f>
        <x:v>Meowth</x:v>
      </x:c>
      <x:c r="C1935" s="1" t="str">
        <x:f>'Habilidades'!D460</x:f>
        <x:v>Bite</x:v>
      </x:c>
      <x:c r="D1935" s="1" t="str">
        <x:f>'Habilidades'!F460</x:f>
        <x:v>Física</x:v>
      </x:c>
      <x:c r="E1935" s="18" t="n">
        <x:f>'Habilidades'!G460</x:f>
        <x:v>60</x:v>
      </x:c>
      <x:c r="F1935" s="18" t="n">
        <x:f>'Habilidades'!H460</x:f>
        <x:v>45</x:v>
      </x:c>
      <x:c r="G1935" s="18" t="n">
        <x:f>'Habilidades'!I460</x:f>
        <x:v>105</x:v>
      </x:c>
    </x:row>
    <x:row r="1936" ht="22" customHeight="1">
      <x:c r="A1936" s="17" t="n">
        <x:f>IF(B1936="","",IF(B1936=B1935,A1935,A1935+1))</x:f>
        <x:v>394</x:v>
      </x:c>
      <x:c r="B1936" s="1" t="str">
        <x:f>'Ranking'!C398</x:f>
        <x:v>Meowth</x:v>
      </x:c>
      <x:c r="C1936" s="1" t="str">
        <x:f>'Habilidades'!D461</x:f>
        <x:v>Feint Attack</x:v>
      </x:c>
      <x:c r="D1936" s="1" t="str">
        <x:f>'Habilidades'!F461</x:f>
        <x:v>Física</x:v>
      </x:c>
      <x:c r="E1936" s="18" t="n">
        <x:f>'Habilidades'!G461</x:f>
        <x:v>60</x:v>
      </x:c>
      <x:c r="F1936" s="18" t="n">
        <x:f>'Habilidades'!H461</x:f>
        <x:v>45</x:v>
      </x:c>
      <x:c r="G1936" s="18" t="n">
        <x:f>'Habilidades'!I461</x:f>
        <x:v>105</x:v>
      </x:c>
    </x:row>
    <x:row r="1937" ht="22" customHeight="1">
      <x:c r="A1937" s="19" t="n">
        <x:f>IF(B1937="","",IF(B1937=B1936,A1936,A1936+1))</x:f>
        <x:v>394</x:v>
      </x:c>
      <x:c r="B1937" s="20" t="str">
        <x:f>'Ranking'!C398</x:f>
        <x:v>Meowth</x:v>
      </x:c>
      <x:c r="C1937" s="20" t="str">
        <x:f>'Habilidades'!D462</x:f>
        <x:v>Assurance</x:v>
      </x:c>
      <x:c r="D1937" s="20" t="str">
        <x:f>'Habilidades'!F462</x:f>
        <x:v>Física</x:v>
      </x:c>
      <x:c r="E1937" s="21" t="n">
        <x:f>'Habilidades'!G462</x:f>
        <x:v>60</x:v>
      </x:c>
      <x:c r="F1937" s="21" t="n">
        <x:f>'Habilidades'!H462</x:f>
        <x:v>45</x:v>
      </x:c>
      <x:c r="G1937" s="21" t="n">
        <x:f>'Habilidades'!I462</x:f>
        <x:v>105</x:v>
      </x:c>
    </x:row>
    <x:row r="1938" ht="22" customHeight="1">
      <x:c r="A1938" s="17" t="n">
        <x:f>IF(B1938="","",IF(B1938=B1937,A1937,A1937+1))</x:f>
        <x:v>395</x:v>
      </x:c>
      <x:c r="B1938" s="1" t="str">
        <x:f>'Ranking'!C400</x:f>
        <x:v>Cleffa</x:v>
      </x:c>
      <x:c r="C1938" s="1" t="str">
        <x:f>'Habilidades'!D1665</x:f>
        <x:v>Magical Leaf</x:v>
      </x:c>
      <x:c r="D1938" s="1" t="str">
        <x:f>'Habilidades'!F1665</x:f>
        <x:v>Especial</x:v>
      </x:c>
      <x:c r="E1938" s="18" t="n">
        <x:f>'Habilidades'!G1665</x:f>
        <x:v>60</x:v>
      </x:c>
      <x:c r="F1938" s="18" t="n">
        <x:f>'Habilidades'!H1665</x:f>
        <x:v>45</x:v>
      </x:c>
      <x:c r="G1938" s="18" t="n">
        <x:f>'Habilidades'!I1665</x:f>
        <x:v>105</x:v>
      </x:c>
    </x:row>
    <x:row r="1939" ht="22" customHeight="1">
      <x:c r="A1939" s="19" t="n">
        <x:f>IF(B1939="","",IF(B1939=B1938,A1938,A1938+1))</x:f>
        <x:v>395</x:v>
      </x:c>
      <x:c r="B1939" s="20" t="str">
        <x:f>'Ranking'!C400</x:f>
        <x:v>Cleffa</x:v>
      </x:c>
      <x:c r="C1939" s="20" t="str">
        <x:f>'Habilidades'!D1666</x:f>
        <x:v>Pound</x:v>
      </x:c>
      <x:c r="D1939" s="20" t="str">
        <x:f>'Habilidades'!F1666</x:f>
        <x:v>Física</x:v>
      </x:c>
      <x:c r="E1939" s="21" t="n">
        <x:f>'Habilidades'!G1666</x:f>
        <x:v>40</x:v>
      </x:c>
      <x:c r="F1939" s="21" t="n">
        <x:f>'Habilidades'!H1666</x:f>
        <x:v>25</x:v>
      </x:c>
      <x:c r="G1939" s="21" t="n">
        <x:f>'Habilidades'!I1666</x:f>
        <x:v>65</x:v>
      </x:c>
    </x:row>
    <x:row r="1940" ht="22" customHeight="1">
      <x:c r="A1940" s="17" t="n">
        <x:f>IF(B1940="","",IF(B1940=B1939,A1939,A1939+1))</x:f>
        <x:v>396</x:v>
      </x:c>
      <x:c r="B1940" s="1" t="str">
        <x:f>'Ranking'!C399</x:f>
        <x:v>Zubat</x:v>
      </x:c>
      <x:c r="C1940" s="1" t="str">
        <x:f>'Habilidades'!D340</x:f>
        <x:v>Air Slash</x:v>
      </x:c>
      <x:c r="D1940" s="1" t="str">
        <x:f>'Habilidades'!F340</x:f>
        <x:v>Especial</x:v>
      </x:c>
      <x:c r="E1940" s="18" t="n">
        <x:f>'Habilidades'!G340</x:f>
        <x:v>75</x:v>
      </x:c>
      <x:c r="F1940" s="18" t="n">
        <x:f>'Habilidades'!H340</x:f>
        <x:v>30</x:v>
      </x:c>
      <x:c r="G1940" s="18" t="n">
        <x:f>'Habilidades'!I340</x:f>
        <x:v>105</x:v>
      </x:c>
    </x:row>
    <x:row r="1941" ht="22" customHeight="1">
      <x:c r="A1941" s="17" t="n">
        <x:f>IF(B1941="","",IF(B1941=B1940,A1940,A1940+1))</x:f>
        <x:v>396</x:v>
      </x:c>
      <x:c r="B1941" s="1" t="str">
        <x:f>'Ranking'!C399</x:f>
        <x:v>Zubat</x:v>
      </x:c>
      <x:c r="C1941" s="1" t="str">
        <x:f>'Habilidades'!D341</x:f>
        <x:v>Bite</x:v>
      </x:c>
      <x:c r="D1941" s="1" t="str">
        <x:f>'Habilidades'!F341</x:f>
        <x:v>Física</x:v>
      </x:c>
      <x:c r="E1941" s="18" t="n">
        <x:f>'Habilidades'!G341</x:f>
        <x:v>60</x:v>
      </x:c>
      <x:c r="F1941" s="18" t="n">
        <x:f>'Habilidades'!H341</x:f>
        <x:v>45</x:v>
      </x:c>
      <x:c r="G1941" s="18" t="n">
        <x:f>'Habilidades'!I341</x:f>
        <x:v>105</x:v>
      </x:c>
    </x:row>
    <x:row r="1942" ht="22" customHeight="1">
      <x:c r="A1942" s="17" t="n">
        <x:f>IF(B1942="","",IF(B1942=B1941,A1941,A1941+1))</x:f>
        <x:v>396</x:v>
      </x:c>
      <x:c r="B1942" s="1" t="str">
        <x:f>'Ranking'!C399</x:f>
        <x:v>Zubat</x:v>
      </x:c>
      <x:c r="C1942" s="1" t="str">
        <x:f>'Habilidades'!D342</x:f>
        <x:v>Wing Attack</x:v>
      </x:c>
      <x:c r="D1942" s="1" t="str">
        <x:f>'Habilidades'!F342</x:f>
        <x:v>Física</x:v>
      </x:c>
      <x:c r="E1942" s="18" t="n">
        <x:f>'Habilidades'!G342</x:f>
        <x:v>60</x:v>
      </x:c>
      <x:c r="F1942" s="18" t="n">
        <x:f>'Habilidades'!H342</x:f>
        <x:v>45</x:v>
      </x:c>
      <x:c r="G1942" s="18" t="n">
        <x:f>'Habilidades'!I342</x:f>
        <x:v>105</x:v>
      </x:c>
    </x:row>
    <x:row r="1943" ht="22" customHeight="1">
      <x:c r="A1943" s="17" t="n">
        <x:f>IF(B1943="","",IF(B1943=B1942,A1942,A1942+1))</x:f>
        <x:v>396</x:v>
      </x:c>
      <x:c r="B1943" s="1" t="str">
        <x:f>'Ranking'!C399</x:f>
        <x:v>Zubat</x:v>
      </x:c>
      <x:c r="C1943" s="1" t="str">
        <x:f>'Habilidades'!D344</x:f>
        <x:v>Venoshock</x:v>
      </x:c>
      <x:c r="D1943" s="1" t="str">
        <x:f>'Habilidades'!F344</x:f>
        <x:v>Especial</x:v>
      </x:c>
      <x:c r="E1943" s="18" t="n">
        <x:f>'Habilidades'!G344</x:f>
        <x:v>65</x:v>
      </x:c>
      <x:c r="F1943" s="18" t="n">
        <x:f>'Habilidades'!H344</x:f>
        <x:v>30</x:v>
      </x:c>
      <x:c r="G1943" s="18" t="n">
        <x:f>'Habilidades'!I344</x:f>
        <x:v>95</x:v>
      </x:c>
    </x:row>
    <x:row r="1944" ht="22" customHeight="1">
      <x:c r="A1944" s="19" t="n">
        <x:f>IF(B1944="","",IF(B1944=B1943,A1943,A1943+1))</x:f>
        <x:v>396</x:v>
      </x:c>
      <x:c r="B1944" s="20" t="str">
        <x:f>'Ranking'!C399</x:f>
        <x:v>Zubat</x:v>
      </x:c>
      <x:c r="C1944" s="20" t="str">
        <x:f>'Habilidades'!D346</x:f>
        <x:v>Air Cutter</x:v>
      </x:c>
      <x:c r="D1944" s="20" t="str">
        <x:f>'Habilidades'!F346</x:f>
        <x:v>Especial</x:v>
      </x:c>
      <x:c r="E1944" s="21" t="n">
        <x:f>'Habilidades'!G346</x:f>
        <x:v>60</x:v>
      </x:c>
      <x:c r="F1944" s="21" t="n">
        <x:f>'Habilidades'!H346</x:f>
        <x:v>30</x:v>
      </x:c>
      <x:c r="G1944" s="21" t="n">
        <x:f>'Habilidades'!I346</x:f>
        <x:v>90</x:v>
      </x:c>
    </x:row>
    <x:row r="1945" ht="22" customHeight="1">
      <x:c r="A1945" s="17" t="n">
        <x:f>IF(B1945="","",IF(B1945=B1944,A1944,A1944+1))</x:f>
        <x:v>397</x:v>
      </x:c>
      <x:c r="B1945" s="1" t="str">
        <x:f>'Ranking'!C401</x:f>
        <x:v>Weedle</x:v>
      </x:c>
      <x:c r="C1945" s="1" t="str">
        <x:f>'Habilidades'!D111</x:f>
        <x:v>Bug Bite</x:v>
      </x:c>
      <x:c r="D1945" s="1" t="str">
        <x:f>'Habilidades'!F111</x:f>
        <x:v>Física</x:v>
      </x:c>
      <x:c r="E1945" s="18" t="n">
        <x:f>'Habilidades'!G111</x:f>
        <x:v>60</x:v>
      </x:c>
      <x:c r="F1945" s="18" t="n">
        <x:f>'Habilidades'!H111</x:f>
        <x:v>35</x:v>
      </x:c>
      <x:c r="G1945" s="18" t="n">
        <x:f>'Habilidades'!I111</x:f>
        <x:v>95</x:v>
      </x:c>
    </x:row>
    <x:row r="1946" ht="22" customHeight="1">
      <x:c r="A1946" s="17" t="n">
        <x:f>IF(B1946="","",IF(B1946=B1945,A1945,A1945+1))</x:f>
        <x:v>397</x:v>
      </x:c>
      <x:c r="B1946" s="1" t="str">
        <x:f>'Ranking'!C401</x:f>
        <x:v>Weedle</x:v>
      </x:c>
      <x:c r="C1946" s="1" t="str">
        <x:f>'Habilidades'!D112</x:f>
        <x:v>Poison Sting</x:v>
      </x:c>
      <x:c r="D1946" s="1" t="str">
        <x:f>'Habilidades'!F112</x:f>
        <x:v>Física</x:v>
      </x:c>
      <x:c r="E1946" s="18" t="n">
        <x:f>'Habilidades'!G112</x:f>
        <x:v>15</x:v>
      </x:c>
      <x:c r="F1946" s="18" t="n">
        <x:f>'Habilidades'!H112</x:f>
        <x:v>35</x:v>
      </x:c>
      <x:c r="G1946" s="18" t="n">
        <x:f>'Habilidades'!I112</x:f>
        <x:v>50</x:v>
      </x:c>
    </x:row>
    <x:row r="1947" ht="22" customHeight="1">
      <x:c r="A1947" s="19" t="n">
        <x:f>IF(B1947="","",IF(B1947=B1946,A1946,A1946+1))</x:f>
        <x:v>397</x:v>
      </x:c>
      <x:c r="B1947" s="20" t="str">
        <x:f>'Ranking'!C401</x:f>
        <x:v>Weedle</x:v>
      </x:c>
      <x:c r="C1947" s="20" t="str">
        <x:f>'Habilidades'!D113</x:f>
        <x:v>String Shot</x:v>
      </x:c>
      <x:c r="D1947" s="20" t="str">
        <x:f>'Habilidades'!F113</x:f>
        <x:v>Status</x:v>
      </x:c>
      <x:c r="E1947" s="21" t="n">
        <x:f>'Habilidades'!G113</x:f>
        <x:v>0</x:v>
      </x:c>
      <x:c r="F1947" s="21" t="str">
        <x:f>'Habilidades'!H113</x:f>
      </x:c>
      <x:c r="G1947" s="21" t="str">
        <x:f>'Habilidades'!I113</x:f>
      </x:c>
    </x:row>
    <x:row r="1948" ht="22" customHeight="1">
      <x:c r="A1948" s="17" t="n">
        <x:f>IF(B1948="","",IF(B1948=B1947,A1947,A1947+1))</x:f>
        <x:v>398</x:v>
      </x:c>
      <x:c r="B1948" s="1" t="str">
        <x:f>'Ranking'!C402</x:f>
        <x:v>Caterpie</x:v>
      </x:c>
      <x:c r="C1948" s="1" t="str">
        <x:f>'Habilidades'!D96</x:f>
        <x:v>Bug Bite</x:v>
      </x:c>
      <x:c r="D1948" s="1" t="str">
        <x:f>'Habilidades'!F96</x:f>
        <x:v>Física</x:v>
      </x:c>
      <x:c r="E1948" s="18" t="n">
        <x:f>'Habilidades'!G96</x:f>
        <x:v>60</x:v>
      </x:c>
      <x:c r="F1948" s="18" t="n">
        <x:f>'Habilidades'!H96</x:f>
        <x:v>30</x:v>
      </x:c>
      <x:c r="G1948" s="18" t="n">
        <x:f>'Habilidades'!I96</x:f>
        <x:v>90</x:v>
      </x:c>
    </x:row>
    <x:row r="1949" ht="22" customHeight="1">
      <x:c r="A1949" s="17" t="n">
        <x:f>IF(B1949="","",IF(B1949=B1948,A1948,A1948+1))</x:f>
        <x:v>398</x:v>
      </x:c>
      <x:c r="B1949" s="1" t="str">
        <x:f>'Ranking'!C402</x:f>
        <x:v>Caterpie</x:v>
      </x:c>
      <x:c r="C1949" s="1" t="str">
        <x:f>'Habilidades'!D97</x:f>
        <x:v>Tackle</x:v>
      </x:c>
      <x:c r="D1949" s="1" t="str">
        <x:f>'Habilidades'!F97</x:f>
        <x:v>Física</x:v>
      </x:c>
      <x:c r="E1949" s="18" t="n">
        <x:f>'Habilidades'!G97</x:f>
        <x:v>50</x:v>
      </x:c>
      <x:c r="F1949" s="18" t="n">
        <x:f>'Habilidades'!H97</x:f>
        <x:v>30</x:v>
      </x:c>
      <x:c r="G1949" s="18" t="n">
        <x:f>'Habilidades'!I97</x:f>
        <x:v>80</x:v>
      </x:c>
    </x:row>
    <x:row r="1950" ht="22" customHeight="1">
      <x:c r="A1950" s="19" t="n">
        <x:f>IF(B1950="","",IF(B1950=B1949,A1949,A1949+1))</x:f>
        <x:v>398</x:v>
      </x:c>
      <x:c r="B1950" s="20" t="str">
        <x:f>'Ranking'!C402</x:f>
        <x:v>Caterpie</x:v>
      </x:c>
      <x:c r="C1950" s="20" t="str">
        <x:f>'Habilidades'!D98</x:f>
        <x:v>String Shot</x:v>
      </x:c>
      <x:c r="D1950" s="20" t="str">
        <x:f>'Habilidades'!F98</x:f>
        <x:v>Status</x:v>
      </x:c>
      <x:c r="E1950" s="21" t="n">
        <x:f>'Habilidades'!G98</x:f>
        <x:v>0</x:v>
      </x:c>
      <x:c r="F1950" s="21" t="str">
        <x:f>'Habilidades'!H98</x:f>
      </x:c>
      <x:c r="G1950" s="21" t="str">
        <x:f>'Habilidades'!I98</x:f>
      </x:c>
    </x:row>
    <x:row r="1951" ht="22" customHeight="1">
      <x:c r="A1951" s="17" t="n">
        <x:f>IF(B1951="","",IF(B1951=B1950,A1950,A1950+1))</x:f>
        <x:v>399</x:v>
      </x:c>
      <x:c r="B1951" s="1" t="str">
        <x:f>'Ranking'!C403</x:f>
        <x:v>Tyrogue</x:v>
      </x:c>
      <x:c r="C1951" s="1" t="str">
        <x:f>'Habilidades'!D2209</x:f>
        <x:v>Tackle</x:v>
      </x:c>
      <x:c r="D1951" s="1" t="str">
        <x:f>'Habilidades'!F2209</x:f>
        <x:v>Física</x:v>
      </x:c>
      <x:c r="E1951" s="18" t="n">
        <x:f>'Habilidades'!G2209</x:f>
        <x:v>50</x:v>
      </x:c>
      <x:c r="F1951" s="18" t="n">
        <x:f>'Habilidades'!H2209</x:f>
        <x:v>35</x:v>
      </x:c>
      <x:c r="G1951" s="18" t="n">
        <x:f>'Habilidades'!I2209</x:f>
        <x:v>85</x:v>
      </x:c>
    </x:row>
    <x:row r="1952" ht="22" customHeight="1">
      <x:c r="A1952" s="19" t="n">
        <x:f>IF(B1952="","",IF(B1952=B1951,A1951,A1951+1))</x:f>
        <x:v>399</x:v>
      </x:c>
      <x:c r="B1952" s="20" t="str">
        <x:f>'Ranking'!C403</x:f>
        <x:v>Tyrogue</x:v>
      </x:c>
      <x:c r="C1952" s="20" t="str">
        <x:f>'Habilidades'!D2210</x:f>
        <x:v>Fake Out</x:v>
      </x:c>
      <x:c r="D1952" s="20" t="str">
        <x:f>'Habilidades'!F2210</x:f>
        <x:v>Física</x:v>
      </x:c>
      <x:c r="E1952" s="21" t="n">
        <x:f>'Habilidades'!G2210</x:f>
        <x:v>40</x:v>
      </x:c>
      <x:c r="F1952" s="21" t="n">
        <x:f>'Habilidades'!H2210</x:f>
        <x:v>35</x:v>
      </x:c>
      <x:c r="G1952" s="21" t="n">
        <x:f>'Habilidades'!I2210</x:f>
        <x:v>75</x:v>
      </x:c>
    </x:row>
    <x:row r="1953" ht="22" customHeight="1">
      <x:c r="A1953" s="19" t="n">
        <x:f>IF(B1953="","",IF(B1953=B1952,A1952,A1952+1))</x:f>
        <x:v>400</x:v>
      </x:c>
      <x:c r="B1953" s="20" t="str">
        <x:f>'Ranking'!C404</x:f>
        <x:v>Pichu</x:v>
      </x:c>
      <x:c r="C1953" s="20" t="str">
        <x:f>'Habilidades'!D1664</x:f>
        <x:v>Thunder Shock</x:v>
      </x:c>
      <x:c r="D1953" s="20" t="str">
        <x:f>'Habilidades'!F1664</x:f>
        <x:v>Especial</x:v>
      </x:c>
      <x:c r="E1953" s="21" t="n">
        <x:f>'Habilidades'!G1664</x:f>
        <x:v>40</x:v>
      </x:c>
      <x:c r="F1953" s="21" t="n">
        <x:f>'Habilidades'!H1664</x:f>
        <x:v>35</x:v>
      </x:c>
      <x:c r="G1953" s="21" t="n">
        <x:f>'Habilidades'!I1664</x:f>
        <x:v>75</x:v>
      </x:c>
    </x:row>
    <x:row r="1954" ht="22" customHeight="1">
      <x:c r="A1954" s="19" t="n">
        <x:f>IF(B1954="","",IF(B1954=B1953,A1953,A1953+1))</x:f>
        <x:v>401</x:v>
      </x:c>
      <x:c r="B1954" s="20" t="str">
        <x:f>'Ranking'!C405</x:f>
        <x:v>Igglybuff</x:v>
      </x:c>
      <x:c r="C1954" s="20" t="str">
        <x:f>'Habilidades'!D1667</x:f>
        <x:v>Pound</x:v>
      </x:c>
      <x:c r="D1954" s="20" t="str">
        <x:f>'Habilidades'!F1667</x:f>
        <x:v>Física</x:v>
      </x:c>
      <x:c r="E1954" s="21" t="n">
        <x:f>'Habilidades'!G1667</x:f>
        <x:v>40</x:v>
      </x:c>
      <x:c r="F1954" s="21" t="n">
        <x:f>'Habilidades'!H1667</x:f>
        <x:v>30</x:v>
      </x:c>
      <x:c r="G1954" s="21" t="n">
        <x:f>'Habilidades'!I1667</x:f>
        <x:v>70</x:v>
      </x:c>
    </x:row>
    <x:row r="1955" ht="22" customHeight="1">
      <x:c r="A1955" s="19" t="n">
        <x:f>IF(B1955="","",IF(B1955=B1954,A1954,A1954+1))</x:f>
        <x:v>402</x:v>
      </x:c>
      <x:c r="B1955" s="20" t="str">
        <x:f>'Ranking'!C406</x:f>
        <x:v>Feebas</x:v>
      </x:c>
      <x:c r="C1955" s="20" t="str">
        <x:f>'Habilidades'!D2959</x:f>
        <x:v>Tackle</x:v>
      </x:c>
      <x:c r="D1955" s="20" t="str">
        <x:f>'Habilidades'!F2959</x:f>
        <x:v>Física</x:v>
      </x:c>
      <x:c r="E1955" s="21" t="n">
        <x:f>'Habilidades'!G2959</x:f>
        <x:v>50</x:v>
      </x:c>
      <x:c r="F1955" s="21" t="n">
        <x:f>'Habilidades'!H2959</x:f>
        <x:v>15</x:v>
      </x:c>
      <x:c r="G1955" s="21" t="n">
        <x:f>'Habilidades'!I2959</x:f>
        <x:v>65</x:v>
      </x:c>
    </x:row>
    <x:row r="1956" ht="22" customHeight="1">
      <x:c r="A1956" s="17" t="n">
        <x:f>IF(B1956="","",IF(B1956=B1955,A1955,A1955+1))</x:f>
        <x:v>403</x:v>
      </x:c>
      <x:c r="B1956" s="1" t="str">
        <x:f>'Ranking'!C407</x:f>
        <x:v>Magikarp</x:v>
      </x:c>
      <x:c r="C1956" s="1" t="str">
        <x:f>'Habilidades'!D1246</x:f>
        <x:v>Tackle</x:v>
      </x:c>
      <x:c r="D1956" s="1" t="str">
        <x:f>'Habilidades'!F1246</x:f>
        <x:v>Física</x:v>
      </x:c>
      <x:c r="E1956" s="18" t="n">
        <x:f>'Habilidades'!G1246</x:f>
        <x:v>50</x:v>
      </x:c>
      <x:c r="F1956" s="18" t="n">
        <x:f>'Habilidades'!H1246</x:f>
        <x:v>10</x:v>
      </x:c>
      <x:c r="G1956" s="18" t="n">
        <x:f>'Habilidades'!I1246</x:f>
        <x:v>60</x:v>
      </x:c>
    </x:row>
    <x:row r="1957" ht="22" customHeight="1">
      <x:c r="A1957" s="19" t="n">
        <x:f>IF(B1957="","",IF(B1957=B1956,A1956,A1956+1))</x:f>
        <x:v>403</x:v>
      </x:c>
      <x:c r="B1957" s="20" t="str">
        <x:f>'Ranking'!C407</x:f>
        <x:v>Magikarp</x:v>
      </x:c>
      <x:c r="C1957" s="20" t="str">
        <x:f>'Habilidades'!D1247</x:f>
        <x:v>Splash</x:v>
      </x:c>
      <x:c r="D1957" s="20" t="str">
        <x:f>'Habilidades'!F1247</x:f>
        <x:v>Status</x:v>
      </x:c>
      <x:c r="E1957" s="21" t="n">
        <x:f>'Habilidades'!G1247</x:f>
        <x:v>0</x:v>
      </x:c>
      <x:c r="F1957" s="21" t="str">
        <x:f>'Habilidades'!H1247</x:f>
      </x:c>
      <x:c r="G1957" s="21" t="str">
        <x:f>'Habilidades'!I1247</x:f>
      </x:c>
    </x:row>
    <x:row r="1958" ht="22" customHeight="1">
      <x:c r="A1958" s="19" t="n">
        <x:f>IF(B1958="","",IF(B1958=B1957,A1957,A1957+1))</x:f>
        <x:v>404</x:v>
      </x:c>
      <x:c r="B1958" s="20" t="str">
        <x:f>'Ranking'!C408</x:f>
        <x:v>Abra</x:v>
      </x:c>
      <x:c r="C1958" s="20" t="str">
        <x:f>""</x:f>
      </x:c>
      <x:c r="D1958" s="20" t="str">
        <x:f>""</x:f>
      </x:c>
      <x:c r="E1958" s="21" t="str">
        <x:f>""</x:f>
      </x:c>
      <x:c r="F1958" s="21" t="str">
        <x:f>""</x:f>
      </x:c>
      <x:c r="G1958" s="21" t="str">
        <x:f>""</x:f>
      </x:c>
    </x:row>
    <x:row r="1959" ht="22" customHeight="1">
      <x:c r="A1959" s="19" t="n">
        <x:f>IF(B1959="","",IF(B1959=B1958,A1958,A1958+1))</x:f>
        <x:v>405</x:v>
      </x:c>
      <x:c r="B1959" s="20" t="str">
        <x:f>'Ranking'!C409</x:f>
        <x:v>Ditto</x:v>
      </x:c>
      <x:c r="C1959" s="20" t="str">
        <x:f>""</x:f>
      </x:c>
      <x:c r="D1959" s="20" t="str">
        <x:f>""</x:f>
      </x:c>
      <x:c r="E1959" s="21" t="str">
        <x:f>""</x:f>
      </x:c>
      <x:c r="F1959" s="21" t="str">
        <x:f>""</x:f>
      </x:c>
      <x:c r="G1959" s="21" t="str">
        <x:f>""</x:f>
      </x:c>
    </x:row>
    <x:row r="1960" ht="22" customHeight="1">
      <x:c r="A1960" s="19" t="n">
        <x:f>IF(B1960="","",IF(B1960=B1959,A1959,A1959+1))</x:f>
        <x:v>406</x:v>
      </x:c>
      <x:c r="B1960" s="20" t="str">
        <x:f>'Ranking'!C412</x:f>
        <x:v>Kakuna</x:v>
      </x:c>
      <x:c r="C1960" s="20" t="str">
        <x:f>'Habilidades'!D114</x:f>
        <x:v>Harden</x:v>
      </x:c>
      <x:c r="D1960" s="20" t="str">
        <x:f>'Habilidades'!F114</x:f>
        <x:v>Status</x:v>
      </x:c>
      <x:c r="E1960" s="21" t="n">
        <x:f>'Habilidades'!G114</x:f>
        <x:v>0</x:v>
      </x:c>
      <x:c r="F1960" s="21" t="str">
        <x:f>'Habilidades'!H114</x:f>
      </x:c>
      <x:c r="G1960" s="21" t="str">
        <x:f>'Habilidades'!I114</x:f>
      </x:c>
    </x:row>
    <x:row r="1961" ht="22" customHeight="1">
      <x:c r="A1961" s="19" t="n">
        <x:f>IF(B1961="","",IF(B1961=B1960,A1960,A1960+1))</x:f>
        <x:v>407</x:v>
      </x:c>
      <x:c r="B1961" s="20" t="str">
        <x:f>'Ranking'!C411</x:f>
        <x:v>Metapod</x:v>
      </x:c>
      <x:c r="C1961" s="20" t="str">
        <x:f>'Habilidades'!D99</x:f>
        <x:v>Harden</x:v>
      </x:c>
      <x:c r="D1961" s="20" t="str">
        <x:f>'Habilidades'!F99</x:f>
        <x:v>Status</x:v>
      </x:c>
      <x:c r="E1961" s="21" t="n">
        <x:f>'Habilidades'!G99</x:f>
        <x:v>0</x:v>
      </x:c>
      <x:c r="F1961" s="21" t="str">
        <x:f>'Habilidades'!H99</x:f>
      </x:c>
      <x:c r="G1961" s="21" t="str">
        <x:f>'Habilidades'!I99</x:f>
      </x:c>
    </x:row>
    <x:row r="1962" ht="22" customHeight="1">
      <x:c r="A1962" s="19" t="n">
        <x:f>IF(B1962="","",IF(B1962=B1961,A1961,A1961+1))</x:f>
        <x:v>408</x:v>
      </x:c>
      <x:c r="B1962" s="20" t="str">
        <x:f>'Ranking'!C410</x:f>
        <x:v>Seedot</x:v>
      </x:c>
      <x:c r="C1962" s="20" t="str">
        <x:f>""</x:f>
      </x:c>
      <x:c r="D1962" s="20" t="str">
        <x:f>""</x:f>
      </x:c>
      <x:c r="E1962" s="21" t="str">
        <x:f>""</x:f>
      </x:c>
      <x:c r="F1962" s="21" t="str">
        <x:f>""</x:f>
      </x:c>
      <x:c r="G1962" s="21" t="str">
        <x:f>""</x:f>
      </x:c>
    </x:row>
    <x:row r="1963" ht="22" customHeight="1">
      <x:c r="A1963" s="19" t="n">
        <x:f>IF(B1963="","",IF(B1963=B1962,A1962,A1962+1))</x:f>
        <x:v>409</x:v>
      </x:c>
      <x:c r="B1963" s="20" t="str">
        <x:f>'Ranking'!C413</x:f>
        <x:v>Smeargle</x:v>
      </x:c>
      <x:c r="C1963" s="20" t="str">
        <x:f>""</x:f>
      </x:c>
      <x:c r="D1963" s="20" t="str">
        <x:f>""</x:f>
      </x:c>
      <x:c r="E1963" s="21" t="str">
        <x:f>""</x:f>
      </x:c>
      <x:c r="F1963" s="21" t="str">
        <x:f>""</x:f>
      </x:c>
      <x:c r="G1963" s="21" t="str">
        <x:f>""</x:f>
      </x:c>
    </x:row>
  </x:sheetData>
  <x:pageMargins left="0.7" right="0.7" top="0.75" bottom="0.75" header="0.3" footer="0.3"/>
</x:worksheet>
</file>